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Jose project\"/>
    </mc:Choice>
  </mc:AlternateContent>
  <xr:revisionPtr revIDLastSave="0" documentId="13_ncr:1_{5732FE51-FDF9-442E-99C1-02747D651B16}" xr6:coauthVersionLast="47" xr6:coauthVersionMax="47" xr10:uidLastSave="{00000000-0000-0000-0000-000000000000}"/>
  <bookViews>
    <workbookView xWindow="28680" yWindow="-10920" windowWidth="29040" windowHeight="17520" tabRatio="688" xr2:uid="{7D33E9BA-25BC-4093-B1A9-A680C9269E41}"/>
  </bookViews>
  <sheets>
    <sheet name="OP" sheetId="9" r:id="rId1"/>
    <sheet name="SEG" sheetId="24" r:id="rId2"/>
    <sheet name="GG" sheetId="3" r:id="rId3"/>
    <sheet name="EST SOTANO" sheetId="15" r:id="rId4"/>
    <sheet name="EST TORRE" sheetId="18" r:id="rId5"/>
    <sheet name="ARQ SOT" sheetId="54" r:id="rId6"/>
    <sheet name="ARQ TORRE" sheetId="55" r:id="rId7"/>
    <sheet name="OBRA CIVIL ASCENSOR" sheetId="45" r:id="rId8"/>
    <sheet name="IISS" sheetId="78" r:id="rId9"/>
    <sheet name="IIEE" sheetId="79" r:id="rId10"/>
    <sheet name="CTO BOMBAS-ACIySPC" sheetId="68" r:id="rId11"/>
    <sheet name="IIMM" sheetId="80" r:id="rId12"/>
    <sheet name="INSTALACIONES" sheetId="69" r:id="rId13"/>
  </sheets>
  <externalReferences>
    <externalReference r:id="rId14"/>
  </externalReferences>
  <definedNames>
    <definedName name="\1">#REF!</definedName>
    <definedName name="\A">#REF!</definedName>
    <definedName name="\b">#N/A</definedName>
    <definedName name="\c">#N/A</definedName>
    <definedName name="\f">#N/A</definedName>
    <definedName name="\g">#REF!</definedName>
    <definedName name="\LL">#REF!</definedName>
    <definedName name="\O">#REF!</definedName>
    <definedName name="\p">#REF!</definedName>
    <definedName name="\PP">#N/A</definedName>
    <definedName name="\q">#REF!</definedName>
    <definedName name="\R">#REF!</definedName>
    <definedName name="\w">#REF!</definedName>
    <definedName name="\x">#REF!</definedName>
    <definedName name="_?쾴?">#REF!</definedName>
    <definedName name="_?쾴?_?">#REF!</definedName>
    <definedName name="_?쾴?___P">#REF!</definedName>
    <definedName name="_?쾴?_T">#REF!</definedName>
    <definedName name="__" localSheetId="9" hidden="1">#REF!</definedName>
    <definedName name="__" localSheetId="8" hidden="1">#REF!</definedName>
    <definedName name="__" hidden="1">#REF!</definedName>
    <definedName name="__?쾴?">#REF!</definedName>
    <definedName name="__?쾴?_?">#REF!</definedName>
    <definedName name="__?쾴?___P">#REF!</definedName>
    <definedName name="__?쾴?_T">#REF!</definedName>
    <definedName name="___?쾴?">#REF!</definedName>
    <definedName name="___?쾴?_?">#REF!</definedName>
    <definedName name="___?쾴?___P">#REF!</definedName>
    <definedName name="___?쾴?_T">#REF!</definedName>
    <definedName name="____" localSheetId="9" hidden="1">#REF!</definedName>
    <definedName name="____" localSheetId="8" hidden="1">#REF!</definedName>
    <definedName name="____" hidden="1">#REF!</definedName>
    <definedName name="____?쾴?">#REF!</definedName>
    <definedName name="____?쾴?_?">#REF!</definedName>
    <definedName name="____?쾴?___P">#REF!</definedName>
    <definedName name="____?쾴?_T">#REF!</definedName>
    <definedName name="_____?쾴?">#REF!</definedName>
    <definedName name="_____?쾴?_?">#REF!</definedName>
    <definedName name="_____?쾴?___P">#REF!</definedName>
    <definedName name="_____?쾴?_T">#REF!</definedName>
    <definedName name="______" hidden="1">#REF!</definedName>
    <definedName name="______?쾴?">#REF!</definedName>
    <definedName name="______?쾴?_?">#REF!</definedName>
    <definedName name="______?쾴?___P">#REF!</definedName>
    <definedName name="______?쾴?_T">#REF!</definedName>
    <definedName name="_______?쾴?">#REF!</definedName>
    <definedName name="_______?쾴?_?">#REF!</definedName>
    <definedName name="_______?쾴?___P">#REF!</definedName>
    <definedName name="_______?쾴?_T">#REF!</definedName>
    <definedName name="________" hidden="1">#REF!</definedName>
    <definedName name="________?쾴?">#REF!</definedName>
    <definedName name="________?쾴?_?">#REF!</definedName>
    <definedName name="________?쾴?___P">#REF!</definedName>
    <definedName name="________?쾴?_T">#REF!</definedName>
    <definedName name="_________?쾴?">#REF!</definedName>
    <definedName name="_________?쾴?_?">#REF!</definedName>
    <definedName name="_________?쾴?___P">#REF!</definedName>
    <definedName name="_________?쾴?_T">#REF!</definedName>
    <definedName name="__________" hidden="1">#REF!</definedName>
    <definedName name="___________?쾴?">#REF!</definedName>
    <definedName name="___________?쾴?_?">#REF!</definedName>
    <definedName name="___________?쾴?___P">#REF!</definedName>
    <definedName name="___________?쾴?_T">#REF!</definedName>
    <definedName name="____________?쾴?">#REF!</definedName>
    <definedName name="____________?쾴?_?">#REF!</definedName>
    <definedName name="____________?쾴?___P">#REF!</definedName>
    <definedName name="____________?쾴?_T">#REF!</definedName>
    <definedName name="______________?쾴?">#REF!</definedName>
    <definedName name="______________?쾴?_?">#REF!</definedName>
    <definedName name="______________?쾴?___P">#REF!</definedName>
    <definedName name="______________?쾴?_T">#REF!</definedName>
    <definedName name="______________________________xlnm._FilterDatabase_1">#REF!</definedName>
    <definedName name="_____________________________xlnm._FilterDatabase_1">#REF!</definedName>
    <definedName name="____________________________xlnm._FilterDatabase_1">#REF!</definedName>
    <definedName name="__________________________xlnm._FilterDatabase_1">#REF!</definedName>
    <definedName name="_________________________A1" hidden="1">#REF!</definedName>
    <definedName name="_________________________A2" hidden="1">#REF!</definedName>
    <definedName name="_________________________A3" hidden="1">#REF!</definedName>
    <definedName name="_________________________A4" hidden="1">#REF!</definedName>
    <definedName name="_________________________A5" hidden="1">#REF!</definedName>
    <definedName name="_________________________n1" hidden="1">#REF!</definedName>
    <definedName name="_________________________n2" hidden="1">#REF!</definedName>
    <definedName name="_________________________S1" hidden="1">#REF!</definedName>
    <definedName name="________________________xlnm._FilterDatabase_1">#REF!</definedName>
    <definedName name="_______________________A1" hidden="1">#REF!</definedName>
    <definedName name="_______________________A2" hidden="1">#REF!</definedName>
    <definedName name="_______________________A3" hidden="1">#REF!</definedName>
    <definedName name="_______________________A4" hidden="1">#REF!</definedName>
    <definedName name="_______________________A5" hidden="1">#REF!</definedName>
    <definedName name="_______________________n1" hidden="1">#REF!</definedName>
    <definedName name="_______________________n2" hidden="1">#REF!</definedName>
    <definedName name="_______________________S1" hidden="1">#REF!</definedName>
    <definedName name="______________________xlnm._FilterDatabase_1">#REF!</definedName>
    <definedName name="_____________________A1" hidden="1">#REF!</definedName>
    <definedName name="_____________________A2" hidden="1">#REF!</definedName>
    <definedName name="_____________________A3" hidden="1">#REF!</definedName>
    <definedName name="_____________________A4" hidden="1">#REF!</definedName>
    <definedName name="_____________________A5" hidden="1">#REF!</definedName>
    <definedName name="_____________________n1" hidden="1">#REF!</definedName>
    <definedName name="_____________________n2" hidden="1">#REF!</definedName>
    <definedName name="_____________________S1" hidden="1">#REF!</definedName>
    <definedName name="_____________________xlnm._FilterDatabase_1">#REF!</definedName>
    <definedName name="_____________________xlnm.Print_Area">"#REF!"</definedName>
    <definedName name="____________________xlnm._FilterDatabase_1">#REF!</definedName>
    <definedName name="____________________xlnm.Print_Area">"#REF!"</definedName>
    <definedName name="___________________A1" hidden="1">#REF!</definedName>
    <definedName name="___________________A2" hidden="1">#REF!</definedName>
    <definedName name="___________________A3" hidden="1">#REF!</definedName>
    <definedName name="___________________A4" hidden="1">#REF!</definedName>
    <definedName name="___________________A5" hidden="1">#REF!</definedName>
    <definedName name="___________________n1" hidden="1">#REF!</definedName>
    <definedName name="___________________n2" hidden="1">#REF!</definedName>
    <definedName name="___________________S1" hidden="1">#REF!</definedName>
    <definedName name="___________________xlnm._FilterDatabase_1">#REF!</definedName>
    <definedName name="___________________xlnm.Print_Area">"#REF!"</definedName>
    <definedName name="__________________xlnm._FilterDatabase_1">#REF!</definedName>
    <definedName name="__________________xlnm.Print_Area">"#REF!"</definedName>
    <definedName name="_________________A1" hidden="1">#REF!</definedName>
    <definedName name="_________________A2" hidden="1">#REF!</definedName>
    <definedName name="_________________A3" hidden="1">#REF!</definedName>
    <definedName name="_________________A4" hidden="1">#REF!</definedName>
    <definedName name="_________________A5" hidden="1">#REF!</definedName>
    <definedName name="_________________n1" hidden="1">#REF!</definedName>
    <definedName name="_________________n2" hidden="1">#REF!</definedName>
    <definedName name="_________________S1" hidden="1">#REF!</definedName>
    <definedName name="_________________xlnm._FilterDatabase_1">#REF!</definedName>
    <definedName name="_________________xlnm.Print_Area">"#REF!"</definedName>
    <definedName name="________________xlnm._FilterDatabase_1">#REF!</definedName>
    <definedName name="________________xlnm.Print_Area">"#REF!"</definedName>
    <definedName name="_______________A1" hidden="1">#REF!</definedName>
    <definedName name="_______________A2" hidden="1">#REF!</definedName>
    <definedName name="_______________A3" hidden="1">#REF!</definedName>
    <definedName name="_______________A4" hidden="1">#REF!</definedName>
    <definedName name="_______________A5" hidden="1">#REF!</definedName>
    <definedName name="_______________n1" hidden="1">#REF!</definedName>
    <definedName name="_______________n2" hidden="1">#REF!</definedName>
    <definedName name="_______________P10">#REF!</definedName>
    <definedName name="_______________P11">#REF!</definedName>
    <definedName name="_______________P12">#REF!</definedName>
    <definedName name="_______________P13">#REF!</definedName>
    <definedName name="_______________P14">#REF!</definedName>
    <definedName name="_______________P15">#REF!</definedName>
    <definedName name="_______________P16">#REF!</definedName>
    <definedName name="_______________P17">#REF!</definedName>
    <definedName name="_______________P7">#REF!</definedName>
    <definedName name="_______________P8">#REF!</definedName>
    <definedName name="_______________P9">#REF!</definedName>
    <definedName name="_______________PH1">#REF!</definedName>
    <definedName name="_______________pu1">#REF!</definedName>
    <definedName name="_______________pu11">#REF!</definedName>
    <definedName name="_______________pu12">#REF!</definedName>
    <definedName name="_______________pu2">#REF!</definedName>
    <definedName name="_______________pu3">#REF!</definedName>
    <definedName name="_______________pu4">#REF!</definedName>
    <definedName name="_______________pu5">#REF!</definedName>
    <definedName name="_______________pu6">#REF!</definedName>
    <definedName name="_______________pu8">#REF!</definedName>
    <definedName name="_______________S1" hidden="1">#REF!</definedName>
    <definedName name="_______________Var1">#REF!</definedName>
    <definedName name="_______________WE1">#REF!</definedName>
    <definedName name="_______________WE2">#REF!</definedName>
    <definedName name="_______________WE3">#REF!</definedName>
    <definedName name="_______________WE4">#REF!</definedName>
    <definedName name="_______________WE5">#REF!</definedName>
    <definedName name="_______________WE6">#REF!</definedName>
    <definedName name="_______________WE7">#REF!</definedName>
    <definedName name="_______________WE8">#REF!</definedName>
    <definedName name="_______________WO1">#REF!</definedName>
    <definedName name="_______________WO2">#REF!</definedName>
    <definedName name="_______________WO3">#REF!</definedName>
    <definedName name="_______________WO4">#REF!</definedName>
    <definedName name="_______________WO5">#REF!</definedName>
    <definedName name="_______________WO6">#REF!</definedName>
    <definedName name="_______________WO7">#REF!</definedName>
    <definedName name="_______________WO8">#REF!</definedName>
    <definedName name="_______________WT1">#REF!</definedName>
    <definedName name="_______________WT2">#REF!</definedName>
    <definedName name="_______________WT3">#REF!</definedName>
    <definedName name="_______________WT4">#REF!</definedName>
    <definedName name="_______________WT5">#REF!</definedName>
    <definedName name="_______________WT6">#REF!</definedName>
    <definedName name="_______________WT7">#REF!</definedName>
    <definedName name="_______________WT8">#REF!</definedName>
    <definedName name="_______________xlnm._FilterDatabase_1">#REF!</definedName>
    <definedName name="_______________xlnm.Print_Area">"#REF!"</definedName>
    <definedName name="______________asp2">#REF!</definedName>
    <definedName name="______________F">#REF!</definedName>
    <definedName name="______________pe22">#REF!</definedName>
    <definedName name="______________tll2">#REF!</definedName>
    <definedName name="______________WW1">#REF!</definedName>
    <definedName name="______________WW2">#REF!</definedName>
    <definedName name="______________xlnm.Print_Area">"#REF!"</definedName>
    <definedName name="_____________A1" hidden="1">#REF!</definedName>
    <definedName name="_____________A2" hidden="1">#REF!</definedName>
    <definedName name="_____________A3" hidden="1">#REF!</definedName>
    <definedName name="_____________A4" hidden="1">#REF!</definedName>
    <definedName name="_____________A5" hidden="1">#REF!</definedName>
    <definedName name="_____________n1" hidden="1">#REF!</definedName>
    <definedName name="_____________n2" hidden="1">#REF!</definedName>
    <definedName name="_____________P10">#REF!</definedName>
    <definedName name="_____________P11">#REF!</definedName>
    <definedName name="_____________P12">#REF!</definedName>
    <definedName name="_____________P13">#REF!</definedName>
    <definedName name="_____________P14">#REF!</definedName>
    <definedName name="_____________P15">#REF!</definedName>
    <definedName name="_____________P16">#REF!</definedName>
    <definedName name="_____________P17">#REF!</definedName>
    <definedName name="_____________P7">#REF!</definedName>
    <definedName name="_____________P8">#REF!</definedName>
    <definedName name="_____________P9">#REF!</definedName>
    <definedName name="_____________PH1">#REF!</definedName>
    <definedName name="_____________pu1">#REF!</definedName>
    <definedName name="_____________pu11">#REF!</definedName>
    <definedName name="_____________pu12">#REF!</definedName>
    <definedName name="_____________pu2">#REF!</definedName>
    <definedName name="_____________pu3">#REF!</definedName>
    <definedName name="_____________pu4">#REF!</definedName>
    <definedName name="_____________pu5">#REF!</definedName>
    <definedName name="_____________pu6">#REF!</definedName>
    <definedName name="_____________pu8">#REF!</definedName>
    <definedName name="_____________S1" hidden="1">#REF!</definedName>
    <definedName name="_____________Var1">#REF!</definedName>
    <definedName name="_____________WE1">#REF!</definedName>
    <definedName name="_____________WE2">#REF!</definedName>
    <definedName name="_____________WE3">#REF!</definedName>
    <definedName name="_____________WE4">#REF!</definedName>
    <definedName name="_____________WE5">#REF!</definedName>
    <definedName name="_____________WE6">#REF!</definedName>
    <definedName name="_____________WE7">#REF!</definedName>
    <definedName name="_____________WE8">#REF!</definedName>
    <definedName name="_____________WO1">#REF!</definedName>
    <definedName name="_____________WO2">#REF!</definedName>
    <definedName name="_____________WO3">#REF!</definedName>
    <definedName name="_____________WO4">#REF!</definedName>
    <definedName name="_____________WO5">#REF!</definedName>
    <definedName name="_____________WO6">#REF!</definedName>
    <definedName name="_____________WO7">#REF!</definedName>
    <definedName name="_____________WO8">#REF!</definedName>
    <definedName name="_____________WT1">#REF!</definedName>
    <definedName name="_____________WT2">#REF!</definedName>
    <definedName name="_____________WT3">#REF!</definedName>
    <definedName name="_____________WT4">#REF!</definedName>
    <definedName name="_____________WT5">#REF!</definedName>
    <definedName name="_____________WT6">#REF!</definedName>
    <definedName name="_____________WT7">#REF!</definedName>
    <definedName name="_____________WT8">#REF!</definedName>
    <definedName name="_____________xlnm._FilterDatabase_1">#REF!</definedName>
    <definedName name="_____________xlnm.Print_Area">"#REF!"</definedName>
    <definedName name="____________A1" hidden="1">#REF!</definedName>
    <definedName name="____________A2" hidden="1">#REF!</definedName>
    <definedName name="____________A3" hidden="1">#REF!</definedName>
    <definedName name="____________A4" hidden="1">#REF!</definedName>
    <definedName name="____________A5" hidden="1">#REF!</definedName>
    <definedName name="____________asp2">#REF!</definedName>
    <definedName name="____________F">#REF!</definedName>
    <definedName name="____________n1" hidden="1">#REF!</definedName>
    <definedName name="____________n2" hidden="1">#REF!</definedName>
    <definedName name="____________P10">#REF!</definedName>
    <definedName name="____________P11">#REF!</definedName>
    <definedName name="____________P12">#REF!</definedName>
    <definedName name="____________P13">#REF!</definedName>
    <definedName name="____________P14">#REF!</definedName>
    <definedName name="____________P15">#REF!</definedName>
    <definedName name="____________P16">#REF!</definedName>
    <definedName name="____________P17">#REF!</definedName>
    <definedName name="____________P7">#REF!</definedName>
    <definedName name="____________P8">#REF!</definedName>
    <definedName name="____________P9">#REF!</definedName>
    <definedName name="____________pe22">#REF!</definedName>
    <definedName name="____________PH1">#REF!</definedName>
    <definedName name="____________pu1">#REF!</definedName>
    <definedName name="____________pu11">#REF!</definedName>
    <definedName name="____________pu12">#REF!</definedName>
    <definedName name="____________pu2">#REF!</definedName>
    <definedName name="____________pu3">#REF!</definedName>
    <definedName name="____________pu4">#REF!</definedName>
    <definedName name="____________pu5">#REF!</definedName>
    <definedName name="____________pu6">#REF!</definedName>
    <definedName name="____________pu8">#REF!</definedName>
    <definedName name="____________S1" hidden="1">#REF!</definedName>
    <definedName name="____________tll2">#REF!</definedName>
    <definedName name="____________Var1">#REF!</definedName>
    <definedName name="____________WE1">#REF!</definedName>
    <definedName name="____________WE2">#REF!</definedName>
    <definedName name="____________WE3">#REF!</definedName>
    <definedName name="____________WE4">#REF!</definedName>
    <definedName name="____________WE5">#REF!</definedName>
    <definedName name="____________WE6">#REF!</definedName>
    <definedName name="____________WE7">#REF!</definedName>
    <definedName name="____________WE8">#REF!</definedName>
    <definedName name="____________WO1">#REF!</definedName>
    <definedName name="____________WO2">#REF!</definedName>
    <definedName name="____________WO3">#REF!</definedName>
    <definedName name="____________WO4">#REF!</definedName>
    <definedName name="____________WO5">#REF!</definedName>
    <definedName name="____________WO6">#REF!</definedName>
    <definedName name="____________WO7">#REF!</definedName>
    <definedName name="____________WO8">#REF!</definedName>
    <definedName name="____________WT1">#REF!</definedName>
    <definedName name="____________WT2">#REF!</definedName>
    <definedName name="____________WT3">#REF!</definedName>
    <definedName name="____________WT4">#REF!</definedName>
    <definedName name="____________WT5">#REF!</definedName>
    <definedName name="____________WT6">#REF!</definedName>
    <definedName name="____________WT7">#REF!</definedName>
    <definedName name="____________WT8">#REF!</definedName>
    <definedName name="____________WW1">#REF!</definedName>
    <definedName name="____________WW2">#REF!</definedName>
    <definedName name="____________xlnm.Print_Area">"#REF!"</definedName>
    <definedName name="___________A1" hidden="1">#REF!</definedName>
    <definedName name="___________A2" hidden="1">#REF!</definedName>
    <definedName name="___________A3" hidden="1">#REF!</definedName>
    <definedName name="___________A4" hidden="1">#REF!</definedName>
    <definedName name="___________A5" hidden="1">#REF!</definedName>
    <definedName name="___________ACC53">#REF!</definedName>
    <definedName name="___________ACC54">#REF!</definedName>
    <definedName name="___________ACC56">#REF!</definedName>
    <definedName name="___________asp2">#REF!</definedName>
    <definedName name="___________BUT38">#REF!</definedName>
    <definedName name="___________BUT78">#REF!</definedName>
    <definedName name="___________CON221">#REF!</definedName>
    <definedName name="___________EJE01">#REF!</definedName>
    <definedName name="___________EJE02">#REF!</definedName>
    <definedName name="___________EJE03">#REF!</definedName>
    <definedName name="___________ELL45">#REF!</definedName>
    <definedName name="___________ELL90">#REF!</definedName>
    <definedName name="___________F">#REF!</definedName>
    <definedName name="___________F15p">#REF!</definedName>
    <definedName name="___________fc">#REF!</definedName>
    <definedName name="___________HOW2">#REF!</definedName>
    <definedName name="___________Ind1">#REF!</definedName>
    <definedName name="___________Ind2">#REF!</definedName>
    <definedName name="___________Ind3">#REF!</definedName>
    <definedName name="___________Ind4">#REF!</definedName>
    <definedName name="___________Ind5">#REF!</definedName>
    <definedName name="___________MAT1">#REF!</definedName>
    <definedName name="___________n1" hidden="1">#REF!</definedName>
    <definedName name="___________n2" hidden="1">#REF!</definedName>
    <definedName name="___________P1">#REF!</definedName>
    <definedName name="___________P2">#REF!</definedName>
    <definedName name="___________P3">#REF!</definedName>
    <definedName name="___________P4">#REF!</definedName>
    <definedName name="___________P5">#REF!</definedName>
    <definedName name="___________P6">#REF!</definedName>
    <definedName name="___________pe22">#REF!</definedName>
    <definedName name="___________RE100">#REF!</definedName>
    <definedName name="___________RE104">#REF!</definedName>
    <definedName name="___________RE112">#REF!</definedName>
    <definedName name="___________RE26">#REF!</definedName>
    <definedName name="___________RE28">#REF!</definedName>
    <definedName name="___________RE30">#REF!</definedName>
    <definedName name="___________RE32">#REF!</definedName>
    <definedName name="___________RE34">#REF!</definedName>
    <definedName name="___________RE36">#REF!</definedName>
    <definedName name="___________RE38">#REF!</definedName>
    <definedName name="___________RE40">#REF!</definedName>
    <definedName name="___________RE42">#REF!</definedName>
    <definedName name="___________RE44">#REF!</definedName>
    <definedName name="___________RE48">#REF!</definedName>
    <definedName name="___________RE52">#REF!</definedName>
    <definedName name="___________RE56">#REF!</definedName>
    <definedName name="___________RE60">#REF!</definedName>
    <definedName name="___________RE64">#REF!</definedName>
    <definedName name="___________RE68">#REF!</definedName>
    <definedName name="___________RE72">#REF!</definedName>
    <definedName name="___________RE76">#REF!</definedName>
    <definedName name="___________RE80">#REF!</definedName>
    <definedName name="___________RE88">#REF!</definedName>
    <definedName name="___________RE92">#REF!</definedName>
    <definedName name="___________RE96">#REF!</definedName>
    <definedName name="___________RES1">#REF!</definedName>
    <definedName name="___________RES2">#REF!</definedName>
    <definedName name="___________S1" hidden="1">#REF!</definedName>
    <definedName name="___________ST311">#REF!</definedName>
    <definedName name="___________ST312">#REF!</definedName>
    <definedName name="___________ST32">#REF!</definedName>
    <definedName name="___________TCA704">#REF!</definedName>
    <definedName name="___________tgt25">#REF!</definedName>
    <definedName name="___________tll2">#REF!</definedName>
    <definedName name="___________TOR10">#REF!</definedName>
    <definedName name="___________TOR14">#REF!</definedName>
    <definedName name="___________TR4">#REF!</definedName>
    <definedName name="___________WW1">#REF!</definedName>
    <definedName name="___________WW2">#REF!</definedName>
    <definedName name="___________xlnm._FilterDatabase_1">#REF!</definedName>
    <definedName name="___________xlnm.Print_Area">"#REF!"</definedName>
    <definedName name="__________A1" hidden="1">#REF!</definedName>
    <definedName name="__________A2" hidden="1">#REF!</definedName>
    <definedName name="__________A3" hidden="1">#REF!</definedName>
    <definedName name="__________A4" hidden="1">#REF!</definedName>
    <definedName name="__________A5" hidden="1">#REF!</definedName>
    <definedName name="__________ACC53">#REF!</definedName>
    <definedName name="__________ACC54">#REF!</definedName>
    <definedName name="__________ACC56">#REF!</definedName>
    <definedName name="__________BUT38">#REF!</definedName>
    <definedName name="__________BUT78">#REF!</definedName>
    <definedName name="__________CON221">#REF!</definedName>
    <definedName name="__________dsq1">#REF!</definedName>
    <definedName name="__________dsq2">#REF!</definedName>
    <definedName name="__________dsq3">#REF!</definedName>
    <definedName name="__________dsq4">#REF!</definedName>
    <definedName name="__________dsq5">#REF!</definedName>
    <definedName name="__________EJE01">#REF!</definedName>
    <definedName name="__________EJE02">#REF!</definedName>
    <definedName name="__________EJE03">#REF!</definedName>
    <definedName name="__________ELL45">#REF!</definedName>
    <definedName name="__________ELL90">#REF!</definedName>
    <definedName name="__________eps1">#REF!</definedName>
    <definedName name="__________eps21">#REF!</definedName>
    <definedName name="__________eps22">#REF!</definedName>
    <definedName name="__________F">#REF!</definedName>
    <definedName name="__________F15p">#REF!</definedName>
    <definedName name="__________fc">#REF!</definedName>
    <definedName name="__________fct1">#REF!</definedName>
    <definedName name="__________GO1">#REF!</definedName>
    <definedName name="__________GO2">#REF!</definedName>
    <definedName name="__________go3">#REF!</definedName>
    <definedName name="__________HED2">#REF!</definedName>
    <definedName name="__________HOW2">#REF!</definedName>
    <definedName name="__________Ind1">#REF!</definedName>
    <definedName name="__________Ind2">#REF!</definedName>
    <definedName name="__________Ind3">#REF!</definedName>
    <definedName name="__________Ind4">#REF!</definedName>
    <definedName name="__________Ind5">#REF!</definedName>
    <definedName name="__________MAT1">#REF!</definedName>
    <definedName name="__________mcv1">#REF!</definedName>
    <definedName name="__________mcv2">#REF!</definedName>
    <definedName name="__________mcv3">#REF!</definedName>
    <definedName name="__________mcv4">#REF!</definedName>
    <definedName name="__________mcv5">#REF!</definedName>
    <definedName name="__________mhw1">#REF!</definedName>
    <definedName name="__________mvw1">#REF!</definedName>
    <definedName name="__________n1" hidden="1">#REF!</definedName>
    <definedName name="__________n2" hidden="1">#REF!</definedName>
    <definedName name="__________P1">#REF!</definedName>
    <definedName name="__________P10">#REF!</definedName>
    <definedName name="__________P11">#REF!</definedName>
    <definedName name="__________P12">#REF!</definedName>
    <definedName name="__________P13">#REF!</definedName>
    <definedName name="__________P14">#REF!</definedName>
    <definedName name="__________P15">#REF!</definedName>
    <definedName name="__________P16">#REF!</definedName>
    <definedName name="__________P17">#REF!</definedName>
    <definedName name="__________P2">#REF!</definedName>
    <definedName name="__________P3">#REF!</definedName>
    <definedName name="__________P4">#REF!</definedName>
    <definedName name="__________P5">#REF!</definedName>
    <definedName name="__________P6">#REF!</definedName>
    <definedName name="__________P7">#REF!</definedName>
    <definedName name="__________P8">#REF!</definedName>
    <definedName name="__________P9">#REF!</definedName>
    <definedName name="__________pcd1">#REF!</definedName>
    <definedName name="__________pcd2">#REF!</definedName>
    <definedName name="__________pe11">#REF!</definedName>
    <definedName name="__________PH1">#REF!</definedName>
    <definedName name="__________pu1">#REF!</definedName>
    <definedName name="__________pu11">#REF!</definedName>
    <definedName name="__________pu12">#REF!</definedName>
    <definedName name="__________pu2">#REF!</definedName>
    <definedName name="__________pu3">#REF!</definedName>
    <definedName name="__________pu4">#REF!</definedName>
    <definedName name="__________pu5">#REF!</definedName>
    <definedName name="__________pu6">#REF!</definedName>
    <definedName name="__________pu8">#REF!</definedName>
    <definedName name="__________QTY1">#REF!</definedName>
    <definedName name="__________qu1">#REF!</definedName>
    <definedName name="__________qu2">#REF!</definedName>
    <definedName name="__________RE100">#REF!</definedName>
    <definedName name="__________RE104">#REF!</definedName>
    <definedName name="__________RE112">#REF!</definedName>
    <definedName name="__________RE26">#REF!</definedName>
    <definedName name="__________RE28">#REF!</definedName>
    <definedName name="__________RE30">#REF!</definedName>
    <definedName name="__________RE32">#REF!</definedName>
    <definedName name="__________RE34">#REF!</definedName>
    <definedName name="__________RE36">#REF!</definedName>
    <definedName name="__________RE38">#REF!</definedName>
    <definedName name="__________RE40">#REF!</definedName>
    <definedName name="__________RE42">#REF!</definedName>
    <definedName name="__________RE44">#REF!</definedName>
    <definedName name="__________RE48">#REF!</definedName>
    <definedName name="__________RE52">#REF!</definedName>
    <definedName name="__________RE56">#REF!</definedName>
    <definedName name="__________RE60">#REF!</definedName>
    <definedName name="__________RE64">#REF!</definedName>
    <definedName name="__________RE68">#REF!</definedName>
    <definedName name="__________RE72">#REF!</definedName>
    <definedName name="__________RE76">#REF!</definedName>
    <definedName name="__________RE80">#REF!</definedName>
    <definedName name="__________RE88">#REF!</definedName>
    <definedName name="__________RE92">#REF!</definedName>
    <definedName name="__________RE96">#REF!</definedName>
    <definedName name="__________RES1">#REF!</definedName>
    <definedName name="__________RES2">#REF!</definedName>
    <definedName name="__________rev1">#REF!</definedName>
    <definedName name="__________rev3">#REF!</definedName>
    <definedName name="__________rev4">#REF!</definedName>
    <definedName name="__________rev5">#REF!</definedName>
    <definedName name="__________rev6">#REF!</definedName>
    <definedName name="__________S1" hidden="1">#REF!</definedName>
    <definedName name="__________ST311">#REF!</definedName>
    <definedName name="__________ST312">#REF!</definedName>
    <definedName name="__________ST32">#REF!</definedName>
    <definedName name="__________TCA704">#REF!</definedName>
    <definedName name="__________tdl2">#REF!</definedName>
    <definedName name="__________tgt25">#REF!</definedName>
    <definedName name="__________TOR10">#REF!</definedName>
    <definedName name="__________TOR14">#REF!</definedName>
    <definedName name="__________TR4">#REF!</definedName>
    <definedName name="__________tri11">#REF!</definedName>
    <definedName name="__________tri12">#REF!</definedName>
    <definedName name="__________tri13">#REF!</definedName>
    <definedName name="__________tri14">#REF!</definedName>
    <definedName name="__________tri15">#REF!</definedName>
    <definedName name="__________tri22">#REF!</definedName>
    <definedName name="__________tri23">#REF!</definedName>
    <definedName name="__________tri24">#REF!</definedName>
    <definedName name="__________tri25">#REF!</definedName>
    <definedName name="__________tri32">#REF!</definedName>
    <definedName name="__________tri33">#REF!</definedName>
    <definedName name="__________tri34">#REF!</definedName>
    <definedName name="__________tri35">#REF!</definedName>
    <definedName name="__________tri42">#REF!</definedName>
    <definedName name="__________tri43">#REF!</definedName>
    <definedName name="__________tri44">#REF!</definedName>
    <definedName name="__________tri45">#REF!</definedName>
    <definedName name="__________Var1">#REF!</definedName>
    <definedName name="__________vhw1">#REF!</definedName>
    <definedName name="__________vvw1">#REF!</definedName>
    <definedName name="__________wcv1">#REF!</definedName>
    <definedName name="__________wcv2">#REF!</definedName>
    <definedName name="__________wcv3">#REF!</definedName>
    <definedName name="__________wcv4">#REF!</definedName>
    <definedName name="__________wcv5">#REF!</definedName>
    <definedName name="__________WE1">#REF!</definedName>
    <definedName name="__________WE2">#REF!</definedName>
    <definedName name="__________WE3">#REF!</definedName>
    <definedName name="__________WE4">#REF!</definedName>
    <definedName name="__________WE5">#REF!</definedName>
    <definedName name="__________WE6">#REF!</definedName>
    <definedName name="__________WE7">#REF!</definedName>
    <definedName name="__________WE8">#REF!</definedName>
    <definedName name="__________WO1">#REF!</definedName>
    <definedName name="__________WO2">#REF!</definedName>
    <definedName name="__________WO3">#REF!</definedName>
    <definedName name="__________WO4">#REF!</definedName>
    <definedName name="__________WO5">#REF!</definedName>
    <definedName name="__________WO6">#REF!</definedName>
    <definedName name="__________WO7">#REF!</definedName>
    <definedName name="__________WO8">#REF!</definedName>
    <definedName name="__________WT1">#REF!</definedName>
    <definedName name="__________WT2">#REF!</definedName>
    <definedName name="__________WT3">#REF!</definedName>
    <definedName name="__________WT4">#REF!</definedName>
    <definedName name="__________WT5">#REF!</definedName>
    <definedName name="__________WT6">#REF!</definedName>
    <definedName name="__________WT7">#REF!</definedName>
    <definedName name="__________WT8">#REF!</definedName>
    <definedName name="__________xlnm.Print_Area">"#REF!"</definedName>
    <definedName name="__________zz1">#REF!</definedName>
    <definedName name="__________zz2">#REF!</definedName>
    <definedName name="__________zz3">#REF!</definedName>
    <definedName name="_________A1" hidden="1">#REF!</definedName>
    <definedName name="_________A2" hidden="1">#REF!</definedName>
    <definedName name="_________A3" hidden="1">#REF!</definedName>
    <definedName name="_________A4" hidden="1">#REF!</definedName>
    <definedName name="_________A5" hidden="1">#REF!</definedName>
    <definedName name="_________ACC53">#REF!</definedName>
    <definedName name="_________ACC54">#REF!</definedName>
    <definedName name="_________ACC56">#REF!</definedName>
    <definedName name="_________asp2">#REF!</definedName>
    <definedName name="_________BUT38">#REF!</definedName>
    <definedName name="_________BUT78">#REF!</definedName>
    <definedName name="_________CON221">#REF!</definedName>
    <definedName name="_________dsq1">#REF!</definedName>
    <definedName name="_________dsq2">#REF!</definedName>
    <definedName name="_________dsq3">#REF!</definedName>
    <definedName name="_________dsq4">#REF!</definedName>
    <definedName name="_________dsq5">#REF!</definedName>
    <definedName name="_________EJE01">#REF!</definedName>
    <definedName name="_________EJE02">#REF!</definedName>
    <definedName name="_________EJE03">#REF!</definedName>
    <definedName name="_________ELL45">#REF!</definedName>
    <definedName name="_________ELL90">#REF!</definedName>
    <definedName name="_________eps1">#REF!</definedName>
    <definedName name="_________eps21">#REF!</definedName>
    <definedName name="_________eps22">#REF!</definedName>
    <definedName name="_________F">#REF!</definedName>
    <definedName name="_________F15p">#REF!</definedName>
    <definedName name="_________fc">#REF!</definedName>
    <definedName name="_________fct1">#REF!</definedName>
    <definedName name="_________GO1">#REF!</definedName>
    <definedName name="_________GO2">#REF!</definedName>
    <definedName name="_________go3">#REF!</definedName>
    <definedName name="_________HED2">#REF!</definedName>
    <definedName name="_________HOW2">#REF!</definedName>
    <definedName name="_________Ind1">#REF!</definedName>
    <definedName name="_________Ind2">#REF!</definedName>
    <definedName name="_________Ind3">#REF!</definedName>
    <definedName name="_________Ind4">#REF!</definedName>
    <definedName name="_________Ind5">#REF!</definedName>
    <definedName name="_________MAT1">#REF!</definedName>
    <definedName name="_________mcv1">#REF!</definedName>
    <definedName name="_________mcv2">#REF!</definedName>
    <definedName name="_________mcv3">#REF!</definedName>
    <definedName name="_________mcv4">#REF!</definedName>
    <definedName name="_________mcv5">#REF!</definedName>
    <definedName name="_________mhw1">#REF!</definedName>
    <definedName name="_________mvw1">#REF!</definedName>
    <definedName name="_________n1" hidden="1">#REF!</definedName>
    <definedName name="_________n2" hidden="1">#REF!</definedName>
    <definedName name="_________P1">#REF!</definedName>
    <definedName name="_________P10">#REF!</definedName>
    <definedName name="_________P11">#REF!</definedName>
    <definedName name="_________P12">#REF!</definedName>
    <definedName name="_________P13">#REF!</definedName>
    <definedName name="_________P14">#REF!</definedName>
    <definedName name="_________P15">#REF!</definedName>
    <definedName name="_________P16">#REF!</definedName>
    <definedName name="_________P17">#REF!</definedName>
    <definedName name="_________P2">#REF!</definedName>
    <definedName name="_________P3">#REF!</definedName>
    <definedName name="_________P4">#REF!</definedName>
    <definedName name="_________P5">#REF!</definedName>
    <definedName name="_________P6">#REF!</definedName>
    <definedName name="_________P7">#REF!</definedName>
    <definedName name="_________P8">#REF!</definedName>
    <definedName name="_________P9">#REF!</definedName>
    <definedName name="_________pcd1">#REF!</definedName>
    <definedName name="_________pcd2">#REF!</definedName>
    <definedName name="_________pe11">#REF!</definedName>
    <definedName name="_________pe22">#REF!</definedName>
    <definedName name="_________PH1">#REF!</definedName>
    <definedName name="_________pu1">#REF!</definedName>
    <definedName name="_________pu11">#REF!</definedName>
    <definedName name="_________pu12">#REF!</definedName>
    <definedName name="_________pu2">#REF!</definedName>
    <definedName name="_________pu3">#REF!</definedName>
    <definedName name="_________pu4">#REF!</definedName>
    <definedName name="_________pu5">#REF!</definedName>
    <definedName name="_________pu6">#REF!</definedName>
    <definedName name="_________pu8">#REF!</definedName>
    <definedName name="_________QTY1">#REF!</definedName>
    <definedName name="_________qu1">#REF!</definedName>
    <definedName name="_________qu2">#REF!</definedName>
    <definedName name="_________RE100">#REF!</definedName>
    <definedName name="_________RE104">#REF!</definedName>
    <definedName name="_________RE112">#REF!</definedName>
    <definedName name="_________RE26">#REF!</definedName>
    <definedName name="_________RE28">#REF!</definedName>
    <definedName name="_________RE30">#REF!</definedName>
    <definedName name="_________RE32">#REF!</definedName>
    <definedName name="_________RE34">#REF!</definedName>
    <definedName name="_________RE36">#REF!</definedName>
    <definedName name="_________RE38">#REF!</definedName>
    <definedName name="_________RE40">#REF!</definedName>
    <definedName name="_________RE42">#REF!</definedName>
    <definedName name="_________RE44">#REF!</definedName>
    <definedName name="_________RE48">#REF!</definedName>
    <definedName name="_________RE52">#REF!</definedName>
    <definedName name="_________RE56">#REF!</definedName>
    <definedName name="_________RE60">#REF!</definedName>
    <definedName name="_________RE64">#REF!</definedName>
    <definedName name="_________RE68">#REF!</definedName>
    <definedName name="_________RE72">#REF!</definedName>
    <definedName name="_________RE76">#REF!</definedName>
    <definedName name="_________RE80">#REF!</definedName>
    <definedName name="_________RE88">#REF!</definedName>
    <definedName name="_________RE92">#REF!</definedName>
    <definedName name="_________RE96">#REF!</definedName>
    <definedName name="_________RES1">#REF!</definedName>
    <definedName name="_________RES2">#REF!</definedName>
    <definedName name="_________rev1">#REF!</definedName>
    <definedName name="_________rev3">#REF!</definedName>
    <definedName name="_________rev4">#REF!</definedName>
    <definedName name="_________rev5">#REF!</definedName>
    <definedName name="_________rev6">#REF!</definedName>
    <definedName name="_________S1" hidden="1">#REF!</definedName>
    <definedName name="_________ST311">#REF!</definedName>
    <definedName name="_________ST312">#REF!</definedName>
    <definedName name="_________ST32">#REF!</definedName>
    <definedName name="_________TCA704">#REF!</definedName>
    <definedName name="_________tdl2">#REF!</definedName>
    <definedName name="_________tgt25">#REF!</definedName>
    <definedName name="_________tll2">#REF!</definedName>
    <definedName name="_________TOR10">#REF!</definedName>
    <definedName name="_________TOR14">#REF!</definedName>
    <definedName name="_________TR4">#REF!</definedName>
    <definedName name="_________tri11">#REF!</definedName>
    <definedName name="_________tri12">#REF!</definedName>
    <definedName name="_________tri13">#REF!</definedName>
    <definedName name="_________tri14">#REF!</definedName>
    <definedName name="_________tri15">#REF!</definedName>
    <definedName name="_________tri22">#REF!</definedName>
    <definedName name="_________tri23">#REF!</definedName>
    <definedName name="_________tri24">#REF!</definedName>
    <definedName name="_________tri25">#REF!</definedName>
    <definedName name="_________tri32">#REF!</definedName>
    <definedName name="_________tri33">#REF!</definedName>
    <definedName name="_________tri34">#REF!</definedName>
    <definedName name="_________tri35">#REF!</definedName>
    <definedName name="_________tri42">#REF!</definedName>
    <definedName name="_________tri43">#REF!</definedName>
    <definedName name="_________tri44">#REF!</definedName>
    <definedName name="_________tri45">#REF!</definedName>
    <definedName name="_________Var1">#REF!</definedName>
    <definedName name="_________vhw1">#REF!</definedName>
    <definedName name="_________vvw1">#REF!</definedName>
    <definedName name="_________wcv1">#REF!</definedName>
    <definedName name="_________wcv2">#REF!</definedName>
    <definedName name="_________wcv3">#REF!</definedName>
    <definedName name="_________wcv4">#REF!</definedName>
    <definedName name="_________wcv5">#REF!</definedName>
    <definedName name="_________WE1">#REF!</definedName>
    <definedName name="_________WE2">#REF!</definedName>
    <definedName name="_________WE3">#REF!</definedName>
    <definedName name="_________WE4">#REF!</definedName>
    <definedName name="_________WE5">#REF!</definedName>
    <definedName name="_________WE6">#REF!</definedName>
    <definedName name="_________WE7">#REF!</definedName>
    <definedName name="_________WE8">#REF!</definedName>
    <definedName name="_________WO1">#REF!</definedName>
    <definedName name="_________WO2">#REF!</definedName>
    <definedName name="_________WO3">#REF!</definedName>
    <definedName name="_________WO4">#REF!</definedName>
    <definedName name="_________WO5">#REF!</definedName>
    <definedName name="_________WO6">#REF!</definedName>
    <definedName name="_________WO7">#REF!</definedName>
    <definedName name="_________WO8">#REF!</definedName>
    <definedName name="_________WT1">#REF!</definedName>
    <definedName name="_________WT2">#REF!</definedName>
    <definedName name="_________WT3">#REF!</definedName>
    <definedName name="_________WT4">#REF!</definedName>
    <definedName name="_________WT5">#REF!</definedName>
    <definedName name="_________WT6">#REF!</definedName>
    <definedName name="_________WT7">#REF!</definedName>
    <definedName name="_________WT8">#REF!</definedName>
    <definedName name="_________WW1">#REF!</definedName>
    <definedName name="_________WW2">#REF!</definedName>
    <definedName name="_________xlnm._FilterDatabase_1">#REF!</definedName>
    <definedName name="_________xlnm.Print_Area">"#REF!"</definedName>
    <definedName name="_________zz1">#REF!</definedName>
    <definedName name="_________zz2">#REF!</definedName>
    <definedName name="_________zz3">#REF!</definedName>
    <definedName name="________A1" hidden="1">#REF!</definedName>
    <definedName name="________A2" hidden="1">#REF!</definedName>
    <definedName name="________A3" hidden="1">#REF!</definedName>
    <definedName name="________A4" hidden="1">#REF!</definedName>
    <definedName name="________A5" hidden="1">#REF!</definedName>
    <definedName name="________ACC53">#REF!</definedName>
    <definedName name="________ACC54">#REF!</definedName>
    <definedName name="________ACC56">#REF!</definedName>
    <definedName name="________asp2">#REF!</definedName>
    <definedName name="________BUT38">#REF!</definedName>
    <definedName name="________BUT78">#REF!</definedName>
    <definedName name="________CON221">#REF!</definedName>
    <definedName name="________dsq1">#REF!</definedName>
    <definedName name="________dsq2">#REF!</definedName>
    <definedName name="________dsq3">#REF!</definedName>
    <definedName name="________dsq4">#REF!</definedName>
    <definedName name="________dsq5">#REF!</definedName>
    <definedName name="________EJE01">#REF!</definedName>
    <definedName name="________EJE02">#REF!</definedName>
    <definedName name="________EJE03">#REF!</definedName>
    <definedName name="________ELL45">#REF!</definedName>
    <definedName name="________ELL90">#REF!</definedName>
    <definedName name="________eps1">#REF!</definedName>
    <definedName name="________eps21">#REF!</definedName>
    <definedName name="________eps22">#REF!</definedName>
    <definedName name="________F">#REF!</definedName>
    <definedName name="________F15p">#REF!</definedName>
    <definedName name="________fc">#REF!</definedName>
    <definedName name="________fct1">#REF!</definedName>
    <definedName name="________GO1">#REF!</definedName>
    <definedName name="________GO2">#REF!</definedName>
    <definedName name="________go3">#REF!</definedName>
    <definedName name="________HED2">#REF!</definedName>
    <definedName name="________HOW2">#REF!</definedName>
    <definedName name="________Ind1">#REF!</definedName>
    <definedName name="________Ind2">#REF!</definedName>
    <definedName name="________Ind3">#REF!</definedName>
    <definedName name="________Ind4">#REF!</definedName>
    <definedName name="________Ind5">#REF!</definedName>
    <definedName name="________MAT1">#REF!</definedName>
    <definedName name="________mcv1">#REF!</definedName>
    <definedName name="________mcv2">#REF!</definedName>
    <definedName name="________mcv3">#REF!</definedName>
    <definedName name="________mcv4">#REF!</definedName>
    <definedName name="________mcv5">#REF!</definedName>
    <definedName name="________mhw1">#REF!</definedName>
    <definedName name="________mvw1">#REF!</definedName>
    <definedName name="________n1" hidden="1">#REF!</definedName>
    <definedName name="________n2" hidden="1">#REF!</definedName>
    <definedName name="________P1">#REF!</definedName>
    <definedName name="________P2">#REF!</definedName>
    <definedName name="________P3">#REF!</definedName>
    <definedName name="________P4">#REF!</definedName>
    <definedName name="________P5">#REF!</definedName>
    <definedName name="________P6">#REF!</definedName>
    <definedName name="________pcd1">#REF!</definedName>
    <definedName name="________pcd2">#REF!</definedName>
    <definedName name="________pe11">#REF!</definedName>
    <definedName name="________pe22">#REF!</definedName>
    <definedName name="________QTY1">#REF!</definedName>
    <definedName name="________qu1">#REF!</definedName>
    <definedName name="________qu2">#REF!</definedName>
    <definedName name="________RE100">#REF!</definedName>
    <definedName name="________RE104">#REF!</definedName>
    <definedName name="________RE112">#REF!</definedName>
    <definedName name="________RE26">#REF!</definedName>
    <definedName name="________RE28">#REF!</definedName>
    <definedName name="________RE30">#REF!</definedName>
    <definedName name="________RE32">#REF!</definedName>
    <definedName name="________RE34">#REF!</definedName>
    <definedName name="________RE36">#REF!</definedName>
    <definedName name="________RE38">#REF!</definedName>
    <definedName name="________RE40">#REF!</definedName>
    <definedName name="________RE42">#REF!</definedName>
    <definedName name="________RE44">#REF!</definedName>
    <definedName name="________RE48">#REF!</definedName>
    <definedName name="________RE52">#REF!</definedName>
    <definedName name="________RE56">#REF!</definedName>
    <definedName name="________RE60">#REF!</definedName>
    <definedName name="________RE64">#REF!</definedName>
    <definedName name="________RE68">#REF!</definedName>
    <definedName name="________RE72">#REF!</definedName>
    <definedName name="________RE76">#REF!</definedName>
    <definedName name="________RE80">#REF!</definedName>
    <definedName name="________RE88">#REF!</definedName>
    <definedName name="________RE92">#REF!</definedName>
    <definedName name="________RE96">#REF!</definedName>
    <definedName name="________RES1">#REF!</definedName>
    <definedName name="________RES2">#REF!</definedName>
    <definedName name="________rev1">#REF!</definedName>
    <definedName name="________rev3">#REF!</definedName>
    <definedName name="________rev4">#REF!</definedName>
    <definedName name="________rev5">#REF!</definedName>
    <definedName name="________rev6">#REF!</definedName>
    <definedName name="________S1" hidden="1">#REF!</definedName>
    <definedName name="________ST311">#REF!</definedName>
    <definedName name="________ST312">#REF!</definedName>
    <definedName name="________ST32">#REF!</definedName>
    <definedName name="________TCA704">#REF!</definedName>
    <definedName name="________tdl2">#REF!</definedName>
    <definedName name="________tgt25">#REF!</definedName>
    <definedName name="________tll2">#REF!</definedName>
    <definedName name="________TOR10">#REF!</definedName>
    <definedName name="________TOR14">#REF!</definedName>
    <definedName name="________TP001">#REF!</definedName>
    <definedName name="________TP002">#REF!</definedName>
    <definedName name="________TP003">#REF!</definedName>
    <definedName name="________TP004">#REF!</definedName>
    <definedName name="________TP005">#REF!</definedName>
    <definedName name="________TP006">#REF!</definedName>
    <definedName name="________TP007">#REF!</definedName>
    <definedName name="________TP008">#REF!</definedName>
    <definedName name="________TP009">#REF!</definedName>
    <definedName name="________TP010">#REF!</definedName>
    <definedName name="________TP011">#REF!</definedName>
    <definedName name="________TP013">#REF!</definedName>
    <definedName name="________TP014">#REF!</definedName>
    <definedName name="________TP015">#REF!</definedName>
    <definedName name="________TP016">#REF!</definedName>
    <definedName name="________TR4">#REF!</definedName>
    <definedName name="________tri11">#REF!</definedName>
    <definedName name="________tri12">#REF!</definedName>
    <definedName name="________tri13">#REF!</definedName>
    <definedName name="________tri14">#REF!</definedName>
    <definedName name="________tri15">#REF!</definedName>
    <definedName name="________tri22">#REF!</definedName>
    <definedName name="________tri23">#REF!</definedName>
    <definedName name="________tri24">#REF!</definedName>
    <definedName name="________tri25">#REF!</definedName>
    <definedName name="________tri32">#REF!</definedName>
    <definedName name="________tri33">#REF!</definedName>
    <definedName name="________tri34">#REF!</definedName>
    <definedName name="________tri35">#REF!</definedName>
    <definedName name="________tri42">#REF!</definedName>
    <definedName name="________tri43">#REF!</definedName>
    <definedName name="________tri44">#REF!</definedName>
    <definedName name="________tri45">#REF!</definedName>
    <definedName name="________Var1">#REF!</definedName>
    <definedName name="________vhw1">#REF!</definedName>
    <definedName name="________vvw1">#REF!</definedName>
    <definedName name="________wcv1">#REF!</definedName>
    <definedName name="________wcv2">#REF!</definedName>
    <definedName name="________wcv3">#REF!</definedName>
    <definedName name="________wcv4">#REF!</definedName>
    <definedName name="________wcv5">#REF!</definedName>
    <definedName name="________WW1">#REF!</definedName>
    <definedName name="________WW2">#REF!</definedName>
    <definedName name="________xlnm._FilterDatabase_1">#REF!</definedName>
    <definedName name="________xlnm.Print_Area">"#REF!"</definedName>
    <definedName name="________zz1">#REF!</definedName>
    <definedName name="________zz2">#REF!</definedName>
    <definedName name="________zz3">#REF!</definedName>
    <definedName name="_______A1" hidden="1">#REF!</definedName>
    <definedName name="_______A2" hidden="1">#REF!</definedName>
    <definedName name="_______A3" hidden="1">#REF!</definedName>
    <definedName name="_______A4" hidden="1">#REF!</definedName>
    <definedName name="_______A5" hidden="1">#REF!</definedName>
    <definedName name="_______ACC53">#REF!</definedName>
    <definedName name="_______ACC54">#REF!</definedName>
    <definedName name="_______ACC56">#REF!</definedName>
    <definedName name="_______asp2">#REF!</definedName>
    <definedName name="_______BUT38">#REF!</definedName>
    <definedName name="_______BUT78">#REF!</definedName>
    <definedName name="_______CON221">#REF!</definedName>
    <definedName name="_______dsq1">#REF!</definedName>
    <definedName name="_______dsq2">#REF!</definedName>
    <definedName name="_______dsq3">#REF!</definedName>
    <definedName name="_______dsq4">#REF!</definedName>
    <definedName name="_______dsq5">#REF!</definedName>
    <definedName name="_______EJE01">#REF!</definedName>
    <definedName name="_______EJE02">#REF!</definedName>
    <definedName name="_______EJE03">#REF!</definedName>
    <definedName name="_______ELL45">#REF!</definedName>
    <definedName name="_______ELL90">#REF!</definedName>
    <definedName name="_______eps1">#REF!</definedName>
    <definedName name="_______eps21">#REF!</definedName>
    <definedName name="_______eps22">#REF!</definedName>
    <definedName name="_______F">#REF!</definedName>
    <definedName name="_______F15p">#REF!</definedName>
    <definedName name="_______fc">#REF!</definedName>
    <definedName name="_______fct1">#REF!</definedName>
    <definedName name="_______GO1">#REF!</definedName>
    <definedName name="_______GO2">#REF!</definedName>
    <definedName name="_______go3">#REF!</definedName>
    <definedName name="_______HED2">#REF!</definedName>
    <definedName name="_______HOW2">#REF!</definedName>
    <definedName name="_______Ind1">#REF!</definedName>
    <definedName name="_______Ind2">#REF!</definedName>
    <definedName name="_______Ind3">#REF!</definedName>
    <definedName name="_______Ind4">#REF!</definedName>
    <definedName name="_______Ind5">#REF!</definedName>
    <definedName name="_______MAT1">#REF!</definedName>
    <definedName name="_______mcv1">#REF!</definedName>
    <definedName name="_______mcv2">#REF!</definedName>
    <definedName name="_______mcv3">#REF!</definedName>
    <definedName name="_______mcv4">#REF!</definedName>
    <definedName name="_______mcv5">#REF!</definedName>
    <definedName name="_______mhw1">#REF!</definedName>
    <definedName name="_______mvw1">#REF!</definedName>
    <definedName name="_______n1" hidden="1">#REF!</definedName>
    <definedName name="_______n2" hidden="1">#REF!</definedName>
    <definedName name="_______P1">#REF!</definedName>
    <definedName name="_______P10">#REF!</definedName>
    <definedName name="_______P11">#REF!</definedName>
    <definedName name="_______P12">#REF!</definedName>
    <definedName name="_______P13">#REF!</definedName>
    <definedName name="_______P14">#REF!</definedName>
    <definedName name="_______P15">#REF!</definedName>
    <definedName name="_______P16">#REF!</definedName>
    <definedName name="_______P17">#REF!</definedName>
    <definedName name="_______P2">#REF!</definedName>
    <definedName name="_______P3">#REF!</definedName>
    <definedName name="_______P4">#REF!</definedName>
    <definedName name="_______P5">#REF!</definedName>
    <definedName name="_______P6">#REF!</definedName>
    <definedName name="_______P7">#REF!</definedName>
    <definedName name="_______P8">#REF!</definedName>
    <definedName name="_______P9">#REF!</definedName>
    <definedName name="_______pcd1">#REF!</definedName>
    <definedName name="_______pcd2">#REF!</definedName>
    <definedName name="_______pe11">#REF!</definedName>
    <definedName name="_______pe22">#REF!</definedName>
    <definedName name="_______PH1">#REF!</definedName>
    <definedName name="_______pu1">#REF!</definedName>
    <definedName name="_______pu11">#REF!</definedName>
    <definedName name="_______pu12">#REF!</definedName>
    <definedName name="_______pu2">#REF!</definedName>
    <definedName name="_______pu3">#REF!</definedName>
    <definedName name="_______pu4">#REF!</definedName>
    <definedName name="_______pu5">#REF!</definedName>
    <definedName name="_______pu6">#REF!</definedName>
    <definedName name="_______pu8">#REF!</definedName>
    <definedName name="_______QTY1">#REF!</definedName>
    <definedName name="_______qu1">#REF!</definedName>
    <definedName name="_______qu2">#REF!</definedName>
    <definedName name="_______RE100">#REF!</definedName>
    <definedName name="_______RE104">#REF!</definedName>
    <definedName name="_______RE112">#REF!</definedName>
    <definedName name="_______RE26">#REF!</definedName>
    <definedName name="_______RE28">#REF!</definedName>
    <definedName name="_______RE30">#REF!</definedName>
    <definedName name="_______RE32">#REF!</definedName>
    <definedName name="_______RE34">#REF!</definedName>
    <definedName name="_______RE36">#REF!</definedName>
    <definedName name="_______RE38">#REF!</definedName>
    <definedName name="_______RE40">#REF!</definedName>
    <definedName name="_______RE42">#REF!</definedName>
    <definedName name="_______RE44">#REF!</definedName>
    <definedName name="_______RE48">#REF!</definedName>
    <definedName name="_______RE52">#REF!</definedName>
    <definedName name="_______RE56">#REF!</definedName>
    <definedName name="_______RE60">#REF!</definedName>
    <definedName name="_______RE64">#REF!</definedName>
    <definedName name="_______RE68">#REF!</definedName>
    <definedName name="_______RE72">#REF!</definedName>
    <definedName name="_______RE76">#REF!</definedName>
    <definedName name="_______RE80">#REF!</definedName>
    <definedName name="_______RE88">#REF!</definedName>
    <definedName name="_______RE92">#REF!</definedName>
    <definedName name="_______RE96">#REF!</definedName>
    <definedName name="_______RES1">#REF!</definedName>
    <definedName name="_______RES2">#REF!</definedName>
    <definedName name="_______rev1">#REF!</definedName>
    <definedName name="_______rev3">#REF!</definedName>
    <definedName name="_______rev4">#REF!</definedName>
    <definedName name="_______rev5">#REF!</definedName>
    <definedName name="_______rev6">#REF!</definedName>
    <definedName name="_______S1" hidden="1">#REF!</definedName>
    <definedName name="_______ST311">#REF!</definedName>
    <definedName name="_______ST312">#REF!</definedName>
    <definedName name="_______ST32">#REF!</definedName>
    <definedName name="_______TCA704">#REF!</definedName>
    <definedName name="_______tdl2">#REF!</definedName>
    <definedName name="_______tgt25">#REF!</definedName>
    <definedName name="_______tll2">#REF!</definedName>
    <definedName name="_______TOR10">#REF!</definedName>
    <definedName name="_______TOR14">#REF!</definedName>
    <definedName name="_______TR4">#REF!</definedName>
    <definedName name="_______tri11">#REF!</definedName>
    <definedName name="_______tri12">#REF!</definedName>
    <definedName name="_______tri13">#REF!</definedName>
    <definedName name="_______tri14">#REF!</definedName>
    <definedName name="_______tri15">#REF!</definedName>
    <definedName name="_______tri22">#REF!</definedName>
    <definedName name="_______tri23">#REF!</definedName>
    <definedName name="_______tri24">#REF!</definedName>
    <definedName name="_______tri25">#REF!</definedName>
    <definedName name="_______tri32">#REF!</definedName>
    <definedName name="_______tri33">#REF!</definedName>
    <definedName name="_______tri34">#REF!</definedName>
    <definedName name="_______tri35">#REF!</definedName>
    <definedName name="_______tri42">#REF!</definedName>
    <definedName name="_______tri43">#REF!</definedName>
    <definedName name="_______tri44">#REF!</definedName>
    <definedName name="_______tri45">#REF!</definedName>
    <definedName name="_______Var1">#REF!</definedName>
    <definedName name="_______vhw1">#REF!</definedName>
    <definedName name="_______vvw1">#REF!</definedName>
    <definedName name="_______wcv1">#REF!</definedName>
    <definedName name="_______wcv2">#REF!</definedName>
    <definedName name="_______wcv3">#REF!</definedName>
    <definedName name="_______wcv4">#REF!</definedName>
    <definedName name="_______wcv5">#REF!</definedName>
    <definedName name="_______WE1">#REF!</definedName>
    <definedName name="_______WE2">#REF!</definedName>
    <definedName name="_______WE3">#REF!</definedName>
    <definedName name="_______WE4">#REF!</definedName>
    <definedName name="_______WE5">#REF!</definedName>
    <definedName name="_______WE6">#REF!</definedName>
    <definedName name="_______WE7">#REF!</definedName>
    <definedName name="_______WE8">#REF!</definedName>
    <definedName name="_______WO1">#REF!</definedName>
    <definedName name="_______WO2">#REF!</definedName>
    <definedName name="_______WO3">#REF!</definedName>
    <definedName name="_______WO4">#REF!</definedName>
    <definedName name="_______WO5">#REF!</definedName>
    <definedName name="_______WO6">#REF!</definedName>
    <definedName name="_______WO7">#REF!</definedName>
    <definedName name="_______WO8">#REF!</definedName>
    <definedName name="_______WT1">#REF!</definedName>
    <definedName name="_______WT2">#REF!</definedName>
    <definedName name="_______WT3">#REF!</definedName>
    <definedName name="_______WT4">#REF!</definedName>
    <definedName name="_______WT5">#REF!</definedName>
    <definedName name="_______WT6">#REF!</definedName>
    <definedName name="_______WT7">#REF!</definedName>
    <definedName name="_______WT8">#REF!</definedName>
    <definedName name="_______WW1">#REF!</definedName>
    <definedName name="_______WW2">#REF!</definedName>
    <definedName name="_______xlnm._FilterDatabase_1">#REF!</definedName>
    <definedName name="_______xlnm.Print_Area">"#REF!"</definedName>
    <definedName name="_______zz1">#REF!</definedName>
    <definedName name="_______zz2">#REF!</definedName>
    <definedName name="_______zz3">#REF!</definedName>
    <definedName name="______A1" hidden="1">#REF!</definedName>
    <definedName name="______A2" hidden="1">#REF!</definedName>
    <definedName name="______A3" hidden="1">#REF!</definedName>
    <definedName name="______A4" hidden="1">#REF!</definedName>
    <definedName name="______A5" hidden="1">#REF!</definedName>
    <definedName name="______ACC53">#REF!</definedName>
    <definedName name="______ACC54">#REF!</definedName>
    <definedName name="______ACC56">#REF!</definedName>
    <definedName name="______asp2">#REF!</definedName>
    <definedName name="______BUT38">#REF!</definedName>
    <definedName name="______BUT78">#REF!</definedName>
    <definedName name="______CON221">#REF!</definedName>
    <definedName name="______dsq1">#REF!</definedName>
    <definedName name="______dsq2">#REF!</definedName>
    <definedName name="______dsq3">#REF!</definedName>
    <definedName name="______dsq4">#REF!</definedName>
    <definedName name="______dsq5">#REF!</definedName>
    <definedName name="______EJE01">#REF!</definedName>
    <definedName name="______EJE02">#REF!</definedName>
    <definedName name="______EJE03">#REF!</definedName>
    <definedName name="______ELL45">#REF!</definedName>
    <definedName name="______ELL90">#REF!</definedName>
    <definedName name="______eps1">#REF!</definedName>
    <definedName name="______eps21">#REF!</definedName>
    <definedName name="______eps22">#REF!</definedName>
    <definedName name="______F">#REF!</definedName>
    <definedName name="______F15p">#REF!</definedName>
    <definedName name="______fc">#REF!</definedName>
    <definedName name="______fct1">#REF!</definedName>
    <definedName name="______GO1">#REF!</definedName>
    <definedName name="______GO2">#REF!</definedName>
    <definedName name="______go3">#REF!</definedName>
    <definedName name="______HED2">#REF!</definedName>
    <definedName name="______HOW2">#REF!</definedName>
    <definedName name="______Ind1">#REF!</definedName>
    <definedName name="______Ind2">#REF!</definedName>
    <definedName name="______Ind3">#REF!</definedName>
    <definedName name="______Ind4">#REF!</definedName>
    <definedName name="______Ind5">#REF!</definedName>
    <definedName name="______MAT1">#REF!</definedName>
    <definedName name="______mcv1">#REF!</definedName>
    <definedName name="______mcv2">#REF!</definedName>
    <definedName name="______mcv3">#REF!</definedName>
    <definedName name="______mcv4">#REF!</definedName>
    <definedName name="______mcv5">#REF!</definedName>
    <definedName name="______mhw1">#REF!</definedName>
    <definedName name="______mvw1">#REF!</definedName>
    <definedName name="______n1" hidden="1">#REF!</definedName>
    <definedName name="______n2" hidden="1">#REF!</definedName>
    <definedName name="______P1">#REF!</definedName>
    <definedName name="______P10">#REF!</definedName>
    <definedName name="______P11">#REF!</definedName>
    <definedName name="______P12">#REF!</definedName>
    <definedName name="______P13">#REF!</definedName>
    <definedName name="______P14">#REF!</definedName>
    <definedName name="______P15">#REF!</definedName>
    <definedName name="______P16">#REF!</definedName>
    <definedName name="______P17">#REF!</definedName>
    <definedName name="______P2">#REF!</definedName>
    <definedName name="______P3">#REF!</definedName>
    <definedName name="______P4">#REF!</definedName>
    <definedName name="______P5">#REF!</definedName>
    <definedName name="______P6">#REF!</definedName>
    <definedName name="______P7">#REF!</definedName>
    <definedName name="______P8">#REF!</definedName>
    <definedName name="______P9">#REF!</definedName>
    <definedName name="______pcd1">#REF!</definedName>
    <definedName name="______pcd2">#REF!</definedName>
    <definedName name="______pe11">#REF!</definedName>
    <definedName name="______pe22">#REF!</definedName>
    <definedName name="______PH1">#REF!</definedName>
    <definedName name="______pu1">#REF!</definedName>
    <definedName name="______pu11">#REF!</definedName>
    <definedName name="______pu12">#REF!</definedName>
    <definedName name="______pu2">#REF!</definedName>
    <definedName name="______pu3">#REF!</definedName>
    <definedName name="______pu4">#REF!</definedName>
    <definedName name="______pu5">#REF!</definedName>
    <definedName name="______pu6">#REF!</definedName>
    <definedName name="______pu8">#REF!</definedName>
    <definedName name="______QTY1">#REF!</definedName>
    <definedName name="______qu1">#REF!</definedName>
    <definedName name="______qu2">#REF!</definedName>
    <definedName name="______RE100">#REF!</definedName>
    <definedName name="______RE104">#REF!</definedName>
    <definedName name="______RE112">#REF!</definedName>
    <definedName name="______RE26">#REF!</definedName>
    <definedName name="______RE28">#REF!</definedName>
    <definedName name="______RE30">#REF!</definedName>
    <definedName name="______RE32">#REF!</definedName>
    <definedName name="______RE34">#REF!</definedName>
    <definedName name="______RE36">#REF!</definedName>
    <definedName name="______RE38">#REF!</definedName>
    <definedName name="______RE40">#REF!</definedName>
    <definedName name="______RE42">#REF!</definedName>
    <definedName name="______RE44">#REF!</definedName>
    <definedName name="______RE48">#REF!</definedName>
    <definedName name="______RE52">#REF!</definedName>
    <definedName name="______RE56">#REF!</definedName>
    <definedName name="______RE60">#REF!</definedName>
    <definedName name="______RE64">#REF!</definedName>
    <definedName name="______RE68">#REF!</definedName>
    <definedName name="______RE72">#REF!</definedName>
    <definedName name="______RE76">#REF!</definedName>
    <definedName name="______RE80">#REF!</definedName>
    <definedName name="______RE88">#REF!</definedName>
    <definedName name="______RE92">#REF!</definedName>
    <definedName name="______RE96">#REF!</definedName>
    <definedName name="______RES1">#REF!</definedName>
    <definedName name="______RES2">#REF!</definedName>
    <definedName name="______rev1">#REF!</definedName>
    <definedName name="______rev3">#REF!</definedName>
    <definedName name="______rev4">#REF!</definedName>
    <definedName name="______rev5">#REF!</definedName>
    <definedName name="______rev6">#REF!</definedName>
    <definedName name="______S1" hidden="1">#REF!</definedName>
    <definedName name="______ST311">#REF!</definedName>
    <definedName name="______ST312">#REF!</definedName>
    <definedName name="______ST32">#REF!</definedName>
    <definedName name="______TCA704">#REF!</definedName>
    <definedName name="______tdl2">#REF!</definedName>
    <definedName name="______tgt25">#REF!</definedName>
    <definedName name="______tll2">#REF!</definedName>
    <definedName name="______TOR10">#REF!</definedName>
    <definedName name="______TOR14">#REF!</definedName>
    <definedName name="______TP001">#REF!</definedName>
    <definedName name="______TP002">#REF!</definedName>
    <definedName name="______TP003">#REF!</definedName>
    <definedName name="______TP004">#REF!</definedName>
    <definedName name="______TP005">#REF!</definedName>
    <definedName name="______TP006">#REF!</definedName>
    <definedName name="______TP007">#REF!</definedName>
    <definedName name="______TP008">#REF!</definedName>
    <definedName name="______TP009">#REF!</definedName>
    <definedName name="______TP010">#REF!</definedName>
    <definedName name="______TP011">#REF!</definedName>
    <definedName name="______TP013">#REF!</definedName>
    <definedName name="______TP014">#REF!</definedName>
    <definedName name="______TP015">#REF!</definedName>
    <definedName name="______TP016">#REF!</definedName>
    <definedName name="______TR4">#REF!</definedName>
    <definedName name="______tri11">#REF!</definedName>
    <definedName name="______tri12">#REF!</definedName>
    <definedName name="______tri13">#REF!</definedName>
    <definedName name="______tri14">#REF!</definedName>
    <definedName name="______tri15">#REF!</definedName>
    <definedName name="______tri22">#REF!</definedName>
    <definedName name="______tri23">#REF!</definedName>
    <definedName name="______tri24">#REF!</definedName>
    <definedName name="______tri25">#REF!</definedName>
    <definedName name="______tri32">#REF!</definedName>
    <definedName name="______tri33">#REF!</definedName>
    <definedName name="______tri34">#REF!</definedName>
    <definedName name="______tri35">#REF!</definedName>
    <definedName name="______tri42">#REF!</definedName>
    <definedName name="______tri43">#REF!</definedName>
    <definedName name="______tri44">#REF!</definedName>
    <definedName name="______tri45">#REF!</definedName>
    <definedName name="______Var1">#REF!</definedName>
    <definedName name="______vhw1">#REF!</definedName>
    <definedName name="______vvw1">#REF!</definedName>
    <definedName name="______wcv1">#REF!</definedName>
    <definedName name="______wcv2">#REF!</definedName>
    <definedName name="______wcv3">#REF!</definedName>
    <definedName name="______wcv4">#REF!</definedName>
    <definedName name="______wcv5">#REF!</definedName>
    <definedName name="______WE1">#REF!</definedName>
    <definedName name="______WE2">#REF!</definedName>
    <definedName name="______WE3">#REF!</definedName>
    <definedName name="______WE4">#REF!</definedName>
    <definedName name="______WE5">#REF!</definedName>
    <definedName name="______WE6">#REF!</definedName>
    <definedName name="______WE7">#REF!</definedName>
    <definedName name="______WE8">#REF!</definedName>
    <definedName name="______WO1">#REF!</definedName>
    <definedName name="______WO2">#REF!</definedName>
    <definedName name="______WO3">#REF!</definedName>
    <definedName name="______WO4">#REF!</definedName>
    <definedName name="______WO5">#REF!</definedName>
    <definedName name="______WO6">#REF!</definedName>
    <definedName name="______WO7">#REF!</definedName>
    <definedName name="______WO8">#REF!</definedName>
    <definedName name="______WT1">#REF!</definedName>
    <definedName name="______WT2">#REF!</definedName>
    <definedName name="______WT3">#REF!</definedName>
    <definedName name="______WT4">#REF!</definedName>
    <definedName name="______WT5">#REF!</definedName>
    <definedName name="______WT6">#REF!</definedName>
    <definedName name="______WT7">#REF!</definedName>
    <definedName name="______WT8">#REF!</definedName>
    <definedName name="______WW1">#REF!</definedName>
    <definedName name="______WW2">#REF!</definedName>
    <definedName name="______xlnm._FilterDatabase_1">#REF!</definedName>
    <definedName name="______xlnm.Print_Area">"#REF!"</definedName>
    <definedName name="______zz1">#REF!</definedName>
    <definedName name="______zz2">#REF!</definedName>
    <definedName name="______zz3">#REF!</definedName>
    <definedName name="_____A1" hidden="1">#REF!</definedName>
    <definedName name="_____A2" hidden="1">#REF!</definedName>
    <definedName name="_____A3" hidden="1">#REF!</definedName>
    <definedName name="_____A4" hidden="1">#REF!</definedName>
    <definedName name="_____A5" hidden="1">#REF!</definedName>
    <definedName name="_____asp2">#REF!</definedName>
    <definedName name="_____CON221">#REF!</definedName>
    <definedName name="_____dsq1">#REF!</definedName>
    <definedName name="_____dsq2">#REF!</definedName>
    <definedName name="_____dsq3">#REF!</definedName>
    <definedName name="_____dsq4">#REF!</definedName>
    <definedName name="_____dsq5">#REF!</definedName>
    <definedName name="_____eps1">#REF!</definedName>
    <definedName name="_____eps21">#REF!</definedName>
    <definedName name="_____eps22">#REF!</definedName>
    <definedName name="_____F">#REF!</definedName>
    <definedName name="_____fct1">#REF!</definedName>
    <definedName name="_____GO1">#REF!</definedName>
    <definedName name="_____GO2">#REF!</definedName>
    <definedName name="_____go3">#REF!</definedName>
    <definedName name="_____HED2">#REF!</definedName>
    <definedName name="_____mcv1">#REF!</definedName>
    <definedName name="_____mcv2">#REF!</definedName>
    <definedName name="_____mcv3">#REF!</definedName>
    <definedName name="_____mcv4">#REF!</definedName>
    <definedName name="_____mcv5">#REF!</definedName>
    <definedName name="_____mhw1">#REF!</definedName>
    <definedName name="_____mop1">#REF!</definedName>
    <definedName name="_____mvw1">#REF!</definedName>
    <definedName name="_____n1" hidden="1">#REF!</definedName>
    <definedName name="_____n2" hidden="1">#REF!</definedName>
    <definedName name="_____P10">#REF!</definedName>
    <definedName name="_____P11">#REF!</definedName>
    <definedName name="_____P12">#REF!</definedName>
    <definedName name="_____P13">#REF!</definedName>
    <definedName name="_____P14">#REF!</definedName>
    <definedName name="_____P15">#REF!</definedName>
    <definedName name="_____P16">#REF!</definedName>
    <definedName name="_____P17">#REF!</definedName>
    <definedName name="_____P7">#REF!</definedName>
    <definedName name="_____P8">#REF!</definedName>
    <definedName name="_____P9">#REF!</definedName>
    <definedName name="_____pcd1">#REF!</definedName>
    <definedName name="_____pcd2">#REF!</definedName>
    <definedName name="_____pe11">#REF!</definedName>
    <definedName name="_____pe22">#REF!</definedName>
    <definedName name="_____PH1">#REF!</definedName>
    <definedName name="_____pu1">#REF!</definedName>
    <definedName name="_____pu11">#REF!</definedName>
    <definedName name="_____pu12">#REF!</definedName>
    <definedName name="_____pu2">#REF!</definedName>
    <definedName name="_____pu3">#REF!</definedName>
    <definedName name="_____pu4">#REF!</definedName>
    <definedName name="_____pu5">#REF!</definedName>
    <definedName name="_____pu6">#REF!</definedName>
    <definedName name="_____pu8">#REF!</definedName>
    <definedName name="_____QTY1">#REF!</definedName>
    <definedName name="_____qu1">#REF!</definedName>
    <definedName name="_____qu2">#REF!</definedName>
    <definedName name="_____rev1">#REF!</definedName>
    <definedName name="_____rev3">#REF!</definedName>
    <definedName name="_____rev4">#REF!</definedName>
    <definedName name="_____rev5">#REF!</definedName>
    <definedName name="_____rev6">#REF!</definedName>
    <definedName name="_____S1" hidden="1">#REF!</definedName>
    <definedName name="_____ST311">#REF!</definedName>
    <definedName name="_____ST312">#REF!</definedName>
    <definedName name="_____ST32">#REF!</definedName>
    <definedName name="_____tdl2">#REF!</definedName>
    <definedName name="_____tll2">#REF!</definedName>
    <definedName name="_____TP001">#REF!</definedName>
    <definedName name="_____TP002">#REF!</definedName>
    <definedName name="_____TP003">#REF!</definedName>
    <definedName name="_____TP004">#REF!</definedName>
    <definedName name="_____TP005">#REF!</definedName>
    <definedName name="_____TP006">#REF!</definedName>
    <definedName name="_____TP007">#REF!</definedName>
    <definedName name="_____TP008">#REF!</definedName>
    <definedName name="_____TP009">#REF!</definedName>
    <definedName name="_____TP010">#REF!</definedName>
    <definedName name="_____TP011">#REF!</definedName>
    <definedName name="_____TP013">#REF!</definedName>
    <definedName name="_____TP014">#REF!</definedName>
    <definedName name="_____TP015">#REF!</definedName>
    <definedName name="_____TP016">#REF!</definedName>
    <definedName name="_____tri11">#REF!</definedName>
    <definedName name="_____tri12">#REF!</definedName>
    <definedName name="_____tri13">#REF!</definedName>
    <definedName name="_____tri14">#REF!</definedName>
    <definedName name="_____tri15">#REF!</definedName>
    <definedName name="_____tri22">#REF!</definedName>
    <definedName name="_____tri23">#REF!</definedName>
    <definedName name="_____tri24">#REF!</definedName>
    <definedName name="_____tri25">#REF!</definedName>
    <definedName name="_____tri32">#REF!</definedName>
    <definedName name="_____tri33">#REF!</definedName>
    <definedName name="_____tri34">#REF!</definedName>
    <definedName name="_____tri35">#REF!</definedName>
    <definedName name="_____tri42">#REF!</definedName>
    <definedName name="_____tri43">#REF!</definedName>
    <definedName name="_____tri44">#REF!</definedName>
    <definedName name="_____tri45">#REF!</definedName>
    <definedName name="_____Var1">#REF!</definedName>
    <definedName name="_____vhw1">#REF!</definedName>
    <definedName name="_____vvw1">#REF!</definedName>
    <definedName name="_____wcv1">#REF!</definedName>
    <definedName name="_____wcv2">#REF!</definedName>
    <definedName name="_____wcv3">#REF!</definedName>
    <definedName name="_____wcv4">#REF!</definedName>
    <definedName name="_____wcv5">#REF!</definedName>
    <definedName name="_____WE1">#REF!</definedName>
    <definedName name="_____WE2">#REF!</definedName>
    <definedName name="_____WE3">#REF!</definedName>
    <definedName name="_____WE4">#REF!</definedName>
    <definedName name="_____WE5">#REF!</definedName>
    <definedName name="_____WE6">#REF!</definedName>
    <definedName name="_____WE7">#REF!</definedName>
    <definedName name="_____WE8">#REF!</definedName>
    <definedName name="_____WO1">#REF!</definedName>
    <definedName name="_____WO2">#REF!</definedName>
    <definedName name="_____WO3">#REF!</definedName>
    <definedName name="_____WO4">#REF!</definedName>
    <definedName name="_____WO5">#REF!</definedName>
    <definedName name="_____WO6">#REF!</definedName>
    <definedName name="_____WO7">#REF!</definedName>
    <definedName name="_____WO8">#REF!</definedName>
    <definedName name="_____WT1">#REF!</definedName>
    <definedName name="_____WT2">#REF!</definedName>
    <definedName name="_____WT3">#REF!</definedName>
    <definedName name="_____WT4">#REF!</definedName>
    <definedName name="_____WT5">#REF!</definedName>
    <definedName name="_____WT6">#REF!</definedName>
    <definedName name="_____WT7">#REF!</definedName>
    <definedName name="_____WT8">#REF!</definedName>
    <definedName name="_____WW1">#REF!</definedName>
    <definedName name="_____WW2">#REF!</definedName>
    <definedName name="_____xlnm._FilterDatabase_1">#REF!</definedName>
    <definedName name="_____xlnm.Print_Area">"#REF!"</definedName>
    <definedName name="_____zz1">#REF!</definedName>
    <definedName name="_____zz2">#REF!</definedName>
    <definedName name="_____zz3">#REF!</definedName>
    <definedName name="____A1" hidden="1">#REF!</definedName>
    <definedName name="____A2" hidden="1">#REF!</definedName>
    <definedName name="____A3" hidden="1">#REF!</definedName>
    <definedName name="____A4" hidden="1">#REF!</definedName>
    <definedName name="____A5" hidden="1">#REF!</definedName>
    <definedName name="____ACC53">#REF!</definedName>
    <definedName name="____ACC54">#REF!</definedName>
    <definedName name="____ACC56">#REF!</definedName>
    <definedName name="____asp2">#REF!</definedName>
    <definedName name="____BUT38">#REF!</definedName>
    <definedName name="____BUT78">#REF!</definedName>
    <definedName name="____CON221">#REF!</definedName>
    <definedName name="____dsq1">#REF!</definedName>
    <definedName name="____dsq2">#REF!</definedName>
    <definedName name="____dsq3">#REF!</definedName>
    <definedName name="____dsq4">#REF!</definedName>
    <definedName name="____dsq5">#REF!</definedName>
    <definedName name="____EJE01">#REF!</definedName>
    <definedName name="____EJE02">#REF!</definedName>
    <definedName name="____EJE03">#REF!</definedName>
    <definedName name="____ELL45">#REF!</definedName>
    <definedName name="____ELL90">#REF!</definedName>
    <definedName name="____eps1">#REF!</definedName>
    <definedName name="____eps21">#REF!</definedName>
    <definedName name="____eps22">#REF!</definedName>
    <definedName name="____F">#REF!</definedName>
    <definedName name="____F15p">#REF!</definedName>
    <definedName name="____fc">#REF!</definedName>
    <definedName name="____fct1">#REF!</definedName>
    <definedName name="____GO1">#REF!</definedName>
    <definedName name="____GO2">#REF!</definedName>
    <definedName name="____go3">#REF!</definedName>
    <definedName name="____HED2">#REF!</definedName>
    <definedName name="____HOW2">#REF!</definedName>
    <definedName name="____Ind1">#REF!</definedName>
    <definedName name="____Ind2">#REF!</definedName>
    <definedName name="____Ind3">#REF!</definedName>
    <definedName name="____Ind4">#REF!</definedName>
    <definedName name="____Ind5">#REF!</definedName>
    <definedName name="____MAT1">#REF!</definedName>
    <definedName name="____mcv1">#REF!</definedName>
    <definedName name="____mcv2">#REF!</definedName>
    <definedName name="____mcv3">#REF!</definedName>
    <definedName name="____mcv4">#REF!</definedName>
    <definedName name="____mcv5">#REF!</definedName>
    <definedName name="____mhw1">#REF!</definedName>
    <definedName name="____mop1">#REF!</definedName>
    <definedName name="____mvw1">#REF!</definedName>
    <definedName name="____n1" hidden="1">#REF!</definedName>
    <definedName name="____n2" hidden="1">#REF!</definedName>
    <definedName name="____P1">#REF!</definedName>
    <definedName name="____P10">#REF!</definedName>
    <definedName name="____P11">#REF!</definedName>
    <definedName name="____P12">#REF!</definedName>
    <definedName name="____P13">#REF!</definedName>
    <definedName name="____P14">#REF!</definedName>
    <definedName name="____P15">#REF!</definedName>
    <definedName name="____P16">#REF!</definedName>
    <definedName name="____P17">#REF!</definedName>
    <definedName name="____P2">#REF!</definedName>
    <definedName name="____P3">#REF!</definedName>
    <definedName name="____P4">#REF!</definedName>
    <definedName name="____P5">#REF!</definedName>
    <definedName name="____P6">#REF!</definedName>
    <definedName name="____P7">#REF!</definedName>
    <definedName name="____P8">#REF!</definedName>
    <definedName name="____P9">#REF!</definedName>
    <definedName name="____pcd1">#REF!</definedName>
    <definedName name="____pcd2">#REF!</definedName>
    <definedName name="____pe11">#REF!</definedName>
    <definedName name="____pe22">#REF!</definedName>
    <definedName name="____PH1">#REF!</definedName>
    <definedName name="____pu1">#REF!</definedName>
    <definedName name="____pu11">#REF!</definedName>
    <definedName name="____pu12">#REF!</definedName>
    <definedName name="____pu2">#REF!</definedName>
    <definedName name="____pu3">#REF!</definedName>
    <definedName name="____pu4">#REF!</definedName>
    <definedName name="____pu5">#REF!</definedName>
    <definedName name="____pu6">#REF!</definedName>
    <definedName name="____pu8">#REF!</definedName>
    <definedName name="____QTY1">#REF!</definedName>
    <definedName name="____qu1">#REF!</definedName>
    <definedName name="____qu2">#REF!</definedName>
    <definedName name="____qwe4567">#REF!</definedName>
    <definedName name="____RE100">#REF!</definedName>
    <definedName name="____RE104">#REF!</definedName>
    <definedName name="____RE112">#REF!</definedName>
    <definedName name="____RE26">#REF!</definedName>
    <definedName name="____RE28">#REF!</definedName>
    <definedName name="____RE30">#REF!</definedName>
    <definedName name="____RE32">#REF!</definedName>
    <definedName name="____RE34">#REF!</definedName>
    <definedName name="____RE36">#REF!</definedName>
    <definedName name="____RE38">#REF!</definedName>
    <definedName name="____RE40">#REF!</definedName>
    <definedName name="____RE42">#REF!</definedName>
    <definedName name="____RE44">#REF!</definedName>
    <definedName name="____RE48">#REF!</definedName>
    <definedName name="____RE52">#REF!</definedName>
    <definedName name="____RE56">#REF!</definedName>
    <definedName name="____RE60">#REF!</definedName>
    <definedName name="____RE64">#REF!</definedName>
    <definedName name="____RE68">#REF!</definedName>
    <definedName name="____RE72">#REF!</definedName>
    <definedName name="____RE76">#REF!</definedName>
    <definedName name="____RE80">#REF!</definedName>
    <definedName name="____RE88">#REF!</definedName>
    <definedName name="____RE92">#REF!</definedName>
    <definedName name="____RE96">#REF!</definedName>
    <definedName name="____RES1">#REF!</definedName>
    <definedName name="____RES2">#REF!</definedName>
    <definedName name="____rev1">#REF!</definedName>
    <definedName name="____rev3">#REF!</definedName>
    <definedName name="____rev4">#REF!</definedName>
    <definedName name="____rev5">#REF!</definedName>
    <definedName name="____rev6">#REF!</definedName>
    <definedName name="____ro1">#REF!</definedName>
    <definedName name="____S1" hidden="1">#REF!</definedName>
    <definedName name="____sc1">#REF!</definedName>
    <definedName name="____ST311">#REF!</definedName>
    <definedName name="____ST312">#REF!</definedName>
    <definedName name="____ST32">#REF!</definedName>
    <definedName name="____TCA704">#REF!</definedName>
    <definedName name="____tdl2">#REF!</definedName>
    <definedName name="____tgt25">#REF!</definedName>
    <definedName name="____tll2">#REF!</definedName>
    <definedName name="____TOR10">#REF!</definedName>
    <definedName name="____TOR14">#REF!</definedName>
    <definedName name="____TP001">#REF!</definedName>
    <definedName name="____TP002">#REF!</definedName>
    <definedName name="____TP003">#REF!</definedName>
    <definedName name="____TP004">#REF!</definedName>
    <definedName name="____TP005">#REF!</definedName>
    <definedName name="____TP006">#REF!</definedName>
    <definedName name="____TP007">#REF!</definedName>
    <definedName name="____TP008">#REF!</definedName>
    <definedName name="____TP009">#REF!</definedName>
    <definedName name="____TP010">#REF!</definedName>
    <definedName name="____TP011">#REF!</definedName>
    <definedName name="____TP013">#REF!</definedName>
    <definedName name="____TP014">#REF!</definedName>
    <definedName name="____TP015">#REF!</definedName>
    <definedName name="____TP016">#REF!</definedName>
    <definedName name="____TR4">#REF!</definedName>
    <definedName name="____tri11">#REF!</definedName>
    <definedName name="____tri12">#REF!</definedName>
    <definedName name="____tri13">#REF!</definedName>
    <definedName name="____tri14">#REF!</definedName>
    <definedName name="____tri15">#REF!</definedName>
    <definedName name="____tri22">#REF!</definedName>
    <definedName name="____tri23">#REF!</definedName>
    <definedName name="____tri24">#REF!</definedName>
    <definedName name="____tri25">#REF!</definedName>
    <definedName name="____tri32">#REF!</definedName>
    <definedName name="____tri33">#REF!</definedName>
    <definedName name="____tri34">#REF!</definedName>
    <definedName name="____tri35">#REF!</definedName>
    <definedName name="____tri42">#REF!</definedName>
    <definedName name="____tri43">#REF!</definedName>
    <definedName name="____tri44">#REF!</definedName>
    <definedName name="____tri45">#REF!</definedName>
    <definedName name="____Var1">#REF!</definedName>
    <definedName name="____vhw1">#REF!</definedName>
    <definedName name="____vvw1">#REF!</definedName>
    <definedName name="____wcv1">#REF!</definedName>
    <definedName name="____wcv2">#REF!</definedName>
    <definedName name="____wcv3">#REF!</definedName>
    <definedName name="____wcv4">#REF!</definedName>
    <definedName name="____wcv5">#REF!</definedName>
    <definedName name="____WE1">#REF!</definedName>
    <definedName name="____WE2">#REF!</definedName>
    <definedName name="____WE3">#REF!</definedName>
    <definedName name="____WE4">#REF!</definedName>
    <definedName name="____WE5">#REF!</definedName>
    <definedName name="____WE6">#REF!</definedName>
    <definedName name="____WE7">#REF!</definedName>
    <definedName name="____WE8">#REF!</definedName>
    <definedName name="____WO1">#REF!</definedName>
    <definedName name="____WO2">#REF!</definedName>
    <definedName name="____WO3">#REF!</definedName>
    <definedName name="____WO4">#REF!</definedName>
    <definedName name="____WO5">#REF!</definedName>
    <definedName name="____WO6">#REF!</definedName>
    <definedName name="____WO7">#REF!</definedName>
    <definedName name="____WO8">#REF!</definedName>
    <definedName name="____WT1">#REF!</definedName>
    <definedName name="____WT2">#REF!</definedName>
    <definedName name="____WT3">#REF!</definedName>
    <definedName name="____WT4">#REF!</definedName>
    <definedName name="____WT5">#REF!</definedName>
    <definedName name="____WT6">#REF!</definedName>
    <definedName name="____WT7">#REF!</definedName>
    <definedName name="____WT8">#REF!</definedName>
    <definedName name="____WW1">#REF!</definedName>
    <definedName name="____WW2">#REF!</definedName>
    <definedName name="____xlnm._FilterDatabase_1">#REF!</definedName>
    <definedName name="____xlnm.Print_Area">"#REF!"</definedName>
    <definedName name="____zz1">#REF!</definedName>
    <definedName name="____zz2">#REF!</definedName>
    <definedName name="____zz3">#REF!</definedName>
    <definedName name="___A1" hidden="1">#REF!</definedName>
    <definedName name="___A2" hidden="1">#REF!</definedName>
    <definedName name="___A3" hidden="1">#REF!</definedName>
    <definedName name="___A4" hidden="1">#REF!</definedName>
    <definedName name="___A5" hidden="1">#REF!</definedName>
    <definedName name="___ACC53">#REF!</definedName>
    <definedName name="___ACC54">#REF!</definedName>
    <definedName name="___ACC56">#REF!</definedName>
    <definedName name="___as1" localSheetId="9"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asp2">#REF!</definedName>
    <definedName name="___BUT38">#REF!</definedName>
    <definedName name="___BUT78">#REF!</definedName>
    <definedName name="___CON221">#REF!</definedName>
    <definedName name="___dsq1">#REF!</definedName>
    <definedName name="___dsq2">#REF!</definedName>
    <definedName name="___dsq3">#REF!</definedName>
    <definedName name="___dsq4">#REF!</definedName>
    <definedName name="___dsq5">#REF!</definedName>
    <definedName name="___EJE01">#REF!</definedName>
    <definedName name="___EJE02">#REF!</definedName>
    <definedName name="___EJE03">#REF!</definedName>
    <definedName name="___ELL45">#REF!</definedName>
    <definedName name="___ELL90">#REF!</definedName>
    <definedName name="___eps1">#REF!</definedName>
    <definedName name="___eps21">#REF!</definedName>
    <definedName name="___eps22">#REF!</definedName>
    <definedName name="___F">#REF!</definedName>
    <definedName name="___F15p">#REF!</definedName>
    <definedName name="___fc">#REF!</definedName>
    <definedName name="___fct1">#REF!</definedName>
    <definedName name="___GO1">#REF!</definedName>
    <definedName name="___GO2">#REF!</definedName>
    <definedName name="___go3">#REF!</definedName>
    <definedName name="___HED2">#REF!</definedName>
    <definedName name="___HOW2">#REF!</definedName>
    <definedName name="___Ind1">#REF!</definedName>
    <definedName name="___Ind2">#REF!</definedName>
    <definedName name="___Ind3">#REF!</definedName>
    <definedName name="___Ind4">#REF!</definedName>
    <definedName name="___Ind5">#REF!</definedName>
    <definedName name="___MAT1">#REF!</definedName>
    <definedName name="___mcv1">#REF!</definedName>
    <definedName name="___mcv2">#REF!</definedName>
    <definedName name="___mcv3">#REF!</definedName>
    <definedName name="___mcv4">#REF!</definedName>
    <definedName name="___mcv5">#REF!</definedName>
    <definedName name="___mhw1">#REF!</definedName>
    <definedName name="___mop1">#REF!</definedName>
    <definedName name="___mvw1">#REF!</definedName>
    <definedName name="___n1" localSheetId="9" hidden="1">#REF!</definedName>
    <definedName name="___n1" localSheetId="8" hidden="1">#REF!</definedName>
    <definedName name="___n1" hidden="1">#REF!</definedName>
    <definedName name="___n2" localSheetId="9" hidden="1">#REF!</definedName>
    <definedName name="___n2" localSheetId="8" hidden="1">#REF!</definedName>
    <definedName name="___n2" hidden="1">#REF!</definedName>
    <definedName name="___P1">#REF!</definedName>
    <definedName name="___P10">#REF!</definedName>
    <definedName name="___P11">#REF!</definedName>
    <definedName name="___P12">#REF!</definedName>
    <definedName name="___P13">#REF!</definedName>
    <definedName name="___P14">#REF!</definedName>
    <definedName name="___P15">#REF!</definedName>
    <definedName name="___P16">#REF!</definedName>
    <definedName name="___P17">#REF!</definedName>
    <definedName name="___P2">#REF!</definedName>
    <definedName name="___P3">#REF!</definedName>
    <definedName name="___P4">#REF!</definedName>
    <definedName name="___P5">#REF!</definedName>
    <definedName name="___P6">#REF!</definedName>
    <definedName name="___P7">#REF!</definedName>
    <definedName name="___P8">#REF!</definedName>
    <definedName name="___P9">#REF!</definedName>
    <definedName name="___pcd1">#REF!</definedName>
    <definedName name="___pcd2">#REF!</definedName>
    <definedName name="___pe11">#REF!</definedName>
    <definedName name="___pe22">#REF!</definedName>
    <definedName name="___PH1">#REF!</definedName>
    <definedName name="___pu1">#REF!</definedName>
    <definedName name="___pu11">#REF!</definedName>
    <definedName name="___pu12">#REF!</definedName>
    <definedName name="___pu2">#REF!</definedName>
    <definedName name="___pu3">#REF!</definedName>
    <definedName name="___pu4">#REF!</definedName>
    <definedName name="___pu5">#REF!</definedName>
    <definedName name="___pu6">#REF!</definedName>
    <definedName name="___pu8">#REF!</definedName>
    <definedName name="___QTY1">#REF!</definedName>
    <definedName name="___qu1">#REF!</definedName>
    <definedName name="___qu2">#REF!</definedName>
    <definedName name="___qwe4567">#REF!</definedName>
    <definedName name="___RE100">#REF!</definedName>
    <definedName name="___RE104">#REF!</definedName>
    <definedName name="___RE112">#REF!</definedName>
    <definedName name="___RE26">#REF!</definedName>
    <definedName name="___RE28">#REF!</definedName>
    <definedName name="___RE30">#REF!</definedName>
    <definedName name="___RE32">#REF!</definedName>
    <definedName name="___RE34">#REF!</definedName>
    <definedName name="___RE36">#REF!</definedName>
    <definedName name="___RE38">#REF!</definedName>
    <definedName name="___RE40">#REF!</definedName>
    <definedName name="___RE42">#REF!</definedName>
    <definedName name="___RE44">#REF!</definedName>
    <definedName name="___RE48">#REF!</definedName>
    <definedName name="___RE52">#REF!</definedName>
    <definedName name="___RE56">#REF!</definedName>
    <definedName name="___RE60">#REF!</definedName>
    <definedName name="___RE64">#REF!</definedName>
    <definedName name="___RE68">#REF!</definedName>
    <definedName name="___RE72">#REF!</definedName>
    <definedName name="___RE76">#REF!</definedName>
    <definedName name="___RE80">#REF!</definedName>
    <definedName name="___RE88">#REF!</definedName>
    <definedName name="___RE92">#REF!</definedName>
    <definedName name="___RE96">#REF!</definedName>
    <definedName name="___RES1">#REF!</definedName>
    <definedName name="___RES2">#REF!</definedName>
    <definedName name="___rev1">#REF!</definedName>
    <definedName name="___rev3">#REF!</definedName>
    <definedName name="___rev4">#REF!</definedName>
    <definedName name="___rev5">#REF!</definedName>
    <definedName name="___rev6">#REF!</definedName>
    <definedName name="___ro1">#REF!</definedName>
    <definedName name="___S1" localSheetId="9" hidden="1">#REF!</definedName>
    <definedName name="___S1" localSheetId="8" hidden="1">#REF!</definedName>
    <definedName name="___S1" hidden="1">#REF!</definedName>
    <definedName name="___sc1">#REF!</definedName>
    <definedName name="___ST311">#REF!</definedName>
    <definedName name="___ST312">#REF!</definedName>
    <definedName name="___ST32">#REF!</definedName>
    <definedName name="___TCA704">#REF!</definedName>
    <definedName name="___tdl2">#REF!</definedName>
    <definedName name="___tgt25">#REF!</definedName>
    <definedName name="___tll2">#REF!</definedName>
    <definedName name="___TOR10">#REF!</definedName>
    <definedName name="___TOR14">#REF!</definedName>
    <definedName name="___TP001">#REF!</definedName>
    <definedName name="___TP002">#REF!</definedName>
    <definedName name="___TP003">#REF!</definedName>
    <definedName name="___TP004">#REF!</definedName>
    <definedName name="___TP005">#REF!</definedName>
    <definedName name="___TP006">#REF!</definedName>
    <definedName name="___TP007">#REF!</definedName>
    <definedName name="___TP008">#REF!</definedName>
    <definedName name="___TP009">#REF!</definedName>
    <definedName name="___TP010">#REF!</definedName>
    <definedName name="___TP011">#REF!</definedName>
    <definedName name="___TP013">#REF!</definedName>
    <definedName name="___TP014">#REF!</definedName>
    <definedName name="___TP015">#REF!</definedName>
    <definedName name="___TP016">#REF!</definedName>
    <definedName name="___TR4">#REF!</definedName>
    <definedName name="___tri11">#REF!</definedName>
    <definedName name="___tri12">#REF!</definedName>
    <definedName name="___tri13">#REF!</definedName>
    <definedName name="___tri14">#REF!</definedName>
    <definedName name="___tri15">#REF!</definedName>
    <definedName name="___tri22">#REF!</definedName>
    <definedName name="___tri23">#REF!</definedName>
    <definedName name="___tri24">#REF!</definedName>
    <definedName name="___tri25">#REF!</definedName>
    <definedName name="___tri32">#REF!</definedName>
    <definedName name="___tri33">#REF!</definedName>
    <definedName name="___tri34">#REF!</definedName>
    <definedName name="___tri35">#REF!</definedName>
    <definedName name="___tri42">#REF!</definedName>
    <definedName name="___tri43">#REF!</definedName>
    <definedName name="___tri44">#REF!</definedName>
    <definedName name="___tri45">#REF!</definedName>
    <definedName name="___Var1">#REF!</definedName>
    <definedName name="___vhw1">#REF!</definedName>
    <definedName name="___vvw1">#REF!</definedName>
    <definedName name="___wcv1">#REF!</definedName>
    <definedName name="___wcv2">#REF!</definedName>
    <definedName name="___wcv3">#REF!</definedName>
    <definedName name="___wcv4">#REF!</definedName>
    <definedName name="___wcv5">#REF!</definedName>
    <definedName name="___WE1">#REF!</definedName>
    <definedName name="___WE2">#REF!</definedName>
    <definedName name="___WE3">#REF!</definedName>
    <definedName name="___WE4">#REF!</definedName>
    <definedName name="___WE5">#REF!</definedName>
    <definedName name="___WE6">#REF!</definedName>
    <definedName name="___WE7">#REF!</definedName>
    <definedName name="___WE8">#REF!</definedName>
    <definedName name="___WO1">#REF!</definedName>
    <definedName name="___WO2">#REF!</definedName>
    <definedName name="___WO3">#REF!</definedName>
    <definedName name="___WO4">#REF!</definedName>
    <definedName name="___WO5">#REF!</definedName>
    <definedName name="___WO6">#REF!</definedName>
    <definedName name="___WO7">#REF!</definedName>
    <definedName name="___WO8">#REF!</definedName>
    <definedName name="___WT1">#REF!</definedName>
    <definedName name="___WT2">#REF!</definedName>
    <definedName name="___WT3">#REF!</definedName>
    <definedName name="___WT4">#REF!</definedName>
    <definedName name="___WT5">#REF!</definedName>
    <definedName name="___WT6">#REF!</definedName>
    <definedName name="___WT7">#REF!</definedName>
    <definedName name="___WT8">#REF!</definedName>
    <definedName name="___WW1">#REF!</definedName>
    <definedName name="___WW2">#REF!</definedName>
    <definedName name="___xlnm.Print_Area">"#REF!"</definedName>
    <definedName name="___zz1">#REF!</definedName>
    <definedName name="___zz2">#REF!</definedName>
    <definedName name="___zz3">#REF!</definedName>
    <definedName name="__123Graph_A" hidden="1">#REF!</definedName>
    <definedName name="__123Graph_AGraph10" hidden="1">#REF!</definedName>
    <definedName name="__123Graph_AGraph11" hidden="1">#REF!</definedName>
    <definedName name="__123Graph_AGraph12" hidden="1">#REF!</definedName>
    <definedName name="__123Graph_AGraph13" hidden="1">#REF!</definedName>
    <definedName name="__123Graph_AGraph14" hidden="1">#REF!</definedName>
    <definedName name="__123Graph_AGraph15" hidden="1">#REF!</definedName>
    <definedName name="__123Graph_AGraph16" hidden="1">#REF!</definedName>
    <definedName name="__123Graph_AGraph17" hidden="1">#REF!</definedName>
    <definedName name="__123Graph_AGraph18"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AGraph7" hidden="1">#REF!</definedName>
    <definedName name="__123Graph_AGraph8" hidden="1">#REF!</definedName>
    <definedName name="__123Graph_AGraph9" hidden="1">#REF!</definedName>
    <definedName name="__123Graph_X" hidden="1">#REF!</definedName>
    <definedName name="__123Graph_XGRA1" hidden="1">#REF!</definedName>
    <definedName name="__123Graph_XGRA2" hidden="1">#REF!</definedName>
    <definedName name="__123Graph_XGraph10" hidden="1">#REF!</definedName>
    <definedName name="__123Graph_XGraph11" hidden="1">#REF!</definedName>
    <definedName name="__123Graph_XGraph12" hidden="1">#REF!</definedName>
    <definedName name="__123Graph_XGraph13" hidden="1">#REF!</definedName>
    <definedName name="__123Graph_XGraph14" hidden="1">#REF!</definedName>
    <definedName name="__123Graph_XGraph15" hidden="1">#REF!</definedName>
    <definedName name="__123Graph_XGraph16" hidden="1">#REF!</definedName>
    <definedName name="__123Graph_XGraph17" hidden="1">#REF!</definedName>
    <definedName name="__123Graph_XGraph18" hidden="1">#REF!</definedName>
    <definedName name="__123Graph_XGraph3" hidden="1">#REF!</definedName>
    <definedName name="__123Graph_XGraph4" hidden="1">#REF!</definedName>
    <definedName name="__123Graph_XGraph5" hidden="1">#REF!</definedName>
    <definedName name="__123Graph_XGraph6" hidden="1">#REF!</definedName>
    <definedName name="__123Graph_XGraph7" hidden="1">#REF!</definedName>
    <definedName name="__123Graph_XGraph8" hidden="1">#REF!</definedName>
    <definedName name="__123Graph_XGraph9" hidden="1">#REF!</definedName>
    <definedName name="__A1" hidden="1">#REF!</definedName>
    <definedName name="__A2" hidden="1">#REF!</definedName>
    <definedName name="__A3" hidden="1">#REF!</definedName>
    <definedName name="__A4" hidden="1">#REF!</definedName>
    <definedName name="__A5" hidden="1">#REF!</definedName>
    <definedName name="__AA68936">#REF!</definedName>
    <definedName name="__AA69375">#REF!</definedName>
    <definedName name="__AA70517">#REF!</definedName>
    <definedName name="__AA80220">#REF!</definedName>
    <definedName name="__AA90088">#REF!</definedName>
    <definedName name="__AA999999">#REF!</definedName>
    <definedName name="__ACC53">#REF!</definedName>
    <definedName name="__ACC54">#REF!</definedName>
    <definedName name="__ACC56">#REF!</definedName>
    <definedName name="__as1" localSheetId="9" hidden="1">{#N/A,#N/A,FALSE,"SumD";#N/A,#N/A,FALSE,"ElecD";#N/A,#N/A,FALSE,"MechD";#N/A,#N/A,FALSE,"GeotD";#N/A,#N/A,FALSE,"PrcsD";#N/A,#N/A,FALSE,"TunnD";#N/A,#N/A,FALSE,"CivlD";#N/A,#N/A,FALSE,"NtwkD";#N/A,#N/A,FALSE,"EstgD";#N/A,#N/A,FALSE,"PEngD"}</definedName>
    <definedName name="__as1" localSheetId="8" hidden="1">{#N/A,#N/A,FALSE,"SumD";#N/A,#N/A,FALSE,"ElecD";#N/A,#N/A,FALSE,"MechD";#N/A,#N/A,FALSE,"GeotD";#N/A,#N/A,FALSE,"PrcsD";#N/A,#N/A,FALSE,"TunnD";#N/A,#N/A,FALSE,"CivlD";#N/A,#N/A,FALSE,"NtwkD";#N/A,#N/A,FALSE,"EstgD";#N/A,#N/A,FALSE,"PEngD"}</definedName>
    <definedName name="__as1" hidden="1">{#N/A,#N/A,FALSE,"SumD";#N/A,#N/A,FALSE,"ElecD";#N/A,#N/A,FALSE,"MechD";#N/A,#N/A,FALSE,"GeotD";#N/A,#N/A,FALSE,"PrcsD";#N/A,#N/A,FALSE,"TunnD";#N/A,#N/A,FALSE,"CivlD";#N/A,#N/A,FALSE,"NtwkD";#N/A,#N/A,FALSE,"EstgD";#N/A,#N/A,FALSE,"PEngD"}</definedName>
    <definedName name="__asp2">#REF!</definedName>
    <definedName name="__BUT38">#REF!</definedName>
    <definedName name="__BUT78">#REF!</definedName>
    <definedName name="__CON221">#REF!</definedName>
    <definedName name="__Del26">#REF!</definedName>
    <definedName name="__del27">#REF!</definedName>
    <definedName name="__del29">#REF!</definedName>
    <definedName name="__del33">#REF!</definedName>
    <definedName name="__Del38">#REF!</definedName>
    <definedName name="__del42">#REF!</definedName>
    <definedName name="__del43">#REF!</definedName>
    <definedName name="__del9">#REF!</definedName>
    <definedName name="__dsq1">#REF!</definedName>
    <definedName name="__dsq2">#REF!</definedName>
    <definedName name="__dsq3">#REF!</definedName>
    <definedName name="__dsq4">#REF!</definedName>
    <definedName name="__dsq5">#REF!</definedName>
    <definedName name="__EJE01">#REF!</definedName>
    <definedName name="__EJE02">#REF!</definedName>
    <definedName name="__EJE03">#REF!</definedName>
    <definedName name="__ELL45">#REF!</definedName>
    <definedName name="__ELL90">#REF!</definedName>
    <definedName name="__eps1">#REF!</definedName>
    <definedName name="__eps21">#REF!</definedName>
    <definedName name="__eps22">#REF!</definedName>
    <definedName name="__F">#REF!</definedName>
    <definedName name="__F15p">#REF!</definedName>
    <definedName name="__fc">#REF!</definedName>
    <definedName name="__fct1">#REF!</definedName>
    <definedName name="__GO1">#REF!</definedName>
    <definedName name="__GO2">#REF!</definedName>
    <definedName name="__go3">#REF!</definedName>
    <definedName name="__HED2">#REF!</definedName>
    <definedName name="__HOW2">#REF!</definedName>
    <definedName name="__Ind1">#REF!</definedName>
    <definedName name="__Ind2">#REF!</definedName>
    <definedName name="__Ind3">#REF!</definedName>
    <definedName name="__Ind4">#REF!</definedName>
    <definedName name="__Ind5">#REF!</definedName>
    <definedName name="__MAT1">#REF!</definedName>
    <definedName name="__mcv1">#REF!</definedName>
    <definedName name="__mcv2">#REF!</definedName>
    <definedName name="__mcv3">#REF!</definedName>
    <definedName name="__mcv4">#REF!</definedName>
    <definedName name="__mcv5">#REF!</definedName>
    <definedName name="__mhw1">#REF!</definedName>
    <definedName name="__mop1">#REF!</definedName>
    <definedName name="__mvw1">#REF!</definedName>
    <definedName name="__n1" localSheetId="9" hidden="1">#REF!</definedName>
    <definedName name="__n1" localSheetId="8" hidden="1">#REF!</definedName>
    <definedName name="__n1" hidden="1">#REF!</definedName>
    <definedName name="__n2" localSheetId="9" hidden="1">#REF!</definedName>
    <definedName name="__n2" localSheetId="8" hidden="1">#REF!</definedName>
    <definedName name="__n2" hidden="1">#REF!</definedName>
    <definedName name="__P1">#REF!</definedName>
    <definedName name="__P10">#REF!</definedName>
    <definedName name="__P11">#REF!</definedName>
    <definedName name="__P12">#REF!</definedName>
    <definedName name="__P13">#REF!</definedName>
    <definedName name="__P14">#REF!</definedName>
    <definedName name="__P15">#REF!</definedName>
    <definedName name="__P16">#REF!</definedName>
    <definedName name="__P17">#REF!</definedName>
    <definedName name="__P2">#REF!</definedName>
    <definedName name="__P3">#REF!</definedName>
    <definedName name="__P4">#REF!</definedName>
    <definedName name="__P5">#REF!</definedName>
    <definedName name="__P6">#REF!</definedName>
    <definedName name="__P7">#REF!</definedName>
    <definedName name="__P8">#REF!</definedName>
    <definedName name="__P9">#REF!</definedName>
    <definedName name="__pcd1">#REF!</definedName>
    <definedName name="__pcd2">#REF!</definedName>
    <definedName name="__pe11">#REF!</definedName>
    <definedName name="__pe22">#REF!</definedName>
    <definedName name="__PH1">#REF!</definedName>
    <definedName name="__pla1">#REF!</definedName>
    <definedName name="__pla2">#REF!</definedName>
    <definedName name="__pla3">#REF!</definedName>
    <definedName name="__pla4">#REF!</definedName>
    <definedName name="__pla5">#REF!</definedName>
    <definedName name="__pla6">#REF!</definedName>
    <definedName name="__pu1">#REF!</definedName>
    <definedName name="__pu11">#REF!</definedName>
    <definedName name="__pu12">#REF!</definedName>
    <definedName name="__pu2">#REF!</definedName>
    <definedName name="__pu3">#REF!</definedName>
    <definedName name="__pu4">#REF!</definedName>
    <definedName name="__pu5">#REF!</definedName>
    <definedName name="__pu6">#REF!</definedName>
    <definedName name="__pu8">#REF!</definedName>
    <definedName name="__QTY1">#REF!</definedName>
    <definedName name="__qu1">#REF!</definedName>
    <definedName name="__qu2">#REF!</definedName>
    <definedName name="__qwe4567">#REF!</definedName>
    <definedName name="__RE100">#REF!</definedName>
    <definedName name="__RE104">#REF!</definedName>
    <definedName name="__RE112">#REF!</definedName>
    <definedName name="__RE26">#REF!</definedName>
    <definedName name="__RE28">#REF!</definedName>
    <definedName name="__RE30">#REF!</definedName>
    <definedName name="__RE32">#REF!</definedName>
    <definedName name="__RE34">#REF!</definedName>
    <definedName name="__RE36">#REF!</definedName>
    <definedName name="__RE38">#REF!</definedName>
    <definedName name="__RE40">#REF!</definedName>
    <definedName name="__RE42">#REF!</definedName>
    <definedName name="__RE44">#REF!</definedName>
    <definedName name="__RE48">#REF!</definedName>
    <definedName name="__RE52">#REF!</definedName>
    <definedName name="__RE56">#REF!</definedName>
    <definedName name="__RE60">#REF!</definedName>
    <definedName name="__RE64">#REF!</definedName>
    <definedName name="__RE68">#REF!</definedName>
    <definedName name="__RE72">#REF!</definedName>
    <definedName name="__RE76">#REF!</definedName>
    <definedName name="__RE80">#REF!</definedName>
    <definedName name="__RE88">#REF!</definedName>
    <definedName name="__RE92">#REF!</definedName>
    <definedName name="__RE96">#REF!</definedName>
    <definedName name="__RES1">#REF!</definedName>
    <definedName name="__RES2">#REF!</definedName>
    <definedName name="__rev1">#REF!</definedName>
    <definedName name="__rev3">#REF!</definedName>
    <definedName name="__rev4">#REF!</definedName>
    <definedName name="__rev5">#REF!</definedName>
    <definedName name="__rev6">#REF!</definedName>
    <definedName name="__ro1">#REF!</definedName>
    <definedName name="__S1" localSheetId="9" hidden="1">#REF!</definedName>
    <definedName name="__S1" localSheetId="8" hidden="1">#REF!</definedName>
    <definedName name="__S1" hidden="1">#REF!</definedName>
    <definedName name="__sc1">#REF!</definedName>
    <definedName name="__ST311">#REF!</definedName>
    <definedName name="__ST312">#REF!</definedName>
    <definedName name="__ST32">#REF!</definedName>
    <definedName name="__TB1">#REF!</definedName>
    <definedName name="__TB10">#REF!</definedName>
    <definedName name="__TB2">#REF!</definedName>
    <definedName name="__TB3">#REF!</definedName>
    <definedName name="__TB4">#REF!</definedName>
    <definedName name="__tb5">#REF!</definedName>
    <definedName name="__TCA704">#REF!</definedName>
    <definedName name="__tdl2">#REF!</definedName>
    <definedName name="__tgt25">#REF!</definedName>
    <definedName name="__tll2">#REF!</definedName>
    <definedName name="__TOR10">#REF!</definedName>
    <definedName name="__TOR14">#REF!</definedName>
    <definedName name="__TP001">#REF!</definedName>
    <definedName name="__TP002">#REF!</definedName>
    <definedName name="__TP003">#REF!</definedName>
    <definedName name="__TP004">#REF!</definedName>
    <definedName name="__TP005">#REF!</definedName>
    <definedName name="__TP006">#REF!</definedName>
    <definedName name="__TP007">#REF!</definedName>
    <definedName name="__TP008">#REF!</definedName>
    <definedName name="__TP009">#REF!</definedName>
    <definedName name="__TP010">#REF!</definedName>
    <definedName name="__TP011">#REF!</definedName>
    <definedName name="__TP013">#REF!</definedName>
    <definedName name="__TP014">#REF!</definedName>
    <definedName name="__TP015">#REF!</definedName>
    <definedName name="__TP016">#REF!</definedName>
    <definedName name="__TR4">#REF!</definedName>
    <definedName name="__tri11">#REF!</definedName>
    <definedName name="__tri12">#REF!</definedName>
    <definedName name="__tri13">#REF!</definedName>
    <definedName name="__tri14">#REF!</definedName>
    <definedName name="__tri15">#REF!</definedName>
    <definedName name="__tri22">#REF!</definedName>
    <definedName name="__tri23">#REF!</definedName>
    <definedName name="__tri24">#REF!</definedName>
    <definedName name="__tri25">#REF!</definedName>
    <definedName name="__tri32">#REF!</definedName>
    <definedName name="__tri33">#REF!</definedName>
    <definedName name="__tri34">#REF!</definedName>
    <definedName name="__tri35">#REF!</definedName>
    <definedName name="__tri42">#REF!</definedName>
    <definedName name="__tri43">#REF!</definedName>
    <definedName name="__tri44">#REF!</definedName>
    <definedName name="__tri45">#REF!</definedName>
    <definedName name="__Var1">#REF!</definedName>
    <definedName name="__vhw1">#REF!</definedName>
    <definedName name="__vvw1">#REF!</definedName>
    <definedName name="__wcv1">#REF!</definedName>
    <definedName name="__wcv2">#REF!</definedName>
    <definedName name="__wcv3">#REF!</definedName>
    <definedName name="__wcv4">#REF!</definedName>
    <definedName name="__wcv5">#REF!</definedName>
    <definedName name="__WE1">#REF!</definedName>
    <definedName name="__WE2">#REF!</definedName>
    <definedName name="__WE3">#REF!</definedName>
    <definedName name="__WE4">#REF!</definedName>
    <definedName name="__WE5">#REF!</definedName>
    <definedName name="__WE6">#REF!</definedName>
    <definedName name="__WE7">#REF!</definedName>
    <definedName name="__WE8">#REF!</definedName>
    <definedName name="__WO1">#REF!</definedName>
    <definedName name="__WO2">#REF!</definedName>
    <definedName name="__WO3">#REF!</definedName>
    <definedName name="__WO4">#REF!</definedName>
    <definedName name="__WO5">#REF!</definedName>
    <definedName name="__WO6">#REF!</definedName>
    <definedName name="__WO7">#REF!</definedName>
    <definedName name="__WO8">#REF!</definedName>
    <definedName name="__WT1">#REF!</definedName>
    <definedName name="__WT2">#REF!</definedName>
    <definedName name="__WT3">#REF!</definedName>
    <definedName name="__WT4">#REF!</definedName>
    <definedName name="__WT5">#REF!</definedName>
    <definedName name="__WT6">#REF!</definedName>
    <definedName name="__WT7">#REF!</definedName>
    <definedName name="__WT8">#REF!</definedName>
    <definedName name="__WW1">#REF!</definedName>
    <definedName name="__WW2">#REF!</definedName>
    <definedName name="__xlnm._FilterDatabase">#REF!</definedName>
    <definedName name="__xlnm._FilterDatabase_1">"$#REF!.$A$1:$A$267"</definedName>
    <definedName name="__xlnm._FilterDatabase_2">#REF!</definedName>
    <definedName name="__xlnm.Print_Area">#REF!</definedName>
    <definedName name="__xlnm.Print_Area_1">"$#REF!.$A$1:$AQ$205"</definedName>
    <definedName name="__zz1">#REF!</definedName>
    <definedName name="__zz2">#REF!</definedName>
    <definedName name="__zz3">#REF!</definedName>
    <definedName name="_020037">#REF!</definedName>
    <definedName name="_020488">#REF!</definedName>
    <definedName name="_1">#REF!</definedName>
    <definedName name="_1_?쾴?">#REF!</definedName>
    <definedName name="_1_0_0_F" hidden="1">#REF!</definedName>
    <definedName name="_10000010">#REF!</definedName>
    <definedName name="_10000020">#REF!</definedName>
    <definedName name="_10000040">#REF!</definedName>
    <definedName name="_10000050">#REF!</definedName>
    <definedName name="_1000010">#REF!</definedName>
    <definedName name="_10000130">#REF!</definedName>
    <definedName name="_10000131">#REF!</definedName>
    <definedName name="_1000015">#REF!</definedName>
    <definedName name="_1000020">#REF!</definedName>
    <definedName name="_1000030">#REF!</definedName>
    <definedName name="_1000040">#REF!</definedName>
    <definedName name="_1000050">#REF!</definedName>
    <definedName name="_1000060">#REF!</definedName>
    <definedName name="_1000070">#REF!</definedName>
    <definedName name="_1000080">#REF!</definedName>
    <definedName name="_1000090">#REF!</definedName>
    <definedName name="_1000100">#REF!</definedName>
    <definedName name="_1000110">#REF!</definedName>
    <definedName name="_1000120">#REF!</definedName>
    <definedName name="_1000130">#REF!</definedName>
    <definedName name="_10001311">#REF!</definedName>
    <definedName name="_10001312">#REF!</definedName>
    <definedName name="_1000140">#REF!</definedName>
    <definedName name="_1000150">#REF!</definedName>
    <definedName name="_1000160">#REF!</definedName>
    <definedName name="_1000170">#REF!</definedName>
    <definedName name="_1000180">#REF!</definedName>
    <definedName name="_1000190">#REF!</definedName>
    <definedName name="_1000200">#REF!</definedName>
    <definedName name="_1000210">#REF!</definedName>
    <definedName name="_1000220">#REF!</definedName>
    <definedName name="_1000230">#REF!</definedName>
    <definedName name="_1000240">#REF!</definedName>
    <definedName name="_1000250">#REF!</definedName>
    <definedName name="_1000260">#REF!</definedName>
    <definedName name="_1000280">#REF!</definedName>
    <definedName name="_1000290">#REF!</definedName>
    <definedName name="_1000300">#REF!</definedName>
    <definedName name="_1000310">#REF!</definedName>
    <definedName name="_1000320">#REF!</definedName>
    <definedName name="_1000330">#REF!</definedName>
    <definedName name="_1000340">#REF!</definedName>
    <definedName name="_1000360">#REF!</definedName>
    <definedName name="_1000370">#REF!</definedName>
    <definedName name="_1000380">#REF!</definedName>
    <definedName name="_1000390">#REF!</definedName>
    <definedName name="_1000400">#REF!</definedName>
    <definedName name="_1000420">#REF!</definedName>
    <definedName name="_1000430">#REF!</definedName>
    <definedName name="_1000432">#REF!</definedName>
    <definedName name="_1000440">#REF!</definedName>
    <definedName name="_1000442">#REF!</definedName>
    <definedName name="_1000450">#REF!</definedName>
    <definedName name="_1000460">#REF!</definedName>
    <definedName name="_1000470">#REF!</definedName>
    <definedName name="_1000475">#REF!</definedName>
    <definedName name="_1000480">#REF!</definedName>
    <definedName name="_1000485">#REF!</definedName>
    <definedName name="_1000490">#REF!</definedName>
    <definedName name="_1000500">#REF!</definedName>
    <definedName name="_1000510">#REF!</definedName>
    <definedName name="_1000520">#REF!</definedName>
    <definedName name="_1000530">#REF!</definedName>
    <definedName name="_1000540">#REF!</definedName>
    <definedName name="_1000550">#REF!</definedName>
    <definedName name="_1000560">#REF!</definedName>
    <definedName name="_1000570">#REF!</definedName>
    <definedName name="_1000580">#REF!</definedName>
    <definedName name="_1000590">#REF!</definedName>
    <definedName name="_1000600">#REF!</definedName>
    <definedName name="_1000610">#REF!</definedName>
    <definedName name="_1000620">#REF!</definedName>
    <definedName name="_1000630">#REF!</definedName>
    <definedName name="_1000640">#REF!</definedName>
    <definedName name="_1000650">#REF!</definedName>
    <definedName name="_1000660">#REF!</definedName>
    <definedName name="_1000670">#REF!</definedName>
    <definedName name="_1000680">#REF!</definedName>
    <definedName name="_1000690">#REF!</definedName>
    <definedName name="_1000700">#REF!</definedName>
    <definedName name="_1000710">#REF!</definedName>
    <definedName name="_1000720">#REF!</definedName>
    <definedName name="_1000722">#REF!</definedName>
    <definedName name="_1000724">#REF!</definedName>
    <definedName name="_1000726">#REF!</definedName>
    <definedName name="_1000728">#REF!</definedName>
    <definedName name="_1000730">#REF!</definedName>
    <definedName name="_1000740">#REF!</definedName>
    <definedName name="_1000750">#REF!</definedName>
    <definedName name="_1000760">#REF!</definedName>
    <definedName name="_1000770">#REF!</definedName>
    <definedName name="_1000780">#REF!</definedName>
    <definedName name="_1000790">#REF!</definedName>
    <definedName name="_1000800">#REF!</definedName>
    <definedName name="_1000810">#REF!</definedName>
    <definedName name="_1000820">#REF!</definedName>
    <definedName name="_1000830">#REF!</definedName>
    <definedName name="_1000835">#REF!</definedName>
    <definedName name="_1000840">#REF!</definedName>
    <definedName name="_1000850">#REF!</definedName>
    <definedName name="_1000860">#REF!</definedName>
    <definedName name="_1000870">#REF!</definedName>
    <definedName name="_1000880">#REF!</definedName>
    <definedName name="_1000890">#REF!</definedName>
    <definedName name="_1000895">#REF!</definedName>
    <definedName name="_1000910">#REF!</definedName>
    <definedName name="_1000920">#REF!</definedName>
    <definedName name="_1000930">#REF!</definedName>
    <definedName name="_1000940">#REF!</definedName>
    <definedName name="_1000950">#REF!</definedName>
    <definedName name="_1000960">#REF!</definedName>
    <definedName name="_1000964">#REF!</definedName>
    <definedName name="_1000965">#REF!</definedName>
    <definedName name="_1000970">#REF!</definedName>
    <definedName name="_1000980">#REF!</definedName>
    <definedName name="_1000990">#REF!</definedName>
    <definedName name="_1000A01">#N/A</definedName>
    <definedName name="_1001000">#REF!</definedName>
    <definedName name="_1001020">#REF!</definedName>
    <definedName name="_1001030">#REF!</definedName>
    <definedName name="_1001032">#REF!</definedName>
    <definedName name="_1001050">#REF!</definedName>
    <definedName name="_1001060">#REF!</definedName>
    <definedName name="_1001070">#REF!</definedName>
    <definedName name="_1001080">#REF!</definedName>
    <definedName name="_1001090">#REF!</definedName>
    <definedName name="_1001100">#REF!</definedName>
    <definedName name="_1001102">#REF!</definedName>
    <definedName name="_1001104">#REF!</definedName>
    <definedName name="_1001110">#REF!</definedName>
    <definedName name="_1001111">#REF!</definedName>
    <definedName name="_1001120">#REF!</definedName>
    <definedName name="_1001130">#REF!</definedName>
    <definedName name="_1001150">#REF!</definedName>
    <definedName name="_1001160">#REF!</definedName>
    <definedName name="_1001170">#REF!</definedName>
    <definedName name="_1001180">#REF!</definedName>
    <definedName name="_1001190">#REF!</definedName>
    <definedName name="_1001210">#REF!</definedName>
    <definedName name="_1001230">#REF!</definedName>
    <definedName name="_1001240">#REF!</definedName>
    <definedName name="_1001261">#REF!</definedName>
    <definedName name="_1001270">#REF!</definedName>
    <definedName name="_1001272">#REF!</definedName>
    <definedName name="_1001274">#REF!</definedName>
    <definedName name="_1001280">#REF!</definedName>
    <definedName name="_1001290">#REF!</definedName>
    <definedName name="_1001300">#REF!</definedName>
    <definedName name="_1001310">#REF!</definedName>
    <definedName name="_1001320">#REF!</definedName>
    <definedName name="_1001330">#REF!</definedName>
    <definedName name="_1001340">#REF!</definedName>
    <definedName name="_1001342">#REF!</definedName>
    <definedName name="_1001343">#REF!</definedName>
    <definedName name="_1001344">#REF!</definedName>
    <definedName name="_1001345">#REF!</definedName>
    <definedName name="_1001346">#REF!</definedName>
    <definedName name="_1001347">#REF!</definedName>
    <definedName name="_1001348">#REF!</definedName>
    <definedName name="_1001349">#REF!</definedName>
    <definedName name="_1001360">#REF!</definedName>
    <definedName name="_1001370">#REF!</definedName>
    <definedName name="_1001380">#REF!</definedName>
    <definedName name="_1001390">#REF!</definedName>
    <definedName name="_1001400">#REF!</definedName>
    <definedName name="_1001402">#REF!</definedName>
    <definedName name="_1001404">#REF!</definedName>
    <definedName name="_1001480">#REF!</definedName>
    <definedName name="_1001490">#REF!</definedName>
    <definedName name="_1001510">#REF!</definedName>
    <definedName name="_1001520">#REF!</definedName>
    <definedName name="_1001530">#REF!</definedName>
    <definedName name="_1001540">#REF!</definedName>
    <definedName name="_1001550">#REF!</definedName>
    <definedName name="_1001560">#REF!</definedName>
    <definedName name="_1001570">#REF!</definedName>
    <definedName name="_1001580">#REF!</definedName>
    <definedName name="_1001590">#REF!</definedName>
    <definedName name="_1001600">#REF!</definedName>
    <definedName name="_1001610">#REF!</definedName>
    <definedName name="_1001620">#REF!</definedName>
    <definedName name="_1001630">#REF!</definedName>
    <definedName name="_1001640">#REF!</definedName>
    <definedName name="_1001642">#REF!</definedName>
    <definedName name="_1001643">#REF!</definedName>
    <definedName name="_1001644">#REF!</definedName>
    <definedName name="_1001645">#REF!</definedName>
    <definedName name="_1001646">#REF!</definedName>
    <definedName name="_1001647">#REF!</definedName>
    <definedName name="_1001650">#REF!</definedName>
    <definedName name="_1001660">#REF!</definedName>
    <definedName name="_1001670">#REF!</definedName>
    <definedName name="_1001680">#REF!</definedName>
    <definedName name="_1001690">#REF!</definedName>
    <definedName name="_1001700">#REF!</definedName>
    <definedName name="_1001710">#REF!</definedName>
    <definedName name="_1001720">#REF!</definedName>
    <definedName name="_1001730">#REF!</definedName>
    <definedName name="_1001740">#REF!</definedName>
    <definedName name="_1001750">#REF!</definedName>
    <definedName name="_1001770">#REF!</definedName>
    <definedName name="_1001775">#REF!</definedName>
    <definedName name="_1001780">#REF!</definedName>
    <definedName name="_1001790">#REF!</definedName>
    <definedName name="_1001795">#REF!</definedName>
    <definedName name="_1001800">#REF!</definedName>
    <definedName name="_1001810">#REF!</definedName>
    <definedName name="_1001820">#REF!</definedName>
    <definedName name="_1001830">#REF!</definedName>
    <definedName name="_1001840">#REF!</definedName>
    <definedName name="_1001850">#REF!</definedName>
    <definedName name="_1001860">#REF!</definedName>
    <definedName name="_1001870">#REF!</definedName>
    <definedName name="_1001880">#REF!</definedName>
    <definedName name="_1001890">#REF!</definedName>
    <definedName name="_1001900">#REF!</definedName>
    <definedName name="_1001910">#REF!</definedName>
    <definedName name="_1001920">#REF!</definedName>
    <definedName name="_1001930">#REF!</definedName>
    <definedName name="_1001940">#REF!</definedName>
    <definedName name="_1001950">#REF!</definedName>
    <definedName name="_1001960">#REF!</definedName>
    <definedName name="_1001970">#REF!</definedName>
    <definedName name="_1001980">#REF!</definedName>
    <definedName name="_1001990">#REF!</definedName>
    <definedName name="_1002000">#REF!</definedName>
    <definedName name="_1002010">#REF!</definedName>
    <definedName name="_1002020">#REF!</definedName>
    <definedName name="_1002030">#REF!</definedName>
    <definedName name="_1002040">#REF!</definedName>
    <definedName name="_1002050">#REF!</definedName>
    <definedName name="_1002060">#REF!</definedName>
    <definedName name="_1002070">#REF!</definedName>
    <definedName name="_1002080">#REF!</definedName>
    <definedName name="_1002090">#REF!</definedName>
    <definedName name="_1002100">#REF!</definedName>
    <definedName name="_1002110">#REF!</definedName>
    <definedName name="_1002120">#REF!</definedName>
    <definedName name="_1002130">#REF!</definedName>
    <definedName name="_1002140">#REF!</definedName>
    <definedName name="_1002150">#REF!</definedName>
    <definedName name="_1002160">#REF!</definedName>
    <definedName name="_1002170">#REF!</definedName>
    <definedName name="_1002180">#REF!</definedName>
    <definedName name="_1002190">#REF!</definedName>
    <definedName name="_1002200">#REF!</definedName>
    <definedName name="_1002210">#REF!</definedName>
    <definedName name="_1002220">#REF!</definedName>
    <definedName name="_1002230">#REF!</definedName>
    <definedName name="_1002240">#REF!</definedName>
    <definedName name="_1002250">#REF!</definedName>
    <definedName name="_1002260">#REF!</definedName>
    <definedName name="_1002270">#REF!</definedName>
    <definedName name="_1002280">#REF!</definedName>
    <definedName name="_1002290">#REF!</definedName>
    <definedName name="_1002292">#REF!</definedName>
    <definedName name="_1002295">#REF!</definedName>
    <definedName name="_1002300">#REF!</definedName>
    <definedName name="_1002310">#REF!</definedName>
    <definedName name="_1002320">#REF!</definedName>
    <definedName name="_1002330">#REF!</definedName>
    <definedName name="_1002340">#REF!</definedName>
    <definedName name="_1002350">#REF!</definedName>
    <definedName name="_1002360">#REF!</definedName>
    <definedName name="_1002370">#REF!</definedName>
    <definedName name="_1002380">#REF!</definedName>
    <definedName name="_1002390">#REF!</definedName>
    <definedName name="_1002400">#REF!</definedName>
    <definedName name="_1002415">#REF!</definedName>
    <definedName name="_1002420">#REF!</definedName>
    <definedName name="_1002425">#REF!</definedName>
    <definedName name="_1002430">#REF!</definedName>
    <definedName name="_1002440">#REF!</definedName>
    <definedName name="_1002450">#REF!</definedName>
    <definedName name="_1002460">#REF!</definedName>
    <definedName name="_1002470">#REF!</definedName>
    <definedName name="_1002480">#REF!</definedName>
    <definedName name="_1002490">#REF!</definedName>
    <definedName name="_1002500">#REF!</definedName>
    <definedName name="_1002502">#REF!</definedName>
    <definedName name="_1002504">#REF!</definedName>
    <definedName name="_1002506">#REF!</definedName>
    <definedName name="_1002510">#REF!</definedName>
    <definedName name="_1002520">#REF!</definedName>
    <definedName name="_1002525">#REF!</definedName>
    <definedName name="_1002540">#REF!</definedName>
    <definedName name="_1002560">#REF!</definedName>
    <definedName name="_1002570">#REF!</definedName>
    <definedName name="_1002580">#REF!</definedName>
    <definedName name="_1002590">#REF!</definedName>
    <definedName name="_1002600">#REF!</definedName>
    <definedName name="_1002610">#REF!</definedName>
    <definedName name="_1002620">#REF!</definedName>
    <definedName name="_1002630">#REF!</definedName>
    <definedName name="_1002640">#REF!</definedName>
    <definedName name="_1002650">#REF!</definedName>
    <definedName name="_1002660">#REF!</definedName>
    <definedName name="_1002670">#REF!</definedName>
    <definedName name="_1002680">#REF!</definedName>
    <definedName name="_1002690">#REF!</definedName>
    <definedName name="_1002700">#REF!</definedName>
    <definedName name="_1002710">#REF!</definedName>
    <definedName name="_1002720">#REF!</definedName>
    <definedName name="_1002730">#REF!</definedName>
    <definedName name="_1002740">#REF!</definedName>
    <definedName name="_1002750">#REF!</definedName>
    <definedName name="_1002760">#REF!</definedName>
    <definedName name="_1002780">#REF!</definedName>
    <definedName name="_1002790">#REF!</definedName>
    <definedName name="_1002800">#REF!</definedName>
    <definedName name="_1002810">#REF!</definedName>
    <definedName name="_1002840">#REF!</definedName>
    <definedName name="_1002850">#REF!</definedName>
    <definedName name="_1002860">#REF!</definedName>
    <definedName name="_1002880">#REF!</definedName>
    <definedName name="_1002890">#REF!</definedName>
    <definedName name="_1002900">#REF!</definedName>
    <definedName name="_1002910">#REF!</definedName>
    <definedName name="_1002912">#REF!</definedName>
    <definedName name="_1002914">#REF!</definedName>
    <definedName name="_1002915">#REF!</definedName>
    <definedName name="_1002916">#REF!</definedName>
    <definedName name="_1002920">#REF!</definedName>
    <definedName name="_1002930">#REF!</definedName>
    <definedName name="_1002940">#REF!</definedName>
    <definedName name="_1002950">#REF!</definedName>
    <definedName name="_1002960">#REF!</definedName>
    <definedName name="_1002970">#REF!</definedName>
    <definedName name="_1002980">#REF!</definedName>
    <definedName name="_1002990">#REF!</definedName>
    <definedName name="_1003000">#REF!</definedName>
    <definedName name="_1003010">#REF!</definedName>
    <definedName name="_1003020">#REF!</definedName>
    <definedName name="_1003030">#REF!</definedName>
    <definedName name="_1003040">#REF!</definedName>
    <definedName name="_1003050">#REF!</definedName>
    <definedName name="_1003060">#REF!</definedName>
    <definedName name="_1003070">#REF!</definedName>
    <definedName name="_1003080">#REF!</definedName>
    <definedName name="_1003090">#REF!</definedName>
    <definedName name="_1003100">#REF!</definedName>
    <definedName name="_1003110">#REF!</definedName>
    <definedName name="_1003120">#REF!</definedName>
    <definedName name="_1003122">#REF!</definedName>
    <definedName name="_1003130">#REF!</definedName>
    <definedName name="_1003140">#REF!</definedName>
    <definedName name="_1003150">#REF!</definedName>
    <definedName name="_1003160">#REF!</definedName>
    <definedName name="_1003190">#REF!</definedName>
    <definedName name="_1003200">#REF!</definedName>
    <definedName name="_1003210">#REF!</definedName>
    <definedName name="_1003220">#REF!</definedName>
    <definedName name="_1003230">#REF!</definedName>
    <definedName name="_1003240">#REF!</definedName>
    <definedName name="_1003250">#REF!</definedName>
    <definedName name="_1003260">#REF!</definedName>
    <definedName name="_1003270">#REF!</definedName>
    <definedName name="_1003280">#REF!</definedName>
    <definedName name="_1003290">#REF!</definedName>
    <definedName name="_1003300">#REF!</definedName>
    <definedName name="_1003310">#REF!</definedName>
    <definedName name="_1003320">#REF!</definedName>
    <definedName name="_1003330">#REF!</definedName>
    <definedName name="_1003340">#REF!</definedName>
    <definedName name="_1003350">#REF!</definedName>
    <definedName name="_1003360">#REF!</definedName>
    <definedName name="_1003370">#REF!</definedName>
    <definedName name="_1003380">#REF!</definedName>
    <definedName name="_1003390">#REF!</definedName>
    <definedName name="_1003400">#REF!</definedName>
    <definedName name="_1003410">#REF!</definedName>
    <definedName name="_1003420">#REF!</definedName>
    <definedName name="_1003430">#REF!</definedName>
    <definedName name="_1003440">#REF!</definedName>
    <definedName name="_1003450">#REF!</definedName>
    <definedName name="_1003460">#REF!</definedName>
    <definedName name="_1003470">#REF!</definedName>
    <definedName name="_1003480">#REF!</definedName>
    <definedName name="_1003490">#REF!</definedName>
    <definedName name="_1003500">#REF!</definedName>
    <definedName name="_1003510">#REF!</definedName>
    <definedName name="_1003520">#REF!</definedName>
    <definedName name="_1003530">#REF!</definedName>
    <definedName name="_1003540">#REF!</definedName>
    <definedName name="_1003550">#REF!</definedName>
    <definedName name="_1003560">#REF!</definedName>
    <definedName name="_1003570">#REF!</definedName>
    <definedName name="_1003580">#REF!</definedName>
    <definedName name="_1003590">#REF!</definedName>
    <definedName name="_1003600">#REF!</definedName>
    <definedName name="_1003610">#REF!</definedName>
    <definedName name="_1003620">#REF!</definedName>
    <definedName name="_1003640">#REF!</definedName>
    <definedName name="_1003650">#REF!</definedName>
    <definedName name="_1003660">#REF!</definedName>
    <definedName name="_1003670">#REF!</definedName>
    <definedName name="_1003690">#REF!</definedName>
    <definedName name="_1003710">#REF!</definedName>
    <definedName name="_1003720">#REF!</definedName>
    <definedName name="_1003730">#REF!</definedName>
    <definedName name="_1003740">#REF!</definedName>
    <definedName name="_1003750">#REF!</definedName>
    <definedName name="_1003760">#REF!</definedName>
    <definedName name="_1003770">#REF!</definedName>
    <definedName name="_1003780">#REF!</definedName>
    <definedName name="_1003790">#REF!</definedName>
    <definedName name="_1003800">#REF!</definedName>
    <definedName name="_1003810">#REF!</definedName>
    <definedName name="_1003820">#REF!</definedName>
    <definedName name="_1003830">#REF!</definedName>
    <definedName name="_1003840">#REF!</definedName>
    <definedName name="_1003850">#REF!</definedName>
    <definedName name="_1003870">#REF!</definedName>
    <definedName name="_1003920">#REF!</definedName>
    <definedName name="_1003930">#REF!</definedName>
    <definedName name="_1003940">#REF!</definedName>
    <definedName name="_1003950">#REF!</definedName>
    <definedName name="_1003960">#REF!</definedName>
    <definedName name="_1003970">#REF!</definedName>
    <definedName name="_1003980">#REF!</definedName>
    <definedName name="_1003990">#REF!</definedName>
    <definedName name="_1004000">#REF!</definedName>
    <definedName name="_1004010">#REF!</definedName>
    <definedName name="_1004020">#REF!</definedName>
    <definedName name="_1004030">#REF!</definedName>
    <definedName name="_1004040">#REF!</definedName>
    <definedName name="_1004050">#REF!</definedName>
    <definedName name="_1004052">#REF!</definedName>
    <definedName name="_1004054">#REF!</definedName>
    <definedName name="_1004060">#REF!</definedName>
    <definedName name="_1004080">#REF!</definedName>
    <definedName name="_10300010">#REF!</definedName>
    <definedName name="_10300030">#REF!</definedName>
    <definedName name="_11">#N/A</definedName>
    <definedName name="_1Excel_BuiltIn_Print_Area_2">#REF!</definedName>
    <definedName name="_2_?쾴?_?">#REF!</definedName>
    <definedName name="_20000005">#REF!</definedName>
    <definedName name="_20000006">#REF!</definedName>
    <definedName name="_20000007">#REF!</definedName>
    <definedName name="_20000008">#REF!</definedName>
    <definedName name="_20000030">#REF!</definedName>
    <definedName name="_20000031">#REF!</definedName>
    <definedName name="_20000032">#REF!</definedName>
    <definedName name="_20000033">#REF!</definedName>
    <definedName name="_20000034">#REF!</definedName>
    <definedName name="_20000048">#REF!</definedName>
    <definedName name="_20000060">#REF!</definedName>
    <definedName name="_20000061">#REF!</definedName>
    <definedName name="_20000062">#REF!</definedName>
    <definedName name="_20000063">#REF!</definedName>
    <definedName name="_20000080">#REF!</definedName>
    <definedName name="_20000081">#REF!</definedName>
    <definedName name="_20000093">#REF!</definedName>
    <definedName name="_20000095">#REF!</definedName>
    <definedName name="_20000097">#REF!</definedName>
    <definedName name="_20000098">#REF!</definedName>
    <definedName name="_20000120">#REF!</definedName>
    <definedName name="_20000140">#REF!</definedName>
    <definedName name="_20000290">#REF!</definedName>
    <definedName name="_20001220">#REF!</definedName>
    <definedName name="_20001490">#REF!</definedName>
    <definedName name="_20001590">#REF!</definedName>
    <definedName name="_20040300">#REF!</definedName>
    <definedName name="_20050000">#REF!</definedName>
    <definedName name="_20300010">#REF!</definedName>
    <definedName name="_20300020">#REF!</definedName>
    <definedName name="_20300030">#REF!</definedName>
    <definedName name="_20300050">#REF!</definedName>
    <definedName name="_20300110">#REF!</definedName>
    <definedName name="_20300120">#REF!</definedName>
    <definedName name="_20300130">#REF!</definedName>
    <definedName name="_20300150">#REF!</definedName>
    <definedName name="_20300170">#REF!</definedName>
    <definedName name="_20300200">#REF!</definedName>
    <definedName name="_20300220">#REF!</definedName>
    <definedName name="_20300230">#REF!</definedName>
    <definedName name="_20300270">#REF!</definedName>
    <definedName name="_20300300">#REF!</definedName>
    <definedName name="_20300310">#REF!</definedName>
    <definedName name="_20300320">#REF!</definedName>
    <definedName name="_20300350">#REF!</definedName>
    <definedName name="_20300370">#REF!</definedName>
    <definedName name="_20300390">#REF!</definedName>
    <definedName name="_20300410">#REF!</definedName>
    <definedName name="_20300420">#REF!</definedName>
    <definedName name="_20300430">#REF!</definedName>
    <definedName name="_20300490">#REF!</definedName>
    <definedName name="_20300510">#REF!</definedName>
    <definedName name="_20300530">#REF!</definedName>
    <definedName name="_20300540">#REF!</definedName>
    <definedName name="_20300550">#REF!</definedName>
    <definedName name="_20300620">#REF!</definedName>
    <definedName name="_20300680">#REF!</definedName>
    <definedName name="_20300690">#REF!</definedName>
    <definedName name="_20300700">#REF!</definedName>
    <definedName name="_20300710">#REF!</definedName>
    <definedName name="_20300780">#REF!</definedName>
    <definedName name="_20300790">#REF!</definedName>
    <definedName name="_20300810">#REF!</definedName>
    <definedName name="_20300820">#REF!</definedName>
    <definedName name="_20300830">#REF!</definedName>
    <definedName name="_20300840">#REF!</definedName>
    <definedName name="_20300850">#REF!</definedName>
    <definedName name="_20300860">#REF!</definedName>
    <definedName name="_20300870">#REF!</definedName>
    <definedName name="_20300880">#REF!</definedName>
    <definedName name="_20300890">#REF!</definedName>
    <definedName name="_20300910">#REF!</definedName>
    <definedName name="_20300950">#REF!</definedName>
    <definedName name="_20500010">#REF!</definedName>
    <definedName name="_21000220">#REF!</definedName>
    <definedName name="_21000240">#REF!</definedName>
    <definedName name="_21000250">#REF!</definedName>
    <definedName name="_21000270">#REF!</definedName>
    <definedName name="_21000280">#REF!</definedName>
    <definedName name="_21000350">#REF!</definedName>
    <definedName name="_22">#N/A</definedName>
    <definedName name="_29999986">#REF!</definedName>
    <definedName name="_29999990">#REF!</definedName>
    <definedName name="_2Excel_BuiltIn_Print_Area_2_1">#REF!</definedName>
    <definedName name="_3_?쾴?___P">#REF!</definedName>
    <definedName name="_30000010">#REF!</definedName>
    <definedName name="_36_0_0_F" hidden="1">#REF!</definedName>
    <definedName name="_37_0_0_F" hidden="1">#REF!</definedName>
    <definedName name="_38_0_0_F" hidden="1">#REF!</definedName>
    <definedName name="_4_?쾴?_T">#REF!</definedName>
    <definedName name="_40000760">#REF!</definedName>
    <definedName name="_40001600">#REF!</definedName>
    <definedName name="_40002160">#REF!</definedName>
    <definedName name="_４４__分_期">#REF!</definedName>
    <definedName name="_48090061">#REF!</definedName>
    <definedName name="_50000070">#REF!</definedName>
    <definedName name="_50000580">#REF!</definedName>
    <definedName name="_50000630">#REF!</definedName>
    <definedName name="_50000740">#REF!</definedName>
    <definedName name="_50000900">#REF!</definedName>
    <definedName name="_50000920">#REF!</definedName>
    <definedName name="_50000940">#REF!</definedName>
    <definedName name="_50003620">#REF!</definedName>
    <definedName name="_50004090">#REF!</definedName>
    <definedName name="_50004092">#REF!</definedName>
    <definedName name="_50004094">#REF!</definedName>
    <definedName name="_50005000">#REF!</definedName>
    <definedName name="_58_0_0_F" hidden="1">#REF!</definedName>
    <definedName name="_59_0_0_F" hidden="1">#REF!</definedName>
    <definedName name="_5Å__·¹_ÀÓ">#N/A</definedName>
    <definedName name="_60_0_0_F" hidden="1">#REF!</definedName>
    <definedName name="_60000380">#REF!</definedName>
    <definedName name="_60000840">#REF!</definedName>
    <definedName name="_64_0_0_F" hidden="1">#REF!</definedName>
    <definedName name="_65_0_0_F" hidden="1">#REF!</definedName>
    <definedName name="_6ãæÐ_ÍïÞÀ_Íª">#N/A</definedName>
    <definedName name="_70000010">#REF!</definedName>
    <definedName name="_70000020">#REF!</definedName>
    <definedName name="_70000030">#REF!</definedName>
    <definedName name="_70000070">#REF!</definedName>
    <definedName name="_70000075">#REF!</definedName>
    <definedName name="_70000080">#REF!</definedName>
    <definedName name="_70000200">#REF!</definedName>
    <definedName name="_70000400">#REF!</definedName>
    <definedName name="_70000450">#REF!</definedName>
    <definedName name="_70000460">#REF!</definedName>
    <definedName name="_70000500">#REF!</definedName>
    <definedName name="_75_0_0_F" hidden="1">#REF!</definedName>
    <definedName name="_75300012">#REF!</definedName>
    <definedName name="_76_0_0_F" hidden="1">#REF!</definedName>
    <definedName name="_77_0_0_F" hidden="1">#REF!</definedName>
    <definedName name="_7GO1_">#REF!</definedName>
    <definedName name="_8_0_0_F" hidden="1">#REF!</definedName>
    <definedName name="_8000290">#REF!</definedName>
    <definedName name="_8002160">#REF!</definedName>
    <definedName name="_8071504">#REF!</definedName>
    <definedName name="_8072001">#REF!</definedName>
    <definedName name="_8090061">#REF!</definedName>
    <definedName name="_8154501">#REF!</definedName>
    <definedName name="_8400060">#REF!</definedName>
    <definedName name="_8920180">#REF!</definedName>
    <definedName name="_8920220">#REF!</definedName>
    <definedName name="_8920360">#REF!</definedName>
    <definedName name="_8GO2_">#REF!</definedName>
    <definedName name="_9000005">#REF!</definedName>
    <definedName name="_9000008">#REF!</definedName>
    <definedName name="_9000009">#REF!</definedName>
    <definedName name="_9000010">#REF!</definedName>
    <definedName name="_9000011">#REF!</definedName>
    <definedName name="_9000013">#REF!</definedName>
    <definedName name="_9000014">#REF!</definedName>
    <definedName name="_9000015">#REF!</definedName>
    <definedName name="_9000016">#REF!</definedName>
    <definedName name="_9000018">#REF!</definedName>
    <definedName name="_9000020">#REF!</definedName>
    <definedName name="_9000024">#REF!</definedName>
    <definedName name="_9000026">#REF!</definedName>
    <definedName name="_9000027">#REF!</definedName>
    <definedName name="_9000032">#REF!</definedName>
    <definedName name="_9000036">#REF!</definedName>
    <definedName name="_9000062">#REF!</definedName>
    <definedName name="_9000190">#REF!</definedName>
    <definedName name="_9000200">#REF!</definedName>
    <definedName name="_9000210">#REF!</definedName>
    <definedName name="_9000442">#REF!</definedName>
    <definedName name="_9007090">#REF!</definedName>
    <definedName name="_9100307">#REF!</definedName>
    <definedName name="_9980297">#REF!</definedName>
    <definedName name="_9980298">#REF!</definedName>
    <definedName name="_9981217">#REF!</definedName>
    <definedName name="_9981287">#REF!</definedName>
    <definedName name="_9981297">#REF!</definedName>
    <definedName name="_9981307">#REF!</definedName>
    <definedName name="_9981317">#REF!</definedName>
    <definedName name="_9981327">#REF!</definedName>
    <definedName name="_9981337">#REF!</definedName>
    <definedName name="_9981347">#REF!</definedName>
    <definedName name="_9981357">#REF!</definedName>
    <definedName name="_9981437">#REF!</definedName>
    <definedName name="_9981447">#REF!</definedName>
    <definedName name="_9981477">#REF!</definedName>
    <definedName name="_9go3_">#REF!</definedName>
    <definedName name="_A1" hidden="1">#REF!</definedName>
    <definedName name="_A2" hidden="1">#REF!</definedName>
    <definedName name="_A3" hidden="1">#REF!</definedName>
    <definedName name="_A4" hidden="1">#REF!</definedName>
    <definedName name="_A5" hidden="1">#REF!</definedName>
    <definedName name="_AA68936">#REF!</definedName>
    <definedName name="_AA69375">#REF!</definedName>
    <definedName name="_AA70517">#REF!</definedName>
    <definedName name="_AA80220">#REF!</definedName>
    <definedName name="_AA90088">#REF!</definedName>
    <definedName name="_AA999999">#REF!</definedName>
    <definedName name="_ACC53">#REF!</definedName>
    <definedName name="_ACC54">#REF!</definedName>
    <definedName name="_ACC56">#REF!</definedName>
    <definedName name="_AD70035">#REF!</definedName>
    <definedName name="_AD75071">#REF!</definedName>
    <definedName name="_as1" localSheetId="9"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sp2">#REF!</definedName>
    <definedName name="_ASP3">#REF!</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1">#REF!</definedName>
    <definedName name="_B2">#REF!</definedName>
    <definedName name="_B3">#REF!</definedName>
    <definedName name="_B4">#REF!</definedName>
    <definedName name="_BUT38">#REF!</definedName>
    <definedName name="_BUT78">#REF!</definedName>
    <definedName name="_CAJAS" hidden="1">#REF!</definedName>
    <definedName name="_CON221">#REF!</definedName>
    <definedName name="_cot1">#REF!</definedName>
    <definedName name="_Dist_Bin" hidden="1">#REF!</definedName>
    <definedName name="_Dist_Values" hidden="1">#REF!</definedName>
    <definedName name="_dsq1">#REF!</definedName>
    <definedName name="_dsq2">#REF!</definedName>
    <definedName name="_dsq3">#REF!</definedName>
    <definedName name="_dsq4">#REF!</definedName>
    <definedName name="_dsq5">#REF!</definedName>
    <definedName name="_EJE01">"#REF!"</definedName>
    <definedName name="_EJE02">"#REF!"</definedName>
    <definedName name="_EJE03">"#REF!"</definedName>
    <definedName name="_ELL45">#REF!</definedName>
    <definedName name="_ELL90">#REF!</definedName>
    <definedName name="_eps1">#REF!</definedName>
    <definedName name="_eps21">#REF!</definedName>
    <definedName name="_eps22">#REF!</definedName>
    <definedName name="_F">#REF!</definedName>
    <definedName name="_F1">#REF!</definedName>
    <definedName name="_F15p">#REF!</definedName>
    <definedName name="_fc">#REF!</definedName>
    <definedName name="_fct1">#REF!</definedName>
    <definedName name="_fdel" hidden="1">#REF!</definedName>
    <definedName name="_Fill" hidden="1">#REF!</definedName>
    <definedName name="_xlnm._FilterDatabase" localSheetId="5" hidden="1">'ARQ SOT'!$A$11:$L$208</definedName>
    <definedName name="_xlnm._FilterDatabase" localSheetId="6" hidden="1">'ARQ TORRE'!$A$10:$L$774</definedName>
    <definedName name="_xlnm._FilterDatabase" localSheetId="3" hidden="1">'EST SOTANO'!$C$10:$M$295</definedName>
    <definedName name="_xlnm._FilterDatabase" localSheetId="4" hidden="1">'EST TORRE'!$C$10:$M$163</definedName>
    <definedName name="_xlnm._FilterDatabase" localSheetId="2" hidden="1">GG!$A$11:$WQL$125</definedName>
    <definedName name="_xlnm._FilterDatabase" localSheetId="9" hidden="1">#REF!</definedName>
    <definedName name="_xlnm._FilterDatabase" localSheetId="8" hidden="1">#REF!</definedName>
    <definedName name="_xlnm._FilterDatabase" localSheetId="0" hidden="1">OP!$A$13:$K$175</definedName>
    <definedName name="_xlnm._FilterDatabase" hidden="1">#REF!</definedName>
    <definedName name="_GO1">#REF!</definedName>
    <definedName name="_GO2">#REF!</definedName>
    <definedName name="_go3">#REF!</definedName>
    <definedName name="_H1">#REF!</definedName>
    <definedName name="_H4">#REF!</definedName>
    <definedName name="_H5">#REF!</definedName>
    <definedName name="_H6">#REF!</definedName>
    <definedName name="_H7">#REF!</definedName>
    <definedName name="_H8">#REF!</definedName>
    <definedName name="_H9">#REF!</definedName>
    <definedName name="_HED2">#REF!</definedName>
    <definedName name="_HOW2">#REF!</definedName>
    <definedName name="_IGV2">#REF!</definedName>
    <definedName name="_Ind1">#REF!</definedName>
    <definedName name="_Ind2">#REF!</definedName>
    <definedName name="_Ind3">#REF!</definedName>
    <definedName name="_Ind4">#REF!</definedName>
    <definedName name="_Ind5">#REF!</definedName>
    <definedName name="_jz32">#REF!</definedName>
    <definedName name="_Key1" localSheetId="9" hidden="1">#REF!</definedName>
    <definedName name="_Key1" localSheetId="8" hidden="1">#REF!</definedName>
    <definedName name="_Key1" hidden="1">#REF!</definedName>
    <definedName name="_Key2" hidden="1">#REF!</definedName>
    <definedName name="_L1">#REF!</definedName>
    <definedName name="_L2">#REF!</definedName>
    <definedName name="_L3">#REF!</definedName>
    <definedName name="_L4">#REF!</definedName>
    <definedName name="_L5">#REF!</definedName>
    <definedName name="_L6">#REF!</definedName>
    <definedName name="_L7">#REF!</definedName>
    <definedName name="_L8">#REF!</definedName>
    <definedName name="_L9">#REF!</definedName>
    <definedName name="_MAT1">#REF!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v1">#REF!</definedName>
    <definedName name="_mcv2">#REF!</definedName>
    <definedName name="_mcv3">#REF!</definedName>
    <definedName name="_mcv4">#REF!</definedName>
    <definedName name="_mcv5">#REF!</definedName>
    <definedName name="_MES1">#REF!</definedName>
    <definedName name="_MES2">#REF!</definedName>
    <definedName name="_MES3">#REF!</definedName>
    <definedName name="_MET1">#REF!</definedName>
    <definedName name="_MET2">#REF!</definedName>
    <definedName name="_mhw1">#REF!</definedName>
    <definedName name="_mmm" localSheetId="9" hidden="1">{#N/A,#N/A,FALSE,"SumD";#N/A,#N/A,FALSE,"ElecD";#N/A,#N/A,FALSE,"MechD";#N/A,#N/A,FALSE,"GeotD";#N/A,#N/A,FALSE,"PrcsD";#N/A,#N/A,FALSE,"TunnD";#N/A,#N/A,FALSE,"CivlD";#N/A,#N/A,FALSE,"NtwkD";#N/A,#N/A,FALSE,"EstgD";#N/A,#N/A,FALSE,"PEngD"}</definedName>
    <definedName name="_mmm" localSheetId="8" hidden="1">{#N/A,#N/A,FALSE,"SumD";#N/A,#N/A,FALSE,"ElecD";#N/A,#N/A,FALSE,"MechD";#N/A,#N/A,FALSE,"GeotD";#N/A,#N/A,FALSE,"PrcsD";#N/A,#N/A,FALSE,"TunnD";#N/A,#N/A,FALSE,"CivlD";#N/A,#N/A,FALSE,"NtwkD";#N/A,#N/A,FALSE,"EstgD";#N/A,#N/A,FALSE,"PEngD"}</definedName>
    <definedName name="_mmm" hidden="1">{#N/A,#N/A,FALSE,"SumD";#N/A,#N/A,FALSE,"ElecD";#N/A,#N/A,FALSE,"MechD";#N/A,#N/A,FALSE,"GeotD";#N/A,#N/A,FALSE,"PrcsD";#N/A,#N/A,FALSE,"TunnD";#N/A,#N/A,FALSE,"CivlD";#N/A,#N/A,FALSE,"NtwkD";#N/A,#N/A,FALSE,"EstgD";#N/A,#N/A,FALSE,"PEngD"}</definedName>
    <definedName name="_mop1">#REF!</definedName>
    <definedName name="_murostrecca" localSheetId="9" hidden="1">#REF!</definedName>
    <definedName name="_murostrecca" localSheetId="8" hidden="1">#REF!</definedName>
    <definedName name="_murostrecca" hidden="1">#REF!</definedName>
    <definedName name="_mvw1">#REF!</definedName>
    <definedName name="_n1" localSheetId="9" hidden="1">#REF!</definedName>
    <definedName name="_n1" localSheetId="8" hidden="1">#REF!</definedName>
    <definedName name="_n1" hidden="1">#REF!</definedName>
    <definedName name="_n2" localSheetId="9" hidden="1">#REF!</definedName>
    <definedName name="_n2" localSheetId="8" hidden="1">#REF!</definedName>
    <definedName name="_n2" hidden="1">#REF!</definedName>
    <definedName name="_Order1" hidden="1">255</definedName>
    <definedName name="_Order2" hidden="1">255</definedName>
    <definedName name="_P1">#REF!</definedName>
    <definedName name="_P10">#REF!</definedName>
    <definedName name="_p1000010">#REF!</definedName>
    <definedName name="_p1000030">#REF!</definedName>
    <definedName name="_p1000040">#REF!</definedName>
    <definedName name="_p1000050">#REF!</definedName>
    <definedName name="_p1000060">#REF!</definedName>
    <definedName name="_p1000070">#REF!</definedName>
    <definedName name="_p1000090">#REF!</definedName>
    <definedName name="_p1000100">#REF!</definedName>
    <definedName name="_p1000110">#REF!</definedName>
    <definedName name="_p1000120">#REF!</definedName>
    <definedName name="_p1000130">#REF!</definedName>
    <definedName name="_p1000140">#REF!</definedName>
    <definedName name="_p1000150">#REF!</definedName>
    <definedName name="_p1000160">#REF!</definedName>
    <definedName name="_p1000170">#REF!</definedName>
    <definedName name="_p1000180">#REF!</definedName>
    <definedName name="_p1000190">#REF!</definedName>
    <definedName name="_p1000200">#REF!</definedName>
    <definedName name="_p1000210">#REF!</definedName>
    <definedName name="_p1000220">#REF!</definedName>
    <definedName name="_p1000230">#REF!</definedName>
    <definedName name="_p1000240">#REF!</definedName>
    <definedName name="_p1000250">#REF!</definedName>
    <definedName name="_p1000260">#REF!</definedName>
    <definedName name="_p1000280">#REF!</definedName>
    <definedName name="_p1000290">#REF!</definedName>
    <definedName name="_p1000300">#REF!</definedName>
    <definedName name="_p1000310">#REF!</definedName>
    <definedName name="_p1000320">#REF!</definedName>
    <definedName name="_p1000330">#REF!</definedName>
    <definedName name="_p1000340">#REF!</definedName>
    <definedName name="_p1000360">#REF!</definedName>
    <definedName name="_p1000370">#REF!</definedName>
    <definedName name="_p1000380">#REF!</definedName>
    <definedName name="_p1000390">#REF!</definedName>
    <definedName name="_p1000420">#REF!</definedName>
    <definedName name="_p1000430">#REF!</definedName>
    <definedName name="_p1000432">#REF!</definedName>
    <definedName name="_p1000440">#REF!</definedName>
    <definedName name="_p1000442">#REF!</definedName>
    <definedName name="_p1000450">#REF!</definedName>
    <definedName name="_p1000460">#REF!</definedName>
    <definedName name="_p1000470">#REF!</definedName>
    <definedName name="_p1000475">#REF!</definedName>
    <definedName name="_p1000480">#REF!</definedName>
    <definedName name="_p1000485">#REF!</definedName>
    <definedName name="_p1000490">#REF!</definedName>
    <definedName name="_p1000500">#REF!</definedName>
    <definedName name="_p1000510">#REF!</definedName>
    <definedName name="_p1000520">#REF!</definedName>
    <definedName name="_p1000530">#REF!</definedName>
    <definedName name="_p1000540">#REF!</definedName>
    <definedName name="_p1000550">#REF!</definedName>
    <definedName name="_p1000560">#REF!</definedName>
    <definedName name="_p1000570">#REF!</definedName>
    <definedName name="_p1000580">#REF!</definedName>
    <definedName name="_p1000590">#REF!</definedName>
    <definedName name="_p1000600">#REF!</definedName>
    <definedName name="_p1000610">#REF!</definedName>
    <definedName name="_p1000620">#REF!</definedName>
    <definedName name="_p1000630">#REF!</definedName>
    <definedName name="_p1000640">#REF!</definedName>
    <definedName name="_p1000650">#REF!</definedName>
    <definedName name="_p1000660">#REF!</definedName>
    <definedName name="_p1000670">#REF!</definedName>
    <definedName name="_p1000680">#REF!</definedName>
    <definedName name="_p1000690">#REF!</definedName>
    <definedName name="_p1000700">#REF!</definedName>
    <definedName name="_p1000710">#REF!</definedName>
    <definedName name="_p1000720">#REF!</definedName>
    <definedName name="_p1000722">#REF!</definedName>
    <definedName name="_p1000724">#REF!</definedName>
    <definedName name="_p1000726">#REF!</definedName>
    <definedName name="_p1000728">#REF!</definedName>
    <definedName name="_p1000730">#REF!</definedName>
    <definedName name="_p1000740">#REF!</definedName>
    <definedName name="_p1000750">#REF!</definedName>
    <definedName name="_p1000760">#REF!</definedName>
    <definedName name="_p1000770">#REF!</definedName>
    <definedName name="_p1000780">#REF!</definedName>
    <definedName name="_p1000790">#REF!</definedName>
    <definedName name="_p1000800">#REF!</definedName>
    <definedName name="_p1000810">#REF!</definedName>
    <definedName name="_p1000820">#REF!</definedName>
    <definedName name="_p1000830">#REF!</definedName>
    <definedName name="_p1000835">#REF!</definedName>
    <definedName name="_p1000840">#REF!</definedName>
    <definedName name="_p1000850">#REF!</definedName>
    <definedName name="_p1000860">#REF!</definedName>
    <definedName name="_p1000870">#REF!</definedName>
    <definedName name="_p1000880">#REF!</definedName>
    <definedName name="_p1000890">#REF!</definedName>
    <definedName name="_p1000895">#REF!</definedName>
    <definedName name="_p1000910">#REF!</definedName>
    <definedName name="_p1000920">#REF!</definedName>
    <definedName name="_p1000930">#REF!</definedName>
    <definedName name="_p1000940">#REF!</definedName>
    <definedName name="_p1000960">#REF!</definedName>
    <definedName name="_p1000964">#REF!</definedName>
    <definedName name="_p1000965">#REF!</definedName>
    <definedName name="_p1000970">#REF!</definedName>
    <definedName name="_p1000980">#REF!</definedName>
    <definedName name="_p1000990">#REF!</definedName>
    <definedName name="_p1001000">#REF!</definedName>
    <definedName name="_p1001010">#REF!</definedName>
    <definedName name="_p1001020">#REF!</definedName>
    <definedName name="_p1001030">#REF!</definedName>
    <definedName name="_p1001032">#REF!</definedName>
    <definedName name="_p1001040">#REF!</definedName>
    <definedName name="_p1001050">#REF!</definedName>
    <definedName name="_p1001060">#REF!</definedName>
    <definedName name="_p1001070">#REF!</definedName>
    <definedName name="_p1001080">#REF!</definedName>
    <definedName name="_p1001090">#REF!</definedName>
    <definedName name="_p1001100">#REF!</definedName>
    <definedName name="_p1001102">#REF!</definedName>
    <definedName name="_p1001104">#REF!</definedName>
    <definedName name="_p1001110">#REF!</definedName>
    <definedName name="_p1001111">#REF!</definedName>
    <definedName name="_p1001120">#REF!</definedName>
    <definedName name="_p1001130">#REF!</definedName>
    <definedName name="_p1001140">#REF!</definedName>
    <definedName name="_p1001150">#REF!</definedName>
    <definedName name="_p1001160">#REF!</definedName>
    <definedName name="_p1001170">#REF!</definedName>
    <definedName name="_p1001180">#REF!</definedName>
    <definedName name="_p1001190">#REF!</definedName>
    <definedName name="_p1001210">#REF!</definedName>
    <definedName name="_p1001220">#REF!</definedName>
    <definedName name="_p1001230">#REF!</definedName>
    <definedName name="_p1001240">#REF!</definedName>
    <definedName name="_p1001250">#REF!</definedName>
    <definedName name="_p1001251">#REF!</definedName>
    <definedName name="_p1001260">#REF!</definedName>
    <definedName name="_p1001261">#REF!</definedName>
    <definedName name="_p1001270">#REF!</definedName>
    <definedName name="_p1001272">#REF!</definedName>
    <definedName name="_p1001274">#REF!</definedName>
    <definedName name="_p1001280">#REF!</definedName>
    <definedName name="_p1001290">#REF!</definedName>
    <definedName name="_p1001300">#REF!</definedName>
    <definedName name="_p1001310">#REF!</definedName>
    <definedName name="_p1001320">#REF!</definedName>
    <definedName name="_p1001330">#REF!</definedName>
    <definedName name="_p1001340">#REF!</definedName>
    <definedName name="_p1001342">#REF!</definedName>
    <definedName name="_p1001343">#REF!</definedName>
    <definedName name="_p1001344">#REF!</definedName>
    <definedName name="_p1001345">#REF!</definedName>
    <definedName name="_p1001346">#REF!</definedName>
    <definedName name="_p1001347">#REF!</definedName>
    <definedName name="_p1001348">#REF!</definedName>
    <definedName name="_p1001349">#REF!</definedName>
    <definedName name="_p1001350">#REF!</definedName>
    <definedName name="_p1001360">#REF!</definedName>
    <definedName name="_p1001370">#REF!</definedName>
    <definedName name="_p1001380">#REF!</definedName>
    <definedName name="_p1001390">#REF!</definedName>
    <definedName name="_p1001400">#REF!</definedName>
    <definedName name="_p1001402">#REF!</definedName>
    <definedName name="_p1001404">#REF!</definedName>
    <definedName name="_p1001410">#REF!</definedName>
    <definedName name="_p1001420">#REF!</definedName>
    <definedName name="_p1001430">#REF!</definedName>
    <definedName name="_p1001440">#REF!</definedName>
    <definedName name="_p1001450">#REF!</definedName>
    <definedName name="_p1001460">#REF!</definedName>
    <definedName name="_p1001470">#REF!</definedName>
    <definedName name="_p1001480">#REF!</definedName>
    <definedName name="_p1001490">#REF!</definedName>
    <definedName name="_p1001510">#REF!</definedName>
    <definedName name="_p1001520">#REF!</definedName>
    <definedName name="_p1001530">#REF!</definedName>
    <definedName name="_p1001540">#REF!</definedName>
    <definedName name="_p1001550">#REF!</definedName>
    <definedName name="_p1001560">#REF!</definedName>
    <definedName name="_p1001570">#REF!</definedName>
    <definedName name="_p1001580">#REF!</definedName>
    <definedName name="_p1001590">#REF!</definedName>
    <definedName name="_p1001600">#REF!</definedName>
    <definedName name="_p1001610">#REF!</definedName>
    <definedName name="_p1001620">#REF!</definedName>
    <definedName name="_p1001630">#REF!</definedName>
    <definedName name="_p1001640">#REF!</definedName>
    <definedName name="_p1001642">#REF!</definedName>
    <definedName name="_p1001643">#REF!</definedName>
    <definedName name="_p1001644">#REF!</definedName>
    <definedName name="_p1001645">#REF!</definedName>
    <definedName name="_p1001646">#REF!</definedName>
    <definedName name="_p1001647">#REF!</definedName>
    <definedName name="_p1001650">#REF!</definedName>
    <definedName name="_p1001660">#REF!</definedName>
    <definedName name="_p1001670">#REF!</definedName>
    <definedName name="_p1001680">#REF!</definedName>
    <definedName name="_p1001690">#REF!</definedName>
    <definedName name="_p1001700">#REF!</definedName>
    <definedName name="_p1001710">#REF!</definedName>
    <definedName name="_p1001720">#REF!</definedName>
    <definedName name="_p1001730">#REF!</definedName>
    <definedName name="_p1001740">#REF!</definedName>
    <definedName name="_p1001750">#REF!</definedName>
    <definedName name="_p1001770">#REF!</definedName>
    <definedName name="_p1001775">#REF!</definedName>
    <definedName name="_p1001780">#REF!</definedName>
    <definedName name="_p1001790">#REF!</definedName>
    <definedName name="_p1001795">#REF!</definedName>
    <definedName name="_p1001800">#REF!</definedName>
    <definedName name="_p1001810">#REF!</definedName>
    <definedName name="_p1001820">#REF!</definedName>
    <definedName name="_p1001830">#REF!</definedName>
    <definedName name="_p1001840">#REF!</definedName>
    <definedName name="_p1001850">#REF!</definedName>
    <definedName name="_p1001860">#REF!</definedName>
    <definedName name="_p1001870">#REF!</definedName>
    <definedName name="_p1001880">#REF!</definedName>
    <definedName name="_p1001890">#REF!</definedName>
    <definedName name="_p1001900">#REF!</definedName>
    <definedName name="_p1001910">#REF!</definedName>
    <definedName name="_p1001920">#REF!</definedName>
    <definedName name="_p1001930">#REF!</definedName>
    <definedName name="_p1001940">#REF!</definedName>
    <definedName name="_p1001950">#REF!</definedName>
    <definedName name="_p1001960">#REF!</definedName>
    <definedName name="_p1001970">#REF!</definedName>
    <definedName name="_p1001980">#REF!</definedName>
    <definedName name="_p1001990">#REF!</definedName>
    <definedName name="_p1002000">#REF!</definedName>
    <definedName name="_p1002010">#REF!</definedName>
    <definedName name="_p1002020">#REF!</definedName>
    <definedName name="_p1002030">#REF!</definedName>
    <definedName name="_p1002040">#REF!</definedName>
    <definedName name="_p1002050">#REF!</definedName>
    <definedName name="_p1002060">#REF!</definedName>
    <definedName name="_p1002070">#REF!</definedName>
    <definedName name="_p1002080">#REF!</definedName>
    <definedName name="_p1002090">#REF!</definedName>
    <definedName name="_p1002100">#REF!</definedName>
    <definedName name="_p1002110">#REF!</definedName>
    <definedName name="_p1002120">#REF!</definedName>
    <definedName name="_p1002130">#REF!</definedName>
    <definedName name="_p1002140">#REF!</definedName>
    <definedName name="_p1002150">#REF!</definedName>
    <definedName name="_p1002160">#REF!</definedName>
    <definedName name="_p1002170">#REF!</definedName>
    <definedName name="_p1002180">#REF!</definedName>
    <definedName name="_p1002190">#REF!</definedName>
    <definedName name="_p1002200">#REF!</definedName>
    <definedName name="_p1002210">#REF!</definedName>
    <definedName name="_p1002220">#REF!</definedName>
    <definedName name="_p1002230">#REF!</definedName>
    <definedName name="_p1002240">#REF!</definedName>
    <definedName name="_p1002250">#REF!</definedName>
    <definedName name="_p1002260">#REF!</definedName>
    <definedName name="_p1002270">#REF!</definedName>
    <definedName name="_p1002280">#REF!</definedName>
    <definedName name="_p1002290">#REF!</definedName>
    <definedName name="_p1002292">#REF!</definedName>
    <definedName name="_p1002295">#REF!</definedName>
    <definedName name="_p1002300">#REF!</definedName>
    <definedName name="_p1002310">#REF!</definedName>
    <definedName name="_p1002320">#REF!</definedName>
    <definedName name="_p1002330">#REF!</definedName>
    <definedName name="_p1002340">#REF!</definedName>
    <definedName name="_p1002350">#REF!</definedName>
    <definedName name="_p1002360">#REF!</definedName>
    <definedName name="_p1002370">#REF!</definedName>
    <definedName name="_p1002380">#REF!</definedName>
    <definedName name="_p1002390">#REF!</definedName>
    <definedName name="_p1002400">#REF!</definedName>
    <definedName name="_p1002415">#REF!</definedName>
    <definedName name="_p1002420">#REF!</definedName>
    <definedName name="_p1002425">#REF!</definedName>
    <definedName name="_p1002430">#REF!</definedName>
    <definedName name="_p1002440">#REF!</definedName>
    <definedName name="_p1002450">#REF!</definedName>
    <definedName name="_p1002460">#REF!</definedName>
    <definedName name="_p1002470">#REF!</definedName>
    <definedName name="_p1002480">#REF!</definedName>
    <definedName name="_p1002490">#REF!</definedName>
    <definedName name="_p1002500">#REF!</definedName>
    <definedName name="_p1002502">#REF!</definedName>
    <definedName name="_p1002504">#REF!</definedName>
    <definedName name="_p1002506">#REF!</definedName>
    <definedName name="_p1002510">#REF!</definedName>
    <definedName name="_p1002520">#REF!</definedName>
    <definedName name="_p1002525">#REF!</definedName>
    <definedName name="_p1002540">#REF!</definedName>
    <definedName name="_p1002560">#REF!</definedName>
    <definedName name="_p1002570">#REF!</definedName>
    <definedName name="_p1002580">#REF!</definedName>
    <definedName name="_p1002590">#REF!</definedName>
    <definedName name="_p1002600">#REF!</definedName>
    <definedName name="_p1002610">#REF!</definedName>
    <definedName name="_p1002620">#REF!</definedName>
    <definedName name="_p1002630">#REF!</definedName>
    <definedName name="_p1002640">#REF!</definedName>
    <definedName name="_p1002650">#REF!</definedName>
    <definedName name="_p1002660">#REF!</definedName>
    <definedName name="_p1002670">#REF!</definedName>
    <definedName name="_p1002680">#REF!</definedName>
    <definedName name="_p1002690">#REF!</definedName>
    <definedName name="_p1002700">#REF!</definedName>
    <definedName name="_p1002710">#REF!</definedName>
    <definedName name="_p1002720">#REF!</definedName>
    <definedName name="_p1002730">#REF!</definedName>
    <definedName name="_p1002740">#REF!</definedName>
    <definedName name="_p1002750">#REF!</definedName>
    <definedName name="_p1002760">#REF!</definedName>
    <definedName name="_p1002780">#REF!</definedName>
    <definedName name="_p1002790">#REF!</definedName>
    <definedName name="_p1002800">#REF!</definedName>
    <definedName name="_p1002810">#REF!</definedName>
    <definedName name="_p1002840">#REF!</definedName>
    <definedName name="_p1002850">#REF!</definedName>
    <definedName name="_p1002860">#REF!</definedName>
    <definedName name="_p1002880">#REF!</definedName>
    <definedName name="_p1002890">#REF!</definedName>
    <definedName name="_p1002900">#REF!</definedName>
    <definedName name="_p1002910">#REF!</definedName>
    <definedName name="_p1002912">#REF!</definedName>
    <definedName name="_p1002914">#REF!</definedName>
    <definedName name="_p1002915">#REF!</definedName>
    <definedName name="_p1002916">#REF!</definedName>
    <definedName name="_p1002920">#REF!</definedName>
    <definedName name="_p1002930">#REF!</definedName>
    <definedName name="_p1002940">#REF!</definedName>
    <definedName name="_p1002950">#REF!</definedName>
    <definedName name="_p1002960">#REF!</definedName>
    <definedName name="_p1002970">#REF!</definedName>
    <definedName name="_p1002980">#REF!</definedName>
    <definedName name="_p1002990">#REF!</definedName>
    <definedName name="_p1003000">#REF!</definedName>
    <definedName name="_p1003010">#REF!</definedName>
    <definedName name="_p1003020">#REF!</definedName>
    <definedName name="_p1003030">#REF!</definedName>
    <definedName name="_p1003040">#REF!</definedName>
    <definedName name="_p1003050">#REF!</definedName>
    <definedName name="_p1003060">#REF!</definedName>
    <definedName name="_p1003070">#REF!</definedName>
    <definedName name="_p1003080">#REF!</definedName>
    <definedName name="_p1003090">#REF!</definedName>
    <definedName name="_p1003100">#REF!</definedName>
    <definedName name="_p1003110">#REF!</definedName>
    <definedName name="_p1003120">#REF!</definedName>
    <definedName name="_p1003122">#REF!</definedName>
    <definedName name="_p1003130">#REF!</definedName>
    <definedName name="_p1003140">#REF!</definedName>
    <definedName name="_p1003150">#REF!</definedName>
    <definedName name="_p1003160">#REF!</definedName>
    <definedName name="_p1003170">#REF!</definedName>
    <definedName name="_p1003190">#REF!</definedName>
    <definedName name="_p1003200">#REF!</definedName>
    <definedName name="_p1003210">#REF!</definedName>
    <definedName name="_p1003220">#REF!</definedName>
    <definedName name="_p1003230">#REF!</definedName>
    <definedName name="_p1003240">#REF!</definedName>
    <definedName name="_p1003250">#REF!</definedName>
    <definedName name="_p1003260">#REF!</definedName>
    <definedName name="_p1003270">#REF!</definedName>
    <definedName name="_p1003280">#REF!</definedName>
    <definedName name="_p1003290">#REF!</definedName>
    <definedName name="_p1003300">#REF!</definedName>
    <definedName name="_p1003310">#REF!</definedName>
    <definedName name="_p1003320">#REF!</definedName>
    <definedName name="_p1003330">#REF!</definedName>
    <definedName name="_p1003340">#REF!</definedName>
    <definedName name="_p1003350">#REF!</definedName>
    <definedName name="_p1003360">#REF!</definedName>
    <definedName name="_p1003370">#REF!</definedName>
    <definedName name="_p1003380">#REF!</definedName>
    <definedName name="_p1003390">#REF!</definedName>
    <definedName name="_p1003400">#REF!</definedName>
    <definedName name="_p1003410">#REF!</definedName>
    <definedName name="_p1003420">#REF!</definedName>
    <definedName name="_p1003430">#REF!</definedName>
    <definedName name="_p1003440">#REF!</definedName>
    <definedName name="_p1003450">#REF!</definedName>
    <definedName name="_p1003460">#REF!</definedName>
    <definedName name="_p1003470">#REF!</definedName>
    <definedName name="_p1003480">#REF!</definedName>
    <definedName name="_p1003490">#REF!</definedName>
    <definedName name="_p1003500">#REF!</definedName>
    <definedName name="_p1003510">#REF!</definedName>
    <definedName name="_p1003520">#REF!</definedName>
    <definedName name="_p1003530">#REF!</definedName>
    <definedName name="_p1003540">#REF!</definedName>
    <definedName name="_p1003550">#REF!</definedName>
    <definedName name="_p1003560">#REF!</definedName>
    <definedName name="_p1003570">#REF!</definedName>
    <definedName name="_p1003580">#REF!</definedName>
    <definedName name="_p1003590">#REF!</definedName>
    <definedName name="_p1003600">#REF!</definedName>
    <definedName name="_p1003610">#REF!</definedName>
    <definedName name="_p1003620">#REF!</definedName>
    <definedName name="_p1003640">#REF!</definedName>
    <definedName name="_p1003650">#REF!</definedName>
    <definedName name="_p1003660">#REF!</definedName>
    <definedName name="_p1003670">#REF!</definedName>
    <definedName name="_p1003690">#REF!</definedName>
    <definedName name="_p1003710">#REF!</definedName>
    <definedName name="_p1003720">#REF!</definedName>
    <definedName name="_p1003730">#REF!</definedName>
    <definedName name="_p1003740">#REF!</definedName>
    <definedName name="_p1003750">#REF!</definedName>
    <definedName name="_p1003760">#REF!</definedName>
    <definedName name="_p1003770">#REF!</definedName>
    <definedName name="_p1003780">#REF!</definedName>
    <definedName name="_p1003790">#REF!</definedName>
    <definedName name="_p1003800">#REF!</definedName>
    <definedName name="_p1003810">#REF!</definedName>
    <definedName name="_p1003820">#REF!</definedName>
    <definedName name="_p1003830">#REF!</definedName>
    <definedName name="_p1003840">#REF!</definedName>
    <definedName name="_p1003850">#REF!</definedName>
    <definedName name="_p1003870">#REF!</definedName>
    <definedName name="_p1003920">#REF!</definedName>
    <definedName name="_p1003930">#REF!</definedName>
    <definedName name="_p1003940">#REF!</definedName>
    <definedName name="_p1003950">#REF!</definedName>
    <definedName name="_p1003960">#REF!</definedName>
    <definedName name="_p1003970">#REF!</definedName>
    <definedName name="_p1003980">#REF!</definedName>
    <definedName name="_p1003990">#REF!</definedName>
    <definedName name="_p1004000">#REF!</definedName>
    <definedName name="_p1004010">#REF!</definedName>
    <definedName name="_p1004020">#REF!</definedName>
    <definedName name="_p1004030">#REF!</definedName>
    <definedName name="_p1004040">#REF!</definedName>
    <definedName name="_p1004050">#REF!</definedName>
    <definedName name="_p1004052">#REF!</definedName>
    <definedName name="_p1004054">#REF!</definedName>
    <definedName name="_p1004060">#REF!</definedName>
    <definedName name="_p100408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#REF!</definedName>
    <definedName name="_P3">#REF!</definedName>
    <definedName name="_P4">#REF!</definedName>
    <definedName name="_P5">#REF!</definedName>
    <definedName name="_P6">#REF!</definedName>
    <definedName name="_P7">#REF!</definedName>
    <definedName name="_P8">#REF!</definedName>
    <definedName name="_p8000290">#REF!</definedName>
    <definedName name="_p8071504">#REF!</definedName>
    <definedName name="_p8072001">#REF!</definedName>
    <definedName name="_p8154501">#REF!</definedName>
    <definedName name="_p8920180">#REF!</definedName>
    <definedName name="_p8920220">#REF!</definedName>
    <definedName name="_P9">#REF!</definedName>
    <definedName name="_p9000018">#REF!</definedName>
    <definedName name="_p9981437">#REF!</definedName>
    <definedName name="_p9981447">#REF!</definedName>
    <definedName name="_Parse_Out" localSheetId="9" hidden="1">#REF!</definedName>
    <definedName name="_Parse_Out" localSheetId="8" hidden="1">#REF!</definedName>
    <definedName name="_Parse_Out" hidden="1">#REF!</definedName>
    <definedName name="_pcd1">#REF!</definedName>
    <definedName name="_pcd2">#REF!</definedName>
    <definedName name="_pe11">#REF!</definedName>
    <definedName name="_pe22">#REF!</definedName>
    <definedName name="_PH1">#REF!</definedName>
    <definedName name="_pla1">#REF!</definedName>
    <definedName name="_pla2">#REF!</definedName>
    <definedName name="_pla3">#REF!</definedName>
    <definedName name="_pla4">#REF!</definedName>
    <definedName name="_pla5">#REF!</definedName>
    <definedName name="_pla6">#REF!</definedName>
    <definedName name="_pu1">#REF!</definedName>
    <definedName name="_pu11">#REF!</definedName>
    <definedName name="_pu12">#REF!</definedName>
    <definedName name="_pu2">#REF!</definedName>
    <definedName name="_pu3">#REF!</definedName>
    <definedName name="_pu4">#REF!</definedName>
    <definedName name="_pu5">#REF!</definedName>
    <definedName name="_pu6">#REF!</definedName>
    <definedName name="_pu8">#REF!</definedName>
    <definedName name="_QTY1">#REF!</definedName>
    <definedName name="_qu1">#REF!</definedName>
    <definedName name="_qu2">#REF!</definedName>
    <definedName name="_qwe4567">#REF!</definedName>
    <definedName name="_R">#REF!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 hidden="1">1</definedName>
    <definedName name="_Regression_Out" localSheetId="9" hidden="1">#REF!</definedName>
    <definedName name="_Regression_Out" localSheetId="8" hidden="1">#REF!</definedName>
    <definedName name="_Regression_Out" hidden="1">#REF!</definedName>
    <definedName name="_Regression_X" localSheetId="9" hidden="1">#REF!</definedName>
    <definedName name="_Regression_X" localSheetId="8" hidden="1">#REF!</definedName>
    <definedName name="_Regression_X" hidden="1">#REF!</definedName>
    <definedName name="_Regression_Y" localSheetId="9" hidden="1">#REF!</definedName>
    <definedName name="_Regression_Y" localSheetId="8" hidden="1">#REF!</definedName>
    <definedName name="_Regression_Y" hidden="1">#REF!</definedName>
    <definedName name="_RES1">#REF!</definedName>
    <definedName name="_RES2">#REF!</definedName>
    <definedName name="_rev1">#REF!</definedName>
    <definedName name="_rev3">#REF!</definedName>
    <definedName name="_rev4">#REF!</definedName>
    <definedName name="_rev5">#REF!</definedName>
    <definedName name="_rev6">#REF!</definedName>
    <definedName name="_ro1">#REF!</definedName>
    <definedName name="_s" hidden="1">#REF!</definedName>
    <definedName name="_S1" hidden="1">#REF!</definedName>
    <definedName name="_sc1">#REF!</definedName>
    <definedName name="_Sort" hidden="1">#REF!</definedName>
    <definedName name="_ST311">#REF!</definedName>
    <definedName name="_ST312">#REF!</definedName>
    <definedName name="_ST32">#REF!</definedName>
    <definedName name="_TB1">#REF!</definedName>
    <definedName name="_TB10">#REF!</definedName>
    <definedName name="_TB2">#REF!</definedName>
    <definedName name="_TB3">#REF!</definedName>
    <definedName name="_TB4">#REF!</definedName>
    <definedName name="_TCA704">#REF!</definedName>
    <definedName name="_tdl2">#REF!</definedName>
    <definedName name="_tgt25">#REF!</definedName>
    <definedName name="_tll2">#REF!</definedName>
    <definedName name="_TOR10">#REF!</definedName>
    <definedName name="_TOR14">#REF!</definedName>
    <definedName name="_TP001">#REF!</definedName>
    <definedName name="_TP002">#REF!</definedName>
    <definedName name="_TP003">#REF!</definedName>
    <definedName name="_TP004">#REF!</definedName>
    <definedName name="_TP005">#REF!</definedName>
    <definedName name="_TP006">#REF!</definedName>
    <definedName name="_TP007">#REF!</definedName>
    <definedName name="_TP008">#REF!</definedName>
    <definedName name="_TP009">#REF!</definedName>
    <definedName name="_TP010">#REF!</definedName>
    <definedName name="_TP011">#REF!</definedName>
    <definedName name="_TP013">#REF!</definedName>
    <definedName name="_TP014">#REF!</definedName>
    <definedName name="_TP015">#REF!</definedName>
    <definedName name="_TP016">#REF!</definedName>
    <definedName name="_TR4">#REF!</definedName>
    <definedName name="_tri11">#REF!</definedName>
    <definedName name="_tri12">#REF!</definedName>
    <definedName name="_tri13">#REF!</definedName>
    <definedName name="_tri14">#REF!</definedName>
    <definedName name="_tri15">#REF!</definedName>
    <definedName name="_tri22">#REF!</definedName>
    <definedName name="_tri23">#REF!</definedName>
    <definedName name="_tri24">#REF!</definedName>
    <definedName name="_tri25">#REF!</definedName>
    <definedName name="_tri32">#REF!</definedName>
    <definedName name="_tri33">#REF!</definedName>
    <definedName name="_tri34">#REF!</definedName>
    <definedName name="_tri35">#REF!</definedName>
    <definedName name="_tri42">#REF!</definedName>
    <definedName name="_tri43">#REF!</definedName>
    <definedName name="_tri44">#REF!</definedName>
    <definedName name="_tri45">#REF!</definedName>
    <definedName name="_Var1">#REF!</definedName>
    <definedName name="_vhw1">#REF!</definedName>
    <definedName name="_vvw1">#REF!</definedName>
    <definedName name="_wcv1">#REF!</definedName>
    <definedName name="_wcv2">#REF!</definedName>
    <definedName name="_wcv3">#REF!</definedName>
    <definedName name="_wcv4">#REF!</definedName>
    <definedName name="_wcv5">#REF!</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O1">#REF!</definedName>
    <definedName name="_WO2">#REF!</definedName>
    <definedName name="_WO3">#REF!</definedName>
    <definedName name="_WO4">#REF!</definedName>
    <definedName name="_WO5">#REF!</definedName>
    <definedName name="_WO6">#REF!</definedName>
    <definedName name="_WO7">#REF!</definedName>
    <definedName name="_WO8">#REF!</definedName>
    <definedName name="_WT1">#REF!</definedName>
    <definedName name="_WT2">#REF!</definedName>
    <definedName name="_WT3">#REF!</definedName>
    <definedName name="_WT4">#REF!</definedName>
    <definedName name="_WT5">#REF!</definedName>
    <definedName name="_WT6">#REF!</definedName>
    <definedName name="_WT7">#REF!</definedName>
    <definedName name="_WT8">#REF!</definedName>
    <definedName name="_WW1">#REF!</definedName>
    <definedName name="_WW2">#REF!</definedName>
    <definedName name="_zz1">#REF!</definedName>
    <definedName name="_zz2">#REF!</definedName>
    <definedName name="_zz3">#REF!</definedName>
    <definedName name="¡ÆC">#N/A</definedName>
    <definedName name="´cAE°eE¹" hidden="1">#REF!</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I￠´I">#N/A</definedName>
    <definedName name="￠￥cAE¡ÆeEⓒo" hidden="1">#REF!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I¤I">#N/A</definedName>
    <definedName name="°C">#N/A</definedName>
    <definedName name="°Ç">#N/A</definedName>
    <definedName name="¼o¼o½CAu7¿u">#N/A</definedName>
    <definedName name="¼ö¼ö½ÇÀû7¿ù">#N/A</definedName>
    <definedName name="A">#REF!</definedName>
    <definedName name="A_0">#REF!</definedName>
    <definedName name="A_001">#REF!</definedName>
    <definedName name="A_002">#REF!</definedName>
    <definedName name="A_003">#REF!</definedName>
    <definedName name="A_004">#REF!</definedName>
    <definedName name="A_005">#REF!</definedName>
    <definedName name="A_006">#REF!</definedName>
    <definedName name="A_007">#REF!</definedName>
    <definedName name="A_008">#REF!</definedName>
    <definedName name="A_009">#REF!</definedName>
    <definedName name="A_1">#REF!</definedName>
    <definedName name="A_1___0">#REF!</definedName>
    <definedName name="A_1___1">#REF!</definedName>
    <definedName name="A_1___2">#REF!</definedName>
    <definedName name="A_1___3">#REF!</definedName>
    <definedName name="A_1___4">#REF!</definedName>
    <definedName name="A_10">#REF!</definedName>
    <definedName name="A_11">#REF!</definedName>
    <definedName name="A_12">#REF!</definedName>
    <definedName name="A_13">#REF!</definedName>
    <definedName name="A_14">#REF!</definedName>
    <definedName name="A_15">#REF!</definedName>
    <definedName name="A_16">#REF!</definedName>
    <definedName name="A_17">#REF!</definedName>
    <definedName name="A_18">#REF!</definedName>
    <definedName name="A_19">#REF!</definedName>
    <definedName name="A_2">#REF!</definedName>
    <definedName name="A_2___0">#REF!</definedName>
    <definedName name="A_2___1">#REF!</definedName>
    <definedName name="A_2___2">#REF!</definedName>
    <definedName name="A_2___3">#REF!</definedName>
    <definedName name="A_2___4">#REF!</definedName>
    <definedName name="A_20">#REF!</definedName>
    <definedName name="A_21">#REF!</definedName>
    <definedName name="A_22">#REF!</definedName>
    <definedName name="A_3">#REF!</definedName>
    <definedName name="A_4">#REF!</definedName>
    <definedName name="A_5">#REF!</definedName>
    <definedName name="A_512">#REF!</definedName>
    <definedName name="A_6">#REF!</definedName>
    <definedName name="A_7">#REF!</definedName>
    <definedName name="A_8">#REF!</definedName>
    <definedName name="A_9">#REF!</definedName>
    <definedName name="A_IMPRESI_N_IM">"#REF!"</definedName>
    <definedName name="A_IMPRESIÓN_IM">#REF!</definedName>
    <definedName name="a_s">#REF!</definedName>
    <definedName name="A¡þ_¡¤ⓒo_AO">#N/A</definedName>
    <definedName name="A￢_·¹_AO">#N/A</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2_">#REF!</definedName>
    <definedName name="AA">#REF!</definedName>
    <definedName name="Åä">#N/A</definedName>
    <definedName name="aa_1">#REF!</definedName>
    <definedName name="aa_2">#REF!</definedName>
    <definedName name="aa_3">#REF!</definedName>
    <definedName name="AAA">#REF!</definedName>
    <definedName name="aaaa" localSheetId="9" hidden="1">{"CONCABL1.1",#N/A,FALSE,"1.1.1a1.1.3 ACSR";"AISL1.2",#N/A,FALSE,"1.1.1a1.1.3 ACSR";"torr1.1.3",#N/A,FALSE,"1.1.1a1.1.3 ACSR";"cm1.2",#N/A,FALSE,"1.2 ACSR";"cm2.2",#N/A,FALSE,"1.2 ACSR";#N/A,#N/A,FALSE,"1.3 ACSR";#N/A,#N/A,FALSE,"2.1.1A2.1.3 ACAR";"ac2.1",#N/A,FALSE,"1.2 ACAR";"ac2.2",#N/A,FALSE,"1.2 ACAR";#N/A,#N/A,FALSE,"2.3 ACAR"}</definedName>
    <definedName name="aaaa" localSheetId="8" hidden="1">{"CONCABL1.1",#N/A,FALSE,"1.1.1a1.1.3 ACSR";"AISL1.2",#N/A,FALSE,"1.1.1a1.1.3 ACSR";"torr1.1.3",#N/A,FALSE,"1.1.1a1.1.3 ACSR";"cm1.2",#N/A,FALSE,"1.2 ACSR";"cm2.2",#N/A,FALSE,"1.2 ACSR";#N/A,#N/A,FALSE,"1.3 ACSR";#N/A,#N/A,FALSE,"2.1.1A2.1.3 ACAR";"ac2.1",#N/A,FALSE,"1.2 ACAR";"ac2.2",#N/A,FALSE,"1.2 ACAR";#N/A,#N/A,FALSE,"2.3 ACAR"}</definedName>
    <definedName name="aaaa" hidden="1">{"CONCABL1.1",#N/A,FALSE,"1.1.1a1.1.3 ACSR";"AISL1.2",#N/A,FALSE,"1.1.1a1.1.3 ACSR";"torr1.1.3",#N/A,FALSE,"1.1.1a1.1.3 ACSR";"cm1.2",#N/A,FALSE,"1.2 ACSR";"cm2.2",#N/A,FALSE,"1.2 ACSR";#N/A,#N/A,FALSE,"1.3 ACSR";#N/A,#N/A,FALSE,"2.1.1A2.1.3 ACAR";"ac2.1",#N/A,FALSE,"1.2 ACAR";"ac2.2",#N/A,FALSE,"1.2 ACAR";#N/A,#N/A,FALSE,"2.3 ACAR"}</definedName>
    <definedName name="aaaaa" localSheetId="9">#REF!</definedName>
    <definedName name="aaaaa" localSheetId="8">#REF!</definedName>
    <definedName name="AAAAA" hidden="1">#REF!</definedName>
    <definedName name="aaaaaaaaaaaaa">#REF!</definedName>
    <definedName name="aaaaaaaaaaaaaaaaaaaaaaaa">#REF!</definedName>
    <definedName name="aæÐRIiÞA_Iª">#N/A</definedName>
    <definedName name="AAG_DT">#REF!</definedName>
    <definedName name="AAG_INI">#REF!</definedName>
    <definedName name="AAG_Q">#REF!</definedName>
    <definedName name="AAM">#REF!</definedName>
    <definedName name="aB" localSheetId="9">#REF!</definedName>
    <definedName name="aB" localSheetId="8">#REF!</definedName>
    <definedName name="AB" hidden="1">{#N/A,#N/A,TRUE,"INGENIERIA";#N/A,#N/A,TRUE,"COMPRAS";#N/A,#N/A,TRUE,"DIRECCION";#N/A,#N/A,TRUE,"RESUMEN"}</definedName>
    <definedName name="ab_0">#REF!</definedName>
    <definedName name="AB_1">#REF!</definedName>
    <definedName name="AB_2">#REF!</definedName>
    <definedName name="AB_3">#REF!</definedName>
    <definedName name="AB_4">#REF!</definedName>
    <definedName name="ABCD">#REF!</definedName>
    <definedName name="ABCDEF">#REF!</definedName>
    <definedName name="ABD">#REF!</definedName>
    <definedName name="above">#REF!</definedName>
    <definedName name="ABRASIVO">"#REF!"</definedName>
    <definedName name="ABRASIVO01">"#REF!"</definedName>
    <definedName name="ABRASIVO02">"#REF!"</definedName>
    <definedName name="ABRAZ">#REF!</definedName>
    <definedName name="AC">'[1]Resumen Escenario'!$F$4</definedName>
    <definedName name="aⓒ¡¨￠RIi¨­A_I¨￡">#N/A</definedName>
    <definedName name="ACABADO">"#REF!"</definedName>
    <definedName name="ACAVADO">"#REF!"</definedName>
    <definedName name="ACCESORIOS">#REF!</definedName>
    <definedName name="AccessDatabase" hidden="1">"C:\posec\DATABASE\vlv_list\vlvlist1.mdb"</definedName>
    <definedName name="ACE">#REF!</definedName>
    <definedName name="ACER.">#REF!</definedName>
    <definedName name="acero">#REF!</definedName>
    <definedName name="ACERO.MP">#REF!</definedName>
    <definedName name="acero1">#REF!</definedName>
    <definedName name="ACERO2">#REF!</definedName>
    <definedName name="acicrack">#REF!</definedName>
    <definedName name="acicw">#REF!</definedName>
    <definedName name="acifs">#REF!</definedName>
    <definedName name="acim">#REF!</definedName>
    <definedName name="acist">#REF!</definedName>
    <definedName name="acitemp">#REF!</definedName>
    <definedName name="aciw">#REF!</definedName>
    <definedName name="ACOM_CC">#REF!</definedName>
    <definedName name="ACOM_SC">#REF!</definedName>
    <definedName name="ACOSTO_ARQ">#REF!</definedName>
    <definedName name="ACOSTO_EST">#REF!</definedName>
    <definedName name="ACOSTO_GENERAL">#REF!</definedName>
    <definedName name="ACOSTO_I.E.">#REF!</definedName>
    <definedName name="ACOSTO_I.S.">#REF!</definedName>
    <definedName name="ACOSTO_O.P.">#REF!</definedName>
    <definedName name="AcousticRating">#REF!</definedName>
    <definedName name="acr">#REF!</definedName>
    <definedName name="ACT">#REF!</definedName>
    <definedName name="ACUMULADOS">#REF!</definedName>
    <definedName name="Acumulados_2000">#REF!</definedName>
    <definedName name="aD">#REF!</definedName>
    <definedName name="ADDObra">#REF!</definedName>
    <definedName name="ADMObra">#REF!</definedName>
    <definedName name="ADMSup">#REF!</definedName>
    <definedName name="AE">#REF!</definedName>
    <definedName name="AEE">#REF!</definedName>
    <definedName name="af">#REF!</definedName>
    <definedName name="AFI">#REF!</definedName>
    <definedName name="afirmado">#REF!</definedName>
    <definedName name="AFN">#REF!</definedName>
    <definedName name="AFNIT">#REF!</definedName>
    <definedName name="AFP">#REF!</definedName>
    <definedName name="AFPYN">#REF!</definedName>
    <definedName name="AFWFEGRRTH">#REF!</definedName>
    <definedName name="AG">#REF!</definedName>
    <definedName name="agdump">#REF!</definedName>
    <definedName name="agedump">#REF!</definedName>
    <definedName name="agencydump">#REF!</definedName>
    <definedName name="AGENCYLY">#REF!</definedName>
    <definedName name="AGENCYPLAN">#REF!</definedName>
    <definedName name="agp">#REF!</definedName>
    <definedName name="Agreg">NA()</definedName>
    <definedName name="agreg1">NA()</definedName>
    <definedName name="agreg2">NA()</definedName>
    <definedName name="Agua">#REF!</definedName>
    <definedName name="air_trap">#REF!</definedName>
    <definedName name="aisc">#REF!</definedName>
    <definedName name="AIU">#REF!</definedName>
    <definedName name="aj_e1">#REF!</definedName>
    <definedName name="AL_0">#REF!</definedName>
    <definedName name="AL_1">#REF!</definedName>
    <definedName name="AL_2">#REF!</definedName>
    <definedName name="AL_3">#REF!</definedName>
    <definedName name="AL_4">#REF!</definedName>
    <definedName name="al22calle4">#REF!</definedName>
    <definedName name="al24izq">#REF!</definedName>
    <definedName name="al24pje6">#REF!</definedName>
    <definedName name="alambre">#REF!</definedName>
    <definedName name="alCATORCE">#REF!</definedName>
    <definedName name="alCINCO">#REF!</definedName>
    <definedName name="alCINCUENTA">#REF!</definedName>
    <definedName name="alCuarentaiuno">#REF!</definedName>
    <definedName name="alCUATRO">#REF!</definedName>
    <definedName name="alDIECIOCHO">#REF!</definedName>
    <definedName name="alf_s">#REF!</definedName>
    <definedName name="alf_s1">#REF!</definedName>
    <definedName name="Alizadora">#REF!</definedName>
    <definedName name="All_Item">#REF!</definedName>
    <definedName name="all4fix">#REF!</definedName>
    <definedName name="Almacén_sótano">#REF!</definedName>
    <definedName name="ALMUERZO_FAENA">#REF!</definedName>
    <definedName name="alOCHO">#REF!</definedName>
    <definedName name="alONCE">#REF!</definedName>
    <definedName name="ALPIN">#N/A</definedName>
    <definedName name="ALPJYOU">#N/A</definedName>
    <definedName name="ALPTOI">#N/A</definedName>
    <definedName name="AlQuince">#REF!</definedName>
    <definedName name="alSEIS">#REF!</definedName>
    <definedName name="ALTA">#REF!</definedName>
    <definedName name="ALTB">#REF!</definedName>
    <definedName name="alTRECE">#REF!</definedName>
    <definedName name="alTREINTA">#REF!</definedName>
    <definedName name="Altreintaicuatro">#REF!</definedName>
    <definedName name="altreintaitres">#REF!</definedName>
    <definedName name="alTREINTIDOS">#REF!</definedName>
    <definedName name="alTREINTITRES">#REF!</definedName>
    <definedName name="alTREITICINCO">#REF!</definedName>
    <definedName name="ALUMBRADO2">#REF!,#REF!,#REF!,#REF!,#REF!,#REF!,#REF!,#REF!,#REF!,#REF!,#REF!,#REF!,#REF!,#REF!,#REF!,#REF!,#REF!,#REF!,#REF!,#REF!,#REF!,#REF!,#REF!,#REF!,#REF!,#REF!,#REF!,#REF!,#REF!,#REF!,#REF!,#REF!,#REF!,#REF!,#REF!,#REF!,#REF!,#REF!,#REF!,#REF!,#REF!,#REF!,#REF!,#REF!,#REF!,#REF!,#REF!,#REF!,#REF!,#REF!</definedName>
    <definedName name="ALUMBRADO3">#REF!,#REF!,#REF!,#REF!,#REF!,#REF!,#REF!,#REF!,#REF!,#REF!,#REF!,#REF!,#REF!,#REF!,#REF!,#REF!,#REF!,#REF!,#REF!,#REF!,#REF!,#REF!,#REF!</definedName>
    <definedName name="alVEINTICINCO">#REF!</definedName>
    <definedName name="alVEINTICUATRO">#REF!</definedName>
    <definedName name="alVEINTIDOS">#REF!</definedName>
    <definedName name="alVEINTIOCHO">#REF!</definedName>
    <definedName name="alVEINTITRES">#REF!</definedName>
    <definedName name="Am">#REF!</definedName>
    <definedName name="AMI">#REF!</definedName>
    <definedName name="Amm">#REF!</definedName>
    <definedName name="AMMM">#REF!</definedName>
    <definedName name="AmortDedAMArq">#REF!</definedName>
    <definedName name="AmortDedAMEstruct">#REF!</definedName>
    <definedName name="Amz">#REF!</definedName>
    <definedName name="AN">#REF!</definedName>
    <definedName name="ANA_IE_17">NA()</definedName>
    <definedName name="ANA_IE_17_CORREGIDOS">#REF!</definedName>
    <definedName name="ANAC">#REF!</definedName>
    <definedName name="Analisis">#REF!</definedName>
    <definedName name="ANALISIS_DE_PRECIOS_UNITARIOS">#REF!</definedName>
    <definedName name="anchor">#REF!</definedName>
    <definedName name="ANCHOS">#REF!</definedName>
    <definedName name="Anexo_EEFF">#REF!</definedName>
    <definedName name="ANEXO3A1">#REF!</definedName>
    <definedName name="ANEXO3A2">#REF!</definedName>
    <definedName name="angle">#REF!</definedName>
    <definedName name="angulo">#REF!</definedName>
    <definedName name="ANGULO01">"#REF!"</definedName>
    <definedName name="ANGULO02">"#REF!"</definedName>
    <definedName name="ANGULO03">"#REF!"</definedName>
    <definedName name="ANGULOS">"#REF!"</definedName>
    <definedName name="anscount" hidden="1">1</definedName>
    <definedName name="ANT">#REF!</definedName>
    <definedName name="Ant_1">#REF!</definedName>
    <definedName name="Ant_10">#REF!</definedName>
    <definedName name="Ant_2">#REF!</definedName>
    <definedName name="Ant_3">#REF!</definedName>
    <definedName name="Ant_4">#REF!</definedName>
    <definedName name="Ant_5">#REF!</definedName>
    <definedName name="Ant_6">#REF!</definedName>
    <definedName name="Ant_7">#REF!</definedName>
    <definedName name="Ant_8">#REF!</definedName>
    <definedName name="Ant_9">#REF!</definedName>
    <definedName name="Anticipo">#REF!</definedName>
    <definedName name="ANTICORROSIVO">"#REF!"</definedName>
    <definedName name="apisonadora">#REF!</definedName>
    <definedName name="APROVA">#REF!</definedName>
    <definedName name="Aprox">#REF!</definedName>
    <definedName name="Aproximacion">#REF!</definedName>
    <definedName name="ApuEstructuras">#REF!</definedName>
    <definedName name="Arancel">#REF!</definedName>
    <definedName name="ARANDELA01">"#REF!"</definedName>
    <definedName name="ARANDELA02">"#REF!"</definedName>
    <definedName name="ARANDELA03">"#REF!"</definedName>
    <definedName name="arch">#REF!</definedName>
    <definedName name="AREA">#REF!</definedName>
    <definedName name="Area__cm2">#REF!</definedName>
    <definedName name="AREA_COLUMNAS">#REF!</definedName>
    <definedName name="Area_Impresión">#REF!</definedName>
    <definedName name="Área_impresión">#REF!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a_terreno2">#REF!</definedName>
    <definedName name="AREAS">#REF!</definedName>
    <definedName name="areas1">#REF!</definedName>
    <definedName name="ARENA">#REF!</definedName>
    <definedName name="arena1">NA()</definedName>
    <definedName name="arena2">NA()</definedName>
    <definedName name="arenado">#REF!</definedName>
    <definedName name="arenag">#REF!</definedName>
    <definedName name="Arial">#REF!</definedName>
    <definedName name="ARMADOS">#REF!</definedName>
    <definedName name="ARQ">#REF!</definedName>
    <definedName name="ARTEFACTOS">#REF!</definedName>
    <definedName name="as" localSheetId="9" hidden="1">{#N/A,#N/A,FALSE,"SumD";#N/A,#N/A,FALSE,"ElecD";#N/A,#N/A,FALSE,"MechD";#N/A,#N/A,FALSE,"GeotD";#N/A,#N/A,FALSE,"PrcsD";#N/A,#N/A,FALSE,"TunnD";#N/A,#N/A,FALSE,"CivlD";#N/A,#N/A,FALSE,"NtwkD";#N/A,#N/A,FALSE,"EstgD";#N/A,#N/A,FALSE,"PEngD"}</definedName>
    <definedName name="as" localSheetId="8" hidden="1">{#N/A,#N/A,FALSE,"SumD";#N/A,#N/A,FALSE,"ElecD";#N/A,#N/A,FALSE,"MechD";#N/A,#N/A,FALSE,"GeotD";#N/A,#N/A,FALSE,"PrcsD";#N/A,#N/A,FALSE,"TunnD";#N/A,#N/A,FALSE,"CivlD";#N/A,#N/A,FALSE,"NtwkD";#N/A,#N/A,FALSE,"EstgD";#N/A,#N/A,FALSE,"PEngD"}</definedName>
    <definedName name="as" hidden="1">{#N/A,#N/A,FALSE,"SumD";#N/A,#N/A,FALSE,"ElecD";#N/A,#N/A,FALSE,"MechD";#N/A,#N/A,FALSE,"GeotD";#N/A,#N/A,FALSE,"PrcsD";#N/A,#N/A,FALSE,"TunnD";#N/A,#N/A,FALSE,"CivlD";#N/A,#N/A,FALSE,"NtwkD";#N/A,#N/A,FALSE,"EstgD";#N/A,#N/A,FALSE,"PEngD"}</definedName>
    <definedName name="As_biax">#REF!</definedName>
    <definedName name="As_ped_maxx">#REF!</definedName>
    <definedName name="As_ped_maxz">#REF!</definedName>
    <definedName name="ASAS">#REF!</definedName>
    <definedName name="asd" localSheetId="9">{"Book1","DOC&amp;DWG.xls"}</definedName>
    <definedName name="asd">{"Book1","DOC&amp;DWG.xls"}</definedName>
    <definedName name="asdd" localSheetId="9" hidden="1">{#N/A,#N/A,FALSE,"SumD";#N/A,#N/A,FALSE,"ElecD";#N/A,#N/A,FALSE,"MechD";#N/A,#N/A,FALSE,"GeotD";#N/A,#N/A,FALSE,"PrcsD";#N/A,#N/A,FALSE,"TunnD";#N/A,#N/A,FALSE,"CivlD";#N/A,#N/A,FALSE,"NtwkD";#N/A,#N/A,FALSE,"EstgD";#N/A,#N/A,FALSE,"PEngD"}</definedName>
    <definedName name="asdd" localSheetId="8" hidden="1">{#N/A,#N/A,FALSE,"SumD";#N/A,#N/A,FALSE,"ElecD";#N/A,#N/A,FALSE,"MechD";#N/A,#N/A,FALSE,"GeotD";#N/A,#N/A,FALSE,"PrcsD";#N/A,#N/A,FALSE,"TunnD";#N/A,#N/A,FALSE,"CivlD";#N/A,#N/A,FALSE,"NtwkD";#N/A,#N/A,FALSE,"EstgD";#N/A,#N/A,FALSE,"PEngD"}</definedName>
    <definedName name="asdd" hidden="1">{#N/A,#N/A,FALSE,"SumD";#N/A,#N/A,FALSE,"ElecD";#N/A,#N/A,FALSE,"MechD";#N/A,#N/A,FALSE,"GeotD";#N/A,#N/A,FALSE,"PrcsD";#N/A,#N/A,FALSE,"TunnD";#N/A,#N/A,FALSE,"CivlD";#N/A,#N/A,FALSE,"NtwkD";#N/A,#N/A,FALSE,"EstgD";#N/A,#N/A,FALSE,"PEngD"}</definedName>
    <definedName name="asdf">#REF!</definedName>
    <definedName name="asdfgh">#REF!</definedName>
    <definedName name="ased" localSheetId="9" hidden="1">{#N/A,#N/A,FALSE,"SumG";#N/A,#N/A,FALSE,"ElecG";#N/A,#N/A,FALSE,"MechG";#N/A,#N/A,FALSE,"GeotG";#N/A,#N/A,FALSE,"PrcsG";#N/A,#N/A,FALSE,"TunnG";#N/A,#N/A,FALSE,"CivlG";#N/A,#N/A,FALSE,"NtwkG";#N/A,#N/A,FALSE,"EstgG";#N/A,#N/A,FALSE,"PEngG"}</definedName>
    <definedName name="ased" localSheetId="8" hidden="1">{#N/A,#N/A,FALSE,"SumG";#N/A,#N/A,FALSE,"ElecG";#N/A,#N/A,FALSE,"MechG";#N/A,#N/A,FALSE,"GeotG";#N/A,#N/A,FALSE,"PrcsG";#N/A,#N/A,FALSE,"TunnG";#N/A,#N/A,FALSE,"CivlG";#N/A,#N/A,FALSE,"NtwkG";#N/A,#N/A,FALSE,"EstgG";#N/A,#N/A,FALSE,"PEngG"}</definedName>
    <definedName name="ased" hidden="1">{#N/A,#N/A,FALSE,"SumG";#N/A,#N/A,FALSE,"ElecG";#N/A,#N/A,FALSE,"MechG";#N/A,#N/A,FALSE,"GeotG";#N/A,#N/A,FALSE,"PrcsG";#N/A,#N/A,FALSE,"TunnG";#N/A,#N/A,FALSE,"CivlG";#N/A,#N/A,FALSE,"NtwkG";#N/A,#N/A,FALSE,"EstgG";#N/A,#N/A,FALSE,"PEngG"}</definedName>
    <definedName name="ASF" localSheetId="9" hidden="1">#REF!</definedName>
    <definedName name="ASF" localSheetId="8" hidden="1">#REF!</definedName>
    <definedName name="ASF" hidden="1">#REF!</definedName>
    <definedName name="Asmaxx_m">#REF!</definedName>
    <definedName name="Asmaxz_m">#REF!</definedName>
    <definedName name="asp">#REF!</definedName>
    <definedName name="asr">#REF!</definedName>
    <definedName name="Ass">#REF!</definedName>
    <definedName name="asssss" localSheetId="9" hidden="1">{#N/A,#N/A,FALSE,"SumD";#N/A,#N/A,FALSE,"ElecD";#N/A,#N/A,FALSE,"MechD";#N/A,#N/A,FALSE,"GeotD";#N/A,#N/A,FALSE,"PrcsD";#N/A,#N/A,FALSE,"TunnD";#N/A,#N/A,FALSE,"CivlD";#N/A,#N/A,FALSE,"NtwkD";#N/A,#N/A,FALSE,"EstgD";#N/A,#N/A,FALSE,"PEngD"}</definedName>
    <definedName name="asssss" localSheetId="8" hidden="1">{#N/A,#N/A,FALSE,"SumD";#N/A,#N/A,FALSE,"ElecD";#N/A,#N/A,FALSE,"MechD";#N/A,#N/A,FALSE,"GeotD";#N/A,#N/A,FALSE,"PrcsD";#N/A,#N/A,FALSE,"TunnD";#N/A,#N/A,FALSE,"CivlD";#N/A,#N/A,FALSE,"NtwkD";#N/A,#N/A,FALSE,"EstgD";#N/A,#N/A,FALSE,"PEngD"}</definedName>
    <definedName name="asssss" hidden="1">{#N/A,#N/A,FALSE,"SumD";#N/A,#N/A,FALSE,"ElecD";#N/A,#N/A,FALSE,"MechD";#N/A,#N/A,FALSE,"GeotD";#N/A,#N/A,FALSE,"PrcsD";#N/A,#N/A,FALSE,"TunnD";#N/A,#N/A,FALSE,"CivlD";#N/A,#N/A,FALSE,"NtwkD";#N/A,#N/A,FALSE,"EstgD";#N/A,#N/A,FALSE,"PEngD"}</definedName>
    <definedName name="astatal">#REF!</definedName>
    <definedName name="ASTM">#REF!</definedName>
    <definedName name="ASTMOUT">#REF!</definedName>
    <definedName name="ASTMREBAR">#REF!</definedName>
    <definedName name="Astotal">#REF!</definedName>
    <definedName name="AT">#REF!</definedName>
    <definedName name="AttrRange">#REF!</definedName>
    <definedName name="attrRange_Q">#REF!</definedName>
    <definedName name="Au">#N/A</definedName>
    <definedName name="Àü">#N/A</definedName>
    <definedName name="AUMBRADO">#REF!,#REF!,#REF!,#REF!,#REF!,#REF!,#REF!,#REF!,#REF!,#REF!,#REF!,#REF!,#REF!,#REF!,#REF!,#REF!,#REF!,#REF!,#REF!,#REF!,#REF!,#REF!,#REF!,#REF!,#REF!,#REF!,#REF!,#REF!,#REF!,#REF!,#REF!,#REF!,#REF!,#REF!,#REF!,#REF!,#REF!,#REF!,#REF!,#REF!,#REF!,#REF!,#REF!,#REF!,#REF!,#REF!</definedName>
    <definedName name="autoexec">#REF!</definedName>
    <definedName name="autoforma2">#REF!</definedName>
    <definedName name="aux">#REF!</definedName>
    <definedName name="Av_used">#REF!</definedName>
    <definedName name="AVD">(#REF!,#REF!)</definedName>
    <definedName name="Ay">#REF!</definedName>
    <definedName name="AYC">#REF!</definedName>
    <definedName name="Ayudante_Montaje">#REF!</definedName>
    <definedName name="Ayudante_Obras_Civiles">#REF!</definedName>
    <definedName name="azot">#REF!</definedName>
    <definedName name="B">#REF!</definedName>
    <definedName name="b_">#REF!</definedName>
    <definedName name="B_1">#REF!</definedName>
    <definedName name="B_1___0">#REF!</definedName>
    <definedName name="B_1___1">#REF!</definedName>
    <definedName name="B_1___2">#REF!</definedName>
    <definedName name="B_1___3">#REF!</definedName>
    <definedName name="B_1___4">#REF!</definedName>
    <definedName name="B_2">#REF!</definedName>
    <definedName name="B_2___0">#REF!</definedName>
    <definedName name="B_2___1">#REF!</definedName>
    <definedName name="B_2___2">#REF!</definedName>
    <definedName name="B_2___3">#REF!</definedName>
    <definedName name="B_2___4">#REF!</definedName>
    <definedName name="b_21">#REF!</definedName>
    <definedName name="B_22">#REF!</definedName>
    <definedName name="B_23">#REF!</definedName>
    <definedName name="B_24">#REF!</definedName>
    <definedName name="B_25">#REF!</definedName>
    <definedName name="b_5">#REF!</definedName>
    <definedName name="b_6">#REF!</definedName>
    <definedName name="b_7">#REF!</definedName>
    <definedName name="b_8">#REF!</definedName>
    <definedName name="b_9">#REF!</definedName>
    <definedName name="b_b">#REF!</definedName>
    <definedName name="b_c">#REF!</definedName>
    <definedName name="B_FLG">#REF!</definedName>
    <definedName name="B_TYPE">#REF!</definedName>
    <definedName name="b0">#REF!</definedName>
    <definedName name="B01_">#REF!</definedName>
    <definedName name="B01____0">#REF!</definedName>
    <definedName name="B01____1">#REF!</definedName>
    <definedName name="B01____2">#REF!</definedName>
    <definedName name="B01____3">#REF!</definedName>
    <definedName name="B01____4">#REF!</definedName>
    <definedName name="B02_">#REF!</definedName>
    <definedName name="B02____0">#REF!</definedName>
    <definedName name="B02____1">#REF!</definedName>
    <definedName name="B02____2">#REF!</definedName>
    <definedName name="B02____3">#REF!</definedName>
    <definedName name="B02____4">#REF!</definedName>
    <definedName name="B03_">#REF!</definedName>
    <definedName name="B03____0">#REF!</definedName>
    <definedName name="B03____1">#REF!</definedName>
    <definedName name="B03____2">#REF!</definedName>
    <definedName name="B03____3">#REF!</definedName>
    <definedName name="B03____4">#REF!</definedName>
    <definedName name="B04_">#REF!</definedName>
    <definedName name="B04____0">#REF!</definedName>
    <definedName name="B04____1">#REF!</definedName>
    <definedName name="B04____2">#REF!</definedName>
    <definedName name="B04____3">#REF!</definedName>
    <definedName name="B04____4">#REF!</definedName>
    <definedName name="B05_">#REF!</definedName>
    <definedName name="B05____0">#REF!</definedName>
    <definedName name="B05____1">#REF!</definedName>
    <definedName name="B05____2">#REF!</definedName>
    <definedName name="B05____3">#REF!</definedName>
    <definedName name="B05____4">#REF!</definedName>
    <definedName name="B06_">#REF!</definedName>
    <definedName name="B06____0">#REF!</definedName>
    <definedName name="B06____1">#REF!</definedName>
    <definedName name="B06____2">#REF!</definedName>
    <definedName name="B06____3">#REF!</definedName>
    <definedName name="B06____4">#REF!</definedName>
    <definedName name="B07_">#REF!</definedName>
    <definedName name="B07____0">#REF!</definedName>
    <definedName name="B07____1">#REF!</definedName>
    <definedName name="B07____2">#REF!</definedName>
    <definedName name="B07____3">#REF!</definedName>
    <definedName name="B07____4">#REF!</definedName>
    <definedName name="B08_">#REF!</definedName>
    <definedName name="B08____0">#REF!</definedName>
    <definedName name="B08____1">#REF!</definedName>
    <definedName name="B08____2">#REF!</definedName>
    <definedName name="B08____3">#REF!</definedName>
    <definedName name="B08____4">#REF!</definedName>
    <definedName name="B1_Dpto_1_1">#REF!</definedName>
    <definedName name="B1_Dpto_2_1">#REF!</definedName>
    <definedName name="B1_Dpto_3_1">#REF!</definedName>
    <definedName name="B1_Dpto_4_1">#REF!</definedName>
    <definedName name="B2_Dpto_1_1">#REF!</definedName>
    <definedName name="B2_Dpto_2_1">#REF!</definedName>
    <definedName name="B2_Dpto_3_1">#REF!</definedName>
    <definedName name="B2_Dpto_4_1">#REF!</definedName>
    <definedName name="b3r1h1">#REF!</definedName>
    <definedName name="b3r1h2">#REF!</definedName>
    <definedName name="back_pressure">#REF!</definedName>
    <definedName name="BAJADA">#REF!</definedName>
    <definedName name="ball">#REF!</definedName>
    <definedName name="BASE">#REF!</definedName>
    <definedName name="Base_datos_IM">#REF!</definedName>
    <definedName name="base2">#REF!</definedName>
    <definedName name="base3">#REF!</definedName>
    <definedName name="BASES">#REF!</definedName>
    <definedName name="BB">#N/A</definedName>
    <definedName name="BB_0">#REF!</definedName>
    <definedName name="BB_1">#REF!</definedName>
    <definedName name="bb_2">#REF!</definedName>
    <definedName name="bb_3">#REF!</definedName>
    <definedName name="bb_4">#REF!</definedName>
    <definedName name="BBB">#REF!</definedName>
    <definedName name="bbb_2">#REF!</definedName>
    <definedName name="bbb_3">#REF!</definedName>
    <definedName name="bbbb">#REF!</definedName>
    <definedName name="bbbb_2">#REF!</definedName>
    <definedName name="bbbb_3">#REF!</definedName>
    <definedName name="bbbbb" localSheetId="9" hidden="1">{#N/A,#N/A,FALSE,"SumD";#N/A,#N/A,FALSE,"ElecD";#N/A,#N/A,FALSE,"MechD";#N/A,#N/A,FALSE,"GeotD";#N/A,#N/A,FALSE,"PrcsD";#N/A,#N/A,FALSE,"TunnD";#N/A,#N/A,FALSE,"CivlD";#N/A,#N/A,FALSE,"NtwkD";#N/A,#N/A,FALSE,"EstgD";#N/A,#N/A,FALSE,"PEngD"}</definedName>
    <definedName name="bbbbb" localSheetId="8"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_2">#REF!</definedName>
    <definedName name="bbbbb_3">#REF!</definedName>
    <definedName name="bbbbbb" localSheetId="9" hidden="1">{#N/A,#N/A,FALSE,"SumG";#N/A,#N/A,FALSE,"ElecG";#N/A,#N/A,FALSE,"MechG";#N/A,#N/A,FALSE,"GeotG";#N/A,#N/A,FALSE,"PrcsG";#N/A,#N/A,FALSE,"TunnG";#N/A,#N/A,FALSE,"CivlG";#N/A,#N/A,FALSE,"NtwkG";#N/A,#N/A,FALSE,"EstgG";#N/A,#N/A,FALSE,"PEngG"}</definedName>
    <definedName name="bbbbbb" localSheetId="8" hidden="1">{#N/A,#N/A,FALSE,"SumG";#N/A,#N/A,FALSE,"ElecG";#N/A,#N/A,FALSE,"MechG";#N/A,#N/A,FALSE,"GeotG";#N/A,#N/A,FALSE,"PrcsG";#N/A,#N/A,FALSE,"TunnG";#N/A,#N/A,FALSE,"CivlG";#N/A,#N/A,FALSE,"NtwkG";#N/A,#N/A,FALSE,"EstgG";#N/A,#N/A,FALSE,"PEngG"}</definedName>
    <definedName name="bbbbbb" hidden="1">{#N/A,#N/A,FALSE,"SumG";#N/A,#N/A,FALSE,"ElecG";#N/A,#N/A,FALSE,"MechG";#N/A,#N/A,FALSE,"GeotG";#N/A,#N/A,FALSE,"PrcsG";#N/A,#N/A,FALSE,"TunnG";#N/A,#N/A,FALSE,"CivlG";#N/A,#N/A,FALSE,"NtwkG";#N/A,#N/A,FALSE,"EstgG";#N/A,#N/A,FALSE,"PEngG"}</definedName>
    <definedName name="bbbolts">#REF!</definedName>
    <definedName name="bbbtno">#REF!</definedName>
    <definedName name="BBOLTS">#REF!</definedName>
    <definedName name="bbtht">#REF!</definedName>
    <definedName name="Bc">#REF!</definedName>
    <definedName name="bcc">#REF!</definedName>
    <definedName name="bcero">#REF!</definedName>
    <definedName name="bcout">#REF!</definedName>
    <definedName name="bcp">#REF!</definedName>
    <definedName name="bcpicture">#REF!</definedName>
    <definedName name="bctype">#REF!</definedName>
    <definedName name="Beam">#REF!</definedName>
    <definedName name="bear">#REF!</definedName>
    <definedName name="bearch">#REF!</definedName>
    <definedName name="bencina">#REF!</definedName>
    <definedName name="Bend">#REF!</definedName>
    <definedName name="Bends">#REF!</definedName>
    <definedName name="beta1">#REF!</definedName>
    <definedName name="BF">#REF!</definedName>
    <definedName name="bitumen">#REF!</definedName>
    <definedName name="BL_0">#REF!</definedName>
    <definedName name="BL_1">#REF!</definedName>
    <definedName name="BL_2">#REF!</definedName>
    <definedName name="BL_3">#REF!</definedName>
    <definedName name="BL_4">#REF!</definedName>
    <definedName name="BLOCK">#REF!</definedName>
    <definedName name="bmjukj">#REF!</definedName>
    <definedName name="bn" localSheetId="9" hidden="1">{#N/A,#N/A,TRUE,"1842CWN0"}</definedName>
    <definedName name="bn" localSheetId="8" hidden="1">{#N/A,#N/A,TRUE,"1842CWN0"}</definedName>
    <definedName name="bn" hidden="1">{#N/A,#N/A,TRUE,"1842CWN0"}</definedName>
    <definedName name="bnhgh">#REF!</definedName>
    <definedName name="bnhj">#REF!</definedName>
    <definedName name="BO_ACERO">#REF!</definedName>
    <definedName name="BO_ARENA">#REF!</definedName>
    <definedName name="BO_CEMENTO">#REF!</definedName>
    <definedName name="BO_FORMALETA">#REF!</definedName>
    <definedName name="BO_GRAVA">#REF!</definedName>
    <definedName name="BO_OTROS">#REF!</definedName>
    <definedName name="BO_SUMINISTRO">#REF!</definedName>
    <definedName name="Bolognesi">#REF!</definedName>
    <definedName name="BOLT">#REF!</definedName>
    <definedName name="bolts">#REF!</definedName>
    <definedName name="bomba">#REF!</definedName>
    <definedName name="bomel">#REF!</definedName>
    <definedName name="BOQ">#REF!</definedName>
    <definedName name="BORDET">#REF!</definedName>
    <definedName name="BOSS">#REF!</definedName>
    <definedName name="botthk">#REF!</definedName>
    <definedName name="bottom">#REF!</definedName>
    <definedName name="BP">#REF!</definedName>
    <definedName name="br4r1">#REF!</definedName>
    <definedName name="br4r2">#REF!</definedName>
    <definedName name="bridas">#REF!</definedName>
    <definedName name="BRKRKRTDKDK">#REF!</definedName>
    <definedName name="BRUÑASM">#REF!</definedName>
    <definedName name="BTHT">#REF!</definedName>
    <definedName name="BTNO">#REF!</definedName>
    <definedName name="BuiltIn_AutoFilter___1">#REF!</definedName>
    <definedName name="BuiltIn_AutoFilter___2">#REF!</definedName>
    <definedName name="BuiltIn_AutoFilter___3">#REF!</definedName>
    <definedName name="BuiltIn_AutoFilter___4">#REF!</definedName>
    <definedName name="BuiltIn_AutoFilter___5">#REF!</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iltIn_Print_Area">#REF!</definedName>
    <definedName name="BuiltIn_Print_Area___0">#REF!</definedName>
    <definedName name="BuiltIn_Print_Area___0___0">#REF!</definedName>
    <definedName name="BuiltIn_Print_Area___0___0___0">#REF!</definedName>
    <definedName name="BuiltIn_Print_Area___0___0___1">#REF!</definedName>
    <definedName name="BuiltIn_Print_Area___0___0___2">#REF!</definedName>
    <definedName name="BuiltIn_Print_Area___0___1">#REF!</definedName>
    <definedName name="BuiltIn_Print_Area___0___2">#REF!</definedName>
    <definedName name="BuiltIn_Print_Titles">#REF!</definedName>
    <definedName name="BuiltIn_Print_Titles___0">#REF!</definedName>
    <definedName name="BuiltIn_Print_Titles___1___1">#REF!</definedName>
    <definedName name="buscar">#REF!</definedName>
    <definedName name="Buscar2">#REF!</definedName>
    <definedName name="BuscarMerfi">#REF!</definedName>
    <definedName name="butterfly">#REF!</definedName>
    <definedName name="Button_3">"vlvlist_vlvlist_List"</definedName>
    <definedName name="bx">#REF!</definedName>
    <definedName name="bx_col">#REF!</definedName>
    <definedName name="by">#REF!</definedName>
    <definedName name="bz_col">#REF!</definedName>
    <definedName name="C.MADERA">#REF!</definedName>
    <definedName name="C.METALICA">#REF!</definedName>
    <definedName name="C_">#REF!</definedName>
    <definedName name="C_1">#REF!</definedName>
    <definedName name="C_1___0">#REF!</definedName>
    <definedName name="C_1___1">#REF!</definedName>
    <definedName name="C_1___2">#REF!</definedName>
    <definedName name="C_1___3">#REF!</definedName>
    <definedName name="C_1___4">#REF!</definedName>
    <definedName name="C_2">#REF!</definedName>
    <definedName name="C_2___0">#REF!</definedName>
    <definedName name="C_2___1">#REF!</definedName>
    <definedName name="C_2___2">#REF!</definedName>
    <definedName name="C_2___3">#REF!</definedName>
    <definedName name="C_2___4">#REF!</definedName>
    <definedName name="C_B">#REF!</definedName>
    <definedName name="C_BK">#REF!</definedName>
    <definedName name="C_Ctrl101">#REF!</definedName>
    <definedName name="C_Ctrl102">#REF!</definedName>
    <definedName name="C_Ctrl103">#REF!</definedName>
    <definedName name="C_Ctrl104">#REF!</definedName>
    <definedName name="C_Ctrl105">#REF!</definedName>
    <definedName name="C_Ctrl106">#REF!</definedName>
    <definedName name="C_Ctrl107">#REF!</definedName>
    <definedName name="C_Ctrl109">#REF!</definedName>
    <definedName name="C_Ctrl110">#REF!</definedName>
    <definedName name="C_Ctrl201">#REF!</definedName>
    <definedName name="C_Ctrl202">#REF!</definedName>
    <definedName name="C_Ctrl203">#REF!</definedName>
    <definedName name="C_Ctrl204">#REF!</definedName>
    <definedName name="C_Ctrl205">#REF!</definedName>
    <definedName name="C_Ctrl206">#REF!</definedName>
    <definedName name="C_Ctrl207">#REF!</definedName>
    <definedName name="C_Ctrl209">#REF!</definedName>
    <definedName name="C_Ctrl210">#REF!</definedName>
    <definedName name="C_Dev01">#REF!</definedName>
    <definedName name="C_Dev02">#REF!</definedName>
    <definedName name="C_Dev03">#REF!</definedName>
    <definedName name="C_Dev04">#REF!</definedName>
    <definedName name="C_Dev05">#REF!</definedName>
    <definedName name="C_Dev06">#REF!</definedName>
    <definedName name="C_Dev07">#REF!</definedName>
    <definedName name="C_Dev09">#REF!</definedName>
    <definedName name="C_Dev10">#REF!</definedName>
    <definedName name="C_DP">#REF!</definedName>
    <definedName name="C_Emerg01">#REF!</definedName>
    <definedName name="C_Emerg02">#REF!</definedName>
    <definedName name="C_Emerg03">#REF!</definedName>
    <definedName name="C_Emerg04">#REF!</definedName>
    <definedName name="C_Emerg05">#REF!</definedName>
    <definedName name="C_Emerg06">#REF!</definedName>
    <definedName name="C_Emerg07">#REF!</definedName>
    <definedName name="C_Emerg09">#REF!</definedName>
    <definedName name="C_Emerg10">#REF!</definedName>
    <definedName name="C_EX">#REF!</definedName>
    <definedName name="C_Fuerza01">#REF!</definedName>
    <definedName name="C_Fuerza02">#REF!</definedName>
    <definedName name="C_Fuerza03">#REF!</definedName>
    <definedName name="C_Fuerza04">#REF!</definedName>
    <definedName name="C_Fuerza05">#REF!</definedName>
    <definedName name="C_Fuerza06">#REF!</definedName>
    <definedName name="C_Fuerza07">#REF!</definedName>
    <definedName name="C_Fuerza09">#REF!</definedName>
    <definedName name="C_Fuerza10">#REF!</definedName>
    <definedName name="C_H">#REF!</definedName>
    <definedName name="C_HC">#REF!</definedName>
    <definedName name="C_LLaveC01">#REF!</definedName>
    <definedName name="C_LLaveC02">#REF!</definedName>
    <definedName name="C_LLaveC03">#REF!</definedName>
    <definedName name="C_LLaveC04">#REF!</definedName>
    <definedName name="C_LLaveC05">#REF!</definedName>
    <definedName name="C_LLaveC06">#REF!</definedName>
    <definedName name="C_LLaveC07">#REF!</definedName>
    <definedName name="C_LLaveC09">#REF!</definedName>
    <definedName name="C_LLaveC10">#REF!</definedName>
    <definedName name="C_LLaveR01">#REF!</definedName>
    <definedName name="C_LLaveR02">#REF!</definedName>
    <definedName name="C_LLaveR03">#REF!</definedName>
    <definedName name="C_LLaveR04">#REF!</definedName>
    <definedName name="C_LLaveR05">#REF!</definedName>
    <definedName name="C_LLaveR06">#REF!</definedName>
    <definedName name="C_LLaveR07">#REF!</definedName>
    <definedName name="C_LLaveR09">#REF!</definedName>
    <definedName name="C_LLaveR10">#REF!</definedName>
    <definedName name="C_Md01">#REF!</definedName>
    <definedName name="C_Md02">#REF!</definedName>
    <definedName name="C_Md03">#REF!</definedName>
    <definedName name="C_Md04">#REF!</definedName>
    <definedName name="C_Md05">#REF!</definedName>
    <definedName name="C_Md06">#REF!</definedName>
    <definedName name="C_Md07">#REF!</definedName>
    <definedName name="C_Md09">#REF!</definedName>
    <definedName name="C_Md10">#REF!</definedName>
    <definedName name="C_Pos01">#REF!</definedName>
    <definedName name="C_Pos02">#REF!</definedName>
    <definedName name="C_Pos03">#REF!</definedName>
    <definedName name="C_Pos04">#REF!</definedName>
    <definedName name="C_Pos05">#REF!</definedName>
    <definedName name="C_Pos06">#REF!</definedName>
    <definedName name="C_Pos07">#REF!</definedName>
    <definedName name="C_Pos09">#REF!</definedName>
    <definedName name="C_Pos10">#REF!</definedName>
    <definedName name="C0NC212">#REF!</definedName>
    <definedName name="C37694030">#REF!</definedName>
    <definedName name="Ca" localSheetId="9">#REF!</definedName>
    <definedName name="Ca" localSheetId="8">#REF!</definedName>
    <definedName name="CA">#REF!</definedName>
    <definedName name="ÇÃ">#N/A</definedName>
    <definedName name="ca_a">#REF!</definedName>
    <definedName name="ca_d">#REF!</definedName>
    <definedName name="ca_ea">#REF!</definedName>
    <definedName name="ca_l">#REF!</definedName>
    <definedName name="caa">#REF!</definedName>
    <definedName name="CABLE">#REF!</definedName>
    <definedName name="cableado">#REF!</definedName>
    <definedName name="cables_red_est">#REF!</definedName>
    <definedName name="caja">#REF!</definedName>
    <definedName name="CAJAS" localSheetId="9" hidden="1">#REF!</definedName>
    <definedName name="CAJAS" localSheetId="8" hidden="1">#REF!</definedName>
    <definedName name="CAJAS" hidden="1">#REF!</definedName>
    <definedName name="CalcAgencyPrice">#REF!</definedName>
    <definedName name="CalContrCorreg">#REF!</definedName>
    <definedName name="CalcSht_Header">#REF!</definedName>
    <definedName name="CalcSht_Hearder">#REF!</definedName>
    <definedName name="CALIBRE">#REF!</definedName>
    <definedName name="Cambio">#REF!</definedName>
    <definedName name="camion">#REF!</definedName>
    <definedName name="cañ">#REF!</definedName>
    <definedName name="CANAL01">"#REF!"</definedName>
    <definedName name="CANAL02">"#REF!"</definedName>
    <definedName name="CANAL03">"#REF!"</definedName>
    <definedName name="CANALETA">#REF!</definedName>
    <definedName name="CANALETAS">#REF!</definedName>
    <definedName name="CANT.">#REF!</definedName>
    <definedName name="CANT_">#REF!</definedName>
    <definedName name="CANT____0">#REF!</definedName>
    <definedName name="CANT____1">#REF!</definedName>
    <definedName name="CANT____2">#REF!</definedName>
    <definedName name="CANTIDAD2">#REF!</definedName>
    <definedName name="CAP">'[1]Mano de Obra'!$C$10</definedName>
    <definedName name="Capataz_Montaje">#REF!</definedName>
    <definedName name="Capataz_Obras_Civiles">#REF!</definedName>
    <definedName name="Capt">#REF!</definedName>
    <definedName name="CAPU">#REF!</definedName>
    <definedName name="CAR">#REF!</definedName>
    <definedName name="CARAT">#REF!</definedName>
    <definedName name="CARATULA2">#REF!</definedName>
    <definedName name="cargaretroexcavadora">#REF!</definedName>
    <definedName name="CARP">#REF!</definedName>
    <definedName name="CARPINT">#REF!</definedName>
    <definedName name="CARTEL1">#REF!</definedName>
    <definedName name="CARTEL2">#REF!</definedName>
    <definedName name="CARTEL3">#REF!</definedName>
    <definedName name="case">#REF!</definedName>
    <definedName name="case1">#REF!</definedName>
    <definedName name="case2">#REF!</definedName>
    <definedName name="CASETA1">#REF!</definedName>
    <definedName name="CASETA2">#REF!</definedName>
    <definedName name="CASETA3">#REF!</definedName>
    <definedName name="Category_All">#REF!</definedName>
    <definedName name="CATIN">#N/A</definedName>
    <definedName name="CATJYOU">#N/A</definedName>
    <definedName name="CATREC">#N/A</definedName>
    <definedName name="CATSYU">#N/A</definedName>
    <definedName name="CB_0">#REF!</definedName>
    <definedName name="CB_1">#REF!</definedName>
    <definedName name="CB_2">#REF!</definedName>
    <definedName name="CB_3">#REF!</definedName>
    <definedName name="CB_4">#REF!</definedName>
    <definedName name="cb_a">#REF!</definedName>
    <definedName name="cb_l">#REF!</definedName>
    <definedName name="Cc">#REF!</definedName>
    <definedName name="cc___0">#REF!</definedName>
    <definedName name="cc___1">#REF!</definedName>
    <definedName name="ccc" localSheetId="9" hidden="1">{#N/A,#N/A,FALSE,"SumD";#N/A,#N/A,FALSE,"ElecD";#N/A,#N/A,FALSE,"MechD";#N/A,#N/A,FALSE,"GeotD";#N/A,#N/A,FALSE,"PrcsD";#N/A,#N/A,FALSE,"TunnD";#N/A,#N/A,FALSE,"CivlD";#N/A,#N/A,FALSE,"NtwkD";#N/A,#N/A,FALSE,"EstgD";#N/A,#N/A,FALSE,"PEngD"}</definedName>
    <definedName name="ccc" localSheetId="8" hidden="1">{#N/A,#N/A,FALSE,"SumD";#N/A,#N/A,FALSE,"ElecD";#N/A,#N/A,FALSE,"MechD";#N/A,#N/A,FALSE,"GeotD";#N/A,#N/A,FALSE,"PrcsD";#N/A,#N/A,FALSE,"TunnD";#N/A,#N/A,FALSE,"CivlD";#N/A,#N/A,FALSE,"NtwkD";#N/A,#N/A,FALSE,"EstgD";#N/A,#N/A,FALSE,"PEngD"}</definedName>
    <definedName name="CCC" hidden="1">#REF!</definedName>
    <definedName name="ccc___0">#REF!</definedName>
    <definedName name="ccc___1">#REF!</definedName>
    <definedName name="cccc">#REF!</definedName>
    <definedName name="cccc___0">#REF!</definedName>
    <definedName name="cccc___1">#REF!</definedName>
    <definedName name="ccccc" localSheetId="9" hidden="1">{#N/A,#N/A,FALSE,"SumD";#N/A,#N/A,FALSE,"ElecD";#N/A,#N/A,FALSE,"MechD";#N/A,#N/A,FALSE,"GeotD";#N/A,#N/A,FALSE,"PrcsD";#N/A,#N/A,FALSE,"TunnD";#N/A,#N/A,FALSE,"CivlD";#N/A,#N/A,FALSE,"NtwkD";#N/A,#N/A,FALSE,"EstgD";#N/A,#N/A,FALSE,"PEngD"}</definedName>
    <definedName name="ccccc" localSheetId="8"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 localSheetId="9" hidden="1">{#N/A,#N/A,FALSE,"SumG";#N/A,#N/A,FALSE,"ElecG";#N/A,#N/A,FALSE,"MechG";#N/A,#N/A,FALSE,"GeotG";#N/A,#N/A,FALSE,"PrcsG";#N/A,#N/A,FALSE,"TunnG";#N/A,#N/A,FALSE,"CivlG";#N/A,#N/A,FALSE,"NtwkG";#N/A,#N/A,FALSE,"EstgG";#N/A,#N/A,FALSE,"PEngG"}</definedName>
    <definedName name="cccccc" localSheetId="8" hidden="1">{#N/A,#N/A,FALSE,"SumG";#N/A,#N/A,FALSE,"ElecG";#N/A,#N/A,FALSE,"MechG";#N/A,#N/A,FALSE,"GeotG";#N/A,#N/A,FALSE,"PrcsG";#N/A,#N/A,FALSE,"TunnG";#N/A,#N/A,FALSE,"CivlG";#N/A,#N/A,FALSE,"NtwkG";#N/A,#N/A,FALSE,"EstgG";#N/A,#N/A,FALSE,"PEngG"}</definedName>
    <definedName name="cccccc" hidden="1">{#N/A,#N/A,FALSE,"SumG";#N/A,#N/A,FALSE,"ElecG";#N/A,#N/A,FALSE,"MechG";#N/A,#N/A,FALSE,"GeotG";#N/A,#N/A,FALSE,"PrcsG";#N/A,#N/A,FALSE,"TunnG";#N/A,#N/A,FALSE,"CivlG";#N/A,#N/A,FALSE,"NtwkG";#N/A,#N/A,FALSE,"EstgG";#N/A,#N/A,FALSE,"PEngG"}</definedName>
    <definedName name="cccccccccccccccc">#REF!</definedName>
    <definedName name="CCDXXXSP">#REF!</definedName>
    <definedName name="Ccivil">#REF!</definedName>
    <definedName name="CCosto">#REF!</definedName>
    <definedName name="CCX">#REF!</definedName>
    <definedName name="CCXC">#REF!</definedName>
    <definedName name="cd">#REF!</definedName>
    <definedName name="cd_d">#REF!</definedName>
    <definedName name="cd_ea">#REF!</definedName>
    <definedName name="CDATE">#REF!</definedName>
    <definedName name="CDSHOP">#REF!</definedName>
    <definedName name="CDXXV">#REF!</definedName>
    <definedName name="CE">#REF!</definedName>
    <definedName name="CEM">#REF!</definedName>
    <definedName name="CEMENTO">#REF!</definedName>
    <definedName name="cemento1">#REF!</definedName>
    <definedName name="CENTRAL">#REF!</definedName>
    <definedName name="CENTROS">#REF!</definedName>
    <definedName name="CERCO_AES">#REF!</definedName>
    <definedName name="CERCO_EST">#REF!</definedName>
    <definedName name="CERCO1">#REF!</definedName>
    <definedName name="CERCO2">#REF!</definedName>
    <definedName name="CERCO3">#REF!</definedName>
    <definedName name="CERRADURAS">#REF!</definedName>
    <definedName name="CERRAJE">#REF!</definedName>
    <definedName name="Cert_1">#REF!</definedName>
    <definedName name="Cert_10">#REF!</definedName>
    <definedName name="Cert_2">#REF!</definedName>
    <definedName name="Cert_3">#REF!</definedName>
    <definedName name="Cert_4">#REF!</definedName>
    <definedName name="Cert_5">#REF!</definedName>
    <definedName name="Cert_6">#REF!</definedName>
    <definedName name="Cert_7">#REF!</definedName>
    <definedName name="Cert_8">#REF!</definedName>
    <definedName name="Cert_9">#REF!</definedName>
    <definedName name="certactual1">#REF!</definedName>
    <definedName name="CF">#REF!</definedName>
    <definedName name="cfc100t1">#REF!</definedName>
    <definedName name="cfc2101l">#REF!</definedName>
    <definedName name="cfc2101p">#REF!</definedName>
    <definedName name="cfc210t1">#REF!</definedName>
    <definedName name="cfc210tv">#REF!</definedName>
    <definedName name="cfc245t1">#REF!</definedName>
    <definedName name="cfc245t1f">#REF!</definedName>
    <definedName name="cfc245tv">#REF!</definedName>
    <definedName name="Chaupimarca">#REF!</definedName>
    <definedName name="Check">#REF!</definedName>
    <definedName name="Checks">#REF!</definedName>
    <definedName name="Choca">#REF!</definedName>
    <definedName name="Chofer">#REF!</definedName>
    <definedName name="CIELORRASO">#REF!</definedName>
    <definedName name="CIELOX">#REF!</definedName>
    <definedName name="CIM" localSheetId="9" hidden="1">#REF!</definedName>
    <definedName name="CIM" localSheetId="8" hidden="1">#REF!</definedName>
    <definedName name="CIM" hidden="1">#REF!</definedName>
    <definedName name="CISTERNAS">#REF!</definedName>
    <definedName name="civil">#REF!</definedName>
    <definedName name="CIZALLA">"#REF!"</definedName>
    <definedName name="CL">#REF!</definedName>
    <definedName name="CL_0">#REF!</definedName>
    <definedName name="CL_1">#REF!</definedName>
    <definedName name="CL_2">#REF!</definedName>
    <definedName name="CL_4">#REF!</definedName>
    <definedName name="Classification">#REF!</definedName>
    <definedName name="clave">#REF!</definedName>
    <definedName name="clavos">#REF!</definedName>
    <definedName name="CLIENTE">#REF!</definedName>
    <definedName name="CLOSETS">#REF!</definedName>
    <definedName name="CNI">#REF!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BERTURA">#REF!</definedName>
    <definedName name="COCINA">#REF!,#REF!,#REF!,#REF!,#REF!,#REF!,#REF!,#REF!,#REF!,#REF!,#REF!,#REF!,#REF!,#REF!,#REF!,#REF!,#REF!,#REF!,#REF!,#REF!,#REF!,#REF!,#REF!,#REF!,#REF!,#REF!,#REF!,#REF!,#REF!,#REF!,#REF!,#REF!,#REF!,#REF!,#REF!,#REF!,#REF!,#REF!,#REF!,#REF!,#REF!,#REF!,#REF!,#REF!,#REF!,#REF!,#REF!,#REF!,#REF!,#REF!,#REF!</definedName>
    <definedName name="COCINA2">#REF!,#REF!,#REF!,#REF!,#REF!,#REF!,#REF!,#REF!,#REF!,#REF!,#REF!,#REF!,#REF!,#REF!,#REF!,#REF!,#REF!,#REF!,#REF!,#REF!,#REF!,#REF!,#REF!,#REF!,#REF!,#REF!,#REF!,#REF!,#REF!,#REF!,#REF!,#REF!,#REF!,#REF!,#REF!,#REF!,#REF!,#REF!,#REF!,#REF!,#REF!,#REF!,#REF!,#REF!,#REF!,#REF!,#REF!</definedName>
    <definedName name="COCINAS">#REF!</definedName>
    <definedName name="coco">#REF!</definedName>
    <definedName name="Codigo_sap">#REF!</definedName>
    <definedName name="col">#REF!</definedName>
    <definedName name="COLEGIO">#REF!</definedName>
    <definedName name="Columnas_sótano">#REF!</definedName>
    <definedName name="Columnas_tienda">#REF!</definedName>
    <definedName name="Columnetas" localSheetId="9" hidden="1">#REF!</definedName>
    <definedName name="Columnetas" localSheetId="8" hidden="1">#REF!</definedName>
    <definedName name="Columnetas" hidden="1">#REF!</definedName>
    <definedName name="COM">#REF!</definedName>
    <definedName name="COMAS">#REF!</definedName>
    <definedName name="Combustibles_lubricantes_y_filtros">#REF!</definedName>
    <definedName name="COMEDOR">#REF!</definedName>
    <definedName name="COMEDOR2">#REF!</definedName>
    <definedName name="COMEDOR3">#REF!</definedName>
    <definedName name="Comit">#REF!</definedName>
    <definedName name="comm">#REF!</definedName>
    <definedName name="Commission">#REF!</definedName>
    <definedName name="COMP">#REF!</definedName>
    <definedName name="COMPE">#REF!</definedName>
    <definedName name="COMPI">#REF!</definedName>
    <definedName name="Compresora">#REF!</definedName>
    <definedName name="COMUNES">#REF!</definedName>
    <definedName name="CON">#REF!</definedName>
    <definedName name="CONC">#REF!</definedName>
    <definedName name="Conc_Cap_Shear">#REF!</definedName>
    <definedName name="Conc_Cap_Tension">#REF!</definedName>
    <definedName name="CONC21">#REF!</definedName>
    <definedName name="CONC211">#REF!</definedName>
    <definedName name="CONC231">#REF!</definedName>
    <definedName name="CONC232">#REF!</definedName>
    <definedName name="CONCQTY">#REF!</definedName>
    <definedName name="Concretero">#REF!</definedName>
    <definedName name="Cond1">#REF!</definedName>
    <definedName name="Cond2">#REF!</definedName>
    <definedName name="Cond3">#REF!</definedName>
    <definedName name="Cond4">#REF!</definedName>
    <definedName name="Cond5">#REF!</definedName>
    <definedName name="CONDUC">#REF!</definedName>
    <definedName name="CONDxRAM_crb1">#REF!</definedName>
    <definedName name="CONDxRAM_INDP">#REF!</definedName>
    <definedName name="Configuration">#REF!</definedName>
    <definedName name="confilm">#REF!</definedName>
    <definedName name="Consolidado" localSheetId="9">{"Demoliciones y desmontajes","Campamentos","Provisionales","Ensayos","Energía y Agua","Movilización y Desmov.","Topografía","Trans. Vertical y Horizontal","Seguridad, Salud y MA","Adicionales"}</definedName>
    <definedName name="Consolidado">{"Demoliciones y desmontajes","Campamentos","Provisionales","Ensayos","Energía y Agua","Movilización y Desmov.","Topografía","Trans. Vertical y Horizontal","Seguridad, Salud y MA","Adicionales"}</definedName>
    <definedName name="CONSTRUCTORA">#REF!</definedName>
    <definedName name="CONSUM">#REF!</definedName>
    <definedName name="CONT">#REF!</definedName>
    <definedName name="ContObra">#REF!</definedName>
    <definedName name="CONTRACT">#REF!</definedName>
    <definedName name="CONTRATISTA">#REF!</definedName>
    <definedName name="CONTRATO">#REF!</definedName>
    <definedName name="CONTROL">#REF!</definedName>
    <definedName name="controlV">#REF!</definedName>
    <definedName name="CONTW">#REF!</definedName>
    <definedName name="Coord">#REF!</definedName>
    <definedName name="COORDINADOR">#REF!</definedName>
    <definedName name="COPIA">#REF!</definedName>
    <definedName name="COPY">#REF!</definedName>
    <definedName name="COPY2">#REF!</definedName>
    <definedName name="COPY3">#REF!</definedName>
    <definedName name="CORONA">#REF!</definedName>
    <definedName name="cortadora">#REF!</definedName>
    <definedName name="corte">#REF!</definedName>
    <definedName name="COSTO_POSESION">#REF!</definedName>
    <definedName name="COSTO_POSESION1">#REF!</definedName>
    <definedName name="costoAcero">#REF!</definedName>
    <definedName name="CostoObra">#REF!</definedName>
    <definedName name="Costos">#REF!</definedName>
    <definedName name="cotiz">#REF!</definedName>
    <definedName name="COV">#REF!</definedName>
    <definedName name="COVER1">#REF!</definedName>
    <definedName name="Cp">#REF!</definedName>
    <definedName name="CPasco">#REF!</definedName>
    <definedName name="CPLG">#REF!</definedName>
    <definedName name="cpp">#REF!</definedName>
    <definedName name="cprecor">#REF!</definedName>
    <definedName name="cr">#REF!</definedName>
    <definedName name="crack">#REF!</definedName>
    <definedName name="crcon">#REF!</definedName>
    <definedName name="cretex">#REF!</definedName>
    <definedName name="crf">#REF!</definedName>
    <definedName name="CRIT">#REF!</definedName>
    <definedName name="crush">#REF!</definedName>
    <definedName name="crushed">#REF!</definedName>
    <definedName name="crushed2">#REF!</definedName>
    <definedName name="Ctta">#REF!</definedName>
    <definedName name="CU">#REF!</definedName>
    <definedName name="CUADRO">#REF!</definedName>
    <definedName name="cuadro_de_vanos">#REF!</definedName>
    <definedName name="cuadro01">#REF!</definedName>
    <definedName name="cuadro02">#REF!</definedName>
    <definedName name="CUADRO03">#REF!</definedName>
    <definedName name="CUADRO04">#REF!</definedName>
    <definedName name="cuadro05">#REF!</definedName>
    <definedName name="cuadro06">#REF!</definedName>
    <definedName name="cuadro07">#REF!</definedName>
    <definedName name="cuadro08">#REF!</definedName>
    <definedName name="CUADRO09">#REF!</definedName>
    <definedName name="CUADRO1">#REF!</definedName>
    <definedName name="CUADRO10">#REF!</definedName>
    <definedName name="CUADRO11">#REF!</definedName>
    <definedName name="CUADRO12">#REF!</definedName>
    <definedName name="CUADRO13">#REF!</definedName>
    <definedName name="CUADRO14">#REF!</definedName>
    <definedName name="CUADRO15">#REF!</definedName>
    <definedName name="CUADRO16">#REF!</definedName>
    <definedName name="CUADRO17">#REF!</definedName>
    <definedName name="CUADRO18">#REF!</definedName>
    <definedName name="CUADRO2">#REF!</definedName>
    <definedName name="CUADRO4">#REF!</definedName>
    <definedName name="cuadroD">#REF!</definedName>
    <definedName name="Curador">#REF!</definedName>
    <definedName name="cvbghjkui">#REF!</definedName>
    <definedName name="cx">#REF!</definedName>
    <definedName name="cx1f">#REF!</definedName>
    <definedName name="cxgd" localSheetId="9">{"Book1","DOC&amp;DWG.xls"}</definedName>
    <definedName name="cxgd">{"Book1","DOC&amp;DWG.xls"}</definedName>
    <definedName name="cy" localSheetId="9">#REF!</definedName>
    <definedName name="cy" localSheetId="8">#REF!</definedName>
    <definedName name="CY" hidden="1">{#N/A,#N/A,TRUE,"1842CWN0"}</definedName>
    <definedName name="cz">#REF!</definedName>
    <definedName name="cz1f">#REF!</definedName>
    <definedName name="D" localSheetId="9">#REF!</definedName>
    <definedName name="D" localSheetId="8">#REF!</definedName>
    <definedName name="d" hidden="1">#REF!</definedName>
    <definedName name="D___0">#REF!</definedName>
    <definedName name="D___1">#REF!</definedName>
    <definedName name="D___2">#REF!</definedName>
    <definedName name="D___3">#REF!</definedName>
    <definedName name="D___4">#REF!</definedName>
    <definedName name="d_banco_e">#REF!</definedName>
    <definedName name="D_Ctrl101">#REF!</definedName>
    <definedName name="D_Ctrl102">#REF!</definedName>
    <definedName name="D_Ctrl103">#REF!</definedName>
    <definedName name="D_Ctrl104">#REF!</definedName>
    <definedName name="D_Ctrl105">#REF!</definedName>
    <definedName name="D_Ctrl106">#REF!</definedName>
    <definedName name="D_Ctrl107">#REF!</definedName>
    <definedName name="D_Ctrl109">#REF!</definedName>
    <definedName name="D_Ctrl110">#REF!</definedName>
    <definedName name="D_Ctrl201">#REF!</definedName>
    <definedName name="D_Ctrl202">#REF!</definedName>
    <definedName name="D_Ctrl203">#REF!</definedName>
    <definedName name="D_Ctrl204">#REF!</definedName>
    <definedName name="D_Ctrl205">#REF!</definedName>
    <definedName name="D_Ctrl206">#REF!</definedName>
    <definedName name="D_Ctrl207">#REF!</definedName>
    <definedName name="D_Ctrl209">#REF!</definedName>
    <definedName name="D_Ctrl210">#REF!</definedName>
    <definedName name="d_d">#REF!</definedName>
    <definedName name="D_Dev01">#REF!</definedName>
    <definedName name="D_Dev02">#REF!</definedName>
    <definedName name="D_Dev03">#REF!</definedName>
    <definedName name="D_Dev04">#REF!</definedName>
    <definedName name="D_Dev05">#REF!</definedName>
    <definedName name="D_Dev06">#REF!</definedName>
    <definedName name="D_Dev07">#REF!</definedName>
    <definedName name="D_Dev09">#REF!</definedName>
    <definedName name="D_Dev10">#REF!</definedName>
    <definedName name="D_Emerg01">#REF!</definedName>
    <definedName name="D_Emerg02">#REF!</definedName>
    <definedName name="D_Emerg03">#REF!</definedName>
    <definedName name="D_Emerg04">#REF!</definedName>
    <definedName name="D_Emerg05">#REF!</definedName>
    <definedName name="D_Emerg06">#REF!</definedName>
    <definedName name="D_Emerg07">#REF!</definedName>
    <definedName name="D_Emerg09">#REF!</definedName>
    <definedName name="D_Emerg10">#REF!</definedName>
    <definedName name="D_Fuerza01">#REF!</definedName>
    <definedName name="D_Fuerza02">#REF!</definedName>
    <definedName name="D_Fuerza03">#REF!</definedName>
    <definedName name="D_Fuerza04">#REF!</definedName>
    <definedName name="D_Fuerza05">#REF!</definedName>
    <definedName name="D_Fuerza06">#REF!</definedName>
    <definedName name="D_Fuerza07">#REF!</definedName>
    <definedName name="D_Fuerza09">#REF!</definedName>
    <definedName name="D_Fuerza10">#REF!</definedName>
    <definedName name="D_LLaveC01">#REF!</definedName>
    <definedName name="D_LLaveC02">#REF!</definedName>
    <definedName name="D_LLaveC03">#REF!</definedName>
    <definedName name="D_LLaveC04">#REF!</definedName>
    <definedName name="D_LLaveC05">#REF!</definedName>
    <definedName name="D_LLaveC06">#REF!</definedName>
    <definedName name="D_LLaveC07">#REF!</definedName>
    <definedName name="D_LLaveC09">#REF!</definedName>
    <definedName name="D_LLaveC10">#REF!</definedName>
    <definedName name="D_LLaveR01">#REF!</definedName>
    <definedName name="D_LLaveR02">#REF!</definedName>
    <definedName name="D_LLaveR03">#REF!</definedName>
    <definedName name="D_LLaveR04">#REF!</definedName>
    <definedName name="D_LLaveR05">#REF!</definedName>
    <definedName name="D_LLaveR06">#REF!</definedName>
    <definedName name="D_LLaveR07">#REF!</definedName>
    <definedName name="D_LLaveR09">#REF!</definedName>
    <definedName name="D_LLaveR10">#REF!</definedName>
    <definedName name="D_Md01">#REF!</definedName>
    <definedName name="D_Md02">#REF!</definedName>
    <definedName name="D_Md03">#REF!</definedName>
    <definedName name="D_Md04">#REF!</definedName>
    <definedName name="D_Md05">#REF!</definedName>
    <definedName name="D_Md06">#REF!</definedName>
    <definedName name="D_Md07">#REF!</definedName>
    <definedName name="D_Md09">#REF!</definedName>
    <definedName name="D_Md10">#REF!</definedName>
    <definedName name="D_Pos01">#REF!</definedName>
    <definedName name="D_Pos02">#REF!</definedName>
    <definedName name="D_Pos03">#REF!</definedName>
    <definedName name="D_Pos04">#REF!</definedName>
    <definedName name="D_Pos05">#REF!</definedName>
    <definedName name="D_Pos06">#REF!</definedName>
    <definedName name="D_Pos07">#REF!</definedName>
    <definedName name="D_Pos09">#REF!</definedName>
    <definedName name="D_Pos10">#REF!</definedName>
    <definedName name="d_suelta_e">#REF!</definedName>
    <definedName name="d_t">#REF!</definedName>
    <definedName name="DA">#REF!</definedName>
    <definedName name="Dact">#REF!</definedName>
    <definedName name="dadss">#REF!</definedName>
    <definedName name="Dálar">#REF!</definedName>
    <definedName name="DAM">#REF!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TA">#REF!</definedName>
    <definedName name="_xlnm.Database">#REF!</definedName>
    <definedName name="DATE">#REF!</definedName>
    <definedName name="datos">#REF!</definedName>
    <definedName name="dav">#REF!</definedName>
    <definedName name="DAVID">#REF!</definedName>
    <definedName name="DaWk7">#REF!</definedName>
    <definedName name="DaysOfMonth">#REF!</definedName>
    <definedName name="db">#REF!</definedName>
    <definedName name="DB.ACERO">#REF!</definedName>
    <definedName name="DB.DIST.VERT">#REF!</definedName>
    <definedName name="DB.EST.VIGA">#REF!</definedName>
    <definedName name="DB.LOSA">#REF!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_1">#REF!</definedName>
    <definedName name="DC_1T">#REF!</definedName>
    <definedName name="DC_2">#REF!</definedName>
    <definedName name="DC_2T">#REF!</definedName>
    <definedName name="dco">#REF!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#REF!</definedName>
    <definedName name="DD">#REF!</definedName>
    <definedName name="dd_1">#REF!</definedName>
    <definedName name="DDD">#REF!</definedName>
    <definedName name="dddd" localSheetId="9" hidden="1">{#N/A,#N/A,FALSE,"SumD";#N/A,#N/A,FALSE,"ElecD";#N/A,#N/A,FALSE,"MechD";#N/A,#N/A,FALSE,"GeotD";#N/A,#N/A,FALSE,"PrcsD";#N/A,#N/A,FALSE,"TunnD";#N/A,#N/A,FALSE,"CivlD";#N/A,#N/A,FALSE,"NtwkD";#N/A,#N/A,FALSE,"EstgD";#N/A,#N/A,FALSE,"PEngD"}</definedName>
    <definedName name="dddd" localSheetId="8" hidden="1">{#N/A,#N/A,FALSE,"SumD";#N/A,#N/A,FALSE,"ElecD";#N/A,#N/A,FALSE,"MechD";#N/A,#N/A,FALSE,"GeotD";#N/A,#N/A,FALSE,"PrcsD";#N/A,#N/A,FALSE,"TunnD";#N/A,#N/A,FALSE,"CivlD";#N/A,#N/A,FALSE,"NtwkD";#N/A,#N/A,FALSE,"EstgD";#N/A,#N/A,FALSE,"PEngD"}</definedName>
    <definedName name="dddd" hidden="1">{#N/A,#N/A,FALSE,"SumD";#N/A,#N/A,FALSE,"ElecD";#N/A,#N/A,FALSE,"MechD";#N/A,#N/A,FALSE,"GeotD";#N/A,#N/A,FALSE,"PrcsD";#N/A,#N/A,FALSE,"TunnD";#N/A,#N/A,FALSE,"CivlD";#N/A,#N/A,FALSE,"NtwkD";#N/A,#N/A,FALSE,"EstgD";#N/A,#N/A,FALSE,"PEngD"}</definedName>
    <definedName name="ddddd" localSheetId="9" hidden="1">{#N/A,#N/A,FALSE,"SumD";#N/A,#N/A,FALSE,"ElecD";#N/A,#N/A,FALSE,"MechD";#N/A,#N/A,FALSE,"GeotD";#N/A,#N/A,FALSE,"PrcsD";#N/A,#N/A,FALSE,"TunnD";#N/A,#N/A,FALSE,"CivlD";#N/A,#N/A,FALSE,"NtwkD";#N/A,#N/A,FALSE,"EstgD";#N/A,#N/A,FALSE,"PEngD"}</definedName>
    <definedName name="ddddd" localSheetId="8" hidden="1">{#N/A,#N/A,FALSE,"SumD";#N/A,#N/A,FALSE,"ElecD";#N/A,#N/A,FALSE,"MechD";#N/A,#N/A,FALSE,"GeotD";#N/A,#N/A,FALSE,"PrcsD";#N/A,#N/A,FALSE,"TunnD";#N/A,#N/A,FALSE,"CivlD";#N/A,#N/A,FALSE,"NtwkD";#N/A,#N/A,FALSE,"EstgD";#N/A,#N/A,FALSE,"PEngD"}</definedName>
    <definedName name="ddddd" hidden="1">{#N/A,#N/A,FALSE,"SumD";#N/A,#N/A,FALSE,"ElecD";#N/A,#N/A,FALSE,"MechD";#N/A,#N/A,FALSE,"GeotD";#N/A,#N/A,FALSE,"PrcsD";#N/A,#N/A,FALSE,"TunnD";#N/A,#N/A,FALSE,"CivlD";#N/A,#N/A,FALSE,"NtwkD";#N/A,#N/A,FALSE,"EstgD";#N/A,#N/A,FALSE,"PEngD"}</definedName>
    <definedName name="ddffggs" localSheetId="9" hidden="1">{#N/A,#N/A,FALSE,"SumD";#N/A,#N/A,FALSE,"ElecD";#N/A,#N/A,FALSE,"MechD";#N/A,#N/A,FALSE,"GeotD";#N/A,#N/A,FALSE,"PrcsD";#N/A,#N/A,FALSE,"TunnD";#N/A,#N/A,FALSE,"CivlD";#N/A,#N/A,FALSE,"NtwkD";#N/A,#N/A,FALSE,"EstgD";#N/A,#N/A,FALSE,"PEngD"}</definedName>
    <definedName name="ddffggs" localSheetId="8" hidden="1">{#N/A,#N/A,FALSE,"SumD";#N/A,#N/A,FALSE,"ElecD";#N/A,#N/A,FALSE,"MechD";#N/A,#N/A,FALSE,"GeotD";#N/A,#N/A,FALSE,"PrcsD";#N/A,#N/A,FALSE,"TunnD";#N/A,#N/A,FALSE,"CivlD";#N/A,#N/A,FALSE,"NtwkD";#N/A,#N/A,FALSE,"EstgD";#N/A,#N/A,FALSE,"PEngD"}</definedName>
    <definedName name="ddffggs" hidden="1">{#N/A,#N/A,FALSE,"SumD";#N/A,#N/A,FALSE,"ElecD";#N/A,#N/A,FALSE,"MechD";#N/A,#N/A,FALSE,"GeotD";#N/A,#N/A,FALSE,"PrcsD";#N/A,#N/A,FALSE,"TunnD";#N/A,#N/A,FALSE,"CivlD";#N/A,#N/A,FALSE,"NtwkD";#N/A,#N/A,FALSE,"EstgD";#N/A,#N/A,FALSE,"PEngD"}</definedName>
    <definedName name="DDHG">#REF!</definedName>
    <definedName name="DDP">#REF!</definedName>
    <definedName name="ddv">#REF!</definedName>
    <definedName name="de">#REF!</definedName>
    <definedName name="DEC.GH">#REF!</definedName>
    <definedName name="deded">#REF!</definedName>
    <definedName name="defla">NA()</definedName>
    <definedName name="delCINCO">#REF!</definedName>
    <definedName name="DelDC">#REF!</definedName>
    <definedName name="delDIEZ">#REF!</definedName>
    <definedName name="DelDm">#REF!</definedName>
    <definedName name="delDOCE">#REF!</definedName>
    <definedName name="Delivery">#REF!</definedName>
    <definedName name="delta">#REF!</definedName>
    <definedName name="DelType">#REF!</definedName>
    <definedName name="delUNO">#REF!</definedName>
    <definedName name="DEMO">#REF!</definedName>
    <definedName name="DENSIDADESFIERRO">#REF!</definedName>
    <definedName name="Departamento">#REF!</definedName>
    <definedName name="DEPTH">#REF!</definedName>
    <definedName name="deptLookup">#REF!</definedName>
    <definedName name="derrames1">#REF!</definedName>
    <definedName name="DESC">#REF!</definedName>
    <definedName name="DescrBrasil_TEC">#REF!</definedName>
    <definedName name="DESCRIPCION">#REF!</definedName>
    <definedName name="DESCRIPTION">#REF!</definedName>
    <definedName name="Descuento_Especial">#REF!</definedName>
    <definedName name="Descuento_Especial_Anticipo">#REF!</definedName>
    <definedName name="Descuento_Movim.Tierras">#REF!</definedName>
    <definedName name="DESCUENTOS">#REF!</definedName>
    <definedName name="DESCUNMI">#REF!</definedName>
    <definedName name="Desemb_Fin">#REF!</definedName>
    <definedName name="design">#REF!</definedName>
    <definedName name="designout">#REF!</definedName>
    <definedName name="designTemp">#REF!</definedName>
    <definedName name="Desmontaje">NA()</definedName>
    <definedName name="DESP">#REF!</definedName>
    <definedName name="DESPERDICIO">"#REF!"</definedName>
    <definedName name="DETAIL">#REF!</definedName>
    <definedName name="df" localSheetId="9" hidden="1">#REF!</definedName>
    <definedName name="df" localSheetId="8" hidden="1">#REF!</definedName>
    <definedName name="df" hidden="1">#REF!</definedName>
    <definedName name="Df_">#REF!</definedName>
    <definedName name="dfffff" localSheetId="9"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#REF!</definedName>
    <definedName name="dfsdf">#REF!</definedName>
    <definedName name="DG">#REF!</definedName>
    <definedName name="dgfd" localSheetId="9"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H">#REF!</definedName>
    <definedName name="Dia">#REF!</definedName>
    <definedName name="dia_1">#REF!</definedName>
    <definedName name="dia_2">#REF!</definedName>
    <definedName name="DIA_3">#REF!</definedName>
    <definedName name="DiaConcrete">#REF!</definedName>
    <definedName name="DiaCu">#REF!</definedName>
    <definedName name="DiaCuT">#REF!</definedName>
    <definedName name="DiaDuct">#REF!</definedName>
    <definedName name="DiaFRP">#REF!</definedName>
    <definedName name="DiaHDPE">#REF!</definedName>
    <definedName name="Diam">#REF!</definedName>
    <definedName name="diameter">#REF!</definedName>
    <definedName name="DIAMETROS">#REF!</definedName>
    <definedName name="diaphragm">#REF!</definedName>
    <definedName name="DiaPVC">#REF!</definedName>
    <definedName name="DiaPVCP">#REF!</definedName>
    <definedName name="DiaRubber">#REF!</definedName>
    <definedName name="DIAS_EN_FAENA">#REF!</definedName>
    <definedName name="DiaSS">#REF!</definedName>
    <definedName name="DiaSteel">#REF!</definedName>
    <definedName name="dim_a0">#REF!</definedName>
    <definedName name="dim_a1">#REF!</definedName>
    <definedName name="dim_a2">#REF!</definedName>
    <definedName name="dim_a3">#REF!</definedName>
    <definedName name="dim_b0">#REF!</definedName>
    <definedName name="dim_b1">#REF!</definedName>
    <definedName name="dim_h1">#REF!</definedName>
    <definedName name="Dirección">#REF!</definedName>
    <definedName name="DIRECT">#REF!</definedName>
    <definedName name="direction">#REF!</definedName>
    <definedName name="dirout">#REF!</definedName>
    <definedName name="dis">#REF!</definedName>
    <definedName name="disco">#REF!</definedName>
    <definedName name="disolvente">#REF!</definedName>
    <definedName name="DISP">#REF!</definedName>
    <definedName name="DIST.VERT">#REF!</definedName>
    <definedName name="Distrito">#REF!</definedName>
    <definedName name="DJ">#N/A</definedName>
    <definedName name="DK">#REF!</definedName>
    <definedName name="dl">#REF!</definedName>
    <definedName name="DM">#REF!</definedName>
    <definedName name="Dmax2">#REF!</definedName>
    <definedName name="DMC">#REF!</definedName>
    <definedName name="DMS">#REF!</definedName>
    <definedName name="DNT">#REF!</definedName>
    <definedName name="DNTI">#REF!</definedName>
    <definedName name="do">#REF!</definedName>
    <definedName name="DOA">#REF!</definedName>
    <definedName name="dobladora">#REF!</definedName>
    <definedName name="DOC">#REF!</definedName>
    <definedName name="DOC_LIST">#REF!</definedName>
    <definedName name="DOC_LIST_1">#REF!</definedName>
    <definedName name="DOCUMENT" localSheetId="9">{"Book1","my ddc.xls"}</definedName>
    <definedName name="DOCUMENT">{"Book1","my ddc.xls"}</definedName>
    <definedName name="Document_array" localSheetId="9">{"Book1","DOC&amp;DWG.xls"}</definedName>
    <definedName name="Document_array">{"Book1","DOC&amp;DWG.xls"}</definedName>
    <definedName name="DOLAR">#REF!</definedName>
    <definedName name="dólar">#REF!</definedName>
    <definedName name="Dolar1">#REF!</definedName>
    <definedName name="dollar">#REF!</definedName>
    <definedName name="DoorMaterial">#REF!</definedName>
    <definedName name="DOPS">#REF!</definedName>
    <definedName name="DP">#REF!</definedName>
    <definedName name="dpto2">#REF!</definedName>
    <definedName name="dptp">#REF!</definedName>
    <definedName name="Dr">#REF!</definedName>
    <definedName name="drain_trap">#REF!</definedName>
    <definedName name="DRNC">#REF!</definedName>
    <definedName name="Ds">#REF!</definedName>
    <definedName name="DS_2">#REF!</definedName>
    <definedName name="DS_3">#REF!</definedName>
    <definedName name="Ds_h">#REF!</definedName>
    <definedName name="DsA">#REF!</definedName>
    <definedName name="DSAF" localSheetId="9" hidden="1">#REF!</definedName>
    <definedName name="DSAF" localSheetId="8" hidden="1">#REF!</definedName>
    <definedName name="DSAF" hidden="1">#REF!</definedName>
    <definedName name="DSC">#REF!</definedName>
    <definedName name="DSD">#REF!</definedName>
    <definedName name="dsfd" localSheetId="9" hidden="1">#REF!</definedName>
    <definedName name="dsfd" localSheetId="8" hidden="1">#REF!</definedName>
    <definedName name="dsfd" hidden="1">#REF!</definedName>
    <definedName name="DSFDGTJHK">#REF!</definedName>
    <definedName name="dsh">#REF!</definedName>
    <definedName name="dshn">#REF!</definedName>
    <definedName name="dsv">#REF!</definedName>
    <definedName name="dsvn">#REF!</definedName>
    <definedName name="DT">#REF!</definedName>
    <definedName name="Dt___0">#REF!</definedName>
    <definedName name="Dt___1">#REF!</definedName>
    <definedName name="Dt___2">#REF!</definedName>
    <definedName name="Dt___3">#REF!</definedName>
    <definedName name="Dt___4">#REF!</definedName>
    <definedName name="DT_0">#REF!</definedName>
    <definedName name="DT_2">#REF!</definedName>
    <definedName name="dta">#REF!</definedName>
    <definedName name="dtot">#REF!</definedName>
    <definedName name="dtw">#REF!</definedName>
    <definedName name="dual_plate_check">#REF!</definedName>
    <definedName name="Ductile_or_Brittle">#REF!</definedName>
    <definedName name="DUMMY">#REF!</definedName>
    <definedName name="dumppr">#REF!</definedName>
    <definedName name="dun">#REF!</definedName>
    <definedName name="duplex_strainer">#REF!</definedName>
    <definedName name="dvbgf" localSheetId="9"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#REF!</definedName>
    <definedName name="DZ">#REF!</definedName>
    <definedName name="e" localSheetId="9">#REF!</definedName>
    <definedName name="e" localSheetId="8">#REF!</definedName>
    <definedName name="E" hidden="1">#REF!</definedName>
    <definedName name="E_1">#REF!</definedName>
    <definedName name="E_1_1">#REF!</definedName>
    <definedName name="E_1_1S">#REF!</definedName>
    <definedName name="E_1S">#REF!</definedName>
    <definedName name="E_2">#REF!</definedName>
    <definedName name="E_2_1">#REF!</definedName>
    <definedName name="E_2_1S">#REF!</definedName>
    <definedName name="E_2S">#REF!</definedName>
    <definedName name="E_3">#REF!</definedName>
    <definedName name="E_3_1">#REF!</definedName>
    <definedName name="E_3_1S">#REF!</definedName>
    <definedName name="E_3S">#REF!</definedName>
    <definedName name="E_4">#REF!</definedName>
    <definedName name="E_4_1">#REF!</definedName>
    <definedName name="E_4_1S">#REF!</definedName>
    <definedName name="E_4S">#REF!</definedName>
    <definedName name="E_5">#REF!</definedName>
    <definedName name="E_5_1">#REF!</definedName>
    <definedName name="E_5_1S">#REF!</definedName>
    <definedName name="E_5S">#REF!</definedName>
    <definedName name="E_6">#REF!</definedName>
    <definedName name="E_6_1">#REF!</definedName>
    <definedName name="E_6_1S">#REF!</definedName>
    <definedName name="E_6S">#REF!</definedName>
    <definedName name="E_B">#REF!</definedName>
    <definedName name="E_T">#REF!</definedName>
    <definedName name="e_x">#REF!</definedName>
    <definedName name="e_y">#REF!</definedName>
    <definedName name="EA">#REF!</definedName>
    <definedName name="eaa">#REF!</definedName>
    <definedName name="eab">#REF!</definedName>
    <definedName name="eac">#REF!</definedName>
    <definedName name="ead">#REF!</definedName>
    <definedName name="eae">#REF!</definedName>
    <definedName name="Ec">#REF!</definedName>
    <definedName name="eCIiIi¨­A_I¨￡">#N/A</definedName>
    <definedName name="eCIiIiÞA_Iª">#N/A</definedName>
    <definedName name="èÇÍïÍïÞÀ_Íª">#N/A</definedName>
    <definedName name="ED" localSheetId="9" hidden="1">#REF!</definedName>
    <definedName name="ED" localSheetId="8" hidden="1">#REF!</definedName>
    <definedName name="ED" hidden="1">#REF!</definedName>
    <definedName name="edds" localSheetId="9" hidden="1">{#N/A,#N/A,FALSE,"SumD";#N/A,#N/A,FALSE,"ElecD";#N/A,#N/A,FALSE,"MechD";#N/A,#N/A,FALSE,"GeotD";#N/A,#N/A,FALSE,"PrcsD";#N/A,#N/A,FALSE,"TunnD";#N/A,#N/A,FALSE,"CivlD";#N/A,#N/A,FALSE,"NtwkD";#N/A,#N/A,FALSE,"EstgD";#N/A,#N/A,FALSE,"PEngD"}</definedName>
    <definedName name="edds" localSheetId="8" hidden="1">{#N/A,#N/A,FALSE,"SumD";#N/A,#N/A,FALSE,"ElecD";#N/A,#N/A,FALSE,"MechD";#N/A,#N/A,FALSE,"GeotD";#N/A,#N/A,FALSE,"PrcsD";#N/A,#N/A,FALSE,"TunnD";#N/A,#N/A,FALSE,"CivlD";#N/A,#N/A,FALSE,"NtwkD";#N/A,#N/A,FALSE,"EstgD";#N/A,#N/A,FALSE,"PEngD"}</definedName>
    <definedName name="edds" hidden="1">{#N/A,#N/A,FALSE,"SumD";#N/A,#N/A,FALSE,"ElecD";#N/A,#N/A,FALSE,"MechD";#N/A,#N/A,FALSE,"GeotD";#N/A,#N/A,FALSE,"PrcsD";#N/A,#N/A,FALSE,"TunnD";#N/A,#N/A,FALSE,"CivlD";#N/A,#N/A,FALSE,"NtwkD";#N/A,#N/A,FALSE,"EstgD";#N/A,#N/A,FALSE,"PEngD"}</definedName>
    <definedName name="edead">#REF!</definedName>
    <definedName name="edfr" localSheetId="9" hidden="1">{#N/A,#N/A,FALSE,"SumG";#N/A,#N/A,FALSE,"ElecG";#N/A,#N/A,FALSE,"MechG";#N/A,#N/A,FALSE,"GeotG";#N/A,#N/A,FALSE,"PrcsG";#N/A,#N/A,FALSE,"TunnG";#N/A,#N/A,FALSE,"CivlG";#N/A,#N/A,FALSE,"NtwkG";#N/A,#N/A,FALSE,"EstgG";#N/A,#N/A,FALSE,"PEngG"}</definedName>
    <definedName name="edfr" localSheetId="8" hidden="1">{#N/A,#N/A,FALSE,"SumG";#N/A,#N/A,FALSE,"ElecG";#N/A,#N/A,FALSE,"MechG";#N/A,#N/A,FALSE,"GeotG";#N/A,#N/A,FALSE,"PrcsG";#N/A,#N/A,FALSE,"TunnG";#N/A,#N/A,FALSE,"CivlG";#N/A,#N/A,FALSE,"NtwkG";#N/A,#N/A,FALSE,"EstgG";#N/A,#N/A,FALSE,"PEngG"}</definedName>
    <definedName name="edfr" hidden="1">{#N/A,#N/A,FALSE,"SumG";#N/A,#N/A,FALSE,"ElecG";#N/A,#N/A,FALSE,"MechG";#N/A,#N/A,FALSE,"GeotG";#N/A,#N/A,FALSE,"PrcsG";#N/A,#N/A,FALSE,"TunnG";#N/A,#N/A,FALSE,"CivlG";#N/A,#N/A,FALSE,"NtwkG";#N/A,#N/A,FALSE,"EstgG";#N/A,#N/A,FALSE,"PEngG"}</definedName>
    <definedName name="edfrt" localSheetId="9" hidden="1">{#N/A,#N/A,FALSE,"SumG";#N/A,#N/A,FALSE,"ElecG";#N/A,#N/A,FALSE,"MechG";#N/A,#N/A,FALSE,"GeotG";#N/A,#N/A,FALSE,"PrcsG";#N/A,#N/A,FALSE,"TunnG";#N/A,#N/A,FALSE,"CivlG";#N/A,#N/A,FALSE,"NtwkG";#N/A,#N/A,FALSE,"EstgG";#N/A,#N/A,FALSE,"PEngG"}</definedName>
    <definedName name="edfrt" localSheetId="8" hidden="1">{#N/A,#N/A,FALSE,"SumG";#N/A,#N/A,FALSE,"ElecG";#N/A,#N/A,FALSE,"MechG";#N/A,#N/A,FALSE,"GeotG";#N/A,#N/A,FALSE,"PrcsG";#N/A,#N/A,FALSE,"TunnG";#N/A,#N/A,FALSE,"CivlG";#N/A,#N/A,FALSE,"NtwkG";#N/A,#N/A,FALSE,"EstgG";#N/A,#N/A,FALSE,"PEngG"}</definedName>
    <definedName name="edfrt" hidden="1">{#N/A,#N/A,FALSE,"SumG";#N/A,#N/A,FALSE,"ElecG";#N/A,#N/A,FALSE,"MechG";#N/A,#N/A,FALSE,"GeotG";#N/A,#N/A,FALSE,"PrcsG";#N/A,#N/A,FALSE,"TunnG";#N/A,#N/A,FALSE,"CivlG";#N/A,#N/A,FALSE,"NtwkG";#N/A,#N/A,FALSE,"EstgG";#N/A,#N/A,FALSE,"PEngG"}</definedName>
    <definedName name="EDIFICACION">#REF!</definedName>
    <definedName name="EDIFICIO">#REF!</definedName>
    <definedName name="EDTOTAL">#REF!</definedName>
    <definedName name="EE" localSheetId="9">#REF!</definedName>
    <definedName name="EE" localSheetId="8">#REF!</definedName>
    <definedName name="ee" hidden="1">{#N/A,#N/A,FALSE,"SumG";#N/A,#N/A,FALSE,"ElecG";#N/A,#N/A,FALSE,"MechG";#N/A,#N/A,FALSE,"GeotG";#N/A,#N/A,FALSE,"PrcsG";#N/A,#N/A,FALSE,"TunnG";#N/A,#N/A,FALSE,"CivlG";#N/A,#N/A,FALSE,"NtwkG";#N/A,#N/A,FALSE,"EstgG";#N/A,#N/A,FALSE,"PEngG"}</definedName>
    <definedName name="eearth">#REF!</definedName>
    <definedName name="eedd" localSheetId="9" hidden="1">{#N/A,#N/A,FALSE,"SumG";#N/A,#N/A,FALSE,"ElecG";#N/A,#N/A,FALSE,"MechG";#N/A,#N/A,FALSE,"GeotG";#N/A,#N/A,FALSE,"PrcsG";#N/A,#N/A,FALSE,"TunnG";#N/A,#N/A,FALSE,"CivlG";#N/A,#N/A,FALSE,"NtwkG";#N/A,#N/A,FALSE,"EstgG";#N/A,#N/A,FALSE,"PEngG"}</definedName>
    <definedName name="eedd" localSheetId="8" hidden="1">{#N/A,#N/A,FALSE,"SumG";#N/A,#N/A,FALSE,"ElecG";#N/A,#N/A,FALSE,"MechG";#N/A,#N/A,FALSE,"GeotG";#N/A,#N/A,FALSE,"PrcsG";#N/A,#N/A,FALSE,"TunnG";#N/A,#N/A,FALSE,"CivlG";#N/A,#N/A,FALSE,"NtwkG";#N/A,#N/A,FALSE,"EstgG";#N/A,#N/A,FALSE,"PEngG"}</definedName>
    <definedName name="eedd" hidden="1">{#N/A,#N/A,FALSE,"SumG";#N/A,#N/A,FALSE,"ElecG";#N/A,#N/A,FALSE,"MechG";#N/A,#N/A,FALSE,"GeotG";#N/A,#N/A,FALSE,"PrcsG";#N/A,#N/A,FALSE,"TunnG";#N/A,#N/A,FALSE,"CivlG";#N/A,#N/A,FALSE,"NtwkG";#N/A,#N/A,FALSE,"EstgG";#N/A,#N/A,FALSE,"PEngG"}</definedName>
    <definedName name="EEE">#REF!</definedName>
    <definedName name="eeeee">#REF!</definedName>
    <definedName name="eeeeee">#REF!</definedName>
    <definedName name="eeeeee___0">#REF!</definedName>
    <definedName name="eeeeee___1">#REF!</definedName>
    <definedName name="eeeeeeee">#REF!</definedName>
    <definedName name="EEEEEEEEEEEEEEEEEEEEEEEEEEEEEEEEEEEEEEEEEEEEEEEEEEEEEEEEEEEEEEEEEEEEEEEEEEEEEEEEEEEEEEEEEEEEEEEEEEEEEEEEEEEEEEEEEEEEEEEEEEEEEEEEEEEEEEEEEEEEEEEEEEE" localSheetId="9" hidden="1">#REF!</definedName>
    <definedName name="EEEEEEEEEEEEEEEEEEEEEEEEEEEEEEEEEEEEEEEEEEEEEEEEEEEEEEEEEEEEEEEEEEEEEEEEEEEEEEEEEEEEEEEEEEEEEEEEEEEEEEEEEEEEEEEEEEEEEEEEEEEEEEEEEEEEEEEEEEEEEEEEEEE" localSheetId="8" hidden="1">#REF!</definedName>
    <definedName name="EEEEEEEEEEEEEEEEEEEEEEEEEEEEEEEEEEEEEEEEEEEEEEEEEEEEEEEEEEEEEEEEEEEEEEEEEEEEEEEEEEEEEEEEEEEEEEEEEEEEEEEEEEEEEEEEEEEEEEEEEEEEEEEEEEEEEEEEEEEEEEEEEEE" hidden="1">#REF!</definedName>
    <definedName name="eeerrt" localSheetId="9" hidden="1">{#N/A,#N/A,FALSE,"SumG";#N/A,#N/A,FALSE,"ElecG";#N/A,#N/A,FALSE,"MechG";#N/A,#N/A,FALSE,"GeotG";#N/A,#N/A,FALSE,"PrcsG";#N/A,#N/A,FALSE,"TunnG";#N/A,#N/A,FALSE,"CivlG";#N/A,#N/A,FALSE,"NtwkG";#N/A,#N/A,FALSE,"EstgG";#N/A,#N/A,FALSE,"PEngG"}</definedName>
    <definedName name="eeerrt" localSheetId="8" hidden="1">{#N/A,#N/A,FALSE,"SumG";#N/A,#N/A,FALSE,"ElecG";#N/A,#N/A,FALSE,"MechG";#N/A,#N/A,FALSE,"GeotG";#N/A,#N/A,FALSE,"PrcsG";#N/A,#N/A,FALSE,"TunnG";#N/A,#N/A,FALSE,"CivlG";#N/A,#N/A,FALSE,"NtwkG";#N/A,#N/A,FALSE,"EstgG";#N/A,#N/A,FALSE,"PEngG"}</definedName>
    <definedName name="eeerrt" hidden="1">{#N/A,#N/A,FALSE,"SumG";#N/A,#N/A,FALSE,"ElecG";#N/A,#N/A,FALSE,"MechG";#N/A,#N/A,FALSE,"GeotG";#N/A,#N/A,FALSE,"PrcsG";#N/A,#N/A,FALSE,"TunnG";#N/A,#N/A,FALSE,"CivlG";#N/A,#N/A,FALSE,"NtwkG";#N/A,#N/A,FALSE,"EstgG";#N/A,#N/A,FALSE,"PEngG"}</definedName>
    <definedName name="eequip">#REF!</definedName>
    <definedName name="EF">#REF!</definedName>
    <definedName name="EFA">#REF!</definedName>
    <definedName name="ejemplo">#REF!</definedName>
    <definedName name="EJES">"#REF!"</definedName>
    <definedName name="ELCENTRO">#REF!</definedName>
    <definedName name="ele" localSheetId="9" hidden="1">{"CONCABL1.1",#N/A,FALSE,"1.1.1a1.1.3 ACSR";"AISL1.2",#N/A,FALSE,"1.1.1a1.1.3 ACSR";"torr1.1.3",#N/A,FALSE,"1.1.1a1.1.3 ACSR";"cm1.2",#N/A,FALSE,"1.2 ACSR";"cm2.2",#N/A,FALSE,"1.2 ACSR";#N/A,#N/A,FALSE,"1.3 ACSR";#N/A,#N/A,FALSE,"2.1.1A2.1.3 ACAR";"ac2.1",#N/A,FALSE,"1.2 ACAR";"ac2.2",#N/A,FALSE,"1.2 ACAR";#N/A,#N/A,FALSE,"2.3 ACAR"}</definedName>
    <definedName name="ele" localSheetId="8" hidden="1">{"CONCABL1.1",#N/A,FALSE,"1.1.1a1.1.3 ACSR";"AISL1.2",#N/A,FALSE,"1.1.1a1.1.3 ACSR";"torr1.1.3",#N/A,FALSE,"1.1.1a1.1.3 ACSR";"cm1.2",#N/A,FALSE,"1.2 ACSR";"cm2.2",#N/A,FALSE,"1.2 ACSR";#N/A,#N/A,FALSE,"1.3 ACSR";#N/A,#N/A,FALSE,"2.1.1A2.1.3 ACAR";"ac2.1",#N/A,FALSE,"1.2 ACAR";"ac2.2",#N/A,FALSE,"1.2 ACAR";#N/A,#N/A,FALSE,"2.3 ACAR"}</definedName>
    <definedName name="ele" hidden="1">{"CONCABL1.1",#N/A,FALSE,"1.1.1a1.1.3 ACSR";"AISL1.2",#N/A,FALSE,"1.1.1a1.1.3 ACSR";"torr1.1.3",#N/A,FALSE,"1.1.1a1.1.3 ACSR";"cm1.2",#N/A,FALSE,"1.2 ACSR";"cm2.2",#N/A,FALSE,"1.2 ACSR";#N/A,#N/A,FALSE,"1.3 ACSR";#N/A,#N/A,FALSE,"2.1.1A2.1.3 ACAR";"ac2.1",#N/A,FALSE,"1.2 ACAR";"ac2.2",#N/A,FALSE,"1.2 ACAR";#N/A,#N/A,FALSE,"2.3 ACAR"}</definedName>
    <definedName name="elec" localSheetId="9" hidden="1">#REF!</definedName>
    <definedName name="elec" localSheetId="8" hidden="1">#REF!</definedName>
    <definedName name="elec" hidden="1">#REF!</definedName>
    <definedName name="ELECSURESTE">#REF!</definedName>
    <definedName name="ELECSURMEDIO">#REF!</definedName>
    <definedName name="elect" localSheetId="9" hidden="1">{"CONCABL1.1",#N/A,FALSE,"1.1.1a1.1.3 ACSR";"AISL1.2",#N/A,FALSE,"1.1.1a1.1.3 ACSR";"torr1.1.3",#N/A,FALSE,"1.1.1a1.1.3 ACSR";"cm1.2",#N/A,FALSE,"1.2 ACSR";"cm2.2",#N/A,FALSE,"1.2 ACSR";#N/A,#N/A,FALSE,"1.3 ACSR";#N/A,#N/A,FALSE,"2.1.1A2.1.3 ACAR";"ac2.1",#N/A,FALSE,"1.2 ACAR";"ac2.2",#N/A,FALSE,"1.2 ACAR";#N/A,#N/A,FALSE,"2.3 ACAR"}</definedName>
    <definedName name="elect" localSheetId="8" hidden="1">{"CONCABL1.1",#N/A,FALSE,"1.1.1a1.1.3 ACSR";"AISL1.2",#N/A,FALSE,"1.1.1a1.1.3 ACSR";"torr1.1.3",#N/A,FALSE,"1.1.1a1.1.3 ACSR";"cm1.2",#N/A,FALSE,"1.2 ACSR";"cm2.2",#N/A,FALSE,"1.2 ACSR";#N/A,#N/A,FALSE,"1.3 ACSR";#N/A,#N/A,FALSE,"2.1.1A2.1.3 ACAR";"ac2.1",#N/A,FALSE,"1.2 ACAR";"ac2.2",#N/A,FALSE,"1.2 ACAR";#N/A,#N/A,FALSE,"2.3 ACAR"}</definedName>
    <definedName name="elect" hidden="1">{"CONCABL1.1",#N/A,FALSE,"1.1.1a1.1.3 ACSR";"AISL1.2",#N/A,FALSE,"1.1.1a1.1.3 ACSR";"torr1.1.3",#N/A,FALSE,"1.1.1a1.1.3 ACSR";"cm1.2",#N/A,FALSE,"1.2 ACSR";"cm2.2",#N/A,FALSE,"1.2 ACSR";#N/A,#N/A,FALSE,"1.3 ACSR";#N/A,#N/A,FALSE,"2.1.1A2.1.3 ACAR";"ac2.1",#N/A,FALSE,"1.2 ACAR";"ac2.2",#N/A,FALSE,"1.2 ACAR";#N/A,#N/A,FALSE,"2.3 ACAR"}</definedName>
    <definedName name="Electricas1" localSheetId="9" hidden="1">{"CONCABL1.1",#N/A,FALSE,"1.1.1a1.1.3 ACSR";"AISL1.2",#N/A,FALSE,"1.1.1a1.1.3 ACSR";"torr1.1.3",#N/A,FALSE,"1.1.1a1.1.3 ACSR";"cm1.2",#N/A,FALSE,"1.2 ACSR";"cm2.2",#N/A,FALSE,"1.2 ACSR";#N/A,#N/A,FALSE,"1.3 ACSR";#N/A,#N/A,FALSE,"2.1.1A2.1.3 ACAR";"ac2.1",#N/A,FALSE,"1.2 ACAR";"ac2.2",#N/A,FALSE,"1.2 ACAR";#N/A,#N/A,FALSE,"2.3 ACAR"}</definedName>
    <definedName name="Electricas1" localSheetId="8" hidden="1">{"CONCABL1.1",#N/A,FALSE,"1.1.1a1.1.3 ACSR";"AISL1.2",#N/A,FALSE,"1.1.1a1.1.3 ACSR";"torr1.1.3",#N/A,FALSE,"1.1.1a1.1.3 ACSR";"cm1.2",#N/A,FALSE,"1.2 ACSR";"cm2.2",#N/A,FALSE,"1.2 ACSR";#N/A,#N/A,FALSE,"1.3 ACSR";#N/A,#N/A,FALSE,"2.1.1A2.1.3 ACAR";"ac2.1",#N/A,FALSE,"1.2 ACAR";"ac2.2",#N/A,FALSE,"1.2 ACAR";#N/A,#N/A,FALSE,"2.3 ACAR"}</definedName>
    <definedName name="Electricas1" hidden="1">{"CONCABL1.1",#N/A,FALSE,"1.1.1a1.1.3 ACSR";"AISL1.2",#N/A,FALSE,"1.1.1a1.1.3 ACSR";"torr1.1.3",#N/A,FALSE,"1.1.1a1.1.3 ACSR";"cm1.2",#N/A,FALSE,"1.2 ACSR";"cm2.2",#N/A,FALSE,"1.2 ACSR";#N/A,#N/A,FALSE,"1.3 ACSR";#N/A,#N/A,FALSE,"2.1.1A2.1.3 ACAR";"ac2.1",#N/A,FALSE,"1.2 ACAR";"ac2.2",#N/A,FALSE,"1.2 ACAR";#N/A,#N/A,FALSE,"2.3 ACAR"}</definedName>
    <definedName name="ELECTRODO01">"#REF!"</definedName>
    <definedName name="ELECTRODO02">"#REF!"</definedName>
    <definedName name="ELECTROLIMA">#REF!</definedName>
    <definedName name="ELECTSUR">#REF!</definedName>
    <definedName name="Elemento">#REF!</definedName>
    <definedName name="ELEMENTOS_DE_INSTALACIONES">#REF!</definedName>
    <definedName name="Elementos_de_Seguridad">#REF!</definedName>
    <definedName name="ELEMENTS">#REF!</definedName>
    <definedName name="ELEORIENTE">#REF!</definedName>
    <definedName name="ELIMA">#REF!</definedName>
    <definedName name="elive">#REF!</definedName>
    <definedName name="ELNORTE">#REF!</definedName>
    <definedName name="ELSUR">#REF!</definedName>
    <definedName name="ELSURESTE">#REF!</definedName>
    <definedName name="EMPALMEVERTICAL">#REF!</definedName>
    <definedName name="Empresa">#REF!</definedName>
    <definedName name="EN">#REF!</definedName>
    <definedName name="EndTime">#REF!</definedName>
    <definedName name="Entrance">#REF!</definedName>
    <definedName name="EntranceExit">#REF!</definedName>
    <definedName name="EOL">#REF!</definedName>
    <definedName name="epsmean">#REF!</definedName>
    <definedName name="eq">#REF!</definedName>
    <definedName name="Eq_Foundation_Date">#REF!</definedName>
    <definedName name="Eq_ID_No">#REF!</definedName>
    <definedName name="Eq_List">#REF!</definedName>
    <definedName name="EQDT_Query">"#REF!"</definedName>
    <definedName name="EQLISTQUERY">"#REF!"</definedName>
    <definedName name="eqlistquery1">"#REF!"</definedName>
    <definedName name="eqlistquery2">"#REF!"</definedName>
    <definedName name="EQMOB">#REF!</definedName>
    <definedName name="EQUIP">#REF!</definedName>
    <definedName name="EQUIP1">#REF!</definedName>
    <definedName name="equipamiento" localSheetId="9" hidden="1">#REF!</definedName>
    <definedName name="equipamiento" localSheetId="8" hidden="1">#REF!</definedName>
    <definedName name="equipamiento" hidden="1">#REF!</definedName>
    <definedName name="EQUIPMENT">#REF!</definedName>
    <definedName name="Equipo">#REF!</definedName>
    <definedName name="equipocorte">#REF!</definedName>
    <definedName name="equipos">#REF!</definedName>
    <definedName name="ER">#REF!</definedName>
    <definedName name="Erection">#REF!</definedName>
    <definedName name="erer">#REF!</definedName>
    <definedName name="error_factor">#REF!</definedName>
    <definedName name="error_precio">#REF!</definedName>
    <definedName name="error_resumen">#REF!</definedName>
    <definedName name="ERRORE">#REF!</definedName>
    <definedName name="ert3erterterter">#REF!</definedName>
    <definedName name="ertef">#REF!</definedName>
    <definedName name="erterte">#REF!</definedName>
    <definedName name="ertrt">#REF!</definedName>
    <definedName name="ertyth">#REF!</definedName>
    <definedName name="ES">#REF!</definedName>
    <definedName name="ESA">#REF!</definedName>
    <definedName name="ESMERALDAS">#REF!</definedName>
    <definedName name="esnmm">#REF!</definedName>
    <definedName name="ESPEJOS">#REF!</definedName>
    <definedName name="Espera">#REF!</definedName>
    <definedName name="EST">#REF!</definedName>
    <definedName name="EST_MENSUAL">#REF!</definedName>
    <definedName name="Estac_aéreo1">#REF!</definedName>
    <definedName name="Estac_aéreo2">#REF!</definedName>
    <definedName name="ESTACION">#REF!</definedName>
    <definedName name="ESTADO">#REF!</definedName>
    <definedName name="ESTOTAL">#REF!</definedName>
    <definedName name="Estructura">#REF!</definedName>
    <definedName name="esurch">#REF!</definedName>
    <definedName name="et">#REF!</definedName>
    <definedName name="EU">#REF!</definedName>
    <definedName name="ewater">#REF!</definedName>
    <definedName name="eweer">#REF!</definedName>
    <definedName name="ewfrw">#REF!</definedName>
    <definedName name="ewq">#REF!</definedName>
    <definedName name="ewrthy">#REF!</definedName>
    <definedName name="EX">#REF!</definedName>
    <definedName name="ex_joint">#REF!</definedName>
    <definedName name="ex_m">#REF!</definedName>
    <definedName name="EXC">#REF!</definedName>
    <definedName name="Excel_BuiltIn_Print_Area">#REF!</definedName>
    <definedName name="Excel_BuiltIn_Print_Area_1">#REF!</definedName>
    <definedName name="Excel_BuiltIn_Print_Area_2">#REF!</definedName>
    <definedName name="Excel_BuiltIn_Print_Titles">NA()</definedName>
    <definedName name="Excel_BuiltIn_Print_Titles_2">(#REF!,#REF!)</definedName>
    <definedName name="Excel_BuiltIn_Print_Titles_2_1">(#REF!,#REF!)</definedName>
    <definedName name="Excel_BuiltIn_Print_Titles_2_1_1">(#REF!,#REF!)</definedName>
    <definedName name="Excel_BuiltIn_Print_Titles_3">(#REF!,#REF!)</definedName>
    <definedName name="Excel_BuiltIn_Print_Titles_3_1">(#REF!,#REF!)</definedName>
    <definedName name="Excel_BuiltIn_Print_Titles_3_1_1">(#REF!,#REF!)</definedName>
    <definedName name="Exch_Rate">#REF!</definedName>
    <definedName name="EXTER.">#REF!</definedName>
    <definedName name="ez1f">#REF!</definedName>
    <definedName name="EZIQ1">#REF!</definedName>
    <definedName name="F.A.suelo">#REF!</definedName>
    <definedName name="F_1">#REF!</definedName>
    <definedName name="F_2">#REF!</definedName>
    <definedName name="F_3">#REF!</definedName>
    <definedName name="F_4">#REF!</definedName>
    <definedName name="F_BASE">#REF!</definedName>
    <definedName name="f_c">#REF!</definedName>
    <definedName name="f_p">#REF!</definedName>
    <definedName name="f_pp">#REF!</definedName>
    <definedName name="f_y">#REF!</definedName>
    <definedName name="FA">#REF!</definedName>
    <definedName name="Fa__ksi">#REF!</definedName>
    <definedName name="FA_sismo">#REF!</definedName>
    <definedName name="fac_">#REF!</definedName>
    <definedName name="FACT">#REF!</definedName>
    <definedName name="factcorre">#REF!</definedName>
    <definedName name="Factor">#REF!</definedName>
    <definedName name="FACTURACIONES_SALDO_DE_OBRA_IPC_Lista">#REF!</definedName>
    <definedName name="fad">#REF!</definedName>
    <definedName name="FADDObra">#REF!</definedName>
    <definedName name="FADDObra1">#REF!</definedName>
    <definedName name="FADDObra2">#REF!</definedName>
    <definedName name="FADMObra">#REF!</definedName>
    <definedName name="FADMObra1">#REF!</definedName>
    <definedName name="FADMObra2">#REF!</definedName>
    <definedName name="fasdf" localSheetId="9">{"Book1","DOC&amp;DWG.xls"}</definedName>
    <definedName name="fasdf">{"Book1","DOC&amp;DWG.xls"}</definedName>
    <definedName name="fb">#REF!</definedName>
    <definedName name="fbd">#REF!</definedName>
    <definedName name="fbi">#REF!</definedName>
    <definedName name="fc_">#REF!</definedName>
    <definedName name="fcb">#REF!</definedName>
    <definedName name="FContObra">#REF!</definedName>
    <definedName name="fct">#REF!</definedName>
    <definedName name="fd" localSheetId="9" hidden="1">#REF!</definedName>
    <definedName name="fd" localSheetId="8" hidden="1">#REF!</definedName>
    <definedName name="fd" hidden="1">#REF!</definedName>
    <definedName name="fdff" localSheetId="9"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g">#REF!</definedName>
    <definedName name="FE">#REF!</definedName>
    <definedName name="Fecha">#REF!</definedName>
    <definedName name="Fecha1">#REF!</definedName>
    <definedName name="Fecha2">#REF!</definedName>
    <definedName name="Fecha3">#REF!</definedName>
    <definedName name="Fecha4">#REF!</definedName>
    <definedName name="Fecha5">#REF!</definedName>
    <definedName name="FechaEF">#REF!</definedName>
    <definedName name="FechaET">#REF!</definedName>
    <definedName name="FechaInforme">#REF!</definedName>
    <definedName name="FECHAJ">#REF!</definedName>
    <definedName name="FECHAJJ">#REF!</definedName>
    <definedName name="FechaRepor">#REF!</definedName>
    <definedName name="ffff" localSheetId="9">#REF!</definedName>
    <definedName name="ffff" localSheetId="8">#REF!</definedName>
    <definedName name="FFFF" hidden="1">#REF!</definedName>
    <definedName name="fffff" localSheetId="9" hidden="1">{#N/A,#N/A,FALSE,"SumG";#N/A,#N/A,FALSE,"ElecG";#N/A,#N/A,FALSE,"MechG";#N/A,#N/A,FALSE,"GeotG";#N/A,#N/A,FALSE,"PrcsG";#N/A,#N/A,FALSE,"TunnG";#N/A,#N/A,FALSE,"CivlG";#N/A,#N/A,FALSE,"NtwkG";#N/A,#N/A,FALSE,"EstgG";#N/A,#N/A,FALSE,"PEngG"}</definedName>
    <definedName name="fffff" localSheetId="8" hidden="1">{#N/A,#N/A,FALSE,"SumG";#N/A,#N/A,FALSE,"ElecG";#N/A,#N/A,FALSE,"MechG";#N/A,#N/A,FALSE,"GeotG";#N/A,#N/A,FALSE,"PrcsG";#N/A,#N/A,FALSE,"TunnG";#N/A,#N/A,FALSE,"CivlG";#N/A,#N/A,FALSE,"NtwkG";#N/A,#N/A,FALSE,"EstgG";#N/A,#N/A,FALSE,"PEngG"}</definedName>
    <definedName name="fffff" hidden="1">{#N/A,#N/A,FALSE,"SumG";#N/A,#N/A,FALSE,"ElecG";#N/A,#N/A,FALSE,"MechG";#N/A,#N/A,FALSE,"GeotG";#N/A,#N/A,FALSE,"PrcsG";#N/A,#N/A,FALSE,"TunnG";#N/A,#N/A,FALSE,"CivlG";#N/A,#N/A,FALSE,"NtwkG";#N/A,#N/A,FALSE,"EstgG";#N/A,#N/A,FALSE,"PEngG"}</definedName>
    <definedName name="fffffff" localSheetId="9" hidden="1">{#N/A,#N/A,FALSE,"SumG";#N/A,#N/A,FALSE,"ElecG";#N/A,#N/A,FALSE,"MechG";#N/A,#N/A,FALSE,"GeotG";#N/A,#N/A,FALSE,"PrcsG";#N/A,#N/A,FALSE,"TunnG";#N/A,#N/A,FALSE,"CivlG";#N/A,#N/A,FALSE,"NtwkG";#N/A,#N/A,FALSE,"EstgG";#N/A,#N/A,FALSE,"PEngG"}</definedName>
    <definedName name="fffffff" localSheetId="8" hidden="1">{#N/A,#N/A,FALSE,"SumG";#N/A,#N/A,FALSE,"ElecG";#N/A,#N/A,FALSE,"MechG";#N/A,#N/A,FALSE,"GeotG";#N/A,#N/A,FALSE,"PrcsG";#N/A,#N/A,FALSE,"TunnG";#N/A,#N/A,FALSE,"CivlG";#N/A,#N/A,FALSE,"NtwkG";#N/A,#N/A,FALSE,"EstgG";#N/A,#N/A,FALSE,"PEngG"}</definedName>
    <definedName name="fffffff" hidden="1">{#N/A,#N/A,FALSE,"SumG";#N/A,#N/A,FALSE,"ElecG";#N/A,#N/A,FALSE,"MechG";#N/A,#N/A,FALSE,"GeotG";#N/A,#N/A,FALSE,"PrcsG";#N/A,#N/A,FALSE,"TunnG";#N/A,#N/A,FALSE,"CivlG";#N/A,#N/A,FALSE,"NtwkG";#N/A,#N/A,FALSE,"EstgG";#N/A,#N/A,FALSE,"PEngG"}</definedName>
    <definedName name="ffffffffff" localSheetId="9" hidden="1">{#N/A,#N/A,FALSE,"SumG";#N/A,#N/A,FALSE,"ElecG";#N/A,#N/A,FALSE,"MechG";#N/A,#N/A,FALSE,"GeotG";#N/A,#N/A,FALSE,"PrcsG";#N/A,#N/A,FALSE,"TunnG";#N/A,#N/A,FALSE,"CivlG";#N/A,#N/A,FALSE,"NtwkG";#N/A,#N/A,FALSE,"EstgG";#N/A,#N/A,FALSE,"PEngG"}</definedName>
    <definedName name="ffffffffff" localSheetId="8" hidden="1">{#N/A,#N/A,FALSE,"SumG";#N/A,#N/A,FALSE,"ElecG";#N/A,#N/A,FALSE,"MechG";#N/A,#N/A,FALSE,"GeotG";#N/A,#N/A,FALSE,"PrcsG";#N/A,#N/A,FALSE,"TunnG";#N/A,#N/A,FALSE,"CivlG";#N/A,#N/A,FALSE,"NtwkG";#N/A,#N/A,FALSE,"EstgG";#N/A,#N/A,FALSE,"PEngG"}</definedName>
    <definedName name="ffffffffff" hidden="1">{#N/A,#N/A,FALSE,"SumG";#N/A,#N/A,FALSE,"ElecG";#N/A,#N/A,FALSE,"MechG";#N/A,#N/A,FALSE,"GeotG";#N/A,#N/A,FALSE,"PrcsG";#N/A,#N/A,FALSE,"TunnG";#N/A,#N/A,FALSE,"CivlG";#N/A,#N/A,FALSE,"NtwkG";#N/A,#N/A,FALSE,"EstgG";#N/A,#N/A,FALSE,"PEngG"}</definedName>
    <definedName name="FFFFFFFFFFFFFFFF" localSheetId="9" hidden="1">#REF!</definedName>
    <definedName name="FFFFFFFFFFFFFFFF" localSheetId="8" hidden="1">#REF!</definedName>
    <definedName name="FFFFFFFFFFFFFFFF" hidden="1">#REF!</definedName>
    <definedName name="FFFFFFFFFFFFFFFFFFFFFFFFFFFFFFFFFFFFFFFFFFFFFFFFFFFFFFFFFFFFFFFFFF" localSheetId="9" hidden="1">#REF!</definedName>
    <definedName name="FFFFFFFFFFFFFFFFFFFFFFFFFFFFFFFFFFFFFFFFFFFFFFFFFFFFFFFFFFFFFFFFFF" localSheetId="8" hidden="1">#REF!</definedName>
    <definedName name="FFFFFFFFFFFFFFFFFFFFFFFFFFFFFFFFFFFFFFFFFFFFFFFFFFFFFFFFFFFFFFFFFF" hidden="1">#REF!</definedName>
    <definedName name="fg" localSheetId="9" hidden="1">{#N/A,#N/A,FALSE,"SumG";#N/A,#N/A,FALSE,"ElecG";#N/A,#N/A,FALSE,"MechG";#N/A,#N/A,FALSE,"GeotG";#N/A,#N/A,FALSE,"PrcsG";#N/A,#N/A,FALSE,"TunnG";#N/A,#N/A,FALSE,"CivlG";#N/A,#N/A,FALSE,"NtwkG";#N/A,#N/A,FALSE,"EstgG";#N/A,#N/A,FALSE,"PEngG"}</definedName>
    <definedName name="fg" localSheetId="8" hidden="1">{#N/A,#N/A,FALSE,"SumG";#N/A,#N/A,FALSE,"ElecG";#N/A,#N/A,FALSE,"MechG";#N/A,#N/A,FALSE,"GeotG";#N/A,#N/A,FALSE,"PrcsG";#N/A,#N/A,FALSE,"TunnG";#N/A,#N/A,FALSE,"CivlG";#N/A,#N/A,FALSE,"NtwkG";#N/A,#N/A,FALSE,"EstgG";#N/A,#N/A,FALSE,"PEngG"}</definedName>
    <definedName name="fg" hidden="1">{#N/A,#N/A,FALSE,"SumG";#N/A,#N/A,FALSE,"ElecG";#N/A,#N/A,FALSE,"MechG";#N/A,#N/A,FALSE,"GeotG";#N/A,#N/A,FALSE,"PrcsG";#N/A,#N/A,FALSE,"TunnG";#N/A,#N/A,FALSE,"CivlG";#N/A,#N/A,FALSE,"NtwkG";#N/A,#N/A,FALSE,"EstgG";#N/A,#N/A,FALSE,"PEngG"}</definedName>
    <definedName name="fg.10">#REF!</definedName>
    <definedName name="fg.5">#REF!</definedName>
    <definedName name="fg1314TBTB4RTDKDKDKRT">#REF!</definedName>
    <definedName name="FG20TBTB2RT">#REF!</definedName>
    <definedName name="fg28TBTB2RTDKDK">#REF!</definedName>
    <definedName name="FG28TBTB2RTDKDKRT">#REF!</definedName>
    <definedName name="FG28TBTB4RTDK">#REF!</definedName>
    <definedName name="FG44TBTB4RTDKDK">#REF!</definedName>
    <definedName name="FG46TBTB4RTDKDK">#REF!</definedName>
    <definedName name="fgdfg" localSheetId="9"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9"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9"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RKRKRKRKRKRKRKRKRKRKRKRKTBTB3">#REF!</definedName>
    <definedName name="FH">#REF!</definedName>
    <definedName name="fhg" localSheetId="9" hidden="1">{#N/A,#N/A,TRUE,"1842CWN0"}</definedName>
    <definedName name="fhg" localSheetId="8" hidden="1">{#N/A,#N/A,TRUE,"1842CWN0"}</definedName>
    <definedName name="fhg" hidden="1">{#N/A,#N/A,TRUE,"1842CWN0"}</definedName>
    <definedName name="fhh">#REF!</definedName>
    <definedName name="fi">#REF!</definedName>
    <definedName name="fila_final">#REF!</definedName>
    <definedName name="fill" localSheetId="9" hidden="1">#REF!</definedName>
    <definedName name="fill" localSheetId="8" hidden="1">#REF!</definedName>
    <definedName name="fill" hidden="1">#REF!</definedName>
    <definedName name="final">#REF!</definedName>
    <definedName name="FinanObra">#REF!</definedName>
    <definedName name="FinCObra">#N/A</definedName>
    <definedName name="FIO">#REF!</definedName>
    <definedName name="FireRating">#REF!</definedName>
    <definedName name="fitting">#REF!</definedName>
    <definedName name="Fittings">#REF!</definedName>
    <definedName name="Flamingo">#REF!</definedName>
    <definedName name="fletes_externos">#REF!</definedName>
    <definedName name="fletes_internos">#REF!</definedName>
    <definedName name="FLG">#REF!</definedName>
    <definedName name="FLG_Orifice">#REF!</definedName>
    <definedName name="fliso">#REF!</definedName>
    <definedName name="flow">#REF!</definedName>
    <definedName name="Fluid">#REF!</definedName>
    <definedName name="Fluids">#REF!</definedName>
    <definedName name="FM">#REF!</definedName>
    <definedName name="FN">#REF!</definedName>
    <definedName name="fobb">#REF!</definedName>
    <definedName name="Forma_Pago">#REF!</definedName>
    <definedName name="FORMALETA">#REF!</definedName>
    <definedName name="Formato">#REF!</definedName>
    <definedName name="FORMULA">#REF!</definedName>
    <definedName name="FORMULAXXXXX">#REF!</definedName>
    <definedName name="Foundation_Work">#REF!</definedName>
    <definedName name="FR">#REF!</definedName>
    <definedName name="FrameMaterial">#REF!</definedName>
    <definedName name="frf">#REF!</definedName>
    <definedName name="FRObra">#REF!</definedName>
    <definedName name="FRSF">#REF!</definedName>
    <definedName name="fs">#REF!</definedName>
    <definedName name="FSD" localSheetId="9" hidden="1">#REF!</definedName>
    <definedName name="FSD" localSheetId="8" hidden="1">#REF!</definedName>
    <definedName name="FSD" hidden="1">#REF!</definedName>
    <definedName name="fsf">#REF!</definedName>
    <definedName name="FSIZE">#REF!</definedName>
    <definedName name="FSV">#REF!</definedName>
    <definedName name="FT">#REF!</definedName>
    <definedName name="FTDSH" localSheetId="9" hidden="1">#REF!</definedName>
    <definedName name="FTDSH" localSheetId="8" hidden="1">#REF!</definedName>
    <definedName name="FTDSH" hidden="1">#REF!</definedName>
    <definedName name="ftri11">#REF!</definedName>
    <definedName name="ftri12">#REF!</definedName>
    <definedName name="ftri13">#REF!</definedName>
    <definedName name="ftri14">#REF!</definedName>
    <definedName name="ftri15">#REF!</definedName>
    <definedName name="FU" hidden="1">#REF!</definedName>
    <definedName name="fvic">#REF!</definedName>
    <definedName name="fw">#REF!</definedName>
    <definedName name="FWF">#REF!</definedName>
    <definedName name="Fx">#REF!</definedName>
    <definedName name="Fy">#REF!</definedName>
    <definedName name="fy_">#REF!</definedName>
    <definedName name="Fy__ksi">#REF!</definedName>
    <definedName name="FY_1">#REF!</definedName>
    <definedName name="Fy_ksi">#REF!</definedName>
    <definedName name="Fz">#REF!</definedName>
    <definedName name="G">#REF!</definedName>
    <definedName name="g_agua">#REF!</definedName>
    <definedName name="G_P_P">#N/A</definedName>
    <definedName name="G1000PP">#REF!</definedName>
    <definedName name="G11300SP">#REF!</definedName>
    <definedName name="G11625M">#REF!</definedName>
    <definedName name="G11950CP">#REF!</definedName>
    <definedName name="G1325M">#REF!</definedName>
    <definedName name="G1620S">#REF!</definedName>
    <definedName name="G1650SP">#REF!</definedName>
    <definedName name="G1975M">#REF!</definedName>
    <definedName name="G2000PP">#REF!</definedName>
    <definedName name="G2037598">#REF!</definedName>
    <definedName name="G21300SP">#REF!</definedName>
    <definedName name="G21625M">#REF!</definedName>
    <definedName name="G21950CP">#REF!</definedName>
    <definedName name="G2325M">#REF!</definedName>
    <definedName name="G2620S">#REF!</definedName>
    <definedName name="G2650SP">#REF!</definedName>
    <definedName name="G2975M">#REF!</definedName>
    <definedName name="G3000PP">#REF!</definedName>
    <definedName name="G31300SP">#REF!</definedName>
    <definedName name="G31625M">#REF!</definedName>
    <definedName name="G31950CP">#REF!</definedName>
    <definedName name="G3325M">#REF!</definedName>
    <definedName name="G3650SP">#REF!</definedName>
    <definedName name="G3975M">#REF!</definedName>
    <definedName name="GABINETE">#REF!</definedName>
    <definedName name="gamma_04">#REF!</definedName>
    <definedName name="gams">#REF!</definedName>
    <definedName name="gamsub">#REF!</definedName>
    <definedName name="gamt">#REF!</definedName>
    <definedName name="gamw">#REF!</definedName>
    <definedName name="GANADAS">#REF!</definedName>
    <definedName name="GANSEM">#REF!</definedName>
    <definedName name="GAS">"#REF!"</definedName>
    <definedName name="GASSEM">#REF!</definedName>
    <definedName name="GASTADAS">#REF!</definedName>
    <definedName name="Gastos_generales">#REF!</definedName>
    <definedName name="gate">#REF!</definedName>
    <definedName name="GB_1">#REF!</definedName>
    <definedName name="GB_4">#REF!</definedName>
    <definedName name="gbggg" localSheetId="9" hidden="1">{#N/A,#N/A,FALSE,"SumD";#N/A,#N/A,FALSE,"ElecD";#N/A,#N/A,FALSE,"MechD";#N/A,#N/A,FALSE,"GeotD";#N/A,#N/A,FALSE,"PrcsD";#N/A,#N/A,FALSE,"TunnD";#N/A,#N/A,FALSE,"CivlD";#N/A,#N/A,FALSE,"NtwkD";#N/A,#N/A,FALSE,"EstgD";#N/A,#N/A,FALSE,"PEngD"}</definedName>
    <definedName name="gbggg" localSheetId="8" hidden="1">{#N/A,#N/A,FALSE,"SumD";#N/A,#N/A,FALSE,"ElecD";#N/A,#N/A,FALSE,"MechD";#N/A,#N/A,FALSE,"GeotD";#N/A,#N/A,FALSE,"PrcsD";#N/A,#N/A,FALSE,"TunnD";#N/A,#N/A,FALSE,"CivlD";#N/A,#N/A,FALSE,"NtwkD";#N/A,#N/A,FALSE,"EstgD";#N/A,#N/A,FALSE,"PEngD"}</definedName>
    <definedName name="gbggg" hidden="1">{#N/A,#N/A,FALSE,"SumD";#N/A,#N/A,FALSE,"ElecD";#N/A,#N/A,FALSE,"MechD";#N/A,#N/A,FALSE,"GeotD";#N/A,#N/A,FALSE,"PrcsD";#N/A,#N/A,FALSE,"TunnD";#N/A,#N/A,FALSE,"CivlD";#N/A,#N/A,FALSE,"NtwkD";#N/A,#N/A,FALSE,"EstgD";#N/A,#N/A,FALSE,"PEngD"}</definedName>
    <definedName name="gc">#REF!</definedName>
    <definedName name="GCL">#REF!</definedName>
    <definedName name="gcon_">#REF!</definedName>
    <definedName name="gcon1_">#REF!</definedName>
    <definedName name="Gcrushed">#REF!</definedName>
    <definedName name="GE">#REF!</definedName>
    <definedName name="GenDetail">#REF!</definedName>
    <definedName name="GES">#REF!</definedName>
    <definedName name="gfd" localSheetId="9" hidden="1">#REF!</definedName>
    <definedName name="gfd" localSheetId="8" hidden="1">#REF!</definedName>
    <definedName name="gfd" hidden="1">#REF!</definedName>
    <definedName name="gfdgfdg" localSheetId="9"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9"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fhgfh">NA()</definedName>
    <definedName name="GG">#REF!</definedName>
    <definedName name="GGE">#REF!</definedName>
    <definedName name="GGEN">#REF!</definedName>
    <definedName name="GGESHOP">#REF!</definedName>
    <definedName name="GGG">#REF!</definedName>
    <definedName name="gggg" localSheetId="9"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 localSheetId="9" hidden="1">#REF!</definedName>
    <definedName name="GGGGG" localSheetId="8" hidden="1">#REF!</definedName>
    <definedName name="GGGGG" hidden="1">#REF!</definedName>
    <definedName name="ggggggg" localSheetId="9" hidden="1">{#N/A,#N/A,FALSE,"SumD";#N/A,#N/A,FALSE,"ElecD";#N/A,#N/A,FALSE,"MechD";#N/A,#N/A,FALSE,"GeotD";#N/A,#N/A,FALSE,"PrcsD";#N/A,#N/A,FALSE,"TunnD";#N/A,#N/A,FALSE,"CivlD";#N/A,#N/A,FALSE,"NtwkD";#N/A,#N/A,FALSE,"EstgD";#N/A,#N/A,FALSE,"PEngD"}</definedName>
    <definedName name="ggggggg" localSheetId="8" hidden="1">{#N/A,#N/A,FALSE,"SumD";#N/A,#N/A,FALSE,"ElecD";#N/A,#N/A,FALSE,"MechD";#N/A,#N/A,FALSE,"GeotD";#N/A,#N/A,FALSE,"PrcsD";#N/A,#N/A,FALSE,"TunnD";#N/A,#N/A,FALSE,"CivlD";#N/A,#N/A,FALSE,"NtwkD";#N/A,#N/A,FALSE,"EstgD";#N/A,#N/A,FALSE,"PEngD"}</definedName>
    <definedName name="ggggggg" hidden="1">{#N/A,#N/A,FALSE,"SumD";#N/A,#N/A,FALSE,"ElecD";#N/A,#N/A,FALSE,"MechD";#N/A,#N/A,FALSE,"GeotD";#N/A,#N/A,FALSE,"PrcsD";#N/A,#N/A,FALSE,"TunnD";#N/A,#N/A,FALSE,"CivlD";#N/A,#N/A,FALSE,"NtwkD";#N/A,#N/A,FALSE,"EstgD";#N/A,#N/A,FALSE,"PEngD"}</definedName>
    <definedName name="ggrel">#REF!</definedName>
    <definedName name="gguu" localSheetId="9" hidden="1">{#N/A,#N/A,TRUE,"1842CWN0"}</definedName>
    <definedName name="gguu" localSheetId="8" hidden="1">{#N/A,#N/A,TRUE,"1842CWN0"}</definedName>
    <definedName name="gguu" hidden="1">{#N/A,#N/A,TRUE,"1842CWN0"}</definedName>
    <definedName name="gguuu">#REF!</definedName>
    <definedName name="gh" localSheetId="9" hidden="1">#REF!</definedName>
    <definedName name="gh" localSheetId="8" hidden="1">#REF!</definedName>
    <definedName name="gh" hidden="1">#REF!</definedName>
    <definedName name="GH_1">#REF!</definedName>
    <definedName name="GH_4">#REF!</definedName>
    <definedName name="ghggg" localSheetId="9"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j">#REF!</definedName>
    <definedName name="ghthy">#REF!</definedName>
    <definedName name="GI">#REF!</definedName>
    <definedName name="gjgf" localSheetId="9" hidden="1">{#N/A,#N/A,TRUE,"INGENIERIA";#N/A,#N/A,TRUE,"COMPRAS";#N/A,#N/A,TRUE,"DIRECCION";#N/A,#N/A,TRUE,"RESUMEN"}</definedName>
    <definedName name="gjgf" localSheetId="8" hidden="1">{#N/A,#N/A,TRUE,"INGENIERIA";#N/A,#N/A,TRUE,"COMPRAS";#N/A,#N/A,TRUE,"DIRECCION";#N/A,#N/A,TRUE,"RESUMEN"}</definedName>
    <definedName name="gjgf" hidden="1">{#N/A,#N/A,TRUE,"INGENIERIA";#N/A,#N/A,TRUE,"COMPRAS";#N/A,#N/A,TRUE,"DIRECCION";#N/A,#N/A,TRUE,"RESUMEN"}</definedName>
    <definedName name="gjhgfj" localSheetId="9" hidden="1">{#N/A,#N/A,TRUE,"1842CWN0"}</definedName>
    <definedName name="gjhgfj" localSheetId="8" hidden="1">{#N/A,#N/A,TRUE,"1842CWN0"}</definedName>
    <definedName name="gjhgfj" hidden="1">{#N/A,#N/A,TRUE,"1842CWN0"}</definedName>
    <definedName name="gjjkk" localSheetId="9" hidden="1">{#N/A,#N/A,TRUE,"1842CWN0"}</definedName>
    <definedName name="gjjkk" localSheetId="8" hidden="1">{#N/A,#N/A,TRUE,"1842CWN0"}</definedName>
    <definedName name="gjjkk" hidden="1">{#N/A,#N/A,TRUE,"1842CWN0"}</definedName>
    <definedName name="GL">#REF!</definedName>
    <definedName name="GlassType">#REF!</definedName>
    <definedName name="glh">#REF!</definedName>
    <definedName name="globe">#REF!</definedName>
    <definedName name="GLOSARIO.INDICES">#REF!</definedName>
    <definedName name="gngl_">#REF!</definedName>
    <definedName name="GO">#REF!</definedName>
    <definedName name="gr">#REF!</definedName>
    <definedName name="graf" localSheetId="9" hidden="1">#REF!</definedName>
    <definedName name="graf" localSheetId="8" hidden="1">#REF!</definedName>
    <definedName name="graf" hidden="1">#REF!</definedName>
    <definedName name="grafico" localSheetId="9" hidden="1">#REF!</definedName>
    <definedName name="grafico" localSheetId="8" hidden="1">#REF!</definedName>
    <definedName name="grafico" hidden="1">#REF!</definedName>
    <definedName name="graph0" localSheetId="9" hidden="1">#REF!</definedName>
    <definedName name="graph0" localSheetId="8" hidden="1">#REF!</definedName>
    <definedName name="graph0" hidden="1">#REF!</definedName>
    <definedName name="Graph1" hidden="1">#REF!</definedName>
    <definedName name="Grasa">#REF!</definedName>
    <definedName name="GRAVA">#REF!</definedName>
    <definedName name="GRAVEL">#REF!</definedName>
    <definedName name="GRIFERIA">#REF!</definedName>
    <definedName name="group1">#REF!</definedName>
    <definedName name="Group2">#REF!</definedName>
    <definedName name="group3">#REF!</definedName>
    <definedName name="group4">#REF!</definedName>
    <definedName name="group5">#REF!</definedName>
    <definedName name="GrphActSales">#REF!</definedName>
    <definedName name="GrphActStk">#REF!</definedName>
    <definedName name="GrphPlanSales">#REF!</definedName>
    <definedName name="GrphTgtStk">#REF!</definedName>
    <definedName name="gsand">#REF!</definedName>
    <definedName name="gsdf">#REF!</definedName>
    <definedName name="gsdf___0">#REF!</definedName>
    <definedName name="gsdf___1">#REF!</definedName>
    <definedName name="gterr">#REF!</definedName>
    <definedName name="gterr1_">#REF!</definedName>
    <definedName name="GU">#REF!</definedName>
    <definedName name="Guia_EEFF">#REF!</definedName>
    <definedName name="Guia_flujo_caja">#REF!</definedName>
    <definedName name="GW">#REF!</definedName>
    <definedName name="H">#REF!</definedName>
    <definedName name="H_0">#REF!</definedName>
    <definedName name="h_02">#REF!</definedName>
    <definedName name="h_03">#REF!</definedName>
    <definedName name="h_04">#REF!</definedName>
    <definedName name="h_1">#REF!</definedName>
    <definedName name="h_10">#REF!</definedName>
    <definedName name="h_11">#REF!</definedName>
    <definedName name="h_12">#REF!</definedName>
    <definedName name="h_2">#REF!</definedName>
    <definedName name="h_3">#REF!</definedName>
    <definedName name="h_4">#REF!</definedName>
    <definedName name="h_5">#REF!</definedName>
    <definedName name="h_6">#REF!</definedName>
    <definedName name="h_7">#REF!</definedName>
    <definedName name="h_8">#REF!</definedName>
    <definedName name="h_9">#REF!</definedName>
    <definedName name="h_c">#REF!</definedName>
    <definedName name="H_ROCK">#REF!</definedName>
    <definedName name="H_SOIL">#REF!</definedName>
    <definedName name="h2_1">#REF!</definedName>
    <definedName name="h2_2">#REF!</definedName>
    <definedName name="h2_3">#REF!</definedName>
    <definedName name="h2_4">#REF!</definedName>
    <definedName name="ha">#REF!</definedName>
    <definedName name="Handing">#REF!</definedName>
    <definedName name="hciment">#REF!</definedName>
    <definedName name="HEAD1">#REF!</definedName>
    <definedName name="HEAD2">#REF!</definedName>
    <definedName name="hef_input">#REF!</definedName>
    <definedName name="height">#REF!</definedName>
    <definedName name="height1">#REF!</definedName>
    <definedName name="HEIGHT2">#REF!</definedName>
    <definedName name="HEIGHT3">#REF!</definedName>
    <definedName name="Helada">#N/A</definedName>
    <definedName name="Heladas">#N/A</definedName>
    <definedName name="hgjkiklj" localSheetId="9" hidden="1">{#N/A,#N/A,TRUE,"1842CWN0"}</definedName>
    <definedName name="hgjkiklj" localSheetId="8" hidden="1">{#N/A,#N/A,TRUE,"1842CWN0"}</definedName>
    <definedName name="hgjkiklj" hidden="1">{#N/A,#N/A,TRUE,"1842CWN0"}</definedName>
    <definedName name="HH">"#REF!"</definedName>
    <definedName name="hh_1">#REF!</definedName>
    <definedName name="HHC">#REF!</definedName>
    <definedName name="hhh_1">#REF!</definedName>
    <definedName name="hhhh" localSheetId="9" hidden="1">{#N/A,#N/A,FALSE,"SumG";#N/A,#N/A,FALSE,"ElecG";#N/A,#N/A,FALSE,"MechG";#N/A,#N/A,FALSE,"GeotG";#N/A,#N/A,FALSE,"PrcsG";#N/A,#N/A,FALSE,"TunnG";#N/A,#N/A,FALSE,"CivlG";#N/A,#N/A,FALSE,"NtwkG";#N/A,#N/A,FALSE,"EstgG";#N/A,#N/A,FALSE,"PEngG"}</definedName>
    <definedName name="hhhh" localSheetId="8" hidden="1">{#N/A,#N/A,FALSE,"SumG";#N/A,#N/A,FALSE,"ElecG";#N/A,#N/A,FALSE,"MechG";#N/A,#N/A,FALSE,"GeotG";#N/A,#N/A,FALSE,"PrcsG";#N/A,#N/A,FALSE,"TunnG";#N/A,#N/A,FALSE,"CivlG";#N/A,#N/A,FALSE,"NtwkG";#N/A,#N/A,FALSE,"EstgG";#N/A,#N/A,FALSE,"PEngG"}</definedName>
    <definedName name="hhhh" hidden="1">{#N/A,#N/A,FALSE,"SumG";#N/A,#N/A,FALSE,"ElecG";#N/A,#N/A,FALSE,"MechG";#N/A,#N/A,FALSE,"GeotG";#N/A,#N/A,FALSE,"PrcsG";#N/A,#N/A,FALSE,"TunnG";#N/A,#N/A,FALSE,"CivlG";#N/A,#N/A,FALSE,"NtwkG";#N/A,#N/A,FALSE,"EstgG";#N/A,#N/A,FALSE,"PEngG"}</definedName>
    <definedName name="hhhh_1">#REF!</definedName>
    <definedName name="hhhhh_1">#REF!</definedName>
    <definedName name="HHHHHH">#REF!</definedName>
    <definedName name="hhhhhhhhhhhhhhhhh">#REF!</definedName>
    <definedName name="HHME">#REF!</definedName>
    <definedName name="HHT">#REF!</definedName>
    <definedName name="HIDRANDINA">#REF!</definedName>
    <definedName name="hjhhhkkhkhkh" localSheetId="9" hidden="1">{#N/A,#N/A,FALSE,"SumG";#N/A,#N/A,FALSE,"ElecG";#N/A,#N/A,FALSE,"MechG";#N/A,#N/A,FALSE,"GeotG";#N/A,#N/A,FALSE,"PrcsG";#N/A,#N/A,FALSE,"TunnG";#N/A,#N/A,FALSE,"CivlG";#N/A,#N/A,FALSE,"NtwkG";#N/A,#N/A,FALSE,"EstgG";#N/A,#N/A,FALSE,"PEngG"}</definedName>
    <definedName name="hjhhhkkhkhkh" localSheetId="8" hidden="1">{#N/A,#N/A,FALSE,"SumG";#N/A,#N/A,FALSE,"ElecG";#N/A,#N/A,FALSE,"MechG";#N/A,#N/A,FALSE,"GeotG";#N/A,#N/A,FALSE,"PrcsG";#N/A,#N/A,FALSE,"TunnG";#N/A,#N/A,FALSE,"CivlG";#N/A,#N/A,FALSE,"NtwkG";#N/A,#N/A,FALSE,"EstgG";#N/A,#N/A,FALSE,"PEngG"}</definedName>
    <definedName name="hjhhhkkhkhkh" hidden="1">{#N/A,#N/A,FALSE,"SumG";#N/A,#N/A,FALSE,"ElecG";#N/A,#N/A,FALSE,"MechG";#N/A,#N/A,FALSE,"GeotG";#N/A,#N/A,FALSE,"PrcsG";#N/A,#N/A,FALSE,"TunnG";#N/A,#N/A,FALSE,"CivlG";#N/A,#N/A,FALSE,"NtwkG";#N/A,#N/A,FALSE,"EstgG";#N/A,#N/A,FALSE,"PEngG"}</definedName>
    <definedName name="HJHJYUT" localSheetId="9" hidden="1">{#N/A,#N/A,TRUE,"1842CWN0"}</definedName>
    <definedName name="HJHJYUT" localSheetId="8" hidden="1">{#N/A,#N/A,TRUE,"1842CWN0"}</definedName>
    <definedName name="HJHJYUT" hidden="1">{#N/A,#N/A,TRUE,"1842CWN0"}</definedName>
    <definedName name="hjhuk">#REF!</definedName>
    <definedName name="Ho">#REF!</definedName>
    <definedName name="HOA">#REF!</definedName>
    <definedName name="HOLYDAYS">#REF!</definedName>
    <definedName name="HORAS_MES">#REF!</definedName>
    <definedName name="Horas_Semana">#REF!</definedName>
    <definedName name="HORAS1">#REF!</definedName>
    <definedName name="Hormigon">#REF!</definedName>
    <definedName name="HOUSE">#REF!</definedName>
    <definedName name="how">#REF!</definedName>
    <definedName name="hp1_">#REF!</definedName>
    <definedName name="hp3_">#REF!</definedName>
    <definedName name="hpd">#REF!</definedName>
    <definedName name="hped1_">#REF!</definedName>
    <definedName name="hped3_">#REF!</definedName>
    <definedName name="hpipe_">#REF!</definedName>
    <definedName name="hpipe_2">#REF!</definedName>
    <definedName name="hratio">#REF!</definedName>
    <definedName name="HSIZE">#REF!</definedName>
    <definedName name="HT">#REF!</definedName>
    <definedName name="HTA">#REF!</definedName>
    <definedName name="HTML_CodePage" hidden="1">949</definedName>
    <definedName name="HTML_Control" localSheetId="9" hidden="1">{"'장비'!$A$3:$M$12"}</definedName>
    <definedName name="HTML_Control" localSheetId="8"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ri12">#REF!</definedName>
    <definedName name="htri13">#REF!</definedName>
    <definedName name="htri14">#REF!</definedName>
    <definedName name="htri15">#REF!</definedName>
    <definedName name="htri22">#REF!</definedName>
    <definedName name="htri23">#REF!</definedName>
    <definedName name="htri24">#REF!</definedName>
    <definedName name="htri25">#REF!</definedName>
    <definedName name="htri32">#REF!</definedName>
    <definedName name="htri33">#REF!</definedName>
    <definedName name="htri34">#REF!</definedName>
    <definedName name="htri35">#REF!</definedName>
    <definedName name="htri42">#REF!</definedName>
    <definedName name="htri43">#REF!</definedName>
    <definedName name="htri44">#REF!</definedName>
    <definedName name="htri45">#REF!</definedName>
    <definedName name="Huanchac">#REF!</definedName>
    <definedName name="HY">#REF!</definedName>
    <definedName name="hyjuyuh">#REF!</definedName>
    <definedName name="hz">#REF!</definedName>
    <definedName name="hz_">#REF!</definedName>
    <definedName name="hz_estimada">#REF!</definedName>
    <definedName name="I">#REF!</definedName>
    <definedName name="I.A_CONTR">#REF!</definedName>
    <definedName name="I.A_DIVISION">#REF!</definedName>
    <definedName name="I.A_EMP_CONT">#REF!</definedName>
    <definedName name="i_i">#REF!</definedName>
    <definedName name="i_inf">#REF!</definedName>
    <definedName name="i_s">#REF!</definedName>
    <definedName name="I91.22">#REF!</definedName>
    <definedName name="iae">#REF!</definedName>
    <definedName name="iah">#REF!</definedName>
    <definedName name="iat">#REF!</definedName>
    <definedName name="iaw">#REF!</definedName>
    <definedName name="ibe">#REF!</definedName>
    <definedName name="ibh">#REF!</definedName>
    <definedName name="ibt">#REF!</definedName>
    <definedName name="ibw">#REF!</definedName>
    <definedName name="IC_Date">#REF!</definedName>
    <definedName name="ice">#REF!</definedName>
    <definedName name="ich">#REF!</definedName>
    <definedName name="ICNI">#REF!</definedName>
    <definedName name="icr">#REF!</definedName>
    <definedName name="ict">#REF!</definedName>
    <definedName name="icw">#REF!</definedName>
    <definedName name="ide">#REF!</definedName>
    <definedName name="idh">#REF!</definedName>
    <definedName name="IDOBRA">#N/A</definedName>
    <definedName name="idt">#REF!</definedName>
    <definedName name="idw">#REF!</definedName>
    <definedName name="IE">#REF!</definedName>
    <definedName name="iee">#REF!</definedName>
    <definedName name="ieh">#REF!</definedName>
    <definedName name="IELWSALES">#REF!</definedName>
    <definedName name="IELYSALES">#REF!</definedName>
    <definedName name="IEPLANSALES">#REF!</definedName>
    <definedName name="IESP">#REF!</definedName>
    <definedName name="iet">#REF!</definedName>
    <definedName name="iew">#REF!</definedName>
    <definedName name="IF">#REF!</definedName>
    <definedName name="ife">#REF!</definedName>
    <definedName name="ifh">#REF!</definedName>
    <definedName name="ift">#REF!</definedName>
    <definedName name="ifw">#REF!</definedName>
    <definedName name="ig">#REF!</definedName>
    <definedName name="ige">#REF!</definedName>
    <definedName name="igh">#REF!</definedName>
    <definedName name="igt">#REF!</definedName>
    <definedName name="igv">0.19</definedName>
    <definedName name="IGVOBRA">#REF!</definedName>
    <definedName name="igw">#REF!</definedName>
    <definedName name="ih">#REF!</definedName>
    <definedName name="ihe">#REF!</definedName>
    <definedName name="ihh">#REF!</definedName>
    <definedName name="IHOIHIOVFYTXSR">#REF!</definedName>
    <definedName name="iht">#REF!</definedName>
    <definedName name="ihw">#REF!</definedName>
    <definedName name="iiii" localSheetId="9" hidden="1">{#N/A,#N/A,FALSE,"SumD";#N/A,#N/A,FALSE,"ElecD";#N/A,#N/A,FALSE,"MechD";#N/A,#N/A,FALSE,"GeotD";#N/A,#N/A,FALSE,"PrcsD";#N/A,#N/A,FALSE,"TunnD";#N/A,#N/A,FALSE,"CivlD";#N/A,#N/A,FALSE,"NtwkD";#N/A,#N/A,FALSE,"EstgD";#N/A,#N/A,FALSE,"PEngD"}</definedName>
    <definedName name="iiii" localSheetId="8" hidden="1">{#N/A,#N/A,FALSE,"SumD";#N/A,#N/A,FALSE,"ElecD";#N/A,#N/A,FALSE,"MechD";#N/A,#N/A,FALSE,"GeotD";#N/A,#N/A,FALSE,"PrcsD";#N/A,#N/A,FALSE,"TunnD";#N/A,#N/A,FALSE,"CivlD";#N/A,#N/A,FALSE,"NtwkD";#N/A,#N/A,FALSE,"EstgD";#N/A,#N/A,FALSE,"PEngD"}</definedName>
    <definedName name="iiii" hidden="1">{#N/A,#N/A,FALSE,"SumD";#N/A,#N/A,FALSE,"ElecD";#N/A,#N/A,FALSE,"MechD";#N/A,#N/A,FALSE,"GeotD";#N/A,#N/A,FALSE,"PrcsD";#N/A,#N/A,FALSE,"TunnD";#N/A,#N/A,FALSE,"CivlD";#N/A,#N/A,FALSE,"NtwkD";#N/A,#N/A,FALSE,"EstgD";#N/A,#N/A,FALSE,"PEngD"}</definedName>
    <definedName name="iikl" localSheetId="9" hidden="1">{#N/A,#N/A,FALSE,"SumD";#N/A,#N/A,FALSE,"ElecD";#N/A,#N/A,FALSE,"MechD";#N/A,#N/A,FALSE,"GeotD";#N/A,#N/A,FALSE,"PrcsD";#N/A,#N/A,FALSE,"TunnD";#N/A,#N/A,FALSE,"CivlD";#N/A,#N/A,FALSE,"NtwkD";#N/A,#N/A,FALSE,"EstgD";#N/A,#N/A,FALSE,"PEngD"}</definedName>
    <definedName name="iikl" localSheetId="8" hidden="1">{#N/A,#N/A,FALSE,"SumD";#N/A,#N/A,FALSE,"ElecD";#N/A,#N/A,FALSE,"MechD";#N/A,#N/A,FALSE,"GeotD";#N/A,#N/A,FALSE,"PrcsD";#N/A,#N/A,FALSE,"TunnD";#N/A,#N/A,FALSE,"CivlD";#N/A,#N/A,FALSE,"NtwkD";#N/A,#N/A,FALSE,"EstgD";#N/A,#N/A,FALSE,"PEngD"}</definedName>
    <definedName name="iikl" hidden="1">{#N/A,#N/A,FALSE,"SumD";#N/A,#N/A,FALSE,"ElecD";#N/A,#N/A,FALSE,"MechD";#N/A,#N/A,FALSE,"GeotD";#N/A,#N/A,FALSE,"PrcsD";#N/A,#N/A,FALSE,"TunnD";#N/A,#N/A,FALSE,"CivlD";#N/A,#N/A,FALSE,"NtwkD";#N/A,#N/A,FALSE,"EstgD";#N/A,#N/A,FALSE,"PEngD"}</definedName>
    <definedName name="IIMMXX" localSheetId="9" hidden="1">#REF!</definedName>
    <definedName name="IIMMXX" localSheetId="8" hidden="1">#REF!</definedName>
    <definedName name="IIMMXX" hidden="1">#REF!</definedName>
    <definedName name="IJJPOJPOJ">#REF!</definedName>
    <definedName name="ikkkk" localSheetId="9" hidden="1">{#N/A,#N/A,FALSE,"SumD";#N/A,#N/A,FALSE,"ElecD";#N/A,#N/A,FALSE,"MechD";#N/A,#N/A,FALSE,"GeotD";#N/A,#N/A,FALSE,"PrcsD";#N/A,#N/A,FALSE,"TunnD";#N/A,#N/A,FALSE,"CivlD";#N/A,#N/A,FALSE,"NtwkD";#N/A,#N/A,FALSE,"EstgD";#N/A,#N/A,FALSE,"PEngD"}</definedName>
    <definedName name="ikkkk" localSheetId="8" hidden="1">{#N/A,#N/A,FALSE,"SumD";#N/A,#N/A,FALSE,"ElecD";#N/A,#N/A,FALSE,"MechD";#N/A,#N/A,FALSE,"GeotD";#N/A,#N/A,FALSE,"PrcsD";#N/A,#N/A,FALSE,"TunnD";#N/A,#N/A,FALSE,"CivlD";#N/A,#N/A,FALSE,"NtwkD";#N/A,#N/A,FALSE,"EstgD";#N/A,#N/A,FALSE,"PEngD"}</definedName>
    <definedName name="ikkkk" hidden="1">{#N/A,#N/A,FALSE,"SumD";#N/A,#N/A,FALSE,"ElecD";#N/A,#N/A,FALSE,"MechD";#N/A,#N/A,FALSE,"GeotD";#N/A,#N/A,FALSE,"PrcsD";#N/A,#N/A,FALSE,"TunnD";#N/A,#N/A,FALSE,"CivlD";#N/A,#N/A,FALSE,"NtwkD";#N/A,#N/A,FALSE,"EstgD";#N/A,#N/A,FALSE,"PEngD"}</definedName>
    <definedName name="ikkkkk" localSheetId="9" hidden="1">{#N/A,#N/A,FALSE,"SumD";#N/A,#N/A,FALSE,"ElecD";#N/A,#N/A,FALSE,"MechD";#N/A,#N/A,FALSE,"GeotD";#N/A,#N/A,FALSE,"PrcsD";#N/A,#N/A,FALSE,"TunnD";#N/A,#N/A,FALSE,"CivlD";#N/A,#N/A,FALSE,"NtwkD";#N/A,#N/A,FALSE,"EstgD";#N/A,#N/A,FALSE,"PEngD"}</definedName>
    <definedName name="ikkkkk" localSheetId="8" hidden="1">{#N/A,#N/A,FALSE,"SumD";#N/A,#N/A,FALSE,"ElecD";#N/A,#N/A,FALSE,"MechD";#N/A,#N/A,FALSE,"GeotD";#N/A,#N/A,FALSE,"PrcsD";#N/A,#N/A,FALSE,"TunnD";#N/A,#N/A,FALSE,"CivlD";#N/A,#N/A,FALSE,"NtwkD";#N/A,#N/A,FALSE,"EstgD";#N/A,#N/A,FALSE,"PEngD"}</definedName>
    <definedName name="ikkkkk" hidden="1">{#N/A,#N/A,FALSE,"SumD";#N/A,#N/A,FALSE,"ElecD";#N/A,#N/A,FALSE,"MechD";#N/A,#N/A,FALSE,"GeotD";#N/A,#N/A,FALSE,"PrcsD";#N/A,#N/A,FALSE,"TunnD";#N/A,#N/A,FALSE,"CivlD";#N/A,#N/A,FALSE,"NtwkD";#N/A,#N/A,FALSE,"EstgD";#N/A,#N/A,FALSE,"PEngD"}</definedName>
    <definedName name="IKLIULIU"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IKLIULIU"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IKLIULIU"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iklo" localSheetId="9" hidden="1">{#N/A,#N/A,FALSE,"SumD";#N/A,#N/A,FALSE,"ElecD";#N/A,#N/A,FALSE,"MechD";#N/A,#N/A,FALSE,"GeotD";#N/A,#N/A,FALSE,"PrcsD";#N/A,#N/A,FALSE,"TunnD";#N/A,#N/A,FALSE,"CivlD";#N/A,#N/A,FALSE,"NtwkD";#N/A,#N/A,FALSE,"EstgD";#N/A,#N/A,FALSE,"PEngD"}</definedName>
    <definedName name="iklo" localSheetId="8" hidden="1">{#N/A,#N/A,FALSE,"SumD";#N/A,#N/A,FALSE,"ElecD";#N/A,#N/A,FALSE,"MechD";#N/A,#N/A,FALSE,"GeotD";#N/A,#N/A,FALSE,"PrcsD";#N/A,#N/A,FALSE,"TunnD";#N/A,#N/A,FALSE,"CivlD";#N/A,#N/A,FALSE,"NtwkD";#N/A,#N/A,FALSE,"EstgD";#N/A,#N/A,FALSE,"PEngD"}</definedName>
    <definedName name="iklo" hidden="1">{#N/A,#N/A,FALSE,"SumD";#N/A,#N/A,FALSE,"ElecD";#N/A,#N/A,FALSE,"MechD";#N/A,#N/A,FALSE,"GeotD";#N/A,#N/A,FALSE,"PrcsD";#N/A,#N/A,FALSE,"TunnD";#N/A,#N/A,FALSE,"CivlD";#N/A,#N/A,FALSE,"NtwkD";#N/A,#N/A,FALSE,"EstgD";#N/A,#N/A,FALSE,"PEngD"}</definedName>
    <definedName name="ikm">#REF!</definedName>
    <definedName name="ilhgbfh" localSheetId="9" hidden="1">{#N/A,#N/A,TRUE,"1842CWN0"}</definedName>
    <definedName name="ilhgbfh" localSheetId="8" hidden="1">{#N/A,#N/A,TRUE,"1842CWN0"}</definedName>
    <definedName name="ilhgbfh" hidden="1">{#N/A,#N/A,TRUE,"1842CWN0"}</definedName>
    <definedName name="ILNI">#REF!</definedName>
    <definedName name="Ilo">#REF!</definedName>
    <definedName name="imp">#REF!</definedName>
    <definedName name="imp_tableros_ups">#REF!</definedName>
    <definedName name="Importe_parcial">#REF!</definedName>
    <definedName name="IMPRESSION">#REF!</definedName>
    <definedName name="imprimir">#REF!</definedName>
    <definedName name="Imprimir_área_IM">#REF!</definedName>
    <definedName name="Incendio">#REF!</definedName>
    <definedName name="INDICE">#REF!</definedName>
    <definedName name="indice1">#REF!</definedName>
    <definedName name="indices">#REF!</definedName>
    <definedName name="Indifrec">#REF!</definedName>
    <definedName name="inflac">#REF!</definedName>
    <definedName name="inform_basica">#REF!</definedName>
    <definedName name="INFRA_1">#REF!</definedName>
    <definedName name="Ingenieria">#REF!</definedName>
    <definedName name="Ingeniería">#REF!</definedName>
    <definedName name="INI">#REF!</definedName>
    <definedName name="INI_CEMENTO">#REF!</definedName>
    <definedName name="INI_CONCRETOS">#REF!</definedName>
    <definedName name="INI_FORMALETA">#REF!</definedName>
    <definedName name="INI_GRAVA">#REF!</definedName>
    <definedName name="INI_OTROS">#REF!</definedName>
    <definedName name="INICIO">#REF!</definedName>
    <definedName name="INICIORESUMEN">#REF!</definedName>
    <definedName name="IniCObra">#N/A</definedName>
    <definedName name="IniCSup">#N/A</definedName>
    <definedName name="IniItems">#REF!</definedName>
    <definedName name="INPU">#REF!</definedName>
    <definedName name="Input_An">#REF!</definedName>
    <definedName name="Input_Av">#REF!</definedName>
    <definedName name="Inq_ID_No">#REF!</definedName>
    <definedName name="Inq_List">#REF!</definedName>
    <definedName name="INS_ARQ">#REF!</definedName>
    <definedName name="INS_EST">#REF!</definedName>
    <definedName name="INS_GENERAL">#REF!</definedName>
    <definedName name="INS_I.E.">#REF!</definedName>
    <definedName name="INS_I.S.">#REF!</definedName>
    <definedName name="INS_O.P.">#REF!</definedName>
    <definedName name="inst">#REF!</definedName>
    <definedName name="INSTALACIONES_PROVISORIAS_Y_OTROS">#REF!</definedName>
    <definedName name="insu">#REF!</definedName>
    <definedName name="INSUMOS">#REF!</definedName>
    <definedName name="insumos1">#REF!</definedName>
    <definedName name="inte">#REF!</definedName>
    <definedName name="INTER">#REF!</definedName>
    <definedName name="inter1">#REF!</definedName>
    <definedName name="INTERCENTRAL">#REF!</definedName>
    <definedName name="INTERMEDIO">"#REF!"</definedName>
    <definedName name="Internal_Work">#REF!</definedName>
    <definedName name="INTERR">#REF!</definedName>
    <definedName name="INTERRUPTORES">#REF!</definedName>
    <definedName name="IntFreeCred">#REF!</definedName>
    <definedName name="INV_HEAD">#REF!</definedName>
    <definedName name="INV_START">#REF!</definedName>
    <definedName name="InvInc_Equ">#REF!</definedName>
    <definedName name="InvInc_Mat">#REF!</definedName>
    <definedName name="IOIUOUI" localSheetId="9" hidden="1">{#N/A,#N/A,TRUE,"INGENIERIA";#N/A,#N/A,TRUE,"COMPRAS";#N/A,#N/A,TRUE,"DIRECCION";#N/A,#N/A,TRUE,"RESUMEN"}</definedName>
    <definedName name="IOIUOUI" localSheetId="8" hidden="1">{#N/A,#N/A,TRUE,"INGENIERIA";#N/A,#N/A,TRUE,"COMPRAS";#N/A,#N/A,TRUE,"DIRECCION";#N/A,#N/A,TRUE,"RESUMEN"}</definedName>
    <definedName name="IOIUOUI" hidden="1">{#N/A,#N/A,TRUE,"INGENIERIA";#N/A,#N/A,TRUE,"COMPRAS";#N/A,#N/A,TRUE,"DIRECCION";#N/A,#N/A,TRUE,"RESUMEN"}</definedName>
    <definedName name="IoLIST">#REF!</definedName>
    <definedName name="iooll" localSheetId="9" hidden="1">{#N/A,#N/A,TRUE,"INGENIERIA";#N/A,#N/A,TRUE,"COMPRAS";#N/A,#N/A,TRUE,"DIRECCION";#N/A,#N/A,TRUE,"RESUMEN"}</definedName>
    <definedName name="iooll" localSheetId="8" hidden="1">{#N/A,#N/A,TRUE,"INGENIERIA";#N/A,#N/A,TRUE,"COMPRAS";#N/A,#N/A,TRUE,"DIRECCION";#N/A,#N/A,TRUE,"RESUMEN"}</definedName>
    <definedName name="iooll" hidden="1">{#N/A,#N/A,TRUE,"INGENIERIA";#N/A,#N/A,TRUE,"COMPRAS";#N/A,#N/A,TRUE,"DIRECCION";#N/A,#N/A,TRUE,"RESUMEN"}</definedName>
    <definedName name="IPC">#REF!</definedName>
    <definedName name="IS">#REF!</definedName>
    <definedName name="item">#REF!</definedName>
    <definedName name="IU">#REF!</definedName>
    <definedName name="IUC">#REF!</definedName>
    <definedName name="IUN">#REF!</definedName>
    <definedName name="IVA">#REF!</definedName>
    <definedName name="IVA_bienes_importados">#REF!</definedName>
    <definedName name="Ix">#REF!</definedName>
    <definedName name="Ix1f">#REF!</definedName>
    <definedName name="Iy">#REF!</definedName>
    <definedName name="Iz">#REF!</definedName>
    <definedName name="Iz1f">#REF!</definedName>
    <definedName name="J">#REF!</definedName>
    <definedName name="J225Ç">#REF!</definedName>
    <definedName name="j3255ç">#REF!</definedName>
    <definedName name="J330Ç">#REF!</definedName>
    <definedName name="jfxn" localSheetId="9" hidden="1">#REF!</definedName>
    <definedName name="jfxn" localSheetId="8" hidden="1">#REF!</definedName>
    <definedName name="jfxn" hidden="1">#REF!</definedName>
    <definedName name="jh" localSheetId="9" hidden="1">{#N/A,#N/A,FALSE,"SumG";#N/A,#N/A,FALSE,"ElecG";#N/A,#N/A,FALSE,"MechG";#N/A,#N/A,FALSE,"GeotG";#N/A,#N/A,FALSE,"PrcsG";#N/A,#N/A,FALSE,"TunnG";#N/A,#N/A,FALSE,"CivlG";#N/A,#N/A,FALSE,"NtwkG";#N/A,#N/A,FALSE,"EstgG";#N/A,#N/A,FALSE,"PEngG"}</definedName>
    <definedName name="jh" localSheetId="8"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j" localSheetId="9" hidden="1">{#N/A,#N/A,FALSE,"SumG";#N/A,#N/A,FALSE,"ElecG";#N/A,#N/A,FALSE,"MechG";#N/A,#N/A,FALSE,"GeotG";#N/A,#N/A,FALSE,"PrcsG";#N/A,#N/A,FALSE,"TunnG";#N/A,#N/A,FALSE,"CivlG";#N/A,#N/A,FALSE,"NtwkG";#N/A,#N/A,FALSE,"EstgG";#N/A,#N/A,FALSE,"PEngG"}</definedName>
    <definedName name="jjj" localSheetId="8" hidden="1">{#N/A,#N/A,FALSE,"SumG";#N/A,#N/A,FALSE,"ElecG";#N/A,#N/A,FALSE,"MechG";#N/A,#N/A,FALSE,"GeotG";#N/A,#N/A,FALSE,"PrcsG";#N/A,#N/A,FALSE,"TunnG";#N/A,#N/A,FALSE,"CivlG";#N/A,#N/A,FALSE,"NtwkG";#N/A,#N/A,FALSE,"EstgG";#N/A,#N/A,FALSE,"PEngG"}</definedName>
    <definedName name="jjj" hidden="1">{#N/A,#N/A,FALSE,"SumG";#N/A,#N/A,FALSE,"ElecG";#N/A,#N/A,FALSE,"MechG";#N/A,#N/A,FALSE,"GeotG";#N/A,#N/A,FALSE,"PrcsG";#N/A,#N/A,FALSE,"TunnG";#N/A,#N/A,FALSE,"CivlG";#N/A,#N/A,FALSE,"NtwkG";#N/A,#N/A,FALSE,"EstgG";#N/A,#N/A,FALSE,"PEngG"}</definedName>
    <definedName name="JJJJ">#REF!</definedName>
    <definedName name="jjjjj" localSheetId="9" hidden="1">{#N/A,#N/A,FALSE,"SumG";#N/A,#N/A,FALSE,"ElecG";#N/A,#N/A,FALSE,"MechG";#N/A,#N/A,FALSE,"GeotG";#N/A,#N/A,FALSE,"PrcsG";#N/A,#N/A,FALSE,"TunnG";#N/A,#N/A,FALSE,"CivlG";#N/A,#N/A,FALSE,"NtwkG";#N/A,#N/A,FALSE,"EstgG";#N/A,#N/A,FALSE,"PEngG"}</definedName>
    <definedName name="jjjjj" localSheetId="8" hidden="1">{#N/A,#N/A,FALSE,"SumG";#N/A,#N/A,FALSE,"ElecG";#N/A,#N/A,FALSE,"MechG";#N/A,#N/A,FALSE,"GeotG";#N/A,#N/A,FALSE,"PrcsG";#N/A,#N/A,FALSE,"TunnG";#N/A,#N/A,FALSE,"CivlG";#N/A,#N/A,FALSE,"NtwkG";#N/A,#N/A,FALSE,"EstgG";#N/A,#N/A,FALSE,"PEngG"}</definedName>
    <definedName name="jjjjj" hidden="1">{#N/A,#N/A,FALSE,"SumG";#N/A,#N/A,FALSE,"ElecG";#N/A,#N/A,FALSE,"MechG";#N/A,#N/A,FALSE,"GeotG";#N/A,#N/A,FALSE,"PrcsG";#N/A,#N/A,FALSE,"TunnG";#N/A,#N/A,FALSE,"CivlG";#N/A,#N/A,FALSE,"NtwkG";#N/A,#N/A,FALSE,"EstgG";#N/A,#N/A,FALSE,"PEngG"}</definedName>
    <definedName name="jjjjjjj" localSheetId="9" hidden="1">{#N/A,#N/A,FALSE,"SumG";#N/A,#N/A,FALSE,"ElecG";#N/A,#N/A,FALSE,"MechG";#N/A,#N/A,FALSE,"GeotG";#N/A,#N/A,FALSE,"PrcsG";#N/A,#N/A,FALSE,"TunnG";#N/A,#N/A,FALSE,"CivlG";#N/A,#N/A,FALSE,"NtwkG";#N/A,#N/A,FALSE,"EstgG";#N/A,#N/A,FALSE,"PEngG"}</definedName>
    <definedName name="jjjjjjj" localSheetId="8" hidden="1">{#N/A,#N/A,FALSE,"SumG";#N/A,#N/A,FALSE,"ElecG";#N/A,#N/A,FALSE,"MechG";#N/A,#N/A,FALSE,"GeotG";#N/A,#N/A,FALSE,"PrcsG";#N/A,#N/A,FALSE,"TunnG";#N/A,#N/A,FALSE,"CivlG";#N/A,#N/A,FALSE,"NtwkG";#N/A,#N/A,FALSE,"EstgG";#N/A,#N/A,FALSE,"PEngG"}</definedName>
    <definedName name="jjjjjjj" hidden="1">{#N/A,#N/A,FALSE,"SumG";#N/A,#N/A,FALSE,"ElecG";#N/A,#N/A,FALSE,"MechG";#N/A,#N/A,FALSE,"GeotG";#N/A,#N/A,FALSE,"PrcsG";#N/A,#N/A,FALSE,"TunnG";#N/A,#N/A,FALSE,"CivlG";#N/A,#N/A,FALSE,"NtwkG";#N/A,#N/A,FALSE,"EstgG";#N/A,#N/A,FALSE,"PEngG"}</definedName>
    <definedName name="jjjjuu" localSheetId="9" hidden="1">{#N/A,#N/A,FALSE,"SumG";#N/A,#N/A,FALSE,"ElecG";#N/A,#N/A,FALSE,"MechG";#N/A,#N/A,FALSE,"GeotG";#N/A,#N/A,FALSE,"PrcsG";#N/A,#N/A,FALSE,"TunnG";#N/A,#N/A,FALSE,"CivlG";#N/A,#N/A,FALSE,"NtwkG";#N/A,#N/A,FALSE,"EstgG";#N/A,#N/A,FALSE,"PEngG"}</definedName>
    <definedName name="jjjjuu" localSheetId="8" hidden="1">{#N/A,#N/A,FALSE,"SumG";#N/A,#N/A,FALSE,"ElecG";#N/A,#N/A,FALSE,"MechG";#N/A,#N/A,FALSE,"GeotG";#N/A,#N/A,FALSE,"PrcsG";#N/A,#N/A,FALSE,"TunnG";#N/A,#N/A,FALSE,"CivlG";#N/A,#N/A,FALSE,"NtwkG";#N/A,#N/A,FALSE,"EstgG";#N/A,#N/A,FALSE,"PEngG"}</definedName>
    <definedName name="jjjjuu" hidden="1">{#N/A,#N/A,FALSE,"SumG";#N/A,#N/A,FALSE,"ElecG";#N/A,#N/A,FALSE,"MechG";#N/A,#N/A,FALSE,"GeotG";#N/A,#N/A,FALSE,"PrcsG";#N/A,#N/A,FALSE,"TunnG";#N/A,#N/A,FALSE,"CivlG";#N/A,#N/A,FALSE,"NtwkG";#N/A,#N/A,FALSE,"EstgG";#N/A,#N/A,FALSE,"PEngG"}</definedName>
    <definedName name="jkjk">"#REF!"</definedName>
    <definedName name="Jornalero">#REF!</definedName>
    <definedName name="JUCtes.Débiles">#REF!</definedName>
    <definedName name="jujuj">#REF!</definedName>
    <definedName name="K">#REF!</definedName>
    <definedName name="k0">#REF!</definedName>
    <definedName name="k3fix">#REF!</definedName>
    <definedName name="k4fix">#REF!</definedName>
    <definedName name="kbal_">#REF!</definedName>
    <definedName name="KEY" localSheetId="9" hidden="1">#REF!</definedName>
    <definedName name="KEY" localSheetId="8" hidden="1">#REF!</definedName>
    <definedName name="KEY" hidden="1">#REF!</definedName>
    <definedName name="Kh_04a">#REF!</definedName>
    <definedName name="Kh_04b">#REF!</definedName>
    <definedName name="KIE">#REF!</definedName>
    <definedName name="kj" localSheetId="9" hidden="1">#REF!</definedName>
    <definedName name="kj" localSheetId="8" hidden="1">#REF!</definedName>
    <definedName name="kj" hidden="1">#REF!</definedName>
    <definedName name="kjhkj" localSheetId="9"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jp" hidden="1">#REF!</definedName>
    <definedName name="kk" localSheetId="9" hidden="1">{#N/A,#N/A,FALSE,"SumD";#N/A,#N/A,FALSE,"ElecD";#N/A,#N/A,FALSE,"MechD";#N/A,#N/A,FALSE,"GeotD";#N/A,#N/A,FALSE,"PrcsD";#N/A,#N/A,FALSE,"TunnD";#N/A,#N/A,FALSE,"CivlD";#N/A,#N/A,FALSE,"NtwkD";#N/A,#N/A,FALSE,"EstgD";#N/A,#N/A,FALSE,"PEngD"}</definedName>
    <definedName name="kk" localSheetId="8" hidden="1">{#N/A,#N/A,FALSE,"SumD";#N/A,#N/A,FALSE,"ElecD";#N/A,#N/A,FALSE,"MechD";#N/A,#N/A,FALSE,"GeotD";#N/A,#N/A,FALSE,"PrcsD";#N/A,#N/A,FALSE,"TunnD";#N/A,#N/A,FALSE,"CivlD";#N/A,#N/A,FALSE,"NtwkD";#N/A,#N/A,FALSE,"EstgD";#N/A,#N/A,FALSE,"PEngD"}</definedName>
    <definedName name="kk" hidden="1">{#N/A,#N/A,FALSE,"SumD";#N/A,#N/A,FALSE,"ElecD";#N/A,#N/A,FALSE,"MechD";#N/A,#N/A,FALSE,"GeotD";#N/A,#N/A,FALSE,"PrcsD";#N/A,#N/A,FALSE,"TunnD";#N/A,#N/A,FALSE,"CivlD";#N/A,#N/A,FALSE,"NtwkD";#N/A,#N/A,FALSE,"EstgD";#N/A,#N/A,FALSE,"PEngD"}</definedName>
    <definedName name="kkk" localSheetId="9" hidden="1">{#N/A,#N/A,FALSE,"SumG";#N/A,#N/A,FALSE,"ElecG";#N/A,#N/A,FALSE,"MechG";#N/A,#N/A,FALSE,"GeotG";#N/A,#N/A,FALSE,"PrcsG";#N/A,#N/A,FALSE,"TunnG";#N/A,#N/A,FALSE,"CivlG";#N/A,#N/A,FALSE,"NtwkG";#N/A,#N/A,FALSE,"EstgG";#N/A,#N/A,FALSE,"PEngG"}</definedName>
    <definedName name="kkk" localSheetId="8" hidden="1">{#N/A,#N/A,FALSE,"SumG";#N/A,#N/A,FALSE,"ElecG";#N/A,#N/A,FALSE,"MechG";#N/A,#N/A,FALSE,"GeotG";#N/A,#N/A,FALSE,"PrcsG";#N/A,#N/A,FALSE,"TunnG";#N/A,#N/A,FALSE,"CivlG";#N/A,#N/A,FALSE,"NtwkG";#N/A,#N/A,FALSE,"EstgG";#N/A,#N/A,FALSE,"PEngG"}</definedName>
    <definedName name="kkk" hidden="1">{#N/A,#N/A,FALSE,"SumG";#N/A,#N/A,FALSE,"ElecG";#N/A,#N/A,FALSE,"MechG";#N/A,#N/A,FALSE,"GeotG";#N/A,#N/A,FALSE,"PrcsG";#N/A,#N/A,FALSE,"TunnG";#N/A,#N/A,FALSE,"CivlG";#N/A,#N/A,FALSE,"NtwkG";#N/A,#N/A,FALSE,"EstgG";#N/A,#N/A,FALSE,"PEngG"}</definedName>
    <definedName name="kkkk" localSheetId="9" hidden="1">{#N/A,#N/A,FALSE,"WBS 1.06";#N/A,#N/A,FALSE,"WBS 1.14";#N/A,#N/A,FALSE,"WBS 1.17";#N/A,#N/A,FALSE,"WBS 1.18"}</definedName>
    <definedName name="kkkk" localSheetId="8" hidden="1">{#N/A,#N/A,FALSE,"WBS 1.06";#N/A,#N/A,FALSE,"WBS 1.14";#N/A,#N/A,FALSE,"WBS 1.17";#N/A,#N/A,FALSE,"WBS 1.18"}</definedName>
    <definedName name="kkkk" hidden="1">{#N/A,#N/A,FALSE,"WBS 1.06";#N/A,#N/A,FALSE,"WBS 1.14";#N/A,#N/A,FALSE,"WBS 1.17";#N/A,#N/A,FALSE,"WBS 1.18"}</definedName>
    <definedName name="kkkl" localSheetId="9" hidden="1">#REF!</definedName>
    <definedName name="kkkl" localSheetId="8" hidden="1">#REF!</definedName>
    <definedName name="kkkl" hidden="1">#REF!</definedName>
    <definedName name="kL_r_max">#REF!</definedName>
    <definedName name="kL_rx">#REF!</definedName>
    <definedName name="kL_rz">#REF!</definedName>
    <definedName name="klj">"#REF!"</definedName>
    <definedName name="KOM">#REF!</definedName>
    <definedName name="Kp">#REF!</definedName>
    <definedName name="ku">#REF!</definedName>
    <definedName name="kx">#REF!</definedName>
    <definedName name="kz">#REF!</definedName>
    <definedName name="l">#REF!</definedName>
    <definedName name="L.Sociales">#REF!</definedName>
    <definedName name="l_1">#REF!</definedName>
    <definedName name="L_21">#REF!</definedName>
    <definedName name="L_22">#REF!</definedName>
    <definedName name="L_23">#REF!</definedName>
    <definedName name="L_24">#REF!</definedName>
    <definedName name="L_25">#REF!</definedName>
    <definedName name="l_3">#REF!</definedName>
    <definedName name="l_4">#REF!</definedName>
    <definedName name="l_5">#REF!</definedName>
    <definedName name="L_6">#REF!</definedName>
    <definedName name="l_7">#REF!</definedName>
    <definedName name="l_8">#REF!</definedName>
    <definedName name="l_d">#REF!</definedName>
    <definedName name="L_LENGTH">#REF!</definedName>
    <definedName name="L_WIDTH">#REF!</definedName>
    <definedName name="L_x">#REF!</definedName>
    <definedName name="L_x1f">#REF!</definedName>
    <definedName name="L_z">#REF!</definedName>
    <definedName name="L_z1f">#REF!</definedName>
    <definedName name="L1x_m">#REF!</definedName>
    <definedName name="l2_1">#REF!</definedName>
    <definedName name="l2_2">#REF!</definedName>
    <definedName name="labor">#REF!</definedName>
    <definedName name="laca">#REF!</definedName>
    <definedName name="ladrillokk">#REF!</definedName>
    <definedName name="LAST">#REF!</definedName>
    <definedName name="lbv">#REF!</definedName>
    <definedName name="lcaja">#REF!</definedName>
    <definedName name="ldout">#REF!</definedName>
    <definedName name="ldtype">#REF!</definedName>
    <definedName name="le">#REF!</definedName>
    <definedName name="lean">#REF!</definedName>
    <definedName name="lean2">#REF!</definedName>
    <definedName name="lega16">#REF!</definedName>
    <definedName name="length">#REF!</definedName>
    <definedName name="level">#REF!</definedName>
    <definedName name="LEVELS">#REF!</definedName>
    <definedName name="Leyes_Sociales">#REF!</definedName>
    <definedName name="LF">#REF!</definedName>
    <definedName name="lfx">#REF!</definedName>
    <definedName name="lfz">#REF!</definedName>
    <definedName name="LICITACION">#REF!</definedName>
    <definedName name="limcount" hidden="1">1</definedName>
    <definedName name="LINE1">#REF!</definedName>
    <definedName name="Liqgas">#REF!</definedName>
    <definedName name="liquid">#REF!</definedName>
    <definedName name="LISTA">#REF!</definedName>
    <definedName name="LISTADO">#REF!</definedName>
    <definedName name="lk" localSheetId="9" hidden="1">#REF!</definedName>
    <definedName name="lk" localSheetId="8" hidden="1">#REF!</definedName>
    <definedName name="lk" hidden="1">#REF!</definedName>
    <definedName name="lkiplkik">#REF!</definedName>
    <definedName name="LKL" localSheetId="9"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9" hidden="1">{#N/A,#N/A,FALSE,"SumG";#N/A,#N/A,FALSE,"ElecG";#N/A,#N/A,FALSE,"MechG";#N/A,#N/A,FALSE,"GeotG";#N/A,#N/A,FALSE,"PrcsG";#N/A,#N/A,FALSE,"TunnG";#N/A,#N/A,FALSE,"CivlG";#N/A,#N/A,FALSE,"NtwkG";#N/A,#N/A,FALSE,"EstgG";#N/A,#N/A,FALSE,"PEngG"}</definedName>
    <definedName name="ll" localSheetId="8" hidden="1">{#N/A,#N/A,FALSE,"SumG";#N/A,#N/A,FALSE,"ElecG";#N/A,#N/A,FALSE,"MechG";#N/A,#N/A,FALSE,"GeotG";#N/A,#N/A,FALSE,"PrcsG";#N/A,#N/A,FALSE,"TunnG";#N/A,#N/A,FALSE,"CivlG";#N/A,#N/A,FALSE,"NtwkG";#N/A,#N/A,FALSE,"EstgG";#N/A,#N/A,FALSE,"PEngG"}</definedName>
    <definedName name="ll" hidden="1">{#N/A,#N/A,FALSE,"SumG";#N/A,#N/A,FALSE,"ElecG";#N/A,#N/A,FALSE,"MechG";#N/A,#N/A,FALSE,"GeotG";#N/A,#N/A,FALSE,"PrcsG";#N/A,#N/A,FALSE,"TunnG";#N/A,#N/A,FALSE,"CivlG";#N/A,#N/A,FALSE,"NtwkG";#N/A,#N/A,FALSE,"EstgG";#N/A,#N/A,FALSE,"PEngG"}</definedName>
    <definedName name="Llega11">#REF!</definedName>
    <definedName name="lLEGA13">#REF!</definedName>
    <definedName name="Llega16">#REF!</definedName>
    <definedName name="Llega18">#REF!</definedName>
    <definedName name="Llega21">#REF!</definedName>
    <definedName name="Llega22a21">#REF!</definedName>
    <definedName name="Llega22a23">#REF!</definedName>
    <definedName name="Llega22a24">#REF!</definedName>
    <definedName name="Llega22a30">#REF!</definedName>
    <definedName name="Llega24">#REF!</definedName>
    <definedName name="Llega26">#REF!</definedName>
    <definedName name="Llega28">#REF!</definedName>
    <definedName name="Llega41">#REF!</definedName>
    <definedName name="llega5">#REF!</definedName>
    <definedName name="Llega5150">#REF!</definedName>
    <definedName name="LLEGA8">#REF!</definedName>
    <definedName name="LlegaB2">#REF!</definedName>
    <definedName name="LLegal5">#REF!</definedName>
    <definedName name="lll">#REF!</definedName>
    <definedName name="llll" localSheetId="9" hidden="1">{#N/A,#N/A,FALSE,"SumG";#N/A,#N/A,FALSE,"ElecG";#N/A,#N/A,FALSE,"MechG";#N/A,#N/A,FALSE,"GeotG";#N/A,#N/A,FALSE,"PrcsG";#N/A,#N/A,FALSE,"TunnG";#N/A,#N/A,FALSE,"CivlG";#N/A,#N/A,FALSE,"NtwkG";#N/A,#N/A,FALSE,"EstgG";#N/A,#N/A,FALSE,"PEngG"}</definedName>
    <definedName name="llll" localSheetId="8" hidden="1">{#N/A,#N/A,FALSE,"SumG";#N/A,#N/A,FALSE,"ElecG";#N/A,#N/A,FALSE,"MechG";#N/A,#N/A,FALSE,"GeotG";#N/A,#N/A,FALSE,"PrcsG";#N/A,#N/A,FALSE,"TunnG";#N/A,#N/A,FALSE,"CivlG";#N/A,#N/A,FALSE,"NtwkG";#N/A,#N/A,FALSE,"EstgG";#N/A,#N/A,FALSE,"PEngG"}</definedName>
    <definedName name="llll" hidden="1">{#N/A,#N/A,FALSE,"SumG";#N/A,#N/A,FALSE,"ElecG";#N/A,#N/A,FALSE,"MechG";#N/A,#N/A,FALSE,"GeotG";#N/A,#N/A,FALSE,"PrcsG";#N/A,#N/A,FALSE,"TunnG";#N/A,#N/A,FALSE,"CivlG";#N/A,#N/A,FALSE,"NtwkG";#N/A,#N/A,FALSE,"EstgG";#N/A,#N/A,FALSE,"PEngG"}</definedName>
    <definedName name="llllkk" localSheetId="9" hidden="1">{#N/A,#N/A,FALSE,"Pricing";#N/A,#N/A,FALSE,"Summary";#N/A,#N/A,FALSE,"CompProd";#N/A,#N/A,FALSE,"CompJobhrs";#N/A,#N/A,FALSE,"Escalation";#N/A,#N/A,FALSE,"Contingency";#N/A,#N/A,FALSE,"GM";#N/A,#N/A,FALSE,"CompWage";#N/A,#N/A,FALSE,"costSum"}</definedName>
    <definedName name="llllkk" localSheetId="8" hidden="1">{#N/A,#N/A,FALSE,"Pricing";#N/A,#N/A,FALSE,"Summary";#N/A,#N/A,FALSE,"CompProd";#N/A,#N/A,FALSE,"CompJobhrs";#N/A,#N/A,FALSE,"Escalation";#N/A,#N/A,FALSE,"Contingency";#N/A,#N/A,FALSE,"GM";#N/A,#N/A,FALSE,"CompWage";#N/A,#N/A,FALSE,"costSum"}</definedName>
    <definedName name="llllkk" hidden="1">{#N/A,#N/A,FALSE,"Pricing";#N/A,#N/A,FALSE,"Summary";#N/A,#N/A,FALSE,"CompProd";#N/A,#N/A,FALSE,"CompJobhrs";#N/A,#N/A,FALSE,"Escalation";#N/A,#N/A,FALSE,"Contingency";#N/A,#N/A,FALSE,"GM";#N/A,#N/A,FALSE,"CompWage";#N/A,#N/A,FALSE,"costSum"}</definedName>
    <definedName name="lllllllllllllllllll">#REF!</definedName>
    <definedName name="LM2SOTANO">#REF!</definedName>
    <definedName name="LM3SOTANO">#REF!</definedName>
    <definedName name="loadtable">#REF!</definedName>
    <definedName name="LOCATARIOS">#REF!</definedName>
    <definedName name="loik" localSheetId="9" hidden="1">{#N/A,#N/A,FALSE,"SumD";#N/A,#N/A,FALSE,"ElecD";#N/A,#N/A,FALSE,"MechD";#N/A,#N/A,FALSE,"GeotD";#N/A,#N/A,FALSE,"PrcsD";#N/A,#N/A,FALSE,"TunnD";#N/A,#N/A,FALSE,"CivlD";#N/A,#N/A,FALSE,"NtwkD";#N/A,#N/A,FALSE,"EstgD";#N/A,#N/A,FALSE,"PEngD"}</definedName>
    <definedName name="loik" localSheetId="8" hidden="1">{#N/A,#N/A,FALSE,"SumD";#N/A,#N/A,FALSE,"ElecD";#N/A,#N/A,FALSE,"MechD";#N/A,#N/A,FALSE,"GeotD";#N/A,#N/A,FALSE,"PrcsD";#N/A,#N/A,FALSE,"TunnD";#N/A,#N/A,FALSE,"CivlD";#N/A,#N/A,FALSE,"NtwkD";#N/A,#N/A,FALSE,"EstgD";#N/A,#N/A,FALSE,"PEngD"}</definedName>
    <definedName name="loik" hidden="1">{#N/A,#N/A,FALSE,"SumD";#N/A,#N/A,FALSE,"ElecD";#N/A,#N/A,FALSE,"MechD";#N/A,#N/A,FALSE,"GeotD";#N/A,#N/A,FALSE,"PrcsD";#N/A,#N/A,FALSE,"TunnD";#N/A,#N/A,FALSE,"CivlD";#N/A,#N/A,FALSE,"NtwkD";#N/A,#N/A,FALSE,"EstgD";#N/A,#N/A,FALSE,"PEngD"}</definedName>
    <definedName name="LONG">#REF!</definedName>
    <definedName name="los.cist1">#REF!</definedName>
    <definedName name="LOSA" localSheetId="9" hidden="1">#REF!</definedName>
    <definedName name="LOSA" localSheetId="8" hidden="1">#REF!</definedName>
    <definedName name="LOSA" hidden="1">#REF!</definedName>
    <definedName name="losa.cist">#REF!</definedName>
    <definedName name="losa.Cister">#REF!</definedName>
    <definedName name="losa.Est">#REF!</definedName>
    <definedName name="losa.piso">#REF!</definedName>
    <definedName name="losa.pisoE">#REF!</definedName>
    <definedName name="losa15">#REF!</definedName>
    <definedName name="losa20">#REF!</definedName>
    <definedName name="losa25">#REF!</definedName>
    <definedName name="losaascensor">#REF!</definedName>
    <definedName name="LP">#REF!</definedName>
    <definedName name="lpm" localSheetId="9" hidden="1">#REF!</definedName>
    <definedName name="lpm" localSheetId="8" hidden="1">#REF!</definedName>
    <definedName name="lpm" hidden="1">#REF!</definedName>
    <definedName name="LRP" localSheetId="9" hidden="1">{"CONCABL1.1",#N/A,FALSE,"1.1.1a1.1.3 ACSR";"AISL1.2",#N/A,FALSE,"1.1.1a1.1.3 ACSR";"torr1.1.3",#N/A,FALSE,"1.1.1a1.1.3 ACSR";"cm1.2",#N/A,FALSE,"1.2 ACSR";"cm2.2",#N/A,FALSE,"1.2 ACSR";#N/A,#N/A,FALSE,"1.3 ACSR";#N/A,#N/A,FALSE,"2.1.1A2.1.3 ACAR";"ac2.1",#N/A,FALSE,"1.2 ACAR";"ac2.2",#N/A,FALSE,"1.2 ACAR";#N/A,#N/A,FALSE,"2.3 ACAR"}</definedName>
    <definedName name="LRP" localSheetId="8" hidden="1">{"CONCABL1.1",#N/A,FALSE,"1.1.1a1.1.3 ACSR";"AISL1.2",#N/A,FALSE,"1.1.1a1.1.3 ACSR";"torr1.1.3",#N/A,FALSE,"1.1.1a1.1.3 ACSR";"cm1.2",#N/A,FALSE,"1.2 ACSR";"cm2.2",#N/A,FALSE,"1.2 ACSR";#N/A,#N/A,FALSE,"1.3 ACSR";#N/A,#N/A,FALSE,"2.1.1A2.1.3 ACAR";"ac2.1",#N/A,FALSE,"1.2 ACAR";"ac2.2",#N/A,FALSE,"1.2 ACAR";#N/A,#N/A,FALSE,"2.3 ACAR"}</definedName>
    <definedName name="LRP" hidden="1">{"CONCABL1.1",#N/A,FALSE,"1.1.1a1.1.3 ACSR";"AISL1.2",#N/A,FALSE,"1.1.1a1.1.3 ACSR";"torr1.1.3",#N/A,FALSE,"1.1.1a1.1.3 ACSR";"cm1.2",#N/A,FALSE,"1.2 ACSR";"cm2.2",#N/A,FALSE,"1.2 ACSR";#N/A,#N/A,FALSE,"1.3 ACSR";#N/A,#N/A,FALSE,"2.1.1A2.1.3 ACAR";"ac2.1",#N/A,FALSE,"1.2 ACAR";"ac2.2",#N/A,FALSE,"1.2 ACAR";#N/A,#N/A,FALSE,"2.3 ACAR"}</definedName>
    <definedName name="LS">#REF!</definedName>
    <definedName name="lu">#REF!</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UM_70">#REF!</definedName>
    <definedName name="lunch">#REF!</definedName>
    <definedName name="LWSALES">#REF!</definedName>
    <definedName name="Lx">#REF!</definedName>
    <definedName name="Lx__cm">#REF!</definedName>
    <definedName name="Lx1_m">#REF!</definedName>
    <definedName name="Lx1f">#REF!</definedName>
    <definedName name="Lx1f_">#REF!</definedName>
    <definedName name="Lxi">#REF!</definedName>
    <definedName name="Ly">#REF!</definedName>
    <definedName name="LYBin">#REF!</definedName>
    <definedName name="LYHolds">#REF!</definedName>
    <definedName name="Lyi">#REF!</definedName>
    <definedName name="LYNet">#REF!</definedName>
    <definedName name="LYoos">#REF!</definedName>
    <definedName name="LYReselects">#REF!</definedName>
    <definedName name="LYReturns">#REF!</definedName>
    <definedName name="LYSales">#REF!</definedName>
    <definedName name="LYTotal">#REF!</definedName>
    <definedName name="Lz">#REF!</definedName>
    <definedName name="Lz__cm">#REF!</definedName>
    <definedName name="Lz1_m">#REF!</definedName>
    <definedName name="Lz1f">#REF!</definedName>
    <definedName name="Lz1f_">#REF!</definedName>
    <definedName name="M">#REF!</definedName>
    <definedName name="m_1">#REF!</definedName>
    <definedName name="M_A_L_G_A">#N/A</definedName>
    <definedName name="M_est._X">#REF!</definedName>
    <definedName name="M_L_N_G">#N/A</definedName>
    <definedName name="m_obra">#REF!</definedName>
    <definedName name="M_P_D_P">#N/A</definedName>
    <definedName name="M_v_tot2">#REF!</definedName>
    <definedName name="m_x">#REF!</definedName>
    <definedName name="m_y">#REF!</definedName>
    <definedName name="m_z">#REF!</definedName>
    <definedName name="ma">#REF!</definedName>
    <definedName name="macw">#REF!</definedName>
    <definedName name="Madera">#REF!</definedName>
    <definedName name="MAESTRO">#REF!</definedName>
    <definedName name="Maestro_1__Estructuras">#REF!</definedName>
    <definedName name="Maestro_2">#REF!</definedName>
    <definedName name="Maestro_Mayor_Estructuras">#REF!</definedName>
    <definedName name="Maestro_Obra_Gruesa">#REF!</definedName>
    <definedName name="Maestro_Terminación">#REF!</definedName>
    <definedName name="Maestro1__Cañerías_Piping">#REF!</definedName>
    <definedName name="MaestroMayor_Cañerías_Mecánica">#REF!</definedName>
    <definedName name="MALLAS">#REF!</definedName>
    <definedName name="Mamparas">#REF!</definedName>
    <definedName name="MANF10">#REF!</definedName>
    <definedName name="MANF11">#REF!</definedName>
    <definedName name="MANF13">#REF!</definedName>
    <definedName name="MANF14">#REF!</definedName>
    <definedName name="MANF15">#REF!</definedName>
    <definedName name="MANF16">#REF!</definedName>
    <definedName name="MANF17">#REF!</definedName>
    <definedName name="MANF18">#REF!</definedName>
    <definedName name="MANF19">#REF!</definedName>
    <definedName name="MANF20">#REF!</definedName>
    <definedName name="MANF21">#REF!</definedName>
    <definedName name="MANF22">#REF!</definedName>
    <definedName name="MANF23">#REF!</definedName>
    <definedName name="MANF24">#REF!</definedName>
    <definedName name="MANF25">#REF!</definedName>
    <definedName name="MANF60">#REF!</definedName>
    <definedName name="MANF70">#REF!</definedName>
    <definedName name="MANF80">#REF!</definedName>
    <definedName name="MANF89">#REF!</definedName>
    <definedName name="MANF90">#REF!</definedName>
    <definedName name="MANO_DE_OBRA">#REF!</definedName>
    <definedName name="manobra">#REF!</definedName>
    <definedName name="Manodeobra">#REF!</definedName>
    <definedName name="Manual_An">#REF!</definedName>
    <definedName name="Manual_Av">#REF!</definedName>
    <definedName name="many">#REF!</definedName>
    <definedName name="MAQUINARIA">#REF!</definedName>
    <definedName name="MARCOSMADERA">#REF!</definedName>
    <definedName name="MARCOSMETALICOS">#REF!</definedName>
    <definedName name="MARGINPLAN">#REF!</definedName>
    <definedName name="MARGINPROJ">#REF!</definedName>
    <definedName name="MARI">#REF!</definedName>
    <definedName name="MARTES">#REF!</definedName>
    <definedName name="martillo">#REF!</definedName>
    <definedName name="martillohilti">#REF!</definedName>
    <definedName name="mas">#REF!</definedName>
    <definedName name="masillado">#REF!</definedName>
    <definedName name="MASTER">#REF!</definedName>
    <definedName name="MAT">#REF!</definedName>
    <definedName name="mater">#REF!</definedName>
    <definedName name="mater1">#REF!</definedName>
    <definedName name="Material">#REF!</definedName>
    <definedName name="materiales">#REF!</definedName>
    <definedName name="MATPX">#REF!</definedName>
    <definedName name="MATRIZ">#REF!</definedName>
    <definedName name="maxcoeff">#REF!</definedName>
    <definedName name="MaxCV">#REF!</definedName>
    <definedName name="MaxQ">#REF!</definedName>
    <definedName name="maxstart1">#REF!</definedName>
    <definedName name="maxstart2">#REF!</definedName>
    <definedName name="maxstart3">#REF!</definedName>
    <definedName name="maxstart4">#REF!</definedName>
    <definedName name="maxstart5">#REF!</definedName>
    <definedName name="MC_Date">#REF!</definedName>
    <definedName name="MCObra">#N/A</definedName>
    <definedName name="mcr">#REF!</definedName>
    <definedName name="MCSup">#N/A</definedName>
    <definedName name="md3fx1fr_rec">#REF!</definedName>
    <definedName name="md3fx1fr_tri">#REF!</definedName>
    <definedName name="md3fx1hg_rec">#REF!</definedName>
    <definedName name="md3fx1hg_tri">#REF!</definedName>
    <definedName name="md4fx_rec">#REF!</definedName>
    <definedName name="md4fx_semitri">#REF!</definedName>
    <definedName name="md4fx_tri">#REF!</definedName>
    <definedName name="MDC">#REF!</definedName>
    <definedName name="MDDH">#REF!</definedName>
    <definedName name="MDM">#REF!</definedName>
    <definedName name="ME">#REF!</definedName>
    <definedName name="Meact">#REF!</definedName>
    <definedName name="Mepas">#REF!</definedName>
    <definedName name="Mes">#REF!</definedName>
    <definedName name="meses">#REF!</definedName>
    <definedName name="MesProceso">#REF!</definedName>
    <definedName name="Mest._Z">#REF!</definedName>
    <definedName name="MET">#REF!</definedName>
    <definedName name="METRADO">#REF!</definedName>
    <definedName name="METRADO_MUEBLES_COCINA" localSheetId="9" hidden="1">#REF!</definedName>
    <definedName name="METRADO_MUEBLES_COCINA" localSheetId="8" hidden="1">#REF!</definedName>
    <definedName name="METRADO_MUEBLES_COCINA" hidden="1">#REF!</definedName>
    <definedName name="METRADOR">#REF!</definedName>
    <definedName name="METRADORR">#REF!</definedName>
    <definedName name="metrados">#REF!</definedName>
    <definedName name="METRCERCO">#REF!</definedName>
    <definedName name="METRCERCO1">#REF!</definedName>
    <definedName name="mezcladora">#REF!</definedName>
    <definedName name="mg">#REF!</definedName>
    <definedName name="MGG">#REF!</definedName>
    <definedName name="Mh">#REF!</definedName>
    <definedName name="mhdl">#REF!</definedName>
    <definedName name="mhdl1">#REF!</definedName>
    <definedName name="mhel">#REF!</definedName>
    <definedName name="mhel1">#REF!</definedName>
    <definedName name="mhel2">#REF!</definedName>
    <definedName name="mhel3">#REF!</definedName>
    <definedName name="mhjkjl">#REF!</definedName>
    <definedName name="mhll">#REF!</definedName>
    <definedName name="mhll1">#REF!</definedName>
    <definedName name="mhpe1">#REF!</definedName>
    <definedName name="mhpe2">#REF!</definedName>
    <definedName name="mhpw">#REF!</definedName>
    <definedName name="mhq">#REF!</definedName>
    <definedName name="mhw">#REF!</definedName>
    <definedName name="MI">#REF!</definedName>
    <definedName name="MIERCOLES">#REF!</definedName>
    <definedName name="MILES">#REF!</definedName>
    <definedName name="Min_Tie">#REF!</definedName>
    <definedName name="mirko">#REF!</definedName>
    <definedName name="MIT">#REF!</definedName>
    <definedName name="mjhg">#REF!</definedName>
    <definedName name="mjnhgb" localSheetId="9" hidden="1">{#N/A,#N/A,FALSE,"Pricing";#N/A,#N/A,FALSE,"Summary";#N/A,#N/A,FALSE,"CompProd";#N/A,#N/A,FALSE,"CompJobhrs";#N/A,#N/A,FALSE,"Escalation";#N/A,#N/A,FALSE,"Contingency";#N/A,#N/A,FALSE,"GM";#N/A,#N/A,FALSE,"CompWage";#N/A,#N/A,FALSE,"costSum"}</definedName>
    <definedName name="mjnhgb" localSheetId="8" hidden="1">{#N/A,#N/A,FALSE,"Pricing";#N/A,#N/A,FALSE,"Summary";#N/A,#N/A,FALSE,"CompProd";#N/A,#N/A,FALSE,"CompJobhrs";#N/A,#N/A,FALSE,"Escalation";#N/A,#N/A,FALSE,"Contingency";#N/A,#N/A,FALSE,"GM";#N/A,#N/A,FALSE,"CompWage";#N/A,#N/A,FALSE,"costSum"}</definedName>
    <definedName name="mjnhgb" hidden="1">{#N/A,#N/A,FALSE,"Pricing";#N/A,#N/A,FALSE,"Summary";#N/A,#N/A,FALSE,"CompProd";#N/A,#N/A,FALSE,"CompJobhrs";#N/A,#N/A,FALSE,"Escalation";#N/A,#N/A,FALSE,"Contingency";#N/A,#N/A,FALSE,"GM";#N/A,#N/A,FALSE,"CompWage";#N/A,#N/A,FALSE,"costSum"}</definedName>
    <definedName name="mlogmacros">#REF!</definedName>
    <definedName name="mm">#REF!</definedName>
    <definedName name="MmExcelLinker_3DC278F3_931A_42C7_A2D7_C35D5C43475D" localSheetId="9">Flujo #REF!</definedName>
    <definedName name="MmExcelLinker_3DC278F3_931A_42C7_A2D7_C35D5C43475D">Flujo #REF!</definedName>
    <definedName name="mmghg" localSheetId="9" hidden="1">{#N/A,#N/A,FALSE,"SumD";#N/A,#N/A,FALSE,"ElecD";#N/A,#N/A,FALSE,"MechD";#N/A,#N/A,FALSE,"GeotD";#N/A,#N/A,FALSE,"PrcsD";#N/A,#N/A,FALSE,"TunnD";#N/A,#N/A,FALSE,"CivlD";#N/A,#N/A,FALSE,"NtwkD";#N/A,#N/A,FALSE,"EstgD";#N/A,#N/A,FALSE,"PEngD"}</definedName>
    <definedName name="mmghg" localSheetId="8" hidden="1">{#N/A,#N/A,FALSE,"SumD";#N/A,#N/A,FALSE,"ElecD";#N/A,#N/A,FALSE,"MechD";#N/A,#N/A,FALSE,"GeotD";#N/A,#N/A,FALSE,"PrcsD";#N/A,#N/A,FALSE,"TunnD";#N/A,#N/A,FALSE,"CivlD";#N/A,#N/A,FALSE,"NtwkD";#N/A,#N/A,FALSE,"EstgD";#N/A,#N/A,FALSE,"PEngD"}</definedName>
    <definedName name="mmghg" hidden="1">{#N/A,#N/A,FALSE,"SumD";#N/A,#N/A,FALSE,"ElecD";#N/A,#N/A,FALSE,"MechD";#N/A,#N/A,FALSE,"GeotD";#N/A,#N/A,FALSE,"PrcsD";#N/A,#N/A,FALSE,"TunnD";#N/A,#N/A,FALSE,"CivlD";#N/A,#N/A,FALSE,"NtwkD";#N/A,#N/A,FALSE,"EstgD";#N/A,#N/A,FALSE,"PEngD"}</definedName>
    <definedName name="mmm" localSheetId="9" hidden="1">{#N/A,#N/A,FALSE,"SumD";#N/A,#N/A,FALSE,"ElecD";#N/A,#N/A,FALSE,"MechD";#N/A,#N/A,FALSE,"GeotD";#N/A,#N/A,FALSE,"PrcsD";#N/A,#N/A,FALSE,"TunnD";#N/A,#N/A,FALSE,"CivlD";#N/A,#N/A,FALSE,"NtwkD";#N/A,#N/A,FALSE,"EstgD";#N/A,#N/A,FALSE,"PEngD"}</definedName>
    <definedName name="mmm" localSheetId="8" hidden="1">{#N/A,#N/A,FALSE,"SumD";#N/A,#N/A,FALSE,"ElecD";#N/A,#N/A,FALSE,"MechD";#N/A,#N/A,FALSE,"GeotD";#N/A,#N/A,FALSE,"PrcsD";#N/A,#N/A,FALSE,"TunnD";#N/A,#N/A,FALSE,"CivlD";#N/A,#N/A,FALSE,"NtwkD";#N/A,#N/A,FALSE,"EstgD";#N/A,#N/A,FALSE,"PEngD"}</definedName>
    <definedName name="MMM" hidden="1">#REF!</definedName>
    <definedName name="mmmm" localSheetId="9" hidden="1">{#N/A,#N/A,FALSE,"SumG";#N/A,#N/A,FALSE,"ElecG";#N/A,#N/A,FALSE,"MechG";#N/A,#N/A,FALSE,"GeotG";#N/A,#N/A,FALSE,"PrcsG";#N/A,#N/A,FALSE,"TunnG";#N/A,#N/A,FALSE,"CivlG";#N/A,#N/A,FALSE,"NtwkG";#N/A,#N/A,FALSE,"EstgG";#N/A,#N/A,FALSE,"PEngG"}</definedName>
    <definedName name="mmmm" localSheetId="8" hidden="1">{#N/A,#N/A,FALSE,"SumG";#N/A,#N/A,FALSE,"ElecG";#N/A,#N/A,FALSE,"MechG";#N/A,#N/A,FALSE,"GeotG";#N/A,#N/A,FALSE,"PrcsG";#N/A,#N/A,FALSE,"TunnG";#N/A,#N/A,FALSE,"CivlG";#N/A,#N/A,FALSE,"NtwkG";#N/A,#N/A,FALSE,"EstgG";#N/A,#N/A,FALSE,"PEngG"}</definedName>
    <definedName name="mmmm" hidden="1">{#N/A,#N/A,FALSE,"SumG";#N/A,#N/A,FALSE,"ElecG";#N/A,#N/A,FALSE,"MechG";#N/A,#N/A,FALSE,"GeotG";#N/A,#N/A,FALSE,"PrcsG";#N/A,#N/A,FALSE,"TunnG";#N/A,#N/A,FALSE,"CivlG";#N/A,#N/A,FALSE,"NtwkG";#N/A,#N/A,FALSE,"EstgG";#N/A,#N/A,FALSE,"PEngG"}</definedName>
    <definedName name="mmmmm" localSheetId="9" hidden="1">{#N/A,#N/A,FALSE,"SumG";#N/A,#N/A,FALSE,"ElecG";#N/A,#N/A,FALSE,"MechG";#N/A,#N/A,FALSE,"GeotG";#N/A,#N/A,FALSE,"PrcsG";#N/A,#N/A,FALSE,"TunnG";#N/A,#N/A,FALSE,"CivlG";#N/A,#N/A,FALSE,"NtwkG";#N/A,#N/A,FALSE,"EstgG";#N/A,#N/A,FALSE,"PEngG"}</definedName>
    <definedName name="mmmmm" localSheetId="8" hidden="1">{#N/A,#N/A,FALSE,"SumG";#N/A,#N/A,FALSE,"ElecG";#N/A,#N/A,FALSE,"MechG";#N/A,#N/A,FALSE,"GeotG";#N/A,#N/A,FALSE,"PrcsG";#N/A,#N/A,FALSE,"TunnG";#N/A,#N/A,FALSE,"CivlG";#N/A,#N/A,FALSE,"NtwkG";#N/A,#N/A,FALSE,"EstgG";#N/A,#N/A,FALSE,"PEngG"}</definedName>
    <definedName name="mmmmm" hidden="1">{#N/A,#N/A,FALSE,"SumG";#N/A,#N/A,FALSE,"ElecG";#N/A,#N/A,FALSE,"MechG";#N/A,#N/A,FALSE,"GeotG";#N/A,#N/A,FALSE,"PrcsG";#N/A,#N/A,FALSE,"TunnG";#N/A,#N/A,FALSE,"CivlG";#N/A,#N/A,FALSE,"NtwkG";#N/A,#N/A,FALSE,"EstgG";#N/A,#N/A,FALSE,"PEngG"}</definedName>
    <definedName name="mmmmmmmmmmmmmm">#REF!</definedName>
    <definedName name="MNI">#REF!</definedName>
    <definedName name="MO">#REF!</definedName>
    <definedName name="MO.">#REF!</definedName>
    <definedName name="MOAC">#REF!</definedName>
    <definedName name="MOBRA">#REF!</definedName>
    <definedName name="MOBRA1">#REF!</definedName>
    <definedName name="MODO.CIM">#REF!</definedName>
    <definedName name="ModObra">#REF!</definedName>
    <definedName name="Module_11">#REF!</definedName>
    <definedName name="moe">#REF!</definedName>
    <definedName name="mohamad">#REF!</definedName>
    <definedName name="Mollendo">#REF!</definedName>
    <definedName name="molñp">#REF!</definedName>
    <definedName name="mon">#REF!</definedName>
    <definedName name="Moneda">#REF!</definedName>
    <definedName name="MonPlazo">#N/A</definedName>
    <definedName name="MONTAJE">#REF!</definedName>
    <definedName name="Month_Curr">#REF!</definedName>
    <definedName name="Month_next">#REF!</definedName>
    <definedName name="Month_Prev_1">#REF!</definedName>
    <definedName name="Month_prev_2">#REF!</definedName>
    <definedName name="MONTO">#REF!</definedName>
    <definedName name="Monto_Anticipo">#REF!</definedName>
    <definedName name="Monto_Contrato">#REF!</definedName>
    <definedName name="Monto_Total">#REF!</definedName>
    <definedName name="mop">#REF!</definedName>
    <definedName name="Moquegua">#REF!</definedName>
    <definedName name="MOT_ALIM">#REF!</definedName>
    <definedName name="MOT_CAL_A_F">#REF!</definedName>
    <definedName name="MOT_CAL_A_T_D">#REF!</definedName>
    <definedName name="MOT_CAL_D_C_G">#REF!</definedName>
    <definedName name="MOT_CAL_E">#REF!</definedName>
    <definedName name="MOT_CAL_EG">#REF!</definedName>
    <definedName name="MOT_CAL_H">#REF!</definedName>
    <definedName name="MOT_CAL_T_P">#REF!</definedName>
    <definedName name="MOT_CAL_T_S">#REF!</definedName>
    <definedName name="MOT_CAL_TG">#REF!</definedName>
    <definedName name="MOT_CAL_TM">#REF!</definedName>
    <definedName name="MOT_CHANC">#REF!</definedName>
    <definedName name="MOT_COKE">#REF!</definedName>
    <definedName name="MOT_COKE1">#REF!</definedName>
    <definedName name="MOT_DESC">#REF!</definedName>
    <definedName name="MOT_DESPA">#REF!</definedName>
    <definedName name="Mov_Faena">#REF!</definedName>
    <definedName name="Movilización">NA()</definedName>
    <definedName name="MPMOB">#REF!</definedName>
    <definedName name="MR_Class">#REF!</definedName>
    <definedName name="MRObra">#N/A</definedName>
    <definedName name="MRSup">#REF!</definedName>
    <definedName name="Ms">#REF!</definedName>
    <definedName name="msf">#REF!</definedName>
    <definedName name="mso">#REF!</definedName>
    <definedName name="MT">#REF!</definedName>
    <definedName name="MTL">#REF!</definedName>
    <definedName name="MtoCal">#REF!</definedName>
    <definedName name="Mtotal">#REF!</definedName>
    <definedName name="MtoxInfoFin">#N/A</definedName>
    <definedName name="MtoxPlazo">#N/A</definedName>
    <definedName name="mub">#REF!</definedName>
    <definedName name="Mufx">#REF!</definedName>
    <definedName name="Mufz">#REF!</definedName>
    <definedName name="MULA">#REF!</definedName>
    <definedName name="MULTA">#REF!</definedName>
    <definedName name="MURO">#REF!</definedName>
    <definedName name="mut">#REF!</definedName>
    <definedName name="Mux_m">#REF!</definedName>
    <definedName name="Mux_ped">#REF!</definedName>
    <definedName name="Muz_m">#REF!</definedName>
    <definedName name="Muz_ped">#REF!</definedName>
    <definedName name="Muz_pedes">#REF!</definedName>
    <definedName name="Mv">#REF!</definedName>
    <definedName name="Mv_total">#REF!</definedName>
    <definedName name="mvdl">#REF!</definedName>
    <definedName name="mvdl1">#REF!</definedName>
    <definedName name="mvel">#REF!</definedName>
    <definedName name="mvel1">#REF!</definedName>
    <definedName name="mvel2">#REF!</definedName>
    <definedName name="mvel3">#REF!</definedName>
    <definedName name="mvll">#REF!</definedName>
    <definedName name="mvll1">#REF!</definedName>
    <definedName name="mvpe1">#REF!</definedName>
    <definedName name="mvpe2">#REF!</definedName>
    <definedName name="mvpw">#REF!</definedName>
    <definedName name="mvq">#REF!</definedName>
    <definedName name="mvw">#REF!</definedName>
    <definedName name="mw">#REF!</definedName>
    <definedName name="mwf">#REF!</definedName>
    <definedName name="Mx">#REF!</definedName>
    <definedName name="Mx_1">#REF!</definedName>
    <definedName name="Mx2_L2">#REF!</definedName>
    <definedName name="Mxq">#REF!</definedName>
    <definedName name="Mxw">#REF!</definedName>
    <definedName name="My">#REF!</definedName>
    <definedName name="Myq">#REF!</definedName>
    <definedName name="mytuy">#REF!</definedName>
    <definedName name="Myw">#REF!</definedName>
    <definedName name="Mz">#REF!</definedName>
    <definedName name="Mz_1">#REF!</definedName>
    <definedName name="Mz1_L1">#REF!</definedName>
    <definedName name="Mz2_L2">#REF!</definedName>
    <definedName name="N" localSheetId="9">#REF!</definedName>
    <definedName name="N" localSheetId="8">#REF!</definedName>
    <definedName name="n" hidden="1">#REF!</definedName>
    <definedName name="ñ">#REF!</definedName>
    <definedName name="N._FUND.">#REF!</definedName>
    <definedName name="N.1">#REF!</definedName>
    <definedName name="N.2">#REF!</definedName>
    <definedName name="N__FUND_">#REF!</definedName>
    <definedName name="N__FUND____0">#REF!</definedName>
    <definedName name="N__FUND____1">#REF!</definedName>
    <definedName name="N__FUND____2">#REF!</definedName>
    <definedName name="N_CLIENTE">#REF!</definedName>
    <definedName name="N°_Hab">#REF!</definedName>
    <definedName name="N2XY">#REF!</definedName>
    <definedName name="Não">#REF!</definedName>
    <definedName name="NBM">#REF!</definedName>
    <definedName name="Nç">#REF!</definedName>
    <definedName name="needle">#REF!</definedName>
    <definedName name="negocio1">#REF!</definedName>
    <definedName name="negocio2">#REF!</definedName>
    <definedName name="NEW">#REF!</definedName>
    <definedName name="Neyra_Ingenieros_s.a.c.">#REF!</definedName>
    <definedName name="NGHNJHG" localSheetId="9" hidden="1">{#N/A,#N/A,TRUE,"INGENIERIA";#N/A,#N/A,TRUE,"COMPRAS";#N/A,#N/A,TRUE,"DIRECCION";#N/A,#N/A,TRUE,"RESUMEN"}</definedName>
    <definedName name="NGHNJHG" localSheetId="8" hidden="1">{#N/A,#N/A,TRUE,"INGENIERIA";#N/A,#N/A,TRUE,"COMPRAS";#N/A,#N/A,TRUE,"DIRECCION";#N/A,#N/A,TRUE,"RESUMEN"}</definedName>
    <definedName name="NGHNJHG" hidden="1">{#N/A,#N/A,TRUE,"INGENIERIA";#N/A,#N/A,TRUE,"COMPRAS";#N/A,#N/A,TRUE,"DIRECCION";#N/A,#N/A,TRUE,"RESUMEN"}</definedName>
    <definedName name="nhjku">#REF!</definedName>
    <definedName name="NIPP">#REF!</definedName>
    <definedName name="Nivel">#REF!</definedName>
    <definedName name="NIVEL.VERT">#REF!</definedName>
    <definedName name="NIVELES">#REF!</definedName>
    <definedName name="Nn">#REF!</definedName>
    <definedName name="nnn" localSheetId="9"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ññññ" localSheetId="9" hidden="1">{#N/A,#N/A,FALSE,"SumD";#N/A,#N/A,FALSE,"ElecD";#N/A,#N/A,FALSE,"MechD";#N/A,#N/A,FALSE,"GeotD";#N/A,#N/A,FALSE,"PrcsD";#N/A,#N/A,FALSE,"TunnD";#N/A,#N/A,FALSE,"CivlD";#N/A,#N/A,FALSE,"NtwkD";#N/A,#N/A,FALSE,"EstgD";#N/A,#N/A,FALSE,"PEngD"}</definedName>
    <definedName name="ññññ" localSheetId="8" hidden="1">{#N/A,#N/A,FALSE,"SumD";#N/A,#N/A,FALSE,"ElecD";#N/A,#N/A,FALSE,"MechD";#N/A,#N/A,FALSE,"GeotD";#N/A,#N/A,FALSE,"PrcsD";#N/A,#N/A,FALSE,"TunnD";#N/A,#N/A,FALSE,"CivlD";#N/A,#N/A,FALSE,"NtwkD";#N/A,#N/A,FALSE,"EstgD";#N/A,#N/A,FALSE,"PEngD"}</definedName>
    <definedName name="ññññ" hidden="1">{#N/A,#N/A,FALSE,"SumD";#N/A,#N/A,FALSE,"ElecD";#N/A,#N/A,FALSE,"MechD";#N/A,#N/A,FALSE,"GeotD";#N/A,#N/A,FALSE,"PrcsD";#N/A,#N/A,FALSE,"TunnD";#N/A,#N/A,FALSE,"CivlD";#N/A,#N/A,FALSE,"NtwkD";#N/A,#N/A,FALSE,"EstgD";#N/A,#N/A,FALSE,"PEngD"}</definedName>
    <definedName name="nnnnn" localSheetId="9" hidden="1">{#N/A,#N/A,FALSE,"SumD";#N/A,#N/A,FALSE,"ElecD";#N/A,#N/A,FALSE,"MechD";#N/A,#N/A,FALSE,"GeotD";#N/A,#N/A,FALSE,"PrcsD";#N/A,#N/A,FALSE,"TunnD";#N/A,#N/A,FALSE,"CivlD";#N/A,#N/A,FALSE,"NtwkD";#N/A,#N/A,FALSE,"EstgD";#N/A,#N/A,FALSE,"PEngD"}</definedName>
    <definedName name="nnnnn" localSheetId="8" hidden="1">{#N/A,#N/A,FALSE,"SumD";#N/A,#N/A,FALSE,"ElecD";#N/A,#N/A,FALSE,"MechD";#N/A,#N/A,FALSE,"GeotD";#N/A,#N/A,FALSE,"PrcsD";#N/A,#N/A,FALSE,"TunnD";#N/A,#N/A,FALSE,"CivlD";#N/A,#N/A,FALSE,"NtwkD";#N/A,#N/A,FALSE,"EstgD";#N/A,#N/A,FALSE,"PEngD"}</definedName>
    <definedName name="nnnnn" hidden="1">{#N/A,#N/A,FALSE,"SumD";#N/A,#N/A,FALSE,"ElecD";#N/A,#N/A,FALSE,"MechD";#N/A,#N/A,FALSE,"GeotD";#N/A,#N/A,FALSE,"PrcsD";#N/A,#N/A,FALSE,"TunnD";#N/A,#N/A,FALSE,"CivlD";#N/A,#N/A,FALSE,"NtwkD";#N/A,#N/A,FALSE,"EstgD";#N/A,#N/A,FALSE,"PEngD"}</definedName>
    <definedName name="nnnnnn">#REF!</definedName>
    <definedName name="nnnnnnnn" localSheetId="9" hidden="1">{#N/A,#N/A,FALSE,"SumG";#N/A,#N/A,FALSE,"ElecG";#N/A,#N/A,FALSE,"MechG";#N/A,#N/A,FALSE,"GeotG";#N/A,#N/A,FALSE,"PrcsG";#N/A,#N/A,FALSE,"TunnG";#N/A,#N/A,FALSE,"CivlG";#N/A,#N/A,FALSE,"NtwkG";#N/A,#N/A,FALSE,"EstgG";#N/A,#N/A,FALSE,"PEngG"}</definedName>
    <definedName name="nnnnnnnn" localSheetId="8" hidden="1">{#N/A,#N/A,FALSE,"SumG";#N/A,#N/A,FALSE,"ElecG";#N/A,#N/A,FALSE,"MechG";#N/A,#N/A,FALSE,"GeotG";#N/A,#N/A,FALSE,"PrcsG";#N/A,#N/A,FALSE,"TunnG";#N/A,#N/A,FALSE,"CivlG";#N/A,#N/A,FALSE,"NtwkG";#N/A,#N/A,FALSE,"EstgG";#N/A,#N/A,FALSE,"PEngG"}</definedName>
    <definedName name="nnnnnnnn" hidden="1">{#N/A,#N/A,FALSE,"SumG";#N/A,#N/A,FALSE,"ElecG";#N/A,#N/A,FALSE,"MechG";#N/A,#N/A,FALSE,"GeotG";#N/A,#N/A,FALSE,"PrcsG";#N/A,#N/A,FALSE,"TunnG";#N/A,#N/A,FALSE,"CivlG";#N/A,#N/A,FALSE,"NtwkG";#N/A,#N/A,FALSE,"EstgG";#N/A,#N/A,FALSE,"PEngG"}</definedName>
    <definedName name="NO">#REF!</definedName>
    <definedName name="no4fix">#REF!</definedName>
    <definedName name="Nombre_de_la_empresa">#REF!</definedName>
    <definedName name="Nombre_del_grupo_de_especificación">#REF!</definedName>
    <definedName name="Nombre_del_proyecto">#REF!</definedName>
    <definedName name="NOMU">#REF!</definedName>
    <definedName name="Np">#REF!</definedName>
    <definedName name="NroCotiz">#REF!</definedName>
    <definedName name="NroPresup">#REF!</definedName>
    <definedName name="Ns">#REF!</definedName>
    <definedName name="Nu">#REF!</definedName>
    <definedName name="NUEVAHOJA">#REF!</definedName>
    <definedName name="nuevo">#REF!</definedName>
    <definedName name="null">#REF!</definedName>
    <definedName name="NumRepor">#REF!</definedName>
    <definedName name="nv">#REF!</definedName>
    <definedName name="nx">#REF!</definedName>
    <definedName name="Oa_b">#REF!</definedName>
    <definedName name="Oa_d">#REF!</definedName>
    <definedName name="Oa_ea">#REF!</definedName>
    <definedName name="Oa_l">#REF!</definedName>
    <definedName name="ob">#REF!</definedName>
    <definedName name="OBRA">#REF!</definedName>
    <definedName name="Obras">#REF!</definedName>
    <definedName name="od">#REF!</definedName>
    <definedName name="ODH" localSheetId="9" hidden="1">#REF!</definedName>
    <definedName name="ODH" localSheetId="8" hidden="1">#REF!</definedName>
    <definedName name="ODH" hidden="1">#REF!</definedName>
    <definedName name="OF" localSheetId="9">'[1]Mano de Obra'!$C$12</definedName>
    <definedName name="OF" localSheetId="8">'[1]Mano de Obra'!$C$12</definedName>
    <definedName name="OF">#REF!</definedName>
    <definedName name="OFICIAL">#REF!</definedName>
    <definedName name="OFICINAS1">#REF!</definedName>
    <definedName name="OFICINAS2">#REF!</definedName>
    <definedName name="OFICINAS3">#REF!</definedName>
    <definedName name="Oil">#REF!</definedName>
    <definedName name="OLE_LINK1">#REF!</definedName>
    <definedName name="ooo">#REF!</definedName>
    <definedName name="oooo" localSheetId="9">#REF!</definedName>
    <definedName name="oooo" localSheetId="8">#REF!</definedName>
    <definedName name="oooo" hidden="1">{#N/A,#N/A,FALSE,"SumG";#N/A,#N/A,FALSE,"ElecG";#N/A,#N/A,FALSE,"MechG";#N/A,#N/A,FALSE,"GeotG";#N/A,#N/A,FALSE,"PrcsG";#N/A,#N/A,FALSE,"TunnG";#N/A,#N/A,FALSE,"CivlG";#N/A,#N/A,FALSE,"NtwkG";#N/A,#N/A,FALSE,"EstgG";#N/A,#N/A,FALSE,"PEngG"}</definedName>
    <definedName name="ooooooooooooo">#REF!</definedName>
    <definedName name="OP" localSheetId="9">'[1]Mano de Obra'!$C$11</definedName>
    <definedName name="OP" localSheetId="8">'[1]Mano de Obra'!$C$11</definedName>
    <definedName name="OP">#REF!</definedName>
    <definedName name="op89o">#REF!</definedName>
    <definedName name="OPCIONALC">#REF!</definedName>
    <definedName name="OPCIONES2">#REF!</definedName>
    <definedName name="opens">#REF!,#REF!,#REF!,#REF!</definedName>
    <definedName name="OPEP">#REF!</definedName>
    <definedName name="OPEP3">#REF!</definedName>
    <definedName name="oper">#REF!</definedName>
    <definedName name="Operador">#REF!</definedName>
    <definedName name="Operador_Maquinaria_Liviana">#REF!</definedName>
    <definedName name="Operador_Maquinaria_Pesada">#REF!</definedName>
    <definedName name="OPERADORES">#REF!</definedName>
    <definedName name="OPERARIO">#REF!</definedName>
    <definedName name="opityh">#REF!</definedName>
    <definedName name="OPTG">#REF!</definedName>
    <definedName name="OPVO">#REF!</definedName>
    <definedName name="OPVO3">#REF!</definedName>
    <definedName name="opyter">#REF!</definedName>
    <definedName name="Organization">#REF!</definedName>
    <definedName name="osa">#REF!</definedName>
    <definedName name="osb">#REF!</definedName>
    <definedName name="osmhdl">#REF!</definedName>
    <definedName name="osmhel">#REF!</definedName>
    <definedName name="osmhpe1">#REF!</definedName>
    <definedName name="osmhpe2">#REF!</definedName>
    <definedName name="osmhpw">#REF!</definedName>
    <definedName name="osmhq">#REF!</definedName>
    <definedName name="osout">#REF!</definedName>
    <definedName name="ospe1">#REF!</definedName>
    <definedName name="ospe2">#REF!</definedName>
    <definedName name="ospw">#REF!</definedName>
    <definedName name="osQ">#REF!</definedName>
    <definedName name="ostdlp">#REF!</definedName>
    <definedName name="ostelp">#REF!</definedName>
    <definedName name="osvhdl">#REF!</definedName>
    <definedName name="osvhel">#REF!</definedName>
    <definedName name="osvhpe1">#REF!</definedName>
    <definedName name="osvhpe2">#REF!</definedName>
    <definedName name="osvhpw">#REF!</definedName>
    <definedName name="osvhq">#REF!</definedName>
    <definedName name="OT">#REF!</definedName>
    <definedName name="Other">#REF!</definedName>
    <definedName name="other_tab">#REF!</definedName>
    <definedName name="Others">#REF!</definedName>
    <definedName name="OTROS">#REF!</definedName>
    <definedName name="otros_gastos_de_nacionalizacion">#REF!</definedName>
    <definedName name="OUT">#REF!</definedName>
    <definedName name="Output_Q">#REF!</definedName>
    <definedName name="OutputRange">#REF!</definedName>
    <definedName name="OVER">#REF!</definedName>
    <definedName name="OXICORTE">"#REF!"</definedName>
    <definedName name="OXIGENO">"#REF!"</definedName>
    <definedName name="Oxiginista">#REF!</definedName>
    <definedName name="p">#REF!</definedName>
    <definedName name="P.U." localSheetId="9" hidden="1">{#N/A,#N/A,TRUE,"1842CWN0"}</definedName>
    <definedName name="P.U." localSheetId="8" hidden="1">{#N/A,#N/A,TRUE,"1842CWN0"}</definedName>
    <definedName name="P.U." hidden="1">{#N/A,#N/A,TRUE,"1842CWN0"}</definedName>
    <definedName name="P.UNITARIO">#REF!</definedName>
    <definedName name="p_a">#REF!</definedName>
    <definedName name="P_ACERO">#REF!</definedName>
    <definedName name="p_b">#REF!</definedName>
    <definedName name="p_ea">#REF!</definedName>
    <definedName name="p_ea1">#REF!</definedName>
    <definedName name="p_ea2">#REF!</definedName>
    <definedName name="P_EA3">#REF!</definedName>
    <definedName name="P_EQUIP">#REF!</definedName>
    <definedName name="P_FORPU">#REF!</definedName>
    <definedName name="p_h">#REF!</definedName>
    <definedName name="p_l">#REF!</definedName>
    <definedName name="p_l2">#REF!</definedName>
    <definedName name="P_MACRO">#REF!</definedName>
    <definedName name="P_RESUMEN">#REF!</definedName>
    <definedName name="p_t">#REF!</definedName>
    <definedName name="p_x">#REF!</definedName>
    <definedName name="p_y">#REF!</definedName>
    <definedName name="p_z">#REF!</definedName>
    <definedName name="P000">#REF!</definedName>
    <definedName name="P10C1">#N/A</definedName>
    <definedName name="pa">#REF!</definedName>
    <definedName name="PA1_0">#REF!</definedName>
    <definedName name="PA1_0_M">#REF!</definedName>
    <definedName name="PA1_1N">#REF!</definedName>
    <definedName name="PA1_1N_M">#REF!</definedName>
    <definedName name="PA1_1NT">#REF!</definedName>
    <definedName name="PA1_1NT_M">#REF!</definedName>
    <definedName name="PA1_2">#REF!</definedName>
    <definedName name="PA1_2N">#REF!</definedName>
    <definedName name="PA1_3">#REF!</definedName>
    <definedName name="PA1_3N">#REF!</definedName>
    <definedName name="PA1_3NT">#REF!</definedName>
    <definedName name="PA2_0">#REF!</definedName>
    <definedName name="PA2_0_M">#REF!</definedName>
    <definedName name="PA2_1N">#REF!</definedName>
    <definedName name="PA2_1N_M">#REF!</definedName>
    <definedName name="PA2_1NT">#REF!</definedName>
    <definedName name="PA2_1NT_M">#REF!</definedName>
    <definedName name="PA2_2">#REF!</definedName>
    <definedName name="PA2_2N">#REF!</definedName>
    <definedName name="PA2_3">#REF!</definedName>
    <definedName name="PA2_3N">#REF!</definedName>
    <definedName name="PA2_3NT">#REF!</definedName>
    <definedName name="PA3_0">#REF!</definedName>
    <definedName name="PA3_0_M">#REF!</definedName>
    <definedName name="PA3_1N">#REF!</definedName>
    <definedName name="PA3_1N_M">#REF!</definedName>
    <definedName name="PA3_1NT">#REF!</definedName>
    <definedName name="PA3_1NT_M">#REF!</definedName>
    <definedName name="PA3_2">#REF!</definedName>
    <definedName name="PA3_2N">#REF!</definedName>
    <definedName name="PA3_3">#REF!</definedName>
    <definedName name="PA3_3N">#REF!</definedName>
    <definedName name="PA3_3NT">#REF!</definedName>
    <definedName name="paat_1">#REF!</definedName>
    <definedName name="PAAT_1_M">#REF!</definedName>
    <definedName name="pab">#REF!</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G">#REF!</definedName>
    <definedName name="PAGE11">#N/A</definedName>
    <definedName name="PAGE12">#N/A</definedName>
    <definedName name="PAGE21">#N/A</definedName>
    <definedName name="PAGE22">#N/A</definedName>
    <definedName name="PAGE31">#N/A</definedName>
    <definedName name="PAGE32">#N/A</definedName>
    <definedName name="PAGE41">#N/A</definedName>
    <definedName name="PAGE42">#N/A</definedName>
    <definedName name="Página1">#REF!</definedName>
    <definedName name="PÁGINA101">#REF!</definedName>
    <definedName name="Página2">#REF!</definedName>
    <definedName name="Página3">#REF!</definedName>
    <definedName name="paint">#REF!</definedName>
    <definedName name="PalisadeReportWorkbookCreatedBy">"AtRisk"</definedName>
    <definedName name="Parametros">NA()</definedName>
    <definedName name="part">#REF!</definedName>
    <definedName name="part.N1">#REF!</definedName>
    <definedName name="Part.N2">#REF!</definedName>
    <definedName name="Part.N3">#REF!</definedName>
    <definedName name="PARTIDA">#REF!</definedName>
    <definedName name="Partidas">#REF!</definedName>
    <definedName name="Pasajes">#REF!</definedName>
    <definedName name="PASO">#REF!</definedName>
    <definedName name="PAST_C">#REF!</definedName>
    <definedName name="PAST_C_BT">#REF!</definedName>
    <definedName name="PAST_C_MT">#REF!</definedName>
    <definedName name="PAST_M">#REF!</definedName>
    <definedName name="PAST_M_BT">#REF!</definedName>
    <definedName name="PAST_M_MT">#REF!</definedName>
    <definedName name="PAT">#REF!</definedName>
    <definedName name="PAT_1">#REF!</definedName>
    <definedName name="PAT_1_M">#REF!</definedName>
    <definedName name="PAT_2">#REF!</definedName>
    <definedName name="PAT_2_M">#REF!</definedName>
    <definedName name="PAT_2E">#REF!</definedName>
    <definedName name="PAT_2M">#REF!</definedName>
    <definedName name="pat_3">#REF!</definedName>
    <definedName name="PAT_3_M">#REF!</definedName>
    <definedName name="PAT_C">#REF!</definedName>
    <definedName name="PAT_M">#REF!</definedName>
    <definedName name="pbb">#REF!</definedName>
    <definedName name="pbt">#REF!</definedName>
    <definedName name="PC">#REF!</definedName>
    <definedName name="pcase">#REF!</definedName>
    <definedName name="pcaseout">#REF!</definedName>
    <definedName name="PCV">#REF!</definedName>
    <definedName name="PD">#REF!</definedName>
    <definedName name="PE" localSheetId="9">'[1]Mano de Obra'!$C$13</definedName>
    <definedName name="PE" localSheetId="8">'[1]Mano de Obra'!$C$13</definedName>
    <definedName name="PE">#REF!</definedName>
    <definedName name="pe22c1">#REF!</definedName>
    <definedName name="pe22c2">#REF!</definedName>
    <definedName name="peat">#REF!</definedName>
    <definedName name="PEGA">#REF!</definedName>
    <definedName name="PEON">#REF!</definedName>
    <definedName name="pepe">#REF!</definedName>
    <definedName name="PER">#REF!</definedName>
    <definedName name="perfil">#REF!</definedName>
    <definedName name="PERFILES">"#REF!"</definedName>
    <definedName name="Perímetro_sótano">#REF!</definedName>
    <definedName name="Perímetro_tienda">#REF!</definedName>
    <definedName name="periodo">#REF!</definedName>
    <definedName name="PERNO01">"#REF!"</definedName>
    <definedName name="PERNO02">"#REF!"</definedName>
    <definedName name="PERNO03">"#REF!"</definedName>
    <definedName name="PERNOS">"#REF!"</definedName>
    <definedName name="PERSONAL">#REF!</definedName>
    <definedName name="PESO">#REF!</definedName>
    <definedName name="PESO_COLUMNAS">#REF!</definedName>
    <definedName name="Peso_kg_m">#REF!</definedName>
    <definedName name="PESOS">#REF!</definedName>
    <definedName name="PETROLEO">#REF!</definedName>
    <definedName name="pg_actual">#REF!</definedName>
    <definedName name="PH">#REF!</definedName>
    <definedName name="phi">#REF!</definedName>
    <definedName name="phiVn">#REF!</definedName>
    <definedName name="PI">3.141592654</definedName>
    <definedName name="PICO">#REF!</definedName>
    <definedName name="piedra1">NA()</definedName>
    <definedName name="piedra2">NA()</definedName>
    <definedName name="Piedrach">NA()</definedName>
    <definedName name="piedrag">#REF!</definedName>
    <definedName name="PILE">#REF!</definedName>
    <definedName name="PINT">#REF!</definedName>
    <definedName name="PINTURA">#REF!</definedName>
    <definedName name="PINTURA_01">"#REF!"</definedName>
    <definedName name="PINTURA_02">"#REF!"</definedName>
    <definedName name="PINTURA_03">"#REF!"</definedName>
    <definedName name="PINTURAS">"#REF!"</definedName>
    <definedName name="PIPE">#REF!</definedName>
    <definedName name="Piping_GAD_date">#REF!</definedName>
    <definedName name="PISO">#REF!</definedName>
    <definedName name="PL">#REF!</definedName>
    <definedName name="PLA">#REF!</definedName>
    <definedName name="plac7pis1">#REF!</definedName>
    <definedName name="placa7pis2">#REF!</definedName>
    <definedName name="PLACAS">#REF!</definedName>
    <definedName name="PLAN">#REF!</definedName>
    <definedName name="PLANCHA01">"#REF!"</definedName>
    <definedName name="PLANCHA02">"#REF!"</definedName>
    <definedName name="PLANCHA03">"#REF!"</definedName>
    <definedName name="plancha3.2">"#REF!"</definedName>
    <definedName name="PLANCHAS">"#REF!"</definedName>
    <definedName name="PlanCta07">#REF!</definedName>
    <definedName name="PLANEAMIENTO">#REF!</definedName>
    <definedName name="planilla">#REF!</definedName>
    <definedName name="planilla_1">#REF!</definedName>
    <definedName name="PLATEA">#REF!</definedName>
    <definedName name="PLATINAS">"#REF!"</definedName>
    <definedName name="PLAZO">#REF!</definedName>
    <definedName name="PLAZO2">#REF!</definedName>
    <definedName name="PlazoSup">#N/A</definedName>
    <definedName name="PLEGADO">"#REF!"</definedName>
    <definedName name="PLUG">#REF!</definedName>
    <definedName name="PMaldonado">#REF!</definedName>
    <definedName name="pmax">#REF!</definedName>
    <definedName name="pmin">#REF!</definedName>
    <definedName name="pmin1">#REF!</definedName>
    <definedName name="pmin2">#REF!</definedName>
    <definedName name="pmin3">#REF!</definedName>
    <definedName name="PO" localSheetId="9">{"Book1","DOC&amp;DWG.xls"}</definedName>
    <definedName name="PO">{"Book1","DOC&amp;DWG.xls"}</definedName>
    <definedName name="poa1RTRTpoa2RTRT">#REF!</definedName>
    <definedName name="poaaRTRTpobbRTRT">#REF!</definedName>
    <definedName name="POARTM0TB0TB0TB0TB4.8TB55TB200R">#REF!</definedName>
    <definedName name="POARTSQKS15C5LRTRT">#REF!</definedName>
    <definedName name="pomoc">#REF!</definedName>
    <definedName name="por">#REF!</definedName>
    <definedName name="Porc_Anticipo">#REF!</definedName>
    <definedName name="Porc_Retencion">#REF!</definedName>
    <definedName name="PORTALINEA">#REF!</definedName>
    <definedName name="POSTES">#REF!</definedName>
    <definedName name="poujukj">#REF!</definedName>
    <definedName name="pound">#REF!</definedName>
    <definedName name="pp">#REF!</definedName>
    <definedName name="ppoi">#REF!</definedName>
    <definedName name="ppp" localSheetId="9" hidden="1">{#N/A,#N/A,FALSE,"SumD";#N/A,#N/A,FALSE,"ElecD";#N/A,#N/A,FALSE,"MechD";#N/A,#N/A,FALSE,"GeotD";#N/A,#N/A,FALSE,"PrcsD";#N/A,#N/A,FALSE,"TunnD";#N/A,#N/A,FALSE,"CivlD";#N/A,#N/A,FALSE,"NtwkD";#N/A,#N/A,FALSE,"EstgD";#N/A,#N/A,FALSE,"PEngD"}</definedName>
    <definedName name="ppp" localSheetId="8" hidden="1">{#N/A,#N/A,FALSE,"SumD";#N/A,#N/A,FALSE,"ElecD";#N/A,#N/A,FALSE,"MechD";#N/A,#N/A,FALSE,"GeotD";#N/A,#N/A,FALSE,"PrcsD";#N/A,#N/A,FALSE,"TunnD";#N/A,#N/A,FALSE,"CivlD";#N/A,#N/A,FALSE,"NtwkD";#N/A,#N/A,FALSE,"EstgD";#N/A,#N/A,FALSE,"PEngD"}</definedName>
    <definedName name="ppp" hidden="1">{#N/A,#N/A,FALSE,"SumD";#N/A,#N/A,FALSE,"ElecD";#N/A,#N/A,FALSE,"MechD";#N/A,#N/A,FALSE,"GeotD";#N/A,#N/A,FALSE,"PrcsD";#N/A,#N/A,FALSE,"TunnD";#N/A,#N/A,FALSE,"CivlD";#N/A,#N/A,FALSE,"NtwkD";#N/A,#N/A,FALSE,"EstgD";#N/A,#N/A,FALSE,"PEngD"}</definedName>
    <definedName name="pppppp">#N/A</definedName>
    <definedName name="pppppppp">#REF!</definedName>
    <definedName name="ppropio_">#REF!</definedName>
    <definedName name="PR">#REF!</definedName>
    <definedName name="PR3_0">#REF!</definedName>
    <definedName name="PR3_0_M">#REF!</definedName>
    <definedName name="PR3_1N">#REF!</definedName>
    <definedName name="PR3_1N_M">#REF!</definedName>
    <definedName name="PR3_1NT">#REF!</definedName>
    <definedName name="PR3_1NT_M">#REF!</definedName>
    <definedName name="PR3_2">#REF!</definedName>
    <definedName name="PR3_2N">#REF!</definedName>
    <definedName name="PR3_3">#REF!</definedName>
    <definedName name="PR3_3N">#REF!</definedName>
    <definedName name="PR3_3NT">#REF!</definedName>
    <definedName name="PRDump">#REF!</definedName>
    <definedName name="Pre_PO">#REF!</definedName>
    <definedName name="PRECIOHH">#REF!</definedName>
    <definedName name="PRECIOS_A">#REF!</definedName>
    <definedName name="precor">#REF!</definedName>
    <definedName name="precorZ">#REF!</definedName>
    <definedName name="PRESION01">"#REF!"</definedName>
    <definedName name="PRESION02">"#REF!"</definedName>
    <definedName name="PRESION03">"#REF!"</definedName>
    <definedName name="pressure">#REF!</definedName>
    <definedName name="PRESUP_ARQ">#REF!</definedName>
    <definedName name="PRESUP_I.E.">#REF!</definedName>
    <definedName name="PRESUP_I.S.">#REF!</definedName>
    <definedName name="PRESUP_O.P.">#REF!</definedName>
    <definedName name="Presupuesto">#REF!</definedName>
    <definedName name="PRIMERA">#REF!</definedName>
    <definedName name="PrimerItem">#REF!</definedName>
    <definedName name="PRIMO">#REF!</definedName>
    <definedName name="PrimPorc">#REF!</definedName>
    <definedName name="PRINCIPAL_ALC_crb1">#REF!</definedName>
    <definedName name="PRINCIPAL_ALC_INDP">#REF!</definedName>
    <definedName name="PRINT">#REF!</definedName>
    <definedName name="_xlnm.Print_Area">#REF!</definedName>
    <definedName name="Print_Area_MI">#REF!</definedName>
    <definedName name="PRINT_AREA_MI1">#REF!</definedName>
    <definedName name="Print_Area_Mi2">#REF!</definedName>
    <definedName name="PRINT_TITLE">#REF!</definedName>
    <definedName name="_xlnm.Print_Titles">#REF!</definedName>
    <definedName name="Print_Titles_MI">#REF!</definedName>
    <definedName name="PROCESOS">"#REF!"</definedName>
    <definedName name="ProcObra">#REF!</definedName>
    <definedName name="producto">#REF!</definedName>
    <definedName name="PROGDES">#REF!</definedName>
    <definedName name="Progr">#REF!</definedName>
    <definedName name="PROJECT">#REF!</definedName>
    <definedName name="PROPIETARIO">#REF!</definedName>
    <definedName name="PROPIO">#REF!</definedName>
    <definedName name="Provincia">#REF!</definedName>
    <definedName name="PROY_INTERNO">#REF!</definedName>
    <definedName name="proyecto">#REF!</definedName>
    <definedName name="proyectos">#REF!</definedName>
    <definedName name="prueba">#REF!,#REF!</definedName>
    <definedName name="pruebaprueba">#REF!,#REF!</definedName>
    <definedName name="PRV_3">#REF!</definedName>
    <definedName name="PRY">#REF!</definedName>
    <definedName name="PS1_0">#REF!</definedName>
    <definedName name="PS1_0_M">#REF!</definedName>
    <definedName name="PS1_1N">#REF!</definedName>
    <definedName name="PS1_1N_M">#REF!</definedName>
    <definedName name="PS1_1N_T">#REF!</definedName>
    <definedName name="PS1_1NT">#REF!</definedName>
    <definedName name="PS1_1NT_M">#REF!</definedName>
    <definedName name="PS1_2">#REF!</definedName>
    <definedName name="PS1_2N">#REF!</definedName>
    <definedName name="PS1_3">#REF!</definedName>
    <definedName name="PS1_3N">#REF!</definedName>
    <definedName name="PS1_3NT">#REF!</definedName>
    <definedName name="PSEC_0">#REF!</definedName>
    <definedName name="PSEC_0_M">#REF!</definedName>
    <definedName name="PSEC_0P">#REF!</definedName>
    <definedName name="PSEC_0P_M">#REF!</definedName>
    <definedName name="PSEC_1N">#REF!</definedName>
    <definedName name="PSEC_1N_M">#REF!</definedName>
    <definedName name="PSEC_1NP">#REF!</definedName>
    <definedName name="PSEC_2">#REF!</definedName>
    <definedName name="PSEC_2N">#REF!</definedName>
    <definedName name="PSEC_2NP">#REF!</definedName>
    <definedName name="PSEC_2P">#REF!</definedName>
    <definedName name="PSEC_3">#REF!</definedName>
    <definedName name="PSEC_3N">#REF!</definedName>
    <definedName name="PSEC_3NP">#REF!</definedName>
    <definedName name="PSEC_3P">#REF!</definedName>
    <definedName name="PSER_0">#REF!</definedName>
    <definedName name="PSER_0_M">#REF!</definedName>
    <definedName name="PSER_0P">#REF!</definedName>
    <definedName name="PSER_0P_M">#REF!</definedName>
    <definedName name="pslab">#REF!</definedName>
    <definedName name="psv">#REF!</definedName>
    <definedName name="PSV_2">#REF!</definedName>
    <definedName name="PSV_2N">#REF!</definedName>
    <definedName name="PSV_3">#REF!</definedName>
    <definedName name="PSV_3N">#REF!</definedName>
    <definedName name="PSVE_2">#REF!</definedName>
    <definedName name="PSVE_3">#REF!</definedName>
    <definedName name="PTG">#REF!</definedName>
    <definedName name="PTH_2">#REF!</definedName>
    <definedName name="PTH_2N">#REF!</definedName>
    <definedName name="PTH_3">#REF!</definedName>
    <definedName name="PTH_3N">#REF!</definedName>
    <definedName name="PTH_3NT">#REF!</definedName>
    <definedName name="Ptotal">#REF!</definedName>
    <definedName name="PTV_0">#REF!</definedName>
    <definedName name="PTV_0_M">#REF!</definedName>
    <definedName name="PTV_1N">#REF!</definedName>
    <definedName name="PTV_1N_M">#REF!</definedName>
    <definedName name="PTV_1NT">#REF!</definedName>
    <definedName name="PTV_1NT_M">#REF!</definedName>
    <definedName name="PTV_2">#REF!</definedName>
    <definedName name="PTV_2N">#REF!</definedName>
    <definedName name="PTV_3">#REF!</definedName>
    <definedName name="PTV_3N">#REF!</definedName>
    <definedName name="PTV_3NT">#REF!</definedName>
    <definedName name="PU">#REF!</definedName>
    <definedName name="pu6mm">#REF!</definedName>
    <definedName name="pu8mm">#REF!</definedName>
    <definedName name="Puertas">#REF!</definedName>
    <definedName name="PUERTASALUMINIO">#REF!</definedName>
    <definedName name="punta">#REF!</definedName>
    <definedName name="PUNTODEINSERCION">#REF!</definedName>
    <definedName name="PV">#REF!</definedName>
    <definedName name="pvc">#REF!</definedName>
    <definedName name="PWPW">#REF!</definedName>
    <definedName name="pww">#REF!</definedName>
    <definedName name="pwwc1">#REF!</definedName>
    <definedName name="pwwc2">#REF!</definedName>
    <definedName name="q">#REF!</definedName>
    <definedName name="q_1">#REF!</definedName>
    <definedName name="q_10">#REF!</definedName>
    <definedName name="q_11">#REF!</definedName>
    <definedName name="q_12">#REF!</definedName>
    <definedName name="q_13">#REF!</definedName>
    <definedName name="q_2">#REF!</definedName>
    <definedName name="q_20">#REF!</definedName>
    <definedName name="q10f">#REF!</definedName>
    <definedName name="q11f">#REF!</definedName>
    <definedName name="q12f">#REF!</definedName>
    <definedName name="q13f">#REF!</definedName>
    <definedName name="q1f">#REF!</definedName>
    <definedName name="q1u">#REF!</definedName>
    <definedName name="q2f">#REF!</definedName>
    <definedName name="Q91A">#REF!</definedName>
    <definedName name="q91b">#REF!</definedName>
    <definedName name="qarea">#REF!</definedName>
    <definedName name="qaz" localSheetId="9" hidden="1">{#N/A,#N/A,FALSE,"WBS 1.06";#N/A,#N/A,FALSE,"WBS 1.14";#N/A,#N/A,FALSE,"WBS 1.17";#N/A,#N/A,FALSE,"WBS 1.18"}</definedName>
    <definedName name="qaz" localSheetId="8" hidden="1">{#N/A,#N/A,FALSE,"WBS 1.06";#N/A,#N/A,FALSE,"WBS 1.14";#N/A,#N/A,FALSE,"WBS 1.17";#N/A,#N/A,FALSE,"WBS 1.18"}</definedName>
    <definedName name="qaz" hidden="1">{#N/A,#N/A,FALSE,"WBS 1.06";#N/A,#N/A,FALSE,"WBS 1.14";#N/A,#N/A,FALSE,"WBS 1.17";#N/A,#N/A,FALSE,"WBS 1.18"}</definedName>
    <definedName name="qd">#REF!</definedName>
    <definedName name="QGPC_Approval">#REF!</definedName>
    <definedName name="qmax">#REF!</definedName>
    <definedName name="qmax_m">#REF!</definedName>
    <definedName name="qmax1">#REF!</definedName>
    <definedName name="qnuevo">#REF!</definedName>
    <definedName name="qnuevo_m">#REF!</definedName>
    <definedName name="qnuevo1">#REF!</definedName>
    <definedName name="qq">#REF!</definedName>
    <definedName name="qqaa" localSheetId="9" hidden="1">{#N/A,#N/A,FALSE,"SumG";#N/A,#N/A,FALSE,"ElecG";#N/A,#N/A,FALSE,"MechG";#N/A,#N/A,FALSE,"GeotG";#N/A,#N/A,FALSE,"PrcsG";#N/A,#N/A,FALSE,"TunnG";#N/A,#N/A,FALSE,"CivlG";#N/A,#N/A,FALSE,"NtwkG";#N/A,#N/A,FALSE,"EstgG";#N/A,#N/A,FALSE,"PEngG"}</definedName>
    <definedName name="qqaa" localSheetId="8" hidden="1">{#N/A,#N/A,FALSE,"SumG";#N/A,#N/A,FALSE,"ElecG";#N/A,#N/A,FALSE,"MechG";#N/A,#N/A,FALSE,"GeotG";#N/A,#N/A,FALSE,"PrcsG";#N/A,#N/A,FALSE,"TunnG";#N/A,#N/A,FALSE,"CivlG";#N/A,#N/A,FALSE,"NtwkG";#N/A,#N/A,FALSE,"EstgG";#N/A,#N/A,FALSE,"PEngG"}</definedName>
    <definedName name="qqaa" hidden="1">{#N/A,#N/A,FALSE,"SumG";#N/A,#N/A,FALSE,"ElecG";#N/A,#N/A,FALSE,"MechG";#N/A,#N/A,FALSE,"GeotG";#N/A,#N/A,FALSE,"PrcsG";#N/A,#N/A,FALSE,"TunnG";#N/A,#N/A,FALSE,"CivlG";#N/A,#N/A,FALSE,"NtwkG";#N/A,#N/A,FALSE,"EstgG";#N/A,#N/A,FALSE,"PEngG"}</definedName>
    <definedName name="qqqq" localSheetId="9" hidden="1">{#N/A,#N/A,FALSE,"SumD";#N/A,#N/A,FALSE,"ElecD";#N/A,#N/A,FALSE,"MechD";#N/A,#N/A,FALSE,"GeotD";#N/A,#N/A,FALSE,"PrcsD";#N/A,#N/A,FALSE,"TunnD";#N/A,#N/A,FALSE,"CivlD";#N/A,#N/A,FALSE,"NtwkD";#N/A,#N/A,FALSE,"EstgD";#N/A,#N/A,FALSE,"PEngD"}</definedName>
    <definedName name="qqqq" localSheetId="8" hidden="1">{#N/A,#N/A,FALSE,"SumD";#N/A,#N/A,FALSE,"ElecD";#N/A,#N/A,FALSE,"MechD";#N/A,#N/A,FALSE,"GeotD";#N/A,#N/A,FALSE,"PrcsD";#N/A,#N/A,FALSE,"TunnD";#N/A,#N/A,FALSE,"CivlD";#N/A,#N/A,FALSE,"NtwkD";#N/A,#N/A,FALSE,"EstgD";#N/A,#N/A,FALSE,"PEngD"}</definedName>
    <definedName name="qqqq" hidden="1">{#N/A,#N/A,TRUE,"INGENIERIA";#N/A,#N/A,TRUE,"COMPRAS";#N/A,#N/A,TRUE,"DIRECCION";#N/A,#N/A,TRUE,"RESUMEN"}</definedName>
    <definedName name="QQW">#REF!</definedName>
    <definedName name="qrr">#REF!</definedName>
    <definedName name="qs">#REF!</definedName>
    <definedName name="qs_">#REF!</definedName>
    <definedName name="qsn">#REF!</definedName>
    <definedName name="qsnu">#REF!</definedName>
    <definedName name="qsnu_m">#REF!</definedName>
    <definedName name="qstart1">#REF!</definedName>
    <definedName name="qstart2">#REF!</definedName>
    <definedName name="qstart3">#REF!</definedName>
    <definedName name="qstart4">#REF!</definedName>
    <definedName name="qstart5">#REF!</definedName>
    <definedName name="Qten">#REF!</definedName>
    <definedName name="QTIES">#REF!</definedName>
    <definedName name="QTY">#REF!</definedName>
    <definedName name="QTYBASE">#REF!</definedName>
    <definedName name="QTYFCT">#REF!</definedName>
    <definedName name="qu">#REF!</definedName>
    <definedName name="QUERYEQLIST">"#REF!"</definedName>
    <definedName name="Quimilac">#REF!</definedName>
    <definedName name="Quimisolven">#REF!</definedName>
    <definedName name="Quotation_Rcv">#REF!</definedName>
    <definedName name="qw">#REF!</definedName>
    <definedName name="qwe">#REF!</definedName>
    <definedName name="qwe45t5">#REF!</definedName>
    <definedName name="qweer">#REF!</definedName>
    <definedName name="qwer" localSheetId="9">#REF!</definedName>
    <definedName name="qwer" localSheetId="8">#REF!</definedName>
    <definedName name="qwer" hidden="1">#REF!</definedName>
    <definedName name="qwertt">#REF!</definedName>
    <definedName name="qwet" localSheetId="9" hidden="1">#REF!</definedName>
    <definedName name="qwet" localSheetId="8" hidden="1">#REF!</definedName>
    <definedName name="qwet" hidden="1">#REF!</definedName>
    <definedName name="qwsd" localSheetId="9" hidden="1">{#N/A,#N/A,FALSE,"SumG";#N/A,#N/A,FALSE,"ElecG";#N/A,#N/A,FALSE,"MechG";#N/A,#N/A,FALSE,"GeotG";#N/A,#N/A,FALSE,"PrcsG";#N/A,#N/A,FALSE,"TunnG";#N/A,#N/A,FALSE,"CivlG";#N/A,#N/A,FALSE,"NtwkG";#N/A,#N/A,FALSE,"EstgG";#N/A,#N/A,FALSE,"PEngG"}</definedName>
    <definedName name="qwsd" localSheetId="8" hidden="1">{#N/A,#N/A,FALSE,"SumG";#N/A,#N/A,FALSE,"ElecG";#N/A,#N/A,FALSE,"MechG";#N/A,#N/A,FALSE,"GeotG";#N/A,#N/A,FALSE,"PrcsG";#N/A,#N/A,FALSE,"TunnG";#N/A,#N/A,FALSE,"CivlG";#N/A,#N/A,FALSE,"NtwkG";#N/A,#N/A,FALSE,"EstgG";#N/A,#N/A,FALSE,"PEngG"}</definedName>
    <definedName name="qwsd" hidden="1">{#N/A,#N/A,FALSE,"SumG";#N/A,#N/A,FALSE,"ElecG";#N/A,#N/A,FALSE,"MechG";#N/A,#N/A,FALSE,"GeotG";#N/A,#N/A,FALSE,"PrcsG";#N/A,#N/A,FALSE,"TunnG";#N/A,#N/A,FALSE,"CivlG";#N/A,#N/A,FALSE,"NtwkG";#N/A,#N/A,FALSE,"EstgG";#N/A,#N/A,FALSE,"PEngG"}</definedName>
    <definedName name="qwsde">#REF!</definedName>
    <definedName name="qwsdfcv" localSheetId="9" hidden="1">{#N/A,#N/A,FALSE,"SumG";#N/A,#N/A,FALSE,"ElecG";#N/A,#N/A,FALSE,"MechG";#N/A,#N/A,FALSE,"GeotG";#N/A,#N/A,FALSE,"PrcsG";#N/A,#N/A,FALSE,"TunnG";#N/A,#N/A,FALSE,"CivlG";#N/A,#N/A,FALSE,"NtwkG";#N/A,#N/A,FALSE,"EstgG";#N/A,#N/A,FALSE,"PEngG"}</definedName>
    <definedName name="qwsdfcv" localSheetId="8" hidden="1">{#N/A,#N/A,FALSE,"SumG";#N/A,#N/A,FALSE,"ElecG";#N/A,#N/A,FALSE,"MechG";#N/A,#N/A,FALSE,"GeotG";#N/A,#N/A,FALSE,"PrcsG";#N/A,#N/A,FALSE,"TunnG";#N/A,#N/A,FALSE,"CivlG";#N/A,#N/A,FALSE,"NtwkG";#N/A,#N/A,FALSE,"EstgG";#N/A,#N/A,FALSE,"PEngG"}</definedName>
    <definedName name="qwsdfcv" hidden="1">{#N/A,#N/A,FALSE,"SumG";#N/A,#N/A,FALSE,"ElecG";#N/A,#N/A,FALSE,"MechG";#N/A,#N/A,FALSE,"GeotG";#N/A,#N/A,FALSE,"PrcsG";#N/A,#N/A,FALSE,"TunnG";#N/A,#N/A,FALSE,"CivlG";#N/A,#N/A,FALSE,"NtwkG";#N/A,#N/A,FALSE,"EstgG";#N/A,#N/A,FALSE,"PEngG"}</definedName>
    <definedName name="qwsnk´">#REF!</definedName>
    <definedName name="qwxsza">#REF!</definedName>
    <definedName name="R_I_Q_A_S">#N/A</definedName>
    <definedName name="radio">#REF!</definedName>
    <definedName name="rArea">#REF!</definedName>
    <definedName name="RASCO__3">#N/A</definedName>
    <definedName name="RASCO__A">#N/A</definedName>
    <definedName name="RawAgencyPrice">#REF!</definedName>
    <definedName name="RBAH">#REF!</definedName>
    <definedName name="RBData">#REF!</definedName>
    <definedName name="RCHH">#REF!</definedName>
    <definedName name="RCHH2">#REF!</definedName>
    <definedName name="rd">#REF!</definedName>
    <definedName name="rDestinos">#REF!</definedName>
    <definedName name="RE_SIZE">#REF!</definedName>
    <definedName name="RealAs">#REF!</definedName>
    <definedName name="realfs">#REF!</definedName>
    <definedName name="realp">#REF!</definedName>
    <definedName name="rebar">#REF!</definedName>
    <definedName name="Recap">#REF!</definedName>
    <definedName name="RECARGO">#REF!</definedName>
    <definedName name="RECOUT">#N/A</definedName>
    <definedName name="RECURSOS">#REF!</definedName>
    <definedName name="RECURSOS1">#REF!</definedName>
    <definedName name="RED">#REF!</definedName>
    <definedName name="ree">#REF!</definedName>
    <definedName name="REFERENCIA_PLANO">#REF!</definedName>
    <definedName name="REG">#REF!</definedName>
    <definedName name="REGIMEN_A">#REF!</definedName>
    <definedName name="REGIMEN_B">#REF!</definedName>
    <definedName name="REGIMEN_C">#REF!</definedName>
    <definedName name="reinftype">#REF!</definedName>
    <definedName name="rel_tam">#REF!</definedName>
    <definedName name="relac_aceptant">#REF!</definedName>
    <definedName name="Relac_patrim">#REF!</definedName>
    <definedName name="RELACION">#REF!</definedName>
    <definedName name="Relpar">#REF!</definedName>
    <definedName name="REM">#REF!</definedName>
    <definedName name="rend">#REF!</definedName>
    <definedName name="RENDIMIENTOS">"#REF!"</definedName>
    <definedName name="REPORTE">#REF!</definedName>
    <definedName name="REPUESTOS">#REF!</definedName>
    <definedName name="ReqAs">#REF!</definedName>
    <definedName name="reqbar">#REF!</definedName>
    <definedName name="res">#REF!</definedName>
    <definedName name="RES_COSTOS">#REF!</definedName>
    <definedName name="Reselects">#REF!</definedName>
    <definedName name="Resumen">#REF!</definedName>
    <definedName name="Resumen_General">#REF!</definedName>
    <definedName name="ResumenGeneral">#REF!</definedName>
    <definedName name="resursos">#REF!</definedName>
    <definedName name="ResVal">#REF!</definedName>
    <definedName name="Ret_1">#REF!</definedName>
    <definedName name="Ret_10">#REF!</definedName>
    <definedName name="Ret_2">#REF!</definedName>
    <definedName name="Ret_3">#REF!</definedName>
    <definedName name="Ret_4">#REF!</definedName>
    <definedName name="Ret_5">#REF!</definedName>
    <definedName name="Ret_6">#REF!</definedName>
    <definedName name="Ret_7">#REF!</definedName>
    <definedName name="Ret_8">#REF!</definedName>
    <definedName name="Ret_9">#REF!</definedName>
    <definedName name="Retencion">#REF!</definedName>
    <definedName name="rev">#REF!</definedName>
    <definedName name="REVALM">#REF!</definedName>
    <definedName name="REVESTIMIENTO">#REF!</definedName>
    <definedName name="REVISAR">#REF!</definedName>
    <definedName name="REVISAR1">#REF!</definedName>
    <definedName name="REVOQUE">#REF!</definedName>
    <definedName name="RFA">#REF!</definedName>
    <definedName name="RFB">#REF!</definedName>
    <definedName name="RFC">#REF!</definedName>
    <definedName name="RFE">#REF!</definedName>
    <definedName name="RFF">#REF!</definedName>
    <definedName name="RFG">#REF!</definedName>
    <definedName name="rfgb" localSheetId="9" hidden="1">{#N/A,#N/A,FALSE,"SumG";#N/A,#N/A,FALSE,"ElecG";#N/A,#N/A,FALSE,"MechG";#N/A,#N/A,FALSE,"GeotG";#N/A,#N/A,FALSE,"PrcsG";#N/A,#N/A,FALSE,"TunnG";#N/A,#N/A,FALSE,"CivlG";#N/A,#N/A,FALSE,"NtwkG";#N/A,#N/A,FALSE,"EstgG";#N/A,#N/A,FALSE,"PEngG"}</definedName>
    <definedName name="rfgb" localSheetId="8" hidden="1">{#N/A,#N/A,FALSE,"SumG";#N/A,#N/A,FALSE,"ElecG";#N/A,#N/A,FALSE,"MechG";#N/A,#N/A,FALSE,"GeotG";#N/A,#N/A,FALSE,"PrcsG";#N/A,#N/A,FALSE,"TunnG";#N/A,#N/A,FALSE,"CivlG";#N/A,#N/A,FALSE,"NtwkG";#N/A,#N/A,FALSE,"EstgG";#N/A,#N/A,FALSE,"PEngG"}</definedName>
    <definedName name="rfgb" hidden="1">{#N/A,#N/A,FALSE,"SumG";#N/A,#N/A,FALSE,"ElecG";#N/A,#N/A,FALSE,"MechG";#N/A,#N/A,FALSE,"GeotG";#N/A,#N/A,FALSE,"PrcsG";#N/A,#N/A,FALSE,"TunnG";#N/A,#N/A,FALSE,"CivlG";#N/A,#N/A,FALSE,"NtwkG";#N/A,#N/A,FALSE,"EstgG";#N/A,#N/A,FALSE,"PEngG"}</definedName>
    <definedName name="RFP003A">#REF!</definedName>
    <definedName name="RFP003B">#REF!</definedName>
    <definedName name="RFP003C">#REF!</definedName>
    <definedName name="RFP003D">#REF!</definedName>
    <definedName name="RFP003E">#REF!</definedName>
    <definedName name="RFP003F">#REF!</definedName>
    <definedName name="RGRAL">#REF!</definedName>
    <definedName name="rho">#REF!</definedName>
    <definedName name="RI">#REF!</definedName>
    <definedName name="RI_A">#REF!</definedName>
    <definedName name="RI_S">#REF!</definedName>
    <definedName name="RINA">#REF!</definedName>
    <definedName name="RinconJumbo">#REF!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1</definedName>
    <definedName name="RiskTemplateSheetName">"myTemplate"</definedName>
    <definedName name="RiskUpdateDisplay" hidden="1">FALSE</definedName>
    <definedName name="RiskUseDifferentSeedForEachSim" hidden="1">FALSE</definedName>
    <definedName name="RiskUseFixedSeed" hidden="1">FALSE</definedName>
    <definedName name="RiskUseMultipleCPUs" hidden="1">FALSE</definedName>
    <definedName name="rMapa">#REF!</definedName>
    <definedName name="rMateriales">#REF!</definedName>
    <definedName name="Rn">#REF!</definedName>
    <definedName name="ro">#REF!</definedName>
    <definedName name="ro_m">#REF!</definedName>
    <definedName name="ROBolsa" localSheetId="9" hidden="1">{#N/A,#N/A,FALSE,"SumD";#N/A,#N/A,FALSE,"ElecD";#N/A,#N/A,FALSE,"MechD";#N/A,#N/A,FALSE,"GeotD";#N/A,#N/A,FALSE,"PrcsD";#N/A,#N/A,FALSE,"TunnD";#N/A,#N/A,FALSE,"CivlD";#N/A,#N/A,FALSE,"NtwkD";#N/A,#N/A,FALSE,"EstgD";#N/A,#N/A,FALSE,"PEngD"}</definedName>
    <definedName name="ROBolsa" localSheetId="8" hidden="1">{#N/A,#N/A,FALSE,"SumD";#N/A,#N/A,FALSE,"ElecD";#N/A,#N/A,FALSE,"MechD";#N/A,#N/A,FALSE,"GeotD";#N/A,#N/A,FALSE,"PrcsD";#N/A,#N/A,FALSE,"TunnD";#N/A,#N/A,FALSE,"CivlD";#N/A,#N/A,FALSE,"NtwkD";#N/A,#N/A,FALSE,"EstgD";#N/A,#N/A,FALSE,"PEngD"}</definedName>
    <definedName name="ROBolsa" hidden="1">{#N/A,#N/A,FALSE,"SumD";#N/A,#N/A,FALSE,"ElecD";#N/A,#N/A,FALSE,"MechD";#N/A,#N/A,FALSE,"GeotD";#N/A,#N/A,FALSE,"PrcsD";#N/A,#N/A,FALSE,"TunnD";#N/A,#N/A,FALSE,"CivlD";#N/A,#N/A,FALSE,"NtwkD";#N/A,#N/A,FALSE,"EstgD";#N/A,#N/A,FALSE,"PEngD"}</definedName>
    <definedName name="rObra">#REF!</definedName>
    <definedName name="rObras">#REF!</definedName>
    <definedName name="rodillo">#REF!</definedName>
    <definedName name="ROLDADO">"#REF!"</definedName>
    <definedName name="rox">#REF!</definedName>
    <definedName name="roz">#REF!</definedName>
    <definedName name="roz_m">#REF!</definedName>
    <definedName name="RPHA">#REF!</definedName>
    <definedName name="rr" localSheetId="9" hidden="1">{#N/A,#N/A,FALSE,"SumD";#N/A,#N/A,FALSE,"ElecD";#N/A,#N/A,FALSE,"MechD";#N/A,#N/A,FALSE,"GeotD";#N/A,#N/A,FALSE,"PrcsD";#N/A,#N/A,FALSE,"TunnD";#N/A,#N/A,FALSE,"CivlD";#N/A,#N/A,FALSE,"NtwkD";#N/A,#N/A,FALSE,"EstgD";#N/A,#N/A,FALSE,"PEngD"}</definedName>
    <definedName name="rr" localSheetId="8"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esursos">#REF!</definedName>
    <definedName name="rrrff" localSheetId="9" hidden="1">{#N/A,#N/A,FALSE,"SumG";#N/A,#N/A,FALSE,"ElecG";#N/A,#N/A,FALSE,"MechG";#N/A,#N/A,FALSE,"GeotG";#N/A,#N/A,FALSE,"PrcsG";#N/A,#N/A,FALSE,"TunnG";#N/A,#N/A,FALSE,"CivlG";#N/A,#N/A,FALSE,"NtwkG";#N/A,#N/A,FALSE,"EstgG";#N/A,#N/A,FALSE,"PEngG"}</definedName>
    <definedName name="rrrff" localSheetId="8" hidden="1">{#N/A,#N/A,FALSE,"SumG";#N/A,#N/A,FALSE,"ElecG";#N/A,#N/A,FALSE,"MechG";#N/A,#N/A,FALSE,"GeotG";#N/A,#N/A,FALSE,"PrcsG";#N/A,#N/A,FALSE,"TunnG";#N/A,#N/A,FALSE,"CivlG";#N/A,#N/A,FALSE,"NtwkG";#N/A,#N/A,FALSE,"EstgG";#N/A,#N/A,FALSE,"PEngG"}</definedName>
    <definedName name="rrrff" hidden="1">{#N/A,#N/A,FALSE,"SumG";#N/A,#N/A,FALSE,"ElecG";#N/A,#N/A,FALSE,"MechG";#N/A,#N/A,FALSE,"GeotG";#N/A,#N/A,FALSE,"PrcsG";#N/A,#N/A,FALSE,"TunnG";#N/A,#N/A,FALSE,"CivlG";#N/A,#N/A,FALSE,"NtwkG";#N/A,#N/A,FALSE,"EstgG";#N/A,#N/A,FALSE,"PEngG"}</definedName>
    <definedName name="rrrrrr" localSheetId="9" hidden="1">{#N/A,#N/A,FALSE,"SumD";#N/A,#N/A,FALSE,"ElecD";#N/A,#N/A,FALSE,"MechD";#N/A,#N/A,FALSE,"GeotD";#N/A,#N/A,FALSE,"PrcsD";#N/A,#N/A,FALSE,"TunnD";#N/A,#N/A,FALSE,"CivlD";#N/A,#N/A,FALSE,"NtwkD";#N/A,#N/A,FALSE,"EstgD";#N/A,#N/A,FALSE,"PEngD"}</definedName>
    <definedName name="rrrrrr" localSheetId="8" hidden="1">{#N/A,#N/A,FALSE,"SumD";#N/A,#N/A,FALSE,"ElecD";#N/A,#N/A,FALSE,"MechD";#N/A,#N/A,FALSE,"GeotD";#N/A,#N/A,FALSE,"PrcsD";#N/A,#N/A,FALSE,"TunnD";#N/A,#N/A,FALSE,"CivlD";#N/A,#N/A,FALSE,"NtwkD";#N/A,#N/A,FALSE,"EstgD";#N/A,#N/A,FALSE,"PEngD"}</definedName>
    <definedName name="rrrrrr" hidden="1">{#N/A,#N/A,FALSE,"SumD";#N/A,#N/A,FALSE,"ElecD";#N/A,#N/A,FALSE,"MechD";#N/A,#N/A,FALSE,"GeotD";#N/A,#N/A,FALSE,"PrcsD";#N/A,#N/A,FALSE,"TunnD";#N/A,#N/A,FALSE,"CivlD";#N/A,#N/A,FALSE,"NtwkD";#N/A,#N/A,FALSE,"EstgD";#N/A,#N/A,FALSE,"PEngD"}</definedName>
    <definedName name="rrrrrrr" localSheetId="9" hidden="1">{#N/A,#N/A,FALSE,"SumD";#N/A,#N/A,FALSE,"ElecD";#N/A,#N/A,FALSE,"MechD";#N/A,#N/A,FALSE,"GeotD";#N/A,#N/A,FALSE,"PrcsD";#N/A,#N/A,FALSE,"TunnD";#N/A,#N/A,FALSE,"CivlD";#N/A,#N/A,FALSE,"NtwkD";#N/A,#N/A,FALSE,"EstgD";#N/A,#N/A,FALSE,"PEngD"}</definedName>
    <definedName name="rrrrrrr" localSheetId="8" hidden="1">{#N/A,#N/A,FALSE,"SumD";#N/A,#N/A,FALSE,"ElecD";#N/A,#N/A,FALSE,"MechD";#N/A,#N/A,FALSE,"GeotD";#N/A,#N/A,FALSE,"PrcsD";#N/A,#N/A,FALSE,"TunnD";#N/A,#N/A,FALSE,"CivlD";#N/A,#N/A,FALSE,"NtwkD";#N/A,#N/A,FALSE,"EstgD";#N/A,#N/A,FALSE,"PEngD"}</definedName>
    <definedName name="rrrrrrr" hidden="1">{#N/A,#N/A,FALSE,"SumD";#N/A,#N/A,FALSE,"ElecD";#N/A,#N/A,FALSE,"MechD";#N/A,#N/A,FALSE,"GeotD";#N/A,#N/A,FALSE,"PrcsD";#N/A,#N/A,FALSE,"TunnD";#N/A,#N/A,FALSE,"CivlD";#N/A,#N/A,FALSE,"NtwkD";#N/A,#N/A,FALSE,"EstgD";#N/A,#N/A,FALSE,"PEngD"}</definedName>
    <definedName name="RRRRRRRRRRRRRRRRRRRRRRRRRRRRRRRRRRRRRR" localSheetId="9" hidden="1">#REF!</definedName>
    <definedName name="RRRRRRRRRRRRRRRRRRRRRRRRRRRRRRRRRRRRRR" localSheetId="8" hidden="1">#REF!</definedName>
    <definedName name="RRRRRRRRRRRRRRRRRRRRRRRRRRRRRRRRRRRRRR" hidden="1">#REF!</definedName>
    <definedName name="rs">#REF!</definedName>
    <definedName name="Rten">#REF!</definedName>
    <definedName name="rtr">#REF!</definedName>
    <definedName name="rtytyu">#REF!</definedName>
    <definedName name="rUnMedida">#REF!</definedName>
    <definedName name="RV">#REF!</definedName>
    <definedName name="RV_A">#REF!</definedName>
    <definedName name="RV_S">#REF!</definedName>
    <definedName name="Rx">#REF!</definedName>
    <definedName name="rx__cm">#REF!</definedName>
    <definedName name="Rxq">#REF!</definedName>
    <definedName name="Rxw">#REF!</definedName>
    <definedName name="Ry">#REF!</definedName>
    <definedName name="Ryq">#REF!</definedName>
    <definedName name="Ryw">#REF!</definedName>
    <definedName name="rz__cm">#REF!</definedName>
    <definedName name="s">#REF!</definedName>
    <definedName name="s_1">#REF!</definedName>
    <definedName name="s_2">#REF!</definedName>
    <definedName name="s_3">#REF!</definedName>
    <definedName name="s_4">#REF!</definedName>
    <definedName name="s_c">#REF!</definedName>
    <definedName name="s_con">#REF!</definedName>
    <definedName name="S_M_D_S">#N/A</definedName>
    <definedName name="S1_2">#REF!</definedName>
    <definedName name="S2_2">#REF!</definedName>
    <definedName name="SA">(#REF!,#REF!)</definedName>
    <definedName name="SAL">#REF!</definedName>
    <definedName name="Sale14">#REF!</definedName>
    <definedName name="Sale3">#REF!</definedName>
    <definedName name="Sale4">#REF!</definedName>
    <definedName name="SALE8">#REF!</definedName>
    <definedName name="SALESPLAN">#REF!</definedName>
    <definedName name="salida">#REF!</definedName>
    <definedName name="salidas">#REF!</definedName>
    <definedName name="sallow">#REF!</definedName>
    <definedName name="sand">#REF!,#REF!</definedName>
    <definedName name="SanPedro">#REF!</definedName>
    <definedName name="sbarea">#REF!</definedName>
    <definedName name="SBH">#REF!</definedName>
    <definedName name="SBM">#REF!</definedName>
    <definedName name="SBM_1">#REF!</definedName>
    <definedName name="SBM_1P">#REF!</definedName>
    <definedName name="SBM_2">#REF!</definedName>
    <definedName name="SBM_2P">#REF!</definedName>
    <definedName name="SC">#REF!</definedName>
    <definedName name="SCREED">#REF!</definedName>
    <definedName name="sd" localSheetId="9" hidden="1">{#N/A,#N/A,FALSE,"SumG";#N/A,#N/A,FALSE,"ElecG";#N/A,#N/A,FALSE,"MechG";#N/A,#N/A,FALSE,"GeotG";#N/A,#N/A,FALSE,"PrcsG";#N/A,#N/A,FALSE,"TunnG";#N/A,#N/A,FALSE,"CivlG";#N/A,#N/A,FALSE,"NtwkG";#N/A,#N/A,FALSE,"EstgG";#N/A,#N/A,FALSE,"PEngG"}</definedName>
    <definedName name="sd" localSheetId="8"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frtg" localSheetId="9" hidden="1">{#N/A,#N/A,FALSE,"SumG";#N/A,#N/A,FALSE,"ElecG";#N/A,#N/A,FALSE,"MechG";#N/A,#N/A,FALSE,"GeotG";#N/A,#N/A,FALSE,"PrcsG";#N/A,#N/A,FALSE,"TunnG";#N/A,#N/A,FALSE,"CivlG";#N/A,#N/A,FALSE,"NtwkG";#N/A,#N/A,FALSE,"EstgG";#N/A,#N/A,FALSE,"PEngG"}</definedName>
    <definedName name="sdfrtg" localSheetId="8" hidden="1">{#N/A,#N/A,FALSE,"SumG";#N/A,#N/A,FALSE,"ElecG";#N/A,#N/A,FALSE,"MechG";#N/A,#N/A,FALSE,"GeotG";#N/A,#N/A,FALSE,"PrcsG";#N/A,#N/A,FALSE,"TunnG";#N/A,#N/A,FALSE,"CivlG";#N/A,#N/A,FALSE,"NtwkG";#N/A,#N/A,FALSE,"EstgG";#N/A,#N/A,FALSE,"PEngG"}</definedName>
    <definedName name="sdfrtg" hidden="1">{#N/A,#N/A,FALSE,"SumG";#N/A,#N/A,FALSE,"ElecG";#N/A,#N/A,FALSE,"MechG";#N/A,#N/A,FALSE,"GeotG";#N/A,#N/A,FALSE,"PrcsG";#N/A,#N/A,FALSE,"TunnG";#N/A,#N/A,FALSE,"CivlG";#N/A,#N/A,FALSE,"NtwkG";#N/A,#N/A,FALSE,"EstgG";#N/A,#N/A,FALSE,"PEngG"}</definedName>
    <definedName name="sdp">#REF!</definedName>
    <definedName name="sds">#REF!</definedName>
    <definedName name="SDSDSD">#REF!</definedName>
    <definedName name="sdsffg" localSheetId="9" hidden="1">{#N/A,#N/A,FALSE,"SumG";#N/A,#N/A,FALSE,"ElecG";#N/A,#N/A,FALSE,"MechG";#N/A,#N/A,FALSE,"GeotG";#N/A,#N/A,FALSE,"PrcsG";#N/A,#N/A,FALSE,"TunnG";#N/A,#N/A,FALSE,"CivlG";#N/A,#N/A,FALSE,"NtwkG";#N/A,#N/A,FALSE,"EstgG";#N/A,#N/A,FALSE,"PEngG"}</definedName>
    <definedName name="sdsffg" localSheetId="8" hidden="1">{#N/A,#N/A,FALSE,"SumG";#N/A,#N/A,FALSE,"ElecG";#N/A,#N/A,FALSE,"MechG";#N/A,#N/A,FALSE,"GeotG";#N/A,#N/A,FALSE,"PrcsG";#N/A,#N/A,FALSE,"TunnG";#N/A,#N/A,FALSE,"CivlG";#N/A,#N/A,FALSE,"NtwkG";#N/A,#N/A,FALSE,"EstgG";#N/A,#N/A,FALSE,"PEngG"}</definedName>
    <definedName name="sdsffg" hidden="1">{#N/A,#N/A,FALSE,"SumG";#N/A,#N/A,FALSE,"ElecG";#N/A,#N/A,FALSE,"MechG";#N/A,#N/A,FALSE,"GeotG";#N/A,#N/A,FALSE,"PrcsG";#N/A,#N/A,FALSE,"TunnG";#N/A,#N/A,FALSE,"CivlG";#N/A,#N/A,FALSE,"NtwkG";#N/A,#N/A,FALSE,"EstgG";#N/A,#N/A,FALSE,"PEngG"}</definedName>
    <definedName name="SEAL">#REF!</definedName>
    <definedName name="Sect9.2_or_AppC">#REF!</definedName>
    <definedName name="SECTOR_A">#REF!</definedName>
    <definedName name="SECTOR_B">#REF!</definedName>
    <definedName name="SEGUNDA">#REF!</definedName>
    <definedName name="seguros_externos">#REF!</definedName>
    <definedName name="seguros_internos">#REF!</definedName>
    <definedName name="sek">#REF!</definedName>
    <definedName name="selectcr">#REF!</definedName>
    <definedName name="selectipo">#REF!</definedName>
    <definedName name="sellador">#REF!</definedName>
    <definedName name="SEM">#REF!</definedName>
    <definedName name="SEÑAL_NORMATIVIDAD">#REF!</definedName>
    <definedName name="SEÑAL_SEGURIDAD">#REF!</definedName>
    <definedName name="SENATI">#REF!</definedName>
    <definedName name="sencount" hidden="1">1</definedName>
    <definedName name="ServerName">#REF!</definedName>
    <definedName name="Services2" localSheetId="9"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ICIOS">"#REF!"</definedName>
    <definedName name="severidad">#REF!</definedName>
    <definedName name="SF">#REF!</definedName>
    <definedName name="SF000PP">#REF!</definedName>
    <definedName name="SF1300SP">#REF!</definedName>
    <definedName name="SF1625M">#REF!</definedName>
    <definedName name="SF1950CP">#REF!</definedName>
    <definedName name="SF325M">#REF!</definedName>
    <definedName name="SF620S">#REF!</definedName>
    <definedName name="SF650SP">#REF!</definedName>
    <definedName name="SF975M">#REF!</definedName>
    <definedName name="SFA">#REF!</definedName>
    <definedName name="SFB">#REF!</definedName>
    <definedName name="SFC">#REF!</definedName>
    <definedName name="sffff" localSheetId="9"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G">#REF!</definedName>
    <definedName name="sh">#REF!</definedName>
    <definedName name="SHA">#REF!</definedName>
    <definedName name="shape">#REF!</definedName>
    <definedName name="sharp">#REF!</definedName>
    <definedName name="shear">#REF!</definedName>
    <definedName name="Shear_c_1">#REF!</definedName>
    <definedName name="Shear_c_2">#REF!</definedName>
    <definedName name="Shear_Ratio">#REF!</definedName>
    <definedName name="Shear_s_2">#REF!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#REF!</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ell">#REF!</definedName>
    <definedName name="sika1">#REF!</definedName>
    <definedName name="sikapiso40">#REF!</definedName>
    <definedName name="Sinnombre">#REF!</definedName>
    <definedName name="SISTEMA1">#REF!</definedName>
    <definedName name="SISTEMA2">#REF!</definedName>
    <definedName name="SIZE">#REF!</definedName>
    <definedName name="size1">#REF!</definedName>
    <definedName name="SIZEC">#REF!</definedName>
    <definedName name="SizeCu">#REF!</definedName>
    <definedName name="SizeCuT">#REF!</definedName>
    <definedName name="SizeDuct">#REF!</definedName>
    <definedName name="SizeFRP">#REF!</definedName>
    <definedName name="SizeHDPE">#REF!</definedName>
    <definedName name="SizePVC">#REF!</definedName>
    <definedName name="SizePVCP">#REF!</definedName>
    <definedName name="SizeRu">#REF!</definedName>
    <definedName name="SizeRub">#REF!</definedName>
    <definedName name="Sizes">#REF!</definedName>
    <definedName name="SizeSS">#REF!</definedName>
    <definedName name="SizeSteel">#REF!</definedName>
    <definedName name="SK">#REF!</definedName>
    <definedName name="slab">#REF!</definedName>
    <definedName name="slabthk">#REF!</definedName>
    <definedName name="slope">#REF!</definedName>
    <definedName name="SM">#REF!</definedName>
    <definedName name="smax">#REF!</definedName>
    <definedName name="SMLTOOLS">#REF!</definedName>
    <definedName name="SMM_1">#REF!</definedName>
    <definedName name="SMM_1N">#REF!</definedName>
    <definedName name="SMM_1P">#REF!</definedName>
    <definedName name="SMM_2">#REF!</definedName>
    <definedName name="SMM_2N">#REF!</definedName>
    <definedName name="SMM_2P">#REF!</definedName>
    <definedName name="SmokeRating">#REF!</definedName>
    <definedName name="Sol">#REF!</definedName>
    <definedName name="solado">#REF!</definedName>
    <definedName name="solado.5cm">#REF!</definedName>
    <definedName name="solado10">#REF!</definedName>
    <definedName name="solado5">#REF!</definedName>
    <definedName name="solado5cm">#REF!</definedName>
    <definedName name="solado5cm.">#REF!</definedName>
    <definedName name="Soldador_Calificado_6G">#REF!</definedName>
    <definedName name="Soldador_Plancha">#REF!</definedName>
    <definedName name="SOLDADURA">"#REF!"</definedName>
    <definedName name="SOLES">#REF!</definedName>
    <definedName name="sot">#REF!</definedName>
    <definedName name="space">#N/A</definedName>
    <definedName name="spaces">#N/A</definedName>
    <definedName name="span">#REF!</definedName>
    <definedName name="SPEC">#REF!</definedName>
    <definedName name="SPORT1" localSheetId="9" hidden="1">#REF!</definedName>
    <definedName name="SPORT1" localSheetId="8" hidden="1">#REF!</definedName>
    <definedName name="SPORT1" hidden="1">#REF!</definedName>
    <definedName name="Sprinksize">#REF!</definedName>
    <definedName name="ss" localSheetId="9">#REF!</definedName>
    <definedName name="ss" localSheetId="8">#REF!</definedName>
    <definedName name="SS" hidden="1">#REF!</definedName>
    <definedName name="ss___0">#REF!</definedName>
    <definedName name="ss___1">#REF!</definedName>
    <definedName name="ss_con">#REF!</definedName>
    <definedName name="SSHH1">#REF!</definedName>
    <definedName name="SSHH2">#REF!</definedName>
    <definedName name="SSHH3">#REF!</definedName>
    <definedName name="SSIZE">#REF!</definedName>
    <definedName name="SSS" localSheetId="9" hidden="1">{"CONCABL1.1",#N/A,FALSE,"1.1.1a1.1.3 ACSR";"AISL1.2",#N/A,FALSE,"1.1.1a1.1.3 ACSR";"torr1.1.3",#N/A,FALSE,"1.1.1a1.1.3 ACSR";"cm1.2",#N/A,FALSE,"1.2 ACSR";"cm2.2",#N/A,FALSE,"1.2 ACSR";#N/A,#N/A,FALSE,"1.3 ACSR";#N/A,#N/A,FALSE,"2.1.1A2.1.3 ACAR";"ac2.1",#N/A,FALSE,"1.2 ACAR";"ac2.2",#N/A,FALSE,"1.2 ACAR";#N/A,#N/A,FALSE,"2.3 ACAR"}</definedName>
    <definedName name="SSS" localSheetId="8" hidden="1">{"CONCABL1.1",#N/A,FALSE,"1.1.1a1.1.3 ACSR";"AISL1.2",#N/A,FALSE,"1.1.1a1.1.3 ACSR";"torr1.1.3",#N/A,FALSE,"1.1.1a1.1.3 ACSR";"cm1.2",#N/A,FALSE,"1.2 ACSR";"cm2.2",#N/A,FALSE,"1.2 ACSR";#N/A,#N/A,FALSE,"1.3 ACSR";#N/A,#N/A,FALSE,"2.1.1A2.1.3 ACAR";"ac2.1",#N/A,FALSE,"1.2 ACAR";"ac2.2",#N/A,FALSE,"1.2 ACAR";#N/A,#N/A,FALSE,"2.3 ACAR"}</definedName>
    <definedName name="SSS" hidden="1">{"CONCABL1.1",#N/A,FALSE,"1.1.1a1.1.3 ACSR";"AISL1.2",#N/A,FALSE,"1.1.1a1.1.3 ACSR";"torr1.1.3",#N/A,FALSE,"1.1.1a1.1.3 ACSR";"cm1.2",#N/A,FALSE,"1.2 ACSR";"cm2.2",#N/A,FALSE,"1.2 ACSR";#N/A,#N/A,FALSE,"1.3 ACSR";#N/A,#N/A,FALSE,"2.1.1A2.1.3 ACAR";"ac2.1",#N/A,FALSE,"1.2 ACAR";"ac2.2",#N/A,FALSE,"1.2 ACAR";#N/A,#N/A,FALSE,"2.3 ACAR"}</definedName>
    <definedName name="sss___0">#REF!</definedName>
    <definedName name="sss___1">#REF!</definedName>
    <definedName name="ssshhh" localSheetId="9"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#REF!</definedName>
    <definedName name="sssss" localSheetId="9" hidden="1">{#N/A,#N/A,FALSE,"SumD";#N/A,#N/A,FALSE,"ElecD";#N/A,#N/A,FALSE,"MechD";#N/A,#N/A,FALSE,"GeotD";#N/A,#N/A,FALSE,"PrcsD";#N/A,#N/A,FALSE,"TunnD";#N/A,#N/A,FALSE,"CivlD";#N/A,#N/A,FALSE,"NtwkD";#N/A,#N/A,FALSE,"EstgD";#N/A,#N/A,FALSE,"PEngD"}</definedName>
    <definedName name="sssss" localSheetId="8" hidden="1">{#N/A,#N/A,FALSE,"SumD";#N/A,#N/A,FALSE,"ElecD";#N/A,#N/A,FALSE,"MechD";#N/A,#N/A,FALSE,"GeotD";#N/A,#N/A,FALSE,"PrcsD";#N/A,#N/A,FALSE,"TunnD";#N/A,#N/A,FALSE,"CivlD";#N/A,#N/A,FALSE,"NtwkD";#N/A,#N/A,FALSE,"EstgD";#N/A,#N/A,FALSE,"PEngD"}</definedName>
    <definedName name="sssss" hidden="1">{#N/A,#N/A,FALSE,"SumD";#N/A,#N/A,FALSE,"ElecD";#N/A,#N/A,FALSE,"MechD";#N/A,#N/A,FALSE,"GeotD";#N/A,#N/A,FALSE,"PrcsD";#N/A,#N/A,FALSE,"TunnD";#N/A,#N/A,FALSE,"CivlD";#N/A,#N/A,FALSE,"NtwkD";#N/A,#N/A,FALSE,"EstgD";#N/A,#N/A,FALSE,"PEngD"}</definedName>
    <definedName name="ssssssss" localSheetId="9" hidden="1">{"CONCABL1.1",#N/A,FALSE,"1.1.1a1.1.3 ACSR";"AISL1.2",#N/A,FALSE,"1.1.1a1.1.3 ACSR";"torr1.1.3",#N/A,FALSE,"1.1.1a1.1.3 ACSR";"cm1.2",#N/A,FALSE,"1.2 ACSR";"cm2.2",#N/A,FALSE,"1.2 ACSR";#N/A,#N/A,FALSE,"1.3 ACSR";#N/A,#N/A,FALSE,"2.1.1A2.1.3 ACAR";"ac2.1",#N/A,FALSE,"1.2 ACAR";"ac2.2",#N/A,FALSE,"1.2 ACAR";#N/A,#N/A,FALSE,"2.3 ACAR"}</definedName>
    <definedName name="ssssssss" localSheetId="8" hidden="1">{"CONCABL1.1",#N/A,FALSE,"1.1.1a1.1.3 ACSR";"AISL1.2",#N/A,FALSE,"1.1.1a1.1.3 ACSR";"torr1.1.3",#N/A,FALSE,"1.1.1a1.1.3 ACSR";"cm1.2",#N/A,FALSE,"1.2 ACSR";"cm2.2",#N/A,FALSE,"1.2 ACSR";#N/A,#N/A,FALSE,"1.3 ACSR";#N/A,#N/A,FALSE,"2.1.1A2.1.3 ACAR";"ac2.1",#N/A,FALSE,"1.2 ACAR";"ac2.2",#N/A,FALSE,"1.2 ACAR";#N/A,#N/A,FALSE,"2.3 ACAR"}</definedName>
    <definedName name="ssssssss" hidden="1">{"CONCABL1.1",#N/A,FALSE,"1.1.1a1.1.3 ACSR";"AISL1.2",#N/A,FALSE,"1.1.1a1.1.3 ACSR";"torr1.1.3",#N/A,FALSE,"1.1.1a1.1.3 ACSR";"cm1.2",#N/A,FALSE,"1.2 ACSR";"cm2.2",#N/A,FALSE,"1.2 ACSR";#N/A,#N/A,FALSE,"1.3 ACSR";#N/A,#N/A,FALSE,"2.1.1A2.1.3 ACAR";"ac2.1",#N/A,FALSE,"1.2 ACAR";"ac2.2",#N/A,FALSE,"1.2 ACAR";#N/A,#N/A,FALSE,"2.3 ACAR"}</definedName>
    <definedName name="ssssssssss">#REF!</definedName>
    <definedName name="STAFF">#REF!</definedName>
    <definedName name="STAMPA">#REF!</definedName>
    <definedName name="start">#REF!</definedName>
    <definedName name="StartTime">#REF!</definedName>
    <definedName name="STB">#REF!</definedName>
    <definedName name="stc">#REF!</definedName>
    <definedName name="steam_trap">#REF!</definedName>
    <definedName name="STEELSECT">#REF!</definedName>
    <definedName name="STHK">#REF!</definedName>
    <definedName name="Stl_Cap_Shear">#REF!</definedName>
    <definedName name="Stl_Cap_Tension">#REF!</definedName>
    <definedName name="Stm">#REF!</definedName>
    <definedName name="stmin">#REF!</definedName>
    <definedName name="str">#REF!</definedName>
    <definedName name="stratio">#REF!</definedName>
    <definedName name="stress">#REF!</definedName>
    <definedName name="sts">#REF!</definedName>
    <definedName name="SUBCON">#REF!</definedName>
    <definedName name="SUBCON1">#REF!</definedName>
    <definedName name="SUM_DEP" localSheetId="9" hidden="1">{"CONCABL1.1",#N/A,FALSE,"1.1.1a1.1.3 ACSR";"AISL1.2",#N/A,FALSE,"1.1.1a1.1.3 ACSR";"torr1.1.3",#N/A,FALSE,"1.1.1a1.1.3 ACSR";"cm1.2",#N/A,FALSE,"1.2 ACSR";"cm2.2",#N/A,FALSE,"1.2 ACSR";#N/A,#N/A,FALSE,"1.3 ACSR";#N/A,#N/A,FALSE,"2.1.1A2.1.3 ACAR";"ac2.1",#N/A,FALSE,"1.2 ACAR";"ac2.2",#N/A,FALSE,"1.2 ACAR";#N/A,#N/A,FALSE,"2.3 ACAR"}</definedName>
    <definedName name="SUM_DEP" localSheetId="8" hidden="1">{"CONCABL1.1",#N/A,FALSE,"1.1.1a1.1.3 ACSR";"AISL1.2",#N/A,FALSE,"1.1.1a1.1.3 ACSR";"torr1.1.3",#N/A,FALSE,"1.1.1a1.1.3 ACSR";"cm1.2",#N/A,FALSE,"1.2 ACSR";"cm2.2",#N/A,FALSE,"1.2 ACSR";#N/A,#N/A,FALSE,"1.3 ACSR";#N/A,#N/A,FALSE,"2.1.1A2.1.3 ACAR";"ac2.1",#N/A,FALSE,"1.2 ACAR";"ac2.2",#N/A,FALSE,"1.2 ACAR";#N/A,#N/A,FALSE,"2.3 ACAR"}</definedName>
    <definedName name="SUM_DEP" hidden="1">{"CONCABL1.1",#N/A,FALSE,"1.1.1a1.1.3 ACSR";"AISL1.2",#N/A,FALSE,"1.1.1a1.1.3 ACSR";"torr1.1.3",#N/A,FALSE,"1.1.1a1.1.3 ACSR";"cm1.2",#N/A,FALSE,"1.2 ACSR";"cm2.2",#N/A,FALSE,"1.2 ACSR";#N/A,#N/A,FALSE,"1.3 ACSR";#N/A,#N/A,FALSE,"2.1.1A2.1.3 ACAR";"ac2.1",#N/A,FALSE,"1.2 ACAR";"ac2.2",#N/A,FALSE,"1.2 ACAR";#N/A,#N/A,FALSE,"2.3 ACAR"}</definedName>
    <definedName name="suma">#REF!</definedName>
    <definedName name="SUMARY">#REF!</definedName>
    <definedName name="SUMINISTRO">#REF!</definedName>
    <definedName name="summary">#REF!</definedName>
    <definedName name="Sup">#REF!</definedName>
    <definedName name="Superestructura">#REF!</definedName>
    <definedName name="SUPERVISION">#REF!</definedName>
    <definedName name="SUPERVISOR">#REF!</definedName>
    <definedName name="surcharge">#REF!</definedName>
    <definedName name="Surf2">#REF!</definedName>
    <definedName name="surflex">#REF!</definedName>
    <definedName name="sv">#REF!</definedName>
    <definedName name="SWFE" localSheetId="9" hidden="1">#REF!</definedName>
    <definedName name="SWFE" localSheetId="8" hidden="1">#REF!</definedName>
    <definedName name="SWFE" hidden="1">#REF!</definedName>
    <definedName name="swp">#REF!</definedName>
    <definedName name="SYS">#REF!</definedName>
    <definedName name="System">#REF!</definedName>
    <definedName name="T">#REF!</definedName>
    <definedName name="T.C">NA()</definedName>
    <definedName name="T_">#REF!</definedName>
    <definedName name="T_2">#N/A</definedName>
    <definedName name="T_3">#N/A</definedName>
    <definedName name="T_4">#N/A</definedName>
    <definedName name="T_DATE_FLUOR">#REF!</definedName>
    <definedName name="T_DATE_IMECON">#REF!</definedName>
    <definedName name="T_FIERRO">#REF!</definedName>
    <definedName name="T2_">#N/A</definedName>
    <definedName name="ta">#REF!</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0">#REF!</definedName>
    <definedName name="tab_201">#REF!</definedName>
    <definedName name="TABLA">#REF!</definedName>
    <definedName name="TablaProv">#REF!</definedName>
    <definedName name="Table">#REF!</definedName>
    <definedName name="Table1">#REF!</definedName>
    <definedName name="TABLEPRI">#REF!</definedName>
    <definedName name="Tag_no.">#REF!</definedName>
    <definedName name="TagRange">#REF!</definedName>
    <definedName name="TagTable">#REF!</definedName>
    <definedName name="tank_CT">#REF!</definedName>
    <definedName name="Tanques" localSheetId="9" hidden="1">{#N/A,#N/A,TRUE,"1842CWN0"}</definedName>
    <definedName name="Tanques" localSheetId="8" hidden="1">{#N/A,#N/A,TRUE,"1842CWN0"}</definedName>
    <definedName name="Tanques" hidden="1">{#N/A,#N/A,TRUE,"1842CWN0"}</definedName>
    <definedName name="tar">#REF!</definedName>
    <definedName name="Target_FOB">#REF!</definedName>
    <definedName name="TarifasHorarias">#REF!</definedName>
    <definedName name="Tarrajeo">#REF!</definedName>
    <definedName name="Tasa">#REF!</definedName>
    <definedName name="TASKS">#REF!</definedName>
    <definedName name="TAX">#REF!</definedName>
    <definedName name="TB">#REF!</definedName>
    <definedName name="TBE_after_BC">#REF!</definedName>
    <definedName name="TBE_after_MR_Apprvd">#REF!</definedName>
    <definedName name="TC" localSheetId="9">'[1]Resumen Escenario'!$F$5</definedName>
    <definedName name="TC" localSheetId="8">'[1]Resumen Escenario'!$F$5</definedName>
    <definedName name="TC">#REF!</definedName>
    <definedName name="Tca">#REF!</definedName>
    <definedName name="TCAMBIO">#REF!</definedName>
    <definedName name="TCP">#REF!</definedName>
    <definedName name="TCPr">#REF!</definedName>
    <definedName name="tcw">#REF!</definedName>
    <definedName name="tcwds">#REF!</definedName>
    <definedName name="TD">#REF!</definedName>
    <definedName name="tdl">#REF!</definedName>
    <definedName name="tdlp">#REF!</definedName>
    <definedName name="TE">#REF!</definedName>
    <definedName name="teb">#REF!</definedName>
    <definedName name="tecnopor">#REF!</definedName>
    <definedName name="TEE">#REF!</definedName>
    <definedName name="tel">#REF!</definedName>
    <definedName name="TelefonoMovil">#REF!</definedName>
    <definedName name="telp">#REF!</definedName>
    <definedName name="telp1">#REF!</definedName>
    <definedName name="telp2">#REF!</definedName>
    <definedName name="telp3">#REF!</definedName>
    <definedName name="temp">#REF!</definedName>
    <definedName name="temp_strainer">#REF!</definedName>
    <definedName name="temp1">#REF!</definedName>
    <definedName name="temp2">#REF!</definedName>
    <definedName name="tempw">#REF!</definedName>
    <definedName name="Tension_Ratio">#REF!</definedName>
    <definedName name="TEO">#REF!</definedName>
    <definedName name="Teodolito">#REF!</definedName>
    <definedName name="Teps21">#REF!</definedName>
    <definedName name="Teps22">#REF!</definedName>
    <definedName name="Tepsmean">#REF!</definedName>
    <definedName name="tequipos">#REF!</definedName>
    <definedName name="TERCERA">#REF!</definedName>
    <definedName name="TERMINO">#REF!</definedName>
    <definedName name="test" localSheetId="9" hidden="1">{#N/A,#N/A,FALSE,"Pricing";#N/A,#N/A,FALSE,"Summary";#N/A,#N/A,FALSE,"CompProd";#N/A,#N/A,FALSE,"CompJobhrs";#N/A,#N/A,FALSE,"Escalation";#N/A,#N/A,FALSE,"Contingency";#N/A,#N/A,FALSE,"GM";#N/A,#N/A,FALSE,"CompWage";#N/A,#N/A,FALSE,"costSum"}</definedName>
    <definedName name="test" localSheetId="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esttt">#REF!</definedName>
    <definedName name="TGA">#REF!</definedName>
    <definedName name="tgastgen">#REF!</definedName>
    <definedName name="tghy" localSheetId="9" hidden="1">{#N/A,#N/A,FALSE,"SumG";#N/A,#N/A,FALSE,"ElecG";#N/A,#N/A,FALSE,"MechG";#N/A,#N/A,FALSE,"GeotG";#N/A,#N/A,FALSE,"PrcsG";#N/A,#N/A,FALSE,"TunnG";#N/A,#N/A,FALSE,"CivlG";#N/A,#N/A,FALSE,"NtwkG";#N/A,#N/A,FALSE,"EstgG";#N/A,#N/A,FALSE,"PEngG"}</definedName>
    <definedName name="tghy" localSheetId="8" hidden="1">{#N/A,#N/A,FALSE,"SumG";#N/A,#N/A,FALSE,"ElecG";#N/A,#N/A,FALSE,"MechG";#N/A,#N/A,FALSE,"GeotG";#N/A,#N/A,FALSE,"PrcsG";#N/A,#N/A,FALSE,"TunnG";#N/A,#N/A,FALSE,"CivlG";#N/A,#N/A,FALSE,"NtwkG";#N/A,#N/A,FALSE,"EstgG";#N/A,#N/A,FALSE,"PEngG"}</definedName>
    <definedName name="tghy" hidden="1">{#N/A,#N/A,FALSE,"SumG";#N/A,#N/A,FALSE,"ElecG";#N/A,#N/A,FALSE,"MechG";#N/A,#N/A,FALSE,"GeotG";#N/A,#N/A,FALSE,"PrcsG";#N/A,#N/A,FALSE,"TunnG";#N/A,#N/A,FALSE,"CivlG";#N/A,#N/A,FALSE,"NtwkG";#N/A,#N/A,FALSE,"EstgG";#N/A,#N/A,FALSE,"PEngG"}</definedName>
    <definedName name="th">#REF!</definedName>
    <definedName name="thi_re">#REF!</definedName>
    <definedName name="Thk">#REF!</definedName>
    <definedName name="TimeRange">#REF!</definedName>
    <definedName name="TINTE">"#REF!"</definedName>
    <definedName name="TINTES">"#REF!"</definedName>
    <definedName name="TIPCAMB">#REF!</definedName>
    <definedName name="TIPCAMB1">#REF!</definedName>
    <definedName name="TIPFIN8">#REF!</definedName>
    <definedName name="TIPIFICACION">#REF!</definedName>
    <definedName name="TIPO">#REF!</definedName>
    <definedName name="TIPO_DE_BASE">#REF!</definedName>
    <definedName name="TIPO_DE_BASE___0">#REF!</definedName>
    <definedName name="TIPO_DE_BASE___1">#REF!</definedName>
    <definedName name="TIPO_DE_BASE___2">#REF!</definedName>
    <definedName name="TIPO_DE_BASE___3">#REF!</definedName>
    <definedName name="TIPO_DE_BASE___4">#REF!</definedName>
    <definedName name="TIPO_DE_CAMBIO">#REF!</definedName>
    <definedName name="tipoc">#REF!</definedName>
    <definedName name="TipoCotiz">#REF!</definedName>
    <definedName name="tit">#REF!</definedName>
    <definedName name="TITLE">#REF!</definedName>
    <definedName name="TITLE1">#REF!</definedName>
    <definedName name="Titulo">#REF!</definedName>
    <definedName name="Titulos">#REF!</definedName>
    <definedName name="TITULOS_A_IMPRIMIR">#REF!</definedName>
    <definedName name="tll">#REF!</definedName>
    <definedName name="tllp">#REF!</definedName>
    <definedName name="tmanobra">#REF!</definedName>
    <definedName name="tmateriales">#REF!</definedName>
    <definedName name="TMP">#REF!</definedName>
    <definedName name="tmw">#REF!</definedName>
    <definedName name="to">#REF!</definedName>
    <definedName name="TO_MAT">#REF!</definedName>
    <definedName name="TOL">#REF!</definedName>
    <definedName name="TOMACORRIENTE3">#REF!,#REF!,#REF!,#REF!,#REF!,#REF!,#REF!,#REF!,#REF!,#REF!,#REF!,#REF!,#REF!,#REF!,#REF!,#REF!,#REF!,#REF!,#REF!,#REF!,#REF!,#REF!,#REF!,#REF!,#REF!</definedName>
    <definedName name="TOMACORRIENTES">#REF!,#REF!,#REF!,#REF!,#REF!,#REF!,#REF!,#REF!,#REF!,#REF!,#REF!,#REF!,#REF!,#REF!,#REF!,#REF!,#REF!,#REF!,#REF!,#REF!,#REF!,#REF!,#REF!,#REF!,#REF!,#REF!,#REF!,#REF!,#REF!,#REF!,#REF!,#REF!,#REF!,#REF!,#REF!,#REF!,#REF!,#REF!,#REF!,#REF!,#REF!,#REF!,#REF!,#REF!,#REF!</definedName>
    <definedName name="TOMACORRIENTES2">#REF!,#REF!,#REF!,#REF!,#REF!,#REF!,#REF!,#REF!,#REF!,#REF!,#REF!,#REF!,#REF!,#REF!,#REF!,#REF!,#REF!,#REF!,#REF!,#REF!,#REF!,#REF!,#REF!,#REF!,#REF!,#REF!,#REF!,#REF!,#REF!,#REF!,#REF!,#REF!,#REF!,#REF!,#REF!,#REF!,#REF!,#REF!,#REF!,#REF!,#REF!,#REF!,#REF!,#REF!,#REF!,#REF!,#REF!,#REF!,#REF!,#REF!</definedName>
    <definedName name="top">#REF!</definedName>
    <definedName name="tops">#REF!,#REF!</definedName>
    <definedName name="topthk">#REF!</definedName>
    <definedName name="TOTAL">"#REF!"</definedName>
    <definedName name="TOTAL_ELEMENTOS_SEGURIDAD">#REF!</definedName>
    <definedName name="TOTAL_EQUIPO_SOLDADOR">#REF!</definedName>
    <definedName name="Total_Scheduled_Jobhours">#REF!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P000">#REF!</definedName>
    <definedName name="tparea">#REF!</definedName>
    <definedName name="Tperdido">#REF!</definedName>
    <definedName name="tpintura">#REF!</definedName>
    <definedName name="TR4P">#REF!</definedName>
    <definedName name="TRABAJOS">#REF!</definedName>
    <definedName name="TRAMPA">#REF!</definedName>
    <definedName name="TRANSMISION">#REF!</definedName>
    <definedName name="TRAPO">"#REF!"</definedName>
    <definedName name="trecca" localSheetId="9" hidden="1">#REF!</definedName>
    <definedName name="trecca" localSheetId="8" hidden="1">#REF!</definedName>
    <definedName name="trecca" hidden="1">#REF!</definedName>
    <definedName name="Trend_avg">#REF!</definedName>
    <definedName name="Trend_Avg_Q">#REF!</definedName>
    <definedName name="Trend_Avg_T">#REF!</definedName>
    <definedName name="Trend_total">#REF!</definedName>
    <definedName name="trend_total_q">#REF!</definedName>
    <definedName name="triplay">#REF!</definedName>
    <definedName name="tryrtyrty">#REF!</definedName>
    <definedName name="TS_0">#REF!</definedName>
    <definedName name="TS_2">#REF!</definedName>
    <definedName name="TS_3">#REF!</definedName>
    <definedName name="tseguridad">#REF!</definedName>
    <definedName name="tsubcontrato">#REF!</definedName>
    <definedName name="TT">#REF!</definedName>
    <definedName name="ttggg" localSheetId="9" hidden="1">{#N/A,#N/A,FALSE,"SumD";#N/A,#N/A,FALSE,"ElecD";#N/A,#N/A,FALSE,"MechD";#N/A,#N/A,FALSE,"GeotD";#N/A,#N/A,FALSE,"PrcsD";#N/A,#N/A,FALSE,"TunnD";#N/A,#N/A,FALSE,"CivlD";#N/A,#N/A,FALSE,"NtwkD";#N/A,#N/A,FALSE,"EstgD";#N/A,#N/A,FALSE,"PEngD"}</definedName>
    <definedName name="ttggg" localSheetId="8" hidden="1">{#N/A,#N/A,FALSE,"SumD";#N/A,#N/A,FALSE,"ElecD";#N/A,#N/A,FALSE,"MechD";#N/A,#N/A,FALSE,"GeotD";#N/A,#N/A,FALSE,"PrcsD";#N/A,#N/A,FALSE,"TunnD";#N/A,#N/A,FALSE,"CivlD";#N/A,#N/A,FALSE,"NtwkD";#N/A,#N/A,FALSE,"EstgD";#N/A,#N/A,FALSE,"PEngD"}</definedName>
    <definedName name="ttggg" hidden="1">{#N/A,#N/A,FALSE,"SumD";#N/A,#N/A,FALSE,"ElecD";#N/A,#N/A,FALSE,"MechD";#N/A,#N/A,FALSE,"GeotD";#N/A,#N/A,FALSE,"PrcsD";#N/A,#N/A,FALSE,"TunnD";#N/A,#N/A,FALSE,"CivlD";#N/A,#N/A,FALSE,"NtwkD";#N/A,#N/A,FALSE,"EstgD";#N/A,#N/A,FALSE,"PEngD"}</definedName>
    <definedName name="ttransporte">#REF!</definedName>
    <definedName name="tttggg" localSheetId="9" hidden="1">{#N/A,#N/A,FALSE,"SumD";#N/A,#N/A,FALSE,"ElecD";#N/A,#N/A,FALSE,"MechD";#N/A,#N/A,FALSE,"GeotD";#N/A,#N/A,FALSE,"PrcsD";#N/A,#N/A,FALSE,"TunnD";#N/A,#N/A,FALSE,"CivlD";#N/A,#N/A,FALSE,"NtwkD";#N/A,#N/A,FALSE,"EstgD";#N/A,#N/A,FALSE,"PEngD"}</definedName>
    <definedName name="tttggg" localSheetId="8" hidden="1">{#N/A,#N/A,FALSE,"SumD";#N/A,#N/A,FALSE,"ElecD";#N/A,#N/A,FALSE,"MechD";#N/A,#N/A,FALSE,"GeotD";#N/A,#N/A,FALSE,"PrcsD";#N/A,#N/A,FALSE,"TunnD";#N/A,#N/A,FALSE,"CivlD";#N/A,#N/A,FALSE,"NtwkD";#N/A,#N/A,FALSE,"EstgD";#N/A,#N/A,FALSE,"PEngD"}</definedName>
    <definedName name="tttggg" hidden="1">{#N/A,#N/A,FALSE,"SumD";#N/A,#N/A,FALSE,"ElecD";#N/A,#N/A,FALSE,"MechD";#N/A,#N/A,FALSE,"GeotD";#N/A,#N/A,FALSE,"PrcsD";#N/A,#N/A,FALSE,"TunnD";#N/A,#N/A,FALSE,"CivlD";#N/A,#N/A,FALSE,"NtwkD";#N/A,#N/A,FALSE,"EstgD";#N/A,#N/A,FALSE,"PEngD"}</definedName>
    <definedName name="tttttt">#REF!</definedName>
    <definedName name="TUBERIA">#REF!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tilidad">#REF!</definedName>
    <definedName name="tviaticos">#REF!</definedName>
    <definedName name="Tw">#REF!</definedName>
    <definedName name="TX">#REF!</definedName>
    <definedName name="tyhhg" localSheetId="9" hidden="1">{#N/A,#N/A,FALSE,"SumD";#N/A,#N/A,FALSE,"ElecD";#N/A,#N/A,FALSE,"MechD";#N/A,#N/A,FALSE,"GeotD";#N/A,#N/A,FALSE,"PrcsD";#N/A,#N/A,FALSE,"TunnD";#N/A,#N/A,FALSE,"CivlD";#N/A,#N/A,FALSE,"NtwkD";#N/A,#N/A,FALSE,"EstgD";#N/A,#N/A,FALSE,"PEngD"}</definedName>
    <definedName name="tyhhg" localSheetId="8" hidden="1">{#N/A,#N/A,FALSE,"SumD";#N/A,#N/A,FALSE,"ElecD";#N/A,#N/A,FALSE,"MechD";#N/A,#N/A,FALSE,"GeotD";#N/A,#N/A,FALSE,"PrcsD";#N/A,#N/A,FALSE,"TunnD";#N/A,#N/A,FALSE,"CivlD";#N/A,#N/A,FALSE,"NtwkD";#N/A,#N/A,FALSE,"EstgD";#N/A,#N/A,FALSE,"PEngD"}</definedName>
    <definedName name="tyhhg" hidden="1">{#N/A,#N/A,FALSE,"SumD";#N/A,#N/A,FALSE,"ElecD";#N/A,#N/A,FALSE,"MechD";#N/A,#N/A,FALSE,"GeotD";#N/A,#N/A,FALSE,"PrcsD";#N/A,#N/A,FALSE,"TunnD";#N/A,#N/A,FALSE,"CivlD";#N/A,#N/A,FALSE,"NtwkD";#N/A,#N/A,FALSE,"EstgD";#N/A,#N/A,FALSE,"PEngD"}</definedName>
    <definedName name="Type">#REF!</definedName>
    <definedName name="tyr">#REF!</definedName>
    <definedName name="tyuty">#REF!</definedName>
    <definedName name="U">#REF!</definedName>
    <definedName name="U_LENGTH">#REF!</definedName>
    <definedName name="U_REBAR">#REF!</definedName>
    <definedName name="U_WIDTH">#REF!</definedName>
    <definedName name="ubom">#REF!</definedName>
    <definedName name="uca">#REF!</definedName>
    <definedName name="ucb">#REF!</definedName>
    <definedName name="ucctv">#REF!</definedName>
    <definedName name="UD">#REF!</definedName>
    <definedName name="ude">#REF!</definedName>
    <definedName name="udead">#REF!</definedName>
    <definedName name="ue">#REF!</definedName>
    <definedName name="ue____I¨￡">#N/A</definedName>
    <definedName name="ue____Iª">#N/A</definedName>
    <definedName name="ùê____Íª">#N/A</definedName>
    <definedName name="uearth">#REF!</definedName>
    <definedName name="uequip">#REF!</definedName>
    <definedName name="uf">#REF!</definedName>
    <definedName name="uff">#REF!</definedName>
    <definedName name="ufm">#REF!</definedName>
    <definedName name="uga">#REF!</definedName>
    <definedName name="UIC">#REF!</definedName>
    <definedName name="uint">#REF!</definedName>
    <definedName name="uiup">#REF!</definedName>
    <definedName name="uj" localSheetId="9" hidden="1">{#N/A,#N/A,FALSE,"SumG";#N/A,#N/A,FALSE,"ElecG";#N/A,#N/A,FALSE,"MechG";#N/A,#N/A,FALSE,"GeotG";#N/A,#N/A,FALSE,"PrcsG";#N/A,#N/A,FALSE,"TunnG";#N/A,#N/A,FALSE,"CivlG";#N/A,#N/A,FALSE,"NtwkG";#N/A,#N/A,FALSE,"EstgG";#N/A,#N/A,FALSE,"PEngG"}</definedName>
    <definedName name="uj" localSheetId="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jjj" localSheetId="9" hidden="1">{#N/A,#N/A,FALSE,"SumD";#N/A,#N/A,FALSE,"ElecD";#N/A,#N/A,FALSE,"MechD";#N/A,#N/A,FALSE,"GeotD";#N/A,#N/A,FALSE,"PrcsD";#N/A,#N/A,FALSE,"TunnD";#N/A,#N/A,FALSE,"CivlD";#N/A,#N/A,FALSE,"NtwkD";#N/A,#N/A,FALSE,"EstgD";#N/A,#N/A,FALSE,"PEngD"}</definedName>
    <definedName name="ujjj" localSheetId="8" hidden="1">{#N/A,#N/A,FALSE,"SumD";#N/A,#N/A,FALSE,"ElecD";#N/A,#N/A,FALSE,"MechD";#N/A,#N/A,FALSE,"GeotD";#N/A,#N/A,FALSE,"PrcsD";#N/A,#N/A,FALSE,"TunnD";#N/A,#N/A,FALSE,"CivlD";#N/A,#N/A,FALSE,"NtwkD";#N/A,#N/A,FALSE,"EstgD";#N/A,#N/A,FALSE,"PEngD"}</definedName>
    <definedName name="ujjj" hidden="1">{#N/A,#N/A,FALSE,"SumD";#N/A,#N/A,FALSE,"ElecD";#N/A,#N/A,FALSE,"MechD";#N/A,#N/A,FALSE,"GeotD";#N/A,#N/A,FALSE,"PrcsD";#N/A,#N/A,FALSE,"TunnD";#N/A,#N/A,FALSE,"CivlD";#N/A,#N/A,FALSE,"NtwkD";#N/A,#N/A,FALSE,"EstgD";#N/A,#N/A,FALSE,"PEngD"}</definedName>
    <definedName name="ukiuk">#REF!</definedName>
    <definedName name="ul">#REF!</definedName>
    <definedName name="ulive">#REF!</definedName>
    <definedName name="UMh">#REF!</definedName>
    <definedName name="umo">#REF!</definedName>
    <definedName name="UMv">#REF!</definedName>
    <definedName name="UN_PRI">#REF!</definedName>
    <definedName name="UND.">#REF!</definedName>
    <definedName name="UNI">#REF!</definedName>
    <definedName name="UnidFlow">#REF!</definedName>
    <definedName name="UnidLong">#REF!</definedName>
    <definedName name="UnidLong1">#REF!</definedName>
    <definedName name="UnidPre">#REF!</definedName>
    <definedName name="UnidSP">#REF!</definedName>
    <definedName name="UNION">#REF!</definedName>
    <definedName name="UNIT">#REF!</definedName>
    <definedName name="UNIT_WEIGHT">#REF!</definedName>
    <definedName name="uno">#REF!</definedName>
    <definedName name="UOIUOLIU" localSheetId="9" hidden="1">{#N/A,#N/A,TRUE,"1842CWN0"}</definedName>
    <definedName name="UOIUOLIU" localSheetId="8" hidden="1">{#N/A,#N/A,TRUE,"1842CWN0"}</definedName>
    <definedName name="UOIUOLIU" hidden="1">{#N/A,#N/A,TRUE,"1842CWN0"}</definedName>
    <definedName name="upas">#REF!</definedName>
    <definedName name="upm">#REF!,#REF!,#REF!,#REF!</definedName>
    <definedName name="upmvpe1">#REF!</definedName>
    <definedName name="upmvpe2">#REF!</definedName>
    <definedName name="upmvpw">#REF!</definedName>
    <definedName name="upmvq">#REF!</definedName>
    <definedName name="uprebar">#REF!</definedName>
    <definedName name="ups">#REF!</definedName>
    <definedName name="upvvpe1">#REF!</definedName>
    <definedName name="upvvpe2">#REF!</definedName>
    <definedName name="upvvpw">#REF!</definedName>
    <definedName name="upvvq">#REF!</definedName>
    <definedName name="usd">#REF!</definedName>
    <definedName name="uss">#REF!</definedName>
    <definedName name="usurch">#REF!</definedName>
    <definedName name="usv">#REF!</definedName>
    <definedName name="UT">#REF!</definedName>
    <definedName name="UTI">#REF!</definedName>
    <definedName name="UTIL">#REF!</definedName>
    <definedName name="Utilidades">#REF!</definedName>
    <definedName name="UTILSHOP">#REF!</definedName>
    <definedName name="UTL">#REF!</definedName>
    <definedName name="utm">#REF!</definedName>
    <definedName name="uttm">#REF!</definedName>
    <definedName name="UU">#REF!</definedName>
    <definedName name="uuii" localSheetId="9" hidden="1">{#N/A,#N/A,FALSE,"Pricing";#N/A,#N/A,FALSE,"Summary";#N/A,#N/A,FALSE,"CompProd";#N/A,#N/A,FALSE,"CompJobhrs";#N/A,#N/A,FALSE,"Escalation";#N/A,#N/A,FALSE,"Contingency";#N/A,#N/A,FALSE,"GM";#N/A,#N/A,FALSE,"CompWage";#N/A,#N/A,FALSE,"costSum"}</definedName>
    <definedName name="uuii" localSheetId="8" hidden="1">{#N/A,#N/A,FALSE,"Pricing";#N/A,#N/A,FALSE,"Summary";#N/A,#N/A,FALSE,"CompProd";#N/A,#N/A,FALSE,"CompJobhrs";#N/A,#N/A,FALSE,"Escalation";#N/A,#N/A,FALSE,"Contingency";#N/A,#N/A,FALSE,"GM";#N/A,#N/A,FALSE,"CompWage";#N/A,#N/A,FALSE,"costSum"}</definedName>
    <definedName name="uuii" hidden="1">{#N/A,#N/A,FALSE,"Pricing";#N/A,#N/A,FALSE,"Summary";#N/A,#N/A,FALSE,"CompProd";#N/A,#N/A,FALSE,"CompJobhrs";#N/A,#N/A,FALSE,"Escalation";#N/A,#N/A,FALSE,"Contingency";#N/A,#N/A,FALSE,"GM";#N/A,#N/A,FALSE,"CompWage";#N/A,#N/A,FALSE,"costSum"}</definedName>
    <definedName name="uuj" localSheetId="9" hidden="1">{#N/A,#N/A,FALSE,"SumG";#N/A,#N/A,FALSE,"ElecG";#N/A,#N/A,FALSE,"MechG";#N/A,#N/A,FALSE,"GeotG";#N/A,#N/A,FALSE,"PrcsG";#N/A,#N/A,FALSE,"TunnG";#N/A,#N/A,FALSE,"CivlG";#N/A,#N/A,FALSE,"NtwkG";#N/A,#N/A,FALSE,"EstgG";#N/A,#N/A,FALSE,"PEngG"}</definedName>
    <definedName name="uuj" localSheetId="8" hidden="1">{#N/A,#N/A,FALSE,"SumG";#N/A,#N/A,FALSE,"ElecG";#N/A,#N/A,FALSE,"MechG";#N/A,#N/A,FALSE,"GeotG";#N/A,#N/A,FALSE,"PrcsG";#N/A,#N/A,FALSE,"TunnG";#N/A,#N/A,FALSE,"CivlG";#N/A,#N/A,FALSE,"NtwkG";#N/A,#N/A,FALSE,"EstgG";#N/A,#N/A,FALSE,"PEngG"}</definedName>
    <definedName name="uuj" hidden="1">{#N/A,#N/A,FALSE,"SumG";#N/A,#N/A,FALSE,"ElecG";#N/A,#N/A,FALSE,"MechG";#N/A,#N/A,FALSE,"GeotG";#N/A,#N/A,FALSE,"PrcsG";#N/A,#N/A,FALSE,"TunnG";#N/A,#N/A,FALSE,"CivlG";#N/A,#N/A,FALSE,"NtwkG";#N/A,#N/A,FALSE,"EstgG";#N/A,#N/A,FALSE,"PEngG"}</definedName>
    <definedName name="uuu">#REF!</definedName>
    <definedName name="uuujjj" localSheetId="9" hidden="1">{#N/A,#N/A,FALSE,"SumD";#N/A,#N/A,FALSE,"ElecD";#N/A,#N/A,FALSE,"MechD";#N/A,#N/A,FALSE,"GeotD";#N/A,#N/A,FALSE,"PrcsD";#N/A,#N/A,FALSE,"TunnD";#N/A,#N/A,FALSE,"CivlD";#N/A,#N/A,FALSE,"NtwkD";#N/A,#N/A,FALSE,"EstgD";#N/A,#N/A,FALSE,"PEngD"}</definedName>
    <definedName name="uuujjj" localSheetId="8" hidden="1">{#N/A,#N/A,FALSE,"SumD";#N/A,#N/A,FALSE,"ElecD";#N/A,#N/A,FALSE,"MechD";#N/A,#N/A,FALSE,"GeotD";#N/A,#N/A,FALSE,"PrcsD";#N/A,#N/A,FALSE,"TunnD";#N/A,#N/A,FALSE,"CivlD";#N/A,#N/A,FALSE,"NtwkD";#N/A,#N/A,FALSE,"EstgD";#N/A,#N/A,FALSE,"PEngD"}</definedName>
    <definedName name="uuujjj" hidden="1">{#N/A,#N/A,FALSE,"SumD";#N/A,#N/A,FALSE,"ElecD";#N/A,#N/A,FALSE,"MechD";#N/A,#N/A,FALSE,"GeotD";#N/A,#N/A,FALSE,"PrcsD";#N/A,#N/A,FALSE,"TunnD";#N/A,#N/A,FALSE,"CivlD";#N/A,#N/A,FALSE,"NtwkD";#N/A,#N/A,FALSE,"EstgD";#N/A,#N/A,FALSE,"PEngD"}</definedName>
    <definedName name="uuujjk" localSheetId="9" hidden="1">{#N/A,#N/A,FALSE,"SumD";#N/A,#N/A,FALSE,"ElecD";#N/A,#N/A,FALSE,"MechD";#N/A,#N/A,FALSE,"GeotD";#N/A,#N/A,FALSE,"PrcsD";#N/A,#N/A,FALSE,"TunnD";#N/A,#N/A,FALSE,"CivlD";#N/A,#N/A,FALSE,"NtwkD";#N/A,#N/A,FALSE,"EstgD";#N/A,#N/A,FALSE,"PEngD"}</definedName>
    <definedName name="uuujjk" localSheetId="8" hidden="1">{#N/A,#N/A,FALSE,"SumD";#N/A,#N/A,FALSE,"ElecD";#N/A,#N/A,FALSE,"MechD";#N/A,#N/A,FALSE,"GeotD";#N/A,#N/A,FALSE,"PrcsD";#N/A,#N/A,FALSE,"TunnD";#N/A,#N/A,FALSE,"CivlD";#N/A,#N/A,FALSE,"NtwkD";#N/A,#N/A,FALSE,"EstgD";#N/A,#N/A,FALSE,"PEngD"}</definedName>
    <definedName name="uuujjk" hidden="1">{#N/A,#N/A,FALSE,"SumD";#N/A,#N/A,FALSE,"ElecD";#N/A,#N/A,FALSE,"MechD";#N/A,#N/A,FALSE,"GeotD";#N/A,#N/A,FALSE,"PrcsD";#N/A,#N/A,FALSE,"TunnD";#N/A,#N/A,FALSE,"CivlD";#N/A,#N/A,FALSE,"NtwkD";#N/A,#N/A,FALSE,"EstgD";#N/A,#N/A,FALSE,"PEngD"}</definedName>
    <definedName name="uuuuuuuuuu">#REF!</definedName>
    <definedName name="UVh">#REF!</definedName>
    <definedName name="UVv">#REF!</definedName>
    <definedName name="uwater">#REF!</definedName>
    <definedName name="UWT">#REF!</definedName>
    <definedName name="v" localSheetId="9" hidden="1">#REF!</definedName>
    <definedName name="v" localSheetId="8" hidden="1">#REF!</definedName>
    <definedName name="v" hidden="1">#REF!</definedName>
    <definedName name="VAL">#REF!</definedName>
    <definedName name="VALLLLLLLLLLL">#REF!</definedName>
    <definedName name="VALOR">#REF!</definedName>
    <definedName name="Valor_afecto">#REF!</definedName>
    <definedName name="Valor_Contrato">#REF!</definedName>
    <definedName name="Valor_no_Afect.">#REF!</definedName>
    <definedName name="VALOR_UF">#REF!</definedName>
    <definedName name="valorizacion4">#REF!</definedName>
    <definedName name="Valve">#REF!</definedName>
    <definedName name="Valves">#REF!</definedName>
    <definedName name="VANITORIOS">#REF!</definedName>
    <definedName name="VANOS">#REF!</definedName>
    <definedName name="Var_bi">#REF!</definedName>
    <definedName name="Var_ped_bi">#REF!</definedName>
    <definedName name="Var_ped_x">#REF!</definedName>
    <definedName name="Var_ped_z">#REF!</definedName>
    <definedName name="Var_pedz">#REF!</definedName>
    <definedName name="Varillas_ped">#REF!</definedName>
    <definedName name="Varillasx">#REF!</definedName>
    <definedName name="Varillasx_m">#REF!</definedName>
    <definedName name="Varillasz">#REF!</definedName>
    <definedName name="Varillasz_m">#REF!</definedName>
    <definedName name="VARIOS">#REF!</definedName>
    <definedName name="vbgh">#REF!</definedName>
    <definedName name="vbhgfjh">#REF!</definedName>
    <definedName name="vbnjhuki">#REF!</definedName>
    <definedName name="vbnjmi">#REF!</definedName>
    <definedName name="vbnjmp´">#REF!</definedName>
    <definedName name="vc">#REF!</definedName>
    <definedName name="vcdsfsd">#REF!</definedName>
    <definedName name="VCO">#REF!</definedName>
    <definedName name="VCV">#REF!</definedName>
    <definedName name="VCVO">#REF!</definedName>
    <definedName name="VD_Category">#REF!</definedName>
    <definedName name="VD_Review">#REF!</definedName>
    <definedName name="vehic">#REF!</definedName>
    <definedName name="VENTANAS">#REF!</definedName>
    <definedName name="VERI01">#REF!</definedName>
    <definedName name="Vh">#REF!</definedName>
    <definedName name="vhd">#REF!</definedName>
    <definedName name="vhdl">#REF!</definedName>
    <definedName name="vhdl1">#REF!</definedName>
    <definedName name="vhel">#REF!</definedName>
    <definedName name="vhel1">#REF!</definedName>
    <definedName name="vhel2">#REF!</definedName>
    <definedName name="vhel3">#REF!</definedName>
    <definedName name="vhin">#REF!</definedName>
    <definedName name="vhll">#REF!</definedName>
    <definedName name="vhll1">#REF!</definedName>
    <definedName name="vhp">#REF!</definedName>
    <definedName name="vhpe1">#REF!</definedName>
    <definedName name="vhpe2">#REF!</definedName>
    <definedName name="vhpw">#REF!</definedName>
    <definedName name="vhq">#REF!</definedName>
    <definedName name="vhuop´">#REF!</definedName>
    <definedName name="vhw">#REF!</definedName>
    <definedName name="VI">#REF!</definedName>
    <definedName name="vibradora">#REF!</definedName>
    <definedName name="VIDRIO">#REF!</definedName>
    <definedName name="VIGA01">"#REF!"</definedName>
    <definedName name="VIGA02">"#REF!"</definedName>
    <definedName name="VIGA03">"#REF!"</definedName>
    <definedName name="vigas">#REF!</definedName>
    <definedName name="VIGAS11PISO">#REF!</definedName>
    <definedName name="VIGAS1PISO">#REF!</definedName>
    <definedName name="VIGAS1SOTANO">#REF!</definedName>
    <definedName name="VIGAS2PISO">#REF!</definedName>
    <definedName name="VIGAS2SOTANO">#REF!</definedName>
    <definedName name="VIGAS3A10PISO">#REF!</definedName>
    <definedName name="VIGAS3SOTANO">#REF!</definedName>
    <definedName name="VIGASCTOASC">#REF!</definedName>
    <definedName name="viuda" localSheetId="9" hidden="1">#REF!</definedName>
    <definedName name="viuda" localSheetId="8" hidden="1">#REF!</definedName>
    <definedName name="viuda" hidden="1">#REF!</definedName>
    <definedName name="vlvlist_vlvlist_List">#REF!</definedName>
    <definedName name="vmax">#REF!</definedName>
    <definedName name="vmoneda">#REF!</definedName>
    <definedName name="Vn">#REF!</definedName>
    <definedName name="VNI">#REF!</definedName>
    <definedName name="VNIM">#REF!</definedName>
    <definedName name="VOL.">#REF!</definedName>
    <definedName name="VOL._TOT.">#REF!</definedName>
    <definedName name="VOL_">#REF!</definedName>
    <definedName name="VOL____0">#REF!</definedName>
    <definedName name="VOL____1">#REF!</definedName>
    <definedName name="VOL____2">#REF!</definedName>
    <definedName name="VOL____3">#REF!</definedName>
    <definedName name="VOL__TOT_">#REF!</definedName>
    <definedName name="VOL__TOT____0">#REF!</definedName>
    <definedName name="VOL__TOT____1">#REF!</definedName>
    <definedName name="VOL__TOT____2">#REF!</definedName>
    <definedName name="VOL__TOT____3">#REF!</definedName>
    <definedName name="VP">#REF!</definedName>
    <definedName name="Vu">#REF!</definedName>
    <definedName name="Vv">#REF!</definedName>
    <definedName name="vvdl">#REF!</definedName>
    <definedName name="vvdl1">#REF!</definedName>
    <definedName name="vvel">#REF!</definedName>
    <definedName name="vvel1">#REF!</definedName>
    <definedName name="vvel2">#REF!</definedName>
    <definedName name="vvel3">#REF!</definedName>
    <definedName name="vvll">#REF!</definedName>
    <definedName name="vvll1">#REF!</definedName>
    <definedName name="vvpe1">#REF!</definedName>
    <definedName name="vvpe2">#REF!</definedName>
    <definedName name="vvpw">#REF!</definedName>
    <definedName name="vvq">#REF!</definedName>
    <definedName name="vvvt">#REF!</definedName>
    <definedName name="vvvv" localSheetId="9" hidden="1">{#N/A,#N/A,FALSE,"SumD";#N/A,#N/A,FALSE,"ElecD";#N/A,#N/A,FALSE,"MechD";#N/A,#N/A,FALSE,"GeotD";#N/A,#N/A,FALSE,"PrcsD";#N/A,#N/A,FALSE,"TunnD";#N/A,#N/A,FALSE,"CivlD";#N/A,#N/A,FALSE,"NtwkD";#N/A,#N/A,FALSE,"EstgD";#N/A,#N/A,FALSE,"PEngD"}</definedName>
    <definedName name="vvvv" localSheetId="8" hidden="1">{#N/A,#N/A,FALSE,"SumD";#N/A,#N/A,FALSE,"ElecD";#N/A,#N/A,FALSE,"MechD";#N/A,#N/A,FALSE,"GeotD";#N/A,#N/A,FALSE,"PrcsD";#N/A,#N/A,FALSE,"TunnD";#N/A,#N/A,FALSE,"CivlD";#N/A,#N/A,FALSE,"NtwkD";#N/A,#N/A,FALSE,"EstgD";#N/A,#N/A,FALSE,"PEngD"}</definedName>
    <definedName name="vvvv" hidden="1">{#N/A,#N/A,FALSE,"SumD";#N/A,#N/A,FALSE,"ElecD";#N/A,#N/A,FALSE,"MechD";#N/A,#N/A,FALSE,"GeotD";#N/A,#N/A,FALSE,"PrcsD";#N/A,#N/A,FALSE,"TunnD";#N/A,#N/A,FALSE,"CivlD";#N/A,#N/A,FALSE,"NtwkD";#N/A,#N/A,FALSE,"EstgD";#N/A,#N/A,FALSE,"PEngD"}</definedName>
    <definedName name="vvvvvv" localSheetId="9" hidden="1">{#N/A,#N/A,FALSE,"SumD";#N/A,#N/A,FALSE,"ElecD";#N/A,#N/A,FALSE,"MechD";#N/A,#N/A,FALSE,"GeotD";#N/A,#N/A,FALSE,"PrcsD";#N/A,#N/A,FALSE,"TunnD";#N/A,#N/A,FALSE,"CivlD";#N/A,#N/A,FALSE,"NtwkD";#N/A,#N/A,FALSE,"EstgD";#N/A,#N/A,FALSE,"PEngD"}</definedName>
    <definedName name="vvvvvv" localSheetId="8" hidden="1">{#N/A,#N/A,FALSE,"SumD";#N/A,#N/A,FALSE,"ElecD";#N/A,#N/A,FALSE,"MechD";#N/A,#N/A,FALSE,"GeotD";#N/A,#N/A,FALSE,"PrcsD";#N/A,#N/A,FALSE,"TunnD";#N/A,#N/A,FALSE,"CivlD";#N/A,#N/A,FALSE,"NtwkD";#N/A,#N/A,FALSE,"EstgD";#N/A,#N/A,FALSE,"PEngD"}</definedName>
    <definedName name="vvvvvv" hidden="1">{#N/A,#N/A,FALSE,"SumD";#N/A,#N/A,FALSE,"ElecD";#N/A,#N/A,FALSE,"MechD";#N/A,#N/A,FALSE,"GeotD";#N/A,#N/A,FALSE,"PrcsD";#N/A,#N/A,FALSE,"TunnD";#N/A,#N/A,FALSE,"CivlD";#N/A,#N/A,FALSE,"NtwkD";#N/A,#N/A,FALSE,"EstgD";#N/A,#N/A,FALSE,"PEngD"}</definedName>
    <definedName name="vvvvvvvvvvvvvvvvvv">#REF!</definedName>
    <definedName name="vvw">#REF!</definedName>
    <definedName name="w" localSheetId="9">#REF!</definedName>
    <definedName name="w" localSheetId="8">#REF!</definedName>
    <definedName name="w" hidden="1">#REF!</definedName>
    <definedName name="W_">#REF!</definedName>
    <definedName name="w_2">#REF!</definedName>
    <definedName name="W_ROCK">#REF!</definedName>
    <definedName name="wall">#REF!</definedName>
    <definedName name="WATER">#REF!</definedName>
    <definedName name="WATT">#REF!</definedName>
    <definedName name="WATT1">#REF!</definedName>
    <definedName name="wbeta">#REF!</definedName>
    <definedName name="Wc">#REF!</definedName>
    <definedName name="we" localSheetId="9" hidden="1">{#N/A,#N/A,FALSE,"SumG";#N/A,#N/A,FALSE,"ElecG";#N/A,#N/A,FALSE,"MechG";#N/A,#N/A,FALSE,"GeotG";#N/A,#N/A,FALSE,"PrcsG";#N/A,#N/A,FALSE,"TunnG";#N/A,#N/A,FALSE,"CivlG";#N/A,#N/A,FALSE,"NtwkG";#N/A,#N/A,FALSE,"EstgG";#N/A,#N/A,FALSE,"PEngG"}</definedName>
    <definedName name="we" localSheetId="8" hidden="1">{#N/A,#N/A,FALSE,"SumG";#N/A,#N/A,FALSE,"ElecG";#N/A,#N/A,FALSE,"MechG";#N/A,#N/A,FALSE,"GeotG";#N/A,#N/A,FALSE,"PrcsG";#N/A,#N/A,FALSE,"TunnG";#N/A,#N/A,FALSE,"CivlG";#N/A,#N/A,FALSE,"NtwkG";#N/A,#N/A,FALSE,"EstgG";#N/A,#N/A,FALSE,"PEngG"}</definedName>
    <definedName name="we" hidden="1">{#N/A,#N/A,FALSE,"SumG";#N/A,#N/A,FALSE,"ElecG";#N/A,#N/A,FALSE,"MechG";#N/A,#N/A,FALSE,"GeotG";#N/A,#N/A,FALSE,"PrcsG";#N/A,#N/A,FALSE,"TunnG";#N/A,#N/A,FALSE,"CivlG";#N/A,#N/A,FALSE,"NtwkG";#N/A,#N/A,FALSE,"EstgG";#N/A,#N/A,FALSE,"PEngG"}</definedName>
    <definedName name="wedf" localSheetId="9" hidden="1">{#N/A,#N/A,FALSE,"SumG";#N/A,#N/A,FALSE,"ElecG";#N/A,#N/A,FALSE,"MechG";#N/A,#N/A,FALSE,"GeotG";#N/A,#N/A,FALSE,"PrcsG";#N/A,#N/A,FALSE,"TunnG";#N/A,#N/A,FALSE,"CivlG";#N/A,#N/A,FALSE,"NtwkG";#N/A,#N/A,FALSE,"EstgG";#N/A,#N/A,FALSE,"PEngG"}</definedName>
    <definedName name="wedf" localSheetId="8" hidden="1">{#N/A,#N/A,FALSE,"SumG";#N/A,#N/A,FALSE,"ElecG";#N/A,#N/A,FALSE,"MechG";#N/A,#N/A,FALSE,"GeotG";#N/A,#N/A,FALSE,"PrcsG";#N/A,#N/A,FALSE,"TunnG";#N/A,#N/A,FALSE,"CivlG";#N/A,#N/A,FALSE,"NtwkG";#N/A,#N/A,FALSE,"EstgG";#N/A,#N/A,FALSE,"PEngG"}</definedName>
    <definedName name="wedf" hidden="1">{#N/A,#N/A,FALSE,"SumG";#N/A,#N/A,FALSE,"ElecG";#N/A,#N/A,FALSE,"MechG";#N/A,#N/A,FALSE,"GeotG";#N/A,#N/A,FALSE,"PrcsG";#N/A,#N/A,FALSE,"TunnG";#N/A,#N/A,FALSE,"CivlG";#N/A,#N/A,FALSE,"NtwkG";#N/A,#N/A,FALSE,"EstgG";#N/A,#N/A,FALSE,"PEngG"}</definedName>
    <definedName name="wedrf" localSheetId="9" hidden="1">{#N/A,#N/A,FALSE,"SumG";#N/A,#N/A,FALSE,"ElecG";#N/A,#N/A,FALSE,"MechG";#N/A,#N/A,FALSE,"GeotG";#N/A,#N/A,FALSE,"PrcsG";#N/A,#N/A,FALSE,"TunnG";#N/A,#N/A,FALSE,"CivlG";#N/A,#N/A,FALSE,"NtwkG";#N/A,#N/A,FALSE,"EstgG";#N/A,#N/A,FALSE,"PEngG"}</definedName>
    <definedName name="wedrf" localSheetId="8" hidden="1">{#N/A,#N/A,FALSE,"SumG";#N/A,#N/A,FALSE,"ElecG";#N/A,#N/A,FALSE,"MechG";#N/A,#N/A,FALSE,"GeotG";#N/A,#N/A,FALSE,"PrcsG";#N/A,#N/A,FALSE,"TunnG";#N/A,#N/A,FALSE,"CivlG";#N/A,#N/A,FALSE,"NtwkG";#N/A,#N/A,FALSE,"EstgG";#N/A,#N/A,FALSE,"PEngG"}</definedName>
    <definedName name="wedrf" hidden="1">{#N/A,#N/A,FALSE,"SumG";#N/A,#N/A,FALSE,"ElecG";#N/A,#N/A,FALSE,"MechG";#N/A,#N/A,FALSE,"GeotG";#N/A,#N/A,FALSE,"PrcsG";#N/A,#N/A,FALSE,"TunnG";#N/A,#N/A,FALSE,"CivlG";#N/A,#N/A,FALSE,"NtwkG";#N/A,#N/A,FALSE,"EstgG";#N/A,#N/A,FALSE,"PEngG"}</definedName>
    <definedName name="WEEK">#REF!</definedName>
    <definedName name="week1">#REF!</definedName>
    <definedName name="weq" localSheetId="9"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rtui">#REF!</definedName>
    <definedName name="wert">#REF!</definedName>
    <definedName name="wf">#REF!</definedName>
    <definedName name="wfs">#REF!</definedName>
    <definedName name="wh">#REF!</definedName>
    <definedName name="width">#REF!</definedName>
    <definedName name="WK">#REF!</definedName>
    <definedName name="wl">#REF!</definedName>
    <definedName name="wo">#REF!</definedName>
    <definedName name="WOL">#REF!</definedName>
    <definedName name="Work_w_Vendor">#REF!</definedName>
    <definedName name="working_area_1">#REF!</definedName>
    <definedName name="Working_Area_2">#REF!</definedName>
    <definedName name="workshop">#REF!</definedName>
    <definedName name="wp">#REF!</definedName>
    <definedName name="wqqqeee" localSheetId="9" hidden="1">{#N/A,#N/A,FALSE,"SumG";#N/A,#N/A,FALSE,"ElecG";#N/A,#N/A,FALSE,"MechG";#N/A,#N/A,FALSE,"GeotG";#N/A,#N/A,FALSE,"PrcsG";#N/A,#N/A,FALSE,"TunnG";#N/A,#N/A,FALSE,"CivlG";#N/A,#N/A,FALSE,"NtwkG";#N/A,#N/A,FALSE,"EstgG";#N/A,#N/A,FALSE,"PEngG"}</definedName>
    <definedName name="wqqqeee" localSheetId="8" hidden="1">{#N/A,#N/A,FALSE,"SumG";#N/A,#N/A,FALSE,"ElecG";#N/A,#N/A,FALSE,"MechG";#N/A,#N/A,FALSE,"GeotG";#N/A,#N/A,FALSE,"PrcsG";#N/A,#N/A,FALSE,"TunnG";#N/A,#N/A,FALSE,"CivlG";#N/A,#N/A,FALSE,"NtwkG";#N/A,#N/A,FALSE,"EstgG";#N/A,#N/A,FALSE,"PEngG"}</definedName>
    <definedName name="wqqqeee" hidden="1">{#N/A,#N/A,FALSE,"SumG";#N/A,#N/A,FALSE,"ElecG";#N/A,#N/A,FALSE,"MechG";#N/A,#N/A,FALSE,"GeotG";#N/A,#N/A,FALSE,"PrcsG";#N/A,#N/A,FALSE,"TunnG";#N/A,#N/A,FALSE,"CivlG";#N/A,#N/A,FALSE,"NtwkG";#N/A,#N/A,FALSE,"EstgG";#N/A,#N/A,FALSE,"PEngG"}</definedName>
    <definedName name="wra" hidden="1">#REF!</definedName>
    <definedName name="wree">#REF!</definedName>
    <definedName name="wrn.all." localSheetId="9"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civil._.works." localSheetId="9" hidden="1">{#N/A,#N/A,TRUE,"1842CWN0"}</definedName>
    <definedName name="wrn.civil._.works." localSheetId="8" hidden="1">{#N/A,#N/A,TRUE,"1842CWN0"}</definedName>
    <definedName name="wrn.civil._.works." hidden="1">{#N/A,#N/A,TRUE,"1842CWN0"}</definedName>
    <definedName name="wrn.COST_SHEETS." localSheetId="9" hidden="1">{#N/A,#N/A,FALSE,"WBS 1.06";#N/A,#N/A,FALSE,"WBS 1.14";#N/A,#N/A,FALSE,"WBS 1.17";#N/A,#N/A,FALSE,"WBS 1.18"}</definedName>
    <definedName name="wrn.COST_SHEETS." localSheetId="8" hidden="1">{#N/A,#N/A,FALSE,"WBS 1.06";#N/A,#N/A,FALSE,"WBS 1.14";#N/A,#N/A,FALSE,"WBS 1.17";#N/A,#N/A,FALSE,"WBS 1.18"}</definedName>
    <definedName name="wrn.COST_SHEETS." hidden="1">{#N/A,#N/A,FALSE,"WBS 1.06";#N/A,#N/A,FALSE,"WBS 1.14";#N/A,#N/A,FALSE,"WBS 1.17";#N/A,#N/A,FALSE,"WBS 1.18"}</definedName>
    <definedName name="wrn.FORMATOS."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GERENCIA." localSheetId="9" hidden="1">{#N/A,#N/A,TRUE,"INGENIERIA";#N/A,#N/A,TRUE,"COMPRAS";#N/A,#N/A,TRUE,"DIRECCION";#N/A,#N/A,TRUE,"RESUMEN"}</definedName>
    <definedName name="wrn.GERENCIA." localSheetId="8" hidden="1">{#N/A,#N/A,TRUE,"INGENIERIA";#N/A,#N/A,TRUE,"COMPRAS";#N/A,#N/A,TRUE,"DIRECCION";#N/A,#N/A,TRUE,"RESUMEN"}</definedName>
    <definedName name="wrn.GERENCIA." hidden="1">{#N/A,#N/A,TRUE,"INGENIERIA";#N/A,#N/A,TRUE,"COMPRAS";#N/A,#N/A,TRUE,"DIRECCION";#N/A,#N/A,TRUE,"RESUMEN"}</definedName>
    <definedName name="wrn.INFORME._.No.._.30." localSheetId="9" hidden="1">{#N/A,#N/A,FALSE,"DET-CAMB.";#N/A,#N/A,FALSE,"PRESUP.";#N/A,#N/A,FALSE,"RESUMEN";#N/A,#N/A,FALSE,"CT";#N/A,#N/A,FALSE,"PD";#N/A,#N/A,FALSE,"PR"}</definedName>
    <definedName name="wrn.INFORME._.No.._.30." localSheetId="8" hidden="1">{#N/A,#N/A,FALSE,"DET-CAMB.";#N/A,#N/A,FALSE,"PRESUP.";#N/A,#N/A,FALSE,"RESUMEN";#N/A,#N/A,FALSE,"CT";#N/A,#N/A,FALSE,"PD";#N/A,#N/A,FALSE,"PR"}</definedName>
    <definedName name="wrn.INFORME._.No.._.30." hidden="1">{#N/A,#N/A,FALSE,"DET-CAMB.";#N/A,#N/A,FALSE,"PRESUP.";#N/A,#N/A,FALSE,"RESUMEN";#N/A,#N/A,FALSE,"CT";#N/A,#N/A,FALSE,"PD";#N/A,#N/A,FALSE,"PR"}</definedName>
    <definedName name="wrn.precios." localSheetId="9" hidden="1">{"CONCABL1.1",#N/A,FALSE,"1.1.1a1.1.3 ACSR";"AISL1.2",#N/A,FALSE,"1.1.1a1.1.3 ACSR";"torr1.1.3",#N/A,FALSE,"1.1.1a1.1.3 ACSR";"cm1.2",#N/A,FALSE,"1.2 ACSR";"cm2.2",#N/A,FALSE,"1.2 ACSR";#N/A,#N/A,FALSE,"1.3 ACSR";#N/A,#N/A,FALSE,"2.1.1A2.1.3 ACAR";"ac2.1",#N/A,FALSE,"1.2 ACAR";"ac2.2",#N/A,FALSE,"1.2 ACAR";#N/A,#N/A,FALSE,"2.3 ACAR"}</definedName>
    <definedName name="wrn.precios." localSheetId="8" hidden="1">{"CONCABL1.1",#N/A,FALSE,"1.1.1a1.1.3 ACSR";"AISL1.2",#N/A,FALSE,"1.1.1a1.1.3 ACSR";"torr1.1.3",#N/A,FALSE,"1.1.1a1.1.3 ACSR";"cm1.2",#N/A,FALSE,"1.2 ACSR";"cm2.2",#N/A,FALSE,"1.2 ACSR";#N/A,#N/A,FALSE,"1.3 ACSR";#N/A,#N/A,FALSE,"2.1.1A2.1.3 ACAR";"ac2.1",#N/A,FALSE,"1.2 ACAR";"ac2.2",#N/A,FALSE,"1.2 ACAR";#N/A,#N/A,FALSE,"2.3 ACAR"}</definedName>
    <definedName name="wrn.precios." hidden="1">{"CONCABL1.1",#N/A,FALSE,"1.1.1a1.1.3 ACSR";"AISL1.2",#N/A,FALSE,"1.1.1a1.1.3 ACSR";"torr1.1.3",#N/A,FALSE,"1.1.1a1.1.3 ACSR";"cm1.2",#N/A,FALSE,"1.2 ACSR";"cm2.2",#N/A,FALSE,"1.2 ACSR";#N/A,#N/A,FALSE,"1.3 ACSR";#N/A,#N/A,FALSE,"2.1.1A2.1.3 ACAR";"ac2.1",#N/A,FALSE,"1.2 ACAR";"ac2.2",#N/A,FALSE,"1.2 ACAR";#N/A,#N/A,FALSE,"2.3 ACAR"}</definedName>
    <definedName name="wrn.PrintallD." localSheetId="9"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9"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VOLCAN." localSheetId="9" hidden="1">{#N/A,#N/A,FALSE,"Resumen"}</definedName>
    <definedName name="wrn.VOLCAN." localSheetId="8" hidden="1">{#N/A,#N/A,FALSE,"Resumen"}</definedName>
    <definedName name="wrn.VOLCAN." hidden="1">{#N/A,#N/A,FALSE,"Resumen"}</definedName>
    <definedName name="wsd" localSheetId="9" hidden="1">{#N/A,#N/A,FALSE,"SumG";#N/A,#N/A,FALSE,"ElecG";#N/A,#N/A,FALSE,"MechG";#N/A,#N/A,FALSE,"GeotG";#N/A,#N/A,FALSE,"PrcsG";#N/A,#N/A,FALSE,"TunnG";#N/A,#N/A,FALSE,"CivlG";#N/A,#N/A,FALSE,"NtwkG";#N/A,#N/A,FALSE,"EstgG";#N/A,#N/A,FALSE,"PEngG"}</definedName>
    <definedName name="wsd" localSheetId="8" hidden="1">{#N/A,#N/A,FALSE,"SumG";#N/A,#N/A,FALSE,"ElecG";#N/A,#N/A,FALSE,"MechG";#N/A,#N/A,FALSE,"GeotG";#N/A,#N/A,FALSE,"PrcsG";#N/A,#N/A,FALSE,"TunnG";#N/A,#N/A,FALSE,"CivlG";#N/A,#N/A,FALSE,"NtwkG";#N/A,#N/A,FALSE,"EstgG";#N/A,#N/A,FALSE,"PEngG"}</definedName>
    <definedName name="wsd" hidden="1">{#N/A,#N/A,FALSE,"SumG";#N/A,#N/A,FALSE,"ElecG";#N/A,#N/A,FALSE,"MechG";#N/A,#N/A,FALSE,"GeotG";#N/A,#N/A,FALSE,"PrcsG";#N/A,#N/A,FALSE,"TunnG";#N/A,#N/A,FALSE,"CivlG";#N/A,#N/A,FALSE,"NtwkG";#N/A,#N/A,FALSE,"EstgG";#N/A,#N/A,FALSE,"PEngG"}</definedName>
    <definedName name="wso">#REF!</definedName>
    <definedName name="wtest">#REF!</definedName>
    <definedName name="wtr">#REF!</definedName>
    <definedName name="WTU">#REF!</definedName>
    <definedName name="ww">#N/A</definedName>
    <definedName name="WW." localSheetId="9" hidden="1">#REF!</definedName>
    <definedName name="WW." localSheetId="8" hidden="1">#REF!</definedName>
    <definedName name="WW." hidden="1">#REF!</definedName>
    <definedName name="wwss" localSheetId="9" hidden="1">{#N/A,#N/A,FALSE,"SumD";#N/A,#N/A,FALSE,"ElecD";#N/A,#N/A,FALSE,"MechD";#N/A,#N/A,FALSE,"GeotD";#N/A,#N/A,FALSE,"PrcsD";#N/A,#N/A,FALSE,"TunnD";#N/A,#N/A,FALSE,"CivlD";#N/A,#N/A,FALSE,"NtwkD";#N/A,#N/A,FALSE,"EstgD";#N/A,#N/A,FALSE,"PEngD"}</definedName>
    <definedName name="wwss" localSheetId="8" hidden="1">{#N/A,#N/A,FALSE,"SumD";#N/A,#N/A,FALSE,"ElecD";#N/A,#N/A,FALSE,"MechD";#N/A,#N/A,FALSE,"GeotD";#N/A,#N/A,FALSE,"PrcsD";#N/A,#N/A,FALSE,"TunnD";#N/A,#N/A,FALSE,"CivlD";#N/A,#N/A,FALSE,"NtwkD";#N/A,#N/A,FALSE,"EstgD";#N/A,#N/A,FALSE,"PEngD"}</definedName>
    <definedName name="wwss" hidden="1">{#N/A,#N/A,FALSE,"SumD";#N/A,#N/A,FALSE,"ElecD";#N/A,#N/A,FALSE,"MechD";#N/A,#N/A,FALSE,"GeotD";#N/A,#N/A,FALSE,"PrcsD";#N/A,#N/A,FALSE,"TunnD";#N/A,#N/A,FALSE,"CivlD";#N/A,#N/A,FALSE,"NtwkD";#N/A,#N/A,FALSE,"EstgD";#N/A,#N/A,FALSE,"PEngD"}</definedName>
    <definedName name="www">#REF!</definedName>
    <definedName name="WWWW">#REF!</definedName>
    <definedName name="wwwww" localSheetId="9">#REF!</definedName>
    <definedName name="wwwww" localSheetId="8">#REF!</definedName>
    <definedName name="wwwww" hidden="1">{#N/A,#N/A,FALSE,"SumD";#N/A,#N/A,FALSE,"ElecD";#N/A,#N/A,FALSE,"MechD";#N/A,#N/A,FALSE,"GeotD";#N/A,#N/A,FALSE,"PrcsD";#N/A,#N/A,FALSE,"TunnD";#N/A,#N/A,FALSE,"CivlD";#N/A,#N/A,FALSE,"NtwkD";#N/A,#N/A,FALSE,"EstgD";#N/A,#N/A,FALSE,"PEngD"}</definedName>
    <definedName name="WWWWWWWWWWW">#REF!</definedName>
    <definedName name="wwwwwwwwwwwwwww">#REF!</definedName>
    <definedName name="X">#REF!</definedName>
    <definedName name="X__cm">#REF!</definedName>
    <definedName name="x_n">#REF!</definedName>
    <definedName name="x_print_11">#REF!</definedName>
    <definedName name="xa">#REF!</definedName>
    <definedName name="xb">#REF!</definedName>
    <definedName name="xc" localSheetId="9" hidden="1">{#N/A,#N/A,FALSE,"SumD";#N/A,#N/A,FALSE,"ElecD";#N/A,#N/A,FALSE,"MechD";#N/A,#N/A,FALSE,"GeotD";#N/A,#N/A,FALSE,"PrcsD";#N/A,#N/A,FALSE,"TunnD";#N/A,#N/A,FALSE,"CivlD";#N/A,#N/A,FALSE,"NtwkD";#N/A,#N/A,FALSE,"EstgD";#N/A,#N/A,FALSE,"PEngD"}</definedName>
    <definedName name="xc" localSheetId="8"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cqwer">#REF!</definedName>
    <definedName name="xctu">#REF!</definedName>
    <definedName name="xcvb">#REF!</definedName>
    <definedName name="xcvbjm">#REF!</definedName>
    <definedName name="xcvbnmo">#REF!</definedName>
    <definedName name="xcvghj">#REF!</definedName>
    <definedName name="xd">#REF!</definedName>
    <definedName name="xf">#REF!</definedName>
    <definedName name="xfyui">#REF!</definedName>
    <definedName name="xGraph11" localSheetId="9" hidden="1">#REF!</definedName>
    <definedName name="xGraph11" localSheetId="8" hidden="1">#REF!</definedName>
    <definedName name="xGraph11" hidden="1">#REF!</definedName>
    <definedName name="XS">#REF!</definedName>
    <definedName name="xx" localSheetId="9" hidden="1">{#N/A,#N/A,FALSE,"SumD";#N/A,#N/A,FALSE,"ElecD";#N/A,#N/A,FALSE,"MechD";#N/A,#N/A,FALSE,"GeotD";#N/A,#N/A,FALSE,"PrcsD";#N/A,#N/A,FALSE,"TunnD";#N/A,#N/A,FALSE,"CivlD";#N/A,#N/A,FALSE,"NtwkD";#N/A,#N/A,FALSE,"EstgD";#N/A,#N/A,FALSE,"PEngD"}</definedName>
    <definedName name="xx" localSheetId="8" hidden="1">{#N/A,#N/A,FALSE,"SumD";#N/A,#N/A,FALSE,"ElecD";#N/A,#N/A,FALSE,"MechD";#N/A,#N/A,FALSE,"GeotD";#N/A,#N/A,FALSE,"PrcsD";#N/A,#N/A,FALSE,"TunnD";#N/A,#N/A,FALSE,"CivlD";#N/A,#N/A,FALSE,"NtwkD";#N/A,#N/A,FALSE,"EstgD";#N/A,#N/A,FALSE,"PEngD"}</definedName>
    <definedName name="xx"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XXX" localSheetId="9">#REF!</definedName>
    <definedName name="XXX" localSheetId="8">#REF!</definedName>
    <definedName name="xxx" hidden="1">#REF!</definedName>
    <definedName name="xxxx" localSheetId="9" hidden="1">{#N/A,#N/A,FALSE,"SumD";#N/A,#N/A,FALSE,"ElecD";#N/A,#N/A,FALSE,"MechD";#N/A,#N/A,FALSE,"GeotD";#N/A,#N/A,FALSE,"PrcsD";#N/A,#N/A,FALSE,"TunnD";#N/A,#N/A,FALSE,"CivlD";#N/A,#N/A,FALSE,"NtwkD";#N/A,#N/A,FALSE,"EstgD";#N/A,#N/A,FALSE,"PEngD"}</definedName>
    <definedName name="xxxx" localSheetId="8" hidden="1">{#N/A,#N/A,FALSE,"SumD";#N/A,#N/A,FALSE,"ElecD";#N/A,#N/A,FALSE,"MechD";#N/A,#N/A,FALSE,"GeotD";#N/A,#N/A,FALSE,"PrcsD";#N/A,#N/A,FALSE,"TunnD";#N/A,#N/A,FALSE,"CivlD";#N/A,#N/A,FALSE,"NtwkD";#N/A,#N/A,FALSE,"EstgD";#N/A,#N/A,FALSE,"PEngD"}</definedName>
    <definedName name="XXXX" hidden="1">#REF!</definedName>
    <definedName name="XXXXX">#REF!</definedName>
    <definedName name="xxxxxx">#REF!</definedName>
    <definedName name="xxxxxxxx" localSheetId="9" hidden="1">{#N/A,#N/A,FALSE,"SumG";#N/A,#N/A,FALSE,"ElecG";#N/A,#N/A,FALSE,"MechG";#N/A,#N/A,FALSE,"GeotG";#N/A,#N/A,FALSE,"PrcsG";#N/A,#N/A,FALSE,"TunnG";#N/A,#N/A,FALSE,"CivlG";#N/A,#N/A,FALSE,"NtwkG";#N/A,#N/A,FALSE,"EstgG";#N/A,#N/A,FALSE,"PEngG"}</definedName>
    <definedName name="xxxxxxxx" localSheetId="8" hidden="1">{#N/A,#N/A,FALSE,"SumG";#N/A,#N/A,FALSE,"ElecG";#N/A,#N/A,FALSE,"MechG";#N/A,#N/A,FALSE,"GeotG";#N/A,#N/A,FALSE,"PrcsG";#N/A,#N/A,FALSE,"TunnG";#N/A,#N/A,FALSE,"CivlG";#N/A,#N/A,FALSE,"NtwkG";#N/A,#N/A,FALSE,"EstgG";#N/A,#N/A,FALSE,"PEngG"}</definedName>
    <definedName name="xxxxxxxx" hidden="1">{#N/A,#N/A,FALSE,"SumG";#N/A,#N/A,FALSE,"ElecG";#N/A,#N/A,FALSE,"MechG";#N/A,#N/A,FALSE,"GeotG";#N/A,#N/A,FALSE,"PrcsG";#N/A,#N/A,FALSE,"TunnG";#N/A,#N/A,FALSE,"CivlG";#N/A,#N/A,FALSE,"NtwkG";#N/A,#N/A,FALSE,"EstgG";#N/A,#N/A,FALSE,"PEngG"}</definedName>
    <definedName name="Y">#REF!</definedName>
    <definedName name="y_strainer">#REF!</definedName>
    <definedName name="YE">#REF!</definedName>
    <definedName name="year_curr">#REF!</definedName>
    <definedName name="Year_next">#REF!</definedName>
    <definedName name="year_prev_1">#REF!</definedName>
    <definedName name="year_prev_2">#REF!</definedName>
    <definedName name="YG">#REF!</definedName>
    <definedName name="yhb">#REF!</definedName>
    <definedName name="YJUYJKUY" localSheetId="9" hidden="1">{#N/A,#N/A,TRUE,"1842CWN0"}</definedName>
    <definedName name="YJUYJKUY" localSheetId="8" hidden="1">{#N/A,#N/A,TRUE,"1842CWN0"}</definedName>
    <definedName name="YJUYJKUY" hidden="1">{#N/A,#N/A,TRUE,"1842CWN0"}</definedName>
    <definedName name="yjy">#REF!</definedName>
    <definedName name="yn">#REF!</definedName>
    <definedName name="yrg">#REF!</definedName>
    <definedName name="ys">#REF!</definedName>
    <definedName name="yt">#REF!</definedName>
    <definedName name="YU">#REF!</definedName>
    <definedName name="yughgfh">#REF!</definedName>
    <definedName name="YUJYIUI" localSheetId="9" hidden="1">{#N/A,#N/A,TRUE,"1842CWN0"}</definedName>
    <definedName name="YUJYIUI" localSheetId="8" hidden="1">{#N/A,#N/A,TRUE,"1842CWN0"}</definedName>
    <definedName name="YUJYIUI" hidden="1">{#N/A,#N/A,TRUE,"1842CWN0"}</definedName>
    <definedName name="yujyiuokj"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yujyiuokj"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yujyiuokj"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yute">#REF!</definedName>
    <definedName name="yuui" localSheetId="9" hidden="1">{#N/A,#N/A,FALSE,"SumD";#N/A,#N/A,FALSE,"ElecD";#N/A,#N/A,FALSE,"MechD";#N/A,#N/A,FALSE,"GeotD";#N/A,#N/A,FALSE,"PrcsD";#N/A,#N/A,FALSE,"TunnD";#N/A,#N/A,FALSE,"CivlD";#N/A,#N/A,FALSE,"NtwkD";#N/A,#N/A,FALSE,"EstgD";#N/A,#N/A,FALSE,"PEngD"}</definedName>
    <definedName name="yuui" localSheetId="8" hidden="1">{#N/A,#N/A,FALSE,"SumD";#N/A,#N/A,FALSE,"ElecD";#N/A,#N/A,FALSE,"MechD";#N/A,#N/A,FALSE,"GeotD";#N/A,#N/A,FALSE,"PrcsD";#N/A,#N/A,FALSE,"TunnD";#N/A,#N/A,FALSE,"CivlD";#N/A,#N/A,FALSE,"NtwkD";#N/A,#N/A,FALSE,"EstgD";#N/A,#N/A,FALSE,"PEngD"}</definedName>
    <definedName name="yuui" hidden="1">{#N/A,#N/A,FALSE,"SumD";#N/A,#N/A,FALSE,"ElecD";#N/A,#N/A,FALSE,"MechD";#N/A,#N/A,FALSE,"GeotD";#N/A,#N/A,FALSE,"PrcsD";#N/A,#N/A,FALSE,"TunnD";#N/A,#N/A,FALSE,"CivlD";#N/A,#N/A,FALSE,"NtwkD";#N/A,#N/A,FALSE,"EstgD";#N/A,#N/A,FALSE,"PEngD"}</definedName>
    <definedName name="yuyu">#REF!</definedName>
    <definedName name="yy">#REF!</definedName>
    <definedName name="yyhhhh" localSheetId="9" hidden="1">{#N/A,#N/A,FALSE,"Pricing";#N/A,#N/A,FALSE,"Summary";#N/A,#N/A,FALSE,"CompProd";#N/A,#N/A,FALSE,"CompJobhrs";#N/A,#N/A,FALSE,"Escalation";#N/A,#N/A,FALSE,"Contingency";#N/A,#N/A,FALSE,"GM";#N/A,#N/A,FALSE,"CompWage";#N/A,#N/A,FALSE,"costSum"}</definedName>
    <definedName name="yyhhhh" localSheetId="8" hidden="1">{#N/A,#N/A,FALSE,"Pricing";#N/A,#N/A,FALSE,"Summary";#N/A,#N/A,FALSE,"CompProd";#N/A,#N/A,FALSE,"CompJobhrs";#N/A,#N/A,FALSE,"Escalation";#N/A,#N/A,FALSE,"Contingency";#N/A,#N/A,FALSE,"GM";#N/A,#N/A,FALSE,"CompWage";#N/A,#N/A,FALSE,"costSum"}</definedName>
    <definedName name="yyhhhh" hidden="1">{#N/A,#N/A,FALSE,"Pricing";#N/A,#N/A,FALSE,"Summary";#N/A,#N/A,FALSE,"CompProd";#N/A,#N/A,FALSE,"CompJobhrs";#N/A,#N/A,FALSE,"Escalation";#N/A,#N/A,FALSE,"Contingency";#N/A,#N/A,FALSE,"GM";#N/A,#N/A,FALSE,"CompWage";#N/A,#N/A,FALSE,"costSum"}</definedName>
    <definedName name="yyyhhh" localSheetId="9" hidden="1">{#N/A,#N/A,FALSE,"SumG";#N/A,#N/A,FALSE,"ElecG";#N/A,#N/A,FALSE,"MechG";#N/A,#N/A,FALSE,"GeotG";#N/A,#N/A,FALSE,"PrcsG";#N/A,#N/A,FALSE,"TunnG";#N/A,#N/A,FALSE,"CivlG";#N/A,#N/A,FALSE,"NtwkG";#N/A,#N/A,FALSE,"EstgG";#N/A,#N/A,FALSE,"PEngG"}</definedName>
    <definedName name="yyyhhh" localSheetId="8" hidden="1">{#N/A,#N/A,FALSE,"SumG";#N/A,#N/A,FALSE,"ElecG";#N/A,#N/A,FALSE,"MechG";#N/A,#N/A,FALSE,"GeotG";#N/A,#N/A,FALSE,"PrcsG";#N/A,#N/A,FALSE,"TunnG";#N/A,#N/A,FALSE,"CivlG";#N/A,#N/A,FALSE,"NtwkG";#N/A,#N/A,FALSE,"EstgG";#N/A,#N/A,FALSE,"PEngG"}</definedName>
    <definedName name="yyyhhh" hidden="1">{#N/A,#N/A,FALSE,"SumG";#N/A,#N/A,FALSE,"ElecG";#N/A,#N/A,FALSE,"MechG";#N/A,#N/A,FALSE,"GeotG";#N/A,#N/A,FALSE,"PrcsG";#N/A,#N/A,FALSE,"TunnG";#N/A,#N/A,FALSE,"CivlG";#N/A,#N/A,FALSE,"NtwkG";#N/A,#N/A,FALSE,"EstgG";#N/A,#N/A,FALSE,"PEngG"}</definedName>
    <definedName name="yyyy">#REF!</definedName>
    <definedName name="yyyyyhh" localSheetId="9" hidden="1">{#N/A,#N/A,FALSE,"SumG";#N/A,#N/A,FALSE,"ElecG";#N/A,#N/A,FALSE,"MechG";#N/A,#N/A,FALSE,"GeotG";#N/A,#N/A,FALSE,"PrcsG";#N/A,#N/A,FALSE,"TunnG";#N/A,#N/A,FALSE,"CivlG";#N/A,#N/A,FALSE,"NtwkG";#N/A,#N/A,FALSE,"EstgG";#N/A,#N/A,FALSE,"PEngG"}</definedName>
    <definedName name="yyyyyhh" localSheetId="8" hidden="1">{#N/A,#N/A,FALSE,"SumG";#N/A,#N/A,FALSE,"ElecG";#N/A,#N/A,FALSE,"MechG";#N/A,#N/A,FALSE,"GeotG";#N/A,#N/A,FALSE,"PrcsG";#N/A,#N/A,FALSE,"TunnG";#N/A,#N/A,FALSE,"CivlG";#N/A,#N/A,FALSE,"NtwkG";#N/A,#N/A,FALSE,"EstgG";#N/A,#N/A,FALSE,"PEngG"}</definedName>
    <definedName name="yyyyyhh" hidden="1">{#N/A,#N/A,FALSE,"SumG";#N/A,#N/A,FALSE,"ElecG";#N/A,#N/A,FALSE,"MechG";#N/A,#N/A,FALSE,"GeotG";#N/A,#N/A,FALSE,"PrcsG";#N/A,#N/A,FALSE,"TunnG";#N/A,#N/A,FALSE,"CivlG";#N/A,#N/A,FALSE,"NtwkG";#N/A,#N/A,FALSE,"EstgG";#N/A,#N/A,FALSE,"PEngG"}</definedName>
    <definedName name="Z">#REF!</definedName>
    <definedName name="Z_167171FD_87D8_4F69_8911_B5A843921BCA_.wvu.PrintArea">#REF!</definedName>
    <definedName name="Z_167171FD_87D8_4F69_8911_B5A843921BCA_.wvu.PrintTitles">#REF!</definedName>
    <definedName name="Z_3D9E3CC0_1D2E_4719_8F74_C584ED507AD5_.wvu.PrintArea">#REF!</definedName>
    <definedName name="Z_3D9E3CC0_1D2E_4719_8F74_C584ED507AD5_.wvu.PrintTitles">#REF!</definedName>
    <definedName name="Z_L_I_T_E_N">#N/A</definedName>
    <definedName name="zacv">#REF!</definedName>
    <definedName name="Zapatas" localSheetId="9" hidden="1">{#N/A,#N/A,TRUE,"INGENIERIA";#N/A,#N/A,TRUE,"COMPRAS";#N/A,#N/A,TRUE,"DIRECCION";#N/A,#N/A,TRUE,"RESUMEN"}</definedName>
    <definedName name="Zapatas" localSheetId="8" hidden="1">{#N/A,#N/A,TRUE,"INGENIERIA";#N/A,#N/A,TRUE,"COMPRAS";#N/A,#N/A,TRUE,"DIRECCION";#N/A,#N/A,TRUE,"RESUMEN"}</definedName>
    <definedName name="Zapatas" hidden="1">{#N/A,#N/A,TRUE,"INGENIERIA";#N/A,#N/A,TRUE,"COMPRAS";#N/A,#N/A,TRUE,"DIRECCION";#N/A,#N/A,TRUE,"RESUMEN"}</definedName>
    <definedName name="ZAZA">#REF!</definedName>
    <definedName name="zeb2">#REF!</definedName>
    <definedName name="ZETA">#REF!</definedName>
    <definedName name="ZOCALO">#REF!</definedName>
    <definedName name="Zprecor">#REF!</definedName>
    <definedName name="zqasedgt">#REF!</definedName>
    <definedName name="zs">#REF!</definedName>
    <definedName name="zse" localSheetId="9"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w">#REF!</definedName>
    <definedName name="zxcvmp">#REF!</definedName>
    <definedName name="zz" localSheetId="9" hidden="1">{#N/A,#N/A,FALSE,"SumD";#N/A,#N/A,FALSE,"ElecD";#N/A,#N/A,FALSE,"MechD";#N/A,#N/A,FALSE,"GeotD";#N/A,#N/A,FALSE,"PrcsD";#N/A,#N/A,FALSE,"TunnD";#N/A,#N/A,FALSE,"CivlD";#N/A,#N/A,FALSE,"NtwkD";#N/A,#N/A,FALSE,"EstgD";#N/A,#N/A,FALSE,"PEngD"}</definedName>
    <definedName name="zz" localSheetId="8"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#REF!</definedName>
    <definedName name="zzzz" localSheetId="9">#REF!</definedName>
    <definedName name="zzzz" localSheetId="8">#REF!</definedName>
    <definedName name="zzzz" hidden="1">{#N/A,#N/A,FALSE,"SumG";#N/A,#N/A,FALSE,"ElecG";#N/A,#N/A,FALSE,"MechG";#N/A,#N/A,FALSE,"GeotG";#N/A,#N/A,FALSE,"PrcsG";#N/A,#N/A,FALSE,"TunnG";#N/A,#N/A,FALSE,"CivlG";#N/A,#N/A,FALSE,"NtwkG";#N/A,#N/A,FALSE,"EstgG";#N/A,#N/A,FALSE,"PEngG"}</definedName>
    <definedName name="zzzzzz" localSheetId="9" hidden="1">{#N/A,#N/A,FALSE,"SumD";#N/A,#N/A,FALSE,"ElecD";#N/A,#N/A,FALSE,"MechD";#N/A,#N/A,FALSE,"GeotD";#N/A,#N/A,FALSE,"PrcsD";#N/A,#N/A,FALSE,"TunnD";#N/A,#N/A,FALSE,"CivlD";#N/A,#N/A,FALSE,"NtwkD";#N/A,#N/A,FALSE,"EstgD";#N/A,#N/A,FALSE,"PEngD"}</definedName>
    <definedName name="zzzzzz" localSheetId="8"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γc">#REF!</definedName>
    <definedName name="γG">#REF!</definedName>
    <definedName name="ㄱ">#REF!</definedName>
    <definedName name="강1">#REF!</definedName>
    <definedName name="강2">#REF!</definedName>
    <definedName name="강3">#REF!</definedName>
    <definedName name="건">#N/A</definedName>
    <definedName name="건축">#REF!</definedName>
    <definedName name="견적비교">#REF!</definedName>
    <definedName name="계획">#REF!</definedName>
    <definedName name="공일">#REF!</definedName>
    <definedName name="기계">#REF!</definedName>
    <definedName name="기계1">#REF!</definedName>
    <definedName name="기타">#REF!</definedName>
    <definedName name="김1">#REF!</definedName>
    <definedName name="김2">#REF!</definedName>
    <definedName name="김3">#REF!</definedName>
    <definedName name="김김김">#REF!</definedName>
    <definedName name="김성배_상무">#REF!</definedName>
    <definedName name="김전진행">#REF!</definedName>
    <definedName name="김전진행2">#REF!</definedName>
    <definedName name="김전청산">#REF!</definedName>
    <definedName name="김희진행">#REF!</definedName>
    <definedName name="김희진행2">#REF!</definedName>
    <definedName name="김희청산">#REF!</definedName>
    <definedName name="ㄴㄴㄴ">#N/A</definedName>
    <definedName name="ㄴㄴㄴㄴㅇ">#N/A</definedName>
    <definedName name="ㄴㅁㅁㄴㄴㅁ">#N/A</definedName>
    <definedName name="내장1">#REF!</definedName>
    <definedName name="내장2">#REF!</definedName>
    <definedName name="내장3">#REF!</definedName>
    <definedName name="내장4">#REF!</definedName>
    <definedName name="내장5">#REF!</definedName>
    <definedName name="내장6">#REF!</definedName>
    <definedName name="내장7">#REF!</definedName>
    <definedName name="년초99">#REF!</definedName>
    <definedName name="ㄷㄷ">#N/A</definedName>
    <definedName name="당초계획" localSheetId="9" hidden="1">#REF!</definedName>
    <definedName name="당초계획" localSheetId="8" hidden="1">#REF!</definedName>
    <definedName name="당초계획" hidden="1">#REF!</definedName>
    <definedName name="디">#REF!</definedName>
    <definedName name="ㄹㄹㄹㄹㅀㅎ">#N/A</definedName>
    <definedName name="ㅁ">#N/A</definedName>
    <definedName name="ㅁ139">#REF!</definedName>
    <definedName name="ㅁ835">#REF!</definedName>
    <definedName name="ㅁㄴㅁㅁ">#N/A</definedName>
    <definedName name="ㅁㅁㅁ">#REF!</definedName>
    <definedName name="문1">#REF!</definedName>
    <definedName name="문10">#REF!</definedName>
    <definedName name="문11">#REF!</definedName>
    <definedName name="문12">#REF!</definedName>
    <definedName name="문13">#REF!</definedName>
    <definedName name="문14">#REF!</definedName>
    <definedName name="문15">#REF!</definedName>
    <definedName name="문16">#REF!</definedName>
    <definedName name="문17">#REF!</definedName>
    <definedName name="문18">#REF!</definedName>
    <definedName name="문19">#REF!</definedName>
    <definedName name="문2">#REF!</definedName>
    <definedName name="문20">#REF!</definedName>
    <definedName name="문21">#REF!</definedName>
    <definedName name="문22">#REF!</definedName>
    <definedName name="문3">#REF!</definedName>
    <definedName name="문4">#REF!</definedName>
    <definedName name="문5">#REF!</definedName>
    <definedName name="문7">#REF!</definedName>
    <definedName name="문8">#REF!</definedName>
    <definedName name="문9">#REF!</definedName>
    <definedName name="물품대">#REF!</definedName>
    <definedName name="미장1">#REF!</definedName>
    <definedName name="미장2">#REF!</definedName>
    <definedName name="미장3">#REF!</definedName>
    <definedName name="미장5">#REF!</definedName>
    <definedName name="ㅂ">#N/A</definedName>
    <definedName name="ㅂㅂㅂ">#N/A</definedName>
    <definedName name="ㅂㅂㅂㅂㅂ">#N/A</definedName>
    <definedName name="바보">#REF!</definedName>
    <definedName name="발표양식">#N/A</definedName>
    <definedName name="방수1">#REF!</definedName>
    <definedName name="방수2">#REF!</definedName>
    <definedName name="방수3">#REF!</definedName>
    <definedName name="방수4">#REF!</definedName>
    <definedName name="방수5">#REF!</definedName>
    <definedName name="방수7">#REF!</definedName>
    <definedName name="방수8">#REF!</definedName>
    <definedName name="보고양식1">#REF!</definedName>
    <definedName name="보고양식2">#REF!</definedName>
    <definedName name="보고양식3">#REF!</definedName>
    <definedName name="보충" localSheetId="9" hidden="1">#REF!</definedName>
    <definedName name="보충" localSheetId="8" hidden="1">#REF!</definedName>
    <definedName name="보충" hidden="1">#REF!</definedName>
    <definedName name="부대공사" localSheetId="9" hidden="1">#REF!</definedName>
    <definedName name="부대공사" localSheetId="8" hidden="1">#REF!</definedName>
    <definedName name="부대공사" hidden="1">#REF!</definedName>
    <definedName name="빈칸">#REF!</definedName>
    <definedName name="사업계획">#REF!</definedName>
    <definedName name="사업부양식2" hidden="1">#REF!</definedName>
    <definedName name="선투입추정">#REF!</definedName>
    <definedName name="소모비">#REF!</definedName>
    <definedName name="손익계산서" hidden="1">#REF!</definedName>
    <definedName name="수">#N/A</definedName>
    <definedName name="수수">#N/A</definedName>
    <definedName name="수수수">#N/A</definedName>
    <definedName name="수수실적7월">#N/A</definedName>
    <definedName name="신규">#REF!</definedName>
    <definedName name="신규계획97">#REF!</definedName>
    <definedName name="신규사업97">#REF!</definedName>
    <definedName name="신진공사">#REF!</definedName>
    <definedName name="신진자금">#REF!</definedName>
    <definedName name="실적">#N/A</definedName>
    <definedName name="ㅇ">#N/A</definedName>
    <definedName name="ㅇㄴㅁㄴㅁㄴㅇㄴㅇㅁㄴㅇㅁㄴㅇㅁㄴㅇㅇㄴㄴㅇㅇㄴㅁ">#N/A</definedName>
    <definedName name="ㅇㄴㅇ">#N/A</definedName>
    <definedName name="ㅇㄹㄹ">#N/A</definedName>
    <definedName name="ㅇㅇ">#N/A</definedName>
    <definedName name="ㅇㅇㅇ">#N/A</definedName>
    <definedName name="ㅇㅇㅇㅇ">#N/A</definedName>
    <definedName name="안성진행">#REF!</definedName>
    <definedName name="안성진행2">#REF!</definedName>
    <definedName name="안성청산">#REF!</definedName>
    <definedName name="안효진행">#REF!</definedName>
    <definedName name="안효청산">#REF!</definedName>
    <definedName name="연결1">#REF!</definedName>
    <definedName name="연결2">#REF!</definedName>
    <definedName name="연결3">#REF!</definedName>
    <definedName name="연결4">#REF!</definedName>
    <definedName name="연습">#REF!</definedName>
    <definedName name="오1">#REF!</definedName>
    <definedName name="오2">#REF!</definedName>
    <definedName name="오3">#REF!</definedName>
    <definedName name="완공">#REF!</definedName>
    <definedName name="우성공사">#REF!</definedName>
    <definedName name="월별영업">#REF!</definedName>
    <definedName name="유1">#REF!</definedName>
    <definedName name="유2">#REF!</definedName>
    <definedName name="유3">#REF!</definedName>
    <definedName name="이1">#REF!</definedName>
    <definedName name="이2">#REF!</definedName>
    <definedName name="이3">#REF!</definedName>
    <definedName name="인력투입">#REF!</definedName>
    <definedName name="입찰현장조직">#REF!</definedName>
    <definedName name="ㅈㄷㅈㄷ">#N/A</definedName>
    <definedName name="자금수급">#REF!</definedName>
    <definedName name="작성">#REF!</definedName>
    <definedName name="잡철1">#REF!</definedName>
    <definedName name="잡철2">#REF!</definedName>
    <definedName name="잡철3">#REF!</definedName>
    <definedName name="잡철4">#REF!</definedName>
    <definedName name="잡철5">#REF!</definedName>
    <definedName name="잡철6">#REF!</definedName>
    <definedName name="재정부">#REF!</definedName>
    <definedName name="전">#N/A</definedName>
    <definedName name="전기">#N/A</definedName>
    <definedName name="전기계장">#REF!</definedName>
    <definedName name="전기공사">#REF!</definedName>
    <definedName name="정전무사업">#REF!</definedName>
    <definedName name="정전무사업계획97">#REF!</definedName>
    <definedName name="제목">#REF!</definedName>
    <definedName name="조적1">#REF!</definedName>
    <definedName name="조적2">#REF!</definedName>
    <definedName name="조적3">#REF!</definedName>
    <definedName name="조적4">#REF!</definedName>
    <definedName name="조적5">#REF!</definedName>
    <definedName name="조적6">#REF!</definedName>
    <definedName name="주택사업본부">#REF!</definedName>
    <definedName name="중기">#REF!</definedName>
    <definedName name="중단공사">#REF!</definedName>
    <definedName name="지붕1">#REF!</definedName>
    <definedName name="지붕10">#REF!</definedName>
    <definedName name="지붕11">#REF!</definedName>
    <definedName name="지붕2">#REF!</definedName>
    <definedName name="지붕3">#REF!</definedName>
    <definedName name="지붕4">#REF!</definedName>
    <definedName name="지붕5">#REF!</definedName>
    <definedName name="지붕6">#REF!</definedName>
    <definedName name="지붕7">#REF!</definedName>
    <definedName name="지붕8">#REF!</definedName>
    <definedName name="지붕9">#REF!</definedName>
    <definedName name="진행">#REF!</definedName>
    <definedName name="진행1">#REF!</definedName>
    <definedName name="창1">#REF!</definedName>
    <definedName name="창10">#REF!</definedName>
    <definedName name="창11">#REF!</definedName>
    <definedName name="창2">#REF!</definedName>
    <definedName name="창3">#REF!</definedName>
    <definedName name="창4">#REF!</definedName>
    <definedName name="창5">#REF!</definedName>
    <definedName name="창6">#REF!</definedName>
    <definedName name="창7">#REF!</definedName>
    <definedName name="창8">#REF!</definedName>
    <definedName name="창9">#REF!</definedName>
    <definedName name="철구사업본부">#REF!</definedName>
    <definedName name="청상과부">#REF!</definedName>
    <definedName name="청상과부1">#REF!</definedName>
    <definedName name="최건진행">#REF!</definedName>
    <definedName name="최건청산">#REF!</definedName>
    <definedName name="최건청산2">#REF!</definedName>
    <definedName name="추정사업계획">#REF!</definedName>
    <definedName name="추진">#REF!</definedName>
    <definedName name="칠1">#REF!</definedName>
    <definedName name="칠2">#REF!</definedName>
    <definedName name="칠3">#REF!</definedName>
    <definedName name="칠4">#REF!</definedName>
    <definedName name="칠5">#REF!</definedName>
    <definedName name="칠6">#REF!</definedName>
    <definedName name="칠7">#REF!</definedName>
    <definedName name="칠8">#REF!</definedName>
    <definedName name="케이">#REF!</definedName>
    <definedName name="클_레_임">#N/A</definedName>
    <definedName name="타일1">#REF!</definedName>
    <definedName name="타일2">#REF!</definedName>
    <definedName name="타일3">#REF!</definedName>
    <definedName name="타일4">#REF!</definedName>
    <definedName name="타일5">#REF!</definedName>
    <definedName name="타일6">#REF!</definedName>
    <definedName name="태광공사">#REF!</definedName>
    <definedName name="토">#N/A</definedName>
    <definedName name="토목">#REF!</definedName>
    <definedName name="토목p">#REF!</definedName>
    <definedName name="토목이월">#REF!</definedName>
    <definedName name="토목이월1">#REF!</definedName>
    <definedName name="ㅍㅍㅍ">#N/A</definedName>
    <definedName name="플">#N/A</definedName>
    <definedName name="ㅎㅎ">#N/A</definedName>
    <definedName name="ㅏㅏ">#REF!</definedName>
    <definedName name="ㅏㅏㅏㅏㅏ">#N/A</definedName>
    <definedName name="ㅐ1236">#REF!</definedName>
    <definedName name="ㅑ3081">#REF!</definedName>
    <definedName name="ㅓㅓㅓㅓㅓ">#N/A</definedName>
    <definedName name="ㅓㅓㅗ라ㅓㄴ오라ㅓㅁㄴ오라넘오람ㄴ엄ㄴㅇㅇㄴㅁㅁㄴㅇㅇㄴㄴㅇㅁ">#N/A</definedName>
    <definedName name="ㅗㅗㅗㅗ">#N/A</definedName>
    <definedName name="ㅛㅕㅕㅕ">#N/A</definedName>
    <definedName name="ㅜㅜㅜ">#N/A</definedName>
    <definedName name="ㅠㅜㅠㅜㅜㅜ">#N/A</definedName>
    <definedName name="ㅣ1191">#REF!</definedName>
    <definedName name="ㅣㅣ">#REF!</definedName>
    <definedName name="中斷工事__小計">#REF!</definedName>
    <definedName name="全体">#REF!</definedName>
    <definedName name="全体１">#REF!</definedName>
    <definedName name="合____計">#N/A</definedName>
    <definedName name="完工工事_計">#N/A</definedName>
    <definedName name="新規工事__小計">#REF!</definedName>
    <definedName name="新規工事_小計">#REF!</definedName>
    <definedName name="新規工事_計">#N/A</definedName>
    <definedName name="新規推進__小計">#REF!</definedName>
    <definedName name="有價__券.1.A">#REF!</definedName>
    <definedName name="淸算工事__小計">#REF!</definedName>
    <definedName name="移越工事__小計">#REF!</definedName>
    <definedName name="行見出し">#REF!</definedName>
    <definedName name="進行工事__小計">#REF!</definedName>
    <definedName name="進行工事__小計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7" i="18" l="1"/>
  <c r="G166" i="18"/>
  <c r="J50" i="79" l="1"/>
  <c r="J10" i="79"/>
  <c r="J159" i="79"/>
  <c r="J136" i="79"/>
  <c r="J75" i="79"/>
  <c r="J24" i="79"/>
  <c r="J77" i="78"/>
  <c r="J65" i="78"/>
  <c r="J10" i="78"/>
  <c r="H94" i="3" l="1"/>
  <c r="J120" i="3"/>
  <c r="J121" i="3"/>
  <c r="J119"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22" i="3"/>
  <c r="J123" i="3"/>
  <c r="J124" i="3"/>
  <c r="J14" i="3"/>
  <c r="G85" i="55" l="1"/>
  <c r="J561" i="55"/>
  <c r="I561" i="55"/>
  <c r="H561" i="55"/>
  <c r="J507" i="55"/>
  <c r="I507" i="55"/>
  <c r="H507" i="55"/>
  <c r="G37" i="3"/>
  <c r="G38" i="3"/>
  <c r="G39" i="3"/>
  <c r="G40" i="3"/>
  <c r="G41" i="3"/>
  <c r="G42" i="3"/>
  <c r="G43" i="3"/>
  <c r="G44" i="3"/>
  <c r="G45" i="3"/>
  <c r="G46" i="3"/>
  <c r="G47" i="3"/>
  <c r="G48" i="3"/>
  <c r="G49" i="3"/>
  <c r="G36" i="3"/>
  <c r="G54" i="3"/>
  <c r="G55" i="3"/>
  <c r="G56" i="3"/>
  <c r="G57" i="3"/>
  <c r="G58" i="3"/>
  <c r="G59" i="3"/>
  <c r="G60" i="3"/>
  <c r="G61" i="3"/>
  <c r="G62" i="3"/>
  <c r="G63" i="3"/>
  <c r="G64" i="3"/>
  <c r="G65" i="3"/>
  <c r="G66" i="3"/>
  <c r="G53" i="3"/>
  <c r="H19" i="3"/>
  <c r="K507" i="55" l="1"/>
  <c r="K561" i="55"/>
  <c r="I93" i="15"/>
  <c r="K92" i="15"/>
  <c r="J92" i="15"/>
  <c r="K91" i="15"/>
  <c r="J91" i="15"/>
  <c r="J93" i="15" l="1"/>
  <c r="K93" i="15"/>
  <c r="L92" i="15"/>
  <c r="I92" i="15"/>
  <c r="L91" i="15"/>
  <c r="I91" i="15"/>
  <c r="L93" i="15" l="1"/>
  <c r="H108" i="55" l="1"/>
  <c r="J108" i="55"/>
  <c r="I108" i="55"/>
  <c r="K108" i="55" l="1"/>
  <c r="I50" i="55" l="1"/>
  <c r="I57" i="55"/>
  <c r="I58" i="55"/>
  <c r="I65" i="55"/>
  <c r="I66" i="55"/>
  <c r="I68" i="55"/>
  <c r="I69" i="55"/>
  <c r="I101" i="55"/>
  <c r="I102" i="55"/>
  <c r="I107" i="55"/>
  <c r="I124" i="55"/>
  <c r="I128" i="55"/>
  <c r="I130" i="55"/>
  <c r="I131" i="55"/>
  <c r="I132" i="55"/>
  <c r="I133" i="55"/>
  <c r="I134" i="55"/>
  <c r="I135" i="55"/>
  <c r="I136" i="55"/>
  <c r="I137" i="55"/>
  <c r="I141" i="55"/>
  <c r="I142" i="55"/>
  <c r="I146" i="55"/>
  <c r="I147" i="55"/>
  <c r="I152" i="55"/>
  <c r="I166" i="55"/>
  <c r="I167" i="55"/>
  <c r="I182" i="55"/>
  <c r="I205" i="55"/>
  <c r="I215" i="55"/>
  <c r="I226" i="55"/>
  <c r="I238" i="55"/>
  <c r="I239" i="55"/>
  <c r="I265" i="55"/>
  <c r="I270" i="55"/>
  <c r="I276" i="55"/>
  <c r="I280" i="55"/>
  <c r="I283" i="55"/>
  <c r="I284" i="55"/>
  <c r="I291" i="55"/>
  <c r="I294" i="55"/>
  <c r="I305" i="55"/>
  <c r="I315" i="55"/>
  <c r="I319" i="55"/>
  <c r="I339" i="55"/>
  <c r="I348" i="55"/>
  <c r="I352" i="55"/>
  <c r="I361" i="55"/>
  <c r="I429" i="55"/>
  <c r="I431" i="55"/>
  <c r="I432" i="55"/>
  <c r="I433" i="55"/>
  <c r="I434" i="55"/>
  <c r="I435" i="55"/>
  <c r="I436" i="55"/>
  <c r="I437" i="55"/>
  <c r="I438" i="55"/>
  <c r="I439" i="55"/>
  <c r="I440" i="55"/>
  <c r="I441" i="55"/>
  <c r="I442" i="55"/>
  <c r="I443" i="55"/>
  <c r="I444" i="55"/>
  <c r="I445" i="55"/>
  <c r="I446" i="55"/>
  <c r="I447" i="55"/>
  <c r="I448" i="55"/>
  <c r="I449" i="55"/>
  <c r="I450" i="55"/>
  <c r="I451" i="55"/>
  <c r="I452" i="55"/>
  <c r="I453" i="55"/>
  <c r="I454" i="55"/>
  <c r="I455" i="55"/>
  <c r="I456" i="55"/>
  <c r="I457" i="55"/>
  <c r="I458" i="55"/>
  <c r="I459" i="55"/>
  <c r="I460" i="55"/>
  <c r="I461" i="55"/>
  <c r="I462" i="55"/>
  <c r="I464" i="55"/>
  <c r="I465" i="55"/>
  <c r="I466" i="55"/>
  <c r="I467" i="55"/>
  <c r="I468" i="55"/>
  <c r="I469" i="55"/>
  <c r="I470" i="55"/>
  <c r="I471" i="55"/>
  <c r="I472" i="55"/>
  <c r="I473" i="55"/>
  <c r="I474" i="55"/>
  <c r="I476" i="55"/>
  <c r="I479" i="55"/>
  <c r="I481" i="55"/>
  <c r="I482" i="55"/>
  <c r="I483" i="55"/>
  <c r="I484" i="55"/>
  <c r="I485" i="55"/>
  <c r="I486" i="55"/>
  <c r="I487" i="55"/>
  <c r="I488" i="55"/>
  <c r="I489" i="55"/>
  <c r="I490" i="55"/>
  <c r="I491" i="55"/>
  <c r="I492" i="55"/>
  <c r="I493" i="55"/>
  <c r="I494" i="55"/>
  <c r="I495" i="55"/>
  <c r="I496" i="55"/>
  <c r="I497" i="55"/>
  <c r="I498" i="55"/>
  <c r="I499" i="55"/>
  <c r="I500" i="55"/>
  <c r="I501" i="55"/>
  <c r="I502" i="55"/>
  <c r="I503" i="55"/>
  <c r="I504" i="55"/>
  <c r="I505" i="55"/>
  <c r="I506" i="55"/>
  <c r="I509" i="55"/>
  <c r="I510" i="55"/>
  <c r="I511" i="55"/>
  <c r="I512" i="55"/>
  <c r="I513" i="55"/>
  <c r="I514" i="55"/>
  <c r="I515" i="55"/>
  <c r="I516" i="55"/>
  <c r="I517" i="55"/>
  <c r="I518" i="55"/>
  <c r="I519" i="55"/>
  <c r="I520" i="55"/>
  <c r="I521" i="55"/>
  <c r="I522" i="55"/>
  <c r="I523" i="55"/>
  <c r="I524" i="55"/>
  <c r="I525" i="55"/>
  <c r="I526" i="55"/>
  <c r="I527" i="55"/>
  <c r="I528" i="55"/>
  <c r="I529" i="55"/>
  <c r="I530" i="55"/>
  <c r="I531" i="55"/>
  <c r="I532" i="55"/>
  <c r="I533" i="55"/>
  <c r="I534" i="55"/>
  <c r="I535" i="55"/>
  <c r="I536" i="55"/>
  <c r="I537" i="55"/>
  <c r="I538" i="55"/>
  <c r="I539" i="55"/>
  <c r="I540" i="55"/>
  <c r="I541" i="55"/>
  <c r="I542" i="55"/>
  <c r="I543" i="55"/>
  <c r="I544" i="55"/>
  <c r="I545" i="55"/>
  <c r="I546" i="55"/>
  <c r="I547" i="55"/>
  <c r="I548" i="55"/>
  <c r="I549" i="55"/>
  <c r="I550" i="55"/>
  <c r="I551" i="55"/>
  <c r="I552" i="55"/>
  <c r="I553" i="55"/>
  <c r="I554" i="55"/>
  <c r="I555" i="55"/>
  <c r="I556" i="55"/>
  <c r="I557" i="55"/>
  <c r="I558" i="55"/>
  <c r="I559" i="55"/>
  <c r="I560" i="55"/>
  <c r="I564" i="55"/>
  <c r="I565" i="55"/>
  <c r="I566" i="55"/>
  <c r="I567" i="55"/>
  <c r="I568" i="55"/>
  <c r="I569" i="55"/>
  <c r="I570" i="55"/>
  <c r="I571" i="55"/>
  <c r="I573" i="55"/>
  <c r="I574" i="55"/>
  <c r="I575" i="55"/>
  <c r="I576" i="55"/>
  <c r="I577" i="55"/>
  <c r="I578" i="55"/>
  <c r="I582" i="55"/>
  <c r="I585" i="55"/>
  <c r="I586" i="55"/>
  <c r="I588" i="55"/>
  <c r="I589" i="55"/>
  <c r="I590" i="55"/>
  <c r="I591" i="55"/>
  <c r="I592" i="55"/>
  <c r="I593" i="55"/>
  <c r="I594" i="55"/>
  <c r="I595" i="55"/>
  <c r="I596" i="55"/>
  <c r="I597" i="55"/>
  <c r="I598" i="55"/>
  <c r="I599" i="55"/>
  <c r="I600" i="55"/>
  <c r="I601" i="55"/>
  <c r="I602" i="55"/>
  <c r="I603" i="55"/>
  <c r="I604" i="55"/>
  <c r="I605" i="55"/>
  <c r="I606" i="55"/>
  <c r="I607" i="55"/>
  <c r="I608" i="55"/>
  <c r="I609" i="55"/>
  <c r="I610" i="55"/>
  <c r="I611" i="55"/>
  <c r="I612" i="55"/>
  <c r="I613" i="55"/>
  <c r="I614" i="55"/>
  <c r="I615" i="55"/>
  <c r="I616" i="55"/>
  <c r="I617" i="55"/>
  <c r="I618" i="55"/>
  <c r="I619" i="55"/>
  <c r="I620" i="55"/>
  <c r="I621" i="55"/>
  <c r="I622" i="55"/>
  <c r="I623" i="55"/>
  <c r="I628" i="55"/>
  <c r="I630" i="55"/>
  <c r="I631" i="55"/>
  <c r="I632" i="55"/>
  <c r="I633" i="55"/>
  <c r="I634" i="55"/>
  <c r="I641" i="55"/>
  <c r="I645" i="55"/>
  <c r="I646" i="55"/>
  <c r="I704" i="55"/>
  <c r="I741" i="55"/>
  <c r="I742" i="55"/>
  <c r="I743" i="55"/>
  <c r="I744" i="55"/>
  <c r="I745" i="55"/>
  <c r="I746" i="55"/>
  <c r="I747" i="55"/>
  <c r="I748" i="55"/>
  <c r="I749" i="55"/>
  <c r="I750" i="55"/>
  <c r="I751" i="55"/>
  <c r="I763" i="55"/>
  <c r="I765" i="55"/>
  <c r="I766" i="55"/>
  <c r="I767" i="55"/>
  <c r="I769" i="55"/>
  <c r="I770" i="55"/>
  <c r="I773" i="55"/>
  <c r="I739" i="55"/>
  <c r="I304" i="55"/>
  <c r="J338" i="55"/>
  <c r="H205" i="55"/>
  <c r="J205" i="55"/>
  <c r="J206" i="55"/>
  <c r="J214" i="55"/>
  <c r="H215" i="55"/>
  <c r="J215" i="55"/>
  <c r="J203" i="55"/>
  <c r="H203" i="55"/>
  <c r="J333" i="55"/>
  <c r="I333" i="55"/>
  <c r="I321" i="55"/>
  <c r="J328" i="55"/>
  <c r="H328" i="55"/>
  <c r="J326" i="55"/>
  <c r="H326" i="55"/>
  <c r="J330" i="55"/>
  <c r="J324" i="55"/>
  <c r="J321" i="55"/>
  <c r="J319" i="55"/>
  <c r="J317" i="55"/>
  <c r="J315" i="55"/>
  <c r="H315" i="55"/>
  <c r="J310" i="55"/>
  <c r="H310" i="55"/>
  <c r="J308" i="55"/>
  <c r="J302" i="55"/>
  <c r="J299" i="55"/>
  <c r="J290" i="55"/>
  <c r="I290" i="55"/>
  <c r="J289" i="55"/>
  <c r="I289" i="55"/>
  <c r="J286" i="55"/>
  <c r="I286" i="55"/>
  <c r="J284" i="55"/>
  <c r="H284" i="55"/>
  <c r="J283" i="55"/>
  <c r="H283" i="55"/>
  <c r="J282" i="55"/>
  <c r="I282" i="55"/>
  <c r="J281" i="55"/>
  <c r="I281" i="55"/>
  <c r="B281" i="55"/>
  <c r="J280" i="55"/>
  <c r="J277" i="55"/>
  <c r="I277" i="55"/>
  <c r="J276" i="55"/>
  <c r="J265" i="55"/>
  <c r="J270" i="55"/>
  <c r="J268" i="55"/>
  <c r="H268" i="55"/>
  <c r="J267" i="55"/>
  <c r="I267" i="55"/>
  <c r="J264" i="55"/>
  <c r="I264" i="55"/>
  <c r="I263" i="55"/>
  <c r="J263" i="55"/>
  <c r="I262" i="55"/>
  <c r="J262" i="55"/>
  <c r="J260" i="55"/>
  <c r="J255" i="55"/>
  <c r="I255" i="55"/>
  <c r="I253" i="55"/>
  <c r="J253" i="55"/>
  <c r="J251" i="55"/>
  <c r="I251" i="55"/>
  <c r="I247" i="55"/>
  <c r="J246" i="55"/>
  <c r="I246" i="55"/>
  <c r="J245" i="55"/>
  <c r="I245" i="55"/>
  <c r="J247" i="55"/>
  <c r="I243" i="55"/>
  <c r="J243" i="55"/>
  <c r="I241" i="55"/>
  <c r="J241" i="55"/>
  <c r="J239" i="55"/>
  <c r="J238" i="55"/>
  <c r="I199" i="55"/>
  <c r="I206" i="55"/>
  <c r="I185" i="55"/>
  <c r="J199" i="55"/>
  <c r="J196" i="55"/>
  <c r="J194" i="55"/>
  <c r="J192" i="55"/>
  <c r="J185" i="55"/>
  <c r="J182" i="55"/>
  <c r="H182" i="55"/>
  <c r="J179" i="55"/>
  <c r="J177" i="55"/>
  <c r="J173" i="55"/>
  <c r="H171" i="55"/>
  <c r="J171" i="55"/>
  <c r="J170" i="55"/>
  <c r="J169" i="55"/>
  <c r="J167" i="55"/>
  <c r="H167" i="55"/>
  <c r="J166" i="55"/>
  <c r="H166" i="55"/>
  <c r="I138" i="55"/>
  <c r="I115" i="55"/>
  <c r="K205" i="55" l="1"/>
  <c r="K215" i="55"/>
  <c r="I326" i="55"/>
  <c r="K326" i="55" s="1"/>
  <c r="I328" i="55"/>
  <c r="K328" i="55" s="1"/>
  <c r="I310" i="55"/>
  <c r="K310" i="55" s="1"/>
  <c r="I217" i="55"/>
  <c r="H214" i="55"/>
  <c r="I214" i="55"/>
  <c r="K214" i="55" s="1"/>
  <c r="I268" i="55"/>
  <c r="K268" i="55" s="1"/>
  <c r="I203" i="55"/>
  <c r="K203" i="55" s="1"/>
  <c r="I171" i="55"/>
  <c r="K171" i="55" s="1"/>
  <c r="K206" i="55"/>
  <c r="H206" i="55"/>
  <c r="K333" i="55"/>
  <c r="H333" i="55"/>
  <c r="H321" i="55"/>
  <c r="K321" i="55"/>
  <c r="K319" i="55"/>
  <c r="K315" i="55"/>
  <c r="H319" i="55"/>
  <c r="K290" i="55"/>
  <c r="H290" i="55"/>
  <c r="K289" i="55"/>
  <c r="H289" i="55"/>
  <c r="K286" i="55"/>
  <c r="H286" i="55"/>
  <c r="K284" i="55"/>
  <c r="K283" i="55"/>
  <c r="K282" i="55"/>
  <c r="H282" i="55"/>
  <c r="K281" i="55"/>
  <c r="H281" i="55"/>
  <c r="K280" i="55"/>
  <c r="H280" i="55"/>
  <c r="K277" i="55"/>
  <c r="H277" i="55"/>
  <c r="K276" i="55"/>
  <c r="H276" i="55"/>
  <c r="K267" i="55"/>
  <c r="K265" i="55"/>
  <c r="H265" i="55"/>
  <c r="K270" i="55"/>
  <c r="H270" i="55"/>
  <c r="H267" i="55"/>
  <c r="K264" i="55"/>
  <c r="K262" i="55"/>
  <c r="H264" i="55"/>
  <c r="H263" i="55"/>
  <c r="K263" i="55"/>
  <c r="H262" i="55"/>
  <c r="K255" i="55"/>
  <c r="H255" i="55"/>
  <c r="K253" i="55"/>
  <c r="H253" i="55"/>
  <c r="K251" i="55"/>
  <c r="H251" i="55"/>
  <c r="K246" i="55"/>
  <c r="H246" i="55"/>
  <c r="K245" i="55"/>
  <c r="H245" i="55"/>
  <c r="K247" i="55"/>
  <c r="H247" i="55"/>
  <c r="H243" i="55"/>
  <c r="K243" i="55"/>
  <c r="K241" i="55"/>
  <c r="H241" i="55"/>
  <c r="K239" i="55"/>
  <c r="J217" i="55"/>
  <c r="H239" i="55"/>
  <c r="K238" i="55"/>
  <c r="H238" i="55"/>
  <c r="H217" i="55"/>
  <c r="K199" i="55"/>
  <c r="H199" i="55"/>
  <c r="K185" i="55"/>
  <c r="H185" i="55"/>
  <c r="K182" i="55"/>
  <c r="K166" i="55"/>
  <c r="K167" i="55"/>
  <c r="I771" i="55"/>
  <c r="K217" i="55" l="1"/>
  <c r="I151" i="55"/>
  <c r="I149" i="55"/>
  <c r="I148" i="55"/>
  <c r="J151" i="55"/>
  <c r="J150" i="55"/>
  <c r="J149" i="55"/>
  <c r="H141" i="55"/>
  <c r="J141" i="55"/>
  <c r="H142" i="55"/>
  <c r="J142" i="55"/>
  <c r="I139" i="55"/>
  <c r="J139" i="55"/>
  <c r="H131" i="55"/>
  <c r="J131" i="55"/>
  <c r="H132" i="55"/>
  <c r="J132" i="55"/>
  <c r="H133" i="55"/>
  <c r="J133" i="55"/>
  <c r="H134" i="55"/>
  <c r="J134" i="55"/>
  <c r="H135" i="55"/>
  <c r="J135" i="55"/>
  <c r="H136" i="55"/>
  <c r="J136" i="55"/>
  <c r="H137" i="55"/>
  <c r="J137" i="55"/>
  <c r="H138" i="55"/>
  <c r="J138" i="55"/>
  <c r="J127" i="55"/>
  <c r="I127" i="55"/>
  <c r="H150" i="55" l="1"/>
  <c r="I150" i="55"/>
  <c r="K150" i="55" s="1"/>
  <c r="J140" i="55"/>
  <c r="K149" i="55"/>
  <c r="K151" i="55"/>
  <c r="H151" i="55"/>
  <c r="H149" i="55"/>
  <c r="K132" i="55"/>
  <c r="K142" i="55"/>
  <c r="K133" i="55"/>
  <c r="K141" i="55"/>
  <c r="K134" i="55"/>
  <c r="K138" i="55"/>
  <c r="K139" i="55"/>
  <c r="K136" i="55"/>
  <c r="K135" i="55"/>
  <c r="K137" i="55"/>
  <c r="K131" i="55"/>
  <c r="H139" i="55"/>
  <c r="K127" i="55"/>
  <c r="H127" i="55"/>
  <c r="H116" i="55"/>
  <c r="J115" i="55"/>
  <c r="H115" i="55"/>
  <c r="I110" i="55"/>
  <c r="I114" i="55" l="1"/>
  <c r="I109" i="55"/>
  <c r="J116" i="55"/>
  <c r="I116" i="55"/>
  <c r="K115" i="55"/>
  <c r="J74" i="55"/>
  <c r="H67" i="55"/>
  <c r="J66" i="55"/>
  <c r="H66" i="55"/>
  <c r="J69" i="55"/>
  <c r="H69" i="55"/>
  <c r="K116" i="55" l="1"/>
  <c r="J67" i="55"/>
  <c r="I67" i="55"/>
  <c r="K66" i="55"/>
  <c r="K69" i="55"/>
  <c r="H55" i="55"/>
  <c r="J54" i="55"/>
  <c r="I54" i="55"/>
  <c r="I627" i="55"/>
  <c r="I626" i="55"/>
  <c r="I625" i="55"/>
  <c r="I415" i="55"/>
  <c r="I416" i="55"/>
  <c r="I417" i="55"/>
  <c r="I418" i="55"/>
  <c r="I423" i="55"/>
  <c r="I424" i="55"/>
  <c r="I428" i="55"/>
  <c r="J474" i="55"/>
  <c r="H474" i="55"/>
  <c r="J473" i="55"/>
  <c r="J472" i="55"/>
  <c r="J471" i="55"/>
  <c r="J470" i="55"/>
  <c r="J469" i="55"/>
  <c r="J468" i="55"/>
  <c r="J467" i="55"/>
  <c r="J466" i="55"/>
  <c r="J465" i="55"/>
  <c r="H432" i="55"/>
  <c r="J432" i="55"/>
  <c r="J433" i="55"/>
  <c r="H434" i="55"/>
  <c r="J434" i="55"/>
  <c r="J435" i="55"/>
  <c r="J436" i="55"/>
  <c r="J437" i="55"/>
  <c r="J438" i="55"/>
  <c r="H439" i="55"/>
  <c r="J439" i="55"/>
  <c r="H440" i="55"/>
  <c r="J440" i="55"/>
  <c r="H441" i="55"/>
  <c r="J441" i="55"/>
  <c r="H442" i="55"/>
  <c r="J442" i="55"/>
  <c r="H443" i="55"/>
  <c r="J443" i="55"/>
  <c r="H444" i="55"/>
  <c r="J444" i="55"/>
  <c r="H445" i="55"/>
  <c r="J445" i="55"/>
  <c r="H446" i="55"/>
  <c r="J446" i="55"/>
  <c r="H447" i="55"/>
  <c r="J447" i="55"/>
  <c r="H448" i="55"/>
  <c r="J448" i="55"/>
  <c r="H449" i="55"/>
  <c r="J449" i="55"/>
  <c r="H450" i="55"/>
  <c r="J450" i="55"/>
  <c r="H451" i="55"/>
  <c r="J451" i="55"/>
  <c r="H452" i="55"/>
  <c r="J452" i="55"/>
  <c r="H453" i="55"/>
  <c r="J453" i="55"/>
  <c r="H454" i="55"/>
  <c r="J454" i="55"/>
  <c r="H455" i="55"/>
  <c r="J455" i="55"/>
  <c r="H456" i="55"/>
  <c r="J456" i="55"/>
  <c r="H457" i="55"/>
  <c r="J457" i="55"/>
  <c r="H458" i="55"/>
  <c r="J458" i="55"/>
  <c r="H459" i="55"/>
  <c r="J459" i="55"/>
  <c r="H460" i="55"/>
  <c r="J460" i="55"/>
  <c r="H461" i="55"/>
  <c r="J461" i="55"/>
  <c r="J417" i="55"/>
  <c r="J416" i="55"/>
  <c r="J415" i="55"/>
  <c r="J414" i="55"/>
  <c r="J413" i="55"/>
  <c r="J412" i="55"/>
  <c r="J428" i="55"/>
  <c r="J427" i="55"/>
  <c r="J426" i="55"/>
  <c r="J425" i="55"/>
  <c r="J424" i="55"/>
  <c r="J423" i="55"/>
  <c r="J422" i="55"/>
  <c r="J388" i="55"/>
  <c r="I405" i="55"/>
  <c r="I404" i="55"/>
  <c r="I403" i="55"/>
  <c r="I406" i="55"/>
  <c r="I382" i="55"/>
  <c r="I380" i="55"/>
  <c r="J560" i="55"/>
  <c r="H560" i="55"/>
  <c r="J400" i="55"/>
  <c r="J396" i="55"/>
  <c r="J395" i="55"/>
  <c r="J394" i="55"/>
  <c r="J393" i="55"/>
  <c r="J392" i="55"/>
  <c r="I400" i="55"/>
  <c r="K67" i="55" l="1"/>
  <c r="I401" i="55"/>
  <c r="I408" i="55"/>
  <c r="J55" i="55"/>
  <c r="I55" i="55"/>
  <c r="I421" i="55"/>
  <c r="I413" i="55"/>
  <c r="K413" i="55" s="1"/>
  <c r="I420" i="55"/>
  <c r="I412" i="55"/>
  <c r="K412" i="55" s="1"/>
  <c r="I414" i="55"/>
  <c r="K414" i="55" s="1"/>
  <c r="I427" i="55"/>
  <c r="K427" i="55" s="1"/>
  <c r="I419" i="55"/>
  <c r="I411" i="55"/>
  <c r="I426" i="55"/>
  <c r="K426" i="55" s="1"/>
  <c r="I410" i="55"/>
  <c r="I422" i="55"/>
  <c r="K422" i="55" s="1"/>
  <c r="I425" i="55"/>
  <c r="K425" i="55" s="1"/>
  <c r="I409" i="55"/>
  <c r="H414" i="55"/>
  <c r="H426" i="55"/>
  <c r="H416" i="55"/>
  <c r="K54" i="55"/>
  <c r="H54" i="55"/>
  <c r="H415" i="55"/>
  <c r="K474" i="55"/>
  <c r="K473" i="55"/>
  <c r="H473" i="55"/>
  <c r="K472" i="55"/>
  <c r="H472" i="55"/>
  <c r="K471" i="55"/>
  <c r="K446" i="55"/>
  <c r="K467" i="55"/>
  <c r="H471" i="55"/>
  <c r="K470" i="55"/>
  <c r="H470" i="55"/>
  <c r="K469" i="55"/>
  <c r="H469" i="55"/>
  <c r="K468" i="55"/>
  <c r="H468" i="55"/>
  <c r="H422" i="55"/>
  <c r="K444" i="55"/>
  <c r="K466" i="55"/>
  <c r="H467" i="55"/>
  <c r="K465" i="55"/>
  <c r="H424" i="55"/>
  <c r="H466" i="55"/>
  <c r="H465" i="55"/>
  <c r="K445" i="55"/>
  <c r="K416" i="55"/>
  <c r="K448" i="55"/>
  <c r="K432" i="55"/>
  <c r="H427" i="55"/>
  <c r="K460" i="55"/>
  <c r="K449" i="55"/>
  <c r="K454" i="55"/>
  <c r="K441" i="55"/>
  <c r="K434" i="55"/>
  <c r="K459" i="55"/>
  <c r="K452" i="55"/>
  <c r="K447" i="55"/>
  <c r="K442" i="55"/>
  <c r="K456" i="55"/>
  <c r="K458" i="55"/>
  <c r="K439" i="55"/>
  <c r="K455" i="55"/>
  <c r="K450" i="55"/>
  <c r="K440" i="55"/>
  <c r="K453" i="55"/>
  <c r="K457" i="55"/>
  <c r="K443" i="55"/>
  <c r="K461" i="55"/>
  <c r="K451" i="55"/>
  <c r="H428" i="55"/>
  <c r="H412" i="55"/>
  <c r="H425" i="55"/>
  <c r="H417" i="55"/>
  <c r="K415" i="55"/>
  <c r="H413" i="55"/>
  <c r="H423" i="55"/>
  <c r="K428" i="55"/>
  <c r="K424" i="55"/>
  <c r="K417" i="55"/>
  <c r="K423" i="55"/>
  <c r="K560" i="55"/>
  <c r="J401" i="55"/>
  <c r="J397" i="55"/>
  <c r="J391" i="55"/>
  <c r="H401" i="55"/>
  <c r="J398" i="55"/>
  <c r="K400" i="55"/>
  <c r="H400" i="55"/>
  <c r="J358" i="55"/>
  <c r="J357" i="55"/>
  <c r="K55" i="55" l="1"/>
  <c r="I624" i="55"/>
  <c r="K401" i="55"/>
  <c r="J359" i="55"/>
  <c r="H751" i="55" l="1"/>
  <c r="J751" i="55"/>
  <c r="H746" i="55"/>
  <c r="J746" i="55"/>
  <c r="H747" i="55"/>
  <c r="J747" i="55"/>
  <c r="H748" i="55"/>
  <c r="J748" i="55"/>
  <c r="H749" i="55"/>
  <c r="J749" i="55"/>
  <c r="H750" i="55"/>
  <c r="J750" i="55"/>
  <c r="H741" i="55"/>
  <c r="J741" i="55"/>
  <c r="H742" i="55"/>
  <c r="J742" i="55"/>
  <c r="H743" i="55"/>
  <c r="J743" i="55"/>
  <c r="H744" i="55"/>
  <c r="J744" i="55"/>
  <c r="H745" i="55"/>
  <c r="J745" i="55"/>
  <c r="J736" i="55"/>
  <c r="J715" i="55"/>
  <c r="H626" i="55"/>
  <c r="J627" i="55"/>
  <c r="J626" i="55"/>
  <c r="J625" i="55"/>
  <c r="I713" i="55"/>
  <c r="J710" i="55"/>
  <c r="J709" i="55"/>
  <c r="I478" i="55"/>
  <c r="H478" i="55"/>
  <c r="I649" i="55"/>
  <c r="J656" i="55"/>
  <c r="J659" i="55"/>
  <c r="J663" i="55"/>
  <c r="J646" i="55"/>
  <c r="H646" i="55"/>
  <c r="I51" i="55" l="1"/>
  <c r="H659" i="55"/>
  <c r="I659" i="55"/>
  <c r="K746" i="55"/>
  <c r="K748" i="55"/>
  <c r="K751" i="55"/>
  <c r="K750" i="55"/>
  <c r="K741" i="55"/>
  <c r="K747" i="55"/>
  <c r="K749" i="55"/>
  <c r="K743" i="55"/>
  <c r="K745" i="55"/>
  <c r="K744" i="55"/>
  <c r="K742" i="55"/>
  <c r="K627" i="55"/>
  <c r="K626" i="55"/>
  <c r="H625" i="55"/>
  <c r="K625" i="55"/>
  <c r="H627" i="55"/>
  <c r="J478" i="55"/>
  <c r="K478" i="55" s="1"/>
  <c r="K646" i="55"/>
  <c r="K659" i="55" l="1"/>
  <c r="J620" i="55" l="1"/>
  <c r="H620" i="55"/>
  <c r="I629" i="55"/>
  <c r="J615" i="55"/>
  <c r="H615" i="55"/>
  <c r="J614" i="55"/>
  <c r="H614" i="55"/>
  <c r="J613" i="55"/>
  <c r="H613" i="55"/>
  <c r="J612" i="55"/>
  <c r="H612" i="55"/>
  <c r="J611" i="55"/>
  <c r="H611" i="55"/>
  <c r="J610" i="55"/>
  <c r="H610" i="55"/>
  <c r="J609" i="55"/>
  <c r="H609" i="55"/>
  <c r="J608" i="55"/>
  <c r="H608" i="55"/>
  <c r="J607" i="55"/>
  <c r="H607" i="55"/>
  <c r="J606" i="55"/>
  <c r="H606" i="55"/>
  <c r="J605" i="55"/>
  <c r="H605" i="55"/>
  <c r="J604" i="55"/>
  <c r="H604" i="55"/>
  <c r="J603" i="55"/>
  <c r="H603" i="55"/>
  <c r="J602" i="55"/>
  <c r="H602" i="55"/>
  <c r="J577" i="55"/>
  <c r="H577" i="55"/>
  <c r="J576" i="55"/>
  <c r="H576" i="55"/>
  <c r="J592" i="55"/>
  <c r="J591" i="55"/>
  <c r="J589" i="55"/>
  <c r="I587" i="55" l="1"/>
  <c r="K615" i="55"/>
  <c r="K620" i="55"/>
  <c r="K609" i="55"/>
  <c r="K610" i="55"/>
  <c r="K614" i="55"/>
  <c r="K613" i="55"/>
  <c r="K612" i="55"/>
  <c r="K606" i="55"/>
  <c r="K608" i="55"/>
  <c r="K611" i="55"/>
  <c r="K605" i="55"/>
  <c r="K607" i="55"/>
  <c r="K604" i="55"/>
  <c r="K603" i="55"/>
  <c r="K602" i="55"/>
  <c r="K577" i="55"/>
  <c r="K576" i="55"/>
  <c r="K592" i="55"/>
  <c r="H592" i="55"/>
  <c r="K591" i="55"/>
  <c r="H591" i="55"/>
  <c r="K589" i="55"/>
  <c r="H589" i="55"/>
  <c r="J574" i="55"/>
  <c r="H574" i="55"/>
  <c r="J575" i="55"/>
  <c r="H575" i="55"/>
  <c r="I563" i="55"/>
  <c r="K575" i="55" l="1"/>
  <c r="K574" i="55"/>
  <c r="J506" i="55" l="1"/>
  <c r="J570" i="55"/>
  <c r="J559" i="55"/>
  <c r="H559" i="55"/>
  <c r="J558" i="55"/>
  <c r="H558" i="55"/>
  <c r="J557" i="55"/>
  <c r="H557" i="55"/>
  <c r="J556" i="55"/>
  <c r="H556" i="55"/>
  <c r="J555" i="55"/>
  <c r="H555" i="55"/>
  <c r="J554" i="55"/>
  <c r="H554" i="55"/>
  <c r="J553" i="55"/>
  <c r="H553" i="55"/>
  <c r="J552" i="55"/>
  <c r="H552" i="55"/>
  <c r="J551" i="55"/>
  <c r="H551" i="55"/>
  <c r="J550" i="55"/>
  <c r="H550" i="55"/>
  <c r="J549" i="55"/>
  <c r="H549" i="55"/>
  <c r="J548" i="55"/>
  <c r="H548" i="55"/>
  <c r="J547" i="55"/>
  <c r="H547" i="55"/>
  <c r="J546" i="55"/>
  <c r="H546" i="55"/>
  <c r="J545" i="55"/>
  <c r="H545" i="55"/>
  <c r="J544" i="55"/>
  <c r="H544" i="55"/>
  <c r="J543" i="55"/>
  <c r="H543" i="55"/>
  <c r="J542" i="55"/>
  <c r="H542" i="55"/>
  <c r="J541" i="55"/>
  <c r="H541" i="55"/>
  <c r="J540" i="55"/>
  <c r="H540" i="55"/>
  <c r="J539" i="55"/>
  <c r="H539" i="55"/>
  <c r="J530" i="55"/>
  <c r="J523" i="55"/>
  <c r="H523" i="55"/>
  <c r="J521" i="55"/>
  <c r="H521" i="55"/>
  <c r="H506" i="55" l="1"/>
  <c r="K506" i="55"/>
  <c r="K570" i="55"/>
  <c r="H570" i="55"/>
  <c r="K559" i="55"/>
  <c r="K557" i="55"/>
  <c r="K558" i="55"/>
  <c r="K555" i="55"/>
  <c r="K556" i="55"/>
  <c r="K539" i="55"/>
  <c r="K542" i="55"/>
  <c r="K547" i="55"/>
  <c r="K550" i="55"/>
  <c r="K540" i="55"/>
  <c r="K545" i="55"/>
  <c r="K548" i="55"/>
  <c r="K553" i="55"/>
  <c r="K543" i="55"/>
  <c r="K546" i="55"/>
  <c r="K551" i="55"/>
  <c r="K554" i="55"/>
  <c r="K541" i="55"/>
  <c r="K544" i="55"/>
  <c r="K549" i="55"/>
  <c r="K552" i="55"/>
  <c r="K523" i="55"/>
  <c r="H530" i="55"/>
  <c r="K530" i="55"/>
  <c r="K521" i="55"/>
  <c r="H133" i="54" l="1"/>
  <c r="J196" i="54"/>
  <c r="I196" i="54"/>
  <c r="K196" i="54" s="1"/>
  <c r="H196" i="54"/>
  <c r="J195" i="54"/>
  <c r="I195" i="54"/>
  <c r="K195" i="54" s="1"/>
  <c r="H195" i="54"/>
  <c r="J194" i="54"/>
  <c r="I194" i="54"/>
  <c r="K194" i="54" s="1"/>
  <c r="H194" i="54"/>
  <c r="J193" i="54"/>
  <c r="I193" i="54"/>
  <c r="H193" i="54"/>
  <c r="J191" i="54"/>
  <c r="I191" i="54"/>
  <c r="H191" i="54"/>
  <c r="J185" i="54"/>
  <c r="H186" i="54"/>
  <c r="I186" i="54"/>
  <c r="J186" i="54"/>
  <c r="H187" i="54"/>
  <c r="I187" i="54"/>
  <c r="J187" i="54"/>
  <c r="H188" i="54"/>
  <c r="I188" i="54"/>
  <c r="J188" i="54"/>
  <c r="H189" i="54"/>
  <c r="I189" i="54"/>
  <c r="J189" i="54"/>
  <c r="H190" i="54"/>
  <c r="I190" i="54"/>
  <c r="J190" i="54"/>
  <c r="H179" i="54"/>
  <c r="I179" i="54"/>
  <c r="J179" i="54"/>
  <c r="J177" i="54"/>
  <c r="I177" i="54"/>
  <c r="H181" i="54"/>
  <c r="I181" i="54"/>
  <c r="J181" i="54"/>
  <c r="J169" i="54"/>
  <c r="I169" i="54"/>
  <c r="H169" i="54"/>
  <c r="J168" i="54"/>
  <c r="I168" i="54"/>
  <c r="H168" i="54"/>
  <c r="J162" i="54"/>
  <c r="I162" i="54"/>
  <c r="H162" i="54"/>
  <c r="J165" i="54"/>
  <c r="I165" i="54"/>
  <c r="H165" i="54"/>
  <c r="J153" i="54"/>
  <c r="J139" i="54"/>
  <c r="I139" i="54"/>
  <c r="H139" i="54"/>
  <c r="J133" i="54"/>
  <c r="I133" i="54"/>
  <c r="I119" i="54"/>
  <c r="J119" i="54"/>
  <c r="H115" i="54"/>
  <c r="H114" i="54"/>
  <c r="I113" i="54"/>
  <c r="J114" i="54"/>
  <c r="J113" i="54"/>
  <c r="J115" i="54"/>
  <c r="I112" i="54"/>
  <c r="J112" i="54"/>
  <c r="J107" i="54"/>
  <c r="J92" i="54"/>
  <c r="J90" i="54"/>
  <c r="J81" i="54"/>
  <c r="J79" i="54"/>
  <c r="J77" i="54"/>
  <c r="K186" i="54" l="1"/>
  <c r="K193" i="54"/>
  <c r="K187" i="54"/>
  <c r="K191" i="54"/>
  <c r="K188" i="54"/>
  <c r="K190" i="54"/>
  <c r="K189" i="54"/>
  <c r="K181" i="54"/>
  <c r="K179" i="54"/>
  <c r="H177" i="54"/>
  <c r="K177" i="54"/>
  <c r="K168" i="54"/>
  <c r="K169" i="54"/>
  <c r="K162" i="54"/>
  <c r="K165" i="54"/>
  <c r="K139" i="54"/>
  <c r="K133" i="54"/>
  <c r="K113" i="54"/>
  <c r="K119" i="54"/>
  <c r="H119" i="54"/>
  <c r="I114" i="54"/>
  <c r="K114" i="54" s="1"/>
  <c r="H113" i="54"/>
  <c r="I115" i="54"/>
  <c r="K115" i="54" s="1"/>
  <c r="K112" i="54"/>
  <c r="H112" i="54"/>
  <c r="J106" i="54"/>
  <c r="J67" i="54" l="1"/>
  <c r="J63" i="54"/>
  <c r="J59" i="54"/>
  <c r="K46" i="54"/>
  <c r="J46" i="54"/>
  <c r="I46" i="54"/>
  <c r="H46" i="54"/>
  <c r="I44" i="54"/>
  <c r="I42" i="54"/>
  <c r="J45" i="54"/>
  <c r="J44" i="54"/>
  <c r="J42" i="54"/>
  <c r="K41" i="54"/>
  <c r="J41" i="54"/>
  <c r="I41" i="54"/>
  <c r="H41" i="54"/>
  <c r="K40" i="54"/>
  <c r="J40" i="54"/>
  <c r="I40" i="54"/>
  <c r="H40" i="54"/>
  <c r="J29" i="54"/>
  <c r="J25" i="54"/>
  <c r="J27" i="54"/>
  <c r="J26" i="54"/>
  <c r="J16" i="54"/>
  <c r="K42" i="54" l="1"/>
  <c r="K44" i="54"/>
  <c r="H45" i="54"/>
  <c r="H42" i="54"/>
  <c r="H44" i="54"/>
  <c r="I45" i="54" l="1"/>
  <c r="K45" i="54" s="1"/>
  <c r="J43" i="55" l="1"/>
  <c r="J36" i="55" l="1"/>
  <c r="J35" i="55"/>
  <c r="J29" i="55"/>
  <c r="J24" i="55"/>
  <c r="J20" i="55"/>
  <c r="J19" i="55"/>
  <c r="H25" i="3"/>
  <c r="K157" i="18" l="1"/>
  <c r="J157" i="18"/>
  <c r="K156" i="18"/>
  <c r="J156" i="18"/>
  <c r="K155" i="18"/>
  <c r="J155" i="18"/>
  <c r="K151" i="18"/>
  <c r="K146" i="18"/>
  <c r="K149" i="18"/>
  <c r="K148" i="18"/>
  <c r="K144" i="18"/>
  <c r="K143" i="18"/>
  <c r="I123" i="18"/>
  <c r="K123" i="18"/>
  <c r="K91" i="18"/>
  <c r="K89" i="18"/>
  <c r="K78" i="18"/>
  <c r="K76" i="18"/>
  <c r="K75" i="18"/>
  <c r="K39" i="18"/>
  <c r="K17" i="18"/>
  <c r="K16" i="18"/>
  <c r="K19" i="18"/>
  <c r="K267" i="15"/>
  <c r="K265" i="15"/>
  <c r="J265" i="15"/>
  <c r="I265" i="15"/>
  <c r="K264" i="15"/>
  <c r="K238" i="15"/>
  <c r="K236" i="15"/>
  <c r="K235" i="15"/>
  <c r="K234" i="15"/>
  <c r="K233" i="15"/>
  <c r="K225" i="15"/>
  <c r="K224" i="15"/>
  <c r="K223" i="15"/>
  <c r="K222" i="15"/>
  <c r="K209" i="15"/>
  <c r="K203" i="15"/>
  <c r="K202" i="15"/>
  <c r="K201" i="15"/>
  <c r="K200" i="15"/>
  <c r="K212" i="15"/>
  <c r="K187" i="15"/>
  <c r="K183" i="15"/>
  <c r="K182" i="15"/>
  <c r="K181" i="15"/>
  <c r="K180" i="15"/>
  <c r="K179" i="15"/>
  <c r="K178" i="15"/>
  <c r="K190" i="15"/>
  <c r="K167" i="15"/>
  <c r="K158" i="15"/>
  <c r="K156" i="15"/>
  <c r="K155" i="15"/>
  <c r="K154" i="15"/>
  <c r="K153" i="15"/>
  <c r="J153" i="15"/>
  <c r="I153" i="15"/>
  <c r="K105" i="15"/>
  <c r="K104" i="15"/>
  <c r="K102" i="15"/>
  <c r="K101" i="15"/>
  <c r="K61" i="15"/>
  <c r="L265" i="15" l="1"/>
  <c r="L156" i="18"/>
  <c r="M153" i="18"/>
  <c r="L157" i="18"/>
  <c r="I157" i="18"/>
  <c r="L155" i="18"/>
  <c r="I156" i="18"/>
  <c r="I155" i="18"/>
  <c r="J123" i="18"/>
  <c r="L123" i="18" s="1"/>
  <c r="K242" i="15"/>
  <c r="K237" i="15"/>
  <c r="K231" i="15"/>
  <c r="K226" i="15"/>
  <c r="K204" i="15"/>
  <c r="L153" i="15"/>
  <c r="K49" i="18" l="1"/>
  <c r="K227" i="15"/>
  <c r="K205" i="15"/>
  <c r="K29" i="15" l="1"/>
  <c r="K30" i="15"/>
  <c r="K31" i="15"/>
  <c r="K32" i="15"/>
  <c r="I25" i="15"/>
  <c r="J25" i="15"/>
  <c r="K25" i="15"/>
  <c r="F26" i="24"/>
  <c r="F14" i="24"/>
  <c r="F16" i="24"/>
  <c r="F17" i="24"/>
  <c r="F18" i="24"/>
  <c r="F19" i="24"/>
  <c r="L25" i="15" l="1"/>
  <c r="H135" i="80" l="1"/>
  <c r="G135" i="80"/>
  <c r="I135" i="80" s="1"/>
  <c r="H134" i="80"/>
  <c r="G134" i="80"/>
  <c r="I134" i="80" s="1"/>
  <c r="H133" i="80"/>
  <c r="G133" i="80"/>
  <c r="H132" i="80"/>
  <c r="G132" i="80"/>
  <c r="H131" i="80"/>
  <c r="G131" i="80"/>
  <c r="I131" i="80" s="1"/>
  <c r="H130" i="80"/>
  <c r="I127" i="80" s="1"/>
  <c r="G130" i="80"/>
  <c r="I130" i="80" s="1"/>
  <c r="H129" i="80"/>
  <c r="G129" i="80"/>
  <c r="H128" i="80"/>
  <c r="G128" i="80"/>
  <c r="H126" i="80"/>
  <c r="G126" i="80"/>
  <c r="H125" i="80"/>
  <c r="G125" i="80"/>
  <c r="H124" i="80"/>
  <c r="G124" i="80"/>
  <c r="H123" i="80"/>
  <c r="G123" i="80"/>
  <c r="G12" i="80"/>
  <c r="H12" i="80"/>
  <c r="G13" i="80"/>
  <c r="H13" i="80"/>
  <c r="G14" i="80"/>
  <c r="H14" i="80"/>
  <c r="G15" i="80"/>
  <c r="H15" i="80"/>
  <c r="G16" i="80"/>
  <c r="H16" i="80"/>
  <c r="G17" i="80"/>
  <c r="H17" i="80"/>
  <c r="G18" i="80"/>
  <c r="H18" i="80"/>
  <c r="I18" i="80" s="1"/>
  <c r="G19" i="80"/>
  <c r="H19" i="80"/>
  <c r="G20" i="80"/>
  <c r="H20" i="80"/>
  <c r="G21" i="80"/>
  <c r="H21" i="80"/>
  <c r="G22" i="80"/>
  <c r="H22" i="80"/>
  <c r="G23" i="80"/>
  <c r="H23" i="80"/>
  <c r="I23" i="80" s="1"/>
  <c r="G24" i="80"/>
  <c r="H24" i="80"/>
  <c r="G25" i="80"/>
  <c r="H25" i="80"/>
  <c r="G26" i="80"/>
  <c r="H26" i="80"/>
  <c r="G27" i="80"/>
  <c r="H27" i="80"/>
  <c r="G28" i="80"/>
  <c r="H28" i="80"/>
  <c r="G29" i="80"/>
  <c r="H29" i="80"/>
  <c r="I29" i="80" s="1"/>
  <c r="G30" i="80"/>
  <c r="H30" i="80"/>
  <c r="G31" i="80"/>
  <c r="H31" i="80"/>
  <c r="G32" i="80"/>
  <c r="H32" i="80"/>
  <c r="G33" i="80"/>
  <c r="H33" i="80"/>
  <c r="G34" i="80"/>
  <c r="H34" i="80"/>
  <c r="I34" i="80" s="1"/>
  <c r="G35" i="80"/>
  <c r="H35" i="80"/>
  <c r="I35" i="80" s="1"/>
  <c r="G36" i="80"/>
  <c r="H36" i="80"/>
  <c r="G37" i="80"/>
  <c r="H37" i="80"/>
  <c r="I37" i="80" s="1"/>
  <c r="G38" i="80"/>
  <c r="H38" i="80"/>
  <c r="G39" i="80"/>
  <c r="H39" i="80"/>
  <c r="I39" i="80" s="1"/>
  <c r="G40" i="80"/>
  <c r="H40" i="80"/>
  <c r="G41" i="80"/>
  <c r="H41" i="80"/>
  <c r="G42" i="80"/>
  <c r="H42" i="80"/>
  <c r="I42" i="80" s="1"/>
  <c r="G43" i="80"/>
  <c r="H43" i="80"/>
  <c r="I43" i="80" s="1"/>
  <c r="G44" i="80"/>
  <c r="H44" i="80"/>
  <c r="G45" i="80"/>
  <c r="H45" i="80"/>
  <c r="I45" i="80" s="1"/>
  <c r="G46" i="80"/>
  <c r="H46" i="80"/>
  <c r="G47" i="80"/>
  <c r="H47" i="80"/>
  <c r="I47" i="80" s="1"/>
  <c r="G48" i="80"/>
  <c r="H48" i="80"/>
  <c r="G49" i="80"/>
  <c r="H49" i="80"/>
  <c r="G50" i="80"/>
  <c r="H50" i="80"/>
  <c r="G51" i="80"/>
  <c r="H51" i="80"/>
  <c r="I51" i="80" s="1"/>
  <c r="G52" i="80"/>
  <c r="H52" i="80"/>
  <c r="G53" i="80"/>
  <c r="H53" i="80"/>
  <c r="I53" i="80" s="1"/>
  <c r="G54" i="80"/>
  <c r="H54" i="80"/>
  <c r="G55" i="80"/>
  <c r="H55" i="80"/>
  <c r="I55" i="80" s="1"/>
  <c r="G56" i="80"/>
  <c r="H56" i="80"/>
  <c r="G57" i="80"/>
  <c r="H57" i="80"/>
  <c r="G58" i="80"/>
  <c r="H58" i="80"/>
  <c r="G59" i="80"/>
  <c r="H59" i="80"/>
  <c r="I59" i="80" s="1"/>
  <c r="G60" i="80"/>
  <c r="H60" i="80"/>
  <c r="G61" i="80"/>
  <c r="H61" i="80"/>
  <c r="G62" i="80"/>
  <c r="H62" i="80"/>
  <c r="G63" i="80"/>
  <c r="H63" i="80"/>
  <c r="G64" i="80"/>
  <c r="H64" i="80"/>
  <c r="G65" i="80"/>
  <c r="H65" i="80"/>
  <c r="G66" i="80"/>
  <c r="H66" i="80"/>
  <c r="G67" i="80"/>
  <c r="H67" i="80"/>
  <c r="G68" i="80"/>
  <c r="H68" i="80"/>
  <c r="G69" i="80"/>
  <c r="H69" i="80"/>
  <c r="I69" i="80" s="1"/>
  <c r="G70" i="80"/>
  <c r="H70" i="80"/>
  <c r="G71" i="80"/>
  <c r="H71" i="80"/>
  <c r="G72" i="80"/>
  <c r="H72" i="80"/>
  <c r="G73" i="80"/>
  <c r="H73" i="80"/>
  <c r="G74" i="80"/>
  <c r="H74" i="80"/>
  <c r="G75" i="80"/>
  <c r="H75" i="80"/>
  <c r="I75" i="80" s="1"/>
  <c r="G76" i="80"/>
  <c r="H76" i="80"/>
  <c r="I76" i="80" s="1"/>
  <c r="G77" i="80"/>
  <c r="H77" i="80"/>
  <c r="G78" i="80"/>
  <c r="H78" i="80"/>
  <c r="G79" i="80"/>
  <c r="H79" i="80"/>
  <c r="G80" i="80"/>
  <c r="H80" i="80"/>
  <c r="G81" i="80"/>
  <c r="H81" i="80"/>
  <c r="G82" i="80"/>
  <c r="H82" i="80"/>
  <c r="G83" i="80"/>
  <c r="H83" i="80"/>
  <c r="G84" i="80"/>
  <c r="H84" i="80"/>
  <c r="I84" i="80" s="1"/>
  <c r="G85" i="80"/>
  <c r="H85" i="80"/>
  <c r="G86" i="80"/>
  <c r="H86" i="80"/>
  <c r="G87" i="80"/>
  <c r="H87" i="80"/>
  <c r="G88" i="80"/>
  <c r="H88" i="80"/>
  <c r="G89" i="80"/>
  <c r="H89" i="80"/>
  <c r="G90" i="80"/>
  <c r="H90" i="80"/>
  <c r="G91" i="80"/>
  <c r="H91" i="80"/>
  <c r="G92" i="80"/>
  <c r="H92" i="80"/>
  <c r="I92" i="80" s="1"/>
  <c r="G93" i="80"/>
  <c r="H93" i="80"/>
  <c r="G94" i="80"/>
  <c r="H94" i="80"/>
  <c r="G95" i="80"/>
  <c r="H95" i="80"/>
  <c r="G96" i="80"/>
  <c r="H96" i="80"/>
  <c r="G97" i="80"/>
  <c r="H97" i="80"/>
  <c r="G98" i="80"/>
  <c r="H98" i="80"/>
  <c r="G99" i="80"/>
  <c r="H99" i="80"/>
  <c r="G100" i="80"/>
  <c r="H100" i="80"/>
  <c r="I100" i="80" s="1"/>
  <c r="G101" i="80"/>
  <c r="H101" i="80"/>
  <c r="G102" i="80"/>
  <c r="H102" i="80"/>
  <c r="G103" i="80"/>
  <c r="H103" i="80"/>
  <c r="G104" i="80"/>
  <c r="H104" i="80"/>
  <c r="G105" i="80"/>
  <c r="H105" i="80"/>
  <c r="G106" i="80"/>
  <c r="H106" i="80"/>
  <c r="G107" i="80"/>
  <c r="H107" i="80"/>
  <c r="G108" i="80"/>
  <c r="H108" i="80"/>
  <c r="I108" i="80" s="1"/>
  <c r="G109" i="80"/>
  <c r="H109" i="80"/>
  <c r="G110" i="80"/>
  <c r="H110" i="80"/>
  <c r="G111" i="80"/>
  <c r="H111" i="80"/>
  <c r="G112" i="80"/>
  <c r="H112" i="80"/>
  <c r="G113" i="80"/>
  <c r="H113" i="80"/>
  <c r="G114" i="80"/>
  <c r="H114" i="80"/>
  <c r="G115" i="80"/>
  <c r="H115" i="80"/>
  <c r="G116" i="80"/>
  <c r="H116" i="80"/>
  <c r="G117" i="80"/>
  <c r="H117" i="80"/>
  <c r="G118" i="80"/>
  <c r="I118" i="80" s="1"/>
  <c r="H118" i="80"/>
  <c r="G119" i="80"/>
  <c r="H119" i="80"/>
  <c r="G120" i="80"/>
  <c r="H120" i="80"/>
  <c r="G121" i="80"/>
  <c r="H121" i="80"/>
  <c r="H11" i="80"/>
  <c r="G11" i="80"/>
  <c r="H53" i="69"/>
  <c r="G53" i="69"/>
  <c r="I53" i="69" s="1"/>
  <c r="H52" i="69"/>
  <c r="G52" i="69"/>
  <c r="I52" i="69" s="1"/>
  <c r="H51" i="69"/>
  <c r="G51" i="69"/>
  <c r="I51" i="69" s="1"/>
  <c r="H50" i="69"/>
  <c r="G50" i="69"/>
  <c r="H55" i="69"/>
  <c r="I54" i="69" s="1"/>
  <c r="G55" i="69"/>
  <c r="I55" i="69" s="1"/>
  <c r="H39" i="69"/>
  <c r="I38" i="69" s="1"/>
  <c r="G39" i="69"/>
  <c r="G37" i="69"/>
  <c r="G36" i="69"/>
  <c r="G35" i="69"/>
  <c r="G34" i="69"/>
  <c r="G33" i="69"/>
  <c r="G32" i="69"/>
  <c r="G30" i="69"/>
  <c r="G29" i="69"/>
  <c r="G28" i="69"/>
  <c r="G27" i="69"/>
  <c r="G26" i="69"/>
  <c r="G25" i="69"/>
  <c r="G23" i="69"/>
  <c r="G22" i="69"/>
  <c r="G21" i="69"/>
  <c r="H27" i="68"/>
  <c r="G27" i="68"/>
  <c r="H25" i="68"/>
  <c r="G25" i="68"/>
  <c r="H24" i="68"/>
  <c r="G24" i="68"/>
  <c r="H17" i="68"/>
  <c r="G17" i="68"/>
  <c r="G15" i="68"/>
  <c r="G13" i="68"/>
  <c r="G11" i="68"/>
  <c r="I12" i="79"/>
  <c r="H189" i="79"/>
  <c r="I189" i="79" s="1"/>
  <c r="G189" i="79"/>
  <c r="H188" i="79"/>
  <c r="G188" i="79"/>
  <c r="I188" i="79" s="1"/>
  <c r="H187" i="79"/>
  <c r="I187" i="79" s="1"/>
  <c r="G187" i="79"/>
  <c r="I186" i="79"/>
  <c r="H186" i="79"/>
  <c r="G186" i="79"/>
  <c r="H185" i="79"/>
  <c r="G185" i="79"/>
  <c r="I185" i="79" s="1"/>
  <c r="I184" i="79"/>
  <c r="H184" i="79"/>
  <c r="G184" i="79"/>
  <c r="H183" i="79"/>
  <c r="G183" i="79"/>
  <c r="I183" i="79" s="1"/>
  <c r="H182" i="79"/>
  <c r="G182" i="79"/>
  <c r="I182" i="79" s="1"/>
  <c r="H181" i="79"/>
  <c r="I181" i="79" s="1"/>
  <c r="G181" i="79"/>
  <c r="H180" i="79"/>
  <c r="G180" i="79"/>
  <c r="I180" i="79" s="1"/>
  <c r="H179" i="79"/>
  <c r="I179" i="79" s="1"/>
  <c r="G179" i="79"/>
  <c r="I178" i="79"/>
  <c r="H178" i="79"/>
  <c r="G178" i="79"/>
  <c r="H177" i="79"/>
  <c r="G177" i="79"/>
  <c r="I177" i="79" s="1"/>
  <c r="I176" i="79"/>
  <c r="H176" i="79"/>
  <c r="G176" i="79"/>
  <c r="H175" i="79"/>
  <c r="G175" i="79"/>
  <c r="I175" i="79" s="1"/>
  <c r="H174" i="79"/>
  <c r="G174" i="79"/>
  <c r="I174" i="79" s="1"/>
  <c r="H173" i="79"/>
  <c r="I173" i="79" s="1"/>
  <c r="G173" i="79"/>
  <c r="H172" i="79"/>
  <c r="G172" i="79"/>
  <c r="I172" i="79" s="1"/>
  <c r="H171" i="79"/>
  <c r="I171" i="79" s="1"/>
  <c r="G171" i="79"/>
  <c r="I170" i="79"/>
  <c r="H170" i="79"/>
  <c r="G170" i="79"/>
  <c r="H169" i="79"/>
  <c r="G169" i="79"/>
  <c r="I169" i="79" s="1"/>
  <c r="I168" i="79"/>
  <c r="H168" i="79"/>
  <c r="G168" i="79"/>
  <c r="H167" i="79"/>
  <c r="G167" i="79"/>
  <c r="I167" i="79" s="1"/>
  <c r="H166" i="79"/>
  <c r="G166" i="79"/>
  <c r="I166" i="79" s="1"/>
  <c r="H165" i="79"/>
  <c r="I165" i="79" s="1"/>
  <c r="G165" i="79"/>
  <c r="H164" i="79"/>
  <c r="G164" i="79"/>
  <c r="I164" i="79" s="1"/>
  <c r="H163" i="79"/>
  <c r="I163" i="79" s="1"/>
  <c r="G163" i="79"/>
  <c r="I162" i="79"/>
  <c r="H162" i="79"/>
  <c r="G162" i="79"/>
  <c r="H161" i="79"/>
  <c r="G161" i="79"/>
  <c r="I161" i="79" s="1"/>
  <c r="I160" i="79"/>
  <c r="H160" i="79"/>
  <c r="G160" i="79"/>
  <c r="H159" i="79"/>
  <c r="G159" i="79"/>
  <c r="I159" i="79" s="1"/>
  <c r="H158" i="79"/>
  <c r="G158" i="79"/>
  <c r="I158" i="79" s="1"/>
  <c r="H157" i="79"/>
  <c r="I157" i="79" s="1"/>
  <c r="G157" i="79"/>
  <c r="H156" i="79"/>
  <c r="I156" i="79" s="1"/>
  <c r="G156" i="79"/>
  <c r="H155" i="79"/>
  <c r="I155" i="79" s="1"/>
  <c r="G155" i="79"/>
  <c r="I154" i="79"/>
  <c r="H154" i="79"/>
  <c r="G154" i="79"/>
  <c r="H153" i="79"/>
  <c r="G153" i="79"/>
  <c r="I153" i="79" s="1"/>
  <c r="I152" i="79"/>
  <c r="H152" i="79"/>
  <c r="G152" i="79"/>
  <c r="H151" i="79"/>
  <c r="G151" i="79"/>
  <c r="I151" i="79" s="1"/>
  <c r="H150" i="79"/>
  <c r="G150" i="79"/>
  <c r="I150" i="79" s="1"/>
  <c r="H149" i="79"/>
  <c r="I149" i="79" s="1"/>
  <c r="G149" i="79"/>
  <c r="H148" i="79"/>
  <c r="G148" i="79"/>
  <c r="I148" i="79" s="1"/>
  <c r="H147" i="79"/>
  <c r="I147" i="79" s="1"/>
  <c r="G147" i="79"/>
  <c r="I146" i="79"/>
  <c r="H146" i="79"/>
  <c r="G146" i="79"/>
  <c r="H145" i="79"/>
  <c r="G145" i="79"/>
  <c r="I145" i="79" s="1"/>
  <c r="I144" i="79"/>
  <c r="H144" i="79"/>
  <c r="G144" i="79"/>
  <c r="H143" i="79"/>
  <c r="G143" i="79"/>
  <c r="I143" i="79" s="1"/>
  <c r="H142" i="79"/>
  <c r="G142" i="79"/>
  <c r="I142" i="79" s="1"/>
  <c r="H141" i="79"/>
  <c r="I141" i="79" s="1"/>
  <c r="G141" i="79"/>
  <c r="H140" i="79"/>
  <c r="G140" i="79"/>
  <c r="I140" i="79" s="1"/>
  <c r="H139" i="79"/>
  <c r="I139" i="79" s="1"/>
  <c r="G139" i="79"/>
  <c r="I138" i="79"/>
  <c r="H138" i="79"/>
  <c r="G138" i="79"/>
  <c r="H137" i="79"/>
  <c r="G137" i="79"/>
  <c r="I137" i="79" s="1"/>
  <c r="I136" i="79"/>
  <c r="H136" i="79"/>
  <c r="G136" i="79"/>
  <c r="H135" i="79"/>
  <c r="G135" i="79"/>
  <c r="I135" i="79" s="1"/>
  <c r="H134" i="79"/>
  <c r="G134" i="79"/>
  <c r="I134" i="79" s="1"/>
  <c r="H133" i="79"/>
  <c r="I133" i="79" s="1"/>
  <c r="G133" i="79"/>
  <c r="H132" i="79"/>
  <c r="G132" i="79"/>
  <c r="I132" i="79" s="1"/>
  <c r="H131" i="79"/>
  <c r="I131" i="79" s="1"/>
  <c r="G131" i="79"/>
  <c r="I130" i="79"/>
  <c r="H130" i="79"/>
  <c r="G130" i="79"/>
  <c r="H129" i="79"/>
  <c r="G129" i="79"/>
  <c r="I129" i="79" s="1"/>
  <c r="I128" i="79"/>
  <c r="H128" i="79"/>
  <c r="G128" i="79"/>
  <c r="H127" i="79"/>
  <c r="G127" i="79"/>
  <c r="I127" i="79" s="1"/>
  <c r="H126" i="79"/>
  <c r="G126" i="79"/>
  <c r="I126" i="79" s="1"/>
  <c r="H125" i="79"/>
  <c r="I125" i="79" s="1"/>
  <c r="G125" i="79"/>
  <c r="H124" i="79"/>
  <c r="G124" i="79"/>
  <c r="I124" i="79" s="1"/>
  <c r="H123" i="79"/>
  <c r="I123" i="79" s="1"/>
  <c r="G123" i="79"/>
  <c r="I122" i="79"/>
  <c r="H122" i="79"/>
  <c r="G122" i="79"/>
  <c r="H121" i="79"/>
  <c r="G121" i="79"/>
  <c r="I121" i="79" s="1"/>
  <c r="I120" i="79"/>
  <c r="H120" i="79"/>
  <c r="G120" i="79"/>
  <c r="H119" i="79"/>
  <c r="G119" i="79"/>
  <c r="I119" i="79" s="1"/>
  <c r="H118" i="79"/>
  <c r="G118" i="79"/>
  <c r="I118" i="79" s="1"/>
  <c r="H117" i="79"/>
  <c r="I117" i="79" s="1"/>
  <c r="G117" i="79"/>
  <c r="H116" i="79"/>
  <c r="G116" i="79"/>
  <c r="I116" i="79" s="1"/>
  <c r="H115" i="79"/>
  <c r="I115" i="79" s="1"/>
  <c r="G115" i="79"/>
  <c r="I114" i="79"/>
  <c r="H114" i="79"/>
  <c r="G114" i="79"/>
  <c r="H113" i="79"/>
  <c r="G113" i="79"/>
  <c r="I113" i="79" s="1"/>
  <c r="I112" i="79"/>
  <c r="H112" i="79"/>
  <c r="G112" i="79"/>
  <c r="H111" i="79"/>
  <c r="G111" i="79"/>
  <c r="I111" i="79" s="1"/>
  <c r="H110" i="79"/>
  <c r="G110" i="79"/>
  <c r="I110" i="79" s="1"/>
  <c r="H109" i="79"/>
  <c r="I109" i="79" s="1"/>
  <c r="G109" i="79"/>
  <c r="H108" i="79"/>
  <c r="G108" i="79"/>
  <c r="I108" i="79" s="1"/>
  <c r="H107" i="79"/>
  <c r="I107" i="79" s="1"/>
  <c r="G107" i="79"/>
  <c r="I106" i="79"/>
  <c r="H106" i="79"/>
  <c r="G106" i="79"/>
  <c r="H105" i="79"/>
  <c r="G105" i="79"/>
  <c r="I105" i="79" s="1"/>
  <c r="I104" i="79"/>
  <c r="H104" i="79"/>
  <c r="G104" i="79"/>
  <c r="H103" i="79"/>
  <c r="I103" i="79" s="1"/>
  <c r="G103" i="79"/>
  <c r="H102" i="79"/>
  <c r="G102" i="79"/>
  <c r="I102" i="79" s="1"/>
  <c r="H101" i="79"/>
  <c r="I101" i="79" s="1"/>
  <c r="G101" i="79"/>
  <c r="H100" i="79"/>
  <c r="G100" i="79"/>
  <c r="I100" i="79" s="1"/>
  <c r="H99" i="79"/>
  <c r="I99" i="79" s="1"/>
  <c r="G99" i="79"/>
  <c r="I98" i="79"/>
  <c r="H98" i="79"/>
  <c r="G98" i="79"/>
  <c r="H97" i="79"/>
  <c r="G97" i="79"/>
  <c r="I97" i="79" s="1"/>
  <c r="I96" i="79"/>
  <c r="H96" i="79"/>
  <c r="G96" i="79"/>
  <c r="H95" i="79"/>
  <c r="I95" i="79" s="1"/>
  <c r="G95" i="79"/>
  <c r="H94" i="79"/>
  <c r="G94" i="79"/>
  <c r="I94" i="79" s="1"/>
  <c r="H93" i="79"/>
  <c r="I93" i="79" s="1"/>
  <c r="G93" i="79"/>
  <c r="I92" i="79"/>
  <c r="H92" i="79"/>
  <c r="G92" i="79"/>
  <c r="H91" i="79"/>
  <c r="I91" i="79" s="1"/>
  <c r="G91" i="79"/>
  <c r="I90" i="79"/>
  <c r="H90" i="79"/>
  <c r="G90" i="79"/>
  <c r="H89" i="79"/>
  <c r="G89" i="79"/>
  <c r="I89" i="79" s="1"/>
  <c r="I88" i="79"/>
  <c r="H88" i="79"/>
  <c r="G88" i="79"/>
  <c r="H87" i="79"/>
  <c r="I87" i="79" s="1"/>
  <c r="G87" i="79"/>
  <c r="H86" i="79"/>
  <c r="G86" i="79"/>
  <c r="I86" i="79" s="1"/>
  <c r="H85" i="79"/>
  <c r="I85" i="79" s="1"/>
  <c r="G85" i="79"/>
  <c r="I84" i="79"/>
  <c r="H84" i="79"/>
  <c r="G84" i="79"/>
  <c r="H83" i="79"/>
  <c r="I83" i="79" s="1"/>
  <c r="G83" i="79"/>
  <c r="I82" i="79"/>
  <c r="H82" i="79"/>
  <c r="G82" i="79"/>
  <c r="H81" i="79"/>
  <c r="G81" i="79"/>
  <c r="I81" i="79" s="1"/>
  <c r="I80" i="79"/>
  <c r="H80" i="79"/>
  <c r="G80" i="79"/>
  <c r="H79" i="79"/>
  <c r="I79" i="79" s="1"/>
  <c r="G79" i="79"/>
  <c r="H78" i="79"/>
  <c r="G78" i="79"/>
  <c r="I78" i="79" s="1"/>
  <c r="H77" i="79"/>
  <c r="I77" i="79" s="1"/>
  <c r="G77" i="79"/>
  <c r="I76" i="79"/>
  <c r="H76" i="79"/>
  <c r="G76" i="79"/>
  <c r="H75" i="79"/>
  <c r="I75" i="79" s="1"/>
  <c r="G75" i="79"/>
  <c r="I74" i="79"/>
  <c r="H74" i="79"/>
  <c r="G74" i="79"/>
  <c r="H73" i="79"/>
  <c r="G73" i="79"/>
  <c r="I73" i="79" s="1"/>
  <c r="I72" i="79"/>
  <c r="H72" i="79"/>
  <c r="G72" i="79"/>
  <c r="H71" i="79"/>
  <c r="I71" i="79" s="1"/>
  <c r="G71" i="79"/>
  <c r="H70" i="79"/>
  <c r="G70" i="79"/>
  <c r="I70" i="79" s="1"/>
  <c r="H69" i="79"/>
  <c r="I69" i="79" s="1"/>
  <c r="G69" i="79"/>
  <c r="I68" i="79"/>
  <c r="H68" i="79"/>
  <c r="G68" i="79"/>
  <c r="H67" i="79"/>
  <c r="I67" i="79" s="1"/>
  <c r="G67" i="79"/>
  <c r="I66" i="79"/>
  <c r="H66" i="79"/>
  <c r="G66" i="79"/>
  <c r="H65" i="79"/>
  <c r="G65" i="79"/>
  <c r="I65" i="79" s="1"/>
  <c r="I64" i="79"/>
  <c r="H64" i="79"/>
  <c r="G64" i="79"/>
  <c r="H63" i="79"/>
  <c r="I63" i="79" s="1"/>
  <c r="G63" i="79"/>
  <c r="H62" i="79"/>
  <c r="G62" i="79"/>
  <c r="I62" i="79" s="1"/>
  <c r="H61" i="79"/>
  <c r="I61" i="79" s="1"/>
  <c r="G61" i="79"/>
  <c r="I60" i="79"/>
  <c r="H60" i="79"/>
  <c r="G60" i="79"/>
  <c r="H59" i="79"/>
  <c r="I59" i="79" s="1"/>
  <c r="G59" i="79"/>
  <c r="I58" i="79"/>
  <c r="H58" i="79"/>
  <c r="G58" i="79"/>
  <c r="H57" i="79"/>
  <c r="G57" i="79"/>
  <c r="I57" i="79" s="1"/>
  <c r="I56" i="79"/>
  <c r="H56" i="79"/>
  <c r="G56" i="79"/>
  <c r="H55" i="79"/>
  <c r="I55" i="79" s="1"/>
  <c r="G55" i="79"/>
  <c r="H54" i="79"/>
  <c r="G54" i="79"/>
  <c r="I54" i="79" s="1"/>
  <c r="H53" i="79"/>
  <c r="I53" i="79" s="1"/>
  <c r="G53" i="79"/>
  <c r="I52" i="79"/>
  <c r="H52" i="79"/>
  <c r="G52" i="79"/>
  <c r="H51" i="79"/>
  <c r="I51" i="79" s="1"/>
  <c r="G51" i="79"/>
  <c r="I50" i="79"/>
  <c r="H50" i="79"/>
  <c r="G50" i="79"/>
  <c r="H49" i="79"/>
  <c r="G49" i="79"/>
  <c r="I49" i="79" s="1"/>
  <c r="I48" i="79"/>
  <c r="H48" i="79"/>
  <c r="G48" i="79"/>
  <c r="H47" i="79"/>
  <c r="G47" i="79"/>
  <c r="I47" i="79" s="1"/>
  <c r="H46" i="79"/>
  <c r="G46" i="79"/>
  <c r="I46" i="79" s="1"/>
  <c r="H45" i="79"/>
  <c r="I45" i="79" s="1"/>
  <c r="G45" i="79"/>
  <c r="I44" i="79"/>
  <c r="H44" i="79"/>
  <c r="G44" i="79"/>
  <c r="H43" i="79"/>
  <c r="I43" i="79" s="1"/>
  <c r="G43" i="79"/>
  <c r="I42" i="79"/>
  <c r="H42" i="79"/>
  <c r="G42" i="79"/>
  <c r="H41" i="79"/>
  <c r="G41" i="79"/>
  <c r="I41" i="79" s="1"/>
  <c r="I40" i="79"/>
  <c r="H40" i="79"/>
  <c r="G40" i="79"/>
  <c r="H39" i="79"/>
  <c r="G39" i="79"/>
  <c r="I39" i="79" s="1"/>
  <c r="H38" i="79"/>
  <c r="G38" i="79"/>
  <c r="I38" i="79" s="1"/>
  <c r="H37" i="79"/>
  <c r="I37" i="79" s="1"/>
  <c r="G37" i="79"/>
  <c r="I36" i="79"/>
  <c r="H36" i="79"/>
  <c r="G36" i="79"/>
  <c r="H35" i="79"/>
  <c r="I35" i="79" s="1"/>
  <c r="G35" i="79"/>
  <c r="I34" i="79"/>
  <c r="H34" i="79"/>
  <c r="G34" i="79"/>
  <c r="H33" i="79"/>
  <c r="G33" i="79"/>
  <c r="I33" i="79" s="1"/>
  <c r="I32" i="79"/>
  <c r="H32" i="79"/>
  <c r="G32" i="79"/>
  <c r="H31" i="79"/>
  <c r="G31" i="79"/>
  <c r="I31" i="79" s="1"/>
  <c r="H30" i="79"/>
  <c r="G30" i="79"/>
  <c r="I30" i="79" s="1"/>
  <c r="H29" i="79"/>
  <c r="I29" i="79" s="1"/>
  <c r="G29" i="79"/>
  <c r="I28" i="79"/>
  <c r="H28" i="79"/>
  <c r="G28" i="79"/>
  <c r="H27" i="79"/>
  <c r="I27" i="79" s="1"/>
  <c r="G27" i="79"/>
  <c r="I26" i="79"/>
  <c r="H26" i="79"/>
  <c r="G26" i="79"/>
  <c r="H25" i="79"/>
  <c r="G25" i="79"/>
  <c r="I25" i="79" s="1"/>
  <c r="I24" i="79"/>
  <c r="H24" i="79"/>
  <c r="G24" i="79"/>
  <c r="H23" i="79"/>
  <c r="G23" i="79"/>
  <c r="I23" i="79" s="1"/>
  <c r="H22" i="79"/>
  <c r="G22" i="79"/>
  <c r="I22" i="79" s="1"/>
  <c r="H21" i="79"/>
  <c r="I21" i="79" s="1"/>
  <c r="G21" i="79"/>
  <c r="I20" i="79"/>
  <c r="H20" i="79"/>
  <c r="G20" i="79"/>
  <c r="H19" i="79"/>
  <c r="I19" i="79" s="1"/>
  <c r="G19" i="79"/>
  <c r="I18" i="79"/>
  <c r="H18" i="79"/>
  <c r="G18" i="79"/>
  <c r="H17" i="79"/>
  <c r="G17" i="79"/>
  <c r="I17" i="79" s="1"/>
  <c r="I16" i="79"/>
  <c r="H16" i="79"/>
  <c r="G16" i="79"/>
  <c r="H15" i="79"/>
  <c r="G15" i="79"/>
  <c r="I15" i="79" s="1"/>
  <c r="H14" i="79"/>
  <c r="G14" i="79"/>
  <c r="G9" i="79" s="1"/>
  <c r="H13" i="79"/>
  <c r="I13" i="79" s="1"/>
  <c r="G13" i="79"/>
  <c r="H12" i="79"/>
  <c r="G12" i="79"/>
  <c r="H9" i="79"/>
  <c r="H143" i="78"/>
  <c r="G143" i="78"/>
  <c r="I143" i="78" s="1"/>
  <c r="H142" i="78"/>
  <c r="G142" i="78"/>
  <c r="I142" i="78" s="1"/>
  <c r="H141" i="78"/>
  <c r="G141" i="78"/>
  <c r="I141" i="78" s="1"/>
  <c r="H140" i="78"/>
  <c r="I140" i="78" s="1"/>
  <c r="G140" i="78"/>
  <c r="H139" i="78"/>
  <c r="G139" i="78"/>
  <c r="I139" i="78" s="1"/>
  <c r="I138" i="78"/>
  <c r="H138" i="78"/>
  <c r="G138" i="78"/>
  <c r="H137" i="78"/>
  <c r="G137" i="78"/>
  <c r="I137" i="78" s="1"/>
  <c r="H136" i="78"/>
  <c r="G136" i="78"/>
  <c r="I136" i="78" s="1"/>
  <c r="I135" i="78"/>
  <c r="H135" i="78"/>
  <c r="G135" i="78"/>
  <c r="H134" i="78"/>
  <c r="G134" i="78"/>
  <c r="I134" i="78" s="1"/>
  <c r="H133" i="78"/>
  <c r="G133" i="78"/>
  <c r="I133" i="78" s="1"/>
  <c r="I132" i="78"/>
  <c r="H132" i="78"/>
  <c r="G132" i="78"/>
  <c r="H131" i="78"/>
  <c r="G131" i="78"/>
  <c r="I131" i="78" s="1"/>
  <c r="I130" i="78"/>
  <c r="H130" i="78"/>
  <c r="G130" i="78"/>
  <c r="H129" i="78"/>
  <c r="G129" i="78"/>
  <c r="I129" i="78" s="1"/>
  <c r="H128" i="78"/>
  <c r="G128" i="78"/>
  <c r="I128" i="78" s="1"/>
  <c r="I127" i="78"/>
  <c r="H127" i="78"/>
  <c r="G127" i="78"/>
  <c r="H126" i="78"/>
  <c r="G126" i="78"/>
  <c r="I126" i="78" s="1"/>
  <c r="H125" i="78"/>
  <c r="G125" i="78"/>
  <c r="I125" i="78" s="1"/>
  <c r="I124" i="78"/>
  <c r="H124" i="78"/>
  <c r="G124" i="78"/>
  <c r="H123" i="78"/>
  <c r="G123" i="78"/>
  <c r="I123" i="78" s="1"/>
  <c r="I122" i="78"/>
  <c r="H122" i="78"/>
  <c r="G122" i="78"/>
  <c r="H121" i="78"/>
  <c r="G121" i="78"/>
  <c r="I121" i="78" s="1"/>
  <c r="H120" i="78"/>
  <c r="G120" i="78"/>
  <c r="I120" i="78" s="1"/>
  <c r="I119" i="78"/>
  <c r="H119" i="78"/>
  <c r="G119" i="78"/>
  <c r="H118" i="78"/>
  <c r="G118" i="78"/>
  <c r="I118" i="78" s="1"/>
  <c r="H117" i="78"/>
  <c r="G117" i="78"/>
  <c r="I117" i="78" s="1"/>
  <c r="I116" i="78"/>
  <c r="H116" i="78"/>
  <c r="G116" i="78"/>
  <c r="H115" i="78"/>
  <c r="G115" i="78"/>
  <c r="I115" i="78" s="1"/>
  <c r="I114" i="78"/>
  <c r="H114" i="78"/>
  <c r="G114" i="78"/>
  <c r="H113" i="78"/>
  <c r="G113" i="78"/>
  <c r="I113" i="78" s="1"/>
  <c r="H112" i="78"/>
  <c r="G112" i="78"/>
  <c r="I112" i="78" s="1"/>
  <c r="I111" i="78"/>
  <c r="H111" i="78"/>
  <c r="G111" i="78"/>
  <c r="H110" i="78"/>
  <c r="G110" i="78"/>
  <c r="I110" i="78" s="1"/>
  <c r="H109" i="78"/>
  <c r="G109" i="78"/>
  <c r="I109" i="78" s="1"/>
  <c r="I108" i="78"/>
  <c r="H108" i="78"/>
  <c r="G108" i="78"/>
  <c r="H107" i="78"/>
  <c r="G107" i="78"/>
  <c r="I107" i="78" s="1"/>
  <c r="I106" i="78"/>
  <c r="H106" i="78"/>
  <c r="G106" i="78"/>
  <c r="H105" i="78"/>
  <c r="G105" i="78"/>
  <c r="I105" i="78" s="1"/>
  <c r="H104" i="78"/>
  <c r="G104" i="78"/>
  <c r="I104" i="78" s="1"/>
  <c r="I103" i="78"/>
  <c r="H103" i="78"/>
  <c r="G103" i="78"/>
  <c r="H102" i="78"/>
  <c r="G102" i="78"/>
  <c r="I102" i="78" s="1"/>
  <c r="H101" i="78"/>
  <c r="G101" i="78"/>
  <c r="I101" i="78" s="1"/>
  <c r="I100" i="78"/>
  <c r="H100" i="78"/>
  <c r="G100" i="78"/>
  <c r="H99" i="78"/>
  <c r="G99" i="78"/>
  <c r="I99" i="78" s="1"/>
  <c r="I98" i="78"/>
  <c r="H98" i="78"/>
  <c r="G98" i="78"/>
  <c r="H97" i="78"/>
  <c r="G97" i="78"/>
  <c r="I97" i="78" s="1"/>
  <c r="H96" i="78"/>
  <c r="G96" i="78"/>
  <c r="I96" i="78" s="1"/>
  <c r="I95" i="78"/>
  <c r="H95" i="78"/>
  <c r="G95" i="78"/>
  <c r="H94" i="78"/>
  <c r="G94" i="78"/>
  <c r="I94" i="78" s="1"/>
  <c r="H93" i="78"/>
  <c r="G93" i="78"/>
  <c r="I93" i="78" s="1"/>
  <c r="I92" i="78"/>
  <c r="H92" i="78"/>
  <c r="G92" i="78"/>
  <c r="H91" i="78"/>
  <c r="G91" i="78"/>
  <c r="I91" i="78" s="1"/>
  <c r="I90" i="78"/>
  <c r="H90" i="78"/>
  <c r="G90" i="78"/>
  <c r="H89" i="78"/>
  <c r="G89" i="78"/>
  <c r="I89" i="78" s="1"/>
  <c r="H88" i="78"/>
  <c r="G88" i="78"/>
  <c r="I88" i="78" s="1"/>
  <c r="I87" i="78"/>
  <c r="H87" i="78"/>
  <c r="G87" i="78"/>
  <c r="H86" i="78"/>
  <c r="G86" i="78"/>
  <c r="I86" i="78" s="1"/>
  <c r="H85" i="78"/>
  <c r="G85" i="78"/>
  <c r="I85" i="78" s="1"/>
  <c r="I84" i="78"/>
  <c r="H84" i="78"/>
  <c r="G84" i="78"/>
  <c r="H83" i="78"/>
  <c r="G83" i="78"/>
  <c r="I83" i="78" s="1"/>
  <c r="I82" i="78"/>
  <c r="H82" i="78"/>
  <c r="G82" i="78"/>
  <c r="H81" i="78"/>
  <c r="G81" i="78"/>
  <c r="I81" i="78" s="1"/>
  <c r="H80" i="78"/>
  <c r="G80" i="78"/>
  <c r="I80" i="78" s="1"/>
  <c r="I79" i="78"/>
  <c r="H79" i="78"/>
  <c r="G79" i="78"/>
  <c r="H78" i="78"/>
  <c r="G78" i="78"/>
  <c r="I78" i="78" s="1"/>
  <c r="H77" i="78"/>
  <c r="G77" i="78"/>
  <c r="I77" i="78" s="1"/>
  <c r="I76" i="78"/>
  <c r="H76" i="78"/>
  <c r="G76" i="78"/>
  <c r="H75" i="78"/>
  <c r="G75" i="78"/>
  <c r="I75" i="78" s="1"/>
  <c r="I74" i="78"/>
  <c r="H74" i="78"/>
  <c r="G74" i="78"/>
  <c r="H73" i="78"/>
  <c r="G73" i="78"/>
  <c r="I73" i="78" s="1"/>
  <c r="H72" i="78"/>
  <c r="G72" i="78"/>
  <c r="I72" i="78" s="1"/>
  <c r="I71" i="78"/>
  <c r="H71" i="78"/>
  <c r="G71" i="78"/>
  <c r="H70" i="78"/>
  <c r="G70" i="78"/>
  <c r="I70" i="78" s="1"/>
  <c r="H69" i="78"/>
  <c r="G69" i="78"/>
  <c r="I69" i="78" s="1"/>
  <c r="I68" i="78"/>
  <c r="H68" i="78"/>
  <c r="G68" i="78"/>
  <c r="H67" i="78"/>
  <c r="G67" i="78"/>
  <c r="I67" i="78" s="1"/>
  <c r="I66" i="78"/>
  <c r="H66" i="78"/>
  <c r="G66" i="78"/>
  <c r="H65" i="78"/>
  <c r="G65" i="78"/>
  <c r="I65" i="78" s="1"/>
  <c r="H64" i="78"/>
  <c r="G64" i="78"/>
  <c r="I64" i="78" s="1"/>
  <c r="I63" i="78"/>
  <c r="H63" i="78"/>
  <c r="G63" i="78"/>
  <c r="H62" i="78"/>
  <c r="G62" i="78"/>
  <c r="I62" i="78" s="1"/>
  <c r="H61" i="78"/>
  <c r="G61" i="78"/>
  <c r="I61" i="78" s="1"/>
  <c r="I60" i="78"/>
  <c r="H60" i="78"/>
  <c r="G60" i="78"/>
  <c r="H59" i="78"/>
  <c r="G59" i="78"/>
  <c r="I59" i="78" s="1"/>
  <c r="I58" i="78"/>
  <c r="H58" i="78"/>
  <c r="G58" i="78"/>
  <c r="H57" i="78"/>
  <c r="G57" i="78"/>
  <c r="I57" i="78" s="1"/>
  <c r="H56" i="78"/>
  <c r="G56" i="78"/>
  <c r="I56" i="78" s="1"/>
  <c r="I55" i="78"/>
  <c r="H55" i="78"/>
  <c r="G55" i="78"/>
  <c r="H54" i="78"/>
  <c r="G54" i="78"/>
  <c r="I54" i="78" s="1"/>
  <c r="H53" i="78"/>
  <c r="G53" i="78"/>
  <c r="I53" i="78" s="1"/>
  <c r="I52" i="78"/>
  <c r="H52" i="78"/>
  <c r="G52" i="78"/>
  <c r="H51" i="78"/>
  <c r="G51" i="78"/>
  <c r="I51" i="78" s="1"/>
  <c r="I50" i="78"/>
  <c r="H50" i="78"/>
  <c r="G50" i="78"/>
  <c r="H49" i="78"/>
  <c r="G49" i="78"/>
  <c r="I49" i="78" s="1"/>
  <c r="H48" i="78"/>
  <c r="G48" i="78"/>
  <c r="I48" i="78" s="1"/>
  <c r="I47" i="78"/>
  <c r="H47" i="78"/>
  <c r="G47" i="78"/>
  <c r="H46" i="78"/>
  <c r="G46" i="78"/>
  <c r="I46" i="78" s="1"/>
  <c r="H45" i="78"/>
  <c r="G45" i="78"/>
  <c r="I45" i="78" s="1"/>
  <c r="I44" i="78"/>
  <c r="H44" i="78"/>
  <c r="G44" i="78"/>
  <c r="H43" i="78"/>
  <c r="G43" i="78"/>
  <c r="I43" i="78" s="1"/>
  <c r="I42" i="78"/>
  <c r="H42" i="78"/>
  <c r="G42" i="78"/>
  <c r="H41" i="78"/>
  <c r="G41" i="78"/>
  <c r="I41" i="78" s="1"/>
  <c r="H40" i="78"/>
  <c r="G40" i="78"/>
  <c r="I40" i="78" s="1"/>
  <c r="I39" i="78"/>
  <c r="H39" i="78"/>
  <c r="G39" i="78"/>
  <c r="H38" i="78"/>
  <c r="G38" i="78"/>
  <c r="I38" i="78" s="1"/>
  <c r="H37" i="78"/>
  <c r="G37" i="78"/>
  <c r="I37" i="78" s="1"/>
  <c r="I36" i="78"/>
  <c r="H36" i="78"/>
  <c r="G36" i="78"/>
  <c r="H35" i="78"/>
  <c r="G35" i="78"/>
  <c r="I35" i="78" s="1"/>
  <c r="I34" i="78"/>
  <c r="H34" i="78"/>
  <c r="G34" i="78"/>
  <c r="H33" i="78"/>
  <c r="G33" i="78"/>
  <c r="I33" i="78" s="1"/>
  <c r="H32" i="78"/>
  <c r="G32" i="78"/>
  <c r="I32" i="78" s="1"/>
  <c r="I31" i="78"/>
  <c r="H31" i="78"/>
  <c r="G31" i="78"/>
  <c r="H30" i="78"/>
  <c r="G30" i="78"/>
  <c r="I30" i="78" s="1"/>
  <c r="H29" i="78"/>
  <c r="G29" i="78"/>
  <c r="I29" i="78" s="1"/>
  <c r="I28" i="78"/>
  <c r="H28" i="78"/>
  <c r="G28" i="78"/>
  <c r="H27" i="78"/>
  <c r="G27" i="78"/>
  <c r="I27" i="78" s="1"/>
  <c r="I26" i="78"/>
  <c r="H26" i="78"/>
  <c r="G26" i="78"/>
  <c r="H25" i="78"/>
  <c r="G25" i="78"/>
  <c r="I25" i="78" s="1"/>
  <c r="H24" i="78"/>
  <c r="G24" i="78"/>
  <c r="I24" i="78" s="1"/>
  <c r="I23" i="78"/>
  <c r="H23" i="78"/>
  <c r="G23" i="78"/>
  <c r="H22" i="78"/>
  <c r="G22" i="78"/>
  <c r="I22" i="78" s="1"/>
  <c r="H21" i="78"/>
  <c r="G21" i="78"/>
  <c r="I21" i="78" s="1"/>
  <c r="I20" i="78"/>
  <c r="H20" i="78"/>
  <c r="G20" i="78"/>
  <c r="H19" i="78"/>
  <c r="G19" i="78"/>
  <c r="I19" i="78" s="1"/>
  <c r="H18" i="78"/>
  <c r="I18" i="78" s="1"/>
  <c r="G18" i="78"/>
  <c r="H17" i="78"/>
  <c r="G17" i="78"/>
  <c r="I17" i="78" s="1"/>
  <c r="H16" i="78"/>
  <c r="G16" i="78"/>
  <c r="I16" i="78" s="1"/>
  <c r="I15" i="78"/>
  <c r="H15" i="78"/>
  <c r="G15" i="78"/>
  <c r="H14" i="78"/>
  <c r="G14" i="78"/>
  <c r="I14" i="78" s="1"/>
  <c r="H13" i="78"/>
  <c r="H9" i="78" s="1"/>
  <c r="G13" i="78"/>
  <c r="I13" i="78" s="1"/>
  <c r="I12" i="78"/>
  <c r="H12" i="78"/>
  <c r="G12" i="78"/>
  <c r="I119" i="80" l="1"/>
  <c r="I123" i="80"/>
  <c r="I114" i="80"/>
  <c r="I110" i="80"/>
  <c r="I106" i="80"/>
  <c r="I102" i="80"/>
  <c r="I98" i="80"/>
  <c r="I94" i="80"/>
  <c r="I90" i="80"/>
  <c r="I86" i="80"/>
  <c r="I13" i="80"/>
  <c r="I117" i="80"/>
  <c r="I109" i="80"/>
  <c r="I101" i="80"/>
  <c r="I93" i="80"/>
  <c r="I85" i="80"/>
  <c r="I77" i="80"/>
  <c r="I70" i="80"/>
  <c r="I62" i="80"/>
  <c r="I133" i="80"/>
  <c r="I116" i="80"/>
  <c r="I21" i="80"/>
  <c r="I107" i="80"/>
  <c r="I103" i="80"/>
  <c r="I99" i="80"/>
  <c r="I95" i="80"/>
  <c r="I91" i="80"/>
  <c r="I87" i="80"/>
  <c r="I83" i="80"/>
  <c r="I79" i="80"/>
  <c r="I72" i="80"/>
  <c r="I64" i="80"/>
  <c r="I60" i="80"/>
  <c r="I52" i="80"/>
  <c r="I36" i="80"/>
  <c r="I16" i="80"/>
  <c r="I12" i="80"/>
  <c r="I122" i="80"/>
  <c r="I73" i="80"/>
  <c r="I67" i="80"/>
  <c r="I31" i="80"/>
  <c r="I22" i="68"/>
  <c r="I115" i="80"/>
  <c r="I111" i="80"/>
  <c r="I88" i="80"/>
  <c r="I80" i="80"/>
  <c r="I61" i="80"/>
  <c r="I58" i="80"/>
  <c r="I54" i="80"/>
  <c r="I50" i="80"/>
  <c r="I46" i="80"/>
  <c r="I26" i="80"/>
  <c r="I19" i="80"/>
  <c r="I128" i="80"/>
  <c r="I71" i="80"/>
  <c r="I68" i="80"/>
  <c r="I41" i="80"/>
  <c r="I33" i="80"/>
  <c r="I14" i="80"/>
  <c r="I124" i="80"/>
  <c r="I129" i="80"/>
  <c r="I132" i="80"/>
  <c r="I56" i="80"/>
  <c r="I44" i="80"/>
  <c r="I25" i="80"/>
  <c r="I63" i="80"/>
  <c r="I125" i="80"/>
  <c r="I120" i="80"/>
  <c r="I24" i="80"/>
  <c r="I17" i="80"/>
  <c r="I105" i="80"/>
  <c r="I97" i="80"/>
  <c r="I89" i="80"/>
  <c r="I81" i="80"/>
  <c r="I27" i="80"/>
  <c r="I126" i="80"/>
  <c r="I113" i="80"/>
  <c r="I96" i="80"/>
  <c r="I66" i="80"/>
  <c r="I49" i="80"/>
  <c r="I32" i="80"/>
  <c r="I22" i="80"/>
  <c r="I15" i="80"/>
  <c r="I11" i="80"/>
  <c r="I112" i="80"/>
  <c r="I82" i="80"/>
  <c r="I78" i="80"/>
  <c r="I65" i="80"/>
  <c r="I48" i="80"/>
  <c r="I38" i="80"/>
  <c r="I28" i="80"/>
  <c r="I121" i="80"/>
  <c r="I104" i="80"/>
  <c r="I74" i="80"/>
  <c r="I57" i="80"/>
  <c r="I40" i="80"/>
  <c r="I30" i="80"/>
  <c r="I20" i="80"/>
  <c r="I9" i="80"/>
  <c r="I49" i="69"/>
  <c r="I50" i="69"/>
  <c r="I39" i="69"/>
  <c r="I14" i="79"/>
  <c r="I9" i="79" s="1"/>
  <c r="I9" i="78"/>
  <c r="G9" i="78"/>
  <c r="H147" i="9" l="1"/>
  <c r="I147" i="9"/>
  <c r="G117" i="9" l="1"/>
  <c r="H117" i="9"/>
  <c r="I117" i="9"/>
  <c r="G118" i="9"/>
  <c r="H118" i="9"/>
  <c r="I118" i="9"/>
  <c r="J117" i="9" l="1"/>
  <c r="J118" i="9"/>
  <c r="I123" i="55" l="1"/>
  <c r="H206" i="54" l="1"/>
  <c r="J206" i="54"/>
  <c r="J172" i="54"/>
  <c r="I206" i="54" l="1"/>
  <c r="K206" i="54" s="1"/>
  <c r="H624" i="55" l="1"/>
  <c r="J624" i="55"/>
  <c r="H766" i="55"/>
  <c r="J766" i="55"/>
  <c r="I658" i="55"/>
  <c r="I655" i="55"/>
  <c r="I651" i="55"/>
  <c r="H185" i="54" l="1"/>
  <c r="I740" i="55"/>
  <c r="I654" i="55"/>
  <c r="K624" i="55"/>
  <c r="K766" i="55"/>
  <c r="J476" i="55"/>
  <c r="I185" i="54" l="1"/>
  <c r="K185" i="54" s="1"/>
  <c r="H476" i="55"/>
  <c r="K476" i="55"/>
  <c r="I53" i="55" l="1"/>
  <c r="I52" i="55"/>
  <c r="J123" i="55" l="1"/>
  <c r="K123" i="55" l="1"/>
  <c r="H123" i="55"/>
  <c r="I17" i="9" l="1"/>
  <c r="I18" i="9"/>
  <c r="I19" i="9"/>
  <c r="I20" i="9"/>
  <c r="I21" i="9"/>
  <c r="H22" i="9"/>
  <c r="I22" i="9"/>
  <c r="I24" i="9"/>
  <c r="H28" i="9"/>
  <c r="I35" i="9"/>
  <c r="I36" i="9"/>
  <c r="I37" i="9"/>
  <c r="H42" i="9"/>
  <c r="I42" i="9"/>
  <c r="I43" i="9"/>
  <c r="H44" i="9"/>
  <c r="J44" i="9" s="1"/>
  <c r="I44" i="9"/>
  <c r="I53" i="9"/>
  <c r="I55" i="9"/>
  <c r="H57" i="9"/>
  <c r="H58" i="9"/>
  <c r="I58" i="9"/>
  <c r="H59" i="9"/>
  <c r="I59" i="9"/>
  <c r="H60" i="9"/>
  <c r="I60" i="9"/>
  <c r="H61" i="9"/>
  <c r="I61" i="9"/>
  <c r="H62" i="9"/>
  <c r="I62" i="9"/>
  <c r="H63" i="9"/>
  <c r="I63" i="9"/>
  <c r="H64" i="9"/>
  <c r="I64" i="9"/>
  <c r="H65" i="9"/>
  <c r="J65" i="9" s="1"/>
  <c r="I65" i="9"/>
  <c r="H66" i="9"/>
  <c r="J66" i="9" s="1"/>
  <c r="I66" i="9"/>
  <c r="H74" i="9"/>
  <c r="I74" i="9"/>
  <c r="H75" i="9"/>
  <c r="I75" i="9"/>
  <c r="H76" i="9"/>
  <c r="I76" i="9"/>
  <c r="H77" i="9"/>
  <c r="J77" i="9" s="1"/>
  <c r="I77" i="9"/>
  <c r="H78" i="9"/>
  <c r="I78" i="9"/>
  <c r="H79" i="9"/>
  <c r="I79" i="9"/>
  <c r="H80" i="9"/>
  <c r="I80" i="9"/>
  <c r="H81" i="9"/>
  <c r="I81" i="9"/>
  <c r="H82" i="9"/>
  <c r="I82" i="9"/>
  <c r="H83" i="9"/>
  <c r="I83" i="9"/>
  <c r="H84" i="9"/>
  <c r="I84" i="9"/>
  <c r="H85" i="9"/>
  <c r="I85" i="9"/>
  <c r="H86" i="9"/>
  <c r="I86" i="9"/>
  <c r="J86" i="9" s="1"/>
  <c r="H88" i="9"/>
  <c r="I88" i="9"/>
  <c r="H89" i="9"/>
  <c r="I89" i="9"/>
  <c r="H90" i="9"/>
  <c r="I90" i="9"/>
  <c r="H95" i="9"/>
  <c r="H96" i="9"/>
  <c r="H97" i="9"/>
  <c r="I97" i="9"/>
  <c r="I98" i="9"/>
  <c r="I100" i="9"/>
  <c r="H101" i="9"/>
  <c r="J101" i="9" s="1"/>
  <c r="I101" i="9"/>
  <c r="I102" i="9"/>
  <c r="I103" i="9"/>
  <c r="H104" i="9"/>
  <c r="I104" i="9"/>
  <c r="I112" i="9"/>
  <c r="I113" i="9"/>
  <c r="H115" i="9"/>
  <c r="J115" i="9" s="1"/>
  <c r="I115" i="9"/>
  <c r="H116" i="9"/>
  <c r="I116" i="9"/>
  <c r="I120" i="9"/>
  <c r="H123" i="9"/>
  <c r="I123" i="9"/>
  <c r="H124" i="9"/>
  <c r="I124" i="9"/>
  <c r="H125" i="9"/>
  <c r="I125" i="9"/>
  <c r="H126" i="9"/>
  <c r="I126" i="9"/>
  <c r="H127" i="9"/>
  <c r="H128" i="9"/>
  <c r="I128" i="9"/>
  <c r="H132" i="9"/>
  <c r="J132" i="9" s="1"/>
  <c r="I132" i="9"/>
  <c r="H133" i="9"/>
  <c r="I133" i="9"/>
  <c r="H134" i="9"/>
  <c r="I134" i="9"/>
  <c r="I144" i="9"/>
  <c r="I146" i="9"/>
  <c r="H151" i="9"/>
  <c r="I151" i="9"/>
  <c r="I158" i="9"/>
  <c r="H160" i="9"/>
  <c r="H161" i="9"/>
  <c r="H162" i="9"/>
  <c r="H163" i="9"/>
  <c r="I163" i="9"/>
  <c r="I166" i="9"/>
  <c r="I167" i="9"/>
  <c r="I169" i="9"/>
  <c r="I174" i="9"/>
  <c r="I15" i="9"/>
  <c r="G62" i="9"/>
  <c r="K275" i="15"/>
  <c r="K159" i="18"/>
  <c r="J61" i="9" l="1"/>
  <c r="J78" i="9"/>
  <c r="J89" i="9"/>
  <c r="J126" i="9"/>
  <c r="J134" i="9"/>
  <c r="J97" i="9"/>
  <c r="J64" i="9"/>
  <c r="H98" i="9"/>
  <c r="J98" i="9" s="1"/>
  <c r="J83" i="9"/>
  <c r="J75" i="9"/>
  <c r="J22" i="9"/>
  <c r="J60" i="9"/>
  <c r="J74" i="9"/>
  <c r="J151" i="9"/>
  <c r="J125" i="9"/>
  <c r="J85" i="9"/>
  <c r="J133" i="9"/>
  <c r="J63" i="9"/>
  <c r="J116" i="9"/>
  <c r="J59" i="9"/>
  <c r="J124" i="9"/>
  <c r="J76" i="9"/>
  <c r="J128" i="9"/>
  <c r="J88" i="9"/>
  <c r="J58" i="9"/>
  <c r="J104" i="9"/>
  <c r="J42" i="9"/>
  <c r="J123" i="9"/>
  <c r="J90" i="9"/>
  <c r="J84" i="9"/>
  <c r="J62" i="9"/>
  <c r="J82" i="9"/>
  <c r="J81" i="9"/>
  <c r="J80" i="9"/>
  <c r="J79" i="9"/>
  <c r="J163" i="9"/>
  <c r="K57" i="9" l="1"/>
  <c r="I270" i="15"/>
  <c r="K134" i="18"/>
  <c r="J273" i="15"/>
  <c r="K272" i="15"/>
  <c r="K269" i="15"/>
  <c r="K135" i="18"/>
  <c r="J135" i="18"/>
  <c r="I132" i="18"/>
  <c r="K132" i="18"/>
  <c r="I273" i="15"/>
  <c r="L135" i="18" l="1"/>
  <c r="I135" i="18"/>
  <c r="K131" i="18"/>
  <c r="K273" i="15"/>
  <c r="L273" i="15" s="1"/>
  <c r="J270" i="15"/>
  <c r="K270" i="15"/>
  <c r="J132" i="18"/>
  <c r="L132" i="18" s="1"/>
  <c r="L270" i="15" l="1"/>
  <c r="I381" i="55" l="1"/>
  <c r="H174" i="9" l="1"/>
  <c r="J174" i="9" s="1"/>
  <c r="H54" i="9"/>
  <c r="I54" i="9"/>
  <c r="I168" i="9"/>
  <c r="H170" i="9"/>
  <c r="I170" i="9"/>
  <c r="J54" i="9" l="1"/>
  <c r="J170" i="9"/>
  <c r="I152" i="9" l="1"/>
  <c r="H146" i="9"/>
  <c r="J146" i="9" s="1"/>
  <c r="I149" i="9" l="1"/>
  <c r="G147" i="9"/>
  <c r="J147" i="9" s="1"/>
  <c r="H144" i="9"/>
  <c r="J144" i="9" s="1"/>
  <c r="I127" i="9" l="1"/>
  <c r="J127" i="9" s="1"/>
  <c r="H120" i="9" l="1"/>
  <c r="J120" i="9" s="1"/>
  <c r="H113" i="9" l="1"/>
  <c r="J113" i="9" s="1"/>
  <c r="H112" i="9" l="1"/>
  <c r="J112" i="9" s="1"/>
  <c r="H102" i="9" l="1"/>
  <c r="J102" i="9" s="1"/>
  <c r="H19" i="9" l="1"/>
  <c r="J19" i="9" s="1"/>
  <c r="H21" i="9" l="1"/>
  <c r="J21" i="9" s="1"/>
  <c r="H24" i="9" l="1"/>
  <c r="J24" i="9" s="1"/>
  <c r="H20" i="9" l="1"/>
  <c r="J20" i="9" s="1"/>
  <c r="H17" i="9"/>
  <c r="J17" i="9" s="1"/>
  <c r="H18" i="9"/>
  <c r="J18" i="9" s="1"/>
  <c r="H15" i="9" l="1"/>
  <c r="J15" i="9" s="1"/>
  <c r="G19" i="68" l="1"/>
  <c r="H19" i="68"/>
  <c r="I18" i="68" s="1"/>
  <c r="H48" i="69"/>
  <c r="G48" i="69"/>
  <c r="H47" i="69"/>
  <c r="G47" i="69"/>
  <c r="H46" i="69"/>
  <c r="G46" i="69"/>
  <c r="H45" i="69"/>
  <c r="G45" i="69"/>
  <c r="H44" i="69"/>
  <c r="G44" i="69"/>
  <c r="H43" i="69"/>
  <c r="G43" i="69"/>
  <c r="H41" i="69"/>
  <c r="G41" i="69"/>
  <c r="H37" i="69"/>
  <c r="H36" i="69"/>
  <c r="H35" i="69"/>
  <c r="H34" i="69"/>
  <c r="I34" i="69" s="1"/>
  <c r="H33" i="69"/>
  <c r="H32" i="69"/>
  <c r="I32" i="69" s="1"/>
  <c r="H31" i="69"/>
  <c r="H30" i="69"/>
  <c r="H29" i="69"/>
  <c r="H28" i="69"/>
  <c r="H27" i="69"/>
  <c r="H26" i="69"/>
  <c r="H25" i="69"/>
  <c r="H24" i="69"/>
  <c r="I24" i="69" s="1"/>
  <c r="H23" i="69"/>
  <c r="H22" i="69"/>
  <c r="H21" i="69"/>
  <c r="G11" i="69"/>
  <c r="H11" i="69"/>
  <c r="G12" i="69"/>
  <c r="H12" i="69"/>
  <c r="G13" i="69"/>
  <c r="H13" i="69"/>
  <c r="G14" i="69"/>
  <c r="H14" i="69"/>
  <c r="G15" i="69"/>
  <c r="H15" i="69"/>
  <c r="G16" i="69"/>
  <c r="H16" i="69"/>
  <c r="G17" i="69"/>
  <c r="H17" i="69"/>
  <c r="G18" i="69"/>
  <c r="H18" i="69"/>
  <c r="G10" i="69"/>
  <c r="H10" i="69"/>
  <c r="I3" i="68"/>
  <c r="H16" i="68"/>
  <c r="H15" i="68"/>
  <c r="H13" i="68"/>
  <c r="H11" i="68"/>
  <c r="J17" i="55"/>
  <c r="J21" i="55"/>
  <c r="J22" i="55"/>
  <c r="J26" i="55"/>
  <c r="J27" i="55"/>
  <c r="J30" i="55"/>
  <c r="J32" i="55"/>
  <c r="J33" i="55"/>
  <c r="J34" i="55"/>
  <c r="J37" i="55"/>
  <c r="J39" i="55"/>
  <c r="J40" i="55"/>
  <c r="J41" i="55"/>
  <c r="J42" i="55"/>
  <c r="J47" i="55"/>
  <c r="J48" i="55"/>
  <c r="H50" i="55"/>
  <c r="J50" i="55"/>
  <c r="H51" i="55"/>
  <c r="H52" i="55"/>
  <c r="J52" i="55"/>
  <c r="H53" i="55"/>
  <c r="J53" i="55"/>
  <c r="H57" i="55"/>
  <c r="J57" i="55"/>
  <c r="H58" i="55"/>
  <c r="J58" i="55"/>
  <c r="J60" i="55"/>
  <c r="J61" i="55"/>
  <c r="H65" i="55"/>
  <c r="J65" i="55"/>
  <c r="H68" i="55"/>
  <c r="J68" i="55"/>
  <c r="J71" i="55"/>
  <c r="J72" i="55"/>
  <c r="J73" i="55"/>
  <c r="J91" i="55"/>
  <c r="J92" i="55"/>
  <c r="J93" i="55"/>
  <c r="J94" i="55"/>
  <c r="J95" i="55"/>
  <c r="J96" i="55"/>
  <c r="J97" i="55"/>
  <c r="J98" i="55"/>
  <c r="J99" i="55"/>
  <c r="H101" i="55"/>
  <c r="J101" i="55"/>
  <c r="H102" i="55"/>
  <c r="J102" i="55"/>
  <c r="J103" i="55"/>
  <c r="J104" i="55"/>
  <c r="J105" i="55"/>
  <c r="J106" i="55"/>
  <c r="H107" i="55"/>
  <c r="H109" i="55"/>
  <c r="J109" i="55"/>
  <c r="H110" i="55"/>
  <c r="J110" i="55"/>
  <c r="J113" i="55"/>
  <c r="J114" i="55"/>
  <c r="J118" i="55"/>
  <c r="J119" i="55"/>
  <c r="J121" i="55"/>
  <c r="J122" i="55"/>
  <c r="J125" i="55"/>
  <c r="J126" i="55"/>
  <c r="H130" i="55"/>
  <c r="J130" i="55"/>
  <c r="J144" i="55"/>
  <c r="J145" i="55"/>
  <c r="H147" i="55"/>
  <c r="J147" i="55"/>
  <c r="H148" i="55"/>
  <c r="J148" i="55"/>
  <c r="J159" i="55"/>
  <c r="J161" i="55"/>
  <c r="J163" i="55"/>
  <c r="J175" i="55"/>
  <c r="J229" i="55"/>
  <c r="J233" i="55"/>
  <c r="J235" i="55"/>
  <c r="J293" i="55"/>
  <c r="J306" i="55"/>
  <c r="J304" i="55"/>
  <c r="J311" i="55"/>
  <c r="J334" i="55"/>
  <c r="J336" i="55"/>
  <c r="J341" i="55"/>
  <c r="J342" i="55"/>
  <c r="J343" i="55"/>
  <c r="J344" i="55"/>
  <c r="J345" i="55"/>
  <c r="J346" i="55"/>
  <c r="J347" i="55"/>
  <c r="J349" i="55"/>
  <c r="J350" i="55"/>
  <c r="J351" i="55"/>
  <c r="H380" i="55"/>
  <c r="H381" i="55"/>
  <c r="H382" i="55"/>
  <c r="J386" i="55"/>
  <c r="J387" i="55"/>
  <c r="H403" i="55"/>
  <c r="H404" i="55"/>
  <c r="H405" i="55"/>
  <c r="H406" i="55"/>
  <c r="H408" i="55"/>
  <c r="J408" i="55"/>
  <c r="H409" i="55"/>
  <c r="J409" i="55"/>
  <c r="H410" i="55"/>
  <c r="J410" i="55"/>
  <c r="H411" i="55"/>
  <c r="J411" i="55"/>
  <c r="H418" i="55"/>
  <c r="J418" i="55"/>
  <c r="H419" i="55"/>
  <c r="J419" i="55"/>
  <c r="H420" i="55"/>
  <c r="J420" i="55"/>
  <c r="H421" i="55"/>
  <c r="J421" i="55"/>
  <c r="H429" i="55"/>
  <c r="J429" i="55"/>
  <c r="J431" i="55"/>
  <c r="H481" i="55"/>
  <c r="J481" i="55"/>
  <c r="H482" i="55"/>
  <c r="J482" i="55"/>
  <c r="H483" i="55"/>
  <c r="J483" i="55"/>
  <c r="H484" i="55"/>
  <c r="J484" i="55"/>
  <c r="H485" i="55"/>
  <c r="J485" i="55"/>
  <c r="H486" i="55"/>
  <c r="J486" i="55"/>
  <c r="H487" i="55"/>
  <c r="J487" i="55"/>
  <c r="H488" i="55"/>
  <c r="J488" i="55"/>
  <c r="H489" i="55"/>
  <c r="J489" i="55"/>
  <c r="H490" i="55"/>
  <c r="J490" i="55"/>
  <c r="H491" i="55"/>
  <c r="J491" i="55"/>
  <c r="H493" i="55"/>
  <c r="J493" i="55"/>
  <c r="H494" i="55"/>
  <c r="J494" i="55"/>
  <c r="H502" i="55"/>
  <c r="J502" i="55"/>
  <c r="H504" i="55"/>
  <c r="J504" i="55"/>
  <c r="H509" i="55"/>
  <c r="J509" i="55"/>
  <c r="H510" i="55"/>
  <c r="J510" i="55"/>
  <c r="H512" i="55"/>
  <c r="J512" i="55"/>
  <c r="H513" i="55"/>
  <c r="J513" i="55"/>
  <c r="H514" i="55"/>
  <c r="J514" i="55"/>
  <c r="H515" i="55"/>
  <c r="J515" i="55"/>
  <c r="H516" i="55"/>
  <c r="J516" i="55"/>
  <c r="H517" i="55"/>
  <c r="J517" i="55"/>
  <c r="H518" i="55"/>
  <c r="J518" i="55"/>
  <c r="H519" i="55"/>
  <c r="J519" i="55"/>
  <c r="H520" i="55"/>
  <c r="J520" i="55"/>
  <c r="H522" i="55"/>
  <c r="J522" i="55"/>
  <c r="H525" i="55"/>
  <c r="J525" i="55"/>
  <c r="H532" i="55"/>
  <c r="J532" i="55"/>
  <c r="H533" i="55"/>
  <c r="J533" i="55"/>
  <c r="H534" i="55"/>
  <c r="J534" i="55"/>
  <c r="H535" i="55"/>
  <c r="J535" i="55"/>
  <c r="H536" i="55"/>
  <c r="J536" i="55"/>
  <c r="H537" i="55"/>
  <c r="J537" i="55"/>
  <c r="J563" i="55"/>
  <c r="J564" i="55"/>
  <c r="J565" i="55"/>
  <c r="J567" i="55"/>
  <c r="H569" i="55"/>
  <c r="J569" i="55"/>
  <c r="H573" i="55"/>
  <c r="J588" i="55"/>
  <c r="J590" i="55"/>
  <c r="H595" i="55"/>
  <c r="J595" i="55"/>
  <c r="H596" i="55"/>
  <c r="J596" i="55"/>
  <c r="H598" i="55"/>
  <c r="J598" i="55"/>
  <c r="H600" i="55"/>
  <c r="J600" i="55"/>
  <c r="H601" i="55"/>
  <c r="J601" i="55"/>
  <c r="H617" i="55"/>
  <c r="J617" i="55"/>
  <c r="H619" i="55"/>
  <c r="J619" i="55"/>
  <c r="H621" i="55"/>
  <c r="J621" i="55"/>
  <c r="H622" i="55"/>
  <c r="J622" i="55"/>
  <c r="J629" i="55"/>
  <c r="H645" i="55"/>
  <c r="J645" i="55"/>
  <c r="H649" i="55"/>
  <c r="J649" i="55"/>
  <c r="H651" i="55"/>
  <c r="J651" i="55"/>
  <c r="H654" i="55"/>
  <c r="J654" i="55"/>
  <c r="J655" i="55"/>
  <c r="H658" i="55"/>
  <c r="J658" i="55"/>
  <c r="J662" i="55"/>
  <c r="J664" i="55"/>
  <c r="J706" i="55"/>
  <c r="J707" i="55"/>
  <c r="J712" i="55"/>
  <c r="J713" i="55"/>
  <c r="J716" i="55"/>
  <c r="J717" i="55"/>
  <c r="J718" i="55"/>
  <c r="J719" i="55"/>
  <c r="J720" i="55"/>
  <c r="J721" i="55"/>
  <c r="J722" i="55"/>
  <c r="J723" i="55"/>
  <c r="J724" i="55"/>
  <c r="J725" i="55"/>
  <c r="J726" i="55"/>
  <c r="J727" i="55"/>
  <c r="J728" i="55"/>
  <c r="J729" i="55"/>
  <c r="J730" i="55"/>
  <c r="J731" i="55"/>
  <c r="J732" i="55"/>
  <c r="J733" i="55"/>
  <c r="J734" i="55"/>
  <c r="J735" i="55"/>
  <c r="J737" i="55"/>
  <c r="H739" i="55"/>
  <c r="J739" i="55"/>
  <c r="H740" i="55"/>
  <c r="J740" i="55"/>
  <c r="H765" i="55"/>
  <c r="H767" i="55"/>
  <c r="J767" i="55"/>
  <c r="H769" i="55"/>
  <c r="J769" i="55"/>
  <c r="J770" i="55"/>
  <c r="H771" i="55"/>
  <c r="J771" i="55"/>
  <c r="J773" i="55"/>
  <c r="J15" i="55"/>
  <c r="J17" i="54"/>
  <c r="J18" i="54"/>
  <c r="J20" i="54"/>
  <c r="J21" i="54"/>
  <c r="J22" i="54"/>
  <c r="J23" i="54"/>
  <c r="J30" i="54"/>
  <c r="J31" i="54"/>
  <c r="J32" i="54"/>
  <c r="J36" i="54"/>
  <c r="J37" i="54"/>
  <c r="H39" i="54"/>
  <c r="I39" i="54"/>
  <c r="J39" i="54"/>
  <c r="J51" i="54"/>
  <c r="J52" i="54"/>
  <c r="J53" i="54"/>
  <c r="J54" i="54"/>
  <c r="J55" i="54"/>
  <c r="J56" i="54"/>
  <c r="J58" i="54"/>
  <c r="J60" i="54"/>
  <c r="J65" i="54"/>
  <c r="J71" i="54"/>
  <c r="J69" i="54"/>
  <c r="J73" i="54"/>
  <c r="J75" i="54"/>
  <c r="J84" i="54"/>
  <c r="J86" i="54"/>
  <c r="H88" i="54"/>
  <c r="I88" i="54"/>
  <c r="J88" i="54"/>
  <c r="J95" i="54"/>
  <c r="J96" i="54"/>
  <c r="J97" i="54"/>
  <c r="J98" i="54"/>
  <c r="J99" i="54"/>
  <c r="J100" i="54"/>
  <c r="J101" i="54"/>
  <c r="H123" i="54"/>
  <c r="H124" i="54"/>
  <c r="H125" i="54"/>
  <c r="H128" i="54"/>
  <c r="H130" i="54"/>
  <c r="I130" i="54"/>
  <c r="J130" i="54"/>
  <c r="H131" i="54"/>
  <c r="I131" i="54"/>
  <c r="J131" i="54"/>
  <c r="H132" i="54"/>
  <c r="I132" i="54"/>
  <c r="J132" i="54"/>
  <c r="H134" i="54"/>
  <c r="I134" i="54"/>
  <c r="J134" i="54"/>
  <c r="H135" i="54"/>
  <c r="I135" i="54"/>
  <c r="J135" i="54"/>
  <c r="H136" i="54"/>
  <c r="I136" i="54"/>
  <c r="J136" i="54"/>
  <c r="H137" i="54"/>
  <c r="I137" i="54"/>
  <c r="J137" i="54"/>
  <c r="H138" i="54"/>
  <c r="I138" i="54"/>
  <c r="J138" i="54"/>
  <c r="H140" i="54"/>
  <c r="I140" i="54"/>
  <c r="J140" i="54"/>
  <c r="H141" i="54"/>
  <c r="I141" i="54"/>
  <c r="J141" i="54"/>
  <c r="H142" i="54"/>
  <c r="I142" i="54"/>
  <c r="J142" i="54"/>
  <c r="H143" i="54"/>
  <c r="I143" i="54"/>
  <c r="J143" i="54"/>
  <c r="J149" i="54"/>
  <c r="J151" i="54"/>
  <c r="J155" i="54"/>
  <c r="J156" i="54"/>
  <c r="J157" i="54"/>
  <c r="H160" i="54"/>
  <c r="I160" i="54"/>
  <c r="J160" i="54"/>
  <c r="H161" i="54"/>
  <c r="I161" i="54"/>
  <c r="J161" i="54"/>
  <c r="H163" i="54"/>
  <c r="I163" i="54"/>
  <c r="J163" i="54"/>
  <c r="H164" i="54"/>
  <c r="I164" i="54"/>
  <c r="J164" i="54"/>
  <c r="H166" i="54"/>
  <c r="I166" i="54"/>
  <c r="J166" i="54"/>
  <c r="H167" i="54"/>
  <c r="I167" i="54"/>
  <c r="J167" i="54"/>
  <c r="H178" i="54"/>
  <c r="I178" i="54"/>
  <c r="J178" i="54"/>
  <c r="H180" i="54"/>
  <c r="I180" i="54"/>
  <c r="J180" i="54"/>
  <c r="H182" i="54"/>
  <c r="I182" i="54"/>
  <c r="J182" i="54"/>
  <c r="H184" i="54"/>
  <c r="I184" i="54"/>
  <c r="J184" i="54"/>
  <c r="H192" i="54"/>
  <c r="I192" i="54"/>
  <c r="J192" i="54"/>
  <c r="H197" i="54"/>
  <c r="I197" i="54"/>
  <c r="J197" i="54"/>
  <c r="H198" i="54"/>
  <c r="I198" i="54"/>
  <c r="J198" i="54"/>
  <c r="H199" i="54"/>
  <c r="I199" i="54"/>
  <c r="J199" i="54"/>
  <c r="H201" i="54"/>
  <c r="I201" i="54"/>
  <c r="J201" i="54"/>
  <c r="J202" i="54"/>
  <c r="H203" i="54"/>
  <c r="I203" i="54"/>
  <c r="J203" i="54"/>
  <c r="H205" i="54"/>
  <c r="I205" i="54"/>
  <c r="J205" i="54"/>
  <c r="H207" i="54"/>
  <c r="I207" i="54"/>
  <c r="J207" i="54"/>
  <c r="J15" i="54"/>
  <c r="K15" i="18"/>
  <c r="K18" i="18"/>
  <c r="K21" i="18"/>
  <c r="K23" i="18"/>
  <c r="K24" i="18"/>
  <c r="K26" i="18"/>
  <c r="K28" i="18"/>
  <c r="K29" i="18"/>
  <c r="K30" i="18"/>
  <c r="K31" i="18"/>
  <c r="K32" i="18"/>
  <c r="K33" i="18"/>
  <c r="K35" i="18"/>
  <c r="K37" i="18"/>
  <c r="K38" i="18"/>
  <c r="K40" i="18"/>
  <c r="K41" i="18"/>
  <c r="K43" i="18"/>
  <c r="K46" i="18"/>
  <c r="K47" i="18"/>
  <c r="K48" i="18"/>
  <c r="K51" i="18"/>
  <c r="K52" i="18"/>
  <c r="K53" i="18"/>
  <c r="K54" i="18"/>
  <c r="K55" i="18"/>
  <c r="K56" i="18"/>
  <c r="K57" i="18"/>
  <c r="K61" i="18"/>
  <c r="K63" i="18"/>
  <c r="K64" i="18"/>
  <c r="K65" i="18"/>
  <c r="K66" i="18"/>
  <c r="K67" i="18"/>
  <c r="K72" i="18"/>
  <c r="K74" i="18"/>
  <c r="K77" i="18"/>
  <c r="K79" i="18"/>
  <c r="K80" i="18"/>
  <c r="K85" i="18"/>
  <c r="K87" i="18"/>
  <c r="K88" i="18"/>
  <c r="K90" i="18"/>
  <c r="K92" i="18"/>
  <c r="K93" i="18"/>
  <c r="K97" i="18"/>
  <c r="K99" i="18"/>
  <c r="K100" i="18"/>
  <c r="K102" i="18"/>
  <c r="K104" i="18"/>
  <c r="K105" i="18"/>
  <c r="K107" i="18"/>
  <c r="K109" i="18"/>
  <c r="K110" i="18"/>
  <c r="K111" i="18"/>
  <c r="K113" i="18"/>
  <c r="K115" i="18"/>
  <c r="K116" i="18"/>
  <c r="K118" i="18"/>
  <c r="K120" i="18"/>
  <c r="K121" i="18"/>
  <c r="K124" i="18"/>
  <c r="K126" i="18"/>
  <c r="K127" i="18"/>
  <c r="K129" i="18"/>
  <c r="K138" i="18"/>
  <c r="K139" i="18"/>
  <c r="K141" i="18"/>
  <c r="I160" i="18"/>
  <c r="J160" i="18"/>
  <c r="K160" i="18"/>
  <c r="I161" i="18"/>
  <c r="J161" i="18"/>
  <c r="K161" i="18"/>
  <c r="I162" i="18"/>
  <c r="J162" i="18"/>
  <c r="K162" i="18"/>
  <c r="K14" i="18"/>
  <c r="I14" i="15"/>
  <c r="J14" i="15"/>
  <c r="K14" i="15"/>
  <c r="I15" i="15"/>
  <c r="J15" i="15"/>
  <c r="K15" i="15"/>
  <c r="J16" i="15"/>
  <c r="I17" i="15"/>
  <c r="I20" i="15"/>
  <c r="J20" i="15"/>
  <c r="K20" i="15"/>
  <c r="I21" i="15"/>
  <c r="J21" i="15"/>
  <c r="K21" i="15"/>
  <c r="I22" i="15"/>
  <c r="J22" i="15"/>
  <c r="K22" i="15"/>
  <c r="I23" i="15"/>
  <c r="J23" i="15"/>
  <c r="K23" i="15"/>
  <c r="I24" i="15"/>
  <c r="J24" i="15"/>
  <c r="K24" i="15"/>
  <c r="I27" i="15"/>
  <c r="J27" i="15"/>
  <c r="K27" i="15"/>
  <c r="I28" i="15"/>
  <c r="J28" i="15"/>
  <c r="K28" i="15"/>
  <c r="I34" i="15"/>
  <c r="J34" i="15"/>
  <c r="K34" i="15"/>
  <c r="I35" i="15"/>
  <c r="J35" i="15"/>
  <c r="K35" i="15"/>
  <c r="K37" i="15"/>
  <c r="K38" i="15"/>
  <c r="I39" i="15"/>
  <c r="J39" i="15"/>
  <c r="K39" i="15"/>
  <c r="K40" i="15"/>
  <c r="K41" i="15"/>
  <c r="I42" i="15"/>
  <c r="J42" i="15"/>
  <c r="K42" i="15"/>
  <c r="I43" i="15"/>
  <c r="J43" i="15"/>
  <c r="K43" i="15"/>
  <c r="K44" i="15"/>
  <c r="K47" i="15"/>
  <c r="K49" i="15"/>
  <c r="K50" i="15"/>
  <c r="K53" i="15"/>
  <c r="K54" i="15"/>
  <c r="K55" i="15"/>
  <c r="K57" i="15"/>
  <c r="K58" i="15"/>
  <c r="K60" i="15"/>
  <c r="K62" i="15"/>
  <c r="K63" i="15"/>
  <c r="K66" i="15"/>
  <c r="K67" i="15"/>
  <c r="K68" i="15"/>
  <c r="K69" i="15"/>
  <c r="K70" i="15"/>
  <c r="K71" i="15"/>
  <c r="K72" i="15"/>
  <c r="I73" i="15"/>
  <c r="J73" i="15"/>
  <c r="K73" i="15"/>
  <c r="K74" i="15"/>
  <c r="K75" i="15"/>
  <c r="K77" i="15"/>
  <c r="K78" i="15"/>
  <c r="K79" i="15"/>
  <c r="K81" i="15"/>
  <c r="K82" i="15"/>
  <c r="K83" i="15"/>
  <c r="K84" i="15"/>
  <c r="K86" i="15"/>
  <c r="K88" i="15"/>
  <c r="K89" i="15"/>
  <c r="I90" i="15"/>
  <c r="K95" i="15"/>
  <c r="K96" i="15"/>
  <c r="K98" i="15"/>
  <c r="K99" i="15"/>
  <c r="K107" i="15"/>
  <c r="K108" i="15"/>
  <c r="K110" i="15"/>
  <c r="I111" i="15"/>
  <c r="J111" i="15"/>
  <c r="K111" i="15"/>
  <c r="K112" i="15"/>
  <c r="K114" i="15"/>
  <c r="K115" i="15"/>
  <c r="K117" i="15"/>
  <c r="K119" i="15"/>
  <c r="K121" i="15"/>
  <c r="I122" i="15"/>
  <c r="J122" i="15"/>
  <c r="K122" i="15"/>
  <c r="I123" i="15"/>
  <c r="J123" i="15"/>
  <c r="K123" i="15"/>
  <c r="I124" i="15"/>
  <c r="J124" i="15"/>
  <c r="K124" i="15"/>
  <c r="I125" i="15"/>
  <c r="J125" i="15"/>
  <c r="K125" i="15"/>
  <c r="K127" i="15"/>
  <c r="K128" i="15"/>
  <c r="K130" i="15"/>
  <c r="K132" i="15"/>
  <c r="K134" i="15"/>
  <c r="K136" i="15"/>
  <c r="K137" i="15"/>
  <c r="K138" i="15"/>
  <c r="K140" i="15"/>
  <c r="K141" i="15"/>
  <c r="K143" i="15"/>
  <c r="K144" i="15"/>
  <c r="K146" i="15"/>
  <c r="I147" i="15"/>
  <c r="J147" i="15"/>
  <c r="K147" i="15"/>
  <c r="K148" i="15"/>
  <c r="K149" i="15"/>
  <c r="K150" i="15"/>
  <c r="K152" i="15"/>
  <c r="I159" i="15"/>
  <c r="J159" i="15"/>
  <c r="K159" i="15"/>
  <c r="K160" i="15"/>
  <c r="K161" i="15"/>
  <c r="K162" i="15"/>
  <c r="K164" i="15"/>
  <c r="K166" i="15"/>
  <c r="K168" i="15"/>
  <c r="K169" i="15"/>
  <c r="K171" i="15"/>
  <c r="K174" i="15"/>
  <c r="K175" i="15"/>
  <c r="K176" i="15"/>
  <c r="K189" i="15"/>
  <c r="K191" i="15"/>
  <c r="K192" i="15"/>
  <c r="K193" i="15"/>
  <c r="K194" i="15"/>
  <c r="K198" i="15"/>
  <c r="K211" i="15"/>
  <c r="K213" i="15"/>
  <c r="K214" i="15"/>
  <c r="K215" i="15"/>
  <c r="K216" i="15"/>
  <c r="K220" i="15"/>
  <c r="K244" i="15"/>
  <c r="K245" i="15"/>
  <c r="I247" i="15"/>
  <c r="J247" i="15"/>
  <c r="K247" i="15"/>
  <c r="K248" i="15"/>
  <c r="K250" i="15"/>
  <c r="K251" i="15"/>
  <c r="K253" i="15"/>
  <c r="K255" i="15"/>
  <c r="K257" i="15"/>
  <c r="K259" i="15"/>
  <c r="I260" i="15"/>
  <c r="J260" i="15"/>
  <c r="K260" i="15"/>
  <c r="K262" i="15"/>
  <c r="I276" i="15"/>
  <c r="J276" i="15"/>
  <c r="K276" i="15"/>
  <c r="I277" i="15"/>
  <c r="J277" i="15"/>
  <c r="K277" i="15"/>
  <c r="I278" i="15"/>
  <c r="J278" i="15"/>
  <c r="K278" i="15"/>
  <c r="I13" i="15"/>
  <c r="K13" i="15"/>
  <c r="J13" i="15"/>
  <c r="L146" i="55" l="1"/>
  <c r="L176" i="54"/>
  <c r="L159" i="54"/>
  <c r="K198" i="54"/>
  <c r="I44" i="69"/>
  <c r="I48" i="69"/>
  <c r="I15" i="69"/>
  <c r="I41" i="69"/>
  <c r="I47" i="69"/>
  <c r="I12" i="69"/>
  <c r="I22" i="69"/>
  <c r="I31" i="69"/>
  <c r="I46" i="69"/>
  <c r="I29" i="69"/>
  <c r="I10" i="69"/>
  <c r="I17" i="69"/>
  <c r="I13" i="69"/>
  <c r="I19" i="68"/>
  <c r="I25" i="68"/>
  <c r="I27" i="68"/>
  <c r="I17" i="68"/>
  <c r="I24" i="68"/>
  <c r="K138" i="54"/>
  <c r="K143" i="54"/>
  <c r="K207" i="54"/>
  <c r="K167" i="54"/>
  <c r="K141" i="54"/>
  <c r="K39" i="54"/>
  <c r="K164" i="54"/>
  <c r="K88" i="54"/>
  <c r="K134" i="54"/>
  <c r="K130" i="54"/>
  <c r="K192" i="54"/>
  <c r="K184" i="54"/>
  <c r="K160" i="54"/>
  <c r="K140" i="54"/>
  <c r="K203" i="54"/>
  <c r="K513" i="55"/>
  <c r="K491" i="55"/>
  <c r="K408" i="55"/>
  <c r="K645" i="55"/>
  <c r="K512" i="55"/>
  <c r="K504" i="55"/>
  <c r="K485" i="55"/>
  <c r="K419" i="55"/>
  <c r="K482" i="55"/>
  <c r="K622" i="55"/>
  <c r="K50" i="55"/>
  <c r="K534" i="55"/>
  <c r="K519" i="55"/>
  <c r="K484" i="55"/>
  <c r="K418" i="55"/>
  <c r="K520" i="55"/>
  <c r="K518" i="55"/>
  <c r="K510" i="55"/>
  <c r="K502" i="55"/>
  <c r="K489" i="55"/>
  <c r="K481" i="55"/>
  <c r="K409" i="55"/>
  <c r="K486" i="55"/>
  <c r="K533" i="55"/>
  <c r="K483" i="55"/>
  <c r="K411" i="55"/>
  <c r="K515" i="55"/>
  <c r="K494" i="55"/>
  <c r="K532" i="55"/>
  <c r="K525" i="55"/>
  <c r="K490" i="55"/>
  <c r="K537" i="55"/>
  <c r="K514" i="55"/>
  <c r="K493" i="55"/>
  <c r="K487" i="55"/>
  <c r="K101" i="55"/>
  <c r="L162" i="18"/>
  <c r="L160" i="18"/>
  <c r="L13" i="15"/>
  <c r="L276" i="15"/>
  <c r="L27" i="15"/>
  <c r="L14" i="15"/>
  <c r="L111" i="15"/>
  <c r="L125" i="15"/>
  <c r="L43" i="15"/>
  <c r="L39" i="15"/>
  <c r="L35" i="15"/>
  <c r="L22" i="15"/>
  <c r="I18" i="69"/>
  <c r="I25" i="69"/>
  <c r="I33" i="69"/>
  <c r="I27" i="69"/>
  <c r="I35" i="69"/>
  <c r="I36" i="69"/>
  <c r="I43" i="69"/>
  <c r="I45" i="69"/>
  <c r="I23" i="69"/>
  <c r="I26" i="69"/>
  <c r="I30" i="69"/>
  <c r="I37" i="69"/>
  <c r="I21" i="69"/>
  <c r="I28" i="69"/>
  <c r="I16" i="69"/>
  <c r="I11" i="69"/>
  <c r="I14" i="69"/>
  <c r="I40" i="69"/>
  <c r="K147" i="55"/>
  <c r="K535" i="55"/>
  <c r="K420" i="55"/>
  <c r="K53" i="55"/>
  <c r="K595" i="55"/>
  <c r="K516" i="55"/>
  <c r="K771" i="55"/>
  <c r="K598" i="55"/>
  <c r="K102" i="55"/>
  <c r="K57" i="55"/>
  <c r="K649" i="55"/>
  <c r="K109" i="55"/>
  <c r="K619" i="55"/>
  <c r="K739" i="55"/>
  <c r="K410" i="55"/>
  <c r="K569" i="55"/>
  <c r="K52" i="55"/>
  <c r="K767" i="55"/>
  <c r="K769" i="55"/>
  <c r="K740" i="55"/>
  <c r="K429" i="55"/>
  <c r="K658" i="55"/>
  <c r="K621" i="55"/>
  <c r="K596" i="55"/>
  <c r="K601" i="55"/>
  <c r="K130" i="55"/>
  <c r="K148" i="55"/>
  <c r="K68" i="55"/>
  <c r="K110" i="55"/>
  <c r="K65" i="55"/>
  <c r="K58" i="55"/>
  <c r="K536" i="55"/>
  <c r="K517" i="55"/>
  <c r="K600" i="55"/>
  <c r="K522" i="55"/>
  <c r="K488" i="55"/>
  <c r="K421" i="55"/>
  <c r="K651" i="55"/>
  <c r="K617" i="55"/>
  <c r="K509" i="55"/>
  <c r="K654" i="55"/>
  <c r="K199" i="54"/>
  <c r="K163" i="54"/>
  <c r="K136" i="54"/>
  <c r="K131" i="54"/>
  <c r="K180" i="54"/>
  <c r="K132" i="54"/>
  <c r="K201" i="54"/>
  <c r="K178" i="54"/>
  <c r="K161" i="54"/>
  <c r="K142" i="54"/>
  <c r="K205" i="54"/>
  <c r="K182" i="54"/>
  <c r="K166" i="54"/>
  <c r="K135" i="54"/>
  <c r="K197" i="54"/>
  <c r="K137" i="54"/>
  <c r="L161" i="18"/>
  <c r="L159" i="15"/>
  <c r="L15" i="15"/>
  <c r="L277" i="15"/>
  <c r="L23" i="15"/>
  <c r="L42" i="15"/>
  <c r="L34" i="15"/>
  <c r="L21" i="15"/>
  <c r="L122" i="15"/>
  <c r="L260" i="15"/>
  <c r="L124" i="15"/>
  <c r="L20" i="15"/>
  <c r="L278" i="15"/>
  <c r="L247" i="15"/>
  <c r="L147" i="15"/>
  <c r="L123" i="15"/>
  <c r="L73" i="15"/>
  <c r="L28" i="15"/>
  <c r="L24" i="15"/>
  <c r="K65" i="15" l="1"/>
  <c r="K90" i="15" l="1"/>
  <c r="J90" i="15"/>
  <c r="J581" i="55"/>
  <c r="L90" i="15" l="1"/>
  <c r="I9" i="69" l="1"/>
  <c r="I16" i="68"/>
  <c r="I15" i="68"/>
  <c r="J14" i="68" s="1"/>
  <c r="I13" i="68"/>
  <c r="I9" i="68"/>
  <c r="I11" i="68"/>
  <c r="J10" i="68" s="1"/>
  <c r="I42" i="69" l="1"/>
  <c r="I19" i="69"/>
  <c r="H588" i="55" l="1"/>
  <c r="H590" i="55"/>
  <c r="K590" i="55" l="1"/>
  <c r="K588" i="55"/>
  <c r="A14" i="9" l="1"/>
  <c r="A45" i="9" s="1"/>
  <c r="A13" i="3"/>
  <c r="A25" i="3" s="1"/>
  <c r="A33" i="3" l="1"/>
  <c r="A34" i="3" s="1"/>
  <c r="A35" i="3" s="1"/>
  <c r="A26" i="3"/>
  <c r="A27" i="3" s="1"/>
  <c r="A28" i="3" s="1"/>
  <c r="A29" i="3" s="1"/>
  <c r="A30" i="3" s="1"/>
  <c r="A31" i="3" s="1"/>
  <c r="A32" i="3" s="1"/>
  <c r="A14" i="3"/>
  <c r="A15" i="3" s="1"/>
  <c r="A16" i="3" s="1"/>
  <c r="A17" i="3" s="1"/>
  <c r="A18" i="3" s="1"/>
  <c r="A20" i="3" s="1"/>
  <c r="A21" i="3" s="1"/>
  <c r="A22" i="3" s="1"/>
  <c r="A23" i="3" s="1"/>
  <c r="A24" i="3" s="1"/>
  <c r="J107" i="55" l="1"/>
  <c r="H629" i="55"/>
  <c r="K107" i="55" l="1"/>
  <c r="K629" i="55"/>
  <c r="J225" i="55" l="1"/>
  <c r="F6" i="45"/>
  <c r="F5" i="45"/>
  <c r="I712" i="55"/>
  <c r="J633" i="55"/>
  <c r="J632" i="55"/>
  <c r="J631" i="55"/>
  <c r="J587" i="55"/>
  <c r="J580" i="55"/>
  <c r="J356" i="55"/>
  <c r="J355" i="55"/>
  <c r="J354" i="55"/>
  <c r="J223" i="55"/>
  <c r="I119" i="55"/>
  <c r="J28" i="55"/>
  <c r="J25" i="55"/>
  <c r="J18" i="55"/>
  <c r="J16" i="55"/>
  <c r="K14" i="55"/>
  <c r="J14" i="55"/>
  <c r="I14" i="55"/>
  <c r="H14" i="55"/>
  <c r="K13" i="55"/>
  <c r="J13" i="55"/>
  <c r="I13" i="55"/>
  <c r="H13" i="55"/>
  <c r="K12" i="55"/>
  <c r="J12" i="55"/>
  <c r="I12" i="55"/>
  <c r="H12" i="55"/>
  <c r="B12" i="55"/>
  <c r="B89" i="55" s="1"/>
  <c r="B90" i="55" s="1"/>
  <c r="B91" i="55" s="1"/>
  <c r="B92" i="55" s="1"/>
  <c r="B93" i="55" s="1"/>
  <c r="B94" i="55" s="1"/>
  <c r="B95" i="55" s="1"/>
  <c r="B96" i="55" s="1"/>
  <c r="B97" i="55" s="1"/>
  <c r="B98" i="55" s="1"/>
  <c r="B99" i="55" s="1"/>
  <c r="C11" i="55"/>
  <c r="C8" i="55"/>
  <c r="C5" i="55"/>
  <c r="A200" i="54"/>
  <c r="J173" i="54"/>
  <c r="J171" i="54"/>
  <c r="J105" i="54"/>
  <c r="J104" i="54"/>
  <c r="K14" i="54"/>
  <c r="J14" i="54"/>
  <c r="I14" i="54"/>
  <c r="H14" i="54"/>
  <c r="K13" i="54"/>
  <c r="J13" i="54"/>
  <c r="I13" i="54"/>
  <c r="H13" i="54"/>
  <c r="K12" i="54"/>
  <c r="J12" i="54"/>
  <c r="I12" i="54"/>
  <c r="H12" i="54"/>
  <c r="B12" i="54"/>
  <c r="B13" i="54" s="1"/>
  <c r="B40" i="54" s="1"/>
  <c r="C11" i="54"/>
  <c r="C8" i="54"/>
  <c r="C5" i="54"/>
  <c r="L13" i="18"/>
  <c r="K13" i="18"/>
  <c r="J13" i="18"/>
  <c r="I13" i="18"/>
  <c r="L12" i="18"/>
  <c r="I12" i="18"/>
  <c r="C12" i="18"/>
  <c r="C136" i="18" s="1"/>
  <c r="C153" i="18" s="1"/>
  <c r="D11" i="18"/>
  <c r="D8" i="18"/>
  <c r="D7" i="18"/>
  <c r="D6" i="18"/>
  <c r="D5" i="18"/>
  <c r="D4" i="18"/>
  <c r="L12" i="15"/>
  <c r="K12" i="15"/>
  <c r="J12" i="15"/>
  <c r="I12" i="15"/>
  <c r="C12" i="15"/>
  <c r="C13" i="15" s="1"/>
  <c r="C14" i="15" s="1"/>
  <c r="C15" i="15" s="1"/>
  <c r="C16" i="15" s="1"/>
  <c r="C17" i="15" s="1"/>
  <c r="D11" i="15"/>
  <c r="D8" i="15"/>
  <c r="D5" i="15"/>
  <c r="B112" i="3"/>
  <c r="B111" i="3"/>
  <c r="B110" i="3"/>
  <c r="B109" i="3"/>
  <c r="B108" i="3"/>
  <c r="B107" i="3"/>
  <c r="B105" i="3"/>
  <c r="B104" i="3"/>
  <c r="B103" i="3"/>
  <c r="B102" i="3"/>
  <c r="B99" i="3"/>
  <c r="B98" i="3"/>
  <c r="B97" i="3"/>
  <c r="B96" i="3"/>
  <c r="H88" i="3"/>
  <c r="H87" i="3"/>
  <c r="H86" i="3"/>
  <c r="H82" i="3"/>
  <c r="H81" i="3"/>
  <c r="H77" i="3"/>
  <c r="H70" i="3"/>
  <c r="H69" i="3"/>
  <c r="B63" i="3"/>
  <c r="B62" i="3"/>
  <c r="B61" i="3"/>
  <c r="B60" i="3"/>
  <c r="B59" i="3"/>
  <c r="B58" i="3"/>
  <c r="B56" i="3"/>
  <c r="B55" i="3"/>
  <c r="B54" i="3"/>
  <c r="B53" i="3"/>
  <c r="B47" i="3"/>
  <c r="B46" i="3"/>
  <c r="B44" i="3"/>
  <c r="B43" i="3"/>
  <c r="B42" i="3"/>
  <c r="B41" i="3"/>
  <c r="B39" i="3"/>
  <c r="B38" i="3"/>
  <c r="B37" i="3"/>
  <c r="B36" i="3"/>
  <c r="B8" i="3"/>
  <c r="B7" i="3"/>
  <c r="B6" i="3"/>
  <c r="B5" i="3"/>
  <c r="B4" i="3"/>
  <c r="A12" i="24"/>
  <c r="A13" i="24" s="1"/>
  <c r="A14" i="24" s="1"/>
  <c r="A15" i="24" s="1"/>
  <c r="A16" i="24" s="1"/>
  <c r="A17" i="24" s="1"/>
  <c r="A18" i="24" s="1"/>
  <c r="A19" i="24" s="1"/>
  <c r="A20" i="24" s="1"/>
  <c r="F15" i="24"/>
  <c r="B8" i="24"/>
  <c r="B7" i="24"/>
  <c r="B6" i="24"/>
  <c r="B5" i="24"/>
  <c r="B4" i="24"/>
  <c r="G164" i="9"/>
  <c r="G151" i="9"/>
  <c r="G148" i="9"/>
  <c r="G134" i="9"/>
  <c r="G133" i="9"/>
  <c r="G132" i="9"/>
  <c r="G128" i="9"/>
  <c r="G124" i="9"/>
  <c r="G123" i="9"/>
  <c r="G116" i="9"/>
  <c r="G115" i="9"/>
  <c r="G111" i="9"/>
  <c r="G110" i="9"/>
  <c r="G104" i="9"/>
  <c r="G103" i="9"/>
  <c r="H103" i="9"/>
  <c r="J103" i="9" s="1"/>
  <c r="G101" i="9"/>
  <c r="G97" i="9"/>
  <c r="G90" i="9"/>
  <c r="G89" i="9"/>
  <c r="G88" i="9"/>
  <c r="G86" i="9"/>
  <c r="G85" i="9"/>
  <c r="G84" i="9"/>
  <c r="G83" i="9"/>
  <c r="G82" i="9"/>
  <c r="G81" i="9"/>
  <c r="G80" i="9"/>
  <c r="G79" i="9"/>
  <c r="G78" i="9"/>
  <c r="G77" i="9"/>
  <c r="G76" i="9"/>
  <c r="G75" i="9"/>
  <c r="G74" i="9"/>
  <c r="G68" i="9"/>
  <c r="G67" i="9"/>
  <c r="G66" i="9"/>
  <c r="G65" i="9"/>
  <c r="G64" i="9"/>
  <c r="G63" i="9"/>
  <c r="G61" i="9"/>
  <c r="G60" i="9"/>
  <c r="G59" i="9"/>
  <c r="G58" i="9"/>
  <c r="G57" i="9"/>
  <c r="G54" i="9"/>
  <c r="G46" i="9"/>
  <c r="G44" i="9"/>
  <c r="G42" i="9"/>
  <c r="G28" i="9"/>
  <c r="G22" i="9"/>
  <c r="J14" i="9"/>
  <c r="I14" i="9"/>
  <c r="H14" i="9"/>
  <c r="G14" i="9"/>
  <c r="A15" i="9"/>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B8" i="9"/>
  <c r="B7" i="9"/>
  <c r="B6" i="9"/>
  <c r="B5" i="9"/>
  <c r="B4" i="9"/>
  <c r="H14" i="3" l="1"/>
  <c r="H23" i="3"/>
  <c r="H21" i="3"/>
  <c r="H24" i="3"/>
  <c r="H18" i="3"/>
  <c r="H27" i="3"/>
  <c r="H20" i="3"/>
  <c r="L738" i="55"/>
  <c r="L407" i="55"/>
  <c r="I317" i="55"/>
  <c r="I330" i="55"/>
  <c r="I313" i="55"/>
  <c r="I308" i="55"/>
  <c r="I302" i="55"/>
  <c r="J274" i="55"/>
  <c r="I274" i="55"/>
  <c r="J269" i="55"/>
  <c r="J287" i="55"/>
  <c r="I269" i="55"/>
  <c r="I287" i="55"/>
  <c r="J272" i="55"/>
  <c r="J257" i="55"/>
  <c r="I272" i="55"/>
  <c r="J279" i="55"/>
  <c r="I279" i="55"/>
  <c r="I240" i="55"/>
  <c r="J249" i="55"/>
  <c r="J240" i="55"/>
  <c r="I252" i="55"/>
  <c r="J252" i="55"/>
  <c r="J216" i="55"/>
  <c r="J211" i="55"/>
  <c r="J213" i="55"/>
  <c r="J219" i="55"/>
  <c r="I219" i="55"/>
  <c r="J220" i="55"/>
  <c r="I220" i="55"/>
  <c r="I213" i="55"/>
  <c r="I211" i="55"/>
  <c r="I216" i="55"/>
  <c r="J208" i="55"/>
  <c r="J209" i="55"/>
  <c r="I209" i="55"/>
  <c r="I208" i="55"/>
  <c r="J198" i="55"/>
  <c r="J202" i="55"/>
  <c r="I201" i="55"/>
  <c r="J201" i="55"/>
  <c r="I202" i="55"/>
  <c r="I198" i="55"/>
  <c r="I184" i="55"/>
  <c r="I187" i="55"/>
  <c r="I188" i="55"/>
  <c r="I173" i="55"/>
  <c r="J168" i="55"/>
  <c r="I168" i="55"/>
  <c r="J231" i="55"/>
  <c r="I140" i="55"/>
  <c r="I388" i="55"/>
  <c r="I394" i="55"/>
  <c r="I393" i="55"/>
  <c r="I397" i="55"/>
  <c r="I398" i="55"/>
  <c r="I392" i="55"/>
  <c r="I396" i="55"/>
  <c r="I391" i="55"/>
  <c r="I395" i="55"/>
  <c r="I358" i="55"/>
  <c r="I357" i="55"/>
  <c r="I359" i="55"/>
  <c r="J754" i="55"/>
  <c r="J753" i="55"/>
  <c r="I754" i="55"/>
  <c r="I710" i="55"/>
  <c r="I736" i="55"/>
  <c r="I709" i="55"/>
  <c r="I701" i="55"/>
  <c r="I715" i="55"/>
  <c r="B41" i="54"/>
  <c r="B46" i="54"/>
  <c r="B47" i="54" s="1"/>
  <c r="B48" i="54" s="1"/>
  <c r="B49" i="54" s="1"/>
  <c r="C158" i="18"/>
  <c r="C159" i="18" s="1"/>
  <c r="C160" i="18" s="1"/>
  <c r="C161" i="18" s="1"/>
  <c r="C162" i="18" s="1"/>
  <c r="C154" i="18"/>
  <c r="C155" i="18" s="1"/>
  <c r="F22" i="24"/>
  <c r="I57" i="9"/>
  <c r="J57" i="9" s="1"/>
  <c r="H53" i="9"/>
  <c r="J53" i="9" s="1"/>
  <c r="H167" i="9"/>
  <c r="J167" i="9" s="1"/>
  <c r="H168" i="9"/>
  <c r="J168" i="9" s="1"/>
  <c r="G3" i="45"/>
  <c r="H166" i="9"/>
  <c r="J166" i="9" s="1"/>
  <c r="H169" i="9"/>
  <c r="J169" i="9" s="1"/>
  <c r="I95" i="9"/>
  <c r="J95" i="9" s="1"/>
  <c r="G96" i="9"/>
  <c r="I96" i="9"/>
  <c r="J96" i="9" s="1"/>
  <c r="I150" i="9"/>
  <c r="H150" i="9"/>
  <c r="H48" i="9"/>
  <c r="H55" i="9"/>
  <c r="J55" i="9" s="1"/>
  <c r="H56" i="9"/>
  <c r="I56" i="9"/>
  <c r="H16" i="9"/>
  <c r="I16" i="9"/>
  <c r="H49" i="9"/>
  <c r="H100" i="9"/>
  <c r="J100" i="9" s="1"/>
  <c r="I28" i="9"/>
  <c r="J28" i="9" s="1"/>
  <c r="H43" i="9"/>
  <c r="J43" i="9" s="1"/>
  <c r="I136" i="9"/>
  <c r="H136" i="9"/>
  <c r="H52" i="9"/>
  <c r="I52" i="9"/>
  <c r="H135" i="9"/>
  <c r="I135" i="9"/>
  <c r="J147" i="54"/>
  <c r="H86" i="54"/>
  <c r="I86" i="54"/>
  <c r="K86" i="54" s="1"/>
  <c r="I84" i="54"/>
  <c r="H84" i="54"/>
  <c r="H500" i="55"/>
  <c r="J500" i="55"/>
  <c r="K500" i="55" s="1"/>
  <c r="J526" i="55"/>
  <c r="K526" i="55" s="1"/>
  <c r="H526" i="55"/>
  <c r="J573" i="55"/>
  <c r="H497" i="55"/>
  <c r="J497" i="55"/>
  <c r="J538" i="55"/>
  <c r="K538" i="55" s="1"/>
  <c r="H538" i="55"/>
  <c r="J492" i="55"/>
  <c r="H492" i="55"/>
  <c r="H501" i="55"/>
  <c r="J501" i="55"/>
  <c r="K501" i="55" s="1"/>
  <c r="H527" i="55"/>
  <c r="J527" i="55"/>
  <c r="K527" i="55" s="1"/>
  <c r="J495" i="55"/>
  <c r="K495" i="55" s="1"/>
  <c r="H495" i="55"/>
  <c r="H503" i="55"/>
  <c r="J503" i="55"/>
  <c r="K503" i="55" s="1"/>
  <c r="H528" i="55"/>
  <c r="J528" i="55"/>
  <c r="K528" i="55" s="1"/>
  <c r="J382" i="55"/>
  <c r="H464" i="55"/>
  <c r="J464" i="55"/>
  <c r="J51" i="55"/>
  <c r="H655" i="55"/>
  <c r="J403" i="55"/>
  <c r="J404" i="55"/>
  <c r="H114" i="55"/>
  <c r="J405" i="55"/>
  <c r="J406" i="55"/>
  <c r="J381" i="55"/>
  <c r="J380" i="55"/>
  <c r="J123" i="54"/>
  <c r="I123" i="54"/>
  <c r="I124" i="54"/>
  <c r="J124" i="54"/>
  <c r="I125" i="54"/>
  <c r="J125" i="54"/>
  <c r="I128" i="54"/>
  <c r="J128" i="54"/>
  <c r="J17" i="15"/>
  <c r="K17" i="15"/>
  <c r="I65" i="15"/>
  <c r="J65" i="15"/>
  <c r="L65" i="15" s="1"/>
  <c r="K16" i="15"/>
  <c r="L16" i="15" s="1"/>
  <c r="I16" i="15"/>
  <c r="H15" i="3"/>
  <c r="H30" i="3"/>
  <c r="J84" i="18"/>
  <c r="D4" i="15"/>
  <c r="F20" i="24"/>
  <c r="A21" i="24"/>
  <c r="G16" i="9"/>
  <c r="G52" i="9"/>
  <c r="G55" i="9"/>
  <c r="G100" i="9"/>
  <c r="G162" i="9"/>
  <c r="G43" i="9"/>
  <c r="A50" i="9"/>
  <c r="G47" i="9"/>
  <c r="G48" i="9"/>
  <c r="G146" i="9"/>
  <c r="G169" i="9"/>
  <c r="C4" i="55"/>
  <c r="D6" i="15"/>
  <c r="G53" i="9"/>
  <c r="D7" i="15"/>
  <c r="C6" i="55"/>
  <c r="G167" i="9"/>
  <c r="G168" i="9"/>
  <c r="C7" i="55"/>
  <c r="G150" i="9"/>
  <c r="G136" i="9"/>
  <c r="G127" i="9"/>
  <c r="G135" i="9"/>
  <c r="G170" i="9"/>
  <c r="C18" i="15"/>
  <c r="L183" i="54"/>
  <c r="H85" i="3"/>
  <c r="H78" i="3"/>
  <c r="H31" i="3"/>
  <c r="H124" i="3"/>
  <c r="H22" i="3"/>
  <c r="H93" i="3"/>
  <c r="H67" i="3"/>
  <c r="C137" i="18"/>
  <c r="C13" i="18"/>
  <c r="L204" i="54"/>
  <c r="L129" i="54"/>
  <c r="B14" i="54"/>
  <c r="B50" i="54"/>
  <c r="H29" i="3"/>
  <c r="G24" i="9"/>
  <c r="I365" i="55"/>
  <c r="G20" i="9"/>
  <c r="I364" i="55"/>
  <c r="I366" i="55"/>
  <c r="I363" i="55"/>
  <c r="H122" i="3"/>
  <c r="H123" i="3"/>
  <c r="H92" i="3"/>
  <c r="I737" i="55"/>
  <c r="I732" i="55"/>
  <c r="I728" i="55"/>
  <c r="I724" i="55"/>
  <c r="I720" i="55"/>
  <c r="I580" i="55"/>
  <c r="I386" i="55"/>
  <c r="I717" i="55"/>
  <c r="I678" i="55"/>
  <c r="I355" i="55"/>
  <c r="I735" i="55"/>
  <c r="I731" i="55"/>
  <c r="I727" i="55"/>
  <c r="I723" i="55"/>
  <c r="I719" i="55"/>
  <c r="I707" i="55"/>
  <c r="J697" i="55"/>
  <c r="I682" i="55"/>
  <c r="I354" i="55"/>
  <c r="I734" i="55"/>
  <c r="I730" i="55"/>
  <c r="I726" i="55"/>
  <c r="I722" i="55"/>
  <c r="I716" i="55"/>
  <c r="I696" i="55"/>
  <c r="I584" i="55"/>
  <c r="I387" i="55"/>
  <c r="I706" i="55"/>
  <c r="J688" i="55"/>
  <c r="I581" i="55"/>
  <c r="I45" i="55"/>
  <c r="I34" i="54"/>
  <c r="I733" i="55"/>
  <c r="I729" i="55"/>
  <c r="I725" i="55"/>
  <c r="I721" i="55"/>
  <c r="I718" i="55"/>
  <c r="I583" i="55"/>
  <c r="I753" i="55"/>
  <c r="I356" i="55"/>
  <c r="I47" i="55"/>
  <c r="I362" i="55"/>
  <c r="I369" i="55"/>
  <c r="I48" i="55"/>
  <c r="B13" i="55"/>
  <c r="B64" i="55" s="1"/>
  <c r="B100" i="55"/>
  <c r="B101" i="55" s="1"/>
  <c r="B102" i="55" s="1"/>
  <c r="B103" i="55" s="1"/>
  <c r="B104" i="55" s="1"/>
  <c r="B105" i="55" s="1"/>
  <c r="B106" i="55" s="1"/>
  <c r="B107" i="55" s="1"/>
  <c r="B111" i="55"/>
  <c r="B108" i="55" l="1"/>
  <c r="B109" i="55" s="1"/>
  <c r="B110" i="55" s="1"/>
  <c r="H16" i="3"/>
  <c r="H32" i="3"/>
  <c r="I177" i="55"/>
  <c r="K177" i="55" s="1"/>
  <c r="H216" i="55"/>
  <c r="K216" i="55"/>
  <c r="K211" i="55"/>
  <c r="H211" i="55"/>
  <c r="H213" i="55"/>
  <c r="K213" i="55"/>
  <c r="K208" i="55"/>
  <c r="H208" i="55"/>
  <c r="H209" i="55"/>
  <c r="K209" i="55"/>
  <c r="K330" i="55"/>
  <c r="H330" i="55"/>
  <c r="K317" i="55"/>
  <c r="H317" i="55"/>
  <c r="K308" i="55"/>
  <c r="H308" i="55"/>
  <c r="K302" i="55"/>
  <c r="H302" i="55"/>
  <c r="K287" i="55"/>
  <c r="H287" i="55"/>
  <c r="K269" i="55"/>
  <c r="H269" i="55"/>
  <c r="K279" i="55"/>
  <c r="H279" i="55"/>
  <c r="K274" i="55"/>
  <c r="H274" i="55"/>
  <c r="K272" i="55"/>
  <c r="H272" i="55"/>
  <c r="K240" i="55"/>
  <c r="H240" i="55"/>
  <c r="K252" i="55"/>
  <c r="H252" i="55"/>
  <c r="K220" i="55"/>
  <c r="H220" i="55"/>
  <c r="K219" i="55"/>
  <c r="H219" i="55"/>
  <c r="K198" i="55"/>
  <c r="H198" i="55"/>
  <c r="K202" i="55"/>
  <c r="H202" i="55"/>
  <c r="K201" i="55"/>
  <c r="H201" i="55"/>
  <c r="I189" i="55"/>
  <c r="I190" i="55"/>
  <c r="J188" i="55"/>
  <c r="J190" i="55"/>
  <c r="J189" i="55"/>
  <c r="H188" i="55"/>
  <c r="H177" i="55"/>
  <c r="K173" i="55"/>
  <c r="H173" i="55"/>
  <c r="K168" i="55"/>
  <c r="H168" i="55"/>
  <c r="H140" i="55"/>
  <c r="K140" i="55"/>
  <c r="B70" i="55"/>
  <c r="B71" i="55" s="1"/>
  <c r="B72" i="55" s="1"/>
  <c r="K388" i="55"/>
  <c r="H388" i="55"/>
  <c r="L462" i="55"/>
  <c r="H436" i="55"/>
  <c r="K436" i="55"/>
  <c r="H437" i="55"/>
  <c r="K437" i="55"/>
  <c r="H438" i="55"/>
  <c r="K438" i="55"/>
  <c r="H435" i="55"/>
  <c r="K435" i="55"/>
  <c r="H433" i="55"/>
  <c r="K433" i="55"/>
  <c r="L571" i="55"/>
  <c r="I372" i="55"/>
  <c r="I371" i="55"/>
  <c r="I368" i="55"/>
  <c r="I367" i="55"/>
  <c r="K393" i="55"/>
  <c r="H393" i="55"/>
  <c r="K395" i="55"/>
  <c r="H395" i="55"/>
  <c r="K392" i="55"/>
  <c r="H392" i="55"/>
  <c r="K391" i="55"/>
  <c r="H391" i="55"/>
  <c r="K398" i="55"/>
  <c r="H398" i="55"/>
  <c r="K394" i="55"/>
  <c r="H394" i="55"/>
  <c r="K359" i="55"/>
  <c r="H359" i="55"/>
  <c r="H397" i="55"/>
  <c r="K397" i="55"/>
  <c r="K357" i="55"/>
  <c r="H357" i="55"/>
  <c r="H396" i="55"/>
  <c r="K396" i="55"/>
  <c r="K358" i="55"/>
  <c r="H358" i="55"/>
  <c r="I690" i="55"/>
  <c r="K715" i="55"/>
  <c r="H715" i="55"/>
  <c r="K709" i="55"/>
  <c r="H709" i="55"/>
  <c r="K736" i="55"/>
  <c r="H736" i="55"/>
  <c r="H710" i="55"/>
  <c r="K710" i="55"/>
  <c r="K754" i="55"/>
  <c r="H754" i="55"/>
  <c r="I692" i="55"/>
  <c r="I120" i="54"/>
  <c r="I117" i="54"/>
  <c r="I121" i="54"/>
  <c r="I106" i="54"/>
  <c r="K106" i="54" s="1"/>
  <c r="H106" i="54"/>
  <c r="I107" i="54"/>
  <c r="K107" i="54" s="1"/>
  <c r="H107" i="54"/>
  <c r="K84" i="54"/>
  <c r="I81" i="54"/>
  <c r="H81" i="54"/>
  <c r="I92" i="54"/>
  <c r="K92" i="54" s="1"/>
  <c r="H92" i="54"/>
  <c r="I90" i="54"/>
  <c r="K90" i="54" s="1"/>
  <c r="H90" i="54"/>
  <c r="I77" i="54"/>
  <c r="K77" i="54" s="1"/>
  <c r="H77" i="54"/>
  <c r="I59" i="54"/>
  <c r="K59" i="54" s="1"/>
  <c r="H59" i="54"/>
  <c r="I25" i="54"/>
  <c r="K25" i="54" s="1"/>
  <c r="H25" i="54"/>
  <c r="H28" i="3"/>
  <c r="C138" i="18"/>
  <c r="C139" i="18" s="1"/>
  <c r="C140" i="18" s="1"/>
  <c r="C141" i="18" s="1"/>
  <c r="C142" i="18"/>
  <c r="I39" i="18"/>
  <c r="J39" i="18"/>
  <c r="L39" i="18" s="1"/>
  <c r="J185" i="15"/>
  <c r="J186" i="15"/>
  <c r="J190" i="15"/>
  <c r="L190" i="15" s="1"/>
  <c r="I190" i="15"/>
  <c r="J207" i="15"/>
  <c r="J201" i="15"/>
  <c r="L201" i="15" s="1"/>
  <c r="I201" i="15"/>
  <c r="J229" i="15"/>
  <c r="J223" i="15"/>
  <c r="L223" i="15" s="1"/>
  <c r="I223" i="15"/>
  <c r="J240" i="15"/>
  <c r="J179" i="15"/>
  <c r="L179" i="15" s="1"/>
  <c r="I179" i="15"/>
  <c r="J76" i="18"/>
  <c r="L76" i="18" s="1"/>
  <c r="I76" i="18"/>
  <c r="J234" i="15"/>
  <c r="L234" i="15" s="1"/>
  <c r="I234" i="15"/>
  <c r="J75" i="18"/>
  <c r="L75" i="18" s="1"/>
  <c r="I75" i="18"/>
  <c r="J212" i="15"/>
  <c r="L212" i="15" s="1"/>
  <c r="I212" i="15"/>
  <c r="J89" i="18"/>
  <c r="L89" i="18" s="1"/>
  <c r="I89" i="18"/>
  <c r="I167" i="15"/>
  <c r="J167" i="15"/>
  <c r="L167" i="15" s="1"/>
  <c r="F23" i="24"/>
  <c r="F24" i="24"/>
  <c r="I49" i="9"/>
  <c r="J49" i="9" s="1"/>
  <c r="I87" i="9"/>
  <c r="J52" i="9"/>
  <c r="J135" i="9"/>
  <c r="J136" i="9"/>
  <c r="J16" i="9"/>
  <c r="J150" i="9"/>
  <c r="J56" i="9"/>
  <c r="H140" i="9"/>
  <c r="H87" i="9"/>
  <c r="H172" i="54"/>
  <c r="I172" i="54"/>
  <c r="K172" i="54" s="1"/>
  <c r="L126" i="54"/>
  <c r="K464" i="55"/>
  <c r="I672" i="55"/>
  <c r="I686" i="55"/>
  <c r="I638" i="55"/>
  <c r="I105" i="9"/>
  <c r="H105" i="9"/>
  <c r="I93" i="9"/>
  <c r="H93" i="9"/>
  <c r="H71" i="9"/>
  <c r="I71" i="9"/>
  <c r="H51" i="9"/>
  <c r="I51" i="9"/>
  <c r="H94" i="9"/>
  <c r="I94" i="9"/>
  <c r="H119" i="9"/>
  <c r="I119" i="9"/>
  <c r="H121" i="9"/>
  <c r="I121" i="9"/>
  <c r="I157" i="9"/>
  <c r="H157" i="9"/>
  <c r="I69" i="9"/>
  <c r="H69" i="9"/>
  <c r="I156" i="9"/>
  <c r="H156" i="9"/>
  <c r="H122" i="9"/>
  <c r="I122" i="9"/>
  <c r="I140" i="9"/>
  <c r="G73" i="9"/>
  <c r="H73" i="9"/>
  <c r="I73" i="9"/>
  <c r="H70" i="9"/>
  <c r="I70" i="9"/>
  <c r="I25" i="9"/>
  <c r="H138" i="9"/>
  <c r="I155" i="9"/>
  <c r="H155" i="9"/>
  <c r="H91" i="9"/>
  <c r="I91" i="9"/>
  <c r="H47" i="9"/>
  <c r="I162" i="9"/>
  <c r="J162" i="9" s="1"/>
  <c r="I161" i="9"/>
  <c r="J161" i="9" s="1"/>
  <c r="G160" i="9"/>
  <c r="I160" i="9"/>
  <c r="J160" i="9" s="1"/>
  <c r="J639" i="55"/>
  <c r="K404" i="55"/>
  <c r="K403" i="55"/>
  <c r="K497" i="55"/>
  <c r="K492" i="55"/>
  <c r="K713" i="55"/>
  <c r="K114" i="55"/>
  <c r="K655" i="55"/>
  <c r="K712" i="55"/>
  <c r="L772" i="55"/>
  <c r="H773" i="55"/>
  <c r="K573" i="55"/>
  <c r="K380" i="55"/>
  <c r="K381" i="55"/>
  <c r="H722" i="55"/>
  <c r="K722" i="55"/>
  <c r="H728" i="55"/>
  <c r="K728" i="55"/>
  <c r="H581" i="55"/>
  <c r="H565" i="55"/>
  <c r="K565" i="55"/>
  <c r="K726" i="55"/>
  <c r="H726" i="55"/>
  <c r="K719" i="55"/>
  <c r="H719" i="55"/>
  <c r="H732" i="55"/>
  <c r="K732" i="55"/>
  <c r="L585" i="55"/>
  <c r="H587" i="55"/>
  <c r="H706" i="55"/>
  <c r="H387" i="55"/>
  <c r="H730" i="55"/>
  <c r="K730" i="55"/>
  <c r="H723" i="55"/>
  <c r="K723" i="55"/>
  <c r="H632" i="55"/>
  <c r="K632" i="55"/>
  <c r="H717" i="55"/>
  <c r="K717" i="55"/>
  <c r="H563" i="55"/>
  <c r="H737" i="55"/>
  <c r="K737" i="55"/>
  <c r="K405" i="55"/>
  <c r="H734" i="55"/>
  <c r="K734" i="55"/>
  <c r="H727" i="55"/>
  <c r="H386" i="55"/>
  <c r="K51" i="55"/>
  <c r="H631" i="55"/>
  <c r="H707" i="55"/>
  <c r="H731" i="55"/>
  <c r="K731" i="55"/>
  <c r="H354" i="55"/>
  <c r="K735" i="55"/>
  <c r="H735" i="55"/>
  <c r="H580" i="55"/>
  <c r="K580" i="55"/>
  <c r="H633" i="55"/>
  <c r="K633" i="55"/>
  <c r="H564" i="55"/>
  <c r="H725" i="55"/>
  <c r="H729" i="55"/>
  <c r="K729" i="55"/>
  <c r="H567" i="55"/>
  <c r="J154" i="55"/>
  <c r="H356" i="55"/>
  <c r="K356" i="55"/>
  <c r="H431" i="55"/>
  <c r="H733" i="55"/>
  <c r="H48" i="55"/>
  <c r="K718" i="55"/>
  <c r="H718" i="55"/>
  <c r="H47" i="55"/>
  <c r="H753" i="55"/>
  <c r="K721" i="55"/>
  <c r="H721" i="55"/>
  <c r="H355" i="55"/>
  <c r="K355" i="55"/>
  <c r="H720" i="55"/>
  <c r="H716" i="55"/>
  <c r="H724" i="55"/>
  <c r="K724" i="55"/>
  <c r="K406" i="55"/>
  <c r="K382" i="55"/>
  <c r="H104" i="54"/>
  <c r="I104" i="54"/>
  <c r="K128" i="54"/>
  <c r="I175" i="54"/>
  <c r="I111" i="54"/>
  <c r="H36" i="54"/>
  <c r="I36" i="54"/>
  <c r="K36" i="54" s="1"/>
  <c r="K125" i="54"/>
  <c r="H105" i="54"/>
  <c r="I105" i="54"/>
  <c r="K105" i="54" s="1"/>
  <c r="K124" i="54"/>
  <c r="I110" i="54"/>
  <c r="K123" i="54"/>
  <c r="J69" i="18"/>
  <c r="I56" i="18"/>
  <c r="J56" i="18"/>
  <c r="L56" i="18" s="1"/>
  <c r="J59" i="18"/>
  <c r="I32" i="18"/>
  <c r="J32" i="18"/>
  <c r="L32" i="18" s="1"/>
  <c r="J95" i="18"/>
  <c r="I66" i="18"/>
  <c r="J66" i="18"/>
  <c r="L66" i="18" s="1"/>
  <c r="J71" i="18"/>
  <c r="J82" i="18"/>
  <c r="J196" i="15"/>
  <c r="J218" i="15"/>
  <c r="J44" i="15"/>
  <c r="L44" i="15" s="1"/>
  <c r="I44" i="15"/>
  <c r="I89" i="15"/>
  <c r="J89" i="15"/>
  <c r="L89" i="15" s="1"/>
  <c r="J197" i="15"/>
  <c r="I88" i="15"/>
  <c r="J88" i="15"/>
  <c r="L88" i="15" s="1"/>
  <c r="L17" i="15"/>
  <c r="I193" i="15"/>
  <c r="J193" i="15"/>
  <c r="L193" i="15" s="1"/>
  <c r="K152" i="18"/>
  <c r="M12" i="15"/>
  <c r="G155" i="9"/>
  <c r="G87" i="9"/>
  <c r="G174" i="9"/>
  <c r="A22" i="24"/>
  <c r="A23" i="24" s="1"/>
  <c r="A24" i="24" s="1"/>
  <c r="A25" i="24"/>
  <c r="A26" i="24" s="1"/>
  <c r="A27" i="24" s="1"/>
  <c r="A46" i="9"/>
  <c r="A47" i="9" s="1"/>
  <c r="A48" i="9" s="1"/>
  <c r="A49" i="9" s="1"/>
  <c r="G94" i="9"/>
  <c r="G130" i="9"/>
  <c r="G70" i="9"/>
  <c r="G93" i="9"/>
  <c r="G51" i="9"/>
  <c r="G121" i="9"/>
  <c r="G69" i="9"/>
  <c r="G126" i="9"/>
  <c r="G119" i="9"/>
  <c r="A57" i="9"/>
  <c r="A51" i="9"/>
  <c r="A52" i="9" s="1"/>
  <c r="A53" i="9" s="1"/>
  <c r="A54" i="9" s="1"/>
  <c r="A55" i="9" s="1"/>
  <c r="A56" i="9" s="1"/>
  <c r="G91" i="9"/>
  <c r="G71" i="9"/>
  <c r="G125" i="9"/>
  <c r="G122" i="9"/>
  <c r="H158" i="9"/>
  <c r="J158" i="9" s="1"/>
  <c r="C19" i="15"/>
  <c r="C45" i="15"/>
  <c r="G144" i="9"/>
  <c r="G140" i="9"/>
  <c r="G105" i="9"/>
  <c r="G157" i="9"/>
  <c r="G21" i="9"/>
  <c r="H120" i="3"/>
  <c r="H119" i="3"/>
  <c r="H90" i="3"/>
  <c r="I89" i="3" s="1"/>
  <c r="H121" i="3"/>
  <c r="C14" i="18"/>
  <c r="C15" i="18" s="1"/>
  <c r="C22" i="18"/>
  <c r="G15" i="9"/>
  <c r="B51" i="54"/>
  <c r="B52" i="54" s="1"/>
  <c r="B53" i="54" s="1"/>
  <c r="B54" i="54" s="1"/>
  <c r="B55" i="54" s="1"/>
  <c r="B56" i="54" s="1"/>
  <c r="B57" i="54"/>
  <c r="B59" i="54" s="1"/>
  <c r="B15" i="54"/>
  <c r="B19" i="54"/>
  <c r="G18" i="9"/>
  <c r="G19" i="9"/>
  <c r="G156" i="9"/>
  <c r="G17" i="9"/>
  <c r="G102" i="9"/>
  <c r="B65" i="55"/>
  <c r="B14" i="55"/>
  <c r="B15" i="55" s="1"/>
  <c r="B16" i="55" s="1"/>
  <c r="B17" i="55" s="1"/>
  <c r="L402" i="55"/>
  <c r="B112" i="55"/>
  <c r="B124" i="55"/>
  <c r="J87" i="9" l="1"/>
  <c r="B79" i="55"/>
  <c r="B80" i="55" s="1"/>
  <c r="B81" i="55" s="1"/>
  <c r="B82" i="55" s="1"/>
  <c r="B83" i="55" s="1"/>
  <c r="B84" i="55" s="1"/>
  <c r="B85" i="55" s="1"/>
  <c r="B86" i="55" s="1"/>
  <c r="B87" i="55" s="1"/>
  <c r="B88" i="55" s="1"/>
  <c r="K188" i="55"/>
  <c r="H190" i="55"/>
  <c r="K190" i="55"/>
  <c r="H189" i="55"/>
  <c r="K189" i="55"/>
  <c r="I181" i="55"/>
  <c r="J181" i="55"/>
  <c r="B73" i="55"/>
  <c r="B74" i="55" s="1"/>
  <c r="B66" i="55"/>
  <c r="B67" i="55" s="1"/>
  <c r="B68" i="55" s="1"/>
  <c r="B69" i="55" s="1"/>
  <c r="L430" i="55"/>
  <c r="K431" i="55"/>
  <c r="I377" i="55"/>
  <c r="I378" i="55"/>
  <c r="I375" i="55"/>
  <c r="I376" i="55"/>
  <c r="I373" i="55"/>
  <c r="I374" i="55"/>
  <c r="K354" i="55"/>
  <c r="L704" i="55"/>
  <c r="L714" i="55"/>
  <c r="K563" i="55"/>
  <c r="M571" i="55" s="1"/>
  <c r="O149" i="55" s="1"/>
  <c r="K631" i="55"/>
  <c r="L630" i="55"/>
  <c r="K716" i="55"/>
  <c r="I674" i="55"/>
  <c r="I639" i="55"/>
  <c r="K587" i="55"/>
  <c r="K104" i="54"/>
  <c r="L82" i="54"/>
  <c r="K81" i="54"/>
  <c r="L80" i="54"/>
  <c r="B24" i="54"/>
  <c r="B28" i="54" s="1"/>
  <c r="B17" i="54"/>
  <c r="B18" i="54" s="1"/>
  <c r="B16" i="54"/>
  <c r="B18" i="55"/>
  <c r="B19" i="55"/>
  <c r="C147" i="18"/>
  <c r="C148" i="18" s="1"/>
  <c r="C143" i="18"/>
  <c r="C144" i="18" s="1"/>
  <c r="C145" i="18" s="1"/>
  <c r="C146" i="18" s="1"/>
  <c r="J152" i="18"/>
  <c r="L152" i="18" s="1"/>
  <c r="I226" i="15"/>
  <c r="J226" i="15"/>
  <c r="L226" i="15" s="1"/>
  <c r="K157" i="15"/>
  <c r="K150" i="18"/>
  <c r="K145" i="18"/>
  <c r="K266" i="15"/>
  <c r="J182" i="15"/>
  <c r="L182" i="15" s="1"/>
  <c r="I182" i="15"/>
  <c r="K239" i="15"/>
  <c r="K228" i="15"/>
  <c r="K206" i="15"/>
  <c r="K184" i="15"/>
  <c r="I237" i="15"/>
  <c r="J237" i="15"/>
  <c r="L237" i="15" s="1"/>
  <c r="C18" i="18"/>
  <c r="C19" i="18" s="1"/>
  <c r="C16" i="18"/>
  <c r="C17" i="18" s="1"/>
  <c r="J157" i="15"/>
  <c r="K103" i="15"/>
  <c r="K116" i="15"/>
  <c r="J96" i="15"/>
  <c r="L96" i="15" s="1"/>
  <c r="I141" i="9"/>
  <c r="J140" i="9"/>
  <c r="J93" i="9"/>
  <c r="G99" i="9"/>
  <c r="J156" i="9"/>
  <c r="J105" i="9"/>
  <c r="I687" i="55"/>
  <c r="H173" i="54"/>
  <c r="K753" i="55"/>
  <c r="I669" i="55"/>
  <c r="I145" i="55"/>
  <c r="J155" i="9"/>
  <c r="J91" i="9"/>
  <c r="J157" i="9"/>
  <c r="H131" i="9"/>
  <c r="I131" i="9"/>
  <c r="J122" i="9"/>
  <c r="H141" i="9"/>
  <c r="G131" i="9"/>
  <c r="J94" i="9"/>
  <c r="H109" i="9"/>
  <c r="I109" i="9"/>
  <c r="J70" i="9"/>
  <c r="J73" i="9"/>
  <c r="J69" i="9"/>
  <c r="J51" i="9"/>
  <c r="H99" i="9"/>
  <c r="I99" i="9"/>
  <c r="J121" i="9"/>
  <c r="J71" i="9"/>
  <c r="J119" i="9"/>
  <c r="J695" i="55"/>
  <c r="I47" i="9"/>
  <c r="J47" i="9" s="1"/>
  <c r="J677" i="55"/>
  <c r="K159" i="9"/>
  <c r="J638" i="55"/>
  <c r="H638" i="55"/>
  <c r="J583" i="55"/>
  <c r="K583" i="55" s="1"/>
  <c r="H583" i="55"/>
  <c r="K25" i="18"/>
  <c r="G36" i="9"/>
  <c r="H36" i="9"/>
  <c r="J36" i="9" s="1"/>
  <c r="H152" i="9"/>
  <c r="J152" i="9" s="1"/>
  <c r="K133" i="18"/>
  <c r="J85" i="15"/>
  <c r="I127" i="18"/>
  <c r="J139" i="15"/>
  <c r="J246" i="15"/>
  <c r="J20" i="18"/>
  <c r="J112" i="18"/>
  <c r="J45" i="18"/>
  <c r="J252" i="15"/>
  <c r="J25" i="18"/>
  <c r="J128" i="18"/>
  <c r="J42" i="18"/>
  <c r="J101" i="18"/>
  <c r="J122" i="18"/>
  <c r="J106" i="18"/>
  <c r="J34" i="18"/>
  <c r="J117" i="18"/>
  <c r="J120" i="15"/>
  <c r="J256" i="15"/>
  <c r="J129" i="15"/>
  <c r="J163" i="15"/>
  <c r="J133" i="15"/>
  <c r="J170" i="15"/>
  <c r="J62" i="15"/>
  <c r="L62" i="15" s="1"/>
  <c r="I62" i="15"/>
  <c r="H37" i="9"/>
  <c r="J37" i="9" s="1"/>
  <c r="G152" i="9"/>
  <c r="J56" i="15"/>
  <c r="K386" i="55"/>
  <c r="K387" i="55"/>
  <c r="K720" i="55"/>
  <c r="K725" i="55"/>
  <c r="K581" i="55"/>
  <c r="K567" i="55"/>
  <c r="K773" i="55"/>
  <c r="K47" i="55"/>
  <c r="K733" i="55"/>
  <c r="K727" i="55"/>
  <c r="K706" i="55"/>
  <c r="K564" i="55"/>
  <c r="K48" i="55"/>
  <c r="K707" i="55"/>
  <c r="L578" i="55"/>
  <c r="H171" i="54"/>
  <c r="I171" i="54"/>
  <c r="K171" i="54" s="1"/>
  <c r="I79" i="18"/>
  <c r="J79" i="18"/>
  <c r="L79" i="18" s="1"/>
  <c r="I46" i="18"/>
  <c r="J46" i="18"/>
  <c r="L46" i="18" s="1"/>
  <c r="I215" i="15"/>
  <c r="J215" i="15"/>
  <c r="L215" i="15" s="1"/>
  <c r="I161" i="15"/>
  <c r="J161" i="15"/>
  <c r="L161" i="15" s="1"/>
  <c r="I174" i="15"/>
  <c r="J174" i="15"/>
  <c r="L174" i="15" s="1"/>
  <c r="K20" i="18"/>
  <c r="K261" i="15"/>
  <c r="K34" i="18"/>
  <c r="K120" i="15"/>
  <c r="K173" i="15"/>
  <c r="K122" i="18"/>
  <c r="K246" i="15"/>
  <c r="K117" i="18"/>
  <c r="K163" i="15"/>
  <c r="K109" i="15"/>
  <c r="K42" i="18"/>
  <c r="K106" i="18"/>
  <c r="K133" i="15"/>
  <c r="K151" i="15"/>
  <c r="K145" i="15"/>
  <c r="K129" i="15"/>
  <c r="K128" i="18"/>
  <c r="K256" i="15"/>
  <c r="K101" i="18"/>
  <c r="K45" i="18"/>
  <c r="K97" i="15"/>
  <c r="K140" i="18"/>
  <c r="K252" i="15"/>
  <c r="K139" i="15"/>
  <c r="K170" i="15"/>
  <c r="K85" i="15"/>
  <c r="K94" i="18"/>
  <c r="G141" i="9"/>
  <c r="G109" i="9"/>
  <c r="G158" i="9"/>
  <c r="A58" i="9"/>
  <c r="A59" i="9" s="1"/>
  <c r="A60" i="9" s="1"/>
  <c r="A61" i="9" s="1"/>
  <c r="A67" i="9"/>
  <c r="C26" i="15"/>
  <c r="C20" i="15"/>
  <c r="C21" i="15" s="1"/>
  <c r="C22" i="15" s="1"/>
  <c r="C23" i="15" s="1"/>
  <c r="C24" i="15" s="1"/>
  <c r="C25" i="15" s="1"/>
  <c r="C51" i="15"/>
  <c r="C274" i="15" s="1"/>
  <c r="C275" i="15" s="1"/>
  <c r="C276" i="15" s="1"/>
  <c r="C277" i="15" s="1"/>
  <c r="C46" i="15"/>
  <c r="G21" i="24"/>
  <c r="K217" i="15"/>
  <c r="K68" i="18"/>
  <c r="K195" i="15"/>
  <c r="K81" i="18"/>
  <c r="H83" i="3"/>
  <c r="H50" i="3"/>
  <c r="H71" i="3"/>
  <c r="H84" i="3"/>
  <c r="H79" i="3"/>
  <c r="H73" i="3"/>
  <c r="H75" i="3"/>
  <c r="H76" i="3"/>
  <c r="H74" i="3"/>
  <c r="H80" i="3"/>
  <c r="H68" i="3"/>
  <c r="C27" i="18"/>
  <c r="C23" i="18"/>
  <c r="C24" i="18" s="1"/>
  <c r="C25" i="18" s="1"/>
  <c r="C26" i="18" s="1"/>
  <c r="I306" i="55"/>
  <c r="B20" i="54"/>
  <c r="B21" i="54" s="1"/>
  <c r="B22" i="54" s="1"/>
  <c r="B23" i="54" s="1"/>
  <c r="B25" i="54" s="1"/>
  <c r="B61" i="54"/>
  <c r="B62" i="54" s="1"/>
  <c r="B64" i="54" s="1"/>
  <c r="B66" i="54" s="1"/>
  <c r="B58" i="54"/>
  <c r="B60" i="54" s="1"/>
  <c r="B23" i="55"/>
  <c r="B117" i="55"/>
  <c r="B113" i="55"/>
  <c r="B114" i="55" s="1"/>
  <c r="B115" i="55" s="1"/>
  <c r="B116" i="55" s="1"/>
  <c r="B125" i="55"/>
  <c r="B128" i="55"/>
  <c r="B129" i="55" s="1"/>
  <c r="M585" i="55" l="1"/>
  <c r="M150" i="55"/>
  <c r="M407" i="55"/>
  <c r="I656" i="55"/>
  <c r="I662" i="55"/>
  <c r="I338" i="55"/>
  <c r="J184" i="55"/>
  <c r="K184" i="55" s="1"/>
  <c r="H184" i="55"/>
  <c r="J187" i="55"/>
  <c r="K187" i="55" s="1"/>
  <c r="H187" i="55"/>
  <c r="K181" i="55"/>
  <c r="H181" i="55"/>
  <c r="I179" i="55"/>
  <c r="B130" i="55"/>
  <c r="B131" i="55" s="1"/>
  <c r="B132" i="55" s="1"/>
  <c r="B133" i="55" s="1"/>
  <c r="B134" i="55" s="1"/>
  <c r="B135" i="55" s="1"/>
  <c r="B136" i="55" s="1"/>
  <c r="B137" i="55" s="1"/>
  <c r="B138" i="55" s="1"/>
  <c r="B139" i="55" s="1"/>
  <c r="B140" i="55" s="1"/>
  <c r="B141" i="55" s="1"/>
  <c r="B142" i="55" s="1"/>
  <c r="B143" i="55"/>
  <c r="B144" i="55" s="1"/>
  <c r="B126" i="55"/>
  <c r="B127" i="55" s="1"/>
  <c r="J87" i="55"/>
  <c r="J77" i="55"/>
  <c r="J762" i="55"/>
  <c r="J760" i="55"/>
  <c r="K638" i="55"/>
  <c r="K639" i="55"/>
  <c r="H639" i="55"/>
  <c r="I153" i="54"/>
  <c r="K153" i="54" s="1"/>
  <c r="H153" i="54"/>
  <c r="B67" i="54"/>
  <c r="B68" i="54"/>
  <c r="B70" i="54" s="1"/>
  <c r="B72" i="54" s="1"/>
  <c r="B26" i="54"/>
  <c r="B27" i="54" s="1"/>
  <c r="B29" i="54" s="1"/>
  <c r="B63" i="54"/>
  <c r="B25" i="55"/>
  <c r="B26" i="55" s="1"/>
  <c r="B27" i="55" s="1"/>
  <c r="B28" i="55" s="1"/>
  <c r="B24" i="55"/>
  <c r="B21" i="55"/>
  <c r="B22" i="55" s="1"/>
  <c r="B20" i="55"/>
  <c r="I670" i="55"/>
  <c r="C149" i="18"/>
  <c r="C150" i="18" s="1"/>
  <c r="C151" i="18" s="1"/>
  <c r="C152" i="18" s="1"/>
  <c r="I152" i="18"/>
  <c r="I157" i="15"/>
  <c r="L157" i="15"/>
  <c r="J184" i="15"/>
  <c r="L184" i="15" s="1"/>
  <c r="I184" i="15"/>
  <c r="J208" i="15"/>
  <c r="K197" i="15"/>
  <c r="L197" i="15" s="1"/>
  <c r="K241" i="15"/>
  <c r="K230" i="15"/>
  <c r="K208" i="15"/>
  <c r="J150" i="18"/>
  <c r="L150" i="18" s="1"/>
  <c r="I150" i="18"/>
  <c r="J228" i="15"/>
  <c r="L228" i="15" s="1"/>
  <c r="I228" i="15"/>
  <c r="J266" i="15"/>
  <c r="L266" i="15" s="1"/>
  <c r="I266" i="15"/>
  <c r="J230" i="15"/>
  <c r="J206" i="15"/>
  <c r="L206" i="15" s="1"/>
  <c r="I206" i="15"/>
  <c r="I82" i="18"/>
  <c r="J239" i="15"/>
  <c r="L239" i="15" s="1"/>
  <c r="I239" i="15"/>
  <c r="J145" i="18"/>
  <c r="L145" i="18" s="1"/>
  <c r="I145" i="18"/>
  <c r="J241" i="15"/>
  <c r="C20" i="18"/>
  <c r="C21" i="18" s="1"/>
  <c r="I70" i="15"/>
  <c r="I96" i="15"/>
  <c r="I102" i="15"/>
  <c r="J102" i="15"/>
  <c r="L102" i="15" s="1"/>
  <c r="J116" i="15"/>
  <c r="L116" i="15" s="1"/>
  <c r="I116" i="15"/>
  <c r="J103" i="15"/>
  <c r="L103" i="15" s="1"/>
  <c r="I103" i="15"/>
  <c r="H149" i="9"/>
  <c r="J149" i="9" s="1"/>
  <c r="K148" i="9" s="1"/>
  <c r="J141" i="9"/>
  <c r="H129" i="9"/>
  <c r="I129" i="9"/>
  <c r="H143" i="9"/>
  <c r="I143" i="9"/>
  <c r="G143" i="9"/>
  <c r="I142" i="9"/>
  <c r="H142" i="9"/>
  <c r="G142" i="9"/>
  <c r="H60" i="54"/>
  <c r="I173" i="54"/>
  <c r="K173" i="54" s="1"/>
  <c r="I157" i="54"/>
  <c r="K157" i="54" s="1"/>
  <c r="H147" i="54"/>
  <c r="I147" i="54"/>
  <c r="K147" i="54" s="1"/>
  <c r="J758" i="55"/>
  <c r="J88" i="55"/>
  <c r="H662" i="55"/>
  <c r="I343" i="55"/>
  <c r="I341" i="55"/>
  <c r="H145" i="55"/>
  <c r="K145" i="55"/>
  <c r="I125" i="55"/>
  <c r="J109" i="9"/>
  <c r="J131" i="9"/>
  <c r="J99" i="9"/>
  <c r="I106" i="55"/>
  <c r="I104" i="55"/>
  <c r="I103" i="55"/>
  <c r="H45" i="55"/>
  <c r="L25" i="18"/>
  <c r="J670" i="55"/>
  <c r="J687" i="55"/>
  <c r="J680" i="55"/>
  <c r="H54" i="54"/>
  <c r="I58" i="54"/>
  <c r="K58" i="54" s="1"/>
  <c r="H58" i="54"/>
  <c r="I345" i="55"/>
  <c r="H99" i="54"/>
  <c r="A63" i="9"/>
  <c r="A64" i="9" s="1"/>
  <c r="A65" i="9" s="1"/>
  <c r="A66" i="9" s="1"/>
  <c r="A62" i="9"/>
  <c r="K76" i="15"/>
  <c r="J109" i="15"/>
  <c r="L109" i="15" s="1"/>
  <c r="J271" i="15"/>
  <c r="I271" i="15"/>
  <c r="J133" i="18"/>
  <c r="L133" i="18" s="1"/>
  <c r="I133" i="18"/>
  <c r="K271" i="15"/>
  <c r="J140" i="18"/>
  <c r="L140" i="18" s="1"/>
  <c r="J127" i="18"/>
  <c r="L127" i="18" s="1"/>
  <c r="J173" i="15"/>
  <c r="L173" i="15" s="1"/>
  <c r="J145" i="15"/>
  <c r="L145" i="15" s="1"/>
  <c r="J97" i="15"/>
  <c r="L97" i="15" s="1"/>
  <c r="I25" i="18"/>
  <c r="J151" i="15"/>
  <c r="L151" i="15" s="1"/>
  <c r="J261" i="15"/>
  <c r="L261" i="15" s="1"/>
  <c r="I88" i="18"/>
  <c r="J53" i="18"/>
  <c r="L53" i="18" s="1"/>
  <c r="J38" i="18"/>
  <c r="L38" i="18" s="1"/>
  <c r="J34" i="54"/>
  <c r="K34" i="54" s="1"/>
  <c r="K219" i="15"/>
  <c r="I84" i="18"/>
  <c r="K71" i="18"/>
  <c r="L71" i="18" s="1"/>
  <c r="K60" i="18"/>
  <c r="G149" i="9"/>
  <c r="G37" i="9"/>
  <c r="K83" i="18"/>
  <c r="K96" i="18"/>
  <c r="K70" i="18"/>
  <c r="K64" i="15"/>
  <c r="H304" i="55"/>
  <c r="H306" i="55"/>
  <c r="H75" i="54"/>
  <c r="I75" i="54"/>
  <c r="K75" i="54" s="1"/>
  <c r="L128" i="18"/>
  <c r="L101" i="18"/>
  <c r="I68" i="18"/>
  <c r="J68" i="18"/>
  <c r="L68" i="18" s="1"/>
  <c r="L106" i="18"/>
  <c r="I128" i="18"/>
  <c r="I45" i="18"/>
  <c r="I101" i="18"/>
  <c r="K112" i="18"/>
  <c r="L112" i="18" s="1"/>
  <c r="I112" i="18"/>
  <c r="J60" i="18"/>
  <c r="I106" i="18"/>
  <c r="L45" i="18"/>
  <c r="J83" i="18"/>
  <c r="J58" i="18"/>
  <c r="I94" i="18"/>
  <c r="J94" i="18"/>
  <c r="L94" i="18" s="1"/>
  <c r="L42" i="18"/>
  <c r="J70" i="18"/>
  <c r="I42" i="18"/>
  <c r="L122" i="18"/>
  <c r="L20" i="18"/>
  <c r="L34" i="18"/>
  <c r="L117" i="18"/>
  <c r="I122" i="18"/>
  <c r="I20" i="18"/>
  <c r="I34" i="18"/>
  <c r="J96" i="18"/>
  <c r="I81" i="18"/>
  <c r="J81" i="18"/>
  <c r="L81" i="18" s="1"/>
  <c r="I117" i="18"/>
  <c r="L129" i="15"/>
  <c r="I139" i="15"/>
  <c r="I252" i="15"/>
  <c r="J195" i="15"/>
  <c r="L195" i="15" s="1"/>
  <c r="I195" i="15"/>
  <c r="L256" i="15"/>
  <c r="I261" i="15"/>
  <c r="L252" i="15"/>
  <c r="I217" i="15"/>
  <c r="J217" i="15"/>
  <c r="L217" i="15" s="1"/>
  <c r="J64" i="15"/>
  <c r="I256" i="15"/>
  <c r="L133" i="15"/>
  <c r="I97" i="15"/>
  <c r="I151" i="15"/>
  <c r="L246" i="15"/>
  <c r="I85" i="15"/>
  <c r="I133" i="15"/>
  <c r="I109" i="15"/>
  <c r="I246" i="15"/>
  <c r="L85" i="15"/>
  <c r="I120" i="15"/>
  <c r="I145" i="15"/>
  <c r="J219" i="15"/>
  <c r="L170" i="15"/>
  <c r="L120" i="15"/>
  <c r="I173" i="15"/>
  <c r="I170" i="15"/>
  <c r="L163" i="15"/>
  <c r="L139" i="15"/>
  <c r="I129" i="15"/>
  <c r="I163" i="15"/>
  <c r="K58" i="18"/>
  <c r="A110" i="9"/>
  <c r="A68" i="9"/>
  <c r="C48" i="15"/>
  <c r="C49" i="15" s="1"/>
  <c r="C50" i="15" s="1"/>
  <c r="C47" i="15"/>
  <c r="C52" i="15"/>
  <c r="C27" i="15"/>
  <c r="C28" i="15" s="1"/>
  <c r="C29" i="15" s="1"/>
  <c r="C30" i="15" s="1"/>
  <c r="C31" i="15" s="1"/>
  <c r="C32" i="15" s="1"/>
  <c r="C33" i="15"/>
  <c r="I72" i="3"/>
  <c r="C28" i="18"/>
  <c r="C29" i="18" s="1"/>
  <c r="C36" i="18"/>
  <c r="B33" i="54"/>
  <c r="B30" i="54"/>
  <c r="B31" i="54" s="1"/>
  <c r="B32" i="54" s="1"/>
  <c r="B31" i="55"/>
  <c r="B38" i="55" s="1"/>
  <c r="B146" i="55"/>
  <c r="B118" i="55"/>
  <c r="B119" i="55" s="1"/>
  <c r="B120" i="55"/>
  <c r="B121" i="55" s="1"/>
  <c r="B122" i="55" s="1"/>
  <c r="B123" i="55" s="1"/>
  <c r="H656" i="55" l="1"/>
  <c r="H664" i="55"/>
  <c r="I664" i="55"/>
  <c r="K664" i="55" s="1"/>
  <c r="H98" i="55"/>
  <c r="I98" i="55"/>
  <c r="K98" i="55" s="1"/>
  <c r="I170" i="55"/>
  <c r="K170" i="55" s="1"/>
  <c r="K338" i="55"/>
  <c r="H338" i="55"/>
  <c r="H170" i="55"/>
  <c r="K179" i="55"/>
  <c r="H179" i="55"/>
  <c r="B145" i="55"/>
  <c r="J86" i="55"/>
  <c r="J84" i="55"/>
  <c r="J82" i="55"/>
  <c r="J83" i="55"/>
  <c r="J80" i="55"/>
  <c r="J81" i="55"/>
  <c r="J78" i="55"/>
  <c r="J63" i="55"/>
  <c r="B77" i="55"/>
  <c r="B78" i="55" s="1"/>
  <c r="B75" i="55"/>
  <c r="B76" i="55" s="1"/>
  <c r="J761" i="55"/>
  <c r="J757" i="55"/>
  <c r="J759" i="55"/>
  <c r="J756" i="55"/>
  <c r="J755" i="55"/>
  <c r="K656" i="55"/>
  <c r="J47" i="54"/>
  <c r="B30" i="55"/>
  <c r="B29" i="55"/>
  <c r="C30" i="18"/>
  <c r="C31" i="18" s="1"/>
  <c r="C32" i="18" s="1"/>
  <c r="C33" i="18" s="1"/>
  <c r="C34" i="18" s="1"/>
  <c r="C35" i="18" s="1"/>
  <c r="I230" i="15"/>
  <c r="K82" i="18"/>
  <c r="L82" i="18" s="1"/>
  <c r="I197" i="15"/>
  <c r="L208" i="15"/>
  <c r="I208" i="15"/>
  <c r="L241" i="15"/>
  <c r="K240" i="15"/>
  <c r="L240" i="15" s="1"/>
  <c r="I240" i="15"/>
  <c r="K186" i="15"/>
  <c r="L186" i="15" s="1"/>
  <c r="I186" i="15"/>
  <c r="I241" i="15"/>
  <c r="K185" i="15"/>
  <c r="L185" i="15" s="1"/>
  <c r="I185" i="15"/>
  <c r="L230" i="15"/>
  <c r="K207" i="15"/>
  <c r="L207" i="15" s="1"/>
  <c r="I207" i="15"/>
  <c r="K229" i="15"/>
  <c r="L229" i="15" s="1"/>
  <c r="I229" i="15"/>
  <c r="J70" i="15"/>
  <c r="L70" i="15" s="1"/>
  <c r="J72" i="15"/>
  <c r="L72" i="15" s="1"/>
  <c r="I72" i="15"/>
  <c r="J74" i="15"/>
  <c r="L74" i="15" s="1"/>
  <c r="J68" i="15"/>
  <c r="L68" i="15" s="1"/>
  <c r="I68" i="15"/>
  <c r="J129" i="9"/>
  <c r="J143" i="9"/>
  <c r="J142" i="9"/>
  <c r="I346" i="55"/>
  <c r="I60" i="54"/>
  <c r="K60" i="54" s="1"/>
  <c r="L170" i="54"/>
  <c r="H149" i="54"/>
  <c r="I149" i="54"/>
  <c r="K149" i="54" s="1"/>
  <c r="H151" i="54"/>
  <c r="I151" i="54"/>
  <c r="K151" i="54" s="1"/>
  <c r="K662" i="55"/>
  <c r="H96" i="54"/>
  <c r="H97" i="54"/>
  <c r="H341" i="55"/>
  <c r="I100" i="54"/>
  <c r="K100" i="54" s="1"/>
  <c r="H100" i="54"/>
  <c r="K343" i="55"/>
  <c r="H343" i="55"/>
  <c r="H157" i="54"/>
  <c r="H155" i="54"/>
  <c r="I155" i="54"/>
  <c r="K155" i="54" s="1"/>
  <c r="H125" i="55"/>
  <c r="K103" i="55"/>
  <c r="H103" i="55"/>
  <c r="H106" i="55"/>
  <c r="K106" i="55"/>
  <c r="H104" i="55"/>
  <c r="K104" i="55"/>
  <c r="H55" i="54"/>
  <c r="J45" i="55"/>
  <c r="K45" i="55" s="1"/>
  <c r="K670" i="55"/>
  <c r="H670" i="55"/>
  <c r="K687" i="55"/>
  <c r="H687" i="55"/>
  <c r="I54" i="54"/>
  <c r="K54" i="54" s="1"/>
  <c r="K345" i="55"/>
  <c r="H345" i="55"/>
  <c r="I99" i="54"/>
  <c r="K99" i="54" s="1"/>
  <c r="L271" i="15"/>
  <c r="I140" i="18"/>
  <c r="I53" i="18"/>
  <c r="J88" i="18"/>
  <c r="L88" i="18" s="1"/>
  <c r="I38" i="18"/>
  <c r="L219" i="15"/>
  <c r="I219" i="15"/>
  <c r="L83" i="18"/>
  <c r="I83" i="18"/>
  <c r="I96" i="18"/>
  <c r="H34" i="54"/>
  <c r="L60" i="18"/>
  <c r="I60" i="18"/>
  <c r="K84" i="18"/>
  <c r="L84" i="18" s="1"/>
  <c r="I71" i="18"/>
  <c r="I70" i="18"/>
  <c r="L64" i="15"/>
  <c r="I64" i="15"/>
  <c r="L96" i="18"/>
  <c r="L70" i="18"/>
  <c r="K56" i="15"/>
  <c r="L56" i="15" s="1"/>
  <c r="I56" i="15"/>
  <c r="K304" i="55"/>
  <c r="K306" i="55"/>
  <c r="H71" i="54"/>
  <c r="I71" i="54"/>
  <c r="K71" i="54" s="1"/>
  <c r="K59" i="18"/>
  <c r="L59" i="18" s="1"/>
  <c r="I59" i="18"/>
  <c r="K69" i="18"/>
  <c r="L69" i="18" s="1"/>
  <c r="I69" i="18"/>
  <c r="I58" i="18"/>
  <c r="K95" i="18"/>
  <c r="L95" i="18" s="1"/>
  <c r="I95" i="18"/>
  <c r="L58" i="18"/>
  <c r="J52" i="18"/>
  <c r="L52" i="18" s="1"/>
  <c r="I52" i="18"/>
  <c r="K196" i="15"/>
  <c r="L196" i="15" s="1"/>
  <c r="I196" i="15"/>
  <c r="K218" i="15"/>
  <c r="L218" i="15" s="1"/>
  <c r="I218" i="15"/>
  <c r="A69" i="9"/>
  <c r="A70" i="9" s="1"/>
  <c r="A71" i="9" s="1"/>
  <c r="A73" i="9" s="1"/>
  <c r="A74" i="9" s="1"/>
  <c r="A75" i="9" s="1"/>
  <c r="A76" i="9" s="1"/>
  <c r="A77" i="9" s="1"/>
  <c r="A78" i="9" s="1"/>
  <c r="A79" i="9" s="1"/>
  <c r="A80" i="9" s="1"/>
  <c r="A81" i="9" s="1"/>
  <c r="A82" i="9" s="1"/>
  <c r="A83" i="9" s="1"/>
  <c r="A84" i="9" s="1"/>
  <c r="A85" i="9" s="1"/>
  <c r="A86" i="9" s="1"/>
  <c r="A87" i="9" s="1"/>
  <c r="A89" i="9" s="1"/>
  <c r="A88" i="9"/>
  <c r="A90" i="9" s="1"/>
  <c r="A97" i="9" s="1"/>
  <c r="A137" i="9"/>
  <c r="A139" i="9" s="1"/>
  <c r="A111" i="9"/>
  <c r="A123" i="9" s="1"/>
  <c r="C36" i="15"/>
  <c r="C37" i="15" s="1"/>
  <c r="C38" i="15" s="1"/>
  <c r="C34" i="15"/>
  <c r="C35" i="15" s="1"/>
  <c r="C53" i="15"/>
  <c r="C54" i="15" s="1"/>
  <c r="C55" i="15" s="1"/>
  <c r="C56" i="15" s="1"/>
  <c r="C57" i="15" s="1"/>
  <c r="C58" i="15" s="1"/>
  <c r="C59" i="15"/>
  <c r="C80" i="15" s="1"/>
  <c r="C37" i="18"/>
  <c r="C44" i="18"/>
  <c r="B35" i="54"/>
  <c r="B36" i="54" s="1"/>
  <c r="B37" i="54" s="1"/>
  <c r="B34" i="54"/>
  <c r="B65" i="54"/>
  <c r="B32" i="55"/>
  <c r="B33" i="55" s="1"/>
  <c r="B44" i="55"/>
  <c r="B46" i="55" s="1"/>
  <c r="B39" i="55"/>
  <c r="B40" i="55" s="1"/>
  <c r="B41" i="55" s="1"/>
  <c r="B42" i="55" s="1"/>
  <c r="B43" i="55" s="1"/>
  <c r="B147" i="55"/>
  <c r="B148" i="55" s="1"/>
  <c r="B149" i="55" s="1"/>
  <c r="B150" i="55" s="1"/>
  <c r="B151" i="55" s="1"/>
  <c r="B152" i="55"/>
  <c r="B153" i="55" s="1"/>
  <c r="H154" i="55" l="1"/>
  <c r="I154" i="55"/>
  <c r="K154" i="55" s="1"/>
  <c r="H95" i="55"/>
  <c r="I95" i="55"/>
  <c r="K95" i="55" s="1"/>
  <c r="H349" i="55"/>
  <c r="I349" i="55"/>
  <c r="K349" i="55" s="1"/>
  <c r="J76" i="55"/>
  <c r="J48" i="54"/>
  <c r="K125" i="55"/>
  <c r="J85" i="55"/>
  <c r="J75" i="55"/>
  <c r="K341" i="55"/>
  <c r="I63" i="54"/>
  <c r="H63" i="54"/>
  <c r="B71" i="54"/>
  <c r="I32" i="15"/>
  <c r="J32" i="15"/>
  <c r="L32" i="15" s="1"/>
  <c r="B226" i="55"/>
  <c r="B291" i="55" s="1"/>
  <c r="B34" i="55"/>
  <c r="B35" i="55"/>
  <c r="B45" i="55"/>
  <c r="C156" i="18"/>
  <c r="C157" i="18" s="1"/>
  <c r="C45" i="18"/>
  <c r="C46" i="18" s="1"/>
  <c r="C47" i="18" s="1"/>
  <c r="C48" i="18" s="1"/>
  <c r="C49" i="18" s="1"/>
  <c r="C50" i="18"/>
  <c r="C38" i="18"/>
  <c r="C39" i="18" s="1"/>
  <c r="I74" i="15"/>
  <c r="C60" i="15"/>
  <c r="C62" i="15" s="1"/>
  <c r="C63" i="15" s="1"/>
  <c r="C64" i="15" s="1"/>
  <c r="C65" i="15" s="1"/>
  <c r="C66" i="15" s="1"/>
  <c r="C67" i="15" s="1"/>
  <c r="C68" i="15" s="1"/>
  <c r="C69" i="15" s="1"/>
  <c r="C70" i="15" s="1"/>
  <c r="C71" i="15" s="1"/>
  <c r="C72" i="15" s="1"/>
  <c r="C73" i="15" s="1"/>
  <c r="C74" i="15" s="1"/>
  <c r="C75" i="15" s="1"/>
  <c r="C76" i="15" s="1"/>
  <c r="C77" i="15" s="1"/>
  <c r="C78" i="15" s="1"/>
  <c r="C79" i="15" s="1"/>
  <c r="C39" i="15"/>
  <c r="C40" i="15" s="1"/>
  <c r="C41" i="15" s="1"/>
  <c r="A112" i="9"/>
  <c r="A113" i="9" s="1"/>
  <c r="A114" i="9" s="1"/>
  <c r="A115" i="9" s="1"/>
  <c r="A116" i="9" s="1"/>
  <c r="A117" i="9" s="1"/>
  <c r="A119" i="9" s="1"/>
  <c r="A120" i="9" s="1"/>
  <c r="A121" i="9" s="1"/>
  <c r="A122" i="9" s="1"/>
  <c r="A72" i="9"/>
  <c r="A138" i="9"/>
  <c r="A91" i="9"/>
  <c r="A93" i="9" s="1"/>
  <c r="A94" i="9" s="1"/>
  <c r="A92" i="9" s="1"/>
  <c r="A95" i="9" s="1"/>
  <c r="A96" i="9" s="1"/>
  <c r="B38" i="54"/>
  <c r="B39" i="54" s="1"/>
  <c r="K346" i="55"/>
  <c r="H346" i="55"/>
  <c r="K163" i="18"/>
  <c r="K279" i="15"/>
  <c r="L57" i="54"/>
  <c r="I97" i="54"/>
  <c r="K97" i="54" s="1"/>
  <c r="I55" i="54"/>
  <c r="K55" i="54" s="1"/>
  <c r="I96" i="54"/>
  <c r="K96" i="54" s="1"/>
  <c r="A104" i="9"/>
  <c r="A105" i="9" s="1"/>
  <c r="A106" i="9" s="1"/>
  <c r="A107" i="9" s="1"/>
  <c r="A108" i="9" s="1"/>
  <c r="A109" i="9" s="1"/>
  <c r="A98" i="9"/>
  <c r="A124" i="9"/>
  <c r="A125" i="9" s="1"/>
  <c r="A126" i="9" s="1"/>
  <c r="A127" i="9" s="1"/>
  <c r="A128" i="9"/>
  <c r="A148" i="9"/>
  <c r="A140" i="9"/>
  <c r="A141" i="9" s="1"/>
  <c r="A142" i="9" s="1"/>
  <c r="A143" i="9" s="1"/>
  <c r="A144" i="9" s="1"/>
  <c r="A145" i="9" s="1"/>
  <c r="A146" i="9" s="1"/>
  <c r="A147" i="9" s="1"/>
  <c r="C81" i="15"/>
  <c r="C82" i="15" s="1"/>
  <c r="C83" i="15" s="1"/>
  <c r="C84" i="15" s="1"/>
  <c r="C85" i="15" s="1"/>
  <c r="C86" i="15" s="1"/>
  <c r="C87" i="15"/>
  <c r="B49" i="55"/>
  <c r="B56" i="55" s="1"/>
  <c r="B47" i="55"/>
  <c r="B48" i="55" s="1"/>
  <c r="B155" i="55"/>
  <c r="B154" i="55"/>
  <c r="H350" i="55" l="1"/>
  <c r="I350" i="55"/>
  <c r="K350" i="55" s="1"/>
  <c r="J49" i="54"/>
  <c r="B227" i="55"/>
  <c r="B228" i="55" s="1"/>
  <c r="K63" i="54"/>
  <c r="B37" i="55"/>
  <c r="B36" i="55"/>
  <c r="C52" i="18"/>
  <c r="C62" i="18"/>
  <c r="C73" i="18" s="1"/>
  <c r="C75" i="18" s="1"/>
  <c r="C77" i="18" s="1"/>
  <c r="C78" i="18" s="1"/>
  <c r="C40" i="18"/>
  <c r="C41" i="18" s="1"/>
  <c r="C42" i="18" s="1"/>
  <c r="C43" i="18" s="1"/>
  <c r="C51" i="18"/>
  <c r="C53" i="18" s="1"/>
  <c r="C54" i="18" s="1"/>
  <c r="C55" i="18" s="1"/>
  <c r="C56" i="18" s="1"/>
  <c r="C57" i="18" s="1"/>
  <c r="C58" i="18" s="1"/>
  <c r="C59" i="18" s="1"/>
  <c r="C60" i="18" s="1"/>
  <c r="C61" i="18" s="1"/>
  <c r="C42" i="15"/>
  <c r="C43" i="15" s="1"/>
  <c r="C44" i="15" s="1"/>
  <c r="K167" i="18"/>
  <c r="K283" i="15"/>
  <c r="A100" i="9"/>
  <c r="A101" i="9" s="1"/>
  <c r="A102" i="9" s="1"/>
  <c r="A103" i="9" s="1"/>
  <c r="A99" i="9"/>
  <c r="A149" i="9"/>
  <c r="A150" i="9" s="1"/>
  <c r="A151" i="9" s="1"/>
  <c r="A153" i="9"/>
  <c r="A129" i="9"/>
  <c r="A130" i="9" s="1"/>
  <c r="A131" i="9" s="1"/>
  <c r="A132" i="9"/>
  <c r="A133" i="9" s="1"/>
  <c r="A134" i="9" s="1"/>
  <c r="A135" i="9" s="1"/>
  <c r="A136" i="9" s="1"/>
  <c r="C94" i="15"/>
  <c r="C100" i="15" s="1"/>
  <c r="C106" i="15" s="1"/>
  <c r="C88" i="15"/>
  <c r="C89" i="15" s="1"/>
  <c r="C90" i="15" s="1"/>
  <c r="C91" i="15" s="1"/>
  <c r="C92" i="15" s="1"/>
  <c r="C93" i="15" s="1"/>
  <c r="B50" i="55"/>
  <c r="B51" i="55" s="1"/>
  <c r="B52" i="55" s="1"/>
  <c r="B53" i="55" s="1"/>
  <c r="B54" i="55" s="1"/>
  <c r="B55" i="55" s="1"/>
  <c r="B164" i="55"/>
  <c r="B156" i="55"/>
  <c r="B294" i="55"/>
  <c r="B292" i="55"/>
  <c r="B293" i="55" s="1"/>
  <c r="B59" i="55"/>
  <c r="B57" i="55"/>
  <c r="B58" i="55" s="1"/>
  <c r="B60" i="55" l="1"/>
  <c r="B61" i="55" s="1"/>
  <c r="B62" i="55"/>
  <c r="B63" i="55" s="1"/>
  <c r="B236" i="55"/>
  <c r="B237" i="55" s="1"/>
  <c r="B69" i="54"/>
  <c r="B43" i="54"/>
  <c r="C63" i="18"/>
  <c r="A152" i="9"/>
  <c r="A154" i="9"/>
  <c r="A155" i="9" s="1"/>
  <c r="A156" i="9" s="1"/>
  <c r="A157" i="9" s="1"/>
  <c r="A158" i="9" s="1"/>
  <c r="A159" i="9"/>
  <c r="C95" i="15"/>
  <c r="C96" i="15" s="1"/>
  <c r="B74" i="54"/>
  <c r="B73" i="54"/>
  <c r="B80" i="54" s="1"/>
  <c r="B82" i="54" s="1"/>
  <c r="B221" i="55"/>
  <c r="B165" i="55"/>
  <c r="B158" i="55"/>
  <c r="B160" i="55" s="1"/>
  <c r="B157" i="55"/>
  <c r="B230" i="55"/>
  <c r="B229" i="55"/>
  <c r="B339" i="55"/>
  <c r="B295" i="55"/>
  <c r="B172" i="55" l="1"/>
  <c r="B173" i="55" s="1"/>
  <c r="B166" i="55"/>
  <c r="B167" i="55" s="1"/>
  <c r="B168" i="55" s="1"/>
  <c r="B169" i="55" s="1"/>
  <c r="B170" i="55" s="1"/>
  <c r="B171" i="55" s="1"/>
  <c r="B83" i="54"/>
  <c r="B93" i="54"/>
  <c r="B75" i="54"/>
  <c r="B76" i="54"/>
  <c r="C64" i="18"/>
  <c r="C65" i="18" s="1"/>
  <c r="C66" i="18" s="1"/>
  <c r="C67" i="18" s="1"/>
  <c r="C68" i="18" s="1"/>
  <c r="C69" i="18" s="1"/>
  <c r="C70" i="18" s="1"/>
  <c r="C71" i="18" s="1"/>
  <c r="C72" i="18" s="1"/>
  <c r="C97" i="15"/>
  <c r="C98" i="15" s="1"/>
  <c r="C99" i="15" s="1"/>
  <c r="C101" i="15"/>
  <c r="C102" i="15" s="1"/>
  <c r="C103" i="15" s="1"/>
  <c r="C104" i="15" s="1"/>
  <c r="C105" i="15" s="1"/>
  <c r="A160" i="9"/>
  <c r="A161" i="9" s="1"/>
  <c r="A162" i="9" s="1"/>
  <c r="A163" i="9" s="1"/>
  <c r="A164" i="9"/>
  <c r="C107" i="15"/>
  <c r="C108" i="15" s="1"/>
  <c r="C109" i="15" s="1"/>
  <c r="C110" i="15" s="1"/>
  <c r="C111" i="15" s="1"/>
  <c r="C112" i="15" s="1"/>
  <c r="C113" i="15"/>
  <c r="B300" i="55"/>
  <c r="B322" i="55" s="1"/>
  <c r="B296" i="55"/>
  <c r="B298" i="55" s="1"/>
  <c r="B299" i="55" s="1"/>
  <c r="B340" i="55"/>
  <c r="B348" i="55" s="1"/>
  <c r="B352" i="55"/>
  <c r="B222" i="55"/>
  <c r="B232" i="55"/>
  <c r="B231" i="55"/>
  <c r="B159" i="55"/>
  <c r="B329" i="55" l="1"/>
  <c r="B323" i="55"/>
  <c r="B331" i="55"/>
  <c r="B332" i="55" s="1"/>
  <c r="B301" i="55"/>
  <c r="B174" i="55"/>
  <c r="B176" i="55" s="1"/>
  <c r="B178" i="55" s="1"/>
  <c r="B180" i="55" s="1"/>
  <c r="B183" i="55" s="1"/>
  <c r="B186" i="55" s="1"/>
  <c r="B191" i="55" s="1"/>
  <c r="B192" i="55" s="1"/>
  <c r="B197" i="55" s="1"/>
  <c r="B200" i="55" s="1"/>
  <c r="B94" i="54"/>
  <c r="B95" i="54" s="1"/>
  <c r="B96" i="54" s="1"/>
  <c r="B97" i="54" s="1"/>
  <c r="B98" i="54" s="1"/>
  <c r="B99" i="54" s="1"/>
  <c r="B100" i="54" s="1"/>
  <c r="B101" i="54" s="1"/>
  <c r="B102" i="54"/>
  <c r="B84" i="54"/>
  <c r="B85" i="54"/>
  <c r="B77" i="54"/>
  <c r="B78" i="54"/>
  <c r="B79" i="54" s="1"/>
  <c r="A171" i="9"/>
  <c r="A172" i="9" s="1"/>
  <c r="A165" i="9"/>
  <c r="A166" i="9" s="1"/>
  <c r="A167" i="9" s="1"/>
  <c r="A168" i="9" s="1"/>
  <c r="A169" i="9" s="1"/>
  <c r="A170" i="9" s="1"/>
  <c r="C114" i="15"/>
  <c r="C115" i="15" s="1"/>
  <c r="C118" i="15"/>
  <c r="C86" i="18"/>
  <c r="C74" i="18"/>
  <c r="B305" i="55"/>
  <c r="B303" i="55" s="1"/>
  <c r="B309" i="55" s="1"/>
  <c r="B223" i="55"/>
  <c r="B224" i="55"/>
  <c r="B225" i="55" s="1"/>
  <c r="B297" i="55"/>
  <c r="B233" i="55"/>
  <c r="B234" i="55"/>
  <c r="B235" i="55" s="1"/>
  <c r="B353" i="55"/>
  <c r="B402" i="55"/>
  <c r="B341" i="55"/>
  <c r="B198" i="55" l="1"/>
  <c r="B199" i="55" s="1"/>
  <c r="B187" i="55"/>
  <c r="B188" i="55" s="1"/>
  <c r="B189" i="55" s="1"/>
  <c r="B190" i="55" s="1"/>
  <c r="B195" i="55" s="1"/>
  <c r="B184" i="55"/>
  <c r="B185" i="55" s="1"/>
  <c r="B175" i="55"/>
  <c r="B179" i="55"/>
  <c r="B181" i="55"/>
  <c r="B182" i="55" s="1"/>
  <c r="B335" i="55"/>
  <c r="B333" i="55"/>
  <c r="B310" i="55"/>
  <c r="B316" i="55" s="1"/>
  <c r="B317" i="55" s="1"/>
  <c r="B342" i="55"/>
  <c r="B349" i="55"/>
  <c r="B103" i="54"/>
  <c r="B104" i="54" s="1"/>
  <c r="B126" i="54"/>
  <c r="B87" i="54"/>
  <c r="B86" i="54"/>
  <c r="C79" i="18"/>
  <c r="C80" i="18" s="1"/>
  <c r="C81" i="18" s="1"/>
  <c r="C82" i="18" s="1"/>
  <c r="C83" i="18" s="1"/>
  <c r="C84" i="18" s="1"/>
  <c r="C85" i="18" s="1"/>
  <c r="C76" i="18"/>
  <c r="C116" i="15"/>
  <c r="C117" i="15" s="1"/>
  <c r="A173" i="9"/>
  <c r="A174" i="9" s="1"/>
  <c r="C119" i="15"/>
  <c r="C120" i="15" s="1"/>
  <c r="C121" i="15" s="1"/>
  <c r="C122" i="15"/>
  <c r="C98" i="18"/>
  <c r="C87" i="18"/>
  <c r="B306" i="55"/>
  <c r="B312" i="55" s="1"/>
  <c r="B318" i="55" s="1"/>
  <c r="B319" i="55" s="1"/>
  <c r="B407" i="55"/>
  <c r="B403" i="55"/>
  <c r="B404" i="55" s="1"/>
  <c r="B405" i="55" s="1"/>
  <c r="B354" i="55"/>
  <c r="B355" i="55" s="1"/>
  <c r="B356" i="55" s="1"/>
  <c r="B357" i="55" s="1"/>
  <c r="B358" i="55" s="1"/>
  <c r="B359" i="55" s="1"/>
  <c r="B360" i="55"/>
  <c r="B162" i="55"/>
  <c r="B163" i="55" s="1"/>
  <c r="B161" i="55"/>
  <c r="B304" i="55"/>
  <c r="B177" i="55"/>
  <c r="B193" i="55" l="1"/>
  <c r="B194" i="55" s="1"/>
  <c r="B313" i="55"/>
  <c r="B196" i="55"/>
  <c r="B201" i="55"/>
  <c r="B343" i="55"/>
  <c r="B350" i="55"/>
  <c r="B406" i="55"/>
  <c r="B88" i="54"/>
  <c r="B89" i="54"/>
  <c r="B108" i="54"/>
  <c r="B105" i="54"/>
  <c r="B106" i="54" s="1"/>
  <c r="B107" i="54" s="1"/>
  <c r="B127" i="54"/>
  <c r="B128" i="54" s="1"/>
  <c r="B129" i="54"/>
  <c r="C88" i="18"/>
  <c r="C90" i="18" s="1"/>
  <c r="C89" i="18"/>
  <c r="C123" i="15"/>
  <c r="C124" i="15" s="1"/>
  <c r="C125" i="15" s="1"/>
  <c r="C126" i="15"/>
  <c r="C99" i="18"/>
  <c r="C100" i="18" s="1"/>
  <c r="C101" i="18" s="1"/>
  <c r="C102" i="18" s="1"/>
  <c r="C103" i="18"/>
  <c r="B361" i="55"/>
  <c r="B379" i="55"/>
  <c r="B430" i="55"/>
  <c r="B431" i="55" s="1"/>
  <c r="B432" i="55" s="1"/>
  <c r="B433" i="55" s="1"/>
  <c r="B434" i="55" s="1"/>
  <c r="B435" i="55" s="1"/>
  <c r="B436" i="55" s="1"/>
  <c r="B437" i="55" s="1"/>
  <c r="B438" i="55" s="1"/>
  <c r="B439" i="55" s="1"/>
  <c r="B408" i="55"/>
  <c r="B409" i="55" s="1"/>
  <c r="B410" i="55" s="1"/>
  <c r="B411" i="55" s="1"/>
  <c r="B412" i="55" s="1"/>
  <c r="B413" i="55" s="1"/>
  <c r="B414" i="55" s="1"/>
  <c r="B415" i="55" s="1"/>
  <c r="B416" i="55" s="1"/>
  <c r="B417" i="55" s="1"/>
  <c r="B418" i="55" s="1"/>
  <c r="B419" i="55" s="1"/>
  <c r="B420" i="55" s="1"/>
  <c r="B421" i="55" s="1"/>
  <c r="B422" i="55" s="1"/>
  <c r="B423" i="55" s="1"/>
  <c r="B424" i="55" s="1"/>
  <c r="B425" i="55" s="1"/>
  <c r="B426" i="55" s="1"/>
  <c r="B427" i="55" s="1"/>
  <c r="B428" i="55" s="1"/>
  <c r="B429" i="55" s="1"/>
  <c r="B334" i="55"/>
  <c r="B337" i="55" s="1"/>
  <c r="B338" i="55" s="1"/>
  <c r="B302" i="55"/>
  <c r="B307" i="55" s="1"/>
  <c r="B308" i="55" s="1"/>
  <c r="B314" i="55" s="1"/>
  <c r="B315" i="55" l="1"/>
  <c r="B320" i="55"/>
  <c r="B321" i="55" s="1"/>
  <c r="B202" i="55"/>
  <c r="B203" i="55" s="1"/>
  <c r="B204" i="55"/>
  <c r="B344" i="55"/>
  <c r="B345" i="55" s="1"/>
  <c r="B346" i="55" s="1"/>
  <c r="B347" i="55" s="1"/>
  <c r="B351" i="55"/>
  <c r="B440" i="55"/>
  <c r="B441" i="55" s="1"/>
  <c r="B442" i="55" s="1"/>
  <c r="B443" i="55" s="1"/>
  <c r="B444" i="55" s="1"/>
  <c r="B445" i="55" s="1"/>
  <c r="B446" i="55" s="1"/>
  <c r="B447" i="55" s="1"/>
  <c r="B448" i="55" s="1"/>
  <c r="B449" i="55" s="1"/>
  <c r="B450" i="55" s="1"/>
  <c r="B451" i="55" s="1"/>
  <c r="B452" i="55" s="1"/>
  <c r="B453" i="55" s="1"/>
  <c r="B454" i="55" s="1"/>
  <c r="B455" i="55" s="1"/>
  <c r="B456" i="55" s="1"/>
  <c r="B457" i="55" s="1"/>
  <c r="B458" i="55" s="1"/>
  <c r="B459" i="55" s="1"/>
  <c r="B460" i="55" s="1"/>
  <c r="B461" i="55" s="1"/>
  <c r="B90" i="54"/>
  <c r="B91" i="54"/>
  <c r="B92" i="54" s="1"/>
  <c r="B109" i="54"/>
  <c r="B130" i="54"/>
  <c r="B131" i="54" s="1"/>
  <c r="B132" i="54" s="1"/>
  <c r="B133" i="54" s="1"/>
  <c r="B134" i="54" s="1"/>
  <c r="B135" i="54" s="1"/>
  <c r="B136" i="54" s="1"/>
  <c r="B137" i="54" s="1"/>
  <c r="B138" i="54" s="1"/>
  <c r="B139" i="54" s="1"/>
  <c r="B140" i="54" s="1"/>
  <c r="B141" i="54" s="1"/>
  <c r="B142" i="54" s="1"/>
  <c r="B143" i="54" s="1"/>
  <c r="B144" i="54"/>
  <c r="B159" i="54" s="1"/>
  <c r="C92" i="18"/>
  <c r="C93" i="18" s="1"/>
  <c r="C94" i="18" s="1"/>
  <c r="C95" i="18" s="1"/>
  <c r="C96" i="18" s="1"/>
  <c r="C97" i="18" s="1"/>
  <c r="C91" i="18"/>
  <c r="C127" i="15"/>
  <c r="C128" i="15" s="1"/>
  <c r="C129" i="15" s="1"/>
  <c r="C130" i="15" s="1"/>
  <c r="C131" i="15"/>
  <c r="C104" i="18"/>
  <c r="C105" i="18" s="1"/>
  <c r="C106" i="18" s="1"/>
  <c r="C107" i="18" s="1"/>
  <c r="C108" i="18"/>
  <c r="B380" i="55"/>
  <c r="B381" i="55" s="1"/>
  <c r="B382" i="55" s="1"/>
  <c r="B383" i="55"/>
  <c r="B384" i="55" s="1"/>
  <c r="B370" i="55"/>
  <c r="B362" i="55"/>
  <c r="B363" i="55" s="1"/>
  <c r="B364" i="55" s="1"/>
  <c r="B365" i="55" s="1"/>
  <c r="B366" i="55" s="1"/>
  <c r="B367" i="55" s="1"/>
  <c r="B368" i="55" s="1"/>
  <c r="B369" i="55" s="1"/>
  <c r="B462" i="55"/>
  <c r="B205" i="55" l="1"/>
  <c r="B206" i="55" s="1"/>
  <c r="B207" i="55"/>
  <c r="B371" i="55"/>
  <c r="B372" i="55" s="1"/>
  <c r="B110" i="54"/>
  <c r="B111" i="54" s="1"/>
  <c r="B112" i="54" s="1"/>
  <c r="B113" i="54" s="1"/>
  <c r="B114" i="54" s="1"/>
  <c r="B116" i="54"/>
  <c r="B145" i="54"/>
  <c r="C135" i="15"/>
  <c r="C132" i="15"/>
  <c r="C133" i="15" s="1"/>
  <c r="C134" i="15" s="1"/>
  <c r="C114" i="18"/>
  <c r="C109" i="18"/>
  <c r="C110" i="18" s="1"/>
  <c r="C111" i="18" s="1"/>
  <c r="C112" i="18" s="1"/>
  <c r="C113" i="18" s="1"/>
  <c r="B389" i="55"/>
  <c r="B390" i="55" s="1"/>
  <c r="B385" i="55"/>
  <c r="B386" i="55" s="1"/>
  <c r="B387" i="55" s="1"/>
  <c r="B388" i="55" s="1"/>
  <c r="B479" i="55"/>
  <c r="B463" i="55"/>
  <c r="B475" i="55" s="1"/>
  <c r="B208" i="55" l="1"/>
  <c r="B209" i="55" s="1"/>
  <c r="B210" i="55"/>
  <c r="B373" i="55"/>
  <c r="B374" i="55" s="1"/>
  <c r="B375" i="55" s="1"/>
  <c r="B376" i="55" s="1"/>
  <c r="B377" i="55" s="1"/>
  <c r="B378" i="55" s="1"/>
  <c r="B399" i="55"/>
  <c r="B400" i="55" s="1"/>
  <c r="B401" i="55" s="1"/>
  <c r="B391" i="55"/>
  <c r="B392" i="55" s="1"/>
  <c r="B393" i="55" s="1"/>
  <c r="B394" i="55" s="1"/>
  <c r="B395" i="55" s="1"/>
  <c r="B396" i="55" s="1"/>
  <c r="B397" i="55" s="1"/>
  <c r="B117" i="54"/>
  <c r="B118" i="54"/>
  <c r="B115" i="54"/>
  <c r="B120" i="54"/>
  <c r="B121" i="54" s="1"/>
  <c r="B160" i="54"/>
  <c r="B161" i="54" s="1"/>
  <c r="B162" i="54" s="1"/>
  <c r="B163" i="54" s="1"/>
  <c r="B164" i="54" s="1"/>
  <c r="B165" i="54" s="1"/>
  <c r="B166" i="54" s="1"/>
  <c r="B167" i="54" s="1"/>
  <c r="B168" i="54" s="1"/>
  <c r="B169" i="54" s="1"/>
  <c r="B170" i="54"/>
  <c r="B154" i="54"/>
  <c r="B155" i="54" s="1"/>
  <c r="B148" i="54"/>
  <c r="C136" i="15"/>
  <c r="C137" i="15" s="1"/>
  <c r="C138" i="15" s="1"/>
  <c r="C139" i="15" s="1"/>
  <c r="C140" i="15" s="1"/>
  <c r="C141" i="15" s="1"/>
  <c r="C142" i="15"/>
  <c r="C119" i="18"/>
  <c r="C115" i="18"/>
  <c r="C116" i="18" s="1"/>
  <c r="C117" i="18" s="1"/>
  <c r="C118" i="18" s="1"/>
  <c r="B464" i="55"/>
  <c r="B465" i="55" s="1"/>
  <c r="B466" i="55" s="1"/>
  <c r="B467" i="55" s="1"/>
  <c r="B468" i="55" s="1"/>
  <c r="B469" i="55" s="1"/>
  <c r="B470" i="55" s="1"/>
  <c r="B471" i="55" s="1"/>
  <c r="B472" i="55" s="1"/>
  <c r="B473" i="55" s="1"/>
  <c r="B474" i="55" s="1"/>
  <c r="B571" i="55"/>
  <c r="B480" i="55"/>
  <c r="B508" i="55" s="1"/>
  <c r="B211" i="55" l="1"/>
  <c r="B212" i="55"/>
  <c r="B213" i="55" s="1"/>
  <c r="B398" i="55"/>
  <c r="B146" i="54"/>
  <c r="B147" i="54" s="1"/>
  <c r="B122" i="54"/>
  <c r="B123" i="54" s="1"/>
  <c r="B124" i="54" s="1"/>
  <c r="B125" i="54" s="1"/>
  <c r="B119" i="54"/>
  <c r="B149" i="54"/>
  <c r="B150" i="54"/>
  <c r="B158" i="54"/>
  <c r="B156" i="54"/>
  <c r="B157" i="54" s="1"/>
  <c r="B171" i="54"/>
  <c r="B173" i="54" s="1"/>
  <c r="B174" i="54"/>
  <c r="C143" i="15"/>
  <c r="C144" i="15" s="1"/>
  <c r="C145" i="15" s="1"/>
  <c r="C146" i="15" s="1"/>
  <c r="C147" i="15"/>
  <c r="C153" i="15" s="1"/>
  <c r="C159" i="15" s="1"/>
  <c r="C125" i="18"/>
  <c r="C120" i="18"/>
  <c r="C121" i="18" s="1"/>
  <c r="C122" i="18" s="1"/>
  <c r="B481" i="55"/>
  <c r="B482" i="55" s="1"/>
  <c r="B483" i="55" s="1"/>
  <c r="B484" i="55" s="1"/>
  <c r="B485" i="55" s="1"/>
  <c r="B486" i="55" s="1"/>
  <c r="B487" i="55" s="1"/>
  <c r="B488" i="55" s="1"/>
  <c r="B489" i="55" s="1"/>
  <c r="B490" i="55" s="1"/>
  <c r="B491" i="55" s="1"/>
  <c r="B492" i="55" s="1"/>
  <c r="B493" i="55" s="1"/>
  <c r="B494" i="55" s="1"/>
  <c r="B495" i="55" s="1"/>
  <c r="B496" i="55" s="1"/>
  <c r="B497" i="55" s="1"/>
  <c r="B498" i="55" s="1"/>
  <c r="B499" i="55" s="1"/>
  <c r="B500" i="55" s="1"/>
  <c r="B501" i="55" s="1"/>
  <c r="B502" i="55" s="1"/>
  <c r="B503" i="55" s="1"/>
  <c r="B504" i="55" s="1"/>
  <c r="B505" i="55" s="1"/>
  <c r="B506" i="55" s="1"/>
  <c r="B578" i="55"/>
  <c r="B217" i="55" l="1"/>
  <c r="B214" i="55"/>
  <c r="B215" i="55" s="1"/>
  <c r="B216" i="55" s="1"/>
  <c r="B218" i="55" s="1"/>
  <c r="B219" i="55" s="1"/>
  <c r="B220" i="55" s="1"/>
  <c r="B476" i="55"/>
  <c r="B477" i="55"/>
  <c r="B478" i="55" s="1"/>
  <c r="B151" i="54"/>
  <c r="B152" i="54"/>
  <c r="B153" i="54" s="1"/>
  <c r="B176" i="54"/>
  <c r="B177" i="54" s="1"/>
  <c r="B178" i="54" s="1"/>
  <c r="B179" i="54" s="1"/>
  <c r="B180" i="54" s="1"/>
  <c r="B181" i="54" s="1"/>
  <c r="B182" i="54" s="1"/>
  <c r="B175" i="54"/>
  <c r="C124" i="18"/>
  <c r="C123" i="18"/>
  <c r="C154" i="15"/>
  <c r="C155" i="15" s="1"/>
  <c r="C156" i="15" s="1"/>
  <c r="C157" i="15" s="1"/>
  <c r="C158" i="15" s="1"/>
  <c r="C126" i="18"/>
  <c r="C127" i="18" s="1"/>
  <c r="C128" i="18" s="1"/>
  <c r="C129" i="18" s="1"/>
  <c r="C130" i="18"/>
  <c r="C131" i="18" s="1"/>
  <c r="C132" i="18" s="1"/>
  <c r="C133" i="18" s="1"/>
  <c r="C134" i="18" s="1"/>
  <c r="C148" i="15"/>
  <c r="C149" i="15" s="1"/>
  <c r="C150" i="15" s="1"/>
  <c r="C151" i="15" s="1"/>
  <c r="C152" i="15" s="1"/>
  <c r="B582" i="55"/>
  <c r="B585" i="55" s="1"/>
  <c r="B579" i="55"/>
  <c r="B580" i="55" s="1"/>
  <c r="B581" i="55" s="1"/>
  <c r="B562" i="55"/>
  <c r="B183" i="54" l="1"/>
  <c r="C165" i="15"/>
  <c r="C160" i="15"/>
  <c r="C161" i="15" s="1"/>
  <c r="B563" i="55"/>
  <c r="B564" i="55" s="1"/>
  <c r="B565" i="55" s="1"/>
  <c r="B566" i="55"/>
  <c r="B572" i="55"/>
  <c r="B583" i="55"/>
  <c r="B584" i="55" s="1"/>
  <c r="B509" i="55"/>
  <c r="B510" i="55" s="1"/>
  <c r="B511" i="55" s="1"/>
  <c r="B512" i="55" s="1"/>
  <c r="B513" i="55" s="1"/>
  <c r="B514" i="55" s="1"/>
  <c r="B515" i="55" s="1"/>
  <c r="B516" i="55" s="1"/>
  <c r="B517" i="55" s="1"/>
  <c r="B518" i="55" s="1"/>
  <c r="B519" i="55" s="1"/>
  <c r="B520" i="55" s="1"/>
  <c r="B573" i="55" l="1"/>
  <c r="B576" i="55" s="1"/>
  <c r="B575" i="55"/>
  <c r="B522" i="55"/>
  <c r="B524" i="55" s="1"/>
  <c r="B525" i="55" s="1"/>
  <c r="B526" i="55" s="1"/>
  <c r="B527" i="55" s="1"/>
  <c r="B528" i="55" s="1"/>
  <c r="B529" i="55" s="1"/>
  <c r="B521" i="55"/>
  <c r="B523" i="55" s="1"/>
  <c r="B200" i="54"/>
  <c r="B184" i="54"/>
  <c r="B185" i="54" s="1"/>
  <c r="B186" i="54" s="1"/>
  <c r="B187" i="54" s="1"/>
  <c r="B188" i="54" s="1"/>
  <c r="B189" i="54" s="1"/>
  <c r="B190" i="54" s="1"/>
  <c r="B191" i="54" s="1"/>
  <c r="B192" i="54" s="1"/>
  <c r="B193" i="54" s="1"/>
  <c r="B194" i="54" s="1"/>
  <c r="B195" i="54" s="1"/>
  <c r="B196" i="54" s="1"/>
  <c r="B197" i="54" s="1"/>
  <c r="B198" i="54" s="1"/>
  <c r="B199" i="54" s="1"/>
  <c r="C162" i="15"/>
  <c r="C163" i="15" s="1"/>
  <c r="C164" i="15" s="1"/>
  <c r="C166" i="15"/>
  <c r="C167" i="15" s="1"/>
  <c r="C168" i="15" s="1"/>
  <c r="C169" i="15" s="1"/>
  <c r="C170" i="15" s="1"/>
  <c r="C171" i="15" s="1"/>
  <c r="C172" i="15"/>
  <c r="C177" i="15" s="1"/>
  <c r="C188" i="15" s="1"/>
  <c r="C199" i="15" s="1"/>
  <c r="C210" i="15" s="1"/>
  <c r="C221" i="15" s="1"/>
  <c r="B567" i="55"/>
  <c r="B568" i="55"/>
  <c r="B569" i="55" s="1"/>
  <c r="B570" i="55" s="1"/>
  <c r="B630" i="55"/>
  <c r="B586" i="55"/>
  <c r="B574" i="55" l="1"/>
  <c r="B577" i="55" s="1"/>
  <c r="B531" i="55"/>
  <c r="B532" i="55" s="1"/>
  <c r="B533" i="55" s="1"/>
  <c r="B534" i="55" s="1"/>
  <c r="B535" i="55" s="1"/>
  <c r="B536" i="55" s="1"/>
  <c r="B537" i="55" s="1"/>
  <c r="B538" i="55" s="1"/>
  <c r="B539" i="55" s="1"/>
  <c r="B540" i="55" s="1"/>
  <c r="B541" i="55" s="1"/>
  <c r="B542" i="55" s="1"/>
  <c r="B543" i="55" s="1"/>
  <c r="B544" i="55" s="1"/>
  <c r="B545" i="55" s="1"/>
  <c r="B546" i="55" s="1"/>
  <c r="B547" i="55" s="1"/>
  <c r="B548" i="55" s="1"/>
  <c r="B549" i="55" s="1"/>
  <c r="B550" i="55" s="1"/>
  <c r="B551" i="55" s="1"/>
  <c r="B552" i="55" s="1"/>
  <c r="B553" i="55" s="1"/>
  <c r="B554" i="55" s="1"/>
  <c r="B555" i="55" s="1"/>
  <c r="B556" i="55" s="1"/>
  <c r="B557" i="55" s="1"/>
  <c r="B558" i="55" s="1"/>
  <c r="B559" i="55" s="1"/>
  <c r="B560" i="55" s="1"/>
  <c r="B530" i="55"/>
  <c r="B204" i="54"/>
  <c r="B205" i="54" s="1"/>
  <c r="B206" i="54" s="1"/>
  <c r="B207" i="54" s="1"/>
  <c r="B201" i="54"/>
  <c r="B202" i="54" s="1"/>
  <c r="B203" i="54" s="1"/>
  <c r="C222" i="15"/>
  <c r="C223" i="15" s="1"/>
  <c r="C224" i="15" s="1"/>
  <c r="C225" i="15" s="1"/>
  <c r="C226" i="15" s="1"/>
  <c r="C227" i="15" s="1"/>
  <c r="C228" i="15" s="1"/>
  <c r="C229" i="15" s="1"/>
  <c r="C230" i="15" s="1"/>
  <c r="C231" i="15" s="1"/>
  <c r="C232" i="15"/>
  <c r="C178" i="15"/>
  <c r="C179" i="15" s="1"/>
  <c r="C180" i="15" s="1"/>
  <c r="C181" i="15" s="1"/>
  <c r="C182" i="15" s="1"/>
  <c r="C183" i="15" s="1"/>
  <c r="C184" i="15" s="1"/>
  <c r="C185" i="15" s="1"/>
  <c r="C186" i="15" s="1"/>
  <c r="C187" i="15" s="1"/>
  <c r="C200" i="15"/>
  <c r="C201" i="15" s="1"/>
  <c r="C202" i="15" s="1"/>
  <c r="C203" i="15" s="1"/>
  <c r="C204" i="15" s="1"/>
  <c r="C205" i="15" s="1"/>
  <c r="C206" i="15" s="1"/>
  <c r="C207" i="15" s="1"/>
  <c r="C208" i="15" s="1"/>
  <c r="C209" i="15" s="1"/>
  <c r="C173" i="15"/>
  <c r="C174" i="15" s="1"/>
  <c r="C175" i="15" s="1"/>
  <c r="C176" i="15" s="1"/>
  <c r="B238" i="55"/>
  <c r="B587" i="55"/>
  <c r="B588" i="55" s="1"/>
  <c r="B589" i="55" s="1"/>
  <c r="B590" i="55" s="1"/>
  <c r="B591" i="55" s="1"/>
  <c r="B592" i="55" s="1"/>
  <c r="B593" i="55"/>
  <c r="B631" i="55"/>
  <c r="B632" i="55" s="1"/>
  <c r="B633" i="55" s="1"/>
  <c r="B634" i="55"/>
  <c r="B239" i="55" l="1"/>
  <c r="B241" i="55" s="1"/>
  <c r="B242" i="55" s="1"/>
  <c r="B243" i="55" s="1"/>
  <c r="B240" i="55"/>
  <c r="C233" i="15"/>
  <c r="C234" i="15" s="1"/>
  <c r="C235" i="15" s="1"/>
  <c r="C236" i="15" s="1"/>
  <c r="C237" i="15" s="1"/>
  <c r="C238" i="15" s="1"/>
  <c r="C239" i="15" s="1"/>
  <c r="C240" i="15" s="1"/>
  <c r="C241" i="15" s="1"/>
  <c r="C242" i="15" s="1"/>
  <c r="C243" i="15"/>
  <c r="C189" i="15"/>
  <c r="C190" i="15" s="1"/>
  <c r="C191" i="15" s="1"/>
  <c r="C192" i="15" s="1"/>
  <c r="B641" i="55"/>
  <c r="B635" i="55"/>
  <c r="B594" i="55"/>
  <c r="B597" i="55" s="1"/>
  <c r="B599" i="55"/>
  <c r="B244" i="55" l="1"/>
  <c r="B245" i="55"/>
  <c r="C193" i="15"/>
  <c r="C194" i="15" s="1"/>
  <c r="C195" i="15" s="1"/>
  <c r="C196" i="15" s="1"/>
  <c r="C197" i="15" s="1"/>
  <c r="C198" i="15" s="1"/>
  <c r="C211" i="15"/>
  <c r="B600" i="55"/>
  <c r="B601" i="55" s="1"/>
  <c r="B602" i="55" s="1"/>
  <c r="B603" i="55" s="1"/>
  <c r="B604" i="55" s="1"/>
  <c r="B616" i="55"/>
  <c r="B617" i="55" s="1"/>
  <c r="B595" i="55"/>
  <c r="B596" i="55" s="1"/>
  <c r="B636" i="55"/>
  <c r="B637" i="55" s="1"/>
  <c r="B652" i="55"/>
  <c r="B665" i="55"/>
  <c r="B642" i="55"/>
  <c r="B247" i="55" l="1"/>
  <c r="B246" i="55"/>
  <c r="B605" i="55"/>
  <c r="B606" i="55" s="1"/>
  <c r="B607" i="55" s="1"/>
  <c r="B608" i="55" s="1"/>
  <c r="B609" i="55" s="1"/>
  <c r="B610" i="55" s="1"/>
  <c r="B611" i="55" s="1"/>
  <c r="B612" i="55" s="1"/>
  <c r="B613" i="55" s="1"/>
  <c r="B614" i="55" s="1"/>
  <c r="B615" i="55" s="1"/>
  <c r="C212" i="15"/>
  <c r="C213" i="15" s="1"/>
  <c r="C214" i="15" s="1"/>
  <c r="C215" i="15" s="1"/>
  <c r="C216" i="15" s="1"/>
  <c r="C217" i="15" s="1"/>
  <c r="C218" i="15" s="1"/>
  <c r="C219" i="15" s="1"/>
  <c r="C220" i="15" s="1"/>
  <c r="B643" i="55"/>
  <c r="C244" i="15"/>
  <c r="C245" i="15" s="1"/>
  <c r="C246" i="15" s="1"/>
  <c r="C247" i="15" s="1"/>
  <c r="C248" i="15" s="1"/>
  <c r="C249" i="15"/>
  <c r="B618" i="55"/>
  <c r="B704" i="55"/>
  <c r="B666" i="55"/>
  <c r="B638" i="55"/>
  <c r="B660" i="55"/>
  <c r="B653" i="55"/>
  <c r="B654" i="55" s="1"/>
  <c r="B248" i="55" l="1"/>
  <c r="B258" i="55" s="1"/>
  <c r="B259" i="55" s="1"/>
  <c r="B249" i="55"/>
  <c r="B251" i="55" s="1"/>
  <c r="B253" i="55" s="1"/>
  <c r="B661" i="55"/>
  <c r="B662" i="55" s="1"/>
  <c r="B664" i="55" s="1"/>
  <c r="B640" i="55"/>
  <c r="B639" i="55"/>
  <c r="B647" i="55"/>
  <c r="B648" i="55" s="1"/>
  <c r="B649" i="55" s="1"/>
  <c r="B644" i="55"/>
  <c r="B645" i="55" s="1"/>
  <c r="B646" i="55" s="1"/>
  <c r="C254" i="15"/>
  <c r="C250" i="15"/>
  <c r="C251" i="15" s="1"/>
  <c r="C252" i="15" s="1"/>
  <c r="C253" i="15" s="1"/>
  <c r="B657" i="55"/>
  <c r="B658" i="55" s="1"/>
  <c r="B659" i="55" s="1"/>
  <c r="B683" i="55"/>
  <c r="B684" i="55" s="1"/>
  <c r="B667" i="55"/>
  <c r="B705" i="55"/>
  <c r="B706" i="55" s="1"/>
  <c r="B707" i="55" s="1"/>
  <c r="B714" i="55"/>
  <c r="B715" i="55" s="1"/>
  <c r="B716" i="55" s="1"/>
  <c r="B260" i="55" l="1"/>
  <c r="B261" i="55"/>
  <c r="B255" i="55"/>
  <c r="B254" i="55"/>
  <c r="B250" i="55"/>
  <c r="B252" i="55" s="1"/>
  <c r="B663" i="55"/>
  <c r="B650" i="55"/>
  <c r="B651" i="55" s="1"/>
  <c r="C258" i="15"/>
  <c r="C259" i="15" s="1"/>
  <c r="C263" i="15" s="1"/>
  <c r="C255" i="15"/>
  <c r="C256" i="15" s="1"/>
  <c r="C257" i="15" s="1"/>
  <c r="B738" i="55"/>
  <c r="B717" i="55"/>
  <c r="B718" i="55" s="1"/>
  <c r="B719" i="55" s="1"/>
  <c r="B720" i="55" s="1"/>
  <c r="B721" i="55" s="1"/>
  <c r="B722" i="55" s="1"/>
  <c r="B723" i="55" s="1"/>
  <c r="B724" i="55" s="1"/>
  <c r="B725" i="55" s="1"/>
  <c r="B726" i="55" s="1"/>
  <c r="B727" i="55" s="1"/>
  <c r="B728" i="55" s="1"/>
  <c r="B729" i="55" s="1"/>
  <c r="B730" i="55" s="1"/>
  <c r="B731" i="55" s="1"/>
  <c r="B732" i="55" s="1"/>
  <c r="B733" i="55" s="1"/>
  <c r="B734" i="55" s="1"/>
  <c r="B735" i="55" s="1"/>
  <c r="B708" i="55"/>
  <c r="B668" i="55"/>
  <c r="B675" i="55"/>
  <c r="B676" i="55" s="1"/>
  <c r="B693" i="55"/>
  <c r="B685" i="55"/>
  <c r="B689" i="55" s="1"/>
  <c r="B691" i="55" s="1"/>
  <c r="B598" i="55"/>
  <c r="B655" i="55"/>
  <c r="B656" i="55" s="1"/>
  <c r="B271" i="55" l="1"/>
  <c r="B262" i="55"/>
  <c r="B263" i="55" s="1"/>
  <c r="B273" i="55" s="1"/>
  <c r="B274" i="55" s="1"/>
  <c r="B256" i="55"/>
  <c r="B257" i="55"/>
  <c r="B737" i="55"/>
  <c r="B736" i="55"/>
  <c r="B709" i="55"/>
  <c r="B710" i="55" s="1"/>
  <c r="B711" i="55"/>
  <c r="C264" i="15"/>
  <c r="C265" i="15" s="1"/>
  <c r="C266" i="15" s="1"/>
  <c r="C267" i="15" s="1"/>
  <c r="C268" i="15"/>
  <c r="C269" i="15" s="1"/>
  <c r="C270" i="15" s="1"/>
  <c r="C271" i="15" s="1"/>
  <c r="C272" i="15" s="1"/>
  <c r="C273" i="15" s="1"/>
  <c r="C260" i="15"/>
  <c r="C261" i="15" s="1"/>
  <c r="C262" i="15" s="1"/>
  <c r="C278" i="15" s="1"/>
  <c r="B623" i="55"/>
  <c r="B624" i="55" s="1"/>
  <c r="B625" i="55" s="1"/>
  <c r="B626" i="55" s="1"/>
  <c r="B627" i="55" s="1"/>
  <c r="B619" i="55"/>
  <c r="B739" i="55"/>
  <c r="B740" i="55" s="1"/>
  <c r="B752" i="55"/>
  <c r="B686" i="55"/>
  <c r="B687" i="55" s="1"/>
  <c r="B688" i="55" s="1"/>
  <c r="B702" i="55"/>
  <c r="B703" i="55" s="1"/>
  <c r="B694" i="55"/>
  <c r="B677" i="55"/>
  <c r="B678" i="55" s="1"/>
  <c r="B679" i="55"/>
  <c r="B669" i="55"/>
  <c r="B670" i="55" s="1"/>
  <c r="B671" i="55"/>
  <c r="B264" i="55" l="1"/>
  <c r="B265" i="55" s="1"/>
  <c r="B275" i="55" s="1"/>
  <c r="B266" i="55"/>
  <c r="B267" i="55" s="1"/>
  <c r="B268" i="55" s="1"/>
  <c r="B272" i="55"/>
  <c r="B741" i="55"/>
  <c r="B742" i="55" s="1"/>
  <c r="B743" i="55" s="1"/>
  <c r="B744" i="55" s="1"/>
  <c r="B745" i="55" s="1"/>
  <c r="B746" i="55" s="1"/>
  <c r="B747" i="55" s="1"/>
  <c r="B748" i="55" s="1"/>
  <c r="B749" i="55" s="1"/>
  <c r="B750" i="55" s="1"/>
  <c r="B751" i="55" s="1"/>
  <c r="B621" i="55"/>
  <c r="B622" i="55" s="1"/>
  <c r="B620" i="55"/>
  <c r="B628" i="55"/>
  <c r="B629" i="55" s="1"/>
  <c r="B681" i="55"/>
  <c r="B682" i="55" s="1"/>
  <c r="B680" i="55"/>
  <c r="B698" i="55"/>
  <c r="B695" i="55"/>
  <c r="B696" i="55" s="1"/>
  <c r="B697" i="55" s="1"/>
  <c r="B753" i="55"/>
  <c r="B764" i="55"/>
  <c r="B768" i="55" s="1"/>
  <c r="B769" i="55" s="1"/>
  <c r="B672" i="55"/>
  <c r="B673" i="55"/>
  <c r="B674" i="55" s="1"/>
  <c r="B276" i="55" l="1"/>
  <c r="B277" i="55" s="1"/>
  <c r="B285" i="55"/>
  <c r="B269" i="55"/>
  <c r="B270" i="55" s="1"/>
  <c r="B278" i="55"/>
  <c r="B288" i="55" s="1"/>
  <c r="B289" i="55" s="1"/>
  <c r="B290" i="55" s="1"/>
  <c r="B754" i="55"/>
  <c r="B755" i="55" s="1"/>
  <c r="B756" i="55" s="1"/>
  <c r="B757" i="55" s="1"/>
  <c r="B758" i="55" s="1"/>
  <c r="B759" i="55" s="1"/>
  <c r="B760" i="55" s="1"/>
  <c r="B761" i="55" s="1"/>
  <c r="B762" i="55" s="1"/>
  <c r="B763" i="55" s="1"/>
  <c r="B700" i="55"/>
  <c r="B701" i="55" s="1"/>
  <c r="B699" i="55"/>
  <c r="B765" i="55"/>
  <c r="B766" i="55" s="1"/>
  <c r="B767" i="55" s="1"/>
  <c r="B692" i="55"/>
  <c r="B712" i="55"/>
  <c r="B713" i="55" s="1"/>
  <c r="B770" i="55"/>
  <c r="B771" i="55" s="1"/>
  <c r="B772" i="55"/>
  <c r="B773" i="55" s="1"/>
  <c r="B286" i="55" l="1"/>
  <c r="B287" i="55" s="1"/>
  <c r="B279" i="55"/>
  <c r="B282" i="55" s="1"/>
  <c r="B283" i="55" s="1"/>
  <c r="B284" i="55" s="1"/>
  <c r="B690" i="55"/>
  <c r="B311" i="55" l="1"/>
  <c r="B336" i="55" l="1"/>
  <c r="B324" i="55" l="1"/>
  <c r="J703" i="55" l="1"/>
  <c r="I699" i="55"/>
  <c r="I680" i="55"/>
  <c r="I121" i="55"/>
  <c r="I154" i="9"/>
  <c r="I130" i="9"/>
  <c r="H130" i="9"/>
  <c r="H17" i="3"/>
  <c r="I105" i="55"/>
  <c r="I35" i="55"/>
  <c r="I36" i="55"/>
  <c r="I28" i="55"/>
  <c r="I37" i="55"/>
  <c r="I29" i="55"/>
  <c r="I34" i="55"/>
  <c r="I97" i="55"/>
  <c r="I60" i="55"/>
  <c r="I96" i="55"/>
  <c r="I56" i="54"/>
  <c r="K56" i="54" s="1"/>
  <c r="H56" i="54"/>
  <c r="I91" i="55"/>
  <c r="I703" i="55"/>
  <c r="I640" i="55"/>
  <c r="J640" i="55"/>
  <c r="I157" i="55"/>
  <c r="I311" i="55"/>
  <c r="I334" i="55"/>
  <c r="I297" i="55"/>
  <c r="I144" i="55"/>
  <c r="I225" i="55"/>
  <c r="F27" i="24"/>
  <c r="G161" i="9"/>
  <c r="G56" i="9"/>
  <c r="G112" i="9"/>
  <c r="G163" i="9"/>
  <c r="G113" i="9"/>
  <c r="G120" i="9"/>
  <c r="G95" i="9"/>
  <c r="G166" i="9"/>
  <c r="G98" i="9"/>
  <c r="G49" i="9"/>
  <c r="G129" i="9"/>
  <c r="H26" i="3"/>
  <c r="H496" i="55"/>
  <c r="J496" i="55"/>
  <c r="H505" i="55"/>
  <c r="J505" i="55"/>
  <c r="K505" i="55" s="1"/>
  <c r="H529" i="55"/>
  <c r="J529" i="55"/>
  <c r="K529" i="55" s="1"/>
  <c r="K119" i="55"/>
  <c r="H119" i="55"/>
  <c r="H531" i="55"/>
  <c r="J531" i="55"/>
  <c r="K531" i="55" s="1"/>
  <c r="H498" i="55"/>
  <c r="J498" i="55"/>
  <c r="K498" i="55" s="1"/>
  <c r="J511" i="55"/>
  <c r="K511" i="55" s="1"/>
  <c r="H511" i="55"/>
  <c r="H712" i="55"/>
  <c r="J765" i="55"/>
  <c r="J499" i="55"/>
  <c r="K499" i="55" s="1"/>
  <c r="H499" i="55"/>
  <c r="H524" i="55"/>
  <c r="J524" i="55"/>
  <c r="K524" i="55" s="1"/>
  <c r="H713" i="55"/>
  <c r="I122" i="55" l="1"/>
  <c r="K122" i="55" s="1"/>
  <c r="I43" i="55"/>
  <c r="K43" i="55" s="1"/>
  <c r="I42" i="55"/>
  <c r="I324" i="55"/>
  <c r="I299" i="55"/>
  <c r="J155" i="15"/>
  <c r="L155" i="15" s="1"/>
  <c r="J371" i="55"/>
  <c r="K371" i="55" s="1"/>
  <c r="J368" i="55"/>
  <c r="K368" i="55" s="1"/>
  <c r="H367" i="55"/>
  <c r="J369" i="55"/>
  <c r="K369" i="55" s="1"/>
  <c r="H369" i="55"/>
  <c r="L479" i="55"/>
  <c r="M149" i="55" s="1"/>
  <c r="I113" i="55"/>
  <c r="L764" i="55"/>
  <c r="J120" i="54"/>
  <c r="J121" i="54"/>
  <c r="K121" i="54" s="1"/>
  <c r="H121" i="54"/>
  <c r="J156" i="15"/>
  <c r="L156" i="15" s="1"/>
  <c r="I29" i="54"/>
  <c r="K29" i="54" s="1"/>
  <c r="H29" i="54"/>
  <c r="I293" i="55"/>
  <c r="K29" i="55"/>
  <c r="I30" i="55"/>
  <c r="H29" i="55"/>
  <c r="K36" i="55"/>
  <c r="H36" i="55"/>
  <c r="I19" i="55"/>
  <c r="I21" i="55"/>
  <c r="K35" i="55"/>
  <c r="H35" i="55"/>
  <c r="H20" i="54"/>
  <c r="I24" i="55"/>
  <c r="K765" i="55"/>
  <c r="K496" i="55"/>
  <c r="M479" i="55" s="1"/>
  <c r="N149" i="55" s="1"/>
  <c r="J180" i="15"/>
  <c r="L180" i="15" s="1"/>
  <c r="I180" i="15"/>
  <c r="J19" i="18"/>
  <c r="L19" i="18" s="1"/>
  <c r="I19" i="18"/>
  <c r="I204" i="15"/>
  <c r="J204" i="15"/>
  <c r="L204" i="15" s="1"/>
  <c r="I49" i="18"/>
  <c r="J49" i="18"/>
  <c r="L49" i="18" s="1"/>
  <c r="J178" i="15"/>
  <c r="L178" i="15" s="1"/>
  <c r="I178" i="15"/>
  <c r="J29" i="18"/>
  <c r="L29" i="18" s="1"/>
  <c r="J47" i="15"/>
  <c r="I75" i="15"/>
  <c r="I95" i="15"/>
  <c r="J255" i="15"/>
  <c r="L255" i="15" s="1"/>
  <c r="K50" i="9"/>
  <c r="I48" i="9"/>
  <c r="J48" i="9" s="1"/>
  <c r="J130" i="9"/>
  <c r="I23" i="9"/>
  <c r="G23" i="9"/>
  <c r="H23" i="9"/>
  <c r="H145" i="9"/>
  <c r="G145" i="9"/>
  <c r="I145" i="9"/>
  <c r="G92" i="9"/>
  <c r="H92" i="9"/>
  <c r="I92" i="9"/>
  <c r="G72" i="9"/>
  <c r="H72" i="9"/>
  <c r="I72" i="9"/>
  <c r="H106" i="9"/>
  <c r="I106" i="9"/>
  <c r="G106" i="9"/>
  <c r="I107" i="9"/>
  <c r="H107" i="9"/>
  <c r="G107" i="9"/>
  <c r="H27" i="9"/>
  <c r="I27" i="9"/>
  <c r="G27" i="9"/>
  <c r="H35" i="9"/>
  <c r="J35" i="9" s="1"/>
  <c r="G35" i="9"/>
  <c r="G25" i="24"/>
  <c r="H154" i="9"/>
  <c r="J154" i="9" s="1"/>
  <c r="K153" i="9" s="1"/>
  <c r="G154" i="9"/>
  <c r="H46" i="9"/>
  <c r="G114" i="9"/>
  <c r="H114" i="9"/>
  <c r="I114" i="9"/>
  <c r="G25" i="9"/>
  <c r="H25" i="9"/>
  <c r="J25" i="9" s="1"/>
  <c r="H26" i="9"/>
  <c r="I26" i="9"/>
  <c r="G26" i="9"/>
  <c r="I108" i="9"/>
  <c r="G108" i="9"/>
  <c r="H108" i="9"/>
  <c r="I29" i="9"/>
  <c r="G29" i="9"/>
  <c r="I38" i="9"/>
  <c r="H38" i="9"/>
  <c r="G38" i="9"/>
  <c r="I172" i="9"/>
  <c r="H172" i="9"/>
  <c r="G172" i="9"/>
  <c r="I173" i="9"/>
  <c r="H173" i="9"/>
  <c r="G173" i="9"/>
  <c r="H29" i="9"/>
  <c r="J119" i="15"/>
  <c r="L119" i="15" s="1"/>
  <c r="I119" i="15"/>
  <c r="I141" i="15"/>
  <c r="J141" i="15"/>
  <c r="L141" i="15" s="1"/>
  <c r="I108" i="15"/>
  <c r="J108" i="15"/>
  <c r="L108" i="15" s="1"/>
  <c r="I115" i="15"/>
  <c r="J115" i="15"/>
  <c r="L115" i="15" s="1"/>
  <c r="J144" i="15"/>
  <c r="L144" i="15" s="1"/>
  <c r="I144" i="15"/>
  <c r="I50" i="15"/>
  <c r="J50" i="15"/>
  <c r="L50" i="15" s="1"/>
  <c r="I67" i="15"/>
  <c r="J67" i="15"/>
  <c r="L67" i="15" s="1"/>
  <c r="J275" i="15"/>
  <c r="I275" i="15"/>
  <c r="I105" i="18"/>
  <c r="J105" i="18"/>
  <c r="L105" i="18" s="1"/>
  <c r="J63" i="15"/>
  <c r="L63" i="15" s="1"/>
  <c r="I63" i="15"/>
  <c r="I159" i="18"/>
  <c r="J159" i="18"/>
  <c r="J245" i="15"/>
  <c r="L245" i="15" s="1"/>
  <c r="I245" i="15"/>
  <c r="J69" i="15"/>
  <c r="L69" i="15" s="1"/>
  <c r="I69" i="15"/>
  <c r="I138" i="15"/>
  <c r="J138" i="15"/>
  <c r="L138" i="15" s="1"/>
  <c r="J121" i="18"/>
  <c r="L121" i="18" s="1"/>
  <c r="I121" i="18"/>
  <c r="I92" i="18"/>
  <c r="J92" i="18"/>
  <c r="L92" i="18" s="1"/>
  <c r="J71" i="15"/>
  <c r="L71" i="15" s="1"/>
  <c r="I71" i="15"/>
  <c r="I169" i="55"/>
  <c r="I159" i="55"/>
  <c r="H699" i="55"/>
  <c r="I25" i="55"/>
  <c r="H91" i="55"/>
  <c r="I93" i="55"/>
  <c r="I92" i="55"/>
  <c r="H51" i="54"/>
  <c r="I51" i="54"/>
  <c r="K28" i="55"/>
  <c r="H28" i="55"/>
  <c r="I342" i="55"/>
  <c r="H52" i="54"/>
  <c r="I52" i="54"/>
  <c r="K52" i="54" s="1"/>
  <c r="H690" i="55"/>
  <c r="J690" i="55"/>
  <c r="K690" i="55" s="1"/>
  <c r="J362" i="55"/>
  <c r="H362" i="55"/>
  <c r="I697" i="55"/>
  <c r="J584" i="55"/>
  <c r="L582" i="55" s="1"/>
  <c r="H584" i="55"/>
  <c r="I41" i="55"/>
  <c r="I17" i="55"/>
  <c r="H69" i="54"/>
  <c r="I69" i="54"/>
  <c r="K69" i="54" s="1"/>
  <c r="I26" i="55"/>
  <c r="I126" i="55"/>
  <c r="H640" i="55"/>
  <c r="L634" i="55"/>
  <c r="H96" i="55"/>
  <c r="K96" i="55"/>
  <c r="H97" i="55"/>
  <c r="K97" i="55"/>
  <c r="H34" i="55"/>
  <c r="K34" i="55"/>
  <c r="I40" i="55"/>
  <c r="I27" i="55"/>
  <c r="H37" i="54"/>
  <c r="I37" i="54"/>
  <c r="K37" i="54" s="1"/>
  <c r="H121" i="55"/>
  <c r="K121" i="55"/>
  <c r="H672" i="55"/>
  <c r="J672" i="55"/>
  <c r="J699" i="55"/>
  <c r="J701" i="55"/>
  <c r="I688" i="55"/>
  <c r="H225" i="55"/>
  <c r="K225" i="55"/>
  <c r="J364" i="55"/>
  <c r="K364" i="55" s="1"/>
  <c r="H364" i="55"/>
  <c r="J365" i="55"/>
  <c r="K365" i="55" s="1"/>
  <c r="H365" i="55"/>
  <c r="J111" i="54"/>
  <c r="K111" i="54" s="1"/>
  <c r="H111" i="54"/>
  <c r="J366" i="55"/>
  <c r="K366" i="55" s="1"/>
  <c r="H366" i="55"/>
  <c r="H703" i="55"/>
  <c r="K703" i="55"/>
  <c r="I347" i="55"/>
  <c r="I39" i="55"/>
  <c r="H122" i="55"/>
  <c r="J674" i="55"/>
  <c r="K674" i="55" s="1"/>
  <c r="H674" i="55"/>
  <c r="I257" i="55"/>
  <c r="L128" i="55"/>
  <c r="H144" i="55"/>
  <c r="J110" i="54"/>
  <c r="H110" i="54"/>
  <c r="I99" i="55"/>
  <c r="I231" i="55"/>
  <c r="I15" i="55"/>
  <c r="J363" i="55"/>
  <c r="K363" i="55" s="1"/>
  <c r="H363" i="55"/>
  <c r="H334" i="55"/>
  <c r="K334" i="55"/>
  <c r="I18" i="55"/>
  <c r="H42" i="55"/>
  <c r="K42" i="55"/>
  <c r="I260" i="55"/>
  <c r="J157" i="55"/>
  <c r="K680" i="55"/>
  <c r="H680" i="55"/>
  <c r="H311" i="55"/>
  <c r="K37" i="55"/>
  <c r="H37" i="55"/>
  <c r="H105" i="55"/>
  <c r="K105" i="55"/>
  <c r="H43" i="55" l="1"/>
  <c r="I163" i="55"/>
  <c r="K163" i="55" s="1"/>
  <c r="I32" i="55"/>
  <c r="K32" i="55" s="1"/>
  <c r="I20" i="55"/>
  <c r="K20" i="55" s="1"/>
  <c r="I33" i="55"/>
  <c r="K33" i="55" s="1"/>
  <c r="H336" i="55"/>
  <c r="I336" i="55"/>
  <c r="K336" i="55" s="1"/>
  <c r="H22" i="55"/>
  <c r="I22" i="55"/>
  <c r="K22" i="55" s="1"/>
  <c r="K324" i="55"/>
  <c r="H324" i="55"/>
  <c r="K299" i="55"/>
  <c r="H299" i="55"/>
  <c r="K260" i="55"/>
  <c r="H260" i="55"/>
  <c r="K257" i="55"/>
  <c r="H257" i="55"/>
  <c r="K311" i="55"/>
  <c r="I249" i="55"/>
  <c r="H67" i="54"/>
  <c r="I194" i="55"/>
  <c r="I192" i="55"/>
  <c r="K169" i="55"/>
  <c r="H169" i="55"/>
  <c r="I155" i="15"/>
  <c r="I83" i="55"/>
  <c r="I78" i="55"/>
  <c r="I77" i="55"/>
  <c r="I86" i="55"/>
  <c r="K19" i="55"/>
  <c r="J372" i="55"/>
  <c r="K372" i="55" s="1"/>
  <c r="H372" i="55"/>
  <c r="J367" i="55"/>
  <c r="K367" i="55" s="1"/>
  <c r="H368" i="55"/>
  <c r="H371" i="55"/>
  <c r="H32" i="55"/>
  <c r="I761" i="55"/>
  <c r="I762" i="55"/>
  <c r="H113" i="55"/>
  <c r="J692" i="55"/>
  <c r="H692" i="55"/>
  <c r="H156" i="54"/>
  <c r="I663" i="55"/>
  <c r="H33" i="55"/>
  <c r="H120" i="54"/>
  <c r="J117" i="54"/>
  <c r="K117" i="54" s="1"/>
  <c r="H117" i="54"/>
  <c r="K120" i="54"/>
  <c r="I79" i="54"/>
  <c r="K79" i="54" s="1"/>
  <c r="H79" i="54"/>
  <c r="I156" i="15"/>
  <c r="K21" i="55"/>
  <c r="H21" i="55"/>
  <c r="I26" i="54"/>
  <c r="K26" i="54" s="1"/>
  <c r="H26" i="54"/>
  <c r="I27" i="54"/>
  <c r="K27" i="54" s="1"/>
  <c r="H27" i="54"/>
  <c r="H16" i="54"/>
  <c r="I16" i="54"/>
  <c r="K16" i="54" s="1"/>
  <c r="I20" i="54"/>
  <c r="K20" i="54" s="1"/>
  <c r="H19" i="55"/>
  <c r="H20" i="55"/>
  <c r="K24" i="55"/>
  <c r="H24" i="55"/>
  <c r="J235" i="15"/>
  <c r="L235" i="15" s="1"/>
  <c r="I235" i="15"/>
  <c r="I227" i="15"/>
  <c r="J227" i="15"/>
  <c r="L227" i="15" s="1"/>
  <c r="I149" i="18"/>
  <c r="J149" i="18"/>
  <c r="L149" i="18" s="1"/>
  <c r="J78" i="18"/>
  <c r="L78" i="18" s="1"/>
  <c r="I78" i="18"/>
  <c r="I238" i="15"/>
  <c r="J238" i="15"/>
  <c r="L238" i="15" s="1"/>
  <c r="J225" i="15"/>
  <c r="L225" i="15" s="1"/>
  <c r="I225" i="15"/>
  <c r="J91" i="18"/>
  <c r="L91" i="18" s="1"/>
  <c r="I91" i="18"/>
  <c r="I236" i="15"/>
  <c r="J236" i="15"/>
  <c r="L236" i="15" s="1"/>
  <c r="J181" i="15"/>
  <c r="L181" i="15" s="1"/>
  <c r="I181" i="15"/>
  <c r="J203" i="15"/>
  <c r="L203" i="15" s="1"/>
  <c r="I203" i="15"/>
  <c r="I51" i="18"/>
  <c r="J16" i="18"/>
  <c r="L16" i="18" s="1"/>
  <c r="I16" i="18"/>
  <c r="I144" i="18"/>
  <c r="J144" i="18"/>
  <c r="L144" i="18" s="1"/>
  <c r="J166" i="15"/>
  <c r="L166" i="15" s="1"/>
  <c r="J202" i="15"/>
  <c r="L202" i="15" s="1"/>
  <c r="I202" i="15"/>
  <c r="I183" i="15"/>
  <c r="J183" i="15"/>
  <c r="L183" i="15" s="1"/>
  <c r="J224" i="15"/>
  <c r="L224" i="15" s="1"/>
  <c r="I224" i="15"/>
  <c r="I205" i="15"/>
  <c r="J205" i="15"/>
  <c r="L205" i="15" s="1"/>
  <c r="I138" i="18"/>
  <c r="I37" i="18"/>
  <c r="J17" i="18"/>
  <c r="L17" i="18" s="1"/>
  <c r="I17" i="18"/>
  <c r="J264" i="15"/>
  <c r="L264" i="15" s="1"/>
  <c r="I264" i="15"/>
  <c r="J75" i="15"/>
  <c r="L75" i="15" s="1"/>
  <c r="I54" i="15"/>
  <c r="J54" i="15"/>
  <c r="L54" i="15" s="1"/>
  <c r="J78" i="15"/>
  <c r="L78" i="15" s="1"/>
  <c r="J211" i="15"/>
  <c r="L211" i="15" s="1"/>
  <c r="I47" i="15"/>
  <c r="I107" i="15"/>
  <c r="J66" i="15"/>
  <c r="L66" i="15" s="1"/>
  <c r="I53" i="15"/>
  <c r="I28" i="18"/>
  <c r="I61" i="15"/>
  <c r="I76" i="15"/>
  <c r="J95" i="15"/>
  <c r="L95" i="15" s="1"/>
  <c r="I148" i="15"/>
  <c r="J104" i="15"/>
  <c r="L104" i="15" s="1"/>
  <c r="I112" i="15"/>
  <c r="J101" i="15"/>
  <c r="L101" i="15" s="1"/>
  <c r="I101" i="15"/>
  <c r="I29" i="15"/>
  <c r="J29" i="15"/>
  <c r="L29" i="15" s="1"/>
  <c r="I255" i="15"/>
  <c r="J99" i="15"/>
  <c r="L99" i="15" s="1"/>
  <c r="I127" i="15"/>
  <c r="I58" i="15"/>
  <c r="J26" i="9"/>
  <c r="J72" i="9"/>
  <c r="J114" i="9"/>
  <c r="K110" i="9" s="1"/>
  <c r="J92" i="9"/>
  <c r="J145" i="9"/>
  <c r="K139" i="9" s="1"/>
  <c r="J106" i="9"/>
  <c r="J27" i="9"/>
  <c r="J108" i="9"/>
  <c r="I25" i="3"/>
  <c r="I13" i="3"/>
  <c r="J107" i="9"/>
  <c r="J23" i="9"/>
  <c r="I46" i="9"/>
  <c r="J46" i="9" s="1"/>
  <c r="K45" i="9" s="1"/>
  <c r="J38" i="9"/>
  <c r="J29" i="9"/>
  <c r="J173" i="9"/>
  <c r="J180" i="9" s="1"/>
  <c r="J172" i="9"/>
  <c r="I39" i="9"/>
  <c r="H39" i="9"/>
  <c r="G39" i="9"/>
  <c r="G33" i="9"/>
  <c r="I33" i="9"/>
  <c r="H33" i="9"/>
  <c r="H31" i="9"/>
  <c r="I31" i="9"/>
  <c r="G31" i="9"/>
  <c r="I165" i="9"/>
  <c r="H165" i="9"/>
  <c r="G165" i="9"/>
  <c r="I41" i="9"/>
  <c r="H41" i="9"/>
  <c r="G41" i="9"/>
  <c r="G32" i="9"/>
  <c r="I32" i="9"/>
  <c r="H32" i="9"/>
  <c r="I30" i="9"/>
  <c r="H30" i="9"/>
  <c r="G30" i="9"/>
  <c r="I40" i="9"/>
  <c r="H40" i="9"/>
  <c r="G40" i="9"/>
  <c r="I34" i="9"/>
  <c r="H34" i="9"/>
  <c r="G34" i="9"/>
  <c r="I29" i="18"/>
  <c r="I18" i="18"/>
  <c r="J18" i="18"/>
  <c r="L18" i="18" s="1"/>
  <c r="I55" i="18"/>
  <c r="J55" i="18"/>
  <c r="L55" i="18" s="1"/>
  <c r="I74" i="18"/>
  <c r="J74" i="18"/>
  <c r="L74" i="18" s="1"/>
  <c r="I169" i="15"/>
  <c r="J169" i="15"/>
  <c r="L169" i="15" s="1"/>
  <c r="J48" i="18"/>
  <c r="L48" i="18" s="1"/>
  <c r="I48" i="18"/>
  <c r="I214" i="15"/>
  <c r="J214" i="15"/>
  <c r="L214" i="15" s="1"/>
  <c r="I88" i="55"/>
  <c r="J175" i="15"/>
  <c r="L175" i="15" s="1"/>
  <c r="I175" i="15"/>
  <c r="I162" i="15"/>
  <c r="J162" i="15"/>
  <c r="L162" i="15" s="1"/>
  <c r="I81" i="15"/>
  <c r="J81" i="15"/>
  <c r="L81" i="15" s="1"/>
  <c r="I57" i="18"/>
  <c r="J57" i="18"/>
  <c r="L57" i="18" s="1"/>
  <c r="J168" i="15"/>
  <c r="L168" i="15" s="1"/>
  <c r="I168" i="15"/>
  <c r="I41" i="18"/>
  <c r="J41" i="18"/>
  <c r="L41" i="18" s="1"/>
  <c r="I176" i="15"/>
  <c r="J176" i="15"/>
  <c r="L176" i="15" s="1"/>
  <c r="M158" i="18"/>
  <c r="L159" i="18"/>
  <c r="I47" i="18"/>
  <c r="J47" i="18"/>
  <c r="L47" i="18" s="1"/>
  <c r="I33" i="18"/>
  <c r="J33" i="18"/>
  <c r="L33" i="18" s="1"/>
  <c r="J80" i="18"/>
  <c r="L80" i="18" s="1"/>
  <c r="I80" i="18"/>
  <c r="I191" i="15"/>
  <c r="J191" i="15"/>
  <c r="L191" i="15" s="1"/>
  <c r="I100" i="18"/>
  <c r="J100" i="18"/>
  <c r="L100" i="18" s="1"/>
  <c r="J24" i="18"/>
  <c r="L24" i="18" s="1"/>
  <c r="I24" i="18"/>
  <c r="I54" i="18"/>
  <c r="J54" i="18"/>
  <c r="L54" i="18" s="1"/>
  <c r="I128" i="15"/>
  <c r="J128" i="15"/>
  <c r="L128" i="15" s="1"/>
  <c r="J194" i="15"/>
  <c r="L194" i="15" s="1"/>
  <c r="I194" i="15"/>
  <c r="I15" i="18"/>
  <c r="J15" i="18"/>
  <c r="L15" i="18" s="1"/>
  <c r="J90" i="18"/>
  <c r="L90" i="18" s="1"/>
  <c r="I90" i="18"/>
  <c r="I251" i="15"/>
  <c r="J251" i="15"/>
  <c r="L251" i="15" s="1"/>
  <c r="L275" i="15"/>
  <c r="M274" i="15"/>
  <c r="J149" i="15"/>
  <c r="L149" i="15" s="1"/>
  <c r="I149" i="15"/>
  <c r="J83" i="15"/>
  <c r="L83" i="15" s="1"/>
  <c r="I83" i="15"/>
  <c r="J82" i="15"/>
  <c r="L82" i="15" s="1"/>
  <c r="I82" i="15"/>
  <c r="I139" i="18"/>
  <c r="J139" i="18"/>
  <c r="L139" i="18" s="1"/>
  <c r="J63" i="18"/>
  <c r="L63" i="18" s="1"/>
  <c r="I63" i="18"/>
  <c r="I192" i="15"/>
  <c r="J192" i="15"/>
  <c r="L192" i="15" s="1"/>
  <c r="I55" i="15"/>
  <c r="J55" i="15"/>
  <c r="L55" i="15" s="1"/>
  <c r="J216" i="15"/>
  <c r="L216" i="15" s="1"/>
  <c r="I216" i="15"/>
  <c r="I77" i="18"/>
  <c r="J77" i="18"/>
  <c r="L77" i="18" s="1"/>
  <c r="J116" i="18"/>
  <c r="L116" i="18" s="1"/>
  <c r="I116" i="18"/>
  <c r="J67" i="18"/>
  <c r="L67" i="18" s="1"/>
  <c r="I67" i="18"/>
  <c r="L47" i="15"/>
  <c r="I64" i="18"/>
  <c r="J64" i="18"/>
  <c r="L64" i="18" s="1"/>
  <c r="I84" i="15"/>
  <c r="J84" i="15"/>
  <c r="L84" i="15" s="1"/>
  <c r="J104" i="18"/>
  <c r="L104" i="18" s="1"/>
  <c r="I104" i="18"/>
  <c r="J111" i="18"/>
  <c r="L111" i="18" s="1"/>
  <c r="I111" i="18"/>
  <c r="I213" i="15"/>
  <c r="J213" i="15"/>
  <c r="L213" i="15" s="1"/>
  <c r="I87" i="18"/>
  <c r="J87" i="18"/>
  <c r="L87" i="18" s="1"/>
  <c r="J65" i="18"/>
  <c r="L65" i="18" s="1"/>
  <c r="I65" i="18"/>
  <c r="J93" i="18"/>
  <c r="L93" i="18" s="1"/>
  <c r="I93" i="18"/>
  <c r="J40" i="18"/>
  <c r="L40" i="18" s="1"/>
  <c r="I40" i="18"/>
  <c r="I150" i="15"/>
  <c r="J150" i="15"/>
  <c r="L150" i="15" s="1"/>
  <c r="H73" i="54"/>
  <c r="H65" i="54"/>
  <c r="H163" i="55"/>
  <c r="I344" i="55"/>
  <c r="I94" i="55"/>
  <c r="L89" i="55" s="1"/>
  <c r="H126" i="55"/>
  <c r="L124" i="55"/>
  <c r="H39" i="55"/>
  <c r="K39" i="55"/>
  <c r="I223" i="55"/>
  <c r="K157" i="55"/>
  <c r="J678" i="55"/>
  <c r="K678" i="55" s="1"/>
  <c r="H678" i="55"/>
  <c r="K110" i="54"/>
  <c r="H688" i="55"/>
  <c r="K688" i="55"/>
  <c r="H23" i="54"/>
  <c r="I23" i="54"/>
  <c r="K23" i="54" s="1"/>
  <c r="J682" i="55"/>
  <c r="K682" i="55" s="1"/>
  <c r="H682" i="55"/>
  <c r="K672" i="55"/>
  <c r="I235" i="55"/>
  <c r="I229" i="55"/>
  <c r="I161" i="55"/>
  <c r="J696" i="55"/>
  <c r="K696" i="55" s="1"/>
  <c r="H696" i="55"/>
  <c r="H40" i="55"/>
  <c r="K40" i="55"/>
  <c r="H22" i="54"/>
  <c r="I22" i="54"/>
  <c r="K22" i="54" s="1"/>
  <c r="I677" i="55"/>
  <c r="I695" i="55"/>
  <c r="H17" i="55"/>
  <c r="K17" i="55"/>
  <c r="K362" i="55"/>
  <c r="J669" i="55"/>
  <c r="H669" i="55"/>
  <c r="J175" i="54"/>
  <c r="H175" i="54"/>
  <c r="H231" i="55"/>
  <c r="K231" i="55"/>
  <c r="H15" i="55"/>
  <c r="I31" i="54"/>
  <c r="K31" i="54" s="1"/>
  <c r="H31" i="54"/>
  <c r="K26" i="55"/>
  <c r="H26" i="55"/>
  <c r="H17" i="54"/>
  <c r="I17" i="54"/>
  <c r="K17" i="54" s="1"/>
  <c r="H95" i="54"/>
  <c r="I95" i="54"/>
  <c r="H92" i="55"/>
  <c r="K92" i="55"/>
  <c r="H27" i="55"/>
  <c r="K27" i="55"/>
  <c r="I15" i="54"/>
  <c r="H15" i="54"/>
  <c r="K640" i="55"/>
  <c r="K584" i="55"/>
  <c r="H342" i="55"/>
  <c r="H93" i="55"/>
  <c r="K93" i="55"/>
  <c r="K113" i="55"/>
  <c r="K99" i="55"/>
  <c r="H99" i="55"/>
  <c r="K144" i="55"/>
  <c r="H157" i="55"/>
  <c r="H101" i="54"/>
  <c r="I101" i="54"/>
  <c r="K101" i="54" s="1"/>
  <c r="K159" i="55"/>
  <c r="H159" i="55"/>
  <c r="K697" i="55"/>
  <c r="H697" i="55"/>
  <c r="K91" i="55"/>
  <c r="H18" i="54"/>
  <c r="I18" i="54"/>
  <c r="K18" i="54" s="1"/>
  <c r="K347" i="55"/>
  <c r="H347" i="55"/>
  <c r="I351" i="55"/>
  <c r="H32" i="54"/>
  <c r="I32" i="54"/>
  <c r="K32" i="54" s="1"/>
  <c r="J686" i="55"/>
  <c r="H686" i="55"/>
  <c r="K51" i="54"/>
  <c r="H21" i="54"/>
  <c r="I21" i="54"/>
  <c r="K21" i="54" s="1"/>
  <c r="K699" i="55"/>
  <c r="I73" i="55"/>
  <c r="K18" i="55"/>
  <c r="H18" i="55"/>
  <c r="H30" i="54"/>
  <c r="I30" i="54"/>
  <c r="K30" i="54" s="1"/>
  <c r="H41" i="55"/>
  <c r="K41" i="55"/>
  <c r="H30" i="55"/>
  <c r="K30" i="55"/>
  <c r="H293" i="55"/>
  <c r="L291" i="55"/>
  <c r="K25" i="55"/>
  <c r="H25" i="55"/>
  <c r="K701" i="55"/>
  <c r="H701" i="55"/>
  <c r="I118" i="55" l="1"/>
  <c r="K118" i="55" s="1"/>
  <c r="H74" i="55"/>
  <c r="I74" i="55"/>
  <c r="K74" i="55" s="1"/>
  <c r="I196" i="55"/>
  <c r="K196" i="55" s="1"/>
  <c r="I233" i="55"/>
  <c r="K233" i="55" s="1"/>
  <c r="I71" i="55"/>
  <c r="I16" i="55"/>
  <c r="K16" i="55" s="1"/>
  <c r="H175" i="55"/>
  <c r="I175" i="55"/>
  <c r="K175" i="55" s="1"/>
  <c r="I47" i="54"/>
  <c r="K47" i="54" s="1"/>
  <c r="H233" i="55"/>
  <c r="H196" i="55"/>
  <c r="H249" i="55"/>
  <c r="K249" i="55"/>
  <c r="I67" i="54"/>
  <c r="K67" i="54" s="1"/>
  <c r="K192" i="55"/>
  <c r="H192" i="55"/>
  <c r="K194" i="55"/>
  <c r="H194" i="55"/>
  <c r="I82" i="55"/>
  <c r="I80" i="55"/>
  <c r="I87" i="55"/>
  <c r="K86" i="55"/>
  <c r="H86" i="55"/>
  <c r="K77" i="55"/>
  <c r="H77" i="55"/>
  <c r="K78" i="55"/>
  <c r="H78" i="55"/>
  <c r="I84" i="55"/>
  <c r="I85" i="55"/>
  <c r="K83" i="55"/>
  <c r="H83" i="55"/>
  <c r="I75" i="55"/>
  <c r="H118" i="55"/>
  <c r="J374" i="55"/>
  <c r="K374" i="55" s="1"/>
  <c r="H374" i="55"/>
  <c r="J373" i="55"/>
  <c r="K373" i="55" s="1"/>
  <c r="H373" i="55"/>
  <c r="J378" i="55"/>
  <c r="K378" i="55" s="1"/>
  <c r="H378" i="55"/>
  <c r="J377" i="55"/>
  <c r="K377" i="55" s="1"/>
  <c r="H377" i="55"/>
  <c r="J376" i="55"/>
  <c r="K376" i="55" s="1"/>
  <c r="H376" i="55"/>
  <c r="J375" i="55"/>
  <c r="K375" i="55" s="1"/>
  <c r="H375" i="55"/>
  <c r="I156" i="54"/>
  <c r="L144" i="54" s="1"/>
  <c r="K762" i="55"/>
  <c r="H762" i="55"/>
  <c r="K761" i="55"/>
  <c r="H761" i="55"/>
  <c r="I756" i="55"/>
  <c r="I755" i="55"/>
  <c r="K692" i="55"/>
  <c r="L641" i="55"/>
  <c r="M634" i="55" s="1"/>
  <c r="H663" i="55"/>
  <c r="L102" i="54"/>
  <c r="I49" i="15"/>
  <c r="I72" i="55"/>
  <c r="H16" i="55"/>
  <c r="I61" i="55"/>
  <c r="J51" i="18"/>
  <c r="L51" i="18" s="1"/>
  <c r="J138" i="18"/>
  <c r="I187" i="15"/>
  <c r="J187" i="15"/>
  <c r="L187" i="15" s="1"/>
  <c r="I209" i="15"/>
  <c r="J209" i="15"/>
  <c r="L209" i="15" s="1"/>
  <c r="I231" i="15"/>
  <c r="J231" i="15"/>
  <c r="L231" i="15" s="1"/>
  <c r="I151" i="18"/>
  <c r="J151" i="18"/>
  <c r="L151" i="18" s="1"/>
  <c r="J146" i="18"/>
  <c r="L146" i="18" s="1"/>
  <c r="I146" i="18"/>
  <c r="I242" i="15"/>
  <c r="J242" i="15"/>
  <c r="L242" i="15" s="1"/>
  <c r="I267" i="15"/>
  <c r="J267" i="15"/>
  <c r="L267" i="15" s="1"/>
  <c r="I148" i="18"/>
  <c r="J148" i="18"/>
  <c r="L148" i="18" s="1"/>
  <c r="J143" i="18"/>
  <c r="L143" i="18" s="1"/>
  <c r="I143" i="18"/>
  <c r="J37" i="18"/>
  <c r="L37" i="18" s="1"/>
  <c r="I259" i="15"/>
  <c r="J259" i="15"/>
  <c r="L259" i="15" s="1"/>
  <c r="I78" i="15"/>
  <c r="I222" i="15"/>
  <c r="J222" i="15"/>
  <c r="L222" i="15" s="1"/>
  <c r="I233" i="15"/>
  <c r="J233" i="15"/>
  <c r="L233" i="15" s="1"/>
  <c r="I200" i="15"/>
  <c r="J200" i="15"/>
  <c r="L200" i="15" s="1"/>
  <c r="J107" i="15"/>
  <c r="L107" i="15" s="1"/>
  <c r="I211" i="15"/>
  <c r="J53" i="15"/>
  <c r="L53" i="15" s="1"/>
  <c r="I66" i="15"/>
  <c r="J23" i="18"/>
  <c r="L23" i="18" s="1"/>
  <c r="I115" i="18"/>
  <c r="J28" i="18"/>
  <c r="L28" i="18" s="1"/>
  <c r="J31" i="18"/>
  <c r="L31" i="18" s="1"/>
  <c r="I31" i="18"/>
  <c r="J143" i="15"/>
  <c r="L143" i="15" s="1"/>
  <c r="I132" i="15"/>
  <c r="J136" i="15"/>
  <c r="L136" i="15" s="1"/>
  <c r="J61" i="15"/>
  <c r="L61" i="15" s="1"/>
  <c r="J60" i="15"/>
  <c r="L60" i="15" s="1"/>
  <c r="J76" i="15"/>
  <c r="L76" i="15" s="1"/>
  <c r="I99" i="15"/>
  <c r="I166" i="15"/>
  <c r="J148" i="15"/>
  <c r="L148" i="15" s="1"/>
  <c r="I104" i="15"/>
  <c r="J112" i="15"/>
  <c r="L112" i="15" s="1"/>
  <c r="J158" i="15"/>
  <c r="L158" i="15" s="1"/>
  <c r="I158" i="15"/>
  <c r="I154" i="15"/>
  <c r="J154" i="15"/>
  <c r="L154" i="15" s="1"/>
  <c r="J105" i="15"/>
  <c r="L105" i="15" s="1"/>
  <c r="I105" i="15"/>
  <c r="I40" i="15"/>
  <c r="J127" i="15"/>
  <c r="L127" i="15" s="1"/>
  <c r="J30" i="15"/>
  <c r="L30" i="15" s="1"/>
  <c r="I30" i="15"/>
  <c r="J31" i="15"/>
  <c r="L31" i="15" s="1"/>
  <c r="I31" i="15"/>
  <c r="J58" i="15"/>
  <c r="L58" i="15" s="1"/>
  <c r="F13" i="24"/>
  <c r="J32" i="9"/>
  <c r="J33" i="9"/>
  <c r="K171" i="9"/>
  <c r="K67" i="9"/>
  <c r="H51" i="3"/>
  <c r="I91" i="3"/>
  <c r="H34" i="3"/>
  <c r="J39" i="9"/>
  <c r="J30" i="9"/>
  <c r="J41" i="9"/>
  <c r="J31" i="9"/>
  <c r="J40" i="9"/>
  <c r="H175" i="9"/>
  <c r="J34" i="9"/>
  <c r="J165" i="9"/>
  <c r="K164" i="9" s="1"/>
  <c r="I73" i="54"/>
  <c r="K73" i="54" s="1"/>
  <c r="I65" i="54"/>
  <c r="I43" i="18"/>
  <c r="J43" i="18"/>
  <c r="L43" i="18" s="1"/>
  <c r="J86" i="15"/>
  <c r="L86" i="15" s="1"/>
  <c r="I86" i="15"/>
  <c r="I198" i="15"/>
  <c r="J198" i="15"/>
  <c r="L198" i="15" s="1"/>
  <c r="I146" i="15"/>
  <c r="J146" i="15"/>
  <c r="L146" i="15" s="1"/>
  <c r="I72" i="18"/>
  <c r="J72" i="18"/>
  <c r="L72" i="18" s="1"/>
  <c r="I79" i="15"/>
  <c r="J79" i="15"/>
  <c r="L79" i="15" s="1"/>
  <c r="J57" i="15"/>
  <c r="L57" i="15" s="1"/>
  <c r="I57" i="15"/>
  <c r="I129" i="18"/>
  <c r="J129" i="18"/>
  <c r="L129" i="18" s="1"/>
  <c r="I160" i="15"/>
  <c r="J160" i="15"/>
  <c r="L160" i="15" s="1"/>
  <c r="J117" i="15"/>
  <c r="L117" i="15" s="1"/>
  <c r="I117" i="15"/>
  <c r="I253" i="15"/>
  <c r="J253" i="15"/>
  <c r="L253" i="15" s="1"/>
  <c r="J35" i="18"/>
  <c r="L35" i="18" s="1"/>
  <c r="I35" i="18"/>
  <c r="I152" i="15"/>
  <c r="J152" i="15"/>
  <c r="L152" i="15" s="1"/>
  <c r="I102" i="18"/>
  <c r="J102" i="18"/>
  <c r="L102" i="18" s="1"/>
  <c r="J140" i="15"/>
  <c r="L140" i="15" s="1"/>
  <c r="I140" i="15"/>
  <c r="I110" i="15"/>
  <c r="J110" i="15"/>
  <c r="L110" i="15" s="1"/>
  <c r="J85" i="18"/>
  <c r="L85" i="18" s="1"/>
  <c r="I85" i="18"/>
  <c r="I250" i="15"/>
  <c r="J250" i="15"/>
  <c r="L250" i="15" s="1"/>
  <c r="I30" i="18"/>
  <c r="J30" i="18"/>
  <c r="L30" i="18" s="1"/>
  <c r="I248" i="15"/>
  <c r="J248" i="15"/>
  <c r="L248" i="15" s="1"/>
  <c r="I121" i="15"/>
  <c r="J121" i="15"/>
  <c r="L121" i="15" s="1"/>
  <c r="I262" i="15"/>
  <c r="J262" i="15"/>
  <c r="L262" i="15" s="1"/>
  <c r="I118" i="18"/>
  <c r="J118" i="18"/>
  <c r="L118" i="18" s="1"/>
  <c r="I26" i="18"/>
  <c r="J26" i="18"/>
  <c r="L26" i="18" s="1"/>
  <c r="I134" i="15"/>
  <c r="J134" i="15"/>
  <c r="L134" i="15" s="1"/>
  <c r="I257" i="15"/>
  <c r="J257" i="15"/>
  <c r="L257" i="15" s="1"/>
  <c r="J110" i="18"/>
  <c r="L110" i="18" s="1"/>
  <c r="I110" i="18"/>
  <c r="I99" i="18"/>
  <c r="J99" i="18"/>
  <c r="L99" i="18" s="1"/>
  <c r="I171" i="15"/>
  <c r="J171" i="15"/>
  <c r="L171" i="15" s="1"/>
  <c r="J130" i="15"/>
  <c r="L130" i="15" s="1"/>
  <c r="I130" i="15"/>
  <c r="J124" i="18"/>
  <c r="L124" i="18" s="1"/>
  <c r="I124" i="18"/>
  <c r="I21" i="18"/>
  <c r="J21" i="18"/>
  <c r="L21" i="18" s="1"/>
  <c r="J97" i="18"/>
  <c r="L97" i="18" s="1"/>
  <c r="I97" i="18"/>
  <c r="J244" i="15"/>
  <c r="L244" i="15" s="1"/>
  <c r="I244" i="15"/>
  <c r="I220" i="15"/>
  <c r="J220" i="15"/>
  <c r="L220" i="15" s="1"/>
  <c r="J107" i="18"/>
  <c r="L107" i="18" s="1"/>
  <c r="I107" i="18"/>
  <c r="J134" i="18"/>
  <c r="L134" i="18" s="1"/>
  <c r="I134" i="18"/>
  <c r="J164" i="15"/>
  <c r="L164" i="15" s="1"/>
  <c r="I164" i="15"/>
  <c r="I114" i="15"/>
  <c r="J114" i="15"/>
  <c r="L114" i="15" s="1"/>
  <c r="I272" i="15"/>
  <c r="J272" i="15"/>
  <c r="L272" i="15" s="1"/>
  <c r="I113" i="18"/>
  <c r="J113" i="18"/>
  <c r="L113" i="18" s="1"/>
  <c r="I131" i="18"/>
  <c r="J131" i="18"/>
  <c r="L131" i="18" s="1"/>
  <c r="I126" i="18"/>
  <c r="J126" i="18"/>
  <c r="L126" i="18" s="1"/>
  <c r="I120" i="18"/>
  <c r="J120" i="18"/>
  <c r="L120" i="18" s="1"/>
  <c r="J141" i="18"/>
  <c r="I141" i="18"/>
  <c r="J61" i="18"/>
  <c r="L61" i="18" s="1"/>
  <c r="I61" i="18"/>
  <c r="K88" i="55"/>
  <c r="H88" i="55"/>
  <c r="I98" i="15"/>
  <c r="J98" i="15"/>
  <c r="L98" i="15" s="1"/>
  <c r="J269" i="15"/>
  <c r="L269" i="15" s="1"/>
  <c r="I269" i="15"/>
  <c r="H161" i="55"/>
  <c r="K161" i="55"/>
  <c r="K126" i="55"/>
  <c r="H351" i="55"/>
  <c r="K351" i="55"/>
  <c r="H229" i="55"/>
  <c r="K95" i="54"/>
  <c r="K15" i="55"/>
  <c r="K695" i="55"/>
  <c r="H695" i="55"/>
  <c r="H235" i="55"/>
  <c r="K235" i="55"/>
  <c r="K342" i="55"/>
  <c r="H677" i="55"/>
  <c r="H94" i="55"/>
  <c r="K293" i="55"/>
  <c r="H73" i="55"/>
  <c r="K73" i="55"/>
  <c r="L174" i="54"/>
  <c r="K175" i="54"/>
  <c r="J208" i="54"/>
  <c r="K223" i="55"/>
  <c r="H223" i="55"/>
  <c r="H53" i="54"/>
  <c r="I53" i="54"/>
  <c r="L50" i="54" s="1"/>
  <c r="K686" i="55"/>
  <c r="K15" i="54"/>
  <c r="K344" i="55"/>
  <c r="H344" i="55"/>
  <c r="K669" i="55"/>
  <c r="H98" i="54"/>
  <c r="I98" i="54"/>
  <c r="K98" i="54" s="1"/>
  <c r="H47" i="54" l="1"/>
  <c r="L111" i="55"/>
  <c r="I758" i="55"/>
  <c r="K758" i="55" s="1"/>
  <c r="H759" i="55"/>
  <c r="I757" i="55"/>
  <c r="K757" i="55" s="1"/>
  <c r="I63" i="55"/>
  <c r="K63" i="55" s="1"/>
  <c r="I760" i="55"/>
  <c r="K760" i="55" s="1"/>
  <c r="L152" i="55"/>
  <c r="K80" i="55"/>
  <c r="H80" i="55"/>
  <c r="H49" i="54"/>
  <c r="H63" i="55"/>
  <c r="J49" i="15"/>
  <c r="M45" i="15" s="1"/>
  <c r="K84" i="55"/>
  <c r="H84" i="55"/>
  <c r="K85" i="55"/>
  <c r="H85" i="55"/>
  <c r="K87" i="55"/>
  <c r="H87" i="55"/>
  <c r="H82" i="55"/>
  <c r="K82" i="55"/>
  <c r="K156" i="54"/>
  <c r="K75" i="55"/>
  <c r="H75" i="55"/>
  <c r="L352" i="55"/>
  <c r="M148" i="55" s="1"/>
  <c r="L339" i="55"/>
  <c r="H760" i="55"/>
  <c r="L665" i="55"/>
  <c r="H758" i="55"/>
  <c r="H757" i="55"/>
  <c r="H756" i="55"/>
  <c r="K756" i="55"/>
  <c r="H755" i="55"/>
  <c r="K663" i="55"/>
  <c r="L93" i="54"/>
  <c r="K65" i="54"/>
  <c r="L61" i="54"/>
  <c r="K72" i="55"/>
  <c r="H72" i="55"/>
  <c r="H71" i="55"/>
  <c r="K71" i="55"/>
  <c r="K61" i="55"/>
  <c r="K60" i="55"/>
  <c r="H61" i="55"/>
  <c r="L138" i="18"/>
  <c r="M136" i="18"/>
  <c r="J115" i="18"/>
  <c r="L115" i="18" s="1"/>
  <c r="I23" i="18"/>
  <c r="J189" i="15"/>
  <c r="L189" i="15" s="1"/>
  <c r="I189" i="15"/>
  <c r="I143" i="15"/>
  <c r="J132" i="15"/>
  <c r="L132" i="15" s="1"/>
  <c r="I14" i="18"/>
  <c r="J14" i="18"/>
  <c r="L14" i="18" s="1"/>
  <c r="J137" i="15"/>
  <c r="L137" i="15" s="1"/>
  <c r="I137" i="15"/>
  <c r="I136" i="15"/>
  <c r="I60" i="15"/>
  <c r="J77" i="15"/>
  <c r="L77" i="15" s="1"/>
  <c r="I77" i="15"/>
  <c r="J38" i="15"/>
  <c r="L38" i="15" s="1"/>
  <c r="I37" i="15"/>
  <c r="I41" i="15"/>
  <c r="J41" i="15"/>
  <c r="L41" i="15" s="1"/>
  <c r="J40" i="15"/>
  <c r="L40" i="15" s="1"/>
  <c r="G12" i="24"/>
  <c r="I33" i="3"/>
  <c r="H125" i="3"/>
  <c r="H179" i="9"/>
  <c r="K14" i="9"/>
  <c r="L141" i="18"/>
  <c r="J214" i="54"/>
  <c r="K94" i="55"/>
  <c r="K677" i="55"/>
  <c r="K229" i="55"/>
  <c r="L226" i="55"/>
  <c r="K53" i="54"/>
  <c r="M352" i="55" l="1"/>
  <c r="M146" i="55"/>
  <c r="I76" i="55"/>
  <c r="K76" i="55" s="1"/>
  <c r="H81" i="55"/>
  <c r="I81" i="55"/>
  <c r="K81" i="55" s="1"/>
  <c r="I759" i="55"/>
  <c r="K759" i="55" s="1"/>
  <c r="L49" i="15"/>
  <c r="I48" i="54"/>
  <c r="K48" i="54" s="1"/>
  <c r="H76" i="55"/>
  <c r="H48" i="54"/>
  <c r="I49" i="54"/>
  <c r="K49" i="54" s="1"/>
  <c r="K755" i="55"/>
  <c r="H60" i="55"/>
  <c r="I109" i="18"/>
  <c r="J109" i="18"/>
  <c r="M51" i="15"/>
  <c r="I38" i="15"/>
  <c r="J37" i="15"/>
  <c r="M18" i="15" s="1"/>
  <c r="G28" i="24"/>
  <c r="I125" i="3"/>
  <c r="I138" i="9"/>
  <c r="G138" i="9"/>
  <c r="L752" i="55" l="1"/>
  <c r="L12" i="55"/>
  <c r="M12" i="55" s="1"/>
  <c r="L12" i="54"/>
  <c r="L109" i="18"/>
  <c r="L163" i="18" s="1"/>
  <c r="M12" i="18"/>
  <c r="M163" i="18" s="1"/>
  <c r="J163" i="18"/>
  <c r="M279" i="15"/>
  <c r="J279" i="15"/>
  <c r="L37" i="15"/>
  <c r="L279" i="15" s="1"/>
  <c r="G31" i="24"/>
  <c r="J138" i="9"/>
  <c r="I175" i="9"/>
  <c r="J165" i="18" l="1"/>
  <c r="J167" i="18"/>
  <c r="J283" i="15"/>
  <c r="J281" i="15"/>
  <c r="K137" i="9"/>
  <c r="J175" i="9"/>
  <c r="H177" i="9" s="1"/>
  <c r="K175" i="9" l="1"/>
  <c r="I774" i="55" l="1"/>
  <c r="L768" i="55"/>
  <c r="M738" i="55" s="1"/>
  <c r="H770" i="55"/>
  <c r="H202" i="54"/>
  <c r="I202" i="54" l="1"/>
  <c r="K202" i="54" s="1"/>
  <c r="K208" i="54" s="1"/>
  <c r="K770" i="55"/>
  <c r="I779" i="55"/>
  <c r="L200" i="54" l="1"/>
  <c r="L208" i="54" s="1"/>
  <c r="I208" i="54"/>
  <c r="I214" i="54" l="1"/>
  <c r="I210" i="54"/>
  <c r="J297" i="55" l="1"/>
  <c r="H313" i="55"/>
  <c r="H297" i="55"/>
  <c r="J313" i="55" l="1"/>
  <c r="K313" i="55" s="1"/>
  <c r="K297" i="55"/>
  <c r="J774" i="55"/>
  <c r="J779" i="55" l="1"/>
  <c r="L294" i="55"/>
  <c r="M226" i="55" s="1"/>
  <c r="K774" i="55"/>
  <c r="I776" i="55" s="1"/>
  <c r="L774" i="55" l="1"/>
  <c r="B330" i="55" l="1"/>
  <c r="B325" i="55"/>
  <c r="B327" i="55" s="1"/>
  <c r="B328" i="55" s="1"/>
  <c r="B326" i="5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tc={D8FF613B-F716-43E2-A0DB-8479924575AA}</author>
    <author>tc={AF5537C5-162D-47B4-A8C1-B75A19976F60}</author>
    <author>tc={98CD8617-E563-40BB-8C44-24E35E30CBC6}</author>
    <author>tc={3F624396-A43A-414D-ACDE-CFB97967D03A}</author>
  </authors>
  <commentList>
    <comment ref="B37" authorId="0" shapeId="0" xr:uid="{D8FF613B-F716-43E2-A0DB-8479924575AA}">
      <text>
        <t>[Threaded comment]
Your version of Excel allows you to read this threaded comment; however, any edits to it will get removed if the file is opened in a newer version of Excel. Learn more: https://go.microsoft.com/fwlink/?linkid=870924
Comment:
    A solicitud de inmobiliaria no se considera</t>
      </text>
    </comment>
    <comment ref="B38" authorId="1" shapeId="0" xr:uid="{AF5537C5-162D-47B4-A8C1-B75A19976F60}">
      <text>
        <t>[Threaded comment]
Your version of Excel allows you to read this threaded comment; however, any edits to it will get removed if the file is opened in a newer version of Excel. Learn more: https://go.microsoft.com/fwlink/?linkid=870924
Comment:
     A SOLICITUD DE INMOB NO SE CONSIDERA</t>
      </text>
    </comment>
    <comment ref="B39" authorId="2" shapeId="0" xr:uid="{98CD8617-E563-40BB-8C44-24E35E30CBC6}">
      <text>
        <t>[Threaded comment]
Your version of Excel allows you to read this threaded comment; however, any edits to it will get removed if the file is opened in a newer version of Excel. Learn more: https://go.microsoft.com/fwlink/?linkid=870924
Comment:
    NO SE CONSIDERA A SOLICITUD DE INMOB</t>
      </text>
    </comment>
    <comment ref="B40" authorId="3" shapeId="0" xr:uid="{3F624396-A43A-414D-ACDE-CFB97967D03A}">
      <text>
        <t>[Threaded comment]
Your version of Excel allows you to read this threaded comment; however, any edits to it will get removed if the file is opened in a newer version of Excel. Learn more: https://go.microsoft.com/fwlink/?linkid=870924
Comment:
    NO SE CONSIDERA A SOLICITUD DE INMOB</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tc={E65B194A-0470-4AEF-A45B-82AED35E9A03}</author>
    <author>tc={C06D0DC7-DA1B-452B-B4C0-329DB7F81592}</author>
    <author>Usuario</author>
  </authors>
  <commentList>
    <comment ref="D60" authorId="0" shapeId="0" xr:uid="{E65B194A-0470-4AEF-A45B-82AED35E9A03}">
      <text>
        <t>[Threaded comment]
Your version of Excel allows you to read this threaded comment; however, any edits to it will get removed if the file is opened in a newer version of Excel. Learn more: https://go.microsoft.com/fwlink/?linkid=870924
Comment:
    Por proc constructivo, es menor metrado y mayo metrado al de 420</t>
      </text>
    </comment>
    <comment ref="D61" authorId="1" shapeId="0" xr:uid="{C06D0DC7-DA1B-452B-B4C0-329DB7F81592}">
      <text>
        <t>[Threaded comment]
Your version of Excel allows you to read this threaded comment; however, any edits to it will get removed if the file is opened in a newer version of Excel. Learn more: https://go.microsoft.com/fwlink/?linkid=870924
Comment:
    Por proc constructivo, es menor metrado y mayo metrado al de 420</t>
      </text>
    </comment>
    <comment ref="D186" authorId="2" shapeId="0" xr:uid="{06EF6A7C-34CB-4B44-9244-22053B604D6F}">
      <text>
        <r>
          <rPr>
            <b/>
            <sz val="9"/>
            <color indexed="81"/>
            <rFont val="Tahoma"/>
            <family val="2"/>
          </rPr>
          <t>Se considera ratio de 2 kg/m2 (1  varilla 8 m@ 0.25 m)</t>
        </r>
        <r>
          <rPr>
            <sz val="9"/>
            <color indexed="81"/>
            <rFont val="Tahoma"/>
            <family val="2"/>
          </rPr>
          <t xml:space="preserve">
</t>
        </r>
      </text>
    </comment>
    <comment ref="D197" authorId="2" shapeId="0" xr:uid="{FE488C3D-8319-4D92-A7AC-77F4D5EABC5D}">
      <text>
        <r>
          <rPr>
            <b/>
            <sz val="9"/>
            <color indexed="81"/>
            <rFont val="Tahoma"/>
            <family val="2"/>
          </rPr>
          <t>Se considera ratio de 2 kg/m2 (1  varilla 8 m@ 0.25 m)</t>
        </r>
        <r>
          <rPr>
            <sz val="9"/>
            <color indexed="81"/>
            <rFont val="Tahoma"/>
            <family val="2"/>
          </rPr>
          <t xml:space="preserve">
</t>
        </r>
      </text>
    </comment>
    <comment ref="D208" authorId="2" shapeId="0" xr:uid="{7BF60B51-0B33-4A1A-B337-3295EB767DD2}">
      <text>
        <r>
          <rPr>
            <b/>
            <sz val="9"/>
            <color indexed="81"/>
            <rFont val="Tahoma"/>
            <family val="2"/>
          </rPr>
          <t>Se considera ratio de 4.29 kg/m2 (3/8"@0.15)</t>
        </r>
        <r>
          <rPr>
            <sz val="9"/>
            <color indexed="81"/>
            <rFont val="Tahoma"/>
            <family val="2"/>
          </rPr>
          <t xml:space="preserve">
</t>
        </r>
      </text>
    </comment>
    <comment ref="D219" authorId="2" shapeId="0" xr:uid="{00000000-0006-0000-0D00-000002000000}">
      <text>
        <r>
          <rPr>
            <b/>
            <sz val="9"/>
            <color indexed="81"/>
            <rFont val="Tahoma"/>
            <family val="2"/>
          </rPr>
          <t>Se considera ratio de 4.29 kg/m2 (3/8"@0.15)</t>
        </r>
        <r>
          <rPr>
            <sz val="9"/>
            <color indexed="81"/>
            <rFont val="Tahoma"/>
            <family val="2"/>
          </rPr>
          <t xml:space="preserve">
</t>
        </r>
      </text>
    </comment>
    <comment ref="D230" authorId="2" shapeId="0" xr:uid="{E27AEA16-BB87-4CD5-B337-1EF36FFAD7E6}">
      <text>
        <r>
          <rPr>
            <b/>
            <sz val="9"/>
            <color indexed="81"/>
            <rFont val="Tahoma"/>
            <family val="2"/>
          </rPr>
          <t>Se considera ratio de 4.29 kg/m2 (3/8"@0.15)</t>
        </r>
        <r>
          <rPr>
            <sz val="9"/>
            <color indexed="81"/>
            <rFont val="Tahoma"/>
            <family val="2"/>
          </rPr>
          <t xml:space="preserve">
</t>
        </r>
      </text>
    </comment>
    <comment ref="D241" authorId="2" shapeId="0" xr:uid="{B003BC3F-F19D-438C-87F2-43EC68C7AE68}">
      <text>
        <r>
          <rPr>
            <b/>
            <sz val="9"/>
            <color indexed="81"/>
            <rFont val="Tahoma"/>
            <family val="2"/>
          </rPr>
          <t>Se considera ratio de 4.29 kg/m2 (3/8"@0.15)</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D60" authorId="0" shapeId="0" xr:uid="{84BF8F6E-6FCF-4452-8395-955B59A7AA76}">
      <text>
        <r>
          <rPr>
            <b/>
            <sz val="9"/>
            <color indexed="81"/>
            <rFont val="Tahoma"/>
            <family val="2"/>
          </rPr>
          <t>Se considera ratio de 4.29 kg/m2 (3/8"@0.15)</t>
        </r>
      </text>
    </comment>
    <comment ref="D70" authorId="0" shapeId="0" xr:uid="{FBC0E7B4-3F42-425E-815B-43E65AD3041B}">
      <text>
        <r>
          <rPr>
            <b/>
            <sz val="9"/>
            <color indexed="81"/>
            <rFont val="Tahoma"/>
            <family val="2"/>
          </rPr>
          <t>Se considera ratio de 0.40 kg/m2</t>
        </r>
      </text>
    </comment>
    <comment ref="D71" authorId="0" shapeId="0" xr:uid="{4C78094F-B707-4BE5-922E-85B565778353}">
      <text>
        <r>
          <rPr>
            <b/>
            <sz val="9"/>
            <color indexed="81"/>
            <rFont val="Tahoma"/>
            <family val="2"/>
          </rPr>
          <t xml:space="preserve">Se considera ratio de 2 kg/m2 (1  varilla 8 m@ 0.25 m)
</t>
        </r>
      </text>
    </comment>
    <comment ref="D83" authorId="0" shapeId="0" xr:uid="{00000000-0006-0000-0E00-000002000000}">
      <text>
        <r>
          <rPr>
            <b/>
            <sz val="9"/>
            <color indexed="81"/>
            <rFont val="Tahoma"/>
            <family val="2"/>
          </rPr>
          <t>Se considera ratio de 0.40 kg/m2</t>
        </r>
      </text>
    </comment>
    <comment ref="D84" authorId="0" shapeId="0" xr:uid="{0099FF31-8777-4520-BE9F-97DDFC01D48A}">
      <text>
        <r>
          <rPr>
            <b/>
            <sz val="9"/>
            <color indexed="81"/>
            <rFont val="Tahoma"/>
            <family val="2"/>
          </rPr>
          <t xml:space="preserve">Se considera ratio de 2 kg/m2 (1  varilla 8 m@ 0.25 m)
</t>
        </r>
      </text>
    </comment>
    <comment ref="D96" authorId="0" shapeId="0" xr:uid="{00000000-0006-0000-0E00-000004000000}">
      <text>
        <r>
          <rPr>
            <b/>
            <sz val="9"/>
            <color indexed="81"/>
            <rFont val="Tahoma"/>
            <family val="2"/>
          </rPr>
          <t>Se considera ratio de 0.40 kg/m2</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C69" authorId="0" shapeId="0" xr:uid="{73F71C0B-723B-4BE3-AD39-E1BA25D803FA}">
      <text>
        <r>
          <rPr>
            <b/>
            <sz val="9"/>
            <color indexed="81"/>
            <rFont val="Tahoma"/>
            <family val="2"/>
          </rPr>
          <t>CONSIDERACIÓN: SE ASUME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C645" authorId="0" shapeId="0" xr:uid="{BAE7E5F2-1452-4659-A1BE-623E79C449B2}">
      <text>
        <r>
          <rPr>
            <b/>
            <sz val="9"/>
            <color indexed="81"/>
            <rFont val="Tahoma"/>
            <family val="2"/>
          </rPr>
          <t>Usuario:</t>
        </r>
        <r>
          <rPr>
            <sz val="9"/>
            <color indexed="81"/>
            <rFont val="Tahoma"/>
            <family val="2"/>
          </rPr>
          <t xml:space="preserve">
No se define, se asume COLOR BLANCO ALEO MATE)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V&amp;V Khaterine Quispe</author>
  </authors>
  <commentList>
    <comment ref="C9" authorId="0" shapeId="0" xr:uid="{00000000-0006-0000-1100-000001000000}">
      <text>
        <r>
          <rPr>
            <b/>
            <sz val="9"/>
            <color indexed="81"/>
            <rFont val="Tahoma"/>
            <family val="2"/>
          </rPr>
          <t>V&amp;V Khaterine Quispe:</t>
        </r>
        <r>
          <rPr>
            <sz val="9"/>
            <color indexed="81"/>
            <rFont val="Tahoma"/>
            <family val="2"/>
          </rPr>
          <t xml:space="preserve">
el calculo es de acuerdo a la cantidad de vigas, si los ascensores comparte un mismo ducto</t>
        </r>
      </text>
    </comment>
  </commentList>
</comments>
</file>

<file path=xl/sharedStrings.xml><?xml version="1.0" encoding="utf-8"?>
<sst xmlns="http://schemas.openxmlformats.org/spreadsheetml/2006/main" count="4929" uniqueCount="2163">
  <si>
    <t>Presupuesto</t>
  </si>
  <si>
    <t>Cliente</t>
  </si>
  <si>
    <t>V&amp;V BRAVO INMOBILIARIA</t>
  </si>
  <si>
    <t>Lugar</t>
  </si>
  <si>
    <t>MESES</t>
  </si>
  <si>
    <t>ITEM</t>
  </si>
  <si>
    <t>DESCRIPCIÓN</t>
  </si>
  <si>
    <t>OBRAS PROVISIONALES</t>
  </si>
  <si>
    <t xml:space="preserve"> </t>
  </si>
  <si>
    <t>ESTRUCTURAS TORRE</t>
  </si>
  <si>
    <t>ARQUITECTURA TORRE</t>
  </si>
  <si>
    <t>SUMINISTRO E INSTALACION HIDRAULICA DE CASCADA</t>
  </si>
  <si>
    <t>COSTO DIRECTO</t>
  </si>
  <si>
    <t>TOTAL</t>
  </si>
  <si>
    <t>Subpresupuesto</t>
  </si>
  <si>
    <t>Fecha</t>
  </si>
  <si>
    <t>DESCRIPCION</t>
  </si>
  <si>
    <t>UND</t>
  </si>
  <si>
    <t>CANTIDAD</t>
  </si>
  <si>
    <t>P.U. (PEN)</t>
  </si>
  <si>
    <t>P.U. (USD)</t>
  </si>
  <si>
    <t>P.U. (TOTAL)</t>
  </si>
  <si>
    <t>PRECIO PARCIAL (PEN)</t>
  </si>
  <si>
    <t>PRECIO PARCIAL (USD)</t>
  </si>
  <si>
    <t>PRECIO TOTAL (PEN)</t>
  </si>
  <si>
    <t>01</t>
  </si>
  <si>
    <t>OBRAS PROVISIONALES, TRABAJOS PRELIMINARES</t>
  </si>
  <si>
    <t>CONSTRUCCIONES PROVISIONALES</t>
  </si>
  <si>
    <t>OFICINA DE OBRA PARA CONTRATISTA</t>
  </si>
  <si>
    <t>glb</t>
  </si>
  <si>
    <t>OFICINA DE OBRA PARA SUPERVISIÓN</t>
  </si>
  <si>
    <t>OFICINA SALA DE REUNIONES</t>
  </si>
  <si>
    <t>ALMACEN DE OBRA</t>
  </si>
  <si>
    <t>COMEDOR PERSONAL OBRERO</t>
  </si>
  <si>
    <t>VESTUARIO PARA OBREROS</t>
  </si>
  <si>
    <t>TRASLADO DE CAMPAMENTO PROVISIONAL A SOTANOS</t>
  </si>
  <si>
    <t>und</t>
  </si>
  <si>
    <t>CASETA PARA GUARDIANIA</t>
  </si>
  <si>
    <t>BAÑOS PORTATILES DE OBRA PARA PERSONAL STAFF Y SUPERVISION COMPARTIDOS</t>
  </si>
  <si>
    <t>mes</t>
  </si>
  <si>
    <t xml:space="preserve">CONSTRUCCION DE SSHH (1ER NIVEL) </t>
  </si>
  <si>
    <t>SSHH PORTATILES PARA OBREROS</t>
  </si>
  <si>
    <t>DUCHAS PORTATILES  PARA OBREROS</t>
  </si>
  <si>
    <t>ALQUILER LAVAMANOS PARA OBREROS</t>
  </si>
  <si>
    <t>ESCUADRAS METALICAS PARA LAS OFICINAS EN MUROS ANCLADOS</t>
  </si>
  <si>
    <t>ALQUILER DE ESCUADRAS METÁLICAS</t>
  </si>
  <si>
    <t>ml</t>
  </si>
  <si>
    <t>INSTALACIÓN DE ESCUADRAS METÁLICAS</t>
  </si>
  <si>
    <t xml:space="preserve">PERNOS DE EXPANSIÓN </t>
  </si>
  <si>
    <t>DESISTALACION DE ESCUADRAS METÁLICAS</t>
  </si>
  <si>
    <t>MADERA CACHIMBO 2" X 12" X 10´, SOBRE ESCUADRAS METÁLICAS</t>
  </si>
  <si>
    <t>INSTALACIÓN Y DESISTALACIÓN DE MADERA, SOBRE ESCUADRAS METÁLICAS</t>
  </si>
  <si>
    <t>VENTILACION PROVISIONAL EN SOTANOS</t>
  </si>
  <si>
    <t>PROTECCIÓN DE VECINOS CON MALLA RASCHEL (ENCAPSULADO)</t>
  </si>
  <si>
    <t xml:space="preserve">RENOVACIÓN DE MALLA RACHEL  </t>
  </si>
  <si>
    <t xml:space="preserve">CERCO METALICO DE OBRA </t>
  </si>
  <si>
    <t xml:space="preserve">BASTIDORES METALICOS PARA FIJAR MALLA DE PROTECCION  + MALLA RACHELL </t>
  </si>
  <si>
    <t>MANTENIMIENTO A MITAD DE OBRA DE CERCO PROVISIONAL DE OBRA</t>
  </si>
  <si>
    <t>DESMONTAJE DE CERCO PROVISIONAL DE OBRA</t>
  </si>
  <si>
    <t>PROTECCION PERIMETRAL INICIAL VERTICAL DE VECINOS</t>
  </si>
  <si>
    <t>PROTECCION HORIZONTAL INICIAL DE VECINOS</t>
  </si>
  <si>
    <t>CARTEL DE OBRA (INC CARTEL PUBLICITARIO EN TORRE GRUA)</t>
  </si>
  <si>
    <t xml:space="preserve">CAMPAMENTO Y SALA DE VENTAS CLIENTE - NO SE CONSIDERA </t>
  </si>
  <si>
    <t>ESCUADRAS Y TABLAS PARA CASETA DE VENTAS EN VOLADIZO</t>
  </si>
  <si>
    <t xml:space="preserve">TRASLADO DE CONTENEDOR SALA DE VENTAS CLIENTE (MOVIMIENTO 1 VEZ) </t>
  </si>
  <si>
    <t>ESCALERA METALICA (1-2 PISO) INGRESO DE SALA VENTAS A DEP PILOTO</t>
  </si>
  <si>
    <t xml:space="preserve">PROTECCION A ACCESO VERTICAL (1- PISO) </t>
  </si>
  <si>
    <t>MOVILIZACION DE CAMPAMENTO, MAQUINARIA Y HERRAMIENTAS</t>
  </si>
  <si>
    <t>MOVILIZACION (FLETES DURANTE LA OBRA)</t>
  </si>
  <si>
    <t>ALQUILER DE GRUA TELESCOPICA PARA MONTAJES DE CASETAS</t>
  </si>
  <si>
    <t>hm</t>
  </si>
  <si>
    <t>MOVILIZACION DE CAMPAMENTO, EQUIPOS Y HERRAMIENTAS</t>
  </si>
  <si>
    <t>MOVILIZACION DE ESCALERAS DE ACCESO, ANDAMIOS</t>
  </si>
  <si>
    <t>vje</t>
  </si>
  <si>
    <t>DESMOVILIZACION DE CAMPAMENTO, EQUIPOS Y HERRAMIENTAS</t>
  </si>
  <si>
    <t>ALQUILER DE GRUA TELESCOPICA PARA DESMONTAJES DE CASETAS</t>
  </si>
  <si>
    <t>MAQUINARIA Y HERRAMIENTAS</t>
  </si>
  <si>
    <t>NIVEL TOPOGRAFICO (INC CUADRILLA TOPOGRAFIA)</t>
  </si>
  <si>
    <t>TEODOLITO ELECTRICO (INC CUADRILLA TOPOGRAFIA)</t>
  </si>
  <si>
    <t>VIBRADOR ELECTRICO (INC EN APU DE CONCRETO)</t>
  </si>
  <si>
    <t>COMPACTADORA TIPO PLANCHA (INC EN APU EST SOT)</t>
  </si>
  <si>
    <t>APISONADOR TIPO CANGURO (INC EN APU EST SOT)</t>
  </si>
  <si>
    <t>MARTILLO ELECTRICO</t>
  </si>
  <si>
    <t>AMOLADORAS Y RADIALES</t>
  </si>
  <si>
    <t>KIT DE SOLAQUEO (ASPIRADORA DE POLVO UNIVERSAL)</t>
  </si>
  <si>
    <t>HIDROLAVADORA</t>
  </si>
  <si>
    <t>TRANSPORTE VERTICAL Y HORIZONTAL</t>
  </si>
  <si>
    <t>ALQUILER GRUA TORRE - AUTOESTABLE</t>
  </si>
  <si>
    <t>ALQUILER DE GRÚA TORRE - AUTOESTABLE - AGRUMAQ</t>
  </si>
  <si>
    <t>REVISION MENSUAL</t>
  </si>
  <si>
    <t>SEGURO TREC GRUA (TODO RIESGO Y RESPONSABILIDAD CIVIL)</t>
  </si>
  <si>
    <t>ALQUILER DE AUTOTRANSFORMADOR</t>
  </si>
  <si>
    <t>OPERADOR DE GRUA X 200 HORAS MENSUALES</t>
  </si>
  <si>
    <t xml:space="preserve">CERTIFICADO DE INSTALACIÓN Y MONTAJE </t>
  </si>
  <si>
    <t xml:space="preserve">TRANSPORTE DE PATAS DE EMPOTRAMIENTO A OBRA </t>
  </si>
  <si>
    <t>CERRAMIENTO PATAS DE EMPOTRAMIENTO COMO TRAMO DE TORRE</t>
  </si>
  <si>
    <t xml:space="preserve">PERNOS DE NIVELACION PARA PATAS DE EMPOTRAMIENTO </t>
  </si>
  <si>
    <t>PATAS DE EMPOTRAMIENTO PARA TORRE GRUA</t>
  </si>
  <si>
    <t xml:space="preserve">CARGA DE TORRE GRUA EN ALMACEN </t>
  </si>
  <si>
    <t xml:space="preserve">TRANSPORTE DE TORRE GRUA A OBRA </t>
  </si>
  <si>
    <t xml:space="preserve">MANO DE OBRA POR MONTAJE DE TORRE GRUA </t>
  </si>
  <si>
    <t xml:space="preserve">ALQUILER DE GRUA AUXILIAR PARA MONTAJE POR DOS DÍAS DE TRABAJO </t>
  </si>
  <si>
    <t>MANO DE OBRA POR DESMONTAJE DE TORRE GRUA</t>
  </si>
  <si>
    <t>ALQUILER DE GRUA AUXILIAR DE 300TON PARA DESMONTAJE POR DOS DÍAS DE TRABAJO</t>
  </si>
  <si>
    <t>TRANSPORTE DE RETORNO A ALMACEN</t>
  </si>
  <si>
    <t xml:space="preserve">DESCARGA EN ALMACEN </t>
  </si>
  <si>
    <t>TRANSPORTE VERTICAL CON GRUA - COSTO DE 02 RIGGER</t>
  </si>
  <si>
    <t>CIMENTACION PARA GRUA TORRE</t>
  </si>
  <si>
    <t xml:space="preserve"> CIMENTACION EN VIGA PARA GRUA TORRE  (AGRUMAQ)</t>
  </si>
  <si>
    <t>ALQUILER ELEVADOR VERTICAL</t>
  </si>
  <si>
    <t>ALQUILER DE ELEVADOR DE PERSONAL DE CREMALLERA, CAP. MAX 2 TON</t>
  </si>
  <si>
    <t>REVISIÓN MENSUAL DE ELEVADOR DE PERSONAL DE CREMALLERA</t>
  </si>
  <si>
    <t>OPERADOR DE ELEVADOR X 200 HORAS</t>
  </si>
  <si>
    <t>MONTAJE DE ELEVADOR DE PERSONAL DE CREMALLERA</t>
  </si>
  <si>
    <t>DESMONTAJE DE ELEVADOR DE PERSONAL DE CREMALLERA</t>
  </si>
  <si>
    <t>ACCESORIOS PARA ACARREO</t>
  </si>
  <si>
    <t>PULPO DE CADENA, ESTROBO Y ESLINGA</t>
  </si>
  <si>
    <t>ALQUILER DE BALDE PARA CONCRETO</t>
  </si>
  <si>
    <t>PLATAFORMAS PARA DESCARGAS DE PARIHUELAS (COMPRA 100%)</t>
  </si>
  <si>
    <t>STOCKAS PARA TRANSPORTE DE PARIHUELAS (COMPRA 100%)</t>
  </si>
  <si>
    <t>INSTALACION Y DESISTALACION DE PLATAFORMA DESCARGA DE PARIHUELAS</t>
  </si>
  <si>
    <t>ALQUILER GRUA TELESCOPICA PARA ACARREO DE ACERO (1 DIA/SEM) ETAPA EXCAVACION - AJUSTE DE CAMPO</t>
  </si>
  <si>
    <t>día</t>
  </si>
  <si>
    <t>TRASLADO Y ACARREO HORIZONTAL</t>
  </si>
  <si>
    <t>PEON DE MONTACARGA (PISO SUPERIOR) - ACARREO HORIZONTAL</t>
  </si>
  <si>
    <t>TRASLADO Y ACARREO HORIZONTAL (PEONES) ETAPA EXCAV+MP</t>
  </si>
  <si>
    <t>TRASLADO Y ACARREO HORIZONTAL (PEONES) CASCO (SOT+TORRE)</t>
  </si>
  <si>
    <t>TRASLADO Y ACARREO HORIZONTAL (PEONES) ETAPA ACABADOS (desde inicio acabados)</t>
  </si>
  <si>
    <t>ALQUILER DE EQUIPO BOBCAT Y MONTACARGA</t>
  </si>
  <si>
    <t>INSTALACIONES PROVISIONALES, AGUA Y ENERGIA</t>
  </si>
  <si>
    <t>INSTALACIONES PROVISIONALES</t>
  </si>
  <si>
    <t>INSTALACIÓN PROVISIONAL DE AGUA Y DESAGUE PARA LA CONSTRUCCIÓN</t>
  </si>
  <si>
    <t>INSTALACIÓN PROVISIONAL DE ENERGÍA PARA LA CONSTRUCCIÓN (VENTA DEL 60% A ALMACEN)</t>
  </si>
  <si>
    <t>OFICIAL DE IIEE, PARA CABLEADOS, INSTALACIONES PROVISIONALES DURANTE LA OBRA</t>
  </si>
  <si>
    <t>INSTALACIÓN PROVISIONAL TELEFÓNICA Y DE COMUNICACIONES PARA LA CONSTRUCCIÓN</t>
  </si>
  <si>
    <t>POZO A TIERRA PROVISIONAL (NORMATIVA)</t>
  </si>
  <si>
    <t>AMPLIACION DE CARGA (GESTION ADMINISTRATIVA)</t>
  </si>
  <si>
    <t>TRABAJOS PARA LA INSTALACIÓN DE MEDIDOR CON INCREMENTO (INCLUYE NICHO PARA MEDIDOR)</t>
  </si>
  <si>
    <t>CONSUMO DE AGUA PARA LA OBRA</t>
  </si>
  <si>
    <t>AGUA PARA LLENADO DE CISTERNA (PRUEBA HIDRAULICA)</t>
  </si>
  <si>
    <t>CONSUMO DE ELECTRICIDAD PARA LA OBRA (EXCAV+MP)</t>
  </si>
  <si>
    <t>CONSUMO DE ELECTRICIDAD PARA LA OBRA (CASCO+ARQ)</t>
  </si>
  <si>
    <t>GRUPO ELECTROGENO PARA GRUA TORRE (NO SE CONSIDERA - INMOBILIARIA INDICA QUE CONSEGUIRAN AMPLIACION DE CARGA SUFIEICNETE PARA SU FUNCIONAMIENTO)</t>
  </si>
  <si>
    <t xml:space="preserve">TRANSPORTE DE GRUPO ELECTROGENO 100KW PARA GRUA </t>
  </si>
  <si>
    <t>vez</t>
  </si>
  <si>
    <t xml:space="preserve">ALQUILER DE GRUPO ELECTROGENO 100KW PARA TORRE GRUA </t>
  </si>
  <si>
    <t>MANTENIMIENTO GRUPO ELECTROGENO 100KW PARA TORRE GRUA</t>
  </si>
  <si>
    <t>COMBUSTIBLE PARA GRUPO ELECTROGENO 100KW GRUA</t>
  </si>
  <si>
    <t>GRUPO ELECTROGENO PARA ELEVADOR VERTICAL (NO SE CONSIDERA - INMOBILIARIA INDICA QUE CONSEGUIRAN AMPLIACION DE CARGA SUFIEICNETE PARA SU FUNCIONAMIENTO)</t>
  </si>
  <si>
    <t xml:space="preserve">TRANSPORTE DE GRUPO ELECTROGENO 60KW PARA ELEVADOR </t>
  </si>
  <si>
    <t>ALQUILER DE GRUPO ELECTROGENO 60 KW PARA ELEVADOR (inc mantenimiento)</t>
  </si>
  <si>
    <t>COMBUSTIBLE PARA ELEVADOR DE OBRA 60 KW ELEVADOR</t>
  </si>
  <si>
    <t xml:space="preserve">GRUPO ELECTROGENO PARA MAQUINA DE ANCLAJES </t>
  </si>
  <si>
    <t>TRANSPORTE DE GRUPO ELECTROGENO PARA MAQUINA DE ANCLAJES (inc en costo de anclajes)</t>
  </si>
  <si>
    <t>ALQUILER GRUPO ELECTROGENO PARA ANCLAJES (inc en costo de anclajes)</t>
  </si>
  <si>
    <t>MANTENIMIENTO GRUPO ELECTROGENO PARA ANCLAJES (inc en costo de anclajes)</t>
  </si>
  <si>
    <t>COMBUSTIBLE PARA GRUPO ELECTROGENO 60 KV ANCLAJES (inc en costo de anclajes)</t>
  </si>
  <si>
    <t>TRAZOS, NIVELES Y REPLANTEO</t>
  </si>
  <si>
    <t xml:space="preserve">TRAZO Y REPLANTEO DURANTE LA EJECUCIÓN DE OBRA </t>
  </si>
  <si>
    <t>LIMPIEZA DE OBRA</t>
  </si>
  <si>
    <t>LIMPIEZA PERMANENTE DE OBRA (1 PEON) ETAPA EXC+MP</t>
  </si>
  <si>
    <t>LIMPIEZA PERMANENTE DE OBRA (1.5 PEONES)</t>
  </si>
  <si>
    <t>ELIMINACIÓN MATERIAL DE DESMONTE, RESIDUOS,  DURANTE LA OBRA</t>
  </si>
  <si>
    <t>m3</t>
  </si>
  <si>
    <t>ELIMINACIÓN MATERIAL DE DESMONTE, RESIDUOS CON CAJA ECOLOGICA (V= 8 M3),  DURANTE LA OBRA</t>
  </si>
  <si>
    <t>CHUTE PARA ELIMINACION VERTICAL</t>
  </si>
  <si>
    <t xml:space="preserve">PERSONAL DE LIMPIEZA FINAL DEP Y AREAS COMUNES </t>
  </si>
  <si>
    <t>MATERIALES PARA LIMPIEZA FINAL DE DEPARTAMENTOS</t>
  </si>
  <si>
    <t>LIMPIEZA DE VIDRIOS FIJOS EXTERIORES</t>
  </si>
  <si>
    <t>m2</t>
  </si>
  <si>
    <t>PROTECCION DE PISOS Y BARANDAS</t>
  </si>
  <si>
    <t>PROTECCION CON CARTON Y PLASTICO (PISOS, TABLEROS, PCF)</t>
  </si>
  <si>
    <t>PROTECCION DE VENTANA, MAMPARA Y BARANDA DE VIDRIOS (ES A COSTO DEL SUBCONTRATISTA)</t>
  </si>
  <si>
    <r>
      <t xml:space="preserve">PLASTICO DE PROTECCION DE VENTANA, MAMPARA Y BARANDA DE VIDRIOS </t>
    </r>
    <r>
      <rPr>
        <sz val="8"/>
        <color rgb="FF000000"/>
        <rFont val="Arial"/>
        <family val="2"/>
      </rPr>
      <t>EXTERIORES</t>
    </r>
    <r>
      <rPr>
        <sz val="8"/>
        <color indexed="72"/>
        <rFont val="Arial"/>
        <family val="2"/>
      </rPr>
      <t>, PARA EL TARRAJEO ( A COSTO DEL SUBCONTRATISTA)</t>
    </r>
  </si>
  <si>
    <t>PROTECCION DE BARANDAS DE FIERRO ESCALERAS Y FACHADAS</t>
  </si>
  <si>
    <t>ANDAMIOS Y ESCALERAS DE ACCESO</t>
  </si>
  <si>
    <t>ALQUILER DE ESCALERA PARA ACCCESO AL SOTANO</t>
  </si>
  <si>
    <t>ALQUILER  DE ANDAMIO OBRA (EXC+MP)</t>
  </si>
  <si>
    <t>ALQUILER DE ANDAMIO OBRA CASCO (SOT+TORRE)</t>
  </si>
  <si>
    <t>ALQUILER DE ANDAMIO OBRA ETAPA ACABADOS (desde incio acabados hasta 2 mes antes de fin de acabados)</t>
  </si>
  <si>
    <t>ALQUILER Y ARMADO DE ANDAMIO PARA TARRAJEOS DE FACHADAS (INC PRECIO DE ACABADO DE FACHADA)</t>
  </si>
  <si>
    <t>ESTUFAS DE ARCILLA PARA SECADO DE AMBIENTES (INC EN COSTO DE TABIQUERIA)</t>
  </si>
  <si>
    <t xml:space="preserve">Calentador de arcilla (8 brick/ departamento) </t>
  </si>
  <si>
    <t>Bricketa de Carbón vegetal (8 brick/dep x @ 4 horas cada bricke x 2 días)</t>
  </si>
  <si>
    <t>Carbon Vegetal  (8 brick/dep x @ 4 horas cada bricke x 2 días)</t>
  </si>
  <si>
    <t>kg</t>
  </si>
  <si>
    <t>Mano de Obra (Briketas) + Herramientas Manuales</t>
  </si>
  <si>
    <t>ENSAYOS DE CALIDAD, MATERIALES Y  ESTUDIOS EN GENERAL</t>
  </si>
  <si>
    <t>ENSAYOS DE CALIDAD PROBETAS DE CONCRETO</t>
  </si>
  <si>
    <t>muestra</t>
  </si>
  <si>
    <t>ENSAYO DE PROCTOR MODIFICADO</t>
  </si>
  <si>
    <t>ENSAYO ESTANDAR DE CLASIFICACION</t>
  </si>
  <si>
    <t>ENSAYO DE DENSIDAD NATURAL</t>
  </si>
  <si>
    <t>MOVILIDADES Y VITAICOS ENSAYOS DENSIDAD DE CAMPO</t>
  </si>
  <si>
    <t>ENSAYO INYECCION DE LECHADA MUROS ANCLADOS</t>
  </si>
  <si>
    <t>OTROS</t>
  </si>
  <si>
    <t>DEMOLICION Y REPOSICION DE VEREDAS DE ACCESOS</t>
  </si>
  <si>
    <t xml:space="preserve">REPOSICION DE VIAS DE ACCESOS (PISTA) - NO SE CONSIDERA </t>
  </si>
  <si>
    <t>LLAVEROS (CONTROL)</t>
  </si>
  <si>
    <t>S10</t>
  </si>
  <si>
    <t>SEGURIDAD Y SALUD</t>
  </si>
  <si>
    <t>PARCIAL</t>
  </si>
  <si>
    <t>02</t>
  </si>
  <si>
    <t>ELABORACIÓN, IMPLEMENTACIÓN Y ADMINISTRACIÓN DEL PLAN DE SEGURIDAD Y SALUD EN EL TRABAJO</t>
  </si>
  <si>
    <t>EQUIPOS DE PROTECCION INDIVIDUAL (STAFF Y OBREROS)</t>
  </si>
  <si>
    <t>EQUIPOS DE PROTECCION COLECTIVA</t>
  </si>
  <si>
    <t xml:space="preserve">MONITOREO DE AIRE Y RUIDO EN LA CONSTRUCCION (@ 6 MESES) </t>
  </si>
  <si>
    <t>CONTROL DE POLVOS EN MOVIMIENTO DE TIERRAS (EXIGENCIA LEED)</t>
  </si>
  <si>
    <t>EXAMEN MÉDICO PRE-OCUPACIONAL</t>
  </si>
  <si>
    <t>MALLA ANTICAIDAS (PERIMETRO EDIFICIO)</t>
  </si>
  <si>
    <t>MALLA ANTICAIDAS (DUCTO DE ASCENSOR)</t>
  </si>
  <si>
    <t xml:space="preserve">      DESVIO DE TRANSITO (02 SEÑALERO x FRENTE)</t>
  </si>
  <si>
    <t xml:space="preserve">PREVENCIONISTAS </t>
  </si>
  <si>
    <t>ASISTENTES DE PDR (01)</t>
  </si>
  <si>
    <t>AYUDANTE DE PDR N°1 (01)</t>
  </si>
  <si>
    <t>AYUDANTE DE PDR N°2 (01)</t>
  </si>
  <si>
    <t>SEGURIDAD POLICIAL</t>
  </si>
  <si>
    <t>CAMARAS DE SEGURIDAD</t>
  </si>
  <si>
    <t>SERVICIO MENSUAL MANTENIMIENTO</t>
  </si>
  <si>
    <t>GASTOS GENERALES</t>
  </si>
  <si>
    <t>PRECIO (PEN)</t>
  </si>
  <si>
    <t>12</t>
  </si>
  <si>
    <t>PERSONAL STAFF</t>
  </si>
  <si>
    <t>GERENTE DE PROYECTOS</t>
  </si>
  <si>
    <t xml:space="preserve">INGENIERO RESIDENTE </t>
  </si>
  <si>
    <t xml:space="preserve">INGENIERO DE OFICINA TECNICA </t>
  </si>
  <si>
    <t>INGENIERO DE CAMPO</t>
  </si>
  <si>
    <t>INGENIERO DE CALIDAD</t>
  </si>
  <si>
    <t>INGENIERO DE CALIDAD JUNIOR</t>
  </si>
  <si>
    <t>INGENIERO ELECTROMECANICO</t>
  </si>
  <si>
    <t xml:space="preserve">ARQUITECTO DE ACABADOS </t>
  </si>
  <si>
    <t xml:space="preserve">PREVENCIONISTA DE RIEGOS - SUBJEFE DE PDR </t>
  </si>
  <si>
    <t xml:space="preserve">ADMINISTRADOR DE OBRA </t>
  </si>
  <si>
    <t>INGENIERO BIM</t>
  </si>
  <si>
    <t>PERSONAL TECNICO</t>
  </si>
  <si>
    <t>ASISTENTE (CAMPO/CALIDAD/ARQ)</t>
  </si>
  <si>
    <t xml:space="preserve">MAESTRO DE OBRA </t>
  </si>
  <si>
    <t>CAPATAZ DE OBRA ESTRUCTURAS</t>
  </si>
  <si>
    <t>CAPATAZ DE OBRA ARQUITECTURA N°1</t>
  </si>
  <si>
    <t>JEFE DE ALMACEN</t>
  </si>
  <si>
    <t>GUARDIAN DE OBRA Y PORTERIA</t>
  </si>
  <si>
    <t>VIGILANTE POLICIAL DE CIVIL (TURNO NOCHE) - SERA COBRADO COMO ADICIONAL</t>
  </si>
  <si>
    <t>EQUIPO DE OFICINA DE LA OBRA</t>
  </si>
  <si>
    <t>COMPUTADORAS</t>
  </si>
  <si>
    <t>DISGREGADO DE COMPUTADORAS</t>
  </si>
  <si>
    <t>12.03.02.01</t>
  </si>
  <si>
    <t>12.03.02.02</t>
  </si>
  <si>
    <t>12.03.02.03</t>
  </si>
  <si>
    <t>12.03.02.05</t>
  </si>
  <si>
    <t>12.03.02.07</t>
  </si>
  <si>
    <t>12.03.02.09</t>
  </si>
  <si>
    <t>12.03.02.12</t>
  </si>
  <si>
    <t>12.03.02.15</t>
  </si>
  <si>
    <t>12.03.02.16</t>
  </si>
  <si>
    <t>12.03.02.17</t>
  </si>
  <si>
    <t>12.03.02.26</t>
  </si>
  <si>
    <t>12.03.02.28</t>
  </si>
  <si>
    <t>TOPOGRAFO 1 (cuadrilla 1)</t>
  </si>
  <si>
    <t>12.03.02.29</t>
  </si>
  <si>
    <t>TOPOGRAFO 2 (cuadrilla 2)</t>
  </si>
  <si>
    <t>12.03.03</t>
  </si>
  <si>
    <t>IMPRESORA A3</t>
  </si>
  <si>
    <t>12.03.04</t>
  </si>
  <si>
    <t>COMUNICACION (CELULARES)</t>
  </si>
  <si>
    <t>12.03.05</t>
  </si>
  <si>
    <t>DISGREGADO DE CELULARES</t>
  </si>
  <si>
    <t>12.03.05.01</t>
  </si>
  <si>
    <t>12.03.05.02</t>
  </si>
  <si>
    <t>12.03.05.03</t>
  </si>
  <si>
    <t>12.03.05.05</t>
  </si>
  <si>
    <t>12.03.05.07</t>
  </si>
  <si>
    <t>12.03.05.09</t>
  </si>
  <si>
    <t>12.03.05.12</t>
  </si>
  <si>
    <t>12.03.05.15</t>
  </si>
  <si>
    <t>12.03.05.17</t>
  </si>
  <si>
    <t>12.03.05.25</t>
  </si>
  <si>
    <t>12.03.05.27</t>
  </si>
  <si>
    <t xml:space="preserve">      ASISTENTES DE PDR (01)- ENTRA DESPUES DE LA CIM HASTA EL FINAL</t>
  </si>
  <si>
    <t>12.03.05.28</t>
  </si>
  <si>
    <t xml:space="preserve">      AYUDANTE DE PDR N°1 (01)</t>
  </si>
  <si>
    <t>12.03.05.29</t>
  </si>
  <si>
    <t xml:space="preserve">      AYUDANTE DE PDR N°2 (01)</t>
  </si>
  <si>
    <t>12.03.06</t>
  </si>
  <si>
    <t>COMUNICACION (RADIOS)</t>
  </si>
  <si>
    <t>12.03.07</t>
  </si>
  <si>
    <t>COMUNICACION TELEFONO EXTERNO / INTERNET</t>
  </si>
  <si>
    <t>12.03.08</t>
  </si>
  <si>
    <t>ESCRITORIOS Y SILLAS (CONTRATISTA)</t>
  </si>
  <si>
    <t>12.03.09</t>
  </si>
  <si>
    <t>MESAS DE TRABAJO Y DE REUNION</t>
  </si>
  <si>
    <t>12.03.10</t>
  </si>
  <si>
    <t>UTILES DE OFICINA Y ECONOMATO</t>
  </si>
  <si>
    <t>12.04</t>
  </si>
  <si>
    <t>VARIOS</t>
  </si>
  <si>
    <t>12.04.01</t>
  </si>
  <si>
    <t>INSUMOS PARA LIMPIEZA</t>
  </si>
  <si>
    <t>12.04.02</t>
  </si>
  <si>
    <t>PERSONAL DE LIMPIEZA (OFICINAS)</t>
  </si>
  <si>
    <t>12.04.03</t>
  </si>
  <si>
    <t>FOTOCOPIADO</t>
  </si>
  <si>
    <t>12.04.04</t>
  </si>
  <si>
    <t>COPIA DE PLANOS Y PLANOS DE REPLANTEO DE OBRA</t>
  </si>
  <si>
    <t>12.04.05</t>
  </si>
  <si>
    <t>PLANOS Y EXPEDIENTE FIRMA DE CONTRATO (3 COPIAS)</t>
  </si>
  <si>
    <t>12.04.06</t>
  </si>
  <si>
    <t>DOSSIER DE CALIDAD</t>
  </si>
  <si>
    <t>12.04.07</t>
  </si>
  <si>
    <t>GASTOS ADMINISTRATIVOS</t>
  </si>
  <si>
    <t>12.04.08</t>
  </si>
  <si>
    <t>AGUA POTABLE PARA PERSONAL</t>
  </si>
  <si>
    <t>12.04.09</t>
  </si>
  <si>
    <t>BOTIQUIN DE OBRA</t>
  </si>
  <si>
    <t>12.04.10</t>
  </si>
  <si>
    <t>MANTENIMIENTO DE EQUIPOS PROPIO</t>
  </si>
  <si>
    <t>12.04.11</t>
  </si>
  <si>
    <t>MOVILIDAD</t>
  </si>
  <si>
    <t>12.04.12</t>
  </si>
  <si>
    <t xml:space="preserve">CONTRIBUCION OFICINA CENTRAL </t>
  </si>
  <si>
    <t>12.04.13</t>
  </si>
  <si>
    <t>GASTOS NOTARIALES PARA INSPECCION DE VECINOS</t>
  </si>
  <si>
    <t>12.04.14</t>
  </si>
  <si>
    <t>ATENCION RECLAMO VECINOS (PARTIDA ABIERTA)</t>
  </si>
  <si>
    <t>12.04.15</t>
  </si>
  <si>
    <t>PERMISOS VARIOS (CIERRE DE VIAS, MONTAJE Y DESMONTAJE DE GRUA Y TRAMITES MUNICIPALES)</t>
  </si>
  <si>
    <t>12.04.16</t>
  </si>
  <si>
    <t>GESTION - LUZ DEL SUR, SEDAPAL</t>
  </si>
  <si>
    <t>12.05</t>
  </si>
  <si>
    <t>PAZ SOCIAL</t>
  </si>
  <si>
    <t>12.05.01</t>
  </si>
  <si>
    <t>PAZ SOCIAL - PARTIDA ADMINISTRADA</t>
  </si>
  <si>
    <t>12.06</t>
  </si>
  <si>
    <t>GASTOS FIJOS</t>
  </si>
  <si>
    <t>12.06.01</t>
  </si>
  <si>
    <t>POLIZA CAR+RC</t>
  </si>
  <si>
    <t>12.06.02</t>
  </si>
  <si>
    <t>POLIZA 3D</t>
  </si>
  <si>
    <t>12.06.08</t>
  </si>
  <si>
    <t>SCTR (Pensión y Salud) - Staff Obra</t>
  </si>
  <si>
    <t>12.06.09</t>
  </si>
  <si>
    <t>DISGREGADO DE SCTR</t>
  </si>
  <si>
    <t>12.06.09.01</t>
  </si>
  <si>
    <t>12.06.09.02</t>
  </si>
  <si>
    <t>12.06.09.03</t>
  </si>
  <si>
    <t>12.06.09.04</t>
  </si>
  <si>
    <t>12.06.09.06</t>
  </si>
  <si>
    <t>12.06.09.08</t>
  </si>
  <si>
    <t>12.06.09.10</t>
  </si>
  <si>
    <t>12.06.09.13</t>
  </si>
  <si>
    <t>12.06.09.16</t>
  </si>
  <si>
    <t>12.06.09.17</t>
  </si>
  <si>
    <t>12.06.09.18</t>
  </si>
  <si>
    <t>12.06.09.20</t>
  </si>
  <si>
    <t>12.06.09.21</t>
  </si>
  <si>
    <t>12.06.09.23</t>
  </si>
  <si>
    <t>12.06.09.26</t>
  </si>
  <si>
    <t>12.06.09.28</t>
  </si>
  <si>
    <t>12.06.09.30</t>
  </si>
  <si>
    <t xml:space="preserve">      ASISTENTES DE PDR (01) - ENTRA DESPUES DE LA CIM HASTA EL FINAL</t>
  </si>
  <si>
    <t>12.06.09.31</t>
  </si>
  <si>
    <t>12.06.09.32</t>
  </si>
  <si>
    <t>12.06.09.33</t>
  </si>
  <si>
    <t>12.06.09.34</t>
  </si>
  <si>
    <t>12.06.09.35</t>
  </si>
  <si>
    <t>TOPOGRAFO 3 (cuadrilla 3)</t>
  </si>
  <si>
    <t>12.06.10</t>
  </si>
  <si>
    <t>SCTR (Pensión y Salud) - Personal Obrero</t>
  </si>
  <si>
    <t>12.06.11</t>
  </si>
  <si>
    <t>Seguro de Vida Ley - Staff Obra</t>
  </si>
  <si>
    <t>12.06.12</t>
  </si>
  <si>
    <t>Seguro de Vida Ley - Personal Obrero</t>
  </si>
  <si>
    <t>12.06.13</t>
  </si>
  <si>
    <t>GASTOS FINANCIEROS - ITF - 0.005%</t>
  </si>
  <si>
    <t>12.06.14</t>
  </si>
  <si>
    <t>SENCICO</t>
  </si>
  <si>
    <t>12.06.15</t>
  </si>
  <si>
    <t>LICENCIA SOFTWARE</t>
  </si>
  <si>
    <t>ESTRUCTURAS SÓTANOS</t>
  </si>
  <si>
    <t>METRADO</t>
  </si>
  <si>
    <t>P.U. TOTAL (PEN)</t>
  </si>
  <si>
    <t>03</t>
  </si>
  <si>
    <t>OBRAS PRELIMINARES MOVIMIENTOS DE TIERRA</t>
  </si>
  <si>
    <t>MOVILIZACION Y DESMOVILIZACION DE EQUIPOS MOVIMIENTO TIERRAS</t>
  </si>
  <si>
    <t>EXTRACCION DE 2 MAQUINAS EXCAVADORAS (IZAJE)</t>
  </si>
  <si>
    <t>INSTALACION Y DESISTALACION DE PLATAFORMA</t>
  </si>
  <si>
    <t>EXTRACCION DE EQUIPOS PERFORACION CON GRUAS</t>
  </si>
  <si>
    <t>CONTROL DE POLVOS (AGUA EN CISTERNA)</t>
  </si>
  <si>
    <t>MOVIMIENTO DE TIERRAS</t>
  </si>
  <si>
    <t>EXCAVACIÓN Y ELIMINACIÓN MASIVA POR NIVEL</t>
  </si>
  <si>
    <t>CORTE Y ELIMINACION  DE +0.00 a -3.57 (SOTANO 01)</t>
  </si>
  <si>
    <t>CORTE Y ELIMINACION  DE -3.57 a -6.38 (SOTANO 02)</t>
  </si>
  <si>
    <t>CORTE Y ELIMINACION  DE -6.38 a -9.08 (SOTANO 03)</t>
  </si>
  <si>
    <t>CORTE Y ELIMINACION  DE -9.08 a -11.78 (SOTANO 04)</t>
  </si>
  <si>
    <t>CORTE Y ELIMINACION  DE -11.78 a -14.48 (SOTANO 05)</t>
  </si>
  <si>
    <t>CORTE Y ELIMINACION  DE -14.48 a -17.84 (SOTANO 06) CON GRUA Y BALDE</t>
  </si>
  <si>
    <t>EXCAVACIÓN Y ELIMINACIÓN LOCALIZADA</t>
  </si>
  <si>
    <t>EXCAVACION Y ELIIMINACION DE ZAPATAS, FALSAS ZAPATAS  Y CIMIENTOS (N -20.60)</t>
  </si>
  <si>
    <t>EXCAVACION Y ELIIMINACION DE CISTERNA Y CUARTO DE BOMBAS (N -19.7)</t>
  </si>
  <si>
    <t>EXCAVACION LOCALIZADA PARA VIGAS DE CIMENTACION</t>
  </si>
  <si>
    <t>EXCAVACION LOCALIZADA PARA CIMIENTOS (BATEA DE CIMENTACION)</t>
  </si>
  <si>
    <t>EXCAVACION LOCALIZADA PARA POZO SUMIDERO Y TRAMPA DE GRASA</t>
  </si>
  <si>
    <t>ACARREO Y ELIMINACION DE MATERIAL EXCEDENTE</t>
  </si>
  <si>
    <t>ELIMINACIÓN DE CIMENTACIÓN EXISTENTE (NO SE CONSIDERA)</t>
  </si>
  <si>
    <t>DEMOLICIÓN DE CIMENTACIÓN DE VECINOS</t>
  </si>
  <si>
    <t>ELIMINACIÓN DE CIMENTACIÓN</t>
  </si>
  <si>
    <t>RELLENO Y COMPACTACIÓN</t>
  </si>
  <si>
    <t>RELLENO COMPACTADO CON MATERIAL PROPIO</t>
  </si>
  <si>
    <t>RELLENO BAJO RAMPA CON MATERIAL PROPIO</t>
  </si>
  <si>
    <t>NIVELACIÓN, APISONADO Y BASE DE AFIRMADO</t>
  </si>
  <si>
    <t>NIVELACION Y COMPACTACION DE SUBRASANTE</t>
  </si>
  <si>
    <t>BASE DE AFIRMADO COMPACTADO, E=15CM (conforme a EMS)</t>
  </si>
  <si>
    <t>ALQUILER DE EXCAVADORA MOVIMIENTO DE DADOS, RAMPA, ETC</t>
  </si>
  <si>
    <t>VIGIA P/MAQ EXCAVADORA DURANTE LA EXCAVACION</t>
  </si>
  <si>
    <t>CONCRETO SIMPLE</t>
  </si>
  <si>
    <t>SOLADOS</t>
  </si>
  <si>
    <t>SOLADO</t>
  </si>
  <si>
    <t>CONCRETO PREMEZCLADO, CEMENTO TIPO I, SOLADO f'c=100 kg/cm2</t>
  </si>
  <si>
    <t>FALSA ZAPATA</t>
  </si>
  <si>
    <t>CIMENTACIÓN</t>
  </si>
  <si>
    <t>CONCRETO PREMEZCLADO, CEMENTO TIPO I, FALZA ZAPATAS 1:12 + 30%P.G.</t>
  </si>
  <si>
    <t>E</t>
  </si>
  <si>
    <t>ENCOFRADO DE FALSA ZAPATAS</t>
  </si>
  <si>
    <t>CONCRETO ARMADO</t>
  </si>
  <si>
    <t>CIMIENTOS ARMADOS MURO PANTALLA</t>
  </si>
  <si>
    <t>C</t>
  </si>
  <si>
    <t>MURO PANTALLA</t>
  </si>
  <si>
    <t>CONCRETO PREMEZCLADO, CEMENTO TIPO I, CIMIENTOS REFORZADOS f'c=210 kg/cm2</t>
  </si>
  <si>
    <t>CONCRETO PREMEZCLADO, CEMENTO TIPO I, CIMIENTOS REFORZADOS f'c=280 kg/cm2</t>
  </si>
  <si>
    <t>MP</t>
  </si>
  <si>
    <t>ENCOFRADO Y DESENCOFRADO PARA CIMIENTOS REFORZADOS</t>
  </si>
  <si>
    <t>A</t>
  </si>
  <si>
    <t>ACERO DE REFUERZO FY= 4200 kg/cm2, GRADO 60 (MURO PANTALLA)</t>
  </si>
  <si>
    <t>CURADO DE ELEMENTOS ESTRUCTURALES EXPUESTOS</t>
  </si>
  <si>
    <t>PINTURA ASFALTICA EN CIMENTACIONES</t>
  </si>
  <si>
    <t>MURO PANTALLA (ANCLADO)</t>
  </si>
  <si>
    <t>CONCRETO PREMEZCLADO, CEMENTO TIPO I, MURO PANTALLA f'c=350 kg/cm2</t>
  </si>
  <si>
    <t>CONCRETO PREMEZCLADO, CEMENTO TIPO I, MURO PANTALLA f'c=420 kg/cm2</t>
  </si>
  <si>
    <t>ENCOFRADO Y DESENCOFRADO PARA MURO PANTALLA</t>
  </si>
  <si>
    <t>ENCOFRADO Y DESENCOFRADO LATERALES</t>
  </si>
  <si>
    <t>RECARGO POR CONSUMO MINIMO DE BOMBA</t>
  </si>
  <si>
    <t xml:space="preserve">CONCRETO PREMEZCLADO, CEMENTO TIPO I, EN CACHIMBAS f'c=350  kg/cm2 </t>
  </si>
  <si>
    <t>ENCOFRADO Y DESENCOFRADO DE CACHIMBAS</t>
  </si>
  <si>
    <t>PICADO DE CACHIMBAS DE MUROS PANTALLAS</t>
  </si>
  <si>
    <t>PICADO DE PESTAÑAS DE ORIFICIO DE ANCLAJE</t>
  </si>
  <si>
    <t>TECNOPOR EN ENCUENTRO DE LOSAS CON MURO PANTALLA</t>
  </si>
  <si>
    <t>RETIRO DE TECNOPOR Y ESCARIFICADO EN ENCUENTRO DE LOSAS CON MURO PANTALLA</t>
  </si>
  <si>
    <t>EPOXICO DE UNION Y ESCARIFICADO ENTRE LOSAS DE TECHO DE SOTANOS Y MURO PANTALLA</t>
  </si>
  <si>
    <t>PERFILADO DE BANQUETAS Y TALUDES</t>
  </si>
  <si>
    <t>PAÑETEO DE MUROS PANTALLA</t>
  </si>
  <si>
    <t>PLASTICO CONTRA TERRENO</t>
  </si>
  <si>
    <t xml:space="preserve">ANCLAJE 5/8", ENCUENTRO DE LOSAS CON MUROS </t>
  </si>
  <si>
    <t>RESANE DE ORIFICIO DE ANCLAJE</t>
  </si>
  <si>
    <t>RESANE DE CACHIMBAS</t>
  </si>
  <si>
    <t>MURO PERIMETRAL (SIN ANCLAJES)</t>
  </si>
  <si>
    <t>CONCRETO PREMEZCLADO, CEMENTO TIPO I, MURO PERIMETRAL f'c=350 kg/cm2</t>
  </si>
  <si>
    <t>CONCRETO PREMEZCLADO, CEMENTO TIPO I, MURO PERIMETRAL f'c=420 kg/cm2</t>
  </si>
  <si>
    <t>ENCOFRADO Y DESENCOFRADO DE MUROS Y PLACAS</t>
  </si>
  <si>
    <t>ENCOFRADO Y DESENCOFRADO DE MUROS Y PLACAS DOBLE ALTURA</t>
  </si>
  <si>
    <t>ACERO DE REFUERZO FY= 4200 kg/cm2, GRADO 60</t>
  </si>
  <si>
    <t>ANCLAJES DE MURO PANTALLA (GEO BUILDING)</t>
  </si>
  <si>
    <t>MOVILIZACIÓN Y DESMOVILIZACIÓN DE ANCLAJES</t>
  </si>
  <si>
    <t>PERFORACIÓN, SUMINISTRO, INSTALACIÓN, INYECCIÓN DE LECHADA DE ANCLAJES POSTENSADOS TEMPORALES (147 anclajes)</t>
  </si>
  <si>
    <t>BOLSAS DE CEMENTO PARA TENSADO DE ANCLAJES (inc bolsa de cemento)</t>
  </si>
  <si>
    <t>bls</t>
  </si>
  <si>
    <t>MOVILIZACION Y DESMOVILIZACION DE EQUIPOS MICROPILOTES</t>
  </si>
  <si>
    <t>MICROPILOTES SUB HORIZONTALES (LONG EFECTIVA)</t>
  </si>
  <si>
    <t>BOLSAS DE CEMENTO PARA MICROPILOTES (inc bolsa de cemento)</t>
  </si>
  <si>
    <t>ZAPATAS</t>
  </si>
  <si>
    <t>CONCRETO PREMEZCLADO, CEMENTO TIPO I, ZAPATAS f'c=280 kg/cm2</t>
  </si>
  <si>
    <t>ENCOFRADO Y DESENCOFRADO PARA ZAPATAS</t>
  </si>
  <si>
    <t>CIMIENTOS ARMADOS INTERIORES</t>
  </si>
  <si>
    <t>VIGAS DE CIMENTACION</t>
  </si>
  <si>
    <t xml:space="preserve">CONCRETO PREMEZCLADO, CEMENTO TIPO I, VIGAS DE CIMENTACION f'c=280 kg/cm2 </t>
  </si>
  <si>
    <t>ENCOFRADO Y DESENCOFRADO PARA VIGAS DE CIMENTACION</t>
  </si>
  <si>
    <t>TECNOPOR EN VIGA DE CIMENTACION</t>
  </si>
  <si>
    <t>CIMIENTO Y SOBRECIMIENTO TABIQUERIA</t>
  </si>
  <si>
    <t>ENCOFRADO Y DESENCOFRADO DE SOBRECIMIENTOS</t>
  </si>
  <si>
    <t>LOSA SOBRE TERRENO (E=10CM)</t>
  </si>
  <si>
    <t>CASCO SÓTANO</t>
  </si>
  <si>
    <t>CONCRETO PREMEZCLADO, CEMENTO TIPO I, LOSA DE PISO, H=10CM, f'c=210 kg/cm2</t>
  </si>
  <si>
    <t>JUNTAS DE LOSA DE PISO</t>
  </si>
  <si>
    <t>JUNTA DE CONSTRUCCION (J.D)</t>
  </si>
  <si>
    <t>JUNTA DE AISLAMIENTO (EN BORDES DE COLUMNAS Y EXTREMOS)</t>
  </si>
  <si>
    <t>JUNTA ASERRADA (J.C)</t>
  </si>
  <si>
    <t>CIMIENTOS DE CISTERNA</t>
  </si>
  <si>
    <t>LOSA PISO DE CISTERNA (E=15CM)</t>
  </si>
  <si>
    <t>CONCRETO PREMEZCLADO, CEMENTO TIPO I, CISTERNA f'c=280 kg/cm2 (W/C=0.50). Por procedimiento constructivo</t>
  </si>
  <si>
    <t>MUROS DE CISTERNA</t>
  </si>
  <si>
    <t>CONCRETO PREMEZCLADO, CEMENTO TIPO I, CISTERNA f'c=420 kg/cm2 (W/C=0.50). Por procedimiento constructivo</t>
  </si>
  <si>
    <t>ENCOFRADO Y DESENCOFRADO DE CISTERNA DOBLE ALTURA</t>
  </si>
  <si>
    <t>JUNTA DE WATER STOP 6"</t>
  </si>
  <si>
    <t>MUROS CAMARA DE DESAGUE Y POZO SUMIDERO</t>
  </si>
  <si>
    <t>ENCOFRADO Y DESENCOFRADO DE CISTERNA</t>
  </si>
  <si>
    <t>CORTES DE MURO</t>
  </si>
  <si>
    <t>CONCRETO PREMEZCLADO, CEMENTO TIPO I, PLACAS f'c=280 kg/cm2</t>
  </si>
  <si>
    <t>PLACAS</t>
  </si>
  <si>
    <t>CONCRETO PREMEZCLADO, CEMENTO TIPO I, PLACAS f'c=420 kg/cm2</t>
  </si>
  <si>
    <t>COLUMNAS</t>
  </si>
  <si>
    <t>CONCRETO PREMEZCLADO, CEMENTO TIPO I, COLUMNAS f'c=420 kg/cm2</t>
  </si>
  <si>
    <t>ENCOFRADO Y DESENCOFRADO DE COLUMNAS</t>
  </si>
  <si>
    <t>ENCOFRADO Y DESENCOFRADO DE COLUMNAS DOBLE ALTURA</t>
  </si>
  <si>
    <t>VIGAS PERALTADAS</t>
  </si>
  <si>
    <t>CONCRETO PREMEZCLADO, CEMENTO TIPO I, VIGAS SOTANO f'c=245 kg/cm2</t>
  </si>
  <si>
    <t>CONCRETO PREMEZCLADO, CEMENTO TIPO I, VIGAS TORRE f'c=420 kg/cm2 (NUCLEOS)</t>
  </si>
  <si>
    <t>ENCOFRADO Y DESENCOFRADO DE VIGAS</t>
  </si>
  <si>
    <t>ENCOFRADO Y DESENCOFRADO DE VIGAS DOBLE ALTURA</t>
  </si>
  <si>
    <t>VIGAS CHATAS</t>
  </si>
  <si>
    <t>SUMINISTRO DE PRELOSA MACIZA H=20CM</t>
  </si>
  <si>
    <t>INSTALACIÓN DE PRELOSA E=5CM</t>
  </si>
  <si>
    <t>APUNTALAMIENTO (ENCOFRADO) DE PRELOSA EN VIGAS CHATAS DOBLE ALTURA</t>
  </si>
  <si>
    <t>PRELOSA ALIGERADA H=0.20M, UN SENTIDO</t>
  </si>
  <si>
    <t>CONCRETO PREMEZCLADO, CEMENTO TIPO I, LOSA ALIGERADA SOTANO f'c=245 kg/cm2</t>
  </si>
  <si>
    <t>ENCOFRADO Y DESENCOFRADO DE PRELOSA ALIGERADA</t>
  </si>
  <si>
    <t>ENCOFRADO Y DESENCOFRADO DE PRELOSA ALIGERADA DOBLE ALTURA</t>
  </si>
  <si>
    <t>SUMINISTRO DE PRELOSA ALIGERADA EN UNA DIRECCION H=20CM</t>
  </si>
  <si>
    <t>ACERO DE REFUERZO FY= 4200 kg/cm2, GRADO 60 (PUESTO EN OBRA)</t>
  </si>
  <si>
    <t>ACERO DE REFUERZO FY= 4200 kg/cm2, GRADO 60 (EMBEBIDO EN PRELOSA)</t>
  </si>
  <si>
    <t>ACERO DE REFUERZO FY= 4200 kg/cm2, GRADO 60 BASE Y DISTRIBUCIÓN (EMBEBIDO EN PRELOSA)</t>
  </si>
  <si>
    <t>PRELOSA ALIGERADA H=0.25M, UN SENTIDO</t>
  </si>
  <si>
    <t>SUMINISTRO DE PRELOSA ALIGERADA EN UNA DIRECCION H=25CM</t>
  </si>
  <si>
    <t>PRE LOSA MACIZA H=0.15M</t>
  </si>
  <si>
    <t>CONCRETO PREMEZCLADO, CEMENTO TIPO I, LOSA MACIZA SOTANO f'c=245 kg/cm2</t>
  </si>
  <si>
    <t>ENCOFRADO Y DESENCOFRADO DE PRELOSA MACIZA</t>
  </si>
  <si>
    <t>ENCOFRADO Y DESENCOFRADO DE PRELOSA MACIZA DOBLE ALTURA</t>
  </si>
  <si>
    <t>SUMINISTRO DE PRELOSA MACIZA H=15CM</t>
  </si>
  <si>
    <t>ACERO DE REFUERZO FY= 4200 kg/cm2, GRADO 60 DE CONTINUIDAD (PUESTO EN OBRA)</t>
  </si>
  <si>
    <t>PRE LOSA MACIZA H=0.20M</t>
  </si>
  <si>
    <t>PRE LOSA MACIZA H=0.23M</t>
  </si>
  <si>
    <t>PRE LOSA MACIZA H=0.35M</t>
  </si>
  <si>
    <t>RELLENO LIVIANO EN SOTANOS (SOBRELOSA)</t>
  </si>
  <si>
    <t>CONCRETO PREMEZCLADO, CEMENTO TIPO I, SOBRELOSA, f'c=210 kg/cm2</t>
  </si>
  <si>
    <t>ENCOFRADO EN SOBRELOSA</t>
  </si>
  <si>
    <t>RELLENO DE POLIESTIRENO EXPANDIDO (10 KGR/M3)</t>
  </si>
  <si>
    <t xml:space="preserve">ESCALERA </t>
  </si>
  <si>
    <t>CONCRETO PREMEZCLADO, CEMENTO TIPO I, ESCALERAS f'c=245 kg/cm2</t>
  </si>
  <si>
    <t>ENCOFRADO Y DESENCOFRADO DE ESCALERAS</t>
  </si>
  <si>
    <t>LOSA DE PIT DE ASCENSORES</t>
  </si>
  <si>
    <t>CONCRETO PREMEZCLADO, CEMENTO TIPO I, PIT DE ASCENSOR f'c=210 kg/cm2</t>
  </si>
  <si>
    <t>TAPAS DESMONTABLES</t>
  </si>
  <si>
    <t>CONCRETO PREMEZCLADO, CEMENTO TIPO I, TABLA DESMONTABLE f'c=210 kg/cm2</t>
  </si>
  <si>
    <t>ENCOFRADO Y DESENCOFRADO DE TAPAS DESMONTABLES</t>
  </si>
  <si>
    <t>CANALETA</t>
  </si>
  <si>
    <t>CONCRETO PREMEZCLADO, CEMENTO TIPO I, CANALETA f'c=210 kg/cm2</t>
  </si>
  <si>
    <t>ENCOFRADO Y DESENCOFRADO DE CANALETA</t>
  </si>
  <si>
    <t>BASES DE EQUIPOS</t>
  </si>
  <si>
    <t>CONCRETO PREMEZCLADO, CEMENTO TIPO I, BASES DE EQUIPOS f'c=210 kg/cm2</t>
  </si>
  <si>
    <t>ENCOFRADO Y DESENCOFRADO DE BASES DE EQUIPOS</t>
  </si>
  <si>
    <t xml:space="preserve"> PLANCHA DE LANA DE ROCA . E= 2" NEOPRENO Y 100 KG/M3, ANCLAJES A LOSAS, TECNOPORT, OTROS</t>
  </si>
  <si>
    <t>BOLSAS DE CEMENTO PARA LUBRICACION INICIAL DE LA TUBERIA DE BOMBEO</t>
  </si>
  <si>
    <t>PREVENCIONISTA DE SC ENCOFRADOS</t>
  </si>
  <si>
    <t>PREVENCIONISTA DE SC HABILITADO E INSTALACION DE ACERO</t>
  </si>
  <si>
    <t>MOVILIZACIÓN Y DESMOVILIZACIÓN DE ENCOFRADOS</t>
  </si>
  <si>
    <t>PPTO (REV 07)</t>
  </si>
  <si>
    <t>SÓTANO</t>
  </si>
  <si>
    <t>TORRE</t>
  </si>
  <si>
    <t>AREA TECHADA (M2)</t>
  </si>
  <si>
    <t xml:space="preserve">CONCRETO (M3) </t>
  </si>
  <si>
    <t>ENCOFRADO (M2)</t>
  </si>
  <si>
    <t>ACERO (KG). (SIN INC ACERO MP / INC. ACERO CONTINUIDAD, BASE Y DISTRIBUCIÓN)</t>
  </si>
  <si>
    <t>CUANTIA (KG/M3)</t>
  </si>
  <si>
    <t>CONCRETO / AREA TECHADA (M3 / M2)</t>
  </si>
  <si>
    <t>ENCOFRADO / AREA TECHADA (M2 / M2)</t>
  </si>
  <si>
    <t>ACERO / AREA TECHADA (KG / M2)</t>
  </si>
  <si>
    <t>04</t>
  </si>
  <si>
    <t>CASCO TORRE</t>
  </si>
  <si>
    <t>CONCRETO PREMEZCLADO, CEMENTO TIPO I, PLACAS f'c=210 kg/cm2</t>
  </si>
  <si>
    <t>CONCRETO PREMEZCLADO, CEMENTO TIPO I, PLACAS f'c=350 kg/cm2</t>
  </si>
  <si>
    <t>MUROS P/ JARDINERAS - CORTES TECHO SOTANO 01</t>
  </si>
  <si>
    <t>CONCRETO PREMEZCLADO, CEMENTO TIPO I, PISCINA f'c=280 kg/cm2 (W/C=0.50).Por procedimiento constructivo</t>
  </si>
  <si>
    <t>CONCRETO PREMEZCLADO, CEMENTO TIPO I, COLUMNAS f'c=210 kg/cm2</t>
  </si>
  <si>
    <t>CONCRETO PREMEZCLADO, CEMENTO TIPO I, COLUMNAS f'c=280 kg/cm2</t>
  </si>
  <si>
    <t>CONCRETO PREMEZCLADO, CEMENTO TIPO I, COLUMNAS f'c=350 kg/cm2</t>
  </si>
  <si>
    <t>VIGAS</t>
  </si>
  <si>
    <t>CONCRETO PREMEZCLADO, CEMENTO TIPO I, VIGAS TORRE f'c=245 kg/cm2</t>
  </si>
  <si>
    <t>CONCRETO PREMEZCLADO, CEMENTO TIPO I, VIGAS TORRE f'c=350 kg/cm2 (NUCLEOS)</t>
  </si>
  <si>
    <t>APUNTALAMIENTO (ENCOFRADO) DE PRELOSA EN VIGAS CHATAS</t>
  </si>
  <si>
    <t>PRELOSA MACIZA H=0.20M</t>
  </si>
  <si>
    <t>CONCRETO PREMEZCLADO, CEMENTO TIPO I, LOSA MACIZA TORRE f'c=245 kg/cm2</t>
  </si>
  <si>
    <t>CONCRETO PREMEZCLADO, CEMENTO TIPO I, LOSA ALIGERADA TORRE f'c=245 kg/cm2</t>
  </si>
  <si>
    <t>ACERO DE REFUERZO FY= 4200 kg/cm2, GRADO 60 (COSTURA PRELOSA)</t>
  </si>
  <si>
    <t>PRELOSA ALIGERADA H=0.25M, DOS SENTIDOS</t>
  </si>
  <si>
    <t>SUMINISTRO DE PRELOSA ALIGERADA EN DOS DIRECCIONES H=25CM</t>
  </si>
  <si>
    <t>ESCALERA</t>
  </si>
  <si>
    <t>COLUMNETAS Y VIGAS DE AMARRE</t>
  </si>
  <si>
    <t>CONCRETO PREMEZCLADO, CEMENTO TIPO I, COLUMNETAS f'c=210 kg/cm2</t>
  </si>
  <si>
    <t>ENCOFRADO Y DESENCOFRADO DE COLUMNETAS Y VIGAS DE AMARRE DOBLE ALTURA</t>
  </si>
  <si>
    <t>MURO PERIMETRAL Y PARAPETOS</t>
  </si>
  <si>
    <t>CONCRETO PREMEZCLADO, CEMENTO TIPO I, PARAPETOS f'c=210 kg/cm2</t>
  </si>
  <si>
    <t>CONCRETO PREMEZCLADO, CEMENTO TIPO I, PARAPETOS f'c=280 kg/cm2</t>
  </si>
  <si>
    <t>PISCINA</t>
  </si>
  <si>
    <t>SOBRELOSA</t>
  </si>
  <si>
    <t>ENCOFRADO Y DESENCOFRADO DE SOBRELOSA</t>
  </si>
  <si>
    <t>BANCAS</t>
  </si>
  <si>
    <t>CONCRETO PREMEZCLADO, CEMENTO TIPO I, BANCAS f'c=210 kg/cm2</t>
  </si>
  <si>
    <t>FACHADA</t>
  </si>
  <si>
    <t>ALEROS EN FACHADA (COLGADOS)</t>
  </si>
  <si>
    <t>CONCRETO PREMEZCLADO, CEMENTO TIPO I, ALERO FACHADA TORRE f'c=245 kg/cm2</t>
  </si>
  <si>
    <t>ENCOFRADO Y DESENCOFRADO DE ALERO DE FACHADA</t>
  </si>
  <si>
    <t>PARAPETO H=Var</t>
  </si>
  <si>
    <t>MOLDURA DE CONCRETO</t>
  </si>
  <si>
    <t>DOWEL 3/8" L=75cm , ANCLADO CON HILTI HIT RE500 V3</t>
  </si>
  <si>
    <t>ESTRUCTURAS METALICAS</t>
  </si>
  <si>
    <t>ESTRUCTURAS METALICAS (CONSTRUMETALICAS)</t>
  </si>
  <si>
    <t>COLUMNAS METALICAS DE CERCO TC-100x100x3mm</t>
  </si>
  <si>
    <t>VIGAS METALICAS PARA COBERTURA AZOTEA (sin detalle)</t>
  </si>
  <si>
    <t>COBERTURA FIBRABLOCK LAVANDERIA COMUN en AZOTEA (INC EN ARQ)</t>
  </si>
  <si>
    <t>ARQUITECTURA SÓTANOS</t>
  </si>
  <si>
    <t>EDIFICIO MULTIFAMILIAR SALAVERRY 2431</t>
  </si>
  <si>
    <t>SAN ISIDRO</t>
  </si>
  <si>
    <t>PARCIAL TOTAL (PEN)</t>
  </si>
  <si>
    <t>05</t>
  </si>
  <si>
    <t>MUROS Y TABIQUES</t>
  </si>
  <si>
    <t>MUROS Y TABIQUES SILICO CALCAREOS</t>
  </si>
  <si>
    <t>ALTURA &lt; 2.60</t>
  </si>
  <si>
    <t>LADRILLO SILICO CALCAREO TIPO P7 H&lt;2.6M</t>
  </si>
  <si>
    <t>LADRILLO SILICO CALCAREO TIPO P10 H&lt;2.6M</t>
  </si>
  <si>
    <t>LADRILLO SILICO CALCAREO TIPO P12 H&lt;2.6M</t>
  </si>
  <si>
    <t>LADRILLO SILICO CALCAREO TIPO P14 H&lt;2.6M</t>
  </si>
  <si>
    <t>ALTURA &gt; 2.60</t>
  </si>
  <si>
    <t>LADRILLO SILICO CALCAREO TIPO P7 H&gt;2.6M</t>
  </si>
  <si>
    <t>LADRILLO SILICO CALCAREO TIPO P10 H&gt;2.6M</t>
  </si>
  <si>
    <t>LADRILLO SILICO CALCAREO TIPO P12 H&gt;2.6M</t>
  </si>
  <si>
    <t>LADRILLO SILICO CALCAREO TIPO P14 H&gt;2.6M</t>
  </si>
  <si>
    <t>CORTAFUEGO &lt; 2.60</t>
  </si>
  <si>
    <t>LADRILLO SILICO CALCAREO TIPO P7 RF:2 HRS H&lt;2.6M (ALVEOLOS COMPLETAMENTE LLENO)</t>
  </si>
  <si>
    <t>LADRILLO SILICO CALCAREO TIPO P10 RF:2 HRS H&lt;2.6M (ALVEOLOS COMPLETAMENTE LLENO)</t>
  </si>
  <si>
    <t>LADRILLO SILICO CALCAREO TIPO P12 RF:2 HRS H&lt;2.6M (ALVEOLOS PARCIALMENTE LLENO)</t>
  </si>
  <si>
    <t>CORTAFUEGO &gt; 2.60</t>
  </si>
  <si>
    <t>LADRILLO SILICO CALCAREO TIPO P7 RF:2 HRS H&gt;2.6M (ALVEOLOS COMPLETAMENTE LLENO)</t>
  </si>
  <si>
    <t>LADRILLO SILICO CALCAREO TIPO P10 RF:2 HRS H&gt;2.6M (ALVEOLOS COMPLETAMENTE LLENO)</t>
  </si>
  <si>
    <t>LADRILLO SILICO CALCAREO TIPO P12 RF:2 HRS H&gt;2.6M (ALVEOLOS PARCIALMENTE LLENO)</t>
  </si>
  <si>
    <t>LADRILLO SILICO CALCAREO TIPO P14 RF:2 HRS H&gt;2.6M (ALVEOLOS PARCIALMENTE LLENO)</t>
  </si>
  <si>
    <t>ACERO DE REFUERZO</t>
  </si>
  <si>
    <t>ACERO DE REFUERZO FY= 4200 kg/cm2 GRADO 60 PARA TABIQUERÍA</t>
  </si>
  <si>
    <t>DINTELES</t>
  </si>
  <si>
    <t>DINTELES DE LADRILLOS SILICO CALCAREO</t>
  </si>
  <si>
    <t xml:space="preserve">DINTELES DE LADRILLO SILICO CALCAREO RF </t>
  </si>
  <si>
    <t>TRABAJOS COMPLEMENTARIOS DE TABIQUERIA</t>
  </si>
  <si>
    <t xml:space="preserve">PASES DE MANGUERA (0.20x20M) DOBLE PLACA DE ROCA DE YESO </t>
  </si>
  <si>
    <t>TABIQUERIA DE DRYWALL</t>
  </si>
  <si>
    <t>MUROS DE DRYWALL</t>
  </si>
  <si>
    <t>FALSO MURO DRYWALL - GRUPO ELECTRÓGENO</t>
  </si>
  <si>
    <t>DINTELES DE DRYWALL</t>
  </si>
  <si>
    <t xml:space="preserve">DINTELES RF EN ASCENSORES (SOTANOS 2) h=0.21m </t>
  </si>
  <si>
    <t>m</t>
  </si>
  <si>
    <t>DINTELES RF EN ASCENSORES (SOTANO 1) h=1.23m</t>
  </si>
  <si>
    <t>SARDINELES</t>
  </si>
  <si>
    <t>SARDINEL H:0.15M (E=10CM)CUARTO DE BASURA</t>
  </si>
  <si>
    <t>SARDINEL EN PUERTA DE DUCTO P-19,P-10 H:0.10M (E=10CM)</t>
  </si>
  <si>
    <t>SARDINEL EN CLOSET DE LIMPIEZA P-4,P-5 H:0.10M (E=10CM)</t>
  </si>
  <si>
    <t>REVOQUES Y ENLUCIDOS</t>
  </si>
  <si>
    <t>SOLAQUEO DE MURO PANTALLA</t>
  </si>
  <si>
    <t>SOLAQUEO EN COLUMNAS Y PLACAS</t>
  </si>
  <si>
    <t>SOLAQUEO DE DUCTOS DE ASCENSORES</t>
  </si>
  <si>
    <t>LIMPIEZA DE DUCTOS DE VENTILACION</t>
  </si>
  <si>
    <t xml:space="preserve">SOLAQUEO DE MUROS Y PLACAS DE ESCALERA </t>
  </si>
  <si>
    <t>IMPERMEABILIZACION DE CISTERNAS: LIMPIEZA MANUAL + SELLADO SUPERFICIE Y RESANE DE GRIETAS Y/O FISURAS + LAVADO SUPERFICIE + INSTALACION DE MAPEBAND EASY CON MORTERO FLEXIBLE + IMPERMEABILIZANTE Z TOP FLEXIBLE + CURADO DE AREAS IMPERMEABILIZADAS</t>
  </si>
  <si>
    <t xml:space="preserve">CIELORASOS </t>
  </si>
  <si>
    <t>LIMPIEZA Y RESANE DE PRELOSAS EN SÓTANOS (INC LIMPIEZA DE TECHO DE CISTERNA Y CTO BOMBAS)</t>
  </si>
  <si>
    <t>SOLAQUEO DE CIELO RASO EN ESCALERA</t>
  </si>
  <si>
    <t>SOLAQUEO DE VIGAS EN SOTANOS (EN FONDO Y COSTADO)</t>
  </si>
  <si>
    <t>PISOS</t>
  </si>
  <si>
    <t>NIVELACION DE PISOS</t>
  </si>
  <si>
    <t>NIVELACIÓN DE PISO</t>
  </si>
  <si>
    <t>CTO MAQUINAS</t>
  </si>
  <si>
    <t>PISO CEMENTO PULIDO</t>
  </si>
  <si>
    <t>SUBESTACION/ ACELEROGRAFO/ VESTIBULO PREVIO/ CTO GE</t>
  </si>
  <si>
    <t>DEPOSITOS  / HALL</t>
  </si>
  <si>
    <t>PISO CEMENTO SEMIPULIDO</t>
  </si>
  <si>
    <t>ESTACIONAMIENTOS VEHICULARES/ BICICLETAS</t>
  </si>
  <si>
    <t>PISO CEMENTO BARRIDO</t>
  </si>
  <si>
    <t>RAMPAS</t>
  </si>
  <si>
    <t>PISO CEMENTO BRUÑADO</t>
  </si>
  <si>
    <t>CISTERNA</t>
  </si>
  <si>
    <t xml:space="preserve">PISO CEMENTO PULIDO IMPERMEABILIZADO EN CISTERNA </t>
  </si>
  <si>
    <t>CTO DE ACOPIO</t>
  </si>
  <si>
    <t>CERAMICO DIAMANTE BLANCO 46X46 cm</t>
  </si>
  <si>
    <t>CTO DE LIMPIEZA</t>
  </si>
  <si>
    <t>CERAMICO AMERICA BLANCO 45x45CM. CELIMA</t>
  </si>
  <si>
    <t>ZOCALOS</t>
  </si>
  <si>
    <t>05.05.01</t>
  </si>
  <si>
    <t>CONTRAZÓCALOS</t>
  </si>
  <si>
    <t>CTO GGEE/ DEPOSITOS/ ESTACIONAMIENTO/ CTO BOMBAS /CTOS TECNICOS</t>
  </si>
  <si>
    <t>CTRZL PINTURA TRAFICO COLOR AMARILLO H=15 CM</t>
  </si>
  <si>
    <t>VESTIBULO PREVIO Y ESCALERAS</t>
  </si>
  <si>
    <t>CTRZL PINTURA ESMALTE SINTETICO COLOR NEGRO H=10CM</t>
  </si>
  <si>
    <t xml:space="preserve">ESTACIONAMIENTOS DE BICICLETAS </t>
  </si>
  <si>
    <t>PINTURA DE TRAFICO NEGRO H=15CM A NIVEL DE PISO Y A 1.10M SOBRE MURO</t>
  </si>
  <si>
    <t>HALL ASCENSORES</t>
  </si>
  <si>
    <t>CONTRAZOCALO CERAMICO CONCRETO GRIS 45x45CM. MARCA SAN LORENZO</t>
  </si>
  <si>
    <t>CTO LIMPIEZA</t>
  </si>
  <si>
    <t>CONTRAZOCALO CERAMICO AMERICA BLANCO 45x45CM.</t>
  </si>
  <si>
    <t>REVESTIMIENTOS DE ESCALERAS</t>
  </si>
  <si>
    <t>ESCALERA DE EVACUACIÓN</t>
  </si>
  <si>
    <t>FORJADO DE DESCANSO (ESCALERA DE EVACUACION)</t>
  </si>
  <si>
    <t>FORJADO DE PASOS Y CONTRAPASOS (ESCALERA DE EVACUACION)</t>
  </si>
  <si>
    <t>ACABADO EN CEMENTO PULIDO DE DESCANSO (ESCALERA DE EVACUACION)</t>
  </si>
  <si>
    <t>ACABADO EN CEMENTO PULIDO DE PASOS Y CONTRAPASOS (ESCALERA DE EVACUACION)</t>
  </si>
  <si>
    <t>CANTONERA DE BRUÑAS (2UND) (ESCALERA DE EVACUACION)</t>
  </si>
  <si>
    <t>SOLAQUEO DE FONDO DE ESCALERA (ESCALERA DE EVACUACION)</t>
  </si>
  <si>
    <t>DERRAME EN COSTADO DE ESCALERA (ESCALERA DE EVACUACION)</t>
  </si>
  <si>
    <t>PUERTAS</t>
  </si>
  <si>
    <t>PUERTAS CORTAFUEGO</t>
  </si>
  <si>
    <t>PCF1- PUERTA METALICA CORTAFUEGO 90MIN (1.00 X 2.10 m) (ESCALERA )</t>
  </si>
  <si>
    <t>PCF1-  PUERTA METALICA CORTAFUEGO 90MIN  (1.00 X 2.10 m) (CTO. ACOPIO)</t>
  </si>
  <si>
    <t>PCF1-  PUERTA METALICA CORTAFUEGO 90MIN  (1.00 X 2.10 m) (ACELEROGRAFO)</t>
  </si>
  <si>
    <t>PCF-9  PUERTA METALICA CORTAFUEGO 90MIN  (1.50 X 2.10 m) (GRUPO ELECTROGENO)</t>
  </si>
  <si>
    <t>PUERTAS CONTRAPLACADAS</t>
  </si>
  <si>
    <t>PUERTAS CORREDIZAS DEPOSITOS (INC REJILLA SUPE E INFERIOR, 2X HOJA)</t>
  </si>
  <si>
    <t>P-6 (1.80X2.10M) PUERTA DEPOSITO (TERMOLAMINADA)</t>
  </si>
  <si>
    <t>P-7 (2.70X2.10M) PUERTA DEPOSITO  (TERMOLAMINADA)</t>
  </si>
  <si>
    <t>P-8 (2.21X2.10M) PUERTA DEPOSITO (TERMOLAMINADA)</t>
  </si>
  <si>
    <t xml:space="preserve">P-3 CLOSET CTO DE LIMPIEZA - (1.00X2.00M) </t>
  </si>
  <si>
    <t xml:space="preserve">P-4 CLOSET CTO DE LIMPIEZA - (1.50X2.00M) </t>
  </si>
  <si>
    <t xml:space="preserve">P-5 CLOSET CTO DE LIMPIEZA - (1.45X2.00M) </t>
  </si>
  <si>
    <t>DEPOSITOS</t>
  </si>
  <si>
    <t>P-23(0.80x2.10) P. BATIENTE C/ REJILLAS</t>
  </si>
  <si>
    <t>DUCTOS DE MONTANTES</t>
  </si>
  <si>
    <t xml:space="preserve">P-10 DUCTO DE MONTANTE IIEE - (2.00X2.00M) </t>
  </si>
  <si>
    <t xml:space="preserve">P-11 DUCTO DE MONTANTE IIEE- (2.30X2.00M) </t>
  </si>
  <si>
    <t xml:space="preserve">P-19 DUCTO DE MONTANTE - (1.70X2.00M) </t>
  </si>
  <si>
    <t>SELLADO Y PROTECCIÓN DE PUERTAS</t>
  </si>
  <si>
    <t>SELLADO DE PUERTAS CONTRAPLACADAS</t>
  </si>
  <si>
    <t>PROTECCIÓN DE PUERTAS CORTAFUEGO (INC EN OBRAS PROVISIONALES)</t>
  </si>
  <si>
    <t>PROTECCIÓN DE PUERTAS CONTRAPLACADAS</t>
  </si>
  <si>
    <t>CERRAJERÍA Y ACCESORIOS</t>
  </si>
  <si>
    <t>CERRADURA TIPO POMO</t>
  </si>
  <si>
    <t>CARPINTERÍA METÁLICA</t>
  </si>
  <si>
    <t>REJILLA CON SUMIDERO (A=0.15M)</t>
  </si>
  <si>
    <t>REJILLA CON SUMIDERO (A=0.10M)</t>
  </si>
  <si>
    <t>ESTACIONAMIENTOS DE BICICLETAS HORIZONTALES</t>
  </si>
  <si>
    <t>ESTACIONAMIENTOS DE BICICLETAS VERTICAL</t>
  </si>
  <si>
    <t>REJILLA 1(0..65 X 0.65 ) EN PISO</t>
  </si>
  <si>
    <t xml:space="preserve">TAPA METALICA PARA CISTERNAS  (0.80m X 060m) </t>
  </si>
  <si>
    <t xml:space="preserve">TAPA METALICA PARA SUB ESTACION  (0.80m X 060m) </t>
  </si>
  <si>
    <t>SUMIDERO RECT1 C/ REJILLA(0.30x0.15) SOT PISO</t>
  </si>
  <si>
    <t>ESCALERA METALICA DE GATO (ANCHO=0.49M) - CISTERNAS</t>
  </si>
  <si>
    <t>ESCALERA METALICA DE GATO (ANCHO=0.49M) - SUB ESTACION</t>
  </si>
  <si>
    <t>R-01 - REGISTRO VENT CIST</t>
  </si>
  <si>
    <t>PASAMANO DE METALICA H=0.90M (ANCLADO AL MURO)  - ESCALERA DE EVACUACIÓN</t>
  </si>
  <si>
    <t>BARANDA METALICA H=0.90M (ANCLADO AL PISO) - ESCALERA DE EVACUACIÓN</t>
  </si>
  <si>
    <t>BARANDA METALICA H=0.90M ESTACIONAMIENTO</t>
  </si>
  <si>
    <t>PINTURA - CAL CEMENTO (OPTIMIZACION DE ACUERDO A ACABADO EN SOTANOS DE PROYECTO LARCO VYV)</t>
  </si>
  <si>
    <t>MUROS</t>
  </si>
  <si>
    <t>EMPASTE DE CAL+CEMENTO EN MURO PANTALLA</t>
  </si>
  <si>
    <t xml:space="preserve">ESTACIONAMIENTO, CIRCULACIÓN VEHICULAR </t>
  </si>
  <si>
    <t>PINTADO CON CAL+CEMENTO</t>
  </si>
  <si>
    <t>DEPOSITOS Y AMBIENTES</t>
  </si>
  <si>
    <t>ESTACIONAMIENTO</t>
  </si>
  <si>
    <t>PINTURA EN MURO DE RAMPA, SEGÚN DETALLE DE ESRACIONAMIENTO</t>
  </si>
  <si>
    <t>ESCALERAS</t>
  </si>
  <si>
    <t xml:space="preserve">PINTADO CON CAL CEMENTO EN MUROS DE ESCALERA </t>
  </si>
  <si>
    <t>PINTADO CON CAL CEMENTO EN CIELO RASO DE ESCALERA</t>
  </si>
  <si>
    <t>PINTADO CON CAL CEMENTO EN FONDO DE ESCALERA</t>
  </si>
  <si>
    <t>VIGAS DE SOTANO CAL CEMENTO (NO SE CONSIDERA)</t>
  </si>
  <si>
    <t>PINTURA DE TRÁFICO</t>
  </si>
  <si>
    <t>PINTURA SEPARACION DE CAJON DE ESTACIONAMIENTO COLOR AMARILLO</t>
  </si>
  <si>
    <t>NUMERACION EN PARED PARA ESTACIONAMIENTOS BASE CELTEX NEGRO Y VINIL BLANCO TIPOGRAFÍA: BAHNSCHRIFT (ESTACIONAMIENTOS SOTANOS)</t>
  </si>
  <si>
    <t>NUMERACION DE ESTACIONAMIENTO EN PISO</t>
  </si>
  <si>
    <t>FLECHA DIRECCIONAL DE UN SENTIDO COLOR BLANCO (ESTACIONAMIENTO SOT)</t>
  </si>
  <si>
    <t>LINEA DE PASO PEATONAL DE 1.20x0.20M COLOR AMARILLO</t>
  </si>
  <si>
    <t>PINTURA COLOR NEGRO EN NIVEL DE PISO</t>
  </si>
  <si>
    <t>PINTURA COLOR NEGRO NUMERACION DE ESTACIONAMIENTO DE BICICLETA EN MURO</t>
  </si>
  <si>
    <t>PINTURA COLOR NEGRO SEPARACION DE ESTACIONAMIENTO DE BICICLETA EN PISO</t>
  </si>
  <si>
    <t>PINTURA PARA TRAFICO COLOR NEGRO e=2" DE ESTACIONAMIENTO DE BICICLETA EN PISO</t>
  </si>
  <si>
    <t>PINTURA PARA TRAFICO COLOR BLANCO EN PISO</t>
  </si>
  <si>
    <t>SEÑALIZACIÓN</t>
  </si>
  <si>
    <t>PROTECTOR DE COLUMNAS ESQUINERO MODELO DE ALTO IMPACTO 80 CM DE ALTO Y 10 CM DE LADOS</t>
  </si>
  <si>
    <t>ESPEJO CONVEXO 60 CM EXTERIOR</t>
  </si>
  <si>
    <t>TOPE DE LLANTA CAUCHO PARA ESTACIONAMIENTO DE 60CM DE LARGO x 12CM DE ANCHO x 10CM DE ALTURA</t>
  </si>
  <si>
    <t>APARATOS Y ACCESORIOS SANITARIOS</t>
  </si>
  <si>
    <t>GRIFO DE LAVANDERIA A LA PARED. CERTIFICADA POR SEDAPAL. GS13AHP. TECSO</t>
  </si>
  <si>
    <t>LUMINARIAS</t>
  </si>
  <si>
    <t>L1</t>
  </si>
  <si>
    <t>L2</t>
  </si>
  <si>
    <t>L3</t>
  </si>
  <si>
    <t>L4</t>
  </si>
  <si>
    <t>L5</t>
  </si>
  <si>
    <t>LAMPARA DE EMERGENCIA LED 2X1.2W 65K 180LM WH 100-240V/50-60HZ</t>
  </si>
  <si>
    <t>SEÑALÉTICA</t>
  </si>
  <si>
    <t>SEÑAL DE ''SALIDA DE EMERGENCIA'' ILUMINADA</t>
  </si>
  <si>
    <t>SEÑAL DE "SALIDA" ILUMINADA</t>
  </si>
  <si>
    <t>SEÑAL DIRECCIONAL DE SALIDA CON DIRECCION</t>
  </si>
  <si>
    <t>SEÑAL DIRECCIONAL DE SALIDA POR ESCALERA</t>
  </si>
  <si>
    <t>SEÑAL DIRECCIONAL DE INDICADOR DE PISO</t>
  </si>
  <si>
    <t>SEÑAL DIRECCIONAL DE PUERTA CORTAFUEGO</t>
  </si>
  <si>
    <t>SEÑAL DE RIESGO ELECTRICO</t>
  </si>
  <si>
    <t>SEÑAL DE EXTINTOR</t>
  </si>
  <si>
    <t>SEÑAL ZONA SEGURA</t>
  </si>
  <si>
    <t>SEÑAL AVISADOR SONORO</t>
  </si>
  <si>
    <t>SEÑAL DE PULSADOR DE ALARMA CONTRAINCENDIO</t>
  </si>
  <si>
    <t>SEÑAL DE PROHIBIDO EN CASO DE EMERGENCIA</t>
  </si>
  <si>
    <t>SEÑAL DE GABINETE CONTRAINCENDIO</t>
  </si>
  <si>
    <t>SEÑAL DE PASE DE MANGUERA</t>
  </si>
  <si>
    <t>SEÑAL DE VALVULA ANGULAR</t>
  </si>
  <si>
    <t>SEÑAL LUZ DE EMERGENCIA (ADOSADA)</t>
  </si>
  <si>
    <t>EXTINTORES</t>
  </si>
  <si>
    <t>EXTINTOR TIPO PQS 6 KILOS</t>
  </si>
  <si>
    <t>EXTINTOR TIPO CO2 15 LBS</t>
  </si>
  <si>
    <t>GABINETE PARA EXTINTORES - NO SE CONSIDERA A SOLICITU DE INMOBILIARIA</t>
  </si>
  <si>
    <t>NUMERACION EN PUERTAS DE DEPOSITOS (BASE CELTE4X Y VINIL BLANCO)</t>
  </si>
  <si>
    <t>NUMERACION EN SOTANOS DE PINTURA NEGRA EN PARED</t>
  </si>
  <si>
    <t>NUMERACION EN CUARTO DE BASURA</t>
  </si>
  <si>
    <t>06</t>
  </si>
  <si>
    <t>MUROS Y TABIQUES SILICO CALCAREOS, ALBAÑILERIA , CONCRETO</t>
  </si>
  <si>
    <t>LADRILLO SILICO CALCAREO TIPO P20 H&lt;2.6M</t>
  </si>
  <si>
    <t>LADRILLO SILICO CALCAREO TIPO P25 H&lt;2.6M</t>
  </si>
  <si>
    <t>LADRILLO SILICO CALCAREO TIPO P30 H&lt;2.6M</t>
  </si>
  <si>
    <t>LADRILLO SILICO CALCAREO TIPO P40 H&lt;2.6M</t>
  </si>
  <si>
    <t>LADRILLO SILICO CALCAREO TIPO P20 H&gt;2.6M</t>
  </si>
  <si>
    <t>LADRILLO SILICO CALCAREO TIPO P25 H&gt;2.6M</t>
  </si>
  <si>
    <t>LADRILLO SILICO CALCAREO TIPO P35 H&gt;2.6M</t>
  </si>
  <si>
    <t>LADRILLO SILICO CALCAREO TIPO P14 RF:2 HRS H&lt;2.6M (ALVEOLOS PARCIALMENTE LLENO)</t>
  </si>
  <si>
    <t>LADRILLO SILICO CALCAREO TIPO P20 RF:2 HRS H&lt;2.6M (ALVEOLOS PARCIALMENTE LLENO)</t>
  </si>
  <si>
    <t>LADRILLO SILICO CALCAREO TIPO P25 RF:2 HRS H&lt;2.6M (ALVEOLOS PARCIALMENTE LLENO)</t>
  </si>
  <si>
    <t>LADRILLO SILICO CALCAREO TIPO P30 RF:2 HRS H&lt;2.6M (ALVEOLOS PARCIALMENTE LLENO)</t>
  </si>
  <si>
    <t>LADRILLO SILICO CALCAREO TIPO P20 RF:2 HRS H&gt;2.6M (ALVEOLOS COMPLETAMENTE LLENO)</t>
  </si>
  <si>
    <t>LADRILLO SILICO CALCAREO TIPO P25 RF:2 HRS H&gt;2.6M (ALVEOLOS COMPLETAMENTE LLENO)</t>
  </si>
  <si>
    <t>FORJADO DE TABLEROS</t>
  </si>
  <si>
    <t>ENCOFRADO DE TUBERIAS DE MONTANTE DE VENTILACIÓN</t>
  </si>
  <si>
    <t>PASES DE MANGUERA (0.20x0.20M)</t>
  </si>
  <si>
    <t>NICHOS PARA EXTRACTOR DE SSHH Y VESTIBULOS PREVIOS</t>
  </si>
  <si>
    <t>NICHOS PARA VALCULAS DE GAS</t>
  </si>
  <si>
    <t>REJILLAS EN FACHADA PARA EQUIPO "UNICO" (DIAMETRO 20 CM) INC TAPA CIEGA (NO HAY DETALLE)</t>
  </si>
  <si>
    <t>OTROS TABIQUERIA</t>
  </si>
  <si>
    <t>CASETA, ALMACEN DE HERRAMIENTAS, VESTIBULO Y BANCAS-SC TABIQUERIA</t>
  </si>
  <si>
    <t xml:space="preserve">SC PREVENCIONISTA DE RIESGO-SC TABIQUERIA </t>
  </si>
  <si>
    <t>MUORS DE ALBAÑILERIA KK</t>
  </si>
  <si>
    <t>MURO DE ALBAÑILERIA KK E:15CM</t>
  </si>
  <si>
    <t>MURO DE ALBAÑILERIA KK BANCO DE MEDIDORES H=3.00M, E: 25CM</t>
  </si>
  <si>
    <t>MUORS DE CONCRETO (SOBREMURO)</t>
  </si>
  <si>
    <t xml:space="preserve">SOBREMURO DE CONCRETO H=2.10 M., PARA INSTALACIONES SANITARIAS - LAVANDERIA COMUN AZOTEA </t>
  </si>
  <si>
    <t>MUROS Y TABIQUES DRYWALL</t>
  </si>
  <si>
    <t>TABIQUERIA A=0.12M - DRYWALL RH - TORRE (REGISTRO EN DUCTOS SSHH)</t>
  </si>
  <si>
    <t>TABIQUERIA A=0.12M - DRYWALL RH - LAVANDERIA COMUN</t>
  </si>
  <si>
    <t>DINTELES DRYWALL SUPERBOARD EN MAMPARAS Y VENTANAS</t>
  </si>
  <si>
    <t>DINTELES DRYWALL RF. EN ASCENSORES (PISO 1)</t>
  </si>
  <si>
    <t>DINTELES DRYWALL EN PUERTAS PRINCIPALES (PISO 1)</t>
  </si>
  <si>
    <t>PARAPETOS Y SARDINELES</t>
  </si>
  <si>
    <t>PARAPETOS EN VENTANAS (E=0.10M, H=VARIADAS)</t>
  </si>
  <si>
    <t>PARAPETO E=0.10M, H=0.55M/1.1M (JARDINERA 1P Y AZOTEA)</t>
  </si>
  <si>
    <t xml:space="preserve">PARAPETO E=0.15M, H=0.70 - 1.10 M (AZOTEA -TECHO) </t>
  </si>
  <si>
    <t xml:space="preserve">PARAPETO E=0.20 M, H=1.10 M (AZOTEA ) </t>
  </si>
  <si>
    <t>SARDINEL DE DUCHA H=0.10M, E=0.10M</t>
  </si>
  <si>
    <t>SARDINEL DE PUERTAS DE DUCTOSH=0.10M, E=0.10M</t>
  </si>
  <si>
    <t>SARDINEL DUCTOS JARDINES H=0.45M, E=0.10M</t>
  </si>
  <si>
    <t>SARDINEL DUCTOS JARDINES H=0.45M, E=0.15M</t>
  </si>
  <si>
    <t>ESTRUCTURAS DE CONCRETO (TABLEROS, BANCAS)</t>
  </si>
  <si>
    <t>INGRESO: BANCAS DE CONCRETO (A=0.45 M, H= 0.45 M)</t>
  </si>
  <si>
    <t>BANCA DE CONCRETO H=0.45, CON TABLON DE MADERA E=2"- HALL ASC AZOTEA / TERRAZA 1ER NIVEL</t>
  </si>
  <si>
    <t>BANCA DE CONCRETO H=0.40, ACABADO EN MICROCEMENTO GRIS- LOBBY</t>
  </si>
  <si>
    <t>ESTRUCTURA DE CEMENTO EN TERRAZA PISO 21</t>
  </si>
  <si>
    <t>BANCA DE CONCRETO H=0.30 - TERRAZA COMUN PISO 18</t>
  </si>
  <si>
    <t>MESA DE CONCRETO A=0.60M - TERRAZA COMUN PISO 18</t>
  </si>
  <si>
    <t>MESA DE CONCRETO A=0.98M- TERRAZA COMUN PISO 18</t>
  </si>
  <si>
    <t>TABLERO DE CONCRETO - SALA GOURMET</t>
  </si>
  <si>
    <t>ESTRUCTURA DE MUEBLE DE COUNTER</t>
  </si>
  <si>
    <t>REVOQUES Y ENLUCIDOS EN INTERIORES</t>
  </si>
  <si>
    <t>INTERIORES (DPTO) Y AREAS COMUNES</t>
  </si>
  <si>
    <t xml:space="preserve">SOLAQUEO EN MUROS POSTERIORMENTE A PINTAR </t>
  </si>
  <si>
    <t>SOLAQUEO EN MUROS DONDE SE COLOCARA PAPEL MURAL Y ENCHAPES. Costos por: 1. resanes de IIEE e IISS posteriores a la ejeución del muro (% de trabajos históricos que siempre se dan en obra); 2. Muros con demasiadas IISS e IIEE que se tenga que reemplazar con un vaciado de concreto 3. Vanos de ventanas altas o areas de vigas trasnversales menores a 0.5 m2 no se descuentan del área del muro metrado)</t>
  </si>
  <si>
    <t>SOLAQUEO EN AREAS COMUNES . Costos por: 1. resanes de IIEE e IISS posteriores a la ejeución del muro (% de trabajos históricos que siempre se dan en obra); 2. Muros con demasiadas IISS e IIEE que se tenga que reemplazar con un vaciado de concreto 3. Vanos de ventanas altas o areas de vigas trasnversales menores a 0.5 m2 no se descuentan del área del muro metrado)</t>
  </si>
  <si>
    <t>TARRAJEO DE MUROS LADRILLO KK</t>
  </si>
  <si>
    <t>TARRAJEO DE COLUMNAS Y PLACAS</t>
  </si>
  <si>
    <t>VESTIDURA DE DERRAMES EN VANOS</t>
  </si>
  <si>
    <t>IMPERMEABILIZACIONES</t>
  </si>
  <si>
    <t>IMPERMEABILIZACION DE PISO DE DUCHAS</t>
  </si>
  <si>
    <t xml:space="preserve">IMPERMEABILIZACION DE PARED DE DUCHAS (H=0.30M) </t>
  </si>
  <si>
    <t>PISO PULIDO DE SUPERFICIE PARA IMPERMEABILIZAR - JARDINERAS</t>
  </si>
  <si>
    <t>ACABADO DE PAREDES DE JARDINERAS</t>
  </si>
  <si>
    <t>BOLEADO DE ARISTAS EN JARDINERAS</t>
  </si>
  <si>
    <t>CONTRAPISO PARA PISO DE JARDINERAS</t>
  </si>
  <si>
    <t>IMPERMEABILIZACION DE PISCINA (INC. CUARTO MAQUINA PISCINA)</t>
  </si>
  <si>
    <t>IMPERMEABILIZACION DE CASCADA DE AGUA - PRIMER NIVEL</t>
  </si>
  <si>
    <t>IMPERMEABILIZACION PISO JARDINERAS - (NO SE CONSIDERA - ALCANCE DE INMOBILIARIA)</t>
  </si>
  <si>
    <t>IMPERMEABILIZACION PARED JARDINERAS -(NO SE CONSIDERA ALCANDE DE INMOBILIARIA)</t>
  </si>
  <si>
    <t>REVOQUES Y ENLUCIDOS EN FACHADA</t>
  </si>
  <si>
    <t>FACHADA // EXTERIORES</t>
  </si>
  <si>
    <t>TARRAJEO EN MUROS EXTERIORES</t>
  </si>
  <si>
    <t>PINTURA COLOR GRIS OSCURO SATINADO - FRONTAL</t>
  </si>
  <si>
    <t>RECTIFICADO CON CAL CEMENTO PARA HOMOGENIZAR LUEGO DEL DESENCOFRADO</t>
  </si>
  <si>
    <t>LIMPIEZA DE SUPERFICIE Y APLICACIÓN DE SELLADOR MICROCEMENTO "PT1" PARA SELLADO DE CONCRETO EXPUESTO EN FRISOS DE FACHADA PRINCIPAL</t>
  </si>
  <si>
    <t>FACHADA // INTERIORES</t>
  </si>
  <si>
    <t>TARRAJEO EN FACHADA INTERNA</t>
  </si>
  <si>
    <t>EMPASTADO Y PINTADO 02 MANOS COLOR GRIS OSCURO (1)</t>
  </si>
  <si>
    <t xml:space="preserve">FACHADA CIEGA </t>
  </si>
  <si>
    <t>ACABADO SOLAQUEADO EN FACHADA CIEGA</t>
  </si>
  <si>
    <t>PINTADO CON CAL CEMENTO EN FACHADA EXTERIOR</t>
  </si>
  <si>
    <t>ANDAMIO PARA TRABAJOS DE TARRAJEO, SOLAQUEO Y LIMPIEZA DE FACHADA EXTERIORES, INTERIORES Y CIEGAS</t>
  </si>
  <si>
    <t>CIELORASOS</t>
  </si>
  <si>
    <t>LIMPIEZA Y RESANE DE PRELOSAS + SELLADO DE JUNTAS</t>
  </si>
  <si>
    <t>TARRAJEO DE VIGAS EN TORRE (EN FONDO Y COSTADO)</t>
  </si>
  <si>
    <t>CIELO RASO EN BALCON (ACABADO EXPUESTO FACHADA)</t>
  </si>
  <si>
    <t>FALSOS CIELOS Y COBERTURAS</t>
  </si>
  <si>
    <t>FALSO CIELO RASO DE DRYWALL (SALA, COMERDOR, DORMITORIO)</t>
  </si>
  <si>
    <t>FALSO CIELO RASO DE DRYWALL RH (CLOSET DE LAVADO, LAVANDERIA, SSHH)</t>
  </si>
  <si>
    <t>FALSO CIELO RASO DE DRYWALL  GIMNASIO</t>
  </si>
  <si>
    <t>FALSO CIELO RASO DE DRYWALL  LOBBY</t>
  </si>
  <si>
    <t>FALSO CIELO RASO DE DRYWALL COWORKING</t>
  </si>
  <si>
    <t>FALSO CIELO RASO DE DRYWALL TERRAZA COMUN PISO 21</t>
  </si>
  <si>
    <t>FALSO CIELO RASO DE DRYWALL SALON GOURMET</t>
  </si>
  <si>
    <t>FALSO CIELO RASO CORTAFUEGO RF 2 HRS (HALL ASCENSORES PISO 1)</t>
  </si>
  <si>
    <t>FALSO CIELO RASO DE DRYWALL HALL ASCENSORES (PISO 2-22)</t>
  </si>
  <si>
    <t>FALSO CIELO RASO DE DRYWALL LAVANDERIA COMUN - CON TEXTURA EN MICROCEMENTO</t>
  </si>
  <si>
    <t>CUBIERTA METALICA LIGERA CON FIBRABLOCK 2" Y MEMBRANA ASFALTICA IMPERMEABILIZANTE</t>
  </si>
  <si>
    <t>DINTEL DE DRYWALL H= 0.30 - COWORKING</t>
  </si>
  <si>
    <t>DINTEL DE DRYWALL H= 0.63 - COWORKING</t>
  </si>
  <si>
    <t>LADRILLO PASTELERO</t>
  </si>
  <si>
    <t>COBERTURA DE LADRILLO PASTELERO (PLANTA DE TECHOS)</t>
  </si>
  <si>
    <t>BORDE DE LADRILLO PASTELERO EN MURO</t>
  </si>
  <si>
    <t>CARPINTERIA DE MADERA</t>
  </si>
  <si>
    <t>TECHO SOL Y SOMBRA DE ALUMINIO- AREA DE  PICNIC</t>
  </si>
  <si>
    <t>TECHO SOL Y SOMBRA DE ALUMINIO -TERRAZA COMUN PISO 18</t>
  </si>
  <si>
    <t>TECHO SOL Y SOMBRA DE ALUMINIO , COLOR NEGRO -GIMNASIO</t>
  </si>
  <si>
    <t>TECHO SOL Y SOMBRA CON COBERTURA DE POLICARBONATO- PISCINA</t>
  </si>
  <si>
    <t>TECHO SOL Y SOMBRA: LISTONES DE ALUMINIO TACTO MADERA 4X4cm - COWORKING</t>
  </si>
  <si>
    <t xml:space="preserve">NIVELACIÓN DE PISO </t>
  </si>
  <si>
    <t>DEPARTAMENTOS</t>
  </si>
  <si>
    <t>SALA COMEDOR / DORMITORIO / ESTUDIO / KITCHENET</t>
  </si>
  <si>
    <t>OK</t>
  </si>
  <si>
    <t>PISO VINILICO ESCUADRA SPC (Capa anti-abrasión 0.3 mm)</t>
  </si>
  <si>
    <t>SSHH</t>
  </si>
  <si>
    <t>CERAMICO PREMIUM GREY 20x60CM. SAN LORENZO</t>
  </si>
  <si>
    <t>CENTRO DE LAVADO</t>
  </si>
  <si>
    <t>CERAMICO CEMENTO BLANCO B2B 45x45CM. CELIMA</t>
  </si>
  <si>
    <t>BALCON Y TERRAZA</t>
  </si>
  <si>
    <t>CERAMICO TERRE GRIS 60x60CM. CELIMA</t>
  </si>
  <si>
    <t>ÁREAS COMUNES</t>
  </si>
  <si>
    <t>INGRESO PRINCIPAL</t>
  </si>
  <si>
    <t>PIEDRA TALAMOYE 0.10X0.10- TERRAZA PISO 1</t>
  </si>
  <si>
    <t>TERRAZO LAVADO GRIS OSCURO-  TERRAZA COMUN PISO 1</t>
  </si>
  <si>
    <t>PORCELANATO ESMALTADO EVIE CAOBA MATE 0.23X1.20M</t>
  </si>
  <si>
    <t>PISO EXTERIOR: ENCHAPE PIEDRA TALAMOYE DE 10X10CM</t>
  </si>
  <si>
    <t>LOBBY</t>
  </si>
  <si>
    <t>PORCELANATO KLIPEN ESMALTADO FOREVER 60X60 NERO/SILVER/WHITE</t>
  </si>
  <si>
    <t>BAÑO SERVICIO, COWORKING, GIMNASIO</t>
  </si>
  <si>
    <t>GRESS GALA CEMENTO GRIS 60X60CM</t>
  </si>
  <si>
    <t>DEPOSITO COMUN</t>
  </si>
  <si>
    <t>CERAMICO CELIMA CEMENTO GRIS PLATA B2 45X45</t>
  </si>
  <si>
    <t>MEDIDORES (ACABADO POR DEFINIR)</t>
  </si>
  <si>
    <t>GIMNASIO</t>
  </si>
  <si>
    <t>PISO CLICK LVT 5mm CENTURY OAK NATURAL NCP-45404, MCA. ECOCLICKFORMATO 180x1200mm</t>
  </si>
  <si>
    <t>BALDOSA DE CAUCHO UPFLEX FC NEGRO CON EPDM BLANCO 50x50CM. ISTALIMA</t>
  </si>
  <si>
    <t xml:space="preserve">ADMINISTRACION </t>
  </si>
  <si>
    <t>SPC LVT 2.5mm EUROPEAN OAK BROWN NCP-23366 MCA. ORCHID FORMATO 180x1200mm</t>
  </si>
  <si>
    <t>TERRAZO LAVADO COLOR GRIS OSCURO</t>
  </si>
  <si>
    <t>SALA DE COWORKING</t>
  </si>
  <si>
    <t>PORCELANATO SCENARIO TAPETTO NERO MATE 20X20 M</t>
  </si>
  <si>
    <t>ENCHAPE EN MELAMINE 18mm COLOR ROVERE - SE CAMBIA POR PORCELANATO SCENARIO TAPETTO NERO MATE 20X20 M</t>
  </si>
  <si>
    <t>ENCHAPE EN MELAMINE 18mm COLOR AZUL- SE CAMBIA POR PORCELANATO SCENARIO TAPETTO NERO MATE 20X20 M</t>
  </si>
  <si>
    <t>VESTIBULO PREVIO</t>
  </si>
  <si>
    <t>CUARTO ACELEROGRAFO</t>
  </si>
  <si>
    <t>CENTRO DE LAVADO COMUN - ACABADO POR DEFINIR</t>
  </si>
  <si>
    <t>ZONA PICNIC</t>
  </si>
  <si>
    <t>PIEDRA DE CANTO RODADO</t>
  </si>
  <si>
    <t>SALA GOURMET</t>
  </si>
  <si>
    <t>PORCELANATO ESMALTADO LEGEND BROWN MATE (1.20 X 0.20 M)</t>
  </si>
  <si>
    <t>TERRAZO COLOR NEGRO CARBON GRANO FINO</t>
  </si>
  <si>
    <t>TERRAZA COMUN PISO 21</t>
  </si>
  <si>
    <t>GRANALLA COLOR GRIS CLARO/INTERMEDIO/OSCURO</t>
  </si>
  <si>
    <t>ESTRUCTURA DE CEMENTO ACABADO EN TERRAZO COLOR BLANCO</t>
  </si>
  <si>
    <t>TERRAZA COMUN PISO 18</t>
  </si>
  <si>
    <t>PORCELANATO NO ESMALTADO BASALTO SABBIA RUSTICO 1.20 X 0.60 M MARAZZI</t>
  </si>
  <si>
    <t>BAÑO COMUN (ACABADO POR DEFINIR)</t>
  </si>
  <si>
    <t>AREA DE PISCINA</t>
  </si>
  <si>
    <t>TERRAZO LAVADO, GRANALLA 1, COLOR NEGRO CARBÓN, e=15mm</t>
  </si>
  <si>
    <t>MURO VERDE VIVO - NO SE INCLUYE (PAISAJISMO POR PARTE DE INMOBILIARIA)</t>
  </si>
  <si>
    <t>LAVANDERIA COMUN AZOTEA</t>
  </si>
  <si>
    <t>PORCELANATO ESMALTADO HANOI CUBE GREY MATE 33 X 33 CM</t>
  </si>
  <si>
    <t>PORCELANATO ITAGRESS ARTEFATO COLOR BETUME ACABADO MATE 50 X 100CM</t>
  </si>
  <si>
    <t>ÁREAS COMUNES ( HALL ASCENSORES)</t>
  </si>
  <si>
    <t xml:space="preserve">1ER PISO </t>
  </si>
  <si>
    <t>2DO PISO - 22VO PISO</t>
  </si>
  <si>
    <t>ZÓCALOS</t>
  </si>
  <si>
    <t>SSHH (DUCHA, H=2.10M)</t>
  </si>
  <si>
    <t>NO</t>
  </si>
  <si>
    <t>CERAMICO BLANCO MATE 30X60 CM</t>
  </si>
  <si>
    <t>SSHH (LAVATORIO, H=2.10 M)</t>
  </si>
  <si>
    <t>SEMIGRES ESMALTADO FINESSE MICROLINES GRAY MATE 45X90 CM</t>
  </si>
  <si>
    <t>KITCHENETTE (ENTRE MUEBLE ALTO Y BAJO)</t>
  </si>
  <si>
    <t>CERAMICO KALI BLANCO BRILLANTE 27X45 CM</t>
  </si>
  <si>
    <t>LAVANDERIA (SALPICADERO, H=1.20M)</t>
  </si>
  <si>
    <t>ÁREAS COMUNES PRIMER PISO</t>
  </si>
  <si>
    <t>LOBBY Y HALL DE ASCENSORES 1ER PISO</t>
  </si>
  <si>
    <t>MDF CON ENCHAPE DE MADERA NATURAL</t>
  </si>
  <si>
    <t>ACABADO EN MICROCEMENTO GRIS</t>
  </si>
  <si>
    <t>PORCELANATO SEMIGRESS ESMALTADO ROTTERDAM ANTHRACITE 44X 89.7 CM</t>
  </si>
  <si>
    <t>MDF CON ACABADO COLOR NEGRO</t>
  </si>
  <si>
    <t>EXTERIORES</t>
  </si>
  <si>
    <t xml:space="preserve">PATIO 1ER PISO </t>
  </si>
  <si>
    <t xml:space="preserve">ACABADO EN MICROCEMENTO TIPO ENTABLADO DE MADERA VERTICAL </t>
  </si>
  <si>
    <t>TARRAJEADO Y ACABADO EN TEXTURA MICROCEMENTO GRIS CLARO</t>
  </si>
  <si>
    <t>TERRAZO LAVADO GRIS OSCURO</t>
  </si>
  <si>
    <t>BAÑO COMUN</t>
  </si>
  <si>
    <t>COWORKING</t>
  </si>
  <si>
    <t>ACABADO MICROCEMENTO GRIS CLARO - COWORKING</t>
  </si>
  <si>
    <t>LIJADO, EMPASTADO, SELLADO DE MUROS, SUMINISTRO E INSTALACION DE PAPEL TAPIZ DECORATIVO</t>
  </si>
  <si>
    <t>ENCHAPADO EN MELAMINE ROVERE e=18mm</t>
  </si>
  <si>
    <t>ACABADO MICROCEMENTO GRIS CLARO</t>
  </si>
  <si>
    <t>ÁREAS COMUNES AZOTEA</t>
  </si>
  <si>
    <t>CENTRO DE LAVADO COMUN - POR DEFINIR</t>
  </si>
  <si>
    <t>TERRAZA DE PISCINA</t>
  </si>
  <si>
    <t>ACABADO EN MICROCEMENTO, COLOR GRIS CLARO, COLOR OVELHA C164 PANTONERA SUVINIL</t>
  </si>
  <si>
    <t>TERRAZO LAVADO, GRANALLA 1, COLOR NEGRO CARBÓN, e=15mm.</t>
  </si>
  <si>
    <t>MURO ACABADO EN MICROCEMENTO COLOR NEGRO</t>
  </si>
  <si>
    <t xml:space="preserve">LISTON DE ALUMINIO DE 1"X2" TACTO MADERA </t>
  </si>
  <si>
    <t xml:space="preserve">ACABADO MICROCEMENTO GRIS CLARO </t>
  </si>
  <si>
    <t>LISTONES DE Fe DE 1"x1", ACABADO EN COLOR NEGRO SATINADO</t>
  </si>
  <si>
    <t>BAÑOS Y DUCHAS</t>
  </si>
  <si>
    <t>CONCRETO EXPUESTO</t>
  </si>
  <si>
    <t>LADRILLO REFRACTAREO</t>
  </si>
  <si>
    <t xml:space="preserve">ACABADO TERRAZO COLOR NEGRO GRANO FINO </t>
  </si>
  <si>
    <t>CM-1 LISTONES FE 4"X2" PINTADA CON DOBLE CAPA ANTICORROSIVO COLOR GREEN AP171-4 ACABADO SATINADO PANTONE COLOR CENTRO</t>
  </si>
  <si>
    <t>CM-2 LISTONES FE 1/2"x1/2", PINTADO AL HORNO CON DOBLE CAPA ANTOCORROSIVA, COLOR GRIS</t>
  </si>
  <si>
    <t>LAVANDERIA</t>
  </si>
  <si>
    <t xml:space="preserve">MURO CON TEXTURA EN MICROCEMENTO GRIS OSCURO- </t>
  </si>
  <si>
    <t>MURO CON TEXTURA EN MICROCEMENTO GRIS CLARO</t>
  </si>
  <si>
    <t>ENCHAPES ESPECIALES</t>
  </si>
  <si>
    <t>ENCHAPE DE SARDINEL BAÑOS PRINCIPALES (IDEM PISO - 3 CARAS POR METRO)</t>
  </si>
  <si>
    <t>SALA COMEDOR / DORMITORIOS Y ESTUDIO</t>
  </si>
  <si>
    <t>CONTRAZOCALO PVC 8 CM, MT0298-13 O SIMILAR</t>
  </si>
  <si>
    <t>TERRAZA Y BALCONES</t>
  </si>
  <si>
    <t>CTRZL CERAMICO TERRE GRIS 60x60CM. CELIMA</t>
  </si>
  <si>
    <t>ÁREAS COMUNES (1ER PISO)</t>
  </si>
  <si>
    <t>INGRESO</t>
  </si>
  <si>
    <t>CONTRAZOCALO PORCELANATO NO ESMALTADO BASALTO SABBIA RUSTICO 1.20 X 0.60 M MARAZZI</t>
  </si>
  <si>
    <t>LOBYY</t>
  </si>
  <si>
    <t>CONTRAZOCALO DE ACERO INOXIDABLE</t>
  </si>
  <si>
    <t>BAÑO COMUN (SERVICIO, COWORKING, GIMNASIO)</t>
  </si>
  <si>
    <t>CONTRAZOCALO PORCELANATO KLIPEN ESMALTADO BONSAI BEIGE MATE 20X120 CM</t>
  </si>
  <si>
    <t>DEPOSITO</t>
  </si>
  <si>
    <t>RAMPA DE INGRESO, ESTACIONAMIENTO</t>
  </si>
  <si>
    <t>CONTRAZOCALO PISOGRES PORCELANICO SANTORINI MATE 60x120CM. DECORCENTER</t>
  </si>
  <si>
    <t>HALL DE ASCENSORES</t>
  </si>
  <si>
    <t>CONTRAZOCALO DALTILE SEMIGRES ESMALTADO BOULEVARD LIGHT GREY MATE 60X120 CM</t>
  </si>
  <si>
    <t>BANCO DE MEDIDOR</t>
  </si>
  <si>
    <t>CONTRAZOCALO PINTURA TRAFICO COLOR GRIS GRAFITO H=15CM</t>
  </si>
  <si>
    <t>CONTRAZOCALO GRESS GALA CEMENTO GRIS 60X60CM</t>
  </si>
  <si>
    <t>POLIESTIRENO COLOR NEGRO H=0.07m</t>
  </si>
  <si>
    <t>ÁREAS COMUNES (2- 22 PISO)</t>
  </si>
  <si>
    <t>HALL</t>
  </si>
  <si>
    <t>CONTRAZOCALO DE ALUMINIO H=10CM</t>
  </si>
  <si>
    <t>CTO ACELEROGRAFO</t>
  </si>
  <si>
    <t>CONTRAZOCALO DE CEMENTO PULIDO</t>
  </si>
  <si>
    <t>ÁREAS COMUNES (AZOTEA)</t>
  </si>
  <si>
    <t>CONTRAZOCALO PORCELANATO ESMALTADO LEGEND BROWN MATE (1.20 X 0.20 M)</t>
  </si>
  <si>
    <t>BAÑO COMUN - ACABADO POR DEFINIR</t>
  </si>
  <si>
    <t>CONTRAZOCALO CERAMICO CEMENTO BLANCO B2B 9x45CM. CELIMA</t>
  </si>
  <si>
    <t>CONTRAZOCALO PORCELANATO ITAGRESS ARTEFATO COLOR BETUME ACABADO MATE 50 X 100CM</t>
  </si>
  <si>
    <t>ESCALERA DE EMERGENCIA (2 UND)</t>
  </si>
  <si>
    <t>PISCINA (AZOTEA)</t>
  </si>
  <si>
    <t>FORJADO DE PASOS Y CONTRAPASOS</t>
  </si>
  <si>
    <t>SOLAQUEO DE FONDO DE ESCALERA</t>
  </si>
  <si>
    <t>DERRAME EN COSTADO DE ESCALERA</t>
  </si>
  <si>
    <t>PUERTAS CORTAFUEGO (FIREPROOF)</t>
  </si>
  <si>
    <t>PCF-01 PUERTA METALICA CORTAFUEGO 90MIN (1.00 X 2.10M) - ESCALERA</t>
  </si>
  <si>
    <t>PCF-02 PUERTA METALICA CORTAFUEGO 20MIN (1.20 X 2.10M) - ESCALERA 02</t>
  </si>
  <si>
    <t>PCF-25 PUERTA METALICA CORTAFUEGO 90MIN (0.70 X 2.10M) - DEPOSITO</t>
  </si>
  <si>
    <t>P- 20  (1.76 X 2.10 M ) DUCTO DE IIEE</t>
  </si>
  <si>
    <t>P- 21  (0.85 X 2.10 M ) DUCTO DE IIEE</t>
  </si>
  <si>
    <t>P- 22  (0.87 X 2.10 M ) DUCTO DE GAS</t>
  </si>
  <si>
    <t>DEPARTAMENTOS - (SE CONSIDERAN PREMARCOS EN LAS PRINCIPALES, PUEDE RETIRARSE)</t>
  </si>
  <si>
    <t>P-31-(1.00x2.10) P. BATIENTE PLACADA HDF DECORAT. - PUERTA INGRESO</t>
  </si>
  <si>
    <t>P-32-(0.90x2.10) P. BATIENTE PLACADA HDF DECORAT. - PUERTA INGRESO</t>
  </si>
  <si>
    <t>P-33-(0.80x2.10) P. BATIENTE PLACADA HDF DECORAT. - DORMITORIO 1</t>
  </si>
  <si>
    <t>P-34-(0.80x2.10) P. BATIENTE PLACADA HDF DECORAT. - DORMITORIO 1</t>
  </si>
  <si>
    <t>P-37-(0.67x2.10) P. BATIENTE PLACADA HDF DECORAT. - DORMITORIO 2</t>
  </si>
  <si>
    <t>P-36-(0.70x2.10) P. BATIENTE PLACADA HDF DECORAT. - DORMITORIO 2</t>
  </si>
  <si>
    <t>P-35-(0.75x2.10) P. BATIENTE PLACADA HDF DECORAT. - DORMITORIO 2</t>
  </si>
  <si>
    <t>P-24-(0.70x2.10) P. BATIENTE PLACADA HDF DECORAT. - SSHH 1</t>
  </si>
  <si>
    <t>AREAS COMUNES</t>
  </si>
  <si>
    <t>P-34-(0.80x2.10) P. BATIENTE C/ REJILLAS - CTO ACELEROGRAFO</t>
  </si>
  <si>
    <t>P-27(0.90x2.00) P. BATIENTE PLACADA MDF - LAVADO COMUN</t>
  </si>
  <si>
    <t>P-28(0.70x2.00) P. BATIENTE PLACADA MDF - LAVADO COMUN</t>
  </si>
  <si>
    <t>P-26(0.80x2.10) P. BATIENTE PLACADA MDF - SSHH COMUN</t>
  </si>
  <si>
    <t>P-24(0.70x2.10) P. BATIENTE PLACADA MDF - SSHH COMUN</t>
  </si>
  <si>
    <t>P-40 (0.92x2.00) P. BATIENTE PLACADA MDF - CTO OFICIO</t>
  </si>
  <si>
    <t>P-41 (0.86x2.00) P. BATIENTE PLACADA MDF - CTO LIMPIEZA</t>
  </si>
  <si>
    <t>P-42 (0.80x2.00) P. BATIENTE PLACADA MDF -ACCESO A MANTENIMIENTO</t>
  </si>
  <si>
    <t>PROTECCION DE PUERTAS CORTAFUEGO (INC EN OBRAS PROVISIONALES)</t>
  </si>
  <si>
    <t>PROTECCION DE PUERTAS CONTRAPLACADAS</t>
  </si>
  <si>
    <t>PUERTAS MELAMINE E=18MM (ALL CENTER)</t>
  </si>
  <si>
    <t>LAVANDERIAS (ALL CENTER)</t>
  </si>
  <si>
    <t>P-30 (1.60x2.00) P. PLEGABLE C/ PLACADA MDF C/REJILLA</t>
  </si>
  <si>
    <t>P-29 (0.91x2.00) P. PLEGABLE C/ PLACADA MDF C/REJILLA</t>
  </si>
  <si>
    <t>P-29´ (1.03x2.00) P. PLEGABLE C/ PLACADA MDF C/REJILLA</t>
  </si>
  <si>
    <t>DUCTOS DE INSTALACIONES ELECTRICAS Y COMUNICACIONES</t>
  </si>
  <si>
    <t>P-20 (DUCTO IIEE)  (1.76 x 2.00 M)</t>
  </si>
  <si>
    <t>P-16 (DUCTO IIEE)  (1.38x 2.00 M)</t>
  </si>
  <si>
    <t>P-17 (DUCTO IIEE)  (1.36 x 2.00 M)</t>
  </si>
  <si>
    <t>P-12 (DUCTO IIEE)  (1.35x 2.00 M)</t>
  </si>
  <si>
    <t>P-14 (DUCTO IIEE)  (1.36 x 2.00 M)</t>
  </si>
  <si>
    <t>P-15 (DUCTO IIEE)  (1.08x 2.00 M)</t>
  </si>
  <si>
    <t>P-21 (DUCTO IIEE)  (0.85 x 2.00 M)</t>
  </si>
  <si>
    <t>P-13 (DUCTO IIEE)  (0.87 x 2.00 M)</t>
  </si>
  <si>
    <t>DUCTOS GAS</t>
  </si>
  <si>
    <t>P-18 (DUCTO GAS)  (0.76 x 2.00 M) - INC NEOPRENO</t>
  </si>
  <si>
    <t>P-22 (DUCTO GAS)  (0.87 x 2.00 M) - INC NEOPRENO</t>
  </si>
  <si>
    <t>CERRAJERIA PARA PUERTAS (PUERTAS PRINCIPALES)</t>
  </si>
  <si>
    <t>CERRAJERIA PARA PUERTAS (DORMITORIOS)</t>
  </si>
  <si>
    <t>CERRAJERIA PARA PUERTAS (BAÑOS)</t>
  </si>
  <si>
    <t>CERRAJERIA PARA PUERTAS (AREAS COMUNES)</t>
  </si>
  <si>
    <t>MUEBLES DE COCINA - PROVEEDOR: POST FORMADO (IN REJILLA DE HORNO) SIMILAR AL PROYECTO BENAVIDES VYV</t>
  </si>
  <si>
    <t>COCINA 01 (Dpto 201-2001) - 2201</t>
  </si>
  <si>
    <t>COCINA 02 (Dpto 2101)</t>
  </si>
  <si>
    <t>COCINA 03 (Dpto 202-2002)</t>
  </si>
  <si>
    <t>COCINA 04 (Dpto 203-803)</t>
  </si>
  <si>
    <t>COCINA 05 (903-2003)</t>
  </si>
  <si>
    <t>COCINA 06 (2102)</t>
  </si>
  <si>
    <t>COCINA 07 (204-804)</t>
  </si>
  <si>
    <t>COCINA 08 (205-805)</t>
  </si>
  <si>
    <t>COCINA 09 (904-2004)</t>
  </si>
  <si>
    <t>COCINA 10(2103)</t>
  </si>
  <si>
    <t>COCINA 11 (2203)</t>
  </si>
  <si>
    <t>COCINA 12 (905-1905) (206-806)</t>
  </si>
  <si>
    <t>COCINA 13 (2005)</t>
  </si>
  <si>
    <t>COCINA 14 (2104-2204)</t>
  </si>
  <si>
    <t>COCINA 15 (906-1806) (207-807)</t>
  </si>
  <si>
    <t>COCINA 16 (1906)</t>
  </si>
  <si>
    <t>COCINA 17 (907-1807) (208-808)</t>
  </si>
  <si>
    <t>COCINA 18(1907)</t>
  </si>
  <si>
    <t>COCINA 19 (908-1308) (209-809)</t>
  </si>
  <si>
    <t>COCINA 20 (1408-1708)</t>
  </si>
  <si>
    <t>COCINA 21 (909-1309) (210-810)</t>
  </si>
  <si>
    <t>REJILLA DE VENTILACION EN ALUMINIO - HORNOS (INC EN PRECIO DE MUEBLES)</t>
  </si>
  <si>
    <t>CLOSETS Y VESTIDORES -(ALL CENTER)</t>
  </si>
  <si>
    <t>WCL 1 (202-1902)</t>
  </si>
  <si>
    <t>WCL 2 (202)</t>
  </si>
  <si>
    <t>WCL 3 (903-2003) 2102,2202</t>
  </si>
  <si>
    <t>WCL 4 (207-807) (906-1806)</t>
  </si>
  <si>
    <t>WCL 5 (207-807) (906-1806)</t>
  </si>
  <si>
    <t>WCL 6 (210-801) (909-1309)</t>
  </si>
  <si>
    <t>WCL 7 (904-2004) 2103,2203</t>
  </si>
  <si>
    <t>WCL 8 (1906)</t>
  </si>
  <si>
    <t>WCL 9 (2104,2204)</t>
  </si>
  <si>
    <t>CLOSET 1 (201-2201)</t>
  </si>
  <si>
    <t>CLOSET 2 (203-803)</t>
  </si>
  <si>
    <t>CLOSET 3 (204-804)</t>
  </si>
  <si>
    <t>CLOSET 4 (205-805) (904-2004)</t>
  </si>
  <si>
    <t>CLOSET 5 (206-806) (905-1905)</t>
  </si>
  <si>
    <t>CLOSET 6 (206-806) (905-1905)</t>
  </si>
  <si>
    <t>CLOSET 7 (208-808) (907-1807)</t>
  </si>
  <si>
    <t>CLOSET 8 (209-809) (908-1308)</t>
  </si>
  <si>
    <t>CLOSET 9 (210-801) (909 -1309)</t>
  </si>
  <si>
    <t>CLOSET 10 (1408 - 1708)</t>
  </si>
  <si>
    <t>CLOSET 11 (1408)</t>
  </si>
  <si>
    <t>CLOSET 12 (1907)</t>
  </si>
  <si>
    <t>CLOSET 13 (205)</t>
  </si>
  <si>
    <t>CLOSET 14 (202-1302) (1402-1902)</t>
  </si>
  <si>
    <t>CLOSET 15 (2002)</t>
  </si>
  <si>
    <t>CLOSET 16 (903-1303) (1403-2003) 2102,2202</t>
  </si>
  <si>
    <t>CLOSET 17 (1408)</t>
  </si>
  <si>
    <t>CLOSET 18 (1508-1708)</t>
  </si>
  <si>
    <t>CLOSET 19 (1508)</t>
  </si>
  <si>
    <t>CLOSET 20 (1608,1708)</t>
  </si>
  <si>
    <t>CLOSET 21 (2103,2203)</t>
  </si>
  <si>
    <t>CLOSET 22 (MALETERO)</t>
  </si>
  <si>
    <t>MUEBLES AREAS COMUNES</t>
  </si>
  <si>
    <t>MUEBLES AREAS COMUNES (ALL CENTER)</t>
  </si>
  <si>
    <t>MUEBLE DE COCINA 1 - SALON GOURMET</t>
  </si>
  <si>
    <t>MUEBLE DE COCINA 2 - COWORKING</t>
  </si>
  <si>
    <t>REPISAS - COWORKING</t>
  </si>
  <si>
    <t>MUEBLE DE COCINA 3 - GIMNASIO</t>
  </si>
  <si>
    <t>MUEBLE DE COCINA 4 - ADMINISTRACION</t>
  </si>
  <si>
    <t>REPISAS - ADMINISTRACION</t>
  </si>
  <si>
    <t>PORTA CARTAS DE MELAMINE (L= 3.75 M)  - LOBBY</t>
  </si>
  <si>
    <t>MUEBLE DE COCINA 5 - TERRAZA PISO 18</t>
  </si>
  <si>
    <t>MUEBLE DE COCINA 6 - ZONA DE PICNIC</t>
  </si>
  <si>
    <t xml:space="preserve">ESTRUCTURA METÁLICA CUBIERTA DE MELAMINE RH 18MM PARA MESA FLOTANTE (L= 4 M) - LAVANDERIA COMUN
</t>
  </si>
  <si>
    <t xml:space="preserve">LISTELO EN MDF CON ACABADO COLOR AVENTURA DE OCÉANO a=45cm
</t>
  </si>
  <si>
    <t xml:space="preserve">LOBBY </t>
  </si>
  <si>
    <t>MUEBLE DE COUNTER (ACABADOS, REPISAS)</t>
  </si>
  <si>
    <t>DIVISION EN SSHH</t>
  </si>
  <si>
    <t>DIVISOR DE SSHH</t>
  </si>
  <si>
    <t>VIDRIOS Y CRISTALES - PROVEEDOR WINDOOR</t>
  </si>
  <si>
    <t>VENTANAS DPTOS</t>
  </si>
  <si>
    <t>V-01(0.90x1.53)</t>
  </si>
  <si>
    <t>V-02(1.30x1.53)</t>
  </si>
  <si>
    <t>V-03(0.40x2.13)</t>
  </si>
  <si>
    <t>V-04(0.64x2.13)</t>
  </si>
  <si>
    <t>V-05(0.40x2.13)</t>
  </si>
  <si>
    <t>V-06(0.94x1.83)</t>
  </si>
  <si>
    <t>V-07(1.00x1.83)</t>
  </si>
  <si>
    <t>V-08(6.83x0.40)</t>
  </si>
  <si>
    <t>V-09(0.43x1.63)</t>
  </si>
  <si>
    <t>V-10(1.00x1.83)</t>
  </si>
  <si>
    <t>V-11(1.40x1.83)</t>
  </si>
  <si>
    <t>V-12(1.40x1.83)</t>
  </si>
  <si>
    <t>V-13(1.13x1.63)</t>
  </si>
  <si>
    <t>V-14(0.73x1.63)</t>
  </si>
  <si>
    <t>V-15(1.00x1.63)</t>
  </si>
  <si>
    <t>V-16(0.79x1.63)</t>
  </si>
  <si>
    <t>V-17(1.78x1.83)</t>
  </si>
  <si>
    <t>V-18(0.22x0.63)</t>
  </si>
  <si>
    <t>V-19(1.62x1.83)</t>
  </si>
  <si>
    <t>V-20(0.21x0.93)</t>
  </si>
  <si>
    <t>V-21(0.16x0.93)</t>
  </si>
  <si>
    <t>V-22(0.37x1.23)</t>
  </si>
  <si>
    <t>V-23(0.50x1.23)</t>
  </si>
  <si>
    <t>V-24(0.34x0.93)</t>
  </si>
  <si>
    <t>V-25(0.45x0.63)</t>
  </si>
  <si>
    <t>V-26(5.10x1.70)</t>
  </si>
  <si>
    <t>ADICIONAL M2 DE VENTANAS (ACTUALIZACION PLANO DE VANOS 09/2024)</t>
  </si>
  <si>
    <t xml:space="preserve">MAMPARAS </t>
  </si>
  <si>
    <t>M-01(3.88x2.63)</t>
  </si>
  <si>
    <t>M-02(1.75x213)</t>
  </si>
  <si>
    <t>M-03(2.42x2.43)</t>
  </si>
  <si>
    <t>M-04(1.81x2.10)</t>
  </si>
  <si>
    <t>M-05(1.00x2.10)</t>
  </si>
  <si>
    <t>M-06(10.73x2.63)</t>
  </si>
  <si>
    <t>M-07(2.27x2.10)</t>
  </si>
  <si>
    <t>M-08(2.37x2.10)</t>
  </si>
  <si>
    <t>M-09(2.57x2.63)</t>
  </si>
  <si>
    <t>M-10(3.79x2.63)</t>
  </si>
  <si>
    <t>M-11(8.34x2.10)</t>
  </si>
  <si>
    <t>M-12(1.45x2.13)</t>
  </si>
  <si>
    <t>M-12A (1.30x2.13)</t>
  </si>
  <si>
    <t>M-13(2.20x2.13)</t>
  </si>
  <si>
    <t>M-13A(2.20x2.13)</t>
  </si>
  <si>
    <t>M-14(2.50x2.13)</t>
  </si>
  <si>
    <t>M-15(1.75x2.13)</t>
  </si>
  <si>
    <t>M-16(1.00x2.73)</t>
  </si>
  <si>
    <t>M-17(2.53x2.13)</t>
  </si>
  <si>
    <t>M-18(2.52x2.13)</t>
  </si>
  <si>
    <t>M-19(1.45x2.13)</t>
  </si>
  <si>
    <t>M-19A (1.45x2.13)</t>
  </si>
  <si>
    <t>M-20(3.36x2.13)</t>
  </si>
  <si>
    <t>M-21(1.62x2.13)</t>
  </si>
  <si>
    <t>M-22(1.56x2.13)</t>
  </si>
  <si>
    <t>M-23(3.31x2.13)</t>
  </si>
  <si>
    <t>M-24(3.80x2.13)</t>
  </si>
  <si>
    <t>M-25(2.44x2.13)</t>
  </si>
  <si>
    <t>M-26(2.48x2.13)</t>
  </si>
  <si>
    <t>M-27(2.27x2.13)</t>
  </si>
  <si>
    <t>M-28(2.44x2.13)</t>
  </si>
  <si>
    <t>M-29(2.85x2.13)</t>
  </si>
  <si>
    <t>M-30(4.93x2.13)</t>
  </si>
  <si>
    <t>M-31(2.75x2.13)</t>
  </si>
  <si>
    <t>M-32(1.50x2.13)</t>
  </si>
  <si>
    <t>M-33(7.51x2.13)</t>
  </si>
  <si>
    <t>M-34(2.00x2.13)</t>
  </si>
  <si>
    <t>M-35(3.43x2.13)</t>
  </si>
  <si>
    <t>M-36(2.04x2.13)</t>
  </si>
  <si>
    <t>M-37(2.92x2.13)</t>
  </si>
  <si>
    <t>M-38(2.67x2.13)</t>
  </si>
  <si>
    <t>M-39(1.50x2.13)</t>
  </si>
  <si>
    <t>M-40(2.97x2.13)</t>
  </si>
  <si>
    <t>M-40´(2.97x2.13)</t>
  </si>
  <si>
    <t>M-41(0.73x2.13)</t>
  </si>
  <si>
    <t>M-42(2.54x2.13)</t>
  </si>
  <si>
    <t>M-43(2.69x2.13)</t>
  </si>
  <si>
    <t>M-44(1.63x2.13)</t>
  </si>
  <si>
    <t>M-45(1.20x2.13)</t>
  </si>
  <si>
    <t>M-46(2.33x2.13)</t>
  </si>
  <si>
    <t>M-47 (1.00x2.13)</t>
  </si>
  <si>
    <t>P-39  (1.23x2.10) - TERRAZA COMUN PISO 18</t>
  </si>
  <si>
    <t>DEDCUTIVO M2 DE MAMPARAS (ACTUALIZACION PLANO DE VANOS 09/2024)</t>
  </si>
  <si>
    <t>BARANDAS EN FACHADAS Y AZOTEA (M&amp;M INDUSTRIA METALICA SAC)</t>
  </si>
  <si>
    <t>BARANDA DE VIDRIO (CRISTAL TEMPLADO 10 MM , INC CANAL DE ALUMINIO) TIPO 1 H = 1.10 M + TUBO GALVANIZADO DE 2"X1"</t>
  </si>
  <si>
    <t>BARANDA DE VIDRIO H= 1.00 M (AZOTEA) - SIN DETALLE</t>
  </si>
  <si>
    <t>BARANDA DE VIDRIO H= 1.10 M (PISO 22) -SIN DETALLE</t>
  </si>
  <si>
    <t>PROTECTORES</t>
  </si>
  <si>
    <t>FORRADO DE VIDRIOS Y ALUMINIO CON CARTON, FILM Y CINTA AZUL PARA LAS RIELES</t>
  </si>
  <si>
    <t>SC PREVENCIONISTA DE RIESGO-SC VIDRIOS Y CRISTALES</t>
  </si>
  <si>
    <t>GASTOS GENERALES SC DE VIDRIOS Y CRISTALES</t>
  </si>
  <si>
    <t>BARANDAS METALICAS</t>
  </si>
  <si>
    <t>BARANDAS METALICAS DE SEGURIDAD EN FACHADAS Y AZOTEA (PROVEEDOR CONSTRUMETALICAS)</t>
  </si>
  <si>
    <t>BARANDA METALICA H=1.10M EN BALCON DE FACHADA INTERIOR</t>
  </si>
  <si>
    <t>BARANDA METALICA H=0.65M EN BALCON DE FACHADA INTERIOR</t>
  </si>
  <si>
    <t>B. METALICA H=0.30 M (TERRAZA) SIN DETALLE</t>
  </si>
  <si>
    <t>B. METALICA FE 2" , H=1.10 M (TECHO) SIN DETALLE</t>
  </si>
  <si>
    <t>B. METALICA FE 2" , H=1.10 M (SALON GOURMET) SIN DETALLE</t>
  </si>
  <si>
    <t>CELOSIAS METALICA</t>
  </si>
  <si>
    <t xml:space="preserve">CELOSÌA METÁLICA DIVISORIA INTERNA (L=2.98M, H=2.71M) SALA DE ESTAR </t>
  </si>
  <si>
    <t>CELOSÌA METÁLICA DIVISORIA INTERNA (L=2.77M, H=2.71M) X03</t>
  </si>
  <si>
    <t>PUERTA VEHICULAR</t>
  </si>
  <si>
    <t>PORTON VEHICULAR CON SISTEMA BATIENTE</t>
  </si>
  <si>
    <t>CONTROLES REMOTOS</t>
  </si>
  <si>
    <t>CARPINTERIA METÁLICA</t>
  </si>
  <si>
    <t>CERCO PERIMETRICO H= 3.00 M , CELOSIA DE ALUMINIO TIPO QUIEBRAVISTA</t>
  </si>
  <si>
    <t>REJILLA METALICA PARA SALIDA DE AIRE (1.20x1.20M)</t>
  </si>
  <si>
    <t>REJILLA METALICA PARA SALIDA DE AIRE (0.95x2.15 M)</t>
  </si>
  <si>
    <t>REJILLA METALICA PARA SUBESTACION (1.55 X 0.40 M)</t>
  </si>
  <si>
    <t>REJILLA METALICA PARA SUBESTACION (1.55 X 0.30 M)</t>
  </si>
  <si>
    <t>REJILLA METALICA PARA SUBESTACION (0.75 X 0.40 M)</t>
  </si>
  <si>
    <t>BARANDAS METALICAS H=0.90M</t>
  </si>
  <si>
    <t>ESCALERA EVACUACION</t>
  </si>
  <si>
    <t>PASAMANOS A PARED H=0.90M</t>
  </si>
  <si>
    <t>BARANDAS A PISO H=0.90M</t>
  </si>
  <si>
    <t>ESCALERA PISCINA Y LOUNGE</t>
  </si>
  <si>
    <t>BARANDA METALICA 1/2" X 1" COLOR NEGRO</t>
  </si>
  <si>
    <t>AREA DE PARRILLA Y AZOTEA</t>
  </si>
  <si>
    <t>PARRILLA EMPOTRABLE DE ACERO INOX 304 (1.00 X 0.60 M)</t>
  </si>
  <si>
    <t>REJILLA DUCTO DE AZOTEA (0.54X0.84)</t>
  </si>
  <si>
    <t>REJILLA DUCTO DE AZOTEA (0.54X1.96)</t>
  </si>
  <si>
    <t>REJILLA DUCTO DE AZOTEA (0.32X2.70)</t>
  </si>
  <si>
    <t>REJILLA DUCTO DE AZOTEA (0.32X0.87)</t>
  </si>
  <si>
    <t>REJILLA DUCTO DE AZOTEA (0.43X0.37)</t>
  </si>
  <si>
    <t>REJILLA DUCTO DE AZOTEA (0.65X0.65) FORMA IRREGULAR</t>
  </si>
  <si>
    <t>REJILLA DUCTO DE TECHO PISO 21 (0.28X1.33)</t>
  </si>
  <si>
    <t>REJILLA DUCTO DE TECHO PISO 21 (0.87X0.53)</t>
  </si>
  <si>
    <t>REJILLA DUCTO DE TECHO PISO 21 (0.37X0.87)</t>
  </si>
  <si>
    <t>REJILLA DUCTO DE TECHO PISO 21 (0.47X0.70)</t>
  </si>
  <si>
    <t>REJILLA DUCTO DE TECHO PISO 21 (0.30X0.50)</t>
  </si>
  <si>
    <t>REJILLA DUCTO DE TECHO PISO 21 (0.30X1.76)</t>
  </si>
  <si>
    <t>REJILLA DUCTO DE TECHO PISO 21 (0.50X0.70)</t>
  </si>
  <si>
    <t>REJILLA DUCTO DE TECHO PISO 21 (0.65X0.65)  FORMA IRREGULAR</t>
  </si>
  <si>
    <t>REJILLA DUCTO DE TECHO PISO 21 (0.68X0.70) FORMA IRREGULAR</t>
  </si>
  <si>
    <t xml:space="preserve">AREA DE PISCINA </t>
  </si>
  <si>
    <t>ESCALERA DE GATO PARA PISCINA EN ACERO INOXIDABLE H=1.65M</t>
  </si>
  <si>
    <t>PUERTAS REGISTRO ASCENSOR (AZOTEA)</t>
  </si>
  <si>
    <t>ESCALERA DE GATO  CON CANASTILLA ANCLADA A PARED CON PROTECCIÓN (A=0.75, H=3.00M)</t>
  </si>
  <si>
    <t>ESCOTILLA DE INSPECCION Y MANTENIMIENTO (0.90 x 1.32) PARA ASCENSOR</t>
  </si>
  <si>
    <t xml:space="preserve">ESCOTILLA DE ACCESO AREA DE MANTENIMIENTO (0.80 x 0.80) </t>
  </si>
  <si>
    <t xml:space="preserve">ESCOTILLA DE ACCESO DAMPER DE ALIVIO (0.60 x 0.60) </t>
  </si>
  <si>
    <t>MALLA METALICA PARA DUCTO DE GAS ( 0.80 x 0.60 m)</t>
  </si>
  <si>
    <t>ESTRUCTURA METALICA DE FIERRO 3", E= 1 CM ( 0.85 x 1.5 m, H = 0.90 M)  COCINAS DEP X02 (PISO 2- PISO 20)</t>
  </si>
  <si>
    <t>ESTRUCTURA METALICA DE FIERRO 3", E= 1 CM ( 0.80x 1.74 m, H = 0.90 M)  COCINAS DEP  (2103/ 2203)</t>
  </si>
  <si>
    <t>ESTRUCTURA METALICA DE FIERRO 3", E= 1 CM ( 0.80x 1.50 m, H = 0.90 M)  COCINAS DEP 1907</t>
  </si>
  <si>
    <t>TAPAJUNTA EN FACHADA (SOLO PRIMER PISO)</t>
  </si>
  <si>
    <t>TAPAJUNTA INOX EN FACHADA DE 1 MM</t>
  </si>
  <si>
    <t>TAPAJUNTAS</t>
  </si>
  <si>
    <t>TAPAJUNTA T DE ALUMINIO (COCINA)</t>
  </si>
  <si>
    <t>Tapajuntas de SPC, Tipo T, 2400x45x7mm</t>
  </si>
  <si>
    <t>TAPAJUNTA T DE MAMPARA</t>
  </si>
  <si>
    <t>PAPEL MURAL</t>
  </si>
  <si>
    <t>DORMITORIO, ESTUDIO, SALA, PASADIZO, KITCHENETTE</t>
  </si>
  <si>
    <t>LIJADO, EMPASTADO, SELLADO DE MUROS, SUMINISTRO E INSTALACION DE PAPEL MURAL VINILICO 290 GRS</t>
  </si>
  <si>
    <t>LIJADO, EMPASTADO, SELLADO DE VIGAS, SUMINISTRO E INSTALACION DE PAPEL MURAL DUPLEX 290 GRS</t>
  </si>
  <si>
    <t>MOLDURA DE POLIESTIRENO COLOR BLANCO</t>
  </si>
  <si>
    <t>PINTURA</t>
  </si>
  <si>
    <t>SSHH / LAVANDERIA</t>
  </si>
  <si>
    <t>EMPASTADO Y PINTADO 03 MANOS COLOR BLANCO OLEO MATE</t>
  </si>
  <si>
    <t>EMPASTADO Y PINTADO 03 MANOS COLOR BLANCO LATEX - TERRAZAS</t>
  </si>
  <si>
    <t>CIELO RASO</t>
  </si>
  <si>
    <t>DPTOS AMBIENTES GENERALES</t>
  </si>
  <si>
    <t>EMPASTADO Y PINTADO 03 MANOS COLOR BLANCO LATEX (CIELO Y VIGAS)</t>
  </si>
  <si>
    <t>BAÑOS, LAVANDERÍA</t>
  </si>
  <si>
    <t>AREA COMUN</t>
  </si>
  <si>
    <t>EMPASTADO Y PINTADO 03 MANOS COLOR BLANCO LATEX</t>
  </si>
  <si>
    <t>EMPORRADO CON CAL CEMENTO CON BRUÑAS (ZONA DE BICICLETAS, ESTACIONAMIENTO)</t>
  </si>
  <si>
    <t>ESCALERAS Y VESTÍBULO PREVIO</t>
  </si>
  <si>
    <t>MUROS VESTIBULO PREVIO Y ESCALERA</t>
  </si>
  <si>
    <t>PINTADO CON CAL CEMENTO - MUROS VESTIBULO PREVIO Y ESCALERA (1ER PISO-AZOT)</t>
  </si>
  <si>
    <t>APARATOS SANITARIOS</t>
  </si>
  <si>
    <t>BAÑO PRINCIPAL Y SECUNDARIO</t>
  </si>
  <si>
    <t>INODORO CERÁMICO DE UNA PIEZA COLOR BLANCO DE DESCARGA VERTICAL, BOTONERA DOBLE Y ASIENTO DE CAIDA LENTA U10012A. TECSO</t>
  </si>
  <si>
    <t>VANITORIO (0.75 X 0.48 CM) , MODELO VB12-001. TECSO</t>
  </si>
  <si>
    <t>COCINA</t>
  </si>
  <si>
    <t>LAVADERO 01 POZA DE ACERO INOXIDABLE. D:43x43x18CM. INC SUMIDERO, CANASTA Y TAPA COD LI54. TECSO</t>
  </si>
  <si>
    <t>LAVADERO TREBOL MODELO AMAZONAS COLOR BLANCO (56 X 45 CM) INC KIT DE INSTALACIÓN</t>
  </si>
  <si>
    <t>GRIFERIAS</t>
  </si>
  <si>
    <t>BAÑO PRINCIPAL</t>
  </si>
  <si>
    <t xml:space="preserve">GRIFERIA LAVATORIO MONOMANDO BAJA FV JANA </t>
  </si>
  <si>
    <t>MEZCLADORA DE DUCHA MONOCOMANDO FV MODELO JANA RIVELSA</t>
  </si>
  <si>
    <t>MEZCLADORA DE COCINA, AL MUEBLE, MODELO AHORRADOR CERTIFICADO POR SEDAPAL PARA BONO VERDE, COD MC42AHP. TECSO</t>
  </si>
  <si>
    <t>GRIFO DE LAVANDERIA LLAVE TREBOL ECO CROMO DE 1/2"</t>
  </si>
  <si>
    <t>SSHH COMUNES</t>
  </si>
  <si>
    <t>LAVATORIO MANCORA DE PEDESTAL COLOR BLANCO, MARCA TREBOL</t>
  </si>
  <si>
    <t xml:space="preserve">URINARIO CADET COLOR BLANCO, MARCA TREBOL </t>
  </si>
  <si>
    <t>PICNIC/ SALA GOURMET/ COWORKING /PISO 18 / ADMINISTRACION / PARRILLAS</t>
  </si>
  <si>
    <t xml:space="preserve">LAV3 COCINA, LAVADERO DE ACERO INOX </t>
  </si>
  <si>
    <t>CENTROS DE LAVADO</t>
  </si>
  <si>
    <t>MEZCLADORA DE LAVATORIO, AL MUEBLE, MODELO AHORRADOR CERTIFICADO POR SEDAPAL PARA BONO VERDE, COD ML41AHP. TECSO</t>
  </si>
  <si>
    <t>MEZCLADOR DE DUCHA MD41 Y DIFUSOR DE DUCHA CON TUBO DE 150MM Y CANOPLA MOD DD13AHP. TECSO</t>
  </si>
  <si>
    <t>FLUXOMETRO PARA URINARIO</t>
  </si>
  <si>
    <t>GRIFERIA MONOCOMANDO EN ACERO (MODELO POR DEFINIR)</t>
  </si>
  <si>
    <t>ACCESORIOS SANITARIOS</t>
  </si>
  <si>
    <t>BARRA PARA DISCAPACITADOS L=0.90M (INODORO)</t>
  </si>
  <si>
    <t>TABLEROS DE GRANITO</t>
  </si>
  <si>
    <t>COCINAS DEPARTAMENTOS</t>
  </si>
  <si>
    <t>TABLERO NEGRO GRANITO ARACRUZ (20 MM), ZOCALO=10CM, ANCHO=60CM, MANDIL=4CM (TABLERO)</t>
  </si>
  <si>
    <t>TABLERO NEGRO GRANITO ARACRUZ (20 MM), ZOCALO=10CM, ANCHO=80CM, MANDIL=4CM (TABLERO)</t>
  </si>
  <si>
    <t>TABLERO GRANITO NEGRO ABSOLUTO (20 MM), ZOCALO=10CM, ANCHO=60CM, MANDIL=4CM (TABLERO)</t>
  </si>
  <si>
    <t>TABLERO MARMOL NEGRO MARQUINA (20 MM), ZOCALO=10CM, ANCHO=60CM, MANDIL=4CM (TABLERO)</t>
  </si>
  <si>
    <t>PROTECCION Y SELLADO DE TABLEROS</t>
  </si>
  <si>
    <t>PROTECCION DE TABLERO DE GRANITO (INC EN OBRAS PROVISIONALES)</t>
  </si>
  <si>
    <t>SELLADO CON SILICONA</t>
  </si>
  <si>
    <t>L6</t>
  </si>
  <si>
    <t>L7</t>
  </si>
  <si>
    <t>L8</t>
  </si>
  <si>
    <t>L9</t>
  </si>
  <si>
    <t>L10</t>
  </si>
  <si>
    <t>L11</t>
  </si>
  <si>
    <t>L12</t>
  </si>
  <si>
    <t>L13</t>
  </si>
  <si>
    <t>L14</t>
  </si>
  <si>
    <t>L15</t>
  </si>
  <si>
    <t>L16</t>
  </si>
  <si>
    <t>L17</t>
  </si>
  <si>
    <t>L18</t>
  </si>
  <si>
    <t>L19</t>
  </si>
  <si>
    <t>L20</t>
  </si>
  <si>
    <t>L21</t>
  </si>
  <si>
    <t>L22</t>
  </si>
  <si>
    <t>SEÑALETICA</t>
  </si>
  <si>
    <t>SEÑAL DE ''SALIDA DE EMERGENCIA'' ILUMINADA - A SOLICITUD D EINMOB NO SE CONSIDERA ILUMINADA</t>
  </si>
  <si>
    <t>SELLOS CORTAFUEGO</t>
  </si>
  <si>
    <t>SELLO CORTAFUEGO (COT FIRESTOPPERS)</t>
  </si>
  <si>
    <t>COLOCACION DE SELLO CF MAPEPUR MUROS -ESPUMA LA CASA</t>
  </si>
  <si>
    <t>SELLADO P-20 (DUCTO IIEE)  (1.76 x 2.00 M)</t>
  </si>
  <si>
    <t>SELLADO P-16 (DUCTO IIEE)  (1.38x 2.00 M)</t>
  </si>
  <si>
    <t>SELLADO P-17 (DUCTO IIEE)  (1.36 x 2.00 M)</t>
  </si>
  <si>
    <t>SELLADO P-12 (DUCTO IIEE)  (1.35x 2.00 M)</t>
  </si>
  <si>
    <t>SELLADO P-14 (DUCTO IIEE)  (1.36 x 2.00 M)</t>
  </si>
  <si>
    <t>SELLADO P-15 (DUCTO IIEE)  (1.08x 2.00 M)</t>
  </si>
  <si>
    <t>SELLADO P-21 (DUCTO IIEE)  (0.85 x 2.00 M)</t>
  </si>
  <si>
    <t>SELLADO P-13 (DUCTO IIEE)  (0.87 x 2.00 M)</t>
  </si>
  <si>
    <t>SELLADO P-GAS - NO SE INC (SE CONSIDERA MALLA METALICA EN CARPINTERIA METALICA)</t>
  </si>
  <si>
    <t>NUMERACIONES EN TORRE</t>
  </si>
  <si>
    <t>NUMERACIÓN DE PISOS EN ACERO INOXIDABLE</t>
  </si>
  <si>
    <t>NUMERACIÓN DE DPTOS  EN ACERO INOXIDABLE</t>
  </si>
  <si>
    <t>NUMERACIÓN DE FACHADA CON LETRAS DE ACERO INOXIDABLE (INGRESO PRINCIPAL)</t>
  </si>
  <si>
    <t>RESANES // TODISTAS</t>
  </si>
  <si>
    <t xml:space="preserve">                                                                </t>
  </si>
  <si>
    <t>PRECIO</t>
  </si>
  <si>
    <t>ASCENSORES</t>
  </si>
  <si>
    <t>OBRAS CIVILES</t>
  </si>
  <si>
    <t>OBRAS CIVILES PARA LA COLOCACIÓN DE ASCENSOR</t>
  </si>
  <si>
    <t>ESTRUCTURAS (DINTELES METÁLICOS/COLUMNAS METÁLICAS) - INCLUIDAS EN COTI ASCENSOR</t>
  </si>
  <si>
    <t>INSTALACIONES SANITARIAS</t>
  </si>
  <si>
    <t>T.C</t>
  </si>
  <si>
    <t>PARDO 669</t>
  </si>
  <si>
    <t>: V&amp;V Bravo S.A.C</t>
  </si>
  <si>
    <t>Costo al</t>
  </si>
  <si>
    <t>P.U (S/.)</t>
  </si>
  <si>
    <t>P.U ($.)</t>
  </si>
  <si>
    <t>PARCIAL (S/.)</t>
  </si>
  <si>
    <t>PARCIAL ($)</t>
  </si>
  <si>
    <t>01.01</t>
  </si>
  <si>
    <t>SISTEMA DE AGUA FRÍA</t>
  </si>
  <si>
    <t>01.01.01</t>
  </si>
  <si>
    <t xml:space="preserve">    SALIDAS DE AGUA FRIA (EN POLIPROPILENO)</t>
  </si>
  <si>
    <t>01.01.01.01</t>
  </si>
  <si>
    <t xml:space="preserve">        SALIDA AGUA FRIA PPR 20mm (Ø1/2")</t>
  </si>
  <si>
    <t>pto</t>
  </si>
  <si>
    <t>01.01.01.02</t>
  </si>
  <si>
    <t xml:space="preserve">        SALIDA AGUA FRIA PPR 25mm(3/4")</t>
  </si>
  <si>
    <t>01.01.01.03</t>
  </si>
  <si>
    <t xml:space="preserve">        SALIDA AGUA FRIA PPR 50mm(1.1/2")</t>
  </si>
  <si>
    <t>01.01.02</t>
  </si>
  <si>
    <t xml:space="preserve">    REDES DE DISTRIBUCION DE AGUA (EN POLIPROPILENO)</t>
  </si>
  <si>
    <t>01.01.02.01</t>
  </si>
  <si>
    <t xml:space="preserve">        TUBERIA PPR PN-10 EMPOTRADA DE 1/2"</t>
  </si>
  <si>
    <t>01.01.02.02</t>
  </si>
  <si>
    <t xml:space="preserve">        TUBERIA PPR PN-10 EMPOTRADA DE 3/4"</t>
  </si>
  <si>
    <t>01.01.02.03</t>
  </si>
  <si>
    <t xml:space="preserve">        TUBERIA PPR PN-10 EMPOTRADA DE 1"</t>
  </si>
  <si>
    <t>01.01.02.04</t>
  </si>
  <si>
    <t xml:space="preserve">        TUBERIA PPR PN-10 EMPOTRADA DE 1.1/4"</t>
  </si>
  <si>
    <t>01.01.02.05</t>
  </si>
  <si>
    <t xml:space="preserve">        TUBERIA PPR PN-10 EMPOTRADA DE 1.1/2"</t>
  </si>
  <si>
    <t>01.01.02.07</t>
  </si>
  <si>
    <t xml:space="preserve">        TUBERIA PPR PN-10 COLGADA DE 1/2"</t>
  </si>
  <si>
    <t>01.01.02.08</t>
  </si>
  <si>
    <t xml:space="preserve">        TUBERIA PPR PN-10 COLGADA DE 3/4"</t>
  </si>
  <si>
    <t>01.01.02.09</t>
  </si>
  <si>
    <t xml:space="preserve">        TUBERIA PPR PN-10 COLGADA DE 1"</t>
  </si>
  <si>
    <t>01.01.02.10</t>
  </si>
  <si>
    <t xml:space="preserve">        TUBERIA PPR PN-10 COLGADA DE 1.1/2"</t>
  </si>
  <si>
    <t>01.01.02.11</t>
  </si>
  <si>
    <t xml:space="preserve">        TUBERIA PPR PN-10 COLGADA DE 2"</t>
  </si>
  <si>
    <t>01.01.02.12</t>
  </si>
  <si>
    <t xml:space="preserve">        TUBERIA PPR PN-10 COLGADA DE 2 1/2"</t>
  </si>
  <si>
    <t>01.01.02.13</t>
  </si>
  <si>
    <t xml:space="preserve">        TUBERIA PPR PN-10 COLGADA DE 3"</t>
  </si>
  <si>
    <t>01.01.03</t>
  </si>
  <si>
    <t xml:space="preserve">    MONTANTE DE AGUA FRIA (EN POLIPROPILENO)</t>
  </si>
  <si>
    <t>01.01.03.01</t>
  </si>
  <si>
    <t xml:space="preserve">        TUBERIA PPR PN-10 ADOSADA DE 1.1/2"</t>
  </si>
  <si>
    <t>01.01.03.02</t>
  </si>
  <si>
    <t xml:space="preserve">        TUBERIA PPR PN-10 ADOSADA DE 2"</t>
  </si>
  <si>
    <t>01.01.03.03</t>
  </si>
  <si>
    <t xml:space="preserve">        TUBERIA PPR PN-10 ADOSADA DE 2.1/2"</t>
  </si>
  <si>
    <t>01.01.03.04</t>
  </si>
  <si>
    <t xml:space="preserve">        TUBERIA PPR PN-10 ADOSADA DE 3"</t>
  </si>
  <si>
    <t>01.01.03.05</t>
  </si>
  <si>
    <t xml:space="preserve">        TUBERIA PPR PN-10 ADOSADA DE 4"</t>
  </si>
  <si>
    <t>01.01.04</t>
  </si>
  <si>
    <t xml:space="preserve">    LLAVES Y VALVULAS - RED DE DESTRIBUCION (SIST. POLIPROPILENO)</t>
  </si>
  <si>
    <t>01.01.04.01</t>
  </si>
  <si>
    <t xml:space="preserve">        LLAVE DE PASO SIST. POLIPROPILENO 20mm (1/2")</t>
  </si>
  <si>
    <t>01.01.04.02</t>
  </si>
  <si>
    <t xml:space="preserve">        LLAVE DE PASO SIST. POLIPROPILENO 25mm (3/4")</t>
  </si>
  <si>
    <t>01.01.04.03</t>
  </si>
  <si>
    <t xml:space="preserve">        LLAVE DE PASO SIST. POLIPROPILENO 32mm (1")</t>
  </si>
  <si>
    <t>01.01.04.05</t>
  </si>
  <si>
    <t xml:space="preserve">        LLAVE DE PASO SIST. POLIPROPILENO (1.1/2")</t>
  </si>
  <si>
    <t>01.01.04.06</t>
  </si>
  <si>
    <t xml:space="preserve">        LLAVE DE PASO SIST. POLIPROPILENO 63mm (2")</t>
  </si>
  <si>
    <t>01.01.04.07</t>
  </si>
  <si>
    <t xml:space="preserve">        VALVULA DE AIRE EN MONTANTE</t>
  </si>
  <si>
    <t>01.01.05</t>
  </si>
  <si>
    <t xml:space="preserve">    PRUEBAS HIDRAULICAS</t>
  </si>
  <si>
    <t>01.01.05.01</t>
  </si>
  <si>
    <t xml:space="preserve">        PRUEBA HIDRAULICA PARA AGUA FRIA</t>
  </si>
  <si>
    <t>01.01.05.02</t>
  </si>
  <si>
    <t xml:space="preserve">        LIMPIEZA Y DESINFECCION DE TUBERIAS  AGUA FRIA</t>
  </si>
  <si>
    <t>01.01.05.03</t>
  </si>
  <si>
    <t xml:space="preserve">        LIMPIEZA Y DESINFECCION DE CISTERNAS</t>
  </si>
  <si>
    <t>01.01.06</t>
  </si>
  <si>
    <t xml:space="preserve">    VARIOS</t>
  </si>
  <si>
    <t>01.01.06.01</t>
  </si>
  <si>
    <t xml:space="preserve">        MEDIDOR DE AGUA DE 3/4" (INC. BATERIA)</t>
  </si>
  <si>
    <t>01.01.06.02</t>
  </si>
  <si>
    <t xml:space="preserve">        MEDIDOR DE AGUA DE 1" (INC. BATERIA)</t>
  </si>
  <si>
    <t>01.01.06.04</t>
  </si>
  <si>
    <t xml:space="preserve">        GRIFO DE RIEGO 1/2"</t>
  </si>
  <si>
    <t>01.01.07</t>
  </si>
  <si>
    <t xml:space="preserve">    CUARTO DE BOMBAS</t>
  </si>
  <si>
    <t>01.01.07.01</t>
  </si>
  <si>
    <t xml:space="preserve">        BRIDA ROMPEAGUA 2.1/2"</t>
  </si>
  <si>
    <t>01.01.07.02</t>
  </si>
  <si>
    <t xml:space="preserve">        BRIDA ROMPEAGUA 6"</t>
  </si>
  <si>
    <t>01.01.07.03</t>
  </si>
  <si>
    <t xml:space="preserve">        VALVULA FLOTADORA DE 2"</t>
  </si>
  <si>
    <t>01.01.07.04</t>
  </si>
  <si>
    <t xml:space="preserve">        VALVULA COMPUERTADE 2"</t>
  </si>
  <si>
    <t>01.02</t>
  </si>
  <si>
    <t>SISTEMA DE CASCADA DE AGUA</t>
  </si>
  <si>
    <t>01.02.01</t>
  </si>
  <si>
    <t xml:space="preserve">    INSTALACIONES DE AGUA</t>
  </si>
  <si>
    <t>01.02.01.01</t>
  </si>
  <si>
    <t>01.02.01.02</t>
  </si>
  <si>
    <t>01.02.01.03</t>
  </si>
  <si>
    <t>01.02.01.04</t>
  </si>
  <si>
    <t xml:space="preserve">        VALVULA CHECK DE 2"</t>
  </si>
  <si>
    <t>01.02.02</t>
  </si>
  <si>
    <t xml:space="preserve">    INSTALACIONES DE DESAGUE</t>
  </si>
  <si>
    <t>01.02.02.01</t>
  </si>
  <si>
    <t xml:space="preserve">        SALIDA DESAGUE DE PVC SAP 3"</t>
  </si>
  <si>
    <t>01.02.02.02</t>
  </si>
  <si>
    <t xml:space="preserve">        TUBERIA PVC SAP EMPOTRADA DE 2"</t>
  </si>
  <si>
    <t>01.02.02.03</t>
  </si>
  <si>
    <t xml:space="preserve">        TUBERIA PVC SAP EMPOTRADA DE 3"</t>
  </si>
  <si>
    <t>01.02.02.04</t>
  </si>
  <si>
    <t xml:space="preserve">        SUMIDERO DE BRONCE, Ø3"</t>
  </si>
  <si>
    <t>01.03</t>
  </si>
  <si>
    <t>SISTEMA DE AGUA CALIENTE</t>
  </si>
  <si>
    <t>01.03.01</t>
  </si>
  <si>
    <t xml:space="preserve">    SALIDAS DE AGUA CALIENTE (EN POLIPROPILENO)</t>
  </si>
  <si>
    <t>01.03.01.01</t>
  </si>
  <si>
    <t xml:space="preserve">        SALIDA AGUA CALIENTE PPR 20mm (Ø1/2")</t>
  </si>
  <si>
    <t>01.03.01.02</t>
  </si>
  <si>
    <t xml:space="preserve">        SALIDA AGUA CALIENTE PPR 25mm (Ø3/4")</t>
  </si>
  <si>
    <t>01.03.02</t>
  </si>
  <si>
    <t xml:space="preserve">    REDES DE DISTRIBUCION DE AGUA CALIENTE (EN POLIPROPILENO)</t>
  </si>
  <si>
    <t>01.03.02.01</t>
  </si>
  <si>
    <t xml:space="preserve">        TUBERIA PPR PN-16 EMPOTRADA DE 1/2"</t>
  </si>
  <si>
    <t>01.03.02.02</t>
  </si>
  <si>
    <t xml:space="preserve">        TUBERIA PPR PN-16 EMPOTRADA DE 3/4"</t>
  </si>
  <si>
    <t>01.03.03</t>
  </si>
  <si>
    <t>01.03.03.01</t>
  </si>
  <si>
    <t>01.03.03.02</t>
  </si>
  <si>
    <t>01.03.04</t>
  </si>
  <si>
    <t>01.03.04.01</t>
  </si>
  <si>
    <t xml:space="preserve">        PRUEBA HIDRAULICA PARA AGUA CALIENTE Y DESINFECCION</t>
  </si>
  <si>
    <t>SISTEMA DE DESAGUE</t>
  </si>
  <si>
    <t xml:space="preserve">    SALIDAS DE DRENAJE, DESAGUE Y VENTILACION</t>
  </si>
  <si>
    <t>01.04.01.01</t>
  </si>
  <si>
    <t xml:space="preserve">        SALIDA DESAGUE DE PVC SAP 2"</t>
  </si>
  <si>
    <t>01.04.01.02</t>
  </si>
  <si>
    <t xml:space="preserve">        SALIDA DESAGUE DE PVC SAP 2" (SUMIDEROS Y REGISTROS)</t>
  </si>
  <si>
    <t>01.04.01.03</t>
  </si>
  <si>
    <t xml:space="preserve">        SALIDA DESAGUE DE PVC SAP 2" - AIRE ACONDICIONADO</t>
  </si>
  <si>
    <t>01.04.01.04</t>
  </si>
  <si>
    <t>01.04.01.05</t>
  </si>
  <si>
    <t xml:space="preserve">        SALIDA DESAGUE DE PVC SAP 4"</t>
  </si>
  <si>
    <t>01.04.01.06</t>
  </si>
  <si>
    <t xml:space="preserve">        SALIDA DESAGUE DE PVC SAP 6"</t>
  </si>
  <si>
    <t>01.04.01.07</t>
  </si>
  <si>
    <t xml:space="preserve">        SALIDA VENTILACION DE PVC SAP 2"</t>
  </si>
  <si>
    <t>01.04.02</t>
  </si>
  <si>
    <t xml:space="preserve">    REDES DE DESAGUE Y DRENAJE</t>
  </si>
  <si>
    <t>01.04.02.01</t>
  </si>
  <si>
    <t>01.04.02.02</t>
  </si>
  <si>
    <t>01.04.02.03</t>
  </si>
  <si>
    <t xml:space="preserve">        TUBERIA PVC SAP EMPOTRADA DE 4"</t>
  </si>
  <si>
    <t>01.04.02.04</t>
  </si>
  <si>
    <t xml:space="preserve">        TUBERIA VENTILACION PVC SAL EMPOTRADA DE 2"</t>
  </si>
  <si>
    <t>01.04.02.05</t>
  </si>
  <si>
    <t xml:space="preserve">        TUBERIA VENTILACION PVC SAL EMPOTRADA DE 3"</t>
  </si>
  <si>
    <t>01.04.02.06</t>
  </si>
  <si>
    <t xml:space="preserve">        TUBERIA VENTILACION PVC SAL EMPOTRADA DE 4"</t>
  </si>
  <si>
    <t>01.04.03</t>
  </si>
  <si>
    <t xml:space="preserve">    REDES ENTERRADAS</t>
  </si>
  <si>
    <t>01.04.03.01</t>
  </si>
  <si>
    <t xml:space="preserve">        TUBERIA PVC SAP DE 3"</t>
  </si>
  <si>
    <t>01.04.03.02</t>
  </si>
  <si>
    <t xml:space="preserve">        TUBERIA PVC SAP DE 4"</t>
  </si>
  <si>
    <t>01.04.03.03</t>
  </si>
  <si>
    <t xml:space="preserve">        TUBERIA PVC SAP DE 6"</t>
  </si>
  <si>
    <t>01.04.03.04</t>
  </si>
  <si>
    <t xml:space="preserve">        TRAZO Y REPLANTEO PARA IISS</t>
  </si>
  <si>
    <t>01.04.03.05</t>
  </si>
  <si>
    <t xml:space="preserve">        EXCAVACIÓN DE ZANJA  -COLOCACIÓN DE TUBERÍA</t>
  </si>
  <si>
    <t>01.04.03.06</t>
  </si>
  <si>
    <t xml:space="preserve">        CAMA DE ARENA</t>
  </si>
  <si>
    <t>01.04.03.07</t>
  </si>
  <si>
    <t xml:space="preserve">        RELLENO COMPACTADO CON MATERIAL PROPIO</t>
  </si>
  <si>
    <t>01.04.03.08</t>
  </si>
  <si>
    <t xml:space="preserve">        ACARREO DE DESMONTE A PUNTO DE ACOPIO (D=30m.)</t>
  </si>
  <si>
    <t>01.04.04</t>
  </si>
  <si>
    <t xml:space="preserve">    REDES COLGADAS (INC. ACCESORIOS)</t>
  </si>
  <si>
    <t>01.04.04.01</t>
  </si>
  <si>
    <t xml:space="preserve">        TUBERIA PVC SAP COLGADA DE 2"</t>
  </si>
  <si>
    <t>01.04.04.02</t>
  </si>
  <si>
    <t xml:space="preserve">        TUBERIA PVC SAP COLGADA DE 3"</t>
  </si>
  <si>
    <t>01.04.04.03</t>
  </si>
  <si>
    <t xml:space="preserve">        TUBERIA PVC SAP COLGADA DE 4"</t>
  </si>
  <si>
    <t>01.04.04.04</t>
  </si>
  <si>
    <t xml:space="preserve">        TUBERIA PVC SAP COLGADA DE 6"</t>
  </si>
  <si>
    <t>01.04.04.05</t>
  </si>
  <si>
    <t xml:space="preserve">        TUBERIA PPR PN-10 COLGADA DE 3" IMPULSION</t>
  </si>
  <si>
    <t>01.04.04.06</t>
  </si>
  <si>
    <t xml:space="preserve">        REGISTRO COLGADO TIPO DADO, Ø2"</t>
  </si>
  <si>
    <t>01.04.04.07</t>
  </si>
  <si>
    <t xml:space="preserve">        REGISTRO COLGADO TIPO DADO, Ø3"</t>
  </si>
  <si>
    <t>01.04.04.08</t>
  </si>
  <si>
    <t xml:space="preserve">        REGISTRO COLGADO TIPO DADO, Ø4"</t>
  </si>
  <si>
    <t>01.04.04.09</t>
  </si>
  <si>
    <t xml:space="preserve">        REGISTRO COLGADO TIPO DADO, Ø6"</t>
  </si>
  <si>
    <t>01.04.04.10</t>
  </si>
  <si>
    <t xml:space="preserve">        PASES EN VIGA DE 3"</t>
  </si>
  <si>
    <t>01.04.04.11</t>
  </si>
  <si>
    <t xml:space="preserve">        PASES EN VIGA DE 4"</t>
  </si>
  <si>
    <t>01.04.05</t>
  </si>
  <si>
    <t xml:space="preserve">    MONTANTES DE DESAGUE Y VENTILACION</t>
  </si>
  <si>
    <t>01.04.05.01</t>
  </si>
  <si>
    <t xml:space="preserve">        MONTANTE DE VENTILACION PVC, Ø2"</t>
  </si>
  <si>
    <t>01.04.05.02</t>
  </si>
  <si>
    <t xml:space="preserve">        MONTANTE DE VENTILACION PVC, Ø3"</t>
  </si>
  <si>
    <t>01.04.05.03</t>
  </si>
  <si>
    <t xml:space="preserve">        MONTANTE DE VENTILACION PVC, Ø4"</t>
  </si>
  <si>
    <t>01.04.05.04</t>
  </si>
  <si>
    <t xml:space="preserve">        MONTANTE DE DESAGUE PVC, Ø2"</t>
  </si>
  <si>
    <t>01.04.05.05</t>
  </si>
  <si>
    <t xml:space="preserve">        MONTANTE DE DESAGUE PVC, Ø3"</t>
  </si>
  <si>
    <t>01.04.05.06</t>
  </si>
  <si>
    <t xml:space="preserve">        MONTANTE DE DESAGUE PVC, Ø4"</t>
  </si>
  <si>
    <t>01.04.05.07</t>
  </si>
  <si>
    <t xml:space="preserve">        SOMBRERO DE VENTILACION 2"</t>
  </si>
  <si>
    <t>01.04.05.08</t>
  </si>
  <si>
    <t xml:space="preserve">        SOMBRERO DE VENTILACION 3"</t>
  </si>
  <si>
    <t>01.04.05.09</t>
  </si>
  <si>
    <t xml:space="preserve">        SOMBRERO DE VENTILACION 4"</t>
  </si>
  <si>
    <t>01.04.06</t>
  </si>
  <si>
    <t xml:space="preserve">    SUMIDEROS Y REGISTROS</t>
  </si>
  <si>
    <t>01.04.06.01</t>
  </si>
  <si>
    <t xml:space="preserve">        REGISTRO ROSCADO DE BRONCE, Ø2"</t>
  </si>
  <si>
    <t>01.04.06.02</t>
  </si>
  <si>
    <t xml:space="preserve">        REGISTRO ROSCADO DE BRONCE, Ø3"</t>
  </si>
  <si>
    <t>01.04.06.03</t>
  </si>
  <si>
    <t xml:space="preserve">        REGISTRO ROSCADO DE BRONCE, Ø4"</t>
  </si>
  <si>
    <t>01.04.06.04</t>
  </si>
  <si>
    <t xml:space="preserve">        REGISTRO ROSCADO DE BRONCE, Ø6"</t>
  </si>
  <si>
    <t>01.04.06.05</t>
  </si>
  <si>
    <t xml:space="preserve">        SUMIDERO DE BRONCE, Ø2"</t>
  </si>
  <si>
    <t>01.04.06.06</t>
  </si>
  <si>
    <t>01.04.06.07</t>
  </si>
  <si>
    <t xml:space="preserve">        SUMIDERO DE BRONCE, Ø6"</t>
  </si>
  <si>
    <t>01.04.07</t>
  </si>
  <si>
    <t>01.04.07.01</t>
  </si>
  <si>
    <t xml:space="preserve">        PINTURA EN TUBERIAS DE INSTALACIONES</t>
  </si>
  <si>
    <t>01.04.07.02</t>
  </si>
  <si>
    <t xml:space="preserve">        PRUEBA HIDRAULICA PARA TUBERIAS DESAGUE</t>
  </si>
  <si>
    <t>01.04.07.03</t>
  </si>
  <si>
    <t xml:space="preserve">        EMPALME A RED PUBLICA DE AGUA Y DESAGUE</t>
  </si>
  <si>
    <t>01.04.07.04</t>
  </si>
  <si>
    <t xml:space="preserve">        CAJAS DE REGISTRO DE DESAGUE 12" x 24"</t>
  </si>
  <si>
    <t>01.04.07.06</t>
  </si>
  <si>
    <t xml:space="preserve">        CAJAS DE REGISTRO DE DESAGUE 24" x 24"</t>
  </si>
  <si>
    <t>01.04.07.07</t>
  </si>
  <si>
    <t xml:space="preserve">        VALVULA ANTIRRETORNO</t>
  </si>
  <si>
    <t>01.04.08</t>
  </si>
  <si>
    <t xml:space="preserve">    INSTALACION DE APARATOS SANITARIOS</t>
  </si>
  <si>
    <t>01.04.08.01</t>
  </si>
  <si>
    <t xml:space="preserve">        INSTALACION DE INODORO</t>
  </si>
  <si>
    <t>01.04.08.02</t>
  </si>
  <si>
    <t xml:space="preserve">        INSTALACION DE URINARIO</t>
  </si>
  <si>
    <t>01.04.08.03</t>
  </si>
  <si>
    <t xml:space="preserve">        INSTALACION DE DUCHAS (MEZCLADORA)</t>
  </si>
  <si>
    <t>01.04.08.04</t>
  </si>
  <si>
    <t xml:space="preserve">        INSTALACION DE LAVADEROS Y OVALINES (INC. GRIFERIA)</t>
  </si>
  <si>
    <t>INSTALACIONES ELECTRICAS</t>
  </si>
  <si>
    <t>SISTEMA DE ALUMBRADO</t>
  </si>
  <si>
    <t xml:space="preserve">    SALIDAS DE ALUMBRADO</t>
  </si>
  <si>
    <t xml:space="preserve">        SALIDA PARA LUMINARIA EN TECHO</t>
  </si>
  <si>
    <t xml:space="preserve">        SALIDA PARA LUMINARIA DE EMERGENCIA</t>
  </si>
  <si>
    <t xml:space="preserve">        SALIDA PARA LUMINARIA HERMETICA/FLUORESCENTE</t>
  </si>
  <si>
    <t>01.01.01.04</t>
  </si>
  <si>
    <t xml:space="preserve">        SALIDA PARA LUMINARIA TIPO ESTACA</t>
  </si>
  <si>
    <t>01.01.01.05</t>
  </si>
  <si>
    <t xml:space="preserve">        SALIDA PARA EXTRACTOR EN BAÑOS/DEPOSITOS</t>
  </si>
  <si>
    <t>01.01.01.06</t>
  </si>
  <si>
    <t xml:space="preserve">        SALIDA PARA BRAQUETTE</t>
  </si>
  <si>
    <t>01.01.01.07</t>
  </si>
  <si>
    <t xml:space="preserve">        SALIDA PARA CINTA LED</t>
  </si>
  <si>
    <t xml:space="preserve">    SALIDAS DE INTERRUPTORES</t>
  </si>
  <si>
    <t xml:space="preserve">        SALIDA PARA INTERRUPTOR SIMPLE</t>
  </si>
  <si>
    <t xml:space="preserve">        SALIDA PARA INTERRUPTOR DOBLE</t>
  </si>
  <si>
    <t xml:space="preserve">        SALIDA PARA INTERRUPTOR TRIPLE</t>
  </si>
  <si>
    <t xml:space="preserve">        SALIDA PARA INTERRUPTOR DE CONMUTACION SIMPLE</t>
  </si>
  <si>
    <t>TABLEROS ELECTRICOS</t>
  </si>
  <si>
    <t xml:space="preserve">    SUMINISTRO E INSTALACION DE TABLEROS ELÉCTRICOS</t>
  </si>
  <si>
    <t xml:space="preserve">        SUMINISTRO E INSTALACION DE TABLERO TG-N</t>
  </si>
  <si>
    <t xml:space="preserve">        SUMINISTRO E INSTALACION DE TABLERO TTA</t>
  </si>
  <si>
    <t xml:space="preserve">        SUMINISTRO E INSTALACION DE TABLERO TG-E</t>
  </si>
  <si>
    <t xml:space="preserve">        SUMINISTRO E INSTALACION DE TABLERO T-BCI</t>
  </si>
  <si>
    <t>01.02.01.05</t>
  </si>
  <si>
    <t xml:space="preserve">        SUMINISTRO E INSTALACION DE TABLERO TN-S1al6</t>
  </si>
  <si>
    <t>01.02.01.06</t>
  </si>
  <si>
    <t xml:space="preserve">        SUMINISTRO E INSTALACION DE TABLERO TN-P1.1</t>
  </si>
  <si>
    <t>01.02.01.07</t>
  </si>
  <si>
    <t xml:space="preserve">        SUMINISTRO E INSTALACION DE TABLERO TN-P1.2</t>
  </si>
  <si>
    <t>01.02.01.08</t>
  </si>
  <si>
    <t xml:space="preserve">        SUMINISTRO E INSTALACION DE TABLERO TN-AZ</t>
  </si>
  <si>
    <t>01.02.01.09</t>
  </si>
  <si>
    <t xml:space="preserve">        SUMINISTRO E INSTALACION DE TABLERO TE-S1</t>
  </si>
  <si>
    <t>01.02.01.10</t>
  </si>
  <si>
    <t xml:space="preserve">        SUMINISTRO E INSTALACION DE TABLERO TE-P12.1</t>
  </si>
  <si>
    <t>01.02.01.11</t>
  </si>
  <si>
    <t xml:space="preserve">        SUMINISTRO E INSTALACION DE TABLERO TE-P11.2</t>
  </si>
  <si>
    <t>01.02.01.12</t>
  </si>
  <si>
    <t xml:space="preserve">        SUMINISTRO E INSTALACION DE TABLERO TN-TE</t>
  </si>
  <si>
    <t>01.02.01.13</t>
  </si>
  <si>
    <t xml:space="preserve">        SUMINISTRO E INSTALACION DE TABLERO TN-GOU</t>
  </si>
  <si>
    <t>01.02.01.14</t>
  </si>
  <si>
    <t xml:space="preserve">        SUMINISTRO E INSTALACION DE TABLERO TN-TC</t>
  </si>
  <si>
    <t>01.02.01.15</t>
  </si>
  <si>
    <t xml:space="preserve">        SUMINISTRO E INSTALACION DE TABLERO T-COW</t>
  </si>
  <si>
    <t>01.02.01.16</t>
  </si>
  <si>
    <t xml:space="preserve">        SUMINISTRO E INSTALACION DE TABLERO T-GYM</t>
  </si>
  <si>
    <t>01.02.01.17</t>
  </si>
  <si>
    <t xml:space="preserve">        SUMINISTRO E INSTALACION DE TABLERO TE-P2.2</t>
  </si>
  <si>
    <t>01.02.01.18</t>
  </si>
  <si>
    <t xml:space="preserve">        SUMINISTRO E INSTALACION DE TABLERO TE-P2.1</t>
  </si>
  <si>
    <t>01.02.01.19</t>
  </si>
  <si>
    <t xml:space="preserve">        SUMINISTRO E INSTALACION DE TABLERO T-LAV</t>
  </si>
  <si>
    <t>01.02.01.20</t>
  </si>
  <si>
    <t xml:space="preserve">        SUMINISTRO E INSTALACION DE TABLERO TG-BA</t>
  </si>
  <si>
    <t>01.02.01.21</t>
  </si>
  <si>
    <t xml:space="preserve">        SUMINISTRO E INSTALACION DE TABLERO T-GEL</t>
  </si>
  <si>
    <t>01.02.01.22</t>
  </si>
  <si>
    <t xml:space="preserve">        SUMINISTRO E INSTALACION DE TABLERO T-D2</t>
  </si>
  <si>
    <t>01.02.01.23</t>
  </si>
  <si>
    <t xml:space="preserve">        SUMINISTRO E INSTALACION DE TABLERO T-D1</t>
  </si>
  <si>
    <t>SALIDAS DE FUERZA Y ALIMENTADORES</t>
  </si>
  <si>
    <t xml:space="preserve">    SALIDAS DE TOMACORRIENTE Y SALIDAS DE FUERZA</t>
  </si>
  <si>
    <t xml:space="preserve">        SALIDA PARA TOMACORRIENTE BIPOLAR DOBLE CON ESPIGA A TIERRA</t>
  </si>
  <si>
    <t xml:space="preserve">        SALIDA PARA TOMACORRIENTE A PRUEBA DE AGUA</t>
  </si>
  <si>
    <t>01.03.01.03</t>
  </si>
  <si>
    <t xml:space="preserve">        SALIDA PARA TOMACORRIENTE  LAVADORA</t>
  </si>
  <si>
    <t>01.03.01.04</t>
  </si>
  <si>
    <t xml:space="preserve">        SALIDA PARA COCINA ELECTRICA</t>
  </si>
  <si>
    <t>01.03.01.05</t>
  </si>
  <si>
    <t xml:space="preserve">        SALIDA PARA HORNO ELECTRICO</t>
  </si>
  <si>
    <t>01.03.01.06</t>
  </si>
  <si>
    <t xml:space="preserve">        SALIDA PARA THERMA ELECTRICA</t>
  </si>
  <si>
    <t>01.03.01.07</t>
  </si>
  <si>
    <t xml:space="preserve">        SALIDA PARA INTERRUPTOR TERMOMAGNETICO 2X20A</t>
  </si>
  <si>
    <t>01.03.01.08</t>
  </si>
  <si>
    <t xml:space="preserve">        SALIDA PARA EXTRACTOR EN COCINA</t>
  </si>
  <si>
    <t>01.03.01.09</t>
  </si>
  <si>
    <t xml:space="preserve">        SALIDA PARA TIMBRE</t>
  </si>
  <si>
    <t>01.03.01.10</t>
  </si>
  <si>
    <t xml:space="preserve">        SALIDA PARA PULSADOR DE TIMBRE</t>
  </si>
  <si>
    <t>01.03.01.12</t>
  </si>
  <si>
    <t xml:space="preserve">        SALIDA PARA AIRE ACONDICIONADO</t>
  </si>
  <si>
    <t>01.03.01.13</t>
  </si>
  <si>
    <t xml:space="preserve">        SALIDA DE FUERZA PARA PUERTA ENROLLABLE</t>
  </si>
  <si>
    <t>01.03.01.14</t>
  </si>
  <si>
    <t xml:space="preserve">        SALIDA DE FUERZA PARA CARG. BATERIAS/CALENTADOR/RESIT. HUMD.</t>
  </si>
  <si>
    <t>01.03.01.15</t>
  </si>
  <si>
    <t xml:space="preserve">        SALIDA DE FUERZA PARA BOMBAS SUMIDERO</t>
  </si>
  <si>
    <t>01.03.01.16</t>
  </si>
  <si>
    <t xml:space="preserve">        SALIDA DE FUERZA PARA BOMBAS DE AGUA</t>
  </si>
  <si>
    <t>01.03.01.17</t>
  </si>
  <si>
    <t xml:space="preserve">        SALIDA DE FUERZA PARA BOMBA JOCKEY</t>
  </si>
  <si>
    <t>01.03.01.18</t>
  </si>
  <si>
    <t xml:space="preserve">        SALIDA DE FUERZA PARA BOMBA ACI</t>
  </si>
  <si>
    <t>01.03.01.19</t>
  </si>
  <si>
    <t xml:space="preserve">        SALIDA PARA CONTROL DE NIVEL</t>
  </si>
  <si>
    <t>01.03.01.20</t>
  </si>
  <si>
    <t xml:space="preserve">        SALIDA DE FUERZA PARA JET FAN</t>
  </si>
  <si>
    <t>01.03.01.21</t>
  </si>
  <si>
    <t xml:space="preserve">        SALIDA DE FUERZA PARA EC/VA/VC</t>
  </si>
  <si>
    <t>01.03.01.22</t>
  </si>
  <si>
    <t xml:space="preserve">        SALIDA DE FUERZA PARA IA</t>
  </si>
  <si>
    <t>01.03.01.23</t>
  </si>
  <si>
    <t xml:space="preserve">        SALIDA DE FUERZA PARA EA-VA</t>
  </si>
  <si>
    <t>01.03.01.24</t>
  </si>
  <si>
    <t xml:space="preserve">        SALIDA DE FUERZA PARA BOMBA PISCINA</t>
  </si>
  <si>
    <t>01.03.01.25</t>
  </si>
  <si>
    <t xml:space="preserve">        SALIDA DE FUERZA PARA EQUIPOS DE VENTILACION EN TECHO</t>
  </si>
  <si>
    <t xml:space="preserve">    SUMINISTRO E INSTALACION DE ALIMENTADORES ELECTRICOS</t>
  </si>
  <si>
    <t xml:space="preserve">        ALIMENTADORES EN AREAS COMUNES</t>
  </si>
  <si>
    <t>01.03.02.01.01</t>
  </si>
  <si>
    <t xml:space="preserve">            2(3-1x240mm²N2XOH)</t>
  </si>
  <si>
    <t>01.03.02.01.02</t>
  </si>
  <si>
    <t xml:space="preserve">            2(3-1x150mm²N2XOH)+1x70mm²/T</t>
  </si>
  <si>
    <t>01.03.02.01.03</t>
  </si>
  <si>
    <t xml:space="preserve">            2x(3-1x240mm2 N2X0H) + 95mm2/T</t>
  </si>
  <si>
    <t>01.03.02.01.04</t>
  </si>
  <si>
    <t xml:space="preserve">            3-1x95mm²N2XOH+1x35mm²/T</t>
  </si>
  <si>
    <t>01.03.02.01.05</t>
  </si>
  <si>
    <t xml:space="preserve">            3-1x50mm²N2XOH+1x16mm²/T</t>
  </si>
  <si>
    <t>01.03.02.01.06</t>
  </si>
  <si>
    <t xml:space="preserve">            3-1x35mm2 N2XOH  + 16mm2/T</t>
  </si>
  <si>
    <t>01.03.02.01.07</t>
  </si>
  <si>
    <t xml:space="preserve">            3-1x25mm²N2XOH+1x10mm²/T</t>
  </si>
  <si>
    <t>01.03.02.01.08</t>
  </si>
  <si>
    <t xml:space="preserve">            3-1x10mm²N2XOH+1x10mm²/T</t>
  </si>
  <si>
    <t>01.03.02.01.09</t>
  </si>
  <si>
    <t xml:space="preserve">            3-1x16mm²N2XOH+1x10mm²/T</t>
  </si>
  <si>
    <t>01.03.02.01.10</t>
  </si>
  <si>
    <t xml:space="preserve">            3-1x10mm²N2XOH+1x6mm²/T</t>
  </si>
  <si>
    <t>01.03.02.01.11</t>
  </si>
  <si>
    <t xml:space="preserve">            3-1x6mm²N2XOH+1x4mm²/T</t>
  </si>
  <si>
    <t xml:space="preserve">        ALIMENTADORES PARA DEPARTAMENTOS</t>
  </si>
  <si>
    <t>01.03.02.02.01</t>
  </si>
  <si>
    <t xml:space="preserve">            2-1x10mm2 LSOH-90</t>
  </si>
  <si>
    <t>01.03.02.02.02</t>
  </si>
  <si>
    <t xml:space="preserve">            2-1x16mm2 LSOH-90</t>
  </si>
  <si>
    <t>01.03.02.02.03</t>
  </si>
  <si>
    <t xml:space="preserve">            2-1x25mm2 LSOH-90</t>
  </si>
  <si>
    <t>01.03.02.02.04</t>
  </si>
  <si>
    <t xml:space="preserve">            2-1x35mm2 LSOH-90</t>
  </si>
  <si>
    <t>01.03.02.02.05</t>
  </si>
  <si>
    <t xml:space="preserve">            2-1x10mm2 LSOH-90+1x10mm2 LSOH-90(T)</t>
  </si>
  <si>
    <t>01.03.02.02.06</t>
  </si>
  <si>
    <t xml:space="preserve">            2-1x16mm2 LSOH-90+1x10mm2 LSOH-90(T)</t>
  </si>
  <si>
    <t>01.03.02.02.07</t>
  </si>
  <si>
    <t xml:space="preserve">            2-1x25mm2 LSOH-90+1x10mm2 LSOH-90(T)</t>
  </si>
  <si>
    <t>01.03.02.02.08</t>
  </si>
  <si>
    <t xml:space="preserve">            2-1x35mm2 LSOH-90+1x10mm2 LSOH-90(T)</t>
  </si>
  <si>
    <t xml:space="preserve">    CANALIZACION DE FUERZA Y ALIMENTADORES</t>
  </si>
  <si>
    <t xml:space="preserve">        TUBERIA ELECTRICA Ø65mm EMT</t>
  </si>
  <si>
    <t xml:space="preserve">        TUBERIA ELECTRICA Ø100mm EMT</t>
  </si>
  <si>
    <t>01.03.03.03</t>
  </si>
  <si>
    <t xml:space="preserve">        TUBERIA PVC-SAP ELECTRICA DE 20 mm</t>
  </si>
  <si>
    <t>01.03.03.04</t>
  </si>
  <si>
    <t xml:space="preserve">        TUBERIA PVC-SAP ELECTRICA DE 25 mm</t>
  </si>
  <si>
    <t>01.03.03.05</t>
  </si>
  <si>
    <t xml:space="preserve">        TUBERIA PVC-SAP ELECTRICA DE 35 mm</t>
  </si>
  <si>
    <t>01.03.03.06</t>
  </si>
  <si>
    <t xml:space="preserve">        TUBERIA PVC-SAP ELECTRICA DE 40 mm</t>
  </si>
  <si>
    <t>01.03.03.07</t>
  </si>
  <si>
    <t xml:space="preserve">        TUBERIA PVC-SAP ELECTRICA DE 50 mm</t>
  </si>
  <si>
    <t>01.03.03.08</t>
  </si>
  <si>
    <t xml:space="preserve">        TUBERIA PVC-SAP ELECTRICA DE 80 mm</t>
  </si>
  <si>
    <t>01.03.03.09</t>
  </si>
  <si>
    <t xml:space="preserve">        TUBERIA PVC-SAP ELECTRICA DE 100 mm</t>
  </si>
  <si>
    <t xml:space="preserve">    CAJAS DE PASE</t>
  </si>
  <si>
    <t xml:space="preserve">        CAJA DE PASE OCTOGONAL</t>
  </si>
  <si>
    <t>01.03.04.02</t>
  </si>
  <si>
    <t xml:space="preserve">        CAJA DE PASE 150X150X100mm</t>
  </si>
  <si>
    <t>01.03.04.03</t>
  </si>
  <si>
    <t xml:space="preserve">        CAJA DE PASE 200X200X100mm</t>
  </si>
  <si>
    <t>01.03.04.04</t>
  </si>
  <si>
    <t xml:space="preserve">        CAJA DE PASE 300X300X100mm</t>
  </si>
  <si>
    <t>01.03.04.05</t>
  </si>
  <si>
    <t xml:space="preserve">        CAJA DE PASE 400X400X200mm</t>
  </si>
  <si>
    <t>01.03.04.06</t>
  </si>
  <si>
    <t xml:space="preserve">        CAJA DE PASE 500X500X200mm</t>
  </si>
  <si>
    <t>01.03.04.07</t>
  </si>
  <si>
    <t xml:space="preserve">        CAJA DE PASE 600X600X200mm</t>
  </si>
  <si>
    <t>01.03.04.08</t>
  </si>
  <si>
    <t xml:space="preserve">        CAJA DE PASE 1700X250X200mm</t>
  </si>
  <si>
    <t>01.04</t>
  </si>
  <si>
    <t>BANDEJAS ELECTRICAS Y DE COMUNICACIONES</t>
  </si>
  <si>
    <t>01.04.01</t>
  </si>
  <si>
    <t xml:space="preserve">    BANDEJA PORTACABLE TIPO RANURADA DE 300X100X2400MM</t>
  </si>
  <si>
    <t xml:space="preserve">    BANDEJA PORTACABLE TIPO RANURADA DE 400X100X2400MM</t>
  </si>
  <si>
    <t xml:space="preserve">    BANDEJA PORTACABLE TIPO RANURADA DE 500X100X2400MM</t>
  </si>
  <si>
    <t xml:space="preserve">    BANDEJA PORTACABLE TIPO RANURADA DE 700X100X2400MM</t>
  </si>
  <si>
    <t xml:space="preserve">    ATERRAMIENTO DE BANDEJA CON CABLE DESNUDO 1x35mm²</t>
  </si>
  <si>
    <t xml:space="preserve">    SALIDA PARA CONEXION A BANDEJA</t>
  </si>
  <si>
    <t>01.05</t>
  </si>
  <si>
    <t>ACCESORIOS ELECTRICOS/INSTALACION DE LUMINARIAS</t>
  </si>
  <si>
    <t>01.05.01</t>
  </si>
  <si>
    <t xml:space="preserve">    SUMINISTRO E INSTALACION DE PLACA INTERRUPTOR SIMPLE</t>
  </si>
  <si>
    <t>01.05.02</t>
  </si>
  <si>
    <t xml:space="preserve">    SUMINISTRO E INSTALACION DE PLACA INTERRUPTOR DOBLE</t>
  </si>
  <si>
    <t>01.05.03</t>
  </si>
  <si>
    <t xml:space="preserve">    SUMINISTRO E INSTALACION DE PLACA INTERRUPTOR TRIPLE</t>
  </si>
  <si>
    <t>01.05.04</t>
  </si>
  <si>
    <t xml:space="preserve">    SUMINISTRO E INSTALACION DE PLACA INTERRUPTOR 3 VIAS SIMPLE</t>
  </si>
  <si>
    <t>01.05.05</t>
  </si>
  <si>
    <t xml:space="preserve">    SUMINISTRO E INSTALACION DE PLACA TOMACORRIENTE</t>
  </si>
  <si>
    <t>01.05.06</t>
  </si>
  <si>
    <t xml:space="preserve">    SUMINISTRO E INSTALACION DE PLACA TOMACORRIENTE P.A</t>
  </si>
  <si>
    <t>01.05.07</t>
  </si>
  <si>
    <t xml:space="preserve">    SUMINISTRO E INSTALACION DE PLACA TOMACORRIENTE LAVANDERIA</t>
  </si>
  <si>
    <t>01.05.08</t>
  </si>
  <si>
    <t xml:space="preserve">    SUMINISTRO E INSTALACION DE PLACA HORNO Y COCINA ELECTRICA</t>
  </si>
  <si>
    <t>01.05.09</t>
  </si>
  <si>
    <t xml:space="preserve">    SUMINISTRO E INSTALACION DE TIMBRE</t>
  </si>
  <si>
    <t>01.05.10</t>
  </si>
  <si>
    <t xml:space="preserve">    SUMINISTRO E INSTALACION DE PULSADOR TIMBRE</t>
  </si>
  <si>
    <t>01.05.11</t>
  </si>
  <si>
    <t xml:space="preserve">    SUMINISTRO E INSTALACION DE PLACA TE (TAPA CIEGA)</t>
  </si>
  <si>
    <t>01.05.12</t>
  </si>
  <si>
    <t xml:space="preserve">    INSTALACION DE LUMINARIAS</t>
  </si>
  <si>
    <t>01.06</t>
  </si>
  <si>
    <t>SISTEMA DE PUESTA A TIERRA</t>
  </si>
  <si>
    <t>01.06.01</t>
  </si>
  <si>
    <t xml:space="preserve">    POZOS A TIERRA-CAJAS EQUIPOTENCIALES</t>
  </si>
  <si>
    <t>01.06.01.01</t>
  </si>
  <si>
    <t xml:space="preserve">        POZO DE TIERRA</t>
  </si>
  <si>
    <t>01.06.01.02</t>
  </si>
  <si>
    <t xml:space="preserve">        SOLDADURA EXOTERMICA</t>
  </si>
  <si>
    <t>01.06.01.03</t>
  </si>
  <si>
    <t xml:space="preserve">        BARRA EQUIPOTENCIAL DE TIERRA CU DESNUDO DE 300x30x3 mm</t>
  </si>
  <si>
    <t>01.06.01.04</t>
  </si>
  <si>
    <t xml:space="preserve">        TRAZO Y REPLANTEO PARA IIEE</t>
  </si>
  <si>
    <t>01.06.01.05</t>
  </si>
  <si>
    <t xml:space="preserve">        EXCAVACIÓN DE ZANJA</t>
  </si>
  <si>
    <t>01.06.01.06</t>
  </si>
  <si>
    <t xml:space="preserve">        RELLENO COMPACTADO CON MATERIAL DE PRESTAMO</t>
  </si>
  <si>
    <t>01.06.01.07</t>
  </si>
  <si>
    <t>01.06.02</t>
  </si>
  <si>
    <t xml:space="preserve">    CONDUCTORES DEL SISTEMA PUESTA A TIERRA</t>
  </si>
  <si>
    <t>01.06.02.01</t>
  </si>
  <si>
    <t xml:space="preserve">        CONDUCTOR DESNUDO 70 mm2</t>
  </si>
  <si>
    <t>01.06.02.02</t>
  </si>
  <si>
    <t xml:space="preserve">        1x10mm2 LSOH-80</t>
  </si>
  <si>
    <t>01.06.02.03</t>
  </si>
  <si>
    <t xml:space="preserve">        1x25mm2 LSOH-80</t>
  </si>
  <si>
    <t>01.06.02.04</t>
  </si>
  <si>
    <t xml:space="preserve">        1x35mm2 LSOH-80</t>
  </si>
  <si>
    <t>01.06.02.05</t>
  </si>
  <si>
    <t xml:space="preserve">        1x50mm2 LSOH-80</t>
  </si>
  <si>
    <t>01.06.02.06</t>
  </si>
  <si>
    <t xml:space="preserve">        2(1x95mm2 LSOH-80)</t>
  </si>
  <si>
    <t>01.06.02.07</t>
  </si>
  <si>
    <t xml:space="preserve">        1x95mm2 LSOH-80</t>
  </si>
  <si>
    <t>01.06.03</t>
  </si>
  <si>
    <t xml:space="preserve">    CANALIZACION DEL SISTEMA PUESTA A TIERRA</t>
  </si>
  <si>
    <t>01.06.03.01</t>
  </si>
  <si>
    <t>01.06.03.02</t>
  </si>
  <si>
    <t>01.07</t>
  </si>
  <si>
    <t>CONEXIONES Y PRUEBAS ELECTRICAS DE BAJA TENSION</t>
  </si>
  <si>
    <t>01.07.01</t>
  </si>
  <si>
    <t xml:space="preserve">    CONEXION AL BANCO DE MEDIDORES</t>
  </si>
  <si>
    <t>01.07.02</t>
  </si>
  <si>
    <t xml:space="preserve">    PRUEBAS ELECTRICAS DE BAJA TENSION</t>
  </si>
  <si>
    <t>01.08</t>
  </si>
  <si>
    <t>SISTEMA DE CORRIENTES DEBILES</t>
  </si>
  <si>
    <t>01.08.01</t>
  </si>
  <si>
    <t xml:space="preserve">    SALIDAS</t>
  </si>
  <si>
    <t>01.08.01.01</t>
  </si>
  <si>
    <t xml:space="preserve">        SALIDA PARA TELEFONO EXTERNO</t>
  </si>
  <si>
    <t>01.08.01.02</t>
  </si>
  <si>
    <t xml:space="preserve">        SALIDA PARA TV-CABLE</t>
  </si>
  <si>
    <t>01.08.01.03</t>
  </si>
  <si>
    <t xml:space="preserve">        SALIDA PARA INTERCOMUNICADOR</t>
  </si>
  <si>
    <t>01.08.01.04</t>
  </si>
  <si>
    <t xml:space="preserve">        SALIDA PARA DATA</t>
  </si>
  <si>
    <t>01.08.01.05</t>
  </si>
  <si>
    <t xml:space="preserve">        SALIDA PARA CHAPA ELECTRICA / CACI</t>
  </si>
  <si>
    <t>01.08.01.06</t>
  </si>
  <si>
    <t xml:space="preserve">        SALIDA PARA INTERCOMUNICADOR PORTERO</t>
  </si>
  <si>
    <t>01.08.01.07</t>
  </si>
  <si>
    <t xml:space="preserve">        SALIDA PARA DETECTOR DE HUMO</t>
  </si>
  <si>
    <t>01.08.01.08</t>
  </si>
  <si>
    <t xml:space="preserve">        SALIDA PARA DETECTOR DE TEMPERATURA</t>
  </si>
  <si>
    <t>01.08.01.09</t>
  </si>
  <si>
    <t xml:space="preserve">        SALIDA PARA PULSADOR MANUAL</t>
  </si>
  <si>
    <t>01.08.01.10</t>
  </si>
  <si>
    <t xml:space="preserve">        SALIDA PARA LUZ ESTROBOSCOPICA</t>
  </si>
  <si>
    <t>01.08.01.11</t>
  </si>
  <si>
    <t xml:space="preserve">        SALIDA PARA MODULO MONITOREO</t>
  </si>
  <si>
    <t>01.08.01.12</t>
  </si>
  <si>
    <t xml:space="preserve">        SALIDA PARA SENSOR DE ANIGO</t>
  </si>
  <si>
    <t>01.08.01.13</t>
  </si>
  <si>
    <t xml:space="preserve">        SALIDA PARA SENSOR DE MONOXIDO</t>
  </si>
  <si>
    <t>01.08.02</t>
  </si>
  <si>
    <t xml:space="preserve">    CAJAS METALICAS</t>
  </si>
  <si>
    <t>01.08.02.01</t>
  </si>
  <si>
    <t>01.08.02.02</t>
  </si>
  <si>
    <t>01.08.02.03</t>
  </si>
  <si>
    <t>01.08.02.04</t>
  </si>
  <si>
    <t>01.08.02.05</t>
  </si>
  <si>
    <t>01.08.02.06</t>
  </si>
  <si>
    <t xml:space="preserve">        CAJA DE PASE 1000x550x150mm</t>
  </si>
  <si>
    <t>01.08.02.07</t>
  </si>
  <si>
    <t xml:space="preserve">        CAJA DE PASE 1100X700X150MM</t>
  </si>
  <si>
    <t>01.08.03</t>
  </si>
  <si>
    <t xml:space="preserve">    CANALIZACION</t>
  </si>
  <si>
    <t>01.08.03.01</t>
  </si>
  <si>
    <t>01.08.03.02</t>
  </si>
  <si>
    <t>01.08.03.03</t>
  </si>
  <si>
    <t xml:space="preserve">        TUBERIA ELECTRICA Ø40mm EMT</t>
  </si>
  <si>
    <t>01.08.03.04</t>
  </si>
  <si>
    <t xml:space="preserve">        TUBERIA ELECTRICA Ø80mm EMT</t>
  </si>
  <si>
    <t>01.08.03.05</t>
  </si>
  <si>
    <t xml:space="preserve">        TUBERIA ELECTRICA Ø25mm EMT</t>
  </si>
  <si>
    <t>01.08.03.06</t>
  </si>
  <si>
    <t>01.08.03.07</t>
  </si>
  <si>
    <t>CUARTO DE BOMBAS - ACI</t>
  </si>
  <si>
    <t>SAN FELIPE</t>
  </si>
  <si>
    <t>EQUIPAMIENTO CUARTO DE BOMBAS</t>
  </si>
  <si>
    <t>SISTEMA DE PRESION CONSTANTE Y SUMIDEROS</t>
  </si>
  <si>
    <t>SISTEMA DE PRESION CONSTANTE #1</t>
  </si>
  <si>
    <t>Bombas de Presión Constante marca SYNERGY o USR tipo Centrifuga Vertical Multietápica construida completamente
en Acero Inoxidable.
2 Electrobombas 20HP</t>
  </si>
  <si>
    <t>SISTEMA DE PRESION CONSTANTE #2</t>
  </si>
  <si>
    <t>Bombas de Presión Constante marca SYNERGY o USR tipo Centrifuga Vertical Multietápica construida
completamente en Acero Inoxidable
2 Electrobombas 20HP</t>
  </si>
  <si>
    <t>SISTEMA DE PRESION CONSTANTE #3</t>
  </si>
  <si>
    <t>Bombas de Presión Constante marca SYNERGY o USR tipo Centrifuga Vertical Multietápica construida
completamente en Acero Inoxidable
2 Electrobombas 7.5HP</t>
  </si>
  <si>
    <t>SISTEMA DE BOMBEO DE SUMIDERO #1</t>
  </si>
  <si>
    <t>Bombas sumergibles marca USR
2 Electrobombas 7.5HP</t>
  </si>
  <si>
    <t>Sistema de Motobomba de Protección de Incendios 500 GPM - LISTADO UL-FM</t>
  </si>
  <si>
    <t>Bomba contra incendio Listada UL/FM tipo Horizontal De Carcaza Partida
de 750 GPM @ 255 PSI con motor Eléctrico de 200 HP</t>
  </si>
  <si>
    <t>Electrobomba Jockey de 15 GPM @ 265 PSI , Con motor trifásico
asincrónico de 5.5 HP de 220 V @ 60 Hz</t>
  </si>
  <si>
    <t>Accesorios de Fabrica Incluyendo: Manovacuómetro, Manómetro, Válvula
de Alivio de Recirculación, Válvula Automática de Purga de Aire y Medidor
de Caudal de 6 y 750 GPM</t>
  </si>
  <si>
    <t>SISTEMA DE AGUA CONTRAINCENDIO - ROCIADORES Y GABINETES</t>
  </si>
  <si>
    <t>RED DE TUBERIA COLGADA Y ADOSADAS DE ACERO SCH-10 Y SCH-40</t>
  </si>
  <si>
    <t>Materiales para la instalación de la red contra incendios compuesto de
tuberías de acero negro con costura. El espesor será Cedula 10 para
tuberías ranuradas y soldadas y Cedula 40 para tuberías roscadas,
Incluye el Suministro de Rociadores de respuesta estándar, con
orificio de 1/2" NPT y factor K=5.6, con bulbo de vidrio de 5 mms rateado a
1550
F (680C).</t>
  </si>
  <si>
    <t>GABINETES Y ACCESORIOS</t>
  </si>
  <si>
    <t>MANO DE OBRA</t>
  </si>
  <si>
    <t>Instalación del sistema contra incendios a todo costo, Incluyendo mano de
obra especializada, Suministro de Herramientas, Equipos y Materiales
necesarios para la instalación, Trazo y Replanteo de Trabajos, Habilitación
y acarreo de materiales,</t>
  </si>
  <si>
    <t>INSTALACIONES MECANICAS</t>
  </si>
  <si>
    <t>INSTALACIONS MECANICAS</t>
  </si>
  <si>
    <t>SISTEMA DE VENTILACION MECANICA</t>
  </si>
  <si>
    <t>VESTIBULO PREVIO VENTILADO Y ESCALERA</t>
  </si>
  <si>
    <t xml:space="preserve">INYECTOR CENTRÍFUGO DE SIMPLE ENTRADA                                                                                                                                                                                                                                                                 Marca:   SYSTEM AIR                                                                                                                                                                                                                                                                 Modelo:  BCSB                                                                                                                                                                                                                               Características: 4,980 CFM - 1.1"c.a. - 220V-3F-60Hz  </t>
  </si>
  <si>
    <t xml:space="preserve">INYECTOR CENTRÍFUGO DE SIMPLE ENTRADA                                                                                                                                                                                                                                                                 Marca:    SYSTEM AIR                                                                                                                                                                                                                                                                  Modelo: BCSB                                                                                                                                                                                                                                Características: 5,300 CFM - 1.1"c.a. - 220V-3F-60Hz  </t>
  </si>
  <si>
    <t xml:space="preserve">INYECTOR CENTRÍFUGO EN GABINETE                                                                                                                                                                                                                                                                 Marca:    SYSTEM AIR                                                                                                                                                                                                                                                                  Modelo:  KVB                                                                                                                                                                                                                               Características: 5,500 CFM - 1.0"c.a. - 220V-3F-60Hz  </t>
  </si>
  <si>
    <t xml:space="preserve">INYECTOR CENTRÍFUGO EN GABINETE                                                                                                                                                                                                                                                                 Marca:    SYSTEM AIR                                                                                                                                                                                                                                                                  Modelo: KVB                                                                                                                                                                                                                                Características: 5,720 CFM - 1.0"c.a. - 220V-3F-60Hz  </t>
  </si>
  <si>
    <t xml:space="preserve">EXTRACTOR CENTRÍFUGO DE SIMPLE ENTRADA                                                                                                                                                                                                                                                                 Marca:    SYSTEM AIR                                                                                                                                                                                                                                                                  Modelo:  BCSB                                                                                                                                                                                                                               Características: 7,470 CFM - 1.0"c.a. - 220V-3F-60Hz  </t>
  </si>
  <si>
    <t xml:space="preserve">EXTRACTOR CENTRÍFUGO EN GABINETE                                                                                                                                                                                                                                                               Marca:   SYSTEM AIR                                                                                                                                                                                                                                                                   Modelo:  KVB                                                                                                                                                                                                                               Características: 8,580 CFM - 1.0"c.a. - 220V-3F-60Hz  </t>
  </si>
  <si>
    <t>SENSOR DE HUMO</t>
  </si>
  <si>
    <t>DAMPER BAROMÉTRICO  24"X24" ACP</t>
  </si>
  <si>
    <t>FILTRO DE MALLA DE ALUMINIO DE 38"X38"X1"</t>
  </si>
  <si>
    <t>FILTRO DE MALLA DE ALUMINIO DE 40"X40"X1"</t>
  </si>
  <si>
    <t>FILTRO DE MALLA DE ALUMINIO DE 41"X41"X1"</t>
  </si>
  <si>
    <t>EXTRACCIÓN DE MONÓXIDO DE CARBONO</t>
  </si>
  <si>
    <t xml:space="preserve">INYECTOR AXIAL                                                                                                                                                                                                                                                                       Marca:    SYSTEM AIR                                                                                                                                                                                                                                                       Modelo:  WPA                                                                                                                                                                                                                                        Características: 1,840 CFM - 0.5"c.a. - 220V-3F-60Hz  </t>
  </si>
  <si>
    <t xml:space="preserve">INYECTOR AXIAL                                                                                                                                                                                                                                                                       Marca:   SYSTEM AIR                                                                                                                                                                                                                                                        Modelo:  WPA                                                                                                                                                                                                                                        Características: 1,800 CFM - 0.5"c.a. - 220V-3F-60Hz  </t>
  </si>
  <si>
    <t xml:space="preserve">INYECTOR AXIAL                                                                                                                                                                                                                                                                       Marca:   SYSTEM AIR                                                                                                                                                                                                                                                        Modelo: WPA                                                                                                                                                                                                                                         Características: 1,920 CFM - 0.5"c.a. - 220V-3F-60Hz  </t>
  </si>
  <si>
    <t xml:space="preserve">INYECTOR AXIAL                                                                                                                                                                                                                                                                       Marca:    SYSTEM AIR                                                                                                                                                                                                                                                       Modelo:  WPA                                                                                                                                                                                                                                        Características: 2,000 CFM - 0.5"c.a. - 220V-3F-60Hz  </t>
  </si>
  <si>
    <t xml:space="preserve">INYECTOR AXIAL                                                                                                                                                                                                                                                                       Marca:    SYSTEM AIR                                                                                                                                                                                                                                                       Modelo:  WPA                                                                                                                                                                                                                                        Características: 2,040 CFM - 0.5"c.a. - 220V-3F-60Hz  </t>
  </si>
  <si>
    <t xml:space="preserve">INYECTOR AXIAL                                                                                                                                                                                                                                                                       Marca:   SYSTEM AIR                                                                                                                                                                                                                                                        Modelo:  WPA                                                                                                                                                                                                                                        Características: 2,800 CFM - 0.5"c.a. - 220V-3F-60Hz  </t>
  </si>
  <si>
    <t xml:space="preserve">EXTRACTOR AXIAL                                                                                                                                                                                                                                                                    Marca:    SYSTEM AIR                                                                                                                                                                                                                                                          Modelo:  WPA                                                                                                                                                                                                                                    Características: 2,250 CFM - 1.0"c.a. - 220V-3F-60Hz  </t>
  </si>
  <si>
    <t xml:space="preserve">EXTRACTOR AXIAL                                                                                                                                                                                                                                                                    Marca:     SYSTEM AIR                                                                                                                                                                                                                                                         Modelo:  WPA                                                                                                                                                                                                                                    Características: 2,300 CFM - 1.0"c.a. - 220V-3F-60Hz  </t>
  </si>
  <si>
    <t xml:space="preserve">EXTRACTOR AXIAL                                                                                                                                                                                                                                                                    Marca:  SYSTEM AIR                                                                                                                                                                                                                                                            Modelo: WPA                                                                                                                                                                                                                                    Características: 2,340 CFM - 1.0"c.a. - 220V-3F-60Hz  </t>
  </si>
  <si>
    <t xml:space="preserve">EXTRACTOR AXIAL                                                                                                                                                                                                                                                                    Marca:    SYSTEM AIR                                                                                                                                                                                                                                                          Modelo:  WPA                                                                                                                                                                                                                                    Características: 2,400 CFM - 1.0"c.a. - 220V-3F-60Hz  </t>
  </si>
  <si>
    <t xml:space="preserve">EXTRACTOR AXIAL                                                                                                                                                                                                                                                                    Marca:    SYSTEM AIR                                                                                                                                                                                                                                                          Modelo:  WPA                                                                                                                                                                                                                                    Características: 2,500 CFM - 1.0"c.a. - 220V-3F-60Hz  </t>
  </si>
  <si>
    <t xml:space="preserve">EXTRACTOR AXIAL                                                                                                                                                                                                                                                                    Marca:   SYSTEM AIR                                                                                                                                                                                                                                                           Modelo: WPA                                                                                                                                                                                                                                     Características: 2,550 CFM - 1.0"c.a. - 220V-3F-60Hz  </t>
  </si>
  <si>
    <t xml:space="preserve">JET FAN TUBULAR                                                                                                                                                                                                                                                                        Marca:   YILIDA                                                                                                                                                                                                                                                         Modelo:  AXA                                                                                                                                                                                                                   Características: 2,260 CFM - 10 N - 220V-3F-60Hz  </t>
  </si>
  <si>
    <t xml:space="preserve">DETECTOR DE MONÓXIDO                                                                                                                                                                                                                                                                                         Marca: GREYSTONE                                                                                                                                                                                                                                    Modelo: CMD5B1                                                                                                                                                                                                                                                 Caracteristicas: Consumo: 50mA max - Señal de salida :0-20mA </t>
  </si>
  <si>
    <t>Damper de gravedad de fabricación nacional</t>
  </si>
  <si>
    <t>VENTILACIÓN EN CUARTO DE BOMBAS</t>
  </si>
  <si>
    <t xml:space="preserve">INYECTOR CENTRÍFUGO EN LINEA                                                                                                                                                                                                                                                                 Marca:    SYSTEM AIR                                                                                                                                                                                                                                                                Modelo:  KVB                                                                                                                                                                                                                                    Características: 2,200 CFM - 0.5"c.a. - 220V-3F-60Hz  </t>
  </si>
  <si>
    <t xml:space="preserve">EXTRACTOR CENTRÍFUGO EN LINEA                                                                                                                                                                                                                                                                Marca:    SYSTEM AIR                                                                                                                                                                                                                                                                Modelo:  KVB                                                                                                                                                                                                                                    Características: 2,200 CFM - 0.3"c.a. - 220V-3F-60Hz  </t>
  </si>
  <si>
    <t>DAMPER CORTA FUEGO DE 26"X12" Con fusible</t>
  </si>
  <si>
    <t>VENTILACIÓN EN CUARTO DE BASURA</t>
  </si>
  <si>
    <t xml:space="preserve">EXTRACTOR CENTRÍFUGO EN LINEA                                                                                                                                                                                                                                                                  Marca:     SYSTEM AIR                                                                                                                                                                                                                                                          Modelo:  KVB                                                                                                                                                                                                                                        Características: 1,150 CFM - 1.0"c.a. - 220V-3F-60Hz  </t>
  </si>
  <si>
    <t>DAMPER CORTA FUEGO DE 20"X18" Con fusible</t>
  </si>
  <si>
    <t>VENTILACIÓN GRUPO ELECTRÓGENO</t>
  </si>
  <si>
    <t xml:space="preserve">EXTRACTOR AXIAL                                                                                                                                                                                                                                                                  Marca:   SYSTEM AIR                                                                                                                                                                                                                                                            Modelo:  AW E                                                                                                                                                                                                                                       Características: 1,000 CFM - 0.2"c.a. - 220V-1F-60Hz  </t>
  </si>
  <si>
    <t>DAMPER CORTA FUEGO DE 18"X18" Con fusible</t>
  </si>
  <si>
    <t>DAMPER CORTA FUEGO DE 40"X40" Con fusible</t>
  </si>
  <si>
    <t>VENTILACIÓN DE GIMNASIO</t>
  </si>
  <si>
    <t xml:space="preserve">INYECTOR AXIAL                                                                                                                                                                                                                                                                  Marca:   SYSTEM AIR                                                                                                                                                                                                                                                            Modelo: AW E                                                                                                                                                                                                                                        Características: 480 CFM - 0.1"c.a. - 220V-1F-60Hz  </t>
  </si>
  <si>
    <t xml:space="preserve">EXTRACTOR AXIAL                                                                                                                                                                                                                                                                  Marca:   SYSTEM AIR                                                                                                                                                                                                                                                            Modelo:  AW E                                                                                                                                                                                                                                       Características: 480 CFM - 0.1"c.a. - 220V-1F-60Hz  </t>
  </si>
  <si>
    <t>VENTILACIÓN CO WORKING</t>
  </si>
  <si>
    <t xml:space="preserve">INYECTOR AXIAL                                                                                                                                                                                                                                                                  Marca:    SYSTEM AIR                                                                                                                                                                                                                                                           Modelo:  AW E                                                                                                                                                                                                                                       Características: 560 CFM - 0.1"c.a. - 220V-1F-60Hz  </t>
  </si>
  <si>
    <t xml:space="preserve">EXTRACTOR AXIAL                                                                                                                                                                                                                                                                  Marca:   SYSTEM AIR                                                                                                                                                                                                                                                            Modelo:  AW E                                                                                                                                                                                                                                       Características: 560 CFM - 0.1"c.a. - 220V-1F-60Hz  </t>
  </si>
  <si>
    <t>VENTILACIÓN DE PASILLOS Y HALL DE ASCENSORES</t>
  </si>
  <si>
    <t xml:space="preserve">INYECTOR CENTRIFUGO DE SIMPLE ENTRADA                                                                                                                                                                                                                                                                   Marca:   SYSTEM AIR                                                                                                                                                                                                                                                              Modelo: BCSB                                                                                                                                                                                                                                  Características: 1,880 CFM - 1.0"c.a. - 220V-3F-60Hz  </t>
  </si>
  <si>
    <t xml:space="preserve">INYECTOR CENTRIFUGO DE SIMPLE ENTRADA                                                                                                                                                                                                                                                                   Marca:   SYSTEM AIR                                                                                                                                                                                                                                                              Modelo: BCSB                                                                                                                                                                                                                                   Características: 2,070 CFM - 1.0"c.a. - 220V-3F-60Hz  </t>
  </si>
  <si>
    <t xml:space="preserve">EXTRACTOR CENTRIFUGO DE SIMPLE ENTRADA                                                                                                                                                                                                                                                                   Marca:   SYSTEM AIR                                                                                                                                                                                                                                                              Modelo:  BCSB                                                                                                                                                                                                                                 Características: 1,880 CFM - 1.0"c.a. - 220V-3F-60Hz  </t>
  </si>
  <si>
    <t xml:space="preserve">EXTRACTOR CENTRIFUGO EN GABINETE                                                                                                                                                                                                                                                                  Marca:   SYSTEM AIR                                                                                                                                                                                                                                                              Modelo:  BCSB                                                                                                                                                                                                                                 Características: 2,070 CFM - 1.0"c.a. - 220V-3F-60Hz  </t>
  </si>
  <si>
    <t>FILTRO DE MALLA DE ALUMINIO 24"X24"X1"</t>
  </si>
  <si>
    <t>FILTRO DE MALLA DE ALUMINIO 25"X25"X1"</t>
  </si>
  <si>
    <t>VENTILACIÓN DE BAÑOS Y CENTRO DE LAVADO</t>
  </si>
  <si>
    <t xml:space="preserve">EXTRACTOR AXIAL CON DAMPER                                                                                                                                                                                                                                                                         Marca:    LAVFILL                                                                                                                                                                                                                                                                      Modelo:  LWWF13-L                                                                                                                                                                                                                                      Características: 100 CFM - 0.1" c.a. - 220V-1F-60Hz </t>
  </si>
  <si>
    <t>EXTRACTOR EÓLICO</t>
  </si>
  <si>
    <t>INSTALACION DEL SISTEMA</t>
  </si>
  <si>
    <t xml:space="preserve">Suministro e instalación de ductos metálicos de fierro galvanizado fabricados de acuerdo a la normativa SMACNA </t>
  </si>
  <si>
    <t>SUMINISTRO E INSTALACIÓN DE REJILLAS DE FIERRO GALVANIZADO INCLUYE PROTECCIÓN ANTICORROSIVA, PINTADO CON ESMALTE DE COLOR BLANCO AL HORNO y DAMPER DE REGULACIÓN MANUAL</t>
  </si>
  <si>
    <t xml:space="preserve">REJILLAS DE INYECCIÓN Y EXTRACCIÓN </t>
  </si>
  <si>
    <t xml:space="preserve">Instalacion mecánica de ventilador centrífugo </t>
  </si>
  <si>
    <t xml:space="preserve">tablero de control de (6)Centrífugos.                                                                                                                          (1)  Tableros eléctricos fabricado con plancha de fierro galvanizado 2 mm de espesor con recubrimiento anticorrosivo epóxico, hermético al polvo (IP-65) incluye:                                                                                                                                                                                                                                                            (6) contactores , (6) selectores MOA, (1) LED, (1) transformador y Borneras.                                                                                                                                                                                                                                                                                                                      -se deja bornera para la conección del cuarto del control al tablero </t>
  </si>
  <si>
    <t>instalación de sensor de humo</t>
  </si>
  <si>
    <t>Suministro e instalación de ductos metálicos de fierro galvanizado fabricados de acuerdo a la normativa SMACNA</t>
  </si>
  <si>
    <t>REJILLAS DE INYECCIÓN Y EXTRACCIÓN</t>
  </si>
  <si>
    <t>Instalación mecánica extractor  AXIAL</t>
  </si>
  <si>
    <t>Instalación mecánica  intector   AXIAL</t>
  </si>
  <si>
    <t>Instalación mecánica de jet fan</t>
  </si>
  <si>
    <t xml:space="preserve">TABLERO DE CONTROL de (11) Jet Fan, (11) Inyectores y (12) Extractores .                                                                                                                          (1)  Tableros eléctricos fabricado con plancha de fierro galvanizado 2 mm de espesor con recubrimiento anticorrosivo epóxico, hermetico al polvo (IP-55) incluye:                                                                                                                                                                                                                                                            (1) contactores jet fan ,(1) contactor extracción, (1) contactor inyector,(1) selectores MOA, (1) LED, (1) transformador y Borneras.                                                                                                                                                                                                                                                                                                                                                          -se deja bornera para la conección del cuarto del control al tablero </t>
  </si>
  <si>
    <t xml:space="preserve">Instalación de detector de monóxido de carbono, cableado de comunicación y coneccion eléctrica </t>
  </si>
  <si>
    <t>Suministro e instalación de ductos metálicos de fierro galvanizado fabricados de acuerdo a la normativa SMACNA,</t>
  </si>
  <si>
    <t>Instalación mecánica de ventilador centrífugo</t>
  </si>
  <si>
    <t>Instalación de damper corta fuego</t>
  </si>
  <si>
    <t xml:space="preserve">TABLERO DE CONTROL </t>
  </si>
  <si>
    <t>Encendido de equipos mediante botonera o timer</t>
  </si>
  <si>
    <t>Instalación mecánica de ventilador AXIAL</t>
  </si>
  <si>
    <t xml:space="preserve">VENTILACIÓN DE BAÑOS </t>
  </si>
  <si>
    <t>Instalación electromecánica de extractores axiales. Montaje de equipo y conección eléctrica. Puesta en marcha, pruebas y ajustes (NO INCLUYE BOTONERAS)</t>
  </si>
  <si>
    <t>TRAMPA DE HUMO</t>
  </si>
  <si>
    <t>GRUPO ELECTROGENO</t>
  </si>
  <si>
    <t>GRUPO ELECTROGENO LEES CUMMINS STAMFORD MARCA RIVERA DIESEL</t>
  </si>
  <si>
    <t xml:space="preserve">Instalación de Grupo Electrógeno Incluye: 
*Transporte y Maniobras
*Transporte del Grupo Electrógeno a obra
*Instalaciones Mecánicas
*Anclaje del Grupo Electrógeno 
*Suministro e instalación de enchaquetado solo hasta ingreso de montante
*Suministro e instalación de ducto de salida de aire caliente 
</t>
  </si>
  <si>
    <t>Suministro de combustible para pruebas</t>
  </si>
  <si>
    <t>Primer Mantenimiento Régimen Stand By</t>
  </si>
  <si>
    <t>Suministro e instalación de ascensores (#1, 2 y 3). Incluye: 
*MARCA: KONE
*MODELO: EMONOSPACE</t>
  </si>
  <si>
    <t>Suministro e instalación de ascensores (#4 y 5). Incluye: 
*MARCA: KONE
*MODELO: EMONOSPACE</t>
  </si>
  <si>
    <t>Suministro e instalación de ascensores (SOTANOS). Incluye: 
*MARCA: KONE
*MODELO: EMONOSPACE</t>
  </si>
  <si>
    <t>LONA DE PROTECCION</t>
  </si>
  <si>
    <t>PDR, VARIOS</t>
  </si>
  <si>
    <t>VIGAS DIVISORIAS</t>
  </si>
  <si>
    <t>COLUMNAS INTERMEDIAS</t>
  </si>
  <si>
    <t>INSTALACIONES</t>
  </si>
  <si>
    <t xml:space="preserve">INSTALACIONES </t>
  </si>
  <si>
    <t>INTERCOMUNICADORES</t>
  </si>
  <si>
    <t>Central de conserjería de audio/vídeo con pantalla LCD 7"</t>
  </si>
  <si>
    <t>AudioPortero Alfanumerico Digital</t>
  </si>
  <si>
    <t>Intercomunicador tipo telefono Sprint L2</t>
  </si>
  <si>
    <t>COMPLEMENTOS DEL SISTEMA</t>
  </si>
  <si>
    <t>Interfaz de expansión de anexos/longitud</t>
  </si>
  <si>
    <t>Fuente de poder de 1.2A para sistemas de audio/video</t>
  </si>
  <si>
    <t>Configuradores (Paquete de 10 piezas)</t>
  </si>
  <si>
    <t>MATERIALES</t>
  </si>
  <si>
    <t>DETECCION CONTRAINCENDIOS</t>
  </si>
  <si>
    <t>PANEL DE ALARMA CONTRA INCENDIOS Y COMPLEMENTOS</t>
  </si>
  <si>
    <t>Panel de Detección y Alarma Contra Incendio Direccionable con Certificado UL-864, para
sistemas DACI en edificios</t>
  </si>
  <si>
    <t>Fuente de alimentación para dtectores convencionales. Certificado UL</t>
  </si>
  <si>
    <t xml:space="preserve">Bateria de 12v/7Ah </t>
  </si>
  <si>
    <t>DISPOSITIVOS DE INICIACIÓN</t>
  </si>
  <si>
    <t xml:space="preserve">Detector de Humo Convencional. Certificado UL </t>
  </si>
  <si>
    <t xml:space="preserve">Detector de Temperatura Convencional. Certificado UL </t>
  </si>
  <si>
    <t xml:space="preserve">Detector de Humo/Temperatura Convencional. </t>
  </si>
  <si>
    <t xml:space="preserve">Estación manual acción doble Convencional UL </t>
  </si>
  <si>
    <t>Sensor de aniego + Procesador</t>
  </si>
  <si>
    <t>Detector fotoeléctrico de humo para ducto UL. Incluye tubo de muestreo de 8"</t>
  </si>
  <si>
    <t>DISPOSITIVOS DE NOTIFICACIÓN</t>
  </si>
  <si>
    <t>Sirena con Luz Estroboscópica multicandela. Certicado UL</t>
  </si>
  <si>
    <t>Fuente de alimentación Booster NACs para sirenas. Certificado UL</t>
  </si>
  <si>
    <t>Bateria de 12v/7Ah</t>
  </si>
  <si>
    <t>MÓDULOS</t>
  </si>
  <si>
    <t>CCTV</t>
  </si>
  <si>
    <t>Sistema de Circuito cerrado de Televisión</t>
  </si>
  <si>
    <t>SISTEMA DE GAS</t>
  </si>
  <si>
    <t>Sistema de gas 2 puntos (cocina/horno - therma)
149 Departamentos
Redes internas PealPe
Montantes de cobre</t>
  </si>
  <si>
    <t>1.05.01</t>
  </si>
  <si>
    <t>EQUIPOS DE FILTRADO</t>
  </si>
  <si>
    <t>1.05.02</t>
  </si>
  <si>
    <t>TABLERO DE CONTROL</t>
  </si>
  <si>
    <t>1.05.03</t>
  </si>
  <si>
    <t>ACCESORIOS EMPOTRADOS</t>
  </si>
  <si>
    <t>1.05.04</t>
  </si>
  <si>
    <t>ILUMINACION</t>
  </si>
  <si>
    <t>1.05.05</t>
  </si>
  <si>
    <t>LAMINA DE PVC</t>
  </si>
  <si>
    <t>1.05.06</t>
  </si>
  <si>
    <t>TRABAJOS PROVISIONALES</t>
  </si>
  <si>
    <t xml:space="preserve">INSTALACION DE CASCADA
Salida de agua fría PVC C10 Ø2" 
Accesorios PVC CP C10 Ø2" 
Valvula de acero inoxidable 
Platina sobre Valvula de acero </t>
  </si>
  <si>
    <t xml:space="preserve">CUARTO DE BOMBAS </t>
  </si>
  <si>
    <t>SISTEMA DE AUDIO AMBIENTAL</t>
  </si>
  <si>
    <t xml:space="preserve">
EQUIPAMIENTO LOBY
05 Parlantes de techo para empotrar 8'' con tweeter 1" 100V/15W-8Ω/60W max.
Altavoz de techo Hi-Fi coaxial con transformador de línea 100 V y rejilla redonda Fonestar.
Potencia 60 W máximo. Altavoces 8'' Hi-Fi coaxial con tweeter. Respuesta 30-20.000 Hz.
Impedancia Alta Z línea 100 V:670 Ω (15 W) 1.000 Ω (10 W) 2.000 Ω (5 W) 4.000 Ω (2'5
W). Sensibilidad 90 dB a 1 W/1 m. Ángulo cobertura 130°. Material ABS y rejilla de
acero. Color Blanco grisáceo (RAL 9003, RAL 7047). Medidas 274 mm Ø x 85 mm fondo.
Orificio 237 mm Ø. Peso 1'6 kg. Sistema de instalación por anclajes.
EQUIPAMIENTO PASILLO
02 Altavoz colgante con transformador de línea de 100 V y baja impedancia.
EQUIPAMIENTO HALL
01 Altavoz colgante con transformador de línea de 100 V y baja impedancia.</t>
  </si>
  <si>
    <t>SE RETIRA POR OPTIMIZACION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</si>
</sst>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4">
    <numFmt numFmtId="5" formatCode="&quot;$&quot;#,##0_);\(&quot;$&quot;#,##0\)"/>
    <numFmt numFmtId="42" formatCode="_(&quot;$&quot;* #,##0_);_(&quot;$&quot;* \(#,##0\);_(&quot;$&quot;* &quot;-&quot;_);_(@_)"/>
    <numFmt numFmtId="43" formatCode="_(* #,##0.00_);_(* \(#,##0.00\);_(* &quot;-&quot;??_);_(@_)"/>
    <numFmt numFmtId="164" formatCode="_-&quot;S/&quot;\ * #,##0.00_-;\-&quot;S/&quot;\ * #,##0.00_-;_-&quot;S/&quot;\ * &quot;-&quot;??_-;_-@_-"/>
    <numFmt numFmtId="165" formatCode="_-* #,##0.00_-;\-* #,##0.00_-;_-* &quot;-&quot;??_-;_-@_-"/>
    <numFmt numFmtId="166" formatCode="_-&quot;S.&quot;* #,##0.00_-;\-&quot;S.&quot;* #,##0.00_-;_-&quot;S.&quot;* &quot;-&quot;??_-;_-@_-"/>
    <numFmt numFmtId="167" formatCode="_-* #,##0.00\ &quot;€&quot;_-;\-* #,##0.00\ &quot;€&quot;_-;_-* &quot;-&quot;??\ &quot;€&quot;_-;_-@_-"/>
    <numFmt numFmtId="168" formatCode="###,###,###,##0.00"/>
    <numFmt numFmtId="169" formatCode="&quot;S/.&quot;\ #,##0.00"/>
    <numFmt numFmtId="170" formatCode="[$$-409]#,##0.00"/>
    <numFmt numFmtId="171" formatCode="_ * #,##0.00_ ;_ * \-#,##0.00_ ;_ * &quot;-&quot;??_ ;_ @_ "/>
    <numFmt numFmtId="172" formatCode="[$$-409]#,##0.00_ ;\-[$$-409]#,##0.00\ "/>
    <numFmt numFmtId="173" formatCode="[$$-2C0A]\ #,##0.00"/>
    <numFmt numFmtId="174" formatCode="00.00.00"/>
    <numFmt numFmtId="175" formatCode="00.00.00.00"/>
    <numFmt numFmtId="179" formatCode="_-[$S/-280A]\ * #,##0.00_-;\-[$S/-280A]\ * #,##0.00_-;_-[$S/-280A]\ * &quot;-&quot;??_-;_-@_-"/>
    <numFmt numFmtId="180" formatCode="[$S/.-280A]\ #,##0.00"/>
    <numFmt numFmtId="181" formatCode="[$$-540A]#,##0.00"/>
    <numFmt numFmtId="185" formatCode="&quot;S/&quot;\ #,##0.00"/>
    <numFmt numFmtId="186" formatCode="_-* #,##0_-;\-* #,##0_-;_-* &quot;-&quot;??_-;_-@_-"/>
    <numFmt numFmtId="187" formatCode="00.00"/>
    <numFmt numFmtId="189" formatCode="_ * #,##0_ ;_ * \-#,##0_ ;_ * &quot;-&quot;_ ;_ @_ "/>
    <numFmt numFmtId="190" formatCode="_ &quot;S/.&quot;\ * #,##0.00_ ;_ &quot;S/.&quot;\ * \-#,##0.00_ ;_ &quot;S/.&quot;\ * &quot;-&quot;??_ ;_ @_ "/>
    <numFmt numFmtId="191" formatCode="_([$€]\ * #,##0.00_);_([$€]\ * \(#,##0.00\);_([$€]\ * &quot;-&quot;??_);_(@_)"/>
    <numFmt numFmtId="192" formatCode="_-[$$-409]* #,##0.00_ ;_-[$$-409]* \-#,##0.00\ ;_-[$$-409]* &quot;-&quot;??_ ;_-@_ "/>
    <numFmt numFmtId="193" formatCode="0.0000000000"/>
    <numFmt numFmtId="194" formatCode="0.0000"/>
    <numFmt numFmtId="195" formatCode="#,##0.0"/>
    <numFmt numFmtId="196" formatCode="mmmm\ d\,\ yyyy"/>
    <numFmt numFmtId="197" formatCode="_-* #,##0.0000\ _P_t_s_-;\-* #,##0.0000\ _P_t_s_-;_-* &quot;-&quot;??\ _P_t_s_-;_-@_-"/>
    <numFmt numFmtId="198" formatCode="[$$-1009]#,##0"/>
    <numFmt numFmtId="199" formatCode="_([$€-2]\ * #,##0.00_);_([$€-2]\ * \(#,##0.00\);_([$€-2]\ * &quot;-&quot;??_)"/>
    <numFmt numFmtId="200" formatCode="#.##000"/>
    <numFmt numFmtId="201" formatCode="_ &quot;$&quot;\ * #,##0_ ;_ &quot;$&quot;\ * \-#,##0_ ;_ &quot;$&quot;\ * &quot;-&quot;_ ;_ @_ "/>
    <numFmt numFmtId="202" formatCode="_(&quot;Solel&quot;\ * #,##0.00_);_(&quot;Solel&quot;\ * \(#,##0.00\);_(&quot;Solel&quot;\ * &quot;-&quot;??_);_(@_)"/>
    <numFmt numFmtId="203" formatCode="_-* #,##0.00\ [$€]_-;\-* #,##0.00\ [$€]_-;_-* &quot;-&quot;??\ [$€]_-;_-@_-"/>
    <numFmt numFmtId="204" formatCode="0.00000000"/>
    <numFmt numFmtId="205" formatCode="#,##0.0000_);\-#,##0.0000"/>
    <numFmt numFmtId="206" formatCode="0.0000000"/>
    <numFmt numFmtId="207" formatCode="_-* #,##0\ \-;\-* #,##0\ _-;_-* &quot;-&quot;\ _-;_-@_-"/>
    <numFmt numFmtId="208" formatCode="\$#,#00"/>
    <numFmt numFmtId="209" formatCode="&quot;$&quot;#,##0\ ;\(&quot;$&quot;#,##0\)"/>
    <numFmt numFmtId="210" formatCode="_-* #,##0.00\ _€_-;\-* #,##0.00\ _€_-;_-* &quot;-&quot;??\ _€_-;_-@_-"/>
    <numFmt numFmtId="211" formatCode="m\o\n\th\ d\,\ \y\y\y\y"/>
    <numFmt numFmtId="212" formatCode="0.00_)"/>
    <numFmt numFmtId="213" formatCode="[$-280A]General"/>
    <numFmt numFmtId="214" formatCode="#,#00"/>
    <numFmt numFmtId="215" formatCode="_(* #,##0.00_);_(* \(#,##0.00\);_(* \-??_);_(@_)"/>
    <numFmt numFmtId="216" formatCode="0.00000000000"/>
    <numFmt numFmtId="217" formatCode="_ * #,##0.00_ ;_ * \-#,##0.00_ ;_ * \-??_ ;_ @_ "/>
    <numFmt numFmtId="218" formatCode="&quot;S.&quot;\ #,##0;[Red]&quot;S.&quot;\ \-#,##0"/>
    <numFmt numFmtId="219" formatCode="_(&quot;S/.&quot;\ * #,##0.00_);_(&quot;S/.&quot;\ * \(#,##0.00\);_(&quot;S/.&quot;\ * &quot;-&quot;??_);_(@_)"/>
    <numFmt numFmtId="220" formatCode="&quot;S/.&quot;\ #,##0"/>
    <numFmt numFmtId="221" formatCode="&quot;$&quot;#,##0.00;[Red]\-&quot;$&quot;#,##0.00"/>
    <numFmt numFmtId="222" formatCode="#.#####"/>
    <numFmt numFmtId="223" formatCode="#,"/>
    <numFmt numFmtId="224" formatCode="#,##0.00\ ;&quot; -&quot;#,##0.00\ ;&quot; -&quot;#\ ;@\ "/>
    <numFmt numFmtId="225" formatCode="_ * #.##0.00_ ;_ * \-#.##0.00_ ;_ * &quot;-&quot;??_ ;_ @_ "/>
    <numFmt numFmtId="226" formatCode="#,###.00\ &quot;M2&quot;"/>
    <numFmt numFmtId="227" formatCode="00.00.00.00.00"/>
    <numFmt numFmtId="228" formatCode="00.00.00.00.00.00"/>
    <numFmt numFmtId="229" formatCode="_-&quot;S/&quot;\ * #,##0.000_-;\-&quot;S/&quot;\ * #,##0.000_-;_-&quot;S/&quot;\ * &quot;-&quot;??_-;_-@_-"/>
    <numFmt numFmtId="230" formatCode="_-[$$-540A]* #,##0.00_ ;_-[$$-540A]* \-#,##0.00\ ;_-[$$-540A]* &quot;-&quot;??_ ;_-@_ "/>
    <numFmt numFmtId="232" formatCode="_-&quot;S/&quot;\ * #,##0.0000_-;\-&quot;S/&quot;\ * #,##0.0000_-;_-&quot;S/&quot;\ * &quot;-&quot;??_-;_-@_-"/>
  </numFmts>
  <fonts count="111">
    <font>
      <sz val="11"/>
      <color theme="1"/>
      <name val="Calibri"/>
      <family val="2"/>
      <scheme val="minor"/>
    </font>
    <font>
      <sz val="11"/>
      <color theme="1"/>
      <name val="Calibri"/>
      <family val="2"/>
      <scheme val="minor"/>
    </font>
    <font>
      <sz val="10"/>
      <name val="Arial"/>
      <family val="2"/>
    </font>
    <font>
      <sz val="8"/>
      <name val="Arial"/>
      <family val="2"/>
    </font>
    <font>
      <b/>
      <sz val="11"/>
      <color indexed="8"/>
      <name val="Arial"/>
      <family val="2"/>
    </font>
    <font>
      <sz val="8"/>
      <color indexed="72"/>
      <name val="Arial"/>
      <family val="2"/>
    </font>
    <font>
      <b/>
      <sz val="8"/>
      <color indexed="8"/>
      <name val="Arial Narrow"/>
      <family val="2"/>
    </font>
    <font>
      <b/>
      <sz val="8"/>
      <color theme="0"/>
      <name val="Arial"/>
      <family val="2"/>
    </font>
    <font>
      <b/>
      <sz val="8"/>
      <color indexed="12"/>
      <name val="Arial"/>
      <family val="2"/>
    </font>
    <font>
      <sz val="8"/>
      <color theme="1"/>
      <name val="Arial"/>
      <family val="2"/>
    </font>
    <font>
      <b/>
      <sz val="7"/>
      <color indexed="8"/>
      <name val="Arial Narrow"/>
      <family val="2"/>
    </font>
    <font>
      <b/>
      <sz val="8"/>
      <name val="Arial"/>
      <family val="2"/>
    </font>
    <font>
      <sz val="8"/>
      <name val="Calibri"/>
      <family val="2"/>
      <scheme val="minor"/>
    </font>
    <font>
      <sz val="11"/>
      <name val="Arial"/>
      <family val="2"/>
    </font>
    <font>
      <b/>
      <sz val="7"/>
      <color theme="0"/>
      <name val="Arial Narrow"/>
      <family val="2"/>
    </font>
    <font>
      <b/>
      <sz val="11"/>
      <name val="Arial"/>
      <family val="2"/>
    </font>
    <font>
      <b/>
      <sz val="8"/>
      <color theme="1"/>
      <name val="Arial"/>
      <family val="2"/>
    </font>
    <font>
      <sz val="10"/>
      <color indexed="8"/>
      <name val="MS Sans Serif"/>
    </font>
    <font>
      <b/>
      <sz val="8"/>
      <color indexed="8"/>
      <name val="Arial"/>
      <family val="2"/>
    </font>
    <font>
      <b/>
      <sz val="8"/>
      <color rgb="FF0000CC"/>
      <name val="Arial"/>
      <family val="2"/>
    </font>
    <font>
      <b/>
      <sz val="11"/>
      <color theme="0"/>
      <name val="Calibri"/>
      <family val="2"/>
      <scheme val="minor"/>
    </font>
    <font>
      <b/>
      <sz val="8"/>
      <color indexed="52"/>
      <name val="Arial"/>
      <family val="2"/>
    </font>
    <font>
      <b/>
      <sz val="8"/>
      <color rgb="FFFF0000"/>
      <name val="Arial"/>
      <family val="2"/>
    </font>
    <font>
      <sz val="8"/>
      <color rgb="FF0000CC"/>
      <name val="Arial"/>
      <family val="2"/>
    </font>
    <font>
      <sz val="8"/>
      <color rgb="FFFF0000"/>
      <name val="Arial"/>
      <family val="2"/>
    </font>
    <font>
      <sz val="10"/>
      <color indexed="8"/>
      <name val="Arial"/>
      <family val="2"/>
    </font>
    <font>
      <sz val="9"/>
      <color indexed="81"/>
      <name val="Tahoma"/>
      <family val="2"/>
    </font>
    <font>
      <b/>
      <sz val="9"/>
      <color indexed="81"/>
      <name val="Tahoma"/>
      <family val="2"/>
    </font>
    <font>
      <b/>
      <i/>
      <u/>
      <sz val="8"/>
      <name val="Arial"/>
      <family val="2"/>
    </font>
    <font>
      <b/>
      <sz val="12"/>
      <name val="Arial"/>
      <family val="2"/>
    </font>
    <font>
      <b/>
      <sz val="10"/>
      <name val="Arial"/>
      <family val="2"/>
    </font>
    <font>
      <sz val="9"/>
      <color indexed="10"/>
      <name val="Geneva"/>
    </font>
    <font>
      <b/>
      <sz val="9"/>
      <name val="Arial"/>
      <family val="2"/>
    </font>
    <font>
      <sz val="8"/>
      <color rgb="FF808080"/>
      <name val="Arial"/>
      <family val="2"/>
    </font>
    <font>
      <sz val="8"/>
      <name val="Garamond"/>
      <family val="1"/>
    </font>
    <font>
      <sz val="8"/>
      <color rgb="FF000000"/>
      <name val="Arial"/>
      <family val="2"/>
    </font>
    <font>
      <i/>
      <u/>
      <sz val="8"/>
      <name val="Arial"/>
      <family val="2"/>
    </font>
    <font>
      <sz val="10"/>
      <color theme="0" tint="-0.249977111117893"/>
      <name val="Arial"/>
      <family val="2"/>
    </font>
    <font>
      <b/>
      <sz val="8"/>
      <color indexed="72"/>
      <name val="Arial"/>
      <family val="2"/>
    </font>
    <font>
      <sz val="10"/>
      <name val="Arial"/>
      <family val="2"/>
    </font>
    <font>
      <sz val="1"/>
      <color indexed="8"/>
      <name val="Courier"/>
      <family val="3"/>
    </font>
    <font>
      <b/>
      <sz val="18"/>
      <name val="Arial"/>
      <family val="2"/>
    </font>
    <font>
      <b/>
      <sz val="1"/>
      <color indexed="8"/>
      <name val="Courier"/>
      <family val="3"/>
    </font>
    <font>
      <sz val="11"/>
      <color indexed="8"/>
      <name val="Calibri"/>
      <family val="2"/>
    </font>
    <font>
      <sz val="9"/>
      <color indexed="10"/>
      <name val="Geneva"/>
      <family val="2"/>
    </font>
    <font>
      <sz val="10"/>
      <name val="Book Antiqua"/>
      <family val="1"/>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sz val="10"/>
      <color indexed="8"/>
      <name val="MS Sans Serif"/>
      <family val="2"/>
    </font>
    <font>
      <b/>
      <sz val="11"/>
      <color indexed="63"/>
      <name val="Calibri"/>
      <family val="2"/>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u/>
      <sz val="8"/>
      <color indexed="12"/>
      <name val="Arial"/>
      <family val="2"/>
    </font>
    <font>
      <sz val="10"/>
      <name val="Helv"/>
      <family val="2"/>
    </font>
    <font>
      <sz val="10"/>
      <name val="Helv"/>
      <charset val="204"/>
    </font>
    <font>
      <sz val="10"/>
      <name val="Courier"/>
      <family val="3"/>
    </font>
    <font>
      <b/>
      <sz val="11"/>
      <color indexed="10"/>
      <name val="Calibri"/>
      <family val="2"/>
    </font>
    <font>
      <b/>
      <sz val="11"/>
      <color indexed="62"/>
      <name val="Calibri"/>
      <family val="2"/>
    </font>
    <font>
      <u/>
      <sz val="9"/>
      <color indexed="12"/>
      <name val="Times New Roman"/>
      <family val="1"/>
    </font>
    <font>
      <sz val="12"/>
      <name val="Helv"/>
    </font>
    <font>
      <sz val="11"/>
      <color indexed="19"/>
      <name val="Calibri"/>
      <family val="2"/>
    </font>
    <font>
      <b/>
      <sz val="15"/>
      <color indexed="62"/>
      <name val="Calibri"/>
      <family val="2"/>
    </font>
    <font>
      <b/>
      <sz val="18"/>
      <color indexed="62"/>
      <name val="Cambria"/>
      <family val="2"/>
    </font>
    <font>
      <b/>
      <sz val="13"/>
      <color indexed="62"/>
      <name val="Calibri"/>
      <family val="2"/>
    </font>
    <font>
      <sz val="12"/>
      <name val="Arial"/>
      <family val="2"/>
    </font>
    <font>
      <sz val="11"/>
      <color rgb="FF000000"/>
      <name val="Calibri"/>
      <family val="2"/>
      <charset val="204"/>
    </font>
    <font>
      <sz val="11"/>
      <color indexed="8"/>
      <name val="Calibri"/>
      <family val="2"/>
      <charset val="1"/>
    </font>
    <font>
      <sz val="10"/>
      <name val="Helv"/>
    </font>
    <font>
      <sz val="10"/>
      <name val="BERNHARD"/>
    </font>
    <font>
      <sz val="12"/>
      <color indexed="24"/>
      <name val="Times New Roman"/>
      <family val="1"/>
    </font>
    <font>
      <sz val="11"/>
      <color rgb="FF000000"/>
      <name val="Calibri"/>
      <family val="2"/>
    </font>
    <font>
      <b/>
      <sz val="10"/>
      <name val="BERNHARD"/>
    </font>
    <font>
      <sz val="1"/>
      <color indexed="16"/>
      <name val="Courier"/>
      <family val="3"/>
    </font>
    <font>
      <i/>
      <sz val="1"/>
      <color indexed="16"/>
      <name val="Courier"/>
      <family val="3"/>
    </font>
    <font>
      <i/>
      <sz val="1"/>
      <color indexed="8"/>
      <name val="Courier"/>
      <family val="3"/>
    </font>
    <font>
      <b/>
      <sz val="14"/>
      <name val="BERNHARD"/>
    </font>
    <font>
      <b/>
      <sz val="14"/>
      <name val="Arial"/>
      <family val="2"/>
    </font>
    <font>
      <sz val="8"/>
      <name val="BERNHARD"/>
    </font>
    <font>
      <sz val="18"/>
      <name val="Times New Roman"/>
      <family val="1"/>
    </font>
    <font>
      <u/>
      <sz val="10"/>
      <color indexed="14"/>
      <name val="MS Sans Serif"/>
      <family val="2"/>
    </font>
    <font>
      <sz val="10"/>
      <color indexed="24"/>
      <name val="Arial"/>
      <family val="2"/>
    </font>
    <font>
      <sz val="8"/>
      <color indexed="24"/>
      <name val="Times New Roman"/>
      <family val="1"/>
    </font>
    <font>
      <i/>
      <sz val="10"/>
      <name val="Arial"/>
      <family val="2"/>
    </font>
    <font>
      <u/>
      <sz val="10"/>
      <color indexed="12"/>
      <name val="MS Sans Serif"/>
      <family val="2"/>
    </font>
    <font>
      <sz val="10"/>
      <color indexed="8"/>
      <name val="ARIAL"/>
      <family val="2"/>
      <charset val="1"/>
    </font>
    <font>
      <sz val="8"/>
      <name val="Helv"/>
    </font>
    <font>
      <sz val="1"/>
      <color indexed="8"/>
      <name val="Courier New"/>
      <family val="3"/>
    </font>
    <font>
      <sz val="10"/>
      <name val="Mangal"/>
      <family val="2"/>
    </font>
    <font>
      <b/>
      <sz val="1"/>
      <color indexed="8"/>
      <name val="Courier New"/>
      <family val="3"/>
    </font>
    <font>
      <b/>
      <sz val="8"/>
      <color indexed="9"/>
      <name val="Arial"/>
      <family val="2"/>
    </font>
    <font>
      <sz val="8"/>
      <color indexed="12"/>
      <name val="Arial"/>
      <family val="2"/>
    </font>
    <font>
      <b/>
      <sz val="8"/>
      <color rgb="FFFF0000"/>
      <name val="Calibri"/>
      <family val="2"/>
    </font>
    <font>
      <sz val="8"/>
      <name val="Calibri"/>
      <family val="2"/>
    </font>
    <font>
      <sz val="8"/>
      <color rgb="FF000000"/>
      <name val="Calibri"/>
      <family val="2"/>
    </font>
    <font>
      <b/>
      <u/>
      <sz val="8"/>
      <color theme="2" tint="-0.499984740745262"/>
      <name val="Arial"/>
      <family val="2"/>
    </font>
    <font>
      <b/>
      <sz val="8"/>
      <color theme="4" tint="-0.249977111117893"/>
      <name val="Arial"/>
      <family val="2"/>
    </font>
    <font>
      <sz val="8"/>
      <color rgb="FF080000"/>
      <name val="Arial"/>
      <family val="2"/>
    </font>
    <font>
      <sz val="8"/>
      <color rgb="FF0000FF"/>
      <name val="Arial"/>
      <family val="2"/>
    </font>
    <font>
      <b/>
      <sz val="8"/>
      <color rgb="FF080000"/>
      <name val="Arial"/>
      <family val="2"/>
    </font>
    <font>
      <sz val="8"/>
      <color indexed="72"/>
      <name val="Garamond"/>
      <family val="1"/>
    </font>
  </fonts>
  <fills count="65">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FC000"/>
        <bgColor indexed="64"/>
      </patternFill>
    </fill>
    <fill>
      <patternFill patternType="solid">
        <fgColor indexed="26"/>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9"/>
      </patternFill>
    </fill>
    <fill>
      <patternFill patternType="solid">
        <fgColor indexed="56"/>
      </patternFill>
    </fill>
    <fill>
      <patternFill patternType="solid">
        <fgColor indexed="5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15"/>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38"/>
      </patternFill>
    </fill>
    <fill>
      <patternFill patternType="solid">
        <fgColor indexed="10"/>
        <bgColor indexed="60"/>
      </patternFill>
    </fill>
    <fill>
      <patternFill patternType="solid">
        <fgColor indexed="57"/>
        <bgColor indexed="54"/>
      </patternFill>
    </fill>
    <fill>
      <patternFill patternType="solid">
        <fgColor indexed="53"/>
        <bgColor indexed="52"/>
      </patternFill>
    </fill>
    <fill>
      <patternFill patternType="solid">
        <fgColor indexed="22"/>
        <bgColor indexed="50"/>
      </patternFill>
    </fill>
    <fill>
      <patternFill patternType="solid">
        <fgColor indexed="55"/>
        <bgColor indexed="23"/>
      </patternFill>
    </fill>
    <fill>
      <patternFill patternType="solid">
        <fgColor indexed="26"/>
        <bgColor indexed="9"/>
      </patternFill>
    </fill>
    <fill>
      <patternFill patternType="solid">
        <fgColor theme="4" tint="0.79998168889431442"/>
        <bgColor indexed="64"/>
      </patternFill>
    </fill>
    <fill>
      <patternFill patternType="solid">
        <fgColor rgb="FF92D050"/>
        <bgColor indexed="64"/>
      </patternFill>
    </fill>
    <fill>
      <patternFill patternType="solid">
        <fgColor theme="4" tint="0.39997558519241921"/>
        <bgColor indexed="64"/>
      </patternFill>
    </fill>
    <fill>
      <patternFill patternType="solid">
        <fgColor indexed="23"/>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FFFF"/>
        <bgColor rgb="FF000000"/>
      </patternFill>
    </fill>
  </fills>
  <borders count="9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thin">
        <color indexed="64"/>
      </left>
      <right style="double">
        <color indexed="64"/>
      </right>
      <top style="double">
        <color indexed="64"/>
      </top>
      <bottom/>
      <diagonal/>
    </border>
    <border>
      <left style="double">
        <color indexed="64"/>
      </left>
      <right style="thin">
        <color indexed="64"/>
      </right>
      <top/>
      <bottom/>
      <diagonal/>
    </border>
    <border>
      <left style="thin">
        <color indexed="64"/>
      </left>
      <right style="double">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double">
        <color indexed="64"/>
      </top>
      <bottom/>
      <diagonal/>
    </border>
    <border>
      <left style="double">
        <color indexed="64"/>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right/>
      <top style="medium">
        <color indexed="64"/>
      </top>
      <bottom style="medium">
        <color indexed="64"/>
      </bottom>
      <diagonal/>
    </border>
    <border>
      <left style="thin">
        <color indexed="64"/>
      </left>
      <right style="thin">
        <color indexed="64"/>
      </right>
      <top style="hair">
        <color indexed="64"/>
      </top>
      <bottom/>
      <diagonal/>
    </border>
    <border>
      <left style="medium">
        <color auto="1"/>
      </left>
      <right style="thin">
        <color auto="1"/>
      </right>
      <top/>
      <bottom/>
      <diagonal/>
    </border>
    <border>
      <left style="thin">
        <color auto="1"/>
      </left>
      <right style="medium">
        <color indexed="64"/>
      </right>
      <top/>
      <bottom/>
      <diagonal/>
    </border>
    <border>
      <left style="medium">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double">
        <color indexed="64"/>
      </right>
      <top style="double">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style="hair">
        <color indexed="64"/>
      </top>
      <bottom style="double">
        <color indexed="64"/>
      </bottom>
      <diagonal/>
    </border>
    <border>
      <left style="thin">
        <color indexed="64"/>
      </left>
      <right style="double">
        <color indexed="64"/>
      </right>
      <top style="hair">
        <color indexed="64"/>
      </top>
      <bottom/>
      <diagonal/>
    </border>
    <border>
      <left style="thin">
        <color indexed="64"/>
      </left>
      <right style="thin">
        <color indexed="64"/>
      </right>
      <top/>
      <bottom style="hair">
        <color indexed="64"/>
      </bottom>
      <diagonal/>
    </border>
    <border>
      <left style="thin">
        <color indexed="22"/>
      </left>
      <right style="thin">
        <color indexed="22"/>
      </right>
      <top style="thin">
        <color indexed="22"/>
      </top>
      <bottom style="thin">
        <color indexed="22"/>
      </bottom>
      <diagonal/>
    </border>
    <border>
      <left/>
      <right/>
      <top style="double">
        <color indexed="8"/>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double">
        <color indexed="10"/>
      </bottom>
      <diagonal/>
    </border>
    <border>
      <left/>
      <right style="thin">
        <color indexed="8"/>
      </right>
      <top/>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right/>
      <top/>
      <bottom style="hair">
        <color indexed="12"/>
      </bottom>
      <diagonal/>
    </border>
    <border>
      <left/>
      <right/>
      <top/>
      <bottom style="double">
        <color indexed="64"/>
      </bottom>
      <diagonal/>
    </border>
    <border>
      <left style="thin">
        <color indexed="64"/>
      </left>
      <right style="thin">
        <color indexed="64"/>
      </right>
      <top/>
      <bottom style="medium">
        <color indexed="64"/>
      </bottom>
      <diagonal/>
    </border>
    <border>
      <left style="thin">
        <color auto="1"/>
      </left>
      <right style="thin">
        <color auto="1"/>
      </right>
      <top style="thin">
        <color auto="1"/>
      </top>
      <bottom style="thin">
        <color auto="1"/>
      </bottom>
      <diagonal/>
    </border>
    <border>
      <left/>
      <right style="medium">
        <color auto="1"/>
      </right>
      <top style="medium">
        <color indexed="64"/>
      </top>
      <bottom style="thin">
        <color indexed="64"/>
      </bottom>
      <diagonal/>
    </border>
    <border>
      <left style="medium">
        <color indexed="64"/>
      </left>
      <right/>
      <top style="thin">
        <color indexed="64"/>
      </top>
      <bottom/>
      <diagonal/>
    </border>
    <border>
      <left/>
      <right style="medium">
        <color auto="1"/>
      </right>
      <top style="thin">
        <color indexed="64"/>
      </top>
      <bottom/>
      <diagonal/>
    </border>
    <border>
      <left style="thin">
        <color indexed="64"/>
      </left>
      <right style="thin">
        <color indexed="64"/>
      </right>
      <top style="thin">
        <color indexed="64"/>
      </top>
      <bottom/>
      <diagonal/>
    </border>
    <border>
      <left/>
      <right style="double">
        <color indexed="64"/>
      </right>
      <top style="double">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double">
        <color indexed="64"/>
      </left>
      <right/>
      <top style="thin">
        <color rgb="FF000000"/>
      </top>
      <bottom style="thin">
        <color rgb="FF000000"/>
      </bottom>
      <diagonal/>
    </border>
    <border>
      <left style="double">
        <color indexed="64"/>
      </left>
      <right/>
      <top style="thin">
        <color rgb="FF000000"/>
      </top>
      <bottom style="double">
        <color indexed="64"/>
      </bottom>
      <diagonal/>
    </border>
    <border>
      <left style="thin">
        <color rgb="FF000000"/>
      </left>
      <right/>
      <top style="thin">
        <color rgb="FF000000"/>
      </top>
      <bottom style="double">
        <color indexed="64"/>
      </bottom>
      <diagonal/>
    </border>
    <border>
      <left style="thin">
        <color rgb="FF000000"/>
      </left>
      <right style="thin">
        <color rgb="FF000000"/>
      </right>
      <top style="thin">
        <color rgb="FF000000"/>
      </top>
      <bottom style="double">
        <color indexed="64"/>
      </bottom>
      <diagonal/>
    </border>
    <border>
      <left style="double">
        <color indexed="64"/>
      </left>
      <right style="double">
        <color indexed="64"/>
      </right>
      <top style="double">
        <color indexed="64"/>
      </top>
      <bottom style="thin">
        <color indexed="64"/>
      </bottom>
      <diagonal/>
    </border>
    <border>
      <left style="double">
        <color indexed="64"/>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rgb="FF000000"/>
      </left>
      <right style="double">
        <color indexed="64"/>
      </right>
      <top/>
      <bottom style="thin">
        <color rgb="FF000000"/>
      </bottom>
      <diagonal/>
    </border>
    <border>
      <left style="thin">
        <color rgb="FF000000"/>
      </left>
      <right style="double">
        <color indexed="64"/>
      </right>
      <top style="thin">
        <color rgb="FF000000"/>
      </top>
      <bottom style="thin">
        <color rgb="FF000000"/>
      </bottom>
      <diagonal/>
    </border>
    <border>
      <left style="thin">
        <color rgb="FF000000"/>
      </left>
      <right style="double">
        <color indexed="64"/>
      </right>
      <top style="thin">
        <color rgb="FF000000"/>
      </top>
      <bottom style="double">
        <color indexed="64"/>
      </bottom>
      <diagonal/>
    </border>
    <border>
      <left style="double">
        <color indexed="64"/>
      </left>
      <right style="double">
        <color indexed="64"/>
      </right>
      <top/>
      <bottom style="double">
        <color indexed="64"/>
      </bottom>
      <diagonal/>
    </border>
    <border>
      <left style="thin">
        <color indexed="64"/>
      </left>
      <right/>
      <top style="double">
        <color indexed="64"/>
      </top>
      <bottom style="double">
        <color indexed="64"/>
      </bottom>
      <diagonal/>
    </border>
    <border>
      <left style="medium">
        <color indexed="64"/>
      </left>
      <right style="medium">
        <color indexed="64"/>
      </right>
      <top style="thin">
        <color indexed="64"/>
      </top>
      <bottom style="thin">
        <color indexed="64"/>
      </bottom>
      <diagonal/>
    </border>
    <border>
      <left style="hair">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top style="double">
        <color indexed="64"/>
      </top>
      <bottom/>
      <diagonal/>
    </border>
    <border>
      <left/>
      <right style="thin">
        <color auto="1"/>
      </right>
      <top/>
      <bottom/>
      <diagonal/>
    </border>
    <border>
      <left style="thin">
        <color auto="1"/>
      </left>
      <right style="medium">
        <color indexed="64"/>
      </right>
      <top style="thin">
        <color auto="1"/>
      </top>
      <bottom style="thin">
        <color auto="1"/>
      </bottom>
      <diagonal/>
    </border>
  </borders>
  <cellStyleXfs count="58389">
    <xf numFmtId="0" fontId="0" fillId="0" borderId="0"/>
    <xf numFmtId="165" fontId="1" fillId="0" borderId="0" applyFont="0" applyFill="0" applyBorder="0" applyAlignment="0" applyProtection="0"/>
    <xf numFmtId="0" fontId="2" fillId="0" borderId="0"/>
    <xf numFmtId="0" fontId="3" fillId="0" borderId="0">
      <alignment vertical="center"/>
    </xf>
    <xf numFmtId="0" fontId="3" fillId="0" borderId="0">
      <alignment vertical="center"/>
    </xf>
    <xf numFmtId="165" fontId="2" fillId="0" borderId="0" applyFont="0" applyFill="0" applyBorder="0" applyAlignment="0" applyProtection="0"/>
    <xf numFmtId="9" fontId="1" fillId="0" borderId="0" applyFont="0" applyFill="0" applyBorder="0" applyAlignment="0" applyProtection="0"/>
    <xf numFmtId="0" fontId="2" fillId="0" borderId="0"/>
    <xf numFmtId="0" fontId="3" fillId="0" borderId="0">
      <alignment vertical="center"/>
    </xf>
    <xf numFmtId="0" fontId="17" fillId="0" borderId="0"/>
    <xf numFmtId="171" fontId="1" fillId="0" borderId="0" applyFont="0" applyFill="0" applyBorder="0" applyAlignment="0" applyProtection="0"/>
    <xf numFmtId="43" fontId="2" fillId="0" borderId="0" applyFont="0" applyFill="0" applyBorder="0" applyAlignment="0" applyProtection="0"/>
    <xf numFmtId="0" fontId="1" fillId="0" borderId="0"/>
    <xf numFmtId="165" fontId="1" fillId="0" borderId="0" applyFont="0" applyFill="0" applyBorder="0" applyAlignment="0" applyProtection="0"/>
    <xf numFmtId="0" fontId="2" fillId="0" borderId="0"/>
    <xf numFmtId="0" fontId="2" fillId="0" borderId="0"/>
    <xf numFmtId="0" fontId="1" fillId="0" borderId="0"/>
    <xf numFmtId="165" fontId="1" fillId="0" borderId="0" applyFont="0" applyFill="0" applyBorder="0" applyAlignment="0" applyProtection="0"/>
    <xf numFmtId="0" fontId="1" fillId="0" borderId="0"/>
    <xf numFmtId="0" fontId="2" fillId="0" borderId="0"/>
    <xf numFmtId="0" fontId="1" fillId="0" borderId="0"/>
    <xf numFmtId="0" fontId="1" fillId="0" borderId="0"/>
    <xf numFmtId="0" fontId="2" fillId="0" borderId="0"/>
    <xf numFmtId="0" fontId="2" fillId="0" borderId="0"/>
    <xf numFmtId="173" fontId="1" fillId="0" borderId="0"/>
    <xf numFmtId="0" fontId="25" fillId="0" borderId="0">
      <alignment vertical="top"/>
    </xf>
    <xf numFmtId="43" fontId="2" fillId="0" borderId="0" applyFont="0" applyFill="0" applyBorder="0" applyAlignment="0" applyProtection="0">
      <alignment vertical="center"/>
    </xf>
    <xf numFmtId="0" fontId="2" fillId="0" borderId="0"/>
    <xf numFmtId="9" fontId="2" fillId="0" borderId="0" applyFont="0" applyFill="0" applyBorder="0" applyAlignment="0" applyProtection="0"/>
    <xf numFmtId="171" fontId="2" fillId="0" borderId="0" applyFont="0" applyFill="0" applyBorder="0" applyAlignment="0" applyProtection="0"/>
    <xf numFmtId="171" fontId="1" fillId="0" borderId="0" applyFont="0" applyFill="0" applyBorder="0" applyAlignment="0" applyProtection="0"/>
    <xf numFmtId="0" fontId="1" fillId="0" borderId="0"/>
    <xf numFmtId="165" fontId="1" fillId="0" borderId="0" applyFont="0" applyFill="0" applyBorder="0" applyAlignment="0" applyProtection="0"/>
    <xf numFmtId="0" fontId="2" fillId="0" borderId="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2"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0" fontId="39" fillId="0" borderId="0"/>
    <xf numFmtId="0" fontId="43" fillId="0" borderId="0"/>
    <xf numFmtId="191" fontId="2" fillId="0" borderId="0">
      <protection locked="0"/>
    </xf>
    <xf numFmtId="0" fontId="41" fillId="0" borderId="0" applyNumberFormat="0" applyFill="0" applyBorder="0" applyAlignment="0" applyProtection="0"/>
    <xf numFmtId="0" fontId="29" fillId="0" borderId="0" applyNumberFormat="0" applyFill="0" applyBorder="0" applyAlignment="0" applyProtection="0"/>
    <xf numFmtId="0" fontId="44" fillId="0" borderId="0"/>
    <xf numFmtId="191" fontId="2" fillId="0" borderId="0" applyFont="0" applyFill="0" applyBorder="0" applyAlignment="0" applyProtection="0"/>
    <xf numFmtId="194" fontId="2" fillId="0" borderId="0" applyFont="0" applyFill="0" applyBorder="0" applyAlignment="0" applyProtection="0"/>
    <xf numFmtId="191" fontId="2" fillId="0" borderId="0" applyFont="0" applyFill="0" applyBorder="0" applyAlignment="0" applyProtection="0"/>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2" fillId="0" borderId="0" applyFont="0" applyFill="0" applyBorder="0" applyAlignment="0" applyProtection="0"/>
    <xf numFmtId="2" fontId="2" fillId="0" borderId="0" applyFont="0" applyFill="0" applyBorder="0" applyAlignment="0" applyProtection="0"/>
    <xf numFmtId="192" fontId="2" fillId="0" borderId="0">
      <protection locked="0"/>
    </xf>
    <xf numFmtId="0" fontId="42" fillId="0" borderId="0">
      <protection locked="0"/>
    </xf>
    <xf numFmtId="0" fontId="42" fillId="0" borderId="0">
      <protection locked="0"/>
    </xf>
    <xf numFmtId="192" fontId="2" fillId="0" borderId="0" applyFont="0" applyFill="0" applyBorder="0" applyAlignment="0" applyProtection="0"/>
    <xf numFmtId="171" fontId="43"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5" fontId="2" fillId="0" borderId="0" applyFont="0" applyFill="0" applyBorder="0" applyAlignment="0" applyProtection="0"/>
    <xf numFmtId="0" fontId="1" fillId="0" borderId="0"/>
    <xf numFmtId="0" fontId="2" fillId="0" borderId="0"/>
    <xf numFmtId="0" fontId="43" fillId="0" borderId="0"/>
    <xf numFmtId="0" fontId="43" fillId="0" borderId="0"/>
    <xf numFmtId="0" fontId="43" fillId="11" borderId="50" applyNumberFormat="0" applyFont="0" applyAlignment="0" applyProtection="0"/>
    <xf numFmtId="0" fontId="43" fillId="11" borderId="50" applyNumberFormat="0" applyFont="0" applyAlignment="0" applyProtection="0"/>
    <xf numFmtId="9" fontId="2" fillId="0" borderId="0" applyFont="0" applyFill="0" applyBorder="0" applyAlignment="0" applyProtection="0"/>
    <xf numFmtId="9" fontId="43" fillId="0" borderId="0" applyFont="0" applyFill="0" applyBorder="0" applyAlignment="0" applyProtection="0"/>
    <xf numFmtId="3" fontId="2" fillId="0" borderId="0" applyFont="0" applyFill="0" applyBorder="0" applyAlignment="0" applyProtection="0"/>
    <xf numFmtId="0" fontId="2" fillId="0" borderId="51" applyNumberFormat="0" applyFont="0" applyFill="0" applyAlignment="0" applyProtection="0"/>
    <xf numFmtId="165" fontId="2" fillId="0" borderId="0" applyFont="0" applyFill="0" applyBorder="0" applyAlignment="0" applyProtection="0"/>
    <xf numFmtId="0" fontId="2" fillId="0" borderId="0"/>
    <xf numFmtId="0" fontId="2" fillId="0" borderId="0"/>
    <xf numFmtId="165" fontId="2" fillId="0" borderId="0" applyFont="0" applyFill="0" applyBorder="0" applyAlignment="0" applyProtection="0"/>
    <xf numFmtId="0" fontId="2" fillId="0" borderId="0"/>
    <xf numFmtId="0" fontId="3" fillId="0" borderId="0">
      <alignment vertical="center"/>
    </xf>
    <xf numFmtId="0" fontId="3" fillId="0" borderId="0">
      <alignment vertical="center"/>
    </xf>
    <xf numFmtId="165" fontId="2" fillId="0" borderId="0" applyFont="0" applyFill="0" applyBorder="0" applyAlignment="0" applyProtection="0"/>
    <xf numFmtId="0" fontId="43" fillId="12" borderId="0" applyNumberFormat="0" applyBorder="0" applyAlignment="0" applyProtection="0"/>
    <xf numFmtId="0" fontId="43" fillId="13" borderId="0" applyNumberFormat="0" applyBorder="0" applyAlignment="0" applyProtection="0"/>
    <xf numFmtId="0" fontId="43" fillId="14" borderId="0" applyNumberFormat="0" applyBorder="0" applyAlignment="0" applyProtection="0"/>
    <xf numFmtId="0" fontId="43" fillId="15" borderId="0" applyNumberFormat="0" applyBorder="0" applyAlignment="0" applyProtection="0"/>
    <xf numFmtId="0" fontId="43" fillId="16" borderId="0" applyNumberFormat="0" applyBorder="0" applyAlignment="0" applyProtection="0"/>
    <xf numFmtId="0" fontId="43" fillId="17" borderId="0" applyNumberFormat="0" applyBorder="0" applyAlignment="0" applyProtection="0"/>
    <xf numFmtId="0" fontId="43" fillId="18" borderId="0" applyNumberFormat="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15" borderId="0" applyNumberFormat="0" applyBorder="0" applyAlignment="0" applyProtection="0"/>
    <xf numFmtId="0" fontId="43" fillId="18" borderId="0" applyNumberFormat="0" applyBorder="0" applyAlignment="0" applyProtection="0"/>
    <xf numFmtId="0" fontId="43" fillId="21" borderId="0" applyNumberFormat="0" applyBorder="0" applyAlignment="0" applyProtection="0"/>
    <xf numFmtId="0" fontId="46" fillId="22" borderId="0" applyNumberFormat="0" applyBorder="0" applyAlignment="0" applyProtection="0"/>
    <xf numFmtId="0" fontId="46" fillId="19" borderId="0" applyNumberFormat="0" applyBorder="0" applyAlignment="0" applyProtection="0"/>
    <xf numFmtId="0" fontId="46" fillId="20"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5" borderId="0" applyNumberFormat="0" applyBorder="0" applyAlignment="0" applyProtection="0"/>
    <xf numFmtId="0" fontId="47" fillId="14" borderId="0" applyNumberFormat="0" applyBorder="0" applyAlignment="0" applyProtection="0"/>
    <xf numFmtId="0" fontId="48" fillId="26" borderId="52" applyNumberFormat="0" applyAlignment="0" applyProtection="0"/>
    <xf numFmtId="0" fontId="49" fillId="27" borderId="53" applyNumberFormat="0" applyAlignment="0" applyProtection="0"/>
    <xf numFmtId="0" fontId="50" fillId="0" borderId="54" applyNumberFormat="0" applyFill="0" applyAlignment="0" applyProtection="0"/>
    <xf numFmtId="195"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191" fontId="2" fillId="0" borderId="0">
      <protection locked="0"/>
    </xf>
    <xf numFmtId="191" fontId="2" fillId="0" borderId="0">
      <protection locked="0"/>
    </xf>
    <xf numFmtId="191" fontId="2" fillId="0" borderId="0">
      <protection locked="0"/>
    </xf>
    <xf numFmtId="5" fontId="2" fillId="0" borderId="0" applyFill="0" applyBorder="0" applyAlignment="0" applyProtection="0"/>
    <xf numFmtId="5" fontId="2" fillId="0" borderId="0" applyFill="0" applyBorder="0" applyAlignment="0" applyProtection="0"/>
    <xf numFmtId="196" fontId="2" fillId="0" borderId="0" applyFill="0" applyBorder="0" applyAlignment="0" applyProtection="0"/>
    <xf numFmtId="196" fontId="2" fillId="0" borderId="0" applyFill="0" applyBorder="0" applyAlignment="0" applyProtection="0"/>
    <xf numFmtId="0" fontId="51" fillId="0" borderId="0" applyNumberFormat="0" applyFill="0" applyBorder="0" applyAlignment="0" applyProtection="0"/>
    <xf numFmtId="0" fontId="46" fillId="28" borderId="0" applyNumberFormat="0" applyBorder="0" applyAlignment="0" applyProtection="0"/>
    <xf numFmtId="0" fontId="46" fillId="29" borderId="0" applyNumberFormat="0" applyBorder="0" applyAlignment="0" applyProtection="0"/>
    <xf numFmtId="0" fontId="46" fillId="30"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31" borderId="0" applyNumberFormat="0" applyBorder="0" applyAlignment="0" applyProtection="0"/>
    <xf numFmtId="0" fontId="52" fillId="17" borderId="52" applyNumberFormat="0" applyAlignment="0" applyProtection="0"/>
    <xf numFmtId="194"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192" fontId="2" fillId="0" borderId="0">
      <protection locked="0"/>
    </xf>
    <xf numFmtId="192" fontId="2" fillId="0" borderId="0">
      <protection locked="0"/>
    </xf>
    <xf numFmtId="192" fontId="2" fillId="0" borderId="0">
      <protection locked="0"/>
    </xf>
    <xf numFmtId="192" fontId="2" fillId="0" borderId="0">
      <protection locked="0"/>
    </xf>
    <xf numFmtId="0" fontId="41" fillId="0" borderId="0" applyNumberFormat="0" applyFill="0" applyBorder="0" applyAlignment="0" applyProtection="0"/>
    <xf numFmtId="0" fontId="29" fillId="0" borderId="0" applyNumberFormat="0" applyFill="0" applyBorder="0" applyAlignment="0" applyProtection="0"/>
    <xf numFmtId="0" fontId="53" fillId="13" borderId="0" applyNumberFormat="0" applyBorder="0" applyAlignment="0" applyProtection="0"/>
    <xf numFmtId="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0" fontId="54" fillId="32" borderId="0" applyNumberFormat="0" applyBorder="0" applyAlignment="0" applyProtection="0"/>
    <xf numFmtId="0" fontId="2" fillId="0" borderId="0"/>
    <xf numFmtId="0" fontId="2" fillId="0" borderId="0"/>
    <xf numFmtId="0" fontId="3" fillId="0" borderId="0">
      <alignment vertical="center"/>
    </xf>
    <xf numFmtId="0" fontId="3" fillId="0" borderId="0">
      <alignment vertical="center"/>
    </xf>
    <xf numFmtId="0" fontId="2" fillId="0" borderId="0"/>
    <xf numFmtId="0" fontId="55" fillId="0" borderId="0"/>
    <xf numFmtId="193" fontId="2" fillId="0" borderId="0">
      <protection locked="0"/>
    </xf>
    <xf numFmtId="193" fontId="2" fillId="0" borderId="0">
      <protection locked="0"/>
    </xf>
    <xf numFmtId="193" fontId="2" fillId="0" borderId="0">
      <protection locked="0"/>
    </xf>
    <xf numFmtId="193" fontId="2" fillId="0" borderId="0">
      <protection locked="0"/>
    </xf>
    <xf numFmtId="9" fontId="2" fillId="0" borderId="0" applyFont="0" applyFill="0" applyBorder="0" applyAlignment="0" applyProtection="0"/>
    <xf numFmtId="9"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0" fontId="56" fillId="26" borderId="55" applyNumberFormat="0" applyAlignment="0" applyProtection="0"/>
    <xf numFmtId="0" fontId="57" fillId="0" borderId="0" applyNumberFormat="0" applyFill="0" applyBorder="0" applyAlignment="0" applyProtection="0"/>
    <xf numFmtId="0" fontId="58" fillId="0" borderId="0" applyNumberFormat="0" applyFill="0" applyBorder="0" applyAlignment="0" applyProtection="0"/>
    <xf numFmtId="0" fontId="59" fillId="0" borderId="56" applyNumberFormat="0" applyFill="0" applyAlignment="0" applyProtection="0"/>
    <xf numFmtId="0" fontId="60" fillId="0" borderId="57" applyNumberFormat="0" applyFill="0" applyAlignment="0" applyProtection="0"/>
    <xf numFmtId="0" fontId="51" fillId="0" borderId="58" applyNumberFormat="0" applyFill="0" applyAlignment="0" applyProtection="0"/>
    <xf numFmtId="0" fontId="61" fillId="0" borderId="0" applyNumberFormat="0" applyFill="0" applyBorder="0" applyAlignment="0" applyProtection="0"/>
    <xf numFmtId="0" fontId="62" fillId="0" borderId="59" applyNumberFormat="0" applyFill="0" applyAlignment="0" applyProtection="0"/>
    <xf numFmtId="0" fontId="2" fillId="0" borderId="51" applyNumberFormat="0" applyFont="0" applyFill="0" applyAlignment="0" applyProtection="0"/>
    <xf numFmtId="165" fontId="2" fillId="0" borderId="0" applyFont="0" applyFill="0" applyBorder="0" applyAlignment="0" applyProtection="0"/>
    <xf numFmtId="0" fontId="2" fillId="0" borderId="0"/>
    <xf numFmtId="0" fontId="2" fillId="0" borderId="0"/>
    <xf numFmtId="0" fontId="3" fillId="0" borderId="0"/>
    <xf numFmtId="197" fontId="43" fillId="0" borderId="0" applyFont="0" applyFill="0" applyBorder="0" applyAlignment="0" applyProtection="0"/>
    <xf numFmtId="189" fontId="2" fillId="0" borderId="0" applyFont="0" applyFill="0" applyBorder="0" applyAlignment="0" applyProtection="0"/>
    <xf numFmtId="198" fontId="43" fillId="0" borderId="0" applyFont="0" applyFill="0" applyBorder="0" applyAlignment="0" applyProtection="0"/>
    <xf numFmtId="171" fontId="2" fillId="0" borderId="0" applyFont="0" applyFill="0" applyBorder="0" applyAlignment="0" applyProtection="0"/>
    <xf numFmtId="0" fontId="63" fillId="0" borderId="0" applyNumberFormat="0" applyFill="0" applyBorder="0" applyAlignment="0" applyProtection="0">
      <alignment vertical="top"/>
      <protection locked="0"/>
    </xf>
    <xf numFmtId="0" fontId="31" fillId="0" borderId="0"/>
    <xf numFmtId="165" fontId="2" fillId="0" borderId="0" applyFont="0" applyFill="0" applyBorder="0" applyAlignment="0" applyProtection="0"/>
    <xf numFmtId="165" fontId="2" fillId="0" borderId="0" applyFont="0" applyFill="0" applyBorder="0" applyAlignment="0" applyProtection="0"/>
    <xf numFmtId="192" fontId="2" fillId="0" borderId="0" applyFont="0" applyFill="0" applyBorder="0" applyAlignment="0" applyProtection="0"/>
    <xf numFmtId="192" fontId="2" fillId="0" borderId="0" applyFont="0" applyFill="0" applyBorder="0" applyAlignment="0" applyProtection="0"/>
    <xf numFmtId="0" fontId="1" fillId="0" borderId="0"/>
    <xf numFmtId="0" fontId="3" fillId="11" borderId="50" applyNumberFormat="0" applyFont="0" applyAlignment="0" applyProtection="0"/>
    <xf numFmtId="194" fontId="2" fillId="0" borderId="0" applyFont="0" applyFill="0" applyBorder="0" applyAlignment="0" applyProtection="0"/>
    <xf numFmtId="192" fontId="2" fillId="0" borderId="0" applyFont="0" applyFill="0" applyBorder="0" applyAlignment="0" applyProtection="0"/>
    <xf numFmtId="171" fontId="43" fillId="0" borderId="0" applyFont="0" applyFill="0" applyBorder="0" applyAlignment="0" applyProtection="0"/>
    <xf numFmtId="165" fontId="2" fillId="0" borderId="0" applyFont="0" applyFill="0" applyBorder="0" applyAlignment="0" applyProtection="0"/>
    <xf numFmtId="0" fontId="1" fillId="0" borderId="0"/>
    <xf numFmtId="0" fontId="2" fillId="0" borderId="0"/>
    <xf numFmtId="0" fontId="43" fillId="11" borderId="50" applyNumberFormat="0" applyFont="0" applyAlignment="0" applyProtection="0"/>
    <xf numFmtId="9"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165" fontId="2" fillId="0" borderId="0" applyFont="0" applyFill="0" applyBorder="0" applyAlignment="0" applyProtection="0"/>
    <xf numFmtId="0" fontId="2" fillId="0" borderId="0"/>
    <xf numFmtId="0" fontId="64" fillId="0" borderId="0"/>
    <xf numFmtId="0" fontId="44" fillId="0" borderId="0"/>
    <xf numFmtId="0" fontId="65" fillId="0" borderId="0"/>
    <xf numFmtId="0" fontId="64" fillId="0" borderId="0"/>
    <xf numFmtId="0" fontId="64" fillId="0" borderId="0"/>
    <xf numFmtId="0" fontId="64" fillId="0" borderId="0"/>
    <xf numFmtId="0" fontId="65" fillId="0" borderId="0"/>
    <xf numFmtId="0" fontId="64" fillId="0" borderId="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3"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66" fillId="0" borderId="1"/>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47" fillId="16" borderId="0" applyNumberFormat="0" applyBorder="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67" fillId="33" borderId="52" applyNumberFormat="0" applyAlignment="0" applyProtection="0"/>
    <xf numFmtId="0" fontId="2" fillId="0" borderId="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49" fillId="27" borderId="53" applyNumberFormat="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57" fillId="0" borderId="60" applyNumberFormat="0" applyFill="0" applyAlignment="0" applyProtection="0"/>
    <xf numFmtId="0" fontId="40" fillId="0" borderId="0">
      <protection locked="0"/>
    </xf>
    <xf numFmtId="0" fontId="42" fillId="0" borderId="0">
      <protection locked="0"/>
    </xf>
    <xf numFmtId="0" fontId="42" fillId="0" borderId="0">
      <protection locked="0"/>
    </xf>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4"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21"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52" fillId="32" borderId="52" applyNumberFormat="0" applyAlignment="0" applyProtection="0"/>
    <xf numFmtId="0" fontId="31" fillId="0" borderId="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200" fontId="40" fillId="0" borderId="0">
      <protection locked="0"/>
    </xf>
    <xf numFmtId="0" fontId="69" fillId="0" borderId="0" applyNumberFormat="0" applyFill="0" applyBorder="0" applyAlignment="0" applyProtection="0">
      <alignment vertical="top"/>
      <protection locked="0"/>
    </xf>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201" fontId="2" fillId="0" borderId="0" applyFont="0" applyFill="0" applyBorder="0" applyAlignment="0" applyProtection="0"/>
    <xf numFmtId="171"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alignment vertical="center"/>
    </xf>
    <xf numFmtId="173" fontId="2" fillId="0" borderId="0" applyFont="0" applyFill="0" applyBorder="0" applyAlignment="0" applyProtection="0"/>
    <xf numFmtId="203" fontId="2" fillId="0" borderId="0" applyFont="0" applyFill="0" applyBorder="0" applyAlignment="0" applyProtection="0">
      <alignment vertical="center"/>
    </xf>
    <xf numFmtId="204" fontId="2" fillId="0" borderId="0" applyFont="0" applyFill="0" applyBorder="0" applyAlignment="0" applyProtection="0"/>
    <xf numFmtId="205" fontId="2" fillId="0" borderId="0" applyFont="0" applyFill="0" applyBorder="0" applyAlignment="0" applyProtection="0"/>
    <xf numFmtId="204" fontId="2" fillId="0" borderId="0" applyFont="0" applyFill="0" applyBorder="0" applyAlignment="0" applyProtection="0"/>
    <xf numFmtId="201" fontId="2" fillId="0" borderId="0" applyFont="0" applyFill="0" applyBorder="0" applyAlignment="0" applyProtection="0"/>
    <xf numFmtId="206" fontId="2" fillId="0" borderId="0" applyFont="0" applyFill="0" applyBorder="0" applyAlignment="0" applyProtection="0"/>
    <xf numFmtId="207" fontId="70" fillId="0" borderId="61" applyFont="0" applyBorder="0" applyAlignment="0"/>
    <xf numFmtId="208" fontId="40" fillId="0" borderId="0">
      <protection locked="0"/>
    </xf>
    <xf numFmtId="209" fontId="2" fillId="0" borderId="0" applyFont="0" applyFill="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45" fillId="0" borderId="0"/>
    <xf numFmtId="0" fontId="2" fillId="0" borderId="0"/>
    <xf numFmtId="0" fontId="43" fillId="0" borderId="0"/>
    <xf numFmtId="0" fontId="43" fillId="0" borderId="0"/>
    <xf numFmtId="0" fontId="2" fillId="0" borderId="0"/>
    <xf numFmtId="0" fontId="2" fillId="0" borderId="0"/>
    <xf numFmtId="0" fontId="2" fillId="0" borderId="0"/>
    <xf numFmtId="0" fontId="43" fillId="0" borderId="0"/>
    <xf numFmtId="0" fontId="3" fillId="0" borderId="0">
      <alignment vertical="center"/>
    </xf>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 fillId="0" borderId="0"/>
    <xf numFmtId="0" fontId="4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alignment vertical="center"/>
    </xf>
    <xf numFmtId="0" fontId="3"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43" fillId="0" borderId="0"/>
    <xf numFmtId="0" fontId="2" fillId="0" borderId="0"/>
    <xf numFmtId="0" fontId="43" fillId="0" borderId="0"/>
    <xf numFmtId="0" fontId="2"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 fillId="0" borderId="0"/>
    <xf numFmtId="0" fontId="43" fillId="0" borderId="0"/>
    <xf numFmtId="0" fontId="2" fillId="0" borderId="0"/>
    <xf numFmtId="0" fontId="4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5" fillId="0" borderId="0">
      <alignment vertical="top"/>
    </xf>
    <xf numFmtId="0" fontId="1" fillId="0" borderId="0"/>
    <xf numFmtId="0" fontId="3" fillId="0" borderId="0">
      <alignment vertical="center"/>
    </xf>
    <xf numFmtId="0" fontId="3" fillId="0" borderId="0">
      <alignment vertical="center"/>
    </xf>
    <xf numFmtId="0" fontId="3"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0" fontId="2" fillId="11" borderId="50" applyNumberFormat="0" applyFont="0" applyAlignment="0" applyProtection="0"/>
    <xf numFmtId="9" fontId="43" fillId="0" borderId="0" applyFont="0" applyFill="0" applyBorder="0" applyAlignment="0" applyProtection="0"/>
    <xf numFmtId="9" fontId="43" fillId="0" borderId="0" applyFont="0" applyFill="0" applyBorder="0" applyAlignment="0" applyProtection="0"/>
    <xf numFmtId="9" fontId="2" fillId="0" borderId="0" applyFont="0" applyFill="0" applyBorder="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6" fillId="33" borderId="55" applyNumberFormat="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2" fillId="0" borderId="62" applyNumberFormat="0" applyFill="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4" fillId="0" borderId="63" applyNumberFormat="0" applyFill="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68" fillId="0" borderId="64" applyNumberFormat="0" applyFill="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62" fillId="0" borderId="65" applyNumberFormat="0" applyFill="0" applyAlignment="0" applyProtection="0"/>
    <xf numFmtId="0" fontId="1" fillId="0" borderId="0"/>
    <xf numFmtId="171" fontId="1" fillId="0" borderId="0" applyFont="0" applyFill="0" applyBorder="0" applyAlignment="0" applyProtection="0"/>
    <xf numFmtId="0" fontId="1" fillId="0" borderId="0"/>
    <xf numFmtId="0" fontId="2" fillId="0" borderId="0"/>
    <xf numFmtId="171" fontId="1" fillId="0" borderId="0" applyFont="0" applyFill="0" applyBorder="0" applyAlignment="0" applyProtection="0"/>
    <xf numFmtId="171" fontId="76" fillId="0" borderId="0" applyFont="0" applyFill="0" applyBorder="0" applyAlignment="0" applyProtection="0"/>
    <xf numFmtId="0" fontId="76" fillId="0" borderId="0"/>
    <xf numFmtId="0" fontId="2" fillId="0" borderId="0"/>
    <xf numFmtId="0" fontId="44" fillId="0" borderId="0"/>
    <xf numFmtId="0" fontId="44" fillId="0" borderId="0"/>
    <xf numFmtId="0" fontId="66" fillId="0" borderId="1"/>
    <xf numFmtId="0" fontId="77" fillId="0" borderId="0"/>
    <xf numFmtId="0" fontId="2" fillId="0" borderId="0"/>
    <xf numFmtId="0" fontId="31" fillId="0" borderId="0"/>
    <xf numFmtId="0" fontId="2" fillId="0" borderId="0"/>
    <xf numFmtId="0" fontId="31" fillId="0" borderId="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210" fontId="2" fillId="0" borderId="0" applyFont="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200" fontId="40" fillId="0" borderId="0">
      <protection locked="0"/>
    </xf>
    <xf numFmtId="195" fontId="2" fillId="0" borderId="0" applyFill="0" applyBorder="0" applyAlignment="0" applyProtection="0"/>
    <xf numFmtId="195" fontId="2" fillId="0" borderId="0" applyFill="0" applyBorder="0" applyAlignment="0" applyProtection="0"/>
    <xf numFmtId="200" fontId="40" fillId="0" borderId="0">
      <protection locked="0"/>
    </xf>
    <xf numFmtId="200" fontId="40" fillId="0" borderId="0">
      <protection locked="0"/>
    </xf>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200" fontId="40" fillId="0" borderId="0">
      <protection locked="0"/>
    </xf>
    <xf numFmtId="195" fontId="2" fillId="0" borderId="0" applyFill="0" applyBorder="0" applyAlignment="0" applyProtection="0"/>
    <xf numFmtId="195" fontId="2" fillId="0" borderId="0" applyFill="0" applyBorder="0" applyAlignment="0" applyProtection="0"/>
    <xf numFmtId="0" fontId="78" fillId="0" borderId="0"/>
    <xf numFmtId="0" fontId="79" fillId="0" borderId="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80" fillId="0" borderId="0" applyFont="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80" fillId="0" borderId="0" applyFont="0" applyFill="0" applyBorder="0" applyAlignment="0" applyProtection="0"/>
    <xf numFmtId="3" fontId="2" fillId="0" borderId="0" applyFill="0" applyBorder="0" applyAlignment="0" applyProtection="0"/>
    <xf numFmtId="3" fontId="2" fillId="0" borderId="0" applyFill="0" applyBorder="0" applyAlignment="0" applyProtection="0"/>
    <xf numFmtId="3" fontId="80" fillId="0" borderId="0" applyFont="0" applyFill="0" applyBorder="0" applyAlignment="0" applyProtection="0"/>
    <xf numFmtId="3" fontId="80" fillId="0" borderId="0" applyFont="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80" fillId="0" borderId="0" applyFont="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0" fontId="79" fillId="0" borderId="0"/>
    <xf numFmtId="0" fontId="78" fillId="0" borderId="0"/>
    <xf numFmtId="5" fontId="2" fillId="0" borderId="0" applyFill="0" applyBorder="0" applyAlignment="0" applyProtection="0"/>
    <xf numFmtId="211" fontId="40" fillId="0" borderId="0">
      <protection locked="0"/>
    </xf>
    <xf numFmtId="212" fontId="2" fillId="0" borderId="0" applyFill="0" applyBorder="0" applyAlignment="0" applyProtection="0"/>
    <xf numFmtId="196" fontId="2" fillId="0" borderId="0" applyFill="0" applyBorder="0" applyAlignment="0" applyProtection="0"/>
    <xf numFmtId="0" fontId="75" fillId="0" borderId="0" applyProtection="0"/>
    <xf numFmtId="0" fontId="40" fillId="0" borderId="0">
      <protection locked="0"/>
    </xf>
    <xf numFmtId="0" fontId="40" fillId="0" borderId="0">
      <protection locked="0"/>
    </xf>
    <xf numFmtId="0" fontId="40" fillId="0" borderId="0">
      <protection locked="0"/>
    </xf>
    <xf numFmtId="0" fontId="75" fillId="0" borderId="0" applyProtection="0"/>
    <xf numFmtId="0" fontId="75" fillId="0" borderId="0" applyProtection="0"/>
    <xf numFmtId="0" fontId="75" fillId="0" borderId="0" applyProtection="0"/>
    <xf numFmtId="0" fontId="75" fillId="0" borderId="0" applyProtection="0"/>
    <xf numFmtId="0" fontId="75" fillId="0" borderId="0" applyProtection="0"/>
    <xf numFmtId="0" fontId="75" fillId="0" borderId="0" applyProtection="0"/>
    <xf numFmtId="0" fontId="75" fillId="0" borderId="0" applyProtection="0"/>
    <xf numFmtId="0" fontId="41" fillId="0" borderId="0" applyProtection="0"/>
    <xf numFmtId="0" fontId="42" fillId="0" borderId="0">
      <protection locked="0"/>
    </xf>
    <xf numFmtId="0" fontId="42" fillId="0" borderId="0">
      <protection locked="0"/>
    </xf>
    <xf numFmtId="0" fontId="42" fillId="0" borderId="0">
      <protection locked="0"/>
    </xf>
    <xf numFmtId="0" fontId="41" fillId="0" borderId="0" applyProtection="0"/>
    <xf numFmtId="0" fontId="41" fillId="0" borderId="0" applyProtection="0"/>
    <xf numFmtId="0" fontId="41" fillId="0" borderId="0" applyProtection="0"/>
    <xf numFmtId="0" fontId="41" fillId="0" borderId="0" applyProtection="0"/>
    <xf numFmtId="0" fontId="41" fillId="0" borderId="0" applyProtection="0"/>
    <xf numFmtId="0" fontId="41" fillId="0" borderId="0" applyProtection="0"/>
    <xf numFmtId="0" fontId="41" fillId="0" borderId="0" applyProtection="0"/>
    <xf numFmtId="0" fontId="29" fillId="0" borderId="0" applyProtection="0"/>
    <xf numFmtId="0" fontId="42" fillId="0" borderId="0">
      <protection locked="0"/>
    </xf>
    <xf numFmtId="0" fontId="42" fillId="0" borderId="0">
      <protection locked="0"/>
    </xf>
    <xf numFmtId="0" fontId="42" fillId="0" borderId="0">
      <protection locked="0"/>
    </xf>
    <xf numFmtId="0" fontId="29" fillId="0" borderId="0" applyProtection="0"/>
    <xf numFmtId="0" fontId="29" fillId="0" borderId="0" applyProtection="0"/>
    <xf numFmtId="0" fontId="29" fillId="0" borderId="0" applyProtection="0"/>
    <xf numFmtId="0" fontId="29" fillId="0" borderId="0" applyProtection="0"/>
    <xf numFmtId="0" fontId="29" fillId="0" borderId="0" applyProtection="0"/>
    <xf numFmtId="0" fontId="29" fillId="0" borderId="0" applyProtection="0"/>
    <xf numFmtId="0" fontId="29" fillId="0" borderId="0" applyProtection="0"/>
    <xf numFmtId="0" fontId="2" fillId="0" borderId="0"/>
    <xf numFmtId="0" fontId="31" fillId="0" borderId="0"/>
    <xf numFmtId="213" fontId="81" fillId="0" borderId="0"/>
    <xf numFmtId="0" fontId="43" fillId="0" borderId="0"/>
    <xf numFmtId="0" fontId="82" fillId="0" borderId="0"/>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83"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83" fillId="0" borderId="0">
      <protection locked="0"/>
    </xf>
    <xf numFmtId="0" fontId="40" fillId="0" borderId="0">
      <protection locked="0"/>
    </xf>
    <xf numFmtId="0" fontId="40" fillId="0" borderId="0">
      <protection locked="0"/>
    </xf>
    <xf numFmtId="0" fontId="83" fillId="0" borderId="0">
      <protection locked="0"/>
    </xf>
    <xf numFmtId="0" fontId="83"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83" fillId="0" borderId="0">
      <protection locked="0"/>
    </xf>
    <xf numFmtId="0" fontId="40" fillId="0" borderId="0">
      <protection locked="0"/>
    </xf>
    <xf numFmtId="0" fontId="40" fillId="0" borderId="0">
      <protection locked="0"/>
    </xf>
    <xf numFmtId="0" fontId="30" fillId="0" borderId="0" applyNumberFormat="0" applyFill="0" applyBorder="0" applyAlignment="0" applyProtection="0"/>
    <xf numFmtId="0" fontId="70" fillId="0" borderId="0"/>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83"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83" fillId="0" borderId="0">
      <protection locked="0"/>
    </xf>
    <xf numFmtId="0" fontId="40" fillId="0" borderId="0">
      <protection locked="0"/>
    </xf>
    <xf numFmtId="0" fontId="40" fillId="0" borderId="0">
      <protection locked="0"/>
    </xf>
    <xf numFmtId="0" fontId="83" fillId="0" borderId="0">
      <protection locked="0"/>
    </xf>
    <xf numFmtId="0" fontId="83"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83" fillId="0" borderId="0">
      <protection locked="0"/>
    </xf>
    <xf numFmtId="0" fontId="40" fillId="0" borderId="0">
      <protection locked="0"/>
    </xf>
    <xf numFmtId="0" fontId="40" fillId="0" borderId="0">
      <protection locked="0"/>
    </xf>
    <xf numFmtId="0" fontId="3" fillId="0" borderId="0" applyProtection="0"/>
    <xf numFmtId="0" fontId="84" fillId="0" borderId="0">
      <protection locked="0"/>
    </xf>
    <xf numFmtId="0" fontId="85" fillId="0" borderId="0">
      <protection locked="0"/>
    </xf>
    <xf numFmtId="0" fontId="86" fillId="0" borderId="0"/>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83"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83" fillId="0" borderId="0">
      <protection locked="0"/>
    </xf>
    <xf numFmtId="0" fontId="40" fillId="0" borderId="0">
      <protection locked="0"/>
    </xf>
    <xf numFmtId="0" fontId="40" fillId="0" borderId="0">
      <protection locked="0"/>
    </xf>
    <xf numFmtId="0" fontId="83" fillId="0" borderId="0">
      <protection locked="0"/>
    </xf>
    <xf numFmtId="0" fontId="83"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83" fillId="0" borderId="0">
      <protection locked="0"/>
    </xf>
    <xf numFmtId="0" fontId="40" fillId="0" borderId="0">
      <protection locked="0"/>
    </xf>
    <xf numFmtId="0" fontId="40" fillId="0" borderId="0">
      <protection locked="0"/>
    </xf>
    <xf numFmtId="0" fontId="87" fillId="0" borderId="0" applyNumberFormat="0" applyFill="0" applyBorder="0" applyAlignment="0" applyProtection="0"/>
    <xf numFmtId="0" fontId="88" fillId="0" borderId="0"/>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83"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83" fillId="0" borderId="0">
      <protection locked="0"/>
    </xf>
    <xf numFmtId="0" fontId="40" fillId="0" borderId="0">
      <protection locked="0"/>
    </xf>
    <xf numFmtId="0" fontId="40" fillId="0" borderId="0">
      <protection locked="0"/>
    </xf>
    <xf numFmtId="0" fontId="83" fillId="0" borderId="0">
      <protection locked="0"/>
    </xf>
    <xf numFmtId="0" fontId="83"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40" fillId="0" borderId="0">
      <protection locked="0"/>
    </xf>
    <xf numFmtId="0" fontId="83" fillId="0" borderId="0">
      <protection locked="0"/>
    </xf>
    <xf numFmtId="0" fontId="40" fillId="0" borderId="0">
      <protection locked="0"/>
    </xf>
    <xf numFmtId="0" fontId="40" fillId="0" borderId="0">
      <protection locked="0"/>
    </xf>
    <xf numFmtId="0" fontId="89" fillId="0" borderId="0" applyProtection="0"/>
    <xf numFmtId="0" fontId="83" fillId="0" borderId="0">
      <protection locked="0"/>
    </xf>
    <xf numFmtId="0" fontId="40" fillId="0" borderId="0">
      <protection locked="0"/>
    </xf>
    <xf numFmtId="0" fontId="84" fillId="0" borderId="0">
      <protection locked="0"/>
    </xf>
    <xf numFmtId="0" fontId="85" fillId="0" borderId="0">
      <protection locked="0"/>
    </xf>
    <xf numFmtId="2" fontId="75" fillId="0" borderId="0" applyProtection="0"/>
    <xf numFmtId="214" fontId="40" fillId="0" borderId="0">
      <protection locked="0"/>
    </xf>
    <xf numFmtId="214" fontId="40" fillId="0" borderId="0">
      <protection locked="0"/>
    </xf>
    <xf numFmtId="2" fontId="75" fillId="0" borderId="0" applyProtection="0"/>
    <xf numFmtId="2" fontId="75" fillId="0" borderId="0" applyProtection="0"/>
    <xf numFmtId="2" fontId="75" fillId="0" borderId="0" applyProtection="0"/>
    <xf numFmtId="2" fontId="75" fillId="0" borderId="0" applyProtection="0"/>
    <xf numFmtId="2" fontId="75" fillId="0" borderId="0" applyProtection="0"/>
    <xf numFmtId="2" fontId="75" fillId="0" borderId="0" applyProtection="0"/>
    <xf numFmtId="4" fontId="75" fillId="0" borderId="0" applyProtection="0"/>
    <xf numFmtId="200" fontId="40" fillId="0" borderId="0">
      <protection locked="0"/>
    </xf>
    <xf numFmtId="200" fontId="40" fillId="0" borderId="0">
      <protection locked="0"/>
    </xf>
    <xf numFmtId="200" fontId="40" fillId="0" borderId="0">
      <protection locked="0"/>
    </xf>
    <xf numFmtId="4" fontId="75" fillId="0" borderId="0" applyProtection="0"/>
    <xf numFmtId="4" fontId="75" fillId="0" borderId="0" applyProtection="0"/>
    <xf numFmtId="4" fontId="75" fillId="0" borderId="0" applyProtection="0"/>
    <xf numFmtId="4" fontId="75" fillId="0" borderId="0" applyProtection="0"/>
    <xf numFmtId="4" fontId="75" fillId="0" borderId="0" applyProtection="0"/>
    <xf numFmtId="4" fontId="75" fillId="0" borderId="0" applyProtection="0"/>
    <xf numFmtId="4" fontId="75" fillId="0" borderId="0" applyProtection="0"/>
    <xf numFmtId="0" fontId="90" fillId="0" borderId="0" applyNumberFormat="0" applyFill="0" applyBorder="0" applyAlignment="0" applyProtection="0"/>
    <xf numFmtId="0" fontId="91" fillId="0" borderId="0" applyNumberFormat="0" applyFill="0" applyBorder="0" applyAlignment="0" applyProtection="0"/>
    <xf numFmtId="0" fontId="41" fillId="0" borderId="0" applyNumberFormat="0" applyFill="0" applyBorder="0" applyAlignment="0" applyProtection="0"/>
    <xf numFmtId="0" fontId="92" fillId="0" borderId="0" applyNumberFormat="0" applyFill="0" applyBorder="0" applyAlignment="0" applyProtection="0"/>
    <xf numFmtId="0" fontId="29" fillId="0" borderId="0" applyNumberFormat="0" applyFill="0" applyBorder="0" applyAlignment="0" applyProtection="0"/>
    <xf numFmtId="49" fontId="2" fillId="0" borderId="66" applyNumberFormat="0" applyProtection="0">
      <alignment horizontal="left" vertical="top"/>
    </xf>
    <xf numFmtId="49" fontId="93" fillId="0" borderId="66" applyNumberFormat="0" applyProtection="0">
      <alignment horizontal="left" vertical="top"/>
    </xf>
    <xf numFmtId="0" fontId="94" fillId="0" borderId="0" applyNumberFormat="0" applyFill="0" applyBorder="0" applyAlignment="0" applyProtection="0"/>
    <xf numFmtId="215" fontId="2" fillId="0" borderId="0" applyFill="0" applyBorder="0" applyAlignment="0" applyProtection="0"/>
    <xf numFmtId="215" fontId="2" fillId="0" borderId="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216" fontId="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217" fontId="95" fillId="0" borderId="0" applyFill="0" applyBorder="0" applyProtection="0">
      <alignment vertical="top"/>
    </xf>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218" fontId="43"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167"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20"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190" fontId="2" fillId="0" borderId="0" applyFont="0" applyFill="0" applyBorder="0" applyAlignment="0" applyProtection="0"/>
    <xf numFmtId="221" fontId="2" fillId="0" borderId="0" applyProtection="0"/>
    <xf numFmtId="208" fontId="40" fillId="0" borderId="0">
      <protection locked="0"/>
    </xf>
    <xf numFmtId="208" fontId="40" fillId="0" borderId="0">
      <protection locked="0"/>
    </xf>
    <xf numFmtId="208" fontId="40" fillId="0" borderId="0">
      <protection locked="0"/>
    </xf>
    <xf numFmtId="221" fontId="2" fillId="0" borderId="0" applyProtection="0"/>
    <xf numFmtId="221" fontId="2" fillId="0" borderId="0" applyProtection="0"/>
    <xf numFmtId="221" fontId="2" fillId="0" borderId="0" applyProtection="0"/>
    <xf numFmtId="221" fontId="2" fillId="0" borderId="0" applyProtection="0"/>
    <xf numFmtId="221" fontId="2" fillId="0" borderId="0" applyProtection="0"/>
    <xf numFmtId="221" fontId="2" fillId="0" borderId="0" applyProtection="0"/>
    <xf numFmtId="221" fontId="2" fillId="0" borderId="0" applyProtection="0"/>
    <xf numFmtId="0" fontId="25" fillId="0" borderId="0">
      <alignment vertical="top"/>
    </xf>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5" fillId="0" borderId="0"/>
    <xf numFmtId="0" fontId="25" fillId="0" borderId="0">
      <alignment vertical="top"/>
    </xf>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center"/>
    </xf>
    <xf numFmtId="0" fontId="25"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5" fillId="0" borderId="0"/>
    <xf numFmtId="0" fontId="1" fillId="0" borderId="0"/>
    <xf numFmtId="0" fontId="1" fillId="0" borderId="0"/>
    <xf numFmtId="0" fontId="1" fillId="0" borderId="0"/>
    <xf numFmtId="0" fontId="1" fillId="0" borderId="0"/>
    <xf numFmtId="0" fontId="3" fillId="0" borderId="0">
      <alignment vertical="center"/>
    </xf>
    <xf numFmtId="0" fontId="55" fillId="0" borderId="0"/>
    <xf numFmtId="0" fontId="4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1" fillId="0" borderId="0"/>
    <xf numFmtId="0" fontId="1" fillId="0" borderId="0"/>
    <xf numFmtId="0" fontId="1" fillId="0" borderId="0"/>
    <xf numFmtId="0" fontId="1" fillId="0" borderId="0"/>
    <xf numFmtId="0" fontId="3" fillId="0" borderId="0">
      <alignment vertical="center"/>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38" fontId="96" fillId="0" borderId="0"/>
    <xf numFmtId="49" fontId="32" fillId="0" borderId="67">
      <alignment horizontal="center" vertical="center"/>
    </xf>
    <xf numFmtId="0" fontId="2" fillId="0" borderId="0"/>
    <xf numFmtId="0" fontId="1" fillId="0" borderId="0"/>
    <xf numFmtId="171" fontId="1" fillId="0" borderId="0" applyFont="0" applyFill="0" applyBorder="0" applyAlignment="0" applyProtection="0"/>
    <xf numFmtId="0" fontId="75" fillId="0" borderId="0"/>
    <xf numFmtId="0" fontId="43" fillId="0" borderId="0"/>
    <xf numFmtId="0" fontId="1" fillId="0" borderId="0"/>
    <xf numFmtId="0" fontId="1" fillId="0" borderId="0"/>
    <xf numFmtId="9" fontId="43" fillId="0" borderId="0" applyFont="0" applyFill="0" applyBorder="0" applyAlignment="0" applyProtection="0"/>
    <xf numFmtId="0" fontId="1" fillId="0" borderId="0"/>
    <xf numFmtId="171" fontId="1" fillId="0" borderId="0" applyFont="0" applyFill="0" applyBorder="0" applyAlignment="0" applyProtection="0"/>
    <xf numFmtId="0" fontId="25" fillId="0" borderId="0">
      <alignment vertical="top"/>
    </xf>
    <xf numFmtId="0" fontId="2" fillId="0" borderId="0"/>
    <xf numFmtId="0" fontId="62" fillId="0" borderId="65" applyNumberFormat="0" applyFill="0" applyAlignment="0" applyProtection="0"/>
    <xf numFmtId="0" fontId="1" fillId="0" borderId="0"/>
    <xf numFmtId="171" fontId="1" fillId="0" borderId="0" applyFont="0" applyFill="0" applyBorder="0" applyAlignment="0" applyProtection="0"/>
    <xf numFmtId="173" fontId="2" fillId="0" borderId="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3" fillId="0" borderId="0">
      <alignment vertical="center"/>
    </xf>
    <xf numFmtId="0" fontId="43" fillId="36" borderId="0" applyNumberFormat="0" applyBorder="0" applyAlignment="0" applyProtection="0"/>
    <xf numFmtId="0" fontId="43" fillId="37" borderId="0" applyNumberFormat="0" applyBorder="0" applyAlignment="0" applyProtection="0"/>
    <xf numFmtId="0" fontId="43"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1" borderId="0" applyNumberFormat="0" applyBorder="0" applyAlignment="0" applyProtection="0"/>
    <xf numFmtId="0" fontId="43" fillId="42" borderId="0" applyNumberFormat="0" applyBorder="0" applyAlignment="0" applyProtection="0"/>
    <xf numFmtId="0" fontId="43" fillId="43" borderId="0" applyNumberFormat="0" applyBorder="0" applyAlignment="0" applyProtection="0"/>
    <xf numFmtId="0" fontId="43" fillId="44" borderId="0" applyNumberFormat="0" applyBorder="0" applyAlignment="0" applyProtection="0"/>
    <xf numFmtId="0" fontId="43" fillId="39" borderId="0" applyNumberFormat="0" applyBorder="0" applyAlignment="0" applyProtection="0"/>
    <xf numFmtId="0" fontId="43" fillId="42" borderId="0" applyNumberFormat="0" applyBorder="0" applyAlignment="0" applyProtection="0"/>
    <xf numFmtId="0" fontId="43" fillId="45" borderId="0" applyNumberFormat="0" applyBorder="0" applyAlignment="0" applyProtection="0"/>
    <xf numFmtId="0" fontId="46" fillId="46"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53" borderId="0" applyNumberFormat="0" applyBorder="0" applyAlignment="0" applyProtection="0"/>
    <xf numFmtId="0" fontId="53" fillId="37" borderId="0" applyNumberFormat="0" applyBorder="0" applyAlignment="0" applyProtection="0"/>
    <xf numFmtId="0" fontId="48" fillId="54" borderId="52" applyNumberFormat="0" applyAlignment="0" applyProtection="0"/>
    <xf numFmtId="0" fontId="49" fillId="55" borderId="53" applyNumberFormat="0" applyAlignment="0" applyProtection="0"/>
    <xf numFmtId="0" fontId="44" fillId="0" borderId="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0" fontId="43" fillId="0" borderId="0"/>
    <xf numFmtId="0" fontId="58" fillId="0" borderId="0" applyNumberFormat="0" applyFill="0" applyBorder="0" applyAlignment="0" applyProtection="0"/>
    <xf numFmtId="0" fontId="47" fillId="38" borderId="0" applyNumberFormat="0" applyBorder="0" applyAlignment="0" applyProtection="0"/>
    <xf numFmtId="223" fontId="99" fillId="0" borderId="0">
      <protection locked="0"/>
    </xf>
    <xf numFmtId="0" fontId="52" fillId="41" borderId="52" applyNumberFormat="0" applyAlignment="0" applyProtection="0"/>
    <xf numFmtId="0" fontId="50" fillId="0" borderId="54" applyNumberFormat="0" applyFill="0" applyAlignment="0" applyProtection="0"/>
    <xf numFmtId="0" fontId="2" fillId="0" borderId="0" applyFont="0" applyFill="0" applyBorder="0" applyAlignment="0" applyProtection="0"/>
    <xf numFmtId="224" fontId="98" fillId="0" borderId="0" applyFill="0" applyBorder="0" applyAlignment="0" applyProtection="0"/>
    <xf numFmtId="167" fontId="2"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center"/>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1" fillId="0" borderId="0"/>
    <xf numFmtId="0" fontId="98" fillId="56" borderId="50" applyNumberFormat="0" applyAlignment="0" applyProtection="0"/>
    <xf numFmtId="0" fontId="56" fillId="54" borderId="55" applyNumberFormat="0" applyAlignment="0" applyProtection="0"/>
    <xf numFmtId="9" fontId="1" fillId="0" borderId="0" applyFont="0" applyFill="0" applyBorder="0" applyAlignment="0" applyProtection="0"/>
    <xf numFmtId="9" fontId="1" fillId="0" borderId="0" applyFont="0" applyFill="0" applyBorder="0" applyAlignment="0" applyProtection="0"/>
    <xf numFmtId="0" fontId="57" fillId="0" borderId="0" applyNumberFormat="0" applyFill="0" applyBorder="0" applyAlignment="0" applyProtection="0"/>
    <xf numFmtId="171" fontId="1" fillId="0" borderId="0" applyFont="0" applyFill="0" applyBorder="0" applyAlignment="0" applyProtection="0"/>
    <xf numFmtId="0" fontId="1" fillId="0" borderId="0"/>
    <xf numFmtId="0" fontId="2" fillId="0" borderId="0"/>
    <xf numFmtId="165" fontId="2" fillId="0" borderId="0" applyFont="0" applyFill="0" applyBorder="0" applyAlignment="0" applyProtection="0"/>
    <xf numFmtId="0" fontId="1" fillId="0" borderId="0"/>
    <xf numFmtId="0" fontId="2" fillId="0" borderId="51" applyNumberFormat="0" applyFont="0" applyFill="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9" fontId="2" fillId="0" borderId="0" applyFont="0" applyFill="0" applyBorder="0" applyAlignment="0" applyProtection="0"/>
    <xf numFmtId="0" fontId="1" fillId="0" borderId="0"/>
    <xf numFmtId="0" fontId="3" fillId="0" borderId="0">
      <alignment vertical="center"/>
    </xf>
    <xf numFmtId="180" fontId="25" fillId="0" borderId="0">
      <alignment vertical="top"/>
    </xf>
    <xf numFmtId="225" fontId="25" fillId="0" borderId="0" applyFont="0" applyFill="0" applyBorder="0" applyAlignment="0" applyProtection="0">
      <alignment vertical="top"/>
    </xf>
    <xf numFmtId="180" fontId="2" fillId="0" borderId="0"/>
    <xf numFmtId="180" fontId="1" fillId="0" borderId="0"/>
    <xf numFmtId="225" fontId="2" fillId="0" borderId="0" applyFont="0" applyFill="0" applyBorder="0" applyAlignment="0" applyProtection="0"/>
    <xf numFmtId="0" fontId="1" fillId="0" borderId="0"/>
    <xf numFmtId="0" fontId="1" fillId="0" borderId="0"/>
    <xf numFmtId="0" fontId="2" fillId="0" borderId="0"/>
    <xf numFmtId="165" fontId="2" fillId="0" borderId="0" applyFont="0" applyFill="0" applyBorder="0" applyAlignment="0" applyProtection="0"/>
    <xf numFmtId="0" fontId="1" fillId="0" borderId="0"/>
    <xf numFmtId="0" fontId="2" fillId="0" borderId="51" applyNumberFormat="0" applyFont="0" applyFill="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80" fontId="1" fillId="0" borderId="0"/>
    <xf numFmtId="0" fontId="1" fillId="0" borderId="0"/>
    <xf numFmtId="0" fontId="1" fillId="0" borderId="0"/>
    <xf numFmtId="0" fontId="2" fillId="0" borderId="0"/>
    <xf numFmtId="165" fontId="2" fillId="0" borderId="0" applyFont="0" applyFill="0" applyBorder="0" applyAlignment="0" applyProtection="0"/>
    <xf numFmtId="0" fontId="1" fillId="0" borderId="0"/>
    <xf numFmtId="0" fontId="2" fillId="0" borderId="51" applyNumberFormat="0" applyFont="0" applyFill="0" applyAlignment="0" applyProtection="0"/>
    <xf numFmtId="0" fontId="1" fillId="0" borderId="0"/>
    <xf numFmtId="0" fontId="1" fillId="0" borderId="0"/>
    <xf numFmtId="0" fontId="2" fillId="0" borderId="0"/>
    <xf numFmtId="165" fontId="2" fillId="0" borderId="0" applyFont="0" applyFill="0" applyBorder="0" applyAlignment="0" applyProtection="0"/>
    <xf numFmtId="0" fontId="2" fillId="0" borderId="51" applyNumberFormat="0" applyFont="0" applyFill="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8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8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165" fontId="2" fillId="0" borderId="0" applyFont="0" applyFill="0" applyBorder="0" applyAlignment="0" applyProtection="0"/>
    <xf numFmtId="0" fontId="1" fillId="0" borderId="0"/>
    <xf numFmtId="0" fontId="2" fillId="0" borderId="51" applyNumberFormat="0" applyFont="0" applyFill="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8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8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8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80" fontId="1" fillId="0" borderId="0"/>
    <xf numFmtId="0" fontId="1" fillId="0" borderId="0"/>
    <xf numFmtId="0" fontId="1" fillId="0" borderId="0"/>
    <xf numFmtId="0" fontId="1" fillId="0" borderId="0"/>
    <xf numFmtId="0" fontId="1" fillId="0" borderId="0"/>
    <xf numFmtId="0" fontId="1" fillId="0" borderId="0"/>
    <xf numFmtId="0" fontId="2" fillId="0" borderId="0"/>
    <xf numFmtId="180" fontId="2" fillId="0" borderId="0"/>
    <xf numFmtId="180" fontId="1" fillId="0" borderId="0"/>
    <xf numFmtId="225" fontId="2" fillId="0" borderId="0" applyFont="0" applyFill="0" applyBorder="0" applyAlignment="0" applyProtection="0"/>
    <xf numFmtId="225" fontId="2" fillId="0" borderId="0" applyFont="0" applyFill="0" applyBorder="0" applyAlignment="0" applyProtection="0"/>
    <xf numFmtId="171" fontId="25" fillId="0" borderId="0" applyFont="0" applyFill="0" applyBorder="0" applyAlignment="0" applyProtection="0">
      <alignment vertical="top"/>
    </xf>
    <xf numFmtId="225" fontId="25" fillId="0" borderId="0" applyFont="0" applyFill="0" applyBorder="0" applyAlignment="0" applyProtection="0">
      <alignment vertical="top"/>
    </xf>
    <xf numFmtId="9" fontId="25" fillId="0" borderId="0" applyFont="0" applyFill="0" applyBorder="0" applyAlignment="0" applyProtection="0"/>
    <xf numFmtId="0" fontId="79" fillId="0" borderId="0"/>
    <xf numFmtId="0" fontId="79" fillId="0" borderId="0"/>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0" fontId="66"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3" fillId="0" borderId="0">
      <alignment vertical="center"/>
    </xf>
    <xf numFmtId="0" fontId="3" fillId="0" borderId="0">
      <alignment vertical="center"/>
    </xf>
    <xf numFmtId="0" fontId="1" fillId="0" borderId="0"/>
    <xf numFmtId="0" fontId="2" fillId="0" borderId="0"/>
    <xf numFmtId="165" fontId="2" fillId="0" borderId="0" applyFont="0" applyFill="0" applyBorder="0" applyAlignment="0" applyProtection="0"/>
    <xf numFmtId="165" fontId="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171" fontId="3" fillId="0" borderId="0" applyFont="0" applyFill="0" applyBorder="0" applyAlignment="0" applyProtection="0"/>
    <xf numFmtId="0" fontId="1" fillId="0" borderId="0"/>
    <xf numFmtId="0" fontId="17" fillId="0" borderId="0"/>
    <xf numFmtId="166" fontId="1" fillId="0" borderId="0" applyFont="0" applyFill="0" applyBorder="0" applyAlignment="0" applyProtection="0"/>
    <xf numFmtId="165" fontId="2" fillId="0" borderId="0" applyFont="0" applyFill="0" applyBorder="0" applyAlignment="0" applyProtection="0">
      <alignment vertical="center"/>
    </xf>
    <xf numFmtId="0" fontId="2" fillId="0" borderId="0"/>
    <xf numFmtId="165" fontId="2" fillId="0" borderId="0" applyFont="0" applyFill="0" applyBorder="0" applyAlignment="0" applyProtection="0"/>
    <xf numFmtId="165" fontId="1" fillId="0" borderId="0" applyFont="0" applyFill="0" applyBorder="0" applyAlignment="0" applyProtection="0"/>
    <xf numFmtId="0" fontId="1" fillId="0" borderId="0"/>
    <xf numFmtId="0" fontId="1" fillId="0" borderId="0"/>
  </cellStyleXfs>
  <cellXfs count="631">
    <xf numFmtId="0" fontId="0" fillId="0" borderId="0" xfId="0"/>
    <xf numFmtId="0" fontId="4" fillId="6" borderId="0" xfId="3" applyFont="1" applyFill="1" applyAlignment="1">
      <alignment horizontal="center" vertical="center" wrapText="1" readingOrder="1"/>
    </xf>
    <xf numFmtId="0" fontId="3" fillId="0" borderId="0" xfId="3">
      <alignment vertical="center"/>
    </xf>
    <xf numFmtId="0" fontId="3" fillId="0" borderId="0" xfId="3" applyAlignment="1">
      <alignment horizontal="center" vertical="center"/>
    </xf>
    <xf numFmtId="0" fontId="3" fillId="0" borderId="0" xfId="4">
      <alignment vertical="center"/>
    </xf>
    <xf numFmtId="0" fontId="5" fillId="0" borderId="0" xfId="3" applyFont="1" applyProtection="1">
      <alignment vertical="center"/>
      <protection locked="0"/>
    </xf>
    <xf numFmtId="4" fontId="3" fillId="0" borderId="0" xfId="4" applyNumberFormat="1">
      <alignment vertical="center"/>
    </xf>
    <xf numFmtId="165" fontId="3" fillId="0" borderId="0" xfId="5" applyFont="1" applyAlignment="1">
      <alignment vertical="center"/>
    </xf>
    <xf numFmtId="15" fontId="6" fillId="0" borderId="0" xfId="3" applyNumberFormat="1" applyFont="1" applyAlignment="1">
      <alignment horizontal="center" vertical="top"/>
    </xf>
    <xf numFmtId="15" fontId="6" fillId="0" borderId="0" xfId="3" applyNumberFormat="1" applyFont="1" applyAlignment="1">
      <alignment horizontal="left" vertical="top"/>
    </xf>
    <xf numFmtId="0" fontId="3" fillId="0" borderId="0" xfId="4" applyAlignment="1">
      <alignment horizontal="center" vertical="center"/>
    </xf>
    <xf numFmtId="0" fontId="7" fillId="7" borderId="4" xfId="3" applyFont="1" applyFill="1" applyBorder="1" applyAlignment="1" applyProtection="1">
      <alignment horizontal="center" vertical="center"/>
      <protection locked="0"/>
    </xf>
    <xf numFmtId="0" fontId="7" fillId="7" borderId="5" xfId="3" applyFont="1" applyFill="1" applyBorder="1" applyAlignment="1" applyProtection="1">
      <alignment horizontal="center" vertical="center"/>
      <protection locked="0"/>
    </xf>
    <xf numFmtId="168" fontId="7" fillId="7" borderId="5" xfId="3" applyNumberFormat="1" applyFont="1" applyFill="1" applyBorder="1" applyAlignment="1" applyProtection="1">
      <alignment horizontal="center" vertical="center"/>
      <protection locked="0"/>
    </xf>
    <xf numFmtId="168" fontId="7" fillId="7" borderId="6" xfId="3" applyNumberFormat="1" applyFont="1" applyFill="1" applyBorder="1" applyAlignment="1" applyProtection="1">
      <alignment horizontal="center" vertical="center"/>
      <protection locked="0"/>
    </xf>
    <xf numFmtId="49" fontId="7" fillId="8" borderId="4" xfId="3" applyNumberFormat="1" applyFont="1" applyFill="1" applyBorder="1" applyProtection="1">
      <alignment vertical="center"/>
      <protection locked="0"/>
    </xf>
    <xf numFmtId="0" fontId="7" fillId="8" borderId="5" xfId="3" applyFont="1" applyFill="1" applyBorder="1" applyProtection="1">
      <alignment vertical="center"/>
      <protection locked="0"/>
    </xf>
    <xf numFmtId="0" fontId="7" fillId="8" borderId="5" xfId="3" applyFont="1" applyFill="1" applyBorder="1" applyAlignment="1" applyProtection="1">
      <alignment horizontal="center" vertical="center"/>
      <protection locked="0"/>
    </xf>
    <xf numFmtId="168" fontId="7" fillId="8" borderId="5" xfId="3" applyNumberFormat="1" applyFont="1" applyFill="1" applyBorder="1" applyProtection="1">
      <alignment vertical="center"/>
      <protection locked="0"/>
    </xf>
    <xf numFmtId="168" fontId="7" fillId="8" borderId="6" xfId="3" applyNumberFormat="1" applyFont="1" applyFill="1" applyBorder="1" applyProtection="1">
      <alignment vertical="center"/>
      <protection locked="0"/>
    </xf>
    <xf numFmtId="0" fontId="8" fillId="0" borderId="8" xfId="4" applyFont="1" applyBorder="1" applyAlignment="1" applyProtection="1">
      <alignment horizontal="left" vertical="center" indent="1"/>
      <protection locked="0"/>
    </xf>
    <xf numFmtId="0" fontId="8" fillId="0" borderId="8" xfId="4" applyFont="1" applyBorder="1" applyAlignment="1" applyProtection="1">
      <alignment horizontal="center" vertical="center"/>
      <protection locked="0"/>
    </xf>
    <xf numFmtId="165" fontId="3" fillId="0" borderId="0" xfId="3" applyNumberFormat="1">
      <alignment vertical="center"/>
    </xf>
    <xf numFmtId="49" fontId="5" fillId="0" borderId="11" xfId="4" applyNumberFormat="1" applyFont="1" applyBorder="1" applyProtection="1">
      <alignment vertical="center"/>
      <protection locked="0"/>
    </xf>
    <xf numFmtId="0" fontId="5" fillId="0" borderId="2" xfId="4" applyFont="1" applyBorder="1" applyAlignment="1" applyProtection="1">
      <alignment horizontal="left" vertical="center" indent="2"/>
      <protection locked="0"/>
    </xf>
    <xf numFmtId="0" fontId="5" fillId="0" borderId="2" xfId="4" applyFont="1" applyBorder="1" applyAlignment="1" applyProtection="1">
      <alignment horizontal="center" vertical="center"/>
      <protection locked="0"/>
    </xf>
    <xf numFmtId="0" fontId="5" fillId="0" borderId="2" xfId="3" applyFont="1" applyBorder="1" applyAlignment="1" applyProtection="1">
      <alignment horizontal="left" vertical="center" indent="2"/>
      <protection locked="0"/>
    </xf>
    <xf numFmtId="0" fontId="5" fillId="0" borderId="2" xfId="3" applyFont="1" applyBorder="1" applyAlignment="1" applyProtection="1">
      <alignment horizontal="center" vertical="center"/>
      <protection locked="0"/>
    </xf>
    <xf numFmtId="49" fontId="8" fillId="0" borderId="11" xfId="4" applyNumberFormat="1" applyFont="1" applyBorder="1" applyProtection="1">
      <alignment vertical="center"/>
      <protection locked="0"/>
    </xf>
    <xf numFmtId="0" fontId="8" fillId="0" borderId="2" xfId="4" applyFont="1" applyBorder="1" applyAlignment="1" applyProtection="1">
      <alignment horizontal="left" vertical="center" indent="1"/>
      <protection locked="0"/>
    </xf>
    <xf numFmtId="0" fontId="8" fillId="0" borderId="2" xfId="4" applyFont="1" applyBorder="1" applyAlignment="1" applyProtection="1">
      <alignment horizontal="center" vertical="center"/>
      <protection locked="0"/>
    </xf>
    <xf numFmtId="0" fontId="10" fillId="0" borderId="0" xfId="3" applyFont="1" applyAlignment="1">
      <alignment vertical="top"/>
    </xf>
    <xf numFmtId="0" fontId="10" fillId="0" borderId="0" xfId="3" applyFont="1" applyAlignment="1">
      <alignment horizontal="center" vertical="top" wrapText="1"/>
    </xf>
    <xf numFmtId="0" fontId="3" fillId="0" borderId="0" xfId="3" applyAlignment="1">
      <alignment horizontal="right" vertical="center"/>
    </xf>
    <xf numFmtId="0" fontId="5" fillId="0" borderId="2" xfId="4" applyFont="1" applyBorder="1" applyAlignment="1" applyProtection="1">
      <alignment horizontal="left" vertical="center" wrapText="1" indent="2"/>
      <protection locked="0"/>
    </xf>
    <xf numFmtId="0" fontId="3" fillId="0" borderId="0" xfId="3" applyAlignment="1">
      <alignment horizontal="left" vertical="center"/>
    </xf>
    <xf numFmtId="0" fontId="13" fillId="4" borderId="0" xfId="7" applyFont="1" applyFill="1" applyAlignment="1">
      <alignment horizontal="left"/>
    </xf>
    <xf numFmtId="0" fontId="3" fillId="4" borderId="0" xfId="3" applyFill="1">
      <alignment vertical="center"/>
    </xf>
    <xf numFmtId="4" fontId="13" fillId="4" borderId="0" xfId="7" applyNumberFormat="1" applyFont="1" applyFill="1" applyAlignment="1">
      <alignment horizontal="center" vertical="center"/>
    </xf>
    <xf numFmtId="0" fontId="3" fillId="0" borderId="21" xfId="3" applyBorder="1">
      <alignment vertical="center"/>
    </xf>
    <xf numFmtId="0" fontId="10" fillId="0" borderId="21" xfId="3" applyFont="1" applyBorder="1" applyAlignment="1">
      <alignment wrapText="1"/>
    </xf>
    <xf numFmtId="169" fontId="14" fillId="7" borderId="5" xfId="3" applyNumberFormat="1" applyFont="1" applyFill="1" applyBorder="1" applyAlignment="1"/>
    <xf numFmtId="169" fontId="7" fillId="7" borderId="6" xfId="3" applyNumberFormat="1" applyFont="1" applyFill="1" applyBorder="1">
      <alignment vertical="center"/>
    </xf>
    <xf numFmtId="0" fontId="13" fillId="4" borderId="0" xfId="7" applyFont="1" applyFill="1" applyAlignment="1">
      <alignment horizontal="center"/>
    </xf>
    <xf numFmtId="4" fontId="13" fillId="4" borderId="0" xfId="7" applyNumberFormat="1" applyFont="1" applyFill="1" applyAlignment="1">
      <alignment horizontal="center"/>
    </xf>
    <xf numFmtId="0" fontId="15" fillId="4" borderId="0" xfId="7" applyFont="1" applyFill="1" applyAlignment="1">
      <alignment horizontal="left"/>
    </xf>
    <xf numFmtId="4" fontId="15" fillId="4" borderId="0" xfId="7" applyNumberFormat="1" applyFont="1" applyFill="1" applyAlignment="1">
      <alignment horizontal="center" vertical="center"/>
    </xf>
    <xf numFmtId="0" fontId="5" fillId="4" borderId="25" xfId="3" applyFont="1" applyFill="1" applyBorder="1" applyAlignment="1" applyProtection="1">
      <alignment horizontal="center" vertical="center"/>
      <protection locked="0"/>
    </xf>
    <xf numFmtId="168" fontId="5" fillId="4" borderId="25" xfId="3" applyNumberFormat="1" applyFont="1" applyFill="1" applyBorder="1" applyProtection="1">
      <alignment vertical="center"/>
      <protection locked="0"/>
    </xf>
    <xf numFmtId="0" fontId="5" fillId="0" borderId="25" xfId="3" applyFont="1" applyBorder="1" applyAlignment="1" applyProtection="1">
      <alignment horizontal="center" vertical="center"/>
      <protection locked="0"/>
    </xf>
    <xf numFmtId="168" fontId="5" fillId="0" borderId="25" xfId="3" applyNumberFormat="1" applyFont="1" applyBorder="1" applyProtection="1">
      <alignment vertical="center"/>
      <protection locked="0"/>
    </xf>
    <xf numFmtId="0" fontId="5" fillId="0" borderId="25" xfId="3" applyFont="1" applyBorder="1" applyAlignment="1" applyProtection="1">
      <alignment vertical="center" wrapText="1"/>
      <protection locked="0"/>
    </xf>
    <xf numFmtId="168" fontId="3" fillId="0" borderId="25" xfId="3" applyNumberFormat="1" applyBorder="1" applyProtection="1">
      <alignment vertical="center"/>
      <protection locked="0"/>
    </xf>
    <xf numFmtId="0" fontId="5" fillId="0" borderId="25" xfId="3" applyFont="1" applyBorder="1" applyAlignment="1" applyProtection="1">
      <alignment horizontal="left" vertical="center" wrapText="1"/>
      <protection locked="0"/>
    </xf>
    <xf numFmtId="0" fontId="9" fillId="0" borderId="0" xfId="0" applyFont="1" applyAlignment="1">
      <alignment horizontal="center" vertical="center"/>
    </xf>
    <xf numFmtId="0" fontId="9" fillId="0" borderId="0" xfId="0" applyFont="1" applyAlignment="1">
      <alignment horizontal="left" vertical="center" wrapText="1"/>
    </xf>
    <xf numFmtId="0" fontId="3" fillId="0" borderId="0" xfId="0" applyFont="1"/>
    <xf numFmtId="0" fontId="9" fillId="0" borderId="0" xfId="0" applyFont="1" applyAlignment="1">
      <alignment vertical="center" wrapText="1"/>
    </xf>
    <xf numFmtId="0" fontId="3" fillId="0" borderId="0" xfId="3" applyAlignment="1">
      <alignment vertical="center" wrapText="1"/>
    </xf>
    <xf numFmtId="0" fontId="3" fillId="0" borderId="0" xfId="4" applyAlignment="1">
      <alignment horizontal="left" vertical="center"/>
    </xf>
    <xf numFmtId="0" fontId="3" fillId="0" borderId="0" xfId="4" applyAlignment="1">
      <alignment vertical="center" wrapText="1"/>
    </xf>
    <xf numFmtId="0" fontId="7" fillId="7" borderId="5" xfId="3" applyFont="1" applyFill="1" applyBorder="1" applyAlignment="1" applyProtection="1">
      <alignment horizontal="center" vertical="center" wrapText="1"/>
      <protection locked="0"/>
    </xf>
    <xf numFmtId="49" fontId="7" fillId="8" borderId="4" xfId="3" applyNumberFormat="1" applyFont="1" applyFill="1" applyBorder="1" applyAlignment="1" applyProtection="1">
      <alignment horizontal="left" vertical="center"/>
      <protection locked="0"/>
    </xf>
    <xf numFmtId="0" fontId="3" fillId="4" borderId="0" xfId="4" applyFill="1">
      <alignment vertical="center"/>
    </xf>
    <xf numFmtId="4" fontId="3" fillId="0" borderId="0" xfId="4" applyNumberFormat="1" applyAlignment="1">
      <alignment horizontal="center" vertical="center"/>
    </xf>
    <xf numFmtId="4" fontId="3" fillId="0" borderId="30" xfId="4" applyNumberFormat="1" applyBorder="1" applyAlignment="1">
      <alignment horizontal="center" vertical="center"/>
    </xf>
    <xf numFmtId="165" fontId="3" fillId="0" borderId="31" xfId="5" applyFont="1" applyBorder="1" applyAlignment="1">
      <alignment vertical="center"/>
    </xf>
    <xf numFmtId="0" fontId="3" fillId="0" borderId="29" xfId="4" applyBorder="1">
      <alignment vertical="center"/>
    </xf>
    <xf numFmtId="0" fontId="3" fillId="0" borderId="28" xfId="4" applyBorder="1" applyAlignment="1">
      <alignment horizontal="center" vertical="center"/>
    </xf>
    <xf numFmtId="168" fontId="7" fillId="7" borderId="37" xfId="3" applyNumberFormat="1" applyFont="1" applyFill="1" applyBorder="1" applyAlignment="1" applyProtection="1">
      <alignment horizontal="center" vertical="center"/>
      <protection locked="0"/>
    </xf>
    <xf numFmtId="168" fontId="7" fillId="8" borderId="35" xfId="3" applyNumberFormat="1" applyFont="1" applyFill="1" applyBorder="1" applyProtection="1">
      <alignment vertical="center"/>
      <protection locked="0"/>
    </xf>
    <xf numFmtId="168" fontId="7" fillId="8" borderId="36" xfId="3" applyNumberFormat="1" applyFont="1" applyFill="1" applyBorder="1" applyProtection="1">
      <alignment vertical="center"/>
      <protection locked="0"/>
    </xf>
    <xf numFmtId="168" fontId="7" fillId="8" borderId="37" xfId="3" applyNumberFormat="1" applyFont="1" applyFill="1" applyBorder="1" applyProtection="1">
      <alignment vertical="center"/>
      <protection locked="0"/>
    </xf>
    <xf numFmtId="168" fontId="7" fillId="7" borderId="5" xfId="3" applyNumberFormat="1" applyFont="1" applyFill="1" applyBorder="1" applyAlignment="1" applyProtection="1">
      <alignment horizontal="center" vertical="center" wrapText="1"/>
      <protection locked="0"/>
    </xf>
    <xf numFmtId="0" fontId="6" fillId="0" borderId="0" xfId="3" applyFont="1" applyAlignment="1">
      <alignment horizontal="left" vertical="center"/>
    </xf>
    <xf numFmtId="0" fontId="6" fillId="0" borderId="0" xfId="3" applyFont="1">
      <alignment vertical="center"/>
    </xf>
    <xf numFmtId="15" fontId="6" fillId="0" borderId="0" xfId="3" applyNumberFormat="1" applyFont="1" applyAlignment="1">
      <alignment horizontal="left" vertical="center"/>
    </xf>
    <xf numFmtId="0" fontId="7" fillId="8" borderId="5" xfId="3" applyFont="1" applyFill="1" applyBorder="1" applyAlignment="1" applyProtection="1">
      <alignment horizontal="left" vertical="center" wrapText="1"/>
      <protection locked="0"/>
    </xf>
    <xf numFmtId="0" fontId="8" fillId="9" borderId="23" xfId="0" applyFont="1" applyFill="1" applyBorder="1" applyAlignment="1" applyProtection="1">
      <alignment horizontal="center" vertical="center"/>
      <protection locked="0"/>
    </xf>
    <xf numFmtId="168" fontId="8" fillId="9" borderId="23" xfId="0" applyNumberFormat="1" applyFont="1" applyFill="1" applyBorder="1" applyAlignment="1" applyProtection="1">
      <alignment vertical="center"/>
      <protection locked="0"/>
    </xf>
    <xf numFmtId="0" fontId="5" fillId="0" borderId="25" xfId="0" applyFont="1" applyBorder="1" applyAlignment="1" applyProtection="1">
      <alignment horizontal="left" vertical="center" wrapText="1"/>
      <protection locked="0"/>
    </xf>
    <xf numFmtId="0" fontId="5" fillId="0" borderId="25" xfId="0" applyFont="1" applyBorder="1" applyAlignment="1" applyProtection="1">
      <alignment horizontal="center" vertical="center"/>
      <protection locked="0"/>
    </xf>
    <xf numFmtId="168" fontId="5" fillId="0" borderId="25" xfId="0" applyNumberFormat="1" applyFont="1" applyBorder="1" applyAlignment="1" applyProtection="1">
      <alignment vertical="center"/>
      <protection locked="0"/>
    </xf>
    <xf numFmtId="0" fontId="8" fillId="9" borderId="25" xfId="0" applyFont="1" applyFill="1" applyBorder="1" applyAlignment="1" applyProtection="1">
      <alignment horizontal="center" vertical="center"/>
      <protection locked="0"/>
    </xf>
    <xf numFmtId="168" fontId="8" fillId="9" borderId="25" xfId="0" applyNumberFormat="1" applyFont="1" applyFill="1" applyBorder="1" applyAlignment="1" applyProtection="1">
      <alignment vertical="center"/>
      <protection locked="0"/>
    </xf>
    <xf numFmtId="0" fontId="21" fillId="0" borderId="25" xfId="0" applyFont="1" applyBorder="1" applyAlignment="1" applyProtection="1">
      <alignment horizontal="center" vertical="center"/>
      <protection locked="0"/>
    </xf>
    <xf numFmtId="168" fontId="21" fillId="0" borderId="25" xfId="0" applyNumberFormat="1" applyFont="1" applyBorder="1" applyAlignment="1" applyProtection="1">
      <alignment vertical="center"/>
      <protection locked="0"/>
    </xf>
    <xf numFmtId="168" fontId="5" fillId="9" borderId="25" xfId="0" applyNumberFormat="1" applyFont="1" applyFill="1" applyBorder="1" applyAlignment="1" applyProtection="1">
      <alignment vertical="center"/>
      <protection locked="0"/>
    </xf>
    <xf numFmtId="0" fontId="5" fillId="0" borderId="25" xfId="0" applyFont="1" applyBorder="1" applyAlignment="1" applyProtection="1">
      <alignment vertical="center" wrapText="1"/>
      <protection locked="0"/>
    </xf>
    <xf numFmtId="0" fontId="5" fillId="0" borderId="25" xfId="20" applyFont="1" applyBorder="1" applyAlignment="1" applyProtection="1">
      <alignment horizontal="left" vertical="center" wrapText="1"/>
      <protection locked="0"/>
    </xf>
    <xf numFmtId="0" fontId="5" fillId="0" borderId="25" xfId="20" applyFont="1" applyBorder="1" applyAlignment="1" applyProtection="1">
      <alignment horizontal="center" vertical="center"/>
      <protection locked="0"/>
    </xf>
    <xf numFmtId="0" fontId="21" fillId="0" borderId="25" xfId="20" applyFont="1" applyBorder="1" applyAlignment="1" applyProtection="1">
      <alignment horizontal="center" vertical="center"/>
      <protection locked="0"/>
    </xf>
    <xf numFmtId="0" fontId="5" fillId="0" borderId="26" xfId="20" applyFont="1" applyBorder="1" applyAlignment="1" applyProtection="1">
      <alignment horizontal="center" vertical="center"/>
      <protection locked="0"/>
    </xf>
    <xf numFmtId="164" fontId="5" fillId="0" borderId="25" xfId="0" applyNumberFormat="1" applyFont="1" applyBorder="1" applyAlignment="1" applyProtection="1">
      <alignment vertical="center"/>
      <protection locked="0"/>
    </xf>
    <xf numFmtId="164" fontId="5" fillId="9" borderId="25" xfId="3" applyNumberFormat="1" applyFont="1" applyFill="1" applyBorder="1" applyProtection="1">
      <alignment vertical="center"/>
      <protection locked="0"/>
    </xf>
    <xf numFmtId="164" fontId="5" fillId="4" borderId="25" xfId="3" applyNumberFormat="1" applyFont="1" applyFill="1" applyBorder="1" applyProtection="1">
      <alignment vertical="center"/>
      <protection locked="0"/>
    </xf>
    <xf numFmtId="164" fontId="5" fillId="0" borderId="25" xfId="3" applyNumberFormat="1" applyFont="1" applyBorder="1" applyProtection="1">
      <alignment vertical="center"/>
      <protection locked="0"/>
    </xf>
    <xf numFmtId="0" fontId="3" fillId="0" borderId="12" xfId="4" applyBorder="1">
      <alignment vertical="center"/>
    </xf>
    <xf numFmtId="169" fontId="14" fillId="7" borderId="4" xfId="3" applyNumberFormat="1" applyFont="1" applyFill="1" applyBorder="1">
      <alignment vertical="center"/>
    </xf>
    <xf numFmtId="164" fontId="14" fillId="7" borderId="5" xfId="3" applyNumberFormat="1" applyFont="1" applyFill="1" applyBorder="1">
      <alignment vertical="center"/>
    </xf>
    <xf numFmtId="172" fontId="14" fillId="7" borderId="5" xfId="3" applyNumberFormat="1" applyFont="1" applyFill="1" applyBorder="1">
      <alignment vertical="center"/>
    </xf>
    <xf numFmtId="170" fontId="5" fillId="9" borderId="25" xfId="3" applyNumberFormat="1" applyFont="1" applyFill="1" applyBorder="1" applyProtection="1">
      <alignment vertical="center"/>
      <protection locked="0"/>
    </xf>
    <xf numFmtId="170" fontId="5" fillId="4" borderId="25" xfId="3" applyNumberFormat="1" applyFont="1" applyFill="1" applyBorder="1" applyProtection="1">
      <alignment vertical="center"/>
      <protection locked="0"/>
    </xf>
    <xf numFmtId="170" fontId="5" fillId="0" borderId="25" xfId="0" applyNumberFormat="1" applyFont="1" applyBorder="1" applyAlignment="1" applyProtection="1">
      <alignment vertical="center"/>
      <protection locked="0"/>
    </xf>
    <xf numFmtId="164" fontId="14" fillId="7" borderId="6" xfId="3" applyNumberFormat="1" applyFont="1" applyFill="1" applyBorder="1">
      <alignment vertical="center"/>
    </xf>
    <xf numFmtId="164" fontId="3" fillId="0" borderId="12" xfId="4" applyNumberFormat="1" applyBorder="1">
      <alignment vertical="center"/>
    </xf>
    <xf numFmtId="164" fontId="23" fillId="0" borderId="25" xfId="0" applyNumberFormat="1" applyFont="1" applyBorder="1" applyAlignment="1" applyProtection="1">
      <alignment vertical="center"/>
      <protection locked="0"/>
    </xf>
    <xf numFmtId="0" fontId="5" fillId="0" borderId="25" xfId="20" applyFont="1" applyBorder="1" applyAlignment="1" applyProtection="1">
      <alignment vertical="center"/>
      <protection locked="0"/>
    </xf>
    <xf numFmtId="0" fontId="5" fillId="0" borderId="25" xfId="20" applyFont="1" applyBorder="1" applyAlignment="1" applyProtection="1">
      <alignment vertical="center" wrapText="1"/>
      <protection locked="0"/>
    </xf>
    <xf numFmtId="0" fontId="5" fillId="0" borderId="25" xfId="20" applyFont="1" applyBorder="1" applyAlignment="1" applyProtection="1">
      <alignment horizontal="left" vertical="center"/>
      <protection locked="0"/>
    </xf>
    <xf numFmtId="0" fontId="5" fillId="0" borderId="26" xfId="20" applyFont="1" applyBorder="1" applyAlignment="1" applyProtection="1">
      <alignment vertical="center"/>
      <protection locked="0"/>
    </xf>
    <xf numFmtId="171" fontId="5" fillId="0" borderId="25" xfId="20" applyNumberFormat="1" applyFont="1" applyBorder="1" applyAlignment="1" applyProtection="1">
      <alignment horizontal="center" vertical="center"/>
      <protection locked="0"/>
    </xf>
    <xf numFmtId="0" fontId="8" fillId="9" borderId="23" xfId="20" applyFont="1" applyFill="1" applyBorder="1" applyAlignment="1" applyProtection="1">
      <alignment horizontal="center" vertical="center"/>
      <protection locked="0"/>
    </xf>
    <xf numFmtId="171" fontId="5" fillId="9" borderId="23" xfId="20" applyNumberFormat="1" applyFont="1" applyFill="1" applyBorder="1" applyAlignment="1" applyProtection="1">
      <alignment horizontal="center" vertical="center"/>
      <protection locked="0"/>
    </xf>
    <xf numFmtId="170" fontId="5" fillId="0" borderId="25" xfId="3" applyNumberFormat="1" applyFont="1" applyBorder="1" applyProtection="1">
      <alignment vertical="center"/>
      <protection locked="0"/>
    </xf>
    <xf numFmtId="164" fontId="8" fillId="0" borderId="12" xfId="3" applyNumberFormat="1" applyFont="1" applyBorder="1" applyProtection="1">
      <alignment vertical="center"/>
      <protection locked="0"/>
    </xf>
    <xf numFmtId="0" fontId="3" fillId="0" borderId="25" xfId="20" applyFont="1" applyBorder="1" applyAlignment="1" applyProtection="1">
      <alignment horizontal="center" vertical="center"/>
      <protection locked="0"/>
    </xf>
    <xf numFmtId="0" fontId="3" fillId="0" borderId="25" xfId="20" applyFont="1" applyBorder="1" applyAlignment="1" applyProtection="1">
      <alignment vertical="center" wrapText="1"/>
      <protection locked="0"/>
    </xf>
    <xf numFmtId="0" fontId="3" fillId="0" borderId="25" xfId="20" applyFont="1" applyBorder="1" applyAlignment="1" applyProtection="1">
      <alignment vertical="center"/>
      <protection locked="0"/>
    </xf>
    <xf numFmtId="0" fontId="3" fillId="0" borderId="21" xfId="4" applyBorder="1" applyAlignment="1">
      <alignment horizontal="left" vertical="center"/>
    </xf>
    <xf numFmtId="0" fontId="3" fillId="0" borderId="21" xfId="4" applyBorder="1" applyAlignment="1">
      <alignment vertical="center" wrapText="1"/>
    </xf>
    <xf numFmtId="0" fontId="10" fillId="0" borderId="21" xfId="3" applyFont="1" applyBorder="1" applyAlignment="1">
      <alignment horizontal="center" wrapText="1"/>
    </xf>
    <xf numFmtId="171" fontId="5" fillId="9" borderId="25" xfId="20" applyNumberFormat="1" applyFont="1" applyFill="1" applyBorder="1" applyAlignment="1" applyProtection="1">
      <alignment horizontal="center" vertical="center"/>
      <protection locked="0"/>
    </xf>
    <xf numFmtId="164" fontId="5" fillId="9" borderId="25" xfId="0" applyNumberFormat="1" applyFont="1" applyFill="1" applyBorder="1" applyAlignment="1" applyProtection="1">
      <alignment vertical="center"/>
      <protection locked="0"/>
    </xf>
    <xf numFmtId="0" fontId="8" fillId="9" borderId="25" xfId="20" applyFont="1" applyFill="1" applyBorder="1" applyAlignment="1" applyProtection="1">
      <alignment horizontal="center" vertical="center"/>
      <protection locked="0"/>
    </xf>
    <xf numFmtId="172" fontId="3" fillId="0" borderId="0" xfId="4" applyNumberFormat="1">
      <alignment vertical="center"/>
    </xf>
    <xf numFmtId="0" fontId="3" fillId="0" borderId="25" xfId="20" applyFont="1" applyBorder="1" applyAlignment="1" applyProtection="1">
      <alignment horizontal="left" vertical="center" wrapText="1"/>
      <protection locked="0"/>
    </xf>
    <xf numFmtId="164" fontId="3" fillId="0" borderId="0" xfId="4" applyNumberFormat="1">
      <alignment vertical="center"/>
    </xf>
    <xf numFmtId="0" fontId="3" fillId="0" borderId="19" xfId="4" applyBorder="1">
      <alignment vertical="center"/>
    </xf>
    <xf numFmtId="0" fontId="3" fillId="0" borderId="20" xfId="4" applyBorder="1" applyAlignment="1">
      <alignment horizontal="center" vertical="center"/>
    </xf>
    <xf numFmtId="0" fontId="22" fillId="9" borderId="23" xfId="3" applyFont="1" applyFill="1" applyBorder="1" applyAlignment="1" applyProtection="1">
      <alignment vertical="center" wrapText="1"/>
      <protection locked="0"/>
    </xf>
    <xf numFmtId="0" fontId="22" fillId="9" borderId="25" xfId="0" applyFont="1" applyFill="1" applyBorder="1" applyAlignment="1" applyProtection="1">
      <alignment horizontal="left" vertical="center" wrapText="1"/>
      <protection locked="0"/>
    </xf>
    <xf numFmtId="0" fontId="19" fillId="0" borderId="25" xfId="0" applyFont="1" applyBorder="1" applyAlignment="1" applyProtection="1">
      <alignment horizontal="left" vertical="center" wrapText="1"/>
      <protection locked="0"/>
    </xf>
    <xf numFmtId="0" fontId="19" fillId="0" borderId="25" xfId="20" applyFont="1" applyBorder="1" applyAlignment="1" applyProtection="1">
      <alignment vertical="center" wrapText="1"/>
      <protection locked="0"/>
    </xf>
    <xf numFmtId="0" fontId="19" fillId="0" borderId="25" xfId="20" applyFont="1" applyBorder="1" applyAlignment="1" applyProtection="1">
      <alignment horizontal="left" vertical="center" wrapText="1"/>
      <protection locked="0"/>
    </xf>
    <xf numFmtId="164" fontId="22" fillId="9" borderId="10" xfId="3" applyNumberFormat="1" applyFont="1" applyFill="1" applyBorder="1" applyProtection="1">
      <alignment vertical="center"/>
      <protection locked="0"/>
    </xf>
    <xf numFmtId="164" fontId="22" fillId="9" borderId="12" xfId="3" applyNumberFormat="1" applyFont="1" applyFill="1" applyBorder="1" applyProtection="1">
      <alignment vertical="center"/>
      <protection locked="0"/>
    </xf>
    <xf numFmtId="0" fontId="22" fillId="9" borderId="23" xfId="20" applyFont="1" applyFill="1" applyBorder="1" applyAlignment="1" applyProtection="1">
      <alignment vertical="center"/>
      <protection locked="0"/>
    </xf>
    <xf numFmtId="0" fontId="22" fillId="9" borderId="25" xfId="20" applyFont="1" applyFill="1" applyBorder="1" applyAlignment="1" applyProtection="1">
      <alignment vertical="center"/>
      <protection locked="0"/>
    </xf>
    <xf numFmtId="0" fontId="19" fillId="0" borderId="25" xfId="20" applyFont="1" applyBorder="1" applyAlignment="1" applyProtection="1">
      <alignment vertical="center"/>
      <protection locked="0"/>
    </xf>
    <xf numFmtId="174" fontId="19" fillId="4" borderId="24" xfId="16" quotePrefix="1" applyNumberFormat="1" applyFont="1" applyFill="1" applyBorder="1" applyAlignment="1">
      <alignment horizontal="left" vertical="center"/>
    </xf>
    <xf numFmtId="174" fontId="9" fillId="4" borderId="24" xfId="16" quotePrefix="1" applyNumberFormat="1" applyFont="1" applyFill="1" applyBorder="1" applyAlignment="1">
      <alignment horizontal="left" vertical="center"/>
    </xf>
    <xf numFmtId="175" fontId="9" fillId="4" borderId="24" xfId="16" quotePrefix="1" applyNumberFormat="1" applyFont="1" applyFill="1" applyBorder="1" applyAlignment="1">
      <alignment horizontal="left" vertical="center"/>
    </xf>
    <xf numFmtId="175" fontId="9" fillId="0" borderId="24" xfId="16" quotePrefix="1" applyNumberFormat="1" applyFont="1" applyBorder="1" applyAlignment="1">
      <alignment horizontal="left" vertical="center"/>
    </xf>
    <xf numFmtId="170" fontId="23" fillId="0" borderId="25" xfId="0" applyNumberFormat="1" applyFont="1" applyBorder="1" applyAlignment="1" applyProtection="1">
      <alignment vertical="center"/>
      <protection locked="0"/>
    </xf>
    <xf numFmtId="165" fontId="5" fillId="0" borderId="2" xfId="5" applyFont="1" applyFill="1" applyBorder="1" applyAlignment="1" applyProtection="1">
      <alignment vertical="center"/>
      <protection locked="0"/>
    </xf>
    <xf numFmtId="165" fontId="3" fillId="0" borderId="0" xfId="5" applyFont="1" applyAlignment="1">
      <alignment horizontal="center" vertical="center"/>
    </xf>
    <xf numFmtId="0" fontId="3" fillId="0" borderId="0" xfId="3" applyAlignment="1" applyProtection="1">
      <alignment horizontal="left" vertical="center"/>
      <protection locked="0"/>
    </xf>
    <xf numFmtId="14" fontId="3" fillId="0" borderId="0" xfId="4" applyNumberFormat="1" applyAlignment="1">
      <alignment horizontal="left" vertical="center"/>
    </xf>
    <xf numFmtId="165" fontId="7" fillId="7" borderId="5" xfId="5" applyFont="1" applyFill="1" applyBorder="1" applyAlignment="1" applyProtection="1">
      <alignment horizontal="center" vertical="center"/>
      <protection locked="0"/>
    </xf>
    <xf numFmtId="165" fontId="7" fillId="7" borderId="6" xfId="5" applyFont="1" applyFill="1" applyBorder="1" applyAlignment="1" applyProtection="1">
      <alignment horizontal="center" vertical="center"/>
      <protection locked="0"/>
    </xf>
    <xf numFmtId="165" fontId="7" fillId="8" borderId="5" xfId="5" applyFont="1" applyFill="1" applyBorder="1" applyAlignment="1" applyProtection="1">
      <alignment horizontal="center" vertical="center"/>
      <protection locked="0"/>
    </xf>
    <xf numFmtId="165" fontId="7" fillId="8" borderId="5" xfId="5" applyFont="1" applyFill="1" applyBorder="1" applyAlignment="1" applyProtection="1">
      <alignment vertical="center"/>
      <protection locked="0"/>
    </xf>
    <xf numFmtId="165" fontId="7" fillId="8" borderId="6" xfId="5" applyFont="1" applyFill="1" applyBorder="1" applyAlignment="1" applyProtection="1">
      <alignment vertical="center"/>
      <protection locked="0"/>
    </xf>
    <xf numFmtId="165" fontId="8" fillId="0" borderId="8" xfId="5" applyFont="1" applyFill="1" applyBorder="1" applyAlignment="1" applyProtection="1">
      <alignment horizontal="center" vertical="center"/>
      <protection locked="0"/>
    </xf>
    <xf numFmtId="165" fontId="8" fillId="0" borderId="8" xfId="5" applyFont="1" applyFill="1" applyBorder="1" applyAlignment="1" applyProtection="1">
      <alignment vertical="center"/>
      <protection locked="0"/>
    </xf>
    <xf numFmtId="165" fontId="5" fillId="0" borderId="2" xfId="5" applyFont="1" applyFill="1" applyBorder="1" applyAlignment="1" applyProtection="1">
      <alignment horizontal="center"/>
      <protection locked="0"/>
    </xf>
    <xf numFmtId="165" fontId="5" fillId="0" borderId="2" xfId="5" applyFont="1" applyFill="1" applyBorder="1" applyAlignment="1" applyProtection="1">
      <alignment horizontal="center" vertical="center"/>
      <protection locked="0"/>
    </xf>
    <xf numFmtId="165" fontId="8" fillId="0" borderId="2" xfId="5" applyFont="1" applyFill="1" applyBorder="1" applyAlignment="1" applyProtection="1">
      <alignment vertical="center"/>
      <protection locked="0"/>
    </xf>
    <xf numFmtId="0" fontId="33" fillId="0" borderId="2" xfId="4" applyFont="1" applyBorder="1" applyAlignment="1" applyProtection="1">
      <alignment horizontal="center" vertical="center"/>
      <protection locked="0"/>
    </xf>
    <xf numFmtId="165" fontId="33" fillId="0" borderId="2" xfId="5" applyFont="1" applyFill="1" applyBorder="1" applyAlignment="1" applyProtection="1">
      <alignment horizontal="center" vertical="center"/>
      <protection locked="0"/>
    </xf>
    <xf numFmtId="165" fontId="33" fillId="0" borderId="2" xfId="5" applyFont="1" applyFill="1" applyBorder="1" applyAlignment="1" applyProtection="1">
      <alignment vertical="center"/>
      <protection locked="0"/>
    </xf>
    <xf numFmtId="165" fontId="8" fillId="0" borderId="2" xfId="5" applyFont="1" applyFill="1" applyBorder="1" applyAlignment="1" applyProtection="1">
      <alignment horizontal="center" vertical="center"/>
      <protection locked="0"/>
    </xf>
    <xf numFmtId="49" fontId="5" fillId="4" borderId="11" xfId="4" applyNumberFormat="1" applyFont="1" applyFill="1" applyBorder="1" applyProtection="1">
      <alignment vertical="center"/>
      <protection locked="0"/>
    </xf>
    <xf numFmtId="0" fontId="28" fillId="4" borderId="2" xfId="4" applyFont="1" applyFill="1" applyBorder="1" applyAlignment="1" applyProtection="1">
      <alignment horizontal="left" vertical="center" indent="2"/>
      <protection locked="0"/>
    </xf>
    <xf numFmtId="0" fontId="5" fillId="4" borderId="2" xfId="4" applyFont="1" applyFill="1" applyBorder="1" applyAlignment="1" applyProtection="1">
      <alignment horizontal="center" vertical="center"/>
      <protection locked="0"/>
    </xf>
    <xf numFmtId="165" fontId="5" fillId="4" borderId="2" xfId="5" applyFont="1" applyFill="1" applyBorder="1" applyAlignment="1" applyProtection="1">
      <alignment horizontal="center" vertical="center"/>
      <protection locked="0"/>
    </xf>
    <xf numFmtId="165" fontId="5" fillId="4" borderId="2" xfId="5" applyFont="1" applyFill="1" applyBorder="1" applyAlignment="1" applyProtection="1">
      <alignment vertical="center"/>
      <protection locked="0"/>
    </xf>
    <xf numFmtId="0" fontId="5" fillId="4" borderId="2" xfId="4" applyFont="1" applyFill="1" applyBorder="1" applyAlignment="1" applyProtection="1">
      <alignment horizontal="left" vertical="center" indent="2"/>
      <protection locked="0"/>
    </xf>
    <xf numFmtId="0" fontId="3" fillId="0" borderId="2" xfId="3" applyBorder="1" applyProtection="1">
      <alignment vertical="center"/>
      <protection locked="0"/>
    </xf>
    <xf numFmtId="0" fontId="28" fillId="0" borderId="2" xfId="4" applyFont="1" applyBorder="1" applyAlignment="1" applyProtection="1">
      <alignment horizontal="left" vertical="center" indent="2"/>
      <protection locked="0"/>
    </xf>
    <xf numFmtId="165" fontId="5" fillId="0" borderId="2" xfId="5" applyFont="1" applyBorder="1" applyAlignment="1" applyProtection="1">
      <alignment vertical="center"/>
      <protection locked="0"/>
    </xf>
    <xf numFmtId="165" fontId="10" fillId="0" borderId="0" xfId="5" applyFont="1" applyAlignment="1">
      <alignment horizontal="center" vertical="top" wrapText="1"/>
    </xf>
    <xf numFmtId="165" fontId="10" fillId="0" borderId="0" xfId="5" applyFont="1" applyAlignment="1">
      <alignment vertical="top" wrapText="1"/>
    </xf>
    <xf numFmtId="0" fontId="5" fillId="4" borderId="2" xfId="4" applyFont="1" applyFill="1" applyBorder="1" applyAlignment="1" applyProtection="1">
      <alignment horizontal="left" vertical="center" wrapText="1" indent="2"/>
      <protection locked="0"/>
    </xf>
    <xf numFmtId="0" fontId="3" fillId="0" borderId="2" xfId="3" applyBorder="1" applyAlignment="1" applyProtection="1">
      <alignment vertical="center" wrapText="1"/>
      <protection locked="0"/>
    </xf>
    <xf numFmtId="0" fontId="3" fillId="0" borderId="21" xfId="4" applyBorder="1">
      <alignment vertical="center"/>
    </xf>
    <xf numFmtId="165" fontId="10" fillId="0" borderId="21" xfId="5" applyFont="1" applyBorder="1" applyAlignment="1">
      <alignment wrapText="1"/>
    </xf>
    <xf numFmtId="0" fontId="33" fillId="0" borderId="2" xfId="4" applyFont="1" applyBorder="1" applyAlignment="1" applyProtection="1">
      <alignment horizontal="left" vertical="center" wrapText="1" indent="2"/>
      <protection locked="0"/>
    </xf>
    <xf numFmtId="185" fontId="11" fillId="4" borderId="0" xfId="7" applyNumberFormat="1" applyFont="1" applyFill="1" applyAlignment="1">
      <alignment horizontal="right" vertical="center"/>
    </xf>
    <xf numFmtId="165" fontId="3" fillId="0" borderId="0" xfId="5" applyFont="1" applyFill="1" applyAlignment="1">
      <alignment horizontal="center" vertical="center"/>
    </xf>
    <xf numFmtId="169" fontId="7" fillId="7" borderId="5" xfId="3" applyNumberFormat="1" applyFont="1" applyFill="1" applyBorder="1">
      <alignment vertical="center"/>
    </xf>
    <xf numFmtId="0" fontId="8" fillId="0" borderId="23" xfId="3" applyFont="1" applyBorder="1" applyProtection="1">
      <alignment vertical="center"/>
      <protection locked="0"/>
    </xf>
    <xf numFmtId="0" fontId="8" fillId="0" borderId="23" xfId="3" applyFont="1" applyBorder="1" applyAlignment="1" applyProtection="1">
      <alignment horizontal="center" vertical="center"/>
      <protection locked="0"/>
    </xf>
    <xf numFmtId="168" fontId="8" fillId="0" borderId="23" xfId="3" applyNumberFormat="1" applyFont="1" applyBorder="1" applyProtection="1">
      <alignment vertical="center"/>
      <protection locked="0"/>
    </xf>
    <xf numFmtId="0" fontId="5" fillId="4" borderId="25" xfId="3" applyFont="1" applyFill="1" applyBorder="1" applyProtection="1">
      <alignment vertical="center"/>
      <protection locked="0"/>
    </xf>
    <xf numFmtId="0" fontId="5" fillId="0" borderId="25" xfId="3" applyFont="1" applyBorder="1" applyProtection="1">
      <alignment vertical="center"/>
      <protection locked="0"/>
    </xf>
    <xf numFmtId="0" fontId="36" fillId="0" borderId="25" xfId="3" applyFont="1" applyBorder="1" applyProtection="1">
      <alignment vertical="center"/>
      <protection locked="0"/>
    </xf>
    <xf numFmtId="0" fontId="5" fillId="0" borderId="25" xfId="3" applyFont="1" applyBorder="1" applyAlignment="1" applyProtection="1">
      <alignment horizontal="left" vertical="center" indent="1"/>
      <protection locked="0"/>
    </xf>
    <xf numFmtId="0" fontId="5" fillId="0" borderId="25" xfId="3" applyFont="1" applyBorder="1" applyAlignment="1" applyProtection="1">
      <alignment horizontal="left" vertical="center"/>
      <protection locked="0"/>
    </xf>
    <xf numFmtId="0" fontId="8" fillId="0" borderId="25" xfId="3" applyFont="1" applyBorder="1" applyAlignment="1" applyProtection="1">
      <alignment horizontal="center" vertical="center"/>
      <protection locked="0"/>
    </xf>
    <xf numFmtId="168" fontId="8" fillId="0" borderId="25" xfId="3" applyNumberFormat="1" applyFont="1" applyBorder="1" applyProtection="1">
      <alignment vertical="center"/>
      <protection locked="0"/>
    </xf>
    <xf numFmtId="0" fontId="8" fillId="4" borderId="25" xfId="3" applyFont="1" applyFill="1" applyBorder="1" applyAlignment="1" applyProtection="1">
      <alignment horizontal="center" vertical="center"/>
      <protection locked="0"/>
    </xf>
    <xf numFmtId="168" fontId="8" fillId="4" borderId="25" xfId="3" applyNumberFormat="1" applyFont="1" applyFill="1" applyBorder="1" applyProtection="1">
      <alignment vertical="center"/>
      <protection locked="0"/>
    </xf>
    <xf numFmtId="186" fontId="3" fillId="0" borderId="0" xfId="3" applyNumberFormat="1" applyAlignment="1">
      <alignment horizontal="left" vertical="center" indent="2"/>
    </xf>
    <xf numFmtId="0" fontId="5" fillId="0" borderId="25" xfId="3" applyFont="1" applyBorder="1" applyAlignment="1" applyProtection="1">
      <alignment horizontal="left" vertical="center" wrapText="1" indent="1"/>
      <protection locked="0"/>
    </xf>
    <xf numFmtId="0" fontId="8" fillId="0" borderId="25" xfId="3" applyFont="1" applyBorder="1" applyProtection="1">
      <alignment vertical="center"/>
      <protection locked="0"/>
    </xf>
    <xf numFmtId="0" fontId="11" fillId="0" borderId="25" xfId="3" applyFont="1" applyBorder="1" applyProtection="1">
      <alignment vertical="center"/>
      <protection locked="0"/>
    </xf>
    <xf numFmtId="0" fontId="3" fillId="0" borderId="25" xfId="3" applyBorder="1" applyProtection="1">
      <alignment vertical="center"/>
      <protection locked="0"/>
    </xf>
    <xf numFmtId="0" fontId="11" fillId="0" borderId="25" xfId="3" applyFont="1" applyBorder="1" applyAlignment="1" applyProtection="1">
      <alignment vertical="center" wrapText="1"/>
      <protection locked="0"/>
    </xf>
    <xf numFmtId="172" fontId="5" fillId="0" borderId="23" xfId="5" applyNumberFormat="1" applyFont="1" applyBorder="1" applyAlignment="1" applyProtection="1">
      <alignment vertical="center"/>
      <protection locked="0"/>
    </xf>
    <xf numFmtId="172" fontId="5" fillId="0" borderId="25" xfId="5" applyNumberFormat="1" applyFont="1" applyBorder="1" applyAlignment="1" applyProtection="1">
      <alignment vertical="center"/>
      <protection locked="0"/>
    </xf>
    <xf numFmtId="170" fontId="7" fillId="7" borderId="5" xfId="3" applyNumberFormat="1" applyFont="1" applyFill="1" applyBorder="1">
      <alignment vertical="center"/>
    </xf>
    <xf numFmtId="170" fontId="8" fillId="0" borderId="23" xfId="3" applyNumberFormat="1" applyFont="1" applyBorder="1" applyProtection="1">
      <alignment vertical="center"/>
      <protection locked="0"/>
    </xf>
    <xf numFmtId="0" fontId="3" fillId="0" borderId="25" xfId="3" applyBorder="1" applyAlignment="1" applyProtection="1">
      <alignment horizontal="center" vertical="center"/>
      <protection locked="0"/>
    </xf>
    <xf numFmtId="4" fontId="13" fillId="4" borderId="25" xfId="7" applyNumberFormat="1" applyFont="1" applyFill="1" applyBorder="1" applyAlignment="1">
      <alignment horizontal="center"/>
    </xf>
    <xf numFmtId="164" fontId="8" fillId="0" borderId="45" xfId="3" applyNumberFormat="1" applyFont="1" applyBorder="1" applyProtection="1">
      <alignment vertical="center"/>
      <protection locked="0"/>
    </xf>
    <xf numFmtId="164" fontId="5" fillId="0" borderId="46" xfId="3" applyNumberFormat="1" applyFont="1" applyBorder="1" applyProtection="1">
      <alignment vertical="center"/>
      <protection locked="0"/>
    </xf>
    <xf numFmtId="164" fontId="5" fillId="0" borderId="48" xfId="3" applyNumberFormat="1" applyFont="1" applyBorder="1" applyProtection="1">
      <alignment vertical="center"/>
      <protection locked="0"/>
    </xf>
    <xf numFmtId="164" fontId="8" fillId="0" borderId="46" xfId="3" applyNumberFormat="1" applyFont="1" applyBorder="1" applyProtection="1">
      <alignment vertical="center"/>
      <protection locked="0"/>
    </xf>
    <xf numFmtId="164" fontId="5" fillId="0" borderId="47" xfId="3" applyNumberFormat="1" applyFont="1" applyBorder="1" applyProtection="1">
      <alignment vertical="center"/>
      <protection locked="0"/>
    </xf>
    <xf numFmtId="164" fontId="7" fillId="7" borderId="6" xfId="3" applyNumberFormat="1" applyFont="1" applyFill="1" applyBorder="1">
      <alignment vertical="center"/>
    </xf>
    <xf numFmtId="164" fontId="5" fillId="0" borderId="23" xfId="5" applyNumberFormat="1" applyFont="1" applyBorder="1" applyAlignment="1" applyProtection="1">
      <alignment vertical="center"/>
      <protection locked="0"/>
    </xf>
    <xf numFmtId="164" fontId="5" fillId="0" borderId="25" xfId="5" applyNumberFormat="1" applyFont="1" applyBorder="1" applyAlignment="1" applyProtection="1">
      <alignment vertical="center"/>
      <protection locked="0"/>
    </xf>
    <xf numFmtId="164" fontId="7" fillId="7" borderId="5" xfId="3" applyNumberFormat="1" applyFont="1" applyFill="1" applyBorder="1">
      <alignment vertical="center"/>
    </xf>
    <xf numFmtId="164" fontId="14" fillId="7" borderId="5" xfId="3" applyNumberFormat="1" applyFont="1" applyFill="1" applyBorder="1" applyAlignment="1"/>
    <xf numFmtId="0" fontId="3" fillId="0" borderId="25" xfId="3" applyBorder="1" applyAlignment="1" applyProtection="1">
      <alignment vertical="center" wrapText="1"/>
      <protection locked="0"/>
    </xf>
    <xf numFmtId="187" fontId="22" fillId="9" borderId="22" xfId="16" applyNumberFormat="1" applyFont="1" applyFill="1" applyBorder="1" applyAlignment="1">
      <alignment horizontal="left" vertical="center"/>
    </xf>
    <xf numFmtId="187" fontId="22" fillId="9" borderId="24" xfId="16" applyNumberFormat="1" applyFont="1" applyFill="1" applyBorder="1" applyAlignment="1">
      <alignment horizontal="left" vertical="center"/>
    </xf>
    <xf numFmtId="187" fontId="8" fillId="0" borderId="22" xfId="3" applyNumberFormat="1" applyFont="1" applyBorder="1" applyAlignment="1" applyProtection="1">
      <alignment horizontal="left" vertical="center"/>
      <protection locked="0"/>
    </xf>
    <xf numFmtId="187" fontId="8" fillId="0" borderId="24" xfId="3" quotePrefix="1" applyNumberFormat="1" applyFont="1" applyBorder="1" applyAlignment="1" applyProtection="1">
      <alignment horizontal="left" vertical="center"/>
      <protection locked="0"/>
    </xf>
    <xf numFmtId="174" fontId="5" fillId="0" borderId="24" xfId="3" applyNumberFormat="1" applyFont="1" applyBorder="1" applyAlignment="1" applyProtection="1">
      <alignment horizontal="left" vertical="center"/>
      <protection locked="0"/>
    </xf>
    <xf numFmtId="175" fontId="5" fillId="0" borderId="24" xfId="3" applyNumberFormat="1" applyFont="1" applyBorder="1" applyAlignment="1" applyProtection="1">
      <alignment horizontal="left" vertical="center"/>
      <protection locked="0"/>
    </xf>
    <xf numFmtId="174" fontId="38" fillId="0" borderId="24" xfId="3" applyNumberFormat="1" applyFont="1" applyBorder="1" applyAlignment="1" applyProtection="1">
      <alignment horizontal="left" vertical="center"/>
      <protection locked="0"/>
    </xf>
    <xf numFmtId="0" fontId="8" fillId="0" borderId="23" xfId="3" applyFont="1" applyBorder="1" applyAlignment="1" applyProtection="1">
      <alignment vertical="center" wrapText="1"/>
      <protection locked="0"/>
    </xf>
    <xf numFmtId="164" fontId="8" fillId="0" borderId="23" xfId="3" applyNumberFormat="1" applyFont="1" applyBorder="1" applyProtection="1">
      <alignment vertical="center"/>
      <protection locked="0"/>
    </xf>
    <xf numFmtId="164" fontId="3" fillId="0" borderId="25" xfId="3" applyNumberFormat="1" applyBorder="1" applyProtection="1">
      <alignment vertical="center"/>
      <protection locked="0"/>
    </xf>
    <xf numFmtId="164" fontId="8" fillId="0" borderId="25" xfId="3" applyNumberFormat="1" applyFont="1" applyBorder="1" applyProtection="1">
      <alignment vertical="center"/>
      <protection locked="0"/>
    </xf>
    <xf numFmtId="169" fontId="14" fillId="7" borderId="5" xfId="3" applyNumberFormat="1" applyFont="1" applyFill="1" applyBorder="1">
      <alignment vertical="center"/>
    </xf>
    <xf numFmtId="0" fontId="5" fillId="10" borderId="25" xfId="20" applyFont="1" applyFill="1" applyBorder="1" applyAlignment="1" applyProtection="1">
      <alignment vertical="center"/>
      <protection locked="0"/>
    </xf>
    <xf numFmtId="0" fontId="5" fillId="10" borderId="25" xfId="20" applyFont="1" applyFill="1" applyBorder="1" applyAlignment="1" applyProtection="1">
      <alignment horizontal="left" vertical="center" wrapText="1"/>
      <protection locked="0"/>
    </xf>
    <xf numFmtId="0" fontId="3" fillId="10" borderId="25" xfId="20" applyFont="1" applyFill="1" applyBorder="1" applyAlignment="1" applyProtection="1">
      <alignment horizontal="left" vertical="center" wrapText="1"/>
      <protection locked="0"/>
    </xf>
    <xf numFmtId="0" fontId="11" fillId="4" borderId="25" xfId="3" applyFont="1" applyFill="1" applyBorder="1" applyAlignment="1" applyProtection="1">
      <alignment horizontal="left" vertical="center" wrapText="1"/>
      <protection locked="0"/>
    </xf>
    <xf numFmtId="174" fontId="11" fillId="0" borderId="24" xfId="3" applyNumberFormat="1" applyFont="1" applyBorder="1" applyAlignment="1" applyProtection="1">
      <alignment horizontal="left" vertical="center"/>
      <protection locked="0"/>
    </xf>
    <xf numFmtId="0" fontId="5" fillId="4" borderId="25" xfId="3" applyFont="1" applyFill="1" applyBorder="1" applyAlignment="1" applyProtection="1">
      <alignment vertical="center" wrapText="1"/>
      <protection locked="0"/>
    </xf>
    <xf numFmtId="164" fontId="8" fillId="4" borderId="25" xfId="3" applyNumberFormat="1" applyFont="1" applyFill="1" applyBorder="1" applyProtection="1">
      <alignment vertical="center"/>
      <protection locked="0"/>
    </xf>
    <xf numFmtId="0" fontId="0" fillId="0" borderId="0" xfId="0" applyAlignment="1">
      <alignment vertical="center"/>
    </xf>
    <xf numFmtId="165" fontId="3" fillId="0" borderId="40" xfId="5" applyFont="1" applyBorder="1" applyAlignment="1">
      <alignment vertical="center"/>
    </xf>
    <xf numFmtId="165" fontId="3" fillId="0" borderId="41" xfId="5" applyFont="1" applyBorder="1" applyAlignment="1">
      <alignment vertical="center"/>
    </xf>
    <xf numFmtId="4" fontId="3" fillId="0" borderId="15" xfId="4" applyNumberFormat="1" applyBorder="1" applyAlignment="1">
      <alignment horizontal="center" vertical="center"/>
    </xf>
    <xf numFmtId="4" fontId="19" fillId="0" borderId="17" xfId="4" applyNumberFormat="1" applyFont="1" applyBorder="1" applyAlignment="1">
      <alignment horizontal="center" vertical="center"/>
    </xf>
    <xf numFmtId="165" fontId="11" fillId="57" borderId="42" xfId="5" applyFont="1" applyFill="1" applyBorder="1" applyAlignment="1">
      <alignment vertical="center"/>
    </xf>
    <xf numFmtId="0" fontId="3" fillId="0" borderId="44" xfId="4" applyBorder="1" applyAlignment="1">
      <alignment horizontal="left" vertical="center"/>
    </xf>
    <xf numFmtId="0" fontId="3" fillId="0" borderId="70" xfId="3" applyBorder="1">
      <alignment vertical="center"/>
    </xf>
    <xf numFmtId="0" fontId="3" fillId="0" borderId="71" xfId="4" applyBorder="1">
      <alignment vertical="center"/>
    </xf>
    <xf numFmtId="0" fontId="3" fillId="0" borderId="72" xfId="4" applyBorder="1" applyAlignment="1">
      <alignment horizontal="center" vertical="center"/>
    </xf>
    <xf numFmtId="168" fontId="7" fillId="7" borderId="74" xfId="3" applyNumberFormat="1" applyFont="1" applyFill="1" applyBorder="1" applyAlignment="1" applyProtection="1">
      <alignment horizontal="center" vertical="center"/>
      <protection locked="0"/>
    </xf>
    <xf numFmtId="0" fontId="7" fillId="7" borderId="4" xfId="3" applyFont="1" applyFill="1" applyBorder="1" applyAlignment="1" applyProtection="1">
      <alignment horizontal="left" vertical="center" wrapText="1"/>
      <protection locked="0"/>
    </xf>
    <xf numFmtId="0" fontId="8" fillId="58" borderId="86" xfId="3" applyFont="1" applyFill="1" applyBorder="1" applyAlignment="1" applyProtection="1">
      <alignment horizontal="center" vertical="center"/>
      <protection locked="0"/>
    </xf>
    <xf numFmtId="43" fontId="101" fillId="58" borderId="86" xfId="26" applyFont="1" applyFill="1" applyBorder="1" applyAlignment="1" applyProtection="1">
      <alignment horizontal="center" vertical="center"/>
      <protection locked="0"/>
    </xf>
    <xf numFmtId="43" fontId="8" fillId="58" borderId="86" xfId="26" applyFont="1" applyFill="1" applyBorder="1" applyAlignment="1" applyProtection="1">
      <alignment horizontal="right" vertical="center"/>
      <protection locked="0"/>
    </xf>
    <xf numFmtId="2" fontId="3" fillId="0" borderId="0" xfId="4" applyNumberFormat="1" applyAlignment="1">
      <alignment horizontal="center" vertical="center"/>
    </xf>
    <xf numFmtId="164" fontId="3" fillId="0" borderId="0" xfId="5" applyNumberFormat="1" applyFont="1" applyFill="1" applyAlignment="1">
      <alignment horizontal="center" vertical="center"/>
    </xf>
    <xf numFmtId="164" fontId="11" fillId="0" borderId="0" xfId="5" applyNumberFormat="1" applyFont="1" applyFill="1" applyAlignment="1">
      <alignment horizontal="center" vertical="center"/>
    </xf>
    <xf numFmtId="0" fontId="11" fillId="0" borderId="0" xfId="4" applyFont="1" applyAlignment="1">
      <alignment horizontal="center" vertical="center"/>
    </xf>
    <xf numFmtId="0" fontId="11" fillId="0" borderId="0" xfId="4" applyFont="1">
      <alignment vertical="center"/>
    </xf>
    <xf numFmtId="0" fontId="102" fillId="0" borderId="82" xfId="2658" applyFont="1" applyBorder="1" applyAlignment="1">
      <alignment horizontal="left" vertical="center" wrapText="1"/>
    </xf>
    <xf numFmtId="0" fontId="8" fillId="58" borderId="85" xfId="3" applyFont="1" applyFill="1" applyBorder="1" applyProtection="1">
      <alignment vertical="center"/>
      <protection locked="0"/>
    </xf>
    <xf numFmtId="164" fontId="8" fillId="58" borderId="81" xfId="26" applyNumberFormat="1" applyFont="1" applyFill="1" applyBorder="1" applyAlignment="1" applyProtection="1">
      <alignment vertical="center"/>
      <protection locked="0"/>
    </xf>
    <xf numFmtId="0" fontId="103" fillId="0" borderId="83" xfId="2656" applyFont="1" applyBorder="1" applyAlignment="1">
      <alignment horizontal="center" vertical="center" wrapText="1"/>
    </xf>
    <xf numFmtId="43" fontId="103" fillId="0" borderId="84" xfId="26" applyFont="1" applyBorder="1" applyAlignment="1">
      <alignment horizontal="center" vertical="center" shrinkToFit="1"/>
    </xf>
    <xf numFmtId="43" fontId="104" fillId="0" borderId="84" xfId="26" applyFont="1" applyBorder="1" applyAlignment="1">
      <alignment vertical="center" shrinkToFit="1"/>
    </xf>
    <xf numFmtId="164" fontId="8" fillId="58" borderId="87" xfId="26" applyNumberFormat="1" applyFont="1" applyFill="1" applyBorder="1" applyAlignment="1" applyProtection="1">
      <alignment horizontal="right" vertical="center"/>
      <protection locked="0"/>
    </xf>
    <xf numFmtId="164" fontId="104" fillId="0" borderId="88" xfId="26" applyNumberFormat="1" applyFont="1" applyBorder="1" applyAlignment="1">
      <alignment vertical="center" shrinkToFit="1"/>
    </xf>
    <xf numFmtId="164" fontId="100" fillId="0" borderId="14" xfId="26" applyNumberFormat="1" applyFont="1" applyBorder="1" applyAlignment="1" applyProtection="1">
      <alignment vertical="center"/>
      <protection locked="0"/>
    </xf>
    <xf numFmtId="164" fontId="100" fillId="0" borderId="91" xfId="26" applyNumberFormat="1" applyFont="1" applyBorder="1" applyAlignment="1" applyProtection="1">
      <alignment vertical="center"/>
      <protection locked="0"/>
    </xf>
    <xf numFmtId="0" fontId="5" fillId="0" borderId="25" xfId="3" applyFont="1" applyBorder="1" applyAlignment="1" applyProtection="1">
      <alignment horizontal="left" vertical="center" indent="2"/>
      <protection locked="0"/>
    </xf>
    <xf numFmtId="0" fontId="103" fillId="0" borderId="77" xfId="2658" applyFont="1" applyBorder="1" applyAlignment="1">
      <alignment horizontal="left" vertical="center" wrapText="1"/>
    </xf>
    <xf numFmtId="0" fontId="103" fillId="0" borderId="75" xfId="2656" applyFont="1" applyBorder="1" applyAlignment="1">
      <alignment horizontal="center" vertical="center" wrapText="1"/>
    </xf>
    <xf numFmtId="43" fontId="103" fillId="0" borderId="76" xfId="26" applyFont="1" applyFill="1" applyBorder="1" applyAlignment="1">
      <alignment horizontal="center" vertical="center" shrinkToFit="1"/>
    </xf>
    <xf numFmtId="164" fontId="104" fillId="0" borderId="76" xfId="26" applyNumberFormat="1" applyFont="1" applyFill="1" applyBorder="1" applyAlignment="1">
      <alignment vertical="center" shrinkToFit="1"/>
    </xf>
    <xf numFmtId="164" fontId="104" fillId="0" borderId="89" xfId="26" applyNumberFormat="1" applyFont="1" applyFill="1" applyBorder="1" applyAlignment="1">
      <alignment vertical="center" shrinkToFit="1"/>
    </xf>
    <xf numFmtId="0" fontId="103" fillId="0" borderId="78" xfId="2658" applyFont="1" applyBorder="1" applyAlignment="1">
      <alignment horizontal="left" vertical="center" wrapText="1"/>
    </xf>
    <xf numFmtId="0" fontId="103" fillId="0" borderId="79" xfId="2656" applyFont="1" applyBorder="1" applyAlignment="1">
      <alignment horizontal="center" vertical="center" wrapText="1"/>
    </xf>
    <xf numFmtId="43" fontId="103" fillId="0" borderId="80" xfId="26" applyFont="1" applyFill="1" applyBorder="1" applyAlignment="1">
      <alignment horizontal="center" vertical="center" shrinkToFit="1"/>
    </xf>
    <xf numFmtId="164" fontId="104" fillId="0" borderId="80" xfId="26" applyNumberFormat="1" applyFont="1" applyFill="1" applyBorder="1" applyAlignment="1">
      <alignment vertical="center" shrinkToFit="1"/>
    </xf>
    <xf numFmtId="164" fontId="104" fillId="0" borderId="90" xfId="26" applyNumberFormat="1" applyFont="1" applyFill="1" applyBorder="1" applyAlignment="1">
      <alignment vertical="center" shrinkToFit="1"/>
    </xf>
    <xf numFmtId="4" fontId="19" fillId="0" borderId="0" xfId="4" applyNumberFormat="1" applyFont="1" applyAlignment="1">
      <alignment horizontal="center" vertical="center"/>
    </xf>
    <xf numFmtId="4" fontId="11" fillId="0" borderId="18" xfId="4" applyNumberFormat="1" applyFont="1" applyBorder="1" applyAlignment="1">
      <alignment horizontal="center" vertical="center"/>
    </xf>
    <xf numFmtId="165" fontId="20" fillId="7" borderId="30" xfId="13" applyFont="1" applyFill="1" applyBorder="1" applyAlignment="1">
      <alignment horizontal="center" vertical="center"/>
    </xf>
    <xf numFmtId="226" fontId="3" fillId="0" borderId="0" xfId="3" applyNumberFormat="1" applyAlignment="1">
      <alignment horizontal="center" vertical="center"/>
    </xf>
    <xf numFmtId="164" fontId="5" fillId="4" borderId="0" xfId="3" applyNumberFormat="1" applyFont="1" applyFill="1" applyProtection="1">
      <alignment vertical="center"/>
      <protection locked="0"/>
    </xf>
    <xf numFmtId="164" fontId="11" fillId="0" borderId="0" xfId="4" applyNumberFormat="1" applyFont="1">
      <alignment vertical="center"/>
    </xf>
    <xf numFmtId="226" fontId="3" fillId="0" borderId="0" xfId="4" applyNumberFormat="1" applyAlignment="1">
      <alignment horizontal="left" vertical="center" indent="5"/>
    </xf>
    <xf numFmtId="226" fontId="3" fillId="0" borderId="0" xfId="4" applyNumberFormat="1" applyAlignment="1">
      <alignment horizontal="left" vertical="center" indent="6"/>
    </xf>
    <xf numFmtId="165" fontId="10" fillId="0" borderId="21" xfId="3" applyNumberFormat="1" applyFont="1" applyBorder="1" applyAlignment="1">
      <alignment horizontal="center" wrapText="1"/>
    </xf>
    <xf numFmtId="0" fontId="5" fillId="0" borderId="39" xfId="20" applyFont="1" applyBorder="1" applyAlignment="1" applyProtection="1">
      <alignment vertical="center"/>
      <protection locked="0"/>
    </xf>
    <xf numFmtId="0" fontId="5" fillId="0" borderId="39" xfId="20" applyFont="1" applyBorder="1" applyAlignment="1" applyProtection="1">
      <alignment horizontal="center" vertical="center"/>
      <protection locked="0"/>
    </xf>
    <xf numFmtId="4" fontId="3" fillId="0" borderId="0" xfId="3" applyNumberFormat="1" applyAlignment="1">
      <alignment horizontal="right" vertical="center"/>
    </xf>
    <xf numFmtId="0" fontId="0" fillId="0" borderId="0" xfId="0" applyAlignment="1">
      <alignment horizontal="center" vertical="center"/>
    </xf>
    <xf numFmtId="164" fontId="3" fillId="0" borderId="0" xfId="3" applyNumberFormat="1">
      <alignment vertical="center"/>
    </xf>
    <xf numFmtId="165" fontId="0" fillId="0" borderId="0" xfId="0" applyNumberFormat="1"/>
    <xf numFmtId="165" fontId="11" fillId="3" borderId="43" xfId="5" applyFont="1" applyFill="1" applyBorder="1" applyAlignment="1">
      <alignment vertical="center"/>
    </xf>
    <xf numFmtId="165" fontId="11" fillId="5" borderId="34" xfId="5" applyFont="1" applyFill="1" applyBorder="1" applyAlignment="1">
      <alignment vertical="center"/>
    </xf>
    <xf numFmtId="2" fontId="3" fillId="0" borderId="0" xfId="3" applyNumberFormat="1" applyAlignment="1">
      <alignment horizontal="left" vertical="center"/>
    </xf>
    <xf numFmtId="165" fontId="22" fillId="0" borderId="40" xfId="5" applyFont="1" applyBorder="1" applyAlignment="1">
      <alignment vertical="center"/>
    </xf>
    <xf numFmtId="165" fontId="22" fillId="0" borderId="41" xfId="5" applyFont="1" applyBorder="1" applyAlignment="1">
      <alignment vertical="center"/>
    </xf>
    <xf numFmtId="165" fontId="22" fillId="0" borderId="31" xfId="5" applyFont="1" applyBorder="1" applyAlignment="1">
      <alignment vertical="center"/>
    </xf>
    <xf numFmtId="168" fontId="5" fillId="0" borderId="2" xfId="3" applyNumberFormat="1" applyFont="1" applyBorder="1" applyProtection="1">
      <alignment vertical="center"/>
      <protection locked="0"/>
    </xf>
    <xf numFmtId="0" fontId="13" fillId="0" borderId="0" xfId="7" applyFont="1" applyAlignment="1">
      <alignment horizontal="left"/>
    </xf>
    <xf numFmtId="172" fontId="3" fillId="0" borderId="0" xfId="4" applyNumberFormat="1" applyAlignment="1">
      <alignment horizontal="center" vertical="center"/>
    </xf>
    <xf numFmtId="168" fontId="7" fillId="8" borderId="92" xfId="3" applyNumberFormat="1" applyFont="1" applyFill="1" applyBorder="1" applyProtection="1">
      <alignment vertical="center"/>
      <protection locked="0"/>
    </xf>
    <xf numFmtId="164" fontId="3" fillId="0" borderId="0" xfId="4" applyNumberFormat="1" applyAlignment="1">
      <alignment horizontal="center" vertical="center"/>
    </xf>
    <xf numFmtId="165" fontId="3" fillId="0" borderId="0" xfId="4" applyNumberFormat="1">
      <alignment vertical="center"/>
    </xf>
    <xf numFmtId="0" fontId="37" fillId="0" borderId="0" xfId="0" applyFont="1"/>
    <xf numFmtId="164" fontId="3" fillId="4" borderId="25" xfId="3" applyNumberFormat="1" applyFill="1" applyBorder="1" applyProtection="1">
      <alignment vertical="center"/>
      <protection locked="0"/>
    </xf>
    <xf numFmtId="168" fontId="5" fillId="0" borderId="26" xfId="3" applyNumberFormat="1" applyFont="1" applyBorder="1" applyProtection="1">
      <alignment vertical="center"/>
      <protection locked="0"/>
    </xf>
    <xf numFmtId="164" fontId="5" fillId="0" borderId="26" xfId="3" applyNumberFormat="1" applyFont="1" applyBorder="1" applyProtection="1">
      <alignment vertical="center"/>
      <protection locked="0"/>
    </xf>
    <xf numFmtId="164" fontId="8" fillId="0" borderId="9" xfId="5" applyNumberFormat="1" applyFont="1" applyFill="1" applyBorder="1" applyAlignment="1" applyProtection="1">
      <alignment vertical="center"/>
      <protection locked="0"/>
    </xf>
    <xf numFmtId="164" fontId="8" fillId="0" borderId="10" xfId="4" applyNumberFormat="1" applyFont="1" applyBorder="1" applyProtection="1">
      <alignment vertical="center"/>
      <protection locked="0"/>
    </xf>
    <xf numFmtId="164" fontId="8" fillId="0" borderId="13" xfId="5" applyNumberFormat="1" applyFont="1" applyFill="1" applyBorder="1" applyAlignment="1" applyProtection="1">
      <alignment vertical="center"/>
      <protection locked="0"/>
    </xf>
    <xf numFmtId="164" fontId="8" fillId="0" borderId="13" xfId="4" applyNumberFormat="1" applyFont="1" applyBorder="1" applyProtection="1">
      <alignment vertical="center"/>
      <protection locked="0"/>
    </xf>
    <xf numFmtId="164" fontId="5" fillId="0" borderId="3" xfId="5" applyNumberFormat="1" applyFont="1" applyFill="1" applyBorder="1" applyAlignment="1" applyProtection="1">
      <alignment vertical="center"/>
      <protection locked="0"/>
    </xf>
    <xf numFmtId="164" fontId="5" fillId="0" borderId="12" xfId="4" applyNumberFormat="1" applyFont="1" applyBorder="1" applyProtection="1">
      <alignment vertical="center"/>
      <protection locked="0"/>
    </xf>
    <xf numFmtId="164" fontId="5" fillId="0" borderId="14" xfId="5" applyNumberFormat="1" applyFont="1" applyFill="1" applyBorder="1" applyAlignment="1" applyProtection="1">
      <alignment vertical="center"/>
      <protection locked="0"/>
    </xf>
    <xf numFmtId="164" fontId="8" fillId="0" borderId="3" xfId="5" applyNumberFormat="1" applyFont="1" applyFill="1" applyBorder="1" applyAlignment="1" applyProtection="1">
      <alignment vertical="center"/>
      <protection locked="0"/>
    </xf>
    <xf numFmtId="164" fontId="8" fillId="0" borderId="12" xfId="4" applyNumberFormat="1" applyFont="1" applyBorder="1" applyProtection="1">
      <alignment vertical="center"/>
      <protection locked="0"/>
    </xf>
    <xf numFmtId="164" fontId="33" fillId="0" borderId="3" xfId="5" applyNumberFormat="1" applyFont="1" applyFill="1" applyBorder="1" applyAlignment="1" applyProtection="1">
      <alignment vertical="center"/>
      <protection locked="0"/>
    </xf>
    <xf numFmtId="164" fontId="5" fillId="4" borderId="3" xfId="5" applyNumberFormat="1" applyFont="1" applyFill="1" applyBorder="1" applyAlignment="1" applyProtection="1">
      <alignment vertical="center"/>
      <protection locked="0"/>
    </xf>
    <xf numFmtId="164" fontId="5" fillId="4" borderId="12" xfId="4" applyNumberFormat="1" applyFont="1" applyFill="1" applyBorder="1" applyProtection="1">
      <alignment vertical="center"/>
      <protection locked="0"/>
    </xf>
    <xf numFmtId="164" fontId="5" fillId="0" borderId="14" xfId="5" applyNumberFormat="1" applyFont="1" applyBorder="1" applyAlignment="1" applyProtection="1">
      <alignment vertical="center"/>
      <protection locked="0"/>
    </xf>
    <xf numFmtId="164" fontId="5" fillId="0" borderId="12" xfId="5" applyNumberFormat="1" applyFont="1" applyBorder="1" applyAlignment="1" applyProtection="1">
      <alignment vertical="center"/>
      <protection locked="0"/>
    </xf>
    <xf numFmtId="164" fontId="5" fillId="0" borderId="12" xfId="5" applyNumberFormat="1" applyFont="1" applyFill="1" applyBorder="1" applyAlignment="1" applyProtection="1">
      <alignment vertical="center"/>
      <protection locked="0"/>
    </xf>
    <xf numFmtId="164" fontId="8" fillId="4" borderId="12" xfId="4" applyNumberFormat="1" applyFont="1" applyFill="1" applyBorder="1" applyProtection="1">
      <alignment vertical="center"/>
      <protection locked="0"/>
    </xf>
    <xf numFmtId="164" fontId="5" fillId="4" borderId="2" xfId="5" applyNumberFormat="1" applyFont="1" applyFill="1" applyBorder="1" applyAlignment="1" applyProtection="1">
      <alignment horizontal="center" vertical="center"/>
      <protection locked="0"/>
    </xf>
    <xf numFmtId="164" fontId="5" fillId="0" borderId="2" xfId="5" applyNumberFormat="1" applyFont="1" applyFill="1" applyBorder="1" applyAlignment="1" applyProtection="1">
      <alignment horizontal="center" vertical="center"/>
      <protection locked="0"/>
    </xf>
    <xf numFmtId="164" fontId="5" fillId="0" borderId="3" xfId="5" applyNumberFormat="1" applyFont="1" applyFill="1" applyBorder="1" applyAlignment="1" applyProtection="1">
      <alignment horizontal="center" vertical="center"/>
      <protection locked="0"/>
    </xf>
    <xf numFmtId="0" fontId="3" fillId="0" borderId="25" xfId="3" applyBorder="1" applyAlignment="1" applyProtection="1">
      <alignment horizontal="left" vertical="center"/>
      <protection locked="0"/>
    </xf>
    <xf numFmtId="170" fontId="3" fillId="0" borderId="25" xfId="3" applyNumberFormat="1" applyBorder="1" applyProtection="1">
      <alignment vertical="center"/>
      <protection locked="0"/>
    </xf>
    <xf numFmtId="164" fontId="5" fillId="0" borderId="25" xfId="5" applyNumberFormat="1" applyFont="1" applyFill="1" applyBorder="1" applyAlignment="1" applyProtection="1">
      <alignment vertical="center"/>
      <protection locked="0"/>
    </xf>
    <xf numFmtId="172" fontId="5" fillId="0" borderId="25" xfId="5" applyNumberFormat="1" applyFont="1" applyFill="1" applyBorder="1" applyAlignment="1" applyProtection="1">
      <alignment vertical="center"/>
      <protection locked="0"/>
    </xf>
    <xf numFmtId="164" fontId="3" fillId="0" borderId="46" xfId="3" applyNumberFormat="1" applyBorder="1" applyProtection="1">
      <alignment vertical="center"/>
      <protection locked="0"/>
    </xf>
    <xf numFmtId="0" fontId="3" fillId="0" borderId="25" xfId="3" applyBorder="1" applyAlignment="1" applyProtection="1">
      <alignment horizontal="left" vertical="center" wrapText="1"/>
      <protection locked="0"/>
    </xf>
    <xf numFmtId="4" fontId="11" fillId="0" borderId="93" xfId="4" applyNumberFormat="1" applyFont="1" applyBorder="1" applyAlignment="1">
      <alignment horizontal="center" vertical="center"/>
    </xf>
    <xf numFmtId="171" fontId="3" fillId="0" borderId="0" xfId="4" applyNumberFormat="1">
      <alignment vertical="center"/>
    </xf>
    <xf numFmtId="0" fontId="7" fillId="8" borderId="5" xfId="3" applyFont="1" applyFill="1" applyBorder="1" applyAlignment="1" applyProtection="1">
      <alignment horizontal="left" vertical="center"/>
      <protection locked="0"/>
    </xf>
    <xf numFmtId="0" fontId="22" fillId="9" borderId="23" xfId="16" applyFont="1" applyFill="1" applyBorder="1" applyAlignment="1">
      <alignment horizontal="left" vertical="center"/>
    </xf>
    <xf numFmtId="0" fontId="5" fillId="9" borderId="23" xfId="0" applyFont="1" applyFill="1" applyBorder="1" applyAlignment="1" applyProtection="1">
      <alignment horizontal="center" vertical="center"/>
      <protection locked="0"/>
    </xf>
    <xf numFmtId="164" fontId="5" fillId="9" borderId="23" xfId="0" applyNumberFormat="1" applyFont="1" applyFill="1" applyBorder="1" applyAlignment="1" applyProtection="1">
      <alignment vertical="center"/>
      <protection locked="0"/>
    </xf>
    <xf numFmtId="168" fontId="5" fillId="9" borderId="23" xfId="0" applyNumberFormat="1" applyFont="1" applyFill="1" applyBorder="1" applyAlignment="1" applyProtection="1">
      <alignment vertical="center"/>
      <protection locked="0"/>
    </xf>
    <xf numFmtId="164" fontId="5" fillId="9" borderId="23" xfId="3" applyNumberFormat="1" applyFont="1" applyFill="1" applyBorder="1" applyProtection="1">
      <alignment vertical="center"/>
      <protection locked="0"/>
    </xf>
    <xf numFmtId="170" fontId="5" fillId="9" borderId="23" xfId="3" applyNumberFormat="1" applyFont="1" applyFill="1" applyBorder="1" applyProtection="1">
      <alignment vertical="center"/>
      <protection locked="0"/>
    </xf>
    <xf numFmtId="0" fontId="19" fillId="0" borderId="25" xfId="16" applyFont="1" applyBorder="1" applyAlignment="1">
      <alignment horizontal="left" vertical="center"/>
    </xf>
    <xf numFmtId="164" fontId="22" fillId="0" borderId="12" xfId="3" applyNumberFormat="1" applyFont="1" applyBorder="1" applyProtection="1">
      <alignment vertical="center"/>
      <protection locked="0"/>
    </xf>
    <xf numFmtId="175" fontId="16" fillId="0" borderId="24" xfId="16" quotePrefix="1" applyNumberFormat="1" applyFont="1" applyBorder="1" applyAlignment="1">
      <alignment horizontal="left" vertical="center"/>
    </xf>
    <xf numFmtId="0" fontId="11" fillId="4" borderId="25" xfId="22" applyFont="1" applyFill="1" applyBorder="1" applyAlignment="1" applyProtection="1">
      <alignment horizontal="left" vertical="center"/>
      <protection locked="0"/>
    </xf>
    <xf numFmtId="227" fontId="9" fillId="0" borderId="24" xfId="16" quotePrefix="1" applyNumberFormat="1" applyFont="1" applyBorder="1" applyAlignment="1">
      <alignment horizontal="left" vertical="center"/>
    </xf>
    <xf numFmtId="0" fontId="3" fillId="4" borderId="25" xfId="22" applyFont="1" applyFill="1" applyBorder="1" applyAlignment="1" applyProtection="1">
      <alignment horizontal="left" vertical="center"/>
      <protection locked="0"/>
    </xf>
    <xf numFmtId="0" fontId="3" fillId="0" borderId="25" xfId="22" applyFont="1" applyBorder="1" applyAlignment="1" applyProtection="1">
      <alignment horizontal="left" vertical="center"/>
      <protection locked="0"/>
    </xf>
    <xf numFmtId="0" fontId="3" fillId="4" borderId="25" xfId="16" applyFont="1" applyFill="1" applyBorder="1" applyAlignment="1">
      <alignment horizontal="left" vertical="center"/>
    </xf>
    <xf numFmtId="0" fontId="23" fillId="0" borderId="0" xfId="4" applyFont="1">
      <alignment vertical="center"/>
    </xf>
    <xf numFmtId="164" fontId="19" fillId="0" borderId="12" xfId="3" applyNumberFormat="1" applyFont="1" applyBorder="1" applyProtection="1">
      <alignment vertical="center"/>
      <protection locked="0"/>
    </xf>
    <xf numFmtId="0" fontId="11" fillId="0" borderId="25" xfId="22" applyFont="1" applyBorder="1" applyAlignment="1" applyProtection="1">
      <alignment horizontal="left" vertical="center"/>
      <protection locked="0"/>
    </xf>
    <xf numFmtId="0" fontId="22" fillId="9" borderId="25" xfId="16" applyFont="1" applyFill="1" applyBorder="1" applyAlignment="1">
      <alignment horizontal="left" vertical="center"/>
    </xf>
    <xf numFmtId="0" fontId="5" fillId="9" borderId="25" xfId="0" applyFont="1" applyFill="1" applyBorder="1" applyAlignment="1" applyProtection="1">
      <alignment horizontal="center" vertical="center"/>
      <protection locked="0"/>
    </xf>
    <xf numFmtId="0" fontId="19" fillId="4" borderId="25" xfId="22" applyFont="1" applyFill="1" applyBorder="1" applyAlignment="1" applyProtection="1">
      <alignment horizontal="left" vertical="center"/>
      <protection locked="0"/>
    </xf>
    <xf numFmtId="0" fontId="19" fillId="0" borderId="25" xfId="22" applyFont="1" applyBorder="1" applyAlignment="1" applyProtection="1">
      <alignment horizontal="left" vertical="center"/>
      <protection locked="0"/>
    </xf>
    <xf numFmtId="171" fontId="5" fillId="3" borderId="25" xfId="20" applyNumberFormat="1" applyFont="1" applyFill="1" applyBorder="1" applyAlignment="1" applyProtection="1">
      <alignment horizontal="center" vertical="center"/>
      <protection locked="0"/>
    </xf>
    <xf numFmtId="174" fontId="9" fillId="0" borderId="24" xfId="16" quotePrefix="1" applyNumberFormat="1" applyFont="1" applyBorder="1" applyAlignment="1">
      <alignment horizontal="left" vertical="center"/>
    </xf>
    <xf numFmtId="174" fontId="19" fillId="0" borderId="24" xfId="16" quotePrefix="1" applyNumberFormat="1" applyFont="1" applyBorder="1" applyAlignment="1">
      <alignment horizontal="left" vertical="center"/>
    </xf>
    <xf numFmtId="0" fontId="3" fillId="0" borderId="25" xfId="16" applyFont="1" applyBorder="1" applyAlignment="1">
      <alignment horizontal="left" vertical="center" wrapText="1"/>
    </xf>
    <xf numFmtId="0" fontId="3" fillId="0" borderId="25" xfId="16" applyFont="1" applyBorder="1" applyAlignment="1">
      <alignment horizontal="left" vertical="center"/>
    </xf>
    <xf numFmtId="227" fontId="105" fillId="0" borderId="24" xfId="16" quotePrefix="1" applyNumberFormat="1" applyFont="1" applyBorder="1" applyAlignment="1">
      <alignment horizontal="left" vertical="center"/>
    </xf>
    <xf numFmtId="228" fontId="9" fillId="0" borderId="24" xfId="16" quotePrefix="1" applyNumberFormat="1" applyFont="1" applyBorder="1" applyAlignment="1">
      <alignment horizontal="left" vertical="center"/>
    </xf>
    <xf numFmtId="174" fontId="3" fillId="0" borderId="24" xfId="16" quotePrefix="1" applyNumberFormat="1" applyFont="1" applyBorder="1" applyAlignment="1">
      <alignment horizontal="left" vertical="center"/>
    </xf>
    <xf numFmtId="0" fontId="3" fillId="4" borderId="25" xfId="16" applyFont="1" applyFill="1" applyBorder="1" applyAlignment="1">
      <alignment horizontal="left" vertical="center" wrapText="1"/>
    </xf>
    <xf numFmtId="175" fontId="3" fillId="0" borderId="24" xfId="16" quotePrefix="1" applyNumberFormat="1" applyFont="1" applyBorder="1" applyAlignment="1">
      <alignment horizontal="left" vertical="center"/>
    </xf>
    <xf numFmtId="227" fontId="3" fillId="0" borderId="24" xfId="16" quotePrefix="1" applyNumberFormat="1" applyFont="1" applyBorder="1" applyAlignment="1">
      <alignment horizontal="left" vertical="center"/>
    </xf>
    <xf numFmtId="170" fontId="3" fillId="0" borderId="25" xfId="0" applyNumberFormat="1" applyFont="1" applyBorder="1" applyAlignment="1" applyProtection="1">
      <alignment vertical="center"/>
      <protection locked="0"/>
    </xf>
    <xf numFmtId="174" fontId="3" fillId="4" borderId="24" xfId="16" quotePrefix="1" applyNumberFormat="1" applyFont="1" applyFill="1" applyBorder="1" applyAlignment="1">
      <alignment horizontal="left" vertical="center"/>
    </xf>
    <xf numFmtId="0" fontId="3" fillId="0" borderId="25" xfId="0" applyFont="1" applyBorder="1" applyAlignment="1" applyProtection="1">
      <alignment horizontal="center" vertical="center"/>
      <protection locked="0"/>
    </xf>
    <xf numFmtId="171" fontId="3" fillId="0" borderId="25" xfId="20" applyNumberFormat="1" applyFont="1" applyBorder="1" applyAlignment="1" applyProtection="1">
      <alignment horizontal="center" vertical="center"/>
      <protection locked="0"/>
    </xf>
    <xf numFmtId="0" fontId="22" fillId="9" borderId="23" xfId="16" applyFont="1" applyFill="1" applyBorder="1" applyAlignment="1">
      <alignment horizontal="left" vertical="center" wrapText="1"/>
    </xf>
    <xf numFmtId="0" fontId="19" fillId="0" borderId="49" xfId="16" applyFont="1" applyBorder="1" applyAlignment="1">
      <alignment horizontal="left" vertical="center" wrapText="1"/>
    </xf>
    <xf numFmtId="0" fontId="5" fillId="0" borderId="49" xfId="0" applyFont="1" applyBorder="1" applyAlignment="1" applyProtection="1">
      <alignment horizontal="center" vertical="center"/>
      <protection locked="0"/>
    </xf>
    <xf numFmtId="171" fontId="5" fillId="0" borderId="49" xfId="20" applyNumberFormat="1" applyFont="1" applyBorder="1" applyAlignment="1" applyProtection="1">
      <alignment horizontal="center" vertical="center"/>
      <protection locked="0"/>
    </xf>
    <xf numFmtId="168" fontId="5" fillId="0" borderId="49" xfId="0" applyNumberFormat="1" applyFont="1" applyBorder="1" applyAlignment="1" applyProtection="1">
      <alignment vertical="center"/>
      <protection locked="0"/>
    </xf>
    <xf numFmtId="174" fontId="11" fillId="4" borderId="24" xfId="16" quotePrefix="1" applyNumberFormat="1" applyFont="1" applyFill="1" applyBorder="1" applyAlignment="1">
      <alignment horizontal="left" vertical="center"/>
    </xf>
    <xf numFmtId="168" fontId="3" fillId="0" borderId="25" xfId="0" applyNumberFormat="1" applyFont="1" applyBorder="1" applyAlignment="1" applyProtection="1">
      <alignment vertical="center"/>
      <protection locked="0"/>
    </xf>
    <xf numFmtId="0" fontId="22" fillId="9" borderId="25" xfId="16" applyFont="1" applyFill="1" applyBorder="1" applyAlignment="1">
      <alignment horizontal="left" vertical="center" wrapText="1"/>
    </xf>
    <xf numFmtId="2" fontId="19" fillId="4" borderId="94" xfId="24" applyNumberFormat="1" applyFont="1" applyFill="1" applyBorder="1" applyAlignment="1" applyProtection="1">
      <alignment horizontal="left" vertical="center" wrapText="1"/>
      <protection locked="0"/>
    </xf>
    <xf numFmtId="0" fontId="3" fillId="0" borderId="95" xfId="22" applyFont="1" applyBorder="1" applyAlignment="1" applyProtection="1">
      <alignment horizontal="left" vertical="center"/>
      <protection locked="0"/>
    </xf>
    <xf numFmtId="175" fontId="16" fillId="4" borderId="24" xfId="16" quotePrefix="1" applyNumberFormat="1" applyFont="1" applyFill="1" applyBorder="1" applyAlignment="1">
      <alignment horizontal="left" vertical="center"/>
    </xf>
    <xf numFmtId="164" fontId="23" fillId="3" borderId="25" xfId="0" applyNumberFormat="1" applyFont="1" applyFill="1" applyBorder="1" applyAlignment="1" applyProtection="1">
      <alignment vertical="center"/>
      <protection locked="0"/>
    </xf>
    <xf numFmtId="0" fontId="19" fillId="4" borderId="25" xfId="16" applyFont="1" applyFill="1" applyBorder="1" applyAlignment="1">
      <alignment horizontal="left" vertical="center" wrapText="1"/>
    </xf>
    <xf numFmtId="229" fontId="3" fillId="0" borderId="0" xfId="4" applyNumberFormat="1">
      <alignment vertical="center"/>
    </xf>
    <xf numFmtId="165" fontId="3" fillId="0" borderId="0" xfId="4" applyNumberFormat="1" applyAlignment="1">
      <alignment horizontal="center" vertical="center"/>
    </xf>
    <xf numFmtId="0" fontId="3" fillId="0" borderId="0" xfId="3" applyAlignment="1">
      <alignment horizontal="left" vertical="center" wrapText="1"/>
    </xf>
    <xf numFmtId="179" fontId="3" fillId="0" borderId="0" xfId="3" applyNumberFormat="1">
      <alignment vertical="center"/>
    </xf>
    <xf numFmtId="230" fontId="3" fillId="0" borderId="0" xfId="3" applyNumberFormat="1">
      <alignment vertical="center"/>
    </xf>
    <xf numFmtId="179" fontId="9" fillId="0" borderId="0" xfId="0" applyNumberFormat="1" applyFont="1"/>
    <xf numFmtId="230" fontId="3" fillId="3" borderId="0" xfId="3" applyNumberFormat="1" applyFill="1">
      <alignment vertical="center"/>
    </xf>
    <xf numFmtId="179" fontId="9" fillId="3" borderId="0" xfId="0" applyNumberFormat="1" applyFont="1" applyFill="1"/>
    <xf numFmtId="0" fontId="18" fillId="0" borderId="0" xfId="3" applyFont="1" applyAlignment="1">
      <alignment horizontal="left" vertical="top" wrapText="1"/>
    </xf>
    <xf numFmtId="14" fontId="18" fillId="0" borderId="0" xfId="1" applyNumberFormat="1" applyFont="1" applyBorder="1" applyAlignment="1">
      <alignment horizontal="center" vertical="top"/>
    </xf>
    <xf numFmtId="230" fontId="18" fillId="0" borderId="0" xfId="3" applyNumberFormat="1" applyFont="1" applyAlignment="1">
      <alignment horizontal="center" vertical="top"/>
    </xf>
    <xf numFmtId="0" fontId="7" fillId="7" borderId="96" xfId="3" applyFont="1" applyFill="1" applyBorder="1" applyAlignment="1" applyProtection="1">
      <alignment horizontal="left" vertical="center"/>
      <protection locked="0"/>
    </xf>
    <xf numFmtId="0" fontId="7" fillId="7" borderId="21" xfId="3" applyFont="1" applyFill="1" applyBorder="1" applyAlignment="1" applyProtection="1">
      <alignment horizontal="left" vertical="center" wrapText="1"/>
      <protection locked="0"/>
    </xf>
    <xf numFmtId="0" fontId="7" fillId="7" borderId="21" xfId="3" applyFont="1" applyFill="1" applyBorder="1" applyAlignment="1" applyProtection="1">
      <alignment horizontal="center" vertical="center" wrapText="1"/>
      <protection locked="0"/>
    </xf>
    <xf numFmtId="165" fontId="7" fillId="7" borderId="21" xfId="1" applyFont="1" applyFill="1" applyBorder="1" applyAlignment="1" applyProtection="1">
      <alignment horizontal="center" vertical="center" wrapText="1"/>
      <protection locked="0"/>
    </xf>
    <xf numFmtId="179" fontId="7" fillId="7" borderId="21" xfId="1" applyNumberFormat="1" applyFont="1" applyFill="1" applyBorder="1" applyAlignment="1" applyProtection="1">
      <alignment horizontal="center" vertical="center" wrapText="1"/>
      <protection locked="0"/>
    </xf>
    <xf numFmtId="230" fontId="7" fillId="7" borderId="21" xfId="1" applyNumberFormat="1" applyFont="1" applyFill="1" applyBorder="1" applyAlignment="1" applyProtection="1">
      <alignment horizontal="center" vertical="center" wrapText="1"/>
      <protection locked="0"/>
    </xf>
    <xf numFmtId="179" fontId="7" fillId="7" borderId="74" xfId="1" applyNumberFormat="1" applyFont="1" applyFill="1" applyBorder="1" applyAlignment="1" applyProtection="1">
      <alignment horizontal="center" vertical="center"/>
      <protection locked="0"/>
    </xf>
    <xf numFmtId="165" fontId="0" fillId="0" borderId="0" xfId="1" applyFont="1"/>
    <xf numFmtId="0" fontId="0" fillId="0" borderId="0" xfId="0" applyAlignment="1">
      <alignment horizontal="center"/>
    </xf>
    <xf numFmtId="230" fontId="3" fillId="0" borderId="0" xfId="3" applyNumberFormat="1" applyAlignment="1" applyProtection="1">
      <alignment horizontal="center" vertical="center"/>
      <protection locked="0"/>
    </xf>
    <xf numFmtId="230" fontId="0" fillId="0" borderId="0" xfId="0" applyNumberFormat="1"/>
    <xf numFmtId="230" fontId="0" fillId="0" borderId="0" xfId="0" applyNumberFormat="1" applyAlignment="1">
      <alignment vertical="center"/>
    </xf>
    <xf numFmtId="166" fontId="0" fillId="0" borderId="0" xfId="58382" applyFont="1"/>
    <xf numFmtId="230" fontId="9" fillId="0" borderId="0" xfId="0" applyNumberFormat="1" applyFont="1"/>
    <xf numFmtId="4" fontId="3" fillId="0" borderId="0" xfId="3" applyNumberFormat="1" applyAlignment="1">
      <alignment horizontal="center" vertical="center"/>
    </xf>
    <xf numFmtId="0" fontId="23" fillId="0" borderId="0" xfId="4" applyFont="1" applyAlignment="1">
      <alignment horizontal="center" vertical="center"/>
    </xf>
    <xf numFmtId="0" fontId="3" fillId="4" borderId="0" xfId="4" applyFill="1" applyAlignment="1">
      <alignment horizontal="center" vertical="center"/>
    </xf>
    <xf numFmtId="0" fontId="3" fillId="3" borderId="0" xfId="4" applyFill="1" applyAlignment="1">
      <alignment horizontal="center" vertical="center"/>
    </xf>
    <xf numFmtId="174" fontId="5" fillId="0" borderId="11" xfId="3" applyNumberFormat="1" applyFont="1" applyBorder="1" applyAlignment="1" applyProtection="1">
      <alignment horizontal="left" vertical="center"/>
      <protection locked="0"/>
    </xf>
    <xf numFmtId="187" fontId="8" fillId="0" borderId="7" xfId="3" applyNumberFormat="1" applyFont="1" applyBorder="1" applyAlignment="1" applyProtection="1">
      <alignment horizontal="left" vertical="center"/>
      <protection locked="0"/>
    </xf>
    <xf numFmtId="187" fontId="8" fillId="0" borderId="11" xfId="3" applyNumberFormat="1" applyFont="1" applyBorder="1" applyAlignment="1" applyProtection="1">
      <alignment horizontal="left" vertical="center"/>
      <protection locked="0"/>
    </xf>
    <xf numFmtId="171" fontId="5" fillId="63" borderId="25" xfId="20" applyNumberFormat="1" applyFont="1" applyFill="1" applyBorder="1" applyAlignment="1" applyProtection="1">
      <alignment horizontal="center" vertical="center"/>
      <protection locked="0"/>
    </xf>
    <xf numFmtId="171" fontId="8" fillId="9" borderId="25" xfId="0" applyNumberFormat="1" applyFont="1" applyFill="1" applyBorder="1" applyAlignment="1" applyProtection="1">
      <alignment horizontal="center" vertical="center"/>
      <protection locked="0"/>
    </xf>
    <xf numFmtId="171" fontId="5" fillId="9" borderId="25" xfId="0" applyNumberFormat="1" applyFont="1" applyFill="1" applyBorder="1" applyAlignment="1" applyProtection="1">
      <alignment vertical="center"/>
      <protection locked="0"/>
    </xf>
    <xf numFmtId="171" fontId="5" fillId="0" borderId="25" xfId="0" applyNumberFormat="1" applyFont="1" applyBorder="1" applyAlignment="1" applyProtection="1">
      <alignment vertical="center"/>
      <protection locked="0"/>
    </xf>
    <xf numFmtId="168" fontId="24" fillId="0" borderId="25" xfId="0" applyNumberFormat="1" applyFont="1" applyBorder="1" applyAlignment="1" applyProtection="1">
      <alignment vertical="center"/>
      <protection locked="0"/>
    </xf>
    <xf numFmtId="168" fontId="9" fillId="0" borderId="25" xfId="0" applyNumberFormat="1" applyFont="1" applyBorder="1" applyAlignment="1" applyProtection="1">
      <alignment vertical="center"/>
      <protection locked="0"/>
    </xf>
    <xf numFmtId="179" fontId="3" fillId="0" borderId="0" xfId="4" applyNumberFormat="1">
      <alignment vertical="center"/>
    </xf>
    <xf numFmtId="165" fontId="9" fillId="0" borderId="0" xfId="1" applyFont="1"/>
    <xf numFmtId="168" fontId="3" fillId="0" borderId="0" xfId="3" applyNumberFormat="1">
      <alignment vertical="center"/>
    </xf>
    <xf numFmtId="168" fontId="3" fillId="0" borderId="0" xfId="4" applyNumberFormat="1">
      <alignment vertical="center"/>
    </xf>
    <xf numFmtId="168" fontId="3" fillId="0" borderId="0" xfId="3" applyNumberFormat="1" applyAlignment="1">
      <alignment horizontal="right" vertical="center"/>
    </xf>
    <xf numFmtId="168" fontId="14" fillId="7" borderId="4" xfId="3" applyNumberFormat="1" applyFont="1" applyFill="1" applyBorder="1">
      <alignment vertical="center"/>
    </xf>
    <xf numFmtId="168" fontId="3" fillId="0" borderId="16" xfId="4" applyNumberFormat="1" applyBorder="1" applyAlignment="1">
      <alignment horizontal="center" vertical="center"/>
    </xf>
    <xf numFmtId="168" fontId="11" fillId="0" borderId="69" xfId="4" applyNumberFormat="1" applyFont="1" applyBorder="1" applyAlignment="1">
      <alignment horizontal="center" vertical="center"/>
    </xf>
    <xf numFmtId="168" fontId="3" fillId="0" borderId="2" xfId="5" applyNumberFormat="1" applyFont="1" applyBorder="1" applyAlignment="1">
      <alignment vertical="center"/>
    </xf>
    <xf numFmtId="168" fontId="22" fillId="0" borderId="2" xfId="5" applyNumberFormat="1" applyFont="1" applyBorder="1" applyAlignment="1">
      <alignment vertical="center"/>
    </xf>
    <xf numFmtId="168" fontId="11" fillId="57" borderId="68" xfId="5" applyNumberFormat="1" applyFont="1" applyFill="1" applyBorder="1" applyAlignment="1">
      <alignment vertical="center"/>
    </xf>
    <xf numFmtId="165" fontId="3" fillId="0" borderId="0" xfId="1" applyFont="1" applyAlignment="1">
      <alignment vertical="center"/>
    </xf>
    <xf numFmtId="0" fontId="19" fillId="4" borderId="25" xfId="0" applyFont="1" applyFill="1" applyBorder="1" applyAlignment="1" applyProtection="1">
      <alignment horizontal="left" vertical="center" wrapText="1"/>
      <protection locked="0"/>
    </xf>
    <xf numFmtId="0" fontId="5" fillId="4" borderId="25" xfId="20" applyFont="1" applyFill="1" applyBorder="1" applyAlignment="1" applyProtection="1">
      <alignment horizontal="left" vertical="center" wrapText="1"/>
      <protection locked="0"/>
    </xf>
    <xf numFmtId="0" fontId="5" fillId="0" borderId="2" xfId="0" applyFont="1" applyBorder="1" applyAlignment="1" applyProtection="1">
      <alignment vertical="center"/>
      <protection locked="0"/>
    </xf>
    <xf numFmtId="0" fontId="5" fillId="0" borderId="2" xfId="0" applyFont="1" applyBorder="1" applyAlignment="1" applyProtection="1">
      <alignment horizontal="center" vertical="center"/>
      <protection locked="0"/>
    </xf>
    <xf numFmtId="168" fontId="5" fillId="10" borderId="2" xfId="0" applyNumberFormat="1" applyFont="1" applyFill="1" applyBorder="1" applyAlignment="1" applyProtection="1">
      <alignment vertical="center"/>
      <protection locked="0"/>
    </xf>
    <xf numFmtId="164" fontId="24" fillId="0" borderId="25" xfId="0" applyNumberFormat="1" applyFont="1" applyBorder="1" applyAlignment="1" applyProtection="1">
      <alignment vertical="center"/>
      <protection locked="0"/>
    </xf>
    <xf numFmtId="0" fontId="5" fillId="5" borderId="25" xfId="20" applyFont="1" applyFill="1" applyBorder="1" applyAlignment="1" applyProtection="1">
      <alignment vertical="center"/>
      <protection locked="0"/>
    </xf>
    <xf numFmtId="0" fontId="3" fillId="59" borderId="25" xfId="22" applyFont="1" applyFill="1" applyBorder="1" applyAlignment="1" applyProtection="1">
      <alignment horizontal="left" vertical="center" wrapText="1"/>
      <protection locked="0"/>
    </xf>
    <xf numFmtId="168" fontId="5" fillId="62" borderId="25" xfId="3" applyNumberFormat="1" applyFont="1" applyFill="1" applyBorder="1" applyProtection="1">
      <alignment vertical="center"/>
      <protection locked="0"/>
    </xf>
    <xf numFmtId="165" fontId="3" fillId="0" borderId="0" xfId="58386" applyFont="1" applyAlignment="1">
      <alignment vertical="center"/>
    </xf>
    <xf numFmtId="192" fontId="3" fillId="0" borderId="0" xfId="58386" applyNumberFormat="1" applyFont="1" applyAlignment="1">
      <alignment vertical="center"/>
    </xf>
    <xf numFmtId="165" fontId="9" fillId="0" borderId="0" xfId="58386" applyFont="1"/>
    <xf numFmtId="0" fontId="1" fillId="0" borderId="0" xfId="58387"/>
    <xf numFmtId="165" fontId="3" fillId="3" borderId="0" xfId="58386" applyFont="1" applyFill="1" applyAlignment="1">
      <alignment vertical="center"/>
    </xf>
    <xf numFmtId="165" fontId="9" fillId="3" borderId="0" xfId="58386" applyFont="1" applyFill="1"/>
    <xf numFmtId="192" fontId="3" fillId="0" borderId="0" xfId="58386" applyNumberFormat="1" applyFont="1" applyAlignment="1" applyProtection="1">
      <alignment horizontal="center" vertical="center"/>
      <protection locked="0"/>
    </xf>
    <xf numFmtId="14" fontId="18" fillId="0" borderId="0" xfId="58386" applyNumberFormat="1" applyFont="1" applyBorder="1" applyAlignment="1">
      <alignment horizontal="center" vertical="top"/>
    </xf>
    <xf numFmtId="165" fontId="18" fillId="0" borderId="0" xfId="58386" applyFont="1" applyAlignment="1">
      <alignment horizontal="center" vertical="top"/>
    </xf>
    <xf numFmtId="165" fontId="7" fillId="7" borderId="21" xfId="58386" applyFont="1" applyFill="1" applyBorder="1" applyAlignment="1" applyProtection="1">
      <alignment horizontal="center" vertical="center" wrapText="1"/>
      <protection locked="0"/>
    </xf>
    <xf numFmtId="192" fontId="7" fillId="7" borderId="21" xfId="58386" applyNumberFormat="1" applyFont="1" applyFill="1" applyBorder="1" applyAlignment="1" applyProtection="1">
      <alignment horizontal="center" vertical="center" wrapText="1"/>
      <protection locked="0"/>
    </xf>
    <xf numFmtId="165" fontId="7" fillId="7" borderId="74" xfId="58386" applyFont="1" applyFill="1" applyBorder="1" applyAlignment="1" applyProtection="1">
      <alignment horizontal="center" vertical="center"/>
      <protection locked="0"/>
    </xf>
    <xf numFmtId="165" fontId="1" fillId="0" borderId="0" xfId="58387" applyNumberFormat="1"/>
    <xf numFmtId="165" fontId="0" fillId="0" borderId="0" xfId="58386" applyFont="1"/>
    <xf numFmtId="192" fontId="9" fillId="0" borderId="0" xfId="58386" applyNumberFormat="1" applyFont="1"/>
    <xf numFmtId="181" fontId="3" fillId="0" borderId="0" xfId="3" applyNumberFormat="1">
      <alignment vertical="center"/>
    </xf>
    <xf numFmtId="179" fontId="9" fillId="0" borderId="0" xfId="58387" applyNumberFormat="1" applyFont="1"/>
    <xf numFmtId="179" fontId="9" fillId="3" borderId="0" xfId="58387" applyNumberFormat="1" applyFont="1" applyFill="1"/>
    <xf numFmtId="181" fontId="3" fillId="0" borderId="0" xfId="3" applyNumberFormat="1" applyAlignment="1" applyProtection="1">
      <alignment horizontal="center" vertical="center"/>
      <protection locked="0"/>
    </xf>
    <xf numFmtId="179" fontId="7" fillId="7" borderId="21" xfId="58386" applyNumberFormat="1" applyFont="1" applyFill="1" applyBorder="1" applyAlignment="1" applyProtection="1">
      <alignment horizontal="center" vertical="center" wrapText="1"/>
      <protection locked="0"/>
    </xf>
    <xf numFmtId="181" fontId="7" fillId="7" borderId="21" xfId="58386" applyNumberFormat="1" applyFont="1" applyFill="1" applyBorder="1" applyAlignment="1" applyProtection="1">
      <alignment horizontal="center" vertical="center" wrapText="1"/>
      <protection locked="0"/>
    </xf>
    <xf numFmtId="179" fontId="7" fillId="7" borderId="74" xfId="58386" applyNumberFormat="1" applyFont="1" applyFill="1" applyBorder="1" applyAlignment="1" applyProtection="1">
      <alignment horizontal="center" vertical="center"/>
      <protection locked="0"/>
    </xf>
    <xf numFmtId="230" fontId="1" fillId="0" borderId="0" xfId="58387" applyNumberFormat="1"/>
    <xf numFmtId="179" fontId="1" fillId="0" borderId="0" xfId="58387" applyNumberFormat="1"/>
    <xf numFmtId="181" fontId="1" fillId="0" borderId="0" xfId="58387" applyNumberFormat="1"/>
    <xf numFmtId="0" fontId="0" fillId="0" borderId="0" xfId="0" applyAlignment="1">
      <alignment horizontal="left" vertical="center"/>
    </xf>
    <xf numFmtId="49" fontId="100" fillId="60" borderId="73" xfId="3" applyNumberFormat="1" applyFont="1" applyFill="1" applyBorder="1" applyAlignment="1" applyProtection="1">
      <alignment horizontal="left" vertical="center"/>
      <protection locked="0"/>
    </xf>
    <xf numFmtId="0" fontId="100" fillId="60" borderId="73" xfId="3" applyFont="1" applyFill="1" applyBorder="1" applyAlignment="1" applyProtection="1">
      <alignment horizontal="left" vertical="center" wrapText="1"/>
      <protection locked="0"/>
    </xf>
    <xf numFmtId="171" fontId="100" fillId="61" borderId="73" xfId="58379" applyFont="1" applyFill="1" applyBorder="1" applyAlignment="1" applyProtection="1">
      <alignment horizontal="center" vertical="center"/>
      <protection locked="0"/>
    </xf>
    <xf numFmtId="179" fontId="7" fillId="8" borderId="73" xfId="3" applyNumberFormat="1" applyFont="1" applyFill="1" applyBorder="1" applyAlignment="1" applyProtection="1">
      <alignment horizontal="left" vertical="center"/>
      <protection locked="0"/>
    </xf>
    <xf numFmtId="230" fontId="7" fillId="8" borderId="73" xfId="3" applyNumberFormat="1" applyFont="1" applyFill="1" applyBorder="1" applyAlignment="1" applyProtection="1">
      <alignment horizontal="left" vertical="center"/>
      <protection locked="0"/>
    </xf>
    <xf numFmtId="0" fontId="9" fillId="0" borderId="0" xfId="0" applyFont="1" applyAlignment="1">
      <alignment wrapText="1"/>
    </xf>
    <xf numFmtId="0" fontId="5" fillId="0" borderId="26" xfId="3" applyFont="1" applyBorder="1" applyAlignment="1" applyProtection="1">
      <alignment horizontal="left" vertical="center" indent="2"/>
      <protection locked="0"/>
    </xf>
    <xf numFmtId="0" fontId="5" fillId="0" borderId="26" xfId="3" applyFont="1" applyBorder="1" applyAlignment="1" applyProtection="1">
      <alignment horizontal="center" vertical="center"/>
      <protection locked="0"/>
    </xf>
    <xf numFmtId="0" fontId="5" fillId="0" borderId="2" xfId="3" applyFont="1" applyBorder="1" applyProtection="1">
      <alignment vertical="center"/>
      <protection locked="0"/>
    </xf>
    <xf numFmtId="0" fontId="11" fillId="0" borderId="25" xfId="3" applyFont="1" applyBorder="1" applyAlignment="1" applyProtection="1">
      <alignment horizontal="left" vertical="center"/>
      <protection locked="0"/>
    </xf>
    <xf numFmtId="174" fontId="3" fillId="0" borderId="24" xfId="3" applyNumberFormat="1" applyBorder="1" applyAlignment="1" applyProtection="1">
      <alignment horizontal="left" vertical="center"/>
      <protection locked="0"/>
    </xf>
    <xf numFmtId="0" fontId="5" fillId="62" borderId="25" xfId="20" applyFont="1" applyFill="1" applyBorder="1" applyAlignment="1" applyProtection="1">
      <alignment horizontal="left" vertical="center" wrapText="1"/>
      <protection locked="0"/>
    </xf>
    <xf numFmtId="0" fontId="19" fillId="2" borderId="25" xfId="20" applyFont="1" applyFill="1" applyBorder="1" applyAlignment="1" applyProtection="1">
      <alignment vertical="center"/>
      <protection locked="0"/>
    </xf>
    <xf numFmtId="0" fontId="5" fillId="2" borderId="25" xfId="20" applyFont="1" applyFill="1" applyBorder="1" applyAlignment="1" applyProtection="1">
      <alignment vertical="center" wrapText="1"/>
      <protection locked="0"/>
    </xf>
    <xf numFmtId="0" fontId="5" fillId="2" borderId="25" xfId="20" applyFont="1" applyFill="1" applyBorder="1" applyAlignment="1" applyProtection="1">
      <alignment vertical="center"/>
      <protection locked="0"/>
    </xf>
    <xf numFmtId="164" fontId="3" fillId="0" borderId="25" xfId="0" applyNumberFormat="1" applyFont="1" applyBorder="1" applyAlignment="1" applyProtection="1">
      <alignment vertical="center"/>
      <protection locked="0"/>
    </xf>
    <xf numFmtId="43" fontId="110" fillId="4" borderId="2" xfId="26" applyFont="1" applyFill="1" applyBorder="1" applyAlignment="1" applyProtection="1">
      <alignment vertical="center" wrapText="1"/>
      <protection locked="0"/>
    </xf>
    <xf numFmtId="43" fontId="110" fillId="4" borderId="2" xfId="26" applyFont="1" applyFill="1" applyBorder="1" applyAlignment="1" applyProtection="1">
      <alignment horizontal="center" vertical="center"/>
      <protection locked="0"/>
    </xf>
    <xf numFmtId="0" fontId="110" fillId="4" borderId="2" xfId="3" applyFont="1" applyFill="1" applyBorder="1" applyAlignment="1" applyProtection="1">
      <alignment horizontal="center" vertical="center"/>
      <protection locked="0"/>
    </xf>
    <xf numFmtId="43" fontId="110" fillId="0" borderId="2" xfId="26" applyFont="1" applyFill="1" applyBorder="1" applyAlignment="1" applyProtection="1">
      <alignment horizontal="left" vertical="center" wrapText="1"/>
      <protection locked="0"/>
    </xf>
    <xf numFmtId="0" fontId="3" fillId="64" borderId="2" xfId="0" applyFont="1" applyFill="1" applyBorder="1" applyAlignment="1">
      <alignment horizontal="left" vertical="center"/>
    </xf>
    <xf numFmtId="43" fontId="34" fillId="0" borderId="2" xfId="26" applyFont="1" applyFill="1" applyBorder="1" applyAlignment="1" applyProtection="1">
      <alignment horizontal="left" vertical="center" wrapText="1"/>
      <protection locked="0"/>
    </xf>
    <xf numFmtId="0" fontId="110" fillId="0" borderId="2" xfId="3" applyFont="1" applyBorder="1" applyAlignment="1" applyProtection="1">
      <alignment horizontal="left" vertical="center" wrapText="1"/>
      <protection locked="0"/>
    </xf>
    <xf numFmtId="0" fontId="19" fillId="0" borderId="25" xfId="16" applyFont="1" applyBorder="1" applyAlignment="1">
      <alignment horizontal="left" vertical="center" wrapText="1"/>
    </xf>
    <xf numFmtId="0" fontId="22" fillId="0" borderId="25" xfId="16" applyFont="1" applyBorder="1" applyAlignment="1">
      <alignment horizontal="left" vertical="center" wrapText="1"/>
    </xf>
    <xf numFmtId="0" fontId="3" fillId="0" borderId="25" xfId="23" applyFont="1" applyBorder="1" applyAlignment="1" applyProtection="1">
      <alignment horizontal="left" vertical="center"/>
      <protection locked="0"/>
    </xf>
    <xf numFmtId="0" fontId="3" fillId="0" borderId="39" xfId="16" applyFont="1" applyBorder="1" applyAlignment="1">
      <alignment horizontal="left" vertical="center"/>
    </xf>
    <xf numFmtId="0" fontId="3" fillId="3" borderId="25" xfId="16" applyFont="1" applyFill="1" applyBorder="1" applyAlignment="1">
      <alignment horizontal="left" vertical="center" wrapText="1"/>
    </xf>
    <xf numFmtId="0" fontId="5" fillId="3" borderId="25" xfId="0" applyFont="1" applyFill="1" applyBorder="1" applyAlignment="1" applyProtection="1">
      <alignment horizontal="center" vertical="center"/>
      <protection locked="0"/>
    </xf>
    <xf numFmtId="165" fontId="3" fillId="0" borderId="2" xfId="58373" applyFont="1" applyFill="1" applyBorder="1" applyAlignment="1" applyProtection="1">
      <alignment vertical="center" readingOrder="1"/>
      <protection locked="0"/>
    </xf>
    <xf numFmtId="172" fontId="3" fillId="0" borderId="12" xfId="4" applyNumberFormat="1" applyBorder="1">
      <alignment vertical="center"/>
    </xf>
    <xf numFmtId="164" fontId="5" fillId="4" borderId="25" xfId="5" applyNumberFormat="1" applyFont="1" applyFill="1" applyBorder="1" applyAlignment="1" applyProtection="1">
      <alignment vertical="center"/>
      <protection locked="0"/>
    </xf>
    <xf numFmtId="0" fontId="23" fillId="0" borderId="25" xfId="0" applyFont="1" applyBorder="1" applyAlignment="1" applyProtection="1">
      <alignment horizontal="center" vertical="center"/>
      <protection locked="0"/>
    </xf>
    <xf numFmtId="171" fontId="23" fillId="0" borderId="25" xfId="20" applyNumberFormat="1" applyFont="1" applyBorder="1" applyAlignment="1" applyProtection="1">
      <alignment horizontal="center" vertical="center"/>
      <protection locked="0"/>
    </xf>
    <xf numFmtId="168" fontId="23" fillId="0" borderId="25" xfId="0" applyNumberFormat="1" applyFont="1" applyBorder="1" applyAlignment="1" applyProtection="1">
      <alignment vertical="center"/>
      <protection locked="0"/>
    </xf>
    <xf numFmtId="0" fontId="5" fillId="0" borderId="40" xfId="15" applyFont="1" applyBorder="1" applyAlignment="1" applyProtection="1">
      <alignment horizontal="left" vertical="center"/>
      <protection locked="0"/>
    </xf>
    <xf numFmtId="0" fontId="5" fillId="0" borderId="97" xfId="15" applyFont="1" applyBorder="1" applyAlignment="1" applyProtection="1">
      <alignment horizontal="left" vertical="center"/>
      <protection locked="0"/>
    </xf>
    <xf numFmtId="0" fontId="110" fillId="0" borderId="2" xfId="15" applyFont="1" applyBorder="1" applyAlignment="1" applyProtection="1">
      <alignment horizontal="left" vertical="center"/>
      <protection locked="0"/>
    </xf>
    <xf numFmtId="0" fontId="22" fillId="0" borderId="25" xfId="16" applyFont="1" applyBorder="1" applyAlignment="1">
      <alignment horizontal="left" vertical="center"/>
    </xf>
    <xf numFmtId="0" fontId="3" fillId="0" borderId="25" xfId="22" applyFont="1" applyBorder="1" applyAlignment="1" applyProtection="1">
      <alignment horizontal="left" vertical="center" wrapText="1"/>
      <protection locked="0"/>
    </xf>
    <xf numFmtId="0" fontId="3" fillId="0" borderId="25" xfId="8" applyBorder="1">
      <alignment vertical="center"/>
    </xf>
    <xf numFmtId="0" fontId="11" fillId="0" borderId="2" xfId="15" applyFont="1" applyBorder="1" applyAlignment="1" applyProtection="1">
      <alignment horizontal="left" vertical="center"/>
      <protection locked="0"/>
    </xf>
    <xf numFmtId="0" fontId="3" fillId="0" borderId="2" xfId="8" applyBorder="1">
      <alignment vertical="center"/>
    </xf>
    <xf numFmtId="0" fontId="3" fillId="0" borderId="2" xfId="15" applyFont="1" applyBorder="1" applyAlignment="1" applyProtection="1">
      <alignment horizontal="left" vertical="center"/>
      <protection locked="0"/>
    </xf>
    <xf numFmtId="0" fontId="11" fillId="0" borderId="25" xfId="23" applyFont="1" applyBorder="1" applyAlignment="1" applyProtection="1">
      <alignment horizontal="left" vertical="center" wrapText="1"/>
      <protection locked="0"/>
    </xf>
    <xf numFmtId="0" fontId="11" fillId="0" borderId="25" xfId="16" applyFont="1" applyBorder="1" applyAlignment="1">
      <alignment horizontal="left" vertical="center" wrapText="1"/>
    </xf>
    <xf numFmtId="0" fontId="9" fillId="0" borderId="0" xfId="0" applyFont="1" applyAlignment="1">
      <alignment horizontal="left" vertical="center"/>
    </xf>
    <xf numFmtId="0" fontId="11" fillId="0" borderId="25" xfId="23" applyFont="1" applyBorder="1" applyAlignment="1" applyProtection="1">
      <alignment horizontal="left" vertical="center"/>
      <protection locked="0"/>
    </xf>
    <xf numFmtId="0" fontId="105" fillId="0" borderId="25" xfId="23" applyFont="1" applyBorder="1" applyAlignment="1" applyProtection="1">
      <alignment horizontal="left" vertical="center"/>
      <protection locked="0"/>
    </xf>
    <xf numFmtId="0" fontId="105" fillId="0" borderId="25" xfId="23" applyFont="1" applyBorder="1" applyAlignment="1" applyProtection="1">
      <alignment horizontal="left" vertical="center" wrapText="1"/>
      <protection locked="0"/>
    </xf>
    <xf numFmtId="0" fontId="9" fillId="0" borderId="40" xfId="15" applyFont="1" applyBorder="1" applyAlignment="1">
      <alignment horizontal="left" vertical="top" wrapText="1"/>
    </xf>
    <xf numFmtId="0" fontId="19" fillId="0" borderId="25" xfId="22" applyFont="1" applyBorder="1" applyAlignment="1" applyProtection="1">
      <alignment horizontal="left" vertical="center" wrapText="1"/>
      <protection locked="0"/>
    </xf>
    <xf numFmtId="0" fontId="3" fillId="0" borderId="2" xfId="15" applyFont="1" applyBorder="1" applyAlignment="1">
      <alignment horizontal="center" vertical="center" wrapText="1"/>
    </xf>
    <xf numFmtId="172" fontId="5" fillId="0" borderId="25" xfId="0" applyNumberFormat="1" applyFont="1" applyBorder="1" applyAlignment="1" applyProtection="1">
      <alignment vertical="center"/>
      <protection locked="0"/>
    </xf>
    <xf numFmtId="0" fontId="3" fillId="0" borderId="0" xfId="0" applyFont="1" applyAlignment="1">
      <alignment vertical="center" wrapText="1"/>
    </xf>
    <xf numFmtId="0" fontId="3" fillId="0" borderId="2" xfId="8" applyBorder="1" applyAlignment="1">
      <alignment horizontal="left" vertical="center" wrapText="1"/>
    </xf>
    <xf numFmtId="232" fontId="3" fillId="0" borderId="0" xfId="4" applyNumberFormat="1">
      <alignment vertical="center"/>
    </xf>
    <xf numFmtId="181" fontId="3" fillId="0" borderId="0" xfId="1" applyNumberFormat="1" applyFont="1" applyAlignment="1">
      <alignment vertical="center"/>
    </xf>
    <xf numFmtId="4" fontId="11" fillId="0" borderId="98" xfId="4" applyNumberFormat="1" applyFont="1" applyBorder="1" applyAlignment="1">
      <alignment horizontal="center" vertical="center"/>
    </xf>
    <xf numFmtId="49" fontId="100" fillId="60" borderId="1" xfId="3" applyNumberFormat="1" applyFont="1" applyFill="1" applyBorder="1" applyAlignment="1" applyProtection="1">
      <alignment horizontal="left" vertical="center"/>
      <protection locked="0"/>
    </xf>
    <xf numFmtId="0" fontId="100" fillId="60" borderId="1" xfId="3" applyFont="1" applyFill="1" applyBorder="1" applyAlignment="1" applyProtection="1">
      <alignment horizontal="left" vertical="center"/>
      <protection locked="0"/>
    </xf>
    <xf numFmtId="171" fontId="100" fillId="61" borderId="1" xfId="58379" applyFont="1" applyFill="1" applyBorder="1" applyAlignment="1" applyProtection="1">
      <alignment horizontal="center" vertical="center"/>
      <protection locked="0"/>
    </xf>
    <xf numFmtId="165" fontId="7" fillId="8" borderId="1" xfId="58386" applyFont="1" applyFill="1" applyBorder="1" applyAlignment="1" applyProtection="1">
      <alignment horizontal="right" vertical="center"/>
      <protection locked="0"/>
    </xf>
    <xf numFmtId="192" fontId="7" fillId="8" borderId="1" xfId="58386" applyNumberFormat="1" applyFont="1" applyFill="1" applyBorder="1" applyAlignment="1" applyProtection="1">
      <alignment horizontal="right" vertical="center"/>
      <protection locked="0"/>
    </xf>
    <xf numFmtId="179" fontId="7" fillId="8" borderId="1" xfId="3" applyNumberFormat="1" applyFont="1" applyFill="1" applyBorder="1" applyAlignment="1" applyProtection="1">
      <alignment horizontal="right" vertical="center"/>
      <protection locked="0"/>
    </xf>
    <xf numFmtId="230" fontId="7" fillId="8" borderId="1" xfId="3" applyNumberFormat="1" applyFont="1" applyFill="1" applyBorder="1" applyAlignment="1" applyProtection="1">
      <alignment horizontal="right" vertical="center"/>
      <protection locked="0"/>
    </xf>
    <xf numFmtId="49" fontId="106" fillId="0" borderId="1" xfId="58387" applyNumberFormat="1" applyFont="1" applyBorder="1"/>
    <xf numFmtId="0" fontId="1" fillId="0" borderId="1" xfId="58387" applyBorder="1"/>
    <xf numFmtId="165" fontId="0" fillId="0" borderId="1" xfId="58386" applyFont="1" applyBorder="1"/>
    <xf numFmtId="192" fontId="9" fillId="0" borderId="1" xfId="58386" applyNumberFormat="1" applyFont="1" applyBorder="1"/>
    <xf numFmtId="230" fontId="0" fillId="0" borderId="1" xfId="58386" applyNumberFormat="1" applyFont="1" applyBorder="1"/>
    <xf numFmtId="49" fontId="16" fillId="0" borderId="1" xfId="58387" applyNumberFormat="1" applyFont="1" applyBorder="1"/>
    <xf numFmtId="49" fontId="107" fillId="0" borderId="1" xfId="58387" applyNumberFormat="1" applyFont="1" applyBorder="1"/>
    <xf numFmtId="165" fontId="107" fillId="0" borderId="1" xfId="58386" applyFont="1" applyBorder="1"/>
    <xf numFmtId="165" fontId="9" fillId="0" borderId="1" xfId="58386" applyFont="1" applyFill="1" applyBorder="1"/>
    <xf numFmtId="230" fontId="9" fillId="0" borderId="1" xfId="58386" applyNumberFormat="1" applyFont="1" applyFill="1" applyBorder="1"/>
    <xf numFmtId="181" fontId="7" fillId="8" borderId="1" xfId="3" applyNumberFormat="1" applyFont="1" applyFill="1" applyBorder="1" applyAlignment="1" applyProtection="1">
      <alignment horizontal="right" vertical="center"/>
      <protection locked="0"/>
    </xf>
    <xf numFmtId="179" fontId="1" fillId="0" borderId="1" xfId="58387" applyNumberFormat="1" applyBorder="1"/>
    <xf numFmtId="181" fontId="1" fillId="0" borderId="1" xfId="58387" applyNumberFormat="1" applyBorder="1"/>
    <xf numFmtId="168" fontId="107" fillId="0" borderId="1" xfId="58387" applyNumberFormat="1" applyFont="1" applyBorder="1"/>
    <xf numFmtId="179" fontId="107" fillId="0" borderId="1" xfId="58387" applyNumberFormat="1" applyFont="1" applyBorder="1"/>
    <xf numFmtId="192" fontId="9" fillId="0" borderId="1" xfId="58387" applyNumberFormat="1" applyFont="1" applyBorder="1"/>
    <xf numFmtId="192" fontId="9" fillId="62" borderId="1" xfId="58387" applyNumberFormat="1" applyFont="1" applyFill="1" applyBorder="1"/>
    <xf numFmtId="179" fontId="7" fillId="8" borderId="1" xfId="3" applyNumberFormat="1" applyFont="1" applyFill="1" applyBorder="1" applyAlignment="1" applyProtection="1">
      <alignment horizontal="center" vertical="center"/>
      <protection locked="0"/>
    </xf>
    <xf numFmtId="49" fontId="106" fillId="0" borderId="1" xfId="0" applyNumberFormat="1" applyFont="1" applyBorder="1"/>
    <xf numFmtId="0" fontId="0" fillId="0" borderId="1" xfId="0" applyBorder="1" applyAlignment="1">
      <alignment horizontal="center" vertical="center"/>
    </xf>
    <xf numFmtId="0" fontId="0" fillId="0" borderId="1" xfId="0" applyBorder="1" applyAlignment="1">
      <alignment horizontal="center"/>
    </xf>
    <xf numFmtId="179" fontId="0" fillId="0" borderId="1" xfId="0" applyNumberFormat="1" applyBorder="1"/>
    <xf numFmtId="230" fontId="0" fillId="0" borderId="1" xfId="0" applyNumberFormat="1" applyBorder="1"/>
    <xf numFmtId="179" fontId="108" fillId="0" borderId="1" xfId="0" applyNumberFormat="1" applyFont="1" applyBorder="1"/>
    <xf numFmtId="49" fontId="9" fillId="0" borderId="1" xfId="0" applyNumberFormat="1" applyFont="1" applyBorder="1" applyAlignment="1">
      <alignment vertical="center"/>
    </xf>
    <xf numFmtId="49" fontId="9" fillId="0" borderId="1" xfId="0" applyNumberFormat="1" applyFont="1" applyBorder="1" applyAlignment="1">
      <alignment vertical="center" wrapText="1"/>
    </xf>
    <xf numFmtId="49" fontId="107" fillId="0" borderId="1" xfId="0" applyNumberFormat="1" applyFont="1" applyBorder="1" applyAlignment="1">
      <alignment horizontal="center" vertical="center"/>
    </xf>
    <xf numFmtId="168" fontId="9" fillId="0" borderId="1" xfId="0" applyNumberFormat="1" applyFont="1" applyBorder="1" applyAlignment="1">
      <alignment horizontal="center" vertical="center"/>
    </xf>
    <xf numFmtId="179" fontId="0" fillId="0" borderId="1" xfId="0" applyNumberFormat="1" applyBorder="1" applyAlignment="1">
      <alignment vertical="center"/>
    </xf>
    <xf numFmtId="230" fontId="9" fillId="0" borderId="1" xfId="0" applyNumberFormat="1" applyFont="1" applyBorder="1" applyAlignment="1">
      <alignment vertical="center"/>
    </xf>
    <xf numFmtId="179" fontId="9" fillId="0" borderId="1" xfId="5" applyNumberFormat="1" applyFont="1" applyFill="1" applyBorder="1" applyAlignment="1">
      <alignment vertical="center"/>
    </xf>
    <xf numFmtId="230" fontId="9" fillId="0" borderId="1" xfId="1" applyNumberFormat="1" applyFont="1" applyFill="1" applyBorder="1" applyAlignment="1">
      <alignment vertical="center"/>
    </xf>
    <xf numFmtId="179" fontId="9" fillId="0" borderId="1" xfId="1" applyNumberFormat="1" applyFont="1" applyFill="1" applyBorder="1" applyAlignment="1">
      <alignment vertical="center"/>
    </xf>
    <xf numFmtId="49" fontId="107" fillId="0" borderId="1" xfId="0" applyNumberFormat="1" applyFont="1" applyBorder="1"/>
    <xf numFmtId="49" fontId="107" fillId="0" borderId="1" xfId="0" applyNumberFormat="1" applyFont="1" applyBorder="1" applyAlignment="1">
      <alignment wrapText="1"/>
    </xf>
    <xf numFmtId="49" fontId="109" fillId="0" borderId="1" xfId="0" applyNumberFormat="1" applyFont="1" applyBorder="1" applyAlignment="1">
      <alignment wrapText="1"/>
    </xf>
    <xf numFmtId="168" fontId="107" fillId="0" borderId="1" xfId="0" applyNumberFormat="1" applyFont="1" applyBorder="1" applyAlignment="1">
      <alignment horizontal="center"/>
    </xf>
    <xf numFmtId="179" fontId="107" fillId="0" borderId="1" xfId="0" applyNumberFormat="1" applyFont="1" applyBorder="1"/>
    <xf numFmtId="230" fontId="107" fillId="0" borderId="1" xfId="0" applyNumberFormat="1" applyFont="1" applyBorder="1"/>
    <xf numFmtId="179" fontId="9" fillId="0" borderId="1" xfId="5" applyNumberFormat="1" applyFont="1" applyFill="1" applyBorder="1"/>
    <xf numFmtId="230" fontId="9" fillId="0" borderId="1" xfId="5" applyNumberFormat="1" applyFont="1" applyFill="1" applyBorder="1"/>
    <xf numFmtId="168" fontId="107" fillId="0" borderId="1" xfId="0" applyNumberFormat="1" applyFont="1" applyBorder="1" applyAlignment="1">
      <alignment horizontal="center" vertical="center"/>
    </xf>
    <xf numFmtId="179" fontId="107" fillId="0" borderId="1" xfId="0" applyNumberFormat="1" applyFont="1" applyBorder="1" applyAlignment="1">
      <alignment vertical="center"/>
    </xf>
    <xf numFmtId="230" fontId="107" fillId="0" borderId="1" xfId="0" applyNumberFormat="1" applyFont="1" applyBorder="1" applyAlignment="1">
      <alignment vertical="center"/>
    </xf>
    <xf numFmtId="230" fontId="9" fillId="0" borderId="1" xfId="5" applyNumberFormat="1" applyFont="1" applyFill="1" applyBorder="1" applyAlignment="1">
      <alignment vertical="center"/>
    </xf>
    <xf numFmtId="0" fontId="100" fillId="60" borderId="1" xfId="3" applyFont="1" applyFill="1" applyBorder="1" applyAlignment="1" applyProtection="1">
      <alignment horizontal="left" vertical="center" wrapText="1"/>
      <protection locked="0"/>
    </xf>
    <xf numFmtId="0" fontId="0" fillId="0" borderId="1" xfId="0" applyBorder="1"/>
    <xf numFmtId="0" fontId="106" fillId="0" borderId="1" xfId="178" applyFont="1" applyBorder="1" applyAlignment="1">
      <alignment vertical="center" wrapText="1"/>
    </xf>
    <xf numFmtId="0" fontId="9" fillId="0" borderId="1" xfId="0" applyFont="1" applyBorder="1" applyAlignment="1">
      <alignment horizontal="center" vertical="center"/>
    </xf>
    <xf numFmtId="165" fontId="9" fillId="0" borderId="1" xfId="1" applyFont="1" applyBorder="1"/>
    <xf numFmtId="230" fontId="9" fillId="0" borderId="1" xfId="0" applyNumberFormat="1" applyFont="1" applyBorder="1"/>
    <xf numFmtId="0" fontId="0" fillId="0" borderId="1" xfId="0" applyBorder="1" applyAlignment="1">
      <alignment horizontal="left" vertical="center"/>
    </xf>
    <xf numFmtId="0" fontId="3" fillId="0" borderId="1" xfId="178" applyFont="1" applyBorder="1" applyAlignment="1">
      <alignment horizontal="left" vertical="center" wrapText="1"/>
    </xf>
    <xf numFmtId="165" fontId="9" fillId="0" borderId="1" xfId="1" applyFont="1" applyBorder="1" applyAlignment="1">
      <alignment horizontal="left" vertical="center"/>
    </xf>
    <xf numFmtId="230" fontId="9" fillId="0" borderId="1" xfId="0" applyNumberFormat="1" applyFont="1" applyBorder="1" applyAlignment="1">
      <alignment horizontal="left" vertical="center"/>
    </xf>
    <xf numFmtId="179" fontId="9" fillId="0" borderId="1" xfId="1" applyNumberFormat="1" applyFont="1" applyFill="1" applyBorder="1"/>
    <xf numFmtId="230" fontId="9" fillId="0" borderId="1" xfId="1" applyNumberFormat="1" applyFont="1" applyFill="1" applyBorder="1"/>
    <xf numFmtId="0" fontId="11" fillId="0" borderId="1" xfId="178" applyFont="1" applyBorder="1" applyAlignment="1">
      <alignment horizontal="left" vertical="center" wrapText="1"/>
    </xf>
    <xf numFmtId="179" fontId="7" fillId="8" borderId="1" xfId="3" applyNumberFormat="1" applyFont="1" applyFill="1" applyBorder="1" applyAlignment="1" applyProtection="1">
      <alignment horizontal="left" vertical="center"/>
      <protection locked="0"/>
    </xf>
    <xf numFmtId="230" fontId="7" fillId="8" borderId="1" xfId="3" applyNumberFormat="1" applyFont="1" applyFill="1" applyBorder="1" applyAlignment="1" applyProtection="1">
      <alignment horizontal="left" vertical="center"/>
      <protection locked="0"/>
    </xf>
    <xf numFmtId="0" fontId="3" fillId="0" borderId="1" xfId="178" applyFont="1" applyBorder="1" applyAlignment="1">
      <alignment horizontal="left" wrapText="1"/>
    </xf>
    <xf numFmtId="165" fontId="9" fillId="0" borderId="1" xfId="1" applyFont="1" applyBorder="1" applyAlignment="1">
      <alignment vertical="center"/>
    </xf>
    <xf numFmtId="0" fontId="0" fillId="0" borderId="1" xfId="0" applyBorder="1" applyAlignment="1">
      <alignment vertical="center"/>
    </xf>
    <xf numFmtId="0" fontId="9" fillId="0" borderId="1" xfId="0" applyFont="1" applyBorder="1" applyAlignment="1">
      <alignment wrapText="1"/>
    </xf>
    <xf numFmtId="179" fontId="9" fillId="0" borderId="1" xfId="1" applyNumberFormat="1" applyFont="1" applyFill="1" applyBorder="1" applyAlignment="1">
      <alignment horizontal="left" vertical="center"/>
    </xf>
    <xf numFmtId="230" fontId="9" fillId="0" borderId="1" xfId="1" applyNumberFormat="1" applyFont="1" applyFill="1" applyBorder="1" applyAlignment="1">
      <alignment horizontal="left" vertical="center"/>
    </xf>
    <xf numFmtId="168" fontId="107" fillId="0" borderId="1" xfId="0" applyNumberFormat="1" applyFont="1" applyBorder="1"/>
    <xf numFmtId="49" fontId="109" fillId="0" borderId="1" xfId="0" applyNumberFormat="1" applyFont="1" applyBorder="1"/>
    <xf numFmtId="49" fontId="107" fillId="0" borderId="1" xfId="0" applyNumberFormat="1" applyFont="1" applyBorder="1" applyAlignment="1">
      <alignment vertical="center" wrapText="1"/>
    </xf>
    <xf numFmtId="168" fontId="107" fillId="0" borderId="1" xfId="0" applyNumberFormat="1" applyFont="1" applyBorder="1" applyAlignment="1">
      <alignment vertical="center"/>
    </xf>
    <xf numFmtId="179" fontId="107" fillId="0" borderId="1" xfId="0" applyNumberFormat="1" applyFont="1" applyBorder="1" applyAlignment="1">
      <alignment horizontal="center" vertical="center"/>
    </xf>
    <xf numFmtId="230" fontId="107" fillId="0" borderId="1" xfId="0" applyNumberFormat="1" applyFont="1" applyBorder="1" applyAlignment="1">
      <alignment horizontal="center" vertical="center"/>
    </xf>
    <xf numFmtId="179" fontId="9" fillId="0" borderId="1" xfId="1" applyNumberFormat="1" applyFont="1" applyFill="1" applyBorder="1" applyAlignment="1">
      <alignment horizontal="center" vertical="center"/>
    </xf>
    <xf numFmtId="230" fontId="9" fillId="0" borderId="1" xfId="1" applyNumberFormat="1" applyFont="1" applyFill="1" applyBorder="1" applyAlignment="1">
      <alignment horizontal="center" vertical="center"/>
    </xf>
    <xf numFmtId="179" fontId="0" fillId="0" borderId="0" xfId="0" applyNumberFormat="1"/>
    <xf numFmtId="164" fontId="22" fillId="3" borderId="10" xfId="3" applyNumberFormat="1" applyFont="1" applyFill="1" applyBorder="1" applyProtection="1">
      <alignment vertical="center"/>
      <protection locked="0"/>
    </xf>
    <xf numFmtId="164" fontId="22" fillId="3" borderId="12" xfId="3" applyNumberFormat="1" applyFont="1" applyFill="1" applyBorder="1" applyProtection="1">
      <alignment vertical="center"/>
      <protection locked="0"/>
    </xf>
    <xf numFmtId="164" fontId="3" fillId="3" borderId="12" xfId="4" applyNumberFormat="1" applyFill="1" applyBorder="1">
      <alignment vertical="center"/>
    </xf>
    <xf numFmtId="0" fontId="3" fillId="3" borderId="12" xfId="4" applyFill="1" applyBorder="1">
      <alignment vertical="center"/>
    </xf>
    <xf numFmtId="164" fontId="3" fillId="3" borderId="0" xfId="4" applyNumberFormat="1" applyFill="1">
      <alignment vertical="center"/>
    </xf>
    <xf numFmtId="165" fontId="20" fillId="7" borderId="32" xfId="13" applyFont="1" applyFill="1" applyBorder="1" applyAlignment="1">
      <alignment horizontal="center" vertical="center"/>
    </xf>
    <xf numFmtId="165" fontId="20" fillId="7" borderId="38" xfId="13" applyFont="1" applyFill="1" applyBorder="1" applyAlignment="1">
      <alignment horizontal="center" vertical="center"/>
    </xf>
    <xf numFmtId="165" fontId="20" fillId="7" borderId="33" xfId="13" applyFont="1" applyFill="1" applyBorder="1" applyAlignment="1">
      <alignment horizontal="center" vertical="center"/>
    </xf>
    <xf numFmtId="0" fontId="18" fillId="0" borderId="0" xfId="3" applyFont="1" applyAlignment="1">
      <alignment horizontal="center" vertical="top" wrapText="1" readingOrder="1"/>
    </xf>
    <xf numFmtId="179" fontId="9" fillId="0" borderId="73" xfId="5" applyNumberFormat="1" applyFont="1" applyFill="1" applyBorder="1" applyAlignment="1">
      <alignment horizontal="center" vertical="center"/>
    </xf>
    <xf numFmtId="179" fontId="9" fillId="0" borderId="2" xfId="5" applyNumberFormat="1" applyFont="1" applyFill="1" applyBorder="1" applyAlignment="1">
      <alignment horizontal="center" vertical="center"/>
    </xf>
    <xf numFmtId="49" fontId="107" fillId="0" borderId="73" xfId="0" applyNumberFormat="1" applyFont="1" applyBorder="1" applyAlignment="1">
      <alignment horizontal="center" vertical="center"/>
    </xf>
    <xf numFmtId="49" fontId="107" fillId="0" borderId="2" xfId="0" applyNumberFormat="1" applyFont="1" applyBorder="1" applyAlignment="1">
      <alignment horizontal="center" vertical="center"/>
    </xf>
    <xf numFmtId="49" fontId="107" fillId="0" borderId="27" xfId="0" applyNumberFormat="1" applyFont="1" applyBorder="1" applyAlignment="1">
      <alignment horizontal="center" vertical="center"/>
    </xf>
    <xf numFmtId="168" fontId="9" fillId="0" borderId="73" xfId="0" applyNumberFormat="1" applyFont="1" applyBorder="1" applyAlignment="1">
      <alignment horizontal="center" vertical="center"/>
    </xf>
    <xf numFmtId="168" fontId="9" fillId="0" borderId="2" xfId="0" applyNumberFormat="1" applyFont="1" applyBorder="1" applyAlignment="1">
      <alignment horizontal="center" vertical="center"/>
    </xf>
    <xf numFmtId="168" fontId="9" fillId="0" borderId="27" xfId="0" applyNumberFormat="1" applyFont="1" applyBorder="1" applyAlignment="1">
      <alignment horizontal="center" vertical="center"/>
    </xf>
    <xf numFmtId="230" fontId="107" fillId="0" borderId="73" xfId="1" applyNumberFormat="1" applyFont="1" applyBorder="1" applyAlignment="1">
      <alignment horizontal="center" vertical="center"/>
    </xf>
    <xf numFmtId="230" fontId="107" fillId="0" borderId="2" xfId="1" applyNumberFormat="1" applyFont="1" applyBorder="1" applyAlignment="1">
      <alignment horizontal="center" vertical="center"/>
    </xf>
    <xf numFmtId="230" fontId="107" fillId="0" borderId="27" xfId="1" applyNumberFormat="1" applyFont="1" applyBorder="1" applyAlignment="1">
      <alignment horizontal="center" vertical="center"/>
    </xf>
  </cellXfs>
  <cellStyles count="58389">
    <cellStyle name="%" xfId="3428" xr:uid="{00000000-0005-0000-0000-000000000000}"/>
    <cellStyle name="_01 Itemizado Tottus La Polvora Lima rev@1" xfId="205" xr:uid="{00000000-0005-0000-0000-000001000000}"/>
    <cellStyle name="_5. Formato Propuesta Tottus Naciones Unidas-comerc.Rev.1" xfId="206" xr:uid="{00000000-0005-0000-0000-000002000000}"/>
    <cellStyle name="_5. Formato Propuesta Tottus Naciones Unidas-comerc.Rev.1_Estructura Presupuesto Huacho 160511" xfId="3429" xr:uid="{00000000-0005-0000-0000-000003000000}"/>
    <cellStyle name="_5. Formato Propuesta Tottus Naciones Unidas-comerc.Rev.1_formato de metrado arquitectura" xfId="3430" xr:uid="{00000000-0005-0000-0000-000004000000}"/>
    <cellStyle name="_ADICIONAL ADO -ATI- V3-Jumbo Los Andes 29-06-06-mm" xfId="207" xr:uid="{00000000-0005-0000-0000-000005000000}"/>
    <cellStyle name="_Analisis%20de%20PU(1)" xfId="177" xr:uid="{00000000-0005-0000-0000-000006000000}"/>
    <cellStyle name="_comparativo SISA OSORNO-CURAUMA PTO MONTT" xfId="208" xr:uid="{00000000-0005-0000-0000-000007000000}"/>
    <cellStyle name="_Equipamiento Comprado por Obras Cencosud" xfId="209" xr:uid="{00000000-0005-0000-0000-000008000000}"/>
    <cellStyle name="_ITEMIZADO JUMBO SAN ANTONIO" xfId="210" xr:uid="{00000000-0005-0000-0000-000009000000}"/>
    <cellStyle name="_Presupuesto Estimado Jumbo Easy Portal Maipu SALFA REV2- 21-06-06" xfId="211" xr:uid="{00000000-0005-0000-0000-00000A000000}"/>
    <cellStyle name="_Presupuesto Portal Maipu FINAL-CSC-SALFA 17.07.06" xfId="212" xr:uid="{00000000-0005-0000-0000-00000B000000}"/>
    <cellStyle name="_PTTO CAMBIO TRANSF SET STA ROSA NUEVA1" xfId="3431" xr:uid="{00000000-0005-0000-0000-00000C000000}"/>
    <cellStyle name="_x0004_¥" xfId="43" xr:uid="{00000000-0005-0000-0000-00000D000000}"/>
    <cellStyle name="_x0004_¥ 2" xfId="178" xr:uid="{00000000-0005-0000-0000-00000E000000}"/>
    <cellStyle name="_x0004_¥ 2 2" xfId="7301" xr:uid="{00000000-0005-0000-0000-00000F000000}"/>
    <cellStyle name="_x0004_¥ 2 3" xfId="7312" xr:uid="{00000000-0005-0000-0000-000010000000}"/>
    <cellStyle name="_x0004_¥ 3" xfId="3432" xr:uid="{00000000-0005-0000-0000-000011000000}"/>
    <cellStyle name="_x0004_¥ 4" xfId="7313" xr:uid="{00000000-0005-0000-0000-000012000000}"/>
    <cellStyle name="_x0004_¥_COMPARATIVO BALTA" xfId="3433" xr:uid="{00000000-0005-0000-0000-000013000000}"/>
    <cellStyle name="20% - Accent1" xfId="7326" xr:uid="{00000000-0005-0000-0000-000014000000}"/>
    <cellStyle name="20% - Accent2" xfId="7327" xr:uid="{00000000-0005-0000-0000-000015000000}"/>
    <cellStyle name="20% - Accent3" xfId="7328" xr:uid="{00000000-0005-0000-0000-000016000000}"/>
    <cellStyle name="20% - Accent4" xfId="7329" xr:uid="{00000000-0005-0000-0000-000017000000}"/>
    <cellStyle name="20% - Accent5" xfId="7330" xr:uid="{00000000-0005-0000-0000-000018000000}"/>
    <cellStyle name="20% - Accent6" xfId="7331" xr:uid="{00000000-0005-0000-0000-000019000000}"/>
    <cellStyle name="20% - Énfasis1 10" xfId="213" xr:uid="{00000000-0005-0000-0000-00001A000000}"/>
    <cellStyle name="20% - Énfasis1 11" xfId="214" xr:uid="{00000000-0005-0000-0000-00001B000000}"/>
    <cellStyle name="20% - Énfasis1 12" xfId="215" xr:uid="{00000000-0005-0000-0000-00001C000000}"/>
    <cellStyle name="20% - Énfasis1 13" xfId="216" xr:uid="{00000000-0005-0000-0000-00001D000000}"/>
    <cellStyle name="20% - Énfasis1 14" xfId="217" xr:uid="{00000000-0005-0000-0000-00001E000000}"/>
    <cellStyle name="20% - Énfasis1 15" xfId="218" xr:uid="{00000000-0005-0000-0000-00001F000000}"/>
    <cellStyle name="20% - Énfasis1 16" xfId="219" xr:uid="{00000000-0005-0000-0000-000020000000}"/>
    <cellStyle name="20% - Énfasis1 17" xfId="220" xr:uid="{00000000-0005-0000-0000-000021000000}"/>
    <cellStyle name="20% - Énfasis1 18" xfId="221" xr:uid="{00000000-0005-0000-0000-000022000000}"/>
    <cellStyle name="20% - Énfasis1 19" xfId="222" xr:uid="{00000000-0005-0000-0000-000023000000}"/>
    <cellStyle name="20% - Énfasis1 2" xfId="86" xr:uid="{00000000-0005-0000-0000-000024000000}"/>
    <cellStyle name="20% - Énfasis1 2 2" xfId="223" xr:uid="{00000000-0005-0000-0000-000025000000}"/>
    <cellStyle name="20% - Énfasis1 2 3" xfId="224" xr:uid="{00000000-0005-0000-0000-000026000000}"/>
    <cellStyle name="20% - Énfasis1 2 4" xfId="225" xr:uid="{00000000-0005-0000-0000-000027000000}"/>
    <cellStyle name="20% - Énfasis1 2 5" xfId="226" xr:uid="{00000000-0005-0000-0000-000028000000}"/>
    <cellStyle name="20% - Énfasis1 20" xfId="227" xr:uid="{00000000-0005-0000-0000-000029000000}"/>
    <cellStyle name="20% - Énfasis1 21" xfId="228" xr:uid="{00000000-0005-0000-0000-00002A000000}"/>
    <cellStyle name="20% - Énfasis1 22" xfId="229" xr:uid="{00000000-0005-0000-0000-00002B000000}"/>
    <cellStyle name="20% - Énfasis1 23" xfId="230" xr:uid="{00000000-0005-0000-0000-00002C000000}"/>
    <cellStyle name="20% - Énfasis1 24" xfId="231" xr:uid="{00000000-0005-0000-0000-00002D000000}"/>
    <cellStyle name="20% - Énfasis1 25" xfId="232" xr:uid="{00000000-0005-0000-0000-00002E000000}"/>
    <cellStyle name="20% - Énfasis1 26" xfId="233" xr:uid="{00000000-0005-0000-0000-00002F000000}"/>
    <cellStyle name="20% - Énfasis1 27" xfId="234" xr:uid="{00000000-0005-0000-0000-000030000000}"/>
    <cellStyle name="20% - Énfasis1 28" xfId="235" xr:uid="{00000000-0005-0000-0000-000031000000}"/>
    <cellStyle name="20% - Énfasis1 29" xfId="236" xr:uid="{00000000-0005-0000-0000-000032000000}"/>
    <cellStyle name="20% - Énfasis1 3" xfId="237" xr:uid="{00000000-0005-0000-0000-000033000000}"/>
    <cellStyle name="20% - Énfasis1 30" xfId="238" xr:uid="{00000000-0005-0000-0000-000034000000}"/>
    <cellStyle name="20% - Énfasis1 31" xfId="239" xr:uid="{00000000-0005-0000-0000-000035000000}"/>
    <cellStyle name="20% - Énfasis1 32" xfId="240" xr:uid="{00000000-0005-0000-0000-000036000000}"/>
    <cellStyle name="20% - Énfasis1 33" xfId="241" xr:uid="{00000000-0005-0000-0000-000037000000}"/>
    <cellStyle name="20% - Énfasis1 34" xfId="242" xr:uid="{00000000-0005-0000-0000-000038000000}"/>
    <cellStyle name="20% - Énfasis1 35" xfId="243" xr:uid="{00000000-0005-0000-0000-000039000000}"/>
    <cellStyle name="20% - Énfasis1 36" xfId="244" xr:uid="{00000000-0005-0000-0000-00003A000000}"/>
    <cellStyle name="20% - Énfasis1 37" xfId="245" xr:uid="{00000000-0005-0000-0000-00003B000000}"/>
    <cellStyle name="20% - Énfasis1 38" xfId="246" xr:uid="{00000000-0005-0000-0000-00003C000000}"/>
    <cellStyle name="20% - Énfasis1 39" xfId="247" xr:uid="{00000000-0005-0000-0000-00003D000000}"/>
    <cellStyle name="20% - Énfasis1 4" xfId="248" xr:uid="{00000000-0005-0000-0000-00003E000000}"/>
    <cellStyle name="20% - Énfasis1 40" xfId="249" xr:uid="{00000000-0005-0000-0000-00003F000000}"/>
    <cellStyle name="20% - Énfasis1 41" xfId="250" xr:uid="{00000000-0005-0000-0000-000040000000}"/>
    <cellStyle name="20% - Énfasis1 42" xfId="251" xr:uid="{00000000-0005-0000-0000-000041000000}"/>
    <cellStyle name="20% - Énfasis1 43" xfId="252" xr:uid="{00000000-0005-0000-0000-000042000000}"/>
    <cellStyle name="20% - Énfasis1 44" xfId="253" xr:uid="{00000000-0005-0000-0000-000043000000}"/>
    <cellStyle name="20% - Énfasis1 45" xfId="254" xr:uid="{00000000-0005-0000-0000-000044000000}"/>
    <cellStyle name="20% - Énfasis1 46" xfId="255" xr:uid="{00000000-0005-0000-0000-000045000000}"/>
    <cellStyle name="20% - Énfasis1 47" xfId="256" xr:uid="{00000000-0005-0000-0000-000046000000}"/>
    <cellStyle name="20% - Énfasis1 48" xfId="257" xr:uid="{00000000-0005-0000-0000-000047000000}"/>
    <cellStyle name="20% - Énfasis1 49" xfId="258" xr:uid="{00000000-0005-0000-0000-000048000000}"/>
    <cellStyle name="20% - Énfasis1 5" xfId="259" xr:uid="{00000000-0005-0000-0000-000049000000}"/>
    <cellStyle name="20% - Énfasis1 50" xfId="260" xr:uid="{00000000-0005-0000-0000-00004A000000}"/>
    <cellStyle name="20% - Énfasis1 51" xfId="261" xr:uid="{00000000-0005-0000-0000-00004B000000}"/>
    <cellStyle name="20% - Énfasis1 52" xfId="262" xr:uid="{00000000-0005-0000-0000-00004C000000}"/>
    <cellStyle name="20% - Énfasis1 53" xfId="263" xr:uid="{00000000-0005-0000-0000-00004D000000}"/>
    <cellStyle name="20% - Énfasis1 54" xfId="264" xr:uid="{00000000-0005-0000-0000-00004E000000}"/>
    <cellStyle name="20% - Énfasis1 55" xfId="265" xr:uid="{00000000-0005-0000-0000-00004F000000}"/>
    <cellStyle name="20% - Énfasis1 56" xfId="266" xr:uid="{00000000-0005-0000-0000-000050000000}"/>
    <cellStyle name="20% - Énfasis1 57" xfId="267" xr:uid="{00000000-0005-0000-0000-000051000000}"/>
    <cellStyle name="20% - Énfasis1 58" xfId="268" xr:uid="{00000000-0005-0000-0000-000052000000}"/>
    <cellStyle name="20% - Énfasis1 59" xfId="269" xr:uid="{00000000-0005-0000-0000-000053000000}"/>
    <cellStyle name="20% - Énfasis1 6" xfId="270" xr:uid="{00000000-0005-0000-0000-000054000000}"/>
    <cellStyle name="20% - Énfasis1 60" xfId="271" xr:uid="{00000000-0005-0000-0000-000055000000}"/>
    <cellStyle name="20% - Énfasis1 61" xfId="272" xr:uid="{00000000-0005-0000-0000-000056000000}"/>
    <cellStyle name="20% - Énfasis1 62" xfId="273" xr:uid="{00000000-0005-0000-0000-000057000000}"/>
    <cellStyle name="20% - Énfasis1 63" xfId="274" xr:uid="{00000000-0005-0000-0000-000058000000}"/>
    <cellStyle name="20% - Énfasis1 64" xfId="275" xr:uid="{00000000-0005-0000-0000-000059000000}"/>
    <cellStyle name="20% - Énfasis1 65" xfId="276" xr:uid="{00000000-0005-0000-0000-00005A000000}"/>
    <cellStyle name="20% - Énfasis1 66" xfId="277" xr:uid="{00000000-0005-0000-0000-00005B000000}"/>
    <cellStyle name="20% - Énfasis1 67" xfId="278" xr:uid="{00000000-0005-0000-0000-00005C000000}"/>
    <cellStyle name="20% - Énfasis1 7" xfId="279" xr:uid="{00000000-0005-0000-0000-00005D000000}"/>
    <cellStyle name="20% - Énfasis1 8" xfId="280" xr:uid="{00000000-0005-0000-0000-00005E000000}"/>
    <cellStyle name="20% - Énfasis1 9" xfId="281" xr:uid="{00000000-0005-0000-0000-00005F000000}"/>
    <cellStyle name="20% - Énfasis2 10" xfId="282" xr:uid="{00000000-0005-0000-0000-000060000000}"/>
    <cellStyle name="20% - Énfasis2 11" xfId="283" xr:uid="{00000000-0005-0000-0000-000061000000}"/>
    <cellStyle name="20% - Énfasis2 12" xfId="284" xr:uid="{00000000-0005-0000-0000-000062000000}"/>
    <cellStyle name="20% - Énfasis2 13" xfId="285" xr:uid="{00000000-0005-0000-0000-000063000000}"/>
    <cellStyle name="20% - Énfasis2 14" xfId="286" xr:uid="{00000000-0005-0000-0000-000064000000}"/>
    <cellStyle name="20% - Énfasis2 15" xfId="287" xr:uid="{00000000-0005-0000-0000-000065000000}"/>
    <cellStyle name="20% - Énfasis2 16" xfId="288" xr:uid="{00000000-0005-0000-0000-000066000000}"/>
    <cellStyle name="20% - Énfasis2 17" xfId="289" xr:uid="{00000000-0005-0000-0000-000067000000}"/>
    <cellStyle name="20% - Énfasis2 18" xfId="290" xr:uid="{00000000-0005-0000-0000-000068000000}"/>
    <cellStyle name="20% - Énfasis2 19" xfId="291" xr:uid="{00000000-0005-0000-0000-000069000000}"/>
    <cellStyle name="20% - Énfasis2 2" xfId="87" xr:uid="{00000000-0005-0000-0000-00006A000000}"/>
    <cellStyle name="20% - Énfasis2 2 2" xfId="292" xr:uid="{00000000-0005-0000-0000-00006B000000}"/>
    <cellStyle name="20% - Énfasis2 2 3" xfId="293" xr:uid="{00000000-0005-0000-0000-00006C000000}"/>
    <cellStyle name="20% - Énfasis2 2 4" xfId="294" xr:uid="{00000000-0005-0000-0000-00006D000000}"/>
    <cellStyle name="20% - Énfasis2 2 5" xfId="295" xr:uid="{00000000-0005-0000-0000-00006E000000}"/>
    <cellStyle name="20% - Énfasis2 20" xfId="296" xr:uid="{00000000-0005-0000-0000-00006F000000}"/>
    <cellStyle name="20% - Énfasis2 21" xfId="297" xr:uid="{00000000-0005-0000-0000-000070000000}"/>
    <cellStyle name="20% - Énfasis2 22" xfId="298" xr:uid="{00000000-0005-0000-0000-000071000000}"/>
    <cellStyle name="20% - Énfasis2 23" xfId="299" xr:uid="{00000000-0005-0000-0000-000072000000}"/>
    <cellStyle name="20% - Énfasis2 24" xfId="300" xr:uid="{00000000-0005-0000-0000-000073000000}"/>
    <cellStyle name="20% - Énfasis2 25" xfId="301" xr:uid="{00000000-0005-0000-0000-000074000000}"/>
    <cellStyle name="20% - Énfasis2 26" xfId="302" xr:uid="{00000000-0005-0000-0000-000075000000}"/>
    <cellStyle name="20% - Énfasis2 27" xfId="303" xr:uid="{00000000-0005-0000-0000-000076000000}"/>
    <cellStyle name="20% - Énfasis2 28" xfId="304" xr:uid="{00000000-0005-0000-0000-000077000000}"/>
    <cellStyle name="20% - Énfasis2 29" xfId="305" xr:uid="{00000000-0005-0000-0000-000078000000}"/>
    <cellStyle name="20% - Énfasis2 3" xfId="306" xr:uid="{00000000-0005-0000-0000-000079000000}"/>
    <cellStyle name="20% - Énfasis2 30" xfId="307" xr:uid="{00000000-0005-0000-0000-00007A000000}"/>
    <cellStyle name="20% - Énfasis2 31" xfId="308" xr:uid="{00000000-0005-0000-0000-00007B000000}"/>
    <cellStyle name="20% - Énfasis2 32" xfId="309" xr:uid="{00000000-0005-0000-0000-00007C000000}"/>
    <cellStyle name="20% - Énfasis2 33" xfId="310" xr:uid="{00000000-0005-0000-0000-00007D000000}"/>
    <cellStyle name="20% - Énfasis2 34" xfId="311" xr:uid="{00000000-0005-0000-0000-00007E000000}"/>
    <cellStyle name="20% - Énfasis2 35" xfId="312" xr:uid="{00000000-0005-0000-0000-00007F000000}"/>
    <cellStyle name="20% - Énfasis2 36" xfId="313" xr:uid="{00000000-0005-0000-0000-000080000000}"/>
    <cellStyle name="20% - Énfasis2 37" xfId="314" xr:uid="{00000000-0005-0000-0000-000081000000}"/>
    <cellStyle name="20% - Énfasis2 38" xfId="315" xr:uid="{00000000-0005-0000-0000-000082000000}"/>
    <cellStyle name="20% - Énfasis2 39" xfId="316" xr:uid="{00000000-0005-0000-0000-000083000000}"/>
    <cellStyle name="20% - Énfasis2 4" xfId="317" xr:uid="{00000000-0005-0000-0000-000084000000}"/>
    <cellStyle name="20% - Énfasis2 40" xfId="318" xr:uid="{00000000-0005-0000-0000-000085000000}"/>
    <cellStyle name="20% - Énfasis2 41" xfId="319" xr:uid="{00000000-0005-0000-0000-000086000000}"/>
    <cellStyle name="20% - Énfasis2 42" xfId="320" xr:uid="{00000000-0005-0000-0000-000087000000}"/>
    <cellStyle name="20% - Énfasis2 43" xfId="321" xr:uid="{00000000-0005-0000-0000-000088000000}"/>
    <cellStyle name="20% - Énfasis2 44" xfId="322" xr:uid="{00000000-0005-0000-0000-000089000000}"/>
    <cellStyle name="20% - Énfasis2 45" xfId="323" xr:uid="{00000000-0005-0000-0000-00008A000000}"/>
    <cellStyle name="20% - Énfasis2 46" xfId="324" xr:uid="{00000000-0005-0000-0000-00008B000000}"/>
    <cellStyle name="20% - Énfasis2 47" xfId="325" xr:uid="{00000000-0005-0000-0000-00008C000000}"/>
    <cellStyle name="20% - Énfasis2 48" xfId="326" xr:uid="{00000000-0005-0000-0000-00008D000000}"/>
    <cellStyle name="20% - Énfasis2 49" xfId="327" xr:uid="{00000000-0005-0000-0000-00008E000000}"/>
    <cellStyle name="20% - Énfasis2 5" xfId="328" xr:uid="{00000000-0005-0000-0000-00008F000000}"/>
    <cellStyle name="20% - Énfasis2 50" xfId="329" xr:uid="{00000000-0005-0000-0000-000090000000}"/>
    <cellStyle name="20% - Énfasis2 51" xfId="330" xr:uid="{00000000-0005-0000-0000-000091000000}"/>
    <cellStyle name="20% - Énfasis2 52" xfId="331" xr:uid="{00000000-0005-0000-0000-000092000000}"/>
    <cellStyle name="20% - Énfasis2 53" xfId="332" xr:uid="{00000000-0005-0000-0000-000093000000}"/>
    <cellStyle name="20% - Énfasis2 54" xfId="333" xr:uid="{00000000-0005-0000-0000-000094000000}"/>
    <cellStyle name="20% - Énfasis2 55" xfId="334" xr:uid="{00000000-0005-0000-0000-000095000000}"/>
    <cellStyle name="20% - Énfasis2 56" xfId="335" xr:uid="{00000000-0005-0000-0000-000096000000}"/>
    <cellStyle name="20% - Énfasis2 57" xfId="336" xr:uid="{00000000-0005-0000-0000-000097000000}"/>
    <cellStyle name="20% - Énfasis2 58" xfId="337" xr:uid="{00000000-0005-0000-0000-000098000000}"/>
    <cellStyle name="20% - Énfasis2 59" xfId="338" xr:uid="{00000000-0005-0000-0000-000099000000}"/>
    <cellStyle name="20% - Énfasis2 6" xfId="339" xr:uid="{00000000-0005-0000-0000-00009A000000}"/>
    <cellStyle name="20% - Énfasis2 60" xfId="340" xr:uid="{00000000-0005-0000-0000-00009B000000}"/>
    <cellStyle name="20% - Énfasis2 61" xfId="341" xr:uid="{00000000-0005-0000-0000-00009C000000}"/>
    <cellStyle name="20% - Énfasis2 62" xfId="342" xr:uid="{00000000-0005-0000-0000-00009D000000}"/>
    <cellStyle name="20% - Énfasis2 63" xfId="343" xr:uid="{00000000-0005-0000-0000-00009E000000}"/>
    <cellStyle name="20% - Énfasis2 64" xfId="344" xr:uid="{00000000-0005-0000-0000-00009F000000}"/>
    <cellStyle name="20% - Énfasis2 65" xfId="345" xr:uid="{00000000-0005-0000-0000-0000A0000000}"/>
    <cellStyle name="20% - Énfasis2 66" xfId="346" xr:uid="{00000000-0005-0000-0000-0000A1000000}"/>
    <cellStyle name="20% - Énfasis2 67" xfId="347" xr:uid="{00000000-0005-0000-0000-0000A2000000}"/>
    <cellStyle name="20% - Énfasis2 7" xfId="348" xr:uid="{00000000-0005-0000-0000-0000A3000000}"/>
    <cellStyle name="20% - Énfasis2 8" xfId="349" xr:uid="{00000000-0005-0000-0000-0000A4000000}"/>
    <cellStyle name="20% - Énfasis2 9" xfId="350" xr:uid="{00000000-0005-0000-0000-0000A5000000}"/>
    <cellStyle name="20% - Énfasis3 10" xfId="351" xr:uid="{00000000-0005-0000-0000-0000A6000000}"/>
    <cellStyle name="20% - Énfasis3 11" xfId="352" xr:uid="{00000000-0005-0000-0000-0000A7000000}"/>
    <cellStyle name="20% - Énfasis3 12" xfId="353" xr:uid="{00000000-0005-0000-0000-0000A8000000}"/>
    <cellStyle name="20% - Énfasis3 13" xfId="354" xr:uid="{00000000-0005-0000-0000-0000A9000000}"/>
    <cellStyle name="20% - Énfasis3 14" xfId="355" xr:uid="{00000000-0005-0000-0000-0000AA000000}"/>
    <cellStyle name="20% - Énfasis3 15" xfId="356" xr:uid="{00000000-0005-0000-0000-0000AB000000}"/>
    <cellStyle name="20% - Énfasis3 16" xfId="357" xr:uid="{00000000-0005-0000-0000-0000AC000000}"/>
    <cellStyle name="20% - Énfasis3 17" xfId="358" xr:uid="{00000000-0005-0000-0000-0000AD000000}"/>
    <cellStyle name="20% - Énfasis3 18" xfId="359" xr:uid="{00000000-0005-0000-0000-0000AE000000}"/>
    <cellStyle name="20% - Énfasis3 19" xfId="360" xr:uid="{00000000-0005-0000-0000-0000AF000000}"/>
    <cellStyle name="20% - Énfasis3 2" xfId="88" xr:uid="{00000000-0005-0000-0000-0000B0000000}"/>
    <cellStyle name="20% - Énfasis3 2 2" xfId="361" xr:uid="{00000000-0005-0000-0000-0000B1000000}"/>
    <cellStyle name="20% - Énfasis3 2 3" xfId="362" xr:uid="{00000000-0005-0000-0000-0000B2000000}"/>
    <cellStyle name="20% - Énfasis3 2 4" xfId="363" xr:uid="{00000000-0005-0000-0000-0000B3000000}"/>
    <cellStyle name="20% - Énfasis3 2 5" xfId="364" xr:uid="{00000000-0005-0000-0000-0000B4000000}"/>
    <cellStyle name="20% - Énfasis3 20" xfId="365" xr:uid="{00000000-0005-0000-0000-0000B5000000}"/>
    <cellStyle name="20% - Énfasis3 21" xfId="366" xr:uid="{00000000-0005-0000-0000-0000B6000000}"/>
    <cellStyle name="20% - Énfasis3 22" xfId="367" xr:uid="{00000000-0005-0000-0000-0000B7000000}"/>
    <cellStyle name="20% - Énfasis3 23" xfId="368" xr:uid="{00000000-0005-0000-0000-0000B8000000}"/>
    <cellStyle name="20% - Énfasis3 24" xfId="369" xr:uid="{00000000-0005-0000-0000-0000B9000000}"/>
    <cellStyle name="20% - Énfasis3 25" xfId="370" xr:uid="{00000000-0005-0000-0000-0000BA000000}"/>
    <cellStyle name="20% - Énfasis3 26" xfId="371" xr:uid="{00000000-0005-0000-0000-0000BB000000}"/>
    <cellStyle name="20% - Énfasis3 27" xfId="372" xr:uid="{00000000-0005-0000-0000-0000BC000000}"/>
    <cellStyle name="20% - Énfasis3 28" xfId="373" xr:uid="{00000000-0005-0000-0000-0000BD000000}"/>
    <cellStyle name="20% - Énfasis3 29" xfId="374" xr:uid="{00000000-0005-0000-0000-0000BE000000}"/>
    <cellStyle name="20% - Énfasis3 3" xfId="375" xr:uid="{00000000-0005-0000-0000-0000BF000000}"/>
    <cellStyle name="20% - Énfasis3 30" xfId="376" xr:uid="{00000000-0005-0000-0000-0000C0000000}"/>
    <cellStyle name="20% - Énfasis3 31" xfId="377" xr:uid="{00000000-0005-0000-0000-0000C1000000}"/>
    <cellStyle name="20% - Énfasis3 32" xfId="378" xr:uid="{00000000-0005-0000-0000-0000C2000000}"/>
    <cellStyle name="20% - Énfasis3 33" xfId="379" xr:uid="{00000000-0005-0000-0000-0000C3000000}"/>
    <cellStyle name="20% - Énfasis3 34" xfId="380" xr:uid="{00000000-0005-0000-0000-0000C4000000}"/>
    <cellStyle name="20% - Énfasis3 35" xfId="381" xr:uid="{00000000-0005-0000-0000-0000C5000000}"/>
    <cellStyle name="20% - Énfasis3 36" xfId="382" xr:uid="{00000000-0005-0000-0000-0000C6000000}"/>
    <cellStyle name="20% - Énfasis3 37" xfId="383" xr:uid="{00000000-0005-0000-0000-0000C7000000}"/>
    <cellStyle name="20% - Énfasis3 38" xfId="384" xr:uid="{00000000-0005-0000-0000-0000C8000000}"/>
    <cellStyle name="20% - Énfasis3 39" xfId="385" xr:uid="{00000000-0005-0000-0000-0000C9000000}"/>
    <cellStyle name="20% - Énfasis3 4" xfId="386" xr:uid="{00000000-0005-0000-0000-0000CA000000}"/>
    <cellStyle name="20% - Énfasis3 40" xfId="387" xr:uid="{00000000-0005-0000-0000-0000CB000000}"/>
    <cellStyle name="20% - Énfasis3 41" xfId="388" xr:uid="{00000000-0005-0000-0000-0000CC000000}"/>
    <cellStyle name="20% - Énfasis3 42" xfId="389" xr:uid="{00000000-0005-0000-0000-0000CD000000}"/>
    <cellStyle name="20% - Énfasis3 43" xfId="390" xr:uid="{00000000-0005-0000-0000-0000CE000000}"/>
    <cellStyle name="20% - Énfasis3 44" xfId="391" xr:uid="{00000000-0005-0000-0000-0000CF000000}"/>
    <cellStyle name="20% - Énfasis3 45" xfId="392" xr:uid="{00000000-0005-0000-0000-0000D0000000}"/>
    <cellStyle name="20% - Énfasis3 46" xfId="393" xr:uid="{00000000-0005-0000-0000-0000D1000000}"/>
    <cellStyle name="20% - Énfasis3 47" xfId="394" xr:uid="{00000000-0005-0000-0000-0000D2000000}"/>
    <cellStyle name="20% - Énfasis3 48" xfId="395" xr:uid="{00000000-0005-0000-0000-0000D3000000}"/>
    <cellStyle name="20% - Énfasis3 49" xfId="396" xr:uid="{00000000-0005-0000-0000-0000D4000000}"/>
    <cellStyle name="20% - Énfasis3 5" xfId="397" xr:uid="{00000000-0005-0000-0000-0000D5000000}"/>
    <cellStyle name="20% - Énfasis3 50" xfId="398" xr:uid="{00000000-0005-0000-0000-0000D6000000}"/>
    <cellStyle name="20% - Énfasis3 51" xfId="399" xr:uid="{00000000-0005-0000-0000-0000D7000000}"/>
    <cellStyle name="20% - Énfasis3 52" xfId="400" xr:uid="{00000000-0005-0000-0000-0000D8000000}"/>
    <cellStyle name="20% - Énfasis3 53" xfId="401" xr:uid="{00000000-0005-0000-0000-0000D9000000}"/>
    <cellStyle name="20% - Énfasis3 54" xfId="402" xr:uid="{00000000-0005-0000-0000-0000DA000000}"/>
    <cellStyle name="20% - Énfasis3 55" xfId="403" xr:uid="{00000000-0005-0000-0000-0000DB000000}"/>
    <cellStyle name="20% - Énfasis3 56" xfId="404" xr:uid="{00000000-0005-0000-0000-0000DC000000}"/>
    <cellStyle name="20% - Énfasis3 57" xfId="405" xr:uid="{00000000-0005-0000-0000-0000DD000000}"/>
    <cellStyle name="20% - Énfasis3 58" xfId="406" xr:uid="{00000000-0005-0000-0000-0000DE000000}"/>
    <cellStyle name="20% - Énfasis3 59" xfId="407" xr:uid="{00000000-0005-0000-0000-0000DF000000}"/>
    <cellStyle name="20% - Énfasis3 6" xfId="408" xr:uid="{00000000-0005-0000-0000-0000E0000000}"/>
    <cellStyle name="20% - Énfasis3 60" xfId="409" xr:uid="{00000000-0005-0000-0000-0000E1000000}"/>
    <cellStyle name="20% - Énfasis3 61" xfId="410" xr:uid="{00000000-0005-0000-0000-0000E2000000}"/>
    <cellStyle name="20% - Énfasis3 62" xfId="411" xr:uid="{00000000-0005-0000-0000-0000E3000000}"/>
    <cellStyle name="20% - Énfasis3 63" xfId="412" xr:uid="{00000000-0005-0000-0000-0000E4000000}"/>
    <cellStyle name="20% - Énfasis3 64" xfId="413" xr:uid="{00000000-0005-0000-0000-0000E5000000}"/>
    <cellStyle name="20% - Énfasis3 65" xfId="414" xr:uid="{00000000-0005-0000-0000-0000E6000000}"/>
    <cellStyle name="20% - Énfasis3 66" xfId="415" xr:uid="{00000000-0005-0000-0000-0000E7000000}"/>
    <cellStyle name="20% - Énfasis3 67" xfId="416" xr:uid="{00000000-0005-0000-0000-0000E8000000}"/>
    <cellStyle name="20% - Énfasis3 7" xfId="417" xr:uid="{00000000-0005-0000-0000-0000E9000000}"/>
    <cellStyle name="20% - Énfasis3 8" xfId="418" xr:uid="{00000000-0005-0000-0000-0000EA000000}"/>
    <cellStyle name="20% - Énfasis3 9" xfId="419" xr:uid="{00000000-0005-0000-0000-0000EB000000}"/>
    <cellStyle name="20% - Énfasis4 10" xfId="420" xr:uid="{00000000-0005-0000-0000-0000EC000000}"/>
    <cellStyle name="20% - Énfasis4 11" xfId="421" xr:uid="{00000000-0005-0000-0000-0000ED000000}"/>
    <cellStyle name="20% - Énfasis4 12" xfId="422" xr:uid="{00000000-0005-0000-0000-0000EE000000}"/>
    <cellStyle name="20% - Énfasis4 13" xfId="423" xr:uid="{00000000-0005-0000-0000-0000EF000000}"/>
    <cellStyle name="20% - Énfasis4 14" xfId="424" xr:uid="{00000000-0005-0000-0000-0000F0000000}"/>
    <cellStyle name="20% - Énfasis4 15" xfId="425" xr:uid="{00000000-0005-0000-0000-0000F1000000}"/>
    <cellStyle name="20% - Énfasis4 16" xfId="426" xr:uid="{00000000-0005-0000-0000-0000F2000000}"/>
    <cellStyle name="20% - Énfasis4 17" xfId="427" xr:uid="{00000000-0005-0000-0000-0000F3000000}"/>
    <cellStyle name="20% - Énfasis4 18" xfId="428" xr:uid="{00000000-0005-0000-0000-0000F4000000}"/>
    <cellStyle name="20% - Énfasis4 19" xfId="429" xr:uid="{00000000-0005-0000-0000-0000F5000000}"/>
    <cellStyle name="20% - Énfasis4 2" xfId="89" xr:uid="{00000000-0005-0000-0000-0000F6000000}"/>
    <cellStyle name="20% - Énfasis4 2 2" xfId="430" xr:uid="{00000000-0005-0000-0000-0000F7000000}"/>
    <cellStyle name="20% - Énfasis4 2 3" xfId="431" xr:uid="{00000000-0005-0000-0000-0000F8000000}"/>
    <cellStyle name="20% - Énfasis4 2 4" xfId="432" xr:uid="{00000000-0005-0000-0000-0000F9000000}"/>
    <cellStyle name="20% - Énfasis4 2 5" xfId="433" xr:uid="{00000000-0005-0000-0000-0000FA000000}"/>
    <cellStyle name="20% - Énfasis4 20" xfId="434" xr:uid="{00000000-0005-0000-0000-0000FB000000}"/>
    <cellStyle name="20% - Énfasis4 21" xfId="435" xr:uid="{00000000-0005-0000-0000-0000FC000000}"/>
    <cellStyle name="20% - Énfasis4 22" xfId="436" xr:uid="{00000000-0005-0000-0000-0000FD000000}"/>
    <cellStyle name="20% - Énfasis4 23" xfId="437" xr:uid="{00000000-0005-0000-0000-0000FE000000}"/>
    <cellStyle name="20% - Énfasis4 24" xfId="438" xr:uid="{00000000-0005-0000-0000-0000FF000000}"/>
    <cellStyle name="20% - Énfasis4 25" xfId="439" xr:uid="{00000000-0005-0000-0000-000000010000}"/>
    <cellStyle name="20% - Énfasis4 26" xfId="440" xr:uid="{00000000-0005-0000-0000-000001010000}"/>
    <cellStyle name="20% - Énfasis4 27" xfId="441" xr:uid="{00000000-0005-0000-0000-000002010000}"/>
    <cellStyle name="20% - Énfasis4 28" xfId="442" xr:uid="{00000000-0005-0000-0000-000003010000}"/>
    <cellStyle name="20% - Énfasis4 29" xfId="443" xr:uid="{00000000-0005-0000-0000-000004010000}"/>
    <cellStyle name="20% - Énfasis4 3" xfId="444" xr:uid="{00000000-0005-0000-0000-000005010000}"/>
    <cellStyle name="20% - Énfasis4 30" xfId="445" xr:uid="{00000000-0005-0000-0000-000006010000}"/>
    <cellStyle name="20% - Énfasis4 31" xfId="446" xr:uid="{00000000-0005-0000-0000-000007010000}"/>
    <cellStyle name="20% - Énfasis4 32" xfId="447" xr:uid="{00000000-0005-0000-0000-000008010000}"/>
    <cellStyle name="20% - Énfasis4 33" xfId="448" xr:uid="{00000000-0005-0000-0000-000009010000}"/>
    <cellStyle name="20% - Énfasis4 34" xfId="449" xr:uid="{00000000-0005-0000-0000-00000A010000}"/>
    <cellStyle name="20% - Énfasis4 35" xfId="450" xr:uid="{00000000-0005-0000-0000-00000B010000}"/>
    <cellStyle name="20% - Énfasis4 36" xfId="451" xr:uid="{00000000-0005-0000-0000-00000C010000}"/>
    <cellStyle name="20% - Énfasis4 37" xfId="452" xr:uid="{00000000-0005-0000-0000-00000D010000}"/>
    <cellStyle name="20% - Énfasis4 38" xfId="453" xr:uid="{00000000-0005-0000-0000-00000E010000}"/>
    <cellStyle name="20% - Énfasis4 39" xfId="454" xr:uid="{00000000-0005-0000-0000-00000F010000}"/>
    <cellStyle name="20% - Énfasis4 4" xfId="455" xr:uid="{00000000-0005-0000-0000-000010010000}"/>
    <cellStyle name="20% - Énfasis4 40" xfId="456" xr:uid="{00000000-0005-0000-0000-000011010000}"/>
    <cellStyle name="20% - Énfasis4 41" xfId="457" xr:uid="{00000000-0005-0000-0000-000012010000}"/>
    <cellStyle name="20% - Énfasis4 42" xfId="458" xr:uid="{00000000-0005-0000-0000-000013010000}"/>
    <cellStyle name="20% - Énfasis4 43" xfId="459" xr:uid="{00000000-0005-0000-0000-000014010000}"/>
    <cellStyle name="20% - Énfasis4 44" xfId="460" xr:uid="{00000000-0005-0000-0000-000015010000}"/>
    <cellStyle name="20% - Énfasis4 45" xfId="461" xr:uid="{00000000-0005-0000-0000-000016010000}"/>
    <cellStyle name="20% - Énfasis4 46" xfId="462" xr:uid="{00000000-0005-0000-0000-000017010000}"/>
    <cellStyle name="20% - Énfasis4 47" xfId="463" xr:uid="{00000000-0005-0000-0000-000018010000}"/>
    <cellStyle name="20% - Énfasis4 48" xfId="464" xr:uid="{00000000-0005-0000-0000-000019010000}"/>
    <cellStyle name="20% - Énfasis4 49" xfId="465" xr:uid="{00000000-0005-0000-0000-00001A010000}"/>
    <cellStyle name="20% - Énfasis4 5" xfId="466" xr:uid="{00000000-0005-0000-0000-00001B010000}"/>
    <cellStyle name="20% - Énfasis4 50" xfId="467" xr:uid="{00000000-0005-0000-0000-00001C010000}"/>
    <cellStyle name="20% - Énfasis4 51" xfId="468" xr:uid="{00000000-0005-0000-0000-00001D010000}"/>
    <cellStyle name="20% - Énfasis4 52" xfId="469" xr:uid="{00000000-0005-0000-0000-00001E010000}"/>
    <cellStyle name="20% - Énfasis4 53" xfId="470" xr:uid="{00000000-0005-0000-0000-00001F010000}"/>
    <cellStyle name="20% - Énfasis4 54" xfId="471" xr:uid="{00000000-0005-0000-0000-000020010000}"/>
    <cellStyle name="20% - Énfasis4 55" xfId="472" xr:uid="{00000000-0005-0000-0000-000021010000}"/>
    <cellStyle name="20% - Énfasis4 56" xfId="473" xr:uid="{00000000-0005-0000-0000-000022010000}"/>
    <cellStyle name="20% - Énfasis4 57" xfId="474" xr:uid="{00000000-0005-0000-0000-000023010000}"/>
    <cellStyle name="20% - Énfasis4 58" xfId="475" xr:uid="{00000000-0005-0000-0000-000024010000}"/>
    <cellStyle name="20% - Énfasis4 59" xfId="476" xr:uid="{00000000-0005-0000-0000-000025010000}"/>
    <cellStyle name="20% - Énfasis4 6" xfId="477" xr:uid="{00000000-0005-0000-0000-000026010000}"/>
    <cellStyle name="20% - Énfasis4 60" xfId="478" xr:uid="{00000000-0005-0000-0000-000027010000}"/>
    <cellStyle name="20% - Énfasis4 61" xfId="479" xr:uid="{00000000-0005-0000-0000-000028010000}"/>
    <cellStyle name="20% - Énfasis4 62" xfId="480" xr:uid="{00000000-0005-0000-0000-000029010000}"/>
    <cellStyle name="20% - Énfasis4 63" xfId="481" xr:uid="{00000000-0005-0000-0000-00002A010000}"/>
    <cellStyle name="20% - Énfasis4 64" xfId="482" xr:uid="{00000000-0005-0000-0000-00002B010000}"/>
    <cellStyle name="20% - Énfasis4 65" xfId="483" xr:uid="{00000000-0005-0000-0000-00002C010000}"/>
    <cellStyle name="20% - Énfasis4 66" xfId="484" xr:uid="{00000000-0005-0000-0000-00002D010000}"/>
    <cellStyle name="20% - Énfasis4 67" xfId="485" xr:uid="{00000000-0005-0000-0000-00002E010000}"/>
    <cellStyle name="20% - Énfasis4 7" xfId="486" xr:uid="{00000000-0005-0000-0000-00002F010000}"/>
    <cellStyle name="20% - Énfasis4 8" xfId="487" xr:uid="{00000000-0005-0000-0000-000030010000}"/>
    <cellStyle name="20% - Énfasis4 9" xfId="488" xr:uid="{00000000-0005-0000-0000-000031010000}"/>
    <cellStyle name="20% - Énfasis5 10" xfId="489" xr:uid="{00000000-0005-0000-0000-000032010000}"/>
    <cellStyle name="20% - Énfasis5 11" xfId="490" xr:uid="{00000000-0005-0000-0000-000033010000}"/>
    <cellStyle name="20% - Énfasis5 12" xfId="491" xr:uid="{00000000-0005-0000-0000-000034010000}"/>
    <cellStyle name="20% - Énfasis5 13" xfId="492" xr:uid="{00000000-0005-0000-0000-000035010000}"/>
    <cellStyle name="20% - Énfasis5 14" xfId="493" xr:uid="{00000000-0005-0000-0000-000036010000}"/>
    <cellStyle name="20% - Énfasis5 15" xfId="494" xr:uid="{00000000-0005-0000-0000-000037010000}"/>
    <cellStyle name="20% - Énfasis5 16" xfId="495" xr:uid="{00000000-0005-0000-0000-000038010000}"/>
    <cellStyle name="20% - Énfasis5 17" xfId="496" xr:uid="{00000000-0005-0000-0000-000039010000}"/>
    <cellStyle name="20% - Énfasis5 18" xfId="497" xr:uid="{00000000-0005-0000-0000-00003A010000}"/>
    <cellStyle name="20% - Énfasis5 19" xfId="498" xr:uid="{00000000-0005-0000-0000-00003B010000}"/>
    <cellStyle name="20% - Énfasis5 2" xfId="90" xr:uid="{00000000-0005-0000-0000-00003C010000}"/>
    <cellStyle name="20% - Énfasis5 2 2" xfId="499" xr:uid="{00000000-0005-0000-0000-00003D010000}"/>
    <cellStyle name="20% - Énfasis5 2 3" xfId="500" xr:uid="{00000000-0005-0000-0000-00003E010000}"/>
    <cellStyle name="20% - Énfasis5 2 4" xfId="501" xr:uid="{00000000-0005-0000-0000-00003F010000}"/>
    <cellStyle name="20% - Énfasis5 2 5" xfId="502" xr:uid="{00000000-0005-0000-0000-000040010000}"/>
    <cellStyle name="20% - Énfasis5 20" xfId="503" xr:uid="{00000000-0005-0000-0000-000041010000}"/>
    <cellStyle name="20% - Énfasis5 21" xfId="504" xr:uid="{00000000-0005-0000-0000-000042010000}"/>
    <cellStyle name="20% - Énfasis5 22" xfId="505" xr:uid="{00000000-0005-0000-0000-000043010000}"/>
    <cellStyle name="20% - Énfasis5 23" xfId="506" xr:uid="{00000000-0005-0000-0000-000044010000}"/>
    <cellStyle name="20% - Énfasis5 24" xfId="507" xr:uid="{00000000-0005-0000-0000-000045010000}"/>
    <cellStyle name="20% - Énfasis5 25" xfId="508" xr:uid="{00000000-0005-0000-0000-000046010000}"/>
    <cellStyle name="20% - Énfasis5 26" xfId="509" xr:uid="{00000000-0005-0000-0000-000047010000}"/>
    <cellStyle name="20% - Énfasis5 27" xfId="510" xr:uid="{00000000-0005-0000-0000-000048010000}"/>
    <cellStyle name="20% - Énfasis5 28" xfId="511" xr:uid="{00000000-0005-0000-0000-000049010000}"/>
    <cellStyle name="20% - Énfasis5 29" xfId="512" xr:uid="{00000000-0005-0000-0000-00004A010000}"/>
    <cellStyle name="20% - Énfasis5 3" xfId="513" xr:uid="{00000000-0005-0000-0000-00004B010000}"/>
    <cellStyle name="20% - Énfasis5 30" xfId="514" xr:uid="{00000000-0005-0000-0000-00004C010000}"/>
    <cellStyle name="20% - Énfasis5 31" xfId="515" xr:uid="{00000000-0005-0000-0000-00004D010000}"/>
    <cellStyle name="20% - Énfasis5 32" xfId="516" xr:uid="{00000000-0005-0000-0000-00004E010000}"/>
    <cellStyle name="20% - Énfasis5 33" xfId="517" xr:uid="{00000000-0005-0000-0000-00004F010000}"/>
    <cellStyle name="20% - Énfasis5 34" xfId="518" xr:uid="{00000000-0005-0000-0000-000050010000}"/>
    <cellStyle name="20% - Énfasis5 35" xfId="519" xr:uid="{00000000-0005-0000-0000-000051010000}"/>
    <cellStyle name="20% - Énfasis5 36" xfId="520" xr:uid="{00000000-0005-0000-0000-000052010000}"/>
    <cellStyle name="20% - Énfasis5 37" xfId="521" xr:uid="{00000000-0005-0000-0000-000053010000}"/>
    <cellStyle name="20% - Énfasis5 38" xfId="522" xr:uid="{00000000-0005-0000-0000-000054010000}"/>
    <cellStyle name="20% - Énfasis5 39" xfId="523" xr:uid="{00000000-0005-0000-0000-000055010000}"/>
    <cellStyle name="20% - Énfasis5 4" xfId="524" xr:uid="{00000000-0005-0000-0000-000056010000}"/>
    <cellStyle name="20% - Énfasis5 40" xfId="525" xr:uid="{00000000-0005-0000-0000-000057010000}"/>
    <cellStyle name="20% - Énfasis5 41" xfId="526" xr:uid="{00000000-0005-0000-0000-000058010000}"/>
    <cellStyle name="20% - Énfasis5 42" xfId="527" xr:uid="{00000000-0005-0000-0000-000059010000}"/>
    <cellStyle name="20% - Énfasis5 43" xfId="528" xr:uid="{00000000-0005-0000-0000-00005A010000}"/>
    <cellStyle name="20% - Énfasis5 44" xfId="529" xr:uid="{00000000-0005-0000-0000-00005B010000}"/>
    <cellStyle name="20% - Énfasis5 45" xfId="530" xr:uid="{00000000-0005-0000-0000-00005C010000}"/>
    <cellStyle name="20% - Énfasis5 46" xfId="531" xr:uid="{00000000-0005-0000-0000-00005D010000}"/>
    <cellStyle name="20% - Énfasis5 47" xfId="532" xr:uid="{00000000-0005-0000-0000-00005E010000}"/>
    <cellStyle name="20% - Énfasis5 48" xfId="533" xr:uid="{00000000-0005-0000-0000-00005F010000}"/>
    <cellStyle name="20% - Énfasis5 49" xfId="534" xr:uid="{00000000-0005-0000-0000-000060010000}"/>
    <cellStyle name="20% - Énfasis5 5" xfId="535" xr:uid="{00000000-0005-0000-0000-000061010000}"/>
    <cellStyle name="20% - Énfasis5 50" xfId="536" xr:uid="{00000000-0005-0000-0000-000062010000}"/>
    <cellStyle name="20% - Énfasis5 51" xfId="537" xr:uid="{00000000-0005-0000-0000-000063010000}"/>
    <cellStyle name="20% - Énfasis5 52" xfId="538" xr:uid="{00000000-0005-0000-0000-000064010000}"/>
    <cellStyle name="20% - Énfasis5 53" xfId="539" xr:uid="{00000000-0005-0000-0000-000065010000}"/>
    <cellStyle name="20% - Énfasis5 54" xfId="540" xr:uid="{00000000-0005-0000-0000-000066010000}"/>
    <cellStyle name="20% - Énfasis5 55" xfId="541" xr:uid="{00000000-0005-0000-0000-000067010000}"/>
    <cellStyle name="20% - Énfasis5 56" xfId="542" xr:uid="{00000000-0005-0000-0000-000068010000}"/>
    <cellStyle name="20% - Énfasis5 57" xfId="543" xr:uid="{00000000-0005-0000-0000-000069010000}"/>
    <cellStyle name="20% - Énfasis5 58" xfId="544" xr:uid="{00000000-0005-0000-0000-00006A010000}"/>
    <cellStyle name="20% - Énfasis5 59" xfId="545" xr:uid="{00000000-0005-0000-0000-00006B010000}"/>
    <cellStyle name="20% - Énfasis5 6" xfId="546" xr:uid="{00000000-0005-0000-0000-00006C010000}"/>
    <cellStyle name="20% - Énfasis5 60" xfId="547" xr:uid="{00000000-0005-0000-0000-00006D010000}"/>
    <cellStyle name="20% - Énfasis5 61" xfId="548" xr:uid="{00000000-0005-0000-0000-00006E010000}"/>
    <cellStyle name="20% - Énfasis5 62" xfId="549" xr:uid="{00000000-0005-0000-0000-00006F010000}"/>
    <cellStyle name="20% - Énfasis5 63" xfId="550" xr:uid="{00000000-0005-0000-0000-000070010000}"/>
    <cellStyle name="20% - Énfasis5 64" xfId="551" xr:uid="{00000000-0005-0000-0000-000071010000}"/>
    <cellStyle name="20% - Énfasis5 65" xfId="552" xr:uid="{00000000-0005-0000-0000-000072010000}"/>
    <cellStyle name="20% - Énfasis5 66" xfId="553" xr:uid="{00000000-0005-0000-0000-000073010000}"/>
    <cellStyle name="20% - Énfasis5 67" xfId="554" xr:uid="{00000000-0005-0000-0000-000074010000}"/>
    <cellStyle name="20% - Énfasis5 7" xfId="555" xr:uid="{00000000-0005-0000-0000-000075010000}"/>
    <cellStyle name="20% - Énfasis5 8" xfId="556" xr:uid="{00000000-0005-0000-0000-000076010000}"/>
    <cellStyle name="20% - Énfasis5 9" xfId="557" xr:uid="{00000000-0005-0000-0000-000077010000}"/>
    <cellStyle name="20% - Énfasis6 10" xfId="558" xr:uid="{00000000-0005-0000-0000-000078010000}"/>
    <cellStyle name="20% - Énfasis6 11" xfId="559" xr:uid="{00000000-0005-0000-0000-000079010000}"/>
    <cellStyle name="20% - Énfasis6 12" xfId="560" xr:uid="{00000000-0005-0000-0000-00007A010000}"/>
    <cellStyle name="20% - Énfasis6 13" xfId="561" xr:uid="{00000000-0005-0000-0000-00007B010000}"/>
    <cellStyle name="20% - Énfasis6 14" xfId="562" xr:uid="{00000000-0005-0000-0000-00007C010000}"/>
    <cellStyle name="20% - Énfasis6 15" xfId="563" xr:uid="{00000000-0005-0000-0000-00007D010000}"/>
    <cellStyle name="20% - Énfasis6 16" xfId="564" xr:uid="{00000000-0005-0000-0000-00007E010000}"/>
    <cellStyle name="20% - Énfasis6 17" xfId="565" xr:uid="{00000000-0005-0000-0000-00007F010000}"/>
    <cellStyle name="20% - Énfasis6 18" xfId="566" xr:uid="{00000000-0005-0000-0000-000080010000}"/>
    <cellStyle name="20% - Énfasis6 19" xfId="567" xr:uid="{00000000-0005-0000-0000-000081010000}"/>
    <cellStyle name="20% - Énfasis6 2" xfId="91" xr:uid="{00000000-0005-0000-0000-000082010000}"/>
    <cellStyle name="20% - Énfasis6 2 2" xfId="568" xr:uid="{00000000-0005-0000-0000-000083010000}"/>
    <cellStyle name="20% - Énfasis6 2 3" xfId="569" xr:uid="{00000000-0005-0000-0000-000084010000}"/>
    <cellStyle name="20% - Énfasis6 2 4" xfId="570" xr:uid="{00000000-0005-0000-0000-000085010000}"/>
    <cellStyle name="20% - Énfasis6 2 5" xfId="571" xr:uid="{00000000-0005-0000-0000-000086010000}"/>
    <cellStyle name="20% - Énfasis6 20" xfId="572" xr:uid="{00000000-0005-0000-0000-000087010000}"/>
    <cellStyle name="20% - Énfasis6 21" xfId="573" xr:uid="{00000000-0005-0000-0000-000088010000}"/>
    <cellStyle name="20% - Énfasis6 22" xfId="574" xr:uid="{00000000-0005-0000-0000-000089010000}"/>
    <cellStyle name="20% - Énfasis6 23" xfId="575" xr:uid="{00000000-0005-0000-0000-00008A010000}"/>
    <cellStyle name="20% - Énfasis6 24" xfId="576" xr:uid="{00000000-0005-0000-0000-00008B010000}"/>
    <cellStyle name="20% - Énfasis6 25" xfId="577" xr:uid="{00000000-0005-0000-0000-00008C010000}"/>
    <cellStyle name="20% - Énfasis6 26" xfId="578" xr:uid="{00000000-0005-0000-0000-00008D010000}"/>
    <cellStyle name="20% - Énfasis6 27" xfId="579" xr:uid="{00000000-0005-0000-0000-00008E010000}"/>
    <cellStyle name="20% - Énfasis6 28" xfId="580" xr:uid="{00000000-0005-0000-0000-00008F010000}"/>
    <cellStyle name="20% - Énfasis6 29" xfId="581" xr:uid="{00000000-0005-0000-0000-000090010000}"/>
    <cellStyle name="20% - Énfasis6 3" xfId="582" xr:uid="{00000000-0005-0000-0000-000091010000}"/>
    <cellStyle name="20% - Énfasis6 30" xfId="583" xr:uid="{00000000-0005-0000-0000-000092010000}"/>
    <cellStyle name="20% - Énfasis6 31" xfId="584" xr:uid="{00000000-0005-0000-0000-000093010000}"/>
    <cellStyle name="20% - Énfasis6 32" xfId="585" xr:uid="{00000000-0005-0000-0000-000094010000}"/>
    <cellStyle name="20% - Énfasis6 33" xfId="586" xr:uid="{00000000-0005-0000-0000-000095010000}"/>
    <cellStyle name="20% - Énfasis6 34" xfId="587" xr:uid="{00000000-0005-0000-0000-000096010000}"/>
    <cellStyle name="20% - Énfasis6 35" xfId="588" xr:uid="{00000000-0005-0000-0000-000097010000}"/>
    <cellStyle name="20% - Énfasis6 36" xfId="589" xr:uid="{00000000-0005-0000-0000-000098010000}"/>
    <cellStyle name="20% - Énfasis6 37" xfId="590" xr:uid="{00000000-0005-0000-0000-000099010000}"/>
    <cellStyle name="20% - Énfasis6 38" xfId="591" xr:uid="{00000000-0005-0000-0000-00009A010000}"/>
    <cellStyle name="20% - Énfasis6 39" xfId="592" xr:uid="{00000000-0005-0000-0000-00009B010000}"/>
    <cellStyle name="20% - Énfasis6 4" xfId="593" xr:uid="{00000000-0005-0000-0000-00009C010000}"/>
    <cellStyle name="20% - Énfasis6 40" xfId="594" xr:uid="{00000000-0005-0000-0000-00009D010000}"/>
    <cellStyle name="20% - Énfasis6 41" xfId="595" xr:uid="{00000000-0005-0000-0000-00009E010000}"/>
    <cellStyle name="20% - Énfasis6 42" xfId="596" xr:uid="{00000000-0005-0000-0000-00009F010000}"/>
    <cellStyle name="20% - Énfasis6 43" xfId="597" xr:uid="{00000000-0005-0000-0000-0000A0010000}"/>
    <cellStyle name="20% - Énfasis6 44" xfId="598" xr:uid="{00000000-0005-0000-0000-0000A1010000}"/>
    <cellStyle name="20% - Énfasis6 45" xfId="599" xr:uid="{00000000-0005-0000-0000-0000A2010000}"/>
    <cellStyle name="20% - Énfasis6 46" xfId="600" xr:uid="{00000000-0005-0000-0000-0000A3010000}"/>
    <cellStyle name="20% - Énfasis6 47" xfId="601" xr:uid="{00000000-0005-0000-0000-0000A4010000}"/>
    <cellStyle name="20% - Énfasis6 48" xfId="602" xr:uid="{00000000-0005-0000-0000-0000A5010000}"/>
    <cellStyle name="20% - Énfasis6 49" xfId="603" xr:uid="{00000000-0005-0000-0000-0000A6010000}"/>
    <cellStyle name="20% - Énfasis6 5" xfId="604" xr:uid="{00000000-0005-0000-0000-0000A7010000}"/>
    <cellStyle name="20% - Énfasis6 50" xfId="605" xr:uid="{00000000-0005-0000-0000-0000A8010000}"/>
    <cellStyle name="20% - Énfasis6 51" xfId="606" xr:uid="{00000000-0005-0000-0000-0000A9010000}"/>
    <cellStyle name="20% - Énfasis6 52" xfId="607" xr:uid="{00000000-0005-0000-0000-0000AA010000}"/>
    <cellStyle name="20% - Énfasis6 53" xfId="608" xr:uid="{00000000-0005-0000-0000-0000AB010000}"/>
    <cellStyle name="20% - Énfasis6 54" xfId="609" xr:uid="{00000000-0005-0000-0000-0000AC010000}"/>
    <cellStyle name="20% - Énfasis6 55" xfId="610" xr:uid="{00000000-0005-0000-0000-0000AD010000}"/>
    <cellStyle name="20% - Énfasis6 56" xfId="611" xr:uid="{00000000-0005-0000-0000-0000AE010000}"/>
    <cellStyle name="20% - Énfasis6 57" xfId="612" xr:uid="{00000000-0005-0000-0000-0000AF010000}"/>
    <cellStyle name="20% - Énfasis6 58" xfId="613" xr:uid="{00000000-0005-0000-0000-0000B0010000}"/>
    <cellStyle name="20% - Énfasis6 59" xfId="614" xr:uid="{00000000-0005-0000-0000-0000B1010000}"/>
    <cellStyle name="20% - Énfasis6 6" xfId="615" xr:uid="{00000000-0005-0000-0000-0000B2010000}"/>
    <cellStyle name="20% - Énfasis6 60" xfId="616" xr:uid="{00000000-0005-0000-0000-0000B3010000}"/>
    <cellStyle name="20% - Énfasis6 61" xfId="617" xr:uid="{00000000-0005-0000-0000-0000B4010000}"/>
    <cellStyle name="20% - Énfasis6 62" xfId="618" xr:uid="{00000000-0005-0000-0000-0000B5010000}"/>
    <cellStyle name="20% - Énfasis6 63" xfId="619" xr:uid="{00000000-0005-0000-0000-0000B6010000}"/>
    <cellStyle name="20% - Énfasis6 64" xfId="620" xr:uid="{00000000-0005-0000-0000-0000B7010000}"/>
    <cellStyle name="20% - Énfasis6 65" xfId="621" xr:uid="{00000000-0005-0000-0000-0000B8010000}"/>
    <cellStyle name="20% - Énfasis6 66" xfId="622" xr:uid="{00000000-0005-0000-0000-0000B9010000}"/>
    <cellStyle name="20% - Énfasis6 67" xfId="623" xr:uid="{00000000-0005-0000-0000-0000BA010000}"/>
    <cellStyle name="20% - Énfasis6 7" xfId="624" xr:uid="{00000000-0005-0000-0000-0000BB010000}"/>
    <cellStyle name="20% - Énfasis6 8" xfId="625" xr:uid="{00000000-0005-0000-0000-0000BC010000}"/>
    <cellStyle name="20% - Énfasis6 9" xfId="626" xr:uid="{00000000-0005-0000-0000-0000BD010000}"/>
    <cellStyle name="40% - Accent1" xfId="7332" xr:uid="{00000000-0005-0000-0000-0000BE010000}"/>
    <cellStyle name="40% - Accent2" xfId="7333" xr:uid="{00000000-0005-0000-0000-0000BF010000}"/>
    <cellStyle name="40% - Accent3" xfId="7334" xr:uid="{00000000-0005-0000-0000-0000C0010000}"/>
    <cellStyle name="40% - Accent4" xfId="7335" xr:uid="{00000000-0005-0000-0000-0000C1010000}"/>
    <cellStyle name="40% - Accent5" xfId="7336" xr:uid="{00000000-0005-0000-0000-0000C2010000}"/>
    <cellStyle name="40% - Accent6" xfId="7337" xr:uid="{00000000-0005-0000-0000-0000C3010000}"/>
    <cellStyle name="40% - Énfasis1 10" xfId="627" xr:uid="{00000000-0005-0000-0000-0000C4010000}"/>
    <cellStyle name="40% - Énfasis1 11" xfId="628" xr:uid="{00000000-0005-0000-0000-0000C5010000}"/>
    <cellStyle name="40% - Énfasis1 12" xfId="629" xr:uid="{00000000-0005-0000-0000-0000C6010000}"/>
    <cellStyle name="40% - Énfasis1 13" xfId="630" xr:uid="{00000000-0005-0000-0000-0000C7010000}"/>
    <cellStyle name="40% - Énfasis1 14" xfId="631" xr:uid="{00000000-0005-0000-0000-0000C8010000}"/>
    <cellStyle name="40% - Énfasis1 15" xfId="632" xr:uid="{00000000-0005-0000-0000-0000C9010000}"/>
    <cellStyle name="40% - Énfasis1 16" xfId="633" xr:uid="{00000000-0005-0000-0000-0000CA010000}"/>
    <cellStyle name="40% - Énfasis1 17" xfId="634" xr:uid="{00000000-0005-0000-0000-0000CB010000}"/>
    <cellStyle name="40% - Énfasis1 18" xfId="635" xr:uid="{00000000-0005-0000-0000-0000CC010000}"/>
    <cellStyle name="40% - Énfasis1 19" xfId="636" xr:uid="{00000000-0005-0000-0000-0000CD010000}"/>
    <cellStyle name="40% - Énfasis1 2" xfId="92" xr:uid="{00000000-0005-0000-0000-0000CE010000}"/>
    <cellStyle name="40% - Énfasis1 2 2" xfId="637" xr:uid="{00000000-0005-0000-0000-0000CF010000}"/>
    <cellStyle name="40% - Énfasis1 2 3" xfId="638" xr:uid="{00000000-0005-0000-0000-0000D0010000}"/>
    <cellStyle name="40% - Énfasis1 2 4" xfId="639" xr:uid="{00000000-0005-0000-0000-0000D1010000}"/>
    <cellStyle name="40% - Énfasis1 2 5" xfId="640" xr:uid="{00000000-0005-0000-0000-0000D2010000}"/>
    <cellStyle name="40% - Énfasis1 20" xfId="641" xr:uid="{00000000-0005-0000-0000-0000D3010000}"/>
    <cellStyle name="40% - Énfasis1 21" xfId="642" xr:uid="{00000000-0005-0000-0000-0000D4010000}"/>
    <cellStyle name="40% - Énfasis1 22" xfId="643" xr:uid="{00000000-0005-0000-0000-0000D5010000}"/>
    <cellStyle name="40% - Énfasis1 23" xfId="644" xr:uid="{00000000-0005-0000-0000-0000D6010000}"/>
    <cellStyle name="40% - Énfasis1 24" xfId="645" xr:uid="{00000000-0005-0000-0000-0000D7010000}"/>
    <cellStyle name="40% - Énfasis1 25" xfId="646" xr:uid="{00000000-0005-0000-0000-0000D8010000}"/>
    <cellStyle name="40% - Énfasis1 26" xfId="647" xr:uid="{00000000-0005-0000-0000-0000D9010000}"/>
    <cellStyle name="40% - Énfasis1 27" xfId="648" xr:uid="{00000000-0005-0000-0000-0000DA010000}"/>
    <cellStyle name="40% - Énfasis1 28" xfId="649" xr:uid="{00000000-0005-0000-0000-0000DB010000}"/>
    <cellStyle name="40% - Énfasis1 29" xfId="650" xr:uid="{00000000-0005-0000-0000-0000DC010000}"/>
    <cellStyle name="40% - Énfasis1 3" xfId="651" xr:uid="{00000000-0005-0000-0000-0000DD010000}"/>
    <cellStyle name="40% - Énfasis1 30" xfId="652" xr:uid="{00000000-0005-0000-0000-0000DE010000}"/>
    <cellStyle name="40% - Énfasis1 31" xfId="653" xr:uid="{00000000-0005-0000-0000-0000DF010000}"/>
    <cellStyle name="40% - Énfasis1 32" xfId="654" xr:uid="{00000000-0005-0000-0000-0000E0010000}"/>
    <cellStyle name="40% - Énfasis1 33" xfId="655" xr:uid="{00000000-0005-0000-0000-0000E1010000}"/>
    <cellStyle name="40% - Énfasis1 34" xfId="656" xr:uid="{00000000-0005-0000-0000-0000E2010000}"/>
    <cellStyle name="40% - Énfasis1 35" xfId="657" xr:uid="{00000000-0005-0000-0000-0000E3010000}"/>
    <cellStyle name="40% - Énfasis1 36" xfId="658" xr:uid="{00000000-0005-0000-0000-0000E4010000}"/>
    <cellStyle name="40% - Énfasis1 37" xfId="659" xr:uid="{00000000-0005-0000-0000-0000E5010000}"/>
    <cellStyle name="40% - Énfasis1 38" xfId="660" xr:uid="{00000000-0005-0000-0000-0000E6010000}"/>
    <cellStyle name="40% - Énfasis1 39" xfId="661" xr:uid="{00000000-0005-0000-0000-0000E7010000}"/>
    <cellStyle name="40% - Énfasis1 4" xfId="662" xr:uid="{00000000-0005-0000-0000-0000E8010000}"/>
    <cellStyle name="40% - Énfasis1 40" xfId="663" xr:uid="{00000000-0005-0000-0000-0000E9010000}"/>
    <cellStyle name="40% - Énfasis1 41" xfId="664" xr:uid="{00000000-0005-0000-0000-0000EA010000}"/>
    <cellStyle name="40% - Énfasis1 42" xfId="665" xr:uid="{00000000-0005-0000-0000-0000EB010000}"/>
    <cellStyle name="40% - Énfasis1 43" xfId="666" xr:uid="{00000000-0005-0000-0000-0000EC010000}"/>
    <cellStyle name="40% - Énfasis1 44" xfId="667" xr:uid="{00000000-0005-0000-0000-0000ED010000}"/>
    <cellStyle name="40% - Énfasis1 45" xfId="668" xr:uid="{00000000-0005-0000-0000-0000EE010000}"/>
    <cellStyle name="40% - Énfasis1 46" xfId="669" xr:uid="{00000000-0005-0000-0000-0000EF010000}"/>
    <cellStyle name="40% - Énfasis1 47" xfId="670" xr:uid="{00000000-0005-0000-0000-0000F0010000}"/>
    <cellStyle name="40% - Énfasis1 48" xfId="671" xr:uid="{00000000-0005-0000-0000-0000F1010000}"/>
    <cellStyle name="40% - Énfasis1 49" xfId="672" xr:uid="{00000000-0005-0000-0000-0000F2010000}"/>
    <cellStyle name="40% - Énfasis1 5" xfId="673" xr:uid="{00000000-0005-0000-0000-0000F3010000}"/>
    <cellStyle name="40% - Énfasis1 50" xfId="674" xr:uid="{00000000-0005-0000-0000-0000F4010000}"/>
    <cellStyle name="40% - Énfasis1 51" xfId="675" xr:uid="{00000000-0005-0000-0000-0000F5010000}"/>
    <cellStyle name="40% - Énfasis1 52" xfId="676" xr:uid="{00000000-0005-0000-0000-0000F6010000}"/>
    <cellStyle name="40% - Énfasis1 53" xfId="677" xr:uid="{00000000-0005-0000-0000-0000F7010000}"/>
    <cellStyle name="40% - Énfasis1 54" xfId="678" xr:uid="{00000000-0005-0000-0000-0000F8010000}"/>
    <cellStyle name="40% - Énfasis1 55" xfId="679" xr:uid="{00000000-0005-0000-0000-0000F9010000}"/>
    <cellStyle name="40% - Énfasis1 56" xfId="680" xr:uid="{00000000-0005-0000-0000-0000FA010000}"/>
    <cellStyle name="40% - Énfasis1 57" xfId="681" xr:uid="{00000000-0005-0000-0000-0000FB010000}"/>
    <cellStyle name="40% - Énfasis1 58" xfId="682" xr:uid="{00000000-0005-0000-0000-0000FC010000}"/>
    <cellStyle name="40% - Énfasis1 59" xfId="683" xr:uid="{00000000-0005-0000-0000-0000FD010000}"/>
    <cellStyle name="40% - Énfasis1 6" xfId="684" xr:uid="{00000000-0005-0000-0000-0000FE010000}"/>
    <cellStyle name="40% - Énfasis1 60" xfId="685" xr:uid="{00000000-0005-0000-0000-0000FF010000}"/>
    <cellStyle name="40% - Énfasis1 61" xfId="686" xr:uid="{00000000-0005-0000-0000-000000020000}"/>
    <cellStyle name="40% - Énfasis1 62" xfId="687" xr:uid="{00000000-0005-0000-0000-000001020000}"/>
    <cellStyle name="40% - Énfasis1 63" xfId="688" xr:uid="{00000000-0005-0000-0000-000002020000}"/>
    <cellStyle name="40% - Énfasis1 64" xfId="689" xr:uid="{00000000-0005-0000-0000-000003020000}"/>
    <cellStyle name="40% - Énfasis1 65" xfId="690" xr:uid="{00000000-0005-0000-0000-000004020000}"/>
    <cellStyle name="40% - Énfasis1 66" xfId="691" xr:uid="{00000000-0005-0000-0000-000005020000}"/>
    <cellStyle name="40% - Énfasis1 67" xfId="692" xr:uid="{00000000-0005-0000-0000-000006020000}"/>
    <cellStyle name="40% - Énfasis1 7" xfId="693" xr:uid="{00000000-0005-0000-0000-000007020000}"/>
    <cellStyle name="40% - Énfasis1 8" xfId="694" xr:uid="{00000000-0005-0000-0000-000008020000}"/>
    <cellStyle name="40% - Énfasis1 9" xfId="695" xr:uid="{00000000-0005-0000-0000-000009020000}"/>
    <cellStyle name="40% - Énfasis2 10" xfId="696" xr:uid="{00000000-0005-0000-0000-00000A020000}"/>
    <cellStyle name="40% - Énfasis2 11" xfId="697" xr:uid="{00000000-0005-0000-0000-00000B020000}"/>
    <cellStyle name="40% - Énfasis2 12" xfId="698" xr:uid="{00000000-0005-0000-0000-00000C020000}"/>
    <cellStyle name="40% - Énfasis2 13" xfId="699" xr:uid="{00000000-0005-0000-0000-00000D020000}"/>
    <cellStyle name="40% - Énfasis2 14" xfId="700" xr:uid="{00000000-0005-0000-0000-00000E020000}"/>
    <cellStyle name="40% - Énfasis2 15" xfId="701" xr:uid="{00000000-0005-0000-0000-00000F020000}"/>
    <cellStyle name="40% - Énfasis2 16" xfId="702" xr:uid="{00000000-0005-0000-0000-000010020000}"/>
    <cellStyle name="40% - Énfasis2 17" xfId="703" xr:uid="{00000000-0005-0000-0000-000011020000}"/>
    <cellStyle name="40% - Énfasis2 18" xfId="704" xr:uid="{00000000-0005-0000-0000-000012020000}"/>
    <cellStyle name="40% - Énfasis2 19" xfId="705" xr:uid="{00000000-0005-0000-0000-000013020000}"/>
    <cellStyle name="40% - Énfasis2 2" xfId="93" xr:uid="{00000000-0005-0000-0000-000014020000}"/>
    <cellStyle name="40% - Énfasis2 2 2" xfId="706" xr:uid="{00000000-0005-0000-0000-000015020000}"/>
    <cellStyle name="40% - Énfasis2 2 3" xfId="707" xr:uid="{00000000-0005-0000-0000-000016020000}"/>
    <cellStyle name="40% - Énfasis2 2 4" xfId="708" xr:uid="{00000000-0005-0000-0000-000017020000}"/>
    <cellStyle name="40% - Énfasis2 2 5" xfId="709" xr:uid="{00000000-0005-0000-0000-000018020000}"/>
    <cellStyle name="40% - Énfasis2 20" xfId="710" xr:uid="{00000000-0005-0000-0000-000019020000}"/>
    <cellStyle name="40% - Énfasis2 21" xfId="711" xr:uid="{00000000-0005-0000-0000-00001A020000}"/>
    <cellStyle name="40% - Énfasis2 22" xfId="712" xr:uid="{00000000-0005-0000-0000-00001B020000}"/>
    <cellStyle name="40% - Énfasis2 23" xfId="713" xr:uid="{00000000-0005-0000-0000-00001C020000}"/>
    <cellStyle name="40% - Énfasis2 24" xfId="714" xr:uid="{00000000-0005-0000-0000-00001D020000}"/>
    <cellStyle name="40% - Énfasis2 25" xfId="715" xr:uid="{00000000-0005-0000-0000-00001E020000}"/>
    <cellStyle name="40% - Énfasis2 26" xfId="716" xr:uid="{00000000-0005-0000-0000-00001F020000}"/>
    <cellStyle name="40% - Énfasis2 27" xfId="717" xr:uid="{00000000-0005-0000-0000-000020020000}"/>
    <cellStyle name="40% - Énfasis2 28" xfId="718" xr:uid="{00000000-0005-0000-0000-000021020000}"/>
    <cellStyle name="40% - Énfasis2 29" xfId="719" xr:uid="{00000000-0005-0000-0000-000022020000}"/>
    <cellStyle name="40% - Énfasis2 3" xfId="720" xr:uid="{00000000-0005-0000-0000-000023020000}"/>
    <cellStyle name="40% - Énfasis2 30" xfId="721" xr:uid="{00000000-0005-0000-0000-000024020000}"/>
    <cellStyle name="40% - Énfasis2 31" xfId="722" xr:uid="{00000000-0005-0000-0000-000025020000}"/>
    <cellStyle name="40% - Énfasis2 32" xfId="723" xr:uid="{00000000-0005-0000-0000-000026020000}"/>
    <cellStyle name="40% - Énfasis2 33" xfId="724" xr:uid="{00000000-0005-0000-0000-000027020000}"/>
    <cellStyle name="40% - Énfasis2 34" xfId="725" xr:uid="{00000000-0005-0000-0000-000028020000}"/>
    <cellStyle name="40% - Énfasis2 35" xfId="726" xr:uid="{00000000-0005-0000-0000-000029020000}"/>
    <cellStyle name="40% - Énfasis2 36" xfId="727" xr:uid="{00000000-0005-0000-0000-00002A020000}"/>
    <cellStyle name="40% - Énfasis2 37" xfId="728" xr:uid="{00000000-0005-0000-0000-00002B020000}"/>
    <cellStyle name="40% - Énfasis2 38" xfId="729" xr:uid="{00000000-0005-0000-0000-00002C020000}"/>
    <cellStyle name="40% - Énfasis2 39" xfId="730" xr:uid="{00000000-0005-0000-0000-00002D020000}"/>
    <cellStyle name="40% - Énfasis2 4" xfId="731" xr:uid="{00000000-0005-0000-0000-00002E020000}"/>
    <cellStyle name="40% - Énfasis2 40" xfId="732" xr:uid="{00000000-0005-0000-0000-00002F020000}"/>
    <cellStyle name="40% - Énfasis2 41" xfId="733" xr:uid="{00000000-0005-0000-0000-000030020000}"/>
    <cellStyle name="40% - Énfasis2 42" xfId="734" xr:uid="{00000000-0005-0000-0000-000031020000}"/>
    <cellStyle name="40% - Énfasis2 43" xfId="735" xr:uid="{00000000-0005-0000-0000-000032020000}"/>
    <cellStyle name="40% - Énfasis2 44" xfId="736" xr:uid="{00000000-0005-0000-0000-000033020000}"/>
    <cellStyle name="40% - Énfasis2 45" xfId="737" xr:uid="{00000000-0005-0000-0000-000034020000}"/>
    <cellStyle name="40% - Énfasis2 46" xfId="738" xr:uid="{00000000-0005-0000-0000-000035020000}"/>
    <cellStyle name="40% - Énfasis2 47" xfId="739" xr:uid="{00000000-0005-0000-0000-000036020000}"/>
    <cellStyle name="40% - Énfasis2 48" xfId="740" xr:uid="{00000000-0005-0000-0000-000037020000}"/>
    <cellStyle name="40% - Énfasis2 49" xfId="741" xr:uid="{00000000-0005-0000-0000-000038020000}"/>
    <cellStyle name="40% - Énfasis2 5" xfId="742" xr:uid="{00000000-0005-0000-0000-000039020000}"/>
    <cellStyle name="40% - Énfasis2 50" xfId="743" xr:uid="{00000000-0005-0000-0000-00003A020000}"/>
    <cellStyle name="40% - Énfasis2 51" xfId="744" xr:uid="{00000000-0005-0000-0000-00003B020000}"/>
    <cellStyle name="40% - Énfasis2 52" xfId="745" xr:uid="{00000000-0005-0000-0000-00003C020000}"/>
    <cellStyle name="40% - Énfasis2 53" xfId="746" xr:uid="{00000000-0005-0000-0000-00003D020000}"/>
    <cellStyle name="40% - Énfasis2 54" xfId="747" xr:uid="{00000000-0005-0000-0000-00003E020000}"/>
    <cellStyle name="40% - Énfasis2 55" xfId="748" xr:uid="{00000000-0005-0000-0000-00003F020000}"/>
    <cellStyle name="40% - Énfasis2 56" xfId="749" xr:uid="{00000000-0005-0000-0000-000040020000}"/>
    <cellStyle name="40% - Énfasis2 57" xfId="750" xr:uid="{00000000-0005-0000-0000-000041020000}"/>
    <cellStyle name="40% - Énfasis2 58" xfId="751" xr:uid="{00000000-0005-0000-0000-000042020000}"/>
    <cellStyle name="40% - Énfasis2 59" xfId="752" xr:uid="{00000000-0005-0000-0000-000043020000}"/>
    <cellStyle name="40% - Énfasis2 6" xfId="753" xr:uid="{00000000-0005-0000-0000-000044020000}"/>
    <cellStyle name="40% - Énfasis2 60" xfId="754" xr:uid="{00000000-0005-0000-0000-000045020000}"/>
    <cellStyle name="40% - Énfasis2 61" xfId="755" xr:uid="{00000000-0005-0000-0000-000046020000}"/>
    <cellStyle name="40% - Énfasis2 62" xfId="756" xr:uid="{00000000-0005-0000-0000-000047020000}"/>
    <cellStyle name="40% - Énfasis2 63" xfId="757" xr:uid="{00000000-0005-0000-0000-000048020000}"/>
    <cellStyle name="40% - Énfasis2 64" xfId="758" xr:uid="{00000000-0005-0000-0000-000049020000}"/>
    <cellStyle name="40% - Énfasis2 65" xfId="759" xr:uid="{00000000-0005-0000-0000-00004A020000}"/>
    <cellStyle name="40% - Énfasis2 66" xfId="760" xr:uid="{00000000-0005-0000-0000-00004B020000}"/>
    <cellStyle name="40% - Énfasis2 67" xfId="761" xr:uid="{00000000-0005-0000-0000-00004C020000}"/>
    <cellStyle name="40% - Énfasis2 7" xfId="762" xr:uid="{00000000-0005-0000-0000-00004D020000}"/>
    <cellStyle name="40% - Énfasis2 8" xfId="763" xr:uid="{00000000-0005-0000-0000-00004E020000}"/>
    <cellStyle name="40% - Énfasis2 9" xfId="764" xr:uid="{00000000-0005-0000-0000-00004F020000}"/>
    <cellStyle name="40% - Énfasis3 10" xfId="765" xr:uid="{00000000-0005-0000-0000-000050020000}"/>
    <cellStyle name="40% - Énfasis3 11" xfId="766" xr:uid="{00000000-0005-0000-0000-000051020000}"/>
    <cellStyle name="40% - Énfasis3 12" xfId="767" xr:uid="{00000000-0005-0000-0000-000052020000}"/>
    <cellStyle name="40% - Énfasis3 13" xfId="768" xr:uid="{00000000-0005-0000-0000-000053020000}"/>
    <cellStyle name="40% - Énfasis3 14" xfId="769" xr:uid="{00000000-0005-0000-0000-000054020000}"/>
    <cellStyle name="40% - Énfasis3 15" xfId="770" xr:uid="{00000000-0005-0000-0000-000055020000}"/>
    <cellStyle name="40% - Énfasis3 16" xfId="771" xr:uid="{00000000-0005-0000-0000-000056020000}"/>
    <cellStyle name="40% - Énfasis3 17" xfId="772" xr:uid="{00000000-0005-0000-0000-000057020000}"/>
    <cellStyle name="40% - Énfasis3 18" xfId="773" xr:uid="{00000000-0005-0000-0000-000058020000}"/>
    <cellStyle name="40% - Énfasis3 19" xfId="774" xr:uid="{00000000-0005-0000-0000-000059020000}"/>
    <cellStyle name="40% - Énfasis3 2" xfId="94" xr:uid="{00000000-0005-0000-0000-00005A020000}"/>
    <cellStyle name="40% - Énfasis3 2 2" xfId="775" xr:uid="{00000000-0005-0000-0000-00005B020000}"/>
    <cellStyle name="40% - Énfasis3 2 3" xfId="776" xr:uid="{00000000-0005-0000-0000-00005C020000}"/>
    <cellStyle name="40% - Énfasis3 2 4" xfId="777" xr:uid="{00000000-0005-0000-0000-00005D020000}"/>
    <cellStyle name="40% - Énfasis3 2 5" xfId="778" xr:uid="{00000000-0005-0000-0000-00005E020000}"/>
    <cellStyle name="40% - Énfasis3 20" xfId="779" xr:uid="{00000000-0005-0000-0000-00005F020000}"/>
    <cellStyle name="40% - Énfasis3 21" xfId="780" xr:uid="{00000000-0005-0000-0000-000060020000}"/>
    <cellStyle name="40% - Énfasis3 22" xfId="781" xr:uid="{00000000-0005-0000-0000-000061020000}"/>
    <cellStyle name="40% - Énfasis3 23" xfId="782" xr:uid="{00000000-0005-0000-0000-000062020000}"/>
    <cellStyle name="40% - Énfasis3 24" xfId="783" xr:uid="{00000000-0005-0000-0000-000063020000}"/>
    <cellStyle name="40% - Énfasis3 25" xfId="784" xr:uid="{00000000-0005-0000-0000-000064020000}"/>
    <cellStyle name="40% - Énfasis3 26" xfId="785" xr:uid="{00000000-0005-0000-0000-000065020000}"/>
    <cellStyle name="40% - Énfasis3 27" xfId="786" xr:uid="{00000000-0005-0000-0000-000066020000}"/>
    <cellStyle name="40% - Énfasis3 28" xfId="787" xr:uid="{00000000-0005-0000-0000-000067020000}"/>
    <cellStyle name="40% - Énfasis3 29" xfId="788" xr:uid="{00000000-0005-0000-0000-000068020000}"/>
    <cellStyle name="40% - Énfasis3 3" xfId="789" xr:uid="{00000000-0005-0000-0000-000069020000}"/>
    <cellStyle name="40% - Énfasis3 30" xfId="790" xr:uid="{00000000-0005-0000-0000-00006A020000}"/>
    <cellStyle name="40% - Énfasis3 31" xfId="791" xr:uid="{00000000-0005-0000-0000-00006B020000}"/>
    <cellStyle name="40% - Énfasis3 32" xfId="792" xr:uid="{00000000-0005-0000-0000-00006C020000}"/>
    <cellStyle name="40% - Énfasis3 33" xfId="793" xr:uid="{00000000-0005-0000-0000-00006D020000}"/>
    <cellStyle name="40% - Énfasis3 34" xfId="794" xr:uid="{00000000-0005-0000-0000-00006E020000}"/>
    <cellStyle name="40% - Énfasis3 35" xfId="795" xr:uid="{00000000-0005-0000-0000-00006F020000}"/>
    <cellStyle name="40% - Énfasis3 36" xfId="796" xr:uid="{00000000-0005-0000-0000-000070020000}"/>
    <cellStyle name="40% - Énfasis3 37" xfId="797" xr:uid="{00000000-0005-0000-0000-000071020000}"/>
    <cellStyle name="40% - Énfasis3 38" xfId="798" xr:uid="{00000000-0005-0000-0000-000072020000}"/>
    <cellStyle name="40% - Énfasis3 39" xfId="799" xr:uid="{00000000-0005-0000-0000-000073020000}"/>
    <cellStyle name="40% - Énfasis3 4" xfId="800" xr:uid="{00000000-0005-0000-0000-000074020000}"/>
    <cellStyle name="40% - Énfasis3 40" xfId="801" xr:uid="{00000000-0005-0000-0000-000075020000}"/>
    <cellStyle name="40% - Énfasis3 41" xfId="802" xr:uid="{00000000-0005-0000-0000-000076020000}"/>
    <cellStyle name="40% - Énfasis3 42" xfId="803" xr:uid="{00000000-0005-0000-0000-000077020000}"/>
    <cellStyle name="40% - Énfasis3 43" xfId="804" xr:uid="{00000000-0005-0000-0000-000078020000}"/>
    <cellStyle name="40% - Énfasis3 44" xfId="805" xr:uid="{00000000-0005-0000-0000-000079020000}"/>
    <cellStyle name="40% - Énfasis3 45" xfId="806" xr:uid="{00000000-0005-0000-0000-00007A020000}"/>
    <cellStyle name="40% - Énfasis3 46" xfId="807" xr:uid="{00000000-0005-0000-0000-00007B020000}"/>
    <cellStyle name="40% - Énfasis3 47" xfId="808" xr:uid="{00000000-0005-0000-0000-00007C020000}"/>
    <cellStyle name="40% - Énfasis3 48" xfId="809" xr:uid="{00000000-0005-0000-0000-00007D020000}"/>
    <cellStyle name="40% - Énfasis3 49" xfId="810" xr:uid="{00000000-0005-0000-0000-00007E020000}"/>
    <cellStyle name="40% - Énfasis3 5" xfId="811" xr:uid="{00000000-0005-0000-0000-00007F020000}"/>
    <cellStyle name="40% - Énfasis3 50" xfId="812" xr:uid="{00000000-0005-0000-0000-000080020000}"/>
    <cellStyle name="40% - Énfasis3 51" xfId="813" xr:uid="{00000000-0005-0000-0000-000081020000}"/>
    <cellStyle name="40% - Énfasis3 52" xfId="814" xr:uid="{00000000-0005-0000-0000-000082020000}"/>
    <cellStyle name="40% - Énfasis3 53" xfId="815" xr:uid="{00000000-0005-0000-0000-000083020000}"/>
    <cellStyle name="40% - Énfasis3 54" xfId="816" xr:uid="{00000000-0005-0000-0000-000084020000}"/>
    <cellStyle name="40% - Énfasis3 55" xfId="817" xr:uid="{00000000-0005-0000-0000-000085020000}"/>
    <cellStyle name="40% - Énfasis3 56" xfId="818" xr:uid="{00000000-0005-0000-0000-000086020000}"/>
    <cellStyle name="40% - Énfasis3 57" xfId="819" xr:uid="{00000000-0005-0000-0000-000087020000}"/>
    <cellStyle name="40% - Énfasis3 58" xfId="820" xr:uid="{00000000-0005-0000-0000-000088020000}"/>
    <cellStyle name="40% - Énfasis3 59" xfId="821" xr:uid="{00000000-0005-0000-0000-000089020000}"/>
    <cellStyle name="40% - Énfasis3 6" xfId="822" xr:uid="{00000000-0005-0000-0000-00008A020000}"/>
    <cellStyle name="40% - Énfasis3 60" xfId="823" xr:uid="{00000000-0005-0000-0000-00008B020000}"/>
    <cellStyle name="40% - Énfasis3 61" xfId="824" xr:uid="{00000000-0005-0000-0000-00008C020000}"/>
    <cellStyle name="40% - Énfasis3 62" xfId="825" xr:uid="{00000000-0005-0000-0000-00008D020000}"/>
    <cellStyle name="40% - Énfasis3 63" xfId="826" xr:uid="{00000000-0005-0000-0000-00008E020000}"/>
    <cellStyle name="40% - Énfasis3 64" xfId="827" xr:uid="{00000000-0005-0000-0000-00008F020000}"/>
    <cellStyle name="40% - Énfasis3 65" xfId="828" xr:uid="{00000000-0005-0000-0000-000090020000}"/>
    <cellStyle name="40% - Énfasis3 66" xfId="829" xr:uid="{00000000-0005-0000-0000-000091020000}"/>
    <cellStyle name="40% - Énfasis3 67" xfId="830" xr:uid="{00000000-0005-0000-0000-000092020000}"/>
    <cellStyle name="40% - Énfasis3 7" xfId="831" xr:uid="{00000000-0005-0000-0000-000093020000}"/>
    <cellStyle name="40% - Énfasis3 8" xfId="832" xr:uid="{00000000-0005-0000-0000-000094020000}"/>
    <cellStyle name="40% - Énfasis3 9" xfId="833" xr:uid="{00000000-0005-0000-0000-000095020000}"/>
    <cellStyle name="40% - Énfasis4 10" xfId="834" xr:uid="{00000000-0005-0000-0000-000096020000}"/>
    <cellStyle name="40% - Énfasis4 11" xfId="835" xr:uid="{00000000-0005-0000-0000-000097020000}"/>
    <cellStyle name="40% - Énfasis4 12" xfId="836" xr:uid="{00000000-0005-0000-0000-000098020000}"/>
    <cellStyle name="40% - Énfasis4 13" xfId="837" xr:uid="{00000000-0005-0000-0000-000099020000}"/>
    <cellStyle name="40% - Énfasis4 14" xfId="838" xr:uid="{00000000-0005-0000-0000-00009A020000}"/>
    <cellStyle name="40% - Énfasis4 15" xfId="839" xr:uid="{00000000-0005-0000-0000-00009B020000}"/>
    <cellStyle name="40% - Énfasis4 16" xfId="840" xr:uid="{00000000-0005-0000-0000-00009C020000}"/>
    <cellStyle name="40% - Énfasis4 17" xfId="841" xr:uid="{00000000-0005-0000-0000-00009D020000}"/>
    <cellStyle name="40% - Énfasis4 18" xfId="842" xr:uid="{00000000-0005-0000-0000-00009E020000}"/>
    <cellStyle name="40% - Énfasis4 19" xfId="843" xr:uid="{00000000-0005-0000-0000-00009F020000}"/>
    <cellStyle name="40% - Énfasis4 2" xfId="95" xr:uid="{00000000-0005-0000-0000-0000A0020000}"/>
    <cellStyle name="40% - Énfasis4 2 2" xfId="844" xr:uid="{00000000-0005-0000-0000-0000A1020000}"/>
    <cellStyle name="40% - Énfasis4 2 3" xfId="845" xr:uid="{00000000-0005-0000-0000-0000A2020000}"/>
    <cellStyle name="40% - Énfasis4 2 4" xfId="846" xr:uid="{00000000-0005-0000-0000-0000A3020000}"/>
    <cellStyle name="40% - Énfasis4 2 5" xfId="847" xr:uid="{00000000-0005-0000-0000-0000A4020000}"/>
    <cellStyle name="40% - Énfasis4 20" xfId="848" xr:uid="{00000000-0005-0000-0000-0000A5020000}"/>
    <cellStyle name="40% - Énfasis4 21" xfId="849" xr:uid="{00000000-0005-0000-0000-0000A6020000}"/>
    <cellStyle name="40% - Énfasis4 22" xfId="850" xr:uid="{00000000-0005-0000-0000-0000A7020000}"/>
    <cellStyle name="40% - Énfasis4 23" xfId="851" xr:uid="{00000000-0005-0000-0000-0000A8020000}"/>
    <cellStyle name="40% - Énfasis4 24" xfId="852" xr:uid="{00000000-0005-0000-0000-0000A9020000}"/>
    <cellStyle name="40% - Énfasis4 25" xfId="853" xr:uid="{00000000-0005-0000-0000-0000AA020000}"/>
    <cellStyle name="40% - Énfasis4 26" xfId="854" xr:uid="{00000000-0005-0000-0000-0000AB020000}"/>
    <cellStyle name="40% - Énfasis4 27" xfId="855" xr:uid="{00000000-0005-0000-0000-0000AC020000}"/>
    <cellStyle name="40% - Énfasis4 28" xfId="856" xr:uid="{00000000-0005-0000-0000-0000AD020000}"/>
    <cellStyle name="40% - Énfasis4 29" xfId="857" xr:uid="{00000000-0005-0000-0000-0000AE020000}"/>
    <cellStyle name="40% - Énfasis4 3" xfId="858" xr:uid="{00000000-0005-0000-0000-0000AF020000}"/>
    <cellStyle name="40% - Énfasis4 30" xfId="859" xr:uid="{00000000-0005-0000-0000-0000B0020000}"/>
    <cellStyle name="40% - Énfasis4 31" xfId="860" xr:uid="{00000000-0005-0000-0000-0000B1020000}"/>
    <cellStyle name="40% - Énfasis4 32" xfId="861" xr:uid="{00000000-0005-0000-0000-0000B2020000}"/>
    <cellStyle name="40% - Énfasis4 33" xfId="862" xr:uid="{00000000-0005-0000-0000-0000B3020000}"/>
    <cellStyle name="40% - Énfasis4 34" xfId="863" xr:uid="{00000000-0005-0000-0000-0000B4020000}"/>
    <cellStyle name="40% - Énfasis4 35" xfId="864" xr:uid="{00000000-0005-0000-0000-0000B5020000}"/>
    <cellStyle name="40% - Énfasis4 36" xfId="865" xr:uid="{00000000-0005-0000-0000-0000B6020000}"/>
    <cellStyle name="40% - Énfasis4 37" xfId="866" xr:uid="{00000000-0005-0000-0000-0000B7020000}"/>
    <cellStyle name="40% - Énfasis4 38" xfId="867" xr:uid="{00000000-0005-0000-0000-0000B8020000}"/>
    <cellStyle name="40% - Énfasis4 39" xfId="868" xr:uid="{00000000-0005-0000-0000-0000B9020000}"/>
    <cellStyle name="40% - Énfasis4 4" xfId="869" xr:uid="{00000000-0005-0000-0000-0000BA020000}"/>
    <cellStyle name="40% - Énfasis4 40" xfId="870" xr:uid="{00000000-0005-0000-0000-0000BB020000}"/>
    <cellStyle name="40% - Énfasis4 41" xfId="871" xr:uid="{00000000-0005-0000-0000-0000BC020000}"/>
    <cellStyle name="40% - Énfasis4 42" xfId="872" xr:uid="{00000000-0005-0000-0000-0000BD020000}"/>
    <cellStyle name="40% - Énfasis4 43" xfId="873" xr:uid="{00000000-0005-0000-0000-0000BE020000}"/>
    <cellStyle name="40% - Énfasis4 44" xfId="874" xr:uid="{00000000-0005-0000-0000-0000BF020000}"/>
    <cellStyle name="40% - Énfasis4 45" xfId="875" xr:uid="{00000000-0005-0000-0000-0000C0020000}"/>
    <cellStyle name="40% - Énfasis4 46" xfId="876" xr:uid="{00000000-0005-0000-0000-0000C1020000}"/>
    <cellStyle name="40% - Énfasis4 47" xfId="877" xr:uid="{00000000-0005-0000-0000-0000C2020000}"/>
    <cellStyle name="40% - Énfasis4 48" xfId="878" xr:uid="{00000000-0005-0000-0000-0000C3020000}"/>
    <cellStyle name="40% - Énfasis4 49" xfId="879" xr:uid="{00000000-0005-0000-0000-0000C4020000}"/>
    <cellStyle name="40% - Énfasis4 5" xfId="880" xr:uid="{00000000-0005-0000-0000-0000C5020000}"/>
    <cellStyle name="40% - Énfasis4 50" xfId="881" xr:uid="{00000000-0005-0000-0000-0000C6020000}"/>
    <cellStyle name="40% - Énfasis4 51" xfId="882" xr:uid="{00000000-0005-0000-0000-0000C7020000}"/>
    <cellStyle name="40% - Énfasis4 52" xfId="883" xr:uid="{00000000-0005-0000-0000-0000C8020000}"/>
    <cellStyle name="40% - Énfasis4 53" xfId="884" xr:uid="{00000000-0005-0000-0000-0000C9020000}"/>
    <cellStyle name="40% - Énfasis4 54" xfId="885" xr:uid="{00000000-0005-0000-0000-0000CA020000}"/>
    <cellStyle name="40% - Énfasis4 55" xfId="886" xr:uid="{00000000-0005-0000-0000-0000CB020000}"/>
    <cellStyle name="40% - Énfasis4 56" xfId="887" xr:uid="{00000000-0005-0000-0000-0000CC020000}"/>
    <cellStyle name="40% - Énfasis4 57" xfId="888" xr:uid="{00000000-0005-0000-0000-0000CD020000}"/>
    <cellStyle name="40% - Énfasis4 58" xfId="889" xr:uid="{00000000-0005-0000-0000-0000CE020000}"/>
    <cellStyle name="40% - Énfasis4 59" xfId="890" xr:uid="{00000000-0005-0000-0000-0000CF020000}"/>
    <cellStyle name="40% - Énfasis4 6" xfId="891" xr:uid="{00000000-0005-0000-0000-0000D0020000}"/>
    <cellStyle name="40% - Énfasis4 60" xfId="892" xr:uid="{00000000-0005-0000-0000-0000D1020000}"/>
    <cellStyle name="40% - Énfasis4 61" xfId="893" xr:uid="{00000000-0005-0000-0000-0000D2020000}"/>
    <cellStyle name="40% - Énfasis4 62" xfId="894" xr:uid="{00000000-0005-0000-0000-0000D3020000}"/>
    <cellStyle name="40% - Énfasis4 63" xfId="895" xr:uid="{00000000-0005-0000-0000-0000D4020000}"/>
    <cellStyle name="40% - Énfasis4 64" xfId="896" xr:uid="{00000000-0005-0000-0000-0000D5020000}"/>
    <cellStyle name="40% - Énfasis4 65" xfId="897" xr:uid="{00000000-0005-0000-0000-0000D6020000}"/>
    <cellStyle name="40% - Énfasis4 66" xfId="898" xr:uid="{00000000-0005-0000-0000-0000D7020000}"/>
    <cellStyle name="40% - Énfasis4 67" xfId="899" xr:uid="{00000000-0005-0000-0000-0000D8020000}"/>
    <cellStyle name="40% - Énfasis4 7" xfId="900" xr:uid="{00000000-0005-0000-0000-0000D9020000}"/>
    <cellStyle name="40% - Énfasis4 8" xfId="901" xr:uid="{00000000-0005-0000-0000-0000DA020000}"/>
    <cellStyle name="40% - Énfasis4 9" xfId="902" xr:uid="{00000000-0005-0000-0000-0000DB020000}"/>
    <cellStyle name="40% - Énfasis5 10" xfId="903" xr:uid="{00000000-0005-0000-0000-0000DC020000}"/>
    <cellStyle name="40% - Énfasis5 11" xfId="904" xr:uid="{00000000-0005-0000-0000-0000DD020000}"/>
    <cellStyle name="40% - Énfasis5 12" xfId="905" xr:uid="{00000000-0005-0000-0000-0000DE020000}"/>
    <cellStyle name="40% - Énfasis5 13" xfId="906" xr:uid="{00000000-0005-0000-0000-0000DF020000}"/>
    <cellStyle name="40% - Énfasis5 14" xfId="907" xr:uid="{00000000-0005-0000-0000-0000E0020000}"/>
    <cellStyle name="40% - Énfasis5 15" xfId="908" xr:uid="{00000000-0005-0000-0000-0000E1020000}"/>
    <cellStyle name="40% - Énfasis5 16" xfId="909" xr:uid="{00000000-0005-0000-0000-0000E2020000}"/>
    <cellStyle name="40% - Énfasis5 17" xfId="910" xr:uid="{00000000-0005-0000-0000-0000E3020000}"/>
    <cellStyle name="40% - Énfasis5 18" xfId="911" xr:uid="{00000000-0005-0000-0000-0000E4020000}"/>
    <cellStyle name="40% - Énfasis5 19" xfId="912" xr:uid="{00000000-0005-0000-0000-0000E5020000}"/>
    <cellStyle name="40% - Énfasis5 2" xfId="96" xr:uid="{00000000-0005-0000-0000-0000E6020000}"/>
    <cellStyle name="40% - Énfasis5 2 2" xfId="913" xr:uid="{00000000-0005-0000-0000-0000E7020000}"/>
    <cellStyle name="40% - Énfasis5 2 3" xfId="914" xr:uid="{00000000-0005-0000-0000-0000E8020000}"/>
    <cellStyle name="40% - Énfasis5 2 4" xfId="915" xr:uid="{00000000-0005-0000-0000-0000E9020000}"/>
    <cellStyle name="40% - Énfasis5 2 5" xfId="916" xr:uid="{00000000-0005-0000-0000-0000EA020000}"/>
    <cellStyle name="40% - Énfasis5 20" xfId="917" xr:uid="{00000000-0005-0000-0000-0000EB020000}"/>
    <cellStyle name="40% - Énfasis5 21" xfId="918" xr:uid="{00000000-0005-0000-0000-0000EC020000}"/>
    <cellStyle name="40% - Énfasis5 22" xfId="919" xr:uid="{00000000-0005-0000-0000-0000ED020000}"/>
    <cellStyle name="40% - Énfasis5 23" xfId="920" xr:uid="{00000000-0005-0000-0000-0000EE020000}"/>
    <cellStyle name="40% - Énfasis5 24" xfId="921" xr:uid="{00000000-0005-0000-0000-0000EF020000}"/>
    <cellStyle name="40% - Énfasis5 25" xfId="922" xr:uid="{00000000-0005-0000-0000-0000F0020000}"/>
    <cellStyle name="40% - Énfasis5 26" xfId="923" xr:uid="{00000000-0005-0000-0000-0000F1020000}"/>
    <cellStyle name="40% - Énfasis5 27" xfId="924" xr:uid="{00000000-0005-0000-0000-0000F2020000}"/>
    <cellStyle name="40% - Énfasis5 28" xfId="925" xr:uid="{00000000-0005-0000-0000-0000F3020000}"/>
    <cellStyle name="40% - Énfasis5 29" xfId="926" xr:uid="{00000000-0005-0000-0000-0000F4020000}"/>
    <cellStyle name="40% - Énfasis5 3" xfId="927" xr:uid="{00000000-0005-0000-0000-0000F5020000}"/>
    <cellStyle name="40% - Énfasis5 30" xfId="928" xr:uid="{00000000-0005-0000-0000-0000F6020000}"/>
    <cellStyle name="40% - Énfasis5 31" xfId="929" xr:uid="{00000000-0005-0000-0000-0000F7020000}"/>
    <cellStyle name="40% - Énfasis5 32" xfId="930" xr:uid="{00000000-0005-0000-0000-0000F8020000}"/>
    <cellStyle name="40% - Énfasis5 33" xfId="931" xr:uid="{00000000-0005-0000-0000-0000F9020000}"/>
    <cellStyle name="40% - Énfasis5 34" xfId="932" xr:uid="{00000000-0005-0000-0000-0000FA020000}"/>
    <cellStyle name="40% - Énfasis5 35" xfId="933" xr:uid="{00000000-0005-0000-0000-0000FB020000}"/>
    <cellStyle name="40% - Énfasis5 36" xfId="934" xr:uid="{00000000-0005-0000-0000-0000FC020000}"/>
    <cellStyle name="40% - Énfasis5 37" xfId="935" xr:uid="{00000000-0005-0000-0000-0000FD020000}"/>
    <cellStyle name="40% - Énfasis5 38" xfId="936" xr:uid="{00000000-0005-0000-0000-0000FE020000}"/>
    <cellStyle name="40% - Énfasis5 39" xfId="937" xr:uid="{00000000-0005-0000-0000-0000FF020000}"/>
    <cellStyle name="40% - Énfasis5 4" xfId="938" xr:uid="{00000000-0005-0000-0000-000000030000}"/>
    <cellStyle name="40% - Énfasis5 40" xfId="939" xr:uid="{00000000-0005-0000-0000-000001030000}"/>
    <cellStyle name="40% - Énfasis5 41" xfId="940" xr:uid="{00000000-0005-0000-0000-000002030000}"/>
    <cellStyle name="40% - Énfasis5 42" xfId="941" xr:uid="{00000000-0005-0000-0000-000003030000}"/>
    <cellStyle name="40% - Énfasis5 43" xfId="942" xr:uid="{00000000-0005-0000-0000-000004030000}"/>
    <cellStyle name="40% - Énfasis5 44" xfId="943" xr:uid="{00000000-0005-0000-0000-000005030000}"/>
    <cellStyle name="40% - Énfasis5 45" xfId="944" xr:uid="{00000000-0005-0000-0000-000006030000}"/>
    <cellStyle name="40% - Énfasis5 46" xfId="945" xr:uid="{00000000-0005-0000-0000-000007030000}"/>
    <cellStyle name="40% - Énfasis5 47" xfId="946" xr:uid="{00000000-0005-0000-0000-000008030000}"/>
    <cellStyle name="40% - Énfasis5 48" xfId="947" xr:uid="{00000000-0005-0000-0000-000009030000}"/>
    <cellStyle name="40% - Énfasis5 49" xfId="948" xr:uid="{00000000-0005-0000-0000-00000A030000}"/>
    <cellStyle name="40% - Énfasis5 5" xfId="949" xr:uid="{00000000-0005-0000-0000-00000B030000}"/>
    <cellStyle name="40% - Énfasis5 50" xfId="950" xr:uid="{00000000-0005-0000-0000-00000C030000}"/>
    <cellStyle name="40% - Énfasis5 51" xfId="951" xr:uid="{00000000-0005-0000-0000-00000D030000}"/>
    <cellStyle name="40% - Énfasis5 52" xfId="952" xr:uid="{00000000-0005-0000-0000-00000E030000}"/>
    <cellStyle name="40% - Énfasis5 53" xfId="953" xr:uid="{00000000-0005-0000-0000-00000F030000}"/>
    <cellStyle name="40% - Énfasis5 54" xfId="954" xr:uid="{00000000-0005-0000-0000-000010030000}"/>
    <cellStyle name="40% - Énfasis5 55" xfId="955" xr:uid="{00000000-0005-0000-0000-000011030000}"/>
    <cellStyle name="40% - Énfasis5 56" xfId="956" xr:uid="{00000000-0005-0000-0000-000012030000}"/>
    <cellStyle name="40% - Énfasis5 57" xfId="957" xr:uid="{00000000-0005-0000-0000-000013030000}"/>
    <cellStyle name="40% - Énfasis5 58" xfId="958" xr:uid="{00000000-0005-0000-0000-000014030000}"/>
    <cellStyle name="40% - Énfasis5 59" xfId="959" xr:uid="{00000000-0005-0000-0000-000015030000}"/>
    <cellStyle name="40% - Énfasis5 6" xfId="960" xr:uid="{00000000-0005-0000-0000-000016030000}"/>
    <cellStyle name="40% - Énfasis5 60" xfId="961" xr:uid="{00000000-0005-0000-0000-000017030000}"/>
    <cellStyle name="40% - Énfasis5 61" xfId="962" xr:uid="{00000000-0005-0000-0000-000018030000}"/>
    <cellStyle name="40% - Énfasis5 62" xfId="963" xr:uid="{00000000-0005-0000-0000-000019030000}"/>
    <cellStyle name="40% - Énfasis5 63" xfId="964" xr:uid="{00000000-0005-0000-0000-00001A030000}"/>
    <cellStyle name="40% - Énfasis5 64" xfId="965" xr:uid="{00000000-0005-0000-0000-00001B030000}"/>
    <cellStyle name="40% - Énfasis5 65" xfId="966" xr:uid="{00000000-0005-0000-0000-00001C030000}"/>
    <cellStyle name="40% - Énfasis5 66" xfId="967" xr:uid="{00000000-0005-0000-0000-00001D030000}"/>
    <cellStyle name="40% - Énfasis5 67" xfId="968" xr:uid="{00000000-0005-0000-0000-00001E030000}"/>
    <cellStyle name="40% - Énfasis5 7" xfId="969" xr:uid="{00000000-0005-0000-0000-00001F030000}"/>
    <cellStyle name="40% - Énfasis5 8" xfId="970" xr:uid="{00000000-0005-0000-0000-000020030000}"/>
    <cellStyle name="40% - Énfasis5 9" xfId="971" xr:uid="{00000000-0005-0000-0000-000021030000}"/>
    <cellStyle name="40% - Énfasis6 10" xfId="972" xr:uid="{00000000-0005-0000-0000-000022030000}"/>
    <cellStyle name="40% - Énfasis6 11" xfId="973" xr:uid="{00000000-0005-0000-0000-000023030000}"/>
    <cellStyle name="40% - Énfasis6 12" xfId="974" xr:uid="{00000000-0005-0000-0000-000024030000}"/>
    <cellStyle name="40% - Énfasis6 13" xfId="975" xr:uid="{00000000-0005-0000-0000-000025030000}"/>
    <cellStyle name="40% - Énfasis6 14" xfId="976" xr:uid="{00000000-0005-0000-0000-000026030000}"/>
    <cellStyle name="40% - Énfasis6 15" xfId="977" xr:uid="{00000000-0005-0000-0000-000027030000}"/>
    <cellStyle name="40% - Énfasis6 16" xfId="978" xr:uid="{00000000-0005-0000-0000-000028030000}"/>
    <cellStyle name="40% - Énfasis6 17" xfId="979" xr:uid="{00000000-0005-0000-0000-000029030000}"/>
    <cellStyle name="40% - Énfasis6 18" xfId="980" xr:uid="{00000000-0005-0000-0000-00002A030000}"/>
    <cellStyle name="40% - Énfasis6 19" xfId="981" xr:uid="{00000000-0005-0000-0000-00002B030000}"/>
    <cellStyle name="40% - Énfasis6 2" xfId="97" xr:uid="{00000000-0005-0000-0000-00002C030000}"/>
    <cellStyle name="40% - Énfasis6 2 2" xfId="982" xr:uid="{00000000-0005-0000-0000-00002D030000}"/>
    <cellStyle name="40% - Énfasis6 2 3" xfId="983" xr:uid="{00000000-0005-0000-0000-00002E030000}"/>
    <cellStyle name="40% - Énfasis6 2 4" xfId="984" xr:uid="{00000000-0005-0000-0000-00002F030000}"/>
    <cellStyle name="40% - Énfasis6 2 5" xfId="985" xr:uid="{00000000-0005-0000-0000-000030030000}"/>
    <cellStyle name="40% - Énfasis6 20" xfId="986" xr:uid="{00000000-0005-0000-0000-000031030000}"/>
    <cellStyle name="40% - Énfasis6 21" xfId="987" xr:uid="{00000000-0005-0000-0000-000032030000}"/>
    <cellStyle name="40% - Énfasis6 22" xfId="988" xr:uid="{00000000-0005-0000-0000-000033030000}"/>
    <cellStyle name="40% - Énfasis6 23" xfId="989" xr:uid="{00000000-0005-0000-0000-000034030000}"/>
    <cellStyle name="40% - Énfasis6 24" xfId="990" xr:uid="{00000000-0005-0000-0000-000035030000}"/>
    <cellStyle name="40% - Énfasis6 25" xfId="991" xr:uid="{00000000-0005-0000-0000-000036030000}"/>
    <cellStyle name="40% - Énfasis6 26" xfId="992" xr:uid="{00000000-0005-0000-0000-000037030000}"/>
    <cellStyle name="40% - Énfasis6 27" xfId="993" xr:uid="{00000000-0005-0000-0000-000038030000}"/>
    <cellStyle name="40% - Énfasis6 28" xfId="994" xr:uid="{00000000-0005-0000-0000-000039030000}"/>
    <cellStyle name="40% - Énfasis6 29" xfId="995" xr:uid="{00000000-0005-0000-0000-00003A030000}"/>
    <cellStyle name="40% - Énfasis6 3" xfId="996" xr:uid="{00000000-0005-0000-0000-00003B030000}"/>
    <cellStyle name="40% - Énfasis6 30" xfId="997" xr:uid="{00000000-0005-0000-0000-00003C030000}"/>
    <cellStyle name="40% - Énfasis6 31" xfId="998" xr:uid="{00000000-0005-0000-0000-00003D030000}"/>
    <cellStyle name="40% - Énfasis6 32" xfId="999" xr:uid="{00000000-0005-0000-0000-00003E030000}"/>
    <cellStyle name="40% - Énfasis6 33" xfId="1000" xr:uid="{00000000-0005-0000-0000-00003F030000}"/>
    <cellStyle name="40% - Énfasis6 34" xfId="1001" xr:uid="{00000000-0005-0000-0000-000040030000}"/>
    <cellStyle name="40% - Énfasis6 35" xfId="1002" xr:uid="{00000000-0005-0000-0000-000041030000}"/>
    <cellStyle name="40% - Énfasis6 36" xfId="1003" xr:uid="{00000000-0005-0000-0000-000042030000}"/>
    <cellStyle name="40% - Énfasis6 37" xfId="1004" xr:uid="{00000000-0005-0000-0000-000043030000}"/>
    <cellStyle name="40% - Énfasis6 38" xfId="1005" xr:uid="{00000000-0005-0000-0000-000044030000}"/>
    <cellStyle name="40% - Énfasis6 39" xfId="1006" xr:uid="{00000000-0005-0000-0000-000045030000}"/>
    <cellStyle name="40% - Énfasis6 4" xfId="1007" xr:uid="{00000000-0005-0000-0000-000046030000}"/>
    <cellStyle name="40% - Énfasis6 40" xfId="1008" xr:uid="{00000000-0005-0000-0000-000047030000}"/>
    <cellStyle name="40% - Énfasis6 41" xfId="1009" xr:uid="{00000000-0005-0000-0000-000048030000}"/>
    <cellStyle name="40% - Énfasis6 42" xfId="1010" xr:uid="{00000000-0005-0000-0000-000049030000}"/>
    <cellStyle name="40% - Énfasis6 43" xfId="1011" xr:uid="{00000000-0005-0000-0000-00004A030000}"/>
    <cellStyle name="40% - Énfasis6 44" xfId="1012" xr:uid="{00000000-0005-0000-0000-00004B030000}"/>
    <cellStyle name="40% - Énfasis6 45" xfId="1013" xr:uid="{00000000-0005-0000-0000-00004C030000}"/>
    <cellStyle name="40% - Énfasis6 46" xfId="1014" xr:uid="{00000000-0005-0000-0000-00004D030000}"/>
    <cellStyle name="40% - Énfasis6 47" xfId="1015" xr:uid="{00000000-0005-0000-0000-00004E030000}"/>
    <cellStyle name="40% - Énfasis6 48" xfId="1016" xr:uid="{00000000-0005-0000-0000-00004F030000}"/>
    <cellStyle name="40% - Énfasis6 49" xfId="1017" xr:uid="{00000000-0005-0000-0000-000050030000}"/>
    <cellStyle name="40% - Énfasis6 5" xfId="1018" xr:uid="{00000000-0005-0000-0000-000051030000}"/>
    <cellStyle name="40% - Énfasis6 50" xfId="1019" xr:uid="{00000000-0005-0000-0000-000052030000}"/>
    <cellStyle name="40% - Énfasis6 51" xfId="1020" xr:uid="{00000000-0005-0000-0000-000053030000}"/>
    <cellStyle name="40% - Énfasis6 52" xfId="1021" xr:uid="{00000000-0005-0000-0000-000054030000}"/>
    <cellStyle name="40% - Énfasis6 53" xfId="1022" xr:uid="{00000000-0005-0000-0000-000055030000}"/>
    <cellStyle name="40% - Énfasis6 54" xfId="1023" xr:uid="{00000000-0005-0000-0000-000056030000}"/>
    <cellStyle name="40% - Énfasis6 55" xfId="1024" xr:uid="{00000000-0005-0000-0000-000057030000}"/>
    <cellStyle name="40% - Énfasis6 56" xfId="1025" xr:uid="{00000000-0005-0000-0000-000058030000}"/>
    <cellStyle name="40% - Énfasis6 57" xfId="1026" xr:uid="{00000000-0005-0000-0000-000059030000}"/>
    <cellStyle name="40% - Énfasis6 58" xfId="1027" xr:uid="{00000000-0005-0000-0000-00005A030000}"/>
    <cellStyle name="40% - Énfasis6 59" xfId="1028" xr:uid="{00000000-0005-0000-0000-00005B030000}"/>
    <cellStyle name="40% - Énfasis6 6" xfId="1029" xr:uid="{00000000-0005-0000-0000-00005C030000}"/>
    <cellStyle name="40% - Énfasis6 60" xfId="1030" xr:uid="{00000000-0005-0000-0000-00005D030000}"/>
    <cellStyle name="40% - Énfasis6 61" xfId="1031" xr:uid="{00000000-0005-0000-0000-00005E030000}"/>
    <cellStyle name="40% - Énfasis6 62" xfId="1032" xr:uid="{00000000-0005-0000-0000-00005F030000}"/>
    <cellStyle name="40% - Énfasis6 63" xfId="1033" xr:uid="{00000000-0005-0000-0000-000060030000}"/>
    <cellStyle name="40% - Énfasis6 64" xfId="1034" xr:uid="{00000000-0005-0000-0000-000061030000}"/>
    <cellStyle name="40% - Énfasis6 65" xfId="1035" xr:uid="{00000000-0005-0000-0000-000062030000}"/>
    <cellStyle name="40% - Énfasis6 66" xfId="1036" xr:uid="{00000000-0005-0000-0000-000063030000}"/>
    <cellStyle name="40% - Énfasis6 67" xfId="1037" xr:uid="{00000000-0005-0000-0000-000064030000}"/>
    <cellStyle name="40% - Énfasis6 7" xfId="1038" xr:uid="{00000000-0005-0000-0000-000065030000}"/>
    <cellStyle name="40% - Énfasis6 8" xfId="1039" xr:uid="{00000000-0005-0000-0000-000066030000}"/>
    <cellStyle name="40% - Énfasis6 9" xfId="1040" xr:uid="{00000000-0005-0000-0000-000067030000}"/>
    <cellStyle name="60% - Accent1" xfId="7338" xr:uid="{00000000-0005-0000-0000-000068030000}"/>
    <cellStyle name="60% - Accent2" xfId="7339" xr:uid="{00000000-0005-0000-0000-000069030000}"/>
    <cellStyle name="60% - Accent3" xfId="7340" xr:uid="{00000000-0005-0000-0000-00006A030000}"/>
    <cellStyle name="60% - Accent4" xfId="7341" xr:uid="{00000000-0005-0000-0000-00006B030000}"/>
    <cellStyle name="60% - Accent5" xfId="7342" xr:uid="{00000000-0005-0000-0000-00006C030000}"/>
    <cellStyle name="60% - Accent6" xfId="7343" xr:uid="{00000000-0005-0000-0000-00006D030000}"/>
    <cellStyle name="60% - Énfasis1 10" xfId="1041" xr:uid="{00000000-0005-0000-0000-00006E030000}"/>
    <cellStyle name="60% - Énfasis1 11" xfId="1042" xr:uid="{00000000-0005-0000-0000-00006F030000}"/>
    <cellStyle name="60% - Énfasis1 12" xfId="1043" xr:uid="{00000000-0005-0000-0000-000070030000}"/>
    <cellStyle name="60% - Énfasis1 13" xfId="1044" xr:uid="{00000000-0005-0000-0000-000071030000}"/>
    <cellStyle name="60% - Énfasis1 14" xfId="1045" xr:uid="{00000000-0005-0000-0000-000072030000}"/>
    <cellStyle name="60% - Énfasis1 15" xfId="1046" xr:uid="{00000000-0005-0000-0000-000073030000}"/>
    <cellStyle name="60% - Énfasis1 16" xfId="1047" xr:uid="{00000000-0005-0000-0000-000074030000}"/>
    <cellStyle name="60% - Énfasis1 17" xfId="1048" xr:uid="{00000000-0005-0000-0000-000075030000}"/>
    <cellStyle name="60% - Énfasis1 18" xfId="1049" xr:uid="{00000000-0005-0000-0000-000076030000}"/>
    <cellStyle name="60% - Énfasis1 19" xfId="1050" xr:uid="{00000000-0005-0000-0000-000077030000}"/>
    <cellStyle name="60% - Énfasis1 2" xfId="98" xr:uid="{00000000-0005-0000-0000-000078030000}"/>
    <cellStyle name="60% - Énfasis1 2 2" xfId="1051" xr:uid="{00000000-0005-0000-0000-000079030000}"/>
    <cellStyle name="60% - Énfasis1 2 3" xfId="1052" xr:uid="{00000000-0005-0000-0000-00007A030000}"/>
    <cellStyle name="60% - Énfasis1 2 4" xfId="1053" xr:uid="{00000000-0005-0000-0000-00007B030000}"/>
    <cellStyle name="60% - Énfasis1 2 5" xfId="1054" xr:uid="{00000000-0005-0000-0000-00007C030000}"/>
    <cellStyle name="60% - Énfasis1 20" xfId="1055" xr:uid="{00000000-0005-0000-0000-00007D030000}"/>
    <cellStyle name="60% - Énfasis1 21" xfId="1056" xr:uid="{00000000-0005-0000-0000-00007E030000}"/>
    <cellStyle name="60% - Énfasis1 22" xfId="1057" xr:uid="{00000000-0005-0000-0000-00007F030000}"/>
    <cellStyle name="60% - Énfasis1 23" xfId="1058" xr:uid="{00000000-0005-0000-0000-000080030000}"/>
    <cellStyle name="60% - Énfasis1 24" xfId="1059" xr:uid="{00000000-0005-0000-0000-000081030000}"/>
    <cellStyle name="60% - Énfasis1 25" xfId="1060" xr:uid="{00000000-0005-0000-0000-000082030000}"/>
    <cellStyle name="60% - Énfasis1 26" xfId="1061" xr:uid="{00000000-0005-0000-0000-000083030000}"/>
    <cellStyle name="60% - Énfasis1 27" xfId="1062" xr:uid="{00000000-0005-0000-0000-000084030000}"/>
    <cellStyle name="60% - Énfasis1 28" xfId="1063" xr:uid="{00000000-0005-0000-0000-000085030000}"/>
    <cellStyle name="60% - Énfasis1 29" xfId="1064" xr:uid="{00000000-0005-0000-0000-000086030000}"/>
    <cellStyle name="60% - Énfasis1 3" xfId="1065" xr:uid="{00000000-0005-0000-0000-000087030000}"/>
    <cellStyle name="60% - Énfasis1 30" xfId="1066" xr:uid="{00000000-0005-0000-0000-000088030000}"/>
    <cellStyle name="60% - Énfasis1 31" xfId="1067" xr:uid="{00000000-0005-0000-0000-000089030000}"/>
    <cellStyle name="60% - Énfasis1 32" xfId="1068" xr:uid="{00000000-0005-0000-0000-00008A030000}"/>
    <cellStyle name="60% - Énfasis1 33" xfId="1069" xr:uid="{00000000-0005-0000-0000-00008B030000}"/>
    <cellStyle name="60% - Énfasis1 34" xfId="1070" xr:uid="{00000000-0005-0000-0000-00008C030000}"/>
    <cellStyle name="60% - Énfasis1 35" xfId="1071" xr:uid="{00000000-0005-0000-0000-00008D030000}"/>
    <cellStyle name="60% - Énfasis1 36" xfId="1072" xr:uid="{00000000-0005-0000-0000-00008E030000}"/>
    <cellStyle name="60% - Énfasis1 37" xfId="1073" xr:uid="{00000000-0005-0000-0000-00008F030000}"/>
    <cellStyle name="60% - Énfasis1 38" xfId="1074" xr:uid="{00000000-0005-0000-0000-000090030000}"/>
    <cellStyle name="60% - Énfasis1 39" xfId="1075" xr:uid="{00000000-0005-0000-0000-000091030000}"/>
    <cellStyle name="60% - Énfasis1 4" xfId="1076" xr:uid="{00000000-0005-0000-0000-000092030000}"/>
    <cellStyle name="60% - Énfasis1 40" xfId="1077" xr:uid="{00000000-0005-0000-0000-000093030000}"/>
    <cellStyle name="60% - Énfasis1 41" xfId="1078" xr:uid="{00000000-0005-0000-0000-000094030000}"/>
    <cellStyle name="60% - Énfasis1 42" xfId="1079" xr:uid="{00000000-0005-0000-0000-000095030000}"/>
    <cellStyle name="60% - Énfasis1 43" xfId="1080" xr:uid="{00000000-0005-0000-0000-000096030000}"/>
    <cellStyle name="60% - Énfasis1 44" xfId="1081" xr:uid="{00000000-0005-0000-0000-000097030000}"/>
    <cellStyle name="60% - Énfasis1 45" xfId="1082" xr:uid="{00000000-0005-0000-0000-000098030000}"/>
    <cellStyle name="60% - Énfasis1 46" xfId="1083" xr:uid="{00000000-0005-0000-0000-000099030000}"/>
    <cellStyle name="60% - Énfasis1 47" xfId="1084" xr:uid="{00000000-0005-0000-0000-00009A030000}"/>
    <cellStyle name="60% - Énfasis1 48" xfId="1085" xr:uid="{00000000-0005-0000-0000-00009B030000}"/>
    <cellStyle name="60% - Énfasis1 49" xfId="1086" xr:uid="{00000000-0005-0000-0000-00009C030000}"/>
    <cellStyle name="60% - Énfasis1 5" xfId="1087" xr:uid="{00000000-0005-0000-0000-00009D030000}"/>
    <cellStyle name="60% - Énfasis1 50" xfId="1088" xr:uid="{00000000-0005-0000-0000-00009E030000}"/>
    <cellStyle name="60% - Énfasis1 51" xfId="1089" xr:uid="{00000000-0005-0000-0000-00009F030000}"/>
    <cellStyle name="60% - Énfasis1 52" xfId="1090" xr:uid="{00000000-0005-0000-0000-0000A0030000}"/>
    <cellStyle name="60% - Énfasis1 53" xfId="1091" xr:uid="{00000000-0005-0000-0000-0000A1030000}"/>
    <cellStyle name="60% - Énfasis1 54" xfId="1092" xr:uid="{00000000-0005-0000-0000-0000A2030000}"/>
    <cellStyle name="60% - Énfasis1 55" xfId="1093" xr:uid="{00000000-0005-0000-0000-0000A3030000}"/>
    <cellStyle name="60% - Énfasis1 56" xfId="1094" xr:uid="{00000000-0005-0000-0000-0000A4030000}"/>
    <cellStyle name="60% - Énfasis1 57" xfId="1095" xr:uid="{00000000-0005-0000-0000-0000A5030000}"/>
    <cellStyle name="60% - Énfasis1 58" xfId="1096" xr:uid="{00000000-0005-0000-0000-0000A6030000}"/>
    <cellStyle name="60% - Énfasis1 59" xfId="1097" xr:uid="{00000000-0005-0000-0000-0000A7030000}"/>
    <cellStyle name="60% - Énfasis1 6" xfId="1098" xr:uid="{00000000-0005-0000-0000-0000A8030000}"/>
    <cellStyle name="60% - Énfasis1 60" xfId="1099" xr:uid="{00000000-0005-0000-0000-0000A9030000}"/>
    <cellStyle name="60% - Énfasis1 61" xfId="1100" xr:uid="{00000000-0005-0000-0000-0000AA030000}"/>
    <cellStyle name="60% - Énfasis1 62" xfId="1101" xr:uid="{00000000-0005-0000-0000-0000AB030000}"/>
    <cellStyle name="60% - Énfasis1 63" xfId="1102" xr:uid="{00000000-0005-0000-0000-0000AC030000}"/>
    <cellStyle name="60% - Énfasis1 64" xfId="1103" xr:uid="{00000000-0005-0000-0000-0000AD030000}"/>
    <cellStyle name="60% - Énfasis1 65" xfId="1104" xr:uid="{00000000-0005-0000-0000-0000AE030000}"/>
    <cellStyle name="60% - Énfasis1 66" xfId="1105" xr:uid="{00000000-0005-0000-0000-0000AF030000}"/>
    <cellStyle name="60% - Énfasis1 67" xfId="1106" xr:uid="{00000000-0005-0000-0000-0000B0030000}"/>
    <cellStyle name="60% - Énfasis1 7" xfId="1107" xr:uid="{00000000-0005-0000-0000-0000B1030000}"/>
    <cellStyle name="60% - Énfasis1 8" xfId="1108" xr:uid="{00000000-0005-0000-0000-0000B2030000}"/>
    <cellStyle name="60% - Énfasis1 9" xfId="1109" xr:uid="{00000000-0005-0000-0000-0000B3030000}"/>
    <cellStyle name="60% - Énfasis2 10" xfId="1110" xr:uid="{00000000-0005-0000-0000-0000B4030000}"/>
    <cellStyle name="60% - Énfasis2 11" xfId="1111" xr:uid="{00000000-0005-0000-0000-0000B5030000}"/>
    <cellStyle name="60% - Énfasis2 12" xfId="1112" xr:uid="{00000000-0005-0000-0000-0000B6030000}"/>
    <cellStyle name="60% - Énfasis2 13" xfId="1113" xr:uid="{00000000-0005-0000-0000-0000B7030000}"/>
    <cellStyle name="60% - Énfasis2 14" xfId="1114" xr:uid="{00000000-0005-0000-0000-0000B8030000}"/>
    <cellStyle name="60% - Énfasis2 15" xfId="1115" xr:uid="{00000000-0005-0000-0000-0000B9030000}"/>
    <cellStyle name="60% - Énfasis2 16" xfId="1116" xr:uid="{00000000-0005-0000-0000-0000BA030000}"/>
    <cellStyle name="60% - Énfasis2 17" xfId="1117" xr:uid="{00000000-0005-0000-0000-0000BB030000}"/>
    <cellStyle name="60% - Énfasis2 18" xfId="1118" xr:uid="{00000000-0005-0000-0000-0000BC030000}"/>
    <cellStyle name="60% - Énfasis2 19" xfId="1119" xr:uid="{00000000-0005-0000-0000-0000BD030000}"/>
    <cellStyle name="60% - Énfasis2 2" xfId="99" xr:uid="{00000000-0005-0000-0000-0000BE030000}"/>
    <cellStyle name="60% - Énfasis2 2 2" xfId="1120" xr:uid="{00000000-0005-0000-0000-0000BF030000}"/>
    <cellStyle name="60% - Énfasis2 2 3" xfId="1121" xr:uid="{00000000-0005-0000-0000-0000C0030000}"/>
    <cellStyle name="60% - Énfasis2 2 4" xfId="1122" xr:uid="{00000000-0005-0000-0000-0000C1030000}"/>
    <cellStyle name="60% - Énfasis2 2 5" xfId="1123" xr:uid="{00000000-0005-0000-0000-0000C2030000}"/>
    <cellStyle name="60% - Énfasis2 20" xfId="1124" xr:uid="{00000000-0005-0000-0000-0000C3030000}"/>
    <cellStyle name="60% - Énfasis2 21" xfId="1125" xr:uid="{00000000-0005-0000-0000-0000C4030000}"/>
    <cellStyle name="60% - Énfasis2 22" xfId="1126" xr:uid="{00000000-0005-0000-0000-0000C5030000}"/>
    <cellStyle name="60% - Énfasis2 23" xfId="1127" xr:uid="{00000000-0005-0000-0000-0000C6030000}"/>
    <cellStyle name="60% - Énfasis2 24" xfId="1128" xr:uid="{00000000-0005-0000-0000-0000C7030000}"/>
    <cellStyle name="60% - Énfasis2 25" xfId="1129" xr:uid="{00000000-0005-0000-0000-0000C8030000}"/>
    <cellStyle name="60% - Énfasis2 26" xfId="1130" xr:uid="{00000000-0005-0000-0000-0000C9030000}"/>
    <cellStyle name="60% - Énfasis2 27" xfId="1131" xr:uid="{00000000-0005-0000-0000-0000CA030000}"/>
    <cellStyle name="60% - Énfasis2 28" xfId="1132" xr:uid="{00000000-0005-0000-0000-0000CB030000}"/>
    <cellStyle name="60% - Énfasis2 29" xfId="1133" xr:uid="{00000000-0005-0000-0000-0000CC030000}"/>
    <cellStyle name="60% - Énfasis2 3" xfId="1134" xr:uid="{00000000-0005-0000-0000-0000CD030000}"/>
    <cellStyle name="60% - Énfasis2 30" xfId="1135" xr:uid="{00000000-0005-0000-0000-0000CE030000}"/>
    <cellStyle name="60% - Énfasis2 31" xfId="1136" xr:uid="{00000000-0005-0000-0000-0000CF030000}"/>
    <cellStyle name="60% - Énfasis2 32" xfId="1137" xr:uid="{00000000-0005-0000-0000-0000D0030000}"/>
    <cellStyle name="60% - Énfasis2 33" xfId="1138" xr:uid="{00000000-0005-0000-0000-0000D1030000}"/>
    <cellStyle name="60% - Énfasis2 34" xfId="1139" xr:uid="{00000000-0005-0000-0000-0000D2030000}"/>
    <cellStyle name="60% - Énfasis2 35" xfId="1140" xr:uid="{00000000-0005-0000-0000-0000D3030000}"/>
    <cellStyle name="60% - Énfasis2 36" xfId="1141" xr:uid="{00000000-0005-0000-0000-0000D4030000}"/>
    <cellStyle name="60% - Énfasis2 37" xfId="1142" xr:uid="{00000000-0005-0000-0000-0000D5030000}"/>
    <cellStyle name="60% - Énfasis2 38" xfId="1143" xr:uid="{00000000-0005-0000-0000-0000D6030000}"/>
    <cellStyle name="60% - Énfasis2 39" xfId="1144" xr:uid="{00000000-0005-0000-0000-0000D7030000}"/>
    <cellStyle name="60% - Énfasis2 4" xfId="1145" xr:uid="{00000000-0005-0000-0000-0000D8030000}"/>
    <cellStyle name="60% - Énfasis2 40" xfId="1146" xr:uid="{00000000-0005-0000-0000-0000D9030000}"/>
    <cellStyle name="60% - Énfasis2 41" xfId="1147" xr:uid="{00000000-0005-0000-0000-0000DA030000}"/>
    <cellStyle name="60% - Énfasis2 42" xfId="1148" xr:uid="{00000000-0005-0000-0000-0000DB030000}"/>
    <cellStyle name="60% - Énfasis2 43" xfId="1149" xr:uid="{00000000-0005-0000-0000-0000DC030000}"/>
    <cellStyle name="60% - Énfasis2 44" xfId="1150" xr:uid="{00000000-0005-0000-0000-0000DD030000}"/>
    <cellStyle name="60% - Énfasis2 45" xfId="1151" xr:uid="{00000000-0005-0000-0000-0000DE030000}"/>
    <cellStyle name="60% - Énfasis2 46" xfId="1152" xr:uid="{00000000-0005-0000-0000-0000DF030000}"/>
    <cellStyle name="60% - Énfasis2 47" xfId="1153" xr:uid="{00000000-0005-0000-0000-0000E0030000}"/>
    <cellStyle name="60% - Énfasis2 48" xfId="1154" xr:uid="{00000000-0005-0000-0000-0000E1030000}"/>
    <cellStyle name="60% - Énfasis2 49" xfId="1155" xr:uid="{00000000-0005-0000-0000-0000E2030000}"/>
    <cellStyle name="60% - Énfasis2 5" xfId="1156" xr:uid="{00000000-0005-0000-0000-0000E3030000}"/>
    <cellStyle name="60% - Énfasis2 50" xfId="1157" xr:uid="{00000000-0005-0000-0000-0000E4030000}"/>
    <cellStyle name="60% - Énfasis2 51" xfId="1158" xr:uid="{00000000-0005-0000-0000-0000E5030000}"/>
    <cellStyle name="60% - Énfasis2 52" xfId="1159" xr:uid="{00000000-0005-0000-0000-0000E6030000}"/>
    <cellStyle name="60% - Énfasis2 53" xfId="1160" xr:uid="{00000000-0005-0000-0000-0000E7030000}"/>
    <cellStyle name="60% - Énfasis2 54" xfId="1161" xr:uid="{00000000-0005-0000-0000-0000E8030000}"/>
    <cellStyle name="60% - Énfasis2 55" xfId="1162" xr:uid="{00000000-0005-0000-0000-0000E9030000}"/>
    <cellStyle name="60% - Énfasis2 56" xfId="1163" xr:uid="{00000000-0005-0000-0000-0000EA030000}"/>
    <cellStyle name="60% - Énfasis2 57" xfId="1164" xr:uid="{00000000-0005-0000-0000-0000EB030000}"/>
    <cellStyle name="60% - Énfasis2 58" xfId="1165" xr:uid="{00000000-0005-0000-0000-0000EC030000}"/>
    <cellStyle name="60% - Énfasis2 59" xfId="1166" xr:uid="{00000000-0005-0000-0000-0000ED030000}"/>
    <cellStyle name="60% - Énfasis2 6" xfId="1167" xr:uid="{00000000-0005-0000-0000-0000EE030000}"/>
    <cellStyle name="60% - Énfasis2 60" xfId="1168" xr:uid="{00000000-0005-0000-0000-0000EF030000}"/>
    <cellStyle name="60% - Énfasis2 61" xfId="1169" xr:uid="{00000000-0005-0000-0000-0000F0030000}"/>
    <cellStyle name="60% - Énfasis2 62" xfId="1170" xr:uid="{00000000-0005-0000-0000-0000F1030000}"/>
    <cellStyle name="60% - Énfasis2 63" xfId="1171" xr:uid="{00000000-0005-0000-0000-0000F2030000}"/>
    <cellStyle name="60% - Énfasis2 64" xfId="1172" xr:uid="{00000000-0005-0000-0000-0000F3030000}"/>
    <cellStyle name="60% - Énfasis2 65" xfId="1173" xr:uid="{00000000-0005-0000-0000-0000F4030000}"/>
    <cellStyle name="60% - Énfasis2 66" xfId="1174" xr:uid="{00000000-0005-0000-0000-0000F5030000}"/>
    <cellStyle name="60% - Énfasis2 67" xfId="1175" xr:uid="{00000000-0005-0000-0000-0000F6030000}"/>
    <cellStyle name="60% - Énfasis2 7" xfId="1176" xr:uid="{00000000-0005-0000-0000-0000F7030000}"/>
    <cellStyle name="60% - Énfasis2 8" xfId="1177" xr:uid="{00000000-0005-0000-0000-0000F8030000}"/>
    <cellStyle name="60% - Énfasis2 9" xfId="1178" xr:uid="{00000000-0005-0000-0000-0000F9030000}"/>
    <cellStyle name="60% - Énfasis3 10" xfId="1179" xr:uid="{00000000-0005-0000-0000-0000FA030000}"/>
    <cellStyle name="60% - Énfasis3 11" xfId="1180" xr:uid="{00000000-0005-0000-0000-0000FB030000}"/>
    <cellStyle name="60% - Énfasis3 12" xfId="1181" xr:uid="{00000000-0005-0000-0000-0000FC030000}"/>
    <cellStyle name="60% - Énfasis3 13" xfId="1182" xr:uid="{00000000-0005-0000-0000-0000FD030000}"/>
    <cellStyle name="60% - Énfasis3 14" xfId="1183" xr:uid="{00000000-0005-0000-0000-0000FE030000}"/>
    <cellStyle name="60% - Énfasis3 15" xfId="1184" xr:uid="{00000000-0005-0000-0000-0000FF030000}"/>
    <cellStyle name="60% - Énfasis3 16" xfId="1185" xr:uid="{00000000-0005-0000-0000-000000040000}"/>
    <cellStyle name="60% - Énfasis3 17" xfId="1186" xr:uid="{00000000-0005-0000-0000-000001040000}"/>
    <cellStyle name="60% - Énfasis3 18" xfId="1187" xr:uid="{00000000-0005-0000-0000-000002040000}"/>
    <cellStyle name="60% - Énfasis3 19" xfId="1188" xr:uid="{00000000-0005-0000-0000-000003040000}"/>
    <cellStyle name="60% - Énfasis3 2" xfId="100" xr:uid="{00000000-0005-0000-0000-000004040000}"/>
    <cellStyle name="60% - Énfasis3 2 2" xfId="1189" xr:uid="{00000000-0005-0000-0000-000005040000}"/>
    <cellStyle name="60% - Énfasis3 2 3" xfId="1190" xr:uid="{00000000-0005-0000-0000-000006040000}"/>
    <cellStyle name="60% - Énfasis3 2 4" xfId="1191" xr:uid="{00000000-0005-0000-0000-000007040000}"/>
    <cellStyle name="60% - Énfasis3 2 5" xfId="1192" xr:uid="{00000000-0005-0000-0000-000008040000}"/>
    <cellStyle name="60% - Énfasis3 20" xfId="1193" xr:uid="{00000000-0005-0000-0000-000009040000}"/>
    <cellStyle name="60% - Énfasis3 21" xfId="1194" xr:uid="{00000000-0005-0000-0000-00000A040000}"/>
    <cellStyle name="60% - Énfasis3 22" xfId="1195" xr:uid="{00000000-0005-0000-0000-00000B040000}"/>
    <cellStyle name="60% - Énfasis3 23" xfId="1196" xr:uid="{00000000-0005-0000-0000-00000C040000}"/>
    <cellStyle name="60% - Énfasis3 24" xfId="1197" xr:uid="{00000000-0005-0000-0000-00000D040000}"/>
    <cellStyle name="60% - Énfasis3 25" xfId="1198" xr:uid="{00000000-0005-0000-0000-00000E040000}"/>
    <cellStyle name="60% - Énfasis3 26" xfId="1199" xr:uid="{00000000-0005-0000-0000-00000F040000}"/>
    <cellStyle name="60% - Énfasis3 27" xfId="1200" xr:uid="{00000000-0005-0000-0000-000010040000}"/>
    <cellStyle name="60% - Énfasis3 28" xfId="1201" xr:uid="{00000000-0005-0000-0000-000011040000}"/>
    <cellStyle name="60% - Énfasis3 29" xfId="1202" xr:uid="{00000000-0005-0000-0000-000012040000}"/>
    <cellStyle name="60% - Énfasis3 3" xfId="1203" xr:uid="{00000000-0005-0000-0000-000013040000}"/>
    <cellStyle name="60% - Énfasis3 30" xfId="1204" xr:uid="{00000000-0005-0000-0000-000014040000}"/>
    <cellStyle name="60% - Énfasis3 31" xfId="1205" xr:uid="{00000000-0005-0000-0000-000015040000}"/>
    <cellStyle name="60% - Énfasis3 32" xfId="1206" xr:uid="{00000000-0005-0000-0000-000016040000}"/>
    <cellStyle name="60% - Énfasis3 33" xfId="1207" xr:uid="{00000000-0005-0000-0000-000017040000}"/>
    <cellStyle name="60% - Énfasis3 34" xfId="1208" xr:uid="{00000000-0005-0000-0000-000018040000}"/>
    <cellStyle name="60% - Énfasis3 35" xfId="1209" xr:uid="{00000000-0005-0000-0000-000019040000}"/>
    <cellStyle name="60% - Énfasis3 36" xfId="1210" xr:uid="{00000000-0005-0000-0000-00001A040000}"/>
    <cellStyle name="60% - Énfasis3 37" xfId="1211" xr:uid="{00000000-0005-0000-0000-00001B040000}"/>
    <cellStyle name="60% - Énfasis3 38" xfId="1212" xr:uid="{00000000-0005-0000-0000-00001C040000}"/>
    <cellStyle name="60% - Énfasis3 39" xfId="1213" xr:uid="{00000000-0005-0000-0000-00001D040000}"/>
    <cellStyle name="60% - Énfasis3 4" xfId="1214" xr:uid="{00000000-0005-0000-0000-00001E040000}"/>
    <cellStyle name="60% - Énfasis3 40" xfId="1215" xr:uid="{00000000-0005-0000-0000-00001F040000}"/>
    <cellStyle name="60% - Énfasis3 41" xfId="1216" xr:uid="{00000000-0005-0000-0000-000020040000}"/>
    <cellStyle name="60% - Énfasis3 42" xfId="1217" xr:uid="{00000000-0005-0000-0000-000021040000}"/>
    <cellStyle name="60% - Énfasis3 43" xfId="1218" xr:uid="{00000000-0005-0000-0000-000022040000}"/>
    <cellStyle name="60% - Énfasis3 44" xfId="1219" xr:uid="{00000000-0005-0000-0000-000023040000}"/>
    <cellStyle name="60% - Énfasis3 45" xfId="1220" xr:uid="{00000000-0005-0000-0000-000024040000}"/>
    <cellStyle name="60% - Énfasis3 46" xfId="1221" xr:uid="{00000000-0005-0000-0000-000025040000}"/>
    <cellStyle name="60% - Énfasis3 47" xfId="1222" xr:uid="{00000000-0005-0000-0000-000026040000}"/>
    <cellStyle name="60% - Énfasis3 48" xfId="1223" xr:uid="{00000000-0005-0000-0000-000027040000}"/>
    <cellStyle name="60% - Énfasis3 49" xfId="1224" xr:uid="{00000000-0005-0000-0000-000028040000}"/>
    <cellStyle name="60% - Énfasis3 5" xfId="1225" xr:uid="{00000000-0005-0000-0000-000029040000}"/>
    <cellStyle name="60% - Énfasis3 50" xfId="1226" xr:uid="{00000000-0005-0000-0000-00002A040000}"/>
    <cellStyle name="60% - Énfasis3 51" xfId="1227" xr:uid="{00000000-0005-0000-0000-00002B040000}"/>
    <cellStyle name="60% - Énfasis3 52" xfId="1228" xr:uid="{00000000-0005-0000-0000-00002C040000}"/>
    <cellStyle name="60% - Énfasis3 53" xfId="1229" xr:uid="{00000000-0005-0000-0000-00002D040000}"/>
    <cellStyle name="60% - Énfasis3 54" xfId="1230" xr:uid="{00000000-0005-0000-0000-00002E040000}"/>
    <cellStyle name="60% - Énfasis3 55" xfId="1231" xr:uid="{00000000-0005-0000-0000-00002F040000}"/>
    <cellStyle name="60% - Énfasis3 56" xfId="1232" xr:uid="{00000000-0005-0000-0000-000030040000}"/>
    <cellStyle name="60% - Énfasis3 57" xfId="1233" xr:uid="{00000000-0005-0000-0000-000031040000}"/>
    <cellStyle name="60% - Énfasis3 58" xfId="1234" xr:uid="{00000000-0005-0000-0000-000032040000}"/>
    <cellStyle name="60% - Énfasis3 59" xfId="1235" xr:uid="{00000000-0005-0000-0000-000033040000}"/>
    <cellStyle name="60% - Énfasis3 6" xfId="1236" xr:uid="{00000000-0005-0000-0000-000034040000}"/>
    <cellStyle name="60% - Énfasis3 60" xfId="1237" xr:uid="{00000000-0005-0000-0000-000035040000}"/>
    <cellStyle name="60% - Énfasis3 61" xfId="1238" xr:uid="{00000000-0005-0000-0000-000036040000}"/>
    <cellStyle name="60% - Énfasis3 62" xfId="1239" xr:uid="{00000000-0005-0000-0000-000037040000}"/>
    <cellStyle name="60% - Énfasis3 63" xfId="1240" xr:uid="{00000000-0005-0000-0000-000038040000}"/>
    <cellStyle name="60% - Énfasis3 64" xfId="1241" xr:uid="{00000000-0005-0000-0000-000039040000}"/>
    <cellStyle name="60% - Énfasis3 65" xfId="1242" xr:uid="{00000000-0005-0000-0000-00003A040000}"/>
    <cellStyle name="60% - Énfasis3 66" xfId="1243" xr:uid="{00000000-0005-0000-0000-00003B040000}"/>
    <cellStyle name="60% - Énfasis3 67" xfId="1244" xr:uid="{00000000-0005-0000-0000-00003C040000}"/>
    <cellStyle name="60% - Énfasis3 7" xfId="1245" xr:uid="{00000000-0005-0000-0000-00003D040000}"/>
    <cellStyle name="60% - Énfasis3 8" xfId="1246" xr:uid="{00000000-0005-0000-0000-00003E040000}"/>
    <cellStyle name="60% - Énfasis3 9" xfId="1247" xr:uid="{00000000-0005-0000-0000-00003F040000}"/>
    <cellStyle name="60% - Énfasis4 10" xfId="1248" xr:uid="{00000000-0005-0000-0000-000040040000}"/>
    <cellStyle name="60% - Énfasis4 11" xfId="1249" xr:uid="{00000000-0005-0000-0000-000041040000}"/>
    <cellStyle name="60% - Énfasis4 12" xfId="1250" xr:uid="{00000000-0005-0000-0000-000042040000}"/>
    <cellStyle name="60% - Énfasis4 13" xfId="1251" xr:uid="{00000000-0005-0000-0000-000043040000}"/>
    <cellStyle name="60% - Énfasis4 14" xfId="1252" xr:uid="{00000000-0005-0000-0000-000044040000}"/>
    <cellStyle name="60% - Énfasis4 15" xfId="1253" xr:uid="{00000000-0005-0000-0000-000045040000}"/>
    <cellStyle name="60% - Énfasis4 16" xfId="1254" xr:uid="{00000000-0005-0000-0000-000046040000}"/>
    <cellStyle name="60% - Énfasis4 17" xfId="1255" xr:uid="{00000000-0005-0000-0000-000047040000}"/>
    <cellStyle name="60% - Énfasis4 18" xfId="1256" xr:uid="{00000000-0005-0000-0000-000048040000}"/>
    <cellStyle name="60% - Énfasis4 19" xfId="1257" xr:uid="{00000000-0005-0000-0000-000049040000}"/>
    <cellStyle name="60% - Énfasis4 2" xfId="101" xr:uid="{00000000-0005-0000-0000-00004A040000}"/>
    <cellStyle name="60% - Énfasis4 2 2" xfId="1258" xr:uid="{00000000-0005-0000-0000-00004B040000}"/>
    <cellStyle name="60% - Énfasis4 2 3" xfId="1259" xr:uid="{00000000-0005-0000-0000-00004C040000}"/>
    <cellStyle name="60% - Énfasis4 2 4" xfId="1260" xr:uid="{00000000-0005-0000-0000-00004D040000}"/>
    <cellStyle name="60% - Énfasis4 2 5" xfId="1261" xr:uid="{00000000-0005-0000-0000-00004E040000}"/>
    <cellStyle name="60% - Énfasis4 20" xfId="1262" xr:uid="{00000000-0005-0000-0000-00004F040000}"/>
    <cellStyle name="60% - Énfasis4 21" xfId="1263" xr:uid="{00000000-0005-0000-0000-000050040000}"/>
    <cellStyle name="60% - Énfasis4 22" xfId="1264" xr:uid="{00000000-0005-0000-0000-000051040000}"/>
    <cellStyle name="60% - Énfasis4 23" xfId="1265" xr:uid="{00000000-0005-0000-0000-000052040000}"/>
    <cellStyle name="60% - Énfasis4 24" xfId="1266" xr:uid="{00000000-0005-0000-0000-000053040000}"/>
    <cellStyle name="60% - Énfasis4 25" xfId="1267" xr:uid="{00000000-0005-0000-0000-000054040000}"/>
    <cellStyle name="60% - Énfasis4 26" xfId="1268" xr:uid="{00000000-0005-0000-0000-000055040000}"/>
    <cellStyle name="60% - Énfasis4 27" xfId="1269" xr:uid="{00000000-0005-0000-0000-000056040000}"/>
    <cellStyle name="60% - Énfasis4 28" xfId="1270" xr:uid="{00000000-0005-0000-0000-000057040000}"/>
    <cellStyle name="60% - Énfasis4 29" xfId="1271" xr:uid="{00000000-0005-0000-0000-000058040000}"/>
    <cellStyle name="60% - Énfasis4 3" xfId="1272" xr:uid="{00000000-0005-0000-0000-000059040000}"/>
    <cellStyle name="60% - Énfasis4 30" xfId="1273" xr:uid="{00000000-0005-0000-0000-00005A040000}"/>
    <cellStyle name="60% - Énfasis4 31" xfId="1274" xr:uid="{00000000-0005-0000-0000-00005B040000}"/>
    <cellStyle name="60% - Énfasis4 32" xfId="1275" xr:uid="{00000000-0005-0000-0000-00005C040000}"/>
    <cellStyle name="60% - Énfasis4 33" xfId="1276" xr:uid="{00000000-0005-0000-0000-00005D040000}"/>
    <cellStyle name="60% - Énfasis4 34" xfId="1277" xr:uid="{00000000-0005-0000-0000-00005E040000}"/>
    <cellStyle name="60% - Énfasis4 35" xfId="1278" xr:uid="{00000000-0005-0000-0000-00005F040000}"/>
    <cellStyle name="60% - Énfasis4 36" xfId="1279" xr:uid="{00000000-0005-0000-0000-000060040000}"/>
    <cellStyle name="60% - Énfasis4 37" xfId="1280" xr:uid="{00000000-0005-0000-0000-000061040000}"/>
    <cellStyle name="60% - Énfasis4 38" xfId="1281" xr:uid="{00000000-0005-0000-0000-000062040000}"/>
    <cellStyle name="60% - Énfasis4 39" xfId="1282" xr:uid="{00000000-0005-0000-0000-000063040000}"/>
    <cellStyle name="60% - Énfasis4 4" xfId="1283" xr:uid="{00000000-0005-0000-0000-000064040000}"/>
    <cellStyle name="60% - Énfasis4 40" xfId="1284" xr:uid="{00000000-0005-0000-0000-000065040000}"/>
    <cellStyle name="60% - Énfasis4 41" xfId="1285" xr:uid="{00000000-0005-0000-0000-000066040000}"/>
    <cellStyle name="60% - Énfasis4 42" xfId="1286" xr:uid="{00000000-0005-0000-0000-000067040000}"/>
    <cellStyle name="60% - Énfasis4 43" xfId="1287" xr:uid="{00000000-0005-0000-0000-000068040000}"/>
    <cellStyle name="60% - Énfasis4 44" xfId="1288" xr:uid="{00000000-0005-0000-0000-000069040000}"/>
    <cellStyle name="60% - Énfasis4 45" xfId="1289" xr:uid="{00000000-0005-0000-0000-00006A040000}"/>
    <cellStyle name="60% - Énfasis4 46" xfId="1290" xr:uid="{00000000-0005-0000-0000-00006B040000}"/>
    <cellStyle name="60% - Énfasis4 47" xfId="1291" xr:uid="{00000000-0005-0000-0000-00006C040000}"/>
    <cellStyle name="60% - Énfasis4 48" xfId="1292" xr:uid="{00000000-0005-0000-0000-00006D040000}"/>
    <cellStyle name="60% - Énfasis4 49" xfId="1293" xr:uid="{00000000-0005-0000-0000-00006E040000}"/>
    <cellStyle name="60% - Énfasis4 5" xfId="1294" xr:uid="{00000000-0005-0000-0000-00006F040000}"/>
    <cellStyle name="60% - Énfasis4 50" xfId="1295" xr:uid="{00000000-0005-0000-0000-000070040000}"/>
    <cellStyle name="60% - Énfasis4 51" xfId="1296" xr:uid="{00000000-0005-0000-0000-000071040000}"/>
    <cellStyle name="60% - Énfasis4 52" xfId="1297" xr:uid="{00000000-0005-0000-0000-000072040000}"/>
    <cellStyle name="60% - Énfasis4 53" xfId="1298" xr:uid="{00000000-0005-0000-0000-000073040000}"/>
    <cellStyle name="60% - Énfasis4 54" xfId="1299" xr:uid="{00000000-0005-0000-0000-000074040000}"/>
    <cellStyle name="60% - Énfasis4 55" xfId="1300" xr:uid="{00000000-0005-0000-0000-000075040000}"/>
    <cellStyle name="60% - Énfasis4 56" xfId="1301" xr:uid="{00000000-0005-0000-0000-000076040000}"/>
    <cellStyle name="60% - Énfasis4 57" xfId="1302" xr:uid="{00000000-0005-0000-0000-000077040000}"/>
    <cellStyle name="60% - Énfasis4 58" xfId="1303" xr:uid="{00000000-0005-0000-0000-000078040000}"/>
    <cellStyle name="60% - Énfasis4 59" xfId="1304" xr:uid="{00000000-0005-0000-0000-000079040000}"/>
    <cellStyle name="60% - Énfasis4 6" xfId="1305" xr:uid="{00000000-0005-0000-0000-00007A040000}"/>
    <cellStyle name="60% - Énfasis4 60" xfId="1306" xr:uid="{00000000-0005-0000-0000-00007B040000}"/>
    <cellStyle name="60% - Énfasis4 61" xfId="1307" xr:uid="{00000000-0005-0000-0000-00007C040000}"/>
    <cellStyle name="60% - Énfasis4 62" xfId="1308" xr:uid="{00000000-0005-0000-0000-00007D040000}"/>
    <cellStyle name="60% - Énfasis4 63" xfId="1309" xr:uid="{00000000-0005-0000-0000-00007E040000}"/>
    <cellStyle name="60% - Énfasis4 64" xfId="1310" xr:uid="{00000000-0005-0000-0000-00007F040000}"/>
    <cellStyle name="60% - Énfasis4 65" xfId="1311" xr:uid="{00000000-0005-0000-0000-000080040000}"/>
    <cellStyle name="60% - Énfasis4 66" xfId="1312" xr:uid="{00000000-0005-0000-0000-000081040000}"/>
    <cellStyle name="60% - Énfasis4 67" xfId="1313" xr:uid="{00000000-0005-0000-0000-000082040000}"/>
    <cellStyle name="60% - Énfasis4 7" xfId="1314" xr:uid="{00000000-0005-0000-0000-000083040000}"/>
    <cellStyle name="60% - Énfasis4 8" xfId="1315" xr:uid="{00000000-0005-0000-0000-000084040000}"/>
    <cellStyle name="60% - Énfasis4 9" xfId="1316" xr:uid="{00000000-0005-0000-0000-000085040000}"/>
    <cellStyle name="60% - Énfasis5 10" xfId="1317" xr:uid="{00000000-0005-0000-0000-000086040000}"/>
    <cellStyle name="60% - Énfasis5 11" xfId="1318" xr:uid="{00000000-0005-0000-0000-000087040000}"/>
    <cellStyle name="60% - Énfasis5 12" xfId="1319" xr:uid="{00000000-0005-0000-0000-000088040000}"/>
    <cellStyle name="60% - Énfasis5 13" xfId="1320" xr:uid="{00000000-0005-0000-0000-000089040000}"/>
    <cellStyle name="60% - Énfasis5 14" xfId="1321" xr:uid="{00000000-0005-0000-0000-00008A040000}"/>
    <cellStyle name="60% - Énfasis5 15" xfId="1322" xr:uid="{00000000-0005-0000-0000-00008B040000}"/>
    <cellStyle name="60% - Énfasis5 16" xfId="1323" xr:uid="{00000000-0005-0000-0000-00008C040000}"/>
    <cellStyle name="60% - Énfasis5 17" xfId="1324" xr:uid="{00000000-0005-0000-0000-00008D040000}"/>
    <cellStyle name="60% - Énfasis5 18" xfId="1325" xr:uid="{00000000-0005-0000-0000-00008E040000}"/>
    <cellStyle name="60% - Énfasis5 19" xfId="1326" xr:uid="{00000000-0005-0000-0000-00008F040000}"/>
    <cellStyle name="60% - Énfasis5 2" xfId="102" xr:uid="{00000000-0005-0000-0000-000090040000}"/>
    <cellStyle name="60% - Énfasis5 2 2" xfId="1327" xr:uid="{00000000-0005-0000-0000-000091040000}"/>
    <cellStyle name="60% - Énfasis5 2 3" xfId="1328" xr:uid="{00000000-0005-0000-0000-000092040000}"/>
    <cellStyle name="60% - Énfasis5 2 4" xfId="1329" xr:uid="{00000000-0005-0000-0000-000093040000}"/>
    <cellStyle name="60% - Énfasis5 2 5" xfId="1330" xr:uid="{00000000-0005-0000-0000-000094040000}"/>
    <cellStyle name="60% - Énfasis5 20" xfId="1331" xr:uid="{00000000-0005-0000-0000-000095040000}"/>
    <cellStyle name="60% - Énfasis5 21" xfId="1332" xr:uid="{00000000-0005-0000-0000-000096040000}"/>
    <cellStyle name="60% - Énfasis5 22" xfId="1333" xr:uid="{00000000-0005-0000-0000-000097040000}"/>
    <cellStyle name="60% - Énfasis5 23" xfId="1334" xr:uid="{00000000-0005-0000-0000-000098040000}"/>
    <cellStyle name="60% - Énfasis5 24" xfId="1335" xr:uid="{00000000-0005-0000-0000-000099040000}"/>
    <cellStyle name="60% - Énfasis5 25" xfId="1336" xr:uid="{00000000-0005-0000-0000-00009A040000}"/>
    <cellStyle name="60% - Énfasis5 26" xfId="1337" xr:uid="{00000000-0005-0000-0000-00009B040000}"/>
    <cellStyle name="60% - Énfasis5 27" xfId="1338" xr:uid="{00000000-0005-0000-0000-00009C040000}"/>
    <cellStyle name="60% - Énfasis5 28" xfId="1339" xr:uid="{00000000-0005-0000-0000-00009D040000}"/>
    <cellStyle name="60% - Énfasis5 29" xfId="1340" xr:uid="{00000000-0005-0000-0000-00009E040000}"/>
    <cellStyle name="60% - Énfasis5 3" xfId="1341" xr:uid="{00000000-0005-0000-0000-00009F040000}"/>
    <cellStyle name="60% - Énfasis5 30" xfId="1342" xr:uid="{00000000-0005-0000-0000-0000A0040000}"/>
    <cellStyle name="60% - Énfasis5 31" xfId="1343" xr:uid="{00000000-0005-0000-0000-0000A1040000}"/>
    <cellStyle name="60% - Énfasis5 32" xfId="1344" xr:uid="{00000000-0005-0000-0000-0000A2040000}"/>
    <cellStyle name="60% - Énfasis5 33" xfId="1345" xr:uid="{00000000-0005-0000-0000-0000A3040000}"/>
    <cellStyle name="60% - Énfasis5 34" xfId="1346" xr:uid="{00000000-0005-0000-0000-0000A4040000}"/>
    <cellStyle name="60% - Énfasis5 35" xfId="1347" xr:uid="{00000000-0005-0000-0000-0000A5040000}"/>
    <cellStyle name="60% - Énfasis5 36" xfId="1348" xr:uid="{00000000-0005-0000-0000-0000A6040000}"/>
    <cellStyle name="60% - Énfasis5 37" xfId="1349" xr:uid="{00000000-0005-0000-0000-0000A7040000}"/>
    <cellStyle name="60% - Énfasis5 38" xfId="1350" xr:uid="{00000000-0005-0000-0000-0000A8040000}"/>
    <cellStyle name="60% - Énfasis5 39" xfId="1351" xr:uid="{00000000-0005-0000-0000-0000A9040000}"/>
    <cellStyle name="60% - Énfasis5 4" xfId="1352" xr:uid="{00000000-0005-0000-0000-0000AA040000}"/>
    <cellStyle name="60% - Énfasis5 40" xfId="1353" xr:uid="{00000000-0005-0000-0000-0000AB040000}"/>
    <cellStyle name="60% - Énfasis5 41" xfId="1354" xr:uid="{00000000-0005-0000-0000-0000AC040000}"/>
    <cellStyle name="60% - Énfasis5 42" xfId="1355" xr:uid="{00000000-0005-0000-0000-0000AD040000}"/>
    <cellStyle name="60% - Énfasis5 43" xfId="1356" xr:uid="{00000000-0005-0000-0000-0000AE040000}"/>
    <cellStyle name="60% - Énfasis5 44" xfId="1357" xr:uid="{00000000-0005-0000-0000-0000AF040000}"/>
    <cellStyle name="60% - Énfasis5 45" xfId="1358" xr:uid="{00000000-0005-0000-0000-0000B0040000}"/>
    <cellStyle name="60% - Énfasis5 46" xfId="1359" xr:uid="{00000000-0005-0000-0000-0000B1040000}"/>
    <cellStyle name="60% - Énfasis5 47" xfId="1360" xr:uid="{00000000-0005-0000-0000-0000B2040000}"/>
    <cellStyle name="60% - Énfasis5 48" xfId="1361" xr:uid="{00000000-0005-0000-0000-0000B3040000}"/>
    <cellStyle name="60% - Énfasis5 49" xfId="1362" xr:uid="{00000000-0005-0000-0000-0000B4040000}"/>
    <cellStyle name="60% - Énfasis5 5" xfId="1363" xr:uid="{00000000-0005-0000-0000-0000B5040000}"/>
    <cellStyle name="60% - Énfasis5 50" xfId="1364" xr:uid="{00000000-0005-0000-0000-0000B6040000}"/>
    <cellStyle name="60% - Énfasis5 51" xfId="1365" xr:uid="{00000000-0005-0000-0000-0000B7040000}"/>
    <cellStyle name="60% - Énfasis5 52" xfId="1366" xr:uid="{00000000-0005-0000-0000-0000B8040000}"/>
    <cellStyle name="60% - Énfasis5 53" xfId="1367" xr:uid="{00000000-0005-0000-0000-0000B9040000}"/>
    <cellStyle name="60% - Énfasis5 54" xfId="1368" xr:uid="{00000000-0005-0000-0000-0000BA040000}"/>
    <cellStyle name="60% - Énfasis5 55" xfId="1369" xr:uid="{00000000-0005-0000-0000-0000BB040000}"/>
    <cellStyle name="60% - Énfasis5 56" xfId="1370" xr:uid="{00000000-0005-0000-0000-0000BC040000}"/>
    <cellStyle name="60% - Énfasis5 57" xfId="1371" xr:uid="{00000000-0005-0000-0000-0000BD040000}"/>
    <cellStyle name="60% - Énfasis5 58" xfId="1372" xr:uid="{00000000-0005-0000-0000-0000BE040000}"/>
    <cellStyle name="60% - Énfasis5 59" xfId="1373" xr:uid="{00000000-0005-0000-0000-0000BF040000}"/>
    <cellStyle name="60% - Énfasis5 6" xfId="1374" xr:uid="{00000000-0005-0000-0000-0000C0040000}"/>
    <cellStyle name="60% - Énfasis5 60" xfId="1375" xr:uid="{00000000-0005-0000-0000-0000C1040000}"/>
    <cellStyle name="60% - Énfasis5 61" xfId="1376" xr:uid="{00000000-0005-0000-0000-0000C2040000}"/>
    <cellStyle name="60% - Énfasis5 62" xfId="1377" xr:uid="{00000000-0005-0000-0000-0000C3040000}"/>
    <cellStyle name="60% - Énfasis5 63" xfId="1378" xr:uid="{00000000-0005-0000-0000-0000C4040000}"/>
    <cellStyle name="60% - Énfasis5 64" xfId="1379" xr:uid="{00000000-0005-0000-0000-0000C5040000}"/>
    <cellStyle name="60% - Énfasis5 65" xfId="1380" xr:uid="{00000000-0005-0000-0000-0000C6040000}"/>
    <cellStyle name="60% - Énfasis5 66" xfId="1381" xr:uid="{00000000-0005-0000-0000-0000C7040000}"/>
    <cellStyle name="60% - Énfasis5 67" xfId="1382" xr:uid="{00000000-0005-0000-0000-0000C8040000}"/>
    <cellStyle name="60% - Énfasis5 7" xfId="1383" xr:uid="{00000000-0005-0000-0000-0000C9040000}"/>
    <cellStyle name="60% - Énfasis5 8" xfId="1384" xr:uid="{00000000-0005-0000-0000-0000CA040000}"/>
    <cellStyle name="60% - Énfasis5 9" xfId="1385" xr:uid="{00000000-0005-0000-0000-0000CB040000}"/>
    <cellStyle name="60% - Énfasis6 10" xfId="1386" xr:uid="{00000000-0005-0000-0000-0000CC040000}"/>
    <cellStyle name="60% - Énfasis6 11" xfId="1387" xr:uid="{00000000-0005-0000-0000-0000CD040000}"/>
    <cellStyle name="60% - Énfasis6 12" xfId="1388" xr:uid="{00000000-0005-0000-0000-0000CE040000}"/>
    <cellStyle name="60% - Énfasis6 13" xfId="1389" xr:uid="{00000000-0005-0000-0000-0000CF040000}"/>
    <cellStyle name="60% - Énfasis6 14" xfId="1390" xr:uid="{00000000-0005-0000-0000-0000D0040000}"/>
    <cellStyle name="60% - Énfasis6 15" xfId="1391" xr:uid="{00000000-0005-0000-0000-0000D1040000}"/>
    <cellStyle name="60% - Énfasis6 16" xfId="1392" xr:uid="{00000000-0005-0000-0000-0000D2040000}"/>
    <cellStyle name="60% - Énfasis6 17" xfId="1393" xr:uid="{00000000-0005-0000-0000-0000D3040000}"/>
    <cellStyle name="60% - Énfasis6 18" xfId="1394" xr:uid="{00000000-0005-0000-0000-0000D4040000}"/>
    <cellStyle name="60% - Énfasis6 19" xfId="1395" xr:uid="{00000000-0005-0000-0000-0000D5040000}"/>
    <cellStyle name="60% - Énfasis6 2" xfId="103" xr:uid="{00000000-0005-0000-0000-0000D6040000}"/>
    <cellStyle name="60% - Énfasis6 2 2" xfId="1396" xr:uid="{00000000-0005-0000-0000-0000D7040000}"/>
    <cellStyle name="60% - Énfasis6 2 3" xfId="1397" xr:uid="{00000000-0005-0000-0000-0000D8040000}"/>
    <cellStyle name="60% - Énfasis6 2 4" xfId="1398" xr:uid="{00000000-0005-0000-0000-0000D9040000}"/>
    <cellStyle name="60% - Énfasis6 2 5" xfId="1399" xr:uid="{00000000-0005-0000-0000-0000DA040000}"/>
    <cellStyle name="60% - Énfasis6 20" xfId="1400" xr:uid="{00000000-0005-0000-0000-0000DB040000}"/>
    <cellStyle name="60% - Énfasis6 21" xfId="1401" xr:uid="{00000000-0005-0000-0000-0000DC040000}"/>
    <cellStyle name="60% - Énfasis6 22" xfId="1402" xr:uid="{00000000-0005-0000-0000-0000DD040000}"/>
    <cellStyle name="60% - Énfasis6 23" xfId="1403" xr:uid="{00000000-0005-0000-0000-0000DE040000}"/>
    <cellStyle name="60% - Énfasis6 24" xfId="1404" xr:uid="{00000000-0005-0000-0000-0000DF040000}"/>
    <cellStyle name="60% - Énfasis6 25" xfId="1405" xr:uid="{00000000-0005-0000-0000-0000E0040000}"/>
    <cellStyle name="60% - Énfasis6 26" xfId="1406" xr:uid="{00000000-0005-0000-0000-0000E1040000}"/>
    <cellStyle name="60% - Énfasis6 27" xfId="1407" xr:uid="{00000000-0005-0000-0000-0000E2040000}"/>
    <cellStyle name="60% - Énfasis6 28" xfId="1408" xr:uid="{00000000-0005-0000-0000-0000E3040000}"/>
    <cellStyle name="60% - Énfasis6 29" xfId="1409" xr:uid="{00000000-0005-0000-0000-0000E4040000}"/>
    <cellStyle name="60% - Énfasis6 3" xfId="1410" xr:uid="{00000000-0005-0000-0000-0000E5040000}"/>
    <cellStyle name="60% - Énfasis6 30" xfId="1411" xr:uid="{00000000-0005-0000-0000-0000E6040000}"/>
    <cellStyle name="60% - Énfasis6 31" xfId="1412" xr:uid="{00000000-0005-0000-0000-0000E7040000}"/>
    <cellStyle name="60% - Énfasis6 32" xfId="1413" xr:uid="{00000000-0005-0000-0000-0000E8040000}"/>
    <cellStyle name="60% - Énfasis6 33" xfId="1414" xr:uid="{00000000-0005-0000-0000-0000E9040000}"/>
    <cellStyle name="60% - Énfasis6 34" xfId="1415" xr:uid="{00000000-0005-0000-0000-0000EA040000}"/>
    <cellStyle name="60% - Énfasis6 35" xfId="1416" xr:uid="{00000000-0005-0000-0000-0000EB040000}"/>
    <cellStyle name="60% - Énfasis6 36" xfId="1417" xr:uid="{00000000-0005-0000-0000-0000EC040000}"/>
    <cellStyle name="60% - Énfasis6 37" xfId="1418" xr:uid="{00000000-0005-0000-0000-0000ED040000}"/>
    <cellStyle name="60% - Énfasis6 38" xfId="1419" xr:uid="{00000000-0005-0000-0000-0000EE040000}"/>
    <cellStyle name="60% - Énfasis6 39" xfId="1420" xr:uid="{00000000-0005-0000-0000-0000EF040000}"/>
    <cellStyle name="60% - Énfasis6 4" xfId="1421" xr:uid="{00000000-0005-0000-0000-0000F0040000}"/>
    <cellStyle name="60% - Énfasis6 40" xfId="1422" xr:uid="{00000000-0005-0000-0000-0000F1040000}"/>
    <cellStyle name="60% - Énfasis6 41" xfId="1423" xr:uid="{00000000-0005-0000-0000-0000F2040000}"/>
    <cellStyle name="60% - Énfasis6 42" xfId="1424" xr:uid="{00000000-0005-0000-0000-0000F3040000}"/>
    <cellStyle name="60% - Énfasis6 43" xfId="1425" xr:uid="{00000000-0005-0000-0000-0000F4040000}"/>
    <cellStyle name="60% - Énfasis6 44" xfId="1426" xr:uid="{00000000-0005-0000-0000-0000F5040000}"/>
    <cellStyle name="60% - Énfasis6 45" xfId="1427" xr:uid="{00000000-0005-0000-0000-0000F6040000}"/>
    <cellStyle name="60% - Énfasis6 46" xfId="1428" xr:uid="{00000000-0005-0000-0000-0000F7040000}"/>
    <cellStyle name="60% - Énfasis6 47" xfId="1429" xr:uid="{00000000-0005-0000-0000-0000F8040000}"/>
    <cellStyle name="60% - Énfasis6 48" xfId="1430" xr:uid="{00000000-0005-0000-0000-0000F9040000}"/>
    <cellStyle name="60% - Énfasis6 49" xfId="1431" xr:uid="{00000000-0005-0000-0000-0000FA040000}"/>
    <cellStyle name="60% - Énfasis6 5" xfId="1432" xr:uid="{00000000-0005-0000-0000-0000FB040000}"/>
    <cellStyle name="60% - Énfasis6 50" xfId="1433" xr:uid="{00000000-0005-0000-0000-0000FC040000}"/>
    <cellStyle name="60% - Énfasis6 51" xfId="1434" xr:uid="{00000000-0005-0000-0000-0000FD040000}"/>
    <cellStyle name="60% - Énfasis6 52" xfId="1435" xr:uid="{00000000-0005-0000-0000-0000FE040000}"/>
    <cellStyle name="60% - Énfasis6 53" xfId="1436" xr:uid="{00000000-0005-0000-0000-0000FF040000}"/>
    <cellStyle name="60% - Énfasis6 54" xfId="1437" xr:uid="{00000000-0005-0000-0000-000000050000}"/>
    <cellStyle name="60% - Énfasis6 55" xfId="1438" xr:uid="{00000000-0005-0000-0000-000001050000}"/>
    <cellStyle name="60% - Énfasis6 56" xfId="1439" xr:uid="{00000000-0005-0000-0000-000002050000}"/>
    <cellStyle name="60% - Énfasis6 57" xfId="1440" xr:uid="{00000000-0005-0000-0000-000003050000}"/>
    <cellStyle name="60% - Énfasis6 58" xfId="1441" xr:uid="{00000000-0005-0000-0000-000004050000}"/>
    <cellStyle name="60% - Énfasis6 59" xfId="1442" xr:uid="{00000000-0005-0000-0000-000005050000}"/>
    <cellStyle name="60% - Énfasis6 6" xfId="1443" xr:uid="{00000000-0005-0000-0000-000006050000}"/>
    <cellStyle name="60% - Énfasis6 60" xfId="1444" xr:uid="{00000000-0005-0000-0000-000007050000}"/>
    <cellStyle name="60% - Énfasis6 61" xfId="1445" xr:uid="{00000000-0005-0000-0000-000008050000}"/>
    <cellStyle name="60% - Énfasis6 62" xfId="1446" xr:uid="{00000000-0005-0000-0000-000009050000}"/>
    <cellStyle name="60% - Énfasis6 63" xfId="1447" xr:uid="{00000000-0005-0000-0000-00000A050000}"/>
    <cellStyle name="60% - Énfasis6 64" xfId="1448" xr:uid="{00000000-0005-0000-0000-00000B050000}"/>
    <cellStyle name="60% - Énfasis6 65" xfId="1449" xr:uid="{00000000-0005-0000-0000-00000C050000}"/>
    <cellStyle name="60% - Énfasis6 66" xfId="1450" xr:uid="{00000000-0005-0000-0000-00000D050000}"/>
    <cellStyle name="60% - Énfasis6 67" xfId="1451" xr:uid="{00000000-0005-0000-0000-00000E050000}"/>
    <cellStyle name="60% - Énfasis6 7" xfId="1452" xr:uid="{00000000-0005-0000-0000-00000F050000}"/>
    <cellStyle name="60% - Énfasis6 8" xfId="1453" xr:uid="{00000000-0005-0000-0000-000010050000}"/>
    <cellStyle name="60% - Énfasis6 9" xfId="1454" xr:uid="{00000000-0005-0000-0000-000011050000}"/>
    <cellStyle name="A3 297 x 420 mm" xfId="1455" xr:uid="{00000000-0005-0000-0000-000012050000}"/>
    <cellStyle name="Accent1" xfId="7344" xr:uid="{00000000-0005-0000-0000-000013050000}"/>
    <cellStyle name="Accent2" xfId="7345" xr:uid="{00000000-0005-0000-0000-000014050000}"/>
    <cellStyle name="Accent3" xfId="7346" xr:uid="{00000000-0005-0000-0000-000015050000}"/>
    <cellStyle name="Accent4" xfId="7347" xr:uid="{00000000-0005-0000-0000-000016050000}"/>
    <cellStyle name="Accent5" xfId="7348" xr:uid="{00000000-0005-0000-0000-000017050000}"/>
    <cellStyle name="Accent6" xfId="7349" xr:uid="{00000000-0005-0000-0000-000018050000}"/>
    <cellStyle name="Bad" xfId="7350" xr:uid="{00000000-0005-0000-0000-000019050000}"/>
    <cellStyle name="Buena 10" xfId="1456" xr:uid="{00000000-0005-0000-0000-00001A050000}"/>
    <cellStyle name="Buena 11" xfId="1457" xr:uid="{00000000-0005-0000-0000-00001B050000}"/>
    <cellStyle name="Buena 12" xfId="1458" xr:uid="{00000000-0005-0000-0000-00001C050000}"/>
    <cellStyle name="Buena 13" xfId="1459" xr:uid="{00000000-0005-0000-0000-00001D050000}"/>
    <cellStyle name="Buena 14" xfId="1460" xr:uid="{00000000-0005-0000-0000-00001E050000}"/>
    <cellStyle name="Buena 15" xfId="1461" xr:uid="{00000000-0005-0000-0000-00001F050000}"/>
    <cellStyle name="Buena 16" xfId="1462" xr:uid="{00000000-0005-0000-0000-000020050000}"/>
    <cellStyle name="Buena 17" xfId="1463" xr:uid="{00000000-0005-0000-0000-000021050000}"/>
    <cellStyle name="Buena 18" xfId="1464" xr:uid="{00000000-0005-0000-0000-000022050000}"/>
    <cellStyle name="Buena 19" xfId="1465" xr:uid="{00000000-0005-0000-0000-000023050000}"/>
    <cellStyle name="Buena 2" xfId="104" xr:uid="{00000000-0005-0000-0000-000024050000}"/>
    <cellStyle name="Buena 2 2" xfId="1466" xr:uid="{00000000-0005-0000-0000-000025050000}"/>
    <cellStyle name="Buena 2 3" xfId="1467" xr:uid="{00000000-0005-0000-0000-000026050000}"/>
    <cellStyle name="Buena 2 4" xfId="1468" xr:uid="{00000000-0005-0000-0000-000027050000}"/>
    <cellStyle name="Buena 2 5" xfId="1469" xr:uid="{00000000-0005-0000-0000-000028050000}"/>
    <cellStyle name="Buena 20" xfId="1470" xr:uid="{00000000-0005-0000-0000-000029050000}"/>
    <cellStyle name="Buena 21" xfId="1471" xr:uid="{00000000-0005-0000-0000-00002A050000}"/>
    <cellStyle name="Buena 22" xfId="1472" xr:uid="{00000000-0005-0000-0000-00002B050000}"/>
    <cellStyle name="Buena 23" xfId="1473" xr:uid="{00000000-0005-0000-0000-00002C050000}"/>
    <cellStyle name="Buena 24" xfId="1474" xr:uid="{00000000-0005-0000-0000-00002D050000}"/>
    <cellStyle name="Buena 25" xfId="1475" xr:uid="{00000000-0005-0000-0000-00002E050000}"/>
    <cellStyle name="Buena 26" xfId="1476" xr:uid="{00000000-0005-0000-0000-00002F050000}"/>
    <cellStyle name="Buena 27" xfId="1477" xr:uid="{00000000-0005-0000-0000-000030050000}"/>
    <cellStyle name="Buena 28" xfId="1478" xr:uid="{00000000-0005-0000-0000-000031050000}"/>
    <cellStyle name="Buena 29" xfId="1479" xr:uid="{00000000-0005-0000-0000-000032050000}"/>
    <cellStyle name="Buena 3" xfId="1480" xr:uid="{00000000-0005-0000-0000-000033050000}"/>
    <cellStyle name="Buena 30" xfId="1481" xr:uid="{00000000-0005-0000-0000-000034050000}"/>
    <cellStyle name="Buena 31" xfId="1482" xr:uid="{00000000-0005-0000-0000-000035050000}"/>
    <cellStyle name="Buena 32" xfId="1483" xr:uid="{00000000-0005-0000-0000-000036050000}"/>
    <cellStyle name="Buena 33" xfId="1484" xr:uid="{00000000-0005-0000-0000-000037050000}"/>
    <cellStyle name="Buena 34" xfId="1485" xr:uid="{00000000-0005-0000-0000-000038050000}"/>
    <cellStyle name="Buena 35" xfId="1486" xr:uid="{00000000-0005-0000-0000-000039050000}"/>
    <cellStyle name="Buena 36" xfId="1487" xr:uid="{00000000-0005-0000-0000-00003A050000}"/>
    <cellStyle name="Buena 37" xfId="1488" xr:uid="{00000000-0005-0000-0000-00003B050000}"/>
    <cellStyle name="Buena 38" xfId="1489" xr:uid="{00000000-0005-0000-0000-00003C050000}"/>
    <cellStyle name="Buena 39" xfId="1490" xr:uid="{00000000-0005-0000-0000-00003D050000}"/>
    <cellStyle name="Buena 4" xfId="1491" xr:uid="{00000000-0005-0000-0000-00003E050000}"/>
    <cellStyle name="Buena 40" xfId="1492" xr:uid="{00000000-0005-0000-0000-00003F050000}"/>
    <cellStyle name="Buena 41" xfId="1493" xr:uid="{00000000-0005-0000-0000-000040050000}"/>
    <cellStyle name="Buena 42" xfId="1494" xr:uid="{00000000-0005-0000-0000-000041050000}"/>
    <cellStyle name="Buena 43" xfId="1495" xr:uid="{00000000-0005-0000-0000-000042050000}"/>
    <cellStyle name="Buena 44" xfId="1496" xr:uid="{00000000-0005-0000-0000-000043050000}"/>
    <cellStyle name="Buena 45" xfId="1497" xr:uid="{00000000-0005-0000-0000-000044050000}"/>
    <cellStyle name="Buena 46" xfId="1498" xr:uid="{00000000-0005-0000-0000-000045050000}"/>
    <cellStyle name="Buena 47" xfId="1499" xr:uid="{00000000-0005-0000-0000-000046050000}"/>
    <cellStyle name="Buena 48" xfId="1500" xr:uid="{00000000-0005-0000-0000-000047050000}"/>
    <cellStyle name="Buena 49" xfId="1501" xr:uid="{00000000-0005-0000-0000-000048050000}"/>
    <cellStyle name="Buena 5" xfId="1502" xr:uid="{00000000-0005-0000-0000-000049050000}"/>
    <cellStyle name="Buena 50" xfId="1503" xr:uid="{00000000-0005-0000-0000-00004A050000}"/>
    <cellStyle name="Buena 51" xfId="1504" xr:uid="{00000000-0005-0000-0000-00004B050000}"/>
    <cellStyle name="Buena 52" xfId="1505" xr:uid="{00000000-0005-0000-0000-00004C050000}"/>
    <cellStyle name="Buena 53" xfId="1506" xr:uid="{00000000-0005-0000-0000-00004D050000}"/>
    <cellStyle name="Buena 54" xfId="1507" xr:uid="{00000000-0005-0000-0000-00004E050000}"/>
    <cellStyle name="Buena 55" xfId="1508" xr:uid="{00000000-0005-0000-0000-00004F050000}"/>
    <cellStyle name="Buena 56" xfId="1509" xr:uid="{00000000-0005-0000-0000-000050050000}"/>
    <cellStyle name="Buena 57" xfId="1510" xr:uid="{00000000-0005-0000-0000-000051050000}"/>
    <cellStyle name="Buena 58" xfId="1511" xr:uid="{00000000-0005-0000-0000-000052050000}"/>
    <cellStyle name="Buena 59" xfId="1512" xr:uid="{00000000-0005-0000-0000-000053050000}"/>
    <cellStyle name="Buena 6" xfId="1513" xr:uid="{00000000-0005-0000-0000-000054050000}"/>
    <cellStyle name="Buena 60" xfId="1514" xr:uid="{00000000-0005-0000-0000-000055050000}"/>
    <cellStyle name="Buena 61" xfId="1515" xr:uid="{00000000-0005-0000-0000-000056050000}"/>
    <cellStyle name="Buena 62" xfId="1516" xr:uid="{00000000-0005-0000-0000-000057050000}"/>
    <cellStyle name="Buena 63" xfId="1517" xr:uid="{00000000-0005-0000-0000-000058050000}"/>
    <cellStyle name="Buena 64" xfId="1518" xr:uid="{00000000-0005-0000-0000-000059050000}"/>
    <cellStyle name="Buena 65" xfId="1519" xr:uid="{00000000-0005-0000-0000-00005A050000}"/>
    <cellStyle name="Buena 66" xfId="1520" xr:uid="{00000000-0005-0000-0000-00005B050000}"/>
    <cellStyle name="Buena 67" xfId="1521" xr:uid="{00000000-0005-0000-0000-00005C050000}"/>
    <cellStyle name="Buena 7" xfId="1522" xr:uid="{00000000-0005-0000-0000-00005D050000}"/>
    <cellStyle name="Buena 8" xfId="1523" xr:uid="{00000000-0005-0000-0000-00005E050000}"/>
    <cellStyle name="Buena 9" xfId="1524" xr:uid="{00000000-0005-0000-0000-00005F050000}"/>
    <cellStyle name="Calculation" xfId="7351" xr:uid="{00000000-0005-0000-0000-000060050000}"/>
    <cellStyle name="Cálculo 10" xfId="1525" xr:uid="{00000000-0005-0000-0000-000061050000}"/>
    <cellStyle name="Cálculo 11" xfId="1526" xr:uid="{00000000-0005-0000-0000-000062050000}"/>
    <cellStyle name="Cálculo 12" xfId="1527" xr:uid="{00000000-0005-0000-0000-000063050000}"/>
    <cellStyle name="Cálculo 13" xfId="1528" xr:uid="{00000000-0005-0000-0000-000064050000}"/>
    <cellStyle name="Cálculo 14" xfId="1529" xr:uid="{00000000-0005-0000-0000-000065050000}"/>
    <cellStyle name="Cálculo 15" xfId="1530" xr:uid="{00000000-0005-0000-0000-000066050000}"/>
    <cellStyle name="Cálculo 16" xfId="1531" xr:uid="{00000000-0005-0000-0000-000067050000}"/>
    <cellStyle name="Cálculo 17" xfId="1532" xr:uid="{00000000-0005-0000-0000-000068050000}"/>
    <cellStyle name="Cálculo 18" xfId="1533" xr:uid="{00000000-0005-0000-0000-000069050000}"/>
    <cellStyle name="Cálculo 19" xfId="1534" xr:uid="{00000000-0005-0000-0000-00006A050000}"/>
    <cellStyle name="Cálculo 2" xfId="105" xr:uid="{00000000-0005-0000-0000-00006B050000}"/>
    <cellStyle name="Cálculo 2 2" xfId="1535" xr:uid="{00000000-0005-0000-0000-00006C050000}"/>
    <cellStyle name="Cálculo 2 3" xfId="1536" xr:uid="{00000000-0005-0000-0000-00006D050000}"/>
    <cellStyle name="Cálculo 2 4" xfId="1537" xr:uid="{00000000-0005-0000-0000-00006E050000}"/>
    <cellStyle name="Cálculo 2 5" xfId="1538" xr:uid="{00000000-0005-0000-0000-00006F050000}"/>
    <cellStyle name="Cálculo 20" xfId="1539" xr:uid="{00000000-0005-0000-0000-000070050000}"/>
    <cellStyle name="Cálculo 21" xfId="1540" xr:uid="{00000000-0005-0000-0000-000071050000}"/>
    <cellStyle name="Cálculo 22" xfId="1541" xr:uid="{00000000-0005-0000-0000-000072050000}"/>
    <cellStyle name="Cálculo 23" xfId="1542" xr:uid="{00000000-0005-0000-0000-000073050000}"/>
    <cellStyle name="Cálculo 24" xfId="1543" xr:uid="{00000000-0005-0000-0000-000074050000}"/>
    <cellStyle name="Cálculo 25" xfId="1544" xr:uid="{00000000-0005-0000-0000-000075050000}"/>
    <cellStyle name="Cálculo 26" xfId="1545" xr:uid="{00000000-0005-0000-0000-000076050000}"/>
    <cellStyle name="Cálculo 27" xfId="1546" xr:uid="{00000000-0005-0000-0000-000077050000}"/>
    <cellStyle name="Cálculo 28" xfId="1547" xr:uid="{00000000-0005-0000-0000-000078050000}"/>
    <cellStyle name="Cálculo 29" xfId="1548" xr:uid="{00000000-0005-0000-0000-000079050000}"/>
    <cellStyle name="Cálculo 3" xfId="1549" xr:uid="{00000000-0005-0000-0000-00007A050000}"/>
    <cellStyle name="Cálculo 30" xfId="1550" xr:uid="{00000000-0005-0000-0000-00007B050000}"/>
    <cellStyle name="Cálculo 31" xfId="1551" xr:uid="{00000000-0005-0000-0000-00007C050000}"/>
    <cellStyle name="Cálculo 32" xfId="1552" xr:uid="{00000000-0005-0000-0000-00007D050000}"/>
    <cellStyle name="Cálculo 33" xfId="1553" xr:uid="{00000000-0005-0000-0000-00007E050000}"/>
    <cellStyle name="Cálculo 34" xfId="1554" xr:uid="{00000000-0005-0000-0000-00007F050000}"/>
    <cellStyle name="Cálculo 35" xfId="1555" xr:uid="{00000000-0005-0000-0000-000080050000}"/>
    <cellStyle name="Cálculo 36" xfId="1556" xr:uid="{00000000-0005-0000-0000-000081050000}"/>
    <cellStyle name="Cálculo 37" xfId="1557" xr:uid="{00000000-0005-0000-0000-000082050000}"/>
    <cellStyle name="Cálculo 38" xfId="1558" xr:uid="{00000000-0005-0000-0000-000083050000}"/>
    <cellStyle name="Cálculo 39" xfId="1559" xr:uid="{00000000-0005-0000-0000-000084050000}"/>
    <cellStyle name="Cálculo 4" xfId="1560" xr:uid="{00000000-0005-0000-0000-000085050000}"/>
    <cellStyle name="Cálculo 40" xfId="1561" xr:uid="{00000000-0005-0000-0000-000086050000}"/>
    <cellStyle name="Cálculo 41" xfId="1562" xr:uid="{00000000-0005-0000-0000-000087050000}"/>
    <cellStyle name="Cálculo 42" xfId="1563" xr:uid="{00000000-0005-0000-0000-000088050000}"/>
    <cellStyle name="Cálculo 43" xfId="1564" xr:uid="{00000000-0005-0000-0000-000089050000}"/>
    <cellStyle name="Cálculo 44" xfId="1565" xr:uid="{00000000-0005-0000-0000-00008A050000}"/>
    <cellStyle name="Cálculo 45" xfId="1566" xr:uid="{00000000-0005-0000-0000-00008B050000}"/>
    <cellStyle name="Cálculo 46" xfId="1567" xr:uid="{00000000-0005-0000-0000-00008C050000}"/>
    <cellStyle name="Cálculo 47" xfId="1568" xr:uid="{00000000-0005-0000-0000-00008D050000}"/>
    <cellStyle name="Cálculo 48" xfId="1569" xr:uid="{00000000-0005-0000-0000-00008E050000}"/>
    <cellStyle name="Cálculo 49" xfId="1570" xr:uid="{00000000-0005-0000-0000-00008F050000}"/>
    <cellStyle name="Cálculo 5" xfId="1571" xr:uid="{00000000-0005-0000-0000-000090050000}"/>
    <cellStyle name="Cálculo 50" xfId="1572" xr:uid="{00000000-0005-0000-0000-000091050000}"/>
    <cellStyle name="Cálculo 51" xfId="1573" xr:uid="{00000000-0005-0000-0000-000092050000}"/>
    <cellStyle name="Cálculo 52" xfId="1574" xr:uid="{00000000-0005-0000-0000-000093050000}"/>
    <cellStyle name="Cálculo 53" xfId="1575" xr:uid="{00000000-0005-0000-0000-000094050000}"/>
    <cellStyle name="Cálculo 54" xfId="1576" xr:uid="{00000000-0005-0000-0000-000095050000}"/>
    <cellStyle name="Cálculo 55" xfId="1577" xr:uid="{00000000-0005-0000-0000-000096050000}"/>
    <cellStyle name="Cálculo 56" xfId="1578" xr:uid="{00000000-0005-0000-0000-000097050000}"/>
    <cellStyle name="Cálculo 57" xfId="1579" xr:uid="{00000000-0005-0000-0000-000098050000}"/>
    <cellStyle name="Cálculo 58" xfId="1580" xr:uid="{00000000-0005-0000-0000-000099050000}"/>
    <cellStyle name="Cálculo 59" xfId="1581" xr:uid="{00000000-0005-0000-0000-00009A050000}"/>
    <cellStyle name="Cálculo 6" xfId="1582" xr:uid="{00000000-0005-0000-0000-00009B050000}"/>
    <cellStyle name="Cálculo 60" xfId="1583" xr:uid="{00000000-0005-0000-0000-00009C050000}"/>
    <cellStyle name="Cálculo 61" xfId="1584" xr:uid="{00000000-0005-0000-0000-00009D050000}"/>
    <cellStyle name="Cálculo 62" xfId="1585" xr:uid="{00000000-0005-0000-0000-00009E050000}"/>
    <cellStyle name="Cálculo 63" xfId="1586" xr:uid="{00000000-0005-0000-0000-00009F050000}"/>
    <cellStyle name="Cálculo 64" xfId="1587" xr:uid="{00000000-0005-0000-0000-0000A0050000}"/>
    <cellStyle name="Cálculo 65" xfId="1588" xr:uid="{00000000-0005-0000-0000-0000A1050000}"/>
    <cellStyle name="Cálculo 66" xfId="1589" xr:uid="{00000000-0005-0000-0000-0000A2050000}"/>
    <cellStyle name="Cálculo 67" xfId="1590" xr:uid="{00000000-0005-0000-0000-0000A3050000}"/>
    <cellStyle name="Cálculo 7" xfId="1591" xr:uid="{00000000-0005-0000-0000-0000A4050000}"/>
    <cellStyle name="Cálculo 8" xfId="1592" xr:uid="{00000000-0005-0000-0000-0000A5050000}"/>
    <cellStyle name="Cálculo 9" xfId="1593" xr:uid="{00000000-0005-0000-0000-0000A6050000}"/>
    <cellStyle name="Cancel" xfId="179" xr:uid="{00000000-0005-0000-0000-0000A7050000}"/>
    <cellStyle name="Cancel 2" xfId="1594" xr:uid="{00000000-0005-0000-0000-0000A8050000}"/>
    <cellStyle name="Cancel 2 2" xfId="3434" xr:uid="{00000000-0005-0000-0000-0000A9050000}"/>
    <cellStyle name="Cancel 2_MPCAD MALECON BALTA - IISS ACI - revisado" xfId="3435" xr:uid="{00000000-0005-0000-0000-0000AA050000}"/>
    <cellStyle name="Cancel_COMPARATIVO BALTA" xfId="3436" xr:uid="{00000000-0005-0000-0000-0000AB050000}"/>
    <cellStyle name="Celda de comprobación 10" xfId="1595" xr:uid="{00000000-0005-0000-0000-0000AC050000}"/>
    <cellStyle name="Celda de comprobación 11" xfId="1596" xr:uid="{00000000-0005-0000-0000-0000AD050000}"/>
    <cellStyle name="Celda de comprobación 12" xfId="1597" xr:uid="{00000000-0005-0000-0000-0000AE050000}"/>
    <cellStyle name="Celda de comprobación 13" xfId="1598" xr:uid="{00000000-0005-0000-0000-0000AF050000}"/>
    <cellStyle name="Celda de comprobación 14" xfId="1599" xr:uid="{00000000-0005-0000-0000-0000B0050000}"/>
    <cellStyle name="Celda de comprobación 15" xfId="1600" xr:uid="{00000000-0005-0000-0000-0000B1050000}"/>
    <cellStyle name="Celda de comprobación 16" xfId="1601" xr:uid="{00000000-0005-0000-0000-0000B2050000}"/>
    <cellStyle name="Celda de comprobación 17" xfId="1602" xr:uid="{00000000-0005-0000-0000-0000B3050000}"/>
    <cellStyle name="Celda de comprobación 18" xfId="1603" xr:uid="{00000000-0005-0000-0000-0000B4050000}"/>
    <cellStyle name="Celda de comprobación 19" xfId="1604" xr:uid="{00000000-0005-0000-0000-0000B5050000}"/>
    <cellStyle name="Celda de comprobación 2" xfId="106" xr:uid="{00000000-0005-0000-0000-0000B6050000}"/>
    <cellStyle name="Celda de comprobación 2 2" xfId="1605" xr:uid="{00000000-0005-0000-0000-0000B7050000}"/>
    <cellStyle name="Celda de comprobación 2 3" xfId="1606" xr:uid="{00000000-0005-0000-0000-0000B8050000}"/>
    <cellStyle name="Celda de comprobación 2 4" xfId="1607" xr:uid="{00000000-0005-0000-0000-0000B9050000}"/>
    <cellStyle name="Celda de comprobación 2 5" xfId="1608" xr:uid="{00000000-0005-0000-0000-0000BA050000}"/>
    <cellStyle name="Celda de comprobación 20" xfId="1609" xr:uid="{00000000-0005-0000-0000-0000BB050000}"/>
    <cellStyle name="Celda de comprobación 21" xfId="1610" xr:uid="{00000000-0005-0000-0000-0000BC050000}"/>
    <cellStyle name="Celda de comprobación 22" xfId="1611" xr:uid="{00000000-0005-0000-0000-0000BD050000}"/>
    <cellStyle name="Celda de comprobación 23" xfId="1612" xr:uid="{00000000-0005-0000-0000-0000BE050000}"/>
    <cellStyle name="Celda de comprobación 24" xfId="1613" xr:uid="{00000000-0005-0000-0000-0000BF050000}"/>
    <cellStyle name="Celda de comprobación 25" xfId="1614" xr:uid="{00000000-0005-0000-0000-0000C0050000}"/>
    <cellStyle name="Celda de comprobación 26" xfId="1615" xr:uid="{00000000-0005-0000-0000-0000C1050000}"/>
    <cellStyle name="Celda de comprobación 27" xfId="1616" xr:uid="{00000000-0005-0000-0000-0000C2050000}"/>
    <cellStyle name="Celda de comprobación 28" xfId="1617" xr:uid="{00000000-0005-0000-0000-0000C3050000}"/>
    <cellStyle name="Celda de comprobación 29" xfId="1618" xr:uid="{00000000-0005-0000-0000-0000C4050000}"/>
    <cellStyle name="Celda de comprobación 3" xfId="1619" xr:uid="{00000000-0005-0000-0000-0000C5050000}"/>
    <cellStyle name="Celda de comprobación 30" xfId="1620" xr:uid="{00000000-0005-0000-0000-0000C6050000}"/>
    <cellStyle name="Celda de comprobación 31" xfId="1621" xr:uid="{00000000-0005-0000-0000-0000C7050000}"/>
    <cellStyle name="Celda de comprobación 32" xfId="1622" xr:uid="{00000000-0005-0000-0000-0000C8050000}"/>
    <cellStyle name="Celda de comprobación 33" xfId="1623" xr:uid="{00000000-0005-0000-0000-0000C9050000}"/>
    <cellStyle name="Celda de comprobación 34" xfId="1624" xr:uid="{00000000-0005-0000-0000-0000CA050000}"/>
    <cellStyle name="Celda de comprobación 35" xfId="1625" xr:uid="{00000000-0005-0000-0000-0000CB050000}"/>
    <cellStyle name="Celda de comprobación 36" xfId="1626" xr:uid="{00000000-0005-0000-0000-0000CC050000}"/>
    <cellStyle name="Celda de comprobación 37" xfId="1627" xr:uid="{00000000-0005-0000-0000-0000CD050000}"/>
    <cellStyle name="Celda de comprobación 38" xfId="1628" xr:uid="{00000000-0005-0000-0000-0000CE050000}"/>
    <cellStyle name="Celda de comprobación 39" xfId="1629" xr:uid="{00000000-0005-0000-0000-0000CF050000}"/>
    <cellStyle name="Celda de comprobación 4" xfId="1630" xr:uid="{00000000-0005-0000-0000-0000D0050000}"/>
    <cellStyle name="Celda de comprobación 40" xfId="1631" xr:uid="{00000000-0005-0000-0000-0000D1050000}"/>
    <cellStyle name="Celda de comprobación 41" xfId="1632" xr:uid="{00000000-0005-0000-0000-0000D2050000}"/>
    <cellStyle name="Celda de comprobación 42" xfId="1633" xr:uid="{00000000-0005-0000-0000-0000D3050000}"/>
    <cellStyle name="Celda de comprobación 43" xfId="1634" xr:uid="{00000000-0005-0000-0000-0000D4050000}"/>
    <cellStyle name="Celda de comprobación 44" xfId="1635" xr:uid="{00000000-0005-0000-0000-0000D5050000}"/>
    <cellStyle name="Celda de comprobación 45" xfId="1636" xr:uid="{00000000-0005-0000-0000-0000D6050000}"/>
    <cellStyle name="Celda de comprobación 46" xfId="1637" xr:uid="{00000000-0005-0000-0000-0000D7050000}"/>
    <cellStyle name="Celda de comprobación 47" xfId="1638" xr:uid="{00000000-0005-0000-0000-0000D8050000}"/>
    <cellStyle name="Celda de comprobación 48" xfId="1639" xr:uid="{00000000-0005-0000-0000-0000D9050000}"/>
    <cellStyle name="Celda de comprobación 49" xfId="1640" xr:uid="{00000000-0005-0000-0000-0000DA050000}"/>
    <cellStyle name="Celda de comprobación 5" xfId="1641" xr:uid="{00000000-0005-0000-0000-0000DB050000}"/>
    <cellStyle name="Celda de comprobación 50" xfId="1642" xr:uid="{00000000-0005-0000-0000-0000DC050000}"/>
    <cellStyle name="Celda de comprobación 51" xfId="1643" xr:uid="{00000000-0005-0000-0000-0000DD050000}"/>
    <cellStyle name="Celda de comprobación 52" xfId="1644" xr:uid="{00000000-0005-0000-0000-0000DE050000}"/>
    <cellStyle name="Celda de comprobación 53" xfId="1645" xr:uid="{00000000-0005-0000-0000-0000DF050000}"/>
    <cellStyle name="Celda de comprobación 54" xfId="1646" xr:uid="{00000000-0005-0000-0000-0000E0050000}"/>
    <cellStyle name="Celda de comprobación 55" xfId="1647" xr:uid="{00000000-0005-0000-0000-0000E1050000}"/>
    <cellStyle name="Celda de comprobación 56" xfId="1648" xr:uid="{00000000-0005-0000-0000-0000E2050000}"/>
    <cellStyle name="Celda de comprobación 57" xfId="1649" xr:uid="{00000000-0005-0000-0000-0000E3050000}"/>
    <cellStyle name="Celda de comprobación 58" xfId="1650" xr:uid="{00000000-0005-0000-0000-0000E4050000}"/>
    <cellStyle name="Celda de comprobación 59" xfId="1651" xr:uid="{00000000-0005-0000-0000-0000E5050000}"/>
    <cellStyle name="Celda de comprobación 6" xfId="1652" xr:uid="{00000000-0005-0000-0000-0000E6050000}"/>
    <cellStyle name="Celda de comprobación 60" xfId="1653" xr:uid="{00000000-0005-0000-0000-0000E7050000}"/>
    <cellStyle name="Celda de comprobación 61" xfId="1654" xr:uid="{00000000-0005-0000-0000-0000E8050000}"/>
    <cellStyle name="Celda de comprobación 62" xfId="1655" xr:uid="{00000000-0005-0000-0000-0000E9050000}"/>
    <cellStyle name="Celda de comprobación 63" xfId="1656" xr:uid="{00000000-0005-0000-0000-0000EA050000}"/>
    <cellStyle name="Celda de comprobación 64" xfId="1657" xr:uid="{00000000-0005-0000-0000-0000EB050000}"/>
    <cellStyle name="Celda de comprobación 65" xfId="1658" xr:uid="{00000000-0005-0000-0000-0000EC050000}"/>
    <cellStyle name="Celda de comprobación 66" xfId="1659" xr:uid="{00000000-0005-0000-0000-0000ED050000}"/>
    <cellStyle name="Celda de comprobación 67" xfId="1660" xr:uid="{00000000-0005-0000-0000-0000EE050000}"/>
    <cellStyle name="Celda de comprobación 7" xfId="1661" xr:uid="{00000000-0005-0000-0000-0000EF050000}"/>
    <cellStyle name="Celda de comprobación 8" xfId="1662" xr:uid="{00000000-0005-0000-0000-0000F0050000}"/>
    <cellStyle name="Celda de comprobación 9" xfId="1663" xr:uid="{00000000-0005-0000-0000-0000F1050000}"/>
    <cellStyle name="Celda vinculada 10" xfId="1664" xr:uid="{00000000-0005-0000-0000-0000F2050000}"/>
    <cellStyle name="Celda vinculada 11" xfId="1665" xr:uid="{00000000-0005-0000-0000-0000F3050000}"/>
    <cellStyle name="Celda vinculada 12" xfId="1666" xr:uid="{00000000-0005-0000-0000-0000F4050000}"/>
    <cellStyle name="Celda vinculada 13" xfId="1667" xr:uid="{00000000-0005-0000-0000-0000F5050000}"/>
    <cellStyle name="Celda vinculada 14" xfId="1668" xr:uid="{00000000-0005-0000-0000-0000F6050000}"/>
    <cellStyle name="Celda vinculada 15" xfId="1669" xr:uid="{00000000-0005-0000-0000-0000F7050000}"/>
    <cellStyle name="Celda vinculada 16" xfId="1670" xr:uid="{00000000-0005-0000-0000-0000F8050000}"/>
    <cellStyle name="Celda vinculada 17" xfId="1671" xr:uid="{00000000-0005-0000-0000-0000F9050000}"/>
    <cellStyle name="Celda vinculada 18" xfId="1672" xr:uid="{00000000-0005-0000-0000-0000FA050000}"/>
    <cellStyle name="Celda vinculada 19" xfId="1673" xr:uid="{00000000-0005-0000-0000-0000FB050000}"/>
    <cellStyle name="Celda vinculada 2" xfId="107" xr:uid="{00000000-0005-0000-0000-0000FC050000}"/>
    <cellStyle name="Celda vinculada 2 2" xfId="1674" xr:uid="{00000000-0005-0000-0000-0000FD050000}"/>
    <cellStyle name="Celda vinculada 2 3" xfId="1675" xr:uid="{00000000-0005-0000-0000-0000FE050000}"/>
    <cellStyle name="Celda vinculada 2 4" xfId="1676" xr:uid="{00000000-0005-0000-0000-0000FF050000}"/>
    <cellStyle name="Celda vinculada 2 5" xfId="1677" xr:uid="{00000000-0005-0000-0000-000000060000}"/>
    <cellStyle name="Celda vinculada 20" xfId="1678" xr:uid="{00000000-0005-0000-0000-000001060000}"/>
    <cellStyle name="Celda vinculada 21" xfId="1679" xr:uid="{00000000-0005-0000-0000-000002060000}"/>
    <cellStyle name="Celda vinculada 22" xfId="1680" xr:uid="{00000000-0005-0000-0000-000003060000}"/>
    <cellStyle name="Celda vinculada 23" xfId="1681" xr:uid="{00000000-0005-0000-0000-000004060000}"/>
    <cellStyle name="Celda vinculada 24" xfId="1682" xr:uid="{00000000-0005-0000-0000-000005060000}"/>
    <cellStyle name="Celda vinculada 25" xfId="1683" xr:uid="{00000000-0005-0000-0000-000006060000}"/>
    <cellStyle name="Celda vinculada 26" xfId="1684" xr:uid="{00000000-0005-0000-0000-000007060000}"/>
    <cellStyle name="Celda vinculada 27" xfId="1685" xr:uid="{00000000-0005-0000-0000-000008060000}"/>
    <cellStyle name="Celda vinculada 28" xfId="1686" xr:uid="{00000000-0005-0000-0000-000009060000}"/>
    <cellStyle name="Celda vinculada 29" xfId="1687" xr:uid="{00000000-0005-0000-0000-00000A060000}"/>
    <cellStyle name="Celda vinculada 3" xfId="1688" xr:uid="{00000000-0005-0000-0000-00000B060000}"/>
    <cellStyle name="Celda vinculada 30" xfId="1689" xr:uid="{00000000-0005-0000-0000-00000C060000}"/>
    <cellStyle name="Celda vinculada 31" xfId="1690" xr:uid="{00000000-0005-0000-0000-00000D060000}"/>
    <cellStyle name="Celda vinculada 32" xfId="1691" xr:uid="{00000000-0005-0000-0000-00000E060000}"/>
    <cellStyle name="Celda vinculada 33" xfId="1692" xr:uid="{00000000-0005-0000-0000-00000F060000}"/>
    <cellStyle name="Celda vinculada 34" xfId="1693" xr:uid="{00000000-0005-0000-0000-000010060000}"/>
    <cellStyle name="Celda vinculada 35" xfId="1694" xr:uid="{00000000-0005-0000-0000-000011060000}"/>
    <cellStyle name="Celda vinculada 36" xfId="1695" xr:uid="{00000000-0005-0000-0000-000012060000}"/>
    <cellStyle name="Celda vinculada 37" xfId="1696" xr:uid="{00000000-0005-0000-0000-000013060000}"/>
    <cellStyle name="Celda vinculada 38" xfId="1697" xr:uid="{00000000-0005-0000-0000-000014060000}"/>
    <cellStyle name="Celda vinculada 39" xfId="1698" xr:uid="{00000000-0005-0000-0000-000015060000}"/>
    <cellStyle name="Celda vinculada 4" xfId="1699" xr:uid="{00000000-0005-0000-0000-000016060000}"/>
    <cellStyle name="Celda vinculada 40" xfId="1700" xr:uid="{00000000-0005-0000-0000-000017060000}"/>
    <cellStyle name="Celda vinculada 41" xfId="1701" xr:uid="{00000000-0005-0000-0000-000018060000}"/>
    <cellStyle name="Celda vinculada 42" xfId="1702" xr:uid="{00000000-0005-0000-0000-000019060000}"/>
    <cellStyle name="Celda vinculada 43" xfId="1703" xr:uid="{00000000-0005-0000-0000-00001A060000}"/>
    <cellStyle name="Celda vinculada 44" xfId="1704" xr:uid="{00000000-0005-0000-0000-00001B060000}"/>
    <cellStyle name="Celda vinculada 45" xfId="1705" xr:uid="{00000000-0005-0000-0000-00001C060000}"/>
    <cellStyle name="Celda vinculada 46" xfId="1706" xr:uid="{00000000-0005-0000-0000-00001D060000}"/>
    <cellStyle name="Celda vinculada 47" xfId="1707" xr:uid="{00000000-0005-0000-0000-00001E060000}"/>
    <cellStyle name="Celda vinculada 48" xfId="1708" xr:uid="{00000000-0005-0000-0000-00001F060000}"/>
    <cellStyle name="Celda vinculada 49" xfId="1709" xr:uid="{00000000-0005-0000-0000-000020060000}"/>
    <cellStyle name="Celda vinculada 5" xfId="1710" xr:uid="{00000000-0005-0000-0000-000021060000}"/>
    <cellStyle name="Celda vinculada 50" xfId="1711" xr:uid="{00000000-0005-0000-0000-000022060000}"/>
    <cellStyle name="Celda vinculada 51" xfId="1712" xr:uid="{00000000-0005-0000-0000-000023060000}"/>
    <cellStyle name="Celda vinculada 52" xfId="1713" xr:uid="{00000000-0005-0000-0000-000024060000}"/>
    <cellStyle name="Celda vinculada 53" xfId="1714" xr:uid="{00000000-0005-0000-0000-000025060000}"/>
    <cellStyle name="Celda vinculada 54" xfId="1715" xr:uid="{00000000-0005-0000-0000-000026060000}"/>
    <cellStyle name="Celda vinculada 55" xfId="1716" xr:uid="{00000000-0005-0000-0000-000027060000}"/>
    <cellStyle name="Celda vinculada 56" xfId="1717" xr:uid="{00000000-0005-0000-0000-000028060000}"/>
    <cellStyle name="Celda vinculada 57" xfId="1718" xr:uid="{00000000-0005-0000-0000-000029060000}"/>
    <cellStyle name="Celda vinculada 58" xfId="1719" xr:uid="{00000000-0005-0000-0000-00002A060000}"/>
    <cellStyle name="Celda vinculada 59" xfId="1720" xr:uid="{00000000-0005-0000-0000-00002B060000}"/>
    <cellStyle name="Celda vinculada 6" xfId="1721" xr:uid="{00000000-0005-0000-0000-00002C060000}"/>
    <cellStyle name="Celda vinculada 60" xfId="1722" xr:uid="{00000000-0005-0000-0000-00002D060000}"/>
    <cellStyle name="Celda vinculada 61" xfId="1723" xr:uid="{00000000-0005-0000-0000-00002E060000}"/>
    <cellStyle name="Celda vinculada 62" xfId="1724" xr:uid="{00000000-0005-0000-0000-00002F060000}"/>
    <cellStyle name="Celda vinculada 63" xfId="1725" xr:uid="{00000000-0005-0000-0000-000030060000}"/>
    <cellStyle name="Celda vinculada 64" xfId="1726" xr:uid="{00000000-0005-0000-0000-000031060000}"/>
    <cellStyle name="Celda vinculada 65" xfId="1727" xr:uid="{00000000-0005-0000-0000-000032060000}"/>
    <cellStyle name="Celda vinculada 66" xfId="1728" xr:uid="{00000000-0005-0000-0000-000033060000}"/>
    <cellStyle name="Celda vinculada 67" xfId="1729" xr:uid="{00000000-0005-0000-0000-000034060000}"/>
    <cellStyle name="Celda vinculada 7" xfId="1730" xr:uid="{00000000-0005-0000-0000-000035060000}"/>
    <cellStyle name="Celda vinculada 8" xfId="1731" xr:uid="{00000000-0005-0000-0000-000036060000}"/>
    <cellStyle name="Celda vinculada 9" xfId="1732" xr:uid="{00000000-0005-0000-0000-000037060000}"/>
    <cellStyle name="Check Cell" xfId="7352" xr:uid="{00000000-0005-0000-0000-000038060000}"/>
    <cellStyle name="Comma" xfId="1" xr:uid="{00000000-0005-0000-0000-000039060000}"/>
    <cellStyle name="Comma [0] 2" xfId="180" xr:uid="{00000000-0005-0000-0000-00003A060000}"/>
    <cellStyle name="Comma [0] 3" xfId="181" xr:uid="{00000000-0005-0000-0000-00003B060000}"/>
    <cellStyle name="Comma 10" xfId="3437" xr:uid="{00000000-0005-0000-0000-00003D060000}"/>
    <cellStyle name="Comma 11" xfId="3438" xr:uid="{00000000-0005-0000-0000-00003E060000}"/>
    <cellStyle name="Comma 12" xfId="3439" xr:uid="{00000000-0005-0000-0000-00003F060000}"/>
    <cellStyle name="Comma 13" xfId="3440" xr:uid="{00000000-0005-0000-0000-000040060000}"/>
    <cellStyle name="Comma 14" xfId="3441" xr:uid="{00000000-0005-0000-0000-000041060000}"/>
    <cellStyle name="Comma 15" xfId="3442" xr:uid="{00000000-0005-0000-0000-000042060000}"/>
    <cellStyle name="Comma 16" xfId="3443" xr:uid="{00000000-0005-0000-0000-000043060000}"/>
    <cellStyle name="Comma 17" xfId="3444" xr:uid="{00000000-0005-0000-0000-000044060000}"/>
    <cellStyle name="Comma 18" xfId="3445" xr:uid="{00000000-0005-0000-0000-000045060000}"/>
    <cellStyle name="Comma 19" xfId="3446" xr:uid="{00000000-0005-0000-0000-000046060000}"/>
    <cellStyle name="Comma 2" xfId="108" xr:uid="{00000000-0005-0000-0000-000047060000}"/>
    <cellStyle name="Comma 2 2" xfId="3447" xr:uid="{00000000-0005-0000-0000-000048060000}"/>
    <cellStyle name="Comma 20" xfId="3448" xr:uid="{00000000-0005-0000-0000-000049060000}"/>
    <cellStyle name="Comma 21" xfId="3449" xr:uid="{00000000-0005-0000-0000-00004A060000}"/>
    <cellStyle name="Comma 22" xfId="3450" xr:uid="{00000000-0005-0000-0000-00004B060000}"/>
    <cellStyle name="Comma 23" xfId="3451" xr:uid="{00000000-0005-0000-0000-00004C060000}"/>
    <cellStyle name="Comma 24" xfId="3452" xr:uid="{00000000-0005-0000-0000-00004D060000}"/>
    <cellStyle name="Comma 25" xfId="3453" xr:uid="{00000000-0005-0000-0000-00004E060000}"/>
    <cellStyle name="Comma 26" xfId="3454" xr:uid="{00000000-0005-0000-0000-00004F060000}"/>
    <cellStyle name="Comma 27" xfId="3455" xr:uid="{00000000-0005-0000-0000-000050060000}"/>
    <cellStyle name="Comma 28" xfId="3456" xr:uid="{00000000-0005-0000-0000-000051060000}"/>
    <cellStyle name="Comma 29" xfId="3457" xr:uid="{00000000-0005-0000-0000-000052060000}"/>
    <cellStyle name="Comma 3" xfId="182" xr:uid="{00000000-0005-0000-0000-000053060000}"/>
    <cellStyle name="Comma 30" xfId="3458" xr:uid="{00000000-0005-0000-0000-000054060000}"/>
    <cellStyle name="Comma 31" xfId="3459" xr:uid="{00000000-0005-0000-0000-000055060000}"/>
    <cellStyle name="Comma 32" xfId="3460" xr:uid="{00000000-0005-0000-0000-000056060000}"/>
    <cellStyle name="Comma 33" xfId="3461" xr:uid="{00000000-0005-0000-0000-000057060000}"/>
    <cellStyle name="Comma 34" xfId="3462" xr:uid="{00000000-0005-0000-0000-000058060000}"/>
    <cellStyle name="Comma 35" xfId="3463" xr:uid="{00000000-0005-0000-0000-000059060000}"/>
    <cellStyle name="Comma 36" xfId="3464" xr:uid="{00000000-0005-0000-0000-00005A060000}"/>
    <cellStyle name="Comma 37" xfId="3465" xr:uid="{00000000-0005-0000-0000-00005B060000}"/>
    <cellStyle name="Comma 38" xfId="3466" xr:uid="{00000000-0005-0000-0000-00005C060000}"/>
    <cellStyle name="Comma 39" xfId="3467" xr:uid="{00000000-0005-0000-0000-00005D060000}"/>
    <cellStyle name="Comma 4" xfId="183" xr:uid="{00000000-0005-0000-0000-00005E060000}"/>
    <cellStyle name="Comma 40" xfId="3468" xr:uid="{00000000-0005-0000-0000-00005F060000}"/>
    <cellStyle name="Comma 41" xfId="3469" xr:uid="{00000000-0005-0000-0000-000060060000}"/>
    <cellStyle name="Comma 42" xfId="3470" xr:uid="{00000000-0005-0000-0000-000061060000}"/>
    <cellStyle name="Comma 43" xfId="3471" xr:uid="{00000000-0005-0000-0000-000062060000}"/>
    <cellStyle name="Comma 44" xfId="3472" xr:uid="{00000000-0005-0000-0000-000063060000}"/>
    <cellStyle name="Comma 45" xfId="3473" xr:uid="{00000000-0005-0000-0000-000064060000}"/>
    <cellStyle name="Comma 46" xfId="3474" xr:uid="{00000000-0005-0000-0000-000065060000}"/>
    <cellStyle name="Comma 47" xfId="3475" xr:uid="{00000000-0005-0000-0000-000066060000}"/>
    <cellStyle name="Comma 48" xfId="3476" xr:uid="{00000000-0005-0000-0000-000067060000}"/>
    <cellStyle name="Comma 49" xfId="3477" xr:uid="{00000000-0005-0000-0000-000068060000}"/>
    <cellStyle name="Comma 5" xfId="3478" xr:uid="{00000000-0005-0000-0000-000069060000}"/>
    <cellStyle name="Comma 50" xfId="3479" xr:uid="{00000000-0005-0000-0000-00006A060000}"/>
    <cellStyle name="Comma 51" xfId="3480" xr:uid="{00000000-0005-0000-0000-00006B060000}"/>
    <cellStyle name="Comma 52" xfId="3481" xr:uid="{00000000-0005-0000-0000-00006C060000}"/>
    <cellStyle name="Comma 53" xfId="3482" xr:uid="{00000000-0005-0000-0000-00006D060000}"/>
    <cellStyle name="Comma 54" xfId="3483" xr:uid="{00000000-0005-0000-0000-00006E060000}"/>
    <cellStyle name="Comma 55" xfId="3484" xr:uid="{00000000-0005-0000-0000-00006F060000}"/>
    <cellStyle name="Comma 56" xfId="3485" xr:uid="{00000000-0005-0000-0000-000070060000}"/>
    <cellStyle name="Comma 57" xfId="3486" xr:uid="{00000000-0005-0000-0000-000071060000}"/>
    <cellStyle name="Comma 58" xfId="3487" xr:uid="{00000000-0005-0000-0000-000072060000}"/>
    <cellStyle name="Comma 59" xfId="3488" xr:uid="{00000000-0005-0000-0000-000073060000}"/>
    <cellStyle name="Comma 6" xfId="3489" xr:uid="{00000000-0005-0000-0000-000074060000}"/>
    <cellStyle name="Comma 60" xfId="3490" xr:uid="{00000000-0005-0000-0000-000075060000}"/>
    <cellStyle name="Comma 61" xfId="3491" xr:uid="{00000000-0005-0000-0000-000076060000}"/>
    <cellStyle name="Comma 62" xfId="3492" xr:uid="{00000000-0005-0000-0000-000077060000}"/>
    <cellStyle name="Comma 63" xfId="3493" xr:uid="{00000000-0005-0000-0000-000078060000}"/>
    <cellStyle name="Comma 64" xfId="3494" xr:uid="{00000000-0005-0000-0000-000079060000}"/>
    <cellStyle name="Comma 65" xfId="3495" xr:uid="{00000000-0005-0000-0000-00007A060000}"/>
    <cellStyle name="Comma 66" xfId="3496" xr:uid="{00000000-0005-0000-0000-00007B060000}"/>
    <cellStyle name="Comma 67" xfId="3497" xr:uid="{00000000-0005-0000-0000-00007C060000}"/>
    <cellStyle name="Comma 68" xfId="3498" xr:uid="{00000000-0005-0000-0000-00007D060000}"/>
    <cellStyle name="Comma 69" xfId="3499" xr:uid="{00000000-0005-0000-0000-00007E060000}"/>
    <cellStyle name="Comma 7" xfId="3500" xr:uid="{00000000-0005-0000-0000-00007F060000}"/>
    <cellStyle name="Comma 70" xfId="3501" xr:uid="{00000000-0005-0000-0000-000080060000}"/>
    <cellStyle name="Comma 71" xfId="3502" xr:uid="{00000000-0005-0000-0000-000081060000}"/>
    <cellStyle name="Comma 72" xfId="3503" xr:uid="{00000000-0005-0000-0000-000082060000}"/>
    <cellStyle name="Comma 73" xfId="3504" xr:uid="{00000000-0005-0000-0000-000083060000}"/>
    <cellStyle name="Comma 74" xfId="3505" xr:uid="{00000000-0005-0000-0000-000084060000}"/>
    <cellStyle name="Comma 75" xfId="3506" xr:uid="{00000000-0005-0000-0000-000085060000}"/>
    <cellStyle name="Comma 76" xfId="3507" xr:uid="{00000000-0005-0000-0000-000086060000}"/>
    <cellStyle name="Comma 77" xfId="3508" xr:uid="{00000000-0005-0000-0000-000087060000}"/>
    <cellStyle name="Comma 8" xfId="3509" xr:uid="{00000000-0005-0000-0000-000088060000}"/>
    <cellStyle name="Comma 9" xfId="3510" xr:uid="{00000000-0005-0000-0000-000089060000}"/>
    <cellStyle name="Comma0" xfId="109" xr:uid="{00000000-0005-0000-0000-00008B060000}"/>
    <cellStyle name="Comma0 - Modelo1" xfId="58354" xr:uid="{00000000-0005-0000-0000-00008C060000}"/>
    <cellStyle name="Comma0 - Style1" xfId="3511" xr:uid="{00000000-0005-0000-0000-00008D060000}"/>
    <cellStyle name="Comma0 - Style2" xfId="3512" xr:uid="{00000000-0005-0000-0000-00008E060000}"/>
    <cellStyle name="Comma0 10" xfId="3513" xr:uid="{00000000-0005-0000-0000-00008F060000}"/>
    <cellStyle name="Comma0 11" xfId="3514" xr:uid="{00000000-0005-0000-0000-000090060000}"/>
    <cellStyle name="Comma0 12" xfId="3515" xr:uid="{00000000-0005-0000-0000-000091060000}"/>
    <cellStyle name="Comma0 13" xfId="3516" xr:uid="{00000000-0005-0000-0000-000092060000}"/>
    <cellStyle name="Comma0 14" xfId="3517" xr:uid="{00000000-0005-0000-0000-000093060000}"/>
    <cellStyle name="Comma0 15" xfId="3518" xr:uid="{00000000-0005-0000-0000-000094060000}"/>
    <cellStyle name="Comma0 16" xfId="3519" xr:uid="{00000000-0005-0000-0000-000095060000}"/>
    <cellStyle name="Comma0 17" xfId="3520" xr:uid="{00000000-0005-0000-0000-000096060000}"/>
    <cellStyle name="Comma0 18" xfId="3521" xr:uid="{00000000-0005-0000-0000-000097060000}"/>
    <cellStyle name="Comma0 19" xfId="3522" xr:uid="{00000000-0005-0000-0000-000098060000}"/>
    <cellStyle name="Comma0 2" xfId="110" xr:uid="{00000000-0005-0000-0000-000099060000}"/>
    <cellStyle name="Comma0 20" xfId="3523" xr:uid="{00000000-0005-0000-0000-00009A060000}"/>
    <cellStyle name="Comma0 21" xfId="3524" xr:uid="{00000000-0005-0000-0000-00009B060000}"/>
    <cellStyle name="Comma0 22" xfId="3525" xr:uid="{00000000-0005-0000-0000-00009C060000}"/>
    <cellStyle name="Comma0 23" xfId="3526" xr:uid="{00000000-0005-0000-0000-00009D060000}"/>
    <cellStyle name="Comma0 24" xfId="3527" xr:uid="{00000000-0005-0000-0000-00009E060000}"/>
    <cellStyle name="Comma0 25" xfId="3528" xr:uid="{00000000-0005-0000-0000-00009F060000}"/>
    <cellStyle name="Comma0 26" xfId="3529" xr:uid="{00000000-0005-0000-0000-0000A0060000}"/>
    <cellStyle name="Comma0 27" xfId="3530" xr:uid="{00000000-0005-0000-0000-0000A1060000}"/>
    <cellStyle name="Comma0 28" xfId="3531" xr:uid="{00000000-0005-0000-0000-0000A2060000}"/>
    <cellStyle name="Comma0 29" xfId="3532" xr:uid="{00000000-0005-0000-0000-0000A3060000}"/>
    <cellStyle name="Comma0 3" xfId="3533" xr:uid="{00000000-0005-0000-0000-0000A4060000}"/>
    <cellStyle name="Comma0 30" xfId="3534" xr:uid="{00000000-0005-0000-0000-0000A5060000}"/>
    <cellStyle name="Comma0 31" xfId="3535" xr:uid="{00000000-0005-0000-0000-0000A6060000}"/>
    <cellStyle name="Comma0 32" xfId="3536" xr:uid="{00000000-0005-0000-0000-0000A7060000}"/>
    <cellStyle name="Comma0 33" xfId="3537" xr:uid="{00000000-0005-0000-0000-0000A8060000}"/>
    <cellStyle name="Comma0 34" xfId="3538" xr:uid="{00000000-0005-0000-0000-0000A9060000}"/>
    <cellStyle name="Comma0 35" xfId="3539" xr:uid="{00000000-0005-0000-0000-0000AA060000}"/>
    <cellStyle name="Comma0 36" xfId="3540" xr:uid="{00000000-0005-0000-0000-0000AB060000}"/>
    <cellStyle name="Comma0 37" xfId="3541" xr:uid="{00000000-0005-0000-0000-0000AC060000}"/>
    <cellStyle name="Comma0 38" xfId="3542" xr:uid="{00000000-0005-0000-0000-0000AD060000}"/>
    <cellStyle name="Comma0 39" xfId="3543" xr:uid="{00000000-0005-0000-0000-0000AE060000}"/>
    <cellStyle name="Comma0 4" xfId="3544" xr:uid="{00000000-0005-0000-0000-0000AF060000}"/>
    <cellStyle name="Comma0 40" xfId="3545" xr:uid="{00000000-0005-0000-0000-0000B0060000}"/>
    <cellStyle name="Comma0 41" xfId="3546" xr:uid="{00000000-0005-0000-0000-0000B1060000}"/>
    <cellStyle name="Comma0 42" xfId="3547" xr:uid="{00000000-0005-0000-0000-0000B2060000}"/>
    <cellStyle name="Comma0 43" xfId="3548" xr:uid="{00000000-0005-0000-0000-0000B3060000}"/>
    <cellStyle name="Comma0 44" xfId="3549" xr:uid="{00000000-0005-0000-0000-0000B4060000}"/>
    <cellStyle name="Comma0 45" xfId="3550" xr:uid="{00000000-0005-0000-0000-0000B5060000}"/>
    <cellStyle name="Comma0 46" xfId="3551" xr:uid="{00000000-0005-0000-0000-0000B6060000}"/>
    <cellStyle name="Comma0 47" xfId="3552" xr:uid="{00000000-0005-0000-0000-0000B7060000}"/>
    <cellStyle name="Comma0 48" xfId="3553" xr:uid="{00000000-0005-0000-0000-0000B8060000}"/>
    <cellStyle name="Comma0 49" xfId="3554" xr:uid="{00000000-0005-0000-0000-0000B9060000}"/>
    <cellStyle name="Comma0 5" xfId="3555" xr:uid="{00000000-0005-0000-0000-0000BA060000}"/>
    <cellStyle name="Comma0 50" xfId="3556" xr:uid="{00000000-0005-0000-0000-0000BB060000}"/>
    <cellStyle name="Comma0 51" xfId="3557" xr:uid="{00000000-0005-0000-0000-0000BC060000}"/>
    <cellStyle name="Comma0 52" xfId="3558" xr:uid="{00000000-0005-0000-0000-0000BD060000}"/>
    <cellStyle name="Comma0 53" xfId="3559" xr:uid="{00000000-0005-0000-0000-0000BE060000}"/>
    <cellStyle name="Comma0 54" xfId="3560" xr:uid="{00000000-0005-0000-0000-0000BF060000}"/>
    <cellStyle name="Comma0 55" xfId="3561" xr:uid="{00000000-0005-0000-0000-0000C0060000}"/>
    <cellStyle name="Comma0 56" xfId="3562" xr:uid="{00000000-0005-0000-0000-0000C1060000}"/>
    <cellStyle name="Comma0 57" xfId="3563" xr:uid="{00000000-0005-0000-0000-0000C2060000}"/>
    <cellStyle name="Comma0 58" xfId="3564" xr:uid="{00000000-0005-0000-0000-0000C3060000}"/>
    <cellStyle name="Comma0 59" xfId="3565" xr:uid="{00000000-0005-0000-0000-0000C4060000}"/>
    <cellStyle name="Comma0 6" xfId="3566" xr:uid="{00000000-0005-0000-0000-0000C5060000}"/>
    <cellStyle name="Comma0 60" xfId="3567" xr:uid="{00000000-0005-0000-0000-0000C6060000}"/>
    <cellStyle name="Comma0 61" xfId="3568" xr:uid="{00000000-0005-0000-0000-0000C7060000}"/>
    <cellStyle name="Comma0 62" xfId="3569" xr:uid="{00000000-0005-0000-0000-0000C8060000}"/>
    <cellStyle name="Comma0 63" xfId="3570" xr:uid="{00000000-0005-0000-0000-0000C9060000}"/>
    <cellStyle name="Comma0 64" xfId="3571" xr:uid="{00000000-0005-0000-0000-0000CA060000}"/>
    <cellStyle name="Comma0 65" xfId="3572" xr:uid="{00000000-0005-0000-0000-0000CB060000}"/>
    <cellStyle name="Comma0 66" xfId="3573" xr:uid="{00000000-0005-0000-0000-0000CC060000}"/>
    <cellStyle name="Comma0 67" xfId="3574" xr:uid="{00000000-0005-0000-0000-0000CD060000}"/>
    <cellStyle name="Comma0 68" xfId="3575" xr:uid="{00000000-0005-0000-0000-0000CE060000}"/>
    <cellStyle name="Comma0 69" xfId="3576" xr:uid="{00000000-0005-0000-0000-0000CF060000}"/>
    <cellStyle name="Comma0 7" xfId="3577" xr:uid="{00000000-0005-0000-0000-0000D0060000}"/>
    <cellStyle name="Comma0 70" xfId="3578" xr:uid="{00000000-0005-0000-0000-0000D1060000}"/>
    <cellStyle name="Comma0 71" xfId="3579" xr:uid="{00000000-0005-0000-0000-0000D2060000}"/>
    <cellStyle name="Comma0 72" xfId="3580" xr:uid="{00000000-0005-0000-0000-0000D3060000}"/>
    <cellStyle name="Comma0 73" xfId="3581" xr:uid="{00000000-0005-0000-0000-0000D4060000}"/>
    <cellStyle name="Comma0 74" xfId="3582" xr:uid="{00000000-0005-0000-0000-0000D5060000}"/>
    <cellStyle name="Comma0 75" xfId="3583" xr:uid="{00000000-0005-0000-0000-0000D6060000}"/>
    <cellStyle name="Comma0 76" xfId="3584" xr:uid="{00000000-0005-0000-0000-0000D7060000}"/>
    <cellStyle name="Comma0 8" xfId="3585" xr:uid="{00000000-0005-0000-0000-0000D8060000}"/>
    <cellStyle name="Comma0 9" xfId="3586" xr:uid="{00000000-0005-0000-0000-0000D9060000}"/>
    <cellStyle name="Comma0_FIBRA-Edif. EUREKA-Listado de Partidas" xfId="3587" xr:uid="{00000000-0005-0000-0000-0000DA060000}"/>
    <cellStyle name="Comma1 - Modelo2" xfId="58355" xr:uid="{00000000-0005-0000-0000-0000DB060000}"/>
    <cellStyle name="Comma1 - Style1" xfId="3588" xr:uid="{00000000-0005-0000-0000-0000DC060000}"/>
    <cellStyle name="Comma1 - Style2" xfId="3589" xr:uid="{00000000-0005-0000-0000-0000DD060000}"/>
    <cellStyle name="Currency" xfId="44" xr:uid="{00000000-0005-0000-0000-0000DE060000}"/>
    <cellStyle name="Currency 2" xfId="111" xr:uid="{00000000-0005-0000-0000-0000E0060000}"/>
    <cellStyle name="Currency 2 2" xfId="112" xr:uid="{00000000-0005-0000-0000-0000E1060000}"/>
    <cellStyle name="Currency 3" xfId="113" xr:uid="{00000000-0005-0000-0000-0000E2060000}"/>
    <cellStyle name="Currency0" xfId="114" xr:uid="{00000000-0005-0000-0000-0000E4060000}"/>
    <cellStyle name="Currency0 2" xfId="115" xr:uid="{00000000-0005-0000-0000-0000E5060000}"/>
    <cellStyle name="Currency0_FIBRA-Edif. EUREKA-Listado de Partidas" xfId="3590" xr:uid="{00000000-0005-0000-0000-0000E6060000}"/>
    <cellStyle name="Date" xfId="116" xr:uid="{00000000-0005-0000-0000-0000E7060000}"/>
    <cellStyle name="Date 2" xfId="117" xr:uid="{00000000-0005-0000-0000-0000E8060000}"/>
    <cellStyle name="Date 3" xfId="3591" xr:uid="{00000000-0005-0000-0000-0000E9060000}"/>
    <cellStyle name="Date 4" xfId="3592" xr:uid="{00000000-0005-0000-0000-0000EA060000}"/>
    <cellStyle name="Date_FIBRA-Edif. EUREKA-Listado de Partidas" xfId="3593" xr:uid="{00000000-0005-0000-0000-0000EB060000}"/>
    <cellStyle name="Dia" xfId="1733" xr:uid="{00000000-0005-0000-0000-0000EC060000}"/>
    <cellStyle name="DIA 10" xfId="3594" xr:uid="{00000000-0005-0000-0000-0000ED060000}"/>
    <cellStyle name="Dia 11" xfId="3595" xr:uid="{00000000-0005-0000-0000-0000EE060000}"/>
    <cellStyle name="Dia 12" xfId="3596" xr:uid="{00000000-0005-0000-0000-0000EF060000}"/>
    <cellStyle name="Dia 2" xfId="3597" xr:uid="{00000000-0005-0000-0000-0000F0060000}"/>
    <cellStyle name="DIA 3" xfId="3598" xr:uid="{00000000-0005-0000-0000-0000F1060000}"/>
    <cellStyle name="DIA 4" xfId="3599" xr:uid="{00000000-0005-0000-0000-0000F2060000}"/>
    <cellStyle name="DIA 5" xfId="3600" xr:uid="{00000000-0005-0000-0000-0000F3060000}"/>
    <cellStyle name="DIA 6" xfId="3601" xr:uid="{00000000-0005-0000-0000-0000F4060000}"/>
    <cellStyle name="DIA 7" xfId="3602" xr:uid="{00000000-0005-0000-0000-0000F5060000}"/>
    <cellStyle name="DIA 8" xfId="3603" xr:uid="{00000000-0005-0000-0000-0000F6060000}"/>
    <cellStyle name="DIA 9" xfId="3604" xr:uid="{00000000-0005-0000-0000-0000F7060000}"/>
    <cellStyle name="Encabez1" xfId="1734" xr:uid="{00000000-0005-0000-0000-0000F8060000}"/>
    <cellStyle name="ENCABEZ1 10" xfId="3605" xr:uid="{00000000-0005-0000-0000-0000F9060000}"/>
    <cellStyle name="Encabez1 11" xfId="3606" xr:uid="{00000000-0005-0000-0000-0000FA060000}"/>
    <cellStyle name="Encabez1 12" xfId="3607" xr:uid="{00000000-0005-0000-0000-0000FB060000}"/>
    <cellStyle name="Encabez1 2" xfId="3608" xr:uid="{00000000-0005-0000-0000-0000FC060000}"/>
    <cellStyle name="ENCABEZ1 3" xfId="3609" xr:uid="{00000000-0005-0000-0000-0000FD060000}"/>
    <cellStyle name="ENCABEZ1 4" xfId="3610" xr:uid="{00000000-0005-0000-0000-0000FE060000}"/>
    <cellStyle name="ENCABEZ1 5" xfId="3611" xr:uid="{00000000-0005-0000-0000-0000FF060000}"/>
    <cellStyle name="ENCABEZ1 6" xfId="3612" xr:uid="{00000000-0005-0000-0000-000000070000}"/>
    <cellStyle name="ENCABEZ1 7" xfId="3613" xr:uid="{00000000-0005-0000-0000-000001070000}"/>
    <cellStyle name="ENCABEZ1 8" xfId="3614" xr:uid="{00000000-0005-0000-0000-000002070000}"/>
    <cellStyle name="ENCABEZ1 9" xfId="3615" xr:uid="{00000000-0005-0000-0000-000003070000}"/>
    <cellStyle name="Encabez2" xfId="1735" xr:uid="{00000000-0005-0000-0000-000004070000}"/>
    <cellStyle name="ENCABEZ2 10" xfId="3616" xr:uid="{00000000-0005-0000-0000-000005070000}"/>
    <cellStyle name="Encabez2 11" xfId="3617" xr:uid="{00000000-0005-0000-0000-000006070000}"/>
    <cellStyle name="Encabez2 12" xfId="3618" xr:uid="{00000000-0005-0000-0000-000007070000}"/>
    <cellStyle name="Encabez2 2" xfId="3619" xr:uid="{00000000-0005-0000-0000-000008070000}"/>
    <cellStyle name="ENCABEZ2 3" xfId="3620" xr:uid="{00000000-0005-0000-0000-000009070000}"/>
    <cellStyle name="ENCABEZ2 4" xfId="3621" xr:uid="{00000000-0005-0000-0000-00000A070000}"/>
    <cellStyle name="ENCABEZ2 5" xfId="3622" xr:uid="{00000000-0005-0000-0000-00000B070000}"/>
    <cellStyle name="ENCABEZ2 6" xfId="3623" xr:uid="{00000000-0005-0000-0000-00000C070000}"/>
    <cellStyle name="ENCABEZ2 7" xfId="3624" xr:uid="{00000000-0005-0000-0000-00000D070000}"/>
    <cellStyle name="ENCABEZ2 8" xfId="3625" xr:uid="{00000000-0005-0000-0000-00000E070000}"/>
    <cellStyle name="ENCABEZ2 9" xfId="3626" xr:uid="{00000000-0005-0000-0000-00000F070000}"/>
    <cellStyle name="Encabezado 1 2" xfId="45" xr:uid="{00000000-0005-0000-0000-000010070000}"/>
    <cellStyle name="Encabezado 2" xfId="46" xr:uid="{00000000-0005-0000-0000-000011070000}"/>
    <cellStyle name="Encabezado 4 10" xfId="1736" xr:uid="{00000000-0005-0000-0000-000012070000}"/>
    <cellStyle name="Encabezado 4 11" xfId="1737" xr:uid="{00000000-0005-0000-0000-000013070000}"/>
    <cellStyle name="Encabezado 4 12" xfId="1738" xr:uid="{00000000-0005-0000-0000-000014070000}"/>
    <cellStyle name="Encabezado 4 13" xfId="1739" xr:uid="{00000000-0005-0000-0000-000015070000}"/>
    <cellStyle name="Encabezado 4 14" xfId="1740" xr:uid="{00000000-0005-0000-0000-000016070000}"/>
    <cellStyle name="Encabezado 4 15" xfId="1741" xr:uid="{00000000-0005-0000-0000-000017070000}"/>
    <cellStyle name="Encabezado 4 16" xfId="1742" xr:uid="{00000000-0005-0000-0000-000018070000}"/>
    <cellStyle name="Encabezado 4 17" xfId="1743" xr:uid="{00000000-0005-0000-0000-000019070000}"/>
    <cellStyle name="Encabezado 4 18" xfId="1744" xr:uid="{00000000-0005-0000-0000-00001A070000}"/>
    <cellStyle name="Encabezado 4 19" xfId="1745" xr:uid="{00000000-0005-0000-0000-00001B070000}"/>
    <cellStyle name="Encabezado 4 2" xfId="118" xr:uid="{00000000-0005-0000-0000-00001C070000}"/>
    <cellStyle name="Encabezado 4 2 2" xfId="1746" xr:uid="{00000000-0005-0000-0000-00001D070000}"/>
    <cellStyle name="Encabezado 4 2 3" xfId="1747" xr:uid="{00000000-0005-0000-0000-00001E070000}"/>
    <cellStyle name="Encabezado 4 2 4" xfId="1748" xr:uid="{00000000-0005-0000-0000-00001F070000}"/>
    <cellStyle name="Encabezado 4 2 5" xfId="1749" xr:uid="{00000000-0005-0000-0000-000020070000}"/>
    <cellStyle name="Encabezado 4 20" xfId="1750" xr:uid="{00000000-0005-0000-0000-000021070000}"/>
    <cellStyle name="Encabezado 4 21" xfId="1751" xr:uid="{00000000-0005-0000-0000-000022070000}"/>
    <cellStyle name="Encabezado 4 22" xfId="1752" xr:uid="{00000000-0005-0000-0000-000023070000}"/>
    <cellStyle name="Encabezado 4 23" xfId="1753" xr:uid="{00000000-0005-0000-0000-000024070000}"/>
    <cellStyle name="Encabezado 4 24" xfId="1754" xr:uid="{00000000-0005-0000-0000-000025070000}"/>
    <cellStyle name="Encabezado 4 25" xfId="1755" xr:uid="{00000000-0005-0000-0000-000026070000}"/>
    <cellStyle name="Encabezado 4 26" xfId="1756" xr:uid="{00000000-0005-0000-0000-000027070000}"/>
    <cellStyle name="Encabezado 4 27" xfId="1757" xr:uid="{00000000-0005-0000-0000-000028070000}"/>
    <cellStyle name="Encabezado 4 28" xfId="1758" xr:uid="{00000000-0005-0000-0000-000029070000}"/>
    <cellStyle name="Encabezado 4 29" xfId="1759" xr:uid="{00000000-0005-0000-0000-00002A070000}"/>
    <cellStyle name="Encabezado 4 3" xfId="1760" xr:uid="{00000000-0005-0000-0000-00002B070000}"/>
    <cellStyle name="Encabezado 4 30" xfId="1761" xr:uid="{00000000-0005-0000-0000-00002C070000}"/>
    <cellStyle name="Encabezado 4 31" xfId="1762" xr:uid="{00000000-0005-0000-0000-00002D070000}"/>
    <cellStyle name="Encabezado 4 32" xfId="1763" xr:uid="{00000000-0005-0000-0000-00002E070000}"/>
    <cellStyle name="Encabezado 4 33" xfId="1764" xr:uid="{00000000-0005-0000-0000-00002F070000}"/>
    <cellStyle name="Encabezado 4 34" xfId="1765" xr:uid="{00000000-0005-0000-0000-000030070000}"/>
    <cellStyle name="Encabezado 4 35" xfId="1766" xr:uid="{00000000-0005-0000-0000-000031070000}"/>
    <cellStyle name="Encabezado 4 36" xfId="1767" xr:uid="{00000000-0005-0000-0000-000032070000}"/>
    <cellStyle name="Encabezado 4 37" xfId="1768" xr:uid="{00000000-0005-0000-0000-000033070000}"/>
    <cellStyle name="Encabezado 4 38" xfId="1769" xr:uid="{00000000-0005-0000-0000-000034070000}"/>
    <cellStyle name="Encabezado 4 39" xfId="1770" xr:uid="{00000000-0005-0000-0000-000035070000}"/>
    <cellStyle name="Encabezado 4 4" xfId="1771" xr:uid="{00000000-0005-0000-0000-000036070000}"/>
    <cellStyle name="Encabezado 4 40" xfId="1772" xr:uid="{00000000-0005-0000-0000-000037070000}"/>
    <cellStyle name="Encabezado 4 41" xfId="1773" xr:uid="{00000000-0005-0000-0000-000038070000}"/>
    <cellStyle name="Encabezado 4 42" xfId="1774" xr:uid="{00000000-0005-0000-0000-000039070000}"/>
    <cellStyle name="Encabezado 4 43" xfId="1775" xr:uid="{00000000-0005-0000-0000-00003A070000}"/>
    <cellStyle name="Encabezado 4 44" xfId="1776" xr:uid="{00000000-0005-0000-0000-00003B070000}"/>
    <cellStyle name="Encabezado 4 45" xfId="1777" xr:uid="{00000000-0005-0000-0000-00003C070000}"/>
    <cellStyle name="Encabezado 4 46" xfId="1778" xr:uid="{00000000-0005-0000-0000-00003D070000}"/>
    <cellStyle name="Encabezado 4 47" xfId="1779" xr:uid="{00000000-0005-0000-0000-00003E070000}"/>
    <cellStyle name="Encabezado 4 48" xfId="1780" xr:uid="{00000000-0005-0000-0000-00003F070000}"/>
    <cellStyle name="Encabezado 4 49" xfId="1781" xr:uid="{00000000-0005-0000-0000-000040070000}"/>
    <cellStyle name="Encabezado 4 5" xfId="1782" xr:uid="{00000000-0005-0000-0000-000041070000}"/>
    <cellStyle name="Encabezado 4 50" xfId="1783" xr:uid="{00000000-0005-0000-0000-000042070000}"/>
    <cellStyle name="Encabezado 4 51" xfId="1784" xr:uid="{00000000-0005-0000-0000-000043070000}"/>
    <cellStyle name="Encabezado 4 52" xfId="1785" xr:uid="{00000000-0005-0000-0000-000044070000}"/>
    <cellStyle name="Encabezado 4 53" xfId="1786" xr:uid="{00000000-0005-0000-0000-000045070000}"/>
    <cellStyle name="Encabezado 4 54" xfId="1787" xr:uid="{00000000-0005-0000-0000-000046070000}"/>
    <cellStyle name="Encabezado 4 55" xfId="1788" xr:uid="{00000000-0005-0000-0000-000047070000}"/>
    <cellStyle name="Encabezado 4 56" xfId="1789" xr:uid="{00000000-0005-0000-0000-000048070000}"/>
    <cellStyle name="Encabezado 4 57" xfId="1790" xr:uid="{00000000-0005-0000-0000-000049070000}"/>
    <cellStyle name="Encabezado 4 58" xfId="1791" xr:uid="{00000000-0005-0000-0000-00004A070000}"/>
    <cellStyle name="Encabezado 4 59" xfId="1792" xr:uid="{00000000-0005-0000-0000-00004B070000}"/>
    <cellStyle name="Encabezado 4 6" xfId="1793" xr:uid="{00000000-0005-0000-0000-00004C070000}"/>
    <cellStyle name="Encabezado 4 60" xfId="1794" xr:uid="{00000000-0005-0000-0000-00004D070000}"/>
    <cellStyle name="Encabezado 4 61" xfId="1795" xr:uid="{00000000-0005-0000-0000-00004E070000}"/>
    <cellStyle name="Encabezado 4 62" xfId="1796" xr:uid="{00000000-0005-0000-0000-00004F070000}"/>
    <cellStyle name="Encabezado 4 63" xfId="1797" xr:uid="{00000000-0005-0000-0000-000050070000}"/>
    <cellStyle name="Encabezado 4 64" xfId="1798" xr:uid="{00000000-0005-0000-0000-000051070000}"/>
    <cellStyle name="Encabezado 4 65" xfId="1799" xr:uid="{00000000-0005-0000-0000-000052070000}"/>
    <cellStyle name="Encabezado 4 66" xfId="1800" xr:uid="{00000000-0005-0000-0000-000053070000}"/>
    <cellStyle name="Encabezado 4 67" xfId="1801" xr:uid="{00000000-0005-0000-0000-000054070000}"/>
    <cellStyle name="Encabezado 4 7" xfId="1802" xr:uid="{00000000-0005-0000-0000-000055070000}"/>
    <cellStyle name="Encabezado 4 8" xfId="1803" xr:uid="{00000000-0005-0000-0000-000056070000}"/>
    <cellStyle name="Encabezado 4 9" xfId="1804" xr:uid="{00000000-0005-0000-0000-000057070000}"/>
    <cellStyle name="Énfasis1 10" xfId="1805" xr:uid="{00000000-0005-0000-0000-000058070000}"/>
    <cellStyle name="Énfasis1 11" xfId="1806" xr:uid="{00000000-0005-0000-0000-000059070000}"/>
    <cellStyle name="Énfasis1 12" xfId="1807" xr:uid="{00000000-0005-0000-0000-00005A070000}"/>
    <cellStyle name="Énfasis1 13" xfId="1808" xr:uid="{00000000-0005-0000-0000-00005B070000}"/>
    <cellStyle name="Énfasis1 14" xfId="1809" xr:uid="{00000000-0005-0000-0000-00005C070000}"/>
    <cellStyle name="Énfasis1 15" xfId="1810" xr:uid="{00000000-0005-0000-0000-00005D070000}"/>
    <cellStyle name="Énfasis1 16" xfId="1811" xr:uid="{00000000-0005-0000-0000-00005E070000}"/>
    <cellStyle name="Énfasis1 17" xfId="1812" xr:uid="{00000000-0005-0000-0000-00005F070000}"/>
    <cellStyle name="Énfasis1 18" xfId="1813" xr:uid="{00000000-0005-0000-0000-000060070000}"/>
    <cellStyle name="Énfasis1 19" xfId="1814" xr:uid="{00000000-0005-0000-0000-000061070000}"/>
    <cellStyle name="Énfasis1 2" xfId="119" xr:uid="{00000000-0005-0000-0000-000062070000}"/>
    <cellStyle name="Énfasis1 2 2" xfId="1815" xr:uid="{00000000-0005-0000-0000-000063070000}"/>
    <cellStyle name="Énfasis1 2 3" xfId="1816" xr:uid="{00000000-0005-0000-0000-000064070000}"/>
    <cellStyle name="Énfasis1 2 4" xfId="1817" xr:uid="{00000000-0005-0000-0000-000065070000}"/>
    <cellStyle name="Énfasis1 2 5" xfId="1818" xr:uid="{00000000-0005-0000-0000-000066070000}"/>
    <cellStyle name="Énfasis1 20" xfId="1819" xr:uid="{00000000-0005-0000-0000-000067070000}"/>
    <cellStyle name="Énfasis1 21" xfId="1820" xr:uid="{00000000-0005-0000-0000-000068070000}"/>
    <cellStyle name="Énfasis1 22" xfId="1821" xr:uid="{00000000-0005-0000-0000-000069070000}"/>
    <cellStyle name="Énfasis1 23" xfId="1822" xr:uid="{00000000-0005-0000-0000-00006A070000}"/>
    <cellStyle name="Énfasis1 24" xfId="1823" xr:uid="{00000000-0005-0000-0000-00006B070000}"/>
    <cellStyle name="Énfasis1 25" xfId="1824" xr:uid="{00000000-0005-0000-0000-00006C070000}"/>
    <cellStyle name="Énfasis1 26" xfId="1825" xr:uid="{00000000-0005-0000-0000-00006D070000}"/>
    <cellStyle name="Énfasis1 27" xfId="1826" xr:uid="{00000000-0005-0000-0000-00006E070000}"/>
    <cellStyle name="Énfasis1 28" xfId="1827" xr:uid="{00000000-0005-0000-0000-00006F070000}"/>
    <cellStyle name="Énfasis1 29" xfId="1828" xr:uid="{00000000-0005-0000-0000-000070070000}"/>
    <cellStyle name="Énfasis1 3" xfId="1829" xr:uid="{00000000-0005-0000-0000-000071070000}"/>
    <cellStyle name="Énfasis1 30" xfId="1830" xr:uid="{00000000-0005-0000-0000-000072070000}"/>
    <cellStyle name="Énfasis1 31" xfId="1831" xr:uid="{00000000-0005-0000-0000-000073070000}"/>
    <cellStyle name="Énfasis1 32" xfId="1832" xr:uid="{00000000-0005-0000-0000-000074070000}"/>
    <cellStyle name="Énfasis1 33" xfId="1833" xr:uid="{00000000-0005-0000-0000-000075070000}"/>
    <cellStyle name="Énfasis1 34" xfId="1834" xr:uid="{00000000-0005-0000-0000-000076070000}"/>
    <cellStyle name="Énfasis1 35" xfId="1835" xr:uid="{00000000-0005-0000-0000-000077070000}"/>
    <cellStyle name="Énfasis1 36" xfId="1836" xr:uid="{00000000-0005-0000-0000-000078070000}"/>
    <cellStyle name="Énfasis1 37" xfId="1837" xr:uid="{00000000-0005-0000-0000-000079070000}"/>
    <cellStyle name="Énfasis1 38" xfId="1838" xr:uid="{00000000-0005-0000-0000-00007A070000}"/>
    <cellStyle name="Énfasis1 39" xfId="1839" xr:uid="{00000000-0005-0000-0000-00007B070000}"/>
    <cellStyle name="Énfasis1 4" xfId="1840" xr:uid="{00000000-0005-0000-0000-00007C070000}"/>
    <cellStyle name="Énfasis1 40" xfId="1841" xr:uid="{00000000-0005-0000-0000-00007D070000}"/>
    <cellStyle name="Énfasis1 41" xfId="1842" xr:uid="{00000000-0005-0000-0000-00007E070000}"/>
    <cellStyle name="Énfasis1 42" xfId="1843" xr:uid="{00000000-0005-0000-0000-00007F070000}"/>
    <cellStyle name="Énfasis1 43" xfId="1844" xr:uid="{00000000-0005-0000-0000-000080070000}"/>
    <cellStyle name="Énfasis1 44" xfId="1845" xr:uid="{00000000-0005-0000-0000-000081070000}"/>
    <cellStyle name="Énfasis1 45" xfId="1846" xr:uid="{00000000-0005-0000-0000-000082070000}"/>
    <cellStyle name="Énfasis1 46" xfId="1847" xr:uid="{00000000-0005-0000-0000-000083070000}"/>
    <cellStyle name="Énfasis1 47" xfId="1848" xr:uid="{00000000-0005-0000-0000-000084070000}"/>
    <cellStyle name="Énfasis1 48" xfId="1849" xr:uid="{00000000-0005-0000-0000-000085070000}"/>
    <cellStyle name="Énfasis1 49" xfId="1850" xr:uid="{00000000-0005-0000-0000-000086070000}"/>
    <cellStyle name="Énfasis1 5" xfId="1851" xr:uid="{00000000-0005-0000-0000-000087070000}"/>
    <cellStyle name="Énfasis1 50" xfId="1852" xr:uid="{00000000-0005-0000-0000-000088070000}"/>
    <cellStyle name="Énfasis1 51" xfId="1853" xr:uid="{00000000-0005-0000-0000-000089070000}"/>
    <cellStyle name="Énfasis1 52" xfId="1854" xr:uid="{00000000-0005-0000-0000-00008A070000}"/>
    <cellStyle name="Énfasis1 53" xfId="1855" xr:uid="{00000000-0005-0000-0000-00008B070000}"/>
    <cellStyle name="Énfasis1 54" xfId="1856" xr:uid="{00000000-0005-0000-0000-00008C070000}"/>
    <cellStyle name="Énfasis1 55" xfId="1857" xr:uid="{00000000-0005-0000-0000-00008D070000}"/>
    <cellStyle name="Énfasis1 56" xfId="1858" xr:uid="{00000000-0005-0000-0000-00008E070000}"/>
    <cellStyle name="Énfasis1 57" xfId="1859" xr:uid="{00000000-0005-0000-0000-00008F070000}"/>
    <cellStyle name="Énfasis1 58" xfId="1860" xr:uid="{00000000-0005-0000-0000-000090070000}"/>
    <cellStyle name="Énfasis1 59" xfId="1861" xr:uid="{00000000-0005-0000-0000-000091070000}"/>
    <cellStyle name="Énfasis1 6" xfId="1862" xr:uid="{00000000-0005-0000-0000-000092070000}"/>
    <cellStyle name="Énfasis1 60" xfId="1863" xr:uid="{00000000-0005-0000-0000-000093070000}"/>
    <cellStyle name="Énfasis1 61" xfId="1864" xr:uid="{00000000-0005-0000-0000-000094070000}"/>
    <cellStyle name="Énfasis1 62" xfId="1865" xr:uid="{00000000-0005-0000-0000-000095070000}"/>
    <cellStyle name="Énfasis1 63" xfId="1866" xr:uid="{00000000-0005-0000-0000-000096070000}"/>
    <cellStyle name="Énfasis1 64" xfId="1867" xr:uid="{00000000-0005-0000-0000-000097070000}"/>
    <cellStyle name="Énfasis1 65" xfId="1868" xr:uid="{00000000-0005-0000-0000-000098070000}"/>
    <cellStyle name="Énfasis1 66" xfId="1869" xr:uid="{00000000-0005-0000-0000-000099070000}"/>
    <cellStyle name="Énfasis1 67" xfId="1870" xr:uid="{00000000-0005-0000-0000-00009A070000}"/>
    <cellStyle name="Énfasis1 7" xfId="1871" xr:uid="{00000000-0005-0000-0000-00009B070000}"/>
    <cellStyle name="Énfasis1 8" xfId="1872" xr:uid="{00000000-0005-0000-0000-00009C070000}"/>
    <cellStyle name="Énfasis1 9" xfId="1873" xr:uid="{00000000-0005-0000-0000-00009D070000}"/>
    <cellStyle name="Énfasis2 10" xfId="1874" xr:uid="{00000000-0005-0000-0000-00009E070000}"/>
    <cellStyle name="Énfasis2 11" xfId="1875" xr:uid="{00000000-0005-0000-0000-00009F070000}"/>
    <cellStyle name="Énfasis2 12" xfId="1876" xr:uid="{00000000-0005-0000-0000-0000A0070000}"/>
    <cellStyle name="Énfasis2 13" xfId="1877" xr:uid="{00000000-0005-0000-0000-0000A1070000}"/>
    <cellStyle name="Énfasis2 14" xfId="1878" xr:uid="{00000000-0005-0000-0000-0000A2070000}"/>
    <cellStyle name="Énfasis2 15" xfId="1879" xr:uid="{00000000-0005-0000-0000-0000A3070000}"/>
    <cellStyle name="Énfasis2 16" xfId="1880" xr:uid="{00000000-0005-0000-0000-0000A4070000}"/>
    <cellStyle name="Énfasis2 17" xfId="1881" xr:uid="{00000000-0005-0000-0000-0000A5070000}"/>
    <cellStyle name="Énfasis2 18" xfId="1882" xr:uid="{00000000-0005-0000-0000-0000A6070000}"/>
    <cellStyle name="Énfasis2 19" xfId="1883" xr:uid="{00000000-0005-0000-0000-0000A7070000}"/>
    <cellStyle name="Énfasis2 2" xfId="120" xr:uid="{00000000-0005-0000-0000-0000A8070000}"/>
    <cellStyle name="Énfasis2 2 2" xfId="1884" xr:uid="{00000000-0005-0000-0000-0000A9070000}"/>
    <cellStyle name="Énfasis2 2 3" xfId="1885" xr:uid="{00000000-0005-0000-0000-0000AA070000}"/>
    <cellStyle name="Énfasis2 2 4" xfId="1886" xr:uid="{00000000-0005-0000-0000-0000AB070000}"/>
    <cellStyle name="Énfasis2 2 5" xfId="1887" xr:uid="{00000000-0005-0000-0000-0000AC070000}"/>
    <cellStyle name="Énfasis2 20" xfId="1888" xr:uid="{00000000-0005-0000-0000-0000AD070000}"/>
    <cellStyle name="Énfasis2 21" xfId="1889" xr:uid="{00000000-0005-0000-0000-0000AE070000}"/>
    <cellStyle name="Énfasis2 22" xfId="1890" xr:uid="{00000000-0005-0000-0000-0000AF070000}"/>
    <cellStyle name="Énfasis2 23" xfId="1891" xr:uid="{00000000-0005-0000-0000-0000B0070000}"/>
    <cellStyle name="Énfasis2 24" xfId="1892" xr:uid="{00000000-0005-0000-0000-0000B1070000}"/>
    <cellStyle name="Énfasis2 25" xfId="1893" xr:uid="{00000000-0005-0000-0000-0000B2070000}"/>
    <cellStyle name="Énfasis2 26" xfId="1894" xr:uid="{00000000-0005-0000-0000-0000B3070000}"/>
    <cellStyle name="Énfasis2 27" xfId="1895" xr:uid="{00000000-0005-0000-0000-0000B4070000}"/>
    <cellStyle name="Énfasis2 28" xfId="1896" xr:uid="{00000000-0005-0000-0000-0000B5070000}"/>
    <cellStyle name="Énfasis2 29" xfId="1897" xr:uid="{00000000-0005-0000-0000-0000B6070000}"/>
    <cellStyle name="Énfasis2 3" xfId="1898" xr:uid="{00000000-0005-0000-0000-0000B7070000}"/>
    <cellStyle name="Énfasis2 30" xfId="1899" xr:uid="{00000000-0005-0000-0000-0000B8070000}"/>
    <cellStyle name="Énfasis2 31" xfId="1900" xr:uid="{00000000-0005-0000-0000-0000B9070000}"/>
    <cellStyle name="Énfasis2 32" xfId="1901" xr:uid="{00000000-0005-0000-0000-0000BA070000}"/>
    <cellStyle name="Énfasis2 33" xfId="1902" xr:uid="{00000000-0005-0000-0000-0000BB070000}"/>
    <cellStyle name="Énfasis2 34" xfId="1903" xr:uid="{00000000-0005-0000-0000-0000BC070000}"/>
    <cellStyle name="Énfasis2 35" xfId="1904" xr:uid="{00000000-0005-0000-0000-0000BD070000}"/>
    <cellStyle name="Énfasis2 36" xfId="1905" xr:uid="{00000000-0005-0000-0000-0000BE070000}"/>
    <cellStyle name="Énfasis2 37" xfId="1906" xr:uid="{00000000-0005-0000-0000-0000BF070000}"/>
    <cellStyle name="Énfasis2 38" xfId="1907" xr:uid="{00000000-0005-0000-0000-0000C0070000}"/>
    <cellStyle name="Énfasis2 39" xfId="1908" xr:uid="{00000000-0005-0000-0000-0000C1070000}"/>
    <cellStyle name="Énfasis2 4" xfId="1909" xr:uid="{00000000-0005-0000-0000-0000C2070000}"/>
    <cellStyle name="Énfasis2 40" xfId="1910" xr:uid="{00000000-0005-0000-0000-0000C3070000}"/>
    <cellStyle name="Énfasis2 41" xfId="1911" xr:uid="{00000000-0005-0000-0000-0000C4070000}"/>
    <cellStyle name="Énfasis2 42" xfId="1912" xr:uid="{00000000-0005-0000-0000-0000C5070000}"/>
    <cellStyle name="Énfasis2 43" xfId="1913" xr:uid="{00000000-0005-0000-0000-0000C6070000}"/>
    <cellStyle name="Énfasis2 44" xfId="1914" xr:uid="{00000000-0005-0000-0000-0000C7070000}"/>
    <cellStyle name="Énfasis2 45" xfId="1915" xr:uid="{00000000-0005-0000-0000-0000C8070000}"/>
    <cellStyle name="Énfasis2 46" xfId="1916" xr:uid="{00000000-0005-0000-0000-0000C9070000}"/>
    <cellStyle name="Énfasis2 47" xfId="1917" xr:uid="{00000000-0005-0000-0000-0000CA070000}"/>
    <cellStyle name="Énfasis2 48" xfId="1918" xr:uid="{00000000-0005-0000-0000-0000CB070000}"/>
    <cellStyle name="Énfasis2 49" xfId="1919" xr:uid="{00000000-0005-0000-0000-0000CC070000}"/>
    <cellStyle name="Énfasis2 5" xfId="1920" xr:uid="{00000000-0005-0000-0000-0000CD070000}"/>
    <cellStyle name="Énfasis2 50" xfId="1921" xr:uid="{00000000-0005-0000-0000-0000CE070000}"/>
    <cellStyle name="Énfasis2 51" xfId="1922" xr:uid="{00000000-0005-0000-0000-0000CF070000}"/>
    <cellStyle name="Énfasis2 52" xfId="1923" xr:uid="{00000000-0005-0000-0000-0000D0070000}"/>
    <cellStyle name="Énfasis2 53" xfId="1924" xr:uid="{00000000-0005-0000-0000-0000D1070000}"/>
    <cellStyle name="Énfasis2 54" xfId="1925" xr:uid="{00000000-0005-0000-0000-0000D2070000}"/>
    <cellStyle name="Énfasis2 55" xfId="1926" xr:uid="{00000000-0005-0000-0000-0000D3070000}"/>
    <cellStyle name="Énfasis2 56" xfId="1927" xr:uid="{00000000-0005-0000-0000-0000D4070000}"/>
    <cellStyle name="Énfasis2 57" xfId="1928" xr:uid="{00000000-0005-0000-0000-0000D5070000}"/>
    <cellStyle name="Énfasis2 58" xfId="1929" xr:uid="{00000000-0005-0000-0000-0000D6070000}"/>
    <cellStyle name="Énfasis2 59" xfId="1930" xr:uid="{00000000-0005-0000-0000-0000D7070000}"/>
    <cellStyle name="Énfasis2 6" xfId="1931" xr:uid="{00000000-0005-0000-0000-0000D8070000}"/>
    <cellStyle name="Énfasis2 60" xfId="1932" xr:uid="{00000000-0005-0000-0000-0000D9070000}"/>
    <cellStyle name="Énfasis2 61" xfId="1933" xr:uid="{00000000-0005-0000-0000-0000DA070000}"/>
    <cellStyle name="Énfasis2 62" xfId="1934" xr:uid="{00000000-0005-0000-0000-0000DB070000}"/>
    <cellStyle name="Énfasis2 63" xfId="1935" xr:uid="{00000000-0005-0000-0000-0000DC070000}"/>
    <cellStyle name="Énfasis2 64" xfId="1936" xr:uid="{00000000-0005-0000-0000-0000DD070000}"/>
    <cellStyle name="Énfasis2 65" xfId="1937" xr:uid="{00000000-0005-0000-0000-0000DE070000}"/>
    <cellStyle name="Énfasis2 66" xfId="1938" xr:uid="{00000000-0005-0000-0000-0000DF070000}"/>
    <cellStyle name="Énfasis2 67" xfId="1939" xr:uid="{00000000-0005-0000-0000-0000E0070000}"/>
    <cellStyle name="Énfasis2 7" xfId="1940" xr:uid="{00000000-0005-0000-0000-0000E1070000}"/>
    <cellStyle name="Énfasis2 8" xfId="1941" xr:uid="{00000000-0005-0000-0000-0000E2070000}"/>
    <cellStyle name="Énfasis2 9" xfId="1942" xr:uid="{00000000-0005-0000-0000-0000E3070000}"/>
    <cellStyle name="Énfasis3 10" xfId="1943" xr:uid="{00000000-0005-0000-0000-0000E4070000}"/>
    <cellStyle name="Énfasis3 11" xfId="1944" xr:uid="{00000000-0005-0000-0000-0000E5070000}"/>
    <cellStyle name="Énfasis3 12" xfId="1945" xr:uid="{00000000-0005-0000-0000-0000E6070000}"/>
    <cellStyle name="Énfasis3 13" xfId="1946" xr:uid="{00000000-0005-0000-0000-0000E7070000}"/>
    <cellStyle name="Énfasis3 14" xfId="1947" xr:uid="{00000000-0005-0000-0000-0000E8070000}"/>
    <cellStyle name="Énfasis3 15" xfId="1948" xr:uid="{00000000-0005-0000-0000-0000E9070000}"/>
    <cellStyle name="Énfasis3 16" xfId="1949" xr:uid="{00000000-0005-0000-0000-0000EA070000}"/>
    <cellStyle name="Énfasis3 17" xfId="1950" xr:uid="{00000000-0005-0000-0000-0000EB070000}"/>
    <cellStyle name="Énfasis3 18" xfId="1951" xr:uid="{00000000-0005-0000-0000-0000EC070000}"/>
    <cellStyle name="Énfasis3 19" xfId="1952" xr:uid="{00000000-0005-0000-0000-0000ED070000}"/>
    <cellStyle name="Énfasis3 2" xfId="121" xr:uid="{00000000-0005-0000-0000-0000EE070000}"/>
    <cellStyle name="Énfasis3 2 2" xfId="1953" xr:uid="{00000000-0005-0000-0000-0000EF070000}"/>
    <cellStyle name="Énfasis3 2 3" xfId="1954" xr:uid="{00000000-0005-0000-0000-0000F0070000}"/>
    <cellStyle name="Énfasis3 2 4" xfId="1955" xr:uid="{00000000-0005-0000-0000-0000F1070000}"/>
    <cellStyle name="Énfasis3 2 5" xfId="1956" xr:uid="{00000000-0005-0000-0000-0000F2070000}"/>
    <cellStyle name="Énfasis3 20" xfId="1957" xr:uid="{00000000-0005-0000-0000-0000F3070000}"/>
    <cellStyle name="Énfasis3 21" xfId="1958" xr:uid="{00000000-0005-0000-0000-0000F4070000}"/>
    <cellStyle name="Énfasis3 22" xfId="1959" xr:uid="{00000000-0005-0000-0000-0000F5070000}"/>
    <cellStyle name="Énfasis3 23" xfId="1960" xr:uid="{00000000-0005-0000-0000-0000F6070000}"/>
    <cellStyle name="Énfasis3 24" xfId="1961" xr:uid="{00000000-0005-0000-0000-0000F7070000}"/>
    <cellStyle name="Énfasis3 25" xfId="1962" xr:uid="{00000000-0005-0000-0000-0000F8070000}"/>
    <cellStyle name="Énfasis3 26" xfId="1963" xr:uid="{00000000-0005-0000-0000-0000F9070000}"/>
    <cellStyle name="Énfasis3 27" xfId="1964" xr:uid="{00000000-0005-0000-0000-0000FA070000}"/>
    <cellStyle name="Énfasis3 28" xfId="1965" xr:uid="{00000000-0005-0000-0000-0000FB070000}"/>
    <cellStyle name="Énfasis3 29" xfId="1966" xr:uid="{00000000-0005-0000-0000-0000FC070000}"/>
    <cellStyle name="Énfasis3 3" xfId="1967" xr:uid="{00000000-0005-0000-0000-0000FD070000}"/>
    <cellStyle name="Énfasis3 30" xfId="1968" xr:uid="{00000000-0005-0000-0000-0000FE070000}"/>
    <cellStyle name="Énfasis3 31" xfId="1969" xr:uid="{00000000-0005-0000-0000-0000FF070000}"/>
    <cellStyle name="Énfasis3 32" xfId="1970" xr:uid="{00000000-0005-0000-0000-000000080000}"/>
    <cellStyle name="Énfasis3 33" xfId="1971" xr:uid="{00000000-0005-0000-0000-000001080000}"/>
    <cellStyle name="Énfasis3 34" xfId="1972" xr:uid="{00000000-0005-0000-0000-000002080000}"/>
    <cellStyle name="Énfasis3 35" xfId="1973" xr:uid="{00000000-0005-0000-0000-000003080000}"/>
    <cellStyle name="Énfasis3 36" xfId="1974" xr:uid="{00000000-0005-0000-0000-000004080000}"/>
    <cellStyle name="Énfasis3 37" xfId="1975" xr:uid="{00000000-0005-0000-0000-000005080000}"/>
    <cellStyle name="Énfasis3 38" xfId="1976" xr:uid="{00000000-0005-0000-0000-000006080000}"/>
    <cellStyle name="Énfasis3 39" xfId="1977" xr:uid="{00000000-0005-0000-0000-000007080000}"/>
    <cellStyle name="Énfasis3 4" xfId="1978" xr:uid="{00000000-0005-0000-0000-000008080000}"/>
    <cellStyle name="Énfasis3 40" xfId="1979" xr:uid="{00000000-0005-0000-0000-000009080000}"/>
    <cellStyle name="Énfasis3 41" xfId="1980" xr:uid="{00000000-0005-0000-0000-00000A080000}"/>
    <cellStyle name="Énfasis3 42" xfId="1981" xr:uid="{00000000-0005-0000-0000-00000B080000}"/>
    <cellStyle name="Énfasis3 43" xfId="1982" xr:uid="{00000000-0005-0000-0000-00000C080000}"/>
    <cellStyle name="Énfasis3 44" xfId="1983" xr:uid="{00000000-0005-0000-0000-00000D080000}"/>
    <cellStyle name="Énfasis3 45" xfId="1984" xr:uid="{00000000-0005-0000-0000-00000E080000}"/>
    <cellStyle name="Énfasis3 46" xfId="1985" xr:uid="{00000000-0005-0000-0000-00000F080000}"/>
    <cellStyle name="Énfasis3 47" xfId="1986" xr:uid="{00000000-0005-0000-0000-000010080000}"/>
    <cellStyle name="Énfasis3 48" xfId="1987" xr:uid="{00000000-0005-0000-0000-000011080000}"/>
    <cellStyle name="Énfasis3 49" xfId="1988" xr:uid="{00000000-0005-0000-0000-000012080000}"/>
    <cellStyle name="Énfasis3 5" xfId="1989" xr:uid="{00000000-0005-0000-0000-000013080000}"/>
    <cellStyle name="Énfasis3 50" xfId="1990" xr:uid="{00000000-0005-0000-0000-000014080000}"/>
    <cellStyle name="Énfasis3 51" xfId="1991" xr:uid="{00000000-0005-0000-0000-000015080000}"/>
    <cellStyle name="Énfasis3 52" xfId="1992" xr:uid="{00000000-0005-0000-0000-000016080000}"/>
    <cellStyle name="Énfasis3 53" xfId="1993" xr:uid="{00000000-0005-0000-0000-000017080000}"/>
    <cellStyle name="Énfasis3 54" xfId="1994" xr:uid="{00000000-0005-0000-0000-000018080000}"/>
    <cellStyle name="Énfasis3 55" xfId="1995" xr:uid="{00000000-0005-0000-0000-000019080000}"/>
    <cellStyle name="Énfasis3 56" xfId="1996" xr:uid="{00000000-0005-0000-0000-00001A080000}"/>
    <cellStyle name="Énfasis3 57" xfId="1997" xr:uid="{00000000-0005-0000-0000-00001B080000}"/>
    <cellStyle name="Énfasis3 58" xfId="1998" xr:uid="{00000000-0005-0000-0000-00001C080000}"/>
    <cellStyle name="Énfasis3 59" xfId="1999" xr:uid="{00000000-0005-0000-0000-00001D080000}"/>
    <cellStyle name="Énfasis3 6" xfId="2000" xr:uid="{00000000-0005-0000-0000-00001E080000}"/>
    <cellStyle name="Énfasis3 60" xfId="2001" xr:uid="{00000000-0005-0000-0000-00001F080000}"/>
    <cellStyle name="Énfasis3 61" xfId="2002" xr:uid="{00000000-0005-0000-0000-000020080000}"/>
    <cellStyle name="Énfasis3 62" xfId="2003" xr:uid="{00000000-0005-0000-0000-000021080000}"/>
    <cellStyle name="Énfasis3 63" xfId="2004" xr:uid="{00000000-0005-0000-0000-000022080000}"/>
    <cellStyle name="Énfasis3 64" xfId="2005" xr:uid="{00000000-0005-0000-0000-000023080000}"/>
    <cellStyle name="Énfasis3 65" xfId="2006" xr:uid="{00000000-0005-0000-0000-000024080000}"/>
    <cellStyle name="Énfasis3 66" xfId="2007" xr:uid="{00000000-0005-0000-0000-000025080000}"/>
    <cellStyle name="Énfasis3 67" xfId="2008" xr:uid="{00000000-0005-0000-0000-000026080000}"/>
    <cellStyle name="Énfasis3 7" xfId="2009" xr:uid="{00000000-0005-0000-0000-000027080000}"/>
    <cellStyle name="Énfasis3 8" xfId="2010" xr:uid="{00000000-0005-0000-0000-000028080000}"/>
    <cellStyle name="Énfasis3 9" xfId="2011" xr:uid="{00000000-0005-0000-0000-000029080000}"/>
    <cellStyle name="Énfasis4 10" xfId="2012" xr:uid="{00000000-0005-0000-0000-00002A080000}"/>
    <cellStyle name="Énfasis4 11" xfId="2013" xr:uid="{00000000-0005-0000-0000-00002B080000}"/>
    <cellStyle name="Énfasis4 12" xfId="2014" xr:uid="{00000000-0005-0000-0000-00002C080000}"/>
    <cellStyle name="Énfasis4 13" xfId="2015" xr:uid="{00000000-0005-0000-0000-00002D080000}"/>
    <cellStyle name="Énfasis4 14" xfId="2016" xr:uid="{00000000-0005-0000-0000-00002E080000}"/>
    <cellStyle name="Énfasis4 15" xfId="2017" xr:uid="{00000000-0005-0000-0000-00002F080000}"/>
    <cellStyle name="Énfasis4 16" xfId="2018" xr:uid="{00000000-0005-0000-0000-000030080000}"/>
    <cellStyle name="Énfasis4 17" xfId="2019" xr:uid="{00000000-0005-0000-0000-000031080000}"/>
    <cellStyle name="Énfasis4 18" xfId="2020" xr:uid="{00000000-0005-0000-0000-000032080000}"/>
    <cellStyle name="Énfasis4 19" xfId="2021" xr:uid="{00000000-0005-0000-0000-000033080000}"/>
    <cellStyle name="Énfasis4 2" xfId="122" xr:uid="{00000000-0005-0000-0000-000034080000}"/>
    <cellStyle name="Énfasis4 2 2" xfId="2022" xr:uid="{00000000-0005-0000-0000-000035080000}"/>
    <cellStyle name="Énfasis4 2 3" xfId="2023" xr:uid="{00000000-0005-0000-0000-000036080000}"/>
    <cellStyle name="Énfasis4 2 4" xfId="2024" xr:uid="{00000000-0005-0000-0000-000037080000}"/>
    <cellStyle name="Énfasis4 2 5" xfId="2025" xr:uid="{00000000-0005-0000-0000-000038080000}"/>
    <cellStyle name="Énfasis4 20" xfId="2026" xr:uid="{00000000-0005-0000-0000-000039080000}"/>
    <cellStyle name="Énfasis4 21" xfId="2027" xr:uid="{00000000-0005-0000-0000-00003A080000}"/>
    <cellStyle name="Énfasis4 22" xfId="2028" xr:uid="{00000000-0005-0000-0000-00003B080000}"/>
    <cellStyle name="Énfasis4 23" xfId="2029" xr:uid="{00000000-0005-0000-0000-00003C080000}"/>
    <cellStyle name="Énfasis4 24" xfId="2030" xr:uid="{00000000-0005-0000-0000-00003D080000}"/>
    <cellStyle name="Énfasis4 25" xfId="2031" xr:uid="{00000000-0005-0000-0000-00003E080000}"/>
    <cellStyle name="Énfasis4 26" xfId="2032" xr:uid="{00000000-0005-0000-0000-00003F080000}"/>
    <cellStyle name="Énfasis4 27" xfId="2033" xr:uid="{00000000-0005-0000-0000-000040080000}"/>
    <cellStyle name="Énfasis4 28" xfId="2034" xr:uid="{00000000-0005-0000-0000-000041080000}"/>
    <cellStyle name="Énfasis4 29" xfId="2035" xr:uid="{00000000-0005-0000-0000-000042080000}"/>
    <cellStyle name="Énfasis4 3" xfId="2036" xr:uid="{00000000-0005-0000-0000-000043080000}"/>
    <cellStyle name="Énfasis4 30" xfId="2037" xr:uid="{00000000-0005-0000-0000-000044080000}"/>
    <cellStyle name="Énfasis4 31" xfId="2038" xr:uid="{00000000-0005-0000-0000-000045080000}"/>
    <cellStyle name="Énfasis4 32" xfId="2039" xr:uid="{00000000-0005-0000-0000-000046080000}"/>
    <cellStyle name="Énfasis4 33" xfId="2040" xr:uid="{00000000-0005-0000-0000-000047080000}"/>
    <cellStyle name="Énfasis4 34" xfId="2041" xr:uid="{00000000-0005-0000-0000-000048080000}"/>
    <cellStyle name="Énfasis4 35" xfId="2042" xr:uid="{00000000-0005-0000-0000-000049080000}"/>
    <cellStyle name="Énfasis4 36" xfId="2043" xr:uid="{00000000-0005-0000-0000-00004A080000}"/>
    <cellStyle name="Énfasis4 37" xfId="2044" xr:uid="{00000000-0005-0000-0000-00004B080000}"/>
    <cellStyle name="Énfasis4 38" xfId="2045" xr:uid="{00000000-0005-0000-0000-00004C080000}"/>
    <cellStyle name="Énfasis4 39" xfId="2046" xr:uid="{00000000-0005-0000-0000-00004D080000}"/>
    <cellStyle name="Énfasis4 4" xfId="2047" xr:uid="{00000000-0005-0000-0000-00004E080000}"/>
    <cellStyle name="Énfasis4 40" xfId="2048" xr:uid="{00000000-0005-0000-0000-00004F080000}"/>
    <cellStyle name="Énfasis4 41" xfId="2049" xr:uid="{00000000-0005-0000-0000-000050080000}"/>
    <cellStyle name="Énfasis4 42" xfId="2050" xr:uid="{00000000-0005-0000-0000-000051080000}"/>
    <cellStyle name="Énfasis4 43" xfId="2051" xr:uid="{00000000-0005-0000-0000-000052080000}"/>
    <cellStyle name="Énfasis4 44" xfId="2052" xr:uid="{00000000-0005-0000-0000-000053080000}"/>
    <cellStyle name="Énfasis4 45" xfId="2053" xr:uid="{00000000-0005-0000-0000-000054080000}"/>
    <cellStyle name="Énfasis4 46" xfId="2054" xr:uid="{00000000-0005-0000-0000-000055080000}"/>
    <cellStyle name="Énfasis4 47" xfId="2055" xr:uid="{00000000-0005-0000-0000-000056080000}"/>
    <cellStyle name="Énfasis4 48" xfId="2056" xr:uid="{00000000-0005-0000-0000-000057080000}"/>
    <cellStyle name="Énfasis4 49" xfId="2057" xr:uid="{00000000-0005-0000-0000-000058080000}"/>
    <cellStyle name="Énfasis4 5" xfId="2058" xr:uid="{00000000-0005-0000-0000-000059080000}"/>
    <cellStyle name="Énfasis4 50" xfId="2059" xr:uid="{00000000-0005-0000-0000-00005A080000}"/>
    <cellStyle name="Énfasis4 51" xfId="2060" xr:uid="{00000000-0005-0000-0000-00005B080000}"/>
    <cellStyle name="Énfasis4 52" xfId="2061" xr:uid="{00000000-0005-0000-0000-00005C080000}"/>
    <cellStyle name="Énfasis4 53" xfId="2062" xr:uid="{00000000-0005-0000-0000-00005D080000}"/>
    <cellStyle name="Énfasis4 54" xfId="2063" xr:uid="{00000000-0005-0000-0000-00005E080000}"/>
    <cellStyle name="Énfasis4 55" xfId="2064" xr:uid="{00000000-0005-0000-0000-00005F080000}"/>
    <cellStyle name="Énfasis4 56" xfId="2065" xr:uid="{00000000-0005-0000-0000-000060080000}"/>
    <cellStyle name="Énfasis4 57" xfId="2066" xr:uid="{00000000-0005-0000-0000-000061080000}"/>
    <cellStyle name="Énfasis4 58" xfId="2067" xr:uid="{00000000-0005-0000-0000-000062080000}"/>
    <cellStyle name="Énfasis4 59" xfId="2068" xr:uid="{00000000-0005-0000-0000-000063080000}"/>
    <cellStyle name="Énfasis4 6" xfId="2069" xr:uid="{00000000-0005-0000-0000-000064080000}"/>
    <cellStyle name="Énfasis4 60" xfId="2070" xr:uid="{00000000-0005-0000-0000-000065080000}"/>
    <cellStyle name="Énfasis4 61" xfId="2071" xr:uid="{00000000-0005-0000-0000-000066080000}"/>
    <cellStyle name="Énfasis4 62" xfId="2072" xr:uid="{00000000-0005-0000-0000-000067080000}"/>
    <cellStyle name="Énfasis4 63" xfId="2073" xr:uid="{00000000-0005-0000-0000-000068080000}"/>
    <cellStyle name="Énfasis4 64" xfId="2074" xr:uid="{00000000-0005-0000-0000-000069080000}"/>
    <cellStyle name="Énfasis4 65" xfId="2075" xr:uid="{00000000-0005-0000-0000-00006A080000}"/>
    <cellStyle name="Énfasis4 66" xfId="2076" xr:uid="{00000000-0005-0000-0000-00006B080000}"/>
    <cellStyle name="Énfasis4 67" xfId="2077" xr:uid="{00000000-0005-0000-0000-00006C080000}"/>
    <cellStyle name="Énfasis4 7" xfId="2078" xr:uid="{00000000-0005-0000-0000-00006D080000}"/>
    <cellStyle name="Énfasis4 8" xfId="2079" xr:uid="{00000000-0005-0000-0000-00006E080000}"/>
    <cellStyle name="Énfasis4 9" xfId="2080" xr:uid="{00000000-0005-0000-0000-00006F080000}"/>
    <cellStyle name="Énfasis5 10" xfId="2081" xr:uid="{00000000-0005-0000-0000-000070080000}"/>
    <cellStyle name="Énfasis5 11" xfId="2082" xr:uid="{00000000-0005-0000-0000-000071080000}"/>
    <cellStyle name="Énfasis5 12" xfId="2083" xr:uid="{00000000-0005-0000-0000-000072080000}"/>
    <cellStyle name="Énfasis5 13" xfId="2084" xr:uid="{00000000-0005-0000-0000-000073080000}"/>
    <cellStyle name="Énfasis5 14" xfId="2085" xr:uid="{00000000-0005-0000-0000-000074080000}"/>
    <cellStyle name="Énfasis5 15" xfId="2086" xr:uid="{00000000-0005-0000-0000-000075080000}"/>
    <cellStyle name="Énfasis5 16" xfId="2087" xr:uid="{00000000-0005-0000-0000-000076080000}"/>
    <cellStyle name="Énfasis5 17" xfId="2088" xr:uid="{00000000-0005-0000-0000-000077080000}"/>
    <cellStyle name="Énfasis5 18" xfId="2089" xr:uid="{00000000-0005-0000-0000-000078080000}"/>
    <cellStyle name="Énfasis5 19" xfId="2090" xr:uid="{00000000-0005-0000-0000-000079080000}"/>
    <cellStyle name="Énfasis5 2" xfId="123" xr:uid="{00000000-0005-0000-0000-00007A080000}"/>
    <cellStyle name="Énfasis5 2 2" xfId="2091" xr:uid="{00000000-0005-0000-0000-00007B080000}"/>
    <cellStyle name="Énfasis5 2 3" xfId="2092" xr:uid="{00000000-0005-0000-0000-00007C080000}"/>
    <cellStyle name="Énfasis5 2 4" xfId="2093" xr:uid="{00000000-0005-0000-0000-00007D080000}"/>
    <cellStyle name="Énfasis5 2 5" xfId="2094" xr:uid="{00000000-0005-0000-0000-00007E080000}"/>
    <cellStyle name="Énfasis5 20" xfId="2095" xr:uid="{00000000-0005-0000-0000-00007F080000}"/>
    <cellStyle name="Énfasis5 21" xfId="2096" xr:uid="{00000000-0005-0000-0000-000080080000}"/>
    <cellStyle name="Énfasis5 22" xfId="2097" xr:uid="{00000000-0005-0000-0000-000081080000}"/>
    <cellStyle name="Énfasis5 23" xfId="2098" xr:uid="{00000000-0005-0000-0000-000082080000}"/>
    <cellStyle name="Énfasis5 24" xfId="2099" xr:uid="{00000000-0005-0000-0000-000083080000}"/>
    <cellStyle name="Énfasis5 25" xfId="2100" xr:uid="{00000000-0005-0000-0000-000084080000}"/>
    <cellStyle name="Énfasis5 26" xfId="2101" xr:uid="{00000000-0005-0000-0000-000085080000}"/>
    <cellStyle name="Énfasis5 27" xfId="2102" xr:uid="{00000000-0005-0000-0000-000086080000}"/>
    <cellStyle name="Énfasis5 28" xfId="2103" xr:uid="{00000000-0005-0000-0000-000087080000}"/>
    <cellStyle name="Énfasis5 29" xfId="2104" xr:uid="{00000000-0005-0000-0000-000088080000}"/>
    <cellStyle name="Énfasis5 3" xfId="2105" xr:uid="{00000000-0005-0000-0000-000089080000}"/>
    <cellStyle name="Énfasis5 30" xfId="2106" xr:uid="{00000000-0005-0000-0000-00008A080000}"/>
    <cellStyle name="Énfasis5 31" xfId="2107" xr:uid="{00000000-0005-0000-0000-00008B080000}"/>
    <cellStyle name="Énfasis5 32" xfId="2108" xr:uid="{00000000-0005-0000-0000-00008C080000}"/>
    <cellStyle name="Énfasis5 33" xfId="2109" xr:uid="{00000000-0005-0000-0000-00008D080000}"/>
    <cellStyle name="Énfasis5 34" xfId="2110" xr:uid="{00000000-0005-0000-0000-00008E080000}"/>
    <cellStyle name="Énfasis5 35" xfId="2111" xr:uid="{00000000-0005-0000-0000-00008F080000}"/>
    <cellStyle name="Énfasis5 36" xfId="2112" xr:uid="{00000000-0005-0000-0000-000090080000}"/>
    <cellStyle name="Énfasis5 37" xfId="2113" xr:uid="{00000000-0005-0000-0000-000091080000}"/>
    <cellStyle name="Énfasis5 38" xfId="2114" xr:uid="{00000000-0005-0000-0000-000092080000}"/>
    <cellStyle name="Énfasis5 39" xfId="2115" xr:uid="{00000000-0005-0000-0000-000093080000}"/>
    <cellStyle name="Énfasis5 4" xfId="2116" xr:uid="{00000000-0005-0000-0000-000094080000}"/>
    <cellStyle name="Énfasis5 40" xfId="2117" xr:uid="{00000000-0005-0000-0000-000095080000}"/>
    <cellStyle name="Énfasis5 41" xfId="2118" xr:uid="{00000000-0005-0000-0000-000096080000}"/>
    <cellStyle name="Énfasis5 42" xfId="2119" xr:uid="{00000000-0005-0000-0000-000097080000}"/>
    <cellStyle name="Énfasis5 43" xfId="2120" xr:uid="{00000000-0005-0000-0000-000098080000}"/>
    <cellStyle name="Énfasis5 44" xfId="2121" xr:uid="{00000000-0005-0000-0000-000099080000}"/>
    <cellStyle name="Énfasis5 45" xfId="2122" xr:uid="{00000000-0005-0000-0000-00009A080000}"/>
    <cellStyle name="Énfasis5 46" xfId="2123" xr:uid="{00000000-0005-0000-0000-00009B080000}"/>
    <cellStyle name="Énfasis5 47" xfId="2124" xr:uid="{00000000-0005-0000-0000-00009C080000}"/>
    <cellStyle name="Énfasis5 48" xfId="2125" xr:uid="{00000000-0005-0000-0000-00009D080000}"/>
    <cellStyle name="Énfasis5 49" xfId="2126" xr:uid="{00000000-0005-0000-0000-00009E080000}"/>
    <cellStyle name="Énfasis5 5" xfId="2127" xr:uid="{00000000-0005-0000-0000-00009F080000}"/>
    <cellStyle name="Énfasis5 50" xfId="2128" xr:uid="{00000000-0005-0000-0000-0000A0080000}"/>
    <cellStyle name="Énfasis5 51" xfId="2129" xr:uid="{00000000-0005-0000-0000-0000A1080000}"/>
    <cellStyle name="Énfasis5 52" xfId="2130" xr:uid="{00000000-0005-0000-0000-0000A2080000}"/>
    <cellStyle name="Énfasis5 53" xfId="2131" xr:uid="{00000000-0005-0000-0000-0000A3080000}"/>
    <cellStyle name="Énfasis5 54" xfId="2132" xr:uid="{00000000-0005-0000-0000-0000A4080000}"/>
    <cellStyle name="Énfasis5 55" xfId="2133" xr:uid="{00000000-0005-0000-0000-0000A5080000}"/>
    <cellStyle name="Énfasis5 56" xfId="2134" xr:uid="{00000000-0005-0000-0000-0000A6080000}"/>
    <cellStyle name="Énfasis5 57" xfId="2135" xr:uid="{00000000-0005-0000-0000-0000A7080000}"/>
    <cellStyle name="Énfasis5 58" xfId="2136" xr:uid="{00000000-0005-0000-0000-0000A8080000}"/>
    <cellStyle name="Énfasis5 59" xfId="2137" xr:uid="{00000000-0005-0000-0000-0000A9080000}"/>
    <cellStyle name="Énfasis5 6" xfId="2138" xr:uid="{00000000-0005-0000-0000-0000AA080000}"/>
    <cellStyle name="Énfasis5 60" xfId="2139" xr:uid="{00000000-0005-0000-0000-0000AB080000}"/>
    <cellStyle name="Énfasis5 61" xfId="2140" xr:uid="{00000000-0005-0000-0000-0000AC080000}"/>
    <cellStyle name="Énfasis5 62" xfId="2141" xr:uid="{00000000-0005-0000-0000-0000AD080000}"/>
    <cellStyle name="Énfasis5 63" xfId="2142" xr:uid="{00000000-0005-0000-0000-0000AE080000}"/>
    <cellStyle name="Énfasis5 64" xfId="2143" xr:uid="{00000000-0005-0000-0000-0000AF080000}"/>
    <cellStyle name="Énfasis5 65" xfId="2144" xr:uid="{00000000-0005-0000-0000-0000B0080000}"/>
    <cellStyle name="Énfasis5 66" xfId="2145" xr:uid="{00000000-0005-0000-0000-0000B1080000}"/>
    <cellStyle name="Énfasis5 67" xfId="2146" xr:uid="{00000000-0005-0000-0000-0000B2080000}"/>
    <cellStyle name="Énfasis5 7" xfId="2147" xr:uid="{00000000-0005-0000-0000-0000B3080000}"/>
    <cellStyle name="Énfasis5 8" xfId="2148" xr:uid="{00000000-0005-0000-0000-0000B4080000}"/>
    <cellStyle name="Énfasis5 9" xfId="2149" xr:uid="{00000000-0005-0000-0000-0000B5080000}"/>
    <cellStyle name="Énfasis6 10" xfId="2150" xr:uid="{00000000-0005-0000-0000-0000B6080000}"/>
    <cellStyle name="Énfasis6 11" xfId="2151" xr:uid="{00000000-0005-0000-0000-0000B7080000}"/>
    <cellStyle name="Énfasis6 12" xfId="2152" xr:uid="{00000000-0005-0000-0000-0000B8080000}"/>
    <cellStyle name="Énfasis6 13" xfId="2153" xr:uid="{00000000-0005-0000-0000-0000B9080000}"/>
    <cellStyle name="Énfasis6 14" xfId="2154" xr:uid="{00000000-0005-0000-0000-0000BA080000}"/>
    <cellStyle name="Énfasis6 15" xfId="2155" xr:uid="{00000000-0005-0000-0000-0000BB080000}"/>
    <cellStyle name="Énfasis6 16" xfId="2156" xr:uid="{00000000-0005-0000-0000-0000BC080000}"/>
    <cellStyle name="Énfasis6 17" xfId="2157" xr:uid="{00000000-0005-0000-0000-0000BD080000}"/>
    <cellStyle name="Énfasis6 18" xfId="2158" xr:uid="{00000000-0005-0000-0000-0000BE080000}"/>
    <cellStyle name="Énfasis6 19" xfId="2159" xr:uid="{00000000-0005-0000-0000-0000BF080000}"/>
    <cellStyle name="Énfasis6 2" xfId="124" xr:uid="{00000000-0005-0000-0000-0000C0080000}"/>
    <cellStyle name="Énfasis6 2 2" xfId="2160" xr:uid="{00000000-0005-0000-0000-0000C1080000}"/>
    <cellStyle name="Énfasis6 2 3" xfId="2161" xr:uid="{00000000-0005-0000-0000-0000C2080000}"/>
    <cellStyle name="Énfasis6 2 4" xfId="2162" xr:uid="{00000000-0005-0000-0000-0000C3080000}"/>
    <cellStyle name="Énfasis6 2 5" xfId="2163" xr:uid="{00000000-0005-0000-0000-0000C4080000}"/>
    <cellStyle name="Énfasis6 20" xfId="2164" xr:uid="{00000000-0005-0000-0000-0000C5080000}"/>
    <cellStyle name="Énfasis6 21" xfId="2165" xr:uid="{00000000-0005-0000-0000-0000C6080000}"/>
    <cellStyle name="Énfasis6 22" xfId="2166" xr:uid="{00000000-0005-0000-0000-0000C7080000}"/>
    <cellStyle name="Énfasis6 23" xfId="2167" xr:uid="{00000000-0005-0000-0000-0000C8080000}"/>
    <cellStyle name="Énfasis6 24" xfId="2168" xr:uid="{00000000-0005-0000-0000-0000C9080000}"/>
    <cellStyle name="Énfasis6 25" xfId="2169" xr:uid="{00000000-0005-0000-0000-0000CA080000}"/>
    <cellStyle name="Énfasis6 26" xfId="2170" xr:uid="{00000000-0005-0000-0000-0000CB080000}"/>
    <cellStyle name="Énfasis6 27" xfId="2171" xr:uid="{00000000-0005-0000-0000-0000CC080000}"/>
    <cellStyle name="Énfasis6 28" xfId="2172" xr:uid="{00000000-0005-0000-0000-0000CD080000}"/>
    <cellStyle name="Énfasis6 29" xfId="2173" xr:uid="{00000000-0005-0000-0000-0000CE080000}"/>
    <cellStyle name="Énfasis6 3" xfId="2174" xr:uid="{00000000-0005-0000-0000-0000CF080000}"/>
    <cellStyle name="Énfasis6 30" xfId="2175" xr:uid="{00000000-0005-0000-0000-0000D0080000}"/>
    <cellStyle name="Énfasis6 31" xfId="2176" xr:uid="{00000000-0005-0000-0000-0000D1080000}"/>
    <cellStyle name="Énfasis6 32" xfId="2177" xr:uid="{00000000-0005-0000-0000-0000D2080000}"/>
    <cellStyle name="Énfasis6 33" xfId="2178" xr:uid="{00000000-0005-0000-0000-0000D3080000}"/>
    <cellStyle name="Énfasis6 34" xfId="2179" xr:uid="{00000000-0005-0000-0000-0000D4080000}"/>
    <cellStyle name="Énfasis6 35" xfId="2180" xr:uid="{00000000-0005-0000-0000-0000D5080000}"/>
    <cellStyle name="Énfasis6 36" xfId="2181" xr:uid="{00000000-0005-0000-0000-0000D6080000}"/>
    <cellStyle name="Énfasis6 37" xfId="2182" xr:uid="{00000000-0005-0000-0000-0000D7080000}"/>
    <cellStyle name="Énfasis6 38" xfId="2183" xr:uid="{00000000-0005-0000-0000-0000D8080000}"/>
    <cellStyle name="Énfasis6 39" xfId="2184" xr:uid="{00000000-0005-0000-0000-0000D9080000}"/>
    <cellStyle name="Énfasis6 4" xfId="2185" xr:uid="{00000000-0005-0000-0000-0000DA080000}"/>
    <cellStyle name="Énfasis6 40" xfId="2186" xr:uid="{00000000-0005-0000-0000-0000DB080000}"/>
    <cellStyle name="Énfasis6 41" xfId="2187" xr:uid="{00000000-0005-0000-0000-0000DC080000}"/>
    <cellStyle name="Énfasis6 42" xfId="2188" xr:uid="{00000000-0005-0000-0000-0000DD080000}"/>
    <cellStyle name="Énfasis6 43" xfId="2189" xr:uid="{00000000-0005-0000-0000-0000DE080000}"/>
    <cellStyle name="Énfasis6 44" xfId="2190" xr:uid="{00000000-0005-0000-0000-0000DF080000}"/>
    <cellStyle name="Énfasis6 45" xfId="2191" xr:uid="{00000000-0005-0000-0000-0000E0080000}"/>
    <cellStyle name="Énfasis6 46" xfId="2192" xr:uid="{00000000-0005-0000-0000-0000E1080000}"/>
    <cellStyle name="Énfasis6 47" xfId="2193" xr:uid="{00000000-0005-0000-0000-0000E2080000}"/>
    <cellStyle name="Énfasis6 48" xfId="2194" xr:uid="{00000000-0005-0000-0000-0000E3080000}"/>
    <cellStyle name="Énfasis6 49" xfId="2195" xr:uid="{00000000-0005-0000-0000-0000E4080000}"/>
    <cellStyle name="Énfasis6 5" xfId="2196" xr:uid="{00000000-0005-0000-0000-0000E5080000}"/>
    <cellStyle name="Énfasis6 50" xfId="2197" xr:uid="{00000000-0005-0000-0000-0000E6080000}"/>
    <cellStyle name="Énfasis6 51" xfId="2198" xr:uid="{00000000-0005-0000-0000-0000E7080000}"/>
    <cellStyle name="Énfasis6 52" xfId="2199" xr:uid="{00000000-0005-0000-0000-0000E8080000}"/>
    <cellStyle name="Énfasis6 53" xfId="2200" xr:uid="{00000000-0005-0000-0000-0000E9080000}"/>
    <cellStyle name="Énfasis6 54" xfId="2201" xr:uid="{00000000-0005-0000-0000-0000EA080000}"/>
    <cellStyle name="Énfasis6 55" xfId="2202" xr:uid="{00000000-0005-0000-0000-0000EB080000}"/>
    <cellStyle name="Énfasis6 56" xfId="2203" xr:uid="{00000000-0005-0000-0000-0000EC080000}"/>
    <cellStyle name="Énfasis6 57" xfId="2204" xr:uid="{00000000-0005-0000-0000-0000ED080000}"/>
    <cellStyle name="Énfasis6 58" xfId="2205" xr:uid="{00000000-0005-0000-0000-0000EE080000}"/>
    <cellStyle name="Énfasis6 59" xfId="2206" xr:uid="{00000000-0005-0000-0000-0000EF080000}"/>
    <cellStyle name="Énfasis6 6" xfId="2207" xr:uid="{00000000-0005-0000-0000-0000F0080000}"/>
    <cellStyle name="Énfasis6 60" xfId="2208" xr:uid="{00000000-0005-0000-0000-0000F1080000}"/>
    <cellStyle name="Énfasis6 61" xfId="2209" xr:uid="{00000000-0005-0000-0000-0000F2080000}"/>
    <cellStyle name="Énfasis6 62" xfId="2210" xr:uid="{00000000-0005-0000-0000-0000F3080000}"/>
    <cellStyle name="Énfasis6 63" xfId="2211" xr:uid="{00000000-0005-0000-0000-0000F4080000}"/>
    <cellStyle name="Énfasis6 64" xfId="2212" xr:uid="{00000000-0005-0000-0000-0000F5080000}"/>
    <cellStyle name="Énfasis6 65" xfId="2213" xr:uid="{00000000-0005-0000-0000-0000F6080000}"/>
    <cellStyle name="Énfasis6 66" xfId="2214" xr:uid="{00000000-0005-0000-0000-0000F7080000}"/>
    <cellStyle name="Énfasis6 67" xfId="2215" xr:uid="{00000000-0005-0000-0000-0000F8080000}"/>
    <cellStyle name="Énfasis6 7" xfId="2216" xr:uid="{00000000-0005-0000-0000-0000F9080000}"/>
    <cellStyle name="Énfasis6 8" xfId="2217" xr:uid="{00000000-0005-0000-0000-0000FA080000}"/>
    <cellStyle name="Énfasis6 9" xfId="2218" xr:uid="{00000000-0005-0000-0000-0000FB080000}"/>
    <cellStyle name="Entrada 10" xfId="2219" xr:uid="{00000000-0005-0000-0000-0000FC080000}"/>
    <cellStyle name="Entrada 11" xfId="2220" xr:uid="{00000000-0005-0000-0000-0000FD080000}"/>
    <cellStyle name="Entrada 12" xfId="2221" xr:uid="{00000000-0005-0000-0000-0000FE080000}"/>
    <cellStyle name="Entrada 13" xfId="2222" xr:uid="{00000000-0005-0000-0000-0000FF080000}"/>
    <cellStyle name="Entrada 14" xfId="2223" xr:uid="{00000000-0005-0000-0000-000000090000}"/>
    <cellStyle name="Entrada 15" xfId="2224" xr:uid="{00000000-0005-0000-0000-000001090000}"/>
    <cellStyle name="Entrada 16" xfId="2225" xr:uid="{00000000-0005-0000-0000-000002090000}"/>
    <cellStyle name="Entrada 17" xfId="2226" xr:uid="{00000000-0005-0000-0000-000003090000}"/>
    <cellStyle name="Entrada 18" xfId="2227" xr:uid="{00000000-0005-0000-0000-000004090000}"/>
    <cellStyle name="Entrada 19" xfId="2228" xr:uid="{00000000-0005-0000-0000-000005090000}"/>
    <cellStyle name="Entrada 2" xfId="125" xr:uid="{00000000-0005-0000-0000-000006090000}"/>
    <cellStyle name="Entrada 2 2" xfId="2229" xr:uid="{00000000-0005-0000-0000-000007090000}"/>
    <cellStyle name="Entrada 2 3" xfId="2230" xr:uid="{00000000-0005-0000-0000-000008090000}"/>
    <cellStyle name="Entrada 2 4" xfId="2231" xr:uid="{00000000-0005-0000-0000-000009090000}"/>
    <cellStyle name="Entrada 2 5" xfId="2232" xr:uid="{00000000-0005-0000-0000-00000A090000}"/>
    <cellStyle name="Entrada 20" xfId="2233" xr:uid="{00000000-0005-0000-0000-00000B090000}"/>
    <cellStyle name="Entrada 21" xfId="2234" xr:uid="{00000000-0005-0000-0000-00000C090000}"/>
    <cellStyle name="Entrada 22" xfId="2235" xr:uid="{00000000-0005-0000-0000-00000D090000}"/>
    <cellStyle name="Entrada 23" xfId="2236" xr:uid="{00000000-0005-0000-0000-00000E090000}"/>
    <cellStyle name="Entrada 24" xfId="2237" xr:uid="{00000000-0005-0000-0000-00000F090000}"/>
    <cellStyle name="Entrada 25" xfId="2238" xr:uid="{00000000-0005-0000-0000-000010090000}"/>
    <cellStyle name="Entrada 26" xfId="2239" xr:uid="{00000000-0005-0000-0000-000011090000}"/>
    <cellStyle name="Entrada 27" xfId="2240" xr:uid="{00000000-0005-0000-0000-000012090000}"/>
    <cellStyle name="Entrada 28" xfId="2241" xr:uid="{00000000-0005-0000-0000-000013090000}"/>
    <cellStyle name="Entrada 29" xfId="2242" xr:uid="{00000000-0005-0000-0000-000014090000}"/>
    <cellStyle name="Entrada 3" xfId="2243" xr:uid="{00000000-0005-0000-0000-000015090000}"/>
    <cellStyle name="Entrada 30" xfId="2244" xr:uid="{00000000-0005-0000-0000-000016090000}"/>
    <cellStyle name="Entrada 31" xfId="2245" xr:uid="{00000000-0005-0000-0000-000017090000}"/>
    <cellStyle name="Entrada 32" xfId="2246" xr:uid="{00000000-0005-0000-0000-000018090000}"/>
    <cellStyle name="Entrada 33" xfId="2247" xr:uid="{00000000-0005-0000-0000-000019090000}"/>
    <cellStyle name="Entrada 34" xfId="2248" xr:uid="{00000000-0005-0000-0000-00001A090000}"/>
    <cellStyle name="Entrada 35" xfId="2249" xr:uid="{00000000-0005-0000-0000-00001B090000}"/>
    <cellStyle name="Entrada 36" xfId="2250" xr:uid="{00000000-0005-0000-0000-00001C090000}"/>
    <cellStyle name="Entrada 37" xfId="2251" xr:uid="{00000000-0005-0000-0000-00001D090000}"/>
    <cellStyle name="Entrada 38" xfId="2252" xr:uid="{00000000-0005-0000-0000-00001E090000}"/>
    <cellStyle name="Entrada 39" xfId="2253" xr:uid="{00000000-0005-0000-0000-00001F090000}"/>
    <cellStyle name="Entrada 4" xfId="2254" xr:uid="{00000000-0005-0000-0000-000020090000}"/>
    <cellStyle name="Entrada 40" xfId="2255" xr:uid="{00000000-0005-0000-0000-000021090000}"/>
    <cellStyle name="Entrada 41" xfId="2256" xr:uid="{00000000-0005-0000-0000-000022090000}"/>
    <cellStyle name="Entrada 42" xfId="2257" xr:uid="{00000000-0005-0000-0000-000023090000}"/>
    <cellStyle name="Entrada 43" xfId="2258" xr:uid="{00000000-0005-0000-0000-000024090000}"/>
    <cellStyle name="Entrada 44" xfId="2259" xr:uid="{00000000-0005-0000-0000-000025090000}"/>
    <cellStyle name="Entrada 45" xfId="2260" xr:uid="{00000000-0005-0000-0000-000026090000}"/>
    <cellStyle name="Entrada 46" xfId="2261" xr:uid="{00000000-0005-0000-0000-000027090000}"/>
    <cellStyle name="Entrada 47" xfId="2262" xr:uid="{00000000-0005-0000-0000-000028090000}"/>
    <cellStyle name="Entrada 48" xfId="2263" xr:uid="{00000000-0005-0000-0000-000029090000}"/>
    <cellStyle name="Entrada 49" xfId="2264" xr:uid="{00000000-0005-0000-0000-00002A090000}"/>
    <cellStyle name="Entrada 5" xfId="2265" xr:uid="{00000000-0005-0000-0000-00002B090000}"/>
    <cellStyle name="Entrada 50" xfId="2266" xr:uid="{00000000-0005-0000-0000-00002C090000}"/>
    <cellStyle name="Entrada 51" xfId="2267" xr:uid="{00000000-0005-0000-0000-00002D090000}"/>
    <cellStyle name="Entrada 52" xfId="2268" xr:uid="{00000000-0005-0000-0000-00002E090000}"/>
    <cellStyle name="Entrada 53" xfId="2269" xr:uid="{00000000-0005-0000-0000-00002F090000}"/>
    <cellStyle name="Entrada 54" xfId="2270" xr:uid="{00000000-0005-0000-0000-000030090000}"/>
    <cellStyle name="Entrada 55" xfId="2271" xr:uid="{00000000-0005-0000-0000-000031090000}"/>
    <cellStyle name="Entrada 56" xfId="2272" xr:uid="{00000000-0005-0000-0000-000032090000}"/>
    <cellStyle name="Entrada 57" xfId="2273" xr:uid="{00000000-0005-0000-0000-000033090000}"/>
    <cellStyle name="Entrada 58" xfId="2274" xr:uid="{00000000-0005-0000-0000-000034090000}"/>
    <cellStyle name="Entrada 59" xfId="2275" xr:uid="{00000000-0005-0000-0000-000035090000}"/>
    <cellStyle name="Entrada 6" xfId="2276" xr:uid="{00000000-0005-0000-0000-000036090000}"/>
    <cellStyle name="Entrada 60" xfId="2277" xr:uid="{00000000-0005-0000-0000-000037090000}"/>
    <cellStyle name="Entrada 61" xfId="2278" xr:uid="{00000000-0005-0000-0000-000038090000}"/>
    <cellStyle name="Entrada 62" xfId="2279" xr:uid="{00000000-0005-0000-0000-000039090000}"/>
    <cellStyle name="Entrada 63" xfId="2280" xr:uid="{00000000-0005-0000-0000-00003A090000}"/>
    <cellStyle name="Entrada 64" xfId="2281" xr:uid="{00000000-0005-0000-0000-00003B090000}"/>
    <cellStyle name="Entrada 65" xfId="2282" xr:uid="{00000000-0005-0000-0000-00003C090000}"/>
    <cellStyle name="Entrada 66" xfId="2283" xr:uid="{00000000-0005-0000-0000-00003D090000}"/>
    <cellStyle name="Entrada 67" xfId="2284" xr:uid="{00000000-0005-0000-0000-00003E090000}"/>
    <cellStyle name="Entrada 7" xfId="2285" xr:uid="{00000000-0005-0000-0000-00003F090000}"/>
    <cellStyle name="Entrada 8" xfId="2286" xr:uid="{00000000-0005-0000-0000-000040090000}"/>
    <cellStyle name="Entrada 9" xfId="2287" xr:uid="{00000000-0005-0000-0000-000041090000}"/>
    <cellStyle name="Estilo 1" xfId="47" xr:uid="{00000000-0005-0000-0000-000042090000}"/>
    <cellStyle name="Estilo 1 2" xfId="2288" xr:uid="{00000000-0005-0000-0000-000043090000}"/>
    <cellStyle name="Estilo 1 26" xfId="7353" xr:uid="{00000000-0005-0000-0000-000044090000}"/>
    <cellStyle name="Estilo 1 3" xfId="3627" xr:uid="{00000000-0005-0000-0000-000045090000}"/>
    <cellStyle name="Estilo 1 4" xfId="3628" xr:uid="{00000000-0005-0000-0000-000046090000}"/>
    <cellStyle name="Euro" xfId="48" xr:uid="{00000000-0005-0000-0000-000047090000}"/>
    <cellStyle name="Euro 10" xfId="7354" xr:uid="{00000000-0005-0000-0000-000048090000}"/>
    <cellStyle name="Euro 11" xfId="7355" xr:uid="{00000000-0005-0000-0000-000049090000}"/>
    <cellStyle name="Euro 12" xfId="7356" xr:uid="{00000000-0005-0000-0000-00004A090000}"/>
    <cellStyle name="Euro 13" xfId="7357" xr:uid="{00000000-0005-0000-0000-00004B090000}"/>
    <cellStyle name="Euro 14" xfId="7358" xr:uid="{00000000-0005-0000-0000-00004C090000}"/>
    <cellStyle name="Euro 15" xfId="7359" xr:uid="{00000000-0005-0000-0000-00004D090000}"/>
    <cellStyle name="Euro 16" xfId="7360" xr:uid="{00000000-0005-0000-0000-00004E090000}"/>
    <cellStyle name="Euro 17" xfId="7361" xr:uid="{00000000-0005-0000-0000-00004F090000}"/>
    <cellStyle name="Euro 18" xfId="7362" xr:uid="{00000000-0005-0000-0000-000050090000}"/>
    <cellStyle name="Euro 19" xfId="7363" xr:uid="{00000000-0005-0000-0000-000051090000}"/>
    <cellStyle name="Euro 2" xfId="49" xr:uid="{00000000-0005-0000-0000-000052090000}"/>
    <cellStyle name="Euro 2 2" xfId="126" xr:uid="{00000000-0005-0000-0000-000053090000}"/>
    <cellStyle name="Euro 2 3" xfId="192" xr:uid="{00000000-0005-0000-0000-000054090000}"/>
    <cellStyle name="Euro 20" xfId="7364" xr:uid="{00000000-0005-0000-0000-000055090000}"/>
    <cellStyle name="Euro 21" xfId="7365" xr:uid="{00000000-0005-0000-0000-000056090000}"/>
    <cellStyle name="Euro 22" xfId="7366" xr:uid="{00000000-0005-0000-0000-000057090000}"/>
    <cellStyle name="Euro 23" xfId="7367" xr:uid="{00000000-0005-0000-0000-000058090000}"/>
    <cellStyle name="Euro 24" xfId="7368" xr:uid="{00000000-0005-0000-0000-000059090000}"/>
    <cellStyle name="Euro 25" xfId="7369" xr:uid="{00000000-0005-0000-0000-00005A090000}"/>
    <cellStyle name="Euro 26" xfId="7370" xr:uid="{00000000-0005-0000-0000-00005B090000}"/>
    <cellStyle name="Euro 27" xfId="7371" xr:uid="{00000000-0005-0000-0000-00005C090000}"/>
    <cellStyle name="Euro 28" xfId="7372" xr:uid="{00000000-0005-0000-0000-00005D090000}"/>
    <cellStyle name="Euro 29" xfId="7373" xr:uid="{00000000-0005-0000-0000-00005E090000}"/>
    <cellStyle name="Euro 3" xfId="127" xr:uid="{00000000-0005-0000-0000-00005F090000}"/>
    <cellStyle name="Euro 3 2" xfId="128" xr:uid="{00000000-0005-0000-0000-000060090000}"/>
    <cellStyle name="Euro 30" xfId="7374" xr:uid="{00000000-0005-0000-0000-000061090000}"/>
    <cellStyle name="Euro 31" xfId="7375" xr:uid="{00000000-0005-0000-0000-000062090000}"/>
    <cellStyle name="Euro 32" xfId="7376" xr:uid="{00000000-0005-0000-0000-000063090000}"/>
    <cellStyle name="Euro 33" xfId="7377" xr:uid="{00000000-0005-0000-0000-000064090000}"/>
    <cellStyle name="Euro 34" xfId="7378" xr:uid="{00000000-0005-0000-0000-000065090000}"/>
    <cellStyle name="Euro 35" xfId="7379" xr:uid="{00000000-0005-0000-0000-000066090000}"/>
    <cellStyle name="Euro 36" xfId="7380" xr:uid="{00000000-0005-0000-0000-000067090000}"/>
    <cellStyle name="Euro 37" xfId="7381" xr:uid="{00000000-0005-0000-0000-000068090000}"/>
    <cellStyle name="Euro 4" xfId="2289" xr:uid="{00000000-0005-0000-0000-000069090000}"/>
    <cellStyle name="Euro 5" xfId="2290" xr:uid="{00000000-0005-0000-0000-00006A090000}"/>
    <cellStyle name="Euro 6" xfId="2291" xr:uid="{00000000-0005-0000-0000-00006B090000}"/>
    <cellStyle name="Euro 7" xfId="7382" xr:uid="{00000000-0005-0000-0000-00006C090000}"/>
    <cellStyle name="Euro 8" xfId="7383" xr:uid="{00000000-0005-0000-0000-00006D090000}"/>
    <cellStyle name="Euro 9" xfId="7384" xr:uid="{00000000-0005-0000-0000-00006E090000}"/>
    <cellStyle name="Euro_2010.09.13 Av. Venezuela Ratio rev3" xfId="50" xr:uid="{00000000-0005-0000-0000-00006F090000}"/>
    <cellStyle name="Excel Built-in Normal" xfId="3629" xr:uid="{00000000-0005-0000-0000-000070090000}"/>
    <cellStyle name="Excel Built-in Normal 1" xfId="7385" xr:uid="{00000000-0005-0000-0000-000071090000}"/>
    <cellStyle name="Excel Built-in Normal 2" xfId="3630" xr:uid="{00000000-0005-0000-0000-000072090000}"/>
    <cellStyle name="Explanatory Text" xfId="7386" xr:uid="{00000000-0005-0000-0000-000073090000}"/>
    <cellStyle name="F2" xfId="51" xr:uid="{00000000-0005-0000-0000-000074090000}"/>
    <cellStyle name="F2 - Modelo2" xfId="3631" xr:uid="{00000000-0005-0000-0000-000075090000}"/>
    <cellStyle name="F2 10" xfId="3632" xr:uid="{00000000-0005-0000-0000-000076090000}"/>
    <cellStyle name="F2 11" xfId="3633" xr:uid="{00000000-0005-0000-0000-000077090000}"/>
    <cellStyle name="F2 12" xfId="3634" xr:uid="{00000000-0005-0000-0000-000078090000}"/>
    <cellStyle name="F2 13" xfId="3635" xr:uid="{00000000-0005-0000-0000-000079090000}"/>
    <cellStyle name="F2 14" xfId="3636" xr:uid="{00000000-0005-0000-0000-00007A090000}"/>
    <cellStyle name="F2 15" xfId="3637" xr:uid="{00000000-0005-0000-0000-00007B090000}"/>
    <cellStyle name="F2 16" xfId="3638" xr:uid="{00000000-0005-0000-0000-00007C090000}"/>
    <cellStyle name="F2 17" xfId="3639" xr:uid="{00000000-0005-0000-0000-00007D090000}"/>
    <cellStyle name="F2 18" xfId="3640" xr:uid="{00000000-0005-0000-0000-00007E090000}"/>
    <cellStyle name="F2 19" xfId="3641" xr:uid="{00000000-0005-0000-0000-00007F090000}"/>
    <cellStyle name="F2 2" xfId="3642" xr:uid="{00000000-0005-0000-0000-000080090000}"/>
    <cellStyle name="F2 20" xfId="3643" xr:uid="{00000000-0005-0000-0000-000081090000}"/>
    <cellStyle name="F2 21" xfId="3644" xr:uid="{00000000-0005-0000-0000-000082090000}"/>
    <cellStyle name="F2 22" xfId="3645" xr:uid="{00000000-0005-0000-0000-000083090000}"/>
    <cellStyle name="F2 23" xfId="3646" xr:uid="{00000000-0005-0000-0000-000084090000}"/>
    <cellStyle name="F2 24" xfId="3647" xr:uid="{00000000-0005-0000-0000-000085090000}"/>
    <cellStyle name="F2 25" xfId="3648" xr:uid="{00000000-0005-0000-0000-000086090000}"/>
    <cellStyle name="F2 26" xfId="3649" xr:uid="{00000000-0005-0000-0000-000087090000}"/>
    <cellStyle name="F2 27" xfId="3650" xr:uid="{00000000-0005-0000-0000-000088090000}"/>
    <cellStyle name="F2 28" xfId="3651" xr:uid="{00000000-0005-0000-0000-000089090000}"/>
    <cellStyle name="F2 29" xfId="3652" xr:uid="{00000000-0005-0000-0000-00008A090000}"/>
    <cellStyle name="F2 3" xfId="3653" xr:uid="{00000000-0005-0000-0000-00008B090000}"/>
    <cellStyle name="F2 30" xfId="3654" xr:uid="{00000000-0005-0000-0000-00008C090000}"/>
    <cellStyle name="F2 31" xfId="3655" xr:uid="{00000000-0005-0000-0000-00008D090000}"/>
    <cellStyle name="F2 32" xfId="3656" xr:uid="{00000000-0005-0000-0000-00008E090000}"/>
    <cellStyle name="F2 33" xfId="3657" xr:uid="{00000000-0005-0000-0000-00008F090000}"/>
    <cellStyle name="F2 34" xfId="3658" xr:uid="{00000000-0005-0000-0000-000090090000}"/>
    <cellStyle name="F2 35" xfId="3659" xr:uid="{00000000-0005-0000-0000-000091090000}"/>
    <cellStyle name="F2 36" xfId="3660" xr:uid="{00000000-0005-0000-0000-000092090000}"/>
    <cellStyle name="F2 37" xfId="3661" xr:uid="{00000000-0005-0000-0000-000093090000}"/>
    <cellStyle name="F2 38" xfId="3662" xr:uid="{00000000-0005-0000-0000-000094090000}"/>
    <cellStyle name="F2 39" xfId="3663" xr:uid="{00000000-0005-0000-0000-000095090000}"/>
    <cellStyle name="F2 4" xfId="3664" xr:uid="{00000000-0005-0000-0000-000096090000}"/>
    <cellStyle name="F2 40" xfId="3665" xr:uid="{00000000-0005-0000-0000-000097090000}"/>
    <cellStyle name="F2 41" xfId="3666" xr:uid="{00000000-0005-0000-0000-000098090000}"/>
    <cellStyle name="F2 42" xfId="3667" xr:uid="{00000000-0005-0000-0000-000099090000}"/>
    <cellStyle name="F2 43" xfId="3668" xr:uid="{00000000-0005-0000-0000-00009A090000}"/>
    <cellStyle name="F2 44" xfId="3669" xr:uid="{00000000-0005-0000-0000-00009B090000}"/>
    <cellStyle name="F2 45" xfId="3670" xr:uid="{00000000-0005-0000-0000-00009C090000}"/>
    <cellStyle name="F2 46" xfId="3671" xr:uid="{00000000-0005-0000-0000-00009D090000}"/>
    <cellStyle name="F2 47" xfId="3672" xr:uid="{00000000-0005-0000-0000-00009E090000}"/>
    <cellStyle name="F2 48" xfId="3673" xr:uid="{00000000-0005-0000-0000-00009F090000}"/>
    <cellStyle name="F2 49" xfId="3674" xr:uid="{00000000-0005-0000-0000-0000A0090000}"/>
    <cellStyle name="F2 5" xfId="3675" xr:uid="{00000000-0005-0000-0000-0000A1090000}"/>
    <cellStyle name="F2 50" xfId="3676" xr:uid="{00000000-0005-0000-0000-0000A2090000}"/>
    <cellStyle name="F2 51" xfId="3677" xr:uid="{00000000-0005-0000-0000-0000A3090000}"/>
    <cellStyle name="F2 52" xfId="3678" xr:uid="{00000000-0005-0000-0000-0000A4090000}"/>
    <cellStyle name="F2 53" xfId="3679" xr:uid="{00000000-0005-0000-0000-0000A5090000}"/>
    <cellStyle name="F2 54" xfId="3680" xr:uid="{00000000-0005-0000-0000-0000A6090000}"/>
    <cellStyle name="F2 55" xfId="3681" xr:uid="{00000000-0005-0000-0000-0000A7090000}"/>
    <cellStyle name="F2 56" xfId="3682" xr:uid="{00000000-0005-0000-0000-0000A8090000}"/>
    <cellStyle name="F2 57" xfId="3683" xr:uid="{00000000-0005-0000-0000-0000A9090000}"/>
    <cellStyle name="F2 58" xfId="3684" xr:uid="{00000000-0005-0000-0000-0000AA090000}"/>
    <cellStyle name="F2 59" xfId="3685" xr:uid="{00000000-0005-0000-0000-0000AB090000}"/>
    <cellStyle name="F2 6" xfId="3686" xr:uid="{00000000-0005-0000-0000-0000AC090000}"/>
    <cellStyle name="F2 60" xfId="3687" xr:uid="{00000000-0005-0000-0000-0000AD090000}"/>
    <cellStyle name="F2 61" xfId="3688" xr:uid="{00000000-0005-0000-0000-0000AE090000}"/>
    <cellStyle name="F2 62" xfId="3689" xr:uid="{00000000-0005-0000-0000-0000AF090000}"/>
    <cellStyle name="F2 63" xfId="3690" xr:uid="{00000000-0005-0000-0000-0000B0090000}"/>
    <cellStyle name="F2 64" xfId="3691" xr:uid="{00000000-0005-0000-0000-0000B1090000}"/>
    <cellStyle name="F2 65" xfId="3692" xr:uid="{00000000-0005-0000-0000-0000B2090000}"/>
    <cellStyle name="F2 66" xfId="3693" xr:uid="{00000000-0005-0000-0000-0000B3090000}"/>
    <cellStyle name="F2 67" xfId="3694" xr:uid="{00000000-0005-0000-0000-0000B4090000}"/>
    <cellStyle name="F2 68" xfId="3695" xr:uid="{00000000-0005-0000-0000-0000B5090000}"/>
    <cellStyle name="F2 69" xfId="3696" xr:uid="{00000000-0005-0000-0000-0000B6090000}"/>
    <cellStyle name="F2 7" xfId="3697" xr:uid="{00000000-0005-0000-0000-0000B7090000}"/>
    <cellStyle name="F2 70" xfId="3698" xr:uid="{00000000-0005-0000-0000-0000B8090000}"/>
    <cellStyle name="F2 71" xfId="3699" xr:uid="{00000000-0005-0000-0000-0000B9090000}"/>
    <cellStyle name="F2 72" xfId="3700" xr:uid="{00000000-0005-0000-0000-0000BA090000}"/>
    <cellStyle name="F2 73" xfId="3701" xr:uid="{00000000-0005-0000-0000-0000BB090000}"/>
    <cellStyle name="F2 74" xfId="3702" xr:uid="{00000000-0005-0000-0000-0000BC090000}"/>
    <cellStyle name="F2 75" xfId="3703" xr:uid="{00000000-0005-0000-0000-0000BD090000}"/>
    <cellStyle name="F2 76" xfId="3704" xr:uid="{00000000-0005-0000-0000-0000BE090000}"/>
    <cellStyle name="F2 8" xfId="3705" xr:uid="{00000000-0005-0000-0000-0000BF090000}"/>
    <cellStyle name="F2 9" xfId="3706" xr:uid="{00000000-0005-0000-0000-0000C0090000}"/>
    <cellStyle name="F2_Ampliación Set Ingenieros" xfId="3707" xr:uid="{00000000-0005-0000-0000-0000C1090000}"/>
    <cellStyle name="F3" xfId="52" xr:uid="{00000000-0005-0000-0000-0000C2090000}"/>
    <cellStyle name="F3 - Modelo4" xfId="3708" xr:uid="{00000000-0005-0000-0000-0000C3090000}"/>
    <cellStyle name="F3 10" xfId="3709" xr:uid="{00000000-0005-0000-0000-0000C4090000}"/>
    <cellStyle name="F3 11" xfId="3710" xr:uid="{00000000-0005-0000-0000-0000C5090000}"/>
    <cellStyle name="F3 12" xfId="3711" xr:uid="{00000000-0005-0000-0000-0000C6090000}"/>
    <cellStyle name="F3 13" xfId="3712" xr:uid="{00000000-0005-0000-0000-0000C7090000}"/>
    <cellStyle name="F3 14" xfId="3713" xr:uid="{00000000-0005-0000-0000-0000C8090000}"/>
    <cellStyle name="F3 15" xfId="3714" xr:uid="{00000000-0005-0000-0000-0000C9090000}"/>
    <cellStyle name="F3 16" xfId="3715" xr:uid="{00000000-0005-0000-0000-0000CA090000}"/>
    <cellStyle name="F3 17" xfId="3716" xr:uid="{00000000-0005-0000-0000-0000CB090000}"/>
    <cellStyle name="F3 18" xfId="3717" xr:uid="{00000000-0005-0000-0000-0000CC090000}"/>
    <cellStyle name="F3 19" xfId="3718" xr:uid="{00000000-0005-0000-0000-0000CD090000}"/>
    <cellStyle name="F3 2" xfId="3719" xr:uid="{00000000-0005-0000-0000-0000CE090000}"/>
    <cellStyle name="F3 20" xfId="3720" xr:uid="{00000000-0005-0000-0000-0000CF090000}"/>
    <cellStyle name="F3 21" xfId="3721" xr:uid="{00000000-0005-0000-0000-0000D0090000}"/>
    <cellStyle name="F3 22" xfId="3722" xr:uid="{00000000-0005-0000-0000-0000D1090000}"/>
    <cellStyle name="F3 23" xfId="3723" xr:uid="{00000000-0005-0000-0000-0000D2090000}"/>
    <cellStyle name="F3 24" xfId="3724" xr:uid="{00000000-0005-0000-0000-0000D3090000}"/>
    <cellStyle name="F3 25" xfId="3725" xr:uid="{00000000-0005-0000-0000-0000D4090000}"/>
    <cellStyle name="F3 26" xfId="3726" xr:uid="{00000000-0005-0000-0000-0000D5090000}"/>
    <cellStyle name="F3 27" xfId="3727" xr:uid="{00000000-0005-0000-0000-0000D6090000}"/>
    <cellStyle name="F3 28" xfId="3728" xr:uid="{00000000-0005-0000-0000-0000D7090000}"/>
    <cellStyle name="F3 29" xfId="3729" xr:uid="{00000000-0005-0000-0000-0000D8090000}"/>
    <cellStyle name="F3 3" xfId="3730" xr:uid="{00000000-0005-0000-0000-0000D9090000}"/>
    <cellStyle name="F3 30" xfId="3731" xr:uid="{00000000-0005-0000-0000-0000DA090000}"/>
    <cellStyle name="F3 31" xfId="3732" xr:uid="{00000000-0005-0000-0000-0000DB090000}"/>
    <cellStyle name="F3 32" xfId="3733" xr:uid="{00000000-0005-0000-0000-0000DC090000}"/>
    <cellStyle name="F3 33" xfId="3734" xr:uid="{00000000-0005-0000-0000-0000DD090000}"/>
    <cellStyle name="F3 34" xfId="3735" xr:uid="{00000000-0005-0000-0000-0000DE090000}"/>
    <cellStyle name="F3 35" xfId="3736" xr:uid="{00000000-0005-0000-0000-0000DF090000}"/>
    <cellStyle name="F3 36" xfId="3737" xr:uid="{00000000-0005-0000-0000-0000E0090000}"/>
    <cellStyle name="F3 37" xfId="3738" xr:uid="{00000000-0005-0000-0000-0000E1090000}"/>
    <cellStyle name="F3 38" xfId="3739" xr:uid="{00000000-0005-0000-0000-0000E2090000}"/>
    <cellStyle name="F3 39" xfId="3740" xr:uid="{00000000-0005-0000-0000-0000E3090000}"/>
    <cellStyle name="F3 4" xfId="3741" xr:uid="{00000000-0005-0000-0000-0000E4090000}"/>
    <cellStyle name="F3 40" xfId="3742" xr:uid="{00000000-0005-0000-0000-0000E5090000}"/>
    <cellStyle name="F3 41" xfId="3743" xr:uid="{00000000-0005-0000-0000-0000E6090000}"/>
    <cellStyle name="F3 42" xfId="3744" xr:uid="{00000000-0005-0000-0000-0000E7090000}"/>
    <cellStyle name="F3 43" xfId="3745" xr:uid="{00000000-0005-0000-0000-0000E8090000}"/>
    <cellStyle name="F3 44" xfId="3746" xr:uid="{00000000-0005-0000-0000-0000E9090000}"/>
    <cellStyle name="F3 45" xfId="3747" xr:uid="{00000000-0005-0000-0000-0000EA090000}"/>
    <cellStyle name="F3 46" xfId="3748" xr:uid="{00000000-0005-0000-0000-0000EB090000}"/>
    <cellStyle name="F3 47" xfId="3749" xr:uid="{00000000-0005-0000-0000-0000EC090000}"/>
    <cellStyle name="F3 48" xfId="3750" xr:uid="{00000000-0005-0000-0000-0000ED090000}"/>
    <cellStyle name="F3 49" xfId="3751" xr:uid="{00000000-0005-0000-0000-0000EE090000}"/>
    <cellStyle name="F3 5" xfId="3752" xr:uid="{00000000-0005-0000-0000-0000EF090000}"/>
    <cellStyle name="F3 50" xfId="3753" xr:uid="{00000000-0005-0000-0000-0000F0090000}"/>
    <cellStyle name="F3 51" xfId="3754" xr:uid="{00000000-0005-0000-0000-0000F1090000}"/>
    <cellStyle name="F3 52" xfId="3755" xr:uid="{00000000-0005-0000-0000-0000F2090000}"/>
    <cellStyle name="F3 53" xfId="3756" xr:uid="{00000000-0005-0000-0000-0000F3090000}"/>
    <cellStyle name="F3 54" xfId="3757" xr:uid="{00000000-0005-0000-0000-0000F4090000}"/>
    <cellStyle name="F3 55" xfId="3758" xr:uid="{00000000-0005-0000-0000-0000F5090000}"/>
    <cellStyle name="F3 56" xfId="3759" xr:uid="{00000000-0005-0000-0000-0000F6090000}"/>
    <cellStyle name="F3 57" xfId="3760" xr:uid="{00000000-0005-0000-0000-0000F7090000}"/>
    <cellStyle name="F3 58" xfId="3761" xr:uid="{00000000-0005-0000-0000-0000F8090000}"/>
    <cellStyle name="F3 59" xfId="3762" xr:uid="{00000000-0005-0000-0000-0000F9090000}"/>
    <cellStyle name="F3 6" xfId="3763" xr:uid="{00000000-0005-0000-0000-0000FA090000}"/>
    <cellStyle name="F3 60" xfId="3764" xr:uid="{00000000-0005-0000-0000-0000FB090000}"/>
    <cellStyle name="F3 61" xfId="3765" xr:uid="{00000000-0005-0000-0000-0000FC090000}"/>
    <cellStyle name="F3 62" xfId="3766" xr:uid="{00000000-0005-0000-0000-0000FD090000}"/>
    <cellStyle name="F3 63" xfId="3767" xr:uid="{00000000-0005-0000-0000-0000FE090000}"/>
    <cellStyle name="F3 64" xfId="3768" xr:uid="{00000000-0005-0000-0000-0000FF090000}"/>
    <cellStyle name="F3 65" xfId="3769" xr:uid="{00000000-0005-0000-0000-0000000A0000}"/>
    <cellStyle name="F3 66" xfId="3770" xr:uid="{00000000-0005-0000-0000-0000010A0000}"/>
    <cellStyle name="F3 67" xfId="3771" xr:uid="{00000000-0005-0000-0000-0000020A0000}"/>
    <cellStyle name="F3 68" xfId="3772" xr:uid="{00000000-0005-0000-0000-0000030A0000}"/>
    <cellStyle name="F3 69" xfId="3773" xr:uid="{00000000-0005-0000-0000-0000040A0000}"/>
    <cellStyle name="F3 7" xfId="3774" xr:uid="{00000000-0005-0000-0000-0000050A0000}"/>
    <cellStyle name="F3 70" xfId="3775" xr:uid="{00000000-0005-0000-0000-0000060A0000}"/>
    <cellStyle name="F3 71" xfId="3776" xr:uid="{00000000-0005-0000-0000-0000070A0000}"/>
    <cellStyle name="F3 72" xfId="3777" xr:uid="{00000000-0005-0000-0000-0000080A0000}"/>
    <cellStyle name="F3 73" xfId="3778" xr:uid="{00000000-0005-0000-0000-0000090A0000}"/>
    <cellStyle name="F3 74" xfId="3779" xr:uid="{00000000-0005-0000-0000-00000A0A0000}"/>
    <cellStyle name="F3 75" xfId="3780" xr:uid="{00000000-0005-0000-0000-00000B0A0000}"/>
    <cellStyle name="F3 76" xfId="3781" xr:uid="{00000000-0005-0000-0000-00000C0A0000}"/>
    <cellStyle name="F3 8" xfId="3782" xr:uid="{00000000-0005-0000-0000-00000D0A0000}"/>
    <cellStyle name="F3 9" xfId="3783" xr:uid="{00000000-0005-0000-0000-00000E0A0000}"/>
    <cellStyle name="F3_PPTO U DE LIMA COMPARATIVO IE 1 final" xfId="3784" xr:uid="{00000000-0005-0000-0000-00000F0A0000}"/>
    <cellStyle name="F4" xfId="53" xr:uid="{00000000-0005-0000-0000-0000100A0000}"/>
    <cellStyle name="F4 2" xfId="3785" xr:uid="{00000000-0005-0000-0000-0000110A0000}"/>
    <cellStyle name="F4 3" xfId="3786" xr:uid="{00000000-0005-0000-0000-0000120A0000}"/>
    <cellStyle name="F5" xfId="54" xr:uid="{00000000-0005-0000-0000-0000130A0000}"/>
    <cellStyle name="F5 - Modelo1" xfId="3787" xr:uid="{00000000-0005-0000-0000-0000140A0000}"/>
    <cellStyle name="F5 10" xfId="3788" xr:uid="{00000000-0005-0000-0000-0000150A0000}"/>
    <cellStyle name="F5 11" xfId="3789" xr:uid="{00000000-0005-0000-0000-0000160A0000}"/>
    <cellStyle name="F5 12" xfId="3790" xr:uid="{00000000-0005-0000-0000-0000170A0000}"/>
    <cellStyle name="F5 13" xfId="3791" xr:uid="{00000000-0005-0000-0000-0000180A0000}"/>
    <cellStyle name="F5 14" xfId="3792" xr:uid="{00000000-0005-0000-0000-0000190A0000}"/>
    <cellStyle name="F5 15" xfId="3793" xr:uid="{00000000-0005-0000-0000-00001A0A0000}"/>
    <cellStyle name="F5 16" xfId="3794" xr:uid="{00000000-0005-0000-0000-00001B0A0000}"/>
    <cellStyle name="F5 17" xfId="3795" xr:uid="{00000000-0005-0000-0000-00001C0A0000}"/>
    <cellStyle name="F5 18" xfId="3796" xr:uid="{00000000-0005-0000-0000-00001D0A0000}"/>
    <cellStyle name="F5 19" xfId="3797" xr:uid="{00000000-0005-0000-0000-00001E0A0000}"/>
    <cellStyle name="F5 2" xfId="3798" xr:uid="{00000000-0005-0000-0000-00001F0A0000}"/>
    <cellStyle name="F5 20" xfId="3799" xr:uid="{00000000-0005-0000-0000-0000200A0000}"/>
    <cellStyle name="F5 21" xfId="3800" xr:uid="{00000000-0005-0000-0000-0000210A0000}"/>
    <cellStyle name="F5 22" xfId="3801" xr:uid="{00000000-0005-0000-0000-0000220A0000}"/>
    <cellStyle name="F5 23" xfId="3802" xr:uid="{00000000-0005-0000-0000-0000230A0000}"/>
    <cellStyle name="F5 24" xfId="3803" xr:uid="{00000000-0005-0000-0000-0000240A0000}"/>
    <cellStyle name="F5 25" xfId="3804" xr:uid="{00000000-0005-0000-0000-0000250A0000}"/>
    <cellStyle name="F5 26" xfId="3805" xr:uid="{00000000-0005-0000-0000-0000260A0000}"/>
    <cellStyle name="F5 27" xfId="3806" xr:uid="{00000000-0005-0000-0000-0000270A0000}"/>
    <cellStyle name="F5 28" xfId="3807" xr:uid="{00000000-0005-0000-0000-0000280A0000}"/>
    <cellStyle name="F5 29" xfId="3808" xr:uid="{00000000-0005-0000-0000-0000290A0000}"/>
    <cellStyle name="F5 3" xfId="3809" xr:uid="{00000000-0005-0000-0000-00002A0A0000}"/>
    <cellStyle name="F5 30" xfId="3810" xr:uid="{00000000-0005-0000-0000-00002B0A0000}"/>
    <cellStyle name="F5 31" xfId="3811" xr:uid="{00000000-0005-0000-0000-00002C0A0000}"/>
    <cellStyle name="F5 32" xfId="3812" xr:uid="{00000000-0005-0000-0000-00002D0A0000}"/>
    <cellStyle name="F5 33" xfId="3813" xr:uid="{00000000-0005-0000-0000-00002E0A0000}"/>
    <cellStyle name="F5 34" xfId="3814" xr:uid="{00000000-0005-0000-0000-00002F0A0000}"/>
    <cellStyle name="F5 35" xfId="3815" xr:uid="{00000000-0005-0000-0000-0000300A0000}"/>
    <cellStyle name="F5 36" xfId="3816" xr:uid="{00000000-0005-0000-0000-0000310A0000}"/>
    <cellStyle name="F5 37" xfId="3817" xr:uid="{00000000-0005-0000-0000-0000320A0000}"/>
    <cellStyle name="F5 38" xfId="3818" xr:uid="{00000000-0005-0000-0000-0000330A0000}"/>
    <cellStyle name="F5 39" xfId="3819" xr:uid="{00000000-0005-0000-0000-0000340A0000}"/>
    <cellStyle name="F5 4" xfId="3820" xr:uid="{00000000-0005-0000-0000-0000350A0000}"/>
    <cellStyle name="F5 40" xfId="3821" xr:uid="{00000000-0005-0000-0000-0000360A0000}"/>
    <cellStyle name="F5 41" xfId="3822" xr:uid="{00000000-0005-0000-0000-0000370A0000}"/>
    <cellStyle name="F5 42" xfId="3823" xr:uid="{00000000-0005-0000-0000-0000380A0000}"/>
    <cellStyle name="F5 43" xfId="3824" xr:uid="{00000000-0005-0000-0000-0000390A0000}"/>
    <cellStyle name="F5 44" xfId="3825" xr:uid="{00000000-0005-0000-0000-00003A0A0000}"/>
    <cellStyle name="F5 45" xfId="3826" xr:uid="{00000000-0005-0000-0000-00003B0A0000}"/>
    <cellStyle name="F5 46" xfId="3827" xr:uid="{00000000-0005-0000-0000-00003C0A0000}"/>
    <cellStyle name="F5 47" xfId="3828" xr:uid="{00000000-0005-0000-0000-00003D0A0000}"/>
    <cellStyle name="F5 48" xfId="3829" xr:uid="{00000000-0005-0000-0000-00003E0A0000}"/>
    <cellStyle name="F5 49" xfId="3830" xr:uid="{00000000-0005-0000-0000-00003F0A0000}"/>
    <cellStyle name="F5 5" xfId="3831" xr:uid="{00000000-0005-0000-0000-0000400A0000}"/>
    <cellStyle name="F5 50" xfId="3832" xr:uid="{00000000-0005-0000-0000-0000410A0000}"/>
    <cellStyle name="F5 51" xfId="3833" xr:uid="{00000000-0005-0000-0000-0000420A0000}"/>
    <cellStyle name="F5 52" xfId="3834" xr:uid="{00000000-0005-0000-0000-0000430A0000}"/>
    <cellStyle name="F5 53" xfId="3835" xr:uid="{00000000-0005-0000-0000-0000440A0000}"/>
    <cellStyle name="F5 54" xfId="3836" xr:uid="{00000000-0005-0000-0000-0000450A0000}"/>
    <cellStyle name="F5 55" xfId="3837" xr:uid="{00000000-0005-0000-0000-0000460A0000}"/>
    <cellStyle name="F5 56" xfId="3838" xr:uid="{00000000-0005-0000-0000-0000470A0000}"/>
    <cellStyle name="F5 57" xfId="3839" xr:uid="{00000000-0005-0000-0000-0000480A0000}"/>
    <cellStyle name="F5 58" xfId="3840" xr:uid="{00000000-0005-0000-0000-0000490A0000}"/>
    <cellStyle name="F5 59" xfId="3841" xr:uid="{00000000-0005-0000-0000-00004A0A0000}"/>
    <cellStyle name="F5 6" xfId="3842" xr:uid="{00000000-0005-0000-0000-00004B0A0000}"/>
    <cellStyle name="F5 60" xfId="3843" xr:uid="{00000000-0005-0000-0000-00004C0A0000}"/>
    <cellStyle name="F5 61" xfId="3844" xr:uid="{00000000-0005-0000-0000-00004D0A0000}"/>
    <cellStyle name="F5 62" xfId="3845" xr:uid="{00000000-0005-0000-0000-00004E0A0000}"/>
    <cellStyle name="F5 63" xfId="3846" xr:uid="{00000000-0005-0000-0000-00004F0A0000}"/>
    <cellStyle name="F5 64" xfId="3847" xr:uid="{00000000-0005-0000-0000-0000500A0000}"/>
    <cellStyle name="F5 65" xfId="3848" xr:uid="{00000000-0005-0000-0000-0000510A0000}"/>
    <cellStyle name="F5 66" xfId="3849" xr:uid="{00000000-0005-0000-0000-0000520A0000}"/>
    <cellStyle name="F5 67" xfId="3850" xr:uid="{00000000-0005-0000-0000-0000530A0000}"/>
    <cellStyle name="F5 68" xfId="3851" xr:uid="{00000000-0005-0000-0000-0000540A0000}"/>
    <cellStyle name="F5 69" xfId="3852" xr:uid="{00000000-0005-0000-0000-0000550A0000}"/>
    <cellStyle name="F5 7" xfId="3853" xr:uid="{00000000-0005-0000-0000-0000560A0000}"/>
    <cellStyle name="F5 70" xfId="3854" xr:uid="{00000000-0005-0000-0000-0000570A0000}"/>
    <cellStyle name="F5 71" xfId="3855" xr:uid="{00000000-0005-0000-0000-0000580A0000}"/>
    <cellStyle name="F5 72" xfId="3856" xr:uid="{00000000-0005-0000-0000-0000590A0000}"/>
    <cellStyle name="F5 73" xfId="3857" xr:uid="{00000000-0005-0000-0000-00005A0A0000}"/>
    <cellStyle name="F5 74" xfId="3858" xr:uid="{00000000-0005-0000-0000-00005B0A0000}"/>
    <cellStyle name="F5 75" xfId="3859" xr:uid="{00000000-0005-0000-0000-00005C0A0000}"/>
    <cellStyle name="F5 76" xfId="3860" xr:uid="{00000000-0005-0000-0000-00005D0A0000}"/>
    <cellStyle name="F5 8" xfId="3861" xr:uid="{00000000-0005-0000-0000-00005E0A0000}"/>
    <cellStyle name="F5 9" xfId="3862" xr:uid="{00000000-0005-0000-0000-00005F0A0000}"/>
    <cellStyle name="F5_Ampliación Set Ingenieros" xfId="3863" xr:uid="{00000000-0005-0000-0000-0000600A0000}"/>
    <cellStyle name="F6" xfId="55" xr:uid="{00000000-0005-0000-0000-0000610A0000}"/>
    <cellStyle name="F6 - Modelo3" xfId="3864" xr:uid="{00000000-0005-0000-0000-0000620A0000}"/>
    <cellStyle name="F6 10" xfId="3865" xr:uid="{00000000-0005-0000-0000-0000630A0000}"/>
    <cellStyle name="F6 11" xfId="3866" xr:uid="{00000000-0005-0000-0000-0000640A0000}"/>
    <cellStyle name="F6 12" xfId="3867" xr:uid="{00000000-0005-0000-0000-0000650A0000}"/>
    <cellStyle name="F6 13" xfId="3868" xr:uid="{00000000-0005-0000-0000-0000660A0000}"/>
    <cellStyle name="F6 14" xfId="3869" xr:uid="{00000000-0005-0000-0000-0000670A0000}"/>
    <cellStyle name="F6 15" xfId="3870" xr:uid="{00000000-0005-0000-0000-0000680A0000}"/>
    <cellStyle name="F6 16" xfId="3871" xr:uid="{00000000-0005-0000-0000-0000690A0000}"/>
    <cellStyle name="F6 17" xfId="3872" xr:uid="{00000000-0005-0000-0000-00006A0A0000}"/>
    <cellStyle name="F6 18" xfId="3873" xr:uid="{00000000-0005-0000-0000-00006B0A0000}"/>
    <cellStyle name="F6 19" xfId="3874" xr:uid="{00000000-0005-0000-0000-00006C0A0000}"/>
    <cellStyle name="F6 2" xfId="3875" xr:uid="{00000000-0005-0000-0000-00006D0A0000}"/>
    <cellStyle name="F6 20" xfId="3876" xr:uid="{00000000-0005-0000-0000-00006E0A0000}"/>
    <cellStyle name="F6 21" xfId="3877" xr:uid="{00000000-0005-0000-0000-00006F0A0000}"/>
    <cellStyle name="F6 22" xfId="3878" xr:uid="{00000000-0005-0000-0000-0000700A0000}"/>
    <cellStyle name="F6 23" xfId="3879" xr:uid="{00000000-0005-0000-0000-0000710A0000}"/>
    <cellStyle name="F6 24" xfId="3880" xr:uid="{00000000-0005-0000-0000-0000720A0000}"/>
    <cellStyle name="F6 25" xfId="3881" xr:uid="{00000000-0005-0000-0000-0000730A0000}"/>
    <cellStyle name="F6 26" xfId="3882" xr:uid="{00000000-0005-0000-0000-0000740A0000}"/>
    <cellStyle name="F6 27" xfId="3883" xr:uid="{00000000-0005-0000-0000-0000750A0000}"/>
    <cellStyle name="F6 28" xfId="3884" xr:uid="{00000000-0005-0000-0000-0000760A0000}"/>
    <cellStyle name="F6 29" xfId="3885" xr:uid="{00000000-0005-0000-0000-0000770A0000}"/>
    <cellStyle name="F6 3" xfId="3886" xr:uid="{00000000-0005-0000-0000-0000780A0000}"/>
    <cellStyle name="F6 30" xfId="3887" xr:uid="{00000000-0005-0000-0000-0000790A0000}"/>
    <cellStyle name="F6 31" xfId="3888" xr:uid="{00000000-0005-0000-0000-00007A0A0000}"/>
    <cellStyle name="F6 32" xfId="3889" xr:uid="{00000000-0005-0000-0000-00007B0A0000}"/>
    <cellStyle name="F6 33" xfId="3890" xr:uid="{00000000-0005-0000-0000-00007C0A0000}"/>
    <cellStyle name="F6 34" xfId="3891" xr:uid="{00000000-0005-0000-0000-00007D0A0000}"/>
    <cellStyle name="F6 35" xfId="3892" xr:uid="{00000000-0005-0000-0000-00007E0A0000}"/>
    <cellStyle name="F6 36" xfId="3893" xr:uid="{00000000-0005-0000-0000-00007F0A0000}"/>
    <cellStyle name="F6 37" xfId="3894" xr:uid="{00000000-0005-0000-0000-0000800A0000}"/>
    <cellStyle name="F6 38" xfId="3895" xr:uid="{00000000-0005-0000-0000-0000810A0000}"/>
    <cellStyle name="F6 39" xfId="3896" xr:uid="{00000000-0005-0000-0000-0000820A0000}"/>
    <cellStyle name="F6 4" xfId="3897" xr:uid="{00000000-0005-0000-0000-0000830A0000}"/>
    <cellStyle name="F6 40" xfId="3898" xr:uid="{00000000-0005-0000-0000-0000840A0000}"/>
    <cellStyle name="F6 41" xfId="3899" xr:uid="{00000000-0005-0000-0000-0000850A0000}"/>
    <cellStyle name="F6 42" xfId="3900" xr:uid="{00000000-0005-0000-0000-0000860A0000}"/>
    <cellStyle name="F6 43" xfId="3901" xr:uid="{00000000-0005-0000-0000-0000870A0000}"/>
    <cellStyle name="F6 44" xfId="3902" xr:uid="{00000000-0005-0000-0000-0000880A0000}"/>
    <cellStyle name="F6 45" xfId="3903" xr:uid="{00000000-0005-0000-0000-0000890A0000}"/>
    <cellStyle name="F6 46" xfId="3904" xr:uid="{00000000-0005-0000-0000-00008A0A0000}"/>
    <cellStyle name="F6 47" xfId="3905" xr:uid="{00000000-0005-0000-0000-00008B0A0000}"/>
    <cellStyle name="F6 48" xfId="3906" xr:uid="{00000000-0005-0000-0000-00008C0A0000}"/>
    <cellStyle name="F6 49" xfId="3907" xr:uid="{00000000-0005-0000-0000-00008D0A0000}"/>
    <cellStyle name="F6 5" xfId="3908" xr:uid="{00000000-0005-0000-0000-00008E0A0000}"/>
    <cellStyle name="F6 50" xfId="3909" xr:uid="{00000000-0005-0000-0000-00008F0A0000}"/>
    <cellStyle name="F6 51" xfId="3910" xr:uid="{00000000-0005-0000-0000-0000900A0000}"/>
    <cellStyle name="F6 52" xfId="3911" xr:uid="{00000000-0005-0000-0000-0000910A0000}"/>
    <cellStyle name="F6 53" xfId="3912" xr:uid="{00000000-0005-0000-0000-0000920A0000}"/>
    <cellStyle name="F6 54" xfId="3913" xr:uid="{00000000-0005-0000-0000-0000930A0000}"/>
    <cellStyle name="F6 55" xfId="3914" xr:uid="{00000000-0005-0000-0000-0000940A0000}"/>
    <cellStyle name="F6 56" xfId="3915" xr:uid="{00000000-0005-0000-0000-0000950A0000}"/>
    <cellStyle name="F6 57" xfId="3916" xr:uid="{00000000-0005-0000-0000-0000960A0000}"/>
    <cellStyle name="F6 58" xfId="3917" xr:uid="{00000000-0005-0000-0000-0000970A0000}"/>
    <cellStyle name="F6 59" xfId="3918" xr:uid="{00000000-0005-0000-0000-0000980A0000}"/>
    <cellStyle name="F6 6" xfId="3919" xr:uid="{00000000-0005-0000-0000-0000990A0000}"/>
    <cellStyle name="F6 60" xfId="3920" xr:uid="{00000000-0005-0000-0000-00009A0A0000}"/>
    <cellStyle name="F6 61" xfId="3921" xr:uid="{00000000-0005-0000-0000-00009B0A0000}"/>
    <cellStyle name="F6 62" xfId="3922" xr:uid="{00000000-0005-0000-0000-00009C0A0000}"/>
    <cellStyle name="F6 63" xfId="3923" xr:uid="{00000000-0005-0000-0000-00009D0A0000}"/>
    <cellStyle name="F6 64" xfId="3924" xr:uid="{00000000-0005-0000-0000-00009E0A0000}"/>
    <cellStyle name="F6 65" xfId="3925" xr:uid="{00000000-0005-0000-0000-00009F0A0000}"/>
    <cellStyle name="F6 66" xfId="3926" xr:uid="{00000000-0005-0000-0000-0000A00A0000}"/>
    <cellStyle name="F6 67" xfId="3927" xr:uid="{00000000-0005-0000-0000-0000A10A0000}"/>
    <cellStyle name="F6 68" xfId="3928" xr:uid="{00000000-0005-0000-0000-0000A20A0000}"/>
    <cellStyle name="F6 69" xfId="3929" xr:uid="{00000000-0005-0000-0000-0000A30A0000}"/>
    <cellStyle name="F6 7" xfId="3930" xr:uid="{00000000-0005-0000-0000-0000A40A0000}"/>
    <cellStyle name="F6 70" xfId="3931" xr:uid="{00000000-0005-0000-0000-0000A50A0000}"/>
    <cellStyle name="F6 71" xfId="3932" xr:uid="{00000000-0005-0000-0000-0000A60A0000}"/>
    <cellStyle name="F6 72" xfId="3933" xr:uid="{00000000-0005-0000-0000-0000A70A0000}"/>
    <cellStyle name="F6 73" xfId="3934" xr:uid="{00000000-0005-0000-0000-0000A80A0000}"/>
    <cellStyle name="F6 74" xfId="3935" xr:uid="{00000000-0005-0000-0000-0000A90A0000}"/>
    <cellStyle name="F6 75" xfId="3936" xr:uid="{00000000-0005-0000-0000-0000AA0A0000}"/>
    <cellStyle name="F6 76" xfId="3937" xr:uid="{00000000-0005-0000-0000-0000AB0A0000}"/>
    <cellStyle name="F6 8" xfId="3938" xr:uid="{00000000-0005-0000-0000-0000AC0A0000}"/>
    <cellStyle name="F6 9" xfId="3939" xr:uid="{00000000-0005-0000-0000-0000AD0A0000}"/>
    <cellStyle name="F6_PPTO U DE LIMA COMPARATIVO IE 1 final" xfId="3940" xr:uid="{00000000-0005-0000-0000-0000AE0A0000}"/>
    <cellStyle name="F7" xfId="56" xr:uid="{00000000-0005-0000-0000-0000AF0A0000}"/>
    <cellStyle name="F7 2" xfId="3941" xr:uid="{00000000-0005-0000-0000-0000B00A0000}"/>
    <cellStyle name="F7 3" xfId="3942" xr:uid="{00000000-0005-0000-0000-0000B10A0000}"/>
    <cellStyle name="F8" xfId="57" xr:uid="{00000000-0005-0000-0000-0000B20A0000}"/>
    <cellStyle name="F8 2" xfId="3943" xr:uid="{00000000-0005-0000-0000-0000B30A0000}"/>
    <cellStyle name="F8 3" xfId="3944" xr:uid="{00000000-0005-0000-0000-0000B40A0000}"/>
    <cellStyle name="Fecha" xfId="58" xr:uid="{00000000-0005-0000-0000-0000B50A0000}"/>
    <cellStyle name="Fecha 2" xfId="129" xr:uid="{00000000-0005-0000-0000-0000B60A0000}"/>
    <cellStyle name="Fecha 2 2" xfId="130" xr:uid="{00000000-0005-0000-0000-0000B70A0000}"/>
    <cellStyle name="Fecha 3" xfId="131" xr:uid="{00000000-0005-0000-0000-0000B80A0000}"/>
    <cellStyle name="Fijo" xfId="59" xr:uid="{00000000-0005-0000-0000-0000B90A0000}"/>
    <cellStyle name="FIJO 10" xfId="3945" xr:uid="{00000000-0005-0000-0000-0000BA0A0000}"/>
    <cellStyle name="Fijo 11" xfId="3946" xr:uid="{00000000-0005-0000-0000-0000BB0A0000}"/>
    <cellStyle name="Fijo 12" xfId="3947" xr:uid="{00000000-0005-0000-0000-0000BC0A0000}"/>
    <cellStyle name="Fijo 2" xfId="132" xr:uid="{00000000-0005-0000-0000-0000BD0A0000}"/>
    <cellStyle name="Fijo 2 2" xfId="133" xr:uid="{00000000-0005-0000-0000-0000BE0A0000}"/>
    <cellStyle name="Fijo 3" xfId="134" xr:uid="{00000000-0005-0000-0000-0000BF0A0000}"/>
    <cellStyle name="FIJO 4" xfId="3948" xr:uid="{00000000-0005-0000-0000-0000C00A0000}"/>
    <cellStyle name="FIJO 5" xfId="3949" xr:uid="{00000000-0005-0000-0000-0000C10A0000}"/>
    <cellStyle name="FIJO 6" xfId="3950" xr:uid="{00000000-0005-0000-0000-0000C20A0000}"/>
    <cellStyle name="FIJO 7" xfId="3951" xr:uid="{00000000-0005-0000-0000-0000C30A0000}"/>
    <cellStyle name="FIJO 8" xfId="3952" xr:uid="{00000000-0005-0000-0000-0000C40A0000}"/>
    <cellStyle name="FIJO 9" xfId="3953" xr:uid="{00000000-0005-0000-0000-0000C50A0000}"/>
    <cellStyle name="Financiero" xfId="2292" xr:uid="{00000000-0005-0000-0000-0000C60A0000}"/>
    <cellStyle name="FINANCIERO 10" xfId="3954" xr:uid="{00000000-0005-0000-0000-0000C70A0000}"/>
    <cellStyle name="Financiero 11" xfId="3955" xr:uid="{00000000-0005-0000-0000-0000C80A0000}"/>
    <cellStyle name="Financiero 12" xfId="3956" xr:uid="{00000000-0005-0000-0000-0000C90A0000}"/>
    <cellStyle name="Financiero 2" xfId="3957" xr:uid="{00000000-0005-0000-0000-0000CA0A0000}"/>
    <cellStyle name="FINANCIERO 3" xfId="3958" xr:uid="{00000000-0005-0000-0000-0000CB0A0000}"/>
    <cellStyle name="FINANCIERO 4" xfId="3959" xr:uid="{00000000-0005-0000-0000-0000CC0A0000}"/>
    <cellStyle name="FINANCIERO 5" xfId="3960" xr:uid="{00000000-0005-0000-0000-0000CD0A0000}"/>
    <cellStyle name="FINANCIERO 6" xfId="3961" xr:uid="{00000000-0005-0000-0000-0000CE0A0000}"/>
    <cellStyle name="FINANCIERO 7" xfId="3962" xr:uid="{00000000-0005-0000-0000-0000CF0A0000}"/>
    <cellStyle name="FINANCIERO 8" xfId="3963" xr:uid="{00000000-0005-0000-0000-0000D00A0000}"/>
    <cellStyle name="FINANCIERO 9" xfId="3964" xr:uid="{00000000-0005-0000-0000-0000D10A0000}"/>
    <cellStyle name="Fixed" xfId="60" xr:uid="{00000000-0005-0000-0000-0000D20A0000}"/>
    <cellStyle name="Fixed 2" xfId="135" xr:uid="{00000000-0005-0000-0000-0000D30A0000}"/>
    <cellStyle name="Fixed 2 2" xfId="136" xr:uid="{00000000-0005-0000-0000-0000D40A0000}"/>
    <cellStyle name="Fixed 3" xfId="137" xr:uid="{00000000-0005-0000-0000-0000D50A0000}"/>
    <cellStyle name="Fixed_3.- Metrado SAN ANDRES (Ricardo Villavicencio)_ Rev.02" xfId="138" xr:uid="{00000000-0005-0000-0000-0000D60A0000}"/>
    <cellStyle name="Followed Hyperlink" xfId="3965" xr:uid="{00000000-0005-0000-0000-0000D70A0000}"/>
    <cellStyle name="Good" xfId="7387" xr:uid="{00000000-0005-0000-0000-0000D80A0000}"/>
    <cellStyle name="Heading 1" xfId="139" xr:uid="{00000000-0005-0000-0000-0000D90A0000}"/>
    <cellStyle name="Heading 1 2" xfId="3966" xr:uid="{00000000-0005-0000-0000-0000DA0A0000}"/>
    <cellStyle name="Heading 1 3" xfId="3967" xr:uid="{00000000-0005-0000-0000-0000DB0A0000}"/>
    <cellStyle name="Heading 2" xfId="140" xr:uid="{00000000-0005-0000-0000-0000DC0A0000}"/>
    <cellStyle name="Heading 2 2" xfId="3968" xr:uid="{00000000-0005-0000-0000-0000DD0A0000}"/>
    <cellStyle name="Heading 2 3" xfId="3969" xr:uid="{00000000-0005-0000-0000-0000DE0A0000}"/>
    <cellStyle name="Heading 3" xfId="3970" xr:uid="{00000000-0005-0000-0000-0000DF0A0000}"/>
    <cellStyle name="Heading 4" xfId="3971" xr:uid="{00000000-0005-0000-0000-0000E00A0000}"/>
    <cellStyle name="Heading1" xfId="61" xr:uid="{00000000-0005-0000-0000-0000E10A0000}"/>
    <cellStyle name="Heading1 1" xfId="7388" xr:uid="{00000000-0005-0000-0000-0000E20A0000}"/>
    <cellStyle name="Heading2" xfId="62" xr:uid="{00000000-0005-0000-0000-0000E30A0000}"/>
    <cellStyle name="Hipervínculo 2" xfId="2293" xr:uid="{00000000-0005-0000-0000-0000E40A0000}"/>
    <cellStyle name="Hyperlink" xfId="3972" xr:uid="{00000000-0005-0000-0000-0000E50A0000}"/>
    <cellStyle name="Hyperlink 2" xfId="184" xr:uid="{00000000-0005-0000-0000-0000E60A0000}"/>
    <cellStyle name="Incorrecto 10" xfId="2294" xr:uid="{00000000-0005-0000-0000-0000E70A0000}"/>
    <cellStyle name="Incorrecto 11" xfId="2295" xr:uid="{00000000-0005-0000-0000-0000E80A0000}"/>
    <cellStyle name="Incorrecto 12" xfId="2296" xr:uid="{00000000-0005-0000-0000-0000E90A0000}"/>
    <cellStyle name="Incorrecto 13" xfId="2297" xr:uid="{00000000-0005-0000-0000-0000EA0A0000}"/>
    <cellStyle name="Incorrecto 14" xfId="2298" xr:uid="{00000000-0005-0000-0000-0000EB0A0000}"/>
    <cellStyle name="Incorrecto 15" xfId="2299" xr:uid="{00000000-0005-0000-0000-0000EC0A0000}"/>
    <cellStyle name="Incorrecto 16" xfId="2300" xr:uid="{00000000-0005-0000-0000-0000ED0A0000}"/>
    <cellStyle name="Incorrecto 17" xfId="2301" xr:uid="{00000000-0005-0000-0000-0000EE0A0000}"/>
    <cellStyle name="Incorrecto 18" xfId="2302" xr:uid="{00000000-0005-0000-0000-0000EF0A0000}"/>
    <cellStyle name="Incorrecto 19" xfId="2303" xr:uid="{00000000-0005-0000-0000-0000F00A0000}"/>
    <cellStyle name="Incorrecto 2" xfId="141" xr:uid="{00000000-0005-0000-0000-0000F10A0000}"/>
    <cellStyle name="Incorrecto 2 2" xfId="2304" xr:uid="{00000000-0005-0000-0000-0000F20A0000}"/>
    <cellStyle name="Incorrecto 2 3" xfId="2305" xr:uid="{00000000-0005-0000-0000-0000F30A0000}"/>
    <cellStyle name="Incorrecto 2 4" xfId="2306" xr:uid="{00000000-0005-0000-0000-0000F40A0000}"/>
    <cellStyle name="Incorrecto 2 5" xfId="2307" xr:uid="{00000000-0005-0000-0000-0000F50A0000}"/>
    <cellStyle name="Incorrecto 20" xfId="2308" xr:uid="{00000000-0005-0000-0000-0000F60A0000}"/>
    <cellStyle name="Incorrecto 21" xfId="2309" xr:uid="{00000000-0005-0000-0000-0000F70A0000}"/>
    <cellStyle name="Incorrecto 22" xfId="2310" xr:uid="{00000000-0005-0000-0000-0000F80A0000}"/>
    <cellStyle name="Incorrecto 23" xfId="2311" xr:uid="{00000000-0005-0000-0000-0000F90A0000}"/>
    <cellStyle name="Incorrecto 24" xfId="2312" xr:uid="{00000000-0005-0000-0000-0000FA0A0000}"/>
    <cellStyle name="Incorrecto 25" xfId="2313" xr:uid="{00000000-0005-0000-0000-0000FB0A0000}"/>
    <cellStyle name="Incorrecto 26" xfId="2314" xr:uid="{00000000-0005-0000-0000-0000FC0A0000}"/>
    <cellStyle name="Incorrecto 27" xfId="2315" xr:uid="{00000000-0005-0000-0000-0000FD0A0000}"/>
    <cellStyle name="Incorrecto 28" xfId="2316" xr:uid="{00000000-0005-0000-0000-0000FE0A0000}"/>
    <cellStyle name="Incorrecto 29" xfId="2317" xr:uid="{00000000-0005-0000-0000-0000FF0A0000}"/>
    <cellStyle name="Incorrecto 3" xfId="2318" xr:uid="{00000000-0005-0000-0000-0000000B0000}"/>
    <cellStyle name="Incorrecto 30" xfId="2319" xr:uid="{00000000-0005-0000-0000-0000010B0000}"/>
    <cellStyle name="Incorrecto 31" xfId="2320" xr:uid="{00000000-0005-0000-0000-0000020B0000}"/>
    <cellStyle name="Incorrecto 32" xfId="2321" xr:uid="{00000000-0005-0000-0000-0000030B0000}"/>
    <cellStyle name="Incorrecto 33" xfId="2322" xr:uid="{00000000-0005-0000-0000-0000040B0000}"/>
    <cellStyle name="Incorrecto 34" xfId="2323" xr:uid="{00000000-0005-0000-0000-0000050B0000}"/>
    <cellStyle name="Incorrecto 35" xfId="2324" xr:uid="{00000000-0005-0000-0000-0000060B0000}"/>
    <cellStyle name="Incorrecto 36" xfId="2325" xr:uid="{00000000-0005-0000-0000-0000070B0000}"/>
    <cellStyle name="Incorrecto 37" xfId="2326" xr:uid="{00000000-0005-0000-0000-0000080B0000}"/>
    <cellStyle name="Incorrecto 38" xfId="2327" xr:uid="{00000000-0005-0000-0000-0000090B0000}"/>
    <cellStyle name="Incorrecto 39" xfId="2328" xr:uid="{00000000-0005-0000-0000-00000A0B0000}"/>
    <cellStyle name="Incorrecto 4" xfId="2329" xr:uid="{00000000-0005-0000-0000-00000B0B0000}"/>
    <cellStyle name="Incorrecto 40" xfId="2330" xr:uid="{00000000-0005-0000-0000-00000C0B0000}"/>
    <cellStyle name="Incorrecto 41" xfId="2331" xr:uid="{00000000-0005-0000-0000-00000D0B0000}"/>
    <cellStyle name="Incorrecto 42" xfId="2332" xr:uid="{00000000-0005-0000-0000-00000E0B0000}"/>
    <cellStyle name="Incorrecto 43" xfId="2333" xr:uid="{00000000-0005-0000-0000-00000F0B0000}"/>
    <cellStyle name="Incorrecto 44" xfId="2334" xr:uid="{00000000-0005-0000-0000-0000100B0000}"/>
    <cellStyle name="Incorrecto 45" xfId="2335" xr:uid="{00000000-0005-0000-0000-0000110B0000}"/>
    <cellStyle name="Incorrecto 46" xfId="2336" xr:uid="{00000000-0005-0000-0000-0000120B0000}"/>
    <cellStyle name="Incorrecto 47" xfId="2337" xr:uid="{00000000-0005-0000-0000-0000130B0000}"/>
    <cellStyle name="Incorrecto 48" xfId="2338" xr:uid="{00000000-0005-0000-0000-0000140B0000}"/>
    <cellStyle name="Incorrecto 49" xfId="2339" xr:uid="{00000000-0005-0000-0000-0000150B0000}"/>
    <cellStyle name="Incorrecto 5" xfId="2340" xr:uid="{00000000-0005-0000-0000-0000160B0000}"/>
    <cellStyle name="Incorrecto 50" xfId="2341" xr:uid="{00000000-0005-0000-0000-0000170B0000}"/>
    <cellStyle name="Incorrecto 51" xfId="2342" xr:uid="{00000000-0005-0000-0000-0000180B0000}"/>
    <cellStyle name="Incorrecto 52" xfId="2343" xr:uid="{00000000-0005-0000-0000-0000190B0000}"/>
    <cellStyle name="Incorrecto 53" xfId="2344" xr:uid="{00000000-0005-0000-0000-00001A0B0000}"/>
    <cellStyle name="Incorrecto 54" xfId="2345" xr:uid="{00000000-0005-0000-0000-00001B0B0000}"/>
    <cellStyle name="Incorrecto 55" xfId="2346" xr:uid="{00000000-0005-0000-0000-00001C0B0000}"/>
    <cellStyle name="Incorrecto 56" xfId="2347" xr:uid="{00000000-0005-0000-0000-00001D0B0000}"/>
    <cellStyle name="Incorrecto 57" xfId="2348" xr:uid="{00000000-0005-0000-0000-00001E0B0000}"/>
    <cellStyle name="Incorrecto 58" xfId="2349" xr:uid="{00000000-0005-0000-0000-00001F0B0000}"/>
    <cellStyle name="Incorrecto 59" xfId="2350" xr:uid="{00000000-0005-0000-0000-0000200B0000}"/>
    <cellStyle name="Incorrecto 6" xfId="2351" xr:uid="{00000000-0005-0000-0000-0000210B0000}"/>
    <cellStyle name="Incorrecto 60" xfId="2352" xr:uid="{00000000-0005-0000-0000-0000220B0000}"/>
    <cellStyle name="Incorrecto 61" xfId="2353" xr:uid="{00000000-0005-0000-0000-0000230B0000}"/>
    <cellStyle name="Incorrecto 62" xfId="2354" xr:uid="{00000000-0005-0000-0000-0000240B0000}"/>
    <cellStyle name="Incorrecto 63" xfId="2355" xr:uid="{00000000-0005-0000-0000-0000250B0000}"/>
    <cellStyle name="Incorrecto 64" xfId="2356" xr:uid="{00000000-0005-0000-0000-0000260B0000}"/>
    <cellStyle name="Incorrecto 65" xfId="2357" xr:uid="{00000000-0005-0000-0000-0000270B0000}"/>
    <cellStyle name="Incorrecto 66" xfId="2358" xr:uid="{00000000-0005-0000-0000-0000280B0000}"/>
    <cellStyle name="Incorrecto 67" xfId="2359" xr:uid="{00000000-0005-0000-0000-0000290B0000}"/>
    <cellStyle name="Incorrecto 7" xfId="2360" xr:uid="{00000000-0005-0000-0000-00002A0B0000}"/>
    <cellStyle name="Incorrecto 8" xfId="2361" xr:uid="{00000000-0005-0000-0000-00002B0B0000}"/>
    <cellStyle name="Incorrecto 9" xfId="2362" xr:uid="{00000000-0005-0000-0000-00002C0B0000}"/>
    <cellStyle name="Input" xfId="7389" xr:uid="{00000000-0005-0000-0000-00002D0B0000}"/>
    <cellStyle name="Linked Cell" xfId="7390" xr:uid="{00000000-0005-0000-0000-00002E0B0000}"/>
    <cellStyle name="Millares 10" xfId="5" xr:uid="{00000000-0005-0000-0000-0000300B0000}"/>
    <cellStyle name="Millares 10 2" xfId="58372" xr:uid="{00000000-0005-0000-0000-0000310B0000}"/>
    <cellStyle name="Millares 10 2 4 2 2 2" xfId="34" xr:uid="{00000000-0005-0000-0000-0000320B0000}"/>
    <cellStyle name="Millares 10 3" xfId="2363" xr:uid="{00000000-0005-0000-0000-0000330B0000}"/>
    <cellStyle name="Millares 10 3 2 2 2" xfId="58373" xr:uid="{00000000-0005-0000-0000-0000340B0000}"/>
    <cellStyle name="Millares 10 4" xfId="58385" xr:uid="{94954EEC-4D15-4F1A-822D-3F5A9A2785C3}"/>
    <cellStyle name="Millares 10 6" xfId="7314" xr:uid="{00000000-0005-0000-0000-0000350B0000}"/>
    <cellStyle name="Millares 100 2 2 2 2" xfId="38" xr:uid="{00000000-0005-0000-0000-0000360B0000}"/>
    <cellStyle name="Millares 11" xfId="2364" xr:uid="{00000000-0005-0000-0000-0000370B0000}"/>
    <cellStyle name="Millares 11 2" xfId="3426" xr:uid="{00000000-0005-0000-0000-0000380B0000}"/>
    <cellStyle name="Millares 11 2 2" xfId="58356" xr:uid="{00000000-0005-0000-0000-0000390B0000}"/>
    <cellStyle name="Millares 11 2 2 2" xfId="58357" xr:uid="{00000000-0005-0000-0000-00003A0B0000}"/>
    <cellStyle name="Millares 11 2 2 2 2" xfId="58358" xr:uid="{00000000-0005-0000-0000-00003B0B0000}"/>
    <cellStyle name="Millares 11 2 2 3" xfId="58359" xr:uid="{00000000-0005-0000-0000-00003C0B0000}"/>
    <cellStyle name="Millares 11 2 3" xfId="58360" xr:uid="{00000000-0005-0000-0000-00003D0B0000}"/>
    <cellStyle name="Millares 11 2 3 2" xfId="58361" xr:uid="{00000000-0005-0000-0000-00003E0B0000}"/>
    <cellStyle name="Millares 11 2 4" xfId="58362" xr:uid="{00000000-0005-0000-0000-00003F0B0000}"/>
    <cellStyle name="Millares 11 3" xfId="7463" xr:uid="{00000000-0005-0000-0000-0000400B0000}"/>
    <cellStyle name="Millares 11 3 2" xfId="14253" xr:uid="{00000000-0005-0000-0000-0000410B0000}"/>
    <cellStyle name="Millares 11 3 2 2" xfId="27821" xr:uid="{00000000-0005-0000-0000-0000420B0000}"/>
    <cellStyle name="Millares 11 3 2 2 2" xfId="54954" xr:uid="{00000000-0005-0000-0000-0000430B0000}"/>
    <cellStyle name="Millares 11 3 2 3" xfId="41392" xr:uid="{00000000-0005-0000-0000-0000440B0000}"/>
    <cellStyle name="Millares 11 3 3" xfId="21040" xr:uid="{00000000-0005-0000-0000-0000450B0000}"/>
    <cellStyle name="Millares 11 3 3 2" xfId="48173" xr:uid="{00000000-0005-0000-0000-0000460B0000}"/>
    <cellStyle name="Millares 11 3 4" xfId="34611" xr:uid="{00000000-0005-0000-0000-0000470B0000}"/>
    <cellStyle name="Millares 11 4" xfId="10864" xr:uid="{00000000-0005-0000-0000-0000480B0000}"/>
    <cellStyle name="Millares 11 4 2" xfId="24432" xr:uid="{00000000-0005-0000-0000-0000490B0000}"/>
    <cellStyle name="Millares 11 4 2 2" xfId="51565" xr:uid="{00000000-0005-0000-0000-00004A0B0000}"/>
    <cellStyle name="Millares 11 4 3" xfId="38003" xr:uid="{00000000-0005-0000-0000-00004B0B0000}"/>
    <cellStyle name="Millares 11 5" xfId="17651" xr:uid="{00000000-0005-0000-0000-00004C0B0000}"/>
    <cellStyle name="Millares 11 5 2" xfId="44784" xr:uid="{00000000-0005-0000-0000-00004D0B0000}"/>
    <cellStyle name="Millares 11 6" xfId="31222" xr:uid="{00000000-0005-0000-0000-00004E0B0000}"/>
    <cellStyle name="Millares 12" xfId="3422" xr:uid="{00000000-0005-0000-0000-00004F0B0000}"/>
    <cellStyle name="Millares 12 2" xfId="7585" xr:uid="{00000000-0005-0000-0000-0000500B0000}"/>
    <cellStyle name="Millares 12 2 2" xfId="14375" xr:uid="{00000000-0005-0000-0000-0000510B0000}"/>
    <cellStyle name="Millares 12 2 2 2" xfId="27943" xr:uid="{00000000-0005-0000-0000-0000520B0000}"/>
    <cellStyle name="Millares 12 2 2 2 2" xfId="55076" xr:uid="{00000000-0005-0000-0000-0000530B0000}"/>
    <cellStyle name="Millares 12 2 2 3" xfId="41514" xr:uid="{00000000-0005-0000-0000-0000540B0000}"/>
    <cellStyle name="Millares 12 2 3" xfId="21162" xr:uid="{00000000-0005-0000-0000-0000550B0000}"/>
    <cellStyle name="Millares 12 2 3 2" xfId="48295" xr:uid="{00000000-0005-0000-0000-0000560B0000}"/>
    <cellStyle name="Millares 12 2 4" xfId="34733" xr:uid="{00000000-0005-0000-0000-0000570B0000}"/>
    <cellStyle name="Millares 12 3" xfId="10986" xr:uid="{00000000-0005-0000-0000-0000580B0000}"/>
    <cellStyle name="Millares 12 3 2" xfId="24554" xr:uid="{00000000-0005-0000-0000-0000590B0000}"/>
    <cellStyle name="Millares 12 3 2 2" xfId="51687" xr:uid="{00000000-0005-0000-0000-00005A0B0000}"/>
    <cellStyle name="Millares 12 3 3" xfId="38125" xr:uid="{00000000-0005-0000-0000-00005B0B0000}"/>
    <cellStyle name="Millares 12 4" xfId="17773" xr:uid="{00000000-0005-0000-0000-00005C0B0000}"/>
    <cellStyle name="Millares 12 4 2" xfId="44906" xr:uid="{00000000-0005-0000-0000-00005D0B0000}"/>
    <cellStyle name="Millares 12 5" xfId="31344" xr:uid="{00000000-0005-0000-0000-00005E0B0000}"/>
    <cellStyle name="Millares 13" xfId="3425" xr:uid="{00000000-0005-0000-0000-00005F0B0000}"/>
    <cellStyle name="Millares 13 2" xfId="7587" xr:uid="{00000000-0005-0000-0000-0000600B0000}"/>
    <cellStyle name="Millares 13 2 2" xfId="14377" xr:uid="{00000000-0005-0000-0000-0000610B0000}"/>
    <cellStyle name="Millares 13 2 2 2" xfId="27945" xr:uid="{00000000-0005-0000-0000-0000620B0000}"/>
    <cellStyle name="Millares 13 2 2 2 2" xfId="55078" xr:uid="{00000000-0005-0000-0000-0000630B0000}"/>
    <cellStyle name="Millares 13 2 2 3" xfId="41516" xr:uid="{00000000-0005-0000-0000-0000640B0000}"/>
    <cellStyle name="Millares 13 2 3" xfId="21164" xr:uid="{00000000-0005-0000-0000-0000650B0000}"/>
    <cellStyle name="Millares 13 2 3 2" xfId="48297" xr:uid="{00000000-0005-0000-0000-0000660B0000}"/>
    <cellStyle name="Millares 13 2 4" xfId="34735" xr:uid="{00000000-0005-0000-0000-0000670B0000}"/>
    <cellStyle name="Millares 13 3" xfId="10988" xr:uid="{00000000-0005-0000-0000-0000680B0000}"/>
    <cellStyle name="Millares 13 3 2" xfId="24556" xr:uid="{00000000-0005-0000-0000-0000690B0000}"/>
    <cellStyle name="Millares 13 3 2 2" xfId="51689" xr:uid="{00000000-0005-0000-0000-00006A0B0000}"/>
    <cellStyle name="Millares 13 3 3" xfId="38127" xr:uid="{00000000-0005-0000-0000-00006B0B0000}"/>
    <cellStyle name="Millares 13 4" xfId="17775" xr:uid="{00000000-0005-0000-0000-00006C0B0000}"/>
    <cellStyle name="Millares 13 4 2" xfId="44908" xr:uid="{00000000-0005-0000-0000-00006D0B0000}"/>
    <cellStyle name="Millares 13 5" xfId="31346" xr:uid="{00000000-0005-0000-0000-00006E0B0000}"/>
    <cellStyle name="Millares 14" xfId="7299" xr:uid="{00000000-0005-0000-0000-00006F0B0000}"/>
    <cellStyle name="Millares 14 2" xfId="10800" xr:uid="{00000000-0005-0000-0000-0000700B0000}"/>
    <cellStyle name="Millares 14 2 2" xfId="17590" xr:uid="{00000000-0005-0000-0000-0000710B0000}"/>
    <cellStyle name="Millares 14 2 2 2" xfId="31158" xr:uid="{00000000-0005-0000-0000-0000720B0000}"/>
    <cellStyle name="Millares 14 2 2 2 2" xfId="58291" xr:uid="{00000000-0005-0000-0000-0000730B0000}"/>
    <cellStyle name="Millares 14 2 2 3" xfId="44729" xr:uid="{00000000-0005-0000-0000-0000740B0000}"/>
    <cellStyle name="Millares 14 2 3" xfId="24377" xr:uid="{00000000-0005-0000-0000-0000750B0000}"/>
    <cellStyle name="Millares 14 2 3 2" xfId="51510" xr:uid="{00000000-0005-0000-0000-0000760B0000}"/>
    <cellStyle name="Millares 14 2 4" xfId="37948" xr:uid="{00000000-0005-0000-0000-0000770B0000}"/>
    <cellStyle name="Millares 14 3" xfId="14201" xr:uid="{00000000-0005-0000-0000-0000780B0000}"/>
    <cellStyle name="Millares 14 3 2" xfId="27769" xr:uid="{00000000-0005-0000-0000-0000790B0000}"/>
    <cellStyle name="Millares 14 3 2 2" xfId="54902" xr:uid="{00000000-0005-0000-0000-00007A0B0000}"/>
    <cellStyle name="Millares 14 3 3" xfId="41340" xr:uid="{00000000-0005-0000-0000-00007B0B0000}"/>
    <cellStyle name="Millares 14 4" xfId="20988" xr:uid="{00000000-0005-0000-0000-00007C0B0000}"/>
    <cellStyle name="Millares 14 4 2" xfId="48121" xr:uid="{00000000-0005-0000-0000-00007D0B0000}"/>
    <cellStyle name="Millares 14 5" xfId="34559" xr:uid="{00000000-0005-0000-0000-00007E0B0000}"/>
    <cellStyle name="Millares 149" xfId="30" xr:uid="{00000000-0005-0000-0000-00007F0B0000}"/>
    <cellStyle name="Millares 15" xfId="3973" xr:uid="{00000000-0005-0000-0000-0000800B0000}"/>
    <cellStyle name="Millares 15 2" xfId="7311" xr:uid="{00000000-0005-0000-0000-0000810B0000}"/>
    <cellStyle name="Millares 15 2 2" xfId="7318" xr:uid="{00000000-0005-0000-0000-0000820B0000}"/>
    <cellStyle name="Millares 15 2 2 2" xfId="10808" xr:uid="{00000000-0005-0000-0000-0000830B0000}"/>
    <cellStyle name="Millares 15 2 2 2 2" xfId="17598" xr:uid="{00000000-0005-0000-0000-0000840B0000}"/>
    <cellStyle name="Millares 15 2 2 2 2 2" xfId="31166" xr:uid="{00000000-0005-0000-0000-0000850B0000}"/>
    <cellStyle name="Millares 15 2 2 2 2 2 2" xfId="58299" xr:uid="{00000000-0005-0000-0000-0000860B0000}"/>
    <cellStyle name="Millares 15 2 2 2 2 3" xfId="44737" xr:uid="{00000000-0005-0000-0000-0000870B0000}"/>
    <cellStyle name="Millares 15 2 2 2 3" xfId="24385" xr:uid="{00000000-0005-0000-0000-0000880B0000}"/>
    <cellStyle name="Millares 15 2 2 2 3 2" xfId="51518" xr:uid="{00000000-0005-0000-0000-0000890B0000}"/>
    <cellStyle name="Millares 15 2 2 2 4" xfId="37956" xr:uid="{00000000-0005-0000-0000-00008A0B0000}"/>
    <cellStyle name="Millares 15 2 2 3" xfId="14209" xr:uid="{00000000-0005-0000-0000-00008B0B0000}"/>
    <cellStyle name="Millares 15 2 2 3 2" xfId="27777" xr:uid="{00000000-0005-0000-0000-00008C0B0000}"/>
    <cellStyle name="Millares 15 2 2 3 2 2" xfId="54910" xr:uid="{00000000-0005-0000-0000-00008D0B0000}"/>
    <cellStyle name="Millares 15 2 2 3 3" xfId="41348" xr:uid="{00000000-0005-0000-0000-00008E0B0000}"/>
    <cellStyle name="Millares 15 2 2 4" xfId="20996" xr:uid="{00000000-0005-0000-0000-00008F0B0000}"/>
    <cellStyle name="Millares 15 2 2 4 2" xfId="48129" xr:uid="{00000000-0005-0000-0000-0000900B0000}"/>
    <cellStyle name="Millares 15 2 2 5" xfId="34567" xr:uid="{00000000-0005-0000-0000-0000910B0000}"/>
    <cellStyle name="Millares 15 2 3" xfId="7320" xr:uid="{00000000-0005-0000-0000-0000920B0000}"/>
    <cellStyle name="Millares 15 2 3 2" xfId="10810" xr:uid="{00000000-0005-0000-0000-0000930B0000}"/>
    <cellStyle name="Millares 15 2 3 2 2" xfId="17600" xr:uid="{00000000-0005-0000-0000-0000940B0000}"/>
    <cellStyle name="Millares 15 2 3 2 2 2" xfId="31168" xr:uid="{00000000-0005-0000-0000-0000950B0000}"/>
    <cellStyle name="Millares 15 2 3 2 2 2 2" xfId="58301" xr:uid="{00000000-0005-0000-0000-0000960B0000}"/>
    <cellStyle name="Millares 15 2 3 2 2 3" xfId="44739" xr:uid="{00000000-0005-0000-0000-0000970B0000}"/>
    <cellStyle name="Millares 15 2 3 2 3" xfId="24387" xr:uid="{00000000-0005-0000-0000-0000980B0000}"/>
    <cellStyle name="Millares 15 2 3 2 3 2" xfId="51520" xr:uid="{00000000-0005-0000-0000-0000990B0000}"/>
    <cellStyle name="Millares 15 2 3 2 4" xfId="37958" xr:uid="{00000000-0005-0000-0000-00009A0B0000}"/>
    <cellStyle name="Millares 15 2 3 3" xfId="14211" xr:uid="{00000000-0005-0000-0000-00009B0B0000}"/>
    <cellStyle name="Millares 15 2 3 3 2" xfId="27779" xr:uid="{00000000-0005-0000-0000-00009C0B0000}"/>
    <cellStyle name="Millares 15 2 3 3 2 2" xfId="54912" xr:uid="{00000000-0005-0000-0000-00009D0B0000}"/>
    <cellStyle name="Millares 15 2 3 3 3" xfId="41350" xr:uid="{00000000-0005-0000-0000-00009E0B0000}"/>
    <cellStyle name="Millares 15 2 3 4" xfId="20998" xr:uid="{00000000-0005-0000-0000-00009F0B0000}"/>
    <cellStyle name="Millares 15 2 3 4 2" xfId="48131" xr:uid="{00000000-0005-0000-0000-0000A00B0000}"/>
    <cellStyle name="Millares 15 2 3 5" xfId="34569" xr:uid="{00000000-0005-0000-0000-0000A10B0000}"/>
    <cellStyle name="Millares 15 2 4" xfId="7323" xr:uid="{00000000-0005-0000-0000-0000A20B0000}"/>
    <cellStyle name="Millares 15 2 4 2" xfId="10813" xr:uid="{00000000-0005-0000-0000-0000A30B0000}"/>
    <cellStyle name="Millares 15 2 4 2 2" xfId="17603" xr:uid="{00000000-0005-0000-0000-0000A40B0000}"/>
    <cellStyle name="Millares 15 2 4 2 2 2" xfId="31171" xr:uid="{00000000-0005-0000-0000-0000A50B0000}"/>
    <cellStyle name="Millares 15 2 4 2 2 2 2" xfId="58304" xr:uid="{00000000-0005-0000-0000-0000A60B0000}"/>
    <cellStyle name="Millares 15 2 4 2 2 3" xfId="44742" xr:uid="{00000000-0005-0000-0000-0000A70B0000}"/>
    <cellStyle name="Millares 15 2 4 2 3" xfId="24390" xr:uid="{00000000-0005-0000-0000-0000A80B0000}"/>
    <cellStyle name="Millares 15 2 4 2 3 2" xfId="51523" xr:uid="{00000000-0005-0000-0000-0000A90B0000}"/>
    <cellStyle name="Millares 15 2 4 2 4" xfId="37961" xr:uid="{00000000-0005-0000-0000-0000AA0B0000}"/>
    <cellStyle name="Millares 15 2 4 3" xfId="14214" xr:uid="{00000000-0005-0000-0000-0000AB0B0000}"/>
    <cellStyle name="Millares 15 2 4 3 2" xfId="27782" xr:uid="{00000000-0005-0000-0000-0000AC0B0000}"/>
    <cellStyle name="Millares 15 2 4 3 2 2" xfId="54915" xr:uid="{00000000-0005-0000-0000-0000AD0B0000}"/>
    <cellStyle name="Millares 15 2 4 3 3" xfId="41353" xr:uid="{00000000-0005-0000-0000-0000AE0B0000}"/>
    <cellStyle name="Millares 15 2 4 4" xfId="21001" xr:uid="{00000000-0005-0000-0000-0000AF0B0000}"/>
    <cellStyle name="Millares 15 2 4 4 2" xfId="48134" xr:uid="{00000000-0005-0000-0000-0000B00B0000}"/>
    <cellStyle name="Millares 15 2 4 5" xfId="34572" xr:uid="{00000000-0005-0000-0000-0000B10B0000}"/>
    <cellStyle name="Millares 15 2 5" xfId="10807" xr:uid="{00000000-0005-0000-0000-0000B20B0000}"/>
    <cellStyle name="Millares 15 2 5 2" xfId="17597" xr:uid="{00000000-0005-0000-0000-0000B30B0000}"/>
    <cellStyle name="Millares 15 2 5 2 2" xfId="31165" xr:uid="{00000000-0005-0000-0000-0000B40B0000}"/>
    <cellStyle name="Millares 15 2 5 2 2 2" xfId="58298" xr:uid="{00000000-0005-0000-0000-0000B50B0000}"/>
    <cellStyle name="Millares 15 2 5 2 3" xfId="44736" xr:uid="{00000000-0005-0000-0000-0000B60B0000}"/>
    <cellStyle name="Millares 15 2 5 3" xfId="24384" xr:uid="{00000000-0005-0000-0000-0000B70B0000}"/>
    <cellStyle name="Millares 15 2 5 3 2" xfId="51517" xr:uid="{00000000-0005-0000-0000-0000B80B0000}"/>
    <cellStyle name="Millares 15 2 5 4" xfId="37955" xr:uid="{00000000-0005-0000-0000-0000B90B0000}"/>
    <cellStyle name="Millares 15 2 6" xfId="14208" xr:uid="{00000000-0005-0000-0000-0000BA0B0000}"/>
    <cellStyle name="Millares 15 2 6 2" xfId="27776" xr:uid="{00000000-0005-0000-0000-0000BB0B0000}"/>
    <cellStyle name="Millares 15 2 6 2 2" xfId="54909" xr:uid="{00000000-0005-0000-0000-0000BC0B0000}"/>
    <cellStyle name="Millares 15 2 6 3" xfId="41347" xr:uid="{00000000-0005-0000-0000-0000BD0B0000}"/>
    <cellStyle name="Millares 15 2 7" xfId="20995" xr:uid="{00000000-0005-0000-0000-0000BE0B0000}"/>
    <cellStyle name="Millares 15 2 7 2" xfId="48128" xr:uid="{00000000-0005-0000-0000-0000BF0B0000}"/>
    <cellStyle name="Millares 15 2 8" xfId="34566" xr:uid="{00000000-0005-0000-0000-0000C00B0000}"/>
    <cellStyle name="Millares 16" xfId="3974" xr:uid="{00000000-0005-0000-0000-0000C10B0000}"/>
    <cellStyle name="Millares 17" xfId="7306" xr:uid="{00000000-0005-0000-0000-0000C20B0000}"/>
    <cellStyle name="Millares 17 2" xfId="10805" xr:uid="{00000000-0005-0000-0000-0000C30B0000}"/>
    <cellStyle name="Millares 17 2 2" xfId="17595" xr:uid="{00000000-0005-0000-0000-0000C40B0000}"/>
    <cellStyle name="Millares 17 2 2 2" xfId="31163" xr:uid="{00000000-0005-0000-0000-0000C50B0000}"/>
    <cellStyle name="Millares 17 2 2 2 2" xfId="58296" xr:uid="{00000000-0005-0000-0000-0000C60B0000}"/>
    <cellStyle name="Millares 17 2 2 3" xfId="44734" xr:uid="{00000000-0005-0000-0000-0000C70B0000}"/>
    <cellStyle name="Millares 17 2 3" xfId="24382" xr:uid="{00000000-0005-0000-0000-0000C80B0000}"/>
    <cellStyle name="Millares 17 2 3 2" xfId="51515" xr:uid="{00000000-0005-0000-0000-0000C90B0000}"/>
    <cellStyle name="Millares 17 2 4" xfId="37953" xr:uid="{00000000-0005-0000-0000-0000CA0B0000}"/>
    <cellStyle name="Millares 17 3" xfId="14206" xr:uid="{00000000-0005-0000-0000-0000CB0B0000}"/>
    <cellStyle name="Millares 17 3 2" xfId="27774" xr:uid="{00000000-0005-0000-0000-0000CC0B0000}"/>
    <cellStyle name="Millares 17 3 2 2" xfId="54907" xr:uid="{00000000-0005-0000-0000-0000CD0B0000}"/>
    <cellStyle name="Millares 17 3 3" xfId="41345" xr:uid="{00000000-0005-0000-0000-0000CE0B0000}"/>
    <cellStyle name="Millares 17 4" xfId="20993" xr:uid="{00000000-0005-0000-0000-0000CF0B0000}"/>
    <cellStyle name="Millares 17 4 2" xfId="48126" xr:uid="{00000000-0005-0000-0000-0000D00B0000}"/>
    <cellStyle name="Millares 17 5" xfId="34564" xr:uid="{00000000-0005-0000-0000-0000D10B0000}"/>
    <cellStyle name="Millares 18" xfId="3975" xr:uid="{00000000-0005-0000-0000-0000D20B0000}"/>
    <cellStyle name="Millares 18 2" xfId="3976" xr:uid="{00000000-0005-0000-0000-0000D30B0000}"/>
    <cellStyle name="Millares 19" xfId="7455" xr:uid="{00000000-0005-0000-0000-0000D40B0000}"/>
    <cellStyle name="Millares 19 2" xfId="10847" xr:uid="{00000000-0005-0000-0000-0000D50B0000}"/>
    <cellStyle name="Millares 19 2 2" xfId="17637" xr:uid="{00000000-0005-0000-0000-0000D60B0000}"/>
    <cellStyle name="Millares 19 2 2 2" xfId="31205" xr:uid="{00000000-0005-0000-0000-0000D70B0000}"/>
    <cellStyle name="Millares 19 2 2 2 2" xfId="58338" xr:uid="{00000000-0005-0000-0000-0000D80B0000}"/>
    <cellStyle name="Millares 19 2 2 3" xfId="44776" xr:uid="{00000000-0005-0000-0000-0000D90B0000}"/>
    <cellStyle name="Millares 19 2 3" xfId="24424" xr:uid="{00000000-0005-0000-0000-0000DA0B0000}"/>
    <cellStyle name="Millares 19 2 3 2" xfId="51557" xr:uid="{00000000-0005-0000-0000-0000DB0B0000}"/>
    <cellStyle name="Millares 19 2 4" xfId="37995" xr:uid="{00000000-0005-0000-0000-0000DC0B0000}"/>
    <cellStyle name="Millares 19 3" xfId="14248" xr:uid="{00000000-0005-0000-0000-0000DD0B0000}"/>
    <cellStyle name="Millares 19 3 2" xfId="27816" xr:uid="{00000000-0005-0000-0000-0000DE0B0000}"/>
    <cellStyle name="Millares 19 3 2 2" xfId="54949" xr:uid="{00000000-0005-0000-0000-0000DF0B0000}"/>
    <cellStyle name="Millares 19 3 3" xfId="41387" xr:uid="{00000000-0005-0000-0000-0000E00B0000}"/>
    <cellStyle name="Millares 19 4" xfId="21035" xr:uid="{00000000-0005-0000-0000-0000E10B0000}"/>
    <cellStyle name="Millares 19 4 2" xfId="48168" xr:uid="{00000000-0005-0000-0000-0000E20B0000}"/>
    <cellStyle name="Millares 19 5" xfId="34606" xr:uid="{00000000-0005-0000-0000-0000E30B0000}"/>
    <cellStyle name="Millares 2" xfId="63" xr:uid="{00000000-0005-0000-0000-0000E40B0000}"/>
    <cellStyle name="Millares 2 10" xfId="2365" xr:uid="{00000000-0005-0000-0000-0000E50B0000}"/>
    <cellStyle name="Millares 2 10 2" xfId="3977" xr:uid="{00000000-0005-0000-0000-0000E60B0000}"/>
    <cellStyle name="Millares 2 10 2 2" xfId="3978" xr:uid="{00000000-0005-0000-0000-0000E70B0000}"/>
    <cellStyle name="Millares 2 10 2 2 2" xfId="3979" xr:uid="{00000000-0005-0000-0000-0000E80B0000}"/>
    <cellStyle name="Millares 2 10 2 2 2 2" xfId="7590" xr:uid="{00000000-0005-0000-0000-0000E90B0000}"/>
    <cellStyle name="Millares 2 10 2 2 2 2 2" xfId="14380" xr:uid="{00000000-0005-0000-0000-0000EA0B0000}"/>
    <cellStyle name="Millares 2 10 2 2 2 2 2 2" xfId="27948" xr:uid="{00000000-0005-0000-0000-0000EB0B0000}"/>
    <cellStyle name="Millares 2 10 2 2 2 2 2 2 2" xfId="55081" xr:uid="{00000000-0005-0000-0000-0000EC0B0000}"/>
    <cellStyle name="Millares 2 10 2 2 2 2 2 3" xfId="41519" xr:uid="{00000000-0005-0000-0000-0000ED0B0000}"/>
    <cellStyle name="Millares 2 10 2 2 2 2 3" xfId="21167" xr:uid="{00000000-0005-0000-0000-0000EE0B0000}"/>
    <cellStyle name="Millares 2 10 2 2 2 2 3 2" xfId="48300" xr:uid="{00000000-0005-0000-0000-0000EF0B0000}"/>
    <cellStyle name="Millares 2 10 2 2 2 2 4" xfId="34738" xr:uid="{00000000-0005-0000-0000-0000F00B0000}"/>
    <cellStyle name="Millares 2 10 2 2 2 3" xfId="10991" xr:uid="{00000000-0005-0000-0000-0000F10B0000}"/>
    <cellStyle name="Millares 2 10 2 2 2 3 2" xfId="24559" xr:uid="{00000000-0005-0000-0000-0000F20B0000}"/>
    <cellStyle name="Millares 2 10 2 2 2 3 2 2" xfId="51692" xr:uid="{00000000-0005-0000-0000-0000F30B0000}"/>
    <cellStyle name="Millares 2 10 2 2 2 3 3" xfId="38130" xr:uid="{00000000-0005-0000-0000-0000F40B0000}"/>
    <cellStyle name="Millares 2 10 2 2 2 4" xfId="17778" xr:uid="{00000000-0005-0000-0000-0000F50B0000}"/>
    <cellStyle name="Millares 2 10 2 2 2 4 2" xfId="44911" xr:uid="{00000000-0005-0000-0000-0000F60B0000}"/>
    <cellStyle name="Millares 2 10 2 2 2 5" xfId="31349" xr:uid="{00000000-0005-0000-0000-0000F70B0000}"/>
    <cellStyle name="Millares 2 10 2 2 3" xfId="3980" xr:uid="{00000000-0005-0000-0000-0000F80B0000}"/>
    <cellStyle name="Millares 2 10 2 2 3 2" xfId="7591" xr:uid="{00000000-0005-0000-0000-0000F90B0000}"/>
    <cellStyle name="Millares 2 10 2 2 3 2 2" xfId="14381" xr:uid="{00000000-0005-0000-0000-0000FA0B0000}"/>
    <cellStyle name="Millares 2 10 2 2 3 2 2 2" xfId="27949" xr:uid="{00000000-0005-0000-0000-0000FB0B0000}"/>
    <cellStyle name="Millares 2 10 2 2 3 2 2 2 2" xfId="55082" xr:uid="{00000000-0005-0000-0000-0000FC0B0000}"/>
    <cellStyle name="Millares 2 10 2 2 3 2 2 3" xfId="41520" xr:uid="{00000000-0005-0000-0000-0000FD0B0000}"/>
    <cellStyle name="Millares 2 10 2 2 3 2 3" xfId="21168" xr:uid="{00000000-0005-0000-0000-0000FE0B0000}"/>
    <cellStyle name="Millares 2 10 2 2 3 2 3 2" xfId="48301" xr:uid="{00000000-0005-0000-0000-0000FF0B0000}"/>
    <cellStyle name="Millares 2 10 2 2 3 2 4" xfId="34739" xr:uid="{00000000-0005-0000-0000-0000000C0000}"/>
    <cellStyle name="Millares 2 10 2 2 3 3" xfId="10992" xr:uid="{00000000-0005-0000-0000-0000010C0000}"/>
    <cellStyle name="Millares 2 10 2 2 3 3 2" xfId="24560" xr:uid="{00000000-0005-0000-0000-0000020C0000}"/>
    <cellStyle name="Millares 2 10 2 2 3 3 2 2" xfId="51693" xr:uid="{00000000-0005-0000-0000-0000030C0000}"/>
    <cellStyle name="Millares 2 10 2 2 3 3 3" xfId="38131" xr:uid="{00000000-0005-0000-0000-0000040C0000}"/>
    <cellStyle name="Millares 2 10 2 2 3 4" xfId="17779" xr:uid="{00000000-0005-0000-0000-0000050C0000}"/>
    <cellStyle name="Millares 2 10 2 2 3 4 2" xfId="44912" xr:uid="{00000000-0005-0000-0000-0000060C0000}"/>
    <cellStyle name="Millares 2 10 2 2 3 5" xfId="31350" xr:uid="{00000000-0005-0000-0000-0000070C0000}"/>
    <cellStyle name="Millares 2 10 2 2 4" xfId="7589" xr:uid="{00000000-0005-0000-0000-0000080C0000}"/>
    <cellStyle name="Millares 2 10 2 2 4 2" xfId="14379" xr:uid="{00000000-0005-0000-0000-0000090C0000}"/>
    <cellStyle name="Millares 2 10 2 2 4 2 2" xfId="27947" xr:uid="{00000000-0005-0000-0000-00000A0C0000}"/>
    <cellStyle name="Millares 2 10 2 2 4 2 2 2" xfId="55080" xr:uid="{00000000-0005-0000-0000-00000B0C0000}"/>
    <cellStyle name="Millares 2 10 2 2 4 2 3" xfId="41518" xr:uid="{00000000-0005-0000-0000-00000C0C0000}"/>
    <cellStyle name="Millares 2 10 2 2 4 3" xfId="21166" xr:uid="{00000000-0005-0000-0000-00000D0C0000}"/>
    <cellStyle name="Millares 2 10 2 2 4 3 2" xfId="48299" xr:uid="{00000000-0005-0000-0000-00000E0C0000}"/>
    <cellStyle name="Millares 2 10 2 2 4 4" xfId="34737" xr:uid="{00000000-0005-0000-0000-00000F0C0000}"/>
    <cellStyle name="Millares 2 10 2 2 5" xfId="10990" xr:uid="{00000000-0005-0000-0000-0000100C0000}"/>
    <cellStyle name="Millares 2 10 2 2 5 2" xfId="24558" xr:uid="{00000000-0005-0000-0000-0000110C0000}"/>
    <cellStyle name="Millares 2 10 2 2 5 2 2" xfId="51691" xr:uid="{00000000-0005-0000-0000-0000120C0000}"/>
    <cellStyle name="Millares 2 10 2 2 5 3" xfId="38129" xr:uid="{00000000-0005-0000-0000-0000130C0000}"/>
    <cellStyle name="Millares 2 10 2 2 6" xfId="17777" xr:uid="{00000000-0005-0000-0000-0000140C0000}"/>
    <cellStyle name="Millares 2 10 2 2 6 2" xfId="44910" xr:uid="{00000000-0005-0000-0000-0000150C0000}"/>
    <cellStyle name="Millares 2 10 2 2 7" xfId="31348" xr:uid="{00000000-0005-0000-0000-0000160C0000}"/>
    <cellStyle name="Millares 2 10 2 3" xfId="3981" xr:uid="{00000000-0005-0000-0000-0000170C0000}"/>
    <cellStyle name="Millares 2 10 2 3 2" xfId="3982" xr:uid="{00000000-0005-0000-0000-0000180C0000}"/>
    <cellStyle name="Millares 2 10 2 3 2 2" xfId="7593" xr:uid="{00000000-0005-0000-0000-0000190C0000}"/>
    <cellStyle name="Millares 2 10 2 3 2 2 2" xfId="14383" xr:uid="{00000000-0005-0000-0000-00001A0C0000}"/>
    <cellStyle name="Millares 2 10 2 3 2 2 2 2" xfId="27951" xr:uid="{00000000-0005-0000-0000-00001B0C0000}"/>
    <cellStyle name="Millares 2 10 2 3 2 2 2 2 2" xfId="55084" xr:uid="{00000000-0005-0000-0000-00001C0C0000}"/>
    <cellStyle name="Millares 2 10 2 3 2 2 2 3" xfId="41522" xr:uid="{00000000-0005-0000-0000-00001D0C0000}"/>
    <cellStyle name="Millares 2 10 2 3 2 2 3" xfId="21170" xr:uid="{00000000-0005-0000-0000-00001E0C0000}"/>
    <cellStyle name="Millares 2 10 2 3 2 2 3 2" xfId="48303" xr:uid="{00000000-0005-0000-0000-00001F0C0000}"/>
    <cellStyle name="Millares 2 10 2 3 2 2 4" xfId="34741" xr:uid="{00000000-0005-0000-0000-0000200C0000}"/>
    <cellStyle name="Millares 2 10 2 3 2 3" xfId="10994" xr:uid="{00000000-0005-0000-0000-0000210C0000}"/>
    <cellStyle name="Millares 2 10 2 3 2 3 2" xfId="24562" xr:uid="{00000000-0005-0000-0000-0000220C0000}"/>
    <cellStyle name="Millares 2 10 2 3 2 3 2 2" xfId="51695" xr:uid="{00000000-0005-0000-0000-0000230C0000}"/>
    <cellStyle name="Millares 2 10 2 3 2 3 3" xfId="38133" xr:uid="{00000000-0005-0000-0000-0000240C0000}"/>
    <cellStyle name="Millares 2 10 2 3 2 4" xfId="17781" xr:uid="{00000000-0005-0000-0000-0000250C0000}"/>
    <cellStyle name="Millares 2 10 2 3 2 4 2" xfId="44914" xr:uid="{00000000-0005-0000-0000-0000260C0000}"/>
    <cellStyle name="Millares 2 10 2 3 2 5" xfId="31352" xr:uid="{00000000-0005-0000-0000-0000270C0000}"/>
    <cellStyle name="Millares 2 10 2 3 3" xfId="7592" xr:uid="{00000000-0005-0000-0000-0000280C0000}"/>
    <cellStyle name="Millares 2 10 2 3 3 2" xfId="14382" xr:uid="{00000000-0005-0000-0000-0000290C0000}"/>
    <cellStyle name="Millares 2 10 2 3 3 2 2" xfId="27950" xr:uid="{00000000-0005-0000-0000-00002A0C0000}"/>
    <cellStyle name="Millares 2 10 2 3 3 2 2 2" xfId="55083" xr:uid="{00000000-0005-0000-0000-00002B0C0000}"/>
    <cellStyle name="Millares 2 10 2 3 3 2 3" xfId="41521" xr:uid="{00000000-0005-0000-0000-00002C0C0000}"/>
    <cellStyle name="Millares 2 10 2 3 3 3" xfId="21169" xr:uid="{00000000-0005-0000-0000-00002D0C0000}"/>
    <cellStyle name="Millares 2 10 2 3 3 3 2" xfId="48302" xr:uid="{00000000-0005-0000-0000-00002E0C0000}"/>
    <cellStyle name="Millares 2 10 2 3 3 4" xfId="34740" xr:uid="{00000000-0005-0000-0000-00002F0C0000}"/>
    <cellStyle name="Millares 2 10 2 3 4" xfId="10993" xr:uid="{00000000-0005-0000-0000-0000300C0000}"/>
    <cellStyle name="Millares 2 10 2 3 4 2" xfId="24561" xr:uid="{00000000-0005-0000-0000-0000310C0000}"/>
    <cellStyle name="Millares 2 10 2 3 4 2 2" xfId="51694" xr:uid="{00000000-0005-0000-0000-0000320C0000}"/>
    <cellStyle name="Millares 2 10 2 3 4 3" xfId="38132" xr:uid="{00000000-0005-0000-0000-0000330C0000}"/>
    <cellStyle name="Millares 2 10 2 3 5" xfId="17780" xr:uid="{00000000-0005-0000-0000-0000340C0000}"/>
    <cellStyle name="Millares 2 10 2 3 5 2" xfId="44913" xr:uid="{00000000-0005-0000-0000-0000350C0000}"/>
    <cellStyle name="Millares 2 10 2 3 6" xfId="31351" xr:uid="{00000000-0005-0000-0000-0000360C0000}"/>
    <cellStyle name="Millares 2 10 2 4" xfId="3983" xr:uid="{00000000-0005-0000-0000-0000370C0000}"/>
    <cellStyle name="Millares 2 10 2 4 2" xfId="7594" xr:uid="{00000000-0005-0000-0000-0000380C0000}"/>
    <cellStyle name="Millares 2 10 2 4 2 2" xfId="14384" xr:uid="{00000000-0005-0000-0000-0000390C0000}"/>
    <cellStyle name="Millares 2 10 2 4 2 2 2" xfId="27952" xr:uid="{00000000-0005-0000-0000-00003A0C0000}"/>
    <cellStyle name="Millares 2 10 2 4 2 2 2 2" xfId="55085" xr:uid="{00000000-0005-0000-0000-00003B0C0000}"/>
    <cellStyle name="Millares 2 10 2 4 2 2 3" xfId="41523" xr:uid="{00000000-0005-0000-0000-00003C0C0000}"/>
    <cellStyle name="Millares 2 10 2 4 2 3" xfId="21171" xr:uid="{00000000-0005-0000-0000-00003D0C0000}"/>
    <cellStyle name="Millares 2 10 2 4 2 3 2" xfId="48304" xr:uid="{00000000-0005-0000-0000-00003E0C0000}"/>
    <cellStyle name="Millares 2 10 2 4 2 4" xfId="34742" xr:uid="{00000000-0005-0000-0000-00003F0C0000}"/>
    <cellStyle name="Millares 2 10 2 4 3" xfId="10995" xr:uid="{00000000-0005-0000-0000-0000400C0000}"/>
    <cellStyle name="Millares 2 10 2 4 3 2" xfId="24563" xr:uid="{00000000-0005-0000-0000-0000410C0000}"/>
    <cellStyle name="Millares 2 10 2 4 3 2 2" xfId="51696" xr:uid="{00000000-0005-0000-0000-0000420C0000}"/>
    <cellStyle name="Millares 2 10 2 4 3 3" xfId="38134" xr:uid="{00000000-0005-0000-0000-0000430C0000}"/>
    <cellStyle name="Millares 2 10 2 4 4" xfId="17782" xr:uid="{00000000-0005-0000-0000-0000440C0000}"/>
    <cellStyle name="Millares 2 10 2 4 4 2" xfId="44915" xr:uid="{00000000-0005-0000-0000-0000450C0000}"/>
    <cellStyle name="Millares 2 10 2 4 5" xfId="31353" xr:uid="{00000000-0005-0000-0000-0000460C0000}"/>
    <cellStyle name="Millares 2 10 2 5" xfId="3984" xr:uid="{00000000-0005-0000-0000-0000470C0000}"/>
    <cellStyle name="Millares 2 10 2 5 2" xfId="7595" xr:uid="{00000000-0005-0000-0000-0000480C0000}"/>
    <cellStyle name="Millares 2 10 2 5 2 2" xfId="14385" xr:uid="{00000000-0005-0000-0000-0000490C0000}"/>
    <cellStyle name="Millares 2 10 2 5 2 2 2" xfId="27953" xr:uid="{00000000-0005-0000-0000-00004A0C0000}"/>
    <cellStyle name="Millares 2 10 2 5 2 2 2 2" xfId="55086" xr:uid="{00000000-0005-0000-0000-00004B0C0000}"/>
    <cellStyle name="Millares 2 10 2 5 2 2 3" xfId="41524" xr:uid="{00000000-0005-0000-0000-00004C0C0000}"/>
    <cellStyle name="Millares 2 10 2 5 2 3" xfId="21172" xr:uid="{00000000-0005-0000-0000-00004D0C0000}"/>
    <cellStyle name="Millares 2 10 2 5 2 3 2" xfId="48305" xr:uid="{00000000-0005-0000-0000-00004E0C0000}"/>
    <cellStyle name="Millares 2 10 2 5 2 4" xfId="34743" xr:uid="{00000000-0005-0000-0000-00004F0C0000}"/>
    <cellStyle name="Millares 2 10 2 5 3" xfId="10996" xr:uid="{00000000-0005-0000-0000-0000500C0000}"/>
    <cellStyle name="Millares 2 10 2 5 3 2" xfId="24564" xr:uid="{00000000-0005-0000-0000-0000510C0000}"/>
    <cellStyle name="Millares 2 10 2 5 3 2 2" xfId="51697" xr:uid="{00000000-0005-0000-0000-0000520C0000}"/>
    <cellStyle name="Millares 2 10 2 5 3 3" xfId="38135" xr:uid="{00000000-0005-0000-0000-0000530C0000}"/>
    <cellStyle name="Millares 2 10 2 5 4" xfId="17783" xr:uid="{00000000-0005-0000-0000-0000540C0000}"/>
    <cellStyle name="Millares 2 10 2 5 4 2" xfId="44916" xr:uid="{00000000-0005-0000-0000-0000550C0000}"/>
    <cellStyle name="Millares 2 10 2 5 5" xfId="31354" xr:uid="{00000000-0005-0000-0000-0000560C0000}"/>
    <cellStyle name="Millares 2 10 2 6" xfId="7588" xr:uid="{00000000-0005-0000-0000-0000570C0000}"/>
    <cellStyle name="Millares 2 10 2 6 2" xfId="14378" xr:uid="{00000000-0005-0000-0000-0000580C0000}"/>
    <cellStyle name="Millares 2 10 2 6 2 2" xfId="27946" xr:uid="{00000000-0005-0000-0000-0000590C0000}"/>
    <cellStyle name="Millares 2 10 2 6 2 2 2" xfId="55079" xr:uid="{00000000-0005-0000-0000-00005A0C0000}"/>
    <cellStyle name="Millares 2 10 2 6 2 3" xfId="41517" xr:uid="{00000000-0005-0000-0000-00005B0C0000}"/>
    <cellStyle name="Millares 2 10 2 6 3" xfId="21165" xr:uid="{00000000-0005-0000-0000-00005C0C0000}"/>
    <cellStyle name="Millares 2 10 2 6 3 2" xfId="48298" xr:uid="{00000000-0005-0000-0000-00005D0C0000}"/>
    <cellStyle name="Millares 2 10 2 6 4" xfId="34736" xr:uid="{00000000-0005-0000-0000-00005E0C0000}"/>
    <cellStyle name="Millares 2 10 2 7" xfId="10989" xr:uid="{00000000-0005-0000-0000-00005F0C0000}"/>
    <cellStyle name="Millares 2 10 2 7 2" xfId="24557" xr:uid="{00000000-0005-0000-0000-0000600C0000}"/>
    <cellStyle name="Millares 2 10 2 7 2 2" xfId="51690" xr:uid="{00000000-0005-0000-0000-0000610C0000}"/>
    <cellStyle name="Millares 2 10 2 7 3" xfId="38128" xr:uid="{00000000-0005-0000-0000-0000620C0000}"/>
    <cellStyle name="Millares 2 10 2 8" xfId="17776" xr:uid="{00000000-0005-0000-0000-0000630C0000}"/>
    <cellStyle name="Millares 2 10 2 8 2" xfId="44909" xr:uid="{00000000-0005-0000-0000-0000640C0000}"/>
    <cellStyle name="Millares 2 10 2 9" xfId="31347" xr:uid="{00000000-0005-0000-0000-0000650C0000}"/>
    <cellStyle name="Millares 2 10 3" xfId="3985" xr:uid="{00000000-0005-0000-0000-0000660C0000}"/>
    <cellStyle name="Millares 2 10 3 2" xfId="3986" xr:uid="{00000000-0005-0000-0000-0000670C0000}"/>
    <cellStyle name="Millares 2 10 3 2 2" xfId="3987" xr:uid="{00000000-0005-0000-0000-0000680C0000}"/>
    <cellStyle name="Millares 2 10 3 2 2 2" xfId="7598" xr:uid="{00000000-0005-0000-0000-0000690C0000}"/>
    <cellStyle name="Millares 2 10 3 2 2 2 2" xfId="14388" xr:uid="{00000000-0005-0000-0000-00006A0C0000}"/>
    <cellStyle name="Millares 2 10 3 2 2 2 2 2" xfId="27956" xr:uid="{00000000-0005-0000-0000-00006B0C0000}"/>
    <cellStyle name="Millares 2 10 3 2 2 2 2 2 2" xfId="55089" xr:uid="{00000000-0005-0000-0000-00006C0C0000}"/>
    <cellStyle name="Millares 2 10 3 2 2 2 2 3" xfId="41527" xr:uid="{00000000-0005-0000-0000-00006D0C0000}"/>
    <cellStyle name="Millares 2 10 3 2 2 2 3" xfId="21175" xr:uid="{00000000-0005-0000-0000-00006E0C0000}"/>
    <cellStyle name="Millares 2 10 3 2 2 2 3 2" xfId="48308" xr:uid="{00000000-0005-0000-0000-00006F0C0000}"/>
    <cellStyle name="Millares 2 10 3 2 2 2 4" xfId="34746" xr:uid="{00000000-0005-0000-0000-0000700C0000}"/>
    <cellStyle name="Millares 2 10 3 2 2 3" xfId="10999" xr:uid="{00000000-0005-0000-0000-0000710C0000}"/>
    <cellStyle name="Millares 2 10 3 2 2 3 2" xfId="24567" xr:uid="{00000000-0005-0000-0000-0000720C0000}"/>
    <cellStyle name="Millares 2 10 3 2 2 3 2 2" xfId="51700" xr:uid="{00000000-0005-0000-0000-0000730C0000}"/>
    <cellStyle name="Millares 2 10 3 2 2 3 3" xfId="38138" xr:uid="{00000000-0005-0000-0000-0000740C0000}"/>
    <cellStyle name="Millares 2 10 3 2 2 4" xfId="17786" xr:uid="{00000000-0005-0000-0000-0000750C0000}"/>
    <cellStyle name="Millares 2 10 3 2 2 4 2" xfId="44919" xr:uid="{00000000-0005-0000-0000-0000760C0000}"/>
    <cellStyle name="Millares 2 10 3 2 2 5" xfId="31357" xr:uid="{00000000-0005-0000-0000-0000770C0000}"/>
    <cellStyle name="Millares 2 10 3 2 3" xfId="3988" xr:uid="{00000000-0005-0000-0000-0000780C0000}"/>
    <cellStyle name="Millares 2 10 3 2 3 2" xfId="7599" xr:uid="{00000000-0005-0000-0000-0000790C0000}"/>
    <cellStyle name="Millares 2 10 3 2 3 2 2" xfId="14389" xr:uid="{00000000-0005-0000-0000-00007A0C0000}"/>
    <cellStyle name="Millares 2 10 3 2 3 2 2 2" xfId="27957" xr:uid="{00000000-0005-0000-0000-00007B0C0000}"/>
    <cellStyle name="Millares 2 10 3 2 3 2 2 2 2" xfId="55090" xr:uid="{00000000-0005-0000-0000-00007C0C0000}"/>
    <cellStyle name="Millares 2 10 3 2 3 2 2 3" xfId="41528" xr:uid="{00000000-0005-0000-0000-00007D0C0000}"/>
    <cellStyle name="Millares 2 10 3 2 3 2 3" xfId="21176" xr:uid="{00000000-0005-0000-0000-00007E0C0000}"/>
    <cellStyle name="Millares 2 10 3 2 3 2 3 2" xfId="48309" xr:uid="{00000000-0005-0000-0000-00007F0C0000}"/>
    <cellStyle name="Millares 2 10 3 2 3 2 4" xfId="34747" xr:uid="{00000000-0005-0000-0000-0000800C0000}"/>
    <cellStyle name="Millares 2 10 3 2 3 3" xfId="11000" xr:uid="{00000000-0005-0000-0000-0000810C0000}"/>
    <cellStyle name="Millares 2 10 3 2 3 3 2" xfId="24568" xr:uid="{00000000-0005-0000-0000-0000820C0000}"/>
    <cellStyle name="Millares 2 10 3 2 3 3 2 2" xfId="51701" xr:uid="{00000000-0005-0000-0000-0000830C0000}"/>
    <cellStyle name="Millares 2 10 3 2 3 3 3" xfId="38139" xr:uid="{00000000-0005-0000-0000-0000840C0000}"/>
    <cellStyle name="Millares 2 10 3 2 3 4" xfId="17787" xr:uid="{00000000-0005-0000-0000-0000850C0000}"/>
    <cellStyle name="Millares 2 10 3 2 3 4 2" xfId="44920" xr:uid="{00000000-0005-0000-0000-0000860C0000}"/>
    <cellStyle name="Millares 2 10 3 2 3 5" xfId="31358" xr:uid="{00000000-0005-0000-0000-0000870C0000}"/>
    <cellStyle name="Millares 2 10 3 2 4" xfId="7597" xr:uid="{00000000-0005-0000-0000-0000880C0000}"/>
    <cellStyle name="Millares 2 10 3 2 4 2" xfId="14387" xr:uid="{00000000-0005-0000-0000-0000890C0000}"/>
    <cellStyle name="Millares 2 10 3 2 4 2 2" xfId="27955" xr:uid="{00000000-0005-0000-0000-00008A0C0000}"/>
    <cellStyle name="Millares 2 10 3 2 4 2 2 2" xfId="55088" xr:uid="{00000000-0005-0000-0000-00008B0C0000}"/>
    <cellStyle name="Millares 2 10 3 2 4 2 3" xfId="41526" xr:uid="{00000000-0005-0000-0000-00008C0C0000}"/>
    <cellStyle name="Millares 2 10 3 2 4 3" xfId="21174" xr:uid="{00000000-0005-0000-0000-00008D0C0000}"/>
    <cellStyle name="Millares 2 10 3 2 4 3 2" xfId="48307" xr:uid="{00000000-0005-0000-0000-00008E0C0000}"/>
    <cellStyle name="Millares 2 10 3 2 4 4" xfId="34745" xr:uid="{00000000-0005-0000-0000-00008F0C0000}"/>
    <cellStyle name="Millares 2 10 3 2 5" xfId="10998" xr:uid="{00000000-0005-0000-0000-0000900C0000}"/>
    <cellStyle name="Millares 2 10 3 2 5 2" xfId="24566" xr:uid="{00000000-0005-0000-0000-0000910C0000}"/>
    <cellStyle name="Millares 2 10 3 2 5 2 2" xfId="51699" xr:uid="{00000000-0005-0000-0000-0000920C0000}"/>
    <cellStyle name="Millares 2 10 3 2 5 3" xfId="38137" xr:uid="{00000000-0005-0000-0000-0000930C0000}"/>
    <cellStyle name="Millares 2 10 3 2 6" xfId="17785" xr:uid="{00000000-0005-0000-0000-0000940C0000}"/>
    <cellStyle name="Millares 2 10 3 2 6 2" xfId="44918" xr:uid="{00000000-0005-0000-0000-0000950C0000}"/>
    <cellStyle name="Millares 2 10 3 2 7" xfId="31356" xr:uid="{00000000-0005-0000-0000-0000960C0000}"/>
    <cellStyle name="Millares 2 10 3 3" xfId="3989" xr:uid="{00000000-0005-0000-0000-0000970C0000}"/>
    <cellStyle name="Millares 2 10 3 3 2" xfId="7600" xr:uid="{00000000-0005-0000-0000-0000980C0000}"/>
    <cellStyle name="Millares 2 10 3 3 2 2" xfId="14390" xr:uid="{00000000-0005-0000-0000-0000990C0000}"/>
    <cellStyle name="Millares 2 10 3 3 2 2 2" xfId="27958" xr:uid="{00000000-0005-0000-0000-00009A0C0000}"/>
    <cellStyle name="Millares 2 10 3 3 2 2 2 2" xfId="55091" xr:uid="{00000000-0005-0000-0000-00009B0C0000}"/>
    <cellStyle name="Millares 2 10 3 3 2 2 3" xfId="41529" xr:uid="{00000000-0005-0000-0000-00009C0C0000}"/>
    <cellStyle name="Millares 2 10 3 3 2 3" xfId="21177" xr:uid="{00000000-0005-0000-0000-00009D0C0000}"/>
    <cellStyle name="Millares 2 10 3 3 2 3 2" xfId="48310" xr:uid="{00000000-0005-0000-0000-00009E0C0000}"/>
    <cellStyle name="Millares 2 10 3 3 2 4" xfId="34748" xr:uid="{00000000-0005-0000-0000-00009F0C0000}"/>
    <cellStyle name="Millares 2 10 3 3 3" xfId="11001" xr:uid="{00000000-0005-0000-0000-0000A00C0000}"/>
    <cellStyle name="Millares 2 10 3 3 3 2" xfId="24569" xr:uid="{00000000-0005-0000-0000-0000A10C0000}"/>
    <cellStyle name="Millares 2 10 3 3 3 2 2" xfId="51702" xr:uid="{00000000-0005-0000-0000-0000A20C0000}"/>
    <cellStyle name="Millares 2 10 3 3 3 3" xfId="38140" xr:uid="{00000000-0005-0000-0000-0000A30C0000}"/>
    <cellStyle name="Millares 2 10 3 3 4" xfId="17788" xr:uid="{00000000-0005-0000-0000-0000A40C0000}"/>
    <cellStyle name="Millares 2 10 3 3 4 2" xfId="44921" xr:uid="{00000000-0005-0000-0000-0000A50C0000}"/>
    <cellStyle name="Millares 2 10 3 3 5" xfId="31359" xr:uid="{00000000-0005-0000-0000-0000A60C0000}"/>
    <cellStyle name="Millares 2 10 3 4" xfId="3990" xr:uid="{00000000-0005-0000-0000-0000A70C0000}"/>
    <cellStyle name="Millares 2 10 3 4 2" xfId="7601" xr:uid="{00000000-0005-0000-0000-0000A80C0000}"/>
    <cellStyle name="Millares 2 10 3 4 2 2" xfId="14391" xr:uid="{00000000-0005-0000-0000-0000A90C0000}"/>
    <cellStyle name="Millares 2 10 3 4 2 2 2" xfId="27959" xr:uid="{00000000-0005-0000-0000-0000AA0C0000}"/>
    <cellStyle name="Millares 2 10 3 4 2 2 2 2" xfId="55092" xr:uid="{00000000-0005-0000-0000-0000AB0C0000}"/>
    <cellStyle name="Millares 2 10 3 4 2 2 3" xfId="41530" xr:uid="{00000000-0005-0000-0000-0000AC0C0000}"/>
    <cellStyle name="Millares 2 10 3 4 2 3" xfId="21178" xr:uid="{00000000-0005-0000-0000-0000AD0C0000}"/>
    <cellStyle name="Millares 2 10 3 4 2 3 2" xfId="48311" xr:uid="{00000000-0005-0000-0000-0000AE0C0000}"/>
    <cellStyle name="Millares 2 10 3 4 2 4" xfId="34749" xr:uid="{00000000-0005-0000-0000-0000AF0C0000}"/>
    <cellStyle name="Millares 2 10 3 4 3" xfId="11002" xr:uid="{00000000-0005-0000-0000-0000B00C0000}"/>
    <cellStyle name="Millares 2 10 3 4 3 2" xfId="24570" xr:uid="{00000000-0005-0000-0000-0000B10C0000}"/>
    <cellStyle name="Millares 2 10 3 4 3 2 2" xfId="51703" xr:uid="{00000000-0005-0000-0000-0000B20C0000}"/>
    <cellStyle name="Millares 2 10 3 4 3 3" xfId="38141" xr:uid="{00000000-0005-0000-0000-0000B30C0000}"/>
    <cellStyle name="Millares 2 10 3 4 4" xfId="17789" xr:uid="{00000000-0005-0000-0000-0000B40C0000}"/>
    <cellStyle name="Millares 2 10 3 4 4 2" xfId="44922" xr:uid="{00000000-0005-0000-0000-0000B50C0000}"/>
    <cellStyle name="Millares 2 10 3 4 5" xfId="31360" xr:uid="{00000000-0005-0000-0000-0000B60C0000}"/>
    <cellStyle name="Millares 2 10 3 5" xfId="7596" xr:uid="{00000000-0005-0000-0000-0000B70C0000}"/>
    <cellStyle name="Millares 2 10 3 5 2" xfId="14386" xr:uid="{00000000-0005-0000-0000-0000B80C0000}"/>
    <cellStyle name="Millares 2 10 3 5 2 2" xfId="27954" xr:uid="{00000000-0005-0000-0000-0000B90C0000}"/>
    <cellStyle name="Millares 2 10 3 5 2 2 2" xfId="55087" xr:uid="{00000000-0005-0000-0000-0000BA0C0000}"/>
    <cellStyle name="Millares 2 10 3 5 2 3" xfId="41525" xr:uid="{00000000-0005-0000-0000-0000BB0C0000}"/>
    <cellStyle name="Millares 2 10 3 5 3" xfId="21173" xr:uid="{00000000-0005-0000-0000-0000BC0C0000}"/>
    <cellStyle name="Millares 2 10 3 5 3 2" xfId="48306" xr:uid="{00000000-0005-0000-0000-0000BD0C0000}"/>
    <cellStyle name="Millares 2 10 3 5 4" xfId="34744" xr:uid="{00000000-0005-0000-0000-0000BE0C0000}"/>
    <cellStyle name="Millares 2 10 3 6" xfId="10997" xr:uid="{00000000-0005-0000-0000-0000BF0C0000}"/>
    <cellStyle name="Millares 2 10 3 6 2" xfId="24565" xr:uid="{00000000-0005-0000-0000-0000C00C0000}"/>
    <cellStyle name="Millares 2 10 3 6 2 2" xfId="51698" xr:uid="{00000000-0005-0000-0000-0000C10C0000}"/>
    <cellStyle name="Millares 2 10 3 6 3" xfId="38136" xr:uid="{00000000-0005-0000-0000-0000C20C0000}"/>
    <cellStyle name="Millares 2 10 3 7" xfId="17784" xr:uid="{00000000-0005-0000-0000-0000C30C0000}"/>
    <cellStyle name="Millares 2 10 3 7 2" xfId="44917" xr:uid="{00000000-0005-0000-0000-0000C40C0000}"/>
    <cellStyle name="Millares 2 10 3 8" xfId="31355" xr:uid="{00000000-0005-0000-0000-0000C50C0000}"/>
    <cellStyle name="Millares 2 10 4" xfId="3991" xr:uid="{00000000-0005-0000-0000-0000C60C0000}"/>
    <cellStyle name="Millares 2 10 4 2" xfId="3992" xr:uid="{00000000-0005-0000-0000-0000C70C0000}"/>
    <cellStyle name="Millares 2 10 4 2 2" xfId="7603" xr:uid="{00000000-0005-0000-0000-0000C80C0000}"/>
    <cellStyle name="Millares 2 10 4 2 2 2" xfId="14393" xr:uid="{00000000-0005-0000-0000-0000C90C0000}"/>
    <cellStyle name="Millares 2 10 4 2 2 2 2" xfId="27961" xr:uid="{00000000-0005-0000-0000-0000CA0C0000}"/>
    <cellStyle name="Millares 2 10 4 2 2 2 2 2" xfId="55094" xr:uid="{00000000-0005-0000-0000-0000CB0C0000}"/>
    <cellStyle name="Millares 2 10 4 2 2 2 3" xfId="41532" xr:uid="{00000000-0005-0000-0000-0000CC0C0000}"/>
    <cellStyle name="Millares 2 10 4 2 2 3" xfId="21180" xr:uid="{00000000-0005-0000-0000-0000CD0C0000}"/>
    <cellStyle name="Millares 2 10 4 2 2 3 2" xfId="48313" xr:uid="{00000000-0005-0000-0000-0000CE0C0000}"/>
    <cellStyle name="Millares 2 10 4 2 2 4" xfId="34751" xr:uid="{00000000-0005-0000-0000-0000CF0C0000}"/>
    <cellStyle name="Millares 2 10 4 2 3" xfId="11004" xr:uid="{00000000-0005-0000-0000-0000D00C0000}"/>
    <cellStyle name="Millares 2 10 4 2 3 2" xfId="24572" xr:uid="{00000000-0005-0000-0000-0000D10C0000}"/>
    <cellStyle name="Millares 2 10 4 2 3 2 2" xfId="51705" xr:uid="{00000000-0005-0000-0000-0000D20C0000}"/>
    <cellStyle name="Millares 2 10 4 2 3 3" xfId="38143" xr:uid="{00000000-0005-0000-0000-0000D30C0000}"/>
    <cellStyle name="Millares 2 10 4 2 4" xfId="17791" xr:uid="{00000000-0005-0000-0000-0000D40C0000}"/>
    <cellStyle name="Millares 2 10 4 2 4 2" xfId="44924" xr:uid="{00000000-0005-0000-0000-0000D50C0000}"/>
    <cellStyle name="Millares 2 10 4 2 5" xfId="31362" xr:uid="{00000000-0005-0000-0000-0000D60C0000}"/>
    <cellStyle name="Millares 2 10 4 3" xfId="3993" xr:uid="{00000000-0005-0000-0000-0000D70C0000}"/>
    <cellStyle name="Millares 2 10 4 3 2" xfId="7604" xr:uid="{00000000-0005-0000-0000-0000D80C0000}"/>
    <cellStyle name="Millares 2 10 4 3 2 2" xfId="14394" xr:uid="{00000000-0005-0000-0000-0000D90C0000}"/>
    <cellStyle name="Millares 2 10 4 3 2 2 2" xfId="27962" xr:uid="{00000000-0005-0000-0000-0000DA0C0000}"/>
    <cellStyle name="Millares 2 10 4 3 2 2 2 2" xfId="55095" xr:uid="{00000000-0005-0000-0000-0000DB0C0000}"/>
    <cellStyle name="Millares 2 10 4 3 2 2 3" xfId="41533" xr:uid="{00000000-0005-0000-0000-0000DC0C0000}"/>
    <cellStyle name="Millares 2 10 4 3 2 3" xfId="21181" xr:uid="{00000000-0005-0000-0000-0000DD0C0000}"/>
    <cellStyle name="Millares 2 10 4 3 2 3 2" xfId="48314" xr:uid="{00000000-0005-0000-0000-0000DE0C0000}"/>
    <cellStyle name="Millares 2 10 4 3 2 4" xfId="34752" xr:uid="{00000000-0005-0000-0000-0000DF0C0000}"/>
    <cellStyle name="Millares 2 10 4 3 3" xfId="11005" xr:uid="{00000000-0005-0000-0000-0000E00C0000}"/>
    <cellStyle name="Millares 2 10 4 3 3 2" xfId="24573" xr:uid="{00000000-0005-0000-0000-0000E10C0000}"/>
    <cellStyle name="Millares 2 10 4 3 3 2 2" xfId="51706" xr:uid="{00000000-0005-0000-0000-0000E20C0000}"/>
    <cellStyle name="Millares 2 10 4 3 3 3" xfId="38144" xr:uid="{00000000-0005-0000-0000-0000E30C0000}"/>
    <cellStyle name="Millares 2 10 4 3 4" xfId="17792" xr:uid="{00000000-0005-0000-0000-0000E40C0000}"/>
    <cellStyle name="Millares 2 10 4 3 4 2" xfId="44925" xr:uid="{00000000-0005-0000-0000-0000E50C0000}"/>
    <cellStyle name="Millares 2 10 4 3 5" xfId="31363" xr:uid="{00000000-0005-0000-0000-0000E60C0000}"/>
    <cellStyle name="Millares 2 10 4 4" xfId="7602" xr:uid="{00000000-0005-0000-0000-0000E70C0000}"/>
    <cellStyle name="Millares 2 10 4 4 2" xfId="14392" xr:uid="{00000000-0005-0000-0000-0000E80C0000}"/>
    <cellStyle name="Millares 2 10 4 4 2 2" xfId="27960" xr:uid="{00000000-0005-0000-0000-0000E90C0000}"/>
    <cellStyle name="Millares 2 10 4 4 2 2 2" xfId="55093" xr:uid="{00000000-0005-0000-0000-0000EA0C0000}"/>
    <cellStyle name="Millares 2 10 4 4 2 3" xfId="41531" xr:uid="{00000000-0005-0000-0000-0000EB0C0000}"/>
    <cellStyle name="Millares 2 10 4 4 3" xfId="21179" xr:uid="{00000000-0005-0000-0000-0000EC0C0000}"/>
    <cellStyle name="Millares 2 10 4 4 3 2" xfId="48312" xr:uid="{00000000-0005-0000-0000-0000ED0C0000}"/>
    <cellStyle name="Millares 2 10 4 4 4" xfId="34750" xr:uid="{00000000-0005-0000-0000-0000EE0C0000}"/>
    <cellStyle name="Millares 2 10 4 5" xfId="11003" xr:uid="{00000000-0005-0000-0000-0000EF0C0000}"/>
    <cellStyle name="Millares 2 10 4 5 2" xfId="24571" xr:uid="{00000000-0005-0000-0000-0000F00C0000}"/>
    <cellStyle name="Millares 2 10 4 5 2 2" xfId="51704" xr:uid="{00000000-0005-0000-0000-0000F10C0000}"/>
    <cellStyle name="Millares 2 10 4 5 3" xfId="38142" xr:uid="{00000000-0005-0000-0000-0000F20C0000}"/>
    <cellStyle name="Millares 2 10 4 6" xfId="17790" xr:uid="{00000000-0005-0000-0000-0000F30C0000}"/>
    <cellStyle name="Millares 2 10 4 6 2" xfId="44923" xr:uid="{00000000-0005-0000-0000-0000F40C0000}"/>
    <cellStyle name="Millares 2 10 4 7" xfId="31361" xr:uid="{00000000-0005-0000-0000-0000F50C0000}"/>
    <cellStyle name="Millares 2 10 5" xfId="3994" xr:uid="{00000000-0005-0000-0000-0000F60C0000}"/>
    <cellStyle name="Millares 2 10 5 2" xfId="3995" xr:uid="{00000000-0005-0000-0000-0000F70C0000}"/>
    <cellStyle name="Millares 2 10 5 2 2" xfId="7606" xr:uid="{00000000-0005-0000-0000-0000F80C0000}"/>
    <cellStyle name="Millares 2 10 5 2 2 2" xfId="14396" xr:uid="{00000000-0005-0000-0000-0000F90C0000}"/>
    <cellStyle name="Millares 2 10 5 2 2 2 2" xfId="27964" xr:uid="{00000000-0005-0000-0000-0000FA0C0000}"/>
    <cellStyle name="Millares 2 10 5 2 2 2 2 2" xfId="55097" xr:uid="{00000000-0005-0000-0000-0000FB0C0000}"/>
    <cellStyle name="Millares 2 10 5 2 2 2 3" xfId="41535" xr:uid="{00000000-0005-0000-0000-0000FC0C0000}"/>
    <cellStyle name="Millares 2 10 5 2 2 3" xfId="21183" xr:uid="{00000000-0005-0000-0000-0000FD0C0000}"/>
    <cellStyle name="Millares 2 10 5 2 2 3 2" xfId="48316" xr:uid="{00000000-0005-0000-0000-0000FE0C0000}"/>
    <cellStyle name="Millares 2 10 5 2 2 4" xfId="34754" xr:uid="{00000000-0005-0000-0000-0000FF0C0000}"/>
    <cellStyle name="Millares 2 10 5 2 3" xfId="11007" xr:uid="{00000000-0005-0000-0000-0000000D0000}"/>
    <cellStyle name="Millares 2 10 5 2 3 2" xfId="24575" xr:uid="{00000000-0005-0000-0000-0000010D0000}"/>
    <cellStyle name="Millares 2 10 5 2 3 2 2" xfId="51708" xr:uid="{00000000-0005-0000-0000-0000020D0000}"/>
    <cellStyle name="Millares 2 10 5 2 3 3" xfId="38146" xr:uid="{00000000-0005-0000-0000-0000030D0000}"/>
    <cellStyle name="Millares 2 10 5 2 4" xfId="17794" xr:uid="{00000000-0005-0000-0000-0000040D0000}"/>
    <cellStyle name="Millares 2 10 5 2 4 2" xfId="44927" xr:uid="{00000000-0005-0000-0000-0000050D0000}"/>
    <cellStyle name="Millares 2 10 5 2 5" xfId="31365" xr:uid="{00000000-0005-0000-0000-0000060D0000}"/>
    <cellStyle name="Millares 2 10 5 3" xfId="7605" xr:uid="{00000000-0005-0000-0000-0000070D0000}"/>
    <cellStyle name="Millares 2 10 5 3 2" xfId="14395" xr:uid="{00000000-0005-0000-0000-0000080D0000}"/>
    <cellStyle name="Millares 2 10 5 3 2 2" xfId="27963" xr:uid="{00000000-0005-0000-0000-0000090D0000}"/>
    <cellStyle name="Millares 2 10 5 3 2 2 2" xfId="55096" xr:uid="{00000000-0005-0000-0000-00000A0D0000}"/>
    <cellStyle name="Millares 2 10 5 3 2 3" xfId="41534" xr:uid="{00000000-0005-0000-0000-00000B0D0000}"/>
    <cellStyle name="Millares 2 10 5 3 3" xfId="21182" xr:uid="{00000000-0005-0000-0000-00000C0D0000}"/>
    <cellStyle name="Millares 2 10 5 3 3 2" xfId="48315" xr:uid="{00000000-0005-0000-0000-00000D0D0000}"/>
    <cellStyle name="Millares 2 10 5 3 4" xfId="34753" xr:uid="{00000000-0005-0000-0000-00000E0D0000}"/>
    <cellStyle name="Millares 2 10 5 4" xfId="11006" xr:uid="{00000000-0005-0000-0000-00000F0D0000}"/>
    <cellStyle name="Millares 2 10 5 4 2" xfId="24574" xr:uid="{00000000-0005-0000-0000-0000100D0000}"/>
    <cellStyle name="Millares 2 10 5 4 2 2" xfId="51707" xr:uid="{00000000-0005-0000-0000-0000110D0000}"/>
    <cellStyle name="Millares 2 10 5 4 3" xfId="38145" xr:uid="{00000000-0005-0000-0000-0000120D0000}"/>
    <cellStyle name="Millares 2 10 5 5" xfId="17793" xr:uid="{00000000-0005-0000-0000-0000130D0000}"/>
    <cellStyle name="Millares 2 10 5 5 2" xfId="44926" xr:uid="{00000000-0005-0000-0000-0000140D0000}"/>
    <cellStyle name="Millares 2 10 5 6" xfId="31364" xr:uid="{00000000-0005-0000-0000-0000150D0000}"/>
    <cellStyle name="Millares 2 10 6" xfId="3996" xr:uid="{00000000-0005-0000-0000-0000160D0000}"/>
    <cellStyle name="Millares 2 10 6 2" xfId="7607" xr:uid="{00000000-0005-0000-0000-0000170D0000}"/>
    <cellStyle name="Millares 2 10 6 2 2" xfId="14397" xr:uid="{00000000-0005-0000-0000-0000180D0000}"/>
    <cellStyle name="Millares 2 10 6 2 2 2" xfId="27965" xr:uid="{00000000-0005-0000-0000-0000190D0000}"/>
    <cellStyle name="Millares 2 10 6 2 2 2 2" xfId="55098" xr:uid="{00000000-0005-0000-0000-00001A0D0000}"/>
    <cellStyle name="Millares 2 10 6 2 2 3" xfId="41536" xr:uid="{00000000-0005-0000-0000-00001B0D0000}"/>
    <cellStyle name="Millares 2 10 6 2 3" xfId="21184" xr:uid="{00000000-0005-0000-0000-00001C0D0000}"/>
    <cellStyle name="Millares 2 10 6 2 3 2" xfId="48317" xr:uid="{00000000-0005-0000-0000-00001D0D0000}"/>
    <cellStyle name="Millares 2 10 6 2 4" xfId="34755" xr:uid="{00000000-0005-0000-0000-00001E0D0000}"/>
    <cellStyle name="Millares 2 10 6 3" xfId="11008" xr:uid="{00000000-0005-0000-0000-00001F0D0000}"/>
    <cellStyle name="Millares 2 10 6 3 2" xfId="24576" xr:uid="{00000000-0005-0000-0000-0000200D0000}"/>
    <cellStyle name="Millares 2 10 6 3 2 2" xfId="51709" xr:uid="{00000000-0005-0000-0000-0000210D0000}"/>
    <cellStyle name="Millares 2 10 6 3 3" xfId="38147" xr:uid="{00000000-0005-0000-0000-0000220D0000}"/>
    <cellStyle name="Millares 2 10 6 4" xfId="17795" xr:uid="{00000000-0005-0000-0000-0000230D0000}"/>
    <cellStyle name="Millares 2 10 6 4 2" xfId="44928" xr:uid="{00000000-0005-0000-0000-0000240D0000}"/>
    <cellStyle name="Millares 2 10 6 5" xfId="31366" xr:uid="{00000000-0005-0000-0000-0000250D0000}"/>
    <cellStyle name="Millares 2 10 7" xfId="3997" xr:uid="{00000000-0005-0000-0000-0000260D0000}"/>
    <cellStyle name="Millares 2 10 7 2" xfId="7608" xr:uid="{00000000-0005-0000-0000-0000270D0000}"/>
    <cellStyle name="Millares 2 10 7 2 2" xfId="14398" xr:uid="{00000000-0005-0000-0000-0000280D0000}"/>
    <cellStyle name="Millares 2 10 7 2 2 2" xfId="27966" xr:uid="{00000000-0005-0000-0000-0000290D0000}"/>
    <cellStyle name="Millares 2 10 7 2 2 2 2" xfId="55099" xr:uid="{00000000-0005-0000-0000-00002A0D0000}"/>
    <cellStyle name="Millares 2 10 7 2 2 3" xfId="41537" xr:uid="{00000000-0005-0000-0000-00002B0D0000}"/>
    <cellStyle name="Millares 2 10 7 2 3" xfId="21185" xr:uid="{00000000-0005-0000-0000-00002C0D0000}"/>
    <cellStyle name="Millares 2 10 7 2 3 2" xfId="48318" xr:uid="{00000000-0005-0000-0000-00002D0D0000}"/>
    <cellStyle name="Millares 2 10 7 2 4" xfId="34756" xr:uid="{00000000-0005-0000-0000-00002E0D0000}"/>
    <cellStyle name="Millares 2 10 7 3" xfId="11009" xr:uid="{00000000-0005-0000-0000-00002F0D0000}"/>
    <cellStyle name="Millares 2 10 7 3 2" xfId="24577" xr:uid="{00000000-0005-0000-0000-0000300D0000}"/>
    <cellStyle name="Millares 2 10 7 3 2 2" xfId="51710" xr:uid="{00000000-0005-0000-0000-0000310D0000}"/>
    <cellStyle name="Millares 2 10 7 3 3" xfId="38148" xr:uid="{00000000-0005-0000-0000-0000320D0000}"/>
    <cellStyle name="Millares 2 10 7 4" xfId="17796" xr:uid="{00000000-0005-0000-0000-0000330D0000}"/>
    <cellStyle name="Millares 2 10 7 4 2" xfId="44929" xr:uid="{00000000-0005-0000-0000-0000340D0000}"/>
    <cellStyle name="Millares 2 10 7 5" xfId="31367" xr:uid="{00000000-0005-0000-0000-0000350D0000}"/>
    <cellStyle name="Millares 2 11" xfId="2366" xr:uid="{00000000-0005-0000-0000-0000360D0000}"/>
    <cellStyle name="Millares 2 11 2" xfId="3998" xr:uid="{00000000-0005-0000-0000-0000370D0000}"/>
    <cellStyle name="Millares 2 11 2 2" xfId="3999" xr:uid="{00000000-0005-0000-0000-0000380D0000}"/>
    <cellStyle name="Millares 2 11 2 2 2" xfId="7610" xr:uid="{00000000-0005-0000-0000-0000390D0000}"/>
    <cellStyle name="Millares 2 11 2 2 2 2" xfId="14400" xr:uid="{00000000-0005-0000-0000-00003A0D0000}"/>
    <cellStyle name="Millares 2 11 2 2 2 2 2" xfId="27968" xr:uid="{00000000-0005-0000-0000-00003B0D0000}"/>
    <cellStyle name="Millares 2 11 2 2 2 2 2 2" xfId="55101" xr:uid="{00000000-0005-0000-0000-00003C0D0000}"/>
    <cellStyle name="Millares 2 11 2 2 2 2 3" xfId="41539" xr:uid="{00000000-0005-0000-0000-00003D0D0000}"/>
    <cellStyle name="Millares 2 11 2 2 2 3" xfId="21187" xr:uid="{00000000-0005-0000-0000-00003E0D0000}"/>
    <cellStyle name="Millares 2 11 2 2 2 3 2" xfId="48320" xr:uid="{00000000-0005-0000-0000-00003F0D0000}"/>
    <cellStyle name="Millares 2 11 2 2 2 4" xfId="34758" xr:uid="{00000000-0005-0000-0000-0000400D0000}"/>
    <cellStyle name="Millares 2 11 2 2 3" xfId="11011" xr:uid="{00000000-0005-0000-0000-0000410D0000}"/>
    <cellStyle name="Millares 2 11 2 2 3 2" xfId="24579" xr:uid="{00000000-0005-0000-0000-0000420D0000}"/>
    <cellStyle name="Millares 2 11 2 2 3 2 2" xfId="51712" xr:uid="{00000000-0005-0000-0000-0000430D0000}"/>
    <cellStyle name="Millares 2 11 2 2 3 3" xfId="38150" xr:uid="{00000000-0005-0000-0000-0000440D0000}"/>
    <cellStyle name="Millares 2 11 2 2 4" xfId="17798" xr:uid="{00000000-0005-0000-0000-0000450D0000}"/>
    <cellStyle name="Millares 2 11 2 2 4 2" xfId="44931" xr:uid="{00000000-0005-0000-0000-0000460D0000}"/>
    <cellStyle name="Millares 2 11 2 2 5" xfId="31369" xr:uid="{00000000-0005-0000-0000-0000470D0000}"/>
    <cellStyle name="Millares 2 11 2 3" xfId="4000" xr:uid="{00000000-0005-0000-0000-0000480D0000}"/>
    <cellStyle name="Millares 2 11 2 3 2" xfId="7611" xr:uid="{00000000-0005-0000-0000-0000490D0000}"/>
    <cellStyle name="Millares 2 11 2 3 2 2" xfId="14401" xr:uid="{00000000-0005-0000-0000-00004A0D0000}"/>
    <cellStyle name="Millares 2 11 2 3 2 2 2" xfId="27969" xr:uid="{00000000-0005-0000-0000-00004B0D0000}"/>
    <cellStyle name="Millares 2 11 2 3 2 2 2 2" xfId="55102" xr:uid="{00000000-0005-0000-0000-00004C0D0000}"/>
    <cellStyle name="Millares 2 11 2 3 2 2 3" xfId="41540" xr:uid="{00000000-0005-0000-0000-00004D0D0000}"/>
    <cellStyle name="Millares 2 11 2 3 2 3" xfId="21188" xr:uid="{00000000-0005-0000-0000-00004E0D0000}"/>
    <cellStyle name="Millares 2 11 2 3 2 3 2" xfId="48321" xr:uid="{00000000-0005-0000-0000-00004F0D0000}"/>
    <cellStyle name="Millares 2 11 2 3 2 4" xfId="34759" xr:uid="{00000000-0005-0000-0000-0000500D0000}"/>
    <cellStyle name="Millares 2 11 2 3 3" xfId="11012" xr:uid="{00000000-0005-0000-0000-0000510D0000}"/>
    <cellStyle name="Millares 2 11 2 3 3 2" xfId="24580" xr:uid="{00000000-0005-0000-0000-0000520D0000}"/>
    <cellStyle name="Millares 2 11 2 3 3 2 2" xfId="51713" xr:uid="{00000000-0005-0000-0000-0000530D0000}"/>
    <cellStyle name="Millares 2 11 2 3 3 3" xfId="38151" xr:uid="{00000000-0005-0000-0000-0000540D0000}"/>
    <cellStyle name="Millares 2 11 2 3 4" xfId="17799" xr:uid="{00000000-0005-0000-0000-0000550D0000}"/>
    <cellStyle name="Millares 2 11 2 3 4 2" xfId="44932" xr:uid="{00000000-0005-0000-0000-0000560D0000}"/>
    <cellStyle name="Millares 2 11 2 3 5" xfId="31370" xr:uid="{00000000-0005-0000-0000-0000570D0000}"/>
    <cellStyle name="Millares 2 11 2 4" xfId="7609" xr:uid="{00000000-0005-0000-0000-0000580D0000}"/>
    <cellStyle name="Millares 2 11 2 4 2" xfId="14399" xr:uid="{00000000-0005-0000-0000-0000590D0000}"/>
    <cellStyle name="Millares 2 11 2 4 2 2" xfId="27967" xr:uid="{00000000-0005-0000-0000-00005A0D0000}"/>
    <cellStyle name="Millares 2 11 2 4 2 2 2" xfId="55100" xr:uid="{00000000-0005-0000-0000-00005B0D0000}"/>
    <cellStyle name="Millares 2 11 2 4 2 3" xfId="41538" xr:uid="{00000000-0005-0000-0000-00005C0D0000}"/>
    <cellStyle name="Millares 2 11 2 4 3" xfId="21186" xr:uid="{00000000-0005-0000-0000-00005D0D0000}"/>
    <cellStyle name="Millares 2 11 2 4 3 2" xfId="48319" xr:uid="{00000000-0005-0000-0000-00005E0D0000}"/>
    <cellStyle name="Millares 2 11 2 4 4" xfId="34757" xr:uid="{00000000-0005-0000-0000-00005F0D0000}"/>
    <cellStyle name="Millares 2 11 2 5" xfId="11010" xr:uid="{00000000-0005-0000-0000-0000600D0000}"/>
    <cellStyle name="Millares 2 11 2 5 2" xfId="24578" xr:uid="{00000000-0005-0000-0000-0000610D0000}"/>
    <cellStyle name="Millares 2 11 2 5 2 2" xfId="51711" xr:uid="{00000000-0005-0000-0000-0000620D0000}"/>
    <cellStyle name="Millares 2 11 2 5 3" xfId="38149" xr:uid="{00000000-0005-0000-0000-0000630D0000}"/>
    <cellStyle name="Millares 2 11 2 6" xfId="17797" xr:uid="{00000000-0005-0000-0000-0000640D0000}"/>
    <cellStyle name="Millares 2 11 2 6 2" xfId="44930" xr:uid="{00000000-0005-0000-0000-0000650D0000}"/>
    <cellStyle name="Millares 2 11 2 7" xfId="31368" xr:uid="{00000000-0005-0000-0000-0000660D0000}"/>
    <cellStyle name="Millares 2 11 3" xfId="4001" xr:uid="{00000000-0005-0000-0000-0000670D0000}"/>
    <cellStyle name="Millares 2 11 3 2" xfId="4002" xr:uid="{00000000-0005-0000-0000-0000680D0000}"/>
    <cellStyle name="Millares 2 11 3 2 2" xfId="7613" xr:uid="{00000000-0005-0000-0000-0000690D0000}"/>
    <cellStyle name="Millares 2 11 3 2 2 2" xfId="14403" xr:uid="{00000000-0005-0000-0000-00006A0D0000}"/>
    <cellStyle name="Millares 2 11 3 2 2 2 2" xfId="27971" xr:uid="{00000000-0005-0000-0000-00006B0D0000}"/>
    <cellStyle name="Millares 2 11 3 2 2 2 2 2" xfId="55104" xr:uid="{00000000-0005-0000-0000-00006C0D0000}"/>
    <cellStyle name="Millares 2 11 3 2 2 2 3" xfId="41542" xr:uid="{00000000-0005-0000-0000-00006D0D0000}"/>
    <cellStyle name="Millares 2 11 3 2 2 3" xfId="21190" xr:uid="{00000000-0005-0000-0000-00006E0D0000}"/>
    <cellStyle name="Millares 2 11 3 2 2 3 2" xfId="48323" xr:uid="{00000000-0005-0000-0000-00006F0D0000}"/>
    <cellStyle name="Millares 2 11 3 2 2 4" xfId="34761" xr:uid="{00000000-0005-0000-0000-0000700D0000}"/>
    <cellStyle name="Millares 2 11 3 2 3" xfId="11014" xr:uid="{00000000-0005-0000-0000-0000710D0000}"/>
    <cellStyle name="Millares 2 11 3 2 3 2" xfId="24582" xr:uid="{00000000-0005-0000-0000-0000720D0000}"/>
    <cellStyle name="Millares 2 11 3 2 3 2 2" xfId="51715" xr:uid="{00000000-0005-0000-0000-0000730D0000}"/>
    <cellStyle name="Millares 2 11 3 2 3 3" xfId="38153" xr:uid="{00000000-0005-0000-0000-0000740D0000}"/>
    <cellStyle name="Millares 2 11 3 2 4" xfId="17801" xr:uid="{00000000-0005-0000-0000-0000750D0000}"/>
    <cellStyle name="Millares 2 11 3 2 4 2" xfId="44934" xr:uid="{00000000-0005-0000-0000-0000760D0000}"/>
    <cellStyle name="Millares 2 11 3 2 5" xfId="31372" xr:uid="{00000000-0005-0000-0000-0000770D0000}"/>
    <cellStyle name="Millares 2 11 3 3" xfId="7612" xr:uid="{00000000-0005-0000-0000-0000780D0000}"/>
    <cellStyle name="Millares 2 11 3 3 2" xfId="14402" xr:uid="{00000000-0005-0000-0000-0000790D0000}"/>
    <cellStyle name="Millares 2 11 3 3 2 2" xfId="27970" xr:uid="{00000000-0005-0000-0000-00007A0D0000}"/>
    <cellStyle name="Millares 2 11 3 3 2 2 2" xfId="55103" xr:uid="{00000000-0005-0000-0000-00007B0D0000}"/>
    <cellStyle name="Millares 2 11 3 3 2 3" xfId="41541" xr:uid="{00000000-0005-0000-0000-00007C0D0000}"/>
    <cellStyle name="Millares 2 11 3 3 3" xfId="21189" xr:uid="{00000000-0005-0000-0000-00007D0D0000}"/>
    <cellStyle name="Millares 2 11 3 3 3 2" xfId="48322" xr:uid="{00000000-0005-0000-0000-00007E0D0000}"/>
    <cellStyle name="Millares 2 11 3 3 4" xfId="34760" xr:uid="{00000000-0005-0000-0000-00007F0D0000}"/>
    <cellStyle name="Millares 2 11 3 4" xfId="11013" xr:uid="{00000000-0005-0000-0000-0000800D0000}"/>
    <cellStyle name="Millares 2 11 3 4 2" xfId="24581" xr:uid="{00000000-0005-0000-0000-0000810D0000}"/>
    <cellStyle name="Millares 2 11 3 4 2 2" xfId="51714" xr:uid="{00000000-0005-0000-0000-0000820D0000}"/>
    <cellStyle name="Millares 2 11 3 4 3" xfId="38152" xr:uid="{00000000-0005-0000-0000-0000830D0000}"/>
    <cellStyle name="Millares 2 11 3 5" xfId="17800" xr:uid="{00000000-0005-0000-0000-0000840D0000}"/>
    <cellStyle name="Millares 2 11 3 5 2" xfId="44933" xr:uid="{00000000-0005-0000-0000-0000850D0000}"/>
    <cellStyle name="Millares 2 11 3 6" xfId="31371" xr:uid="{00000000-0005-0000-0000-0000860D0000}"/>
    <cellStyle name="Millares 2 11 4" xfId="4003" xr:uid="{00000000-0005-0000-0000-0000870D0000}"/>
    <cellStyle name="Millares 2 11 4 2" xfId="7614" xr:uid="{00000000-0005-0000-0000-0000880D0000}"/>
    <cellStyle name="Millares 2 11 4 2 2" xfId="14404" xr:uid="{00000000-0005-0000-0000-0000890D0000}"/>
    <cellStyle name="Millares 2 11 4 2 2 2" xfId="27972" xr:uid="{00000000-0005-0000-0000-00008A0D0000}"/>
    <cellStyle name="Millares 2 11 4 2 2 2 2" xfId="55105" xr:uid="{00000000-0005-0000-0000-00008B0D0000}"/>
    <cellStyle name="Millares 2 11 4 2 2 3" xfId="41543" xr:uid="{00000000-0005-0000-0000-00008C0D0000}"/>
    <cellStyle name="Millares 2 11 4 2 3" xfId="21191" xr:uid="{00000000-0005-0000-0000-00008D0D0000}"/>
    <cellStyle name="Millares 2 11 4 2 3 2" xfId="48324" xr:uid="{00000000-0005-0000-0000-00008E0D0000}"/>
    <cellStyle name="Millares 2 11 4 2 4" xfId="34762" xr:uid="{00000000-0005-0000-0000-00008F0D0000}"/>
    <cellStyle name="Millares 2 11 4 3" xfId="11015" xr:uid="{00000000-0005-0000-0000-0000900D0000}"/>
    <cellStyle name="Millares 2 11 4 3 2" xfId="24583" xr:uid="{00000000-0005-0000-0000-0000910D0000}"/>
    <cellStyle name="Millares 2 11 4 3 2 2" xfId="51716" xr:uid="{00000000-0005-0000-0000-0000920D0000}"/>
    <cellStyle name="Millares 2 11 4 3 3" xfId="38154" xr:uid="{00000000-0005-0000-0000-0000930D0000}"/>
    <cellStyle name="Millares 2 11 4 4" xfId="17802" xr:uid="{00000000-0005-0000-0000-0000940D0000}"/>
    <cellStyle name="Millares 2 11 4 4 2" xfId="44935" xr:uid="{00000000-0005-0000-0000-0000950D0000}"/>
    <cellStyle name="Millares 2 11 4 5" xfId="31373" xr:uid="{00000000-0005-0000-0000-0000960D0000}"/>
    <cellStyle name="Millares 2 11 5" xfId="4004" xr:uid="{00000000-0005-0000-0000-0000970D0000}"/>
    <cellStyle name="Millares 2 11 5 2" xfId="7615" xr:uid="{00000000-0005-0000-0000-0000980D0000}"/>
    <cellStyle name="Millares 2 11 5 2 2" xfId="14405" xr:uid="{00000000-0005-0000-0000-0000990D0000}"/>
    <cellStyle name="Millares 2 11 5 2 2 2" xfId="27973" xr:uid="{00000000-0005-0000-0000-00009A0D0000}"/>
    <cellStyle name="Millares 2 11 5 2 2 2 2" xfId="55106" xr:uid="{00000000-0005-0000-0000-00009B0D0000}"/>
    <cellStyle name="Millares 2 11 5 2 2 3" xfId="41544" xr:uid="{00000000-0005-0000-0000-00009C0D0000}"/>
    <cellStyle name="Millares 2 11 5 2 3" xfId="21192" xr:uid="{00000000-0005-0000-0000-00009D0D0000}"/>
    <cellStyle name="Millares 2 11 5 2 3 2" xfId="48325" xr:uid="{00000000-0005-0000-0000-00009E0D0000}"/>
    <cellStyle name="Millares 2 11 5 2 4" xfId="34763" xr:uid="{00000000-0005-0000-0000-00009F0D0000}"/>
    <cellStyle name="Millares 2 11 5 3" xfId="11016" xr:uid="{00000000-0005-0000-0000-0000A00D0000}"/>
    <cellStyle name="Millares 2 11 5 3 2" xfId="24584" xr:uid="{00000000-0005-0000-0000-0000A10D0000}"/>
    <cellStyle name="Millares 2 11 5 3 2 2" xfId="51717" xr:uid="{00000000-0005-0000-0000-0000A20D0000}"/>
    <cellStyle name="Millares 2 11 5 3 3" xfId="38155" xr:uid="{00000000-0005-0000-0000-0000A30D0000}"/>
    <cellStyle name="Millares 2 11 5 4" xfId="17803" xr:uid="{00000000-0005-0000-0000-0000A40D0000}"/>
    <cellStyle name="Millares 2 11 5 4 2" xfId="44936" xr:uid="{00000000-0005-0000-0000-0000A50D0000}"/>
    <cellStyle name="Millares 2 11 5 5" xfId="31374" xr:uid="{00000000-0005-0000-0000-0000A60D0000}"/>
    <cellStyle name="Millares 2 12" xfId="2367" xr:uid="{00000000-0005-0000-0000-0000A70D0000}"/>
    <cellStyle name="Millares 2 12 2" xfId="4005" xr:uid="{00000000-0005-0000-0000-0000A80D0000}"/>
    <cellStyle name="Millares 2 12 2 2" xfId="4006" xr:uid="{00000000-0005-0000-0000-0000A90D0000}"/>
    <cellStyle name="Millares 2 12 2 2 2" xfId="7617" xr:uid="{00000000-0005-0000-0000-0000AA0D0000}"/>
    <cellStyle name="Millares 2 12 2 2 2 2" xfId="14407" xr:uid="{00000000-0005-0000-0000-0000AB0D0000}"/>
    <cellStyle name="Millares 2 12 2 2 2 2 2" xfId="27975" xr:uid="{00000000-0005-0000-0000-0000AC0D0000}"/>
    <cellStyle name="Millares 2 12 2 2 2 2 2 2" xfId="55108" xr:uid="{00000000-0005-0000-0000-0000AD0D0000}"/>
    <cellStyle name="Millares 2 12 2 2 2 2 3" xfId="41546" xr:uid="{00000000-0005-0000-0000-0000AE0D0000}"/>
    <cellStyle name="Millares 2 12 2 2 2 3" xfId="21194" xr:uid="{00000000-0005-0000-0000-0000AF0D0000}"/>
    <cellStyle name="Millares 2 12 2 2 2 3 2" xfId="48327" xr:uid="{00000000-0005-0000-0000-0000B00D0000}"/>
    <cellStyle name="Millares 2 12 2 2 2 4" xfId="34765" xr:uid="{00000000-0005-0000-0000-0000B10D0000}"/>
    <cellStyle name="Millares 2 12 2 2 3" xfId="11018" xr:uid="{00000000-0005-0000-0000-0000B20D0000}"/>
    <cellStyle name="Millares 2 12 2 2 3 2" xfId="24586" xr:uid="{00000000-0005-0000-0000-0000B30D0000}"/>
    <cellStyle name="Millares 2 12 2 2 3 2 2" xfId="51719" xr:uid="{00000000-0005-0000-0000-0000B40D0000}"/>
    <cellStyle name="Millares 2 12 2 2 3 3" xfId="38157" xr:uid="{00000000-0005-0000-0000-0000B50D0000}"/>
    <cellStyle name="Millares 2 12 2 2 4" xfId="17805" xr:uid="{00000000-0005-0000-0000-0000B60D0000}"/>
    <cellStyle name="Millares 2 12 2 2 4 2" xfId="44938" xr:uid="{00000000-0005-0000-0000-0000B70D0000}"/>
    <cellStyle name="Millares 2 12 2 2 5" xfId="31376" xr:uid="{00000000-0005-0000-0000-0000B80D0000}"/>
    <cellStyle name="Millares 2 12 2 3" xfId="4007" xr:uid="{00000000-0005-0000-0000-0000B90D0000}"/>
    <cellStyle name="Millares 2 12 2 3 2" xfId="7618" xr:uid="{00000000-0005-0000-0000-0000BA0D0000}"/>
    <cellStyle name="Millares 2 12 2 3 2 2" xfId="14408" xr:uid="{00000000-0005-0000-0000-0000BB0D0000}"/>
    <cellStyle name="Millares 2 12 2 3 2 2 2" xfId="27976" xr:uid="{00000000-0005-0000-0000-0000BC0D0000}"/>
    <cellStyle name="Millares 2 12 2 3 2 2 2 2" xfId="55109" xr:uid="{00000000-0005-0000-0000-0000BD0D0000}"/>
    <cellStyle name="Millares 2 12 2 3 2 2 3" xfId="41547" xr:uid="{00000000-0005-0000-0000-0000BE0D0000}"/>
    <cellStyle name="Millares 2 12 2 3 2 3" xfId="21195" xr:uid="{00000000-0005-0000-0000-0000BF0D0000}"/>
    <cellStyle name="Millares 2 12 2 3 2 3 2" xfId="48328" xr:uid="{00000000-0005-0000-0000-0000C00D0000}"/>
    <cellStyle name="Millares 2 12 2 3 2 4" xfId="34766" xr:uid="{00000000-0005-0000-0000-0000C10D0000}"/>
    <cellStyle name="Millares 2 12 2 3 3" xfId="11019" xr:uid="{00000000-0005-0000-0000-0000C20D0000}"/>
    <cellStyle name="Millares 2 12 2 3 3 2" xfId="24587" xr:uid="{00000000-0005-0000-0000-0000C30D0000}"/>
    <cellStyle name="Millares 2 12 2 3 3 2 2" xfId="51720" xr:uid="{00000000-0005-0000-0000-0000C40D0000}"/>
    <cellStyle name="Millares 2 12 2 3 3 3" xfId="38158" xr:uid="{00000000-0005-0000-0000-0000C50D0000}"/>
    <cellStyle name="Millares 2 12 2 3 4" xfId="17806" xr:uid="{00000000-0005-0000-0000-0000C60D0000}"/>
    <cellStyle name="Millares 2 12 2 3 4 2" xfId="44939" xr:uid="{00000000-0005-0000-0000-0000C70D0000}"/>
    <cellStyle name="Millares 2 12 2 3 5" xfId="31377" xr:uid="{00000000-0005-0000-0000-0000C80D0000}"/>
    <cellStyle name="Millares 2 12 2 4" xfId="7616" xr:uid="{00000000-0005-0000-0000-0000C90D0000}"/>
    <cellStyle name="Millares 2 12 2 4 2" xfId="14406" xr:uid="{00000000-0005-0000-0000-0000CA0D0000}"/>
    <cellStyle name="Millares 2 12 2 4 2 2" xfId="27974" xr:uid="{00000000-0005-0000-0000-0000CB0D0000}"/>
    <cellStyle name="Millares 2 12 2 4 2 2 2" xfId="55107" xr:uid="{00000000-0005-0000-0000-0000CC0D0000}"/>
    <cellStyle name="Millares 2 12 2 4 2 3" xfId="41545" xr:uid="{00000000-0005-0000-0000-0000CD0D0000}"/>
    <cellStyle name="Millares 2 12 2 4 3" xfId="21193" xr:uid="{00000000-0005-0000-0000-0000CE0D0000}"/>
    <cellStyle name="Millares 2 12 2 4 3 2" xfId="48326" xr:uid="{00000000-0005-0000-0000-0000CF0D0000}"/>
    <cellStyle name="Millares 2 12 2 4 4" xfId="34764" xr:uid="{00000000-0005-0000-0000-0000D00D0000}"/>
    <cellStyle name="Millares 2 12 2 5" xfId="11017" xr:uid="{00000000-0005-0000-0000-0000D10D0000}"/>
    <cellStyle name="Millares 2 12 2 5 2" xfId="24585" xr:uid="{00000000-0005-0000-0000-0000D20D0000}"/>
    <cellStyle name="Millares 2 12 2 5 2 2" xfId="51718" xr:uid="{00000000-0005-0000-0000-0000D30D0000}"/>
    <cellStyle name="Millares 2 12 2 5 3" xfId="38156" xr:uid="{00000000-0005-0000-0000-0000D40D0000}"/>
    <cellStyle name="Millares 2 12 2 6" xfId="17804" xr:uid="{00000000-0005-0000-0000-0000D50D0000}"/>
    <cellStyle name="Millares 2 12 2 6 2" xfId="44937" xr:uid="{00000000-0005-0000-0000-0000D60D0000}"/>
    <cellStyle name="Millares 2 12 2 7" xfId="31375" xr:uid="{00000000-0005-0000-0000-0000D70D0000}"/>
    <cellStyle name="Millares 2 12 3" xfId="4008" xr:uid="{00000000-0005-0000-0000-0000D80D0000}"/>
    <cellStyle name="Millares 2 12 3 2" xfId="7619" xr:uid="{00000000-0005-0000-0000-0000D90D0000}"/>
    <cellStyle name="Millares 2 12 3 2 2" xfId="14409" xr:uid="{00000000-0005-0000-0000-0000DA0D0000}"/>
    <cellStyle name="Millares 2 12 3 2 2 2" xfId="27977" xr:uid="{00000000-0005-0000-0000-0000DB0D0000}"/>
    <cellStyle name="Millares 2 12 3 2 2 2 2" xfId="55110" xr:uid="{00000000-0005-0000-0000-0000DC0D0000}"/>
    <cellStyle name="Millares 2 12 3 2 2 3" xfId="41548" xr:uid="{00000000-0005-0000-0000-0000DD0D0000}"/>
    <cellStyle name="Millares 2 12 3 2 3" xfId="21196" xr:uid="{00000000-0005-0000-0000-0000DE0D0000}"/>
    <cellStyle name="Millares 2 12 3 2 3 2" xfId="48329" xr:uid="{00000000-0005-0000-0000-0000DF0D0000}"/>
    <cellStyle name="Millares 2 12 3 2 4" xfId="34767" xr:uid="{00000000-0005-0000-0000-0000E00D0000}"/>
    <cellStyle name="Millares 2 12 3 3" xfId="11020" xr:uid="{00000000-0005-0000-0000-0000E10D0000}"/>
    <cellStyle name="Millares 2 12 3 3 2" xfId="24588" xr:uid="{00000000-0005-0000-0000-0000E20D0000}"/>
    <cellStyle name="Millares 2 12 3 3 2 2" xfId="51721" xr:uid="{00000000-0005-0000-0000-0000E30D0000}"/>
    <cellStyle name="Millares 2 12 3 3 3" xfId="38159" xr:uid="{00000000-0005-0000-0000-0000E40D0000}"/>
    <cellStyle name="Millares 2 12 3 4" xfId="17807" xr:uid="{00000000-0005-0000-0000-0000E50D0000}"/>
    <cellStyle name="Millares 2 12 3 4 2" xfId="44940" xr:uid="{00000000-0005-0000-0000-0000E60D0000}"/>
    <cellStyle name="Millares 2 12 3 5" xfId="31378" xr:uid="{00000000-0005-0000-0000-0000E70D0000}"/>
    <cellStyle name="Millares 2 12 4" xfId="4009" xr:uid="{00000000-0005-0000-0000-0000E80D0000}"/>
    <cellStyle name="Millares 2 12 4 2" xfId="7620" xr:uid="{00000000-0005-0000-0000-0000E90D0000}"/>
    <cellStyle name="Millares 2 12 4 2 2" xfId="14410" xr:uid="{00000000-0005-0000-0000-0000EA0D0000}"/>
    <cellStyle name="Millares 2 12 4 2 2 2" xfId="27978" xr:uid="{00000000-0005-0000-0000-0000EB0D0000}"/>
    <cellStyle name="Millares 2 12 4 2 2 2 2" xfId="55111" xr:uid="{00000000-0005-0000-0000-0000EC0D0000}"/>
    <cellStyle name="Millares 2 12 4 2 2 3" xfId="41549" xr:uid="{00000000-0005-0000-0000-0000ED0D0000}"/>
    <cellStyle name="Millares 2 12 4 2 3" xfId="21197" xr:uid="{00000000-0005-0000-0000-0000EE0D0000}"/>
    <cellStyle name="Millares 2 12 4 2 3 2" xfId="48330" xr:uid="{00000000-0005-0000-0000-0000EF0D0000}"/>
    <cellStyle name="Millares 2 12 4 2 4" xfId="34768" xr:uid="{00000000-0005-0000-0000-0000F00D0000}"/>
    <cellStyle name="Millares 2 12 4 3" xfId="11021" xr:uid="{00000000-0005-0000-0000-0000F10D0000}"/>
    <cellStyle name="Millares 2 12 4 3 2" xfId="24589" xr:uid="{00000000-0005-0000-0000-0000F20D0000}"/>
    <cellStyle name="Millares 2 12 4 3 2 2" xfId="51722" xr:uid="{00000000-0005-0000-0000-0000F30D0000}"/>
    <cellStyle name="Millares 2 12 4 3 3" xfId="38160" xr:uid="{00000000-0005-0000-0000-0000F40D0000}"/>
    <cellStyle name="Millares 2 12 4 4" xfId="17808" xr:uid="{00000000-0005-0000-0000-0000F50D0000}"/>
    <cellStyle name="Millares 2 12 4 4 2" xfId="44941" xr:uid="{00000000-0005-0000-0000-0000F60D0000}"/>
    <cellStyle name="Millares 2 12 4 5" xfId="31379" xr:uid="{00000000-0005-0000-0000-0000F70D0000}"/>
    <cellStyle name="Millares 2 13" xfId="2368" xr:uid="{00000000-0005-0000-0000-0000F80D0000}"/>
    <cellStyle name="Millares 2 13 2" xfId="4010" xr:uid="{00000000-0005-0000-0000-0000F90D0000}"/>
    <cellStyle name="Millares 2 13 2 2" xfId="4011" xr:uid="{00000000-0005-0000-0000-0000FA0D0000}"/>
    <cellStyle name="Millares 2 13 2 2 2" xfId="7622" xr:uid="{00000000-0005-0000-0000-0000FB0D0000}"/>
    <cellStyle name="Millares 2 13 2 2 2 2" xfId="14412" xr:uid="{00000000-0005-0000-0000-0000FC0D0000}"/>
    <cellStyle name="Millares 2 13 2 2 2 2 2" xfId="27980" xr:uid="{00000000-0005-0000-0000-0000FD0D0000}"/>
    <cellStyle name="Millares 2 13 2 2 2 2 2 2" xfId="55113" xr:uid="{00000000-0005-0000-0000-0000FE0D0000}"/>
    <cellStyle name="Millares 2 13 2 2 2 2 3" xfId="41551" xr:uid="{00000000-0005-0000-0000-0000FF0D0000}"/>
    <cellStyle name="Millares 2 13 2 2 2 3" xfId="21199" xr:uid="{00000000-0005-0000-0000-0000000E0000}"/>
    <cellStyle name="Millares 2 13 2 2 2 3 2" xfId="48332" xr:uid="{00000000-0005-0000-0000-0000010E0000}"/>
    <cellStyle name="Millares 2 13 2 2 2 4" xfId="34770" xr:uid="{00000000-0005-0000-0000-0000020E0000}"/>
    <cellStyle name="Millares 2 13 2 2 3" xfId="11023" xr:uid="{00000000-0005-0000-0000-0000030E0000}"/>
    <cellStyle name="Millares 2 13 2 2 3 2" xfId="24591" xr:uid="{00000000-0005-0000-0000-0000040E0000}"/>
    <cellStyle name="Millares 2 13 2 2 3 2 2" xfId="51724" xr:uid="{00000000-0005-0000-0000-0000050E0000}"/>
    <cellStyle name="Millares 2 13 2 2 3 3" xfId="38162" xr:uid="{00000000-0005-0000-0000-0000060E0000}"/>
    <cellStyle name="Millares 2 13 2 2 4" xfId="17810" xr:uid="{00000000-0005-0000-0000-0000070E0000}"/>
    <cellStyle name="Millares 2 13 2 2 4 2" xfId="44943" xr:uid="{00000000-0005-0000-0000-0000080E0000}"/>
    <cellStyle name="Millares 2 13 2 2 5" xfId="31381" xr:uid="{00000000-0005-0000-0000-0000090E0000}"/>
    <cellStyle name="Millares 2 13 2 3" xfId="4012" xr:uid="{00000000-0005-0000-0000-00000A0E0000}"/>
    <cellStyle name="Millares 2 13 2 3 2" xfId="7623" xr:uid="{00000000-0005-0000-0000-00000B0E0000}"/>
    <cellStyle name="Millares 2 13 2 3 2 2" xfId="14413" xr:uid="{00000000-0005-0000-0000-00000C0E0000}"/>
    <cellStyle name="Millares 2 13 2 3 2 2 2" xfId="27981" xr:uid="{00000000-0005-0000-0000-00000D0E0000}"/>
    <cellStyle name="Millares 2 13 2 3 2 2 2 2" xfId="55114" xr:uid="{00000000-0005-0000-0000-00000E0E0000}"/>
    <cellStyle name="Millares 2 13 2 3 2 2 3" xfId="41552" xr:uid="{00000000-0005-0000-0000-00000F0E0000}"/>
    <cellStyle name="Millares 2 13 2 3 2 3" xfId="21200" xr:uid="{00000000-0005-0000-0000-0000100E0000}"/>
    <cellStyle name="Millares 2 13 2 3 2 3 2" xfId="48333" xr:uid="{00000000-0005-0000-0000-0000110E0000}"/>
    <cellStyle name="Millares 2 13 2 3 2 4" xfId="34771" xr:uid="{00000000-0005-0000-0000-0000120E0000}"/>
    <cellStyle name="Millares 2 13 2 3 3" xfId="11024" xr:uid="{00000000-0005-0000-0000-0000130E0000}"/>
    <cellStyle name="Millares 2 13 2 3 3 2" xfId="24592" xr:uid="{00000000-0005-0000-0000-0000140E0000}"/>
    <cellStyle name="Millares 2 13 2 3 3 2 2" xfId="51725" xr:uid="{00000000-0005-0000-0000-0000150E0000}"/>
    <cellStyle name="Millares 2 13 2 3 3 3" xfId="38163" xr:uid="{00000000-0005-0000-0000-0000160E0000}"/>
    <cellStyle name="Millares 2 13 2 3 4" xfId="17811" xr:uid="{00000000-0005-0000-0000-0000170E0000}"/>
    <cellStyle name="Millares 2 13 2 3 4 2" xfId="44944" xr:uid="{00000000-0005-0000-0000-0000180E0000}"/>
    <cellStyle name="Millares 2 13 2 3 5" xfId="31382" xr:uid="{00000000-0005-0000-0000-0000190E0000}"/>
    <cellStyle name="Millares 2 13 2 4" xfId="7621" xr:uid="{00000000-0005-0000-0000-00001A0E0000}"/>
    <cellStyle name="Millares 2 13 2 4 2" xfId="14411" xr:uid="{00000000-0005-0000-0000-00001B0E0000}"/>
    <cellStyle name="Millares 2 13 2 4 2 2" xfId="27979" xr:uid="{00000000-0005-0000-0000-00001C0E0000}"/>
    <cellStyle name="Millares 2 13 2 4 2 2 2" xfId="55112" xr:uid="{00000000-0005-0000-0000-00001D0E0000}"/>
    <cellStyle name="Millares 2 13 2 4 2 3" xfId="41550" xr:uid="{00000000-0005-0000-0000-00001E0E0000}"/>
    <cellStyle name="Millares 2 13 2 4 3" xfId="21198" xr:uid="{00000000-0005-0000-0000-00001F0E0000}"/>
    <cellStyle name="Millares 2 13 2 4 3 2" xfId="48331" xr:uid="{00000000-0005-0000-0000-0000200E0000}"/>
    <cellStyle name="Millares 2 13 2 4 4" xfId="34769" xr:uid="{00000000-0005-0000-0000-0000210E0000}"/>
    <cellStyle name="Millares 2 13 2 5" xfId="11022" xr:uid="{00000000-0005-0000-0000-0000220E0000}"/>
    <cellStyle name="Millares 2 13 2 5 2" xfId="24590" xr:uid="{00000000-0005-0000-0000-0000230E0000}"/>
    <cellStyle name="Millares 2 13 2 5 2 2" xfId="51723" xr:uid="{00000000-0005-0000-0000-0000240E0000}"/>
    <cellStyle name="Millares 2 13 2 5 3" xfId="38161" xr:uid="{00000000-0005-0000-0000-0000250E0000}"/>
    <cellStyle name="Millares 2 13 2 6" xfId="17809" xr:uid="{00000000-0005-0000-0000-0000260E0000}"/>
    <cellStyle name="Millares 2 13 2 6 2" xfId="44942" xr:uid="{00000000-0005-0000-0000-0000270E0000}"/>
    <cellStyle name="Millares 2 13 2 7" xfId="31380" xr:uid="{00000000-0005-0000-0000-0000280E0000}"/>
    <cellStyle name="Millares 2 13 3" xfId="4013" xr:uid="{00000000-0005-0000-0000-0000290E0000}"/>
    <cellStyle name="Millares 2 13 3 2" xfId="7624" xr:uid="{00000000-0005-0000-0000-00002A0E0000}"/>
    <cellStyle name="Millares 2 13 3 2 2" xfId="14414" xr:uid="{00000000-0005-0000-0000-00002B0E0000}"/>
    <cellStyle name="Millares 2 13 3 2 2 2" xfId="27982" xr:uid="{00000000-0005-0000-0000-00002C0E0000}"/>
    <cellStyle name="Millares 2 13 3 2 2 2 2" xfId="55115" xr:uid="{00000000-0005-0000-0000-00002D0E0000}"/>
    <cellStyle name="Millares 2 13 3 2 2 3" xfId="41553" xr:uid="{00000000-0005-0000-0000-00002E0E0000}"/>
    <cellStyle name="Millares 2 13 3 2 3" xfId="21201" xr:uid="{00000000-0005-0000-0000-00002F0E0000}"/>
    <cellStyle name="Millares 2 13 3 2 3 2" xfId="48334" xr:uid="{00000000-0005-0000-0000-0000300E0000}"/>
    <cellStyle name="Millares 2 13 3 2 4" xfId="34772" xr:uid="{00000000-0005-0000-0000-0000310E0000}"/>
    <cellStyle name="Millares 2 13 3 3" xfId="11025" xr:uid="{00000000-0005-0000-0000-0000320E0000}"/>
    <cellStyle name="Millares 2 13 3 3 2" xfId="24593" xr:uid="{00000000-0005-0000-0000-0000330E0000}"/>
    <cellStyle name="Millares 2 13 3 3 2 2" xfId="51726" xr:uid="{00000000-0005-0000-0000-0000340E0000}"/>
    <cellStyle name="Millares 2 13 3 3 3" xfId="38164" xr:uid="{00000000-0005-0000-0000-0000350E0000}"/>
    <cellStyle name="Millares 2 13 3 4" xfId="17812" xr:uid="{00000000-0005-0000-0000-0000360E0000}"/>
    <cellStyle name="Millares 2 13 3 4 2" xfId="44945" xr:uid="{00000000-0005-0000-0000-0000370E0000}"/>
    <cellStyle name="Millares 2 13 3 5" xfId="31383" xr:uid="{00000000-0005-0000-0000-0000380E0000}"/>
    <cellStyle name="Millares 2 13 4" xfId="4014" xr:uid="{00000000-0005-0000-0000-0000390E0000}"/>
    <cellStyle name="Millares 2 13 4 2" xfId="7625" xr:uid="{00000000-0005-0000-0000-00003A0E0000}"/>
    <cellStyle name="Millares 2 13 4 2 2" xfId="14415" xr:uid="{00000000-0005-0000-0000-00003B0E0000}"/>
    <cellStyle name="Millares 2 13 4 2 2 2" xfId="27983" xr:uid="{00000000-0005-0000-0000-00003C0E0000}"/>
    <cellStyle name="Millares 2 13 4 2 2 2 2" xfId="55116" xr:uid="{00000000-0005-0000-0000-00003D0E0000}"/>
    <cellStyle name="Millares 2 13 4 2 2 3" xfId="41554" xr:uid="{00000000-0005-0000-0000-00003E0E0000}"/>
    <cellStyle name="Millares 2 13 4 2 3" xfId="21202" xr:uid="{00000000-0005-0000-0000-00003F0E0000}"/>
    <cellStyle name="Millares 2 13 4 2 3 2" xfId="48335" xr:uid="{00000000-0005-0000-0000-0000400E0000}"/>
    <cellStyle name="Millares 2 13 4 2 4" xfId="34773" xr:uid="{00000000-0005-0000-0000-0000410E0000}"/>
    <cellStyle name="Millares 2 13 4 3" xfId="11026" xr:uid="{00000000-0005-0000-0000-0000420E0000}"/>
    <cellStyle name="Millares 2 13 4 3 2" xfId="24594" xr:uid="{00000000-0005-0000-0000-0000430E0000}"/>
    <cellStyle name="Millares 2 13 4 3 2 2" xfId="51727" xr:uid="{00000000-0005-0000-0000-0000440E0000}"/>
    <cellStyle name="Millares 2 13 4 3 3" xfId="38165" xr:uid="{00000000-0005-0000-0000-0000450E0000}"/>
    <cellStyle name="Millares 2 13 4 4" xfId="17813" xr:uid="{00000000-0005-0000-0000-0000460E0000}"/>
    <cellStyle name="Millares 2 13 4 4 2" xfId="44946" xr:uid="{00000000-0005-0000-0000-0000470E0000}"/>
    <cellStyle name="Millares 2 13 4 5" xfId="31384" xr:uid="{00000000-0005-0000-0000-0000480E0000}"/>
    <cellStyle name="Millares 2 14" xfId="2369" xr:uid="{00000000-0005-0000-0000-0000490E0000}"/>
    <cellStyle name="Millares 2 14 2" xfId="4015" xr:uid="{00000000-0005-0000-0000-00004A0E0000}"/>
    <cellStyle name="Millares 2 14 2 2" xfId="7626" xr:uid="{00000000-0005-0000-0000-00004B0E0000}"/>
    <cellStyle name="Millares 2 14 2 2 2" xfId="14416" xr:uid="{00000000-0005-0000-0000-00004C0E0000}"/>
    <cellStyle name="Millares 2 14 2 2 2 2" xfId="27984" xr:uid="{00000000-0005-0000-0000-00004D0E0000}"/>
    <cellStyle name="Millares 2 14 2 2 2 2 2" xfId="55117" xr:uid="{00000000-0005-0000-0000-00004E0E0000}"/>
    <cellStyle name="Millares 2 14 2 2 2 3" xfId="41555" xr:uid="{00000000-0005-0000-0000-00004F0E0000}"/>
    <cellStyle name="Millares 2 14 2 2 3" xfId="21203" xr:uid="{00000000-0005-0000-0000-0000500E0000}"/>
    <cellStyle name="Millares 2 14 2 2 3 2" xfId="48336" xr:uid="{00000000-0005-0000-0000-0000510E0000}"/>
    <cellStyle name="Millares 2 14 2 2 4" xfId="34774" xr:uid="{00000000-0005-0000-0000-0000520E0000}"/>
    <cellStyle name="Millares 2 14 2 3" xfId="11027" xr:uid="{00000000-0005-0000-0000-0000530E0000}"/>
    <cellStyle name="Millares 2 14 2 3 2" xfId="24595" xr:uid="{00000000-0005-0000-0000-0000540E0000}"/>
    <cellStyle name="Millares 2 14 2 3 2 2" xfId="51728" xr:uid="{00000000-0005-0000-0000-0000550E0000}"/>
    <cellStyle name="Millares 2 14 2 3 3" xfId="38166" xr:uid="{00000000-0005-0000-0000-0000560E0000}"/>
    <cellStyle name="Millares 2 14 2 4" xfId="17814" xr:uid="{00000000-0005-0000-0000-0000570E0000}"/>
    <cellStyle name="Millares 2 14 2 4 2" xfId="44947" xr:uid="{00000000-0005-0000-0000-0000580E0000}"/>
    <cellStyle name="Millares 2 14 2 5" xfId="31385" xr:uid="{00000000-0005-0000-0000-0000590E0000}"/>
    <cellStyle name="Millares 2 15" xfId="2370" xr:uid="{00000000-0005-0000-0000-00005A0E0000}"/>
    <cellStyle name="Millares 2 16" xfId="2371" xr:uid="{00000000-0005-0000-0000-00005B0E0000}"/>
    <cellStyle name="Millares 2 17" xfId="2372" xr:uid="{00000000-0005-0000-0000-00005C0E0000}"/>
    <cellStyle name="Millares 2 18" xfId="2373" xr:uid="{00000000-0005-0000-0000-00005D0E0000}"/>
    <cellStyle name="Millares 2 19" xfId="2374" xr:uid="{00000000-0005-0000-0000-00005E0E0000}"/>
    <cellStyle name="Millares 2 2" xfId="29" xr:uid="{00000000-0005-0000-0000-00005F0E0000}"/>
    <cellStyle name="Millares 2 2 10" xfId="64" xr:uid="{00000000-0005-0000-0000-0000600E0000}"/>
    <cellStyle name="Millares 2 2 2" xfId="194" xr:uid="{00000000-0005-0000-0000-0000610E0000}"/>
    <cellStyle name="Millares 2 2 3" xfId="189" xr:uid="{00000000-0005-0000-0000-0000620E0000}"/>
    <cellStyle name="Millares 2 2 4" xfId="2375" xr:uid="{00000000-0005-0000-0000-0000630E0000}"/>
    <cellStyle name="Millares 2 2 5" xfId="2376" xr:uid="{00000000-0005-0000-0000-0000640E0000}"/>
    <cellStyle name="Millares 2 2 6" xfId="2377" xr:uid="{00000000-0005-0000-0000-0000650E0000}"/>
    <cellStyle name="Millares 2 2 7" xfId="2378" xr:uid="{00000000-0005-0000-0000-0000660E0000}"/>
    <cellStyle name="Millares 2 2 8" xfId="2379" xr:uid="{00000000-0005-0000-0000-0000670E0000}"/>
    <cellStyle name="Millares 2 2 9" xfId="2380" xr:uid="{00000000-0005-0000-0000-0000680E0000}"/>
    <cellStyle name="Millares 2 20" xfId="2381" xr:uid="{00000000-0005-0000-0000-0000690E0000}"/>
    <cellStyle name="Millares 2 21" xfId="2382" xr:uid="{00000000-0005-0000-0000-00006A0E0000}"/>
    <cellStyle name="Millares 2 22" xfId="2383" xr:uid="{00000000-0005-0000-0000-00006B0E0000}"/>
    <cellStyle name="Millares 2 23" xfId="2384" xr:uid="{00000000-0005-0000-0000-00006C0E0000}"/>
    <cellStyle name="Millares 2 24" xfId="2385" xr:uid="{00000000-0005-0000-0000-00006D0E0000}"/>
    <cellStyle name="Millares 2 25" xfId="2386" xr:uid="{00000000-0005-0000-0000-00006E0E0000}"/>
    <cellStyle name="Millares 2 26" xfId="2387" xr:uid="{00000000-0005-0000-0000-00006F0E0000}"/>
    <cellStyle name="Millares 2 27" xfId="2388" xr:uid="{00000000-0005-0000-0000-0000700E0000}"/>
    <cellStyle name="Millares 2 28" xfId="2389" xr:uid="{00000000-0005-0000-0000-0000710E0000}"/>
    <cellStyle name="Millares 2 29" xfId="2390" xr:uid="{00000000-0005-0000-0000-0000720E0000}"/>
    <cellStyle name="Millares 2 3" xfId="193" xr:uid="{00000000-0005-0000-0000-0000730E0000}"/>
    <cellStyle name="Millares 2 3 2" xfId="4016" xr:uid="{00000000-0005-0000-0000-0000740E0000}"/>
    <cellStyle name="Millares 2 3 2 10" xfId="4017" xr:uid="{00000000-0005-0000-0000-0000750E0000}"/>
    <cellStyle name="Millares 2 3 2 10 2" xfId="7628" xr:uid="{00000000-0005-0000-0000-0000760E0000}"/>
    <cellStyle name="Millares 2 3 2 10 2 2" xfId="14418" xr:uid="{00000000-0005-0000-0000-0000770E0000}"/>
    <cellStyle name="Millares 2 3 2 10 2 2 2" xfId="27986" xr:uid="{00000000-0005-0000-0000-0000780E0000}"/>
    <cellStyle name="Millares 2 3 2 10 2 2 2 2" xfId="55119" xr:uid="{00000000-0005-0000-0000-0000790E0000}"/>
    <cellStyle name="Millares 2 3 2 10 2 2 3" xfId="41557" xr:uid="{00000000-0005-0000-0000-00007A0E0000}"/>
    <cellStyle name="Millares 2 3 2 10 2 3" xfId="21205" xr:uid="{00000000-0005-0000-0000-00007B0E0000}"/>
    <cellStyle name="Millares 2 3 2 10 2 3 2" xfId="48338" xr:uid="{00000000-0005-0000-0000-00007C0E0000}"/>
    <cellStyle name="Millares 2 3 2 10 2 4" xfId="34776" xr:uid="{00000000-0005-0000-0000-00007D0E0000}"/>
    <cellStyle name="Millares 2 3 2 10 3" xfId="11029" xr:uid="{00000000-0005-0000-0000-00007E0E0000}"/>
    <cellStyle name="Millares 2 3 2 10 3 2" xfId="24597" xr:uid="{00000000-0005-0000-0000-00007F0E0000}"/>
    <cellStyle name="Millares 2 3 2 10 3 2 2" xfId="51730" xr:uid="{00000000-0005-0000-0000-0000800E0000}"/>
    <cellStyle name="Millares 2 3 2 10 3 3" xfId="38168" xr:uid="{00000000-0005-0000-0000-0000810E0000}"/>
    <cellStyle name="Millares 2 3 2 10 4" xfId="17816" xr:uid="{00000000-0005-0000-0000-0000820E0000}"/>
    <cellStyle name="Millares 2 3 2 10 4 2" xfId="44949" xr:uid="{00000000-0005-0000-0000-0000830E0000}"/>
    <cellStyle name="Millares 2 3 2 10 5" xfId="31387" xr:uid="{00000000-0005-0000-0000-0000840E0000}"/>
    <cellStyle name="Millares 2 3 2 11" xfId="7627" xr:uid="{00000000-0005-0000-0000-0000850E0000}"/>
    <cellStyle name="Millares 2 3 2 11 2" xfId="14417" xr:uid="{00000000-0005-0000-0000-0000860E0000}"/>
    <cellStyle name="Millares 2 3 2 11 2 2" xfId="27985" xr:uid="{00000000-0005-0000-0000-0000870E0000}"/>
    <cellStyle name="Millares 2 3 2 11 2 2 2" xfId="55118" xr:uid="{00000000-0005-0000-0000-0000880E0000}"/>
    <cellStyle name="Millares 2 3 2 11 2 3" xfId="41556" xr:uid="{00000000-0005-0000-0000-0000890E0000}"/>
    <cellStyle name="Millares 2 3 2 11 3" xfId="21204" xr:uid="{00000000-0005-0000-0000-00008A0E0000}"/>
    <cellStyle name="Millares 2 3 2 11 3 2" xfId="48337" xr:uid="{00000000-0005-0000-0000-00008B0E0000}"/>
    <cellStyle name="Millares 2 3 2 11 4" xfId="34775" xr:uid="{00000000-0005-0000-0000-00008C0E0000}"/>
    <cellStyle name="Millares 2 3 2 12" xfId="11028" xr:uid="{00000000-0005-0000-0000-00008D0E0000}"/>
    <cellStyle name="Millares 2 3 2 12 2" xfId="24596" xr:uid="{00000000-0005-0000-0000-00008E0E0000}"/>
    <cellStyle name="Millares 2 3 2 12 2 2" xfId="51729" xr:uid="{00000000-0005-0000-0000-00008F0E0000}"/>
    <cellStyle name="Millares 2 3 2 12 3" xfId="38167" xr:uid="{00000000-0005-0000-0000-0000900E0000}"/>
    <cellStyle name="Millares 2 3 2 13" xfId="17815" xr:uid="{00000000-0005-0000-0000-0000910E0000}"/>
    <cellStyle name="Millares 2 3 2 13 2" xfId="44948" xr:uid="{00000000-0005-0000-0000-0000920E0000}"/>
    <cellStyle name="Millares 2 3 2 14" xfId="31386" xr:uid="{00000000-0005-0000-0000-0000930E0000}"/>
    <cellStyle name="Millares 2 3 2 2" xfId="4018" xr:uid="{00000000-0005-0000-0000-0000940E0000}"/>
    <cellStyle name="Millares 2 3 2 2 10" xfId="11030" xr:uid="{00000000-0005-0000-0000-0000950E0000}"/>
    <cellStyle name="Millares 2 3 2 2 10 2" xfId="24598" xr:uid="{00000000-0005-0000-0000-0000960E0000}"/>
    <cellStyle name="Millares 2 3 2 2 10 2 2" xfId="51731" xr:uid="{00000000-0005-0000-0000-0000970E0000}"/>
    <cellStyle name="Millares 2 3 2 2 10 3" xfId="38169" xr:uid="{00000000-0005-0000-0000-0000980E0000}"/>
    <cellStyle name="Millares 2 3 2 2 11" xfId="17817" xr:uid="{00000000-0005-0000-0000-0000990E0000}"/>
    <cellStyle name="Millares 2 3 2 2 11 2" xfId="44950" xr:uid="{00000000-0005-0000-0000-00009A0E0000}"/>
    <cellStyle name="Millares 2 3 2 2 12" xfId="31388" xr:uid="{00000000-0005-0000-0000-00009B0E0000}"/>
    <cellStyle name="Millares 2 3 2 2 2" xfId="4019" xr:uid="{00000000-0005-0000-0000-00009C0E0000}"/>
    <cellStyle name="Millares 2 3 2 2 2 10" xfId="31389" xr:uid="{00000000-0005-0000-0000-00009D0E0000}"/>
    <cellStyle name="Millares 2 3 2 2 2 2" xfId="4020" xr:uid="{00000000-0005-0000-0000-00009E0E0000}"/>
    <cellStyle name="Millares 2 3 2 2 2 2 2" xfId="4021" xr:uid="{00000000-0005-0000-0000-00009F0E0000}"/>
    <cellStyle name="Millares 2 3 2 2 2 2 2 2" xfId="4022" xr:uid="{00000000-0005-0000-0000-0000A00E0000}"/>
    <cellStyle name="Millares 2 3 2 2 2 2 2 2 2" xfId="7633" xr:uid="{00000000-0005-0000-0000-0000A10E0000}"/>
    <cellStyle name="Millares 2 3 2 2 2 2 2 2 2 2" xfId="14423" xr:uid="{00000000-0005-0000-0000-0000A20E0000}"/>
    <cellStyle name="Millares 2 3 2 2 2 2 2 2 2 2 2" xfId="27991" xr:uid="{00000000-0005-0000-0000-0000A30E0000}"/>
    <cellStyle name="Millares 2 3 2 2 2 2 2 2 2 2 2 2" xfId="55124" xr:uid="{00000000-0005-0000-0000-0000A40E0000}"/>
    <cellStyle name="Millares 2 3 2 2 2 2 2 2 2 2 3" xfId="41562" xr:uid="{00000000-0005-0000-0000-0000A50E0000}"/>
    <cellStyle name="Millares 2 3 2 2 2 2 2 2 2 3" xfId="21210" xr:uid="{00000000-0005-0000-0000-0000A60E0000}"/>
    <cellStyle name="Millares 2 3 2 2 2 2 2 2 2 3 2" xfId="48343" xr:uid="{00000000-0005-0000-0000-0000A70E0000}"/>
    <cellStyle name="Millares 2 3 2 2 2 2 2 2 2 4" xfId="34781" xr:uid="{00000000-0005-0000-0000-0000A80E0000}"/>
    <cellStyle name="Millares 2 3 2 2 2 2 2 2 3" xfId="11034" xr:uid="{00000000-0005-0000-0000-0000A90E0000}"/>
    <cellStyle name="Millares 2 3 2 2 2 2 2 2 3 2" xfId="24602" xr:uid="{00000000-0005-0000-0000-0000AA0E0000}"/>
    <cellStyle name="Millares 2 3 2 2 2 2 2 2 3 2 2" xfId="51735" xr:uid="{00000000-0005-0000-0000-0000AB0E0000}"/>
    <cellStyle name="Millares 2 3 2 2 2 2 2 2 3 3" xfId="38173" xr:uid="{00000000-0005-0000-0000-0000AC0E0000}"/>
    <cellStyle name="Millares 2 3 2 2 2 2 2 2 4" xfId="17821" xr:uid="{00000000-0005-0000-0000-0000AD0E0000}"/>
    <cellStyle name="Millares 2 3 2 2 2 2 2 2 4 2" xfId="44954" xr:uid="{00000000-0005-0000-0000-0000AE0E0000}"/>
    <cellStyle name="Millares 2 3 2 2 2 2 2 2 5" xfId="31392" xr:uid="{00000000-0005-0000-0000-0000AF0E0000}"/>
    <cellStyle name="Millares 2 3 2 2 2 2 2 3" xfId="4023" xr:uid="{00000000-0005-0000-0000-0000B00E0000}"/>
    <cellStyle name="Millares 2 3 2 2 2 2 2 3 2" xfId="7634" xr:uid="{00000000-0005-0000-0000-0000B10E0000}"/>
    <cellStyle name="Millares 2 3 2 2 2 2 2 3 2 2" xfId="14424" xr:uid="{00000000-0005-0000-0000-0000B20E0000}"/>
    <cellStyle name="Millares 2 3 2 2 2 2 2 3 2 2 2" xfId="27992" xr:uid="{00000000-0005-0000-0000-0000B30E0000}"/>
    <cellStyle name="Millares 2 3 2 2 2 2 2 3 2 2 2 2" xfId="55125" xr:uid="{00000000-0005-0000-0000-0000B40E0000}"/>
    <cellStyle name="Millares 2 3 2 2 2 2 2 3 2 2 3" xfId="41563" xr:uid="{00000000-0005-0000-0000-0000B50E0000}"/>
    <cellStyle name="Millares 2 3 2 2 2 2 2 3 2 3" xfId="21211" xr:uid="{00000000-0005-0000-0000-0000B60E0000}"/>
    <cellStyle name="Millares 2 3 2 2 2 2 2 3 2 3 2" xfId="48344" xr:uid="{00000000-0005-0000-0000-0000B70E0000}"/>
    <cellStyle name="Millares 2 3 2 2 2 2 2 3 2 4" xfId="34782" xr:uid="{00000000-0005-0000-0000-0000B80E0000}"/>
    <cellStyle name="Millares 2 3 2 2 2 2 2 3 3" xfId="11035" xr:uid="{00000000-0005-0000-0000-0000B90E0000}"/>
    <cellStyle name="Millares 2 3 2 2 2 2 2 3 3 2" xfId="24603" xr:uid="{00000000-0005-0000-0000-0000BA0E0000}"/>
    <cellStyle name="Millares 2 3 2 2 2 2 2 3 3 2 2" xfId="51736" xr:uid="{00000000-0005-0000-0000-0000BB0E0000}"/>
    <cellStyle name="Millares 2 3 2 2 2 2 2 3 3 3" xfId="38174" xr:uid="{00000000-0005-0000-0000-0000BC0E0000}"/>
    <cellStyle name="Millares 2 3 2 2 2 2 2 3 4" xfId="17822" xr:uid="{00000000-0005-0000-0000-0000BD0E0000}"/>
    <cellStyle name="Millares 2 3 2 2 2 2 2 3 4 2" xfId="44955" xr:uid="{00000000-0005-0000-0000-0000BE0E0000}"/>
    <cellStyle name="Millares 2 3 2 2 2 2 2 3 5" xfId="31393" xr:uid="{00000000-0005-0000-0000-0000BF0E0000}"/>
    <cellStyle name="Millares 2 3 2 2 2 2 2 4" xfId="7632" xr:uid="{00000000-0005-0000-0000-0000C00E0000}"/>
    <cellStyle name="Millares 2 3 2 2 2 2 2 4 2" xfId="14422" xr:uid="{00000000-0005-0000-0000-0000C10E0000}"/>
    <cellStyle name="Millares 2 3 2 2 2 2 2 4 2 2" xfId="27990" xr:uid="{00000000-0005-0000-0000-0000C20E0000}"/>
    <cellStyle name="Millares 2 3 2 2 2 2 2 4 2 2 2" xfId="55123" xr:uid="{00000000-0005-0000-0000-0000C30E0000}"/>
    <cellStyle name="Millares 2 3 2 2 2 2 2 4 2 3" xfId="41561" xr:uid="{00000000-0005-0000-0000-0000C40E0000}"/>
    <cellStyle name="Millares 2 3 2 2 2 2 2 4 3" xfId="21209" xr:uid="{00000000-0005-0000-0000-0000C50E0000}"/>
    <cellStyle name="Millares 2 3 2 2 2 2 2 4 3 2" xfId="48342" xr:uid="{00000000-0005-0000-0000-0000C60E0000}"/>
    <cellStyle name="Millares 2 3 2 2 2 2 2 4 4" xfId="34780" xr:uid="{00000000-0005-0000-0000-0000C70E0000}"/>
    <cellStyle name="Millares 2 3 2 2 2 2 2 5" xfId="11033" xr:uid="{00000000-0005-0000-0000-0000C80E0000}"/>
    <cellStyle name="Millares 2 3 2 2 2 2 2 5 2" xfId="24601" xr:uid="{00000000-0005-0000-0000-0000C90E0000}"/>
    <cellStyle name="Millares 2 3 2 2 2 2 2 5 2 2" xfId="51734" xr:uid="{00000000-0005-0000-0000-0000CA0E0000}"/>
    <cellStyle name="Millares 2 3 2 2 2 2 2 5 3" xfId="38172" xr:uid="{00000000-0005-0000-0000-0000CB0E0000}"/>
    <cellStyle name="Millares 2 3 2 2 2 2 2 6" xfId="17820" xr:uid="{00000000-0005-0000-0000-0000CC0E0000}"/>
    <cellStyle name="Millares 2 3 2 2 2 2 2 6 2" xfId="44953" xr:uid="{00000000-0005-0000-0000-0000CD0E0000}"/>
    <cellStyle name="Millares 2 3 2 2 2 2 2 7" xfId="31391" xr:uid="{00000000-0005-0000-0000-0000CE0E0000}"/>
    <cellStyle name="Millares 2 3 2 2 2 2 3" xfId="4024" xr:uid="{00000000-0005-0000-0000-0000CF0E0000}"/>
    <cellStyle name="Millares 2 3 2 2 2 2 3 2" xfId="4025" xr:uid="{00000000-0005-0000-0000-0000D00E0000}"/>
    <cellStyle name="Millares 2 3 2 2 2 2 3 2 2" xfId="7636" xr:uid="{00000000-0005-0000-0000-0000D10E0000}"/>
    <cellStyle name="Millares 2 3 2 2 2 2 3 2 2 2" xfId="14426" xr:uid="{00000000-0005-0000-0000-0000D20E0000}"/>
    <cellStyle name="Millares 2 3 2 2 2 2 3 2 2 2 2" xfId="27994" xr:uid="{00000000-0005-0000-0000-0000D30E0000}"/>
    <cellStyle name="Millares 2 3 2 2 2 2 3 2 2 2 2 2" xfId="55127" xr:uid="{00000000-0005-0000-0000-0000D40E0000}"/>
    <cellStyle name="Millares 2 3 2 2 2 2 3 2 2 2 3" xfId="41565" xr:uid="{00000000-0005-0000-0000-0000D50E0000}"/>
    <cellStyle name="Millares 2 3 2 2 2 2 3 2 2 3" xfId="21213" xr:uid="{00000000-0005-0000-0000-0000D60E0000}"/>
    <cellStyle name="Millares 2 3 2 2 2 2 3 2 2 3 2" xfId="48346" xr:uid="{00000000-0005-0000-0000-0000D70E0000}"/>
    <cellStyle name="Millares 2 3 2 2 2 2 3 2 2 4" xfId="34784" xr:uid="{00000000-0005-0000-0000-0000D80E0000}"/>
    <cellStyle name="Millares 2 3 2 2 2 2 3 2 3" xfId="11037" xr:uid="{00000000-0005-0000-0000-0000D90E0000}"/>
    <cellStyle name="Millares 2 3 2 2 2 2 3 2 3 2" xfId="24605" xr:uid="{00000000-0005-0000-0000-0000DA0E0000}"/>
    <cellStyle name="Millares 2 3 2 2 2 2 3 2 3 2 2" xfId="51738" xr:uid="{00000000-0005-0000-0000-0000DB0E0000}"/>
    <cellStyle name="Millares 2 3 2 2 2 2 3 2 3 3" xfId="38176" xr:uid="{00000000-0005-0000-0000-0000DC0E0000}"/>
    <cellStyle name="Millares 2 3 2 2 2 2 3 2 4" xfId="17824" xr:uid="{00000000-0005-0000-0000-0000DD0E0000}"/>
    <cellStyle name="Millares 2 3 2 2 2 2 3 2 4 2" xfId="44957" xr:uid="{00000000-0005-0000-0000-0000DE0E0000}"/>
    <cellStyle name="Millares 2 3 2 2 2 2 3 2 5" xfId="31395" xr:uid="{00000000-0005-0000-0000-0000DF0E0000}"/>
    <cellStyle name="Millares 2 3 2 2 2 2 3 3" xfId="7635" xr:uid="{00000000-0005-0000-0000-0000E00E0000}"/>
    <cellStyle name="Millares 2 3 2 2 2 2 3 3 2" xfId="14425" xr:uid="{00000000-0005-0000-0000-0000E10E0000}"/>
    <cellStyle name="Millares 2 3 2 2 2 2 3 3 2 2" xfId="27993" xr:uid="{00000000-0005-0000-0000-0000E20E0000}"/>
    <cellStyle name="Millares 2 3 2 2 2 2 3 3 2 2 2" xfId="55126" xr:uid="{00000000-0005-0000-0000-0000E30E0000}"/>
    <cellStyle name="Millares 2 3 2 2 2 2 3 3 2 3" xfId="41564" xr:uid="{00000000-0005-0000-0000-0000E40E0000}"/>
    <cellStyle name="Millares 2 3 2 2 2 2 3 3 3" xfId="21212" xr:uid="{00000000-0005-0000-0000-0000E50E0000}"/>
    <cellStyle name="Millares 2 3 2 2 2 2 3 3 3 2" xfId="48345" xr:uid="{00000000-0005-0000-0000-0000E60E0000}"/>
    <cellStyle name="Millares 2 3 2 2 2 2 3 3 4" xfId="34783" xr:uid="{00000000-0005-0000-0000-0000E70E0000}"/>
    <cellStyle name="Millares 2 3 2 2 2 2 3 4" xfId="11036" xr:uid="{00000000-0005-0000-0000-0000E80E0000}"/>
    <cellStyle name="Millares 2 3 2 2 2 2 3 4 2" xfId="24604" xr:uid="{00000000-0005-0000-0000-0000E90E0000}"/>
    <cellStyle name="Millares 2 3 2 2 2 2 3 4 2 2" xfId="51737" xr:uid="{00000000-0005-0000-0000-0000EA0E0000}"/>
    <cellStyle name="Millares 2 3 2 2 2 2 3 4 3" xfId="38175" xr:uid="{00000000-0005-0000-0000-0000EB0E0000}"/>
    <cellStyle name="Millares 2 3 2 2 2 2 3 5" xfId="17823" xr:uid="{00000000-0005-0000-0000-0000EC0E0000}"/>
    <cellStyle name="Millares 2 3 2 2 2 2 3 5 2" xfId="44956" xr:uid="{00000000-0005-0000-0000-0000ED0E0000}"/>
    <cellStyle name="Millares 2 3 2 2 2 2 3 6" xfId="31394" xr:uid="{00000000-0005-0000-0000-0000EE0E0000}"/>
    <cellStyle name="Millares 2 3 2 2 2 2 4" xfId="4026" xr:uid="{00000000-0005-0000-0000-0000EF0E0000}"/>
    <cellStyle name="Millares 2 3 2 2 2 2 4 2" xfId="7637" xr:uid="{00000000-0005-0000-0000-0000F00E0000}"/>
    <cellStyle name="Millares 2 3 2 2 2 2 4 2 2" xfId="14427" xr:uid="{00000000-0005-0000-0000-0000F10E0000}"/>
    <cellStyle name="Millares 2 3 2 2 2 2 4 2 2 2" xfId="27995" xr:uid="{00000000-0005-0000-0000-0000F20E0000}"/>
    <cellStyle name="Millares 2 3 2 2 2 2 4 2 2 2 2" xfId="55128" xr:uid="{00000000-0005-0000-0000-0000F30E0000}"/>
    <cellStyle name="Millares 2 3 2 2 2 2 4 2 2 3" xfId="41566" xr:uid="{00000000-0005-0000-0000-0000F40E0000}"/>
    <cellStyle name="Millares 2 3 2 2 2 2 4 2 3" xfId="21214" xr:uid="{00000000-0005-0000-0000-0000F50E0000}"/>
    <cellStyle name="Millares 2 3 2 2 2 2 4 2 3 2" xfId="48347" xr:uid="{00000000-0005-0000-0000-0000F60E0000}"/>
    <cellStyle name="Millares 2 3 2 2 2 2 4 2 4" xfId="34785" xr:uid="{00000000-0005-0000-0000-0000F70E0000}"/>
    <cellStyle name="Millares 2 3 2 2 2 2 4 3" xfId="11038" xr:uid="{00000000-0005-0000-0000-0000F80E0000}"/>
    <cellStyle name="Millares 2 3 2 2 2 2 4 3 2" xfId="24606" xr:uid="{00000000-0005-0000-0000-0000F90E0000}"/>
    <cellStyle name="Millares 2 3 2 2 2 2 4 3 2 2" xfId="51739" xr:uid="{00000000-0005-0000-0000-0000FA0E0000}"/>
    <cellStyle name="Millares 2 3 2 2 2 2 4 3 3" xfId="38177" xr:uid="{00000000-0005-0000-0000-0000FB0E0000}"/>
    <cellStyle name="Millares 2 3 2 2 2 2 4 4" xfId="17825" xr:uid="{00000000-0005-0000-0000-0000FC0E0000}"/>
    <cellStyle name="Millares 2 3 2 2 2 2 4 4 2" xfId="44958" xr:uid="{00000000-0005-0000-0000-0000FD0E0000}"/>
    <cellStyle name="Millares 2 3 2 2 2 2 4 5" xfId="31396" xr:uid="{00000000-0005-0000-0000-0000FE0E0000}"/>
    <cellStyle name="Millares 2 3 2 2 2 2 5" xfId="4027" xr:uid="{00000000-0005-0000-0000-0000FF0E0000}"/>
    <cellStyle name="Millares 2 3 2 2 2 2 5 2" xfId="7638" xr:uid="{00000000-0005-0000-0000-0000000F0000}"/>
    <cellStyle name="Millares 2 3 2 2 2 2 5 2 2" xfId="14428" xr:uid="{00000000-0005-0000-0000-0000010F0000}"/>
    <cellStyle name="Millares 2 3 2 2 2 2 5 2 2 2" xfId="27996" xr:uid="{00000000-0005-0000-0000-0000020F0000}"/>
    <cellStyle name="Millares 2 3 2 2 2 2 5 2 2 2 2" xfId="55129" xr:uid="{00000000-0005-0000-0000-0000030F0000}"/>
    <cellStyle name="Millares 2 3 2 2 2 2 5 2 2 3" xfId="41567" xr:uid="{00000000-0005-0000-0000-0000040F0000}"/>
    <cellStyle name="Millares 2 3 2 2 2 2 5 2 3" xfId="21215" xr:uid="{00000000-0005-0000-0000-0000050F0000}"/>
    <cellStyle name="Millares 2 3 2 2 2 2 5 2 3 2" xfId="48348" xr:uid="{00000000-0005-0000-0000-0000060F0000}"/>
    <cellStyle name="Millares 2 3 2 2 2 2 5 2 4" xfId="34786" xr:uid="{00000000-0005-0000-0000-0000070F0000}"/>
    <cellStyle name="Millares 2 3 2 2 2 2 5 3" xfId="11039" xr:uid="{00000000-0005-0000-0000-0000080F0000}"/>
    <cellStyle name="Millares 2 3 2 2 2 2 5 3 2" xfId="24607" xr:uid="{00000000-0005-0000-0000-0000090F0000}"/>
    <cellStyle name="Millares 2 3 2 2 2 2 5 3 2 2" xfId="51740" xr:uid="{00000000-0005-0000-0000-00000A0F0000}"/>
    <cellStyle name="Millares 2 3 2 2 2 2 5 3 3" xfId="38178" xr:uid="{00000000-0005-0000-0000-00000B0F0000}"/>
    <cellStyle name="Millares 2 3 2 2 2 2 5 4" xfId="17826" xr:uid="{00000000-0005-0000-0000-00000C0F0000}"/>
    <cellStyle name="Millares 2 3 2 2 2 2 5 4 2" xfId="44959" xr:uid="{00000000-0005-0000-0000-00000D0F0000}"/>
    <cellStyle name="Millares 2 3 2 2 2 2 5 5" xfId="31397" xr:uid="{00000000-0005-0000-0000-00000E0F0000}"/>
    <cellStyle name="Millares 2 3 2 2 2 2 6" xfId="7631" xr:uid="{00000000-0005-0000-0000-00000F0F0000}"/>
    <cellStyle name="Millares 2 3 2 2 2 2 6 2" xfId="14421" xr:uid="{00000000-0005-0000-0000-0000100F0000}"/>
    <cellStyle name="Millares 2 3 2 2 2 2 6 2 2" xfId="27989" xr:uid="{00000000-0005-0000-0000-0000110F0000}"/>
    <cellStyle name="Millares 2 3 2 2 2 2 6 2 2 2" xfId="55122" xr:uid="{00000000-0005-0000-0000-0000120F0000}"/>
    <cellStyle name="Millares 2 3 2 2 2 2 6 2 3" xfId="41560" xr:uid="{00000000-0005-0000-0000-0000130F0000}"/>
    <cellStyle name="Millares 2 3 2 2 2 2 6 3" xfId="21208" xr:uid="{00000000-0005-0000-0000-0000140F0000}"/>
    <cellStyle name="Millares 2 3 2 2 2 2 6 3 2" xfId="48341" xr:uid="{00000000-0005-0000-0000-0000150F0000}"/>
    <cellStyle name="Millares 2 3 2 2 2 2 6 4" xfId="34779" xr:uid="{00000000-0005-0000-0000-0000160F0000}"/>
    <cellStyle name="Millares 2 3 2 2 2 2 7" xfId="11032" xr:uid="{00000000-0005-0000-0000-0000170F0000}"/>
    <cellStyle name="Millares 2 3 2 2 2 2 7 2" xfId="24600" xr:uid="{00000000-0005-0000-0000-0000180F0000}"/>
    <cellStyle name="Millares 2 3 2 2 2 2 7 2 2" xfId="51733" xr:uid="{00000000-0005-0000-0000-0000190F0000}"/>
    <cellStyle name="Millares 2 3 2 2 2 2 7 3" xfId="38171" xr:uid="{00000000-0005-0000-0000-00001A0F0000}"/>
    <cellStyle name="Millares 2 3 2 2 2 2 8" xfId="17819" xr:uid="{00000000-0005-0000-0000-00001B0F0000}"/>
    <cellStyle name="Millares 2 3 2 2 2 2 8 2" xfId="44952" xr:uid="{00000000-0005-0000-0000-00001C0F0000}"/>
    <cellStyle name="Millares 2 3 2 2 2 2 9" xfId="31390" xr:uid="{00000000-0005-0000-0000-00001D0F0000}"/>
    <cellStyle name="Millares 2 3 2 2 2 3" xfId="4028" xr:uid="{00000000-0005-0000-0000-00001E0F0000}"/>
    <cellStyle name="Millares 2 3 2 2 2 3 2" xfId="4029" xr:uid="{00000000-0005-0000-0000-00001F0F0000}"/>
    <cellStyle name="Millares 2 3 2 2 2 3 2 2" xfId="7640" xr:uid="{00000000-0005-0000-0000-0000200F0000}"/>
    <cellStyle name="Millares 2 3 2 2 2 3 2 2 2" xfId="14430" xr:uid="{00000000-0005-0000-0000-0000210F0000}"/>
    <cellStyle name="Millares 2 3 2 2 2 3 2 2 2 2" xfId="27998" xr:uid="{00000000-0005-0000-0000-0000220F0000}"/>
    <cellStyle name="Millares 2 3 2 2 2 3 2 2 2 2 2" xfId="55131" xr:uid="{00000000-0005-0000-0000-0000230F0000}"/>
    <cellStyle name="Millares 2 3 2 2 2 3 2 2 2 3" xfId="41569" xr:uid="{00000000-0005-0000-0000-0000240F0000}"/>
    <cellStyle name="Millares 2 3 2 2 2 3 2 2 3" xfId="21217" xr:uid="{00000000-0005-0000-0000-0000250F0000}"/>
    <cellStyle name="Millares 2 3 2 2 2 3 2 2 3 2" xfId="48350" xr:uid="{00000000-0005-0000-0000-0000260F0000}"/>
    <cellStyle name="Millares 2 3 2 2 2 3 2 2 4" xfId="34788" xr:uid="{00000000-0005-0000-0000-0000270F0000}"/>
    <cellStyle name="Millares 2 3 2 2 2 3 2 3" xfId="11041" xr:uid="{00000000-0005-0000-0000-0000280F0000}"/>
    <cellStyle name="Millares 2 3 2 2 2 3 2 3 2" xfId="24609" xr:uid="{00000000-0005-0000-0000-0000290F0000}"/>
    <cellStyle name="Millares 2 3 2 2 2 3 2 3 2 2" xfId="51742" xr:uid="{00000000-0005-0000-0000-00002A0F0000}"/>
    <cellStyle name="Millares 2 3 2 2 2 3 2 3 3" xfId="38180" xr:uid="{00000000-0005-0000-0000-00002B0F0000}"/>
    <cellStyle name="Millares 2 3 2 2 2 3 2 4" xfId="17828" xr:uid="{00000000-0005-0000-0000-00002C0F0000}"/>
    <cellStyle name="Millares 2 3 2 2 2 3 2 4 2" xfId="44961" xr:uid="{00000000-0005-0000-0000-00002D0F0000}"/>
    <cellStyle name="Millares 2 3 2 2 2 3 2 5" xfId="31399" xr:uid="{00000000-0005-0000-0000-00002E0F0000}"/>
    <cellStyle name="Millares 2 3 2 2 2 3 3" xfId="4030" xr:uid="{00000000-0005-0000-0000-00002F0F0000}"/>
    <cellStyle name="Millares 2 3 2 2 2 3 3 2" xfId="7641" xr:uid="{00000000-0005-0000-0000-0000300F0000}"/>
    <cellStyle name="Millares 2 3 2 2 2 3 3 2 2" xfId="14431" xr:uid="{00000000-0005-0000-0000-0000310F0000}"/>
    <cellStyle name="Millares 2 3 2 2 2 3 3 2 2 2" xfId="27999" xr:uid="{00000000-0005-0000-0000-0000320F0000}"/>
    <cellStyle name="Millares 2 3 2 2 2 3 3 2 2 2 2" xfId="55132" xr:uid="{00000000-0005-0000-0000-0000330F0000}"/>
    <cellStyle name="Millares 2 3 2 2 2 3 3 2 2 3" xfId="41570" xr:uid="{00000000-0005-0000-0000-0000340F0000}"/>
    <cellStyle name="Millares 2 3 2 2 2 3 3 2 3" xfId="21218" xr:uid="{00000000-0005-0000-0000-0000350F0000}"/>
    <cellStyle name="Millares 2 3 2 2 2 3 3 2 3 2" xfId="48351" xr:uid="{00000000-0005-0000-0000-0000360F0000}"/>
    <cellStyle name="Millares 2 3 2 2 2 3 3 2 4" xfId="34789" xr:uid="{00000000-0005-0000-0000-0000370F0000}"/>
    <cellStyle name="Millares 2 3 2 2 2 3 3 3" xfId="11042" xr:uid="{00000000-0005-0000-0000-0000380F0000}"/>
    <cellStyle name="Millares 2 3 2 2 2 3 3 3 2" xfId="24610" xr:uid="{00000000-0005-0000-0000-0000390F0000}"/>
    <cellStyle name="Millares 2 3 2 2 2 3 3 3 2 2" xfId="51743" xr:uid="{00000000-0005-0000-0000-00003A0F0000}"/>
    <cellStyle name="Millares 2 3 2 2 2 3 3 3 3" xfId="38181" xr:uid="{00000000-0005-0000-0000-00003B0F0000}"/>
    <cellStyle name="Millares 2 3 2 2 2 3 3 4" xfId="17829" xr:uid="{00000000-0005-0000-0000-00003C0F0000}"/>
    <cellStyle name="Millares 2 3 2 2 2 3 3 4 2" xfId="44962" xr:uid="{00000000-0005-0000-0000-00003D0F0000}"/>
    <cellStyle name="Millares 2 3 2 2 2 3 3 5" xfId="31400" xr:uid="{00000000-0005-0000-0000-00003E0F0000}"/>
    <cellStyle name="Millares 2 3 2 2 2 3 4" xfId="7639" xr:uid="{00000000-0005-0000-0000-00003F0F0000}"/>
    <cellStyle name="Millares 2 3 2 2 2 3 4 2" xfId="14429" xr:uid="{00000000-0005-0000-0000-0000400F0000}"/>
    <cellStyle name="Millares 2 3 2 2 2 3 4 2 2" xfId="27997" xr:uid="{00000000-0005-0000-0000-0000410F0000}"/>
    <cellStyle name="Millares 2 3 2 2 2 3 4 2 2 2" xfId="55130" xr:uid="{00000000-0005-0000-0000-0000420F0000}"/>
    <cellStyle name="Millares 2 3 2 2 2 3 4 2 3" xfId="41568" xr:uid="{00000000-0005-0000-0000-0000430F0000}"/>
    <cellStyle name="Millares 2 3 2 2 2 3 4 3" xfId="21216" xr:uid="{00000000-0005-0000-0000-0000440F0000}"/>
    <cellStyle name="Millares 2 3 2 2 2 3 4 3 2" xfId="48349" xr:uid="{00000000-0005-0000-0000-0000450F0000}"/>
    <cellStyle name="Millares 2 3 2 2 2 3 4 4" xfId="34787" xr:uid="{00000000-0005-0000-0000-0000460F0000}"/>
    <cellStyle name="Millares 2 3 2 2 2 3 5" xfId="11040" xr:uid="{00000000-0005-0000-0000-0000470F0000}"/>
    <cellStyle name="Millares 2 3 2 2 2 3 5 2" xfId="24608" xr:uid="{00000000-0005-0000-0000-0000480F0000}"/>
    <cellStyle name="Millares 2 3 2 2 2 3 5 2 2" xfId="51741" xr:uid="{00000000-0005-0000-0000-0000490F0000}"/>
    <cellStyle name="Millares 2 3 2 2 2 3 5 3" xfId="38179" xr:uid="{00000000-0005-0000-0000-00004A0F0000}"/>
    <cellStyle name="Millares 2 3 2 2 2 3 6" xfId="17827" xr:uid="{00000000-0005-0000-0000-00004B0F0000}"/>
    <cellStyle name="Millares 2 3 2 2 2 3 6 2" xfId="44960" xr:uid="{00000000-0005-0000-0000-00004C0F0000}"/>
    <cellStyle name="Millares 2 3 2 2 2 3 7" xfId="31398" xr:uid="{00000000-0005-0000-0000-00004D0F0000}"/>
    <cellStyle name="Millares 2 3 2 2 2 4" xfId="4031" xr:uid="{00000000-0005-0000-0000-00004E0F0000}"/>
    <cellStyle name="Millares 2 3 2 2 2 4 2" xfId="4032" xr:uid="{00000000-0005-0000-0000-00004F0F0000}"/>
    <cellStyle name="Millares 2 3 2 2 2 4 2 2" xfId="7643" xr:uid="{00000000-0005-0000-0000-0000500F0000}"/>
    <cellStyle name="Millares 2 3 2 2 2 4 2 2 2" xfId="14433" xr:uid="{00000000-0005-0000-0000-0000510F0000}"/>
    <cellStyle name="Millares 2 3 2 2 2 4 2 2 2 2" xfId="28001" xr:uid="{00000000-0005-0000-0000-0000520F0000}"/>
    <cellStyle name="Millares 2 3 2 2 2 4 2 2 2 2 2" xfId="55134" xr:uid="{00000000-0005-0000-0000-0000530F0000}"/>
    <cellStyle name="Millares 2 3 2 2 2 4 2 2 2 3" xfId="41572" xr:uid="{00000000-0005-0000-0000-0000540F0000}"/>
    <cellStyle name="Millares 2 3 2 2 2 4 2 2 3" xfId="21220" xr:uid="{00000000-0005-0000-0000-0000550F0000}"/>
    <cellStyle name="Millares 2 3 2 2 2 4 2 2 3 2" xfId="48353" xr:uid="{00000000-0005-0000-0000-0000560F0000}"/>
    <cellStyle name="Millares 2 3 2 2 2 4 2 2 4" xfId="34791" xr:uid="{00000000-0005-0000-0000-0000570F0000}"/>
    <cellStyle name="Millares 2 3 2 2 2 4 2 3" xfId="11044" xr:uid="{00000000-0005-0000-0000-0000580F0000}"/>
    <cellStyle name="Millares 2 3 2 2 2 4 2 3 2" xfId="24612" xr:uid="{00000000-0005-0000-0000-0000590F0000}"/>
    <cellStyle name="Millares 2 3 2 2 2 4 2 3 2 2" xfId="51745" xr:uid="{00000000-0005-0000-0000-00005A0F0000}"/>
    <cellStyle name="Millares 2 3 2 2 2 4 2 3 3" xfId="38183" xr:uid="{00000000-0005-0000-0000-00005B0F0000}"/>
    <cellStyle name="Millares 2 3 2 2 2 4 2 4" xfId="17831" xr:uid="{00000000-0005-0000-0000-00005C0F0000}"/>
    <cellStyle name="Millares 2 3 2 2 2 4 2 4 2" xfId="44964" xr:uid="{00000000-0005-0000-0000-00005D0F0000}"/>
    <cellStyle name="Millares 2 3 2 2 2 4 2 5" xfId="31402" xr:uid="{00000000-0005-0000-0000-00005E0F0000}"/>
    <cellStyle name="Millares 2 3 2 2 2 4 3" xfId="7642" xr:uid="{00000000-0005-0000-0000-00005F0F0000}"/>
    <cellStyle name="Millares 2 3 2 2 2 4 3 2" xfId="14432" xr:uid="{00000000-0005-0000-0000-0000600F0000}"/>
    <cellStyle name="Millares 2 3 2 2 2 4 3 2 2" xfId="28000" xr:uid="{00000000-0005-0000-0000-0000610F0000}"/>
    <cellStyle name="Millares 2 3 2 2 2 4 3 2 2 2" xfId="55133" xr:uid="{00000000-0005-0000-0000-0000620F0000}"/>
    <cellStyle name="Millares 2 3 2 2 2 4 3 2 3" xfId="41571" xr:uid="{00000000-0005-0000-0000-0000630F0000}"/>
    <cellStyle name="Millares 2 3 2 2 2 4 3 3" xfId="21219" xr:uid="{00000000-0005-0000-0000-0000640F0000}"/>
    <cellStyle name="Millares 2 3 2 2 2 4 3 3 2" xfId="48352" xr:uid="{00000000-0005-0000-0000-0000650F0000}"/>
    <cellStyle name="Millares 2 3 2 2 2 4 3 4" xfId="34790" xr:uid="{00000000-0005-0000-0000-0000660F0000}"/>
    <cellStyle name="Millares 2 3 2 2 2 4 4" xfId="11043" xr:uid="{00000000-0005-0000-0000-0000670F0000}"/>
    <cellStyle name="Millares 2 3 2 2 2 4 4 2" xfId="24611" xr:uid="{00000000-0005-0000-0000-0000680F0000}"/>
    <cellStyle name="Millares 2 3 2 2 2 4 4 2 2" xfId="51744" xr:uid="{00000000-0005-0000-0000-0000690F0000}"/>
    <cellStyle name="Millares 2 3 2 2 2 4 4 3" xfId="38182" xr:uid="{00000000-0005-0000-0000-00006A0F0000}"/>
    <cellStyle name="Millares 2 3 2 2 2 4 5" xfId="17830" xr:uid="{00000000-0005-0000-0000-00006B0F0000}"/>
    <cellStyle name="Millares 2 3 2 2 2 4 5 2" xfId="44963" xr:uid="{00000000-0005-0000-0000-00006C0F0000}"/>
    <cellStyle name="Millares 2 3 2 2 2 4 6" xfId="31401" xr:uid="{00000000-0005-0000-0000-00006D0F0000}"/>
    <cellStyle name="Millares 2 3 2 2 2 5" xfId="4033" xr:uid="{00000000-0005-0000-0000-00006E0F0000}"/>
    <cellStyle name="Millares 2 3 2 2 2 5 2" xfId="7644" xr:uid="{00000000-0005-0000-0000-00006F0F0000}"/>
    <cellStyle name="Millares 2 3 2 2 2 5 2 2" xfId="14434" xr:uid="{00000000-0005-0000-0000-0000700F0000}"/>
    <cellStyle name="Millares 2 3 2 2 2 5 2 2 2" xfId="28002" xr:uid="{00000000-0005-0000-0000-0000710F0000}"/>
    <cellStyle name="Millares 2 3 2 2 2 5 2 2 2 2" xfId="55135" xr:uid="{00000000-0005-0000-0000-0000720F0000}"/>
    <cellStyle name="Millares 2 3 2 2 2 5 2 2 3" xfId="41573" xr:uid="{00000000-0005-0000-0000-0000730F0000}"/>
    <cellStyle name="Millares 2 3 2 2 2 5 2 3" xfId="21221" xr:uid="{00000000-0005-0000-0000-0000740F0000}"/>
    <cellStyle name="Millares 2 3 2 2 2 5 2 3 2" xfId="48354" xr:uid="{00000000-0005-0000-0000-0000750F0000}"/>
    <cellStyle name="Millares 2 3 2 2 2 5 2 4" xfId="34792" xr:uid="{00000000-0005-0000-0000-0000760F0000}"/>
    <cellStyle name="Millares 2 3 2 2 2 5 3" xfId="11045" xr:uid="{00000000-0005-0000-0000-0000770F0000}"/>
    <cellStyle name="Millares 2 3 2 2 2 5 3 2" xfId="24613" xr:uid="{00000000-0005-0000-0000-0000780F0000}"/>
    <cellStyle name="Millares 2 3 2 2 2 5 3 2 2" xfId="51746" xr:uid="{00000000-0005-0000-0000-0000790F0000}"/>
    <cellStyle name="Millares 2 3 2 2 2 5 3 3" xfId="38184" xr:uid="{00000000-0005-0000-0000-00007A0F0000}"/>
    <cellStyle name="Millares 2 3 2 2 2 5 4" xfId="17832" xr:uid="{00000000-0005-0000-0000-00007B0F0000}"/>
    <cellStyle name="Millares 2 3 2 2 2 5 4 2" xfId="44965" xr:uid="{00000000-0005-0000-0000-00007C0F0000}"/>
    <cellStyle name="Millares 2 3 2 2 2 5 5" xfId="31403" xr:uid="{00000000-0005-0000-0000-00007D0F0000}"/>
    <cellStyle name="Millares 2 3 2 2 2 6" xfId="4034" xr:uid="{00000000-0005-0000-0000-00007E0F0000}"/>
    <cellStyle name="Millares 2 3 2 2 2 6 2" xfId="7645" xr:uid="{00000000-0005-0000-0000-00007F0F0000}"/>
    <cellStyle name="Millares 2 3 2 2 2 6 2 2" xfId="14435" xr:uid="{00000000-0005-0000-0000-0000800F0000}"/>
    <cellStyle name="Millares 2 3 2 2 2 6 2 2 2" xfId="28003" xr:uid="{00000000-0005-0000-0000-0000810F0000}"/>
    <cellStyle name="Millares 2 3 2 2 2 6 2 2 2 2" xfId="55136" xr:uid="{00000000-0005-0000-0000-0000820F0000}"/>
    <cellStyle name="Millares 2 3 2 2 2 6 2 2 3" xfId="41574" xr:uid="{00000000-0005-0000-0000-0000830F0000}"/>
    <cellStyle name="Millares 2 3 2 2 2 6 2 3" xfId="21222" xr:uid="{00000000-0005-0000-0000-0000840F0000}"/>
    <cellStyle name="Millares 2 3 2 2 2 6 2 3 2" xfId="48355" xr:uid="{00000000-0005-0000-0000-0000850F0000}"/>
    <cellStyle name="Millares 2 3 2 2 2 6 2 4" xfId="34793" xr:uid="{00000000-0005-0000-0000-0000860F0000}"/>
    <cellStyle name="Millares 2 3 2 2 2 6 3" xfId="11046" xr:uid="{00000000-0005-0000-0000-0000870F0000}"/>
    <cellStyle name="Millares 2 3 2 2 2 6 3 2" xfId="24614" xr:uid="{00000000-0005-0000-0000-0000880F0000}"/>
    <cellStyle name="Millares 2 3 2 2 2 6 3 2 2" xfId="51747" xr:uid="{00000000-0005-0000-0000-0000890F0000}"/>
    <cellStyle name="Millares 2 3 2 2 2 6 3 3" xfId="38185" xr:uid="{00000000-0005-0000-0000-00008A0F0000}"/>
    <cellStyle name="Millares 2 3 2 2 2 6 4" xfId="17833" xr:uid="{00000000-0005-0000-0000-00008B0F0000}"/>
    <cellStyle name="Millares 2 3 2 2 2 6 4 2" xfId="44966" xr:uid="{00000000-0005-0000-0000-00008C0F0000}"/>
    <cellStyle name="Millares 2 3 2 2 2 6 5" xfId="31404" xr:uid="{00000000-0005-0000-0000-00008D0F0000}"/>
    <cellStyle name="Millares 2 3 2 2 2 7" xfId="7630" xr:uid="{00000000-0005-0000-0000-00008E0F0000}"/>
    <cellStyle name="Millares 2 3 2 2 2 7 2" xfId="14420" xr:uid="{00000000-0005-0000-0000-00008F0F0000}"/>
    <cellStyle name="Millares 2 3 2 2 2 7 2 2" xfId="27988" xr:uid="{00000000-0005-0000-0000-0000900F0000}"/>
    <cellStyle name="Millares 2 3 2 2 2 7 2 2 2" xfId="55121" xr:uid="{00000000-0005-0000-0000-0000910F0000}"/>
    <cellStyle name="Millares 2 3 2 2 2 7 2 3" xfId="41559" xr:uid="{00000000-0005-0000-0000-0000920F0000}"/>
    <cellStyle name="Millares 2 3 2 2 2 7 3" xfId="21207" xr:uid="{00000000-0005-0000-0000-0000930F0000}"/>
    <cellStyle name="Millares 2 3 2 2 2 7 3 2" xfId="48340" xr:uid="{00000000-0005-0000-0000-0000940F0000}"/>
    <cellStyle name="Millares 2 3 2 2 2 7 4" xfId="34778" xr:uid="{00000000-0005-0000-0000-0000950F0000}"/>
    <cellStyle name="Millares 2 3 2 2 2 8" xfId="11031" xr:uid="{00000000-0005-0000-0000-0000960F0000}"/>
    <cellStyle name="Millares 2 3 2 2 2 8 2" xfId="24599" xr:uid="{00000000-0005-0000-0000-0000970F0000}"/>
    <cellStyle name="Millares 2 3 2 2 2 8 2 2" xfId="51732" xr:uid="{00000000-0005-0000-0000-0000980F0000}"/>
    <cellStyle name="Millares 2 3 2 2 2 8 3" xfId="38170" xr:uid="{00000000-0005-0000-0000-0000990F0000}"/>
    <cellStyle name="Millares 2 3 2 2 2 9" xfId="17818" xr:uid="{00000000-0005-0000-0000-00009A0F0000}"/>
    <cellStyle name="Millares 2 3 2 2 2 9 2" xfId="44951" xr:uid="{00000000-0005-0000-0000-00009B0F0000}"/>
    <cellStyle name="Millares 2 3 2 2 3" xfId="4035" xr:uid="{00000000-0005-0000-0000-00009C0F0000}"/>
    <cellStyle name="Millares 2 3 2 2 3 2" xfId="4036" xr:uid="{00000000-0005-0000-0000-00009D0F0000}"/>
    <cellStyle name="Millares 2 3 2 2 3 2 2" xfId="4037" xr:uid="{00000000-0005-0000-0000-00009E0F0000}"/>
    <cellStyle name="Millares 2 3 2 2 3 2 2 2" xfId="7648" xr:uid="{00000000-0005-0000-0000-00009F0F0000}"/>
    <cellStyle name="Millares 2 3 2 2 3 2 2 2 2" xfId="14438" xr:uid="{00000000-0005-0000-0000-0000A00F0000}"/>
    <cellStyle name="Millares 2 3 2 2 3 2 2 2 2 2" xfId="28006" xr:uid="{00000000-0005-0000-0000-0000A10F0000}"/>
    <cellStyle name="Millares 2 3 2 2 3 2 2 2 2 2 2" xfId="55139" xr:uid="{00000000-0005-0000-0000-0000A20F0000}"/>
    <cellStyle name="Millares 2 3 2 2 3 2 2 2 2 3" xfId="41577" xr:uid="{00000000-0005-0000-0000-0000A30F0000}"/>
    <cellStyle name="Millares 2 3 2 2 3 2 2 2 3" xfId="21225" xr:uid="{00000000-0005-0000-0000-0000A40F0000}"/>
    <cellStyle name="Millares 2 3 2 2 3 2 2 2 3 2" xfId="48358" xr:uid="{00000000-0005-0000-0000-0000A50F0000}"/>
    <cellStyle name="Millares 2 3 2 2 3 2 2 2 4" xfId="34796" xr:uid="{00000000-0005-0000-0000-0000A60F0000}"/>
    <cellStyle name="Millares 2 3 2 2 3 2 2 3" xfId="11049" xr:uid="{00000000-0005-0000-0000-0000A70F0000}"/>
    <cellStyle name="Millares 2 3 2 2 3 2 2 3 2" xfId="24617" xr:uid="{00000000-0005-0000-0000-0000A80F0000}"/>
    <cellStyle name="Millares 2 3 2 2 3 2 2 3 2 2" xfId="51750" xr:uid="{00000000-0005-0000-0000-0000A90F0000}"/>
    <cellStyle name="Millares 2 3 2 2 3 2 2 3 3" xfId="38188" xr:uid="{00000000-0005-0000-0000-0000AA0F0000}"/>
    <cellStyle name="Millares 2 3 2 2 3 2 2 4" xfId="17836" xr:uid="{00000000-0005-0000-0000-0000AB0F0000}"/>
    <cellStyle name="Millares 2 3 2 2 3 2 2 4 2" xfId="44969" xr:uid="{00000000-0005-0000-0000-0000AC0F0000}"/>
    <cellStyle name="Millares 2 3 2 2 3 2 2 5" xfId="31407" xr:uid="{00000000-0005-0000-0000-0000AD0F0000}"/>
    <cellStyle name="Millares 2 3 2 2 3 2 3" xfId="4038" xr:uid="{00000000-0005-0000-0000-0000AE0F0000}"/>
    <cellStyle name="Millares 2 3 2 2 3 2 3 2" xfId="7649" xr:uid="{00000000-0005-0000-0000-0000AF0F0000}"/>
    <cellStyle name="Millares 2 3 2 2 3 2 3 2 2" xfId="14439" xr:uid="{00000000-0005-0000-0000-0000B00F0000}"/>
    <cellStyle name="Millares 2 3 2 2 3 2 3 2 2 2" xfId="28007" xr:uid="{00000000-0005-0000-0000-0000B10F0000}"/>
    <cellStyle name="Millares 2 3 2 2 3 2 3 2 2 2 2" xfId="55140" xr:uid="{00000000-0005-0000-0000-0000B20F0000}"/>
    <cellStyle name="Millares 2 3 2 2 3 2 3 2 2 3" xfId="41578" xr:uid="{00000000-0005-0000-0000-0000B30F0000}"/>
    <cellStyle name="Millares 2 3 2 2 3 2 3 2 3" xfId="21226" xr:uid="{00000000-0005-0000-0000-0000B40F0000}"/>
    <cellStyle name="Millares 2 3 2 2 3 2 3 2 3 2" xfId="48359" xr:uid="{00000000-0005-0000-0000-0000B50F0000}"/>
    <cellStyle name="Millares 2 3 2 2 3 2 3 2 4" xfId="34797" xr:uid="{00000000-0005-0000-0000-0000B60F0000}"/>
    <cellStyle name="Millares 2 3 2 2 3 2 3 3" xfId="11050" xr:uid="{00000000-0005-0000-0000-0000B70F0000}"/>
    <cellStyle name="Millares 2 3 2 2 3 2 3 3 2" xfId="24618" xr:uid="{00000000-0005-0000-0000-0000B80F0000}"/>
    <cellStyle name="Millares 2 3 2 2 3 2 3 3 2 2" xfId="51751" xr:uid="{00000000-0005-0000-0000-0000B90F0000}"/>
    <cellStyle name="Millares 2 3 2 2 3 2 3 3 3" xfId="38189" xr:uid="{00000000-0005-0000-0000-0000BA0F0000}"/>
    <cellStyle name="Millares 2 3 2 2 3 2 3 4" xfId="17837" xr:uid="{00000000-0005-0000-0000-0000BB0F0000}"/>
    <cellStyle name="Millares 2 3 2 2 3 2 3 4 2" xfId="44970" xr:uid="{00000000-0005-0000-0000-0000BC0F0000}"/>
    <cellStyle name="Millares 2 3 2 2 3 2 3 5" xfId="31408" xr:uid="{00000000-0005-0000-0000-0000BD0F0000}"/>
    <cellStyle name="Millares 2 3 2 2 3 2 4" xfId="7647" xr:uid="{00000000-0005-0000-0000-0000BE0F0000}"/>
    <cellStyle name="Millares 2 3 2 2 3 2 4 2" xfId="14437" xr:uid="{00000000-0005-0000-0000-0000BF0F0000}"/>
    <cellStyle name="Millares 2 3 2 2 3 2 4 2 2" xfId="28005" xr:uid="{00000000-0005-0000-0000-0000C00F0000}"/>
    <cellStyle name="Millares 2 3 2 2 3 2 4 2 2 2" xfId="55138" xr:uid="{00000000-0005-0000-0000-0000C10F0000}"/>
    <cellStyle name="Millares 2 3 2 2 3 2 4 2 3" xfId="41576" xr:uid="{00000000-0005-0000-0000-0000C20F0000}"/>
    <cellStyle name="Millares 2 3 2 2 3 2 4 3" xfId="21224" xr:uid="{00000000-0005-0000-0000-0000C30F0000}"/>
    <cellStyle name="Millares 2 3 2 2 3 2 4 3 2" xfId="48357" xr:uid="{00000000-0005-0000-0000-0000C40F0000}"/>
    <cellStyle name="Millares 2 3 2 2 3 2 4 4" xfId="34795" xr:uid="{00000000-0005-0000-0000-0000C50F0000}"/>
    <cellStyle name="Millares 2 3 2 2 3 2 5" xfId="11048" xr:uid="{00000000-0005-0000-0000-0000C60F0000}"/>
    <cellStyle name="Millares 2 3 2 2 3 2 5 2" xfId="24616" xr:uid="{00000000-0005-0000-0000-0000C70F0000}"/>
    <cellStyle name="Millares 2 3 2 2 3 2 5 2 2" xfId="51749" xr:uid="{00000000-0005-0000-0000-0000C80F0000}"/>
    <cellStyle name="Millares 2 3 2 2 3 2 5 3" xfId="38187" xr:uid="{00000000-0005-0000-0000-0000C90F0000}"/>
    <cellStyle name="Millares 2 3 2 2 3 2 6" xfId="17835" xr:uid="{00000000-0005-0000-0000-0000CA0F0000}"/>
    <cellStyle name="Millares 2 3 2 2 3 2 6 2" xfId="44968" xr:uid="{00000000-0005-0000-0000-0000CB0F0000}"/>
    <cellStyle name="Millares 2 3 2 2 3 2 7" xfId="31406" xr:uid="{00000000-0005-0000-0000-0000CC0F0000}"/>
    <cellStyle name="Millares 2 3 2 2 3 3" xfId="4039" xr:uid="{00000000-0005-0000-0000-0000CD0F0000}"/>
    <cellStyle name="Millares 2 3 2 2 3 3 2" xfId="4040" xr:uid="{00000000-0005-0000-0000-0000CE0F0000}"/>
    <cellStyle name="Millares 2 3 2 2 3 3 2 2" xfId="7651" xr:uid="{00000000-0005-0000-0000-0000CF0F0000}"/>
    <cellStyle name="Millares 2 3 2 2 3 3 2 2 2" xfId="14441" xr:uid="{00000000-0005-0000-0000-0000D00F0000}"/>
    <cellStyle name="Millares 2 3 2 2 3 3 2 2 2 2" xfId="28009" xr:uid="{00000000-0005-0000-0000-0000D10F0000}"/>
    <cellStyle name="Millares 2 3 2 2 3 3 2 2 2 2 2" xfId="55142" xr:uid="{00000000-0005-0000-0000-0000D20F0000}"/>
    <cellStyle name="Millares 2 3 2 2 3 3 2 2 2 3" xfId="41580" xr:uid="{00000000-0005-0000-0000-0000D30F0000}"/>
    <cellStyle name="Millares 2 3 2 2 3 3 2 2 3" xfId="21228" xr:uid="{00000000-0005-0000-0000-0000D40F0000}"/>
    <cellStyle name="Millares 2 3 2 2 3 3 2 2 3 2" xfId="48361" xr:uid="{00000000-0005-0000-0000-0000D50F0000}"/>
    <cellStyle name="Millares 2 3 2 2 3 3 2 2 4" xfId="34799" xr:uid="{00000000-0005-0000-0000-0000D60F0000}"/>
    <cellStyle name="Millares 2 3 2 2 3 3 2 3" xfId="11052" xr:uid="{00000000-0005-0000-0000-0000D70F0000}"/>
    <cellStyle name="Millares 2 3 2 2 3 3 2 3 2" xfId="24620" xr:uid="{00000000-0005-0000-0000-0000D80F0000}"/>
    <cellStyle name="Millares 2 3 2 2 3 3 2 3 2 2" xfId="51753" xr:uid="{00000000-0005-0000-0000-0000D90F0000}"/>
    <cellStyle name="Millares 2 3 2 2 3 3 2 3 3" xfId="38191" xr:uid="{00000000-0005-0000-0000-0000DA0F0000}"/>
    <cellStyle name="Millares 2 3 2 2 3 3 2 4" xfId="17839" xr:uid="{00000000-0005-0000-0000-0000DB0F0000}"/>
    <cellStyle name="Millares 2 3 2 2 3 3 2 4 2" xfId="44972" xr:uid="{00000000-0005-0000-0000-0000DC0F0000}"/>
    <cellStyle name="Millares 2 3 2 2 3 3 2 5" xfId="31410" xr:uid="{00000000-0005-0000-0000-0000DD0F0000}"/>
    <cellStyle name="Millares 2 3 2 2 3 3 3" xfId="7650" xr:uid="{00000000-0005-0000-0000-0000DE0F0000}"/>
    <cellStyle name="Millares 2 3 2 2 3 3 3 2" xfId="14440" xr:uid="{00000000-0005-0000-0000-0000DF0F0000}"/>
    <cellStyle name="Millares 2 3 2 2 3 3 3 2 2" xfId="28008" xr:uid="{00000000-0005-0000-0000-0000E00F0000}"/>
    <cellStyle name="Millares 2 3 2 2 3 3 3 2 2 2" xfId="55141" xr:uid="{00000000-0005-0000-0000-0000E10F0000}"/>
    <cellStyle name="Millares 2 3 2 2 3 3 3 2 3" xfId="41579" xr:uid="{00000000-0005-0000-0000-0000E20F0000}"/>
    <cellStyle name="Millares 2 3 2 2 3 3 3 3" xfId="21227" xr:uid="{00000000-0005-0000-0000-0000E30F0000}"/>
    <cellStyle name="Millares 2 3 2 2 3 3 3 3 2" xfId="48360" xr:uid="{00000000-0005-0000-0000-0000E40F0000}"/>
    <cellStyle name="Millares 2 3 2 2 3 3 3 4" xfId="34798" xr:uid="{00000000-0005-0000-0000-0000E50F0000}"/>
    <cellStyle name="Millares 2 3 2 2 3 3 4" xfId="11051" xr:uid="{00000000-0005-0000-0000-0000E60F0000}"/>
    <cellStyle name="Millares 2 3 2 2 3 3 4 2" xfId="24619" xr:uid="{00000000-0005-0000-0000-0000E70F0000}"/>
    <cellStyle name="Millares 2 3 2 2 3 3 4 2 2" xfId="51752" xr:uid="{00000000-0005-0000-0000-0000E80F0000}"/>
    <cellStyle name="Millares 2 3 2 2 3 3 4 3" xfId="38190" xr:uid="{00000000-0005-0000-0000-0000E90F0000}"/>
    <cellStyle name="Millares 2 3 2 2 3 3 5" xfId="17838" xr:uid="{00000000-0005-0000-0000-0000EA0F0000}"/>
    <cellStyle name="Millares 2 3 2 2 3 3 5 2" xfId="44971" xr:uid="{00000000-0005-0000-0000-0000EB0F0000}"/>
    <cellStyle name="Millares 2 3 2 2 3 3 6" xfId="31409" xr:uid="{00000000-0005-0000-0000-0000EC0F0000}"/>
    <cellStyle name="Millares 2 3 2 2 3 4" xfId="4041" xr:uid="{00000000-0005-0000-0000-0000ED0F0000}"/>
    <cellStyle name="Millares 2 3 2 2 3 4 2" xfId="7652" xr:uid="{00000000-0005-0000-0000-0000EE0F0000}"/>
    <cellStyle name="Millares 2 3 2 2 3 4 2 2" xfId="14442" xr:uid="{00000000-0005-0000-0000-0000EF0F0000}"/>
    <cellStyle name="Millares 2 3 2 2 3 4 2 2 2" xfId="28010" xr:uid="{00000000-0005-0000-0000-0000F00F0000}"/>
    <cellStyle name="Millares 2 3 2 2 3 4 2 2 2 2" xfId="55143" xr:uid="{00000000-0005-0000-0000-0000F10F0000}"/>
    <cellStyle name="Millares 2 3 2 2 3 4 2 2 3" xfId="41581" xr:uid="{00000000-0005-0000-0000-0000F20F0000}"/>
    <cellStyle name="Millares 2 3 2 2 3 4 2 3" xfId="21229" xr:uid="{00000000-0005-0000-0000-0000F30F0000}"/>
    <cellStyle name="Millares 2 3 2 2 3 4 2 3 2" xfId="48362" xr:uid="{00000000-0005-0000-0000-0000F40F0000}"/>
    <cellStyle name="Millares 2 3 2 2 3 4 2 4" xfId="34800" xr:uid="{00000000-0005-0000-0000-0000F50F0000}"/>
    <cellStyle name="Millares 2 3 2 2 3 4 3" xfId="11053" xr:uid="{00000000-0005-0000-0000-0000F60F0000}"/>
    <cellStyle name="Millares 2 3 2 2 3 4 3 2" xfId="24621" xr:uid="{00000000-0005-0000-0000-0000F70F0000}"/>
    <cellStyle name="Millares 2 3 2 2 3 4 3 2 2" xfId="51754" xr:uid="{00000000-0005-0000-0000-0000F80F0000}"/>
    <cellStyle name="Millares 2 3 2 2 3 4 3 3" xfId="38192" xr:uid="{00000000-0005-0000-0000-0000F90F0000}"/>
    <cellStyle name="Millares 2 3 2 2 3 4 4" xfId="17840" xr:uid="{00000000-0005-0000-0000-0000FA0F0000}"/>
    <cellStyle name="Millares 2 3 2 2 3 4 4 2" xfId="44973" xr:uid="{00000000-0005-0000-0000-0000FB0F0000}"/>
    <cellStyle name="Millares 2 3 2 2 3 4 5" xfId="31411" xr:uid="{00000000-0005-0000-0000-0000FC0F0000}"/>
    <cellStyle name="Millares 2 3 2 2 3 5" xfId="4042" xr:uid="{00000000-0005-0000-0000-0000FD0F0000}"/>
    <cellStyle name="Millares 2 3 2 2 3 5 2" xfId="7653" xr:uid="{00000000-0005-0000-0000-0000FE0F0000}"/>
    <cellStyle name="Millares 2 3 2 2 3 5 2 2" xfId="14443" xr:uid="{00000000-0005-0000-0000-0000FF0F0000}"/>
    <cellStyle name="Millares 2 3 2 2 3 5 2 2 2" xfId="28011" xr:uid="{00000000-0005-0000-0000-000000100000}"/>
    <cellStyle name="Millares 2 3 2 2 3 5 2 2 2 2" xfId="55144" xr:uid="{00000000-0005-0000-0000-000001100000}"/>
    <cellStyle name="Millares 2 3 2 2 3 5 2 2 3" xfId="41582" xr:uid="{00000000-0005-0000-0000-000002100000}"/>
    <cellStyle name="Millares 2 3 2 2 3 5 2 3" xfId="21230" xr:uid="{00000000-0005-0000-0000-000003100000}"/>
    <cellStyle name="Millares 2 3 2 2 3 5 2 3 2" xfId="48363" xr:uid="{00000000-0005-0000-0000-000004100000}"/>
    <cellStyle name="Millares 2 3 2 2 3 5 2 4" xfId="34801" xr:uid="{00000000-0005-0000-0000-000005100000}"/>
    <cellStyle name="Millares 2 3 2 2 3 5 3" xfId="11054" xr:uid="{00000000-0005-0000-0000-000006100000}"/>
    <cellStyle name="Millares 2 3 2 2 3 5 3 2" xfId="24622" xr:uid="{00000000-0005-0000-0000-000007100000}"/>
    <cellStyle name="Millares 2 3 2 2 3 5 3 2 2" xfId="51755" xr:uid="{00000000-0005-0000-0000-000008100000}"/>
    <cellStyle name="Millares 2 3 2 2 3 5 3 3" xfId="38193" xr:uid="{00000000-0005-0000-0000-000009100000}"/>
    <cellStyle name="Millares 2 3 2 2 3 5 4" xfId="17841" xr:uid="{00000000-0005-0000-0000-00000A100000}"/>
    <cellStyle name="Millares 2 3 2 2 3 5 4 2" xfId="44974" xr:uid="{00000000-0005-0000-0000-00000B100000}"/>
    <cellStyle name="Millares 2 3 2 2 3 5 5" xfId="31412" xr:uid="{00000000-0005-0000-0000-00000C100000}"/>
    <cellStyle name="Millares 2 3 2 2 3 6" xfId="7646" xr:uid="{00000000-0005-0000-0000-00000D100000}"/>
    <cellStyle name="Millares 2 3 2 2 3 6 2" xfId="14436" xr:uid="{00000000-0005-0000-0000-00000E100000}"/>
    <cellStyle name="Millares 2 3 2 2 3 6 2 2" xfId="28004" xr:uid="{00000000-0005-0000-0000-00000F100000}"/>
    <cellStyle name="Millares 2 3 2 2 3 6 2 2 2" xfId="55137" xr:uid="{00000000-0005-0000-0000-000010100000}"/>
    <cellStyle name="Millares 2 3 2 2 3 6 2 3" xfId="41575" xr:uid="{00000000-0005-0000-0000-000011100000}"/>
    <cellStyle name="Millares 2 3 2 2 3 6 3" xfId="21223" xr:uid="{00000000-0005-0000-0000-000012100000}"/>
    <cellStyle name="Millares 2 3 2 2 3 6 3 2" xfId="48356" xr:uid="{00000000-0005-0000-0000-000013100000}"/>
    <cellStyle name="Millares 2 3 2 2 3 6 4" xfId="34794" xr:uid="{00000000-0005-0000-0000-000014100000}"/>
    <cellStyle name="Millares 2 3 2 2 3 7" xfId="11047" xr:uid="{00000000-0005-0000-0000-000015100000}"/>
    <cellStyle name="Millares 2 3 2 2 3 7 2" xfId="24615" xr:uid="{00000000-0005-0000-0000-000016100000}"/>
    <cellStyle name="Millares 2 3 2 2 3 7 2 2" xfId="51748" xr:uid="{00000000-0005-0000-0000-000017100000}"/>
    <cellStyle name="Millares 2 3 2 2 3 7 3" xfId="38186" xr:uid="{00000000-0005-0000-0000-000018100000}"/>
    <cellStyle name="Millares 2 3 2 2 3 8" xfId="17834" xr:uid="{00000000-0005-0000-0000-000019100000}"/>
    <cellStyle name="Millares 2 3 2 2 3 8 2" xfId="44967" xr:uid="{00000000-0005-0000-0000-00001A100000}"/>
    <cellStyle name="Millares 2 3 2 2 3 9" xfId="31405" xr:uid="{00000000-0005-0000-0000-00001B100000}"/>
    <cellStyle name="Millares 2 3 2 2 4" xfId="4043" xr:uid="{00000000-0005-0000-0000-00001C100000}"/>
    <cellStyle name="Millares 2 3 2 2 4 2" xfId="4044" xr:uid="{00000000-0005-0000-0000-00001D100000}"/>
    <cellStyle name="Millares 2 3 2 2 4 2 2" xfId="4045" xr:uid="{00000000-0005-0000-0000-00001E100000}"/>
    <cellStyle name="Millares 2 3 2 2 4 2 2 2" xfId="7656" xr:uid="{00000000-0005-0000-0000-00001F100000}"/>
    <cellStyle name="Millares 2 3 2 2 4 2 2 2 2" xfId="14446" xr:uid="{00000000-0005-0000-0000-000020100000}"/>
    <cellStyle name="Millares 2 3 2 2 4 2 2 2 2 2" xfId="28014" xr:uid="{00000000-0005-0000-0000-000021100000}"/>
    <cellStyle name="Millares 2 3 2 2 4 2 2 2 2 2 2" xfId="55147" xr:uid="{00000000-0005-0000-0000-000022100000}"/>
    <cellStyle name="Millares 2 3 2 2 4 2 2 2 2 3" xfId="41585" xr:uid="{00000000-0005-0000-0000-000023100000}"/>
    <cellStyle name="Millares 2 3 2 2 4 2 2 2 3" xfId="21233" xr:uid="{00000000-0005-0000-0000-000024100000}"/>
    <cellStyle name="Millares 2 3 2 2 4 2 2 2 3 2" xfId="48366" xr:uid="{00000000-0005-0000-0000-000025100000}"/>
    <cellStyle name="Millares 2 3 2 2 4 2 2 2 4" xfId="34804" xr:uid="{00000000-0005-0000-0000-000026100000}"/>
    <cellStyle name="Millares 2 3 2 2 4 2 2 3" xfId="11057" xr:uid="{00000000-0005-0000-0000-000027100000}"/>
    <cellStyle name="Millares 2 3 2 2 4 2 2 3 2" xfId="24625" xr:uid="{00000000-0005-0000-0000-000028100000}"/>
    <cellStyle name="Millares 2 3 2 2 4 2 2 3 2 2" xfId="51758" xr:uid="{00000000-0005-0000-0000-000029100000}"/>
    <cellStyle name="Millares 2 3 2 2 4 2 2 3 3" xfId="38196" xr:uid="{00000000-0005-0000-0000-00002A100000}"/>
    <cellStyle name="Millares 2 3 2 2 4 2 2 4" xfId="17844" xr:uid="{00000000-0005-0000-0000-00002B100000}"/>
    <cellStyle name="Millares 2 3 2 2 4 2 2 4 2" xfId="44977" xr:uid="{00000000-0005-0000-0000-00002C100000}"/>
    <cellStyle name="Millares 2 3 2 2 4 2 2 5" xfId="31415" xr:uid="{00000000-0005-0000-0000-00002D100000}"/>
    <cellStyle name="Millares 2 3 2 2 4 2 3" xfId="4046" xr:uid="{00000000-0005-0000-0000-00002E100000}"/>
    <cellStyle name="Millares 2 3 2 2 4 2 3 2" xfId="7657" xr:uid="{00000000-0005-0000-0000-00002F100000}"/>
    <cellStyle name="Millares 2 3 2 2 4 2 3 2 2" xfId="14447" xr:uid="{00000000-0005-0000-0000-000030100000}"/>
    <cellStyle name="Millares 2 3 2 2 4 2 3 2 2 2" xfId="28015" xr:uid="{00000000-0005-0000-0000-000031100000}"/>
    <cellStyle name="Millares 2 3 2 2 4 2 3 2 2 2 2" xfId="55148" xr:uid="{00000000-0005-0000-0000-000032100000}"/>
    <cellStyle name="Millares 2 3 2 2 4 2 3 2 2 3" xfId="41586" xr:uid="{00000000-0005-0000-0000-000033100000}"/>
    <cellStyle name="Millares 2 3 2 2 4 2 3 2 3" xfId="21234" xr:uid="{00000000-0005-0000-0000-000034100000}"/>
    <cellStyle name="Millares 2 3 2 2 4 2 3 2 3 2" xfId="48367" xr:uid="{00000000-0005-0000-0000-000035100000}"/>
    <cellStyle name="Millares 2 3 2 2 4 2 3 2 4" xfId="34805" xr:uid="{00000000-0005-0000-0000-000036100000}"/>
    <cellStyle name="Millares 2 3 2 2 4 2 3 3" xfId="11058" xr:uid="{00000000-0005-0000-0000-000037100000}"/>
    <cellStyle name="Millares 2 3 2 2 4 2 3 3 2" xfId="24626" xr:uid="{00000000-0005-0000-0000-000038100000}"/>
    <cellStyle name="Millares 2 3 2 2 4 2 3 3 2 2" xfId="51759" xr:uid="{00000000-0005-0000-0000-000039100000}"/>
    <cellStyle name="Millares 2 3 2 2 4 2 3 3 3" xfId="38197" xr:uid="{00000000-0005-0000-0000-00003A100000}"/>
    <cellStyle name="Millares 2 3 2 2 4 2 3 4" xfId="17845" xr:uid="{00000000-0005-0000-0000-00003B100000}"/>
    <cellStyle name="Millares 2 3 2 2 4 2 3 4 2" xfId="44978" xr:uid="{00000000-0005-0000-0000-00003C100000}"/>
    <cellStyle name="Millares 2 3 2 2 4 2 3 5" xfId="31416" xr:uid="{00000000-0005-0000-0000-00003D100000}"/>
    <cellStyle name="Millares 2 3 2 2 4 2 4" xfId="7655" xr:uid="{00000000-0005-0000-0000-00003E100000}"/>
    <cellStyle name="Millares 2 3 2 2 4 2 4 2" xfId="14445" xr:uid="{00000000-0005-0000-0000-00003F100000}"/>
    <cellStyle name="Millares 2 3 2 2 4 2 4 2 2" xfId="28013" xr:uid="{00000000-0005-0000-0000-000040100000}"/>
    <cellStyle name="Millares 2 3 2 2 4 2 4 2 2 2" xfId="55146" xr:uid="{00000000-0005-0000-0000-000041100000}"/>
    <cellStyle name="Millares 2 3 2 2 4 2 4 2 3" xfId="41584" xr:uid="{00000000-0005-0000-0000-000042100000}"/>
    <cellStyle name="Millares 2 3 2 2 4 2 4 3" xfId="21232" xr:uid="{00000000-0005-0000-0000-000043100000}"/>
    <cellStyle name="Millares 2 3 2 2 4 2 4 3 2" xfId="48365" xr:uid="{00000000-0005-0000-0000-000044100000}"/>
    <cellStyle name="Millares 2 3 2 2 4 2 4 4" xfId="34803" xr:uid="{00000000-0005-0000-0000-000045100000}"/>
    <cellStyle name="Millares 2 3 2 2 4 2 5" xfId="11056" xr:uid="{00000000-0005-0000-0000-000046100000}"/>
    <cellStyle name="Millares 2 3 2 2 4 2 5 2" xfId="24624" xr:uid="{00000000-0005-0000-0000-000047100000}"/>
    <cellStyle name="Millares 2 3 2 2 4 2 5 2 2" xfId="51757" xr:uid="{00000000-0005-0000-0000-000048100000}"/>
    <cellStyle name="Millares 2 3 2 2 4 2 5 3" xfId="38195" xr:uid="{00000000-0005-0000-0000-000049100000}"/>
    <cellStyle name="Millares 2 3 2 2 4 2 6" xfId="17843" xr:uid="{00000000-0005-0000-0000-00004A100000}"/>
    <cellStyle name="Millares 2 3 2 2 4 2 6 2" xfId="44976" xr:uid="{00000000-0005-0000-0000-00004B100000}"/>
    <cellStyle name="Millares 2 3 2 2 4 2 7" xfId="31414" xr:uid="{00000000-0005-0000-0000-00004C100000}"/>
    <cellStyle name="Millares 2 3 2 2 4 3" xfId="4047" xr:uid="{00000000-0005-0000-0000-00004D100000}"/>
    <cellStyle name="Millares 2 3 2 2 4 3 2" xfId="7658" xr:uid="{00000000-0005-0000-0000-00004E100000}"/>
    <cellStyle name="Millares 2 3 2 2 4 3 2 2" xfId="14448" xr:uid="{00000000-0005-0000-0000-00004F100000}"/>
    <cellStyle name="Millares 2 3 2 2 4 3 2 2 2" xfId="28016" xr:uid="{00000000-0005-0000-0000-000050100000}"/>
    <cellStyle name="Millares 2 3 2 2 4 3 2 2 2 2" xfId="55149" xr:uid="{00000000-0005-0000-0000-000051100000}"/>
    <cellStyle name="Millares 2 3 2 2 4 3 2 2 3" xfId="41587" xr:uid="{00000000-0005-0000-0000-000052100000}"/>
    <cellStyle name="Millares 2 3 2 2 4 3 2 3" xfId="21235" xr:uid="{00000000-0005-0000-0000-000053100000}"/>
    <cellStyle name="Millares 2 3 2 2 4 3 2 3 2" xfId="48368" xr:uid="{00000000-0005-0000-0000-000054100000}"/>
    <cellStyle name="Millares 2 3 2 2 4 3 2 4" xfId="34806" xr:uid="{00000000-0005-0000-0000-000055100000}"/>
    <cellStyle name="Millares 2 3 2 2 4 3 3" xfId="11059" xr:uid="{00000000-0005-0000-0000-000056100000}"/>
    <cellStyle name="Millares 2 3 2 2 4 3 3 2" xfId="24627" xr:uid="{00000000-0005-0000-0000-000057100000}"/>
    <cellStyle name="Millares 2 3 2 2 4 3 3 2 2" xfId="51760" xr:uid="{00000000-0005-0000-0000-000058100000}"/>
    <cellStyle name="Millares 2 3 2 2 4 3 3 3" xfId="38198" xr:uid="{00000000-0005-0000-0000-000059100000}"/>
    <cellStyle name="Millares 2 3 2 2 4 3 4" xfId="17846" xr:uid="{00000000-0005-0000-0000-00005A100000}"/>
    <cellStyle name="Millares 2 3 2 2 4 3 4 2" xfId="44979" xr:uid="{00000000-0005-0000-0000-00005B100000}"/>
    <cellStyle name="Millares 2 3 2 2 4 3 5" xfId="31417" xr:uid="{00000000-0005-0000-0000-00005C100000}"/>
    <cellStyle name="Millares 2 3 2 2 4 4" xfId="4048" xr:uid="{00000000-0005-0000-0000-00005D100000}"/>
    <cellStyle name="Millares 2 3 2 2 4 4 2" xfId="7659" xr:uid="{00000000-0005-0000-0000-00005E100000}"/>
    <cellStyle name="Millares 2 3 2 2 4 4 2 2" xfId="14449" xr:uid="{00000000-0005-0000-0000-00005F100000}"/>
    <cellStyle name="Millares 2 3 2 2 4 4 2 2 2" xfId="28017" xr:uid="{00000000-0005-0000-0000-000060100000}"/>
    <cellStyle name="Millares 2 3 2 2 4 4 2 2 2 2" xfId="55150" xr:uid="{00000000-0005-0000-0000-000061100000}"/>
    <cellStyle name="Millares 2 3 2 2 4 4 2 2 3" xfId="41588" xr:uid="{00000000-0005-0000-0000-000062100000}"/>
    <cellStyle name="Millares 2 3 2 2 4 4 2 3" xfId="21236" xr:uid="{00000000-0005-0000-0000-000063100000}"/>
    <cellStyle name="Millares 2 3 2 2 4 4 2 3 2" xfId="48369" xr:uid="{00000000-0005-0000-0000-000064100000}"/>
    <cellStyle name="Millares 2 3 2 2 4 4 2 4" xfId="34807" xr:uid="{00000000-0005-0000-0000-000065100000}"/>
    <cellStyle name="Millares 2 3 2 2 4 4 3" xfId="11060" xr:uid="{00000000-0005-0000-0000-000066100000}"/>
    <cellStyle name="Millares 2 3 2 2 4 4 3 2" xfId="24628" xr:uid="{00000000-0005-0000-0000-000067100000}"/>
    <cellStyle name="Millares 2 3 2 2 4 4 3 2 2" xfId="51761" xr:uid="{00000000-0005-0000-0000-000068100000}"/>
    <cellStyle name="Millares 2 3 2 2 4 4 3 3" xfId="38199" xr:uid="{00000000-0005-0000-0000-000069100000}"/>
    <cellStyle name="Millares 2 3 2 2 4 4 4" xfId="17847" xr:uid="{00000000-0005-0000-0000-00006A100000}"/>
    <cellStyle name="Millares 2 3 2 2 4 4 4 2" xfId="44980" xr:uid="{00000000-0005-0000-0000-00006B100000}"/>
    <cellStyle name="Millares 2 3 2 2 4 4 5" xfId="31418" xr:uid="{00000000-0005-0000-0000-00006C100000}"/>
    <cellStyle name="Millares 2 3 2 2 4 5" xfId="7654" xr:uid="{00000000-0005-0000-0000-00006D100000}"/>
    <cellStyle name="Millares 2 3 2 2 4 5 2" xfId="14444" xr:uid="{00000000-0005-0000-0000-00006E100000}"/>
    <cellStyle name="Millares 2 3 2 2 4 5 2 2" xfId="28012" xr:uid="{00000000-0005-0000-0000-00006F100000}"/>
    <cellStyle name="Millares 2 3 2 2 4 5 2 2 2" xfId="55145" xr:uid="{00000000-0005-0000-0000-000070100000}"/>
    <cellStyle name="Millares 2 3 2 2 4 5 2 3" xfId="41583" xr:uid="{00000000-0005-0000-0000-000071100000}"/>
    <cellStyle name="Millares 2 3 2 2 4 5 3" xfId="21231" xr:uid="{00000000-0005-0000-0000-000072100000}"/>
    <cellStyle name="Millares 2 3 2 2 4 5 3 2" xfId="48364" xr:uid="{00000000-0005-0000-0000-000073100000}"/>
    <cellStyle name="Millares 2 3 2 2 4 5 4" xfId="34802" xr:uid="{00000000-0005-0000-0000-000074100000}"/>
    <cellStyle name="Millares 2 3 2 2 4 6" xfId="11055" xr:uid="{00000000-0005-0000-0000-000075100000}"/>
    <cellStyle name="Millares 2 3 2 2 4 6 2" xfId="24623" xr:uid="{00000000-0005-0000-0000-000076100000}"/>
    <cellStyle name="Millares 2 3 2 2 4 6 2 2" xfId="51756" xr:uid="{00000000-0005-0000-0000-000077100000}"/>
    <cellStyle name="Millares 2 3 2 2 4 6 3" xfId="38194" xr:uid="{00000000-0005-0000-0000-000078100000}"/>
    <cellStyle name="Millares 2 3 2 2 4 7" xfId="17842" xr:uid="{00000000-0005-0000-0000-000079100000}"/>
    <cellStyle name="Millares 2 3 2 2 4 7 2" xfId="44975" xr:uid="{00000000-0005-0000-0000-00007A100000}"/>
    <cellStyle name="Millares 2 3 2 2 4 8" xfId="31413" xr:uid="{00000000-0005-0000-0000-00007B100000}"/>
    <cellStyle name="Millares 2 3 2 2 5" xfId="4049" xr:uid="{00000000-0005-0000-0000-00007C100000}"/>
    <cellStyle name="Millares 2 3 2 2 5 2" xfId="4050" xr:uid="{00000000-0005-0000-0000-00007D100000}"/>
    <cellStyle name="Millares 2 3 2 2 5 2 2" xfId="7661" xr:uid="{00000000-0005-0000-0000-00007E100000}"/>
    <cellStyle name="Millares 2 3 2 2 5 2 2 2" xfId="14451" xr:uid="{00000000-0005-0000-0000-00007F100000}"/>
    <cellStyle name="Millares 2 3 2 2 5 2 2 2 2" xfId="28019" xr:uid="{00000000-0005-0000-0000-000080100000}"/>
    <cellStyle name="Millares 2 3 2 2 5 2 2 2 2 2" xfId="55152" xr:uid="{00000000-0005-0000-0000-000081100000}"/>
    <cellStyle name="Millares 2 3 2 2 5 2 2 2 3" xfId="41590" xr:uid="{00000000-0005-0000-0000-000082100000}"/>
    <cellStyle name="Millares 2 3 2 2 5 2 2 3" xfId="21238" xr:uid="{00000000-0005-0000-0000-000083100000}"/>
    <cellStyle name="Millares 2 3 2 2 5 2 2 3 2" xfId="48371" xr:uid="{00000000-0005-0000-0000-000084100000}"/>
    <cellStyle name="Millares 2 3 2 2 5 2 2 4" xfId="34809" xr:uid="{00000000-0005-0000-0000-000085100000}"/>
    <cellStyle name="Millares 2 3 2 2 5 2 3" xfId="11062" xr:uid="{00000000-0005-0000-0000-000086100000}"/>
    <cellStyle name="Millares 2 3 2 2 5 2 3 2" xfId="24630" xr:uid="{00000000-0005-0000-0000-000087100000}"/>
    <cellStyle name="Millares 2 3 2 2 5 2 3 2 2" xfId="51763" xr:uid="{00000000-0005-0000-0000-000088100000}"/>
    <cellStyle name="Millares 2 3 2 2 5 2 3 3" xfId="38201" xr:uid="{00000000-0005-0000-0000-000089100000}"/>
    <cellStyle name="Millares 2 3 2 2 5 2 4" xfId="17849" xr:uid="{00000000-0005-0000-0000-00008A100000}"/>
    <cellStyle name="Millares 2 3 2 2 5 2 4 2" xfId="44982" xr:uid="{00000000-0005-0000-0000-00008B100000}"/>
    <cellStyle name="Millares 2 3 2 2 5 2 5" xfId="31420" xr:uid="{00000000-0005-0000-0000-00008C100000}"/>
    <cellStyle name="Millares 2 3 2 2 5 3" xfId="4051" xr:uid="{00000000-0005-0000-0000-00008D100000}"/>
    <cellStyle name="Millares 2 3 2 2 5 3 2" xfId="7662" xr:uid="{00000000-0005-0000-0000-00008E100000}"/>
    <cellStyle name="Millares 2 3 2 2 5 3 2 2" xfId="14452" xr:uid="{00000000-0005-0000-0000-00008F100000}"/>
    <cellStyle name="Millares 2 3 2 2 5 3 2 2 2" xfId="28020" xr:uid="{00000000-0005-0000-0000-000090100000}"/>
    <cellStyle name="Millares 2 3 2 2 5 3 2 2 2 2" xfId="55153" xr:uid="{00000000-0005-0000-0000-000091100000}"/>
    <cellStyle name="Millares 2 3 2 2 5 3 2 2 3" xfId="41591" xr:uid="{00000000-0005-0000-0000-000092100000}"/>
    <cellStyle name="Millares 2 3 2 2 5 3 2 3" xfId="21239" xr:uid="{00000000-0005-0000-0000-000093100000}"/>
    <cellStyle name="Millares 2 3 2 2 5 3 2 3 2" xfId="48372" xr:uid="{00000000-0005-0000-0000-000094100000}"/>
    <cellStyle name="Millares 2 3 2 2 5 3 2 4" xfId="34810" xr:uid="{00000000-0005-0000-0000-000095100000}"/>
    <cellStyle name="Millares 2 3 2 2 5 3 3" xfId="11063" xr:uid="{00000000-0005-0000-0000-000096100000}"/>
    <cellStyle name="Millares 2 3 2 2 5 3 3 2" xfId="24631" xr:uid="{00000000-0005-0000-0000-000097100000}"/>
    <cellStyle name="Millares 2 3 2 2 5 3 3 2 2" xfId="51764" xr:uid="{00000000-0005-0000-0000-000098100000}"/>
    <cellStyle name="Millares 2 3 2 2 5 3 3 3" xfId="38202" xr:uid="{00000000-0005-0000-0000-000099100000}"/>
    <cellStyle name="Millares 2 3 2 2 5 3 4" xfId="17850" xr:uid="{00000000-0005-0000-0000-00009A100000}"/>
    <cellStyle name="Millares 2 3 2 2 5 3 4 2" xfId="44983" xr:uid="{00000000-0005-0000-0000-00009B100000}"/>
    <cellStyle name="Millares 2 3 2 2 5 3 5" xfId="31421" xr:uid="{00000000-0005-0000-0000-00009C100000}"/>
    <cellStyle name="Millares 2 3 2 2 5 4" xfId="7660" xr:uid="{00000000-0005-0000-0000-00009D100000}"/>
    <cellStyle name="Millares 2 3 2 2 5 4 2" xfId="14450" xr:uid="{00000000-0005-0000-0000-00009E100000}"/>
    <cellStyle name="Millares 2 3 2 2 5 4 2 2" xfId="28018" xr:uid="{00000000-0005-0000-0000-00009F100000}"/>
    <cellStyle name="Millares 2 3 2 2 5 4 2 2 2" xfId="55151" xr:uid="{00000000-0005-0000-0000-0000A0100000}"/>
    <cellStyle name="Millares 2 3 2 2 5 4 2 3" xfId="41589" xr:uid="{00000000-0005-0000-0000-0000A1100000}"/>
    <cellStyle name="Millares 2 3 2 2 5 4 3" xfId="21237" xr:uid="{00000000-0005-0000-0000-0000A2100000}"/>
    <cellStyle name="Millares 2 3 2 2 5 4 3 2" xfId="48370" xr:uid="{00000000-0005-0000-0000-0000A3100000}"/>
    <cellStyle name="Millares 2 3 2 2 5 4 4" xfId="34808" xr:uid="{00000000-0005-0000-0000-0000A4100000}"/>
    <cellStyle name="Millares 2 3 2 2 5 5" xfId="11061" xr:uid="{00000000-0005-0000-0000-0000A5100000}"/>
    <cellStyle name="Millares 2 3 2 2 5 5 2" xfId="24629" xr:uid="{00000000-0005-0000-0000-0000A6100000}"/>
    <cellStyle name="Millares 2 3 2 2 5 5 2 2" xfId="51762" xr:uid="{00000000-0005-0000-0000-0000A7100000}"/>
    <cellStyle name="Millares 2 3 2 2 5 5 3" xfId="38200" xr:uid="{00000000-0005-0000-0000-0000A8100000}"/>
    <cellStyle name="Millares 2 3 2 2 5 6" xfId="17848" xr:uid="{00000000-0005-0000-0000-0000A9100000}"/>
    <cellStyle name="Millares 2 3 2 2 5 6 2" xfId="44981" xr:uid="{00000000-0005-0000-0000-0000AA100000}"/>
    <cellStyle name="Millares 2 3 2 2 5 7" xfId="31419" xr:uid="{00000000-0005-0000-0000-0000AB100000}"/>
    <cellStyle name="Millares 2 3 2 2 6" xfId="4052" xr:uid="{00000000-0005-0000-0000-0000AC100000}"/>
    <cellStyle name="Millares 2 3 2 2 6 2" xfId="4053" xr:uid="{00000000-0005-0000-0000-0000AD100000}"/>
    <cellStyle name="Millares 2 3 2 2 6 2 2" xfId="7664" xr:uid="{00000000-0005-0000-0000-0000AE100000}"/>
    <cellStyle name="Millares 2 3 2 2 6 2 2 2" xfId="14454" xr:uid="{00000000-0005-0000-0000-0000AF100000}"/>
    <cellStyle name="Millares 2 3 2 2 6 2 2 2 2" xfId="28022" xr:uid="{00000000-0005-0000-0000-0000B0100000}"/>
    <cellStyle name="Millares 2 3 2 2 6 2 2 2 2 2" xfId="55155" xr:uid="{00000000-0005-0000-0000-0000B1100000}"/>
    <cellStyle name="Millares 2 3 2 2 6 2 2 2 3" xfId="41593" xr:uid="{00000000-0005-0000-0000-0000B2100000}"/>
    <cellStyle name="Millares 2 3 2 2 6 2 2 3" xfId="21241" xr:uid="{00000000-0005-0000-0000-0000B3100000}"/>
    <cellStyle name="Millares 2 3 2 2 6 2 2 3 2" xfId="48374" xr:uid="{00000000-0005-0000-0000-0000B4100000}"/>
    <cellStyle name="Millares 2 3 2 2 6 2 2 4" xfId="34812" xr:uid="{00000000-0005-0000-0000-0000B5100000}"/>
    <cellStyle name="Millares 2 3 2 2 6 2 3" xfId="11065" xr:uid="{00000000-0005-0000-0000-0000B6100000}"/>
    <cellStyle name="Millares 2 3 2 2 6 2 3 2" xfId="24633" xr:uid="{00000000-0005-0000-0000-0000B7100000}"/>
    <cellStyle name="Millares 2 3 2 2 6 2 3 2 2" xfId="51766" xr:uid="{00000000-0005-0000-0000-0000B8100000}"/>
    <cellStyle name="Millares 2 3 2 2 6 2 3 3" xfId="38204" xr:uid="{00000000-0005-0000-0000-0000B9100000}"/>
    <cellStyle name="Millares 2 3 2 2 6 2 4" xfId="17852" xr:uid="{00000000-0005-0000-0000-0000BA100000}"/>
    <cellStyle name="Millares 2 3 2 2 6 2 4 2" xfId="44985" xr:uid="{00000000-0005-0000-0000-0000BB100000}"/>
    <cellStyle name="Millares 2 3 2 2 6 2 5" xfId="31423" xr:uid="{00000000-0005-0000-0000-0000BC100000}"/>
    <cellStyle name="Millares 2 3 2 2 6 3" xfId="4054" xr:uid="{00000000-0005-0000-0000-0000BD100000}"/>
    <cellStyle name="Millares 2 3 2 2 6 3 2" xfId="7665" xr:uid="{00000000-0005-0000-0000-0000BE100000}"/>
    <cellStyle name="Millares 2 3 2 2 6 3 2 2" xfId="14455" xr:uid="{00000000-0005-0000-0000-0000BF100000}"/>
    <cellStyle name="Millares 2 3 2 2 6 3 2 2 2" xfId="28023" xr:uid="{00000000-0005-0000-0000-0000C0100000}"/>
    <cellStyle name="Millares 2 3 2 2 6 3 2 2 2 2" xfId="55156" xr:uid="{00000000-0005-0000-0000-0000C1100000}"/>
    <cellStyle name="Millares 2 3 2 2 6 3 2 2 3" xfId="41594" xr:uid="{00000000-0005-0000-0000-0000C2100000}"/>
    <cellStyle name="Millares 2 3 2 2 6 3 2 3" xfId="21242" xr:uid="{00000000-0005-0000-0000-0000C3100000}"/>
    <cellStyle name="Millares 2 3 2 2 6 3 2 3 2" xfId="48375" xr:uid="{00000000-0005-0000-0000-0000C4100000}"/>
    <cellStyle name="Millares 2 3 2 2 6 3 2 4" xfId="34813" xr:uid="{00000000-0005-0000-0000-0000C5100000}"/>
    <cellStyle name="Millares 2 3 2 2 6 3 3" xfId="11066" xr:uid="{00000000-0005-0000-0000-0000C6100000}"/>
    <cellStyle name="Millares 2 3 2 2 6 3 3 2" xfId="24634" xr:uid="{00000000-0005-0000-0000-0000C7100000}"/>
    <cellStyle name="Millares 2 3 2 2 6 3 3 2 2" xfId="51767" xr:uid="{00000000-0005-0000-0000-0000C8100000}"/>
    <cellStyle name="Millares 2 3 2 2 6 3 3 3" xfId="38205" xr:uid="{00000000-0005-0000-0000-0000C9100000}"/>
    <cellStyle name="Millares 2 3 2 2 6 3 4" xfId="17853" xr:uid="{00000000-0005-0000-0000-0000CA100000}"/>
    <cellStyle name="Millares 2 3 2 2 6 3 4 2" xfId="44986" xr:uid="{00000000-0005-0000-0000-0000CB100000}"/>
    <cellStyle name="Millares 2 3 2 2 6 3 5" xfId="31424" xr:uid="{00000000-0005-0000-0000-0000CC100000}"/>
    <cellStyle name="Millares 2 3 2 2 6 4" xfId="7663" xr:uid="{00000000-0005-0000-0000-0000CD100000}"/>
    <cellStyle name="Millares 2 3 2 2 6 4 2" xfId="14453" xr:uid="{00000000-0005-0000-0000-0000CE100000}"/>
    <cellStyle name="Millares 2 3 2 2 6 4 2 2" xfId="28021" xr:uid="{00000000-0005-0000-0000-0000CF100000}"/>
    <cellStyle name="Millares 2 3 2 2 6 4 2 2 2" xfId="55154" xr:uid="{00000000-0005-0000-0000-0000D0100000}"/>
    <cellStyle name="Millares 2 3 2 2 6 4 2 3" xfId="41592" xr:uid="{00000000-0005-0000-0000-0000D1100000}"/>
    <cellStyle name="Millares 2 3 2 2 6 4 3" xfId="21240" xr:uid="{00000000-0005-0000-0000-0000D2100000}"/>
    <cellStyle name="Millares 2 3 2 2 6 4 3 2" xfId="48373" xr:uid="{00000000-0005-0000-0000-0000D3100000}"/>
    <cellStyle name="Millares 2 3 2 2 6 4 4" xfId="34811" xr:uid="{00000000-0005-0000-0000-0000D4100000}"/>
    <cellStyle name="Millares 2 3 2 2 6 5" xfId="11064" xr:uid="{00000000-0005-0000-0000-0000D5100000}"/>
    <cellStyle name="Millares 2 3 2 2 6 5 2" xfId="24632" xr:uid="{00000000-0005-0000-0000-0000D6100000}"/>
    <cellStyle name="Millares 2 3 2 2 6 5 2 2" xfId="51765" xr:uid="{00000000-0005-0000-0000-0000D7100000}"/>
    <cellStyle name="Millares 2 3 2 2 6 5 3" xfId="38203" xr:uid="{00000000-0005-0000-0000-0000D8100000}"/>
    <cellStyle name="Millares 2 3 2 2 6 6" xfId="17851" xr:uid="{00000000-0005-0000-0000-0000D9100000}"/>
    <cellStyle name="Millares 2 3 2 2 6 6 2" xfId="44984" xr:uid="{00000000-0005-0000-0000-0000DA100000}"/>
    <cellStyle name="Millares 2 3 2 2 6 7" xfId="31422" xr:uid="{00000000-0005-0000-0000-0000DB100000}"/>
    <cellStyle name="Millares 2 3 2 2 7" xfId="4055" xr:uid="{00000000-0005-0000-0000-0000DC100000}"/>
    <cellStyle name="Millares 2 3 2 2 7 2" xfId="7666" xr:uid="{00000000-0005-0000-0000-0000DD100000}"/>
    <cellStyle name="Millares 2 3 2 2 7 2 2" xfId="14456" xr:uid="{00000000-0005-0000-0000-0000DE100000}"/>
    <cellStyle name="Millares 2 3 2 2 7 2 2 2" xfId="28024" xr:uid="{00000000-0005-0000-0000-0000DF100000}"/>
    <cellStyle name="Millares 2 3 2 2 7 2 2 2 2" xfId="55157" xr:uid="{00000000-0005-0000-0000-0000E0100000}"/>
    <cellStyle name="Millares 2 3 2 2 7 2 2 3" xfId="41595" xr:uid="{00000000-0005-0000-0000-0000E1100000}"/>
    <cellStyle name="Millares 2 3 2 2 7 2 3" xfId="21243" xr:uid="{00000000-0005-0000-0000-0000E2100000}"/>
    <cellStyle name="Millares 2 3 2 2 7 2 3 2" xfId="48376" xr:uid="{00000000-0005-0000-0000-0000E3100000}"/>
    <cellStyle name="Millares 2 3 2 2 7 2 4" xfId="34814" xr:uid="{00000000-0005-0000-0000-0000E4100000}"/>
    <cellStyle name="Millares 2 3 2 2 7 3" xfId="11067" xr:uid="{00000000-0005-0000-0000-0000E5100000}"/>
    <cellStyle name="Millares 2 3 2 2 7 3 2" xfId="24635" xr:uid="{00000000-0005-0000-0000-0000E6100000}"/>
    <cellStyle name="Millares 2 3 2 2 7 3 2 2" xfId="51768" xr:uid="{00000000-0005-0000-0000-0000E7100000}"/>
    <cellStyle name="Millares 2 3 2 2 7 3 3" xfId="38206" xr:uid="{00000000-0005-0000-0000-0000E8100000}"/>
    <cellStyle name="Millares 2 3 2 2 7 4" xfId="17854" xr:uid="{00000000-0005-0000-0000-0000E9100000}"/>
    <cellStyle name="Millares 2 3 2 2 7 4 2" xfId="44987" xr:uid="{00000000-0005-0000-0000-0000EA100000}"/>
    <cellStyle name="Millares 2 3 2 2 7 5" xfId="31425" xr:uid="{00000000-0005-0000-0000-0000EB100000}"/>
    <cellStyle name="Millares 2 3 2 2 8" xfId="4056" xr:uid="{00000000-0005-0000-0000-0000EC100000}"/>
    <cellStyle name="Millares 2 3 2 2 8 2" xfId="7667" xr:uid="{00000000-0005-0000-0000-0000ED100000}"/>
    <cellStyle name="Millares 2 3 2 2 8 2 2" xfId="14457" xr:uid="{00000000-0005-0000-0000-0000EE100000}"/>
    <cellStyle name="Millares 2 3 2 2 8 2 2 2" xfId="28025" xr:uid="{00000000-0005-0000-0000-0000EF100000}"/>
    <cellStyle name="Millares 2 3 2 2 8 2 2 2 2" xfId="55158" xr:uid="{00000000-0005-0000-0000-0000F0100000}"/>
    <cellStyle name="Millares 2 3 2 2 8 2 2 3" xfId="41596" xr:uid="{00000000-0005-0000-0000-0000F1100000}"/>
    <cellStyle name="Millares 2 3 2 2 8 2 3" xfId="21244" xr:uid="{00000000-0005-0000-0000-0000F2100000}"/>
    <cellStyle name="Millares 2 3 2 2 8 2 3 2" xfId="48377" xr:uid="{00000000-0005-0000-0000-0000F3100000}"/>
    <cellStyle name="Millares 2 3 2 2 8 2 4" xfId="34815" xr:uid="{00000000-0005-0000-0000-0000F4100000}"/>
    <cellStyle name="Millares 2 3 2 2 8 3" xfId="11068" xr:uid="{00000000-0005-0000-0000-0000F5100000}"/>
    <cellStyle name="Millares 2 3 2 2 8 3 2" xfId="24636" xr:uid="{00000000-0005-0000-0000-0000F6100000}"/>
    <cellStyle name="Millares 2 3 2 2 8 3 2 2" xfId="51769" xr:uid="{00000000-0005-0000-0000-0000F7100000}"/>
    <cellStyle name="Millares 2 3 2 2 8 3 3" xfId="38207" xr:uid="{00000000-0005-0000-0000-0000F8100000}"/>
    <cellStyle name="Millares 2 3 2 2 8 4" xfId="17855" xr:uid="{00000000-0005-0000-0000-0000F9100000}"/>
    <cellStyle name="Millares 2 3 2 2 8 4 2" xfId="44988" xr:uid="{00000000-0005-0000-0000-0000FA100000}"/>
    <cellStyle name="Millares 2 3 2 2 8 5" xfId="31426" xr:uid="{00000000-0005-0000-0000-0000FB100000}"/>
    <cellStyle name="Millares 2 3 2 2 9" xfId="7629" xr:uid="{00000000-0005-0000-0000-0000FC100000}"/>
    <cellStyle name="Millares 2 3 2 2 9 2" xfId="14419" xr:uid="{00000000-0005-0000-0000-0000FD100000}"/>
    <cellStyle name="Millares 2 3 2 2 9 2 2" xfId="27987" xr:uid="{00000000-0005-0000-0000-0000FE100000}"/>
    <cellStyle name="Millares 2 3 2 2 9 2 2 2" xfId="55120" xr:uid="{00000000-0005-0000-0000-0000FF100000}"/>
    <cellStyle name="Millares 2 3 2 2 9 2 3" xfId="41558" xr:uid="{00000000-0005-0000-0000-000000110000}"/>
    <cellStyle name="Millares 2 3 2 2 9 3" xfId="21206" xr:uid="{00000000-0005-0000-0000-000001110000}"/>
    <cellStyle name="Millares 2 3 2 2 9 3 2" xfId="48339" xr:uid="{00000000-0005-0000-0000-000002110000}"/>
    <cellStyle name="Millares 2 3 2 2 9 4" xfId="34777" xr:uid="{00000000-0005-0000-0000-000003110000}"/>
    <cellStyle name="Millares 2 3 2 3" xfId="4057" xr:uid="{00000000-0005-0000-0000-000004110000}"/>
    <cellStyle name="Millares 2 3 2 3 10" xfId="31427" xr:uid="{00000000-0005-0000-0000-000005110000}"/>
    <cellStyle name="Millares 2 3 2 3 2" xfId="4058" xr:uid="{00000000-0005-0000-0000-000006110000}"/>
    <cellStyle name="Millares 2 3 2 3 2 2" xfId="4059" xr:uid="{00000000-0005-0000-0000-000007110000}"/>
    <cellStyle name="Millares 2 3 2 3 2 2 2" xfId="4060" xr:uid="{00000000-0005-0000-0000-000008110000}"/>
    <cellStyle name="Millares 2 3 2 3 2 2 2 2" xfId="7671" xr:uid="{00000000-0005-0000-0000-000009110000}"/>
    <cellStyle name="Millares 2 3 2 3 2 2 2 2 2" xfId="14461" xr:uid="{00000000-0005-0000-0000-00000A110000}"/>
    <cellStyle name="Millares 2 3 2 3 2 2 2 2 2 2" xfId="28029" xr:uid="{00000000-0005-0000-0000-00000B110000}"/>
    <cellStyle name="Millares 2 3 2 3 2 2 2 2 2 2 2" xfId="55162" xr:uid="{00000000-0005-0000-0000-00000C110000}"/>
    <cellStyle name="Millares 2 3 2 3 2 2 2 2 2 3" xfId="41600" xr:uid="{00000000-0005-0000-0000-00000D110000}"/>
    <cellStyle name="Millares 2 3 2 3 2 2 2 2 3" xfId="21248" xr:uid="{00000000-0005-0000-0000-00000E110000}"/>
    <cellStyle name="Millares 2 3 2 3 2 2 2 2 3 2" xfId="48381" xr:uid="{00000000-0005-0000-0000-00000F110000}"/>
    <cellStyle name="Millares 2 3 2 3 2 2 2 2 4" xfId="34819" xr:uid="{00000000-0005-0000-0000-000010110000}"/>
    <cellStyle name="Millares 2 3 2 3 2 2 2 3" xfId="11072" xr:uid="{00000000-0005-0000-0000-000011110000}"/>
    <cellStyle name="Millares 2 3 2 3 2 2 2 3 2" xfId="24640" xr:uid="{00000000-0005-0000-0000-000012110000}"/>
    <cellStyle name="Millares 2 3 2 3 2 2 2 3 2 2" xfId="51773" xr:uid="{00000000-0005-0000-0000-000013110000}"/>
    <cellStyle name="Millares 2 3 2 3 2 2 2 3 3" xfId="38211" xr:uid="{00000000-0005-0000-0000-000014110000}"/>
    <cellStyle name="Millares 2 3 2 3 2 2 2 4" xfId="17859" xr:uid="{00000000-0005-0000-0000-000015110000}"/>
    <cellStyle name="Millares 2 3 2 3 2 2 2 4 2" xfId="44992" xr:uid="{00000000-0005-0000-0000-000016110000}"/>
    <cellStyle name="Millares 2 3 2 3 2 2 2 5" xfId="31430" xr:uid="{00000000-0005-0000-0000-000017110000}"/>
    <cellStyle name="Millares 2 3 2 3 2 2 3" xfId="4061" xr:uid="{00000000-0005-0000-0000-000018110000}"/>
    <cellStyle name="Millares 2 3 2 3 2 2 3 2" xfId="7672" xr:uid="{00000000-0005-0000-0000-000019110000}"/>
    <cellStyle name="Millares 2 3 2 3 2 2 3 2 2" xfId="14462" xr:uid="{00000000-0005-0000-0000-00001A110000}"/>
    <cellStyle name="Millares 2 3 2 3 2 2 3 2 2 2" xfId="28030" xr:uid="{00000000-0005-0000-0000-00001B110000}"/>
    <cellStyle name="Millares 2 3 2 3 2 2 3 2 2 2 2" xfId="55163" xr:uid="{00000000-0005-0000-0000-00001C110000}"/>
    <cellStyle name="Millares 2 3 2 3 2 2 3 2 2 3" xfId="41601" xr:uid="{00000000-0005-0000-0000-00001D110000}"/>
    <cellStyle name="Millares 2 3 2 3 2 2 3 2 3" xfId="21249" xr:uid="{00000000-0005-0000-0000-00001E110000}"/>
    <cellStyle name="Millares 2 3 2 3 2 2 3 2 3 2" xfId="48382" xr:uid="{00000000-0005-0000-0000-00001F110000}"/>
    <cellStyle name="Millares 2 3 2 3 2 2 3 2 4" xfId="34820" xr:uid="{00000000-0005-0000-0000-000020110000}"/>
    <cellStyle name="Millares 2 3 2 3 2 2 3 3" xfId="11073" xr:uid="{00000000-0005-0000-0000-000021110000}"/>
    <cellStyle name="Millares 2 3 2 3 2 2 3 3 2" xfId="24641" xr:uid="{00000000-0005-0000-0000-000022110000}"/>
    <cellStyle name="Millares 2 3 2 3 2 2 3 3 2 2" xfId="51774" xr:uid="{00000000-0005-0000-0000-000023110000}"/>
    <cellStyle name="Millares 2 3 2 3 2 2 3 3 3" xfId="38212" xr:uid="{00000000-0005-0000-0000-000024110000}"/>
    <cellStyle name="Millares 2 3 2 3 2 2 3 4" xfId="17860" xr:uid="{00000000-0005-0000-0000-000025110000}"/>
    <cellStyle name="Millares 2 3 2 3 2 2 3 4 2" xfId="44993" xr:uid="{00000000-0005-0000-0000-000026110000}"/>
    <cellStyle name="Millares 2 3 2 3 2 2 3 5" xfId="31431" xr:uid="{00000000-0005-0000-0000-000027110000}"/>
    <cellStyle name="Millares 2 3 2 3 2 2 4" xfId="7670" xr:uid="{00000000-0005-0000-0000-000028110000}"/>
    <cellStyle name="Millares 2 3 2 3 2 2 4 2" xfId="14460" xr:uid="{00000000-0005-0000-0000-000029110000}"/>
    <cellStyle name="Millares 2 3 2 3 2 2 4 2 2" xfId="28028" xr:uid="{00000000-0005-0000-0000-00002A110000}"/>
    <cellStyle name="Millares 2 3 2 3 2 2 4 2 2 2" xfId="55161" xr:uid="{00000000-0005-0000-0000-00002B110000}"/>
    <cellStyle name="Millares 2 3 2 3 2 2 4 2 3" xfId="41599" xr:uid="{00000000-0005-0000-0000-00002C110000}"/>
    <cellStyle name="Millares 2 3 2 3 2 2 4 3" xfId="21247" xr:uid="{00000000-0005-0000-0000-00002D110000}"/>
    <cellStyle name="Millares 2 3 2 3 2 2 4 3 2" xfId="48380" xr:uid="{00000000-0005-0000-0000-00002E110000}"/>
    <cellStyle name="Millares 2 3 2 3 2 2 4 4" xfId="34818" xr:uid="{00000000-0005-0000-0000-00002F110000}"/>
    <cellStyle name="Millares 2 3 2 3 2 2 5" xfId="11071" xr:uid="{00000000-0005-0000-0000-000030110000}"/>
    <cellStyle name="Millares 2 3 2 3 2 2 5 2" xfId="24639" xr:uid="{00000000-0005-0000-0000-000031110000}"/>
    <cellStyle name="Millares 2 3 2 3 2 2 5 2 2" xfId="51772" xr:uid="{00000000-0005-0000-0000-000032110000}"/>
    <cellStyle name="Millares 2 3 2 3 2 2 5 3" xfId="38210" xr:uid="{00000000-0005-0000-0000-000033110000}"/>
    <cellStyle name="Millares 2 3 2 3 2 2 6" xfId="17858" xr:uid="{00000000-0005-0000-0000-000034110000}"/>
    <cellStyle name="Millares 2 3 2 3 2 2 6 2" xfId="44991" xr:uid="{00000000-0005-0000-0000-000035110000}"/>
    <cellStyle name="Millares 2 3 2 3 2 2 7" xfId="31429" xr:uid="{00000000-0005-0000-0000-000036110000}"/>
    <cellStyle name="Millares 2 3 2 3 2 3" xfId="4062" xr:uid="{00000000-0005-0000-0000-000037110000}"/>
    <cellStyle name="Millares 2 3 2 3 2 3 2" xfId="4063" xr:uid="{00000000-0005-0000-0000-000038110000}"/>
    <cellStyle name="Millares 2 3 2 3 2 3 2 2" xfId="7674" xr:uid="{00000000-0005-0000-0000-000039110000}"/>
    <cellStyle name="Millares 2 3 2 3 2 3 2 2 2" xfId="14464" xr:uid="{00000000-0005-0000-0000-00003A110000}"/>
    <cellStyle name="Millares 2 3 2 3 2 3 2 2 2 2" xfId="28032" xr:uid="{00000000-0005-0000-0000-00003B110000}"/>
    <cellStyle name="Millares 2 3 2 3 2 3 2 2 2 2 2" xfId="55165" xr:uid="{00000000-0005-0000-0000-00003C110000}"/>
    <cellStyle name="Millares 2 3 2 3 2 3 2 2 2 3" xfId="41603" xr:uid="{00000000-0005-0000-0000-00003D110000}"/>
    <cellStyle name="Millares 2 3 2 3 2 3 2 2 3" xfId="21251" xr:uid="{00000000-0005-0000-0000-00003E110000}"/>
    <cellStyle name="Millares 2 3 2 3 2 3 2 2 3 2" xfId="48384" xr:uid="{00000000-0005-0000-0000-00003F110000}"/>
    <cellStyle name="Millares 2 3 2 3 2 3 2 2 4" xfId="34822" xr:uid="{00000000-0005-0000-0000-000040110000}"/>
    <cellStyle name="Millares 2 3 2 3 2 3 2 3" xfId="11075" xr:uid="{00000000-0005-0000-0000-000041110000}"/>
    <cellStyle name="Millares 2 3 2 3 2 3 2 3 2" xfId="24643" xr:uid="{00000000-0005-0000-0000-000042110000}"/>
    <cellStyle name="Millares 2 3 2 3 2 3 2 3 2 2" xfId="51776" xr:uid="{00000000-0005-0000-0000-000043110000}"/>
    <cellStyle name="Millares 2 3 2 3 2 3 2 3 3" xfId="38214" xr:uid="{00000000-0005-0000-0000-000044110000}"/>
    <cellStyle name="Millares 2 3 2 3 2 3 2 4" xfId="17862" xr:uid="{00000000-0005-0000-0000-000045110000}"/>
    <cellStyle name="Millares 2 3 2 3 2 3 2 4 2" xfId="44995" xr:uid="{00000000-0005-0000-0000-000046110000}"/>
    <cellStyle name="Millares 2 3 2 3 2 3 2 5" xfId="31433" xr:uid="{00000000-0005-0000-0000-000047110000}"/>
    <cellStyle name="Millares 2 3 2 3 2 3 3" xfId="7673" xr:uid="{00000000-0005-0000-0000-000048110000}"/>
    <cellStyle name="Millares 2 3 2 3 2 3 3 2" xfId="14463" xr:uid="{00000000-0005-0000-0000-000049110000}"/>
    <cellStyle name="Millares 2 3 2 3 2 3 3 2 2" xfId="28031" xr:uid="{00000000-0005-0000-0000-00004A110000}"/>
    <cellStyle name="Millares 2 3 2 3 2 3 3 2 2 2" xfId="55164" xr:uid="{00000000-0005-0000-0000-00004B110000}"/>
    <cellStyle name="Millares 2 3 2 3 2 3 3 2 3" xfId="41602" xr:uid="{00000000-0005-0000-0000-00004C110000}"/>
    <cellStyle name="Millares 2 3 2 3 2 3 3 3" xfId="21250" xr:uid="{00000000-0005-0000-0000-00004D110000}"/>
    <cellStyle name="Millares 2 3 2 3 2 3 3 3 2" xfId="48383" xr:uid="{00000000-0005-0000-0000-00004E110000}"/>
    <cellStyle name="Millares 2 3 2 3 2 3 3 4" xfId="34821" xr:uid="{00000000-0005-0000-0000-00004F110000}"/>
    <cellStyle name="Millares 2 3 2 3 2 3 4" xfId="11074" xr:uid="{00000000-0005-0000-0000-000050110000}"/>
    <cellStyle name="Millares 2 3 2 3 2 3 4 2" xfId="24642" xr:uid="{00000000-0005-0000-0000-000051110000}"/>
    <cellStyle name="Millares 2 3 2 3 2 3 4 2 2" xfId="51775" xr:uid="{00000000-0005-0000-0000-000052110000}"/>
    <cellStyle name="Millares 2 3 2 3 2 3 4 3" xfId="38213" xr:uid="{00000000-0005-0000-0000-000053110000}"/>
    <cellStyle name="Millares 2 3 2 3 2 3 5" xfId="17861" xr:uid="{00000000-0005-0000-0000-000054110000}"/>
    <cellStyle name="Millares 2 3 2 3 2 3 5 2" xfId="44994" xr:uid="{00000000-0005-0000-0000-000055110000}"/>
    <cellStyle name="Millares 2 3 2 3 2 3 6" xfId="31432" xr:uid="{00000000-0005-0000-0000-000056110000}"/>
    <cellStyle name="Millares 2 3 2 3 2 4" xfId="4064" xr:uid="{00000000-0005-0000-0000-000057110000}"/>
    <cellStyle name="Millares 2 3 2 3 2 4 2" xfId="7675" xr:uid="{00000000-0005-0000-0000-000058110000}"/>
    <cellStyle name="Millares 2 3 2 3 2 4 2 2" xfId="14465" xr:uid="{00000000-0005-0000-0000-000059110000}"/>
    <cellStyle name="Millares 2 3 2 3 2 4 2 2 2" xfId="28033" xr:uid="{00000000-0005-0000-0000-00005A110000}"/>
    <cellStyle name="Millares 2 3 2 3 2 4 2 2 2 2" xfId="55166" xr:uid="{00000000-0005-0000-0000-00005B110000}"/>
    <cellStyle name="Millares 2 3 2 3 2 4 2 2 3" xfId="41604" xr:uid="{00000000-0005-0000-0000-00005C110000}"/>
    <cellStyle name="Millares 2 3 2 3 2 4 2 3" xfId="21252" xr:uid="{00000000-0005-0000-0000-00005D110000}"/>
    <cellStyle name="Millares 2 3 2 3 2 4 2 3 2" xfId="48385" xr:uid="{00000000-0005-0000-0000-00005E110000}"/>
    <cellStyle name="Millares 2 3 2 3 2 4 2 4" xfId="34823" xr:uid="{00000000-0005-0000-0000-00005F110000}"/>
    <cellStyle name="Millares 2 3 2 3 2 4 3" xfId="11076" xr:uid="{00000000-0005-0000-0000-000060110000}"/>
    <cellStyle name="Millares 2 3 2 3 2 4 3 2" xfId="24644" xr:uid="{00000000-0005-0000-0000-000061110000}"/>
    <cellStyle name="Millares 2 3 2 3 2 4 3 2 2" xfId="51777" xr:uid="{00000000-0005-0000-0000-000062110000}"/>
    <cellStyle name="Millares 2 3 2 3 2 4 3 3" xfId="38215" xr:uid="{00000000-0005-0000-0000-000063110000}"/>
    <cellStyle name="Millares 2 3 2 3 2 4 4" xfId="17863" xr:uid="{00000000-0005-0000-0000-000064110000}"/>
    <cellStyle name="Millares 2 3 2 3 2 4 4 2" xfId="44996" xr:uid="{00000000-0005-0000-0000-000065110000}"/>
    <cellStyle name="Millares 2 3 2 3 2 4 5" xfId="31434" xr:uid="{00000000-0005-0000-0000-000066110000}"/>
    <cellStyle name="Millares 2 3 2 3 2 5" xfId="4065" xr:uid="{00000000-0005-0000-0000-000067110000}"/>
    <cellStyle name="Millares 2 3 2 3 2 5 2" xfId="7676" xr:uid="{00000000-0005-0000-0000-000068110000}"/>
    <cellStyle name="Millares 2 3 2 3 2 5 2 2" xfId="14466" xr:uid="{00000000-0005-0000-0000-000069110000}"/>
    <cellStyle name="Millares 2 3 2 3 2 5 2 2 2" xfId="28034" xr:uid="{00000000-0005-0000-0000-00006A110000}"/>
    <cellStyle name="Millares 2 3 2 3 2 5 2 2 2 2" xfId="55167" xr:uid="{00000000-0005-0000-0000-00006B110000}"/>
    <cellStyle name="Millares 2 3 2 3 2 5 2 2 3" xfId="41605" xr:uid="{00000000-0005-0000-0000-00006C110000}"/>
    <cellStyle name="Millares 2 3 2 3 2 5 2 3" xfId="21253" xr:uid="{00000000-0005-0000-0000-00006D110000}"/>
    <cellStyle name="Millares 2 3 2 3 2 5 2 3 2" xfId="48386" xr:uid="{00000000-0005-0000-0000-00006E110000}"/>
    <cellStyle name="Millares 2 3 2 3 2 5 2 4" xfId="34824" xr:uid="{00000000-0005-0000-0000-00006F110000}"/>
    <cellStyle name="Millares 2 3 2 3 2 5 3" xfId="11077" xr:uid="{00000000-0005-0000-0000-000070110000}"/>
    <cellStyle name="Millares 2 3 2 3 2 5 3 2" xfId="24645" xr:uid="{00000000-0005-0000-0000-000071110000}"/>
    <cellStyle name="Millares 2 3 2 3 2 5 3 2 2" xfId="51778" xr:uid="{00000000-0005-0000-0000-000072110000}"/>
    <cellStyle name="Millares 2 3 2 3 2 5 3 3" xfId="38216" xr:uid="{00000000-0005-0000-0000-000073110000}"/>
    <cellStyle name="Millares 2 3 2 3 2 5 4" xfId="17864" xr:uid="{00000000-0005-0000-0000-000074110000}"/>
    <cellStyle name="Millares 2 3 2 3 2 5 4 2" xfId="44997" xr:uid="{00000000-0005-0000-0000-000075110000}"/>
    <cellStyle name="Millares 2 3 2 3 2 5 5" xfId="31435" xr:uid="{00000000-0005-0000-0000-000076110000}"/>
    <cellStyle name="Millares 2 3 2 3 2 6" xfId="7669" xr:uid="{00000000-0005-0000-0000-000077110000}"/>
    <cellStyle name="Millares 2 3 2 3 2 6 2" xfId="14459" xr:uid="{00000000-0005-0000-0000-000078110000}"/>
    <cellStyle name="Millares 2 3 2 3 2 6 2 2" xfId="28027" xr:uid="{00000000-0005-0000-0000-000079110000}"/>
    <cellStyle name="Millares 2 3 2 3 2 6 2 2 2" xfId="55160" xr:uid="{00000000-0005-0000-0000-00007A110000}"/>
    <cellStyle name="Millares 2 3 2 3 2 6 2 3" xfId="41598" xr:uid="{00000000-0005-0000-0000-00007B110000}"/>
    <cellStyle name="Millares 2 3 2 3 2 6 3" xfId="21246" xr:uid="{00000000-0005-0000-0000-00007C110000}"/>
    <cellStyle name="Millares 2 3 2 3 2 6 3 2" xfId="48379" xr:uid="{00000000-0005-0000-0000-00007D110000}"/>
    <cellStyle name="Millares 2 3 2 3 2 6 4" xfId="34817" xr:uid="{00000000-0005-0000-0000-00007E110000}"/>
    <cellStyle name="Millares 2 3 2 3 2 7" xfId="11070" xr:uid="{00000000-0005-0000-0000-00007F110000}"/>
    <cellStyle name="Millares 2 3 2 3 2 7 2" xfId="24638" xr:uid="{00000000-0005-0000-0000-000080110000}"/>
    <cellStyle name="Millares 2 3 2 3 2 7 2 2" xfId="51771" xr:uid="{00000000-0005-0000-0000-000081110000}"/>
    <cellStyle name="Millares 2 3 2 3 2 7 3" xfId="38209" xr:uid="{00000000-0005-0000-0000-000082110000}"/>
    <cellStyle name="Millares 2 3 2 3 2 8" xfId="17857" xr:uid="{00000000-0005-0000-0000-000083110000}"/>
    <cellStyle name="Millares 2 3 2 3 2 8 2" xfId="44990" xr:uid="{00000000-0005-0000-0000-000084110000}"/>
    <cellStyle name="Millares 2 3 2 3 2 9" xfId="31428" xr:uid="{00000000-0005-0000-0000-000085110000}"/>
    <cellStyle name="Millares 2 3 2 3 3" xfId="4066" xr:uid="{00000000-0005-0000-0000-000086110000}"/>
    <cellStyle name="Millares 2 3 2 3 3 2" xfId="4067" xr:uid="{00000000-0005-0000-0000-000087110000}"/>
    <cellStyle name="Millares 2 3 2 3 3 2 2" xfId="7678" xr:uid="{00000000-0005-0000-0000-000088110000}"/>
    <cellStyle name="Millares 2 3 2 3 3 2 2 2" xfId="14468" xr:uid="{00000000-0005-0000-0000-000089110000}"/>
    <cellStyle name="Millares 2 3 2 3 3 2 2 2 2" xfId="28036" xr:uid="{00000000-0005-0000-0000-00008A110000}"/>
    <cellStyle name="Millares 2 3 2 3 3 2 2 2 2 2" xfId="55169" xr:uid="{00000000-0005-0000-0000-00008B110000}"/>
    <cellStyle name="Millares 2 3 2 3 3 2 2 2 3" xfId="41607" xr:uid="{00000000-0005-0000-0000-00008C110000}"/>
    <cellStyle name="Millares 2 3 2 3 3 2 2 3" xfId="21255" xr:uid="{00000000-0005-0000-0000-00008D110000}"/>
    <cellStyle name="Millares 2 3 2 3 3 2 2 3 2" xfId="48388" xr:uid="{00000000-0005-0000-0000-00008E110000}"/>
    <cellStyle name="Millares 2 3 2 3 3 2 2 4" xfId="34826" xr:uid="{00000000-0005-0000-0000-00008F110000}"/>
    <cellStyle name="Millares 2 3 2 3 3 2 3" xfId="11079" xr:uid="{00000000-0005-0000-0000-000090110000}"/>
    <cellStyle name="Millares 2 3 2 3 3 2 3 2" xfId="24647" xr:uid="{00000000-0005-0000-0000-000091110000}"/>
    <cellStyle name="Millares 2 3 2 3 3 2 3 2 2" xfId="51780" xr:uid="{00000000-0005-0000-0000-000092110000}"/>
    <cellStyle name="Millares 2 3 2 3 3 2 3 3" xfId="38218" xr:uid="{00000000-0005-0000-0000-000093110000}"/>
    <cellStyle name="Millares 2 3 2 3 3 2 4" xfId="17866" xr:uid="{00000000-0005-0000-0000-000094110000}"/>
    <cellStyle name="Millares 2 3 2 3 3 2 4 2" xfId="44999" xr:uid="{00000000-0005-0000-0000-000095110000}"/>
    <cellStyle name="Millares 2 3 2 3 3 2 5" xfId="31437" xr:uid="{00000000-0005-0000-0000-000096110000}"/>
    <cellStyle name="Millares 2 3 2 3 3 3" xfId="4068" xr:uid="{00000000-0005-0000-0000-000097110000}"/>
    <cellStyle name="Millares 2 3 2 3 3 3 2" xfId="7679" xr:uid="{00000000-0005-0000-0000-000098110000}"/>
    <cellStyle name="Millares 2 3 2 3 3 3 2 2" xfId="14469" xr:uid="{00000000-0005-0000-0000-000099110000}"/>
    <cellStyle name="Millares 2 3 2 3 3 3 2 2 2" xfId="28037" xr:uid="{00000000-0005-0000-0000-00009A110000}"/>
    <cellStyle name="Millares 2 3 2 3 3 3 2 2 2 2" xfId="55170" xr:uid="{00000000-0005-0000-0000-00009B110000}"/>
    <cellStyle name="Millares 2 3 2 3 3 3 2 2 3" xfId="41608" xr:uid="{00000000-0005-0000-0000-00009C110000}"/>
    <cellStyle name="Millares 2 3 2 3 3 3 2 3" xfId="21256" xr:uid="{00000000-0005-0000-0000-00009D110000}"/>
    <cellStyle name="Millares 2 3 2 3 3 3 2 3 2" xfId="48389" xr:uid="{00000000-0005-0000-0000-00009E110000}"/>
    <cellStyle name="Millares 2 3 2 3 3 3 2 4" xfId="34827" xr:uid="{00000000-0005-0000-0000-00009F110000}"/>
    <cellStyle name="Millares 2 3 2 3 3 3 3" xfId="11080" xr:uid="{00000000-0005-0000-0000-0000A0110000}"/>
    <cellStyle name="Millares 2 3 2 3 3 3 3 2" xfId="24648" xr:uid="{00000000-0005-0000-0000-0000A1110000}"/>
    <cellStyle name="Millares 2 3 2 3 3 3 3 2 2" xfId="51781" xr:uid="{00000000-0005-0000-0000-0000A2110000}"/>
    <cellStyle name="Millares 2 3 2 3 3 3 3 3" xfId="38219" xr:uid="{00000000-0005-0000-0000-0000A3110000}"/>
    <cellStyle name="Millares 2 3 2 3 3 3 4" xfId="17867" xr:uid="{00000000-0005-0000-0000-0000A4110000}"/>
    <cellStyle name="Millares 2 3 2 3 3 3 4 2" xfId="45000" xr:uid="{00000000-0005-0000-0000-0000A5110000}"/>
    <cellStyle name="Millares 2 3 2 3 3 3 5" xfId="31438" xr:uid="{00000000-0005-0000-0000-0000A6110000}"/>
    <cellStyle name="Millares 2 3 2 3 3 4" xfId="7677" xr:uid="{00000000-0005-0000-0000-0000A7110000}"/>
    <cellStyle name="Millares 2 3 2 3 3 4 2" xfId="14467" xr:uid="{00000000-0005-0000-0000-0000A8110000}"/>
    <cellStyle name="Millares 2 3 2 3 3 4 2 2" xfId="28035" xr:uid="{00000000-0005-0000-0000-0000A9110000}"/>
    <cellStyle name="Millares 2 3 2 3 3 4 2 2 2" xfId="55168" xr:uid="{00000000-0005-0000-0000-0000AA110000}"/>
    <cellStyle name="Millares 2 3 2 3 3 4 2 3" xfId="41606" xr:uid="{00000000-0005-0000-0000-0000AB110000}"/>
    <cellStyle name="Millares 2 3 2 3 3 4 3" xfId="21254" xr:uid="{00000000-0005-0000-0000-0000AC110000}"/>
    <cellStyle name="Millares 2 3 2 3 3 4 3 2" xfId="48387" xr:uid="{00000000-0005-0000-0000-0000AD110000}"/>
    <cellStyle name="Millares 2 3 2 3 3 4 4" xfId="34825" xr:uid="{00000000-0005-0000-0000-0000AE110000}"/>
    <cellStyle name="Millares 2 3 2 3 3 5" xfId="11078" xr:uid="{00000000-0005-0000-0000-0000AF110000}"/>
    <cellStyle name="Millares 2 3 2 3 3 5 2" xfId="24646" xr:uid="{00000000-0005-0000-0000-0000B0110000}"/>
    <cellStyle name="Millares 2 3 2 3 3 5 2 2" xfId="51779" xr:uid="{00000000-0005-0000-0000-0000B1110000}"/>
    <cellStyle name="Millares 2 3 2 3 3 5 3" xfId="38217" xr:uid="{00000000-0005-0000-0000-0000B2110000}"/>
    <cellStyle name="Millares 2 3 2 3 3 6" xfId="17865" xr:uid="{00000000-0005-0000-0000-0000B3110000}"/>
    <cellStyle name="Millares 2 3 2 3 3 6 2" xfId="44998" xr:uid="{00000000-0005-0000-0000-0000B4110000}"/>
    <cellStyle name="Millares 2 3 2 3 3 7" xfId="31436" xr:uid="{00000000-0005-0000-0000-0000B5110000}"/>
    <cellStyle name="Millares 2 3 2 3 4" xfId="4069" xr:uid="{00000000-0005-0000-0000-0000B6110000}"/>
    <cellStyle name="Millares 2 3 2 3 4 2" xfId="4070" xr:uid="{00000000-0005-0000-0000-0000B7110000}"/>
    <cellStyle name="Millares 2 3 2 3 4 2 2" xfId="7681" xr:uid="{00000000-0005-0000-0000-0000B8110000}"/>
    <cellStyle name="Millares 2 3 2 3 4 2 2 2" xfId="14471" xr:uid="{00000000-0005-0000-0000-0000B9110000}"/>
    <cellStyle name="Millares 2 3 2 3 4 2 2 2 2" xfId="28039" xr:uid="{00000000-0005-0000-0000-0000BA110000}"/>
    <cellStyle name="Millares 2 3 2 3 4 2 2 2 2 2" xfId="55172" xr:uid="{00000000-0005-0000-0000-0000BB110000}"/>
    <cellStyle name="Millares 2 3 2 3 4 2 2 2 3" xfId="41610" xr:uid="{00000000-0005-0000-0000-0000BC110000}"/>
    <cellStyle name="Millares 2 3 2 3 4 2 2 3" xfId="21258" xr:uid="{00000000-0005-0000-0000-0000BD110000}"/>
    <cellStyle name="Millares 2 3 2 3 4 2 2 3 2" xfId="48391" xr:uid="{00000000-0005-0000-0000-0000BE110000}"/>
    <cellStyle name="Millares 2 3 2 3 4 2 2 4" xfId="34829" xr:uid="{00000000-0005-0000-0000-0000BF110000}"/>
    <cellStyle name="Millares 2 3 2 3 4 2 3" xfId="11082" xr:uid="{00000000-0005-0000-0000-0000C0110000}"/>
    <cellStyle name="Millares 2 3 2 3 4 2 3 2" xfId="24650" xr:uid="{00000000-0005-0000-0000-0000C1110000}"/>
    <cellStyle name="Millares 2 3 2 3 4 2 3 2 2" xfId="51783" xr:uid="{00000000-0005-0000-0000-0000C2110000}"/>
    <cellStyle name="Millares 2 3 2 3 4 2 3 3" xfId="38221" xr:uid="{00000000-0005-0000-0000-0000C3110000}"/>
    <cellStyle name="Millares 2 3 2 3 4 2 4" xfId="17869" xr:uid="{00000000-0005-0000-0000-0000C4110000}"/>
    <cellStyle name="Millares 2 3 2 3 4 2 4 2" xfId="45002" xr:uid="{00000000-0005-0000-0000-0000C5110000}"/>
    <cellStyle name="Millares 2 3 2 3 4 2 5" xfId="31440" xr:uid="{00000000-0005-0000-0000-0000C6110000}"/>
    <cellStyle name="Millares 2 3 2 3 4 3" xfId="7680" xr:uid="{00000000-0005-0000-0000-0000C7110000}"/>
    <cellStyle name="Millares 2 3 2 3 4 3 2" xfId="14470" xr:uid="{00000000-0005-0000-0000-0000C8110000}"/>
    <cellStyle name="Millares 2 3 2 3 4 3 2 2" xfId="28038" xr:uid="{00000000-0005-0000-0000-0000C9110000}"/>
    <cellStyle name="Millares 2 3 2 3 4 3 2 2 2" xfId="55171" xr:uid="{00000000-0005-0000-0000-0000CA110000}"/>
    <cellStyle name="Millares 2 3 2 3 4 3 2 3" xfId="41609" xr:uid="{00000000-0005-0000-0000-0000CB110000}"/>
    <cellStyle name="Millares 2 3 2 3 4 3 3" xfId="21257" xr:uid="{00000000-0005-0000-0000-0000CC110000}"/>
    <cellStyle name="Millares 2 3 2 3 4 3 3 2" xfId="48390" xr:uid="{00000000-0005-0000-0000-0000CD110000}"/>
    <cellStyle name="Millares 2 3 2 3 4 3 4" xfId="34828" xr:uid="{00000000-0005-0000-0000-0000CE110000}"/>
    <cellStyle name="Millares 2 3 2 3 4 4" xfId="11081" xr:uid="{00000000-0005-0000-0000-0000CF110000}"/>
    <cellStyle name="Millares 2 3 2 3 4 4 2" xfId="24649" xr:uid="{00000000-0005-0000-0000-0000D0110000}"/>
    <cellStyle name="Millares 2 3 2 3 4 4 2 2" xfId="51782" xr:uid="{00000000-0005-0000-0000-0000D1110000}"/>
    <cellStyle name="Millares 2 3 2 3 4 4 3" xfId="38220" xr:uid="{00000000-0005-0000-0000-0000D2110000}"/>
    <cellStyle name="Millares 2 3 2 3 4 5" xfId="17868" xr:uid="{00000000-0005-0000-0000-0000D3110000}"/>
    <cellStyle name="Millares 2 3 2 3 4 5 2" xfId="45001" xr:uid="{00000000-0005-0000-0000-0000D4110000}"/>
    <cellStyle name="Millares 2 3 2 3 4 6" xfId="31439" xr:uid="{00000000-0005-0000-0000-0000D5110000}"/>
    <cellStyle name="Millares 2 3 2 3 5" xfId="4071" xr:uid="{00000000-0005-0000-0000-0000D6110000}"/>
    <cellStyle name="Millares 2 3 2 3 5 2" xfId="7682" xr:uid="{00000000-0005-0000-0000-0000D7110000}"/>
    <cellStyle name="Millares 2 3 2 3 5 2 2" xfId="14472" xr:uid="{00000000-0005-0000-0000-0000D8110000}"/>
    <cellStyle name="Millares 2 3 2 3 5 2 2 2" xfId="28040" xr:uid="{00000000-0005-0000-0000-0000D9110000}"/>
    <cellStyle name="Millares 2 3 2 3 5 2 2 2 2" xfId="55173" xr:uid="{00000000-0005-0000-0000-0000DA110000}"/>
    <cellStyle name="Millares 2 3 2 3 5 2 2 3" xfId="41611" xr:uid="{00000000-0005-0000-0000-0000DB110000}"/>
    <cellStyle name="Millares 2 3 2 3 5 2 3" xfId="21259" xr:uid="{00000000-0005-0000-0000-0000DC110000}"/>
    <cellStyle name="Millares 2 3 2 3 5 2 3 2" xfId="48392" xr:uid="{00000000-0005-0000-0000-0000DD110000}"/>
    <cellStyle name="Millares 2 3 2 3 5 2 4" xfId="34830" xr:uid="{00000000-0005-0000-0000-0000DE110000}"/>
    <cellStyle name="Millares 2 3 2 3 5 3" xfId="11083" xr:uid="{00000000-0005-0000-0000-0000DF110000}"/>
    <cellStyle name="Millares 2 3 2 3 5 3 2" xfId="24651" xr:uid="{00000000-0005-0000-0000-0000E0110000}"/>
    <cellStyle name="Millares 2 3 2 3 5 3 2 2" xfId="51784" xr:uid="{00000000-0005-0000-0000-0000E1110000}"/>
    <cellStyle name="Millares 2 3 2 3 5 3 3" xfId="38222" xr:uid="{00000000-0005-0000-0000-0000E2110000}"/>
    <cellStyle name="Millares 2 3 2 3 5 4" xfId="17870" xr:uid="{00000000-0005-0000-0000-0000E3110000}"/>
    <cellStyle name="Millares 2 3 2 3 5 4 2" xfId="45003" xr:uid="{00000000-0005-0000-0000-0000E4110000}"/>
    <cellStyle name="Millares 2 3 2 3 5 5" xfId="31441" xr:uid="{00000000-0005-0000-0000-0000E5110000}"/>
    <cellStyle name="Millares 2 3 2 3 6" xfId="4072" xr:uid="{00000000-0005-0000-0000-0000E6110000}"/>
    <cellStyle name="Millares 2 3 2 3 6 2" xfId="7683" xr:uid="{00000000-0005-0000-0000-0000E7110000}"/>
    <cellStyle name="Millares 2 3 2 3 6 2 2" xfId="14473" xr:uid="{00000000-0005-0000-0000-0000E8110000}"/>
    <cellStyle name="Millares 2 3 2 3 6 2 2 2" xfId="28041" xr:uid="{00000000-0005-0000-0000-0000E9110000}"/>
    <cellStyle name="Millares 2 3 2 3 6 2 2 2 2" xfId="55174" xr:uid="{00000000-0005-0000-0000-0000EA110000}"/>
    <cellStyle name="Millares 2 3 2 3 6 2 2 3" xfId="41612" xr:uid="{00000000-0005-0000-0000-0000EB110000}"/>
    <cellStyle name="Millares 2 3 2 3 6 2 3" xfId="21260" xr:uid="{00000000-0005-0000-0000-0000EC110000}"/>
    <cellStyle name="Millares 2 3 2 3 6 2 3 2" xfId="48393" xr:uid="{00000000-0005-0000-0000-0000ED110000}"/>
    <cellStyle name="Millares 2 3 2 3 6 2 4" xfId="34831" xr:uid="{00000000-0005-0000-0000-0000EE110000}"/>
    <cellStyle name="Millares 2 3 2 3 6 3" xfId="11084" xr:uid="{00000000-0005-0000-0000-0000EF110000}"/>
    <cellStyle name="Millares 2 3 2 3 6 3 2" xfId="24652" xr:uid="{00000000-0005-0000-0000-0000F0110000}"/>
    <cellStyle name="Millares 2 3 2 3 6 3 2 2" xfId="51785" xr:uid="{00000000-0005-0000-0000-0000F1110000}"/>
    <cellStyle name="Millares 2 3 2 3 6 3 3" xfId="38223" xr:uid="{00000000-0005-0000-0000-0000F2110000}"/>
    <cellStyle name="Millares 2 3 2 3 6 4" xfId="17871" xr:uid="{00000000-0005-0000-0000-0000F3110000}"/>
    <cellStyle name="Millares 2 3 2 3 6 4 2" xfId="45004" xr:uid="{00000000-0005-0000-0000-0000F4110000}"/>
    <cellStyle name="Millares 2 3 2 3 6 5" xfId="31442" xr:uid="{00000000-0005-0000-0000-0000F5110000}"/>
    <cellStyle name="Millares 2 3 2 3 7" xfId="7668" xr:uid="{00000000-0005-0000-0000-0000F6110000}"/>
    <cellStyle name="Millares 2 3 2 3 7 2" xfId="14458" xr:uid="{00000000-0005-0000-0000-0000F7110000}"/>
    <cellStyle name="Millares 2 3 2 3 7 2 2" xfId="28026" xr:uid="{00000000-0005-0000-0000-0000F8110000}"/>
    <cellStyle name="Millares 2 3 2 3 7 2 2 2" xfId="55159" xr:uid="{00000000-0005-0000-0000-0000F9110000}"/>
    <cellStyle name="Millares 2 3 2 3 7 2 3" xfId="41597" xr:uid="{00000000-0005-0000-0000-0000FA110000}"/>
    <cellStyle name="Millares 2 3 2 3 7 3" xfId="21245" xr:uid="{00000000-0005-0000-0000-0000FB110000}"/>
    <cellStyle name="Millares 2 3 2 3 7 3 2" xfId="48378" xr:uid="{00000000-0005-0000-0000-0000FC110000}"/>
    <cellStyle name="Millares 2 3 2 3 7 4" xfId="34816" xr:uid="{00000000-0005-0000-0000-0000FD110000}"/>
    <cellStyle name="Millares 2 3 2 3 8" xfId="11069" xr:uid="{00000000-0005-0000-0000-0000FE110000}"/>
    <cellStyle name="Millares 2 3 2 3 8 2" xfId="24637" xr:uid="{00000000-0005-0000-0000-0000FF110000}"/>
    <cellStyle name="Millares 2 3 2 3 8 2 2" xfId="51770" xr:uid="{00000000-0005-0000-0000-000000120000}"/>
    <cellStyle name="Millares 2 3 2 3 8 3" xfId="38208" xr:uid="{00000000-0005-0000-0000-000001120000}"/>
    <cellStyle name="Millares 2 3 2 3 9" xfId="17856" xr:uid="{00000000-0005-0000-0000-000002120000}"/>
    <cellStyle name="Millares 2 3 2 3 9 2" xfId="44989" xr:uid="{00000000-0005-0000-0000-000003120000}"/>
    <cellStyle name="Millares 2 3 2 4" xfId="4073" xr:uid="{00000000-0005-0000-0000-000004120000}"/>
    <cellStyle name="Millares 2 3 2 4 2" xfId="4074" xr:uid="{00000000-0005-0000-0000-000005120000}"/>
    <cellStyle name="Millares 2 3 2 4 2 2" xfId="4075" xr:uid="{00000000-0005-0000-0000-000006120000}"/>
    <cellStyle name="Millares 2 3 2 4 2 2 2" xfId="7686" xr:uid="{00000000-0005-0000-0000-000007120000}"/>
    <cellStyle name="Millares 2 3 2 4 2 2 2 2" xfId="14476" xr:uid="{00000000-0005-0000-0000-000008120000}"/>
    <cellStyle name="Millares 2 3 2 4 2 2 2 2 2" xfId="28044" xr:uid="{00000000-0005-0000-0000-000009120000}"/>
    <cellStyle name="Millares 2 3 2 4 2 2 2 2 2 2" xfId="55177" xr:uid="{00000000-0005-0000-0000-00000A120000}"/>
    <cellStyle name="Millares 2 3 2 4 2 2 2 2 3" xfId="41615" xr:uid="{00000000-0005-0000-0000-00000B120000}"/>
    <cellStyle name="Millares 2 3 2 4 2 2 2 3" xfId="21263" xr:uid="{00000000-0005-0000-0000-00000C120000}"/>
    <cellStyle name="Millares 2 3 2 4 2 2 2 3 2" xfId="48396" xr:uid="{00000000-0005-0000-0000-00000D120000}"/>
    <cellStyle name="Millares 2 3 2 4 2 2 2 4" xfId="34834" xr:uid="{00000000-0005-0000-0000-00000E120000}"/>
    <cellStyle name="Millares 2 3 2 4 2 2 3" xfId="11087" xr:uid="{00000000-0005-0000-0000-00000F120000}"/>
    <cellStyle name="Millares 2 3 2 4 2 2 3 2" xfId="24655" xr:uid="{00000000-0005-0000-0000-000010120000}"/>
    <cellStyle name="Millares 2 3 2 4 2 2 3 2 2" xfId="51788" xr:uid="{00000000-0005-0000-0000-000011120000}"/>
    <cellStyle name="Millares 2 3 2 4 2 2 3 3" xfId="38226" xr:uid="{00000000-0005-0000-0000-000012120000}"/>
    <cellStyle name="Millares 2 3 2 4 2 2 4" xfId="17874" xr:uid="{00000000-0005-0000-0000-000013120000}"/>
    <cellStyle name="Millares 2 3 2 4 2 2 4 2" xfId="45007" xr:uid="{00000000-0005-0000-0000-000014120000}"/>
    <cellStyle name="Millares 2 3 2 4 2 2 5" xfId="31445" xr:uid="{00000000-0005-0000-0000-000015120000}"/>
    <cellStyle name="Millares 2 3 2 4 2 3" xfId="4076" xr:uid="{00000000-0005-0000-0000-000016120000}"/>
    <cellStyle name="Millares 2 3 2 4 2 3 2" xfId="7687" xr:uid="{00000000-0005-0000-0000-000017120000}"/>
    <cellStyle name="Millares 2 3 2 4 2 3 2 2" xfId="14477" xr:uid="{00000000-0005-0000-0000-000018120000}"/>
    <cellStyle name="Millares 2 3 2 4 2 3 2 2 2" xfId="28045" xr:uid="{00000000-0005-0000-0000-000019120000}"/>
    <cellStyle name="Millares 2 3 2 4 2 3 2 2 2 2" xfId="55178" xr:uid="{00000000-0005-0000-0000-00001A120000}"/>
    <cellStyle name="Millares 2 3 2 4 2 3 2 2 3" xfId="41616" xr:uid="{00000000-0005-0000-0000-00001B120000}"/>
    <cellStyle name="Millares 2 3 2 4 2 3 2 3" xfId="21264" xr:uid="{00000000-0005-0000-0000-00001C120000}"/>
    <cellStyle name="Millares 2 3 2 4 2 3 2 3 2" xfId="48397" xr:uid="{00000000-0005-0000-0000-00001D120000}"/>
    <cellStyle name="Millares 2 3 2 4 2 3 2 4" xfId="34835" xr:uid="{00000000-0005-0000-0000-00001E120000}"/>
    <cellStyle name="Millares 2 3 2 4 2 3 3" xfId="11088" xr:uid="{00000000-0005-0000-0000-00001F120000}"/>
    <cellStyle name="Millares 2 3 2 4 2 3 3 2" xfId="24656" xr:uid="{00000000-0005-0000-0000-000020120000}"/>
    <cellStyle name="Millares 2 3 2 4 2 3 3 2 2" xfId="51789" xr:uid="{00000000-0005-0000-0000-000021120000}"/>
    <cellStyle name="Millares 2 3 2 4 2 3 3 3" xfId="38227" xr:uid="{00000000-0005-0000-0000-000022120000}"/>
    <cellStyle name="Millares 2 3 2 4 2 3 4" xfId="17875" xr:uid="{00000000-0005-0000-0000-000023120000}"/>
    <cellStyle name="Millares 2 3 2 4 2 3 4 2" xfId="45008" xr:uid="{00000000-0005-0000-0000-000024120000}"/>
    <cellStyle name="Millares 2 3 2 4 2 3 5" xfId="31446" xr:uid="{00000000-0005-0000-0000-000025120000}"/>
    <cellStyle name="Millares 2 3 2 4 2 4" xfId="7685" xr:uid="{00000000-0005-0000-0000-000026120000}"/>
    <cellStyle name="Millares 2 3 2 4 2 4 2" xfId="14475" xr:uid="{00000000-0005-0000-0000-000027120000}"/>
    <cellStyle name="Millares 2 3 2 4 2 4 2 2" xfId="28043" xr:uid="{00000000-0005-0000-0000-000028120000}"/>
    <cellStyle name="Millares 2 3 2 4 2 4 2 2 2" xfId="55176" xr:uid="{00000000-0005-0000-0000-000029120000}"/>
    <cellStyle name="Millares 2 3 2 4 2 4 2 3" xfId="41614" xr:uid="{00000000-0005-0000-0000-00002A120000}"/>
    <cellStyle name="Millares 2 3 2 4 2 4 3" xfId="21262" xr:uid="{00000000-0005-0000-0000-00002B120000}"/>
    <cellStyle name="Millares 2 3 2 4 2 4 3 2" xfId="48395" xr:uid="{00000000-0005-0000-0000-00002C120000}"/>
    <cellStyle name="Millares 2 3 2 4 2 4 4" xfId="34833" xr:uid="{00000000-0005-0000-0000-00002D120000}"/>
    <cellStyle name="Millares 2 3 2 4 2 5" xfId="11086" xr:uid="{00000000-0005-0000-0000-00002E120000}"/>
    <cellStyle name="Millares 2 3 2 4 2 5 2" xfId="24654" xr:uid="{00000000-0005-0000-0000-00002F120000}"/>
    <cellStyle name="Millares 2 3 2 4 2 5 2 2" xfId="51787" xr:uid="{00000000-0005-0000-0000-000030120000}"/>
    <cellStyle name="Millares 2 3 2 4 2 5 3" xfId="38225" xr:uid="{00000000-0005-0000-0000-000031120000}"/>
    <cellStyle name="Millares 2 3 2 4 2 6" xfId="17873" xr:uid="{00000000-0005-0000-0000-000032120000}"/>
    <cellStyle name="Millares 2 3 2 4 2 6 2" xfId="45006" xr:uid="{00000000-0005-0000-0000-000033120000}"/>
    <cellStyle name="Millares 2 3 2 4 2 7" xfId="31444" xr:uid="{00000000-0005-0000-0000-000034120000}"/>
    <cellStyle name="Millares 2 3 2 4 3" xfId="4077" xr:uid="{00000000-0005-0000-0000-000035120000}"/>
    <cellStyle name="Millares 2 3 2 4 3 2" xfId="4078" xr:uid="{00000000-0005-0000-0000-000036120000}"/>
    <cellStyle name="Millares 2 3 2 4 3 2 2" xfId="7689" xr:uid="{00000000-0005-0000-0000-000037120000}"/>
    <cellStyle name="Millares 2 3 2 4 3 2 2 2" xfId="14479" xr:uid="{00000000-0005-0000-0000-000038120000}"/>
    <cellStyle name="Millares 2 3 2 4 3 2 2 2 2" xfId="28047" xr:uid="{00000000-0005-0000-0000-000039120000}"/>
    <cellStyle name="Millares 2 3 2 4 3 2 2 2 2 2" xfId="55180" xr:uid="{00000000-0005-0000-0000-00003A120000}"/>
    <cellStyle name="Millares 2 3 2 4 3 2 2 2 3" xfId="41618" xr:uid="{00000000-0005-0000-0000-00003B120000}"/>
    <cellStyle name="Millares 2 3 2 4 3 2 2 3" xfId="21266" xr:uid="{00000000-0005-0000-0000-00003C120000}"/>
    <cellStyle name="Millares 2 3 2 4 3 2 2 3 2" xfId="48399" xr:uid="{00000000-0005-0000-0000-00003D120000}"/>
    <cellStyle name="Millares 2 3 2 4 3 2 2 4" xfId="34837" xr:uid="{00000000-0005-0000-0000-00003E120000}"/>
    <cellStyle name="Millares 2 3 2 4 3 2 3" xfId="11090" xr:uid="{00000000-0005-0000-0000-00003F120000}"/>
    <cellStyle name="Millares 2 3 2 4 3 2 3 2" xfId="24658" xr:uid="{00000000-0005-0000-0000-000040120000}"/>
    <cellStyle name="Millares 2 3 2 4 3 2 3 2 2" xfId="51791" xr:uid="{00000000-0005-0000-0000-000041120000}"/>
    <cellStyle name="Millares 2 3 2 4 3 2 3 3" xfId="38229" xr:uid="{00000000-0005-0000-0000-000042120000}"/>
    <cellStyle name="Millares 2 3 2 4 3 2 4" xfId="17877" xr:uid="{00000000-0005-0000-0000-000043120000}"/>
    <cellStyle name="Millares 2 3 2 4 3 2 4 2" xfId="45010" xr:uid="{00000000-0005-0000-0000-000044120000}"/>
    <cellStyle name="Millares 2 3 2 4 3 2 5" xfId="31448" xr:uid="{00000000-0005-0000-0000-000045120000}"/>
    <cellStyle name="Millares 2 3 2 4 3 3" xfId="7688" xr:uid="{00000000-0005-0000-0000-000046120000}"/>
    <cellStyle name="Millares 2 3 2 4 3 3 2" xfId="14478" xr:uid="{00000000-0005-0000-0000-000047120000}"/>
    <cellStyle name="Millares 2 3 2 4 3 3 2 2" xfId="28046" xr:uid="{00000000-0005-0000-0000-000048120000}"/>
    <cellStyle name="Millares 2 3 2 4 3 3 2 2 2" xfId="55179" xr:uid="{00000000-0005-0000-0000-000049120000}"/>
    <cellStyle name="Millares 2 3 2 4 3 3 2 3" xfId="41617" xr:uid="{00000000-0005-0000-0000-00004A120000}"/>
    <cellStyle name="Millares 2 3 2 4 3 3 3" xfId="21265" xr:uid="{00000000-0005-0000-0000-00004B120000}"/>
    <cellStyle name="Millares 2 3 2 4 3 3 3 2" xfId="48398" xr:uid="{00000000-0005-0000-0000-00004C120000}"/>
    <cellStyle name="Millares 2 3 2 4 3 3 4" xfId="34836" xr:uid="{00000000-0005-0000-0000-00004D120000}"/>
    <cellStyle name="Millares 2 3 2 4 3 4" xfId="11089" xr:uid="{00000000-0005-0000-0000-00004E120000}"/>
    <cellStyle name="Millares 2 3 2 4 3 4 2" xfId="24657" xr:uid="{00000000-0005-0000-0000-00004F120000}"/>
    <cellStyle name="Millares 2 3 2 4 3 4 2 2" xfId="51790" xr:uid="{00000000-0005-0000-0000-000050120000}"/>
    <cellStyle name="Millares 2 3 2 4 3 4 3" xfId="38228" xr:uid="{00000000-0005-0000-0000-000051120000}"/>
    <cellStyle name="Millares 2 3 2 4 3 5" xfId="17876" xr:uid="{00000000-0005-0000-0000-000052120000}"/>
    <cellStyle name="Millares 2 3 2 4 3 5 2" xfId="45009" xr:uid="{00000000-0005-0000-0000-000053120000}"/>
    <cellStyle name="Millares 2 3 2 4 3 6" xfId="31447" xr:uid="{00000000-0005-0000-0000-000054120000}"/>
    <cellStyle name="Millares 2 3 2 4 4" xfId="4079" xr:uid="{00000000-0005-0000-0000-000055120000}"/>
    <cellStyle name="Millares 2 3 2 4 4 2" xfId="7690" xr:uid="{00000000-0005-0000-0000-000056120000}"/>
    <cellStyle name="Millares 2 3 2 4 4 2 2" xfId="14480" xr:uid="{00000000-0005-0000-0000-000057120000}"/>
    <cellStyle name="Millares 2 3 2 4 4 2 2 2" xfId="28048" xr:uid="{00000000-0005-0000-0000-000058120000}"/>
    <cellStyle name="Millares 2 3 2 4 4 2 2 2 2" xfId="55181" xr:uid="{00000000-0005-0000-0000-000059120000}"/>
    <cellStyle name="Millares 2 3 2 4 4 2 2 3" xfId="41619" xr:uid="{00000000-0005-0000-0000-00005A120000}"/>
    <cellStyle name="Millares 2 3 2 4 4 2 3" xfId="21267" xr:uid="{00000000-0005-0000-0000-00005B120000}"/>
    <cellStyle name="Millares 2 3 2 4 4 2 3 2" xfId="48400" xr:uid="{00000000-0005-0000-0000-00005C120000}"/>
    <cellStyle name="Millares 2 3 2 4 4 2 4" xfId="34838" xr:uid="{00000000-0005-0000-0000-00005D120000}"/>
    <cellStyle name="Millares 2 3 2 4 4 3" xfId="11091" xr:uid="{00000000-0005-0000-0000-00005E120000}"/>
    <cellStyle name="Millares 2 3 2 4 4 3 2" xfId="24659" xr:uid="{00000000-0005-0000-0000-00005F120000}"/>
    <cellStyle name="Millares 2 3 2 4 4 3 2 2" xfId="51792" xr:uid="{00000000-0005-0000-0000-000060120000}"/>
    <cellStyle name="Millares 2 3 2 4 4 3 3" xfId="38230" xr:uid="{00000000-0005-0000-0000-000061120000}"/>
    <cellStyle name="Millares 2 3 2 4 4 4" xfId="17878" xr:uid="{00000000-0005-0000-0000-000062120000}"/>
    <cellStyle name="Millares 2 3 2 4 4 4 2" xfId="45011" xr:uid="{00000000-0005-0000-0000-000063120000}"/>
    <cellStyle name="Millares 2 3 2 4 4 5" xfId="31449" xr:uid="{00000000-0005-0000-0000-000064120000}"/>
    <cellStyle name="Millares 2 3 2 4 5" xfId="4080" xr:uid="{00000000-0005-0000-0000-000065120000}"/>
    <cellStyle name="Millares 2 3 2 4 5 2" xfId="7691" xr:uid="{00000000-0005-0000-0000-000066120000}"/>
    <cellStyle name="Millares 2 3 2 4 5 2 2" xfId="14481" xr:uid="{00000000-0005-0000-0000-000067120000}"/>
    <cellStyle name="Millares 2 3 2 4 5 2 2 2" xfId="28049" xr:uid="{00000000-0005-0000-0000-000068120000}"/>
    <cellStyle name="Millares 2 3 2 4 5 2 2 2 2" xfId="55182" xr:uid="{00000000-0005-0000-0000-000069120000}"/>
    <cellStyle name="Millares 2 3 2 4 5 2 2 3" xfId="41620" xr:uid="{00000000-0005-0000-0000-00006A120000}"/>
    <cellStyle name="Millares 2 3 2 4 5 2 3" xfId="21268" xr:uid="{00000000-0005-0000-0000-00006B120000}"/>
    <cellStyle name="Millares 2 3 2 4 5 2 3 2" xfId="48401" xr:uid="{00000000-0005-0000-0000-00006C120000}"/>
    <cellStyle name="Millares 2 3 2 4 5 2 4" xfId="34839" xr:uid="{00000000-0005-0000-0000-00006D120000}"/>
    <cellStyle name="Millares 2 3 2 4 5 3" xfId="11092" xr:uid="{00000000-0005-0000-0000-00006E120000}"/>
    <cellStyle name="Millares 2 3 2 4 5 3 2" xfId="24660" xr:uid="{00000000-0005-0000-0000-00006F120000}"/>
    <cellStyle name="Millares 2 3 2 4 5 3 2 2" xfId="51793" xr:uid="{00000000-0005-0000-0000-000070120000}"/>
    <cellStyle name="Millares 2 3 2 4 5 3 3" xfId="38231" xr:uid="{00000000-0005-0000-0000-000071120000}"/>
    <cellStyle name="Millares 2 3 2 4 5 4" xfId="17879" xr:uid="{00000000-0005-0000-0000-000072120000}"/>
    <cellStyle name="Millares 2 3 2 4 5 4 2" xfId="45012" xr:uid="{00000000-0005-0000-0000-000073120000}"/>
    <cellStyle name="Millares 2 3 2 4 5 5" xfId="31450" xr:uid="{00000000-0005-0000-0000-000074120000}"/>
    <cellStyle name="Millares 2 3 2 4 6" xfId="7684" xr:uid="{00000000-0005-0000-0000-000075120000}"/>
    <cellStyle name="Millares 2 3 2 4 6 2" xfId="14474" xr:uid="{00000000-0005-0000-0000-000076120000}"/>
    <cellStyle name="Millares 2 3 2 4 6 2 2" xfId="28042" xr:uid="{00000000-0005-0000-0000-000077120000}"/>
    <cellStyle name="Millares 2 3 2 4 6 2 2 2" xfId="55175" xr:uid="{00000000-0005-0000-0000-000078120000}"/>
    <cellStyle name="Millares 2 3 2 4 6 2 3" xfId="41613" xr:uid="{00000000-0005-0000-0000-000079120000}"/>
    <cellStyle name="Millares 2 3 2 4 6 3" xfId="21261" xr:uid="{00000000-0005-0000-0000-00007A120000}"/>
    <cellStyle name="Millares 2 3 2 4 6 3 2" xfId="48394" xr:uid="{00000000-0005-0000-0000-00007B120000}"/>
    <cellStyle name="Millares 2 3 2 4 6 4" xfId="34832" xr:uid="{00000000-0005-0000-0000-00007C120000}"/>
    <cellStyle name="Millares 2 3 2 4 7" xfId="11085" xr:uid="{00000000-0005-0000-0000-00007D120000}"/>
    <cellStyle name="Millares 2 3 2 4 7 2" xfId="24653" xr:uid="{00000000-0005-0000-0000-00007E120000}"/>
    <cellStyle name="Millares 2 3 2 4 7 2 2" xfId="51786" xr:uid="{00000000-0005-0000-0000-00007F120000}"/>
    <cellStyle name="Millares 2 3 2 4 7 3" xfId="38224" xr:uid="{00000000-0005-0000-0000-000080120000}"/>
    <cellStyle name="Millares 2 3 2 4 8" xfId="17872" xr:uid="{00000000-0005-0000-0000-000081120000}"/>
    <cellStyle name="Millares 2 3 2 4 8 2" xfId="45005" xr:uid="{00000000-0005-0000-0000-000082120000}"/>
    <cellStyle name="Millares 2 3 2 4 9" xfId="31443" xr:uid="{00000000-0005-0000-0000-000083120000}"/>
    <cellStyle name="Millares 2 3 2 5" xfId="4081" xr:uid="{00000000-0005-0000-0000-000084120000}"/>
    <cellStyle name="Millares 2 3 2 5 2" xfId="4082" xr:uid="{00000000-0005-0000-0000-000085120000}"/>
    <cellStyle name="Millares 2 3 2 5 2 2" xfId="4083" xr:uid="{00000000-0005-0000-0000-000086120000}"/>
    <cellStyle name="Millares 2 3 2 5 2 2 2" xfId="7694" xr:uid="{00000000-0005-0000-0000-000087120000}"/>
    <cellStyle name="Millares 2 3 2 5 2 2 2 2" xfId="14484" xr:uid="{00000000-0005-0000-0000-000088120000}"/>
    <cellStyle name="Millares 2 3 2 5 2 2 2 2 2" xfId="28052" xr:uid="{00000000-0005-0000-0000-000089120000}"/>
    <cellStyle name="Millares 2 3 2 5 2 2 2 2 2 2" xfId="55185" xr:uid="{00000000-0005-0000-0000-00008A120000}"/>
    <cellStyle name="Millares 2 3 2 5 2 2 2 2 3" xfId="41623" xr:uid="{00000000-0005-0000-0000-00008B120000}"/>
    <cellStyle name="Millares 2 3 2 5 2 2 2 3" xfId="21271" xr:uid="{00000000-0005-0000-0000-00008C120000}"/>
    <cellStyle name="Millares 2 3 2 5 2 2 2 3 2" xfId="48404" xr:uid="{00000000-0005-0000-0000-00008D120000}"/>
    <cellStyle name="Millares 2 3 2 5 2 2 2 4" xfId="34842" xr:uid="{00000000-0005-0000-0000-00008E120000}"/>
    <cellStyle name="Millares 2 3 2 5 2 2 3" xfId="11095" xr:uid="{00000000-0005-0000-0000-00008F120000}"/>
    <cellStyle name="Millares 2 3 2 5 2 2 3 2" xfId="24663" xr:uid="{00000000-0005-0000-0000-000090120000}"/>
    <cellStyle name="Millares 2 3 2 5 2 2 3 2 2" xfId="51796" xr:uid="{00000000-0005-0000-0000-000091120000}"/>
    <cellStyle name="Millares 2 3 2 5 2 2 3 3" xfId="38234" xr:uid="{00000000-0005-0000-0000-000092120000}"/>
    <cellStyle name="Millares 2 3 2 5 2 2 4" xfId="17882" xr:uid="{00000000-0005-0000-0000-000093120000}"/>
    <cellStyle name="Millares 2 3 2 5 2 2 4 2" xfId="45015" xr:uid="{00000000-0005-0000-0000-000094120000}"/>
    <cellStyle name="Millares 2 3 2 5 2 2 5" xfId="31453" xr:uid="{00000000-0005-0000-0000-000095120000}"/>
    <cellStyle name="Millares 2 3 2 5 2 3" xfId="4084" xr:uid="{00000000-0005-0000-0000-000096120000}"/>
    <cellStyle name="Millares 2 3 2 5 2 3 2" xfId="7695" xr:uid="{00000000-0005-0000-0000-000097120000}"/>
    <cellStyle name="Millares 2 3 2 5 2 3 2 2" xfId="14485" xr:uid="{00000000-0005-0000-0000-000098120000}"/>
    <cellStyle name="Millares 2 3 2 5 2 3 2 2 2" xfId="28053" xr:uid="{00000000-0005-0000-0000-000099120000}"/>
    <cellStyle name="Millares 2 3 2 5 2 3 2 2 2 2" xfId="55186" xr:uid="{00000000-0005-0000-0000-00009A120000}"/>
    <cellStyle name="Millares 2 3 2 5 2 3 2 2 3" xfId="41624" xr:uid="{00000000-0005-0000-0000-00009B120000}"/>
    <cellStyle name="Millares 2 3 2 5 2 3 2 3" xfId="21272" xr:uid="{00000000-0005-0000-0000-00009C120000}"/>
    <cellStyle name="Millares 2 3 2 5 2 3 2 3 2" xfId="48405" xr:uid="{00000000-0005-0000-0000-00009D120000}"/>
    <cellStyle name="Millares 2 3 2 5 2 3 2 4" xfId="34843" xr:uid="{00000000-0005-0000-0000-00009E120000}"/>
    <cellStyle name="Millares 2 3 2 5 2 3 3" xfId="11096" xr:uid="{00000000-0005-0000-0000-00009F120000}"/>
    <cellStyle name="Millares 2 3 2 5 2 3 3 2" xfId="24664" xr:uid="{00000000-0005-0000-0000-0000A0120000}"/>
    <cellStyle name="Millares 2 3 2 5 2 3 3 2 2" xfId="51797" xr:uid="{00000000-0005-0000-0000-0000A1120000}"/>
    <cellStyle name="Millares 2 3 2 5 2 3 3 3" xfId="38235" xr:uid="{00000000-0005-0000-0000-0000A2120000}"/>
    <cellStyle name="Millares 2 3 2 5 2 3 4" xfId="17883" xr:uid="{00000000-0005-0000-0000-0000A3120000}"/>
    <cellStyle name="Millares 2 3 2 5 2 3 4 2" xfId="45016" xr:uid="{00000000-0005-0000-0000-0000A4120000}"/>
    <cellStyle name="Millares 2 3 2 5 2 3 5" xfId="31454" xr:uid="{00000000-0005-0000-0000-0000A5120000}"/>
    <cellStyle name="Millares 2 3 2 5 2 4" xfId="7693" xr:uid="{00000000-0005-0000-0000-0000A6120000}"/>
    <cellStyle name="Millares 2 3 2 5 2 4 2" xfId="14483" xr:uid="{00000000-0005-0000-0000-0000A7120000}"/>
    <cellStyle name="Millares 2 3 2 5 2 4 2 2" xfId="28051" xr:uid="{00000000-0005-0000-0000-0000A8120000}"/>
    <cellStyle name="Millares 2 3 2 5 2 4 2 2 2" xfId="55184" xr:uid="{00000000-0005-0000-0000-0000A9120000}"/>
    <cellStyle name="Millares 2 3 2 5 2 4 2 3" xfId="41622" xr:uid="{00000000-0005-0000-0000-0000AA120000}"/>
    <cellStyle name="Millares 2 3 2 5 2 4 3" xfId="21270" xr:uid="{00000000-0005-0000-0000-0000AB120000}"/>
    <cellStyle name="Millares 2 3 2 5 2 4 3 2" xfId="48403" xr:uid="{00000000-0005-0000-0000-0000AC120000}"/>
    <cellStyle name="Millares 2 3 2 5 2 4 4" xfId="34841" xr:uid="{00000000-0005-0000-0000-0000AD120000}"/>
    <cellStyle name="Millares 2 3 2 5 2 5" xfId="11094" xr:uid="{00000000-0005-0000-0000-0000AE120000}"/>
    <cellStyle name="Millares 2 3 2 5 2 5 2" xfId="24662" xr:uid="{00000000-0005-0000-0000-0000AF120000}"/>
    <cellStyle name="Millares 2 3 2 5 2 5 2 2" xfId="51795" xr:uid="{00000000-0005-0000-0000-0000B0120000}"/>
    <cellStyle name="Millares 2 3 2 5 2 5 3" xfId="38233" xr:uid="{00000000-0005-0000-0000-0000B1120000}"/>
    <cellStyle name="Millares 2 3 2 5 2 6" xfId="17881" xr:uid="{00000000-0005-0000-0000-0000B2120000}"/>
    <cellStyle name="Millares 2 3 2 5 2 6 2" xfId="45014" xr:uid="{00000000-0005-0000-0000-0000B3120000}"/>
    <cellStyle name="Millares 2 3 2 5 2 7" xfId="31452" xr:uid="{00000000-0005-0000-0000-0000B4120000}"/>
    <cellStyle name="Millares 2 3 2 5 3" xfId="4085" xr:uid="{00000000-0005-0000-0000-0000B5120000}"/>
    <cellStyle name="Millares 2 3 2 5 3 2" xfId="7696" xr:uid="{00000000-0005-0000-0000-0000B6120000}"/>
    <cellStyle name="Millares 2 3 2 5 3 2 2" xfId="14486" xr:uid="{00000000-0005-0000-0000-0000B7120000}"/>
    <cellStyle name="Millares 2 3 2 5 3 2 2 2" xfId="28054" xr:uid="{00000000-0005-0000-0000-0000B8120000}"/>
    <cellStyle name="Millares 2 3 2 5 3 2 2 2 2" xfId="55187" xr:uid="{00000000-0005-0000-0000-0000B9120000}"/>
    <cellStyle name="Millares 2 3 2 5 3 2 2 3" xfId="41625" xr:uid="{00000000-0005-0000-0000-0000BA120000}"/>
    <cellStyle name="Millares 2 3 2 5 3 2 3" xfId="21273" xr:uid="{00000000-0005-0000-0000-0000BB120000}"/>
    <cellStyle name="Millares 2 3 2 5 3 2 3 2" xfId="48406" xr:uid="{00000000-0005-0000-0000-0000BC120000}"/>
    <cellStyle name="Millares 2 3 2 5 3 2 4" xfId="34844" xr:uid="{00000000-0005-0000-0000-0000BD120000}"/>
    <cellStyle name="Millares 2 3 2 5 3 3" xfId="11097" xr:uid="{00000000-0005-0000-0000-0000BE120000}"/>
    <cellStyle name="Millares 2 3 2 5 3 3 2" xfId="24665" xr:uid="{00000000-0005-0000-0000-0000BF120000}"/>
    <cellStyle name="Millares 2 3 2 5 3 3 2 2" xfId="51798" xr:uid="{00000000-0005-0000-0000-0000C0120000}"/>
    <cellStyle name="Millares 2 3 2 5 3 3 3" xfId="38236" xr:uid="{00000000-0005-0000-0000-0000C1120000}"/>
    <cellStyle name="Millares 2 3 2 5 3 4" xfId="17884" xr:uid="{00000000-0005-0000-0000-0000C2120000}"/>
    <cellStyle name="Millares 2 3 2 5 3 4 2" xfId="45017" xr:uid="{00000000-0005-0000-0000-0000C3120000}"/>
    <cellStyle name="Millares 2 3 2 5 3 5" xfId="31455" xr:uid="{00000000-0005-0000-0000-0000C4120000}"/>
    <cellStyle name="Millares 2 3 2 5 4" xfId="4086" xr:uid="{00000000-0005-0000-0000-0000C5120000}"/>
    <cellStyle name="Millares 2 3 2 5 4 2" xfId="7697" xr:uid="{00000000-0005-0000-0000-0000C6120000}"/>
    <cellStyle name="Millares 2 3 2 5 4 2 2" xfId="14487" xr:uid="{00000000-0005-0000-0000-0000C7120000}"/>
    <cellStyle name="Millares 2 3 2 5 4 2 2 2" xfId="28055" xr:uid="{00000000-0005-0000-0000-0000C8120000}"/>
    <cellStyle name="Millares 2 3 2 5 4 2 2 2 2" xfId="55188" xr:uid="{00000000-0005-0000-0000-0000C9120000}"/>
    <cellStyle name="Millares 2 3 2 5 4 2 2 3" xfId="41626" xr:uid="{00000000-0005-0000-0000-0000CA120000}"/>
    <cellStyle name="Millares 2 3 2 5 4 2 3" xfId="21274" xr:uid="{00000000-0005-0000-0000-0000CB120000}"/>
    <cellStyle name="Millares 2 3 2 5 4 2 3 2" xfId="48407" xr:uid="{00000000-0005-0000-0000-0000CC120000}"/>
    <cellStyle name="Millares 2 3 2 5 4 2 4" xfId="34845" xr:uid="{00000000-0005-0000-0000-0000CD120000}"/>
    <cellStyle name="Millares 2 3 2 5 4 3" xfId="11098" xr:uid="{00000000-0005-0000-0000-0000CE120000}"/>
    <cellStyle name="Millares 2 3 2 5 4 3 2" xfId="24666" xr:uid="{00000000-0005-0000-0000-0000CF120000}"/>
    <cellStyle name="Millares 2 3 2 5 4 3 2 2" xfId="51799" xr:uid="{00000000-0005-0000-0000-0000D0120000}"/>
    <cellStyle name="Millares 2 3 2 5 4 3 3" xfId="38237" xr:uid="{00000000-0005-0000-0000-0000D1120000}"/>
    <cellStyle name="Millares 2 3 2 5 4 4" xfId="17885" xr:uid="{00000000-0005-0000-0000-0000D2120000}"/>
    <cellStyle name="Millares 2 3 2 5 4 4 2" xfId="45018" xr:uid="{00000000-0005-0000-0000-0000D3120000}"/>
    <cellStyle name="Millares 2 3 2 5 4 5" xfId="31456" xr:uid="{00000000-0005-0000-0000-0000D4120000}"/>
    <cellStyle name="Millares 2 3 2 5 5" xfId="7692" xr:uid="{00000000-0005-0000-0000-0000D5120000}"/>
    <cellStyle name="Millares 2 3 2 5 5 2" xfId="14482" xr:uid="{00000000-0005-0000-0000-0000D6120000}"/>
    <cellStyle name="Millares 2 3 2 5 5 2 2" xfId="28050" xr:uid="{00000000-0005-0000-0000-0000D7120000}"/>
    <cellStyle name="Millares 2 3 2 5 5 2 2 2" xfId="55183" xr:uid="{00000000-0005-0000-0000-0000D8120000}"/>
    <cellStyle name="Millares 2 3 2 5 5 2 3" xfId="41621" xr:uid="{00000000-0005-0000-0000-0000D9120000}"/>
    <cellStyle name="Millares 2 3 2 5 5 3" xfId="21269" xr:uid="{00000000-0005-0000-0000-0000DA120000}"/>
    <cellStyle name="Millares 2 3 2 5 5 3 2" xfId="48402" xr:uid="{00000000-0005-0000-0000-0000DB120000}"/>
    <cellStyle name="Millares 2 3 2 5 5 4" xfId="34840" xr:uid="{00000000-0005-0000-0000-0000DC120000}"/>
    <cellStyle name="Millares 2 3 2 5 6" xfId="11093" xr:uid="{00000000-0005-0000-0000-0000DD120000}"/>
    <cellStyle name="Millares 2 3 2 5 6 2" xfId="24661" xr:uid="{00000000-0005-0000-0000-0000DE120000}"/>
    <cellStyle name="Millares 2 3 2 5 6 2 2" xfId="51794" xr:uid="{00000000-0005-0000-0000-0000DF120000}"/>
    <cellStyle name="Millares 2 3 2 5 6 3" xfId="38232" xr:uid="{00000000-0005-0000-0000-0000E0120000}"/>
    <cellStyle name="Millares 2 3 2 5 7" xfId="17880" xr:uid="{00000000-0005-0000-0000-0000E1120000}"/>
    <cellStyle name="Millares 2 3 2 5 7 2" xfId="45013" xr:uid="{00000000-0005-0000-0000-0000E2120000}"/>
    <cellStyle name="Millares 2 3 2 5 8" xfId="31451" xr:uid="{00000000-0005-0000-0000-0000E3120000}"/>
    <cellStyle name="Millares 2 3 2 6" xfId="4087" xr:uid="{00000000-0005-0000-0000-0000E4120000}"/>
    <cellStyle name="Millares 2 3 2 6 2" xfId="4088" xr:uid="{00000000-0005-0000-0000-0000E5120000}"/>
    <cellStyle name="Millares 2 3 2 6 2 2" xfId="4089" xr:uid="{00000000-0005-0000-0000-0000E6120000}"/>
    <cellStyle name="Millares 2 3 2 6 2 2 2" xfId="7700" xr:uid="{00000000-0005-0000-0000-0000E7120000}"/>
    <cellStyle name="Millares 2 3 2 6 2 2 2 2" xfId="14490" xr:uid="{00000000-0005-0000-0000-0000E8120000}"/>
    <cellStyle name="Millares 2 3 2 6 2 2 2 2 2" xfId="28058" xr:uid="{00000000-0005-0000-0000-0000E9120000}"/>
    <cellStyle name="Millares 2 3 2 6 2 2 2 2 2 2" xfId="55191" xr:uid="{00000000-0005-0000-0000-0000EA120000}"/>
    <cellStyle name="Millares 2 3 2 6 2 2 2 2 3" xfId="41629" xr:uid="{00000000-0005-0000-0000-0000EB120000}"/>
    <cellStyle name="Millares 2 3 2 6 2 2 2 3" xfId="21277" xr:uid="{00000000-0005-0000-0000-0000EC120000}"/>
    <cellStyle name="Millares 2 3 2 6 2 2 2 3 2" xfId="48410" xr:uid="{00000000-0005-0000-0000-0000ED120000}"/>
    <cellStyle name="Millares 2 3 2 6 2 2 2 4" xfId="34848" xr:uid="{00000000-0005-0000-0000-0000EE120000}"/>
    <cellStyle name="Millares 2 3 2 6 2 2 3" xfId="11101" xr:uid="{00000000-0005-0000-0000-0000EF120000}"/>
    <cellStyle name="Millares 2 3 2 6 2 2 3 2" xfId="24669" xr:uid="{00000000-0005-0000-0000-0000F0120000}"/>
    <cellStyle name="Millares 2 3 2 6 2 2 3 2 2" xfId="51802" xr:uid="{00000000-0005-0000-0000-0000F1120000}"/>
    <cellStyle name="Millares 2 3 2 6 2 2 3 3" xfId="38240" xr:uid="{00000000-0005-0000-0000-0000F2120000}"/>
    <cellStyle name="Millares 2 3 2 6 2 2 4" xfId="17888" xr:uid="{00000000-0005-0000-0000-0000F3120000}"/>
    <cellStyle name="Millares 2 3 2 6 2 2 4 2" xfId="45021" xr:uid="{00000000-0005-0000-0000-0000F4120000}"/>
    <cellStyle name="Millares 2 3 2 6 2 2 5" xfId="31459" xr:uid="{00000000-0005-0000-0000-0000F5120000}"/>
    <cellStyle name="Millares 2 3 2 6 2 3" xfId="4090" xr:uid="{00000000-0005-0000-0000-0000F6120000}"/>
    <cellStyle name="Millares 2 3 2 6 2 3 2" xfId="7701" xr:uid="{00000000-0005-0000-0000-0000F7120000}"/>
    <cellStyle name="Millares 2 3 2 6 2 3 2 2" xfId="14491" xr:uid="{00000000-0005-0000-0000-0000F8120000}"/>
    <cellStyle name="Millares 2 3 2 6 2 3 2 2 2" xfId="28059" xr:uid="{00000000-0005-0000-0000-0000F9120000}"/>
    <cellStyle name="Millares 2 3 2 6 2 3 2 2 2 2" xfId="55192" xr:uid="{00000000-0005-0000-0000-0000FA120000}"/>
    <cellStyle name="Millares 2 3 2 6 2 3 2 2 3" xfId="41630" xr:uid="{00000000-0005-0000-0000-0000FB120000}"/>
    <cellStyle name="Millares 2 3 2 6 2 3 2 3" xfId="21278" xr:uid="{00000000-0005-0000-0000-0000FC120000}"/>
    <cellStyle name="Millares 2 3 2 6 2 3 2 3 2" xfId="48411" xr:uid="{00000000-0005-0000-0000-0000FD120000}"/>
    <cellStyle name="Millares 2 3 2 6 2 3 2 4" xfId="34849" xr:uid="{00000000-0005-0000-0000-0000FE120000}"/>
    <cellStyle name="Millares 2 3 2 6 2 3 3" xfId="11102" xr:uid="{00000000-0005-0000-0000-0000FF120000}"/>
    <cellStyle name="Millares 2 3 2 6 2 3 3 2" xfId="24670" xr:uid="{00000000-0005-0000-0000-000000130000}"/>
    <cellStyle name="Millares 2 3 2 6 2 3 3 2 2" xfId="51803" xr:uid="{00000000-0005-0000-0000-000001130000}"/>
    <cellStyle name="Millares 2 3 2 6 2 3 3 3" xfId="38241" xr:uid="{00000000-0005-0000-0000-000002130000}"/>
    <cellStyle name="Millares 2 3 2 6 2 3 4" xfId="17889" xr:uid="{00000000-0005-0000-0000-000003130000}"/>
    <cellStyle name="Millares 2 3 2 6 2 3 4 2" xfId="45022" xr:uid="{00000000-0005-0000-0000-000004130000}"/>
    <cellStyle name="Millares 2 3 2 6 2 3 5" xfId="31460" xr:uid="{00000000-0005-0000-0000-000005130000}"/>
    <cellStyle name="Millares 2 3 2 6 2 4" xfId="7699" xr:uid="{00000000-0005-0000-0000-000006130000}"/>
    <cellStyle name="Millares 2 3 2 6 2 4 2" xfId="14489" xr:uid="{00000000-0005-0000-0000-000007130000}"/>
    <cellStyle name="Millares 2 3 2 6 2 4 2 2" xfId="28057" xr:uid="{00000000-0005-0000-0000-000008130000}"/>
    <cellStyle name="Millares 2 3 2 6 2 4 2 2 2" xfId="55190" xr:uid="{00000000-0005-0000-0000-000009130000}"/>
    <cellStyle name="Millares 2 3 2 6 2 4 2 3" xfId="41628" xr:uid="{00000000-0005-0000-0000-00000A130000}"/>
    <cellStyle name="Millares 2 3 2 6 2 4 3" xfId="21276" xr:uid="{00000000-0005-0000-0000-00000B130000}"/>
    <cellStyle name="Millares 2 3 2 6 2 4 3 2" xfId="48409" xr:uid="{00000000-0005-0000-0000-00000C130000}"/>
    <cellStyle name="Millares 2 3 2 6 2 4 4" xfId="34847" xr:uid="{00000000-0005-0000-0000-00000D130000}"/>
    <cellStyle name="Millares 2 3 2 6 2 5" xfId="11100" xr:uid="{00000000-0005-0000-0000-00000E130000}"/>
    <cellStyle name="Millares 2 3 2 6 2 5 2" xfId="24668" xr:uid="{00000000-0005-0000-0000-00000F130000}"/>
    <cellStyle name="Millares 2 3 2 6 2 5 2 2" xfId="51801" xr:uid="{00000000-0005-0000-0000-000010130000}"/>
    <cellStyle name="Millares 2 3 2 6 2 5 3" xfId="38239" xr:uid="{00000000-0005-0000-0000-000011130000}"/>
    <cellStyle name="Millares 2 3 2 6 2 6" xfId="17887" xr:uid="{00000000-0005-0000-0000-000012130000}"/>
    <cellStyle name="Millares 2 3 2 6 2 6 2" xfId="45020" xr:uid="{00000000-0005-0000-0000-000013130000}"/>
    <cellStyle name="Millares 2 3 2 6 2 7" xfId="31458" xr:uid="{00000000-0005-0000-0000-000014130000}"/>
    <cellStyle name="Millares 2 3 2 6 3" xfId="4091" xr:uid="{00000000-0005-0000-0000-000015130000}"/>
    <cellStyle name="Millares 2 3 2 6 3 2" xfId="7702" xr:uid="{00000000-0005-0000-0000-000016130000}"/>
    <cellStyle name="Millares 2 3 2 6 3 2 2" xfId="14492" xr:uid="{00000000-0005-0000-0000-000017130000}"/>
    <cellStyle name="Millares 2 3 2 6 3 2 2 2" xfId="28060" xr:uid="{00000000-0005-0000-0000-000018130000}"/>
    <cellStyle name="Millares 2 3 2 6 3 2 2 2 2" xfId="55193" xr:uid="{00000000-0005-0000-0000-000019130000}"/>
    <cellStyle name="Millares 2 3 2 6 3 2 2 3" xfId="41631" xr:uid="{00000000-0005-0000-0000-00001A130000}"/>
    <cellStyle name="Millares 2 3 2 6 3 2 3" xfId="21279" xr:uid="{00000000-0005-0000-0000-00001B130000}"/>
    <cellStyle name="Millares 2 3 2 6 3 2 3 2" xfId="48412" xr:uid="{00000000-0005-0000-0000-00001C130000}"/>
    <cellStyle name="Millares 2 3 2 6 3 2 4" xfId="34850" xr:uid="{00000000-0005-0000-0000-00001D130000}"/>
    <cellStyle name="Millares 2 3 2 6 3 3" xfId="11103" xr:uid="{00000000-0005-0000-0000-00001E130000}"/>
    <cellStyle name="Millares 2 3 2 6 3 3 2" xfId="24671" xr:uid="{00000000-0005-0000-0000-00001F130000}"/>
    <cellStyle name="Millares 2 3 2 6 3 3 2 2" xfId="51804" xr:uid="{00000000-0005-0000-0000-000020130000}"/>
    <cellStyle name="Millares 2 3 2 6 3 3 3" xfId="38242" xr:uid="{00000000-0005-0000-0000-000021130000}"/>
    <cellStyle name="Millares 2 3 2 6 3 4" xfId="17890" xr:uid="{00000000-0005-0000-0000-000022130000}"/>
    <cellStyle name="Millares 2 3 2 6 3 4 2" xfId="45023" xr:uid="{00000000-0005-0000-0000-000023130000}"/>
    <cellStyle name="Millares 2 3 2 6 3 5" xfId="31461" xr:uid="{00000000-0005-0000-0000-000024130000}"/>
    <cellStyle name="Millares 2 3 2 6 4" xfId="4092" xr:uid="{00000000-0005-0000-0000-000025130000}"/>
    <cellStyle name="Millares 2 3 2 6 4 2" xfId="7703" xr:uid="{00000000-0005-0000-0000-000026130000}"/>
    <cellStyle name="Millares 2 3 2 6 4 2 2" xfId="14493" xr:uid="{00000000-0005-0000-0000-000027130000}"/>
    <cellStyle name="Millares 2 3 2 6 4 2 2 2" xfId="28061" xr:uid="{00000000-0005-0000-0000-000028130000}"/>
    <cellStyle name="Millares 2 3 2 6 4 2 2 2 2" xfId="55194" xr:uid="{00000000-0005-0000-0000-000029130000}"/>
    <cellStyle name="Millares 2 3 2 6 4 2 2 3" xfId="41632" xr:uid="{00000000-0005-0000-0000-00002A130000}"/>
    <cellStyle name="Millares 2 3 2 6 4 2 3" xfId="21280" xr:uid="{00000000-0005-0000-0000-00002B130000}"/>
    <cellStyle name="Millares 2 3 2 6 4 2 3 2" xfId="48413" xr:uid="{00000000-0005-0000-0000-00002C130000}"/>
    <cellStyle name="Millares 2 3 2 6 4 2 4" xfId="34851" xr:uid="{00000000-0005-0000-0000-00002D130000}"/>
    <cellStyle name="Millares 2 3 2 6 4 3" xfId="11104" xr:uid="{00000000-0005-0000-0000-00002E130000}"/>
    <cellStyle name="Millares 2 3 2 6 4 3 2" xfId="24672" xr:uid="{00000000-0005-0000-0000-00002F130000}"/>
    <cellStyle name="Millares 2 3 2 6 4 3 2 2" xfId="51805" xr:uid="{00000000-0005-0000-0000-000030130000}"/>
    <cellStyle name="Millares 2 3 2 6 4 3 3" xfId="38243" xr:uid="{00000000-0005-0000-0000-000031130000}"/>
    <cellStyle name="Millares 2 3 2 6 4 4" xfId="17891" xr:uid="{00000000-0005-0000-0000-000032130000}"/>
    <cellStyle name="Millares 2 3 2 6 4 4 2" xfId="45024" xr:uid="{00000000-0005-0000-0000-000033130000}"/>
    <cellStyle name="Millares 2 3 2 6 4 5" xfId="31462" xr:uid="{00000000-0005-0000-0000-000034130000}"/>
    <cellStyle name="Millares 2 3 2 6 5" xfId="7698" xr:uid="{00000000-0005-0000-0000-000035130000}"/>
    <cellStyle name="Millares 2 3 2 6 5 2" xfId="14488" xr:uid="{00000000-0005-0000-0000-000036130000}"/>
    <cellStyle name="Millares 2 3 2 6 5 2 2" xfId="28056" xr:uid="{00000000-0005-0000-0000-000037130000}"/>
    <cellStyle name="Millares 2 3 2 6 5 2 2 2" xfId="55189" xr:uid="{00000000-0005-0000-0000-000038130000}"/>
    <cellStyle name="Millares 2 3 2 6 5 2 3" xfId="41627" xr:uid="{00000000-0005-0000-0000-000039130000}"/>
    <cellStyle name="Millares 2 3 2 6 5 3" xfId="21275" xr:uid="{00000000-0005-0000-0000-00003A130000}"/>
    <cellStyle name="Millares 2 3 2 6 5 3 2" xfId="48408" xr:uid="{00000000-0005-0000-0000-00003B130000}"/>
    <cellStyle name="Millares 2 3 2 6 5 4" xfId="34846" xr:uid="{00000000-0005-0000-0000-00003C130000}"/>
    <cellStyle name="Millares 2 3 2 6 6" xfId="11099" xr:uid="{00000000-0005-0000-0000-00003D130000}"/>
    <cellStyle name="Millares 2 3 2 6 6 2" xfId="24667" xr:uid="{00000000-0005-0000-0000-00003E130000}"/>
    <cellStyle name="Millares 2 3 2 6 6 2 2" xfId="51800" xr:uid="{00000000-0005-0000-0000-00003F130000}"/>
    <cellStyle name="Millares 2 3 2 6 6 3" xfId="38238" xr:uid="{00000000-0005-0000-0000-000040130000}"/>
    <cellStyle name="Millares 2 3 2 6 7" xfId="17886" xr:uid="{00000000-0005-0000-0000-000041130000}"/>
    <cellStyle name="Millares 2 3 2 6 7 2" xfId="45019" xr:uid="{00000000-0005-0000-0000-000042130000}"/>
    <cellStyle name="Millares 2 3 2 6 8" xfId="31457" xr:uid="{00000000-0005-0000-0000-000043130000}"/>
    <cellStyle name="Millares 2 3 2 7" xfId="4093" xr:uid="{00000000-0005-0000-0000-000044130000}"/>
    <cellStyle name="Millares 2 3 2 7 2" xfId="4094" xr:uid="{00000000-0005-0000-0000-000045130000}"/>
    <cellStyle name="Millares 2 3 2 7 2 2" xfId="7705" xr:uid="{00000000-0005-0000-0000-000046130000}"/>
    <cellStyle name="Millares 2 3 2 7 2 2 2" xfId="14495" xr:uid="{00000000-0005-0000-0000-000047130000}"/>
    <cellStyle name="Millares 2 3 2 7 2 2 2 2" xfId="28063" xr:uid="{00000000-0005-0000-0000-000048130000}"/>
    <cellStyle name="Millares 2 3 2 7 2 2 2 2 2" xfId="55196" xr:uid="{00000000-0005-0000-0000-000049130000}"/>
    <cellStyle name="Millares 2 3 2 7 2 2 2 3" xfId="41634" xr:uid="{00000000-0005-0000-0000-00004A130000}"/>
    <cellStyle name="Millares 2 3 2 7 2 2 3" xfId="21282" xr:uid="{00000000-0005-0000-0000-00004B130000}"/>
    <cellStyle name="Millares 2 3 2 7 2 2 3 2" xfId="48415" xr:uid="{00000000-0005-0000-0000-00004C130000}"/>
    <cellStyle name="Millares 2 3 2 7 2 2 4" xfId="34853" xr:uid="{00000000-0005-0000-0000-00004D130000}"/>
    <cellStyle name="Millares 2 3 2 7 2 3" xfId="11106" xr:uid="{00000000-0005-0000-0000-00004E130000}"/>
    <cellStyle name="Millares 2 3 2 7 2 3 2" xfId="24674" xr:uid="{00000000-0005-0000-0000-00004F130000}"/>
    <cellStyle name="Millares 2 3 2 7 2 3 2 2" xfId="51807" xr:uid="{00000000-0005-0000-0000-000050130000}"/>
    <cellStyle name="Millares 2 3 2 7 2 3 3" xfId="38245" xr:uid="{00000000-0005-0000-0000-000051130000}"/>
    <cellStyle name="Millares 2 3 2 7 2 4" xfId="17893" xr:uid="{00000000-0005-0000-0000-000052130000}"/>
    <cellStyle name="Millares 2 3 2 7 2 4 2" xfId="45026" xr:uid="{00000000-0005-0000-0000-000053130000}"/>
    <cellStyle name="Millares 2 3 2 7 2 5" xfId="31464" xr:uid="{00000000-0005-0000-0000-000054130000}"/>
    <cellStyle name="Millares 2 3 2 7 3" xfId="4095" xr:uid="{00000000-0005-0000-0000-000055130000}"/>
    <cellStyle name="Millares 2 3 2 7 3 2" xfId="7706" xr:uid="{00000000-0005-0000-0000-000056130000}"/>
    <cellStyle name="Millares 2 3 2 7 3 2 2" xfId="14496" xr:uid="{00000000-0005-0000-0000-000057130000}"/>
    <cellStyle name="Millares 2 3 2 7 3 2 2 2" xfId="28064" xr:uid="{00000000-0005-0000-0000-000058130000}"/>
    <cellStyle name="Millares 2 3 2 7 3 2 2 2 2" xfId="55197" xr:uid="{00000000-0005-0000-0000-000059130000}"/>
    <cellStyle name="Millares 2 3 2 7 3 2 2 3" xfId="41635" xr:uid="{00000000-0005-0000-0000-00005A130000}"/>
    <cellStyle name="Millares 2 3 2 7 3 2 3" xfId="21283" xr:uid="{00000000-0005-0000-0000-00005B130000}"/>
    <cellStyle name="Millares 2 3 2 7 3 2 3 2" xfId="48416" xr:uid="{00000000-0005-0000-0000-00005C130000}"/>
    <cellStyle name="Millares 2 3 2 7 3 2 4" xfId="34854" xr:uid="{00000000-0005-0000-0000-00005D130000}"/>
    <cellStyle name="Millares 2 3 2 7 3 3" xfId="11107" xr:uid="{00000000-0005-0000-0000-00005E130000}"/>
    <cellStyle name="Millares 2 3 2 7 3 3 2" xfId="24675" xr:uid="{00000000-0005-0000-0000-00005F130000}"/>
    <cellStyle name="Millares 2 3 2 7 3 3 2 2" xfId="51808" xr:uid="{00000000-0005-0000-0000-000060130000}"/>
    <cellStyle name="Millares 2 3 2 7 3 3 3" xfId="38246" xr:uid="{00000000-0005-0000-0000-000061130000}"/>
    <cellStyle name="Millares 2 3 2 7 3 4" xfId="17894" xr:uid="{00000000-0005-0000-0000-000062130000}"/>
    <cellStyle name="Millares 2 3 2 7 3 4 2" xfId="45027" xr:uid="{00000000-0005-0000-0000-000063130000}"/>
    <cellStyle name="Millares 2 3 2 7 3 5" xfId="31465" xr:uid="{00000000-0005-0000-0000-000064130000}"/>
    <cellStyle name="Millares 2 3 2 7 4" xfId="7704" xr:uid="{00000000-0005-0000-0000-000065130000}"/>
    <cellStyle name="Millares 2 3 2 7 4 2" xfId="14494" xr:uid="{00000000-0005-0000-0000-000066130000}"/>
    <cellStyle name="Millares 2 3 2 7 4 2 2" xfId="28062" xr:uid="{00000000-0005-0000-0000-000067130000}"/>
    <cellStyle name="Millares 2 3 2 7 4 2 2 2" xfId="55195" xr:uid="{00000000-0005-0000-0000-000068130000}"/>
    <cellStyle name="Millares 2 3 2 7 4 2 3" xfId="41633" xr:uid="{00000000-0005-0000-0000-000069130000}"/>
    <cellStyle name="Millares 2 3 2 7 4 3" xfId="21281" xr:uid="{00000000-0005-0000-0000-00006A130000}"/>
    <cellStyle name="Millares 2 3 2 7 4 3 2" xfId="48414" xr:uid="{00000000-0005-0000-0000-00006B130000}"/>
    <cellStyle name="Millares 2 3 2 7 4 4" xfId="34852" xr:uid="{00000000-0005-0000-0000-00006C130000}"/>
    <cellStyle name="Millares 2 3 2 7 5" xfId="11105" xr:uid="{00000000-0005-0000-0000-00006D130000}"/>
    <cellStyle name="Millares 2 3 2 7 5 2" xfId="24673" xr:uid="{00000000-0005-0000-0000-00006E130000}"/>
    <cellStyle name="Millares 2 3 2 7 5 2 2" xfId="51806" xr:uid="{00000000-0005-0000-0000-00006F130000}"/>
    <cellStyle name="Millares 2 3 2 7 5 3" xfId="38244" xr:uid="{00000000-0005-0000-0000-000070130000}"/>
    <cellStyle name="Millares 2 3 2 7 6" xfId="17892" xr:uid="{00000000-0005-0000-0000-000071130000}"/>
    <cellStyle name="Millares 2 3 2 7 6 2" xfId="45025" xr:uid="{00000000-0005-0000-0000-000072130000}"/>
    <cellStyle name="Millares 2 3 2 7 7" xfId="31463" xr:uid="{00000000-0005-0000-0000-000073130000}"/>
    <cellStyle name="Millares 2 3 2 8" xfId="4096" xr:uid="{00000000-0005-0000-0000-000074130000}"/>
    <cellStyle name="Millares 2 3 2 8 2" xfId="4097" xr:uid="{00000000-0005-0000-0000-000075130000}"/>
    <cellStyle name="Millares 2 3 2 8 2 2" xfId="7708" xr:uid="{00000000-0005-0000-0000-000076130000}"/>
    <cellStyle name="Millares 2 3 2 8 2 2 2" xfId="14498" xr:uid="{00000000-0005-0000-0000-000077130000}"/>
    <cellStyle name="Millares 2 3 2 8 2 2 2 2" xfId="28066" xr:uid="{00000000-0005-0000-0000-000078130000}"/>
    <cellStyle name="Millares 2 3 2 8 2 2 2 2 2" xfId="55199" xr:uid="{00000000-0005-0000-0000-000079130000}"/>
    <cellStyle name="Millares 2 3 2 8 2 2 2 3" xfId="41637" xr:uid="{00000000-0005-0000-0000-00007A130000}"/>
    <cellStyle name="Millares 2 3 2 8 2 2 3" xfId="21285" xr:uid="{00000000-0005-0000-0000-00007B130000}"/>
    <cellStyle name="Millares 2 3 2 8 2 2 3 2" xfId="48418" xr:uid="{00000000-0005-0000-0000-00007C130000}"/>
    <cellStyle name="Millares 2 3 2 8 2 2 4" xfId="34856" xr:uid="{00000000-0005-0000-0000-00007D130000}"/>
    <cellStyle name="Millares 2 3 2 8 2 3" xfId="11109" xr:uid="{00000000-0005-0000-0000-00007E130000}"/>
    <cellStyle name="Millares 2 3 2 8 2 3 2" xfId="24677" xr:uid="{00000000-0005-0000-0000-00007F130000}"/>
    <cellStyle name="Millares 2 3 2 8 2 3 2 2" xfId="51810" xr:uid="{00000000-0005-0000-0000-000080130000}"/>
    <cellStyle name="Millares 2 3 2 8 2 3 3" xfId="38248" xr:uid="{00000000-0005-0000-0000-000081130000}"/>
    <cellStyle name="Millares 2 3 2 8 2 4" xfId="17896" xr:uid="{00000000-0005-0000-0000-000082130000}"/>
    <cellStyle name="Millares 2 3 2 8 2 4 2" xfId="45029" xr:uid="{00000000-0005-0000-0000-000083130000}"/>
    <cellStyle name="Millares 2 3 2 8 2 5" xfId="31467" xr:uid="{00000000-0005-0000-0000-000084130000}"/>
    <cellStyle name="Millares 2 3 2 8 3" xfId="4098" xr:uid="{00000000-0005-0000-0000-000085130000}"/>
    <cellStyle name="Millares 2 3 2 8 3 2" xfId="7709" xr:uid="{00000000-0005-0000-0000-000086130000}"/>
    <cellStyle name="Millares 2 3 2 8 3 2 2" xfId="14499" xr:uid="{00000000-0005-0000-0000-000087130000}"/>
    <cellStyle name="Millares 2 3 2 8 3 2 2 2" xfId="28067" xr:uid="{00000000-0005-0000-0000-000088130000}"/>
    <cellStyle name="Millares 2 3 2 8 3 2 2 2 2" xfId="55200" xr:uid="{00000000-0005-0000-0000-000089130000}"/>
    <cellStyle name="Millares 2 3 2 8 3 2 2 3" xfId="41638" xr:uid="{00000000-0005-0000-0000-00008A130000}"/>
    <cellStyle name="Millares 2 3 2 8 3 2 3" xfId="21286" xr:uid="{00000000-0005-0000-0000-00008B130000}"/>
    <cellStyle name="Millares 2 3 2 8 3 2 3 2" xfId="48419" xr:uid="{00000000-0005-0000-0000-00008C130000}"/>
    <cellStyle name="Millares 2 3 2 8 3 2 4" xfId="34857" xr:uid="{00000000-0005-0000-0000-00008D130000}"/>
    <cellStyle name="Millares 2 3 2 8 3 3" xfId="11110" xr:uid="{00000000-0005-0000-0000-00008E130000}"/>
    <cellStyle name="Millares 2 3 2 8 3 3 2" xfId="24678" xr:uid="{00000000-0005-0000-0000-00008F130000}"/>
    <cellStyle name="Millares 2 3 2 8 3 3 2 2" xfId="51811" xr:uid="{00000000-0005-0000-0000-000090130000}"/>
    <cellStyle name="Millares 2 3 2 8 3 3 3" xfId="38249" xr:uid="{00000000-0005-0000-0000-000091130000}"/>
    <cellStyle name="Millares 2 3 2 8 3 4" xfId="17897" xr:uid="{00000000-0005-0000-0000-000092130000}"/>
    <cellStyle name="Millares 2 3 2 8 3 4 2" xfId="45030" xr:uid="{00000000-0005-0000-0000-000093130000}"/>
    <cellStyle name="Millares 2 3 2 8 3 5" xfId="31468" xr:uid="{00000000-0005-0000-0000-000094130000}"/>
    <cellStyle name="Millares 2 3 2 8 4" xfId="7707" xr:uid="{00000000-0005-0000-0000-000095130000}"/>
    <cellStyle name="Millares 2 3 2 8 4 2" xfId="14497" xr:uid="{00000000-0005-0000-0000-000096130000}"/>
    <cellStyle name="Millares 2 3 2 8 4 2 2" xfId="28065" xr:uid="{00000000-0005-0000-0000-000097130000}"/>
    <cellStyle name="Millares 2 3 2 8 4 2 2 2" xfId="55198" xr:uid="{00000000-0005-0000-0000-000098130000}"/>
    <cellStyle name="Millares 2 3 2 8 4 2 3" xfId="41636" xr:uid="{00000000-0005-0000-0000-000099130000}"/>
    <cellStyle name="Millares 2 3 2 8 4 3" xfId="21284" xr:uid="{00000000-0005-0000-0000-00009A130000}"/>
    <cellStyle name="Millares 2 3 2 8 4 3 2" xfId="48417" xr:uid="{00000000-0005-0000-0000-00009B130000}"/>
    <cellStyle name="Millares 2 3 2 8 4 4" xfId="34855" xr:uid="{00000000-0005-0000-0000-00009C130000}"/>
    <cellStyle name="Millares 2 3 2 8 5" xfId="11108" xr:uid="{00000000-0005-0000-0000-00009D130000}"/>
    <cellStyle name="Millares 2 3 2 8 5 2" xfId="24676" xr:uid="{00000000-0005-0000-0000-00009E130000}"/>
    <cellStyle name="Millares 2 3 2 8 5 2 2" xfId="51809" xr:uid="{00000000-0005-0000-0000-00009F130000}"/>
    <cellStyle name="Millares 2 3 2 8 5 3" xfId="38247" xr:uid="{00000000-0005-0000-0000-0000A0130000}"/>
    <cellStyle name="Millares 2 3 2 8 6" xfId="17895" xr:uid="{00000000-0005-0000-0000-0000A1130000}"/>
    <cellStyle name="Millares 2 3 2 8 6 2" xfId="45028" xr:uid="{00000000-0005-0000-0000-0000A2130000}"/>
    <cellStyle name="Millares 2 3 2 8 7" xfId="31466" xr:uid="{00000000-0005-0000-0000-0000A3130000}"/>
    <cellStyle name="Millares 2 3 2 9" xfId="4099" xr:uid="{00000000-0005-0000-0000-0000A4130000}"/>
    <cellStyle name="Millares 2 3 2 9 2" xfId="7710" xr:uid="{00000000-0005-0000-0000-0000A5130000}"/>
    <cellStyle name="Millares 2 3 2 9 2 2" xfId="14500" xr:uid="{00000000-0005-0000-0000-0000A6130000}"/>
    <cellStyle name="Millares 2 3 2 9 2 2 2" xfId="28068" xr:uid="{00000000-0005-0000-0000-0000A7130000}"/>
    <cellStyle name="Millares 2 3 2 9 2 2 2 2" xfId="55201" xr:uid="{00000000-0005-0000-0000-0000A8130000}"/>
    <cellStyle name="Millares 2 3 2 9 2 2 3" xfId="41639" xr:uid="{00000000-0005-0000-0000-0000A9130000}"/>
    <cellStyle name="Millares 2 3 2 9 2 3" xfId="21287" xr:uid="{00000000-0005-0000-0000-0000AA130000}"/>
    <cellStyle name="Millares 2 3 2 9 2 3 2" xfId="48420" xr:uid="{00000000-0005-0000-0000-0000AB130000}"/>
    <cellStyle name="Millares 2 3 2 9 2 4" xfId="34858" xr:uid="{00000000-0005-0000-0000-0000AC130000}"/>
    <cellStyle name="Millares 2 3 2 9 3" xfId="11111" xr:uid="{00000000-0005-0000-0000-0000AD130000}"/>
    <cellStyle name="Millares 2 3 2 9 3 2" xfId="24679" xr:uid="{00000000-0005-0000-0000-0000AE130000}"/>
    <cellStyle name="Millares 2 3 2 9 3 2 2" xfId="51812" xr:uid="{00000000-0005-0000-0000-0000AF130000}"/>
    <cellStyle name="Millares 2 3 2 9 3 3" xfId="38250" xr:uid="{00000000-0005-0000-0000-0000B0130000}"/>
    <cellStyle name="Millares 2 3 2 9 4" xfId="17898" xr:uid="{00000000-0005-0000-0000-0000B1130000}"/>
    <cellStyle name="Millares 2 3 2 9 4 2" xfId="45031" xr:uid="{00000000-0005-0000-0000-0000B2130000}"/>
    <cellStyle name="Millares 2 3 2 9 5" xfId="31469" xr:uid="{00000000-0005-0000-0000-0000B3130000}"/>
    <cellStyle name="Millares 2 3 3" xfId="4100" xr:uid="{00000000-0005-0000-0000-0000B4130000}"/>
    <cellStyle name="Millares 2 3 4" xfId="4101" xr:uid="{00000000-0005-0000-0000-0000B5130000}"/>
    <cellStyle name="Millares 2 3 4 2" xfId="4102" xr:uid="{00000000-0005-0000-0000-0000B6130000}"/>
    <cellStyle name="Millares 2 3 4 2 2" xfId="7712" xr:uid="{00000000-0005-0000-0000-0000B7130000}"/>
    <cellStyle name="Millares 2 3 4 2 2 2" xfId="14502" xr:uid="{00000000-0005-0000-0000-0000B8130000}"/>
    <cellStyle name="Millares 2 3 4 2 2 2 2" xfId="28070" xr:uid="{00000000-0005-0000-0000-0000B9130000}"/>
    <cellStyle name="Millares 2 3 4 2 2 2 2 2" xfId="55203" xr:uid="{00000000-0005-0000-0000-0000BA130000}"/>
    <cellStyle name="Millares 2 3 4 2 2 2 3" xfId="41641" xr:uid="{00000000-0005-0000-0000-0000BB130000}"/>
    <cellStyle name="Millares 2 3 4 2 2 3" xfId="21289" xr:uid="{00000000-0005-0000-0000-0000BC130000}"/>
    <cellStyle name="Millares 2 3 4 2 2 3 2" xfId="48422" xr:uid="{00000000-0005-0000-0000-0000BD130000}"/>
    <cellStyle name="Millares 2 3 4 2 2 4" xfId="34860" xr:uid="{00000000-0005-0000-0000-0000BE130000}"/>
    <cellStyle name="Millares 2 3 4 2 3" xfId="11113" xr:uid="{00000000-0005-0000-0000-0000BF130000}"/>
    <cellStyle name="Millares 2 3 4 2 3 2" xfId="24681" xr:uid="{00000000-0005-0000-0000-0000C0130000}"/>
    <cellStyle name="Millares 2 3 4 2 3 2 2" xfId="51814" xr:uid="{00000000-0005-0000-0000-0000C1130000}"/>
    <cellStyle name="Millares 2 3 4 2 3 3" xfId="38252" xr:uid="{00000000-0005-0000-0000-0000C2130000}"/>
    <cellStyle name="Millares 2 3 4 2 4" xfId="17900" xr:uid="{00000000-0005-0000-0000-0000C3130000}"/>
    <cellStyle name="Millares 2 3 4 2 4 2" xfId="45033" xr:uid="{00000000-0005-0000-0000-0000C4130000}"/>
    <cellStyle name="Millares 2 3 4 2 5" xfId="31471" xr:uid="{00000000-0005-0000-0000-0000C5130000}"/>
    <cellStyle name="Millares 2 3 4 3" xfId="4103" xr:uid="{00000000-0005-0000-0000-0000C6130000}"/>
    <cellStyle name="Millares 2 3 4 3 2" xfId="7713" xr:uid="{00000000-0005-0000-0000-0000C7130000}"/>
    <cellStyle name="Millares 2 3 4 3 2 2" xfId="14503" xr:uid="{00000000-0005-0000-0000-0000C8130000}"/>
    <cellStyle name="Millares 2 3 4 3 2 2 2" xfId="28071" xr:uid="{00000000-0005-0000-0000-0000C9130000}"/>
    <cellStyle name="Millares 2 3 4 3 2 2 2 2" xfId="55204" xr:uid="{00000000-0005-0000-0000-0000CA130000}"/>
    <cellStyle name="Millares 2 3 4 3 2 2 3" xfId="41642" xr:uid="{00000000-0005-0000-0000-0000CB130000}"/>
    <cellStyle name="Millares 2 3 4 3 2 3" xfId="21290" xr:uid="{00000000-0005-0000-0000-0000CC130000}"/>
    <cellStyle name="Millares 2 3 4 3 2 3 2" xfId="48423" xr:uid="{00000000-0005-0000-0000-0000CD130000}"/>
    <cellStyle name="Millares 2 3 4 3 2 4" xfId="34861" xr:uid="{00000000-0005-0000-0000-0000CE130000}"/>
    <cellStyle name="Millares 2 3 4 3 3" xfId="11114" xr:uid="{00000000-0005-0000-0000-0000CF130000}"/>
    <cellStyle name="Millares 2 3 4 3 3 2" xfId="24682" xr:uid="{00000000-0005-0000-0000-0000D0130000}"/>
    <cellStyle name="Millares 2 3 4 3 3 2 2" xfId="51815" xr:uid="{00000000-0005-0000-0000-0000D1130000}"/>
    <cellStyle name="Millares 2 3 4 3 3 3" xfId="38253" xr:uid="{00000000-0005-0000-0000-0000D2130000}"/>
    <cellStyle name="Millares 2 3 4 3 4" xfId="17901" xr:uid="{00000000-0005-0000-0000-0000D3130000}"/>
    <cellStyle name="Millares 2 3 4 3 4 2" xfId="45034" xr:uid="{00000000-0005-0000-0000-0000D4130000}"/>
    <cellStyle name="Millares 2 3 4 3 5" xfId="31472" xr:uid="{00000000-0005-0000-0000-0000D5130000}"/>
    <cellStyle name="Millares 2 3 4 4" xfId="7711" xr:uid="{00000000-0005-0000-0000-0000D6130000}"/>
    <cellStyle name="Millares 2 3 4 4 2" xfId="14501" xr:uid="{00000000-0005-0000-0000-0000D7130000}"/>
    <cellStyle name="Millares 2 3 4 4 2 2" xfId="28069" xr:uid="{00000000-0005-0000-0000-0000D8130000}"/>
    <cellStyle name="Millares 2 3 4 4 2 2 2" xfId="55202" xr:uid="{00000000-0005-0000-0000-0000D9130000}"/>
    <cellStyle name="Millares 2 3 4 4 2 3" xfId="41640" xr:uid="{00000000-0005-0000-0000-0000DA130000}"/>
    <cellStyle name="Millares 2 3 4 4 3" xfId="21288" xr:uid="{00000000-0005-0000-0000-0000DB130000}"/>
    <cellStyle name="Millares 2 3 4 4 3 2" xfId="48421" xr:uid="{00000000-0005-0000-0000-0000DC130000}"/>
    <cellStyle name="Millares 2 3 4 4 4" xfId="34859" xr:uid="{00000000-0005-0000-0000-0000DD130000}"/>
    <cellStyle name="Millares 2 3 4 5" xfId="11112" xr:uid="{00000000-0005-0000-0000-0000DE130000}"/>
    <cellStyle name="Millares 2 3 4 5 2" xfId="24680" xr:uid="{00000000-0005-0000-0000-0000DF130000}"/>
    <cellStyle name="Millares 2 3 4 5 2 2" xfId="51813" xr:uid="{00000000-0005-0000-0000-0000E0130000}"/>
    <cellStyle name="Millares 2 3 4 5 3" xfId="38251" xr:uid="{00000000-0005-0000-0000-0000E1130000}"/>
    <cellStyle name="Millares 2 3 4 6" xfId="17899" xr:uid="{00000000-0005-0000-0000-0000E2130000}"/>
    <cellStyle name="Millares 2 3 4 6 2" xfId="45032" xr:uid="{00000000-0005-0000-0000-0000E3130000}"/>
    <cellStyle name="Millares 2 3 4 7" xfId="31470" xr:uid="{00000000-0005-0000-0000-0000E4130000}"/>
    <cellStyle name="Millares 2 3 5" xfId="4104" xr:uid="{00000000-0005-0000-0000-0000E5130000}"/>
    <cellStyle name="Millares 2 3 5 2" xfId="7714" xr:uid="{00000000-0005-0000-0000-0000E6130000}"/>
    <cellStyle name="Millares 2 3 5 2 2" xfId="14504" xr:uid="{00000000-0005-0000-0000-0000E7130000}"/>
    <cellStyle name="Millares 2 3 5 2 2 2" xfId="28072" xr:uid="{00000000-0005-0000-0000-0000E8130000}"/>
    <cellStyle name="Millares 2 3 5 2 2 2 2" xfId="55205" xr:uid="{00000000-0005-0000-0000-0000E9130000}"/>
    <cellStyle name="Millares 2 3 5 2 2 3" xfId="41643" xr:uid="{00000000-0005-0000-0000-0000EA130000}"/>
    <cellStyle name="Millares 2 3 5 2 3" xfId="21291" xr:uid="{00000000-0005-0000-0000-0000EB130000}"/>
    <cellStyle name="Millares 2 3 5 2 3 2" xfId="48424" xr:uid="{00000000-0005-0000-0000-0000EC130000}"/>
    <cellStyle name="Millares 2 3 5 2 4" xfId="34862" xr:uid="{00000000-0005-0000-0000-0000ED130000}"/>
    <cellStyle name="Millares 2 3 5 3" xfId="11115" xr:uid="{00000000-0005-0000-0000-0000EE130000}"/>
    <cellStyle name="Millares 2 3 5 3 2" xfId="24683" xr:uid="{00000000-0005-0000-0000-0000EF130000}"/>
    <cellStyle name="Millares 2 3 5 3 2 2" xfId="51816" xr:uid="{00000000-0005-0000-0000-0000F0130000}"/>
    <cellStyle name="Millares 2 3 5 3 3" xfId="38254" xr:uid="{00000000-0005-0000-0000-0000F1130000}"/>
    <cellStyle name="Millares 2 3 5 4" xfId="17902" xr:uid="{00000000-0005-0000-0000-0000F2130000}"/>
    <cellStyle name="Millares 2 3 5 4 2" xfId="45035" xr:uid="{00000000-0005-0000-0000-0000F3130000}"/>
    <cellStyle name="Millares 2 3 5 5" xfId="31473" xr:uid="{00000000-0005-0000-0000-0000F4130000}"/>
    <cellStyle name="Millares 2 30" xfId="2391" xr:uid="{00000000-0005-0000-0000-0000F5130000}"/>
    <cellStyle name="Millares 2 31" xfId="2392" xr:uid="{00000000-0005-0000-0000-0000F6130000}"/>
    <cellStyle name="Millares 2 32" xfId="2393" xr:uid="{00000000-0005-0000-0000-0000F7130000}"/>
    <cellStyle name="Millares 2 33" xfId="2394" xr:uid="{00000000-0005-0000-0000-0000F8130000}"/>
    <cellStyle name="Millares 2 34" xfId="2395" xr:uid="{00000000-0005-0000-0000-0000F9130000}"/>
    <cellStyle name="Millares 2 35" xfId="2396" xr:uid="{00000000-0005-0000-0000-0000FA130000}"/>
    <cellStyle name="Millares 2 36" xfId="2397" xr:uid="{00000000-0005-0000-0000-0000FB130000}"/>
    <cellStyle name="Millares 2 37" xfId="2398" xr:uid="{00000000-0005-0000-0000-0000FC130000}"/>
    <cellStyle name="Millares 2 38" xfId="2399" xr:uid="{00000000-0005-0000-0000-0000FD130000}"/>
    <cellStyle name="Millares 2 39" xfId="2400" xr:uid="{00000000-0005-0000-0000-0000FE130000}"/>
    <cellStyle name="Millares 2 4" xfId="187" xr:uid="{00000000-0005-0000-0000-0000FF130000}"/>
    <cellStyle name="Millares 2 40" xfId="2401" xr:uid="{00000000-0005-0000-0000-000000140000}"/>
    <cellStyle name="Millares 2 41" xfId="2402" xr:uid="{00000000-0005-0000-0000-000001140000}"/>
    <cellStyle name="Millares 2 42" xfId="2403" xr:uid="{00000000-0005-0000-0000-000002140000}"/>
    <cellStyle name="Millares 2 43" xfId="2404" xr:uid="{00000000-0005-0000-0000-000003140000}"/>
    <cellStyle name="Millares 2 44" xfId="2405" xr:uid="{00000000-0005-0000-0000-000004140000}"/>
    <cellStyle name="Millares 2 45" xfId="2406" xr:uid="{00000000-0005-0000-0000-000005140000}"/>
    <cellStyle name="Millares 2 46" xfId="2407" xr:uid="{00000000-0005-0000-0000-000006140000}"/>
    <cellStyle name="Millares 2 47" xfId="2408" xr:uid="{00000000-0005-0000-0000-000007140000}"/>
    <cellStyle name="Millares 2 48" xfId="2409" xr:uid="{00000000-0005-0000-0000-000008140000}"/>
    <cellStyle name="Millares 2 49" xfId="2410" xr:uid="{00000000-0005-0000-0000-000009140000}"/>
    <cellStyle name="Millares 2 5" xfId="188" xr:uid="{00000000-0005-0000-0000-00000A140000}"/>
    <cellStyle name="Millares 2 5 10" xfId="4105" xr:uid="{00000000-0005-0000-0000-00000B140000}"/>
    <cellStyle name="Millares 2 5 10 2" xfId="7715" xr:uid="{00000000-0005-0000-0000-00000C140000}"/>
    <cellStyle name="Millares 2 5 10 2 2" xfId="14505" xr:uid="{00000000-0005-0000-0000-00000D140000}"/>
    <cellStyle name="Millares 2 5 10 2 2 2" xfId="28073" xr:uid="{00000000-0005-0000-0000-00000E140000}"/>
    <cellStyle name="Millares 2 5 10 2 2 2 2" xfId="55206" xr:uid="{00000000-0005-0000-0000-00000F140000}"/>
    <cellStyle name="Millares 2 5 10 2 2 3" xfId="41644" xr:uid="{00000000-0005-0000-0000-000010140000}"/>
    <cellStyle name="Millares 2 5 10 2 3" xfId="21292" xr:uid="{00000000-0005-0000-0000-000011140000}"/>
    <cellStyle name="Millares 2 5 10 2 3 2" xfId="48425" xr:uid="{00000000-0005-0000-0000-000012140000}"/>
    <cellStyle name="Millares 2 5 10 2 4" xfId="34863" xr:uid="{00000000-0005-0000-0000-000013140000}"/>
    <cellStyle name="Millares 2 5 10 3" xfId="11116" xr:uid="{00000000-0005-0000-0000-000014140000}"/>
    <cellStyle name="Millares 2 5 10 3 2" xfId="24684" xr:uid="{00000000-0005-0000-0000-000015140000}"/>
    <cellStyle name="Millares 2 5 10 3 2 2" xfId="51817" xr:uid="{00000000-0005-0000-0000-000016140000}"/>
    <cellStyle name="Millares 2 5 10 3 3" xfId="38255" xr:uid="{00000000-0005-0000-0000-000017140000}"/>
    <cellStyle name="Millares 2 5 10 4" xfId="17903" xr:uid="{00000000-0005-0000-0000-000018140000}"/>
    <cellStyle name="Millares 2 5 10 4 2" xfId="45036" xr:uid="{00000000-0005-0000-0000-000019140000}"/>
    <cellStyle name="Millares 2 5 10 5" xfId="31474" xr:uid="{00000000-0005-0000-0000-00001A140000}"/>
    <cellStyle name="Millares 2 5 11" xfId="4106" xr:uid="{00000000-0005-0000-0000-00001B140000}"/>
    <cellStyle name="Millares 2 5 11 2" xfId="7716" xr:uid="{00000000-0005-0000-0000-00001C140000}"/>
    <cellStyle name="Millares 2 5 11 2 2" xfId="14506" xr:uid="{00000000-0005-0000-0000-00001D140000}"/>
    <cellStyle name="Millares 2 5 11 2 2 2" xfId="28074" xr:uid="{00000000-0005-0000-0000-00001E140000}"/>
    <cellStyle name="Millares 2 5 11 2 2 2 2" xfId="55207" xr:uid="{00000000-0005-0000-0000-00001F140000}"/>
    <cellStyle name="Millares 2 5 11 2 2 3" xfId="41645" xr:uid="{00000000-0005-0000-0000-000020140000}"/>
    <cellStyle name="Millares 2 5 11 2 3" xfId="21293" xr:uid="{00000000-0005-0000-0000-000021140000}"/>
    <cellStyle name="Millares 2 5 11 2 3 2" xfId="48426" xr:uid="{00000000-0005-0000-0000-000022140000}"/>
    <cellStyle name="Millares 2 5 11 2 4" xfId="34864" xr:uid="{00000000-0005-0000-0000-000023140000}"/>
    <cellStyle name="Millares 2 5 11 3" xfId="11117" xr:uid="{00000000-0005-0000-0000-000024140000}"/>
    <cellStyle name="Millares 2 5 11 3 2" xfId="24685" xr:uid="{00000000-0005-0000-0000-000025140000}"/>
    <cellStyle name="Millares 2 5 11 3 2 2" xfId="51818" xr:uid="{00000000-0005-0000-0000-000026140000}"/>
    <cellStyle name="Millares 2 5 11 3 3" xfId="38256" xr:uid="{00000000-0005-0000-0000-000027140000}"/>
    <cellStyle name="Millares 2 5 11 4" xfId="17904" xr:uid="{00000000-0005-0000-0000-000028140000}"/>
    <cellStyle name="Millares 2 5 11 4 2" xfId="45037" xr:uid="{00000000-0005-0000-0000-000029140000}"/>
    <cellStyle name="Millares 2 5 11 5" xfId="31475" xr:uid="{00000000-0005-0000-0000-00002A140000}"/>
    <cellStyle name="Millares 2 5 2" xfId="4107" xr:uid="{00000000-0005-0000-0000-00002B140000}"/>
    <cellStyle name="Millares 2 5 2 10" xfId="7717" xr:uid="{00000000-0005-0000-0000-00002C140000}"/>
    <cellStyle name="Millares 2 5 2 10 2" xfId="14507" xr:uid="{00000000-0005-0000-0000-00002D140000}"/>
    <cellStyle name="Millares 2 5 2 10 2 2" xfId="28075" xr:uid="{00000000-0005-0000-0000-00002E140000}"/>
    <cellStyle name="Millares 2 5 2 10 2 2 2" xfId="55208" xr:uid="{00000000-0005-0000-0000-00002F140000}"/>
    <cellStyle name="Millares 2 5 2 10 2 3" xfId="41646" xr:uid="{00000000-0005-0000-0000-000030140000}"/>
    <cellStyle name="Millares 2 5 2 10 3" xfId="21294" xr:uid="{00000000-0005-0000-0000-000031140000}"/>
    <cellStyle name="Millares 2 5 2 10 3 2" xfId="48427" xr:uid="{00000000-0005-0000-0000-000032140000}"/>
    <cellStyle name="Millares 2 5 2 10 4" xfId="34865" xr:uid="{00000000-0005-0000-0000-000033140000}"/>
    <cellStyle name="Millares 2 5 2 11" xfId="11118" xr:uid="{00000000-0005-0000-0000-000034140000}"/>
    <cellStyle name="Millares 2 5 2 11 2" xfId="24686" xr:uid="{00000000-0005-0000-0000-000035140000}"/>
    <cellStyle name="Millares 2 5 2 11 2 2" xfId="51819" xr:uid="{00000000-0005-0000-0000-000036140000}"/>
    <cellStyle name="Millares 2 5 2 11 3" xfId="38257" xr:uid="{00000000-0005-0000-0000-000037140000}"/>
    <cellStyle name="Millares 2 5 2 12" xfId="17905" xr:uid="{00000000-0005-0000-0000-000038140000}"/>
    <cellStyle name="Millares 2 5 2 12 2" xfId="45038" xr:uid="{00000000-0005-0000-0000-000039140000}"/>
    <cellStyle name="Millares 2 5 2 13" xfId="31476" xr:uid="{00000000-0005-0000-0000-00003A140000}"/>
    <cellStyle name="Millares 2 5 2 2" xfId="4108" xr:uid="{00000000-0005-0000-0000-00003B140000}"/>
    <cellStyle name="Millares 2 5 2 2 10" xfId="31477" xr:uid="{00000000-0005-0000-0000-00003C140000}"/>
    <cellStyle name="Millares 2 5 2 2 2" xfId="4109" xr:uid="{00000000-0005-0000-0000-00003D140000}"/>
    <cellStyle name="Millares 2 5 2 2 2 2" xfId="4110" xr:uid="{00000000-0005-0000-0000-00003E140000}"/>
    <cellStyle name="Millares 2 5 2 2 2 2 2" xfId="4111" xr:uid="{00000000-0005-0000-0000-00003F140000}"/>
    <cellStyle name="Millares 2 5 2 2 2 2 2 2" xfId="7721" xr:uid="{00000000-0005-0000-0000-000040140000}"/>
    <cellStyle name="Millares 2 5 2 2 2 2 2 2 2" xfId="14511" xr:uid="{00000000-0005-0000-0000-000041140000}"/>
    <cellStyle name="Millares 2 5 2 2 2 2 2 2 2 2" xfId="28079" xr:uid="{00000000-0005-0000-0000-000042140000}"/>
    <cellStyle name="Millares 2 5 2 2 2 2 2 2 2 2 2" xfId="55212" xr:uid="{00000000-0005-0000-0000-000043140000}"/>
    <cellStyle name="Millares 2 5 2 2 2 2 2 2 2 3" xfId="41650" xr:uid="{00000000-0005-0000-0000-000044140000}"/>
    <cellStyle name="Millares 2 5 2 2 2 2 2 2 3" xfId="21298" xr:uid="{00000000-0005-0000-0000-000045140000}"/>
    <cellStyle name="Millares 2 5 2 2 2 2 2 2 3 2" xfId="48431" xr:uid="{00000000-0005-0000-0000-000046140000}"/>
    <cellStyle name="Millares 2 5 2 2 2 2 2 2 4" xfId="34869" xr:uid="{00000000-0005-0000-0000-000047140000}"/>
    <cellStyle name="Millares 2 5 2 2 2 2 2 3" xfId="11122" xr:uid="{00000000-0005-0000-0000-000048140000}"/>
    <cellStyle name="Millares 2 5 2 2 2 2 2 3 2" xfId="24690" xr:uid="{00000000-0005-0000-0000-000049140000}"/>
    <cellStyle name="Millares 2 5 2 2 2 2 2 3 2 2" xfId="51823" xr:uid="{00000000-0005-0000-0000-00004A140000}"/>
    <cellStyle name="Millares 2 5 2 2 2 2 2 3 3" xfId="38261" xr:uid="{00000000-0005-0000-0000-00004B140000}"/>
    <cellStyle name="Millares 2 5 2 2 2 2 2 4" xfId="17909" xr:uid="{00000000-0005-0000-0000-00004C140000}"/>
    <cellStyle name="Millares 2 5 2 2 2 2 2 4 2" xfId="45042" xr:uid="{00000000-0005-0000-0000-00004D140000}"/>
    <cellStyle name="Millares 2 5 2 2 2 2 2 5" xfId="31480" xr:uid="{00000000-0005-0000-0000-00004E140000}"/>
    <cellStyle name="Millares 2 5 2 2 2 2 3" xfId="4112" xr:uid="{00000000-0005-0000-0000-00004F140000}"/>
    <cellStyle name="Millares 2 5 2 2 2 2 3 2" xfId="7722" xr:uid="{00000000-0005-0000-0000-000050140000}"/>
    <cellStyle name="Millares 2 5 2 2 2 2 3 2 2" xfId="14512" xr:uid="{00000000-0005-0000-0000-000051140000}"/>
    <cellStyle name="Millares 2 5 2 2 2 2 3 2 2 2" xfId="28080" xr:uid="{00000000-0005-0000-0000-000052140000}"/>
    <cellStyle name="Millares 2 5 2 2 2 2 3 2 2 2 2" xfId="55213" xr:uid="{00000000-0005-0000-0000-000053140000}"/>
    <cellStyle name="Millares 2 5 2 2 2 2 3 2 2 3" xfId="41651" xr:uid="{00000000-0005-0000-0000-000054140000}"/>
    <cellStyle name="Millares 2 5 2 2 2 2 3 2 3" xfId="21299" xr:uid="{00000000-0005-0000-0000-000055140000}"/>
    <cellStyle name="Millares 2 5 2 2 2 2 3 2 3 2" xfId="48432" xr:uid="{00000000-0005-0000-0000-000056140000}"/>
    <cellStyle name="Millares 2 5 2 2 2 2 3 2 4" xfId="34870" xr:uid="{00000000-0005-0000-0000-000057140000}"/>
    <cellStyle name="Millares 2 5 2 2 2 2 3 3" xfId="11123" xr:uid="{00000000-0005-0000-0000-000058140000}"/>
    <cellStyle name="Millares 2 5 2 2 2 2 3 3 2" xfId="24691" xr:uid="{00000000-0005-0000-0000-000059140000}"/>
    <cellStyle name="Millares 2 5 2 2 2 2 3 3 2 2" xfId="51824" xr:uid="{00000000-0005-0000-0000-00005A140000}"/>
    <cellStyle name="Millares 2 5 2 2 2 2 3 3 3" xfId="38262" xr:uid="{00000000-0005-0000-0000-00005B140000}"/>
    <cellStyle name="Millares 2 5 2 2 2 2 3 4" xfId="17910" xr:uid="{00000000-0005-0000-0000-00005C140000}"/>
    <cellStyle name="Millares 2 5 2 2 2 2 3 4 2" xfId="45043" xr:uid="{00000000-0005-0000-0000-00005D140000}"/>
    <cellStyle name="Millares 2 5 2 2 2 2 3 5" xfId="31481" xr:uid="{00000000-0005-0000-0000-00005E140000}"/>
    <cellStyle name="Millares 2 5 2 2 2 2 4" xfId="7720" xr:uid="{00000000-0005-0000-0000-00005F140000}"/>
    <cellStyle name="Millares 2 5 2 2 2 2 4 2" xfId="14510" xr:uid="{00000000-0005-0000-0000-000060140000}"/>
    <cellStyle name="Millares 2 5 2 2 2 2 4 2 2" xfId="28078" xr:uid="{00000000-0005-0000-0000-000061140000}"/>
    <cellStyle name="Millares 2 5 2 2 2 2 4 2 2 2" xfId="55211" xr:uid="{00000000-0005-0000-0000-000062140000}"/>
    <cellStyle name="Millares 2 5 2 2 2 2 4 2 3" xfId="41649" xr:uid="{00000000-0005-0000-0000-000063140000}"/>
    <cellStyle name="Millares 2 5 2 2 2 2 4 3" xfId="21297" xr:uid="{00000000-0005-0000-0000-000064140000}"/>
    <cellStyle name="Millares 2 5 2 2 2 2 4 3 2" xfId="48430" xr:uid="{00000000-0005-0000-0000-000065140000}"/>
    <cellStyle name="Millares 2 5 2 2 2 2 4 4" xfId="34868" xr:uid="{00000000-0005-0000-0000-000066140000}"/>
    <cellStyle name="Millares 2 5 2 2 2 2 5" xfId="11121" xr:uid="{00000000-0005-0000-0000-000067140000}"/>
    <cellStyle name="Millares 2 5 2 2 2 2 5 2" xfId="24689" xr:uid="{00000000-0005-0000-0000-000068140000}"/>
    <cellStyle name="Millares 2 5 2 2 2 2 5 2 2" xfId="51822" xr:uid="{00000000-0005-0000-0000-000069140000}"/>
    <cellStyle name="Millares 2 5 2 2 2 2 5 3" xfId="38260" xr:uid="{00000000-0005-0000-0000-00006A140000}"/>
    <cellStyle name="Millares 2 5 2 2 2 2 6" xfId="17908" xr:uid="{00000000-0005-0000-0000-00006B140000}"/>
    <cellStyle name="Millares 2 5 2 2 2 2 6 2" xfId="45041" xr:uid="{00000000-0005-0000-0000-00006C140000}"/>
    <cellStyle name="Millares 2 5 2 2 2 2 7" xfId="31479" xr:uid="{00000000-0005-0000-0000-00006D140000}"/>
    <cellStyle name="Millares 2 5 2 2 2 3" xfId="4113" xr:uid="{00000000-0005-0000-0000-00006E140000}"/>
    <cellStyle name="Millares 2 5 2 2 2 3 2" xfId="4114" xr:uid="{00000000-0005-0000-0000-00006F140000}"/>
    <cellStyle name="Millares 2 5 2 2 2 3 2 2" xfId="7724" xr:uid="{00000000-0005-0000-0000-000070140000}"/>
    <cellStyle name="Millares 2 5 2 2 2 3 2 2 2" xfId="14514" xr:uid="{00000000-0005-0000-0000-000071140000}"/>
    <cellStyle name="Millares 2 5 2 2 2 3 2 2 2 2" xfId="28082" xr:uid="{00000000-0005-0000-0000-000072140000}"/>
    <cellStyle name="Millares 2 5 2 2 2 3 2 2 2 2 2" xfId="55215" xr:uid="{00000000-0005-0000-0000-000073140000}"/>
    <cellStyle name="Millares 2 5 2 2 2 3 2 2 2 3" xfId="41653" xr:uid="{00000000-0005-0000-0000-000074140000}"/>
    <cellStyle name="Millares 2 5 2 2 2 3 2 2 3" xfId="21301" xr:uid="{00000000-0005-0000-0000-000075140000}"/>
    <cellStyle name="Millares 2 5 2 2 2 3 2 2 3 2" xfId="48434" xr:uid="{00000000-0005-0000-0000-000076140000}"/>
    <cellStyle name="Millares 2 5 2 2 2 3 2 2 4" xfId="34872" xr:uid="{00000000-0005-0000-0000-000077140000}"/>
    <cellStyle name="Millares 2 5 2 2 2 3 2 3" xfId="11125" xr:uid="{00000000-0005-0000-0000-000078140000}"/>
    <cellStyle name="Millares 2 5 2 2 2 3 2 3 2" xfId="24693" xr:uid="{00000000-0005-0000-0000-000079140000}"/>
    <cellStyle name="Millares 2 5 2 2 2 3 2 3 2 2" xfId="51826" xr:uid="{00000000-0005-0000-0000-00007A140000}"/>
    <cellStyle name="Millares 2 5 2 2 2 3 2 3 3" xfId="38264" xr:uid="{00000000-0005-0000-0000-00007B140000}"/>
    <cellStyle name="Millares 2 5 2 2 2 3 2 4" xfId="17912" xr:uid="{00000000-0005-0000-0000-00007C140000}"/>
    <cellStyle name="Millares 2 5 2 2 2 3 2 4 2" xfId="45045" xr:uid="{00000000-0005-0000-0000-00007D140000}"/>
    <cellStyle name="Millares 2 5 2 2 2 3 2 5" xfId="31483" xr:uid="{00000000-0005-0000-0000-00007E140000}"/>
    <cellStyle name="Millares 2 5 2 2 2 3 3" xfId="7723" xr:uid="{00000000-0005-0000-0000-00007F140000}"/>
    <cellStyle name="Millares 2 5 2 2 2 3 3 2" xfId="14513" xr:uid="{00000000-0005-0000-0000-000080140000}"/>
    <cellStyle name="Millares 2 5 2 2 2 3 3 2 2" xfId="28081" xr:uid="{00000000-0005-0000-0000-000081140000}"/>
    <cellStyle name="Millares 2 5 2 2 2 3 3 2 2 2" xfId="55214" xr:uid="{00000000-0005-0000-0000-000082140000}"/>
    <cellStyle name="Millares 2 5 2 2 2 3 3 2 3" xfId="41652" xr:uid="{00000000-0005-0000-0000-000083140000}"/>
    <cellStyle name="Millares 2 5 2 2 2 3 3 3" xfId="21300" xr:uid="{00000000-0005-0000-0000-000084140000}"/>
    <cellStyle name="Millares 2 5 2 2 2 3 3 3 2" xfId="48433" xr:uid="{00000000-0005-0000-0000-000085140000}"/>
    <cellStyle name="Millares 2 5 2 2 2 3 3 4" xfId="34871" xr:uid="{00000000-0005-0000-0000-000086140000}"/>
    <cellStyle name="Millares 2 5 2 2 2 3 4" xfId="11124" xr:uid="{00000000-0005-0000-0000-000087140000}"/>
    <cellStyle name="Millares 2 5 2 2 2 3 4 2" xfId="24692" xr:uid="{00000000-0005-0000-0000-000088140000}"/>
    <cellStyle name="Millares 2 5 2 2 2 3 4 2 2" xfId="51825" xr:uid="{00000000-0005-0000-0000-000089140000}"/>
    <cellStyle name="Millares 2 5 2 2 2 3 4 3" xfId="38263" xr:uid="{00000000-0005-0000-0000-00008A140000}"/>
    <cellStyle name="Millares 2 5 2 2 2 3 5" xfId="17911" xr:uid="{00000000-0005-0000-0000-00008B140000}"/>
    <cellStyle name="Millares 2 5 2 2 2 3 5 2" xfId="45044" xr:uid="{00000000-0005-0000-0000-00008C140000}"/>
    <cellStyle name="Millares 2 5 2 2 2 3 6" xfId="31482" xr:uid="{00000000-0005-0000-0000-00008D140000}"/>
    <cellStyle name="Millares 2 5 2 2 2 4" xfId="4115" xr:uid="{00000000-0005-0000-0000-00008E140000}"/>
    <cellStyle name="Millares 2 5 2 2 2 4 2" xfId="7725" xr:uid="{00000000-0005-0000-0000-00008F140000}"/>
    <cellStyle name="Millares 2 5 2 2 2 4 2 2" xfId="14515" xr:uid="{00000000-0005-0000-0000-000090140000}"/>
    <cellStyle name="Millares 2 5 2 2 2 4 2 2 2" xfId="28083" xr:uid="{00000000-0005-0000-0000-000091140000}"/>
    <cellStyle name="Millares 2 5 2 2 2 4 2 2 2 2" xfId="55216" xr:uid="{00000000-0005-0000-0000-000092140000}"/>
    <cellStyle name="Millares 2 5 2 2 2 4 2 2 3" xfId="41654" xr:uid="{00000000-0005-0000-0000-000093140000}"/>
    <cellStyle name="Millares 2 5 2 2 2 4 2 3" xfId="21302" xr:uid="{00000000-0005-0000-0000-000094140000}"/>
    <cellStyle name="Millares 2 5 2 2 2 4 2 3 2" xfId="48435" xr:uid="{00000000-0005-0000-0000-000095140000}"/>
    <cellStyle name="Millares 2 5 2 2 2 4 2 4" xfId="34873" xr:uid="{00000000-0005-0000-0000-000096140000}"/>
    <cellStyle name="Millares 2 5 2 2 2 4 3" xfId="11126" xr:uid="{00000000-0005-0000-0000-000097140000}"/>
    <cellStyle name="Millares 2 5 2 2 2 4 3 2" xfId="24694" xr:uid="{00000000-0005-0000-0000-000098140000}"/>
    <cellStyle name="Millares 2 5 2 2 2 4 3 2 2" xfId="51827" xr:uid="{00000000-0005-0000-0000-000099140000}"/>
    <cellStyle name="Millares 2 5 2 2 2 4 3 3" xfId="38265" xr:uid="{00000000-0005-0000-0000-00009A140000}"/>
    <cellStyle name="Millares 2 5 2 2 2 4 4" xfId="17913" xr:uid="{00000000-0005-0000-0000-00009B140000}"/>
    <cellStyle name="Millares 2 5 2 2 2 4 4 2" xfId="45046" xr:uid="{00000000-0005-0000-0000-00009C140000}"/>
    <cellStyle name="Millares 2 5 2 2 2 4 5" xfId="31484" xr:uid="{00000000-0005-0000-0000-00009D140000}"/>
    <cellStyle name="Millares 2 5 2 2 2 5" xfId="4116" xr:uid="{00000000-0005-0000-0000-00009E140000}"/>
    <cellStyle name="Millares 2 5 2 2 2 5 2" xfId="7726" xr:uid="{00000000-0005-0000-0000-00009F140000}"/>
    <cellStyle name="Millares 2 5 2 2 2 5 2 2" xfId="14516" xr:uid="{00000000-0005-0000-0000-0000A0140000}"/>
    <cellStyle name="Millares 2 5 2 2 2 5 2 2 2" xfId="28084" xr:uid="{00000000-0005-0000-0000-0000A1140000}"/>
    <cellStyle name="Millares 2 5 2 2 2 5 2 2 2 2" xfId="55217" xr:uid="{00000000-0005-0000-0000-0000A2140000}"/>
    <cellStyle name="Millares 2 5 2 2 2 5 2 2 3" xfId="41655" xr:uid="{00000000-0005-0000-0000-0000A3140000}"/>
    <cellStyle name="Millares 2 5 2 2 2 5 2 3" xfId="21303" xr:uid="{00000000-0005-0000-0000-0000A4140000}"/>
    <cellStyle name="Millares 2 5 2 2 2 5 2 3 2" xfId="48436" xr:uid="{00000000-0005-0000-0000-0000A5140000}"/>
    <cellStyle name="Millares 2 5 2 2 2 5 2 4" xfId="34874" xr:uid="{00000000-0005-0000-0000-0000A6140000}"/>
    <cellStyle name="Millares 2 5 2 2 2 5 3" xfId="11127" xr:uid="{00000000-0005-0000-0000-0000A7140000}"/>
    <cellStyle name="Millares 2 5 2 2 2 5 3 2" xfId="24695" xr:uid="{00000000-0005-0000-0000-0000A8140000}"/>
    <cellStyle name="Millares 2 5 2 2 2 5 3 2 2" xfId="51828" xr:uid="{00000000-0005-0000-0000-0000A9140000}"/>
    <cellStyle name="Millares 2 5 2 2 2 5 3 3" xfId="38266" xr:uid="{00000000-0005-0000-0000-0000AA140000}"/>
    <cellStyle name="Millares 2 5 2 2 2 5 4" xfId="17914" xr:uid="{00000000-0005-0000-0000-0000AB140000}"/>
    <cellStyle name="Millares 2 5 2 2 2 5 4 2" xfId="45047" xr:uid="{00000000-0005-0000-0000-0000AC140000}"/>
    <cellStyle name="Millares 2 5 2 2 2 5 5" xfId="31485" xr:uid="{00000000-0005-0000-0000-0000AD140000}"/>
    <cellStyle name="Millares 2 5 2 2 2 6" xfId="7719" xr:uid="{00000000-0005-0000-0000-0000AE140000}"/>
    <cellStyle name="Millares 2 5 2 2 2 6 2" xfId="14509" xr:uid="{00000000-0005-0000-0000-0000AF140000}"/>
    <cellStyle name="Millares 2 5 2 2 2 6 2 2" xfId="28077" xr:uid="{00000000-0005-0000-0000-0000B0140000}"/>
    <cellStyle name="Millares 2 5 2 2 2 6 2 2 2" xfId="55210" xr:uid="{00000000-0005-0000-0000-0000B1140000}"/>
    <cellStyle name="Millares 2 5 2 2 2 6 2 3" xfId="41648" xr:uid="{00000000-0005-0000-0000-0000B2140000}"/>
    <cellStyle name="Millares 2 5 2 2 2 6 3" xfId="21296" xr:uid="{00000000-0005-0000-0000-0000B3140000}"/>
    <cellStyle name="Millares 2 5 2 2 2 6 3 2" xfId="48429" xr:uid="{00000000-0005-0000-0000-0000B4140000}"/>
    <cellStyle name="Millares 2 5 2 2 2 6 4" xfId="34867" xr:uid="{00000000-0005-0000-0000-0000B5140000}"/>
    <cellStyle name="Millares 2 5 2 2 2 7" xfId="11120" xr:uid="{00000000-0005-0000-0000-0000B6140000}"/>
    <cellStyle name="Millares 2 5 2 2 2 7 2" xfId="24688" xr:uid="{00000000-0005-0000-0000-0000B7140000}"/>
    <cellStyle name="Millares 2 5 2 2 2 7 2 2" xfId="51821" xr:uid="{00000000-0005-0000-0000-0000B8140000}"/>
    <cellStyle name="Millares 2 5 2 2 2 7 3" xfId="38259" xr:uid="{00000000-0005-0000-0000-0000B9140000}"/>
    <cellStyle name="Millares 2 5 2 2 2 8" xfId="17907" xr:uid="{00000000-0005-0000-0000-0000BA140000}"/>
    <cellStyle name="Millares 2 5 2 2 2 8 2" xfId="45040" xr:uid="{00000000-0005-0000-0000-0000BB140000}"/>
    <cellStyle name="Millares 2 5 2 2 2 9" xfId="31478" xr:uid="{00000000-0005-0000-0000-0000BC140000}"/>
    <cellStyle name="Millares 2 5 2 2 3" xfId="4117" xr:uid="{00000000-0005-0000-0000-0000BD140000}"/>
    <cellStyle name="Millares 2 5 2 2 3 2" xfId="4118" xr:uid="{00000000-0005-0000-0000-0000BE140000}"/>
    <cellStyle name="Millares 2 5 2 2 3 2 2" xfId="7728" xr:uid="{00000000-0005-0000-0000-0000BF140000}"/>
    <cellStyle name="Millares 2 5 2 2 3 2 2 2" xfId="14518" xr:uid="{00000000-0005-0000-0000-0000C0140000}"/>
    <cellStyle name="Millares 2 5 2 2 3 2 2 2 2" xfId="28086" xr:uid="{00000000-0005-0000-0000-0000C1140000}"/>
    <cellStyle name="Millares 2 5 2 2 3 2 2 2 2 2" xfId="55219" xr:uid="{00000000-0005-0000-0000-0000C2140000}"/>
    <cellStyle name="Millares 2 5 2 2 3 2 2 2 3" xfId="41657" xr:uid="{00000000-0005-0000-0000-0000C3140000}"/>
    <cellStyle name="Millares 2 5 2 2 3 2 2 3" xfId="21305" xr:uid="{00000000-0005-0000-0000-0000C4140000}"/>
    <cellStyle name="Millares 2 5 2 2 3 2 2 3 2" xfId="48438" xr:uid="{00000000-0005-0000-0000-0000C5140000}"/>
    <cellStyle name="Millares 2 5 2 2 3 2 2 4" xfId="34876" xr:uid="{00000000-0005-0000-0000-0000C6140000}"/>
    <cellStyle name="Millares 2 5 2 2 3 2 3" xfId="11129" xr:uid="{00000000-0005-0000-0000-0000C7140000}"/>
    <cellStyle name="Millares 2 5 2 2 3 2 3 2" xfId="24697" xr:uid="{00000000-0005-0000-0000-0000C8140000}"/>
    <cellStyle name="Millares 2 5 2 2 3 2 3 2 2" xfId="51830" xr:uid="{00000000-0005-0000-0000-0000C9140000}"/>
    <cellStyle name="Millares 2 5 2 2 3 2 3 3" xfId="38268" xr:uid="{00000000-0005-0000-0000-0000CA140000}"/>
    <cellStyle name="Millares 2 5 2 2 3 2 4" xfId="17916" xr:uid="{00000000-0005-0000-0000-0000CB140000}"/>
    <cellStyle name="Millares 2 5 2 2 3 2 4 2" xfId="45049" xr:uid="{00000000-0005-0000-0000-0000CC140000}"/>
    <cellStyle name="Millares 2 5 2 2 3 2 5" xfId="31487" xr:uid="{00000000-0005-0000-0000-0000CD140000}"/>
    <cellStyle name="Millares 2 5 2 2 3 3" xfId="4119" xr:uid="{00000000-0005-0000-0000-0000CE140000}"/>
    <cellStyle name="Millares 2 5 2 2 3 3 2" xfId="7729" xr:uid="{00000000-0005-0000-0000-0000CF140000}"/>
    <cellStyle name="Millares 2 5 2 2 3 3 2 2" xfId="14519" xr:uid="{00000000-0005-0000-0000-0000D0140000}"/>
    <cellStyle name="Millares 2 5 2 2 3 3 2 2 2" xfId="28087" xr:uid="{00000000-0005-0000-0000-0000D1140000}"/>
    <cellStyle name="Millares 2 5 2 2 3 3 2 2 2 2" xfId="55220" xr:uid="{00000000-0005-0000-0000-0000D2140000}"/>
    <cellStyle name="Millares 2 5 2 2 3 3 2 2 3" xfId="41658" xr:uid="{00000000-0005-0000-0000-0000D3140000}"/>
    <cellStyle name="Millares 2 5 2 2 3 3 2 3" xfId="21306" xr:uid="{00000000-0005-0000-0000-0000D4140000}"/>
    <cellStyle name="Millares 2 5 2 2 3 3 2 3 2" xfId="48439" xr:uid="{00000000-0005-0000-0000-0000D5140000}"/>
    <cellStyle name="Millares 2 5 2 2 3 3 2 4" xfId="34877" xr:uid="{00000000-0005-0000-0000-0000D6140000}"/>
    <cellStyle name="Millares 2 5 2 2 3 3 3" xfId="11130" xr:uid="{00000000-0005-0000-0000-0000D7140000}"/>
    <cellStyle name="Millares 2 5 2 2 3 3 3 2" xfId="24698" xr:uid="{00000000-0005-0000-0000-0000D8140000}"/>
    <cellStyle name="Millares 2 5 2 2 3 3 3 2 2" xfId="51831" xr:uid="{00000000-0005-0000-0000-0000D9140000}"/>
    <cellStyle name="Millares 2 5 2 2 3 3 3 3" xfId="38269" xr:uid="{00000000-0005-0000-0000-0000DA140000}"/>
    <cellStyle name="Millares 2 5 2 2 3 3 4" xfId="17917" xr:uid="{00000000-0005-0000-0000-0000DB140000}"/>
    <cellStyle name="Millares 2 5 2 2 3 3 4 2" xfId="45050" xr:uid="{00000000-0005-0000-0000-0000DC140000}"/>
    <cellStyle name="Millares 2 5 2 2 3 3 5" xfId="31488" xr:uid="{00000000-0005-0000-0000-0000DD140000}"/>
    <cellStyle name="Millares 2 5 2 2 3 4" xfId="7727" xr:uid="{00000000-0005-0000-0000-0000DE140000}"/>
    <cellStyle name="Millares 2 5 2 2 3 4 2" xfId="14517" xr:uid="{00000000-0005-0000-0000-0000DF140000}"/>
    <cellStyle name="Millares 2 5 2 2 3 4 2 2" xfId="28085" xr:uid="{00000000-0005-0000-0000-0000E0140000}"/>
    <cellStyle name="Millares 2 5 2 2 3 4 2 2 2" xfId="55218" xr:uid="{00000000-0005-0000-0000-0000E1140000}"/>
    <cellStyle name="Millares 2 5 2 2 3 4 2 3" xfId="41656" xr:uid="{00000000-0005-0000-0000-0000E2140000}"/>
    <cellStyle name="Millares 2 5 2 2 3 4 3" xfId="21304" xr:uid="{00000000-0005-0000-0000-0000E3140000}"/>
    <cellStyle name="Millares 2 5 2 2 3 4 3 2" xfId="48437" xr:uid="{00000000-0005-0000-0000-0000E4140000}"/>
    <cellStyle name="Millares 2 5 2 2 3 4 4" xfId="34875" xr:uid="{00000000-0005-0000-0000-0000E5140000}"/>
    <cellStyle name="Millares 2 5 2 2 3 5" xfId="11128" xr:uid="{00000000-0005-0000-0000-0000E6140000}"/>
    <cellStyle name="Millares 2 5 2 2 3 5 2" xfId="24696" xr:uid="{00000000-0005-0000-0000-0000E7140000}"/>
    <cellStyle name="Millares 2 5 2 2 3 5 2 2" xfId="51829" xr:uid="{00000000-0005-0000-0000-0000E8140000}"/>
    <cellStyle name="Millares 2 5 2 2 3 5 3" xfId="38267" xr:uid="{00000000-0005-0000-0000-0000E9140000}"/>
    <cellStyle name="Millares 2 5 2 2 3 6" xfId="17915" xr:uid="{00000000-0005-0000-0000-0000EA140000}"/>
    <cellStyle name="Millares 2 5 2 2 3 6 2" xfId="45048" xr:uid="{00000000-0005-0000-0000-0000EB140000}"/>
    <cellStyle name="Millares 2 5 2 2 3 7" xfId="31486" xr:uid="{00000000-0005-0000-0000-0000EC140000}"/>
    <cellStyle name="Millares 2 5 2 2 4" xfId="4120" xr:uid="{00000000-0005-0000-0000-0000ED140000}"/>
    <cellStyle name="Millares 2 5 2 2 4 2" xfId="4121" xr:uid="{00000000-0005-0000-0000-0000EE140000}"/>
    <cellStyle name="Millares 2 5 2 2 4 2 2" xfId="7731" xr:uid="{00000000-0005-0000-0000-0000EF140000}"/>
    <cellStyle name="Millares 2 5 2 2 4 2 2 2" xfId="14521" xr:uid="{00000000-0005-0000-0000-0000F0140000}"/>
    <cellStyle name="Millares 2 5 2 2 4 2 2 2 2" xfId="28089" xr:uid="{00000000-0005-0000-0000-0000F1140000}"/>
    <cellStyle name="Millares 2 5 2 2 4 2 2 2 2 2" xfId="55222" xr:uid="{00000000-0005-0000-0000-0000F2140000}"/>
    <cellStyle name="Millares 2 5 2 2 4 2 2 2 3" xfId="41660" xr:uid="{00000000-0005-0000-0000-0000F3140000}"/>
    <cellStyle name="Millares 2 5 2 2 4 2 2 3" xfId="21308" xr:uid="{00000000-0005-0000-0000-0000F4140000}"/>
    <cellStyle name="Millares 2 5 2 2 4 2 2 3 2" xfId="48441" xr:uid="{00000000-0005-0000-0000-0000F5140000}"/>
    <cellStyle name="Millares 2 5 2 2 4 2 2 4" xfId="34879" xr:uid="{00000000-0005-0000-0000-0000F6140000}"/>
    <cellStyle name="Millares 2 5 2 2 4 2 3" xfId="11132" xr:uid="{00000000-0005-0000-0000-0000F7140000}"/>
    <cellStyle name="Millares 2 5 2 2 4 2 3 2" xfId="24700" xr:uid="{00000000-0005-0000-0000-0000F8140000}"/>
    <cellStyle name="Millares 2 5 2 2 4 2 3 2 2" xfId="51833" xr:uid="{00000000-0005-0000-0000-0000F9140000}"/>
    <cellStyle name="Millares 2 5 2 2 4 2 3 3" xfId="38271" xr:uid="{00000000-0005-0000-0000-0000FA140000}"/>
    <cellStyle name="Millares 2 5 2 2 4 2 4" xfId="17919" xr:uid="{00000000-0005-0000-0000-0000FB140000}"/>
    <cellStyle name="Millares 2 5 2 2 4 2 4 2" xfId="45052" xr:uid="{00000000-0005-0000-0000-0000FC140000}"/>
    <cellStyle name="Millares 2 5 2 2 4 2 5" xfId="31490" xr:uid="{00000000-0005-0000-0000-0000FD140000}"/>
    <cellStyle name="Millares 2 5 2 2 4 3" xfId="7730" xr:uid="{00000000-0005-0000-0000-0000FE140000}"/>
    <cellStyle name="Millares 2 5 2 2 4 3 2" xfId="14520" xr:uid="{00000000-0005-0000-0000-0000FF140000}"/>
    <cellStyle name="Millares 2 5 2 2 4 3 2 2" xfId="28088" xr:uid="{00000000-0005-0000-0000-000000150000}"/>
    <cellStyle name="Millares 2 5 2 2 4 3 2 2 2" xfId="55221" xr:uid="{00000000-0005-0000-0000-000001150000}"/>
    <cellStyle name="Millares 2 5 2 2 4 3 2 3" xfId="41659" xr:uid="{00000000-0005-0000-0000-000002150000}"/>
    <cellStyle name="Millares 2 5 2 2 4 3 3" xfId="21307" xr:uid="{00000000-0005-0000-0000-000003150000}"/>
    <cellStyle name="Millares 2 5 2 2 4 3 3 2" xfId="48440" xr:uid="{00000000-0005-0000-0000-000004150000}"/>
    <cellStyle name="Millares 2 5 2 2 4 3 4" xfId="34878" xr:uid="{00000000-0005-0000-0000-000005150000}"/>
    <cellStyle name="Millares 2 5 2 2 4 4" xfId="11131" xr:uid="{00000000-0005-0000-0000-000006150000}"/>
    <cellStyle name="Millares 2 5 2 2 4 4 2" xfId="24699" xr:uid="{00000000-0005-0000-0000-000007150000}"/>
    <cellStyle name="Millares 2 5 2 2 4 4 2 2" xfId="51832" xr:uid="{00000000-0005-0000-0000-000008150000}"/>
    <cellStyle name="Millares 2 5 2 2 4 4 3" xfId="38270" xr:uid="{00000000-0005-0000-0000-000009150000}"/>
    <cellStyle name="Millares 2 5 2 2 4 5" xfId="17918" xr:uid="{00000000-0005-0000-0000-00000A150000}"/>
    <cellStyle name="Millares 2 5 2 2 4 5 2" xfId="45051" xr:uid="{00000000-0005-0000-0000-00000B150000}"/>
    <cellStyle name="Millares 2 5 2 2 4 6" xfId="31489" xr:uid="{00000000-0005-0000-0000-00000C150000}"/>
    <cellStyle name="Millares 2 5 2 2 5" xfId="4122" xr:uid="{00000000-0005-0000-0000-00000D150000}"/>
    <cellStyle name="Millares 2 5 2 2 5 2" xfId="7732" xr:uid="{00000000-0005-0000-0000-00000E150000}"/>
    <cellStyle name="Millares 2 5 2 2 5 2 2" xfId="14522" xr:uid="{00000000-0005-0000-0000-00000F150000}"/>
    <cellStyle name="Millares 2 5 2 2 5 2 2 2" xfId="28090" xr:uid="{00000000-0005-0000-0000-000010150000}"/>
    <cellStyle name="Millares 2 5 2 2 5 2 2 2 2" xfId="55223" xr:uid="{00000000-0005-0000-0000-000011150000}"/>
    <cellStyle name="Millares 2 5 2 2 5 2 2 3" xfId="41661" xr:uid="{00000000-0005-0000-0000-000012150000}"/>
    <cellStyle name="Millares 2 5 2 2 5 2 3" xfId="21309" xr:uid="{00000000-0005-0000-0000-000013150000}"/>
    <cellStyle name="Millares 2 5 2 2 5 2 3 2" xfId="48442" xr:uid="{00000000-0005-0000-0000-000014150000}"/>
    <cellStyle name="Millares 2 5 2 2 5 2 4" xfId="34880" xr:uid="{00000000-0005-0000-0000-000015150000}"/>
    <cellStyle name="Millares 2 5 2 2 5 3" xfId="11133" xr:uid="{00000000-0005-0000-0000-000016150000}"/>
    <cellStyle name="Millares 2 5 2 2 5 3 2" xfId="24701" xr:uid="{00000000-0005-0000-0000-000017150000}"/>
    <cellStyle name="Millares 2 5 2 2 5 3 2 2" xfId="51834" xr:uid="{00000000-0005-0000-0000-000018150000}"/>
    <cellStyle name="Millares 2 5 2 2 5 3 3" xfId="38272" xr:uid="{00000000-0005-0000-0000-000019150000}"/>
    <cellStyle name="Millares 2 5 2 2 5 4" xfId="17920" xr:uid="{00000000-0005-0000-0000-00001A150000}"/>
    <cellStyle name="Millares 2 5 2 2 5 4 2" xfId="45053" xr:uid="{00000000-0005-0000-0000-00001B150000}"/>
    <cellStyle name="Millares 2 5 2 2 5 5" xfId="31491" xr:uid="{00000000-0005-0000-0000-00001C150000}"/>
    <cellStyle name="Millares 2 5 2 2 6" xfId="4123" xr:uid="{00000000-0005-0000-0000-00001D150000}"/>
    <cellStyle name="Millares 2 5 2 2 6 2" xfId="7733" xr:uid="{00000000-0005-0000-0000-00001E150000}"/>
    <cellStyle name="Millares 2 5 2 2 6 2 2" xfId="14523" xr:uid="{00000000-0005-0000-0000-00001F150000}"/>
    <cellStyle name="Millares 2 5 2 2 6 2 2 2" xfId="28091" xr:uid="{00000000-0005-0000-0000-000020150000}"/>
    <cellStyle name="Millares 2 5 2 2 6 2 2 2 2" xfId="55224" xr:uid="{00000000-0005-0000-0000-000021150000}"/>
    <cellStyle name="Millares 2 5 2 2 6 2 2 3" xfId="41662" xr:uid="{00000000-0005-0000-0000-000022150000}"/>
    <cellStyle name="Millares 2 5 2 2 6 2 3" xfId="21310" xr:uid="{00000000-0005-0000-0000-000023150000}"/>
    <cellStyle name="Millares 2 5 2 2 6 2 3 2" xfId="48443" xr:uid="{00000000-0005-0000-0000-000024150000}"/>
    <cellStyle name="Millares 2 5 2 2 6 2 4" xfId="34881" xr:uid="{00000000-0005-0000-0000-000025150000}"/>
    <cellStyle name="Millares 2 5 2 2 6 3" xfId="11134" xr:uid="{00000000-0005-0000-0000-000026150000}"/>
    <cellStyle name="Millares 2 5 2 2 6 3 2" xfId="24702" xr:uid="{00000000-0005-0000-0000-000027150000}"/>
    <cellStyle name="Millares 2 5 2 2 6 3 2 2" xfId="51835" xr:uid="{00000000-0005-0000-0000-000028150000}"/>
    <cellStyle name="Millares 2 5 2 2 6 3 3" xfId="38273" xr:uid="{00000000-0005-0000-0000-000029150000}"/>
    <cellStyle name="Millares 2 5 2 2 6 4" xfId="17921" xr:uid="{00000000-0005-0000-0000-00002A150000}"/>
    <cellStyle name="Millares 2 5 2 2 6 4 2" xfId="45054" xr:uid="{00000000-0005-0000-0000-00002B150000}"/>
    <cellStyle name="Millares 2 5 2 2 6 5" xfId="31492" xr:uid="{00000000-0005-0000-0000-00002C150000}"/>
    <cellStyle name="Millares 2 5 2 2 7" xfId="7718" xr:uid="{00000000-0005-0000-0000-00002D150000}"/>
    <cellStyle name="Millares 2 5 2 2 7 2" xfId="14508" xr:uid="{00000000-0005-0000-0000-00002E150000}"/>
    <cellStyle name="Millares 2 5 2 2 7 2 2" xfId="28076" xr:uid="{00000000-0005-0000-0000-00002F150000}"/>
    <cellStyle name="Millares 2 5 2 2 7 2 2 2" xfId="55209" xr:uid="{00000000-0005-0000-0000-000030150000}"/>
    <cellStyle name="Millares 2 5 2 2 7 2 3" xfId="41647" xr:uid="{00000000-0005-0000-0000-000031150000}"/>
    <cellStyle name="Millares 2 5 2 2 7 3" xfId="21295" xr:uid="{00000000-0005-0000-0000-000032150000}"/>
    <cellStyle name="Millares 2 5 2 2 7 3 2" xfId="48428" xr:uid="{00000000-0005-0000-0000-000033150000}"/>
    <cellStyle name="Millares 2 5 2 2 7 4" xfId="34866" xr:uid="{00000000-0005-0000-0000-000034150000}"/>
    <cellStyle name="Millares 2 5 2 2 8" xfId="11119" xr:uid="{00000000-0005-0000-0000-000035150000}"/>
    <cellStyle name="Millares 2 5 2 2 8 2" xfId="24687" xr:uid="{00000000-0005-0000-0000-000036150000}"/>
    <cellStyle name="Millares 2 5 2 2 8 2 2" xfId="51820" xr:uid="{00000000-0005-0000-0000-000037150000}"/>
    <cellStyle name="Millares 2 5 2 2 8 3" xfId="38258" xr:uid="{00000000-0005-0000-0000-000038150000}"/>
    <cellStyle name="Millares 2 5 2 2 9" xfId="17906" xr:uid="{00000000-0005-0000-0000-000039150000}"/>
    <cellStyle name="Millares 2 5 2 2 9 2" xfId="45039" xr:uid="{00000000-0005-0000-0000-00003A150000}"/>
    <cellStyle name="Millares 2 5 2 3" xfId="4124" xr:uid="{00000000-0005-0000-0000-00003B150000}"/>
    <cellStyle name="Millares 2 5 2 3 2" xfId="4125" xr:uid="{00000000-0005-0000-0000-00003C150000}"/>
    <cellStyle name="Millares 2 5 2 3 2 2" xfId="4126" xr:uid="{00000000-0005-0000-0000-00003D150000}"/>
    <cellStyle name="Millares 2 5 2 3 2 2 2" xfId="7736" xr:uid="{00000000-0005-0000-0000-00003E150000}"/>
    <cellStyle name="Millares 2 5 2 3 2 2 2 2" xfId="14526" xr:uid="{00000000-0005-0000-0000-00003F150000}"/>
    <cellStyle name="Millares 2 5 2 3 2 2 2 2 2" xfId="28094" xr:uid="{00000000-0005-0000-0000-000040150000}"/>
    <cellStyle name="Millares 2 5 2 3 2 2 2 2 2 2" xfId="55227" xr:uid="{00000000-0005-0000-0000-000041150000}"/>
    <cellStyle name="Millares 2 5 2 3 2 2 2 2 3" xfId="41665" xr:uid="{00000000-0005-0000-0000-000042150000}"/>
    <cellStyle name="Millares 2 5 2 3 2 2 2 3" xfId="21313" xr:uid="{00000000-0005-0000-0000-000043150000}"/>
    <cellStyle name="Millares 2 5 2 3 2 2 2 3 2" xfId="48446" xr:uid="{00000000-0005-0000-0000-000044150000}"/>
    <cellStyle name="Millares 2 5 2 3 2 2 2 4" xfId="34884" xr:uid="{00000000-0005-0000-0000-000045150000}"/>
    <cellStyle name="Millares 2 5 2 3 2 2 3" xfId="11137" xr:uid="{00000000-0005-0000-0000-000046150000}"/>
    <cellStyle name="Millares 2 5 2 3 2 2 3 2" xfId="24705" xr:uid="{00000000-0005-0000-0000-000047150000}"/>
    <cellStyle name="Millares 2 5 2 3 2 2 3 2 2" xfId="51838" xr:uid="{00000000-0005-0000-0000-000048150000}"/>
    <cellStyle name="Millares 2 5 2 3 2 2 3 3" xfId="38276" xr:uid="{00000000-0005-0000-0000-000049150000}"/>
    <cellStyle name="Millares 2 5 2 3 2 2 4" xfId="17924" xr:uid="{00000000-0005-0000-0000-00004A150000}"/>
    <cellStyle name="Millares 2 5 2 3 2 2 4 2" xfId="45057" xr:uid="{00000000-0005-0000-0000-00004B150000}"/>
    <cellStyle name="Millares 2 5 2 3 2 2 5" xfId="31495" xr:uid="{00000000-0005-0000-0000-00004C150000}"/>
    <cellStyle name="Millares 2 5 2 3 2 3" xfId="4127" xr:uid="{00000000-0005-0000-0000-00004D150000}"/>
    <cellStyle name="Millares 2 5 2 3 2 3 2" xfId="7737" xr:uid="{00000000-0005-0000-0000-00004E150000}"/>
    <cellStyle name="Millares 2 5 2 3 2 3 2 2" xfId="14527" xr:uid="{00000000-0005-0000-0000-00004F150000}"/>
    <cellStyle name="Millares 2 5 2 3 2 3 2 2 2" xfId="28095" xr:uid="{00000000-0005-0000-0000-000050150000}"/>
    <cellStyle name="Millares 2 5 2 3 2 3 2 2 2 2" xfId="55228" xr:uid="{00000000-0005-0000-0000-000051150000}"/>
    <cellStyle name="Millares 2 5 2 3 2 3 2 2 3" xfId="41666" xr:uid="{00000000-0005-0000-0000-000052150000}"/>
    <cellStyle name="Millares 2 5 2 3 2 3 2 3" xfId="21314" xr:uid="{00000000-0005-0000-0000-000053150000}"/>
    <cellStyle name="Millares 2 5 2 3 2 3 2 3 2" xfId="48447" xr:uid="{00000000-0005-0000-0000-000054150000}"/>
    <cellStyle name="Millares 2 5 2 3 2 3 2 4" xfId="34885" xr:uid="{00000000-0005-0000-0000-000055150000}"/>
    <cellStyle name="Millares 2 5 2 3 2 3 3" xfId="11138" xr:uid="{00000000-0005-0000-0000-000056150000}"/>
    <cellStyle name="Millares 2 5 2 3 2 3 3 2" xfId="24706" xr:uid="{00000000-0005-0000-0000-000057150000}"/>
    <cellStyle name="Millares 2 5 2 3 2 3 3 2 2" xfId="51839" xr:uid="{00000000-0005-0000-0000-000058150000}"/>
    <cellStyle name="Millares 2 5 2 3 2 3 3 3" xfId="38277" xr:uid="{00000000-0005-0000-0000-000059150000}"/>
    <cellStyle name="Millares 2 5 2 3 2 3 4" xfId="17925" xr:uid="{00000000-0005-0000-0000-00005A150000}"/>
    <cellStyle name="Millares 2 5 2 3 2 3 4 2" xfId="45058" xr:uid="{00000000-0005-0000-0000-00005B150000}"/>
    <cellStyle name="Millares 2 5 2 3 2 3 5" xfId="31496" xr:uid="{00000000-0005-0000-0000-00005C150000}"/>
    <cellStyle name="Millares 2 5 2 3 2 4" xfId="7735" xr:uid="{00000000-0005-0000-0000-00005D150000}"/>
    <cellStyle name="Millares 2 5 2 3 2 4 2" xfId="14525" xr:uid="{00000000-0005-0000-0000-00005E150000}"/>
    <cellStyle name="Millares 2 5 2 3 2 4 2 2" xfId="28093" xr:uid="{00000000-0005-0000-0000-00005F150000}"/>
    <cellStyle name="Millares 2 5 2 3 2 4 2 2 2" xfId="55226" xr:uid="{00000000-0005-0000-0000-000060150000}"/>
    <cellStyle name="Millares 2 5 2 3 2 4 2 3" xfId="41664" xr:uid="{00000000-0005-0000-0000-000061150000}"/>
    <cellStyle name="Millares 2 5 2 3 2 4 3" xfId="21312" xr:uid="{00000000-0005-0000-0000-000062150000}"/>
    <cellStyle name="Millares 2 5 2 3 2 4 3 2" xfId="48445" xr:uid="{00000000-0005-0000-0000-000063150000}"/>
    <cellStyle name="Millares 2 5 2 3 2 4 4" xfId="34883" xr:uid="{00000000-0005-0000-0000-000064150000}"/>
    <cellStyle name="Millares 2 5 2 3 2 5" xfId="11136" xr:uid="{00000000-0005-0000-0000-000065150000}"/>
    <cellStyle name="Millares 2 5 2 3 2 5 2" xfId="24704" xr:uid="{00000000-0005-0000-0000-000066150000}"/>
    <cellStyle name="Millares 2 5 2 3 2 5 2 2" xfId="51837" xr:uid="{00000000-0005-0000-0000-000067150000}"/>
    <cellStyle name="Millares 2 5 2 3 2 5 3" xfId="38275" xr:uid="{00000000-0005-0000-0000-000068150000}"/>
    <cellStyle name="Millares 2 5 2 3 2 6" xfId="17923" xr:uid="{00000000-0005-0000-0000-000069150000}"/>
    <cellStyle name="Millares 2 5 2 3 2 6 2" xfId="45056" xr:uid="{00000000-0005-0000-0000-00006A150000}"/>
    <cellStyle name="Millares 2 5 2 3 2 7" xfId="31494" xr:uid="{00000000-0005-0000-0000-00006B150000}"/>
    <cellStyle name="Millares 2 5 2 3 3" xfId="4128" xr:uid="{00000000-0005-0000-0000-00006C150000}"/>
    <cellStyle name="Millares 2 5 2 3 3 2" xfId="4129" xr:uid="{00000000-0005-0000-0000-00006D150000}"/>
    <cellStyle name="Millares 2 5 2 3 3 2 2" xfId="7739" xr:uid="{00000000-0005-0000-0000-00006E150000}"/>
    <cellStyle name="Millares 2 5 2 3 3 2 2 2" xfId="14529" xr:uid="{00000000-0005-0000-0000-00006F150000}"/>
    <cellStyle name="Millares 2 5 2 3 3 2 2 2 2" xfId="28097" xr:uid="{00000000-0005-0000-0000-000070150000}"/>
    <cellStyle name="Millares 2 5 2 3 3 2 2 2 2 2" xfId="55230" xr:uid="{00000000-0005-0000-0000-000071150000}"/>
    <cellStyle name="Millares 2 5 2 3 3 2 2 2 3" xfId="41668" xr:uid="{00000000-0005-0000-0000-000072150000}"/>
    <cellStyle name="Millares 2 5 2 3 3 2 2 3" xfId="21316" xr:uid="{00000000-0005-0000-0000-000073150000}"/>
    <cellStyle name="Millares 2 5 2 3 3 2 2 3 2" xfId="48449" xr:uid="{00000000-0005-0000-0000-000074150000}"/>
    <cellStyle name="Millares 2 5 2 3 3 2 2 4" xfId="34887" xr:uid="{00000000-0005-0000-0000-000075150000}"/>
    <cellStyle name="Millares 2 5 2 3 3 2 3" xfId="11140" xr:uid="{00000000-0005-0000-0000-000076150000}"/>
    <cellStyle name="Millares 2 5 2 3 3 2 3 2" xfId="24708" xr:uid="{00000000-0005-0000-0000-000077150000}"/>
    <cellStyle name="Millares 2 5 2 3 3 2 3 2 2" xfId="51841" xr:uid="{00000000-0005-0000-0000-000078150000}"/>
    <cellStyle name="Millares 2 5 2 3 3 2 3 3" xfId="38279" xr:uid="{00000000-0005-0000-0000-000079150000}"/>
    <cellStyle name="Millares 2 5 2 3 3 2 4" xfId="17927" xr:uid="{00000000-0005-0000-0000-00007A150000}"/>
    <cellStyle name="Millares 2 5 2 3 3 2 4 2" xfId="45060" xr:uid="{00000000-0005-0000-0000-00007B150000}"/>
    <cellStyle name="Millares 2 5 2 3 3 2 5" xfId="31498" xr:uid="{00000000-0005-0000-0000-00007C150000}"/>
    <cellStyle name="Millares 2 5 2 3 3 3" xfId="7738" xr:uid="{00000000-0005-0000-0000-00007D150000}"/>
    <cellStyle name="Millares 2 5 2 3 3 3 2" xfId="14528" xr:uid="{00000000-0005-0000-0000-00007E150000}"/>
    <cellStyle name="Millares 2 5 2 3 3 3 2 2" xfId="28096" xr:uid="{00000000-0005-0000-0000-00007F150000}"/>
    <cellStyle name="Millares 2 5 2 3 3 3 2 2 2" xfId="55229" xr:uid="{00000000-0005-0000-0000-000080150000}"/>
    <cellStyle name="Millares 2 5 2 3 3 3 2 3" xfId="41667" xr:uid="{00000000-0005-0000-0000-000081150000}"/>
    <cellStyle name="Millares 2 5 2 3 3 3 3" xfId="21315" xr:uid="{00000000-0005-0000-0000-000082150000}"/>
    <cellStyle name="Millares 2 5 2 3 3 3 3 2" xfId="48448" xr:uid="{00000000-0005-0000-0000-000083150000}"/>
    <cellStyle name="Millares 2 5 2 3 3 3 4" xfId="34886" xr:uid="{00000000-0005-0000-0000-000084150000}"/>
    <cellStyle name="Millares 2 5 2 3 3 4" xfId="11139" xr:uid="{00000000-0005-0000-0000-000085150000}"/>
    <cellStyle name="Millares 2 5 2 3 3 4 2" xfId="24707" xr:uid="{00000000-0005-0000-0000-000086150000}"/>
    <cellStyle name="Millares 2 5 2 3 3 4 2 2" xfId="51840" xr:uid="{00000000-0005-0000-0000-000087150000}"/>
    <cellStyle name="Millares 2 5 2 3 3 4 3" xfId="38278" xr:uid="{00000000-0005-0000-0000-000088150000}"/>
    <cellStyle name="Millares 2 5 2 3 3 5" xfId="17926" xr:uid="{00000000-0005-0000-0000-000089150000}"/>
    <cellStyle name="Millares 2 5 2 3 3 5 2" xfId="45059" xr:uid="{00000000-0005-0000-0000-00008A150000}"/>
    <cellStyle name="Millares 2 5 2 3 3 6" xfId="31497" xr:uid="{00000000-0005-0000-0000-00008B150000}"/>
    <cellStyle name="Millares 2 5 2 3 4" xfId="4130" xr:uid="{00000000-0005-0000-0000-00008C150000}"/>
    <cellStyle name="Millares 2 5 2 3 4 2" xfId="7740" xr:uid="{00000000-0005-0000-0000-00008D150000}"/>
    <cellStyle name="Millares 2 5 2 3 4 2 2" xfId="14530" xr:uid="{00000000-0005-0000-0000-00008E150000}"/>
    <cellStyle name="Millares 2 5 2 3 4 2 2 2" xfId="28098" xr:uid="{00000000-0005-0000-0000-00008F150000}"/>
    <cellStyle name="Millares 2 5 2 3 4 2 2 2 2" xfId="55231" xr:uid="{00000000-0005-0000-0000-000090150000}"/>
    <cellStyle name="Millares 2 5 2 3 4 2 2 3" xfId="41669" xr:uid="{00000000-0005-0000-0000-000091150000}"/>
    <cellStyle name="Millares 2 5 2 3 4 2 3" xfId="21317" xr:uid="{00000000-0005-0000-0000-000092150000}"/>
    <cellStyle name="Millares 2 5 2 3 4 2 3 2" xfId="48450" xr:uid="{00000000-0005-0000-0000-000093150000}"/>
    <cellStyle name="Millares 2 5 2 3 4 2 4" xfId="34888" xr:uid="{00000000-0005-0000-0000-000094150000}"/>
    <cellStyle name="Millares 2 5 2 3 4 3" xfId="11141" xr:uid="{00000000-0005-0000-0000-000095150000}"/>
    <cellStyle name="Millares 2 5 2 3 4 3 2" xfId="24709" xr:uid="{00000000-0005-0000-0000-000096150000}"/>
    <cellStyle name="Millares 2 5 2 3 4 3 2 2" xfId="51842" xr:uid="{00000000-0005-0000-0000-000097150000}"/>
    <cellStyle name="Millares 2 5 2 3 4 3 3" xfId="38280" xr:uid="{00000000-0005-0000-0000-000098150000}"/>
    <cellStyle name="Millares 2 5 2 3 4 4" xfId="17928" xr:uid="{00000000-0005-0000-0000-000099150000}"/>
    <cellStyle name="Millares 2 5 2 3 4 4 2" xfId="45061" xr:uid="{00000000-0005-0000-0000-00009A150000}"/>
    <cellStyle name="Millares 2 5 2 3 4 5" xfId="31499" xr:uid="{00000000-0005-0000-0000-00009B150000}"/>
    <cellStyle name="Millares 2 5 2 3 5" xfId="4131" xr:uid="{00000000-0005-0000-0000-00009C150000}"/>
    <cellStyle name="Millares 2 5 2 3 5 2" xfId="7741" xr:uid="{00000000-0005-0000-0000-00009D150000}"/>
    <cellStyle name="Millares 2 5 2 3 5 2 2" xfId="14531" xr:uid="{00000000-0005-0000-0000-00009E150000}"/>
    <cellStyle name="Millares 2 5 2 3 5 2 2 2" xfId="28099" xr:uid="{00000000-0005-0000-0000-00009F150000}"/>
    <cellStyle name="Millares 2 5 2 3 5 2 2 2 2" xfId="55232" xr:uid="{00000000-0005-0000-0000-0000A0150000}"/>
    <cellStyle name="Millares 2 5 2 3 5 2 2 3" xfId="41670" xr:uid="{00000000-0005-0000-0000-0000A1150000}"/>
    <cellStyle name="Millares 2 5 2 3 5 2 3" xfId="21318" xr:uid="{00000000-0005-0000-0000-0000A2150000}"/>
    <cellStyle name="Millares 2 5 2 3 5 2 3 2" xfId="48451" xr:uid="{00000000-0005-0000-0000-0000A3150000}"/>
    <cellStyle name="Millares 2 5 2 3 5 2 4" xfId="34889" xr:uid="{00000000-0005-0000-0000-0000A4150000}"/>
    <cellStyle name="Millares 2 5 2 3 5 3" xfId="11142" xr:uid="{00000000-0005-0000-0000-0000A5150000}"/>
    <cellStyle name="Millares 2 5 2 3 5 3 2" xfId="24710" xr:uid="{00000000-0005-0000-0000-0000A6150000}"/>
    <cellStyle name="Millares 2 5 2 3 5 3 2 2" xfId="51843" xr:uid="{00000000-0005-0000-0000-0000A7150000}"/>
    <cellStyle name="Millares 2 5 2 3 5 3 3" xfId="38281" xr:uid="{00000000-0005-0000-0000-0000A8150000}"/>
    <cellStyle name="Millares 2 5 2 3 5 4" xfId="17929" xr:uid="{00000000-0005-0000-0000-0000A9150000}"/>
    <cellStyle name="Millares 2 5 2 3 5 4 2" xfId="45062" xr:uid="{00000000-0005-0000-0000-0000AA150000}"/>
    <cellStyle name="Millares 2 5 2 3 5 5" xfId="31500" xr:uid="{00000000-0005-0000-0000-0000AB150000}"/>
    <cellStyle name="Millares 2 5 2 3 6" xfId="7734" xr:uid="{00000000-0005-0000-0000-0000AC150000}"/>
    <cellStyle name="Millares 2 5 2 3 6 2" xfId="14524" xr:uid="{00000000-0005-0000-0000-0000AD150000}"/>
    <cellStyle name="Millares 2 5 2 3 6 2 2" xfId="28092" xr:uid="{00000000-0005-0000-0000-0000AE150000}"/>
    <cellStyle name="Millares 2 5 2 3 6 2 2 2" xfId="55225" xr:uid="{00000000-0005-0000-0000-0000AF150000}"/>
    <cellStyle name="Millares 2 5 2 3 6 2 3" xfId="41663" xr:uid="{00000000-0005-0000-0000-0000B0150000}"/>
    <cellStyle name="Millares 2 5 2 3 6 3" xfId="21311" xr:uid="{00000000-0005-0000-0000-0000B1150000}"/>
    <cellStyle name="Millares 2 5 2 3 6 3 2" xfId="48444" xr:uid="{00000000-0005-0000-0000-0000B2150000}"/>
    <cellStyle name="Millares 2 5 2 3 6 4" xfId="34882" xr:uid="{00000000-0005-0000-0000-0000B3150000}"/>
    <cellStyle name="Millares 2 5 2 3 7" xfId="11135" xr:uid="{00000000-0005-0000-0000-0000B4150000}"/>
    <cellStyle name="Millares 2 5 2 3 7 2" xfId="24703" xr:uid="{00000000-0005-0000-0000-0000B5150000}"/>
    <cellStyle name="Millares 2 5 2 3 7 2 2" xfId="51836" xr:uid="{00000000-0005-0000-0000-0000B6150000}"/>
    <cellStyle name="Millares 2 5 2 3 7 3" xfId="38274" xr:uid="{00000000-0005-0000-0000-0000B7150000}"/>
    <cellStyle name="Millares 2 5 2 3 8" xfId="17922" xr:uid="{00000000-0005-0000-0000-0000B8150000}"/>
    <cellStyle name="Millares 2 5 2 3 8 2" xfId="45055" xr:uid="{00000000-0005-0000-0000-0000B9150000}"/>
    <cellStyle name="Millares 2 5 2 3 9" xfId="31493" xr:uid="{00000000-0005-0000-0000-0000BA150000}"/>
    <cellStyle name="Millares 2 5 2 4" xfId="4132" xr:uid="{00000000-0005-0000-0000-0000BB150000}"/>
    <cellStyle name="Millares 2 5 2 4 2" xfId="4133" xr:uid="{00000000-0005-0000-0000-0000BC150000}"/>
    <cellStyle name="Millares 2 5 2 4 2 2" xfId="4134" xr:uid="{00000000-0005-0000-0000-0000BD150000}"/>
    <cellStyle name="Millares 2 5 2 4 2 2 2" xfId="7744" xr:uid="{00000000-0005-0000-0000-0000BE150000}"/>
    <cellStyle name="Millares 2 5 2 4 2 2 2 2" xfId="14534" xr:uid="{00000000-0005-0000-0000-0000BF150000}"/>
    <cellStyle name="Millares 2 5 2 4 2 2 2 2 2" xfId="28102" xr:uid="{00000000-0005-0000-0000-0000C0150000}"/>
    <cellStyle name="Millares 2 5 2 4 2 2 2 2 2 2" xfId="55235" xr:uid="{00000000-0005-0000-0000-0000C1150000}"/>
    <cellStyle name="Millares 2 5 2 4 2 2 2 2 3" xfId="41673" xr:uid="{00000000-0005-0000-0000-0000C2150000}"/>
    <cellStyle name="Millares 2 5 2 4 2 2 2 3" xfId="21321" xr:uid="{00000000-0005-0000-0000-0000C3150000}"/>
    <cellStyle name="Millares 2 5 2 4 2 2 2 3 2" xfId="48454" xr:uid="{00000000-0005-0000-0000-0000C4150000}"/>
    <cellStyle name="Millares 2 5 2 4 2 2 2 4" xfId="34892" xr:uid="{00000000-0005-0000-0000-0000C5150000}"/>
    <cellStyle name="Millares 2 5 2 4 2 2 3" xfId="11145" xr:uid="{00000000-0005-0000-0000-0000C6150000}"/>
    <cellStyle name="Millares 2 5 2 4 2 2 3 2" xfId="24713" xr:uid="{00000000-0005-0000-0000-0000C7150000}"/>
    <cellStyle name="Millares 2 5 2 4 2 2 3 2 2" xfId="51846" xr:uid="{00000000-0005-0000-0000-0000C8150000}"/>
    <cellStyle name="Millares 2 5 2 4 2 2 3 3" xfId="38284" xr:uid="{00000000-0005-0000-0000-0000C9150000}"/>
    <cellStyle name="Millares 2 5 2 4 2 2 4" xfId="17932" xr:uid="{00000000-0005-0000-0000-0000CA150000}"/>
    <cellStyle name="Millares 2 5 2 4 2 2 4 2" xfId="45065" xr:uid="{00000000-0005-0000-0000-0000CB150000}"/>
    <cellStyle name="Millares 2 5 2 4 2 2 5" xfId="31503" xr:uid="{00000000-0005-0000-0000-0000CC150000}"/>
    <cellStyle name="Millares 2 5 2 4 2 3" xfId="4135" xr:uid="{00000000-0005-0000-0000-0000CD150000}"/>
    <cellStyle name="Millares 2 5 2 4 2 3 2" xfId="7745" xr:uid="{00000000-0005-0000-0000-0000CE150000}"/>
    <cellStyle name="Millares 2 5 2 4 2 3 2 2" xfId="14535" xr:uid="{00000000-0005-0000-0000-0000CF150000}"/>
    <cellStyle name="Millares 2 5 2 4 2 3 2 2 2" xfId="28103" xr:uid="{00000000-0005-0000-0000-0000D0150000}"/>
    <cellStyle name="Millares 2 5 2 4 2 3 2 2 2 2" xfId="55236" xr:uid="{00000000-0005-0000-0000-0000D1150000}"/>
    <cellStyle name="Millares 2 5 2 4 2 3 2 2 3" xfId="41674" xr:uid="{00000000-0005-0000-0000-0000D2150000}"/>
    <cellStyle name="Millares 2 5 2 4 2 3 2 3" xfId="21322" xr:uid="{00000000-0005-0000-0000-0000D3150000}"/>
    <cellStyle name="Millares 2 5 2 4 2 3 2 3 2" xfId="48455" xr:uid="{00000000-0005-0000-0000-0000D4150000}"/>
    <cellStyle name="Millares 2 5 2 4 2 3 2 4" xfId="34893" xr:uid="{00000000-0005-0000-0000-0000D5150000}"/>
    <cellStyle name="Millares 2 5 2 4 2 3 3" xfId="11146" xr:uid="{00000000-0005-0000-0000-0000D6150000}"/>
    <cellStyle name="Millares 2 5 2 4 2 3 3 2" xfId="24714" xr:uid="{00000000-0005-0000-0000-0000D7150000}"/>
    <cellStyle name="Millares 2 5 2 4 2 3 3 2 2" xfId="51847" xr:uid="{00000000-0005-0000-0000-0000D8150000}"/>
    <cellStyle name="Millares 2 5 2 4 2 3 3 3" xfId="38285" xr:uid="{00000000-0005-0000-0000-0000D9150000}"/>
    <cellStyle name="Millares 2 5 2 4 2 3 4" xfId="17933" xr:uid="{00000000-0005-0000-0000-0000DA150000}"/>
    <cellStyle name="Millares 2 5 2 4 2 3 4 2" xfId="45066" xr:uid="{00000000-0005-0000-0000-0000DB150000}"/>
    <cellStyle name="Millares 2 5 2 4 2 3 5" xfId="31504" xr:uid="{00000000-0005-0000-0000-0000DC150000}"/>
    <cellStyle name="Millares 2 5 2 4 2 4" xfId="7743" xr:uid="{00000000-0005-0000-0000-0000DD150000}"/>
    <cellStyle name="Millares 2 5 2 4 2 4 2" xfId="14533" xr:uid="{00000000-0005-0000-0000-0000DE150000}"/>
    <cellStyle name="Millares 2 5 2 4 2 4 2 2" xfId="28101" xr:uid="{00000000-0005-0000-0000-0000DF150000}"/>
    <cellStyle name="Millares 2 5 2 4 2 4 2 2 2" xfId="55234" xr:uid="{00000000-0005-0000-0000-0000E0150000}"/>
    <cellStyle name="Millares 2 5 2 4 2 4 2 3" xfId="41672" xr:uid="{00000000-0005-0000-0000-0000E1150000}"/>
    <cellStyle name="Millares 2 5 2 4 2 4 3" xfId="21320" xr:uid="{00000000-0005-0000-0000-0000E2150000}"/>
    <cellStyle name="Millares 2 5 2 4 2 4 3 2" xfId="48453" xr:uid="{00000000-0005-0000-0000-0000E3150000}"/>
    <cellStyle name="Millares 2 5 2 4 2 4 4" xfId="34891" xr:uid="{00000000-0005-0000-0000-0000E4150000}"/>
    <cellStyle name="Millares 2 5 2 4 2 5" xfId="11144" xr:uid="{00000000-0005-0000-0000-0000E5150000}"/>
    <cellStyle name="Millares 2 5 2 4 2 5 2" xfId="24712" xr:uid="{00000000-0005-0000-0000-0000E6150000}"/>
    <cellStyle name="Millares 2 5 2 4 2 5 2 2" xfId="51845" xr:uid="{00000000-0005-0000-0000-0000E7150000}"/>
    <cellStyle name="Millares 2 5 2 4 2 5 3" xfId="38283" xr:uid="{00000000-0005-0000-0000-0000E8150000}"/>
    <cellStyle name="Millares 2 5 2 4 2 6" xfId="17931" xr:uid="{00000000-0005-0000-0000-0000E9150000}"/>
    <cellStyle name="Millares 2 5 2 4 2 6 2" xfId="45064" xr:uid="{00000000-0005-0000-0000-0000EA150000}"/>
    <cellStyle name="Millares 2 5 2 4 2 7" xfId="31502" xr:uid="{00000000-0005-0000-0000-0000EB150000}"/>
    <cellStyle name="Millares 2 5 2 4 3" xfId="4136" xr:uid="{00000000-0005-0000-0000-0000EC150000}"/>
    <cellStyle name="Millares 2 5 2 4 3 2" xfId="7746" xr:uid="{00000000-0005-0000-0000-0000ED150000}"/>
    <cellStyle name="Millares 2 5 2 4 3 2 2" xfId="14536" xr:uid="{00000000-0005-0000-0000-0000EE150000}"/>
    <cellStyle name="Millares 2 5 2 4 3 2 2 2" xfId="28104" xr:uid="{00000000-0005-0000-0000-0000EF150000}"/>
    <cellStyle name="Millares 2 5 2 4 3 2 2 2 2" xfId="55237" xr:uid="{00000000-0005-0000-0000-0000F0150000}"/>
    <cellStyle name="Millares 2 5 2 4 3 2 2 3" xfId="41675" xr:uid="{00000000-0005-0000-0000-0000F1150000}"/>
    <cellStyle name="Millares 2 5 2 4 3 2 3" xfId="21323" xr:uid="{00000000-0005-0000-0000-0000F2150000}"/>
    <cellStyle name="Millares 2 5 2 4 3 2 3 2" xfId="48456" xr:uid="{00000000-0005-0000-0000-0000F3150000}"/>
    <cellStyle name="Millares 2 5 2 4 3 2 4" xfId="34894" xr:uid="{00000000-0005-0000-0000-0000F4150000}"/>
    <cellStyle name="Millares 2 5 2 4 3 3" xfId="11147" xr:uid="{00000000-0005-0000-0000-0000F5150000}"/>
    <cellStyle name="Millares 2 5 2 4 3 3 2" xfId="24715" xr:uid="{00000000-0005-0000-0000-0000F6150000}"/>
    <cellStyle name="Millares 2 5 2 4 3 3 2 2" xfId="51848" xr:uid="{00000000-0005-0000-0000-0000F7150000}"/>
    <cellStyle name="Millares 2 5 2 4 3 3 3" xfId="38286" xr:uid="{00000000-0005-0000-0000-0000F8150000}"/>
    <cellStyle name="Millares 2 5 2 4 3 4" xfId="17934" xr:uid="{00000000-0005-0000-0000-0000F9150000}"/>
    <cellStyle name="Millares 2 5 2 4 3 4 2" xfId="45067" xr:uid="{00000000-0005-0000-0000-0000FA150000}"/>
    <cellStyle name="Millares 2 5 2 4 3 5" xfId="31505" xr:uid="{00000000-0005-0000-0000-0000FB150000}"/>
    <cellStyle name="Millares 2 5 2 4 4" xfId="4137" xr:uid="{00000000-0005-0000-0000-0000FC150000}"/>
    <cellStyle name="Millares 2 5 2 4 4 2" xfId="7747" xr:uid="{00000000-0005-0000-0000-0000FD150000}"/>
    <cellStyle name="Millares 2 5 2 4 4 2 2" xfId="14537" xr:uid="{00000000-0005-0000-0000-0000FE150000}"/>
    <cellStyle name="Millares 2 5 2 4 4 2 2 2" xfId="28105" xr:uid="{00000000-0005-0000-0000-0000FF150000}"/>
    <cellStyle name="Millares 2 5 2 4 4 2 2 2 2" xfId="55238" xr:uid="{00000000-0005-0000-0000-000000160000}"/>
    <cellStyle name="Millares 2 5 2 4 4 2 2 3" xfId="41676" xr:uid="{00000000-0005-0000-0000-000001160000}"/>
    <cellStyle name="Millares 2 5 2 4 4 2 3" xfId="21324" xr:uid="{00000000-0005-0000-0000-000002160000}"/>
    <cellStyle name="Millares 2 5 2 4 4 2 3 2" xfId="48457" xr:uid="{00000000-0005-0000-0000-000003160000}"/>
    <cellStyle name="Millares 2 5 2 4 4 2 4" xfId="34895" xr:uid="{00000000-0005-0000-0000-000004160000}"/>
    <cellStyle name="Millares 2 5 2 4 4 3" xfId="11148" xr:uid="{00000000-0005-0000-0000-000005160000}"/>
    <cellStyle name="Millares 2 5 2 4 4 3 2" xfId="24716" xr:uid="{00000000-0005-0000-0000-000006160000}"/>
    <cellStyle name="Millares 2 5 2 4 4 3 2 2" xfId="51849" xr:uid="{00000000-0005-0000-0000-000007160000}"/>
    <cellStyle name="Millares 2 5 2 4 4 3 3" xfId="38287" xr:uid="{00000000-0005-0000-0000-000008160000}"/>
    <cellStyle name="Millares 2 5 2 4 4 4" xfId="17935" xr:uid="{00000000-0005-0000-0000-000009160000}"/>
    <cellStyle name="Millares 2 5 2 4 4 4 2" xfId="45068" xr:uid="{00000000-0005-0000-0000-00000A160000}"/>
    <cellStyle name="Millares 2 5 2 4 4 5" xfId="31506" xr:uid="{00000000-0005-0000-0000-00000B160000}"/>
    <cellStyle name="Millares 2 5 2 4 5" xfId="7742" xr:uid="{00000000-0005-0000-0000-00000C160000}"/>
    <cellStyle name="Millares 2 5 2 4 5 2" xfId="14532" xr:uid="{00000000-0005-0000-0000-00000D160000}"/>
    <cellStyle name="Millares 2 5 2 4 5 2 2" xfId="28100" xr:uid="{00000000-0005-0000-0000-00000E160000}"/>
    <cellStyle name="Millares 2 5 2 4 5 2 2 2" xfId="55233" xr:uid="{00000000-0005-0000-0000-00000F160000}"/>
    <cellStyle name="Millares 2 5 2 4 5 2 3" xfId="41671" xr:uid="{00000000-0005-0000-0000-000010160000}"/>
    <cellStyle name="Millares 2 5 2 4 5 3" xfId="21319" xr:uid="{00000000-0005-0000-0000-000011160000}"/>
    <cellStyle name="Millares 2 5 2 4 5 3 2" xfId="48452" xr:uid="{00000000-0005-0000-0000-000012160000}"/>
    <cellStyle name="Millares 2 5 2 4 5 4" xfId="34890" xr:uid="{00000000-0005-0000-0000-000013160000}"/>
    <cellStyle name="Millares 2 5 2 4 6" xfId="11143" xr:uid="{00000000-0005-0000-0000-000014160000}"/>
    <cellStyle name="Millares 2 5 2 4 6 2" xfId="24711" xr:uid="{00000000-0005-0000-0000-000015160000}"/>
    <cellStyle name="Millares 2 5 2 4 6 2 2" xfId="51844" xr:uid="{00000000-0005-0000-0000-000016160000}"/>
    <cellStyle name="Millares 2 5 2 4 6 3" xfId="38282" xr:uid="{00000000-0005-0000-0000-000017160000}"/>
    <cellStyle name="Millares 2 5 2 4 7" xfId="17930" xr:uid="{00000000-0005-0000-0000-000018160000}"/>
    <cellStyle name="Millares 2 5 2 4 7 2" xfId="45063" xr:uid="{00000000-0005-0000-0000-000019160000}"/>
    <cellStyle name="Millares 2 5 2 4 8" xfId="31501" xr:uid="{00000000-0005-0000-0000-00001A160000}"/>
    <cellStyle name="Millares 2 5 2 5" xfId="4138" xr:uid="{00000000-0005-0000-0000-00001B160000}"/>
    <cellStyle name="Millares 2 5 2 5 2" xfId="4139" xr:uid="{00000000-0005-0000-0000-00001C160000}"/>
    <cellStyle name="Millares 2 5 2 5 2 2" xfId="4140" xr:uid="{00000000-0005-0000-0000-00001D160000}"/>
    <cellStyle name="Millares 2 5 2 5 2 2 2" xfId="7750" xr:uid="{00000000-0005-0000-0000-00001E160000}"/>
    <cellStyle name="Millares 2 5 2 5 2 2 2 2" xfId="14540" xr:uid="{00000000-0005-0000-0000-00001F160000}"/>
    <cellStyle name="Millares 2 5 2 5 2 2 2 2 2" xfId="28108" xr:uid="{00000000-0005-0000-0000-000020160000}"/>
    <cellStyle name="Millares 2 5 2 5 2 2 2 2 2 2" xfId="55241" xr:uid="{00000000-0005-0000-0000-000021160000}"/>
    <cellStyle name="Millares 2 5 2 5 2 2 2 2 3" xfId="41679" xr:uid="{00000000-0005-0000-0000-000022160000}"/>
    <cellStyle name="Millares 2 5 2 5 2 2 2 3" xfId="21327" xr:uid="{00000000-0005-0000-0000-000023160000}"/>
    <cellStyle name="Millares 2 5 2 5 2 2 2 3 2" xfId="48460" xr:uid="{00000000-0005-0000-0000-000024160000}"/>
    <cellStyle name="Millares 2 5 2 5 2 2 2 4" xfId="34898" xr:uid="{00000000-0005-0000-0000-000025160000}"/>
    <cellStyle name="Millares 2 5 2 5 2 2 3" xfId="11151" xr:uid="{00000000-0005-0000-0000-000026160000}"/>
    <cellStyle name="Millares 2 5 2 5 2 2 3 2" xfId="24719" xr:uid="{00000000-0005-0000-0000-000027160000}"/>
    <cellStyle name="Millares 2 5 2 5 2 2 3 2 2" xfId="51852" xr:uid="{00000000-0005-0000-0000-000028160000}"/>
    <cellStyle name="Millares 2 5 2 5 2 2 3 3" xfId="38290" xr:uid="{00000000-0005-0000-0000-000029160000}"/>
    <cellStyle name="Millares 2 5 2 5 2 2 4" xfId="17938" xr:uid="{00000000-0005-0000-0000-00002A160000}"/>
    <cellStyle name="Millares 2 5 2 5 2 2 4 2" xfId="45071" xr:uid="{00000000-0005-0000-0000-00002B160000}"/>
    <cellStyle name="Millares 2 5 2 5 2 2 5" xfId="31509" xr:uid="{00000000-0005-0000-0000-00002C160000}"/>
    <cellStyle name="Millares 2 5 2 5 2 3" xfId="4141" xr:uid="{00000000-0005-0000-0000-00002D160000}"/>
    <cellStyle name="Millares 2 5 2 5 2 3 2" xfId="7751" xr:uid="{00000000-0005-0000-0000-00002E160000}"/>
    <cellStyle name="Millares 2 5 2 5 2 3 2 2" xfId="14541" xr:uid="{00000000-0005-0000-0000-00002F160000}"/>
    <cellStyle name="Millares 2 5 2 5 2 3 2 2 2" xfId="28109" xr:uid="{00000000-0005-0000-0000-000030160000}"/>
    <cellStyle name="Millares 2 5 2 5 2 3 2 2 2 2" xfId="55242" xr:uid="{00000000-0005-0000-0000-000031160000}"/>
    <cellStyle name="Millares 2 5 2 5 2 3 2 2 3" xfId="41680" xr:uid="{00000000-0005-0000-0000-000032160000}"/>
    <cellStyle name="Millares 2 5 2 5 2 3 2 3" xfId="21328" xr:uid="{00000000-0005-0000-0000-000033160000}"/>
    <cellStyle name="Millares 2 5 2 5 2 3 2 3 2" xfId="48461" xr:uid="{00000000-0005-0000-0000-000034160000}"/>
    <cellStyle name="Millares 2 5 2 5 2 3 2 4" xfId="34899" xr:uid="{00000000-0005-0000-0000-000035160000}"/>
    <cellStyle name="Millares 2 5 2 5 2 3 3" xfId="11152" xr:uid="{00000000-0005-0000-0000-000036160000}"/>
    <cellStyle name="Millares 2 5 2 5 2 3 3 2" xfId="24720" xr:uid="{00000000-0005-0000-0000-000037160000}"/>
    <cellStyle name="Millares 2 5 2 5 2 3 3 2 2" xfId="51853" xr:uid="{00000000-0005-0000-0000-000038160000}"/>
    <cellStyle name="Millares 2 5 2 5 2 3 3 3" xfId="38291" xr:uid="{00000000-0005-0000-0000-000039160000}"/>
    <cellStyle name="Millares 2 5 2 5 2 3 4" xfId="17939" xr:uid="{00000000-0005-0000-0000-00003A160000}"/>
    <cellStyle name="Millares 2 5 2 5 2 3 4 2" xfId="45072" xr:uid="{00000000-0005-0000-0000-00003B160000}"/>
    <cellStyle name="Millares 2 5 2 5 2 3 5" xfId="31510" xr:uid="{00000000-0005-0000-0000-00003C160000}"/>
    <cellStyle name="Millares 2 5 2 5 2 4" xfId="7749" xr:uid="{00000000-0005-0000-0000-00003D160000}"/>
    <cellStyle name="Millares 2 5 2 5 2 4 2" xfId="14539" xr:uid="{00000000-0005-0000-0000-00003E160000}"/>
    <cellStyle name="Millares 2 5 2 5 2 4 2 2" xfId="28107" xr:uid="{00000000-0005-0000-0000-00003F160000}"/>
    <cellStyle name="Millares 2 5 2 5 2 4 2 2 2" xfId="55240" xr:uid="{00000000-0005-0000-0000-000040160000}"/>
    <cellStyle name="Millares 2 5 2 5 2 4 2 3" xfId="41678" xr:uid="{00000000-0005-0000-0000-000041160000}"/>
    <cellStyle name="Millares 2 5 2 5 2 4 3" xfId="21326" xr:uid="{00000000-0005-0000-0000-000042160000}"/>
    <cellStyle name="Millares 2 5 2 5 2 4 3 2" xfId="48459" xr:uid="{00000000-0005-0000-0000-000043160000}"/>
    <cellStyle name="Millares 2 5 2 5 2 4 4" xfId="34897" xr:uid="{00000000-0005-0000-0000-000044160000}"/>
    <cellStyle name="Millares 2 5 2 5 2 5" xfId="11150" xr:uid="{00000000-0005-0000-0000-000045160000}"/>
    <cellStyle name="Millares 2 5 2 5 2 5 2" xfId="24718" xr:uid="{00000000-0005-0000-0000-000046160000}"/>
    <cellStyle name="Millares 2 5 2 5 2 5 2 2" xfId="51851" xr:uid="{00000000-0005-0000-0000-000047160000}"/>
    <cellStyle name="Millares 2 5 2 5 2 5 3" xfId="38289" xr:uid="{00000000-0005-0000-0000-000048160000}"/>
    <cellStyle name="Millares 2 5 2 5 2 6" xfId="17937" xr:uid="{00000000-0005-0000-0000-000049160000}"/>
    <cellStyle name="Millares 2 5 2 5 2 6 2" xfId="45070" xr:uid="{00000000-0005-0000-0000-00004A160000}"/>
    <cellStyle name="Millares 2 5 2 5 2 7" xfId="31508" xr:uid="{00000000-0005-0000-0000-00004B160000}"/>
    <cellStyle name="Millares 2 5 2 5 3" xfId="4142" xr:uid="{00000000-0005-0000-0000-00004C160000}"/>
    <cellStyle name="Millares 2 5 2 5 3 2" xfId="7752" xr:uid="{00000000-0005-0000-0000-00004D160000}"/>
    <cellStyle name="Millares 2 5 2 5 3 2 2" xfId="14542" xr:uid="{00000000-0005-0000-0000-00004E160000}"/>
    <cellStyle name="Millares 2 5 2 5 3 2 2 2" xfId="28110" xr:uid="{00000000-0005-0000-0000-00004F160000}"/>
    <cellStyle name="Millares 2 5 2 5 3 2 2 2 2" xfId="55243" xr:uid="{00000000-0005-0000-0000-000050160000}"/>
    <cellStyle name="Millares 2 5 2 5 3 2 2 3" xfId="41681" xr:uid="{00000000-0005-0000-0000-000051160000}"/>
    <cellStyle name="Millares 2 5 2 5 3 2 3" xfId="21329" xr:uid="{00000000-0005-0000-0000-000052160000}"/>
    <cellStyle name="Millares 2 5 2 5 3 2 3 2" xfId="48462" xr:uid="{00000000-0005-0000-0000-000053160000}"/>
    <cellStyle name="Millares 2 5 2 5 3 2 4" xfId="34900" xr:uid="{00000000-0005-0000-0000-000054160000}"/>
    <cellStyle name="Millares 2 5 2 5 3 3" xfId="11153" xr:uid="{00000000-0005-0000-0000-000055160000}"/>
    <cellStyle name="Millares 2 5 2 5 3 3 2" xfId="24721" xr:uid="{00000000-0005-0000-0000-000056160000}"/>
    <cellStyle name="Millares 2 5 2 5 3 3 2 2" xfId="51854" xr:uid="{00000000-0005-0000-0000-000057160000}"/>
    <cellStyle name="Millares 2 5 2 5 3 3 3" xfId="38292" xr:uid="{00000000-0005-0000-0000-000058160000}"/>
    <cellStyle name="Millares 2 5 2 5 3 4" xfId="17940" xr:uid="{00000000-0005-0000-0000-000059160000}"/>
    <cellStyle name="Millares 2 5 2 5 3 4 2" xfId="45073" xr:uid="{00000000-0005-0000-0000-00005A160000}"/>
    <cellStyle name="Millares 2 5 2 5 3 5" xfId="31511" xr:uid="{00000000-0005-0000-0000-00005B160000}"/>
    <cellStyle name="Millares 2 5 2 5 4" xfId="4143" xr:uid="{00000000-0005-0000-0000-00005C160000}"/>
    <cellStyle name="Millares 2 5 2 5 4 2" xfId="7753" xr:uid="{00000000-0005-0000-0000-00005D160000}"/>
    <cellStyle name="Millares 2 5 2 5 4 2 2" xfId="14543" xr:uid="{00000000-0005-0000-0000-00005E160000}"/>
    <cellStyle name="Millares 2 5 2 5 4 2 2 2" xfId="28111" xr:uid="{00000000-0005-0000-0000-00005F160000}"/>
    <cellStyle name="Millares 2 5 2 5 4 2 2 2 2" xfId="55244" xr:uid="{00000000-0005-0000-0000-000060160000}"/>
    <cellStyle name="Millares 2 5 2 5 4 2 2 3" xfId="41682" xr:uid="{00000000-0005-0000-0000-000061160000}"/>
    <cellStyle name="Millares 2 5 2 5 4 2 3" xfId="21330" xr:uid="{00000000-0005-0000-0000-000062160000}"/>
    <cellStyle name="Millares 2 5 2 5 4 2 3 2" xfId="48463" xr:uid="{00000000-0005-0000-0000-000063160000}"/>
    <cellStyle name="Millares 2 5 2 5 4 2 4" xfId="34901" xr:uid="{00000000-0005-0000-0000-000064160000}"/>
    <cellStyle name="Millares 2 5 2 5 4 3" xfId="11154" xr:uid="{00000000-0005-0000-0000-000065160000}"/>
    <cellStyle name="Millares 2 5 2 5 4 3 2" xfId="24722" xr:uid="{00000000-0005-0000-0000-000066160000}"/>
    <cellStyle name="Millares 2 5 2 5 4 3 2 2" xfId="51855" xr:uid="{00000000-0005-0000-0000-000067160000}"/>
    <cellStyle name="Millares 2 5 2 5 4 3 3" xfId="38293" xr:uid="{00000000-0005-0000-0000-000068160000}"/>
    <cellStyle name="Millares 2 5 2 5 4 4" xfId="17941" xr:uid="{00000000-0005-0000-0000-000069160000}"/>
    <cellStyle name="Millares 2 5 2 5 4 4 2" xfId="45074" xr:uid="{00000000-0005-0000-0000-00006A160000}"/>
    <cellStyle name="Millares 2 5 2 5 4 5" xfId="31512" xr:uid="{00000000-0005-0000-0000-00006B160000}"/>
    <cellStyle name="Millares 2 5 2 5 5" xfId="7748" xr:uid="{00000000-0005-0000-0000-00006C160000}"/>
    <cellStyle name="Millares 2 5 2 5 5 2" xfId="14538" xr:uid="{00000000-0005-0000-0000-00006D160000}"/>
    <cellStyle name="Millares 2 5 2 5 5 2 2" xfId="28106" xr:uid="{00000000-0005-0000-0000-00006E160000}"/>
    <cellStyle name="Millares 2 5 2 5 5 2 2 2" xfId="55239" xr:uid="{00000000-0005-0000-0000-00006F160000}"/>
    <cellStyle name="Millares 2 5 2 5 5 2 3" xfId="41677" xr:uid="{00000000-0005-0000-0000-000070160000}"/>
    <cellStyle name="Millares 2 5 2 5 5 3" xfId="21325" xr:uid="{00000000-0005-0000-0000-000071160000}"/>
    <cellStyle name="Millares 2 5 2 5 5 3 2" xfId="48458" xr:uid="{00000000-0005-0000-0000-000072160000}"/>
    <cellStyle name="Millares 2 5 2 5 5 4" xfId="34896" xr:uid="{00000000-0005-0000-0000-000073160000}"/>
    <cellStyle name="Millares 2 5 2 5 6" xfId="11149" xr:uid="{00000000-0005-0000-0000-000074160000}"/>
    <cellStyle name="Millares 2 5 2 5 6 2" xfId="24717" xr:uid="{00000000-0005-0000-0000-000075160000}"/>
    <cellStyle name="Millares 2 5 2 5 6 2 2" xfId="51850" xr:uid="{00000000-0005-0000-0000-000076160000}"/>
    <cellStyle name="Millares 2 5 2 5 6 3" xfId="38288" xr:uid="{00000000-0005-0000-0000-000077160000}"/>
    <cellStyle name="Millares 2 5 2 5 7" xfId="17936" xr:uid="{00000000-0005-0000-0000-000078160000}"/>
    <cellStyle name="Millares 2 5 2 5 7 2" xfId="45069" xr:uid="{00000000-0005-0000-0000-000079160000}"/>
    <cellStyle name="Millares 2 5 2 5 8" xfId="31507" xr:uid="{00000000-0005-0000-0000-00007A160000}"/>
    <cellStyle name="Millares 2 5 2 6" xfId="4144" xr:uid="{00000000-0005-0000-0000-00007B160000}"/>
    <cellStyle name="Millares 2 5 2 6 2" xfId="4145" xr:uid="{00000000-0005-0000-0000-00007C160000}"/>
    <cellStyle name="Millares 2 5 2 6 2 2" xfId="7755" xr:uid="{00000000-0005-0000-0000-00007D160000}"/>
    <cellStyle name="Millares 2 5 2 6 2 2 2" xfId="14545" xr:uid="{00000000-0005-0000-0000-00007E160000}"/>
    <cellStyle name="Millares 2 5 2 6 2 2 2 2" xfId="28113" xr:uid="{00000000-0005-0000-0000-00007F160000}"/>
    <cellStyle name="Millares 2 5 2 6 2 2 2 2 2" xfId="55246" xr:uid="{00000000-0005-0000-0000-000080160000}"/>
    <cellStyle name="Millares 2 5 2 6 2 2 2 3" xfId="41684" xr:uid="{00000000-0005-0000-0000-000081160000}"/>
    <cellStyle name="Millares 2 5 2 6 2 2 3" xfId="21332" xr:uid="{00000000-0005-0000-0000-000082160000}"/>
    <cellStyle name="Millares 2 5 2 6 2 2 3 2" xfId="48465" xr:uid="{00000000-0005-0000-0000-000083160000}"/>
    <cellStyle name="Millares 2 5 2 6 2 2 4" xfId="34903" xr:uid="{00000000-0005-0000-0000-000084160000}"/>
    <cellStyle name="Millares 2 5 2 6 2 3" xfId="11156" xr:uid="{00000000-0005-0000-0000-000085160000}"/>
    <cellStyle name="Millares 2 5 2 6 2 3 2" xfId="24724" xr:uid="{00000000-0005-0000-0000-000086160000}"/>
    <cellStyle name="Millares 2 5 2 6 2 3 2 2" xfId="51857" xr:uid="{00000000-0005-0000-0000-000087160000}"/>
    <cellStyle name="Millares 2 5 2 6 2 3 3" xfId="38295" xr:uid="{00000000-0005-0000-0000-000088160000}"/>
    <cellStyle name="Millares 2 5 2 6 2 4" xfId="17943" xr:uid="{00000000-0005-0000-0000-000089160000}"/>
    <cellStyle name="Millares 2 5 2 6 2 4 2" xfId="45076" xr:uid="{00000000-0005-0000-0000-00008A160000}"/>
    <cellStyle name="Millares 2 5 2 6 2 5" xfId="31514" xr:uid="{00000000-0005-0000-0000-00008B160000}"/>
    <cellStyle name="Millares 2 5 2 6 3" xfId="4146" xr:uid="{00000000-0005-0000-0000-00008C160000}"/>
    <cellStyle name="Millares 2 5 2 6 3 2" xfId="7756" xr:uid="{00000000-0005-0000-0000-00008D160000}"/>
    <cellStyle name="Millares 2 5 2 6 3 2 2" xfId="14546" xr:uid="{00000000-0005-0000-0000-00008E160000}"/>
    <cellStyle name="Millares 2 5 2 6 3 2 2 2" xfId="28114" xr:uid="{00000000-0005-0000-0000-00008F160000}"/>
    <cellStyle name="Millares 2 5 2 6 3 2 2 2 2" xfId="55247" xr:uid="{00000000-0005-0000-0000-000090160000}"/>
    <cellStyle name="Millares 2 5 2 6 3 2 2 3" xfId="41685" xr:uid="{00000000-0005-0000-0000-000091160000}"/>
    <cellStyle name="Millares 2 5 2 6 3 2 3" xfId="21333" xr:uid="{00000000-0005-0000-0000-000092160000}"/>
    <cellStyle name="Millares 2 5 2 6 3 2 3 2" xfId="48466" xr:uid="{00000000-0005-0000-0000-000093160000}"/>
    <cellStyle name="Millares 2 5 2 6 3 2 4" xfId="34904" xr:uid="{00000000-0005-0000-0000-000094160000}"/>
    <cellStyle name="Millares 2 5 2 6 3 3" xfId="11157" xr:uid="{00000000-0005-0000-0000-000095160000}"/>
    <cellStyle name="Millares 2 5 2 6 3 3 2" xfId="24725" xr:uid="{00000000-0005-0000-0000-000096160000}"/>
    <cellStyle name="Millares 2 5 2 6 3 3 2 2" xfId="51858" xr:uid="{00000000-0005-0000-0000-000097160000}"/>
    <cellStyle name="Millares 2 5 2 6 3 3 3" xfId="38296" xr:uid="{00000000-0005-0000-0000-000098160000}"/>
    <cellStyle name="Millares 2 5 2 6 3 4" xfId="17944" xr:uid="{00000000-0005-0000-0000-000099160000}"/>
    <cellStyle name="Millares 2 5 2 6 3 4 2" xfId="45077" xr:uid="{00000000-0005-0000-0000-00009A160000}"/>
    <cellStyle name="Millares 2 5 2 6 3 5" xfId="31515" xr:uid="{00000000-0005-0000-0000-00009B160000}"/>
    <cellStyle name="Millares 2 5 2 6 4" xfId="7754" xr:uid="{00000000-0005-0000-0000-00009C160000}"/>
    <cellStyle name="Millares 2 5 2 6 4 2" xfId="14544" xr:uid="{00000000-0005-0000-0000-00009D160000}"/>
    <cellStyle name="Millares 2 5 2 6 4 2 2" xfId="28112" xr:uid="{00000000-0005-0000-0000-00009E160000}"/>
    <cellStyle name="Millares 2 5 2 6 4 2 2 2" xfId="55245" xr:uid="{00000000-0005-0000-0000-00009F160000}"/>
    <cellStyle name="Millares 2 5 2 6 4 2 3" xfId="41683" xr:uid="{00000000-0005-0000-0000-0000A0160000}"/>
    <cellStyle name="Millares 2 5 2 6 4 3" xfId="21331" xr:uid="{00000000-0005-0000-0000-0000A1160000}"/>
    <cellStyle name="Millares 2 5 2 6 4 3 2" xfId="48464" xr:uid="{00000000-0005-0000-0000-0000A2160000}"/>
    <cellStyle name="Millares 2 5 2 6 4 4" xfId="34902" xr:uid="{00000000-0005-0000-0000-0000A3160000}"/>
    <cellStyle name="Millares 2 5 2 6 5" xfId="11155" xr:uid="{00000000-0005-0000-0000-0000A4160000}"/>
    <cellStyle name="Millares 2 5 2 6 5 2" xfId="24723" xr:uid="{00000000-0005-0000-0000-0000A5160000}"/>
    <cellStyle name="Millares 2 5 2 6 5 2 2" xfId="51856" xr:uid="{00000000-0005-0000-0000-0000A6160000}"/>
    <cellStyle name="Millares 2 5 2 6 5 3" xfId="38294" xr:uid="{00000000-0005-0000-0000-0000A7160000}"/>
    <cellStyle name="Millares 2 5 2 6 6" xfId="17942" xr:uid="{00000000-0005-0000-0000-0000A8160000}"/>
    <cellStyle name="Millares 2 5 2 6 6 2" xfId="45075" xr:uid="{00000000-0005-0000-0000-0000A9160000}"/>
    <cellStyle name="Millares 2 5 2 6 7" xfId="31513" xr:uid="{00000000-0005-0000-0000-0000AA160000}"/>
    <cellStyle name="Millares 2 5 2 7" xfId="4147" xr:uid="{00000000-0005-0000-0000-0000AB160000}"/>
    <cellStyle name="Millares 2 5 2 7 2" xfId="4148" xr:uid="{00000000-0005-0000-0000-0000AC160000}"/>
    <cellStyle name="Millares 2 5 2 7 2 2" xfId="7758" xr:uid="{00000000-0005-0000-0000-0000AD160000}"/>
    <cellStyle name="Millares 2 5 2 7 2 2 2" xfId="14548" xr:uid="{00000000-0005-0000-0000-0000AE160000}"/>
    <cellStyle name="Millares 2 5 2 7 2 2 2 2" xfId="28116" xr:uid="{00000000-0005-0000-0000-0000AF160000}"/>
    <cellStyle name="Millares 2 5 2 7 2 2 2 2 2" xfId="55249" xr:uid="{00000000-0005-0000-0000-0000B0160000}"/>
    <cellStyle name="Millares 2 5 2 7 2 2 2 3" xfId="41687" xr:uid="{00000000-0005-0000-0000-0000B1160000}"/>
    <cellStyle name="Millares 2 5 2 7 2 2 3" xfId="21335" xr:uid="{00000000-0005-0000-0000-0000B2160000}"/>
    <cellStyle name="Millares 2 5 2 7 2 2 3 2" xfId="48468" xr:uid="{00000000-0005-0000-0000-0000B3160000}"/>
    <cellStyle name="Millares 2 5 2 7 2 2 4" xfId="34906" xr:uid="{00000000-0005-0000-0000-0000B4160000}"/>
    <cellStyle name="Millares 2 5 2 7 2 3" xfId="11159" xr:uid="{00000000-0005-0000-0000-0000B5160000}"/>
    <cellStyle name="Millares 2 5 2 7 2 3 2" xfId="24727" xr:uid="{00000000-0005-0000-0000-0000B6160000}"/>
    <cellStyle name="Millares 2 5 2 7 2 3 2 2" xfId="51860" xr:uid="{00000000-0005-0000-0000-0000B7160000}"/>
    <cellStyle name="Millares 2 5 2 7 2 3 3" xfId="38298" xr:uid="{00000000-0005-0000-0000-0000B8160000}"/>
    <cellStyle name="Millares 2 5 2 7 2 4" xfId="17946" xr:uid="{00000000-0005-0000-0000-0000B9160000}"/>
    <cellStyle name="Millares 2 5 2 7 2 4 2" xfId="45079" xr:uid="{00000000-0005-0000-0000-0000BA160000}"/>
    <cellStyle name="Millares 2 5 2 7 2 5" xfId="31517" xr:uid="{00000000-0005-0000-0000-0000BB160000}"/>
    <cellStyle name="Millares 2 5 2 7 3" xfId="4149" xr:uid="{00000000-0005-0000-0000-0000BC160000}"/>
    <cellStyle name="Millares 2 5 2 7 3 2" xfId="7759" xr:uid="{00000000-0005-0000-0000-0000BD160000}"/>
    <cellStyle name="Millares 2 5 2 7 3 2 2" xfId="14549" xr:uid="{00000000-0005-0000-0000-0000BE160000}"/>
    <cellStyle name="Millares 2 5 2 7 3 2 2 2" xfId="28117" xr:uid="{00000000-0005-0000-0000-0000BF160000}"/>
    <cellStyle name="Millares 2 5 2 7 3 2 2 2 2" xfId="55250" xr:uid="{00000000-0005-0000-0000-0000C0160000}"/>
    <cellStyle name="Millares 2 5 2 7 3 2 2 3" xfId="41688" xr:uid="{00000000-0005-0000-0000-0000C1160000}"/>
    <cellStyle name="Millares 2 5 2 7 3 2 3" xfId="21336" xr:uid="{00000000-0005-0000-0000-0000C2160000}"/>
    <cellStyle name="Millares 2 5 2 7 3 2 3 2" xfId="48469" xr:uid="{00000000-0005-0000-0000-0000C3160000}"/>
    <cellStyle name="Millares 2 5 2 7 3 2 4" xfId="34907" xr:uid="{00000000-0005-0000-0000-0000C4160000}"/>
    <cellStyle name="Millares 2 5 2 7 3 3" xfId="11160" xr:uid="{00000000-0005-0000-0000-0000C5160000}"/>
    <cellStyle name="Millares 2 5 2 7 3 3 2" xfId="24728" xr:uid="{00000000-0005-0000-0000-0000C6160000}"/>
    <cellStyle name="Millares 2 5 2 7 3 3 2 2" xfId="51861" xr:uid="{00000000-0005-0000-0000-0000C7160000}"/>
    <cellStyle name="Millares 2 5 2 7 3 3 3" xfId="38299" xr:uid="{00000000-0005-0000-0000-0000C8160000}"/>
    <cellStyle name="Millares 2 5 2 7 3 4" xfId="17947" xr:uid="{00000000-0005-0000-0000-0000C9160000}"/>
    <cellStyle name="Millares 2 5 2 7 3 4 2" xfId="45080" xr:uid="{00000000-0005-0000-0000-0000CA160000}"/>
    <cellStyle name="Millares 2 5 2 7 3 5" xfId="31518" xr:uid="{00000000-0005-0000-0000-0000CB160000}"/>
    <cellStyle name="Millares 2 5 2 7 4" xfId="7757" xr:uid="{00000000-0005-0000-0000-0000CC160000}"/>
    <cellStyle name="Millares 2 5 2 7 4 2" xfId="14547" xr:uid="{00000000-0005-0000-0000-0000CD160000}"/>
    <cellStyle name="Millares 2 5 2 7 4 2 2" xfId="28115" xr:uid="{00000000-0005-0000-0000-0000CE160000}"/>
    <cellStyle name="Millares 2 5 2 7 4 2 2 2" xfId="55248" xr:uid="{00000000-0005-0000-0000-0000CF160000}"/>
    <cellStyle name="Millares 2 5 2 7 4 2 3" xfId="41686" xr:uid="{00000000-0005-0000-0000-0000D0160000}"/>
    <cellStyle name="Millares 2 5 2 7 4 3" xfId="21334" xr:uid="{00000000-0005-0000-0000-0000D1160000}"/>
    <cellStyle name="Millares 2 5 2 7 4 3 2" xfId="48467" xr:uid="{00000000-0005-0000-0000-0000D2160000}"/>
    <cellStyle name="Millares 2 5 2 7 4 4" xfId="34905" xr:uid="{00000000-0005-0000-0000-0000D3160000}"/>
    <cellStyle name="Millares 2 5 2 7 5" xfId="11158" xr:uid="{00000000-0005-0000-0000-0000D4160000}"/>
    <cellStyle name="Millares 2 5 2 7 5 2" xfId="24726" xr:uid="{00000000-0005-0000-0000-0000D5160000}"/>
    <cellStyle name="Millares 2 5 2 7 5 2 2" xfId="51859" xr:uid="{00000000-0005-0000-0000-0000D6160000}"/>
    <cellStyle name="Millares 2 5 2 7 5 3" xfId="38297" xr:uid="{00000000-0005-0000-0000-0000D7160000}"/>
    <cellStyle name="Millares 2 5 2 7 6" xfId="17945" xr:uid="{00000000-0005-0000-0000-0000D8160000}"/>
    <cellStyle name="Millares 2 5 2 7 6 2" xfId="45078" xr:uid="{00000000-0005-0000-0000-0000D9160000}"/>
    <cellStyle name="Millares 2 5 2 7 7" xfId="31516" xr:uid="{00000000-0005-0000-0000-0000DA160000}"/>
    <cellStyle name="Millares 2 5 2 8" xfId="4150" xr:uid="{00000000-0005-0000-0000-0000DB160000}"/>
    <cellStyle name="Millares 2 5 2 8 2" xfId="7760" xr:uid="{00000000-0005-0000-0000-0000DC160000}"/>
    <cellStyle name="Millares 2 5 2 8 2 2" xfId="14550" xr:uid="{00000000-0005-0000-0000-0000DD160000}"/>
    <cellStyle name="Millares 2 5 2 8 2 2 2" xfId="28118" xr:uid="{00000000-0005-0000-0000-0000DE160000}"/>
    <cellStyle name="Millares 2 5 2 8 2 2 2 2" xfId="55251" xr:uid="{00000000-0005-0000-0000-0000DF160000}"/>
    <cellStyle name="Millares 2 5 2 8 2 2 3" xfId="41689" xr:uid="{00000000-0005-0000-0000-0000E0160000}"/>
    <cellStyle name="Millares 2 5 2 8 2 3" xfId="21337" xr:uid="{00000000-0005-0000-0000-0000E1160000}"/>
    <cellStyle name="Millares 2 5 2 8 2 3 2" xfId="48470" xr:uid="{00000000-0005-0000-0000-0000E2160000}"/>
    <cellStyle name="Millares 2 5 2 8 2 4" xfId="34908" xr:uid="{00000000-0005-0000-0000-0000E3160000}"/>
    <cellStyle name="Millares 2 5 2 8 3" xfId="11161" xr:uid="{00000000-0005-0000-0000-0000E4160000}"/>
    <cellStyle name="Millares 2 5 2 8 3 2" xfId="24729" xr:uid="{00000000-0005-0000-0000-0000E5160000}"/>
    <cellStyle name="Millares 2 5 2 8 3 2 2" xfId="51862" xr:uid="{00000000-0005-0000-0000-0000E6160000}"/>
    <cellStyle name="Millares 2 5 2 8 3 3" xfId="38300" xr:uid="{00000000-0005-0000-0000-0000E7160000}"/>
    <cellStyle name="Millares 2 5 2 8 4" xfId="17948" xr:uid="{00000000-0005-0000-0000-0000E8160000}"/>
    <cellStyle name="Millares 2 5 2 8 4 2" xfId="45081" xr:uid="{00000000-0005-0000-0000-0000E9160000}"/>
    <cellStyle name="Millares 2 5 2 8 5" xfId="31519" xr:uid="{00000000-0005-0000-0000-0000EA160000}"/>
    <cellStyle name="Millares 2 5 2 9" xfId="4151" xr:uid="{00000000-0005-0000-0000-0000EB160000}"/>
    <cellStyle name="Millares 2 5 2 9 2" xfId="7761" xr:uid="{00000000-0005-0000-0000-0000EC160000}"/>
    <cellStyle name="Millares 2 5 2 9 2 2" xfId="14551" xr:uid="{00000000-0005-0000-0000-0000ED160000}"/>
    <cellStyle name="Millares 2 5 2 9 2 2 2" xfId="28119" xr:uid="{00000000-0005-0000-0000-0000EE160000}"/>
    <cellStyle name="Millares 2 5 2 9 2 2 2 2" xfId="55252" xr:uid="{00000000-0005-0000-0000-0000EF160000}"/>
    <cellStyle name="Millares 2 5 2 9 2 2 3" xfId="41690" xr:uid="{00000000-0005-0000-0000-0000F0160000}"/>
    <cellStyle name="Millares 2 5 2 9 2 3" xfId="21338" xr:uid="{00000000-0005-0000-0000-0000F1160000}"/>
    <cellStyle name="Millares 2 5 2 9 2 3 2" xfId="48471" xr:uid="{00000000-0005-0000-0000-0000F2160000}"/>
    <cellStyle name="Millares 2 5 2 9 2 4" xfId="34909" xr:uid="{00000000-0005-0000-0000-0000F3160000}"/>
    <cellStyle name="Millares 2 5 2 9 3" xfId="11162" xr:uid="{00000000-0005-0000-0000-0000F4160000}"/>
    <cellStyle name="Millares 2 5 2 9 3 2" xfId="24730" xr:uid="{00000000-0005-0000-0000-0000F5160000}"/>
    <cellStyle name="Millares 2 5 2 9 3 2 2" xfId="51863" xr:uid="{00000000-0005-0000-0000-0000F6160000}"/>
    <cellStyle name="Millares 2 5 2 9 3 3" xfId="38301" xr:uid="{00000000-0005-0000-0000-0000F7160000}"/>
    <cellStyle name="Millares 2 5 2 9 4" xfId="17949" xr:uid="{00000000-0005-0000-0000-0000F8160000}"/>
    <cellStyle name="Millares 2 5 2 9 4 2" xfId="45082" xr:uid="{00000000-0005-0000-0000-0000F9160000}"/>
    <cellStyle name="Millares 2 5 2 9 5" xfId="31520" xr:uid="{00000000-0005-0000-0000-0000FA160000}"/>
    <cellStyle name="Millares 2 5 3" xfId="4152" xr:uid="{00000000-0005-0000-0000-0000FB160000}"/>
    <cellStyle name="Millares 2 5 3 10" xfId="7762" xr:uid="{00000000-0005-0000-0000-0000FC160000}"/>
    <cellStyle name="Millares 2 5 3 10 2" xfId="14552" xr:uid="{00000000-0005-0000-0000-0000FD160000}"/>
    <cellStyle name="Millares 2 5 3 10 2 2" xfId="28120" xr:uid="{00000000-0005-0000-0000-0000FE160000}"/>
    <cellStyle name="Millares 2 5 3 10 2 2 2" xfId="55253" xr:uid="{00000000-0005-0000-0000-0000FF160000}"/>
    <cellStyle name="Millares 2 5 3 10 2 3" xfId="41691" xr:uid="{00000000-0005-0000-0000-000000170000}"/>
    <cellStyle name="Millares 2 5 3 10 3" xfId="21339" xr:uid="{00000000-0005-0000-0000-000001170000}"/>
    <cellStyle name="Millares 2 5 3 10 3 2" xfId="48472" xr:uid="{00000000-0005-0000-0000-000002170000}"/>
    <cellStyle name="Millares 2 5 3 10 4" xfId="34910" xr:uid="{00000000-0005-0000-0000-000003170000}"/>
    <cellStyle name="Millares 2 5 3 11" xfId="11163" xr:uid="{00000000-0005-0000-0000-000004170000}"/>
    <cellStyle name="Millares 2 5 3 11 2" xfId="24731" xr:uid="{00000000-0005-0000-0000-000005170000}"/>
    <cellStyle name="Millares 2 5 3 11 2 2" xfId="51864" xr:uid="{00000000-0005-0000-0000-000006170000}"/>
    <cellStyle name="Millares 2 5 3 11 3" xfId="38302" xr:uid="{00000000-0005-0000-0000-000007170000}"/>
    <cellStyle name="Millares 2 5 3 12" xfId="17950" xr:uid="{00000000-0005-0000-0000-000008170000}"/>
    <cellStyle name="Millares 2 5 3 12 2" xfId="45083" xr:uid="{00000000-0005-0000-0000-000009170000}"/>
    <cellStyle name="Millares 2 5 3 13" xfId="31521" xr:uid="{00000000-0005-0000-0000-00000A170000}"/>
    <cellStyle name="Millares 2 5 3 2" xfId="4153" xr:uid="{00000000-0005-0000-0000-00000B170000}"/>
    <cellStyle name="Millares 2 5 3 2 10" xfId="31522" xr:uid="{00000000-0005-0000-0000-00000C170000}"/>
    <cellStyle name="Millares 2 5 3 2 2" xfId="4154" xr:uid="{00000000-0005-0000-0000-00000D170000}"/>
    <cellStyle name="Millares 2 5 3 2 2 2" xfId="4155" xr:uid="{00000000-0005-0000-0000-00000E170000}"/>
    <cellStyle name="Millares 2 5 3 2 2 2 2" xfId="4156" xr:uid="{00000000-0005-0000-0000-00000F170000}"/>
    <cellStyle name="Millares 2 5 3 2 2 2 2 2" xfId="7766" xr:uid="{00000000-0005-0000-0000-000010170000}"/>
    <cellStyle name="Millares 2 5 3 2 2 2 2 2 2" xfId="14556" xr:uid="{00000000-0005-0000-0000-000011170000}"/>
    <cellStyle name="Millares 2 5 3 2 2 2 2 2 2 2" xfId="28124" xr:uid="{00000000-0005-0000-0000-000012170000}"/>
    <cellStyle name="Millares 2 5 3 2 2 2 2 2 2 2 2" xfId="55257" xr:uid="{00000000-0005-0000-0000-000013170000}"/>
    <cellStyle name="Millares 2 5 3 2 2 2 2 2 2 3" xfId="41695" xr:uid="{00000000-0005-0000-0000-000014170000}"/>
    <cellStyle name="Millares 2 5 3 2 2 2 2 2 3" xfId="21343" xr:uid="{00000000-0005-0000-0000-000015170000}"/>
    <cellStyle name="Millares 2 5 3 2 2 2 2 2 3 2" xfId="48476" xr:uid="{00000000-0005-0000-0000-000016170000}"/>
    <cellStyle name="Millares 2 5 3 2 2 2 2 2 4" xfId="34914" xr:uid="{00000000-0005-0000-0000-000017170000}"/>
    <cellStyle name="Millares 2 5 3 2 2 2 2 3" xfId="11167" xr:uid="{00000000-0005-0000-0000-000018170000}"/>
    <cellStyle name="Millares 2 5 3 2 2 2 2 3 2" xfId="24735" xr:uid="{00000000-0005-0000-0000-000019170000}"/>
    <cellStyle name="Millares 2 5 3 2 2 2 2 3 2 2" xfId="51868" xr:uid="{00000000-0005-0000-0000-00001A170000}"/>
    <cellStyle name="Millares 2 5 3 2 2 2 2 3 3" xfId="38306" xr:uid="{00000000-0005-0000-0000-00001B170000}"/>
    <cellStyle name="Millares 2 5 3 2 2 2 2 4" xfId="17954" xr:uid="{00000000-0005-0000-0000-00001C170000}"/>
    <cellStyle name="Millares 2 5 3 2 2 2 2 4 2" xfId="45087" xr:uid="{00000000-0005-0000-0000-00001D170000}"/>
    <cellStyle name="Millares 2 5 3 2 2 2 2 5" xfId="31525" xr:uid="{00000000-0005-0000-0000-00001E170000}"/>
    <cellStyle name="Millares 2 5 3 2 2 2 3" xfId="4157" xr:uid="{00000000-0005-0000-0000-00001F170000}"/>
    <cellStyle name="Millares 2 5 3 2 2 2 3 2" xfId="7767" xr:uid="{00000000-0005-0000-0000-000020170000}"/>
    <cellStyle name="Millares 2 5 3 2 2 2 3 2 2" xfId="14557" xr:uid="{00000000-0005-0000-0000-000021170000}"/>
    <cellStyle name="Millares 2 5 3 2 2 2 3 2 2 2" xfId="28125" xr:uid="{00000000-0005-0000-0000-000022170000}"/>
    <cellStyle name="Millares 2 5 3 2 2 2 3 2 2 2 2" xfId="55258" xr:uid="{00000000-0005-0000-0000-000023170000}"/>
    <cellStyle name="Millares 2 5 3 2 2 2 3 2 2 3" xfId="41696" xr:uid="{00000000-0005-0000-0000-000024170000}"/>
    <cellStyle name="Millares 2 5 3 2 2 2 3 2 3" xfId="21344" xr:uid="{00000000-0005-0000-0000-000025170000}"/>
    <cellStyle name="Millares 2 5 3 2 2 2 3 2 3 2" xfId="48477" xr:uid="{00000000-0005-0000-0000-000026170000}"/>
    <cellStyle name="Millares 2 5 3 2 2 2 3 2 4" xfId="34915" xr:uid="{00000000-0005-0000-0000-000027170000}"/>
    <cellStyle name="Millares 2 5 3 2 2 2 3 3" xfId="11168" xr:uid="{00000000-0005-0000-0000-000028170000}"/>
    <cellStyle name="Millares 2 5 3 2 2 2 3 3 2" xfId="24736" xr:uid="{00000000-0005-0000-0000-000029170000}"/>
    <cellStyle name="Millares 2 5 3 2 2 2 3 3 2 2" xfId="51869" xr:uid="{00000000-0005-0000-0000-00002A170000}"/>
    <cellStyle name="Millares 2 5 3 2 2 2 3 3 3" xfId="38307" xr:uid="{00000000-0005-0000-0000-00002B170000}"/>
    <cellStyle name="Millares 2 5 3 2 2 2 3 4" xfId="17955" xr:uid="{00000000-0005-0000-0000-00002C170000}"/>
    <cellStyle name="Millares 2 5 3 2 2 2 3 4 2" xfId="45088" xr:uid="{00000000-0005-0000-0000-00002D170000}"/>
    <cellStyle name="Millares 2 5 3 2 2 2 3 5" xfId="31526" xr:uid="{00000000-0005-0000-0000-00002E170000}"/>
    <cellStyle name="Millares 2 5 3 2 2 2 4" xfId="7765" xr:uid="{00000000-0005-0000-0000-00002F170000}"/>
    <cellStyle name="Millares 2 5 3 2 2 2 4 2" xfId="14555" xr:uid="{00000000-0005-0000-0000-000030170000}"/>
    <cellStyle name="Millares 2 5 3 2 2 2 4 2 2" xfId="28123" xr:uid="{00000000-0005-0000-0000-000031170000}"/>
    <cellStyle name="Millares 2 5 3 2 2 2 4 2 2 2" xfId="55256" xr:uid="{00000000-0005-0000-0000-000032170000}"/>
    <cellStyle name="Millares 2 5 3 2 2 2 4 2 3" xfId="41694" xr:uid="{00000000-0005-0000-0000-000033170000}"/>
    <cellStyle name="Millares 2 5 3 2 2 2 4 3" xfId="21342" xr:uid="{00000000-0005-0000-0000-000034170000}"/>
    <cellStyle name="Millares 2 5 3 2 2 2 4 3 2" xfId="48475" xr:uid="{00000000-0005-0000-0000-000035170000}"/>
    <cellStyle name="Millares 2 5 3 2 2 2 4 4" xfId="34913" xr:uid="{00000000-0005-0000-0000-000036170000}"/>
    <cellStyle name="Millares 2 5 3 2 2 2 5" xfId="11166" xr:uid="{00000000-0005-0000-0000-000037170000}"/>
    <cellStyle name="Millares 2 5 3 2 2 2 5 2" xfId="24734" xr:uid="{00000000-0005-0000-0000-000038170000}"/>
    <cellStyle name="Millares 2 5 3 2 2 2 5 2 2" xfId="51867" xr:uid="{00000000-0005-0000-0000-000039170000}"/>
    <cellStyle name="Millares 2 5 3 2 2 2 5 3" xfId="38305" xr:uid="{00000000-0005-0000-0000-00003A170000}"/>
    <cellStyle name="Millares 2 5 3 2 2 2 6" xfId="17953" xr:uid="{00000000-0005-0000-0000-00003B170000}"/>
    <cellStyle name="Millares 2 5 3 2 2 2 6 2" xfId="45086" xr:uid="{00000000-0005-0000-0000-00003C170000}"/>
    <cellStyle name="Millares 2 5 3 2 2 2 7" xfId="31524" xr:uid="{00000000-0005-0000-0000-00003D170000}"/>
    <cellStyle name="Millares 2 5 3 2 2 3" xfId="4158" xr:uid="{00000000-0005-0000-0000-00003E170000}"/>
    <cellStyle name="Millares 2 5 3 2 2 3 2" xfId="4159" xr:uid="{00000000-0005-0000-0000-00003F170000}"/>
    <cellStyle name="Millares 2 5 3 2 2 3 2 2" xfId="7769" xr:uid="{00000000-0005-0000-0000-000040170000}"/>
    <cellStyle name="Millares 2 5 3 2 2 3 2 2 2" xfId="14559" xr:uid="{00000000-0005-0000-0000-000041170000}"/>
    <cellStyle name="Millares 2 5 3 2 2 3 2 2 2 2" xfId="28127" xr:uid="{00000000-0005-0000-0000-000042170000}"/>
    <cellStyle name="Millares 2 5 3 2 2 3 2 2 2 2 2" xfId="55260" xr:uid="{00000000-0005-0000-0000-000043170000}"/>
    <cellStyle name="Millares 2 5 3 2 2 3 2 2 2 3" xfId="41698" xr:uid="{00000000-0005-0000-0000-000044170000}"/>
    <cellStyle name="Millares 2 5 3 2 2 3 2 2 3" xfId="21346" xr:uid="{00000000-0005-0000-0000-000045170000}"/>
    <cellStyle name="Millares 2 5 3 2 2 3 2 2 3 2" xfId="48479" xr:uid="{00000000-0005-0000-0000-000046170000}"/>
    <cellStyle name="Millares 2 5 3 2 2 3 2 2 4" xfId="34917" xr:uid="{00000000-0005-0000-0000-000047170000}"/>
    <cellStyle name="Millares 2 5 3 2 2 3 2 3" xfId="11170" xr:uid="{00000000-0005-0000-0000-000048170000}"/>
    <cellStyle name="Millares 2 5 3 2 2 3 2 3 2" xfId="24738" xr:uid="{00000000-0005-0000-0000-000049170000}"/>
    <cellStyle name="Millares 2 5 3 2 2 3 2 3 2 2" xfId="51871" xr:uid="{00000000-0005-0000-0000-00004A170000}"/>
    <cellStyle name="Millares 2 5 3 2 2 3 2 3 3" xfId="38309" xr:uid="{00000000-0005-0000-0000-00004B170000}"/>
    <cellStyle name="Millares 2 5 3 2 2 3 2 4" xfId="17957" xr:uid="{00000000-0005-0000-0000-00004C170000}"/>
    <cellStyle name="Millares 2 5 3 2 2 3 2 4 2" xfId="45090" xr:uid="{00000000-0005-0000-0000-00004D170000}"/>
    <cellStyle name="Millares 2 5 3 2 2 3 2 5" xfId="31528" xr:uid="{00000000-0005-0000-0000-00004E170000}"/>
    <cellStyle name="Millares 2 5 3 2 2 3 3" xfId="7768" xr:uid="{00000000-0005-0000-0000-00004F170000}"/>
    <cellStyle name="Millares 2 5 3 2 2 3 3 2" xfId="14558" xr:uid="{00000000-0005-0000-0000-000050170000}"/>
    <cellStyle name="Millares 2 5 3 2 2 3 3 2 2" xfId="28126" xr:uid="{00000000-0005-0000-0000-000051170000}"/>
    <cellStyle name="Millares 2 5 3 2 2 3 3 2 2 2" xfId="55259" xr:uid="{00000000-0005-0000-0000-000052170000}"/>
    <cellStyle name="Millares 2 5 3 2 2 3 3 2 3" xfId="41697" xr:uid="{00000000-0005-0000-0000-000053170000}"/>
    <cellStyle name="Millares 2 5 3 2 2 3 3 3" xfId="21345" xr:uid="{00000000-0005-0000-0000-000054170000}"/>
    <cellStyle name="Millares 2 5 3 2 2 3 3 3 2" xfId="48478" xr:uid="{00000000-0005-0000-0000-000055170000}"/>
    <cellStyle name="Millares 2 5 3 2 2 3 3 4" xfId="34916" xr:uid="{00000000-0005-0000-0000-000056170000}"/>
    <cellStyle name="Millares 2 5 3 2 2 3 4" xfId="11169" xr:uid="{00000000-0005-0000-0000-000057170000}"/>
    <cellStyle name="Millares 2 5 3 2 2 3 4 2" xfId="24737" xr:uid="{00000000-0005-0000-0000-000058170000}"/>
    <cellStyle name="Millares 2 5 3 2 2 3 4 2 2" xfId="51870" xr:uid="{00000000-0005-0000-0000-000059170000}"/>
    <cellStyle name="Millares 2 5 3 2 2 3 4 3" xfId="38308" xr:uid="{00000000-0005-0000-0000-00005A170000}"/>
    <cellStyle name="Millares 2 5 3 2 2 3 5" xfId="17956" xr:uid="{00000000-0005-0000-0000-00005B170000}"/>
    <cellStyle name="Millares 2 5 3 2 2 3 5 2" xfId="45089" xr:uid="{00000000-0005-0000-0000-00005C170000}"/>
    <cellStyle name="Millares 2 5 3 2 2 3 6" xfId="31527" xr:uid="{00000000-0005-0000-0000-00005D170000}"/>
    <cellStyle name="Millares 2 5 3 2 2 4" xfId="4160" xr:uid="{00000000-0005-0000-0000-00005E170000}"/>
    <cellStyle name="Millares 2 5 3 2 2 4 2" xfId="7770" xr:uid="{00000000-0005-0000-0000-00005F170000}"/>
    <cellStyle name="Millares 2 5 3 2 2 4 2 2" xfId="14560" xr:uid="{00000000-0005-0000-0000-000060170000}"/>
    <cellStyle name="Millares 2 5 3 2 2 4 2 2 2" xfId="28128" xr:uid="{00000000-0005-0000-0000-000061170000}"/>
    <cellStyle name="Millares 2 5 3 2 2 4 2 2 2 2" xfId="55261" xr:uid="{00000000-0005-0000-0000-000062170000}"/>
    <cellStyle name="Millares 2 5 3 2 2 4 2 2 3" xfId="41699" xr:uid="{00000000-0005-0000-0000-000063170000}"/>
    <cellStyle name="Millares 2 5 3 2 2 4 2 3" xfId="21347" xr:uid="{00000000-0005-0000-0000-000064170000}"/>
    <cellStyle name="Millares 2 5 3 2 2 4 2 3 2" xfId="48480" xr:uid="{00000000-0005-0000-0000-000065170000}"/>
    <cellStyle name="Millares 2 5 3 2 2 4 2 4" xfId="34918" xr:uid="{00000000-0005-0000-0000-000066170000}"/>
    <cellStyle name="Millares 2 5 3 2 2 4 3" xfId="11171" xr:uid="{00000000-0005-0000-0000-000067170000}"/>
    <cellStyle name="Millares 2 5 3 2 2 4 3 2" xfId="24739" xr:uid="{00000000-0005-0000-0000-000068170000}"/>
    <cellStyle name="Millares 2 5 3 2 2 4 3 2 2" xfId="51872" xr:uid="{00000000-0005-0000-0000-000069170000}"/>
    <cellStyle name="Millares 2 5 3 2 2 4 3 3" xfId="38310" xr:uid="{00000000-0005-0000-0000-00006A170000}"/>
    <cellStyle name="Millares 2 5 3 2 2 4 4" xfId="17958" xr:uid="{00000000-0005-0000-0000-00006B170000}"/>
    <cellStyle name="Millares 2 5 3 2 2 4 4 2" xfId="45091" xr:uid="{00000000-0005-0000-0000-00006C170000}"/>
    <cellStyle name="Millares 2 5 3 2 2 4 5" xfId="31529" xr:uid="{00000000-0005-0000-0000-00006D170000}"/>
    <cellStyle name="Millares 2 5 3 2 2 5" xfId="4161" xr:uid="{00000000-0005-0000-0000-00006E170000}"/>
    <cellStyle name="Millares 2 5 3 2 2 5 2" xfId="7771" xr:uid="{00000000-0005-0000-0000-00006F170000}"/>
    <cellStyle name="Millares 2 5 3 2 2 5 2 2" xfId="14561" xr:uid="{00000000-0005-0000-0000-000070170000}"/>
    <cellStyle name="Millares 2 5 3 2 2 5 2 2 2" xfId="28129" xr:uid="{00000000-0005-0000-0000-000071170000}"/>
    <cellStyle name="Millares 2 5 3 2 2 5 2 2 2 2" xfId="55262" xr:uid="{00000000-0005-0000-0000-000072170000}"/>
    <cellStyle name="Millares 2 5 3 2 2 5 2 2 3" xfId="41700" xr:uid="{00000000-0005-0000-0000-000073170000}"/>
    <cellStyle name="Millares 2 5 3 2 2 5 2 3" xfId="21348" xr:uid="{00000000-0005-0000-0000-000074170000}"/>
    <cellStyle name="Millares 2 5 3 2 2 5 2 3 2" xfId="48481" xr:uid="{00000000-0005-0000-0000-000075170000}"/>
    <cellStyle name="Millares 2 5 3 2 2 5 2 4" xfId="34919" xr:uid="{00000000-0005-0000-0000-000076170000}"/>
    <cellStyle name="Millares 2 5 3 2 2 5 3" xfId="11172" xr:uid="{00000000-0005-0000-0000-000077170000}"/>
    <cellStyle name="Millares 2 5 3 2 2 5 3 2" xfId="24740" xr:uid="{00000000-0005-0000-0000-000078170000}"/>
    <cellStyle name="Millares 2 5 3 2 2 5 3 2 2" xfId="51873" xr:uid="{00000000-0005-0000-0000-000079170000}"/>
    <cellStyle name="Millares 2 5 3 2 2 5 3 3" xfId="38311" xr:uid="{00000000-0005-0000-0000-00007A170000}"/>
    <cellStyle name="Millares 2 5 3 2 2 5 4" xfId="17959" xr:uid="{00000000-0005-0000-0000-00007B170000}"/>
    <cellStyle name="Millares 2 5 3 2 2 5 4 2" xfId="45092" xr:uid="{00000000-0005-0000-0000-00007C170000}"/>
    <cellStyle name="Millares 2 5 3 2 2 5 5" xfId="31530" xr:uid="{00000000-0005-0000-0000-00007D170000}"/>
    <cellStyle name="Millares 2 5 3 2 2 6" xfId="7764" xr:uid="{00000000-0005-0000-0000-00007E170000}"/>
    <cellStyle name="Millares 2 5 3 2 2 6 2" xfId="14554" xr:uid="{00000000-0005-0000-0000-00007F170000}"/>
    <cellStyle name="Millares 2 5 3 2 2 6 2 2" xfId="28122" xr:uid="{00000000-0005-0000-0000-000080170000}"/>
    <cellStyle name="Millares 2 5 3 2 2 6 2 2 2" xfId="55255" xr:uid="{00000000-0005-0000-0000-000081170000}"/>
    <cellStyle name="Millares 2 5 3 2 2 6 2 3" xfId="41693" xr:uid="{00000000-0005-0000-0000-000082170000}"/>
    <cellStyle name="Millares 2 5 3 2 2 6 3" xfId="21341" xr:uid="{00000000-0005-0000-0000-000083170000}"/>
    <cellStyle name="Millares 2 5 3 2 2 6 3 2" xfId="48474" xr:uid="{00000000-0005-0000-0000-000084170000}"/>
    <cellStyle name="Millares 2 5 3 2 2 6 4" xfId="34912" xr:uid="{00000000-0005-0000-0000-000085170000}"/>
    <cellStyle name="Millares 2 5 3 2 2 7" xfId="11165" xr:uid="{00000000-0005-0000-0000-000086170000}"/>
    <cellStyle name="Millares 2 5 3 2 2 7 2" xfId="24733" xr:uid="{00000000-0005-0000-0000-000087170000}"/>
    <cellStyle name="Millares 2 5 3 2 2 7 2 2" xfId="51866" xr:uid="{00000000-0005-0000-0000-000088170000}"/>
    <cellStyle name="Millares 2 5 3 2 2 7 3" xfId="38304" xr:uid="{00000000-0005-0000-0000-000089170000}"/>
    <cellStyle name="Millares 2 5 3 2 2 8" xfId="17952" xr:uid="{00000000-0005-0000-0000-00008A170000}"/>
    <cellStyle name="Millares 2 5 3 2 2 8 2" xfId="45085" xr:uid="{00000000-0005-0000-0000-00008B170000}"/>
    <cellStyle name="Millares 2 5 3 2 2 9" xfId="31523" xr:uid="{00000000-0005-0000-0000-00008C170000}"/>
    <cellStyle name="Millares 2 5 3 2 3" xfId="4162" xr:uid="{00000000-0005-0000-0000-00008D170000}"/>
    <cellStyle name="Millares 2 5 3 2 3 2" xfId="4163" xr:uid="{00000000-0005-0000-0000-00008E170000}"/>
    <cellStyle name="Millares 2 5 3 2 3 2 2" xfId="7773" xr:uid="{00000000-0005-0000-0000-00008F170000}"/>
    <cellStyle name="Millares 2 5 3 2 3 2 2 2" xfId="14563" xr:uid="{00000000-0005-0000-0000-000090170000}"/>
    <cellStyle name="Millares 2 5 3 2 3 2 2 2 2" xfId="28131" xr:uid="{00000000-0005-0000-0000-000091170000}"/>
    <cellStyle name="Millares 2 5 3 2 3 2 2 2 2 2" xfId="55264" xr:uid="{00000000-0005-0000-0000-000092170000}"/>
    <cellStyle name="Millares 2 5 3 2 3 2 2 2 3" xfId="41702" xr:uid="{00000000-0005-0000-0000-000093170000}"/>
    <cellStyle name="Millares 2 5 3 2 3 2 2 3" xfId="21350" xr:uid="{00000000-0005-0000-0000-000094170000}"/>
    <cellStyle name="Millares 2 5 3 2 3 2 2 3 2" xfId="48483" xr:uid="{00000000-0005-0000-0000-000095170000}"/>
    <cellStyle name="Millares 2 5 3 2 3 2 2 4" xfId="34921" xr:uid="{00000000-0005-0000-0000-000096170000}"/>
    <cellStyle name="Millares 2 5 3 2 3 2 3" xfId="11174" xr:uid="{00000000-0005-0000-0000-000097170000}"/>
    <cellStyle name="Millares 2 5 3 2 3 2 3 2" xfId="24742" xr:uid="{00000000-0005-0000-0000-000098170000}"/>
    <cellStyle name="Millares 2 5 3 2 3 2 3 2 2" xfId="51875" xr:uid="{00000000-0005-0000-0000-000099170000}"/>
    <cellStyle name="Millares 2 5 3 2 3 2 3 3" xfId="38313" xr:uid="{00000000-0005-0000-0000-00009A170000}"/>
    <cellStyle name="Millares 2 5 3 2 3 2 4" xfId="17961" xr:uid="{00000000-0005-0000-0000-00009B170000}"/>
    <cellStyle name="Millares 2 5 3 2 3 2 4 2" xfId="45094" xr:uid="{00000000-0005-0000-0000-00009C170000}"/>
    <cellStyle name="Millares 2 5 3 2 3 2 5" xfId="31532" xr:uid="{00000000-0005-0000-0000-00009D170000}"/>
    <cellStyle name="Millares 2 5 3 2 3 3" xfId="4164" xr:uid="{00000000-0005-0000-0000-00009E170000}"/>
    <cellStyle name="Millares 2 5 3 2 3 3 2" xfId="7774" xr:uid="{00000000-0005-0000-0000-00009F170000}"/>
    <cellStyle name="Millares 2 5 3 2 3 3 2 2" xfId="14564" xr:uid="{00000000-0005-0000-0000-0000A0170000}"/>
    <cellStyle name="Millares 2 5 3 2 3 3 2 2 2" xfId="28132" xr:uid="{00000000-0005-0000-0000-0000A1170000}"/>
    <cellStyle name="Millares 2 5 3 2 3 3 2 2 2 2" xfId="55265" xr:uid="{00000000-0005-0000-0000-0000A2170000}"/>
    <cellStyle name="Millares 2 5 3 2 3 3 2 2 3" xfId="41703" xr:uid="{00000000-0005-0000-0000-0000A3170000}"/>
    <cellStyle name="Millares 2 5 3 2 3 3 2 3" xfId="21351" xr:uid="{00000000-0005-0000-0000-0000A4170000}"/>
    <cellStyle name="Millares 2 5 3 2 3 3 2 3 2" xfId="48484" xr:uid="{00000000-0005-0000-0000-0000A5170000}"/>
    <cellStyle name="Millares 2 5 3 2 3 3 2 4" xfId="34922" xr:uid="{00000000-0005-0000-0000-0000A6170000}"/>
    <cellStyle name="Millares 2 5 3 2 3 3 3" xfId="11175" xr:uid="{00000000-0005-0000-0000-0000A7170000}"/>
    <cellStyle name="Millares 2 5 3 2 3 3 3 2" xfId="24743" xr:uid="{00000000-0005-0000-0000-0000A8170000}"/>
    <cellStyle name="Millares 2 5 3 2 3 3 3 2 2" xfId="51876" xr:uid="{00000000-0005-0000-0000-0000A9170000}"/>
    <cellStyle name="Millares 2 5 3 2 3 3 3 3" xfId="38314" xr:uid="{00000000-0005-0000-0000-0000AA170000}"/>
    <cellStyle name="Millares 2 5 3 2 3 3 4" xfId="17962" xr:uid="{00000000-0005-0000-0000-0000AB170000}"/>
    <cellStyle name="Millares 2 5 3 2 3 3 4 2" xfId="45095" xr:uid="{00000000-0005-0000-0000-0000AC170000}"/>
    <cellStyle name="Millares 2 5 3 2 3 3 5" xfId="31533" xr:uid="{00000000-0005-0000-0000-0000AD170000}"/>
    <cellStyle name="Millares 2 5 3 2 3 4" xfId="7772" xr:uid="{00000000-0005-0000-0000-0000AE170000}"/>
    <cellStyle name="Millares 2 5 3 2 3 4 2" xfId="14562" xr:uid="{00000000-0005-0000-0000-0000AF170000}"/>
    <cellStyle name="Millares 2 5 3 2 3 4 2 2" xfId="28130" xr:uid="{00000000-0005-0000-0000-0000B0170000}"/>
    <cellStyle name="Millares 2 5 3 2 3 4 2 2 2" xfId="55263" xr:uid="{00000000-0005-0000-0000-0000B1170000}"/>
    <cellStyle name="Millares 2 5 3 2 3 4 2 3" xfId="41701" xr:uid="{00000000-0005-0000-0000-0000B2170000}"/>
    <cellStyle name="Millares 2 5 3 2 3 4 3" xfId="21349" xr:uid="{00000000-0005-0000-0000-0000B3170000}"/>
    <cellStyle name="Millares 2 5 3 2 3 4 3 2" xfId="48482" xr:uid="{00000000-0005-0000-0000-0000B4170000}"/>
    <cellStyle name="Millares 2 5 3 2 3 4 4" xfId="34920" xr:uid="{00000000-0005-0000-0000-0000B5170000}"/>
    <cellStyle name="Millares 2 5 3 2 3 5" xfId="11173" xr:uid="{00000000-0005-0000-0000-0000B6170000}"/>
    <cellStyle name="Millares 2 5 3 2 3 5 2" xfId="24741" xr:uid="{00000000-0005-0000-0000-0000B7170000}"/>
    <cellStyle name="Millares 2 5 3 2 3 5 2 2" xfId="51874" xr:uid="{00000000-0005-0000-0000-0000B8170000}"/>
    <cellStyle name="Millares 2 5 3 2 3 5 3" xfId="38312" xr:uid="{00000000-0005-0000-0000-0000B9170000}"/>
    <cellStyle name="Millares 2 5 3 2 3 6" xfId="17960" xr:uid="{00000000-0005-0000-0000-0000BA170000}"/>
    <cellStyle name="Millares 2 5 3 2 3 6 2" xfId="45093" xr:uid="{00000000-0005-0000-0000-0000BB170000}"/>
    <cellStyle name="Millares 2 5 3 2 3 7" xfId="31531" xr:uid="{00000000-0005-0000-0000-0000BC170000}"/>
    <cellStyle name="Millares 2 5 3 2 4" xfId="4165" xr:uid="{00000000-0005-0000-0000-0000BD170000}"/>
    <cellStyle name="Millares 2 5 3 2 4 2" xfId="4166" xr:uid="{00000000-0005-0000-0000-0000BE170000}"/>
    <cellStyle name="Millares 2 5 3 2 4 2 2" xfId="7776" xr:uid="{00000000-0005-0000-0000-0000BF170000}"/>
    <cellStyle name="Millares 2 5 3 2 4 2 2 2" xfId="14566" xr:uid="{00000000-0005-0000-0000-0000C0170000}"/>
    <cellStyle name="Millares 2 5 3 2 4 2 2 2 2" xfId="28134" xr:uid="{00000000-0005-0000-0000-0000C1170000}"/>
    <cellStyle name="Millares 2 5 3 2 4 2 2 2 2 2" xfId="55267" xr:uid="{00000000-0005-0000-0000-0000C2170000}"/>
    <cellStyle name="Millares 2 5 3 2 4 2 2 2 3" xfId="41705" xr:uid="{00000000-0005-0000-0000-0000C3170000}"/>
    <cellStyle name="Millares 2 5 3 2 4 2 2 3" xfId="21353" xr:uid="{00000000-0005-0000-0000-0000C4170000}"/>
    <cellStyle name="Millares 2 5 3 2 4 2 2 3 2" xfId="48486" xr:uid="{00000000-0005-0000-0000-0000C5170000}"/>
    <cellStyle name="Millares 2 5 3 2 4 2 2 4" xfId="34924" xr:uid="{00000000-0005-0000-0000-0000C6170000}"/>
    <cellStyle name="Millares 2 5 3 2 4 2 3" xfId="11177" xr:uid="{00000000-0005-0000-0000-0000C7170000}"/>
    <cellStyle name="Millares 2 5 3 2 4 2 3 2" xfId="24745" xr:uid="{00000000-0005-0000-0000-0000C8170000}"/>
    <cellStyle name="Millares 2 5 3 2 4 2 3 2 2" xfId="51878" xr:uid="{00000000-0005-0000-0000-0000C9170000}"/>
    <cellStyle name="Millares 2 5 3 2 4 2 3 3" xfId="38316" xr:uid="{00000000-0005-0000-0000-0000CA170000}"/>
    <cellStyle name="Millares 2 5 3 2 4 2 4" xfId="17964" xr:uid="{00000000-0005-0000-0000-0000CB170000}"/>
    <cellStyle name="Millares 2 5 3 2 4 2 4 2" xfId="45097" xr:uid="{00000000-0005-0000-0000-0000CC170000}"/>
    <cellStyle name="Millares 2 5 3 2 4 2 5" xfId="31535" xr:uid="{00000000-0005-0000-0000-0000CD170000}"/>
    <cellStyle name="Millares 2 5 3 2 4 3" xfId="7775" xr:uid="{00000000-0005-0000-0000-0000CE170000}"/>
    <cellStyle name="Millares 2 5 3 2 4 3 2" xfId="14565" xr:uid="{00000000-0005-0000-0000-0000CF170000}"/>
    <cellStyle name="Millares 2 5 3 2 4 3 2 2" xfId="28133" xr:uid="{00000000-0005-0000-0000-0000D0170000}"/>
    <cellStyle name="Millares 2 5 3 2 4 3 2 2 2" xfId="55266" xr:uid="{00000000-0005-0000-0000-0000D1170000}"/>
    <cellStyle name="Millares 2 5 3 2 4 3 2 3" xfId="41704" xr:uid="{00000000-0005-0000-0000-0000D2170000}"/>
    <cellStyle name="Millares 2 5 3 2 4 3 3" xfId="21352" xr:uid="{00000000-0005-0000-0000-0000D3170000}"/>
    <cellStyle name="Millares 2 5 3 2 4 3 3 2" xfId="48485" xr:uid="{00000000-0005-0000-0000-0000D4170000}"/>
    <cellStyle name="Millares 2 5 3 2 4 3 4" xfId="34923" xr:uid="{00000000-0005-0000-0000-0000D5170000}"/>
    <cellStyle name="Millares 2 5 3 2 4 4" xfId="11176" xr:uid="{00000000-0005-0000-0000-0000D6170000}"/>
    <cellStyle name="Millares 2 5 3 2 4 4 2" xfId="24744" xr:uid="{00000000-0005-0000-0000-0000D7170000}"/>
    <cellStyle name="Millares 2 5 3 2 4 4 2 2" xfId="51877" xr:uid="{00000000-0005-0000-0000-0000D8170000}"/>
    <cellStyle name="Millares 2 5 3 2 4 4 3" xfId="38315" xr:uid="{00000000-0005-0000-0000-0000D9170000}"/>
    <cellStyle name="Millares 2 5 3 2 4 5" xfId="17963" xr:uid="{00000000-0005-0000-0000-0000DA170000}"/>
    <cellStyle name="Millares 2 5 3 2 4 5 2" xfId="45096" xr:uid="{00000000-0005-0000-0000-0000DB170000}"/>
    <cellStyle name="Millares 2 5 3 2 4 6" xfId="31534" xr:uid="{00000000-0005-0000-0000-0000DC170000}"/>
    <cellStyle name="Millares 2 5 3 2 5" xfId="4167" xr:uid="{00000000-0005-0000-0000-0000DD170000}"/>
    <cellStyle name="Millares 2 5 3 2 5 2" xfId="7777" xr:uid="{00000000-0005-0000-0000-0000DE170000}"/>
    <cellStyle name="Millares 2 5 3 2 5 2 2" xfId="14567" xr:uid="{00000000-0005-0000-0000-0000DF170000}"/>
    <cellStyle name="Millares 2 5 3 2 5 2 2 2" xfId="28135" xr:uid="{00000000-0005-0000-0000-0000E0170000}"/>
    <cellStyle name="Millares 2 5 3 2 5 2 2 2 2" xfId="55268" xr:uid="{00000000-0005-0000-0000-0000E1170000}"/>
    <cellStyle name="Millares 2 5 3 2 5 2 2 3" xfId="41706" xr:uid="{00000000-0005-0000-0000-0000E2170000}"/>
    <cellStyle name="Millares 2 5 3 2 5 2 3" xfId="21354" xr:uid="{00000000-0005-0000-0000-0000E3170000}"/>
    <cellStyle name="Millares 2 5 3 2 5 2 3 2" xfId="48487" xr:uid="{00000000-0005-0000-0000-0000E4170000}"/>
    <cellStyle name="Millares 2 5 3 2 5 2 4" xfId="34925" xr:uid="{00000000-0005-0000-0000-0000E5170000}"/>
    <cellStyle name="Millares 2 5 3 2 5 3" xfId="11178" xr:uid="{00000000-0005-0000-0000-0000E6170000}"/>
    <cellStyle name="Millares 2 5 3 2 5 3 2" xfId="24746" xr:uid="{00000000-0005-0000-0000-0000E7170000}"/>
    <cellStyle name="Millares 2 5 3 2 5 3 2 2" xfId="51879" xr:uid="{00000000-0005-0000-0000-0000E8170000}"/>
    <cellStyle name="Millares 2 5 3 2 5 3 3" xfId="38317" xr:uid="{00000000-0005-0000-0000-0000E9170000}"/>
    <cellStyle name="Millares 2 5 3 2 5 4" xfId="17965" xr:uid="{00000000-0005-0000-0000-0000EA170000}"/>
    <cellStyle name="Millares 2 5 3 2 5 4 2" xfId="45098" xr:uid="{00000000-0005-0000-0000-0000EB170000}"/>
    <cellStyle name="Millares 2 5 3 2 5 5" xfId="31536" xr:uid="{00000000-0005-0000-0000-0000EC170000}"/>
    <cellStyle name="Millares 2 5 3 2 6" xfId="4168" xr:uid="{00000000-0005-0000-0000-0000ED170000}"/>
    <cellStyle name="Millares 2 5 3 2 6 2" xfId="7778" xr:uid="{00000000-0005-0000-0000-0000EE170000}"/>
    <cellStyle name="Millares 2 5 3 2 6 2 2" xfId="14568" xr:uid="{00000000-0005-0000-0000-0000EF170000}"/>
    <cellStyle name="Millares 2 5 3 2 6 2 2 2" xfId="28136" xr:uid="{00000000-0005-0000-0000-0000F0170000}"/>
    <cellStyle name="Millares 2 5 3 2 6 2 2 2 2" xfId="55269" xr:uid="{00000000-0005-0000-0000-0000F1170000}"/>
    <cellStyle name="Millares 2 5 3 2 6 2 2 3" xfId="41707" xr:uid="{00000000-0005-0000-0000-0000F2170000}"/>
    <cellStyle name="Millares 2 5 3 2 6 2 3" xfId="21355" xr:uid="{00000000-0005-0000-0000-0000F3170000}"/>
    <cellStyle name="Millares 2 5 3 2 6 2 3 2" xfId="48488" xr:uid="{00000000-0005-0000-0000-0000F4170000}"/>
    <cellStyle name="Millares 2 5 3 2 6 2 4" xfId="34926" xr:uid="{00000000-0005-0000-0000-0000F5170000}"/>
    <cellStyle name="Millares 2 5 3 2 6 3" xfId="11179" xr:uid="{00000000-0005-0000-0000-0000F6170000}"/>
    <cellStyle name="Millares 2 5 3 2 6 3 2" xfId="24747" xr:uid="{00000000-0005-0000-0000-0000F7170000}"/>
    <cellStyle name="Millares 2 5 3 2 6 3 2 2" xfId="51880" xr:uid="{00000000-0005-0000-0000-0000F8170000}"/>
    <cellStyle name="Millares 2 5 3 2 6 3 3" xfId="38318" xr:uid="{00000000-0005-0000-0000-0000F9170000}"/>
    <cellStyle name="Millares 2 5 3 2 6 4" xfId="17966" xr:uid="{00000000-0005-0000-0000-0000FA170000}"/>
    <cellStyle name="Millares 2 5 3 2 6 4 2" xfId="45099" xr:uid="{00000000-0005-0000-0000-0000FB170000}"/>
    <cellStyle name="Millares 2 5 3 2 6 5" xfId="31537" xr:uid="{00000000-0005-0000-0000-0000FC170000}"/>
    <cellStyle name="Millares 2 5 3 2 7" xfId="7763" xr:uid="{00000000-0005-0000-0000-0000FD170000}"/>
    <cellStyle name="Millares 2 5 3 2 7 2" xfId="14553" xr:uid="{00000000-0005-0000-0000-0000FE170000}"/>
    <cellStyle name="Millares 2 5 3 2 7 2 2" xfId="28121" xr:uid="{00000000-0005-0000-0000-0000FF170000}"/>
    <cellStyle name="Millares 2 5 3 2 7 2 2 2" xfId="55254" xr:uid="{00000000-0005-0000-0000-000000180000}"/>
    <cellStyle name="Millares 2 5 3 2 7 2 3" xfId="41692" xr:uid="{00000000-0005-0000-0000-000001180000}"/>
    <cellStyle name="Millares 2 5 3 2 7 3" xfId="21340" xr:uid="{00000000-0005-0000-0000-000002180000}"/>
    <cellStyle name="Millares 2 5 3 2 7 3 2" xfId="48473" xr:uid="{00000000-0005-0000-0000-000003180000}"/>
    <cellStyle name="Millares 2 5 3 2 7 4" xfId="34911" xr:uid="{00000000-0005-0000-0000-000004180000}"/>
    <cellStyle name="Millares 2 5 3 2 8" xfId="11164" xr:uid="{00000000-0005-0000-0000-000005180000}"/>
    <cellStyle name="Millares 2 5 3 2 8 2" xfId="24732" xr:uid="{00000000-0005-0000-0000-000006180000}"/>
    <cellStyle name="Millares 2 5 3 2 8 2 2" xfId="51865" xr:uid="{00000000-0005-0000-0000-000007180000}"/>
    <cellStyle name="Millares 2 5 3 2 8 3" xfId="38303" xr:uid="{00000000-0005-0000-0000-000008180000}"/>
    <cellStyle name="Millares 2 5 3 2 9" xfId="17951" xr:uid="{00000000-0005-0000-0000-000009180000}"/>
    <cellStyle name="Millares 2 5 3 2 9 2" xfId="45084" xr:uid="{00000000-0005-0000-0000-00000A180000}"/>
    <cellStyle name="Millares 2 5 3 3" xfId="4169" xr:uid="{00000000-0005-0000-0000-00000B180000}"/>
    <cellStyle name="Millares 2 5 3 3 2" xfId="4170" xr:uid="{00000000-0005-0000-0000-00000C180000}"/>
    <cellStyle name="Millares 2 5 3 3 2 2" xfId="4171" xr:uid="{00000000-0005-0000-0000-00000D180000}"/>
    <cellStyle name="Millares 2 5 3 3 2 2 2" xfId="7781" xr:uid="{00000000-0005-0000-0000-00000E180000}"/>
    <cellStyle name="Millares 2 5 3 3 2 2 2 2" xfId="14571" xr:uid="{00000000-0005-0000-0000-00000F180000}"/>
    <cellStyle name="Millares 2 5 3 3 2 2 2 2 2" xfId="28139" xr:uid="{00000000-0005-0000-0000-000010180000}"/>
    <cellStyle name="Millares 2 5 3 3 2 2 2 2 2 2" xfId="55272" xr:uid="{00000000-0005-0000-0000-000011180000}"/>
    <cellStyle name="Millares 2 5 3 3 2 2 2 2 3" xfId="41710" xr:uid="{00000000-0005-0000-0000-000012180000}"/>
    <cellStyle name="Millares 2 5 3 3 2 2 2 3" xfId="21358" xr:uid="{00000000-0005-0000-0000-000013180000}"/>
    <cellStyle name="Millares 2 5 3 3 2 2 2 3 2" xfId="48491" xr:uid="{00000000-0005-0000-0000-000014180000}"/>
    <cellStyle name="Millares 2 5 3 3 2 2 2 4" xfId="34929" xr:uid="{00000000-0005-0000-0000-000015180000}"/>
    <cellStyle name="Millares 2 5 3 3 2 2 3" xfId="11182" xr:uid="{00000000-0005-0000-0000-000016180000}"/>
    <cellStyle name="Millares 2 5 3 3 2 2 3 2" xfId="24750" xr:uid="{00000000-0005-0000-0000-000017180000}"/>
    <cellStyle name="Millares 2 5 3 3 2 2 3 2 2" xfId="51883" xr:uid="{00000000-0005-0000-0000-000018180000}"/>
    <cellStyle name="Millares 2 5 3 3 2 2 3 3" xfId="38321" xr:uid="{00000000-0005-0000-0000-000019180000}"/>
    <cellStyle name="Millares 2 5 3 3 2 2 4" xfId="17969" xr:uid="{00000000-0005-0000-0000-00001A180000}"/>
    <cellStyle name="Millares 2 5 3 3 2 2 4 2" xfId="45102" xr:uid="{00000000-0005-0000-0000-00001B180000}"/>
    <cellStyle name="Millares 2 5 3 3 2 2 5" xfId="31540" xr:uid="{00000000-0005-0000-0000-00001C180000}"/>
    <cellStyle name="Millares 2 5 3 3 2 3" xfId="4172" xr:uid="{00000000-0005-0000-0000-00001D180000}"/>
    <cellStyle name="Millares 2 5 3 3 2 3 2" xfId="7782" xr:uid="{00000000-0005-0000-0000-00001E180000}"/>
    <cellStyle name="Millares 2 5 3 3 2 3 2 2" xfId="14572" xr:uid="{00000000-0005-0000-0000-00001F180000}"/>
    <cellStyle name="Millares 2 5 3 3 2 3 2 2 2" xfId="28140" xr:uid="{00000000-0005-0000-0000-000020180000}"/>
    <cellStyle name="Millares 2 5 3 3 2 3 2 2 2 2" xfId="55273" xr:uid="{00000000-0005-0000-0000-000021180000}"/>
    <cellStyle name="Millares 2 5 3 3 2 3 2 2 3" xfId="41711" xr:uid="{00000000-0005-0000-0000-000022180000}"/>
    <cellStyle name="Millares 2 5 3 3 2 3 2 3" xfId="21359" xr:uid="{00000000-0005-0000-0000-000023180000}"/>
    <cellStyle name="Millares 2 5 3 3 2 3 2 3 2" xfId="48492" xr:uid="{00000000-0005-0000-0000-000024180000}"/>
    <cellStyle name="Millares 2 5 3 3 2 3 2 4" xfId="34930" xr:uid="{00000000-0005-0000-0000-000025180000}"/>
    <cellStyle name="Millares 2 5 3 3 2 3 3" xfId="11183" xr:uid="{00000000-0005-0000-0000-000026180000}"/>
    <cellStyle name="Millares 2 5 3 3 2 3 3 2" xfId="24751" xr:uid="{00000000-0005-0000-0000-000027180000}"/>
    <cellStyle name="Millares 2 5 3 3 2 3 3 2 2" xfId="51884" xr:uid="{00000000-0005-0000-0000-000028180000}"/>
    <cellStyle name="Millares 2 5 3 3 2 3 3 3" xfId="38322" xr:uid="{00000000-0005-0000-0000-000029180000}"/>
    <cellStyle name="Millares 2 5 3 3 2 3 4" xfId="17970" xr:uid="{00000000-0005-0000-0000-00002A180000}"/>
    <cellStyle name="Millares 2 5 3 3 2 3 4 2" xfId="45103" xr:uid="{00000000-0005-0000-0000-00002B180000}"/>
    <cellStyle name="Millares 2 5 3 3 2 3 5" xfId="31541" xr:uid="{00000000-0005-0000-0000-00002C180000}"/>
    <cellStyle name="Millares 2 5 3 3 2 4" xfId="7780" xr:uid="{00000000-0005-0000-0000-00002D180000}"/>
    <cellStyle name="Millares 2 5 3 3 2 4 2" xfId="14570" xr:uid="{00000000-0005-0000-0000-00002E180000}"/>
    <cellStyle name="Millares 2 5 3 3 2 4 2 2" xfId="28138" xr:uid="{00000000-0005-0000-0000-00002F180000}"/>
    <cellStyle name="Millares 2 5 3 3 2 4 2 2 2" xfId="55271" xr:uid="{00000000-0005-0000-0000-000030180000}"/>
    <cellStyle name="Millares 2 5 3 3 2 4 2 3" xfId="41709" xr:uid="{00000000-0005-0000-0000-000031180000}"/>
    <cellStyle name="Millares 2 5 3 3 2 4 3" xfId="21357" xr:uid="{00000000-0005-0000-0000-000032180000}"/>
    <cellStyle name="Millares 2 5 3 3 2 4 3 2" xfId="48490" xr:uid="{00000000-0005-0000-0000-000033180000}"/>
    <cellStyle name="Millares 2 5 3 3 2 4 4" xfId="34928" xr:uid="{00000000-0005-0000-0000-000034180000}"/>
    <cellStyle name="Millares 2 5 3 3 2 5" xfId="11181" xr:uid="{00000000-0005-0000-0000-000035180000}"/>
    <cellStyle name="Millares 2 5 3 3 2 5 2" xfId="24749" xr:uid="{00000000-0005-0000-0000-000036180000}"/>
    <cellStyle name="Millares 2 5 3 3 2 5 2 2" xfId="51882" xr:uid="{00000000-0005-0000-0000-000037180000}"/>
    <cellStyle name="Millares 2 5 3 3 2 5 3" xfId="38320" xr:uid="{00000000-0005-0000-0000-000038180000}"/>
    <cellStyle name="Millares 2 5 3 3 2 6" xfId="17968" xr:uid="{00000000-0005-0000-0000-000039180000}"/>
    <cellStyle name="Millares 2 5 3 3 2 6 2" xfId="45101" xr:uid="{00000000-0005-0000-0000-00003A180000}"/>
    <cellStyle name="Millares 2 5 3 3 2 7" xfId="31539" xr:uid="{00000000-0005-0000-0000-00003B180000}"/>
    <cellStyle name="Millares 2 5 3 3 3" xfId="4173" xr:uid="{00000000-0005-0000-0000-00003C180000}"/>
    <cellStyle name="Millares 2 5 3 3 3 2" xfId="4174" xr:uid="{00000000-0005-0000-0000-00003D180000}"/>
    <cellStyle name="Millares 2 5 3 3 3 2 2" xfId="7784" xr:uid="{00000000-0005-0000-0000-00003E180000}"/>
    <cellStyle name="Millares 2 5 3 3 3 2 2 2" xfId="14574" xr:uid="{00000000-0005-0000-0000-00003F180000}"/>
    <cellStyle name="Millares 2 5 3 3 3 2 2 2 2" xfId="28142" xr:uid="{00000000-0005-0000-0000-000040180000}"/>
    <cellStyle name="Millares 2 5 3 3 3 2 2 2 2 2" xfId="55275" xr:uid="{00000000-0005-0000-0000-000041180000}"/>
    <cellStyle name="Millares 2 5 3 3 3 2 2 2 3" xfId="41713" xr:uid="{00000000-0005-0000-0000-000042180000}"/>
    <cellStyle name="Millares 2 5 3 3 3 2 2 3" xfId="21361" xr:uid="{00000000-0005-0000-0000-000043180000}"/>
    <cellStyle name="Millares 2 5 3 3 3 2 2 3 2" xfId="48494" xr:uid="{00000000-0005-0000-0000-000044180000}"/>
    <cellStyle name="Millares 2 5 3 3 3 2 2 4" xfId="34932" xr:uid="{00000000-0005-0000-0000-000045180000}"/>
    <cellStyle name="Millares 2 5 3 3 3 2 3" xfId="11185" xr:uid="{00000000-0005-0000-0000-000046180000}"/>
    <cellStyle name="Millares 2 5 3 3 3 2 3 2" xfId="24753" xr:uid="{00000000-0005-0000-0000-000047180000}"/>
    <cellStyle name="Millares 2 5 3 3 3 2 3 2 2" xfId="51886" xr:uid="{00000000-0005-0000-0000-000048180000}"/>
    <cellStyle name="Millares 2 5 3 3 3 2 3 3" xfId="38324" xr:uid="{00000000-0005-0000-0000-000049180000}"/>
    <cellStyle name="Millares 2 5 3 3 3 2 4" xfId="17972" xr:uid="{00000000-0005-0000-0000-00004A180000}"/>
    <cellStyle name="Millares 2 5 3 3 3 2 4 2" xfId="45105" xr:uid="{00000000-0005-0000-0000-00004B180000}"/>
    <cellStyle name="Millares 2 5 3 3 3 2 5" xfId="31543" xr:uid="{00000000-0005-0000-0000-00004C180000}"/>
    <cellStyle name="Millares 2 5 3 3 3 3" xfId="7783" xr:uid="{00000000-0005-0000-0000-00004D180000}"/>
    <cellStyle name="Millares 2 5 3 3 3 3 2" xfId="14573" xr:uid="{00000000-0005-0000-0000-00004E180000}"/>
    <cellStyle name="Millares 2 5 3 3 3 3 2 2" xfId="28141" xr:uid="{00000000-0005-0000-0000-00004F180000}"/>
    <cellStyle name="Millares 2 5 3 3 3 3 2 2 2" xfId="55274" xr:uid="{00000000-0005-0000-0000-000050180000}"/>
    <cellStyle name="Millares 2 5 3 3 3 3 2 3" xfId="41712" xr:uid="{00000000-0005-0000-0000-000051180000}"/>
    <cellStyle name="Millares 2 5 3 3 3 3 3" xfId="21360" xr:uid="{00000000-0005-0000-0000-000052180000}"/>
    <cellStyle name="Millares 2 5 3 3 3 3 3 2" xfId="48493" xr:uid="{00000000-0005-0000-0000-000053180000}"/>
    <cellStyle name="Millares 2 5 3 3 3 3 4" xfId="34931" xr:uid="{00000000-0005-0000-0000-000054180000}"/>
    <cellStyle name="Millares 2 5 3 3 3 4" xfId="11184" xr:uid="{00000000-0005-0000-0000-000055180000}"/>
    <cellStyle name="Millares 2 5 3 3 3 4 2" xfId="24752" xr:uid="{00000000-0005-0000-0000-000056180000}"/>
    <cellStyle name="Millares 2 5 3 3 3 4 2 2" xfId="51885" xr:uid="{00000000-0005-0000-0000-000057180000}"/>
    <cellStyle name="Millares 2 5 3 3 3 4 3" xfId="38323" xr:uid="{00000000-0005-0000-0000-000058180000}"/>
    <cellStyle name="Millares 2 5 3 3 3 5" xfId="17971" xr:uid="{00000000-0005-0000-0000-000059180000}"/>
    <cellStyle name="Millares 2 5 3 3 3 5 2" xfId="45104" xr:uid="{00000000-0005-0000-0000-00005A180000}"/>
    <cellStyle name="Millares 2 5 3 3 3 6" xfId="31542" xr:uid="{00000000-0005-0000-0000-00005B180000}"/>
    <cellStyle name="Millares 2 5 3 3 4" xfId="4175" xr:uid="{00000000-0005-0000-0000-00005C180000}"/>
    <cellStyle name="Millares 2 5 3 3 4 2" xfId="7785" xr:uid="{00000000-0005-0000-0000-00005D180000}"/>
    <cellStyle name="Millares 2 5 3 3 4 2 2" xfId="14575" xr:uid="{00000000-0005-0000-0000-00005E180000}"/>
    <cellStyle name="Millares 2 5 3 3 4 2 2 2" xfId="28143" xr:uid="{00000000-0005-0000-0000-00005F180000}"/>
    <cellStyle name="Millares 2 5 3 3 4 2 2 2 2" xfId="55276" xr:uid="{00000000-0005-0000-0000-000060180000}"/>
    <cellStyle name="Millares 2 5 3 3 4 2 2 3" xfId="41714" xr:uid="{00000000-0005-0000-0000-000061180000}"/>
    <cellStyle name="Millares 2 5 3 3 4 2 3" xfId="21362" xr:uid="{00000000-0005-0000-0000-000062180000}"/>
    <cellStyle name="Millares 2 5 3 3 4 2 3 2" xfId="48495" xr:uid="{00000000-0005-0000-0000-000063180000}"/>
    <cellStyle name="Millares 2 5 3 3 4 2 4" xfId="34933" xr:uid="{00000000-0005-0000-0000-000064180000}"/>
    <cellStyle name="Millares 2 5 3 3 4 3" xfId="11186" xr:uid="{00000000-0005-0000-0000-000065180000}"/>
    <cellStyle name="Millares 2 5 3 3 4 3 2" xfId="24754" xr:uid="{00000000-0005-0000-0000-000066180000}"/>
    <cellStyle name="Millares 2 5 3 3 4 3 2 2" xfId="51887" xr:uid="{00000000-0005-0000-0000-000067180000}"/>
    <cellStyle name="Millares 2 5 3 3 4 3 3" xfId="38325" xr:uid="{00000000-0005-0000-0000-000068180000}"/>
    <cellStyle name="Millares 2 5 3 3 4 4" xfId="17973" xr:uid="{00000000-0005-0000-0000-000069180000}"/>
    <cellStyle name="Millares 2 5 3 3 4 4 2" xfId="45106" xr:uid="{00000000-0005-0000-0000-00006A180000}"/>
    <cellStyle name="Millares 2 5 3 3 4 5" xfId="31544" xr:uid="{00000000-0005-0000-0000-00006B180000}"/>
    <cellStyle name="Millares 2 5 3 3 5" xfId="4176" xr:uid="{00000000-0005-0000-0000-00006C180000}"/>
    <cellStyle name="Millares 2 5 3 3 5 2" xfId="7786" xr:uid="{00000000-0005-0000-0000-00006D180000}"/>
    <cellStyle name="Millares 2 5 3 3 5 2 2" xfId="14576" xr:uid="{00000000-0005-0000-0000-00006E180000}"/>
    <cellStyle name="Millares 2 5 3 3 5 2 2 2" xfId="28144" xr:uid="{00000000-0005-0000-0000-00006F180000}"/>
    <cellStyle name="Millares 2 5 3 3 5 2 2 2 2" xfId="55277" xr:uid="{00000000-0005-0000-0000-000070180000}"/>
    <cellStyle name="Millares 2 5 3 3 5 2 2 3" xfId="41715" xr:uid="{00000000-0005-0000-0000-000071180000}"/>
    <cellStyle name="Millares 2 5 3 3 5 2 3" xfId="21363" xr:uid="{00000000-0005-0000-0000-000072180000}"/>
    <cellStyle name="Millares 2 5 3 3 5 2 3 2" xfId="48496" xr:uid="{00000000-0005-0000-0000-000073180000}"/>
    <cellStyle name="Millares 2 5 3 3 5 2 4" xfId="34934" xr:uid="{00000000-0005-0000-0000-000074180000}"/>
    <cellStyle name="Millares 2 5 3 3 5 3" xfId="11187" xr:uid="{00000000-0005-0000-0000-000075180000}"/>
    <cellStyle name="Millares 2 5 3 3 5 3 2" xfId="24755" xr:uid="{00000000-0005-0000-0000-000076180000}"/>
    <cellStyle name="Millares 2 5 3 3 5 3 2 2" xfId="51888" xr:uid="{00000000-0005-0000-0000-000077180000}"/>
    <cellStyle name="Millares 2 5 3 3 5 3 3" xfId="38326" xr:uid="{00000000-0005-0000-0000-000078180000}"/>
    <cellStyle name="Millares 2 5 3 3 5 4" xfId="17974" xr:uid="{00000000-0005-0000-0000-000079180000}"/>
    <cellStyle name="Millares 2 5 3 3 5 4 2" xfId="45107" xr:uid="{00000000-0005-0000-0000-00007A180000}"/>
    <cellStyle name="Millares 2 5 3 3 5 5" xfId="31545" xr:uid="{00000000-0005-0000-0000-00007B180000}"/>
    <cellStyle name="Millares 2 5 3 3 6" xfId="7779" xr:uid="{00000000-0005-0000-0000-00007C180000}"/>
    <cellStyle name="Millares 2 5 3 3 6 2" xfId="14569" xr:uid="{00000000-0005-0000-0000-00007D180000}"/>
    <cellStyle name="Millares 2 5 3 3 6 2 2" xfId="28137" xr:uid="{00000000-0005-0000-0000-00007E180000}"/>
    <cellStyle name="Millares 2 5 3 3 6 2 2 2" xfId="55270" xr:uid="{00000000-0005-0000-0000-00007F180000}"/>
    <cellStyle name="Millares 2 5 3 3 6 2 3" xfId="41708" xr:uid="{00000000-0005-0000-0000-000080180000}"/>
    <cellStyle name="Millares 2 5 3 3 6 3" xfId="21356" xr:uid="{00000000-0005-0000-0000-000081180000}"/>
    <cellStyle name="Millares 2 5 3 3 6 3 2" xfId="48489" xr:uid="{00000000-0005-0000-0000-000082180000}"/>
    <cellStyle name="Millares 2 5 3 3 6 4" xfId="34927" xr:uid="{00000000-0005-0000-0000-000083180000}"/>
    <cellStyle name="Millares 2 5 3 3 7" xfId="11180" xr:uid="{00000000-0005-0000-0000-000084180000}"/>
    <cellStyle name="Millares 2 5 3 3 7 2" xfId="24748" xr:uid="{00000000-0005-0000-0000-000085180000}"/>
    <cellStyle name="Millares 2 5 3 3 7 2 2" xfId="51881" xr:uid="{00000000-0005-0000-0000-000086180000}"/>
    <cellStyle name="Millares 2 5 3 3 7 3" xfId="38319" xr:uid="{00000000-0005-0000-0000-000087180000}"/>
    <cellStyle name="Millares 2 5 3 3 8" xfId="17967" xr:uid="{00000000-0005-0000-0000-000088180000}"/>
    <cellStyle name="Millares 2 5 3 3 8 2" xfId="45100" xr:uid="{00000000-0005-0000-0000-000089180000}"/>
    <cellStyle name="Millares 2 5 3 3 9" xfId="31538" xr:uid="{00000000-0005-0000-0000-00008A180000}"/>
    <cellStyle name="Millares 2 5 3 4" xfId="4177" xr:uid="{00000000-0005-0000-0000-00008B180000}"/>
    <cellStyle name="Millares 2 5 3 4 2" xfId="4178" xr:uid="{00000000-0005-0000-0000-00008C180000}"/>
    <cellStyle name="Millares 2 5 3 4 2 2" xfId="4179" xr:uid="{00000000-0005-0000-0000-00008D180000}"/>
    <cellStyle name="Millares 2 5 3 4 2 2 2" xfId="7789" xr:uid="{00000000-0005-0000-0000-00008E180000}"/>
    <cellStyle name="Millares 2 5 3 4 2 2 2 2" xfId="14579" xr:uid="{00000000-0005-0000-0000-00008F180000}"/>
    <cellStyle name="Millares 2 5 3 4 2 2 2 2 2" xfId="28147" xr:uid="{00000000-0005-0000-0000-000090180000}"/>
    <cellStyle name="Millares 2 5 3 4 2 2 2 2 2 2" xfId="55280" xr:uid="{00000000-0005-0000-0000-000091180000}"/>
    <cellStyle name="Millares 2 5 3 4 2 2 2 2 3" xfId="41718" xr:uid="{00000000-0005-0000-0000-000092180000}"/>
    <cellStyle name="Millares 2 5 3 4 2 2 2 3" xfId="21366" xr:uid="{00000000-0005-0000-0000-000093180000}"/>
    <cellStyle name="Millares 2 5 3 4 2 2 2 3 2" xfId="48499" xr:uid="{00000000-0005-0000-0000-000094180000}"/>
    <cellStyle name="Millares 2 5 3 4 2 2 2 4" xfId="34937" xr:uid="{00000000-0005-0000-0000-000095180000}"/>
    <cellStyle name="Millares 2 5 3 4 2 2 3" xfId="11190" xr:uid="{00000000-0005-0000-0000-000096180000}"/>
    <cellStyle name="Millares 2 5 3 4 2 2 3 2" xfId="24758" xr:uid="{00000000-0005-0000-0000-000097180000}"/>
    <cellStyle name="Millares 2 5 3 4 2 2 3 2 2" xfId="51891" xr:uid="{00000000-0005-0000-0000-000098180000}"/>
    <cellStyle name="Millares 2 5 3 4 2 2 3 3" xfId="38329" xr:uid="{00000000-0005-0000-0000-000099180000}"/>
    <cellStyle name="Millares 2 5 3 4 2 2 4" xfId="17977" xr:uid="{00000000-0005-0000-0000-00009A180000}"/>
    <cellStyle name="Millares 2 5 3 4 2 2 4 2" xfId="45110" xr:uid="{00000000-0005-0000-0000-00009B180000}"/>
    <cellStyle name="Millares 2 5 3 4 2 2 5" xfId="31548" xr:uid="{00000000-0005-0000-0000-00009C180000}"/>
    <cellStyle name="Millares 2 5 3 4 2 3" xfId="4180" xr:uid="{00000000-0005-0000-0000-00009D180000}"/>
    <cellStyle name="Millares 2 5 3 4 2 3 2" xfId="7790" xr:uid="{00000000-0005-0000-0000-00009E180000}"/>
    <cellStyle name="Millares 2 5 3 4 2 3 2 2" xfId="14580" xr:uid="{00000000-0005-0000-0000-00009F180000}"/>
    <cellStyle name="Millares 2 5 3 4 2 3 2 2 2" xfId="28148" xr:uid="{00000000-0005-0000-0000-0000A0180000}"/>
    <cellStyle name="Millares 2 5 3 4 2 3 2 2 2 2" xfId="55281" xr:uid="{00000000-0005-0000-0000-0000A1180000}"/>
    <cellStyle name="Millares 2 5 3 4 2 3 2 2 3" xfId="41719" xr:uid="{00000000-0005-0000-0000-0000A2180000}"/>
    <cellStyle name="Millares 2 5 3 4 2 3 2 3" xfId="21367" xr:uid="{00000000-0005-0000-0000-0000A3180000}"/>
    <cellStyle name="Millares 2 5 3 4 2 3 2 3 2" xfId="48500" xr:uid="{00000000-0005-0000-0000-0000A4180000}"/>
    <cellStyle name="Millares 2 5 3 4 2 3 2 4" xfId="34938" xr:uid="{00000000-0005-0000-0000-0000A5180000}"/>
    <cellStyle name="Millares 2 5 3 4 2 3 3" xfId="11191" xr:uid="{00000000-0005-0000-0000-0000A6180000}"/>
    <cellStyle name="Millares 2 5 3 4 2 3 3 2" xfId="24759" xr:uid="{00000000-0005-0000-0000-0000A7180000}"/>
    <cellStyle name="Millares 2 5 3 4 2 3 3 2 2" xfId="51892" xr:uid="{00000000-0005-0000-0000-0000A8180000}"/>
    <cellStyle name="Millares 2 5 3 4 2 3 3 3" xfId="38330" xr:uid="{00000000-0005-0000-0000-0000A9180000}"/>
    <cellStyle name="Millares 2 5 3 4 2 3 4" xfId="17978" xr:uid="{00000000-0005-0000-0000-0000AA180000}"/>
    <cellStyle name="Millares 2 5 3 4 2 3 4 2" xfId="45111" xr:uid="{00000000-0005-0000-0000-0000AB180000}"/>
    <cellStyle name="Millares 2 5 3 4 2 3 5" xfId="31549" xr:uid="{00000000-0005-0000-0000-0000AC180000}"/>
    <cellStyle name="Millares 2 5 3 4 2 4" xfId="7788" xr:uid="{00000000-0005-0000-0000-0000AD180000}"/>
    <cellStyle name="Millares 2 5 3 4 2 4 2" xfId="14578" xr:uid="{00000000-0005-0000-0000-0000AE180000}"/>
    <cellStyle name="Millares 2 5 3 4 2 4 2 2" xfId="28146" xr:uid="{00000000-0005-0000-0000-0000AF180000}"/>
    <cellStyle name="Millares 2 5 3 4 2 4 2 2 2" xfId="55279" xr:uid="{00000000-0005-0000-0000-0000B0180000}"/>
    <cellStyle name="Millares 2 5 3 4 2 4 2 3" xfId="41717" xr:uid="{00000000-0005-0000-0000-0000B1180000}"/>
    <cellStyle name="Millares 2 5 3 4 2 4 3" xfId="21365" xr:uid="{00000000-0005-0000-0000-0000B2180000}"/>
    <cellStyle name="Millares 2 5 3 4 2 4 3 2" xfId="48498" xr:uid="{00000000-0005-0000-0000-0000B3180000}"/>
    <cellStyle name="Millares 2 5 3 4 2 4 4" xfId="34936" xr:uid="{00000000-0005-0000-0000-0000B4180000}"/>
    <cellStyle name="Millares 2 5 3 4 2 5" xfId="11189" xr:uid="{00000000-0005-0000-0000-0000B5180000}"/>
    <cellStyle name="Millares 2 5 3 4 2 5 2" xfId="24757" xr:uid="{00000000-0005-0000-0000-0000B6180000}"/>
    <cellStyle name="Millares 2 5 3 4 2 5 2 2" xfId="51890" xr:uid="{00000000-0005-0000-0000-0000B7180000}"/>
    <cellStyle name="Millares 2 5 3 4 2 5 3" xfId="38328" xr:uid="{00000000-0005-0000-0000-0000B8180000}"/>
    <cellStyle name="Millares 2 5 3 4 2 6" xfId="17976" xr:uid="{00000000-0005-0000-0000-0000B9180000}"/>
    <cellStyle name="Millares 2 5 3 4 2 6 2" xfId="45109" xr:uid="{00000000-0005-0000-0000-0000BA180000}"/>
    <cellStyle name="Millares 2 5 3 4 2 7" xfId="31547" xr:uid="{00000000-0005-0000-0000-0000BB180000}"/>
    <cellStyle name="Millares 2 5 3 4 3" xfId="4181" xr:uid="{00000000-0005-0000-0000-0000BC180000}"/>
    <cellStyle name="Millares 2 5 3 4 3 2" xfId="7791" xr:uid="{00000000-0005-0000-0000-0000BD180000}"/>
    <cellStyle name="Millares 2 5 3 4 3 2 2" xfId="14581" xr:uid="{00000000-0005-0000-0000-0000BE180000}"/>
    <cellStyle name="Millares 2 5 3 4 3 2 2 2" xfId="28149" xr:uid="{00000000-0005-0000-0000-0000BF180000}"/>
    <cellStyle name="Millares 2 5 3 4 3 2 2 2 2" xfId="55282" xr:uid="{00000000-0005-0000-0000-0000C0180000}"/>
    <cellStyle name="Millares 2 5 3 4 3 2 2 3" xfId="41720" xr:uid="{00000000-0005-0000-0000-0000C1180000}"/>
    <cellStyle name="Millares 2 5 3 4 3 2 3" xfId="21368" xr:uid="{00000000-0005-0000-0000-0000C2180000}"/>
    <cellStyle name="Millares 2 5 3 4 3 2 3 2" xfId="48501" xr:uid="{00000000-0005-0000-0000-0000C3180000}"/>
    <cellStyle name="Millares 2 5 3 4 3 2 4" xfId="34939" xr:uid="{00000000-0005-0000-0000-0000C4180000}"/>
    <cellStyle name="Millares 2 5 3 4 3 3" xfId="11192" xr:uid="{00000000-0005-0000-0000-0000C5180000}"/>
    <cellStyle name="Millares 2 5 3 4 3 3 2" xfId="24760" xr:uid="{00000000-0005-0000-0000-0000C6180000}"/>
    <cellStyle name="Millares 2 5 3 4 3 3 2 2" xfId="51893" xr:uid="{00000000-0005-0000-0000-0000C7180000}"/>
    <cellStyle name="Millares 2 5 3 4 3 3 3" xfId="38331" xr:uid="{00000000-0005-0000-0000-0000C8180000}"/>
    <cellStyle name="Millares 2 5 3 4 3 4" xfId="17979" xr:uid="{00000000-0005-0000-0000-0000C9180000}"/>
    <cellStyle name="Millares 2 5 3 4 3 4 2" xfId="45112" xr:uid="{00000000-0005-0000-0000-0000CA180000}"/>
    <cellStyle name="Millares 2 5 3 4 3 5" xfId="31550" xr:uid="{00000000-0005-0000-0000-0000CB180000}"/>
    <cellStyle name="Millares 2 5 3 4 4" xfId="4182" xr:uid="{00000000-0005-0000-0000-0000CC180000}"/>
    <cellStyle name="Millares 2 5 3 4 4 2" xfId="7792" xr:uid="{00000000-0005-0000-0000-0000CD180000}"/>
    <cellStyle name="Millares 2 5 3 4 4 2 2" xfId="14582" xr:uid="{00000000-0005-0000-0000-0000CE180000}"/>
    <cellStyle name="Millares 2 5 3 4 4 2 2 2" xfId="28150" xr:uid="{00000000-0005-0000-0000-0000CF180000}"/>
    <cellStyle name="Millares 2 5 3 4 4 2 2 2 2" xfId="55283" xr:uid="{00000000-0005-0000-0000-0000D0180000}"/>
    <cellStyle name="Millares 2 5 3 4 4 2 2 3" xfId="41721" xr:uid="{00000000-0005-0000-0000-0000D1180000}"/>
    <cellStyle name="Millares 2 5 3 4 4 2 3" xfId="21369" xr:uid="{00000000-0005-0000-0000-0000D2180000}"/>
    <cellStyle name="Millares 2 5 3 4 4 2 3 2" xfId="48502" xr:uid="{00000000-0005-0000-0000-0000D3180000}"/>
    <cellStyle name="Millares 2 5 3 4 4 2 4" xfId="34940" xr:uid="{00000000-0005-0000-0000-0000D4180000}"/>
    <cellStyle name="Millares 2 5 3 4 4 3" xfId="11193" xr:uid="{00000000-0005-0000-0000-0000D5180000}"/>
    <cellStyle name="Millares 2 5 3 4 4 3 2" xfId="24761" xr:uid="{00000000-0005-0000-0000-0000D6180000}"/>
    <cellStyle name="Millares 2 5 3 4 4 3 2 2" xfId="51894" xr:uid="{00000000-0005-0000-0000-0000D7180000}"/>
    <cellStyle name="Millares 2 5 3 4 4 3 3" xfId="38332" xr:uid="{00000000-0005-0000-0000-0000D8180000}"/>
    <cellStyle name="Millares 2 5 3 4 4 4" xfId="17980" xr:uid="{00000000-0005-0000-0000-0000D9180000}"/>
    <cellStyle name="Millares 2 5 3 4 4 4 2" xfId="45113" xr:uid="{00000000-0005-0000-0000-0000DA180000}"/>
    <cellStyle name="Millares 2 5 3 4 4 5" xfId="31551" xr:uid="{00000000-0005-0000-0000-0000DB180000}"/>
    <cellStyle name="Millares 2 5 3 4 5" xfId="7787" xr:uid="{00000000-0005-0000-0000-0000DC180000}"/>
    <cellStyle name="Millares 2 5 3 4 5 2" xfId="14577" xr:uid="{00000000-0005-0000-0000-0000DD180000}"/>
    <cellStyle name="Millares 2 5 3 4 5 2 2" xfId="28145" xr:uid="{00000000-0005-0000-0000-0000DE180000}"/>
    <cellStyle name="Millares 2 5 3 4 5 2 2 2" xfId="55278" xr:uid="{00000000-0005-0000-0000-0000DF180000}"/>
    <cellStyle name="Millares 2 5 3 4 5 2 3" xfId="41716" xr:uid="{00000000-0005-0000-0000-0000E0180000}"/>
    <cellStyle name="Millares 2 5 3 4 5 3" xfId="21364" xr:uid="{00000000-0005-0000-0000-0000E1180000}"/>
    <cellStyle name="Millares 2 5 3 4 5 3 2" xfId="48497" xr:uid="{00000000-0005-0000-0000-0000E2180000}"/>
    <cellStyle name="Millares 2 5 3 4 5 4" xfId="34935" xr:uid="{00000000-0005-0000-0000-0000E3180000}"/>
    <cellStyle name="Millares 2 5 3 4 6" xfId="11188" xr:uid="{00000000-0005-0000-0000-0000E4180000}"/>
    <cellStyle name="Millares 2 5 3 4 6 2" xfId="24756" xr:uid="{00000000-0005-0000-0000-0000E5180000}"/>
    <cellStyle name="Millares 2 5 3 4 6 2 2" xfId="51889" xr:uid="{00000000-0005-0000-0000-0000E6180000}"/>
    <cellStyle name="Millares 2 5 3 4 6 3" xfId="38327" xr:uid="{00000000-0005-0000-0000-0000E7180000}"/>
    <cellStyle name="Millares 2 5 3 4 7" xfId="17975" xr:uid="{00000000-0005-0000-0000-0000E8180000}"/>
    <cellStyle name="Millares 2 5 3 4 7 2" xfId="45108" xr:uid="{00000000-0005-0000-0000-0000E9180000}"/>
    <cellStyle name="Millares 2 5 3 4 8" xfId="31546" xr:uid="{00000000-0005-0000-0000-0000EA180000}"/>
    <cellStyle name="Millares 2 5 3 5" xfId="4183" xr:uid="{00000000-0005-0000-0000-0000EB180000}"/>
    <cellStyle name="Millares 2 5 3 5 2" xfId="4184" xr:uid="{00000000-0005-0000-0000-0000EC180000}"/>
    <cellStyle name="Millares 2 5 3 5 2 2" xfId="4185" xr:uid="{00000000-0005-0000-0000-0000ED180000}"/>
    <cellStyle name="Millares 2 5 3 5 2 2 2" xfId="7795" xr:uid="{00000000-0005-0000-0000-0000EE180000}"/>
    <cellStyle name="Millares 2 5 3 5 2 2 2 2" xfId="14585" xr:uid="{00000000-0005-0000-0000-0000EF180000}"/>
    <cellStyle name="Millares 2 5 3 5 2 2 2 2 2" xfId="28153" xr:uid="{00000000-0005-0000-0000-0000F0180000}"/>
    <cellStyle name="Millares 2 5 3 5 2 2 2 2 2 2" xfId="55286" xr:uid="{00000000-0005-0000-0000-0000F1180000}"/>
    <cellStyle name="Millares 2 5 3 5 2 2 2 2 3" xfId="41724" xr:uid="{00000000-0005-0000-0000-0000F2180000}"/>
    <cellStyle name="Millares 2 5 3 5 2 2 2 3" xfId="21372" xr:uid="{00000000-0005-0000-0000-0000F3180000}"/>
    <cellStyle name="Millares 2 5 3 5 2 2 2 3 2" xfId="48505" xr:uid="{00000000-0005-0000-0000-0000F4180000}"/>
    <cellStyle name="Millares 2 5 3 5 2 2 2 4" xfId="34943" xr:uid="{00000000-0005-0000-0000-0000F5180000}"/>
    <cellStyle name="Millares 2 5 3 5 2 2 3" xfId="11196" xr:uid="{00000000-0005-0000-0000-0000F6180000}"/>
    <cellStyle name="Millares 2 5 3 5 2 2 3 2" xfId="24764" xr:uid="{00000000-0005-0000-0000-0000F7180000}"/>
    <cellStyle name="Millares 2 5 3 5 2 2 3 2 2" xfId="51897" xr:uid="{00000000-0005-0000-0000-0000F8180000}"/>
    <cellStyle name="Millares 2 5 3 5 2 2 3 3" xfId="38335" xr:uid="{00000000-0005-0000-0000-0000F9180000}"/>
    <cellStyle name="Millares 2 5 3 5 2 2 4" xfId="17983" xr:uid="{00000000-0005-0000-0000-0000FA180000}"/>
    <cellStyle name="Millares 2 5 3 5 2 2 4 2" xfId="45116" xr:uid="{00000000-0005-0000-0000-0000FB180000}"/>
    <cellStyle name="Millares 2 5 3 5 2 2 5" xfId="31554" xr:uid="{00000000-0005-0000-0000-0000FC180000}"/>
    <cellStyle name="Millares 2 5 3 5 2 3" xfId="4186" xr:uid="{00000000-0005-0000-0000-0000FD180000}"/>
    <cellStyle name="Millares 2 5 3 5 2 3 2" xfId="7796" xr:uid="{00000000-0005-0000-0000-0000FE180000}"/>
    <cellStyle name="Millares 2 5 3 5 2 3 2 2" xfId="14586" xr:uid="{00000000-0005-0000-0000-0000FF180000}"/>
    <cellStyle name="Millares 2 5 3 5 2 3 2 2 2" xfId="28154" xr:uid="{00000000-0005-0000-0000-000000190000}"/>
    <cellStyle name="Millares 2 5 3 5 2 3 2 2 2 2" xfId="55287" xr:uid="{00000000-0005-0000-0000-000001190000}"/>
    <cellStyle name="Millares 2 5 3 5 2 3 2 2 3" xfId="41725" xr:uid="{00000000-0005-0000-0000-000002190000}"/>
    <cellStyle name="Millares 2 5 3 5 2 3 2 3" xfId="21373" xr:uid="{00000000-0005-0000-0000-000003190000}"/>
    <cellStyle name="Millares 2 5 3 5 2 3 2 3 2" xfId="48506" xr:uid="{00000000-0005-0000-0000-000004190000}"/>
    <cellStyle name="Millares 2 5 3 5 2 3 2 4" xfId="34944" xr:uid="{00000000-0005-0000-0000-000005190000}"/>
    <cellStyle name="Millares 2 5 3 5 2 3 3" xfId="11197" xr:uid="{00000000-0005-0000-0000-000006190000}"/>
    <cellStyle name="Millares 2 5 3 5 2 3 3 2" xfId="24765" xr:uid="{00000000-0005-0000-0000-000007190000}"/>
    <cellStyle name="Millares 2 5 3 5 2 3 3 2 2" xfId="51898" xr:uid="{00000000-0005-0000-0000-000008190000}"/>
    <cellStyle name="Millares 2 5 3 5 2 3 3 3" xfId="38336" xr:uid="{00000000-0005-0000-0000-000009190000}"/>
    <cellStyle name="Millares 2 5 3 5 2 3 4" xfId="17984" xr:uid="{00000000-0005-0000-0000-00000A190000}"/>
    <cellStyle name="Millares 2 5 3 5 2 3 4 2" xfId="45117" xr:uid="{00000000-0005-0000-0000-00000B190000}"/>
    <cellStyle name="Millares 2 5 3 5 2 3 5" xfId="31555" xr:uid="{00000000-0005-0000-0000-00000C190000}"/>
    <cellStyle name="Millares 2 5 3 5 2 4" xfId="7794" xr:uid="{00000000-0005-0000-0000-00000D190000}"/>
    <cellStyle name="Millares 2 5 3 5 2 4 2" xfId="14584" xr:uid="{00000000-0005-0000-0000-00000E190000}"/>
    <cellStyle name="Millares 2 5 3 5 2 4 2 2" xfId="28152" xr:uid="{00000000-0005-0000-0000-00000F190000}"/>
    <cellStyle name="Millares 2 5 3 5 2 4 2 2 2" xfId="55285" xr:uid="{00000000-0005-0000-0000-000010190000}"/>
    <cellStyle name="Millares 2 5 3 5 2 4 2 3" xfId="41723" xr:uid="{00000000-0005-0000-0000-000011190000}"/>
    <cellStyle name="Millares 2 5 3 5 2 4 3" xfId="21371" xr:uid="{00000000-0005-0000-0000-000012190000}"/>
    <cellStyle name="Millares 2 5 3 5 2 4 3 2" xfId="48504" xr:uid="{00000000-0005-0000-0000-000013190000}"/>
    <cellStyle name="Millares 2 5 3 5 2 4 4" xfId="34942" xr:uid="{00000000-0005-0000-0000-000014190000}"/>
    <cellStyle name="Millares 2 5 3 5 2 5" xfId="11195" xr:uid="{00000000-0005-0000-0000-000015190000}"/>
    <cellStyle name="Millares 2 5 3 5 2 5 2" xfId="24763" xr:uid="{00000000-0005-0000-0000-000016190000}"/>
    <cellStyle name="Millares 2 5 3 5 2 5 2 2" xfId="51896" xr:uid="{00000000-0005-0000-0000-000017190000}"/>
    <cellStyle name="Millares 2 5 3 5 2 5 3" xfId="38334" xr:uid="{00000000-0005-0000-0000-000018190000}"/>
    <cellStyle name="Millares 2 5 3 5 2 6" xfId="17982" xr:uid="{00000000-0005-0000-0000-000019190000}"/>
    <cellStyle name="Millares 2 5 3 5 2 6 2" xfId="45115" xr:uid="{00000000-0005-0000-0000-00001A190000}"/>
    <cellStyle name="Millares 2 5 3 5 2 7" xfId="31553" xr:uid="{00000000-0005-0000-0000-00001B190000}"/>
    <cellStyle name="Millares 2 5 3 5 3" xfId="4187" xr:uid="{00000000-0005-0000-0000-00001C190000}"/>
    <cellStyle name="Millares 2 5 3 5 3 2" xfId="7797" xr:uid="{00000000-0005-0000-0000-00001D190000}"/>
    <cellStyle name="Millares 2 5 3 5 3 2 2" xfId="14587" xr:uid="{00000000-0005-0000-0000-00001E190000}"/>
    <cellStyle name="Millares 2 5 3 5 3 2 2 2" xfId="28155" xr:uid="{00000000-0005-0000-0000-00001F190000}"/>
    <cellStyle name="Millares 2 5 3 5 3 2 2 2 2" xfId="55288" xr:uid="{00000000-0005-0000-0000-000020190000}"/>
    <cellStyle name="Millares 2 5 3 5 3 2 2 3" xfId="41726" xr:uid="{00000000-0005-0000-0000-000021190000}"/>
    <cellStyle name="Millares 2 5 3 5 3 2 3" xfId="21374" xr:uid="{00000000-0005-0000-0000-000022190000}"/>
    <cellStyle name="Millares 2 5 3 5 3 2 3 2" xfId="48507" xr:uid="{00000000-0005-0000-0000-000023190000}"/>
    <cellStyle name="Millares 2 5 3 5 3 2 4" xfId="34945" xr:uid="{00000000-0005-0000-0000-000024190000}"/>
    <cellStyle name="Millares 2 5 3 5 3 3" xfId="11198" xr:uid="{00000000-0005-0000-0000-000025190000}"/>
    <cellStyle name="Millares 2 5 3 5 3 3 2" xfId="24766" xr:uid="{00000000-0005-0000-0000-000026190000}"/>
    <cellStyle name="Millares 2 5 3 5 3 3 2 2" xfId="51899" xr:uid="{00000000-0005-0000-0000-000027190000}"/>
    <cellStyle name="Millares 2 5 3 5 3 3 3" xfId="38337" xr:uid="{00000000-0005-0000-0000-000028190000}"/>
    <cellStyle name="Millares 2 5 3 5 3 4" xfId="17985" xr:uid="{00000000-0005-0000-0000-000029190000}"/>
    <cellStyle name="Millares 2 5 3 5 3 4 2" xfId="45118" xr:uid="{00000000-0005-0000-0000-00002A190000}"/>
    <cellStyle name="Millares 2 5 3 5 3 5" xfId="31556" xr:uid="{00000000-0005-0000-0000-00002B190000}"/>
    <cellStyle name="Millares 2 5 3 5 4" xfId="4188" xr:uid="{00000000-0005-0000-0000-00002C190000}"/>
    <cellStyle name="Millares 2 5 3 5 4 2" xfId="7798" xr:uid="{00000000-0005-0000-0000-00002D190000}"/>
    <cellStyle name="Millares 2 5 3 5 4 2 2" xfId="14588" xr:uid="{00000000-0005-0000-0000-00002E190000}"/>
    <cellStyle name="Millares 2 5 3 5 4 2 2 2" xfId="28156" xr:uid="{00000000-0005-0000-0000-00002F190000}"/>
    <cellStyle name="Millares 2 5 3 5 4 2 2 2 2" xfId="55289" xr:uid="{00000000-0005-0000-0000-000030190000}"/>
    <cellStyle name="Millares 2 5 3 5 4 2 2 3" xfId="41727" xr:uid="{00000000-0005-0000-0000-000031190000}"/>
    <cellStyle name="Millares 2 5 3 5 4 2 3" xfId="21375" xr:uid="{00000000-0005-0000-0000-000032190000}"/>
    <cellStyle name="Millares 2 5 3 5 4 2 3 2" xfId="48508" xr:uid="{00000000-0005-0000-0000-000033190000}"/>
    <cellStyle name="Millares 2 5 3 5 4 2 4" xfId="34946" xr:uid="{00000000-0005-0000-0000-000034190000}"/>
    <cellStyle name="Millares 2 5 3 5 4 3" xfId="11199" xr:uid="{00000000-0005-0000-0000-000035190000}"/>
    <cellStyle name="Millares 2 5 3 5 4 3 2" xfId="24767" xr:uid="{00000000-0005-0000-0000-000036190000}"/>
    <cellStyle name="Millares 2 5 3 5 4 3 2 2" xfId="51900" xr:uid="{00000000-0005-0000-0000-000037190000}"/>
    <cellStyle name="Millares 2 5 3 5 4 3 3" xfId="38338" xr:uid="{00000000-0005-0000-0000-000038190000}"/>
    <cellStyle name="Millares 2 5 3 5 4 4" xfId="17986" xr:uid="{00000000-0005-0000-0000-000039190000}"/>
    <cellStyle name="Millares 2 5 3 5 4 4 2" xfId="45119" xr:uid="{00000000-0005-0000-0000-00003A190000}"/>
    <cellStyle name="Millares 2 5 3 5 4 5" xfId="31557" xr:uid="{00000000-0005-0000-0000-00003B190000}"/>
    <cellStyle name="Millares 2 5 3 5 5" xfId="7793" xr:uid="{00000000-0005-0000-0000-00003C190000}"/>
    <cellStyle name="Millares 2 5 3 5 5 2" xfId="14583" xr:uid="{00000000-0005-0000-0000-00003D190000}"/>
    <cellStyle name="Millares 2 5 3 5 5 2 2" xfId="28151" xr:uid="{00000000-0005-0000-0000-00003E190000}"/>
    <cellStyle name="Millares 2 5 3 5 5 2 2 2" xfId="55284" xr:uid="{00000000-0005-0000-0000-00003F190000}"/>
    <cellStyle name="Millares 2 5 3 5 5 2 3" xfId="41722" xr:uid="{00000000-0005-0000-0000-000040190000}"/>
    <cellStyle name="Millares 2 5 3 5 5 3" xfId="21370" xr:uid="{00000000-0005-0000-0000-000041190000}"/>
    <cellStyle name="Millares 2 5 3 5 5 3 2" xfId="48503" xr:uid="{00000000-0005-0000-0000-000042190000}"/>
    <cellStyle name="Millares 2 5 3 5 5 4" xfId="34941" xr:uid="{00000000-0005-0000-0000-000043190000}"/>
    <cellStyle name="Millares 2 5 3 5 6" xfId="11194" xr:uid="{00000000-0005-0000-0000-000044190000}"/>
    <cellStyle name="Millares 2 5 3 5 6 2" xfId="24762" xr:uid="{00000000-0005-0000-0000-000045190000}"/>
    <cellStyle name="Millares 2 5 3 5 6 2 2" xfId="51895" xr:uid="{00000000-0005-0000-0000-000046190000}"/>
    <cellStyle name="Millares 2 5 3 5 6 3" xfId="38333" xr:uid="{00000000-0005-0000-0000-000047190000}"/>
    <cellStyle name="Millares 2 5 3 5 7" xfId="17981" xr:uid="{00000000-0005-0000-0000-000048190000}"/>
    <cellStyle name="Millares 2 5 3 5 7 2" xfId="45114" xr:uid="{00000000-0005-0000-0000-000049190000}"/>
    <cellStyle name="Millares 2 5 3 5 8" xfId="31552" xr:uid="{00000000-0005-0000-0000-00004A190000}"/>
    <cellStyle name="Millares 2 5 3 6" xfId="4189" xr:uid="{00000000-0005-0000-0000-00004B190000}"/>
    <cellStyle name="Millares 2 5 3 6 2" xfId="4190" xr:uid="{00000000-0005-0000-0000-00004C190000}"/>
    <cellStyle name="Millares 2 5 3 6 2 2" xfId="7800" xr:uid="{00000000-0005-0000-0000-00004D190000}"/>
    <cellStyle name="Millares 2 5 3 6 2 2 2" xfId="14590" xr:uid="{00000000-0005-0000-0000-00004E190000}"/>
    <cellStyle name="Millares 2 5 3 6 2 2 2 2" xfId="28158" xr:uid="{00000000-0005-0000-0000-00004F190000}"/>
    <cellStyle name="Millares 2 5 3 6 2 2 2 2 2" xfId="55291" xr:uid="{00000000-0005-0000-0000-000050190000}"/>
    <cellStyle name="Millares 2 5 3 6 2 2 2 3" xfId="41729" xr:uid="{00000000-0005-0000-0000-000051190000}"/>
    <cellStyle name="Millares 2 5 3 6 2 2 3" xfId="21377" xr:uid="{00000000-0005-0000-0000-000052190000}"/>
    <cellStyle name="Millares 2 5 3 6 2 2 3 2" xfId="48510" xr:uid="{00000000-0005-0000-0000-000053190000}"/>
    <cellStyle name="Millares 2 5 3 6 2 2 4" xfId="34948" xr:uid="{00000000-0005-0000-0000-000054190000}"/>
    <cellStyle name="Millares 2 5 3 6 2 3" xfId="11201" xr:uid="{00000000-0005-0000-0000-000055190000}"/>
    <cellStyle name="Millares 2 5 3 6 2 3 2" xfId="24769" xr:uid="{00000000-0005-0000-0000-000056190000}"/>
    <cellStyle name="Millares 2 5 3 6 2 3 2 2" xfId="51902" xr:uid="{00000000-0005-0000-0000-000057190000}"/>
    <cellStyle name="Millares 2 5 3 6 2 3 3" xfId="38340" xr:uid="{00000000-0005-0000-0000-000058190000}"/>
    <cellStyle name="Millares 2 5 3 6 2 4" xfId="17988" xr:uid="{00000000-0005-0000-0000-000059190000}"/>
    <cellStyle name="Millares 2 5 3 6 2 4 2" xfId="45121" xr:uid="{00000000-0005-0000-0000-00005A190000}"/>
    <cellStyle name="Millares 2 5 3 6 2 5" xfId="31559" xr:uid="{00000000-0005-0000-0000-00005B190000}"/>
    <cellStyle name="Millares 2 5 3 6 3" xfId="4191" xr:uid="{00000000-0005-0000-0000-00005C190000}"/>
    <cellStyle name="Millares 2 5 3 6 3 2" xfId="7801" xr:uid="{00000000-0005-0000-0000-00005D190000}"/>
    <cellStyle name="Millares 2 5 3 6 3 2 2" xfId="14591" xr:uid="{00000000-0005-0000-0000-00005E190000}"/>
    <cellStyle name="Millares 2 5 3 6 3 2 2 2" xfId="28159" xr:uid="{00000000-0005-0000-0000-00005F190000}"/>
    <cellStyle name="Millares 2 5 3 6 3 2 2 2 2" xfId="55292" xr:uid="{00000000-0005-0000-0000-000060190000}"/>
    <cellStyle name="Millares 2 5 3 6 3 2 2 3" xfId="41730" xr:uid="{00000000-0005-0000-0000-000061190000}"/>
    <cellStyle name="Millares 2 5 3 6 3 2 3" xfId="21378" xr:uid="{00000000-0005-0000-0000-000062190000}"/>
    <cellStyle name="Millares 2 5 3 6 3 2 3 2" xfId="48511" xr:uid="{00000000-0005-0000-0000-000063190000}"/>
    <cellStyle name="Millares 2 5 3 6 3 2 4" xfId="34949" xr:uid="{00000000-0005-0000-0000-000064190000}"/>
    <cellStyle name="Millares 2 5 3 6 3 3" xfId="11202" xr:uid="{00000000-0005-0000-0000-000065190000}"/>
    <cellStyle name="Millares 2 5 3 6 3 3 2" xfId="24770" xr:uid="{00000000-0005-0000-0000-000066190000}"/>
    <cellStyle name="Millares 2 5 3 6 3 3 2 2" xfId="51903" xr:uid="{00000000-0005-0000-0000-000067190000}"/>
    <cellStyle name="Millares 2 5 3 6 3 3 3" xfId="38341" xr:uid="{00000000-0005-0000-0000-000068190000}"/>
    <cellStyle name="Millares 2 5 3 6 3 4" xfId="17989" xr:uid="{00000000-0005-0000-0000-000069190000}"/>
    <cellStyle name="Millares 2 5 3 6 3 4 2" xfId="45122" xr:uid="{00000000-0005-0000-0000-00006A190000}"/>
    <cellStyle name="Millares 2 5 3 6 3 5" xfId="31560" xr:uid="{00000000-0005-0000-0000-00006B190000}"/>
    <cellStyle name="Millares 2 5 3 6 4" xfId="7799" xr:uid="{00000000-0005-0000-0000-00006C190000}"/>
    <cellStyle name="Millares 2 5 3 6 4 2" xfId="14589" xr:uid="{00000000-0005-0000-0000-00006D190000}"/>
    <cellStyle name="Millares 2 5 3 6 4 2 2" xfId="28157" xr:uid="{00000000-0005-0000-0000-00006E190000}"/>
    <cellStyle name="Millares 2 5 3 6 4 2 2 2" xfId="55290" xr:uid="{00000000-0005-0000-0000-00006F190000}"/>
    <cellStyle name="Millares 2 5 3 6 4 2 3" xfId="41728" xr:uid="{00000000-0005-0000-0000-000070190000}"/>
    <cellStyle name="Millares 2 5 3 6 4 3" xfId="21376" xr:uid="{00000000-0005-0000-0000-000071190000}"/>
    <cellStyle name="Millares 2 5 3 6 4 3 2" xfId="48509" xr:uid="{00000000-0005-0000-0000-000072190000}"/>
    <cellStyle name="Millares 2 5 3 6 4 4" xfId="34947" xr:uid="{00000000-0005-0000-0000-000073190000}"/>
    <cellStyle name="Millares 2 5 3 6 5" xfId="11200" xr:uid="{00000000-0005-0000-0000-000074190000}"/>
    <cellStyle name="Millares 2 5 3 6 5 2" xfId="24768" xr:uid="{00000000-0005-0000-0000-000075190000}"/>
    <cellStyle name="Millares 2 5 3 6 5 2 2" xfId="51901" xr:uid="{00000000-0005-0000-0000-000076190000}"/>
    <cellStyle name="Millares 2 5 3 6 5 3" xfId="38339" xr:uid="{00000000-0005-0000-0000-000077190000}"/>
    <cellStyle name="Millares 2 5 3 6 6" xfId="17987" xr:uid="{00000000-0005-0000-0000-000078190000}"/>
    <cellStyle name="Millares 2 5 3 6 6 2" xfId="45120" xr:uid="{00000000-0005-0000-0000-000079190000}"/>
    <cellStyle name="Millares 2 5 3 6 7" xfId="31558" xr:uid="{00000000-0005-0000-0000-00007A190000}"/>
    <cellStyle name="Millares 2 5 3 7" xfId="4192" xr:uid="{00000000-0005-0000-0000-00007B190000}"/>
    <cellStyle name="Millares 2 5 3 7 2" xfId="4193" xr:uid="{00000000-0005-0000-0000-00007C190000}"/>
    <cellStyle name="Millares 2 5 3 7 2 2" xfId="7803" xr:uid="{00000000-0005-0000-0000-00007D190000}"/>
    <cellStyle name="Millares 2 5 3 7 2 2 2" xfId="14593" xr:uid="{00000000-0005-0000-0000-00007E190000}"/>
    <cellStyle name="Millares 2 5 3 7 2 2 2 2" xfId="28161" xr:uid="{00000000-0005-0000-0000-00007F190000}"/>
    <cellStyle name="Millares 2 5 3 7 2 2 2 2 2" xfId="55294" xr:uid="{00000000-0005-0000-0000-000080190000}"/>
    <cellStyle name="Millares 2 5 3 7 2 2 2 3" xfId="41732" xr:uid="{00000000-0005-0000-0000-000081190000}"/>
    <cellStyle name="Millares 2 5 3 7 2 2 3" xfId="21380" xr:uid="{00000000-0005-0000-0000-000082190000}"/>
    <cellStyle name="Millares 2 5 3 7 2 2 3 2" xfId="48513" xr:uid="{00000000-0005-0000-0000-000083190000}"/>
    <cellStyle name="Millares 2 5 3 7 2 2 4" xfId="34951" xr:uid="{00000000-0005-0000-0000-000084190000}"/>
    <cellStyle name="Millares 2 5 3 7 2 3" xfId="11204" xr:uid="{00000000-0005-0000-0000-000085190000}"/>
    <cellStyle name="Millares 2 5 3 7 2 3 2" xfId="24772" xr:uid="{00000000-0005-0000-0000-000086190000}"/>
    <cellStyle name="Millares 2 5 3 7 2 3 2 2" xfId="51905" xr:uid="{00000000-0005-0000-0000-000087190000}"/>
    <cellStyle name="Millares 2 5 3 7 2 3 3" xfId="38343" xr:uid="{00000000-0005-0000-0000-000088190000}"/>
    <cellStyle name="Millares 2 5 3 7 2 4" xfId="17991" xr:uid="{00000000-0005-0000-0000-000089190000}"/>
    <cellStyle name="Millares 2 5 3 7 2 4 2" xfId="45124" xr:uid="{00000000-0005-0000-0000-00008A190000}"/>
    <cellStyle name="Millares 2 5 3 7 2 5" xfId="31562" xr:uid="{00000000-0005-0000-0000-00008B190000}"/>
    <cellStyle name="Millares 2 5 3 7 3" xfId="7802" xr:uid="{00000000-0005-0000-0000-00008C190000}"/>
    <cellStyle name="Millares 2 5 3 7 3 2" xfId="14592" xr:uid="{00000000-0005-0000-0000-00008D190000}"/>
    <cellStyle name="Millares 2 5 3 7 3 2 2" xfId="28160" xr:uid="{00000000-0005-0000-0000-00008E190000}"/>
    <cellStyle name="Millares 2 5 3 7 3 2 2 2" xfId="55293" xr:uid="{00000000-0005-0000-0000-00008F190000}"/>
    <cellStyle name="Millares 2 5 3 7 3 2 3" xfId="41731" xr:uid="{00000000-0005-0000-0000-000090190000}"/>
    <cellStyle name="Millares 2 5 3 7 3 3" xfId="21379" xr:uid="{00000000-0005-0000-0000-000091190000}"/>
    <cellStyle name="Millares 2 5 3 7 3 3 2" xfId="48512" xr:uid="{00000000-0005-0000-0000-000092190000}"/>
    <cellStyle name="Millares 2 5 3 7 3 4" xfId="34950" xr:uid="{00000000-0005-0000-0000-000093190000}"/>
    <cellStyle name="Millares 2 5 3 7 4" xfId="11203" xr:uid="{00000000-0005-0000-0000-000094190000}"/>
    <cellStyle name="Millares 2 5 3 7 4 2" xfId="24771" xr:uid="{00000000-0005-0000-0000-000095190000}"/>
    <cellStyle name="Millares 2 5 3 7 4 2 2" xfId="51904" xr:uid="{00000000-0005-0000-0000-000096190000}"/>
    <cellStyle name="Millares 2 5 3 7 4 3" xfId="38342" xr:uid="{00000000-0005-0000-0000-000097190000}"/>
    <cellStyle name="Millares 2 5 3 7 5" xfId="17990" xr:uid="{00000000-0005-0000-0000-000098190000}"/>
    <cellStyle name="Millares 2 5 3 7 5 2" xfId="45123" xr:uid="{00000000-0005-0000-0000-000099190000}"/>
    <cellStyle name="Millares 2 5 3 7 6" xfId="31561" xr:uid="{00000000-0005-0000-0000-00009A190000}"/>
    <cellStyle name="Millares 2 5 3 8" xfId="4194" xr:uid="{00000000-0005-0000-0000-00009B190000}"/>
    <cellStyle name="Millares 2 5 3 8 2" xfId="7804" xr:uid="{00000000-0005-0000-0000-00009C190000}"/>
    <cellStyle name="Millares 2 5 3 8 2 2" xfId="14594" xr:uid="{00000000-0005-0000-0000-00009D190000}"/>
    <cellStyle name="Millares 2 5 3 8 2 2 2" xfId="28162" xr:uid="{00000000-0005-0000-0000-00009E190000}"/>
    <cellStyle name="Millares 2 5 3 8 2 2 2 2" xfId="55295" xr:uid="{00000000-0005-0000-0000-00009F190000}"/>
    <cellStyle name="Millares 2 5 3 8 2 2 3" xfId="41733" xr:uid="{00000000-0005-0000-0000-0000A0190000}"/>
    <cellStyle name="Millares 2 5 3 8 2 3" xfId="21381" xr:uid="{00000000-0005-0000-0000-0000A1190000}"/>
    <cellStyle name="Millares 2 5 3 8 2 3 2" xfId="48514" xr:uid="{00000000-0005-0000-0000-0000A2190000}"/>
    <cellStyle name="Millares 2 5 3 8 2 4" xfId="34952" xr:uid="{00000000-0005-0000-0000-0000A3190000}"/>
    <cellStyle name="Millares 2 5 3 8 3" xfId="11205" xr:uid="{00000000-0005-0000-0000-0000A4190000}"/>
    <cellStyle name="Millares 2 5 3 8 3 2" xfId="24773" xr:uid="{00000000-0005-0000-0000-0000A5190000}"/>
    <cellStyle name="Millares 2 5 3 8 3 2 2" xfId="51906" xr:uid="{00000000-0005-0000-0000-0000A6190000}"/>
    <cellStyle name="Millares 2 5 3 8 3 3" xfId="38344" xr:uid="{00000000-0005-0000-0000-0000A7190000}"/>
    <cellStyle name="Millares 2 5 3 8 4" xfId="17992" xr:uid="{00000000-0005-0000-0000-0000A8190000}"/>
    <cellStyle name="Millares 2 5 3 8 4 2" xfId="45125" xr:uid="{00000000-0005-0000-0000-0000A9190000}"/>
    <cellStyle name="Millares 2 5 3 8 5" xfId="31563" xr:uid="{00000000-0005-0000-0000-0000AA190000}"/>
    <cellStyle name="Millares 2 5 3 9" xfId="4195" xr:uid="{00000000-0005-0000-0000-0000AB190000}"/>
    <cellStyle name="Millares 2 5 3 9 2" xfId="7805" xr:uid="{00000000-0005-0000-0000-0000AC190000}"/>
    <cellStyle name="Millares 2 5 3 9 2 2" xfId="14595" xr:uid="{00000000-0005-0000-0000-0000AD190000}"/>
    <cellStyle name="Millares 2 5 3 9 2 2 2" xfId="28163" xr:uid="{00000000-0005-0000-0000-0000AE190000}"/>
    <cellStyle name="Millares 2 5 3 9 2 2 2 2" xfId="55296" xr:uid="{00000000-0005-0000-0000-0000AF190000}"/>
    <cellStyle name="Millares 2 5 3 9 2 2 3" xfId="41734" xr:uid="{00000000-0005-0000-0000-0000B0190000}"/>
    <cellStyle name="Millares 2 5 3 9 2 3" xfId="21382" xr:uid="{00000000-0005-0000-0000-0000B1190000}"/>
    <cellStyle name="Millares 2 5 3 9 2 3 2" xfId="48515" xr:uid="{00000000-0005-0000-0000-0000B2190000}"/>
    <cellStyle name="Millares 2 5 3 9 2 4" xfId="34953" xr:uid="{00000000-0005-0000-0000-0000B3190000}"/>
    <cellStyle name="Millares 2 5 3 9 3" xfId="11206" xr:uid="{00000000-0005-0000-0000-0000B4190000}"/>
    <cellStyle name="Millares 2 5 3 9 3 2" xfId="24774" xr:uid="{00000000-0005-0000-0000-0000B5190000}"/>
    <cellStyle name="Millares 2 5 3 9 3 2 2" xfId="51907" xr:uid="{00000000-0005-0000-0000-0000B6190000}"/>
    <cellStyle name="Millares 2 5 3 9 3 3" xfId="38345" xr:uid="{00000000-0005-0000-0000-0000B7190000}"/>
    <cellStyle name="Millares 2 5 3 9 4" xfId="17993" xr:uid="{00000000-0005-0000-0000-0000B8190000}"/>
    <cellStyle name="Millares 2 5 3 9 4 2" xfId="45126" xr:uid="{00000000-0005-0000-0000-0000B9190000}"/>
    <cellStyle name="Millares 2 5 3 9 5" xfId="31564" xr:uid="{00000000-0005-0000-0000-0000BA190000}"/>
    <cellStyle name="Millares 2 5 4" xfId="4196" xr:uid="{00000000-0005-0000-0000-0000BB190000}"/>
    <cellStyle name="Millares 2 5 4 10" xfId="31565" xr:uid="{00000000-0005-0000-0000-0000BC190000}"/>
    <cellStyle name="Millares 2 5 4 2" xfId="4197" xr:uid="{00000000-0005-0000-0000-0000BD190000}"/>
    <cellStyle name="Millares 2 5 4 2 2" xfId="4198" xr:uid="{00000000-0005-0000-0000-0000BE190000}"/>
    <cellStyle name="Millares 2 5 4 2 2 2" xfId="4199" xr:uid="{00000000-0005-0000-0000-0000BF190000}"/>
    <cellStyle name="Millares 2 5 4 2 2 2 2" xfId="7809" xr:uid="{00000000-0005-0000-0000-0000C0190000}"/>
    <cellStyle name="Millares 2 5 4 2 2 2 2 2" xfId="14599" xr:uid="{00000000-0005-0000-0000-0000C1190000}"/>
    <cellStyle name="Millares 2 5 4 2 2 2 2 2 2" xfId="28167" xr:uid="{00000000-0005-0000-0000-0000C2190000}"/>
    <cellStyle name="Millares 2 5 4 2 2 2 2 2 2 2" xfId="55300" xr:uid="{00000000-0005-0000-0000-0000C3190000}"/>
    <cellStyle name="Millares 2 5 4 2 2 2 2 2 3" xfId="41738" xr:uid="{00000000-0005-0000-0000-0000C4190000}"/>
    <cellStyle name="Millares 2 5 4 2 2 2 2 3" xfId="21386" xr:uid="{00000000-0005-0000-0000-0000C5190000}"/>
    <cellStyle name="Millares 2 5 4 2 2 2 2 3 2" xfId="48519" xr:uid="{00000000-0005-0000-0000-0000C6190000}"/>
    <cellStyle name="Millares 2 5 4 2 2 2 2 4" xfId="34957" xr:uid="{00000000-0005-0000-0000-0000C7190000}"/>
    <cellStyle name="Millares 2 5 4 2 2 2 3" xfId="11210" xr:uid="{00000000-0005-0000-0000-0000C8190000}"/>
    <cellStyle name="Millares 2 5 4 2 2 2 3 2" xfId="24778" xr:uid="{00000000-0005-0000-0000-0000C9190000}"/>
    <cellStyle name="Millares 2 5 4 2 2 2 3 2 2" xfId="51911" xr:uid="{00000000-0005-0000-0000-0000CA190000}"/>
    <cellStyle name="Millares 2 5 4 2 2 2 3 3" xfId="38349" xr:uid="{00000000-0005-0000-0000-0000CB190000}"/>
    <cellStyle name="Millares 2 5 4 2 2 2 4" xfId="17997" xr:uid="{00000000-0005-0000-0000-0000CC190000}"/>
    <cellStyle name="Millares 2 5 4 2 2 2 4 2" xfId="45130" xr:uid="{00000000-0005-0000-0000-0000CD190000}"/>
    <cellStyle name="Millares 2 5 4 2 2 2 5" xfId="31568" xr:uid="{00000000-0005-0000-0000-0000CE190000}"/>
    <cellStyle name="Millares 2 5 4 2 2 3" xfId="4200" xr:uid="{00000000-0005-0000-0000-0000CF190000}"/>
    <cellStyle name="Millares 2 5 4 2 2 3 2" xfId="7810" xr:uid="{00000000-0005-0000-0000-0000D0190000}"/>
    <cellStyle name="Millares 2 5 4 2 2 3 2 2" xfId="14600" xr:uid="{00000000-0005-0000-0000-0000D1190000}"/>
    <cellStyle name="Millares 2 5 4 2 2 3 2 2 2" xfId="28168" xr:uid="{00000000-0005-0000-0000-0000D2190000}"/>
    <cellStyle name="Millares 2 5 4 2 2 3 2 2 2 2" xfId="55301" xr:uid="{00000000-0005-0000-0000-0000D3190000}"/>
    <cellStyle name="Millares 2 5 4 2 2 3 2 2 3" xfId="41739" xr:uid="{00000000-0005-0000-0000-0000D4190000}"/>
    <cellStyle name="Millares 2 5 4 2 2 3 2 3" xfId="21387" xr:uid="{00000000-0005-0000-0000-0000D5190000}"/>
    <cellStyle name="Millares 2 5 4 2 2 3 2 3 2" xfId="48520" xr:uid="{00000000-0005-0000-0000-0000D6190000}"/>
    <cellStyle name="Millares 2 5 4 2 2 3 2 4" xfId="34958" xr:uid="{00000000-0005-0000-0000-0000D7190000}"/>
    <cellStyle name="Millares 2 5 4 2 2 3 3" xfId="11211" xr:uid="{00000000-0005-0000-0000-0000D8190000}"/>
    <cellStyle name="Millares 2 5 4 2 2 3 3 2" xfId="24779" xr:uid="{00000000-0005-0000-0000-0000D9190000}"/>
    <cellStyle name="Millares 2 5 4 2 2 3 3 2 2" xfId="51912" xr:uid="{00000000-0005-0000-0000-0000DA190000}"/>
    <cellStyle name="Millares 2 5 4 2 2 3 3 3" xfId="38350" xr:uid="{00000000-0005-0000-0000-0000DB190000}"/>
    <cellStyle name="Millares 2 5 4 2 2 3 4" xfId="17998" xr:uid="{00000000-0005-0000-0000-0000DC190000}"/>
    <cellStyle name="Millares 2 5 4 2 2 3 4 2" xfId="45131" xr:uid="{00000000-0005-0000-0000-0000DD190000}"/>
    <cellStyle name="Millares 2 5 4 2 2 3 5" xfId="31569" xr:uid="{00000000-0005-0000-0000-0000DE190000}"/>
    <cellStyle name="Millares 2 5 4 2 2 4" xfId="7808" xr:uid="{00000000-0005-0000-0000-0000DF190000}"/>
    <cellStyle name="Millares 2 5 4 2 2 4 2" xfId="14598" xr:uid="{00000000-0005-0000-0000-0000E0190000}"/>
    <cellStyle name="Millares 2 5 4 2 2 4 2 2" xfId="28166" xr:uid="{00000000-0005-0000-0000-0000E1190000}"/>
    <cellStyle name="Millares 2 5 4 2 2 4 2 2 2" xfId="55299" xr:uid="{00000000-0005-0000-0000-0000E2190000}"/>
    <cellStyle name="Millares 2 5 4 2 2 4 2 3" xfId="41737" xr:uid="{00000000-0005-0000-0000-0000E3190000}"/>
    <cellStyle name="Millares 2 5 4 2 2 4 3" xfId="21385" xr:uid="{00000000-0005-0000-0000-0000E4190000}"/>
    <cellStyle name="Millares 2 5 4 2 2 4 3 2" xfId="48518" xr:uid="{00000000-0005-0000-0000-0000E5190000}"/>
    <cellStyle name="Millares 2 5 4 2 2 4 4" xfId="34956" xr:uid="{00000000-0005-0000-0000-0000E6190000}"/>
    <cellStyle name="Millares 2 5 4 2 2 5" xfId="11209" xr:uid="{00000000-0005-0000-0000-0000E7190000}"/>
    <cellStyle name="Millares 2 5 4 2 2 5 2" xfId="24777" xr:uid="{00000000-0005-0000-0000-0000E8190000}"/>
    <cellStyle name="Millares 2 5 4 2 2 5 2 2" xfId="51910" xr:uid="{00000000-0005-0000-0000-0000E9190000}"/>
    <cellStyle name="Millares 2 5 4 2 2 5 3" xfId="38348" xr:uid="{00000000-0005-0000-0000-0000EA190000}"/>
    <cellStyle name="Millares 2 5 4 2 2 6" xfId="17996" xr:uid="{00000000-0005-0000-0000-0000EB190000}"/>
    <cellStyle name="Millares 2 5 4 2 2 6 2" xfId="45129" xr:uid="{00000000-0005-0000-0000-0000EC190000}"/>
    <cellStyle name="Millares 2 5 4 2 2 7" xfId="31567" xr:uid="{00000000-0005-0000-0000-0000ED190000}"/>
    <cellStyle name="Millares 2 5 4 2 3" xfId="4201" xr:uid="{00000000-0005-0000-0000-0000EE190000}"/>
    <cellStyle name="Millares 2 5 4 2 3 2" xfId="4202" xr:uid="{00000000-0005-0000-0000-0000EF190000}"/>
    <cellStyle name="Millares 2 5 4 2 3 2 2" xfId="7812" xr:uid="{00000000-0005-0000-0000-0000F0190000}"/>
    <cellStyle name="Millares 2 5 4 2 3 2 2 2" xfId="14602" xr:uid="{00000000-0005-0000-0000-0000F1190000}"/>
    <cellStyle name="Millares 2 5 4 2 3 2 2 2 2" xfId="28170" xr:uid="{00000000-0005-0000-0000-0000F2190000}"/>
    <cellStyle name="Millares 2 5 4 2 3 2 2 2 2 2" xfId="55303" xr:uid="{00000000-0005-0000-0000-0000F3190000}"/>
    <cellStyle name="Millares 2 5 4 2 3 2 2 2 3" xfId="41741" xr:uid="{00000000-0005-0000-0000-0000F4190000}"/>
    <cellStyle name="Millares 2 5 4 2 3 2 2 3" xfId="21389" xr:uid="{00000000-0005-0000-0000-0000F5190000}"/>
    <cellStyle name="Millares 2 5 4 2 3 2 2 3 2" xfId="48522" xr:uid="{00000000-0005-0000-0000-0000F6190000}"/>
    <cellStyle name="Millares 2 5 4 2 3 2 2 4" xfId="34960" xr:uid="{00000000-0005-0000-0000-0000F7190000}"/>
    <cellStyle name="Millares 2 5 4 2 3 2 3" xfId="11213" xr:uid="{00000000-0005-0000-0000-0000F8190000}"/>
    <cellStyle name="Millares 2 5 4 2 3 2 3 2" xfId="24781" xr:uid="{00000000-0005-0000-0000-0000F9190000}"/>
    <cellStyle name="Millares 2 5 4 2 3 2 3 2 2" xfId="51914" xr:uid="{00000000-0005-0000-0000-0000FA190000}"/>
    <cellStyle name="Millares 2 5 4 2 3 2 3 3" xfId="38352" xr:uid="{00000000-0005-0000-0000-0000FB190000}"/>
    <cellStyle name="Millares 2 5 4 2 3 2 4" xfId="18000" xr:uid="{00000000-0005-0000-0000-0000FC190000}"/>
    <cellStyle name="Millares 2 5 4 2 3 2 4 2" xfId="45133" xr:uid="{00000000-0005-0000-0000-0000FD190000}"/>
    <cellStyle name="Millares 2 5 4 2 3 2 5" xfId="31571" xr:uid="{00000000-0005-0000-0000-0000FE190000}"/>
    <cellStyle name="Millares 2 5 4 2 3 3" xfId="7811" xr:uid="{00000000-0005-0000-0000-0000FF190000}"/>
    <cellStyle name="Millares 2 5 4 2 3 3 2" xfId="14601" xr:uid="{00000000-0005-0000-0000-0000001A0000}"/>
    <cellStyle name="Millares 2 5 4 2 3 3 2 2" xfId="28169" xr:uid="{00000000-0005-0000-0000-0000011A0000}"/>
    <cellStyle name="Millares 2 5 4 2 3 3 2 2 2" xfId="55302" xr:uid="{00000000-0005-0000-0000-0000021A0000}"/>
    <cellStyle name="Millares 2 5 4 2 3 3 2 3" xfId="41740" xr:uid="{00000000-0005-0000-0000-0000031A0000}"/>
    <cellStyle name="Millares 2 5 4 2 3 3 3" xfId="21388" xr:uid="{00000000-0005-0000-0000-0000041A0000}"/>
    <cellStyle name="Millares 2 5 4 2 3 3 3 2" xfId="48521" xr:uid="{00000000-0005-0000-0000-0000051A0000}"/>
    <cellStyle name="Millares 2 5 4 2 3 3 4" xfId="34959" xr:uid="{00000000-0005-0000-0000-0000061A0000}"/>
    <cellStyle name="Millares 2 5 4 2 3 4" xfId="11212" xr:uid="{00000000-0005-0000-0000-0000071A0000}"/>
    <cellStyle name="Millares 2 5 4 2 3 4 2" xfId="24780" xr:uid="{00000000-0005-0000-0000-0000081A0000}"/>
    <cellStyle name="Millares 2 5 4 2 3 4 2 2" xfId="51913" xr:uid="{00000000-0005-0000-0000-0000091A0000}"/>
    <cellStyle name="Millares 2 5 4 2 3 4 3" xfId="38351" xr:uid="{00000000-0005-0000-0000-00000A1A0000}"/>
    <cellStyle name="Millares 2 5 4 2 3 5" xfId="17999" xr:uid="{00000000-0005-0000-0000-00000B1A0000}"/>
    <cellStyle name="Millares 2 5 4 2 3 5 2" xfId="45132" xr:uid="{00000000-0005-0000-0000-00000C1A0000}"/>
    <cellStyle name="Millares 2 5 4 2 3 6" xfId="31570" xr:uid="{00000000-0005-0000-0000-00000D1A0000}"/>
    <cellStyle name="Millares 2 5 4 2 4" xfId="4203" xr:uid="{00000000-0005-0000-0000-00000E1A0000}"/>
    <cellStyle name="Millares 2 5 4 2 4 2" xfId="7813" xr:uid="{00000000-0005-0000-0000-00000F1A0000}"/>
    <cellStyle name="Millares 2 5 4 2 4 2 2" xfId="14603" xr:uid="{00000000-0005-0000-0000-0000101A0000}"/>
    <cellStyle name="Millares 2 5 4 2 4 2 2 2" xfId="28171" xr:uid="{00000000-0005-0000-0000-0000111A0000}"/>
    <cellStyle name="Millares 2 5 4 2 4 2 2 2 2" xfId="55304" xr:uid="{00000000-0005-0000-0000-0000121A0000}"/>
    <cellStyle name="Millares 2 5 4 2 4 2 2 3" xfId="41742" xr:uid="{00000000-0005-0000-0000-0000131A0000}"/>
    <cellStyle name="Millares 2 5 4 2 4 2 3" xfId="21390" xr:uid="{00000000-0005-0000-0000-0000141A0000}"/>
    <cellStyle name="Millares 2 5 4 2 4 2 3 2" xfId="48523" xr:uid="{00000000-0005-0000-0000-0000151A0000}"/>
    <cellStyle name="Millares 2 5 4 2 4 2 4" xfId="34961" xr:uid="{00000000-0005-0000-0000-0000161A0000}"/>
    <cellStyle name="Millares 2 5 4 2 4 3" xfId="11214" xr:uid="{00000000-0005-0000-0000-0000171A0000}"/>
    <cellStyle name="Millares 2 5 4 2 4 3 2" xfId="24782" xr:uid="{00000000-0005-0000-0000-0000181A0000}"/>
    <cellStyle name="Millares 2 5 4 2 4 3 2 2" xfId="51915" xr:uid="{00000000-0005-0000-0000-0000191A0000}"/>
    <cellStyle name="Millares 2 5 4 2 4 3 3" xfId="38353" xr:uid="{00000000-0005-0000-0000-00001A1A0000}"/>
    <cellStyle name="Millares 2 5 4 2 4 4" xfId="18001" xr:uid="{00000000-0005-0000-0000-00001B1A0000}"/>
    <cellStyle name="Millares 2 5 4 2 4 4 2" xfId="45134" xr:uid="{00000000-0005-0000-0000-00001C1A0000}"/>
    <cellStyle name="Millares 2 5 4 2 4 5" xfId="31572" xr:uid="{00000000-0005-0000-0000-00001D1A0000}"/>
    <cellStyle name="Millares 2 5 4 2 5" xfId="4204" xr:uid="{00000000-0005-0000-0000-00001E1A0000}"/>
    <cellStyle name="Millares 2 5 4 2 5 2" xfId="7814" xr:uid="{00000000-0005-0000-0000-00001F1A0000}"/>
    <cellStyle name="Millares 2 5 4 2 5 2 2" xfId="14604" xr:uid="{00000000-0005-0000-0000-0000201A0000}"/>
    <cellStyle name="Millares 2 5 4 2 5 2 2 2" xfId="28172" xr:uid="{00000000-0005-0000-0000-0000211A0000}"/>
    <cellStyle name="Millares 2 5 4 2 5 2 2 2 2" xfId="55305" xr:uid="{00000000-0005-0000-0000-0000221A0000}"/>
    <cellStyle name="Millares 2 5 4 2 5 2 2 3" xfId="41743" xr:uid="{00000000-0005-0000-0000-0000231A0000}"/>
    <cellStyle name="Millares 2 5 4 2 5 2 3" xfId="21391" xr:uid="{00000000-0005-0000-0000-0000241A0000}"/>
    <cellStyle name="Millares 2 5 4 2 5 2 3 2" xfId="48524" xr:uid="{00000000-0005-0000-0000-0000251A0000}"/>
    <cellStyle name="Millares 2 5 4 2 5 2 4" xfId="34962" xr:uid="{00000000-0005-0000-0000-0000261A0000}"/>
    <cellStyle name="Millares 2 5 4 2 5 3" xfId="11215" xr:uid="{00000000-0005-0000-0000-0000271A0000}"/>
    <cellStyle name="Millares 2 5 4 2 5 3 2" xfId="24783" xr:uid="{00000000-0005-0000-0000-0000281A0000}"/>
    <cellStyle name="Millares 2 5 4 2 5 3 2 2" xfId="51916" xr:uid="{00000000-0005-0000-0000-0000291A0000}"/>
    <cellStyle name="Millares 2 5 4 2 5 3 3" xfId="38354" xr:uid="{00000000-0005-0000-0000-00002A1A0000}"/>
    <cellStyle name="Millares 2 5 4 2 5 4" xfId="18002" xr:uid="{00000000-0005-0000-0000-00002B1A0000}"/>
    <cellStyle name="Millares 2 5 4 2 5 4 2" xfId="45135" xr:uid="{00000000-0005-0000-0000-00002C1A0000}"/>
    <cellStyle name="Millares 2 5 4 2 5 5" xfId="31573" xr:uid="{00000000-0005-0000-0000-00002D1A0000}"/>
    <cellStyle name="Millares 2 5 4 2 6" xfId="7807" xr:uid="{00000000-0005-0000-0000-00002E1A0000}"/>
    <cellStyle name="Millares 2 5 4 2 6 2" xfId="14597" xr:uid="{00000000-0005-0000-0000-00002F1A0000}"/>
    <cellStyle name="Millares 2 5 4 2 6 2 2" xfId="28165" xr:uid="{00000000-0005-0000-0000-0000301A0000}"/>
    <cellStyle name="Millares 2 5 4 2 6 2 2 2" xfId="55298" xr:uid="{00000000-0005-0000-0000-0000311A0000}"/>
    <cellStyle name="Millares 2 5 4 2 6 2 3" xfId="41736" xr:uid="{00000000-0005-0000-0000-0000321A0000}"/>
    <cellStyle name="Millares 2 5 4 2 6 3" xfId="21384" xr:uid="{00000000-0005-0000-0000-0000331A0000}"/>
    <cellStyle name="Millares 2 5 4 2 6 3 2" xfId="48517" xr:uid="{00000000-0005-0000-0000-0000341A0000}"/>
    <cellStyle name="Millares 2 5 4 2 6 4" xfId="34955" xr:uid="{00000000-0005-0000-0000-0000351A0000}"/>
    <cellStyle name="Millares 2 5 4 2 7" xfId="11208" xr:uid="{00000000-0005-0000-0000-0000361A0000}"/>
    <cellStyle name="Millares 2 5 4 2 7 2" xfId="24776" xr:uid="{00000000-0005-0000-0000-0000371A0000}"/>
    <cellStyle name="Millares 2 5 4 2 7 2 2" xfId="51909" xr:uid="{00000000-0005-0000-0000-0000381A0000}"/>
    <cellStyle name="Millares 2 5 4 2 7 3" xfId="38347" xr:uid="{00000000-0005-0000-0000-0000391A0000}"/>
    <cellStyle name="Millares 2 5 4 2 8" xfId="17995" xr:uid="{00000000-0005-0000-0000-00003A1A0000}"/>
    <cellStyle name="Millares 2 5 4 2 8 2" xfId="45128" xr:uid="{00000000-0005-0000-0000-00003B1A0000}"/>
    <cellStyle name="Millares 2 5 4 2 9" xfId="31566" xr:uid="{00000000-0005-0000-0000-00003C1A0000}"/>
    <cellStyle name="Millares 2 5 4 3" xfId="4205" xr:uid="{00000000-0005-0000-0000-00003D1A0000}"/>
    <cellStyle name="Millares 2 5 4 3 2" xfId="4206" xr:uid="{00000000-0005-0000-0000-00003E1A0000}"/>
    <cellStyle name="Millares 2 5 4 3 2 2" xfId="7816" xr:uid="{00000000-0005-0000-0000-00003F1A0000}"/>
    <cellStyle name="Millares 2 5 4 3 2 2 2" xfId="14606" xr:uid="{00000000-0005-0000-0000-0000401A0000}"/>
    <cellStyle name="Millares 2 5 4 3 2 2 2 2" xfId="28174" xr:uid="{00000000-0005-0000-0000-0000411A0000}"/>
    <cellStyle name="Millares 2 5 4 3 2 2 2 2 2" xfId="55307" xr:uid="{00000000-0005-0000-0000-0000421A0000}"/>
    <cellStyle name="Millares 2 5 4 3 2 2 2 3" xfId="41745" xr:uid="{00000000-0005-0000-0000-0000431A0000}"/>
    <cellStyle name="Millares 2 5 4 3 2 2 3" xfId="21393" xr:uid="{00000000-0005-0000-0000-0000441A0000}"/>
    <cellStyle name="Millares 2 5 4 3 2 2 3 2" xfId="48526" xr:uid="{00000000-0005-0000-0000-0000451A0000}"/>
    <cellStyle name="Millares 2 5 4 3 2 2 4" xfId="34964" xr:uid="{00000000-0005-0000-0000-0000461A0000}"/>
    <cellStyle name="Millares 2 5 4 3 2 3" xfId="11217" xr:uid="{00000000-0005-0000-0000-0000471A0000}"/>
    <cellStyle name="Millares 2 5 4 3 2 3 2" xfId="24785" xr:uid="{00000000-0005-0000-0000-0000481A0000}"/>
    <cellStyle name="Millares 2 5 4 3 2 3 2 2" xfId="51918" xr:uid="{00000000-0005-0000-0000-0000491A0000}"/>
    <cellStyle name="Millares 2 5 4 3 2 3 3" xfId="38356" xr:uid="{00000000-0005-0000-0000-00004A1A0000}"/>
    <cellStyle name="Millares 2 5 4 3 2 4" xfId="18004" xr:uid="{00000000-0005-0000-0000-00004B1A0000}"/>
    <cellStyle name="Millares 2 5 4 3 2 4 2" xfId="45137" xr:uid="{00000000-0005-0000-0000-00004C1A0000}"/>
    <cellStyle name="Millares 2 5 4 3 2 5" xfId="31575" xr:uid="{00000000-0005-0000-0000-00004D1A0000}"/>
    <cellStyle name="Millares 2 5 4 3 3" xfId="4207" xr:uid="{00000000-0005-0000-0000-00004E1A0000}"/>
    <cellStyle name="Millares 2 5 4 3 3 2" xfId="7817" xr:uid="{00000000-0005-0000-0000-00004F1A0000}"/>
    <cellStyle name="Millares 2 5 4 3 3 2 2" xfId="14607" xr:uid="{00000000-0005-0000-0000-0000501A0000}"/>
    <cellStyle name="Millares 2 5 4 3 3 2 2 2" xfId="28175" xr:uid="{00000000-0005-0000-0000-0000511A0000}"/>
    <cellStyle name="Millares 2 5 4 3 3 2 2 2 2" xfId="55308" xr:uid="{00000000-0005-0000-0000-0000521A0000}"/>
    <cellStyle name="Millares 2 5 4 3 3 2 2 3" xfId="41746" xr:uid="{00000000-0005-0000-0000-0000531A0000}"/>
    <cellStyle name="Millares 2 5 4 3 3 2 3" xfId="21394" xr:uid="{00000000-0005-0000-0000-0000541A0000}"/>
    <cellStyle name="Millares 2 5 4 3 3 2 3 2" xfId="48527" xr:uid="{00000000-0005-0000-0000-0000551A0000}"/>
    <cellStyle name="Millares 2 5 4 3 3 2 4" xfId="34965" xr:uid="{00000000-0005-0000-0000-0000561A0000}"/>
    <cellStyle name="Millares 2 5 4 3 3 3" xfId="11218" xr:uid="{00000000-0005-0000-0000-0000571A0000}"/>
    <cellStyle name="Millares 2 5 4 3 3 3 2" xfId="24786" xr:uid="{00000000-0005-0000-0000-0000581A0000}"/>
    <cellStyle name="Millares 2 5 4 3 3 3 2 2" xfId="51919" xr:uid="{00000000-0005-0000-0000-0000591A0000}"/>
    <cellStyle name="Millares 2 5 4 3 3 3 3" xfId="38357" xr:uid="{00000000-0005-0000-0000-00005A1A0000}"/>
    <cellStyle name="Millares 2 5 4 3 3 4" xfId="18005" xr:uid="{00000000-0005-0000-0000-00005B1A0000}"/>
    <cellStyle name="Millares 2 5 4 3 3 4 2" xfId="45138" xr:uid="{00000000-0005-0000-0000-00005C1A0000}"/>
    <cellStyle name="Millares 2 5 4 3 3 5" xfId="31576" xr:uid="{00000000-0005-0000-0000-00005D1A0000}"/>
    <cellStyle name="Millares 2 5 4 3 4" xfId="7815" xr:uid="{00000000-0005-0000-0000-00005E1A0000}"/>
    <cellStyle name="Millares 2 5 4 3 4 2" xfId="14605" xr:uid="{00000000-0005-0000-0000-00005F1A0000}"/>
    <cellStyle name="Millares 2 5 4 3 4 2 2" xfId="28173" xr:uid="{00000000-0005-0000-0000-0000601A0000}"/>
    <cellStyle name="Millares 2 5 4 3 4 2 2 2" xfId="55306" xr:uid="{00000000-0005-0000-0000-0000611A0000}"/>
    <cellStyle name="Millares 2 5 4 3 4 2 3" xfId="41744" xr:uid="{00000000-0005-0000-0000-0000621A0000}"/>
    <cellStyle name="Millares 2 5 4 3 4 3" xfId="21392" xr:uid="{00000000-0005-0000-0000-0000631A0000}"/>
    <cellStyle name="Millares 2 5 4 3 4 3 2" xfId="48525" xr:uid="{00000000-0005-0000-0000-0000641A0000}"/>
    <cellStyle name="Millares 2 5 4 3 4 4" xfId="34963" xr:uid="{00000000-0005-0000-0000-0000651A0000}"/>
    <cellStyle name="Millares 2 5 4 3 5" xfId="11216" xr:uid="{00000000-0005-0000-0000-0000661A0000}"/>
    <cellStyle name="Millares 2 5 4 3 5 2" xfId="24784" xr:uid="{00000000-0005-0000-0000-0000671A0000}"/>
    <cellStyle name="Millares 2 5 4 3 5 2 2" xfId="51917" xr:uid="{00000000-0005-0000-0000-0000681A0000}"/>
    <cellStyle name="Millares 2 5 4 3 5 3" xfId="38355" xr:uid="{00000000-0005-0000-0000-0000691A0000}"/>
    <cellStyle name="Millares 2 5 4 3 6" xfId="18003" xr:uid="{00000000-0005-0000-0000-00006A1A0000}"/>
    <cellStyle name="Millares 2 5 4 3 6 2" xfId="45136" xr:uid="{00000000-0005-0000-0000-00006B1A0000}"/>
    <cellStyle name="Millares 2 5 4 3 7" xfId="31574" xr:uid="{00000000-0005-0000-0000-00006C1A0000}"/>
    <cellStyle name="Millares 2 5 4 4" xfId="4208" xr:uid="{00000000-0005-0000-0000-00006D1A0000}"/>
    <cellStyle name="Millares 2 5 4 4 2" xfId="4209" xr:uid="{00000000-0005-0000-0000-00006E1A0000}"/>
    <cellStyle name="Millares 2 5 4 4 2 2" xfId="7819" xr:uid="{00000000-0005-0000-0000-00006F1A0000}"/>
    <cellStyle name="Millares 2 5 4 4 2 2 2" xfId="14609" xr:uid="{00000000-0005-0000-0000-0000701A0000}"/>
    <cellStyle name="Millares 2 5 4 4 2 2 2 2" xfId="28177" xr:uid="{00000000-0005-0000-0000-0000711A0000}"/>
    <cellStyle name="Millares 2 5 4 4 2 2 2 2 2" xfId="55310" xr:uid="{00000000-0005-0000-0000-0000721A0000}"/>
    <cellStyle name="Millares 2 5 4 4 2 2 2 3" xfId="41748" xr:uid="{00000000-0005-0000-0000-0000731A0000}"/>
    <cellStyle name="Millares 2 5 4 4 2 2 3" xfId="21396" xr:uid="{00000000-0005-0000-0000-0000741A0000}"/>
    <cellStyle name="Millares 2 5 4 4 2 2 3 2" xfId="48529" xr:uid="{00000000-0005-0000-0000-0000751A0000}"/>
    <cellStyle name="Millares 2 5 4 4 2 2 4" xfId="34967" xr:uid="{00000000-0005-0000-0000-0000761A0000}"/>
    <cellStyle name="Millares 2 5 4 4 2 3" xfId="11220" xr:uid="{00000000-0005-0000-0000-0000771A0000}"/>
    <cellStyle name="Millares 2 5 4 4 2 3 2" xfId="24788" xr:uid="{00000000-0005-0000-0000-0000781A0000}"/>
    <cellStyle name="Millares 2 5 4 4 2 3 2 2" xfId="51921" xr:uid="{00000000-0005-0000-0000-0000791A0000}"/>
    <cellStyle name="Millares 2 5 4 4 2 3 3" xfId="38359" xr:uid="{00000000-0005-0000-0000-00007A1A0000}"/>
    <cellStyle name="Millares 2 5 4 4 2 4" xfId="18007" xr:uid="{00000000-0005-0000-0000-00007B1A0000}"/>
    <cellStyle name="Millares 2 5 4 4 2 4 2" xfId="45140" xr:uid="{00000000-0005-0000-0000-00007C1A0000}"/>
    <cellStyle name="Millares 2 5 4 4 2 5" xfId="31578" xr:uid="{00000000-0005-0000-0000-00007D1A0000}"/>
    <cellStyle name="Millares 2 5 4 4 3" xfId="7818" xr:uid="{00000000-0005-0000-0000-00007E1A0000}"/>
    <cellStyle name="Millares 2 5 4 4 3 2" xfId="14608" xr:uid="{00000000-0005-0000-0000-00007F1A0000}"/>
    <cellStyle name="Millares 2 5 4 4 3 2 2" xfId="28176" xr:uid="{00000000-0005-0000-0000-0000801A0000}"/>
    <cellStyle name="Millares 2 5 4 4 3 2 2 2" xfId="55309" xr:uid="{00000000-0005-0000-0000-0000811A0000}"/>
    <cellStyle name="Millares 2 5 4 4 3 2 3" xfId="41747" xr:uid="{00000000-0005-0000-0000-0000821A0000}"/>
    <cellStyle name="Millares 2 5 4 4 3 3" xfId="21395" xr:uid="{00000000-0005-0000-0000-0000831A0000}"/>
    <cellStyle name="Millares 2 5 4 4 3 3 2" xfId="48528" xr:uid="{00000000-0005-0000-0000-0000841A0000}"/>
    <cellStyle name="Millares 2 5 4 4 3 4" xfId="34966" xr:uid="{00000000-0005-0000-0000-0000851A0000}"/>
    <cellStyle name="Millares 2 5 4 4 4" xfId="11219" xr:uid="{00000000-0005-0000-0000-0000861A0000}"/>
    <cellStyle name="Millares 2 5 4 4 4 2" xfId="24787" xr:uid="{00000000-0005-0000-0000-0000871A0000}"/>
    <cellStyle name="Millares 2 5 4 4 4 2 2" xfId="51920" xr:uid="{00000000-0005-0000-0000-0000881A0000}"/>
    <cellStyle name="Millares 2 5 4 4 4 3" xfId="38358" xr:uid="{00000000-0005-0000-0000-0000891A0000}"/>
    <cellStyle name="Millares 2 5 4 4 5" xfId="18006" xr:uid="{00000000-0005-0000-0000-00008A1A0000}"/>
    <cellStyle name="Millares 2 5 4 4 5 2" xfId="45139" xr:uid="{00000000-0005-0000-0000-00008B1A0000}"/>
    <cellStyle name="Millares 2 5 4 4 6" xfId="31577" xr:uid="{00000000-0005-0000-0000-00008C1A0000}"/>
    <cellStyle name="Millares 2 5 4 5" xfId="4210" xr:uid="{00000000-0005-0000-0000-00008D1A0000}"/>
    <cellStyle name="Millares 2 5 4 5 2" xfId="7820" xr:uid="{00000000-0005-0000-0000-00008E1A0000}"/>
    <cellStyle name="Millares 2 5 4 5 2 2" xfId="14610" xr:uid="{00000000-0005-0000-0000-00008F1A0000}"/>
    <cellStyle name="Millares 2 5 4 5 2 2 2" xfId="28178" xr:uid="{00000000-0005-0000-0000-0000901A0000}"/>
    <cellStyle name="Millares 2 5 4 5 2 2 2 2" xfId="55311" xr:uid="{00000000-0005-0000-0000-0000911A0000}"/>
    <cellStyle name="Millares 2 5 4 5 2 2 3" xfId="41749" xr:uid="{00000000-0005-0000-0000-0000921A0000}"/>
    <cellStyle name="Millares 2 5 4 5 2 3" xfId="21397" xr:uid="{00000000-0005-0000-0000-0000931A0000}"/>
    <cellStyle name="Millares 2 5 4 5 2 3 2" xfId="48530" xr:uid="{00000000-0005-0000-0000-0000941A0000}"/>
    <cellStyle name="Millares 2 5 4 5 2 4" xfId="34968" xr:uid="{00000000-0005-0000-0000-0000951A0000}"/>
    <cellStyle name="Millares 2 5 4 5 3" xfId="11221" xr:uid="{00000000-0005-0000-0000-0000961A0000}"/>
    <cellStyle name="Millares 2 5 4 5 3 2" xfId="24789" xr:uid="{00000000-0005-0000-0000-0000971A0000}"/>
    <cellStyle name="Millares 2 5 4 5 3 2 2" xfId="51922" xr:uid="{00000000-0005-0000-0000-0000981A0000}"/>
    <cellStyle name="Millares 2 5 4 5 3 3" xfId="38360" xr:uid="{00000000-0005-0000-0000-0000991A0000}"/>
    <cellStyle name="Millares 2 5 4 5 4" xfId="18008" xr:uid="{00000000-0005-0000-0000-00009A1A0000}"/>
    <cellStyle name="Millares 2 5 4 5 4 2" xfId="45141" xr:uid="{00000000-0005-0000-0000-00009B1A0000}"/>
    <cellStyle name="Millares 2 5 4 5 5" xfId="31579" xr:uid="{00000000-0005-0000-0000-00009C1A0000}"/>
    <cellStyle name="Millares 2 5 4 6" xfId="4211" xr:uid="{00000000-0005-0000-0000-00009D1A0000}"/>
    <cellStyle name="Millares 2 5 4 6 2" xfId="7821" xr:uid="{00000000-0005-0000-0000-00009E1A0000}"/>
    <cellStyle name="Millares 2 5 4 6 2 2" xfId="14611" xr:uid="{00000000-0005-0000-0000-00009F1A0000}"/>
    <cellStyle name="Millares 2 5 4 6 2 2 2" xfId="28179" xr:uid="{00000000-0005-0000-0000-0000A01A0000}"/>
    <cellStyle name="Millares 2 5 4 6 2 2 2 2" xfId="55312" xr:uid="{00000000-0005-0000-0000-0000A11A0000}"/>
    <cellStyle name="Millares 2 5 4 6 2 2 3" xfId="41750" xr:uid="{00000000-0005-0000-0000-0000A21A0000}"/>
    <cellStyle name="Millares 2 5 4 6 2 3" xfId="21398" xr:uid="{00000000-0005-0000-0000-0000A31A0000}"/>
    <cellStyle name="Millares 2 5 4 6 2 3 2" xfId="48531" xr:uid="{00000000-0005-0000-0000-0000A41A0000}"/>
    <cellStyle name="Millares 2 5 4 6 2 4" xfId="34969" xr:uid="{00000000-0005-0000-0000-0000A51A0000}"/>
    <cellStyle name="Millares 2 5 4 6 3" xfId="11222" xr:uid="{00000000-0005-0000-0000-0000A61A0000}"/>
    <cellStyle name="Millares 2 5 4 6 3 2" xfId="24790" xr:uid="{00000000-0005-0000-0000-0000A71A0000}"/>
    <cellStyle name="Millares 2 5 4 6 3 2 2" xfId="51923" xr:uid="{00000000-0005-0000-0000-0000A81A0000}"/>
    <cellStyle name="Millares 2 5 4 6 3 3" xfId="38361" xr:uid="{00000000-0005-0000-0000-0000A91A0000}"/>
    <cellStyle name="Millares 2 5 4 6 4" xfId="18009" xr:uid="{00000000-0005-0000-0000-0000AA1A0000}"/>
    <cellStyle name="Millares 2 5 4 6 4 2" xfId="45142" xr:uid="{00000000-0005-0000-0000-0000AB1A0000}"/>
    <cellStyle name="Millares 2 5 4 6 5" xfId="31580" xr:uid="{00000000-0005-0000-0000-0000AC1A0000}"/>
    <cellStyle name="Millares 2 5 4 7" xfId="7806" xr:uid="{00000000-0005-0000-0000-0000AD1A0000}"/>
    <cellStyle name="Millares 2 5 4 7 2" xfId="14596" xr:uid="{00000000-0005-0000-0000-0000AE1A0000}"/>
    <cellStyle name="Millares 2 5 4 7 2 2" xfId="28164" xr:uid="{00000000-0005-0000-0000-0000AF1A0000}"/>
    <cellStyle name="Millares 2 5 4 7 2 2 2" xfId="55297" xr:uid="{00000000-0005-0000-0000-0000B01A0000}"/>
    <cellStyle name="Millares 2 5 4 7 2 3" xfId="41735" xr:uid="{00000000-0005-0000-0000-0000B11A0000}"/>
    <cellStyle name="Millares 2 5 4 7 3" xfId="21383" xr:uid="{00000000-0005-0000-0000-0000B21A0000}"/>
    <cellStyle name="Millares 2 5 4 7 3 2" xfId="48516" xr:uid="{00000000-0005-0000-0000-0000B31A0000}"/>
    <cellStyle name="Millares 2 5 4 7 4" xfId="34954" xr:uid="{00000000-0005-0000-0000-0000B41A0000}"/>
    <cellStyle name="Millares 2 5 4 8" xfId="11207" xr:uid="{00000000-0005-0000-0000-0000B51A0000}"/>
    <cellStyle name="Millares 2 5 4 8 2" xfId="24775" xr:uid="{00000000-0005-0000-0000-0000B61A0000}"/>
    <cellStyle name="Millares 2 5 4 8 2 2" xfId="51908" xr:uid="{00000000-0005-0000-0000-0000B71A0000}"/>
    <cellStyle name="Millares 2 5 4 8 3" xfId="38346" xr:uid="{00000000-0005-0000-0000-0000B81A0000}"/>
    <cellStyle name="Millares 2 5 4 9" xfId="17994" xr:uid="{00000000-0005-0000-0000-0000B91A0000}"/>
    <cellStyle name="Millares 2 5 4 9 2" xfId="45127" xr:uid="{00000000-0005-0000-0000-0000BA1A0000}"/>
    <cellStyle name="Millares 2 5 5" xfId="4212" xr:uid="{00000000-0005-0000-0000-0000BB1A0000}"/>
    <cellStyle name="Millares 2 5 5 2" xfId="4213" xr:uid="{00000000-0005-0000-0000-0000BC1A0000}"/>
    <cellStyle name="Millares 2 5 5 2 2" xfId="4214" xr:uid="{00000000-0005-0000-0000-0000BD1A0000}"/>
    <cellStyle name="Millares 2 5 5 2 2 2" xfId="7824" xr:uid="{00000000-0005-0000-0000-0000BE1A0000}"/>
    <cellStyle name="Millares 2 5 5 2 2 2 2" xfId="14614" xr:uid="{00000000-0005-0000-0000-0000BF1A0000}"/>
    <cellStyle name="Millares 2 5 5 2 2 2 2 2" xfId="28182" xr:uid="{00000000-0005-0000-0000-0000C01A0000}"/>
    <cellStyle name="Millares 2 5 5 2 2 2 2 2 2" xfId="55315" xr:uid="{00000000-0005-0000-0000-0000C11A0000}"/>
    <cellStyle name="Millares 2 5 5 2 2 2 2 3" xfId="41753" xr:uid="{00000000-0005-0000-0000-0000C21A0000}"/>
    <cellStyle name="Millares 2 5 5 2 2 2 3" xfId="21401" xr:uid="{00000000-0005-0000-0000-0000C31A0000}"/>
    <cellStyle name="Millares 2 5 5 2 2 2 3 2" xfId="48534" xr:uid="{00000000-0005-0000-0000-0000C41A0000}"/>
    <cellStyle name="Millares 2 5 5 2 2 2 4" xfId="34972" xr:uid="{00000000-0005-0000-0000-0000C51A0000}"/>
    <cellStyle name="Millares 2 5 5 2 2 3" xfId="11225" xr:uid="{00000000-0005-0000-0000-0000C61A0000}"/>
    <cellStyle name="Millares 2 5 5 2 2 3 2" xfId="24793" xr:uid="{00000000-0005-0000-0000-0000C71A0000}"/>
    <cellStyle name="Millares 2 5 5 2 2 3 2 2" xfId="51926" xr:uid="{00000000-0005-0000-0000-0000C81A0000}"/>
    <cellStyle name="Millares 2 5 5 2 2 3 3" xfId="38364" xr:uid="{00000000-0005-0000-0000-0000C91A0000}"/>
    <cellStyle name="Millares 2 5 5 2 2 4" xfId="18012" xr:uid="{00000000-0005-0000-0000-0000CA1A0000}"/>
    <cellStyle name="Millares 2 5 5 2 2 4 2" xfId="45145" xr:uid="{00000000-0005-0000-0000-0000CB1A0000}"/>
    <cellStyle name="Millares 2 5 5 2 2 5" xfId="31583" xr:uid="{00000000-0005-0000-0000-0000CC1A0000}"/>
    <cellStyle name="Millares 2 5 5 2 3" xfId="4215" xr:uid="{00000000-0005-0000-0000-0000CD1A0000}"/>
    <cellStyle name="Millares 2 5 5 2 3 2" xfId="7825" xr:uid="{00000000-0005-0000-0000-0000CE1A0000}"/>
    <cellStyle name="Millares 2 5 5 2 3 2 2" xfId="14615" xr:uid="{00000000-0005-0000-0000-0000CF1A0000}"/>
    <cellStyle name="Millares 2 5 5 2 3 2 2 2" xfId="28183" xr:uid="{00000000-0005-0000-0000-0000D01A0000}"/>
    <cellStyle name="Millares 2 5 5 2 3 2 2 2 2" xfId="55316" xr:uid="{00000000-0005-0000-0000-0000D11A0000}"/>
    <cellStyle name="Millares 2 5 5 2 3 2 2 3" xfId="41754" xr:uid="{00000000-0005-0000-0000-0000D21A0000}"/>
    <cellStyle name="Millares 2 5 5 2 3 2 3" xfId="21402" xr:uid="{00000000-0005-0000-0000-0000D31A0000}"/>
    <cellStyle name="Millares 2 5 5 2 3 2 3 2" xfId="48535" xr:uid="{00000000-0005-0000-0000-0000D41A0000}"/>
    <cellStyle name="Millares 2 5 5 2 3 2 4" xfId="34973" xr:uid="{00000000-0005-0000-0000-0000D51A0000}"/>
    <cellStyle name="Millares 2 5 5 2 3 3" xfId="11226" xr:uid="{00000000-0005-0000-0000-0000D61A0000}"/>
    <cellStyle name="Millares 2 5 5 2 3 3 2" xfId="24794" xr:uid="{00000000-0005-0000-0000-0000D71A0000}"/>
    <cellStyle name="Millares 2 5 5 2 3 3 2 2" xfId="51927" xr:uid="{00000000-0005-0000-0000-0000D81A0000}"/>
    <cellStyle name="Millares 2 5 5 2 3 3 3" xfId="38365" xr:uid="{00000000-0005-0000-0000-0000D91A0000}"/>
    <cellStyle name="Millares 2 5 5 2 3 4" xfId="18013" xr:uid="{00000000-0005-0000-0000-0000DA1A0000}"/>
    <cellStyle name="Millares 2 5 5 2 3 4 2" xfId="45146" xr:uid="{00000000-0005-0000-0000-0000DB1A0000}"/>
    <cellStyle name="Millares 2 5 5 2 3 5" xfId="31584" xr:uid="{00000000-0005-0000-0000-0000DC1A0000}"/>
    <cellStyle name="Millares 2 5 5 2 4" xfId="7823" xr:uid="{00000000-0005-0000-0000-0000DD1A0000}"/>
    <cellStyle name="Millares 2 5 5 2 4 2" xfId="14613" xr:uid="{00000000-0005-0000-0000-0000DE1A0000}"/>
    <cellStyle name="Millares 2 5 5 2 4 2 2" xfId="28181" xr:uid="{00000000-0005-0000-0000-0000DF1A0000}"/>
    <cellStyle name="Millares 2 5 5 2 4 2 2 2" xfId="55314" xr:uid="{00000000-0005-0000-0000-0000E01A0000}"/>
    <cellStyle name="Millares 2 5 5 2 4 2 3" xfId="41752" xr:uid="{00000000-0005-0000-0000-0000E11A0000}"/>
    <cellStyle name="Millares 2 5 5 2 4 3" xfId="21400" xr:uid="{00000000-0005-0000-0000-0000E21A0000}"/>
    <cellStyle name="Millares 2 5 5 2 4 3 2" xfId="48533" xr:uid="{00000000-0005-0000-0000-0000E31A0000}"/>
    <cellStyle name="Millares 2 5 5 2 4 4" xfId="34971" xr:uid="{00000000-0005-0000-0000-0000E41A0000}"/>
    <cellStyle name="Millares 2 5 5 2 5" xfId="11224" xr:uid="{00000000-0005-0000-0000-0000E51A0000}"/>
    <cellStyle name="Millares 2 5 5 2 5 2" xfId="24792" xr:uid="{00000000-0005-0000-0000-0000E61A0000}"/>
    <cellStyle name="Millares 2 5 5 2 5 2 2" xfId="51925" xr:uid="{00000000-0005-0000-0000-0000E71A0000}"/>
    <cellStyle name="Millares 2 5 5 2 5 3" xfId="38363" xr:uid="{00000000-0005-0000-0000-0000E81A0000}"/>
    <cellStyle name="Millares 2 5 5 2 6" xfId="18011" xr:uid="{00000000-0005-0000-0000-0000E91A0000}"/>
    <cellStyle name="Millares 2 5 5 2 6 2" xfId="45144" xr:uid="{00000000-0005-0000-0000-0000EA1A0000}"/>
    <cellStyle name="Millares 2 5 5 2 7" xfId="31582" xr:uid="{00000000-0005-0000-0000-0000EB1A0000}"/>
    <cellStyle name="Millares 2 5 5 3" xfId="4216" xr:uid="{00000000-0005-0000-0000-0000EC1A0000}"/>
    <cellStyle name="Millares 2 5 5 3 2" xfId="4217" xr:uid="{00000000-0005-0000-0000-0000ED1A0000}"/>
    <cellStyle name="Millares 2 5 5 3 2 2" xfId="7827" xr:uid="{00000000-0005-0000-0000-0000EE1A0000}"/>
    <cellStyle name="Millares 2 5 5 3 2 2 2" xfId="14617" xr:uid="{00000000-0005-0000-0000-0000EF1A0000}"/>
    <cellStyle name="Millares 2 5 5 3 2 2 2 2" xfId="28185" xr:uid="{00000000-0005-0000-0000-0000F01A0000}"/>
    <cellStyle name="Millares 2 5 5 3 2 2 2 2 2" xfId="55318" xr:uid="{00000000-0005-0000-0000-0000F11A0000}"/>
    <cellStyle name="Millares 2 5 5 3 2 2 2 3" xfId="41756" xr:uid="{00000000-0005-0000-0000-0000F21A0000}"/>
    <cellStyle name="Millares 2 5 5 3 2 2 3" xfId="21404" xr:uid="{00000000-0005-0000-0000-0000F31A0000}"/>
    <cellStyle name="Millares 2 5 5 3 2 2 3 2" xfId="48537" xr:uid="{00000000-0005-0000-0000-0000F41A0000}"/>
    <cellStyle name="Millares 2 5 5 3 2 2 4" xfId="34975" xr:uid="{00000000-0005-0000-0000-0000F51A0000}"/>
    <cellStyle name="Millares 2 5 5 3 2 3" xfId="11228" xr:uid="{00000000-0005-0000-0000-0000F61A0000}"/>
    <cellStyle name="Millares 2 5 5 3 2 3 2" xfId="24796" xr:uid="{00000000-0005-0000-0000-0000F71A0000}"/>
    <cellStyle name="Millares 2 5 5 3 2 3 2 2" xfId="51929" xr:uid="{00000000-0005-0000-0000-0000F81A0000}"/>
    <cellStyle name="Millares 2 5 5 3 2 3 3" xfId="38367" xr:uid="{00000000-0005-0000-0000-0000F91A0000}"/>
    <cellStyle name="Millares 2 5 5 3 2 4" xfId="18015" xr:uid="{00000000-0005-0000-0000-0000FA1A0000}"/>
    <cellStyle name="Millares 2 5 5 3 2 4 2" xfId="45148" xr:uid="{00000000-0005-0000-0000-0000FB1A0000}"/>
    <cellStyle name="Millares 2 5 5 3 2 5" xfId="31586" xr:uid="{00000000-0005-0000-0000-0000FC1A0000}"/>
    <cellStyle name="Millares 2 5 5 3 3" xfId="7826" xr:uid="{00000000-0005-0000-0000-0000FD1A0000}"/>
    <cellStyle name="Millares 2 5 5 3 3 2" xfId="14616" xr:uid="{00000000-0005-0000-0000-0000FE1A0000}"/>
    <cellStyle name="Millares 2 5 5 3 3 2 2" xfId="28184" xr:uid="{00000000-0005-0000-0000-0000FF1A0000}"/>
    <cellStyle name="Millares 2 5 5 3 3 2 2 2" xfId="55317" xr:uid="{00000000-0005-0000-0000-0000001B0000}"/>
    <cellStyle name="Millares 2 5 5 3 3 2 3" xfId="41755" xr:uid="{00000000-0005-0000-0000-0000011B0000}"/>
    <cellStyle name="Millares 2 5 5 3 3 3" xfId="21403" xr:uid="{00000000-0005-0000-0000-0000021B0000}"/>
    <cellStyle name="Millares 2 5 5 3 3 3 2" xfId="48536" xr:uid="{00000000-0005-0000-0000-0000031B0000}"/>
    <cellStyle name="Millares 2 5 5 3 3 4" xfId="34974" xr:uid="{00000000-0005-0000-0000-0000041B0000}"/>
    <cellStyle name="Millares 2 5 5 3 4" xfId="11227" xr:uid="{00000000-0005-0000-0000-0000051B0000}"/>
    <cellStyle name="Millares 2 5 5 3 4 2" xfId="24795" xr:uid="{00000000-0005-0000-0000-0000061B0000}"/>
    <cellStyle name="Millares 2 5 5 3 4 2 2" xfId="51928" xr:uid="{00000000-0005-0000-0000-0000071B0000}"/>
    <cellStyle name="Millares 2 5 5 3 4 3" xfId="38366" xr:uid="{00000000-0005-0000-0000-0000081B0000}"/>
    <cellStyle name="Millares 2 5 5 3 5" xfId="18014" xr:uid="{00000000-0005-0000-0000-0000091B0000}"/>
    <cellStyle name="Millares 2 5 5 3 5 2" xfId="45147" xr:uid="{00000000-0005-0000-0000-00000A1B0000}"/>
    <cellStyle name="Millares 2 5 5 3 6" xfId="31585" xr:uid="{00000000-0005-0000-0000-00000B1B0000}"/>
    <cellStyle name="Millares 2 5 5 4" xfId="4218" xr:uid="{00000000-0005-0000-0000-00000C1B0000}"/>
    <cellStyle name="Millares 2 5 5 4 2" xfId="7828" xr:uid="{00000000-0005-0000-0000-00000D1B0000}"/>
    <cellStyle name="Millares 2 5 5 4 2 2" xfId="14618" xr:uid="{00000000-0005-0000-0000-00000E1B0000}"/>
    <cellStyle name="Millares 2 5 5 4 2 2 2" xfId="28186" xr:uid="{00000000-0005-0000-0000-00000F1B0000}"/>
    <cellStyle name="Millares 2 5 5 4 2 2 2 2" xfId="55319" xr:uid="{00000000-0005-0000-0000-0000101B0000}"/>
    <cellStyle name="Millares 2 5 5 4 2 2 3" xfId="41757" xr:uid="{00000000-0005-0000-0000-0000111B0000}"/>
    <cellStyle name="Millares 2 5 5 4 2 3" xfId="21405" xr:uid="{00000000-0005-0000-0000-0000121B0000}"/>
    <cellStyle name="Millares 2 5 5 4 2 3 2" xfId="48538" xr:uid="{00000000-0005-0000-0000-0000131B0000}"/>
    <cellStyle name="Millares 2 5 5 4 2 4" xfId="34976" xr:uid="{00000000-0005-0000-0000-0000141B0000}"/>
    <cellStyle name="Millares 2 5 5 4 3" xfId="11229" xr:uid="{00000000-0005-0000-0000-0000151B0000}"/>
    <cellStyle name="Millares 2 5 5 4 3 2" xfId="24797" xr:uid="{00000000-0005-0000-0000-0000161B0000}"/>
    <cellStyle name="Millares 2 5 5 4 3 2 2" xfId="51930" xr:uid="{00000000-0005-0000-0000-0000171B0000}"/>
    <cellStyle name="Millares 2 5 5 4 3 3" xfId="38368" xr:uid="{00000000-0005-0000-0000-0000181B0000}"/>
    <cellStyle name="Millares 2 5 5 4 4" xfId="18016" xr:uid="{00000000-0005-0000-0000-0000191B0000}"/>
    <cellStyle name="Millares 2 5 5 4 4 2" xfId="45149" xr:uid="{00000000-0005-0000-0000-00001A1B0000}"/>
    <cellStyle name="Millares 2 5 5 4 5" xfId="31587" xr:uid="{00000000-0005-0000-0000-00001B1B0000}"/>
    <cellStyle name="Millares 2 5 5 5" xfId="4219" xr:uid="{00000000-0005-0000-0000-00001C1B0000}"/>
    <cellStyle name="Millares 2 5 5 5 2" xfId="7829" xr:uid="{00000000-0005-0000-0000-00001D1B0000}"/>
    <cellStyle name="Millares 2 5 5 5 2 2" xfId="14619" xr:uid="{00000000-0005-0000-0000-00001E1B0000}"/>
    <cellStyle name="Millares 2 5 5 5 2 2 2" xfId="28187" xr:uid="{00000000-0005-0000-0000-00001F1B0000}"/>
    <cellStyle name="Millares 2 5 5 5 2 2 2 2" xfId="55320" xr:uid="{00000000-0005-0000-0000-0000201B0000}"/>
    <cellStyle name="Millares 2 5 5 5 2 2 3" xfId="41758" xr:uid="{00000000-0005-0000-0000-0000211B0000}"/>
    <cellStyle name="Millares 2 5 5 5 2 3" xfId="21406" xr:uid="{00000000-0005-0000-0000-0000221B0000}"/>
    <cellStyle name="Millares 2 5 5 5 2 3 2" xfId="48539" xr:uid="{00000000-0005-0000-0000-0000231B0000}"/>
    <cellStyle name="Millares 2 5 5 5 2 4" xfId="34977" xr:uid="{00000000-0005-0000-0000-0000241B0000}"/>
    <cellStyle name="Millares 2 5 5 5 3" xfId="11230" xr:uid="{00000000-0005-0000-0000-0000251B0000}"/>
    <cellStyle name="Millares 2 5 5 5 3 2" xfId="24798" xr:uid="{00000000-0005-0000-0000-0000261B0000}"/>
    <cellStyle name="Millares 2 5 5 5 3 2 2" xfId="51931" xr:uid="{00000000-0005-0000-0000-0000271B0000}"/>
    <cellStyle name="Millares 2 5 5 5 3 3" xfId="38369" xr:uid="{00000000-0005-0000-0000-0000281B0000}"/>
    <cellStyle name="Millares 2 5 5 5 4" xfId="18017" xr:uid="{00000000-0005-0000-0000-0000291B0000}"/>
    <cellStyle name="Millares 2 5 5 5 4 2" xfId="45150" xr:uid="{00000000-0005-0000-0000-00002A1B0000}"/>
    <cellStyle name="Millares 2 5 5 5 5" xfId="31588" xr:uid="{00000000-0005-0000-0000-00002B1B0000}"/>
    <cellStyle name="Millares 2 5 5 6" xfId="7822" xr:uid="{00000000-0005-0000-0000-00002C1B0000}"/>
    <cellStyle name="Millares 2 5 5 6 2" xfId="14612" xr:uid="{00000000-0005-0000-0000-00002D1B0000}"/>
    <cellStyle name="Millares 2 5 5 6 2 2" xfId="28180" xr:uid="{00000000-0005-0000-0000-00002E1B0000}"/>
    <cellStyle name="Millares 2 5 5 6 2 2 2" xfId="55313" xr:uid="{00000000-0005-0000-0000-00002F1B0000}"/>
    <cellStyle name="Millares 2 5 5 6 2 3" xfId="41751" xr:uid="{00000000-0005-0000-0000-0000301B0000}"/>
    <cellStyle name="Millares 2 5 5 6 3" xfId="21399" xr:uid="{00000000-0005-0000-0000-0000311B0000}"/>
    <cellStyle name="Millares 2 5 5 6 3 2" xfId="48532" xr:uid="{00000000-0005-0000-0000-0000321B0000}"/>
    <cellStyle name="Millares 2 5 5 6 4" xfId="34970" xr:uid="{00000000-0005-0000-0000-0000331B0000}"/>
    <cellStyle name="Millares 2 5 5 7" xfId="11223" xr:uid="{00000000-0005-0000-0000-0000341B0000}"/>
    <cellStyle name="Millares 2 5 5 7 2" xfId="24791" xr:uid="{00000000-0005-0000-0000-0000351B0000}"/>
    <cellStyle name="Millares 2 5 5 7 2 2" xfId="51924" xr:uid="{00000000-0005-0000-0000-0000361B0000}"/>
    <cellStyle name="Millares 2 5 5 7 3" xfId="38362" xr:uid="{00000000-0005-0000-0000-0000371B0000}"/>
    <cellStyle name="Millares 2 5 5 8" xfId="18010" xr:uid="{00000000-0005-0000-0000-0000381B0000}"/>
    <cellStyle name="Millares 2 5 5 8 2" xfId="45143" xr:uid="{00000000-0005-0000-0000-0000391B0000}"/>
    <cellStyle name="Millares 2 5 5 9" xfId="31581" xr:uid="{00000000-0005-0000-0000-00003A1B0000}"/>
    <cellStyle name="Millares 2 5 6" xfId="4220" xr:uid="{00000000-0005-0000-0000-00003B1B0000}"/>
    <cellStyle name="Millares 2 5 6 2" xfId="4221" xr:uid="{00000000-0005-0000-0000-00003C1B0000}"/>
    <cellStyle name="Millares 2 5 6 2 2" xfId="4222" xr:uid="{00000000-0005-0000-0000-00003D1B0000}"/>
    <cellStyle name="Millares 2 5 6 2 2 2" xfId="7832" xr:uid="{00000000-0005-0000-0000-00003E1B0000}"/>
    <cellStyle name="Millares 2 5 6 2 2 2 2" xfId="14622" xr:uid="{00000000-0005-0000-0000-00003F1B0000}"/>
    <cellStyle name="Millares 2 5 6 2 2 2 2 2" xfId="28190" xr:uid="{00000000-0005-0000-0000-0000401B0000}"/>
    <cellStyle name="Millares 2 5 6 2 2 2 2 2 2" xfId="55323" xr:uid="{00000000-0005-0000-0000-0000411B0000}"/>
    <cellStyle name="Millares 2 5 6 2 2 2 2 3" xfId="41761" xr:uid="{00000000-0005-0000-0000-0000421B0000}"/>
    <cellStyle name="Millares 2 5 6 2 2 2 3" xfId="21409" xr:uid="{00000000-0005-0000-0000-0000431B0000}"/>
    <cellStyle name="Millares 2 5 6 2 2 2 3 2" xfId="48542" xr:uid="{00000000-0005-0000-0000-0000441B0000}"/>
    <cellStyle name="Millares 2 5 6 2 2 2 4" xfId="34980" xr:uid="{00000000-0005-0000-0000-0000451B0000}"/>
    <cellStyle name="Millares 2 5 6 2 2 3" xfId="11233" xr:uid="{00000000-0005-0000-0000-0000461B0000}"/>
    <cellStyle name="Millares 2 5 6 2 2 3 2" xfId="24801" xr:uid="{00000000-0005-0000-0000-0000471B0000}"/>
    <cellStyle name="Millares 2 5 6 2 2 3 2 2" xfId="51934" xr:uid="{00000000-0005-0000-0000-0000481B0000}"/>
    <cellStyle name="Millares 2 5 6 2 2 3 3" xfId="38372" xr:uid="{00000000-0005-0000-0000-0000491B0000}"/>
    <cellStyle name="Millares 2 5 6 2 2 4" xfId="18020" xr:uid="{00000000-0005-0000-0000-00004A1B0000}"/>
    <cellStyle name="Millares 2 5 6 2 2 4 2" xfId="45153" xr:uid="{00000000-0005-0000-0000-00004B1B0000}"/>
    <cellStyle name="Millares 2 5 6 2 2 5" xfId="31591" xr:uid="{00000000-0005-0000-0000-00004C1B0000}"/>
    <cellStyle name="Millares 2 5 6 2 3" xfId="4223" xr:uid="{00000000-0005-0000-0000-00004D1B0000}"/>
    <cellStyle name="Millares 2 5 6 2 3 2" xfId="7833" xr:uid="{00000000-0005-0000-0000-00004E1B0000}"/>
    <cellStyle name="Millares 2 5 6 2 3 2 2" xfId="14623" xr:uid="{00000000-0005-0000-0000-00004F1B0000}"/>
    <cellStyle name="Millares 2 5 6 2 3 2 2 2" xfId="28191" xr:uid="{00000000-0005-0000-0000-0000501B0000}"/>
    <cellStyle name="Millares 2 5 6 2 3 2 2 2 2" xfId="55324" xr:uid="{00000000-0005-0000-0000-0000511B0000}"/>
    <cellStyle name="Millares 2 5 6 2 3 2 2 3" xfId="41762" xr:uid="{00000000-0005-0000-0000-0000521B0000}"/>
    <cellStyle name="Millares 2 5 6 2 3 2 3" xfId="21410" xr:uid="{00000000-0005-0000-0000-0000531B0000}"/>
    <cellStyle name="Millares 2 5 6 2 3 2 3 2" xfId="48543" xr:uid="{00000000-0005-0000-0000-0000541B0000}"/>
    <cellStyle name="Millares 2 5 6 2 3 2 4" xfId="34981" xr:uid="{00000000-0005-0000-0000-0000551B0000}"/>
    <cellStyle name="Millares 2 5 6 2 3 3" xfId="11234" xr:uid="{00000000-0005-0000-0000-0000561B0000}"/>
    <cellStyle name="Millares 2 5 6 2 3 3 2" xfId="24802" xr:uid="{00000000-0005-0000-0000-0000571B0000}"/>
    <cellStyle name="Millares 2 5 6 2 3 3 2 2" xfId="51935" xr:uid="{00000000-0005-0000-0000-0000581B0000}"/>
    <cellStyle name="Millares 2 5 6 2 3 3 3" xfId="38373" xr:uid="{00000000-0005-0000-0000-0000591B0000}"/>
    <cellStyle name="Millares 2 5 6 2 3 4" xfId="18021" xr:uid="{00000000-0005-0000-0000-00005A1B0000}"/>
    <cellStyle name="Millares 2 5 6 2 3 4 2" xfId="45154" xr:uid="{00000000-0005-0000-0000-00005B1B0000}"/>
    <cellStyle name="Millares 2 5 6 2 3 5" xfId="31592" xr:uid="{00000000-0005-0000-0000-00005C1B0000}"/>
    <cellStyle name="Millares 2 5 6 2 4" xfId="7831" xr:uid="{00000000-0005-0000-0000-00005D1B0000}"/>
    <cellStyle name="Millares 2 5 6 2 4 2" xfId="14621" xr:uid="{00000000-0005-0000-0000-00005E1B0000}"/>
    <cellStyle name="Millares 2 5 6 2 4 2 2" xfId="28189" xr:uid="{00000000-0005-0000-0000-00005F1B0000}"/>
    <cellStyle name="Millares 2 5 6 2 4 2 2 2" xfId="55322" xr:uid="{00000000-0005-0000-0000-0000601B0000}"/>
    <cellStyle name="Millares 2 5 6 2 4 2 3" xfId="41760" xr:uid="{00000000-0005-0000-0000-0000611B0000}"/>
    <cellStyle name="Millares 2 5 6 2 4 3" xfId="21408" xr:uid="{00000000-0005-0000-0000-0000621B0000}"/>
    <cellStyle name="Millares 2 5 6 2 4 3 2" xfId="48541" xr:uid="{00000000-0005-0000-0000-0000631B0000}"/>
    <cellStyle name="Millares 2 5 6 2 4 4" xfId="34979" xr:uid="{00000000-0005-0000-0000-0000641B0000}"/>
    <cellStyle name="Millares 2 5 6 2 5" xfId="11232" xr:uid="{00000000-0005-0000-0000-0000651B0000}"/>
    <cellStyle name="Millares 2 5 6 2 5 2" xfId="24800" xr:uid="{00000000-0005-0000-0000-0000661B0000}"/>
    <cellStyle name="Millares 2 5 6 2 5 2 2" xfId="51933" xr:uid="{00000000-0005-0000-0000-0000671B0000}"/>
    <cellStyle name="Millares 2 5 6 2 5 3" xfId="38371" xr:uid="{00000000-0005-0000-0000-0000681B0000}"/>
    <cellStyle name="Millares 2 5 6 2 6" xfId="18019" xr:uid="{00000000-0005-0000-0000-0000691B0000}"/>
    <cellStyle name="Millares 2 5 6 2 6 2" xfId="45152" xr:uid="{00000000-0005-0000-0000-00006A1B0000}"/>
    <cellStyle name="Millares 2 5 6 2 7" xfId="31590" xr:uid="{00000000-0005-0000-0000-00006B1B0000}"/>
    <cellStyle name="Millares 2 5 6 3" xfId="4224" xr:uid="{00000000-0005-0000-0000-00006C1B0000}"/>
    <cellStyle name="Millares 2 5 6 3 2" xfId="7834" xr:uid="{00000000-0005-0000-0000-00006D1B0000}"/>
    <cellStyle name="Millares 2 5 6 3 2 2" xfId="14624" xr:uid="{00000000-0005-0000-0000-00006E1B0000}"/>
    <cellStyle name="Millares 2 5 6 3 2 2 2" xfId="28192" xr:uid="{00000000-0005-0000-0000-00006F1B0000}"/>
    <cellStyle name="Millares 2 5 6 3 2 2 2 2" xfId="55325" xr:uid="{00000000-0005-0000-0000-0000701B0000}"/>
    <cellStyle name="Millares 2 5 6 3 2 2 3" xfId="41763" xr:uid="{00000000-0005-0000-0000-0000711B0000}"/>
    <cellStyle name="Millares 2 5 6 3 2 3" xfId="21411" xr:uid="{00000000-0005-0000-0000-0000721B0000}"/>
    <cellStyle name="Millares 2 5 6 3 2 3 2" xfId="48544" xr:uid="{00000000-0005-0000-0000-0000731B0000}"/>
    <cellStyle name="Millares 2 5 6 3 2 4" xfId="34982" xr:uid="{00000000-0005-0000-0000-0000741B0000}"/>
    <cellStyle name="Millares 2 5 6 3 3" xfId="11235" xr:uid="{00000000-0005-0000-0000-0000751B0000}"/>
    <cellStyle name="Millares 2 5 6 3 3 2" xfId="24803" xr:uid="{00000000-0005-0000-0000-0000761B0000}"/>
    <cellStyle name="Millares 2 5 6 3 3 2 2" xfId="51936" xr:uid="{00000000-0005-0000-0000-0000771B0000}"/>
    <cellStyle name="Millares 2 5 6 3 3 3" xfId="38374" xr:uid="{00000000-0005-0000-0000-0000781B0000}"/>
    <cellStyle name="Millares 2 5 6 3 4" xfId="18022" xr:uid="{00000000-0005-0000-0000-0000791B0000}"/>
    <cellStyle name="Millares 2 5 6 3 4 2" xfId="45155" xr:uid="{00000000-0005-0000-0000-00007A1B0000}"/>
    <cellStyle name="Millares 2 5 6 3 5" xfId="31593" xr:uid="{00000000-0005-0000-0000-00007B1B0000}"/>
    <cellStyle name="Millares 2 5 6 4" xfId="4225" xr:uid="{00000000-0005-0000-0000-00007C1B0000}"/>
    <cellStyle name="Millares 2 5 6 4 2" xfId="7835" xr:uid="{00000000-0005-0000-0000-00007D1B0000}"/>
    <cellStyle name="Millares 2 5 6 4 2 2" xfId="14625" xr:uid="{00000000-0005-0000-0000-00007E1B0000}"/>
    <cellStyle name="Millares 2 5 6 4 2 2 2" xfId="28193" xr:uid="{00000000-0005-0000-0000-00007F1B0000}"/>
    <cellStyle name="Millares 2 5 6 4 2 2 2 2" xfId="55326" xr:uid="{00000000-0005-0000-0000-0000801B0000}"/>
    <cellStyle name="Millares 2 5 6 4 2 2 3" xfId="41764" xr:uid="{00000000-0005-0000-0000-0000811B0000}"/>
    <cellStyle name="Millares 2 5 6 4 2 3" xfId="21412" xr:uid="{00000000-0005-0000-0000-0000821B0000}"/>
    <cellStyle name="Millares 2 5 6 4 2 3 2" xfId="48545" xr:uid="{00000000-0005-0000-0000-0000831B0000}"/>
    <cellStyle name="Millares 2 5 6 4 2 4" xfId="34983" xr:uid="{00000000-0005-0000-0000-0000841B0000}"/>
    <cellStyle name="Millares 2 5 6 4 3" xfId="11236" xr:uid="{00000000-0005-0000-0000-0000851B0000}"/>
    <cellStyle name="Millares 2 5 6 4 3 2" xfId="24804" xr:uid="{00000000-0005-0000-0000-0000861B0000}"/>
    <cellStyle name="Millares 2 5 6 4 3 2 2" xfId="51937" xr:uid="{00000000-0005-0000-0000-0000871B0000}"/>
    <cellStyle name="Millares 2 5 6 4 3 3" xfId="38375" xr:uid="{00000000-0005-0000-0000-0000881B0000}"/>
    <cellStyle name="Millares 2 5 6 4 4" xfId="18023" xr:uid="{00000000-0005-0000-0000-0000891B0000}"/>
    <cellStyle name="Millares 2 5 6 4 4 2" xfId="45156" xr:uid="{00000000-0005-0000-0000-00008A1B0000}"/>
    <cellStyle name="Millares 2 5 6 4 5" xfId="31594" xr:uid="{00000000-0005-0000-0000-00008B1B0000}"/>
    <cellStyle name="Millares 2 5 6 5" xfId="7830" xr:uid="{00000000-0005-0000-0000-00008C1B0000}"/>
    <cellStyle name="Millares 2 5 6 5 2" xfId="14620" xr:uid="{00000000-0005-0000-0000-00008D1B0000}"/>
    <cellStyle name="Millares 2 5 6 5 2 2" xfId="28188" xr:uid="{00000000-0005-0000-0000-00008E1B0000}"/>
    <cellStyle name="Millares 2 5 6 5 2 2 2" xfId="55321" xr:uid="{00000000-0005-0000-0000-00008F1B0000}"/>
    <cellStyle name="Millares 2 5 6 5 2 3" xfId="41759" xr:uid="{00000000-0005-0000-0000-0000901B0000}"/>
    <cellStyle name="Millares 2 5 6 5 3" xfId="21407" xr:uid="{00000000-0005-0000-0000-0000911B0000}"/>
    <cellStyle name="Millares 2 5 6 5 3 2" xfId="48540" xr:uid="{00000000-0005-0000-0000-0000921B0000}"/>
    <cellStyle name="Millares 2 5 6 5 4" xfId="34978" xr:uid="{00000000-0005-0000-0000-0000931B0000}"/>
    <cellStyle name="Millares 2 5 6 6" xfId="11231" xr:uid="{00000000-0005-0000-0000-0000941B0000}"/>
    <cellStyle name="Millares 2 5 6 6 2" xfId="24799" xr:uid="{00000000-0005-0000-0000-0000951B0000}"/>
    <cellStyle name="Millares 2 5 6 6 2 2" xfId="51932" xr:uid="{00000000-0005-0000-0000-0000961B0000}"/>
    <cellStyle name="Millares 2 5 6 6 3" xfId="38370" xr:uid="{00000000-0005-0000-0000-0000971B0000}"/>
    <cellStyle name="Millares 2 5 6 7" xfId="18018" xr:uid="{00000000-0005-0000-0000-0000981B0000}"/>
    <cellStyle name="Millares 2 5 6 7 2" xfId="45151" xr:uid="{00000000-0005-0000-0000-0000991B0000}"/>
    <cellStyle name="Millares 2 5 6 8" xfId="31589" xr:uid="{00000000-0005-0000-0000-00009A1B0000}"/>
    <cellStyle name="Millares 2 5 7" xfId="4226" xr:uid="{00000000-0005-0000-0000-00009B1B0000}"/>
    <cellStyle name="Millares 2 5 7 2" xfId="4227" xr:uid="{00000000-0005-0000-0000-00009C1B0000}"/>
    <cellStyle name="Millares 2 5 7 2 2" xfId="4228" xr:uid="{00000000-0005-0000-0000-00009D1B0000}"/>
    <cellStyle name="Millares 2 5 7 2 2 2" xfId="7838" xr:uid="{00000000-0005-0000-0000-00009E1B0000}"/>
    <cellStyle name="Millares 2 5 7 2 2 2 2" xfId="14628" xr:uid="{00000000-0005-0000-0000-00009F1B0000}"/>
    <cellStyle name="Millares 2 5 7 2 2 2 2 2" xfId="28196" xr:uid="{00000000-0005-0000-0000-0000A01B0000}"/>
    <cellStyle name="Millares 2 5 7 2 2 2 2 2 2" xfId="55329" xr:uid="{00000000-0005-0000-0000-0000A11B0000}"/>
    <cellStyle name="Millares 2 5 7 2 2 2 2 3" xfId="41767" xr:uid="{00000000-0005-0000-0000-0000A21B0000}"/>
    <cellStyle name="Millares 2 5 7 2 2 2 3" xfId="21415" xr:uid="{00000000-0005-0000-0000-0000A31B0000}"/>
    <cellStyle name="Millares 2 5 7 2 2 2 3 2" xfId="48548" xr:uid="{00000000-0005-0000-0000-0000A41B0000}"/>
    <cellStyle name="Millares 2 5 7 2 2 2 4" xfId="34986" xr:uid="{00000000-0005-0000-0000-0000A51B0000}"/>
    <cellStyle name="Millares 2 5 7 2 2 3" xfId="11239" xr:uid="{00000000-0005-0000-0000-0000A61B0000}"/>
    <cellStyle name="Millares 2 5 7 2 2 3 2" xfId="24807" xr:uid="{00000000-0005-0000-0000-0000A71B0000}"/>
    <cellStyle name="Millares 2 5 7 2 2 3 2 2" xfId="51940" xr:uid="{00000000-0005-0000-0000-0000A81B0000}"/>
    <cellStyle name="Millares 2 5 7 2 2 3 3" xfId="38378" xr:uid="{00000000-0005-0000-0000-0000A91B0000}"/>
    <cellStyle name="Millares 2 5 7 2 2 4" xfId="18026" xr:uid="{00000000-0005-0000-0000-0000AA1B0000}"/>
    <cellStyle name="Millares 2 5 7 2 2 4 2" xfId="45159" xr:uid="{00000000-0005-0000-0000-0000AB1B0000}"/>
    <cellStyle name="Millares 2 5 7 2 2 5" xfId="31597" xr:uid="{00000000-0005-0000-0000-0000AC1B0000}"/>
    <cellStyle name="Millares 2 5 7 2 3" xfId="4229" xr:uid="{00000000-0005-0000-0000-0000AD1B0000}"/>
    <cellStyle name="Millares 2 5 7 2 3 2" xfId="7839" xr:uid="{00000000-0005-0000-0000-0000AE1B0000}"/>
    <cellStyle name="Millares 2 5 7 2 3 2 2" xfId="14629" xr:uid="{00000000-0005-0000-0000-0000AF1B0000}"/>
    <cellStyle name="Millares 2 5 7 2 3 2 2 2" xfId="28197" xr:uid="{00000000-0005-0000-0000-0000B01B0000}"/>
    <cellStyle name="Millares 2 5 7 2 3 2 2 2 2" xfId="55330" xr:uid="{00000000-0005-0000-0000-0000B11B0000}"/>
    <cellStyle name="Millares 2 5 7 2 3 2 2 3" xfId="41768" xr:uid="{00000000-0005-0000-0000-0000B21B0000}"/>
    <cellStyle name="Millares 2 5 7 2 3 2 3" xfId="21416" xr:uid="{00000000-0005-0000-0000-0000B31B0000}"/>
    <cellStyle name="Millares 2 5 7 2 3 2 3 2" xfId="48549" xr:uid="{00000000-0005-0000-0000-0000B41B0000}"/>
    <cellStyle name="Millares 2 5 7 2 3 2 4" xfId="34987" xr:uid="{00000000-0005-0000-0000-0000B51B0000}"/>
    <cellStyle name="Millares 2 5 7 2 3 3" xfId="11240" xr:uid="{00000000-0005-0000-0000-0000B61B0000}"/>
    <cellStyle name="Millares 2 5 7 2 3 3 2" xfId="24808" xr:uid="{00000000-0005-0000-0000-0000B71B0000}"/>
    <cellStyle name="Millares 2 5 7 2 3 3 2 2" xfId="51941" xr:uid="{00000000-0005-0000-0000-0000B81B0000}"/>
    <cellStyle name="Millares 2 5 7 2 3 3 3" xfId="38379" xr:uid="{00000000-0005-0000-0000-0000B91B0000}"/>
    <cellStyle name="Millares 2 5 7 2 3 4" xfId="18027" xr:uid="{00000000-0005-0000-0000-0000BA1B0000}"/>
    <cellStyle name="Millares 2 5 7 2 3 4 2" xfId="45160" xr:uid="{00000000-0005-0000-0000-0000BB1B0000}"/>
    <cellStyle name="Millares 2 5 7 2 3 5" xfId="31598" xr:uid="{00000000-0005-0000-0000-0000BC1B0000}"/>
    <cellStyle name="Millares 2 5 7 2 4" xfId="7837" xr:uid="{00000000-0005-0000-0000-0000BD1B0000}"/>
    <cellStyle name="Millares 2 5 7 2 4 2" xfId="14627" xr:uid="{00000000-0005-0000-0000-0000BE1B0000}"/>
    <cellStyle name="Millares 2 5 7 2 4 2 2" xfId="28195" xr:uid="{00000000-0005-0000-0000-0000BF1B0000}"/>
    <cellStyle name="Millares 2 5 7 2 4 2 2 2" xfId="55328" xr:uid="{00000000-0005-0000-0000-0000C01B0000}"/>
    <cellStyle name="Millares 2 5 7 2 4 2 3" xfId="41766" xr:uid="{00000000-0005-0000-0000-0000C11B0000}"/>
    <cellStyle name="Millares 2 5 7 2 4 3" xfId="21414" xr:uid="{00000000-0005-0000-0000-0000C21B0000}"/>
    <cellStyle name="Millares 2 5 7 2 4 3 2" xfId="48547" xr:uid="{00000000-0005-0000-0000-0000C31B0000}"/>
    <cellStyle name="Millares 2 5 7 2 4 4" xfId="34985" xr:uid="{00000000-0005-0000-0000-0000C41B0000}"/>
    <cellStyle name="Millares 2 5 7 2 5" xfId="11238" xr:uid="{00000000-0005-0000-0000-0000C51B0000}"/>
    <cellStyle name="Millares 2 5 7 2 5 2" xfId="24806" xr:uid="{00000000-0005-0000-0000-0000C61B0000}"/>
    <cellStyle name="Millares 2 5 7 2 5 2 2" xfId="51939" xr:uid="{00000000-0005-0000-0000-0000C71B0000}"/>
    <cellStyle name="Millares 2 5 7 2 5 3" xfId="38377" xr:uid="{00000000-0005-0000-0000-0000C81B0000}"/>
    <cellStyle name="Millares 2 5 7 2 6" xfId="18025" xr:uid="{00000000-0005-0000-0000-0000C91B0000}"/>
    <cellStyle name="Millares 2 5 7 2 6 2" xfId="45158" xr:uid="{00000000-0005-0000-0000-0000CA1B0000}"/>
    <cellStyle name="Millares 2 5 7 2 7" xfId="31596" xr:uid="{00000000-0005-0000-0000-0000CB1B0000}"/>
    <cellStyle name="Millares 2 5 7 3" xfId="4230" xr:uid="{00000000-0005-0000-0000-0000CC1B0000}"/>
    <cellStyle name="Millares 2 5 7 3 2" xfId="7840" xr:uid="{00000000-0005-0000-0000-0000CD1B0000}"/>
    <cellStyle name="Millares 2 5 7 3 2 2" xfId="14630" xr:uid="{00000000-0005-0000-0000-0000CE1B0000}"/>
    <cellStyle name="Millares 2 5 7 3 2 2 2" xfId="28198" xr:uid="{00000000-0005-0000-0000-0000CF1B0000}"/>
    <cellStyle name="Millares 2 5 7 3 2 2 2 2" xfId="55331" xr:uid="{00000000-0005-0000-0000-0000D01B0000}"/>
    <cellStyle name="Millares 2 5 7 3 2 2 3" xfId="41769" xr:uid="{00000000-0005-0000-0000-0000D11B0000}"/>
    <cellStyle name="Millares 2 5 7 3 2 3" xfId="21417" xr:uid="{00000000-0005-0000-0000-0000D21B0000}"/>
    <cellStyle name="Millares 2 5 7 3 2 3 2" xfId="48550" xr:uid="{00000000-0005-0000-0000-0000D31B0000}"/>
    <cellStyle name="Millares 2 5 7 3 2 4" xfId="34988" xr:uid="{00000000-0005-0000-0000-0000D41B0000}"/>
    <cellStyle name="Millares 2 5 7 3 3" xfId="11241" xr:uid="{00000000-0005-0000-0000-0000D51B0000}"/>
    <cellStyle name="Millares 2 5 7 3 3 2" xfId="24809" xr:uid="{00000000-0005-0000-0000-0000D61B0000}"/>
    <cellStyle name="Millares 2 5 7 3 3 2 2" xfId="51942" xr:uid="{00000000-0005-0000-0000-0000D71B0000}"/>
    <cellStyle name="Millares 2 5 7 3 3 3" xfId="38380" xr:uid="{00000000-0005-0000-0000-0000D81B0000}"/>
    <cellStyle name="Millares 2 5 7 3 4" xfId="18028" xr:uid="{00000000-0005-0000-0000-0000D91B0000}"/>
    <cellStyle name="Millares 2 5 7 3 4 2" xfId="45161" xr:uid="{00000000-0005-0000-0000-0000DA1B0000}"/>
    <cellStyle name="Millares 2 5 7 3 5" xfId="31599" xr:uid="{00000000-0005-0000-0000-0000DB1B0000}"/>
    <cellStyle name="Millares 2 5 7 4" xfId="4231" xr:uid="{00000000-0005-0000-0000-0000DC1B0000}"/>
    <cellStyle name="Millares 2 5 7 4 2" xfId="7841" xr:uid="{00000000-0005-0000-0000-0000DD1B0000}"/>
    <cellStyle name="Millares 2 5 7 4 2 2" xfId="14631" xr:uid="{00000000-0005-0000-0000-0000DE1B0000}"/>
    <cellStyle name="Millares 2 5 7 4 2 2 2" xfId="28199" xr:uid="{00000000-0005-0000-0000-0000DF1B0000}"/>
    <cellStyle name="Millares 2 5 7 4 2 2 2 2" xfId="55332" xr:uid="{00000000-0005-0000-0000-0000E01B0000}"/>
    <cellStyle name="Millares 2 5 7 4 2 2 3" xfId="41770" xr:uid="{00000000-0005-0000-0000-0000E11B0000}"/>
    <cellStyle name="Millares 2 5 7 4 2 3" xfId="21418" xr:uid="{00000000-0005-0000-0000-0000E21B0000}"/>
    <cellStyle name="Millares 2 5 7 4 2 3 2" xfId="48551" xr:uid="{00000000-0005-0000-0000-0000E31B0000}"/>
    <cellStyle name="Millares 2 5 7 4 2 4" xfId="34989" xr:uid="{00000000-0005-0000-0000-0000E41B0000}"/>
    <cellStyle name="Millares 2 5 7 4 3" xfId="11242" xr:uid="{00000000-0005-0000-0000-0000E51B0000}"/>
    <cellStyle name="Millares 2 5 7 4 3 2" xfId="24810" xr:uid="{00000000-0005-0000-0000-0000E61B0000}"/>
    <cellStyle name="Millares 2 5 7 4 3 2 2" xfId="51943" xr:uid="{00000000-0005-0000-0000-0000E71B0000}"/>
    <cellStyle name="Millares 2 5 7 4 3 3" xfId="38381" xr:uid="{00000000-0005-0000-0000-0000E81B0000}"/>
    <cellStyle name="Millares 2 5 7 4 4" xfId="18029" xr:uid="{00000000-0005-0000-0000-0000E91B0000}"/>
    <cellStyle name="Millares 2 5 7 4 4 2" xfId="45162" xr:uid="{00000000-0005-0000-0000-0000EA1B0000}"/>
    <cellStyle name="Millares 2 5 7 4 5" xfId="31600" xr:uid="{00000000-0005-0000-0000-0000EB1B0000}"/>
    <cellStyle name="Millares 2 5 7 5" xfId="7836" xr:uid="{00000000-0005-0000-0000-0000EC1B0000}"/>
    <cellStyle name="Millares 2 5 7 5 2" xfId="14626" xr:uid="{00000000-0005-0000-0000-0000ED1B0000}"/>
    <cellStyle name="Millares 2 5 7 5 2 2" xfId="28194" xr:uid="{00000000-0005-0000-0000-0000EE1B0000}"/>
    <cellStyle name="Millares 2 5 7 5 2 2 2" xfId="55327" xr:uid="{00000000-0005-0000-0000-0000EF1B0000}"/>
    <cellStyle name="Millares 2 5 7 5 2 3" xfId="41765" xr:uid="{00000000-0005-0000-0000-0000F01B0000}"/>
    <cellStyle name="Millares 2 5 7 5 3" xfId="21413" xr:uid="{00000000-0005-0000-0000-0000F11B0000}"/>
    <cellStyle name="Millares 2 5 7 5 3 2" xfId="48546" xr:uid="{00000000-0005-0000-0000-0000F21B0000}"/>
    <cellStyle name="Millares 2 5 7 5 4" xfId="34984" xr:uid="{00000000-0005-0000-0000-0000F31B0000}"/>
    <cellStyle name="Millares 2 5 7 6" xfId="11237" xr:uid="{00000000-0005-0000-0000-0000F41B0000}"/>
    <cellStyle name="Millares 2 5 7 6 2" xfId="24805" xr:uid="{00000000-0005-0000-0000-0000F51B0000}"/>
    <cellStyle name="Millares 2 5 7 6 2 2" xfId="51938" xr:uid="{00000000-0005-0000-0000-0000F61B0000}"/>
    <cellStyle name="Millares 2 5 7 6 3" xfId="38376" xr:uid="{00000000-0005-0000-0000-0000F71B0000}"/>
    <cellStyle name="Millares 2 5 7 7" xfId="18024" xr:uid="{00000000-0005-0000-0000-0000F81B0000}"/>
    <cellStyle name="Millares 2 5 7 7 2" xfId="45157" xr:uid="{00000000-0005-0000-0000-0000F91B0000}"/>
    <cellStyle name="Millares 2 5 7 8" xfId="31595" xr:uid="{00000000-0005-0000-0000-0000FA1B0000}"/>
    <cellStyle name="Millares 2 5 8" xfId="4232" xr:uid="{00000000-0005-0000-0000-0000FB1B0000}"/>
    <cellStyle name="Millares 2 5 8 2" xfId="4233" xr:uid="{00000000-0005-0000-0000-0000FC1B0000}"/>
    <cellStyle name="Millares 2 5 8 2 2" xfId="7843" xr:uid="{00000000-0005-0000-0000-0000FD1B0000}"/>
    <cellStyle name="Millares 2 5 8 2 2 2" xfId="14633" xr:uid="{00000000-0005-0000-0000-0000FE1B0000}"/>
    <cellStyle name="Millares 2 5 8 2 2 2 2" xfId="28201" xr:uid="{00000000-0005-0000-0000-0000FF1B0000}"/>
    <cellStyle name="Millares 2 5 8 2 2 2 2 2" xfId="55334" xr:uid="{00000000-0005-0000-0000-0000001C0000}"/>
    <cellStyle name="Millares 2 5 8 2 2 2 3" xfId="41772" xr:uid="{00000000-0005-0000-0000-0000011C0000}"/>
    <cellStyle name="Millares 2 5 8 2 2 3" xfId="21420" xr:uid="{00000000-0005-0000-0000-0000021C0000}"/>
    <cellStyle name="Millares 2 5 8 2 2 3 2" xfId="48553" xr:uid="{00000000-0005-0000-0000-0000031C0000}"/>
    <cellStyle name="Millares 2 5 8 2 2 4" xfId="34991" xr:uid="{00000000-0005-0000-0000-0000041C0000}"/>
    <cellStyle name="Millares 2 5 8 2 3" xfId="11244" xr:uid="{00000000-0005-0000-0000-0000051C0000}"/>
    <cellStyle name="Millares 2 5 8 2 3 2" xfId="24812" xr:uid="{00000000-0005-0000-0000-0000061C0000}"/>
    <cellStyle name="Millares 2 5 8 2 3 2 2" xfId="51945" xr:uid="{00000000-0005-0000-0000-0000071C0000}"/>
    <cellStyle name="Millares 2 5 8 2 3 3" xfId="38383" xr:uid="{00000000-0005-0000-0000-0000081C0000}"/>
    <cellStyle name="Millares 2 5 8 2 4" xfId="18031" xr:uid="{00000000-0005-0000-0000-0000091C0000}"/>
    <cellStyle name="Millares 2 5 8 2 4 2" xfId="45164" xr:uid="{00000000-0005-0000-0000-00000A1C0000}"/>
    <cellStyle name="Millares 2 5 8 2 5" xfId="31602" xr:uid="{00000000-0005-0000-0000-00000B1C0000}"/>
    <cellStyle name="Millares 2 5 8 3" xfId="4234" xr:uid="{00000000-0005-0000-0000-00000C1C0000}"/>
    <cellStyle name="Millares 2 5 8 3 2" xfId="7844" xr:uid="{00000000-0005-0000-0000-00000D1C0000}"/>
    <cellStyle name="Millares 2 5 8 3 2 2" xfId="14634" xr:uid="{00000000-0005-0000-0000-00000E1C0000}"/>
    <cellStyle name="Millares 2 5 8 3 2 2 2" xfId="28202" xr:uid="{00000000-0005-0000-0000-00000F1C0000}"/>
    <cellStyle name="Millares 2 5 8 3 2 2 2 2" xfId="55335" xr:uid="{00000000-0005-0000-0000-0000101C0000}"/>
    <cellStyle name="Millares 2 5 8 3 2 2 3" xfId="41773" xr:uid="{00000000-0005-0000-0000-0000111C0000}"/>
    <cellStyle name="Millares 2 5 8 3 2 3" xfId="21421" xr:uid="{00000000-0005-0000-0000-0000121C0000}"/>
    <cellStyle name="Millares 2 5 8 3 2 3 2" xfId="48554" xr:uid="{00000000-0005-0000-0000-0000131C0000}"/>
    <cellStyle name="Millares 2 5 8 3 2 4" xfId="34992" xr:uid="{00000000-0005-0000-0000-0000141C0000}"/>
    <cellStyle name="Millares 2 5 8 3 3" xfId="11245" xr:uid="{00000000-0005-0000-0000-0000151C0000}"/>
    <cellStyle name="Millares 2 5 8 3 3 2" xfId="24813" xr:uid="{00000000-0005-0000-0000-0000161C0000}"/>
    <cellStyle name="Millares 2 5 8 3 3 2 2" xfId="51946" xr:uid="{00000000-0005-0000-0000-0000171C0000}"/>
    <cellStyle name="Millares 2 5 8 3 3 3" xfId="38384" xr:uid="{00000000-0005-0000-0000-0000181C0000}"/>
    <cellStyle name="Millares 2 5 8 3 4" xfId="18032" xr:uid="{00000000-0005-0000-0000-0000191C0000}"/>
    <cellStyle name="Millares 2 5 8 3 4 2" xfId="45165" xr:uid="{00000000-0005-0000-0000-00001A1C0000}"/>
    <cellStyle name="Millares 2 5 8 3 5" xfId="31603" xr:uid="{00000000-0005-0000-0000-00001B1C0000}"/>
    <cellStyle name="Millares 2 5 8 4" xfId="7842" xr:uid="{00000000-0005-0000-0000-00001C1C0000}"/>
    <cellStyle name="Millares 2 5 8 4 2" xfId="14632" xr:uid="{00000000-0005-0000-0000-00001D1C0000}"/>
    <cellStyle name="Millares 2 5 8 4 2 2" xfId="28200" xr:uid="{00000000-0005-0000-0000-00001E1C0000}"/>
    <cellStyle name="Millares 2 5 8 4 2 2 2" xfId="55333" xr:uid="{00000000-0005-0000-0000-00001F1C0000}"/>
    <cellStyle name="Millares 2 5 8 4 2 3" xfId="41771" xr:uid="{00000000-0005-0000-0000-0000201C0000}"/>
    <cellStyle name="Millares 2 5 8 4 3" xfId="21419" xr:uid="{00000000-0005-0000-0000-0000211C0000}"/>
    <cellStyle name="Millares 2 5 8 4 3 2" xfId="48552" xr:uid="{00000000-0005-0000-0000-0000221C0000}"/>
    <cellStyle name="Millares 2 5 8 4 4" xfId="34990" xr:uid="{00000000-0005-0000-0000-0000231C0000}"/>
    <cellStyle name="Millares 2 5 8 5" xfId="11243" xr:uid="{00000000-0005-0000-0000-0000241C0000}"/>
    <cellStyle name="Millares 2 5 8 5 2" xfId="24811" xr:uid="{00000000-0005-0000-0000-0000251C0000}"/>
    <cellStyle name="Millares 2 5 8 5 2 2" xfId="51944" xr:uid="{00000000-0005-0000-0000-0000261C0000}"/>
    <cellStyle name="Millares 2 5 8 5 3" xfId="38382" xr:uid="{00000000-0005-0000-0000-0000271C0000}"/>
    <cellStyle name="Millares 2 5 8 6" xfId="18030" xr:uid="{00000000-0005-0000-0000-0000281C0000}"/>
    <cellStyle name="Millares 2 5 8 6 2" xfId="45163" xr:uid="{00000000-0005-0000-0000-0000291C0000}"/>
    <cellStyle name="Millares 2 5 8 7" xfId="31601" xr:uid="{00000000-0005-0000-0000-00002A1C0000}"/>
    <cellStyle name="Millares 2 5 9" xfId="4235" xr:uid="{00000000-0005-0000-0000-00002B1C0000}"/>
    <cellStyle name="Millares 2 5 9 2" xfId="4236" xr:uid="{00000000-0005-0000-0000-00002C1C0000}"/>
    <cellStyle name="Millares 2 5 9 2 2" xfId="7846" xr:uid="{00000000-0005-0000-0000-00002D1C0000}"/>
    <cellStyle name="Millares 2 5 9 2 2 2" xfId="14636" xr:uid="{00000000-0005-0000-0000-00002E1C0000}"/>
    <cellStyle name="Millares 2 5 9 2 2 2 2" xfId="28204" xr:uid="{00000000-0005-0000-0000-00002F1C0000}"/>
    <cellStyle name="Millares 2 5 9 2 2 2 2 2" xfId="55337" xr:uid="{00000000-0005-0000-0000-0000301C0000}"/>
    <cellStyle name="Millares 2 5 9 2 2 2 3" xfId="41775" xr:uid="{00000000-0005-0000-0000-0000311C0000}"/>
    <cellStyle name="Millares 2 5 9 2 2 3" xfId="21423" xr:uid="{00000000-0005-0000-0000-0000321C0000}"/>
    <cellStyle name="Millares 2 5 9 2 2 3 2" xfId="48556" xr:uid="{00000000-0005-0000-0000-0000331C0000}"/>
    <cellStyle name="Millares 2 5 9 2 2 4" xfId="34994" xr:uid="{00000000-0005-0000-0000-0000341C0000}"/>
    <cellStyle name="Millares 2 5 9 2 3" xfId="11247" xr:uid="{00000000-0005-0000-0000-0000351C0000}"/>
    <cellStyle name="Millares 2 5 9 2 3 2" xfId="24815" xr:uid="{00000000-0005-0000-0000-0000361C0000}"/>
    <cellStyle name="Millares 2 5 9 2 3 2 2" xfId="51948" xr:uid="{00000000-0005-0000-0000-0000371C0000}"/>
    <cellStyle name="Millares 2 5 9 2 3 3" xfId="38386" xr:uid="{00000000-0005-0000-0000-0000381C0000}"/>
    <cellStyle name="Millares 2 5 9 2 4" xfId="18034" xr:uid="{00000000-0005-0000-0000-0000391C0000}"/>
    <cellStyle name="Millares 2 5 9 2 4 2" xfId="45167" xr:uid="{00000000-0005-0000-0000-00003A1C0000}"/>
    <cellStyle name="Millares 2 5 9 2 5" xfId="31605" xr:uid="{00000000-0005-0000-0000-00003B1C0000}"/>
    <cellStyle name="Millares 2 5 9 3" xfId="4237" xr:uid="{00000000-0005-0000-0000-00003C1C0000}"/>
    <cellStyle name="Millares 2 5 9 3 2" xfId="7847" xr:uid="{00000000-0005-0000-0000-00003D1C0000}"/>
    <cellStyle name="Millares 2 5 9 3 2 2" xfId="14637" xr:uid="{00000000-0005-0000-0000-00003E1C0000}"/>
    <cellStyle name="Millares 2 5 9 3 2 2 2" xfId="28205" xr:uid="{00000000-0005-0000-0000-00003F1C0000}"/>
    <cellStyle name="Millares 2 5 9 3 2 2 2 2" xfId="55338" xr:uid="{00000000-0005-0000-0000-0000401C0000}"/>
    <cellStyle name="Millares 2 5 9 3 2 2 3" xfId="41776" xr:uid="{00000000-0005-0000-0000-0000411C0000}"/>
    <cellStyle name="Millares 2 5 9 3 2 3" xfId="21424" xr:uid="{00000000-0005-0000-0000-0000421C0000}"/>
    <cellStyle name="Millares 2 5 9 3 2 3 2" xfId="48557" xr:uid="{00000000-0005-0000-0000-0000431C0000}"/>
    <cellStyle name="Millares 2 5 9 3 2 4" xfId="34995" xr:uid="{00000000-0005-0000-0000-0000441C0000}"/>
    <cellStyle name="Millares 2 5 9 3 3" xfId="11248" xr:uid="{00000000-0005-0000-0000-0000451C0000}"/>
    <cellStyle name="Millares 2 5 9 3 3 2" xfId="24816" xr:uid="{00000000-0005-0000-0000-0000461C0000}"/>
    <cellStyle name="Millares 2 5 9 3 3 2 2" xfId="51949" xr:uid="{00000000-0005-0000-0000-0000471C0000}"/>
    <cellStyle name="Millares 2 5 9 3 3 3" xfId="38387" xr:uid="{00000000-0005-0000-0000-0000481C0000}"/>
    <cellStyle name="Millares 2 5 9 3 4" xfId="18035" xr:uid="{00000000-0005-0000-0000-0000491C0000}"/>
    <cellStyle name="Millares 2 5 9 3 4 2" xfId="45168" xr:uid="{00000000-0005-0000-0000-00004A1C0000}"/>
    <cellStyle name="Millares 2 5 9 3 5" xfId="31606" xr:uid="{00000000-0005-0000-0000-00004B1C0000}"/>
    <cellStyle name="Millares 2 5 9 4" xfId="7845" xr:uid="{00000000-0005-0000-0000-00004C1C0000}"/>
    <cellStyle name="Millares 2 5 9 4 2" xfId="14635" xr:uid="{00000000-0005-0000-0000-00004D1C0000}"/>
    <cellStyle name="Millares 2 5 9 4 2 2" xfId="28203" xr:uid="{00000000-0005-0000-0000-00004E1C0000}"/>
    <cellStyle name="Millares 2 5 9 4 2 2 2" xfId="55336" xr:uid="{00000000-0005-0000-0000-00004F1C0000}"/>
    <cellStyle name="Millares 2 5 9 4 2 3" xfId="41774" xr:uid="{00000000-0005-0000-0000-0000501C0000}"/>
    <cellStyle name="Millares 2 5 9 4 3" xfId="21422" xr:uid="{00000000-0005-0000-0000-0000511C0000}"/>
    <cellStyle name="Millares 2 5 9 4 3 2" xfId="48555" xr:uid="{00000000-0005-0000-0000-0000521C0000}"/>
    <cellStyle name="Millares 2 5 9 4 4" xfId="34993" xr:uid="{00000000-0005-0000-0000-0000531C0000}"/>
    <cellStyle name="Millares 2 5 9 5" xfId="11246" xr:uid="{00000000-0005-0000-0000-0000541C0000}"/>
    <cellStyle name="Millares 2 5 9 5 2" xfId="24814" xr:uid="{00000000-0005-0000-0000-0000551C0000}"/>
    <cellStyle name="Millares 2 5 9 5 2 2" xfId="51947" xr:uid="{00000000-0005-0000-0000-0000561C0000}"/>
    <cellStyle name="Millares 2 5 9 5 3" xfId="38385" xr:uid="{00000000-0005-0000-0000-0000571C0000}"/>
    <cellStyle name="Millares 2 5 9 6" xfId="18033" xr:uid="{00000000-0005-0000-0000-0000581C0000}"/>
    <cellStyle name="Millares 2 5 9 6 2" xfId="45166" xr:uid="{00000000-0005-0000-0000-0000591C0000}"/>
    <cellStyle name="Millares 2 5 9 7" xfId="31604" xr:uid="{00000000-0005-0000-0000-00005A1C0000}"/>
    <cellStyle name="Millares 2 50" xfId="2411" xr:uid="{00000000-0005-0000-0000-00005B1C0000}"/>
    <cellStyle name="Millares 2 51" xfId="2412" xr:uid="{00000000-0005-0000-0000-00005C1C0000}"/>
    <cellStyle name="Millares 2 52" xfId="2413" xr:uid="{00000000-0005-0000-0000-00005D1C0000}"/>
    <cellStyle name="Millares 2 53" xfId="2414" xr:uid="{00000000-0005-0000-0000-00005E1C0000}"/>
    <cellStyle name="Millares 2 54" xfId="2415" xr:uid="{00000000-0005-0000-0000-00005F1C0000}"/>
    <cellStyle name="Millares 2 55" xfId="2416" xr:uid="{00000000-0005-0000-0000-0000601C0000}"/>
    <cellStyle name="Millares 2 56" xfId="2417" xr:uid="{00000000-0005-0000-0000-0000611C0000}"/>
    <cellStyle name="Millares 2 57" xfId="10" xr:uid="{00000000-0005-0000-0000-0000621C0000}"/>
    <cellStyle name="Millares 2 57 2" xfId="2418" xr:uid="{00000000-0005-0000-0000-0000631C0000}"/>
    <cellStyle name="Millares 2 58" xfId="2419" xr:uid="{00000000-0005-0000-0000-0000641C0000}"/>
    <cellStyle name="Millares 2 59" xfId="2420" xr:uid="{00000000-0005-0000-0000-0000651C0000}"/>
    <cellStyle name="Millares 2 6" xfId="2421" xr:uid="{00000000-0005-0000-0000-0000661C0000}"/>
    <cellStyle name="Millares 2 6 10" xfId="4238" xr:uid="{00000000-0005-0000-0000-0000671C0000}"/>
    <cellStyle name="Millares 2 6 10 2" xfId="7848" xr:uid="{00000000-0005-0000-0000-0000681C0000}"/>
    <cellStyle name="Millares 2 6 10 2 2" xfId="14638" xr:uid="{00000000-0005-0000-0000-0000691C0000}"/>
    <cellStyle name="Millares 2 6 10 2 2 2" xfId="28206" xr:uid="{00000000-0005-0000-0000-00006A1C0000}"/>
    <cellStyle name="Millares 2 6 10 2 2 2 2" xfId="55339" xr:uid="{00000000-0005-0000-0000-00006B1C0000}"/>
    <cellStyle name="Millares 2 6 10 2 2 3" xfId="41777" xr:uid="{00000000-0005-0000-0000-00006C1C0000}"/>
    <cellStyle name="Millares 2 6 10 2 3" xfId="21425" xr:uid="{00000000-0005-0000-0000-00006D1C0000}"/>
    <cellStyle name="Millares 2 6 10 2 3 2" xfId="48558" xr:uid="{00000000-0005-0000-0000-00006E1C0000}"/>
    <cellStyle name="Millares 2 6 10 2 4" xfId="34996" xr:uid="{00000000-0005-0000-0000-00006F1C0000}"/>
    <cellStyle name="Millares 2 6 10 3" xfId="11249" xr:uid="{00000000-0005-0000-0000-0000701C0000}"/>
    <cellStyle name="Millares 2 6 10 3 2" xfId="24817" xr:uid="{00000000-0005-0000-0000-0000711C0000}"/>
    <cellStyle name="Millares 2 6 10 3 2 2" xfId="51950" xr:uid="{00000000-0005-0000-0000-0000721C0000}"/>
    <cellStyle name="Millares 2 6 10 3 3" xfId="38388" xr:uid="{00000000-0005-0000-0000-0000731C0000}"/>
    <cellStyle name="Millares 2 6 10 4" xfId="18036" xr:uid="{00000000-0005-0000-0000-0000741C0000}"/>
    <cellStyle name="Millares 2 6 10 4 2" xfId="45169" xr:uid="{00000000-0005-0000-0000-0000751C0000}"/>
    <cellStyle name="Millares 2 6 10 5" xfId="31607" xr:uid="{00000000-0005-0000-0000-0000761C0000}"/>
    <cellStyle name="Millares 2 6 11" xfId="4239" xr:uid="{00000000-0005-0000-0000-0000771C0000}"/>
    <cellStyle name="Millares 2 6 11 2" xfId="7849" xr:uid="{00000000-0005-0000-0000-0000781C0000}"/>
    <cellStyle name="Millares 2 6 11 2 2" xfId="14639" xr:uid="{00000000-0005-0000-0000-0000791C0000}"/>
    <cellStyle name="Millares 2 6 11 2 2 2" xfId="28207" xr:uid="{00000000-0005-0000-0000-00007A1C0000}"/>
    <cellStyle name="Millares 2 6 11 2 2 2 2" xfId="55340" xr:uid="{00000000-0005-0000-0000-00007B1C0000}"/>
    <cellStyle name="Millares 2 6 11 2 2 3" xfId="41778" xr:uid="{00000000-0005-0000-0000-00007C1C0000}"/>
    <cellStyle name="Millares 2 6 11 2 3" xfId="21426" xr:uid="{00000000-0005-0000-0000-00007D1C0000}"/>
    <cellStyle name="Millares 2 6 11 2 3 2" xfId="48559" xr:uid="{00000000-0005-0000-0000-00007E1C0000}"/>
    <cellStyle name="Millares 2 6 11 2 4" xfId="34997" xr:uid="{00000000-0005-0000-0000-00007F1C0000}"/>
    <cellStyle name="Millares 2 6 11 3" xfId="11250" xr:uid="{00000000-0005-0000-0000-0000801C0000}"/>
    <cellStyle name="Millares 2 6 11 3 2" xfId="24818" xr:uid="{00000000-0005-0000-0000-0000811C0000}"/>
    <cellStyle name="Millares 2 6 11 3 2 2" xfId="51951" xr:uid="{00000000-0005-0000-0000-0000821C0000}"/>
    <cellStyle name="Millares 2 6 11 3 3" xfId="38389" xr:uid="{00000000-0005-0000-0000-0000831C0000}"/>
    <cellStyle name="Millares 2 6 11 4" xfId="18037" xr:uid="{00000000-0005-0000-0000-0000841C0000}"/>
    <cellStyle name="Millares 2 6 11 4 2" xfId="45170" xr:uid="{00000000-0005-0000-0000-0000851C0000}"/>
    <cellStyle name="Millares 2 6 11 5" xfId="31608" xr:uid="{00000000-0005-0000-0000-0000861C0000}"/>
    <cellStyle name="Millares 2 6 2" xfId="4240" xr:uid="{00000000-0005-0000-0000-0000871C0000}"/>
    <cellStyle name="Millares 2 6 2 10" xfId="7850" xr:uid="{00000000-0005-0000-0000-0000881C0000}"/>
    <cellStyle name="Millares 2 6 2 10 2" xfId="14640" xr:uid="{00000000-0005-0000-0000-0000891C0000}"/>
    <cellStyle name="Millares 2 6 2 10 2 2" xfId="28208" xr:uid="{00000000-0005-0000-0000-00008A1C0000}"/>
    <cellStyle name="Millares 2 6 2 10 2 2 2" xfId="55341" xr:uid="{00000000-0005-0000-0000-00008B1C0000}"/>
    <cellStyle name="Millares 2 6 2 10 2 3" xfId="41779" xr:uid="{00000000-0005-0000-0000-00008C1C0000}"/>
    <cellStyle name="Millares 2 6 2 10 3" xfId="21427" xr:uid="{00000000-0005-0000-0000-00008D1C0000}"/>
    <cellStyle name="Millares 2 6 2 10 3 2" xfId="48560" xr:uid="{00000000-0005-0000-0000-00008E1C0000}"/>
    <cellStyle name="Millares 2 6 2 10 4" xfId="34998" xr:uid="{00000000-0005-0000-0000-00008F1C0000}"/>
    <cellStyle name="Millares 2 6 2 11" xfId="11251" xr:uid="{00000000-0005-0000-0000-0000901C0000}"/>
    <cellStyle name="Millares 2 6 2 11 2" xfId="24819" xr:uid="{00000000-0005-0000-0000-0000911C0000}"/>
    <cellStyle name="Millares 2 6 2 11 2 2" xfId="51952" xr:uid="{00000000-0005-0000-0000-0000921C0000}"/>
    <cellStyle name="Millares 2 6 2 11 3" xfId="38390" xr:uid="{00000000-0005-0000-0000-0000931C0000}"/>
    <cellStyle name="Millares 2 6 2 12" xfId="18038" xr:uid="{00000000-0005-0000-0000-0000941C0000}"/>
    <cellStyle name="Millares 2 6 2 12 2" xfId="45171" xr:uid="{00000000-0005-0000-0000-0000951C0000}"/>
    <cellStyle name="Millares 2 6 2 13" xfId="31609" xr:uid="{00000000-0005-0000-0000-0000961C0000}"/>
    <cellStyle name="Millares 2 6 2 2" xfId="4241" xr:uid="{00000000-0005-0000-0000-0000971C0000}"/>
    <cellStyle name="Millares 2 6 2 2 10" xfId="31610" xr:uid="{00000000-0005-0000-0000-0000981C0000}"/>
    <cellStyle name="Millares 2 6 2 2 2" xfId="4242" xr:uid="{00000000-0005-0000-0000-0000991C0000}"/>
    <cellStyle name="Millares 2 6 2 2 2 2" xfId="4243" xr:uid="{00000000-0005-0000-0000-00009A1C0000}"/>
    <cellStyle name="Millares 2 6 2 2 2 2 2" xfId="4244" xr:uid="{00000000-0005-0000-0000-00009B1C0000}"/>
    <cellStyle name="Millares 2 6 2 2 2 2 2 2" xfId="7854" xr:uid="{00000000-0005-0000-0000-00009C1C0000}"/>
    <cellStyle name="Millares 2 6 2 2 2 2 2 2 2" xfId="14644" xr:uid="{00000000-0005-0000-0000-00009D1C0000}"/>
    <cellStyle name="Millares 2 6 2 2 2 2 2 2 2 2" xfId="28212" xr:uid="{00000000-0005-0000-0000-00009E1C0000}"/>
    <cellStyle name="Millares 2 6 2 2 2 2 2 2 2 2 2" xfId="55345" xr:uid="{00000000-0005-0000-0000-00009F1C0000}"/>
    <cellStyle name="Millares 2 6 2 2 2 2 2 2 2 3" xfId="41783" xr:uid="{00000000-0005-0000-0000-0000A01C0000}"/>
    <cellStyle name="Millares 2 6 2 2 2 2 2 2 3" xfId="21431" xr:uid="{00000000-0005-0000-0000-0000A11C0000}"/>
    <cellStyle name="Millares 2 6 2 2 2 2 2 2 3 2" xfId="48564" xr:uid="{00000000-0005-0000-0000-0000A21C0000}"/>
    <cellStyle name="Millares 2 6 2 2 2 2 2 2 4" xfId="35002" xr:uid="{00000000-0005-0000-0000-0000A31C0000}"/>
    <cellStyle name="Millares 2 6 2 2 2 2 2 3" xfId="11255" xr:uid="{00000000-0005-0000-0000-0000A41C0000}"/>
    <cellStyle name="Millares 2 6 2 2 2 2 2 3 2" xfId="24823" xr:uid="{00000000-0005-0000-0000-0000A51C0000}"/>
    <cellStyle name="Millares 2 6 2 2 2 2 2 3 2 2" xfId="51956" xr:uid="{00000000-0005-0000-0000-0000A61C0000}"/>
    <cellStyle name="Millares 2 6 2 2 2 2 2 3 3" xfId="38394" xr:uid="{00000000-0005-0000-0000-0000A71C0000}"/>
    <cellStyle name="Millares 2 6 2 2 2 2 2 4" xfId="18042" xr:uid="{00000000-0005-0000-0000-0000A81C0000}"/>
    <cellStyle name="Millares 2 6 2 2 2 2 2 4 2" xfId="45175" xr:uid="{00000000-0005-0000-0000-0000A91C0000}"/>
    <cellStyle name="Millares 2 6 2 2 2 2 2 5" xfId="31613" xr:uid="{00000000-0005-0000-0000-0000AA1C0000}"/>
    <cellStyle name="Millares 2 6 2 2 2 2 3" xfId="4245" xr:uid="{00000000-0005-0000-0000-0000AB1C0000}"/>
    <cellStyle name="Millares 2 6 2 2 2 2 3 2" xfId="7855" xr:uid="{00000000-0005-0000-0000-0000AC1C0000}"/>
    <cellStyle name="Millares 2 6 2 2 2 2 3 2 2" xfId="14645" xr:uid="{00000000-0005-0000-0000-0000AD1C0000}"/>
    <cellStyle name="Millares 2 6 2 2 2 2 3 2 2 2" xfId="28213" xr:uid="{00000000-0005-0000-0000-0000AE1C0000}"/>
    <cellStyle name="Millares 2 6 2 2 2 2 3 2 2 2 2" xfId="55346" xr:uid="{00000000-0005-0000-0000-0000AF1C0000}"/>
    <cellStyle name="Millares 2 6 2 2 2 2 3 2 2 3" xfId="41784" xr:uid="{00000000-0005-0000-0000-0000B01C0000}"/>
    <cellStyle name="Millares 2 6 2 2 2 2 3 2 3" xfId="21432" xr:uid="{00000000-0005-0000-0000-0000B11C0000}"/>
    <cellStyle name="Millares 2 6 2 2 2 2 3 2 3 2" xfId="48565" xr:uid="{00000000-0005-0000-0000-0000B21C0000}"/>
    <cellStyle name="Millares 2 6 2 2 2 2 3 2 4" xfId="35003" xr:uid="{00000000-0005-0000-0000-0000B31C0000}"/>
    <cellStyle name="Millares 2 6 2 2 2 2 3 3" xfId="11256" xr:uid="{00000000-0005-0000-0000-0000B41C0000}"/>
    <cellStyle name="Millares 2 6 2 2 2 2 3 3 2" xfId="24824" xr:uid="{00000000-0005-0000-0000-0000B51C0000}"/>
    <cellStyle name="Millares 2 6 2 2 2 2 3 3 2 2" xfId="51957" xr:uid="{00000000-0005-0000-0000-0000B61C0000}"/>
    <cellStyle name="Millares 2 6 2 2 2 2 3 3 3" xfId="38395" xr:uid="{00000000-0005-0000-0000-0000B71C0000}"/>
    <cellStyle name="Millares 2 6 2 2 2 2 3 4" xfId="18043" xr:uid="{00000000-0005-0000-0000-0000B81C0000}"/>
    <cellStyle name="Millares 2 6 2 2 2 2 3 4 2" xfId="45176" xr:uid="{00000000-0005-0000-0000-0000B91C0000}"/>
    <cellStyle name="Millares 2 6 2 2 2 2 3 5" xfId="31614" xr:uid="{00000000-0005-0000-0000-0000BA1C0000}"/>
    <cellStyle name="Millares 2 6 2 2 2 2 4" xfId="7853" xr:uid="{00000000-0005-0000-0000-0000BB1C0000}"/>
    <cellStyle name="Millares 2 6 2 2 2 2 4 2" xfId="14643" xr:uid="{00000000-0005-0000-0000-0000BC1C0000}"/>
    <cellStyle name="Millares 2 6 2 2 2 2 4 2 2" xfId="28211" xr:uid="{00000000-0005-0000-0000-0000BD1C0000}"/>
    <cellStyle name="Millares 2 6 2 2 2 2 4 2 2 2" xfId="55344" xr:uid="{00000000-0005-0000-0000-0000BE1C0000}"/>
    <cellStyle name="Millares 2 6 2 2 2 2 4 2 3" xfId="41782" xr:uid="{00000000-0005-0000-0000-0000BF1C0000}"/>
    <cellStyle name="Millares 2 6 2 2 2 2 4 3" xfId="21430" xr:uid="{00000000-0005-0000-0000-0000C01C0000}"/>
    <cellStyle name="Millares 2 6 2 2 2 2 4 3 2" xfId="48563" xr:uid="{00000000-0005-0000-0000-0000C11C0000}"/>
    <cellStyle name="Millares 2 6 2 2 2 2 4 4" xfId="35001" xr:uid="{00000000-0005-0000-0000-0000C21C0000}"/>
    <cellStyle name="Millares 2 6 2 2 2 2 5" xfId="11254" xr:uid="{00000000-0005-0000-0000-0000C31C0000}"/>
    <cellStyle name="Millares 2 6 2 2 2 2 5 2" xfId="24822" xr:uid="{00000000-0005-0000-0000-0000C41C0000}"/>
    <cellStyle name="Millares 2 6 2 2 2 2 5 2 2" xfId="51955" xr:uid="{00000000-0005-0000-0000-0000C51C0000}"/>
    <cellStyle name="Millares 2 6 2 2 2 2 5 3" xfId="38393" xr:uid="{00000000-0005-0000-0000-0000C61C0000}"/>
    <cellStyle name="Millares 2 6 2 2 2 2 6" xfId="18041" xr:uid="{00000000-0005-0000-0000-0000C71C0000}"/>
    <cellStyle name="Millares 2 6 2 2 2 2 6 2" xfId="45174" xr:uid="{00000000-0005-0000-0000-0000C81C0000}"/>
    <cellStyle name="Millares 2 6 2 2 2 2 7" xfId="31612" xr:uid="{00000000-0005-0000-0000-0000C91C0000}"/>
    <cellStyle name="Millares 2 6 2 2 2 3" xfId="4246" xr:uid="{00000000-0005-0000-0000-0000CA1C0000}"/>
    <cellStyle name="Millares 2 6 2 2 2 3 2" xfId="4247" xr:uid="{00000000-0005-0000-0000-0000CB1C0000}"/>
    <cellStyle name="Millares 2 6 2 2 2 3 2 2" xfId="7857" xr:uid="{00000000-0005-0000-0000-0000CC1C0000}"/>
    <cellStyle name="Millares 2 6 2 2 2 3 2 2 2" xfId="14647" xr:uid="{00000000-0005-0000-0000-0000CD1C0000}"/>
    <cellStyle name="Millares 2 6 2 2 2 3 2 2 2 2" xfId="28215" xr:uid="{00000000-0005-0000-0000-0000CE1C0000}"/>
    <cellStyle name="Millares 2 6 2 2 2 3 2 2 2 2 2" xfId="55348" xr:uid="{00000000-0005-0000-0000-0000CF1C0000}"/>
    <cellStyle name="Millares 2 6 2 2 2 3 2 2 2 3" xfId="41786" xr:uid="{00000000-0005-0000-0000-0000D01C0000}"/>
    <cellStyle name="Millares 2 6 2 2 2 3 2 2 3" xfId="21434" xr:uid="{00000000-0005-0000-0000-0000D11C0000}"/>
    <cellStyle name="Millares 2 6 2 2 2 3 2 2 3 2" xfId="48567" xr:uid="{00000000-0005-0000-0000-0000D21C0000}"/>
    <cellStyle name="Millares 2 6 2 2 2 3 2 2 4" xfId="35005" xr:uid="{00000000-0005-0000-0000-0000D31C0000}"/>
    <cellStyle name="Millares 2 6 2 2 2 3 2 3" xfId="11258" xr:uid="{00000000-0005-0000-0000-0000D41C0000}"/>
    <cellStyle name="Millares 2 6 2 2 2 3 2 3 2" xfId="24826" xr:uid="{00000000-0005-0000-0000-0000D51C0000}"/>
    <cellStyle name="Millares 2 6 2 2 2 3 2 3 2 2" xfId="51959" xr:uid="{00000000-0005-0000-0000-0000D61C0000}"/>
    <cellStyle name="Millares 2 6 2 2 2 3 2 3 3" xfId="38397" xr:uid="{00000000-0005-0000-0000-0000D71C0000}"/>
    <cellStyle name="Millares 2 6 2 2 2 3 2 4" xfId="18045" xr:uid="{00000000-0005-0000-0000-0000D81C0000}"/>
    <cellStyle name="Millares 2 6 2 2 2 3 2 4 2" xfId="45178" xr:uid="{00000000-0005-0000-0000-0000D91C0000}"/>
    <cellStyle name="Millares 2 6 2 2 2 3 2 5" xfId="31616" xr:uid="{00000000-0005-0000-0000-0000DA1C0000}"/>
    <cellStyle name="Millares 2 6 2 2 2 3 3" xfId="7856" xr:uid="{00000000-0005-0000-0000-0000DB1C0000}"/>
    <cellStyle name="Millares 2 6 2 2 2 3 3 2" xfId="14646" xr:uid="{00000000-0005-0000-0000-0000DC1C0000}"/>
    <cellStyle name="Millares 2 6 2 2 2 3 3 2 2" xfId="28214" xr:uid="{00000000-0005-0000-0000-0000DD1C0000}"/>
    <cellStyle name="Millares 2 6 2 2 2 3 3 2 2 2" xfId="55347" xr:uid="{00000000-0005-0000-0000-0000DE1C0000}"/>
    <cellStyle name="Millares 2 6 2 2 2 3 3 2 3" xfId="41785" xr:uid="{00000000-0005-0000-0000-0000DF1C0000}"/>
    <cellStyle name="Millares 2 6 2 2 2 3 3 3" xfId="21433" xr:uid="{00000000-0005-0000-0000-0000E01C0000}"/>
    <cellStyle name="Millares 2 6 2 2 2 3 3 3 2" xfId="48566" xr:uid="{00000000-0005-0000-0000-0000E11C0000}"/>
    <cellStyle name="Millares 2 6 2 2 2 3 3 4" xfId="35004" xr:uid="{00000000-0005-0000-0000-0000E21C0000}"/>
    <cellStyle name="Millares 2 6 2 2 2 3 4" xfId="11257" xr:uid="{00000000-0005-0000-0000-0000E31C0000}"/>
    <cellStyle name="Millares 2 6 2 2 2 3 4 2" xfId="24825" xr:uid="{00000000-0005-0000-0000-0000E41C0000}"/>
    <cellStyle name="Millares 2 6 2 2 2 3 4 2 2" xfId="51958" xr:uid="{00000000-0005-0000-0000-0000E51C0000}"/>
    <cellStyle name="Millares 2 6 2 2 2 3 4 3" xfId="38396" xr:uid="{00000000-0005-0000-0000-0000E61C0000}"/>
    <cellStyle name="Millares 2 6 2 2 2 3 5" xfId="18044" xr:uid="{00000000-0005-0000-0000-0000E71C0000}"/>
    <cellStyle name="Millares 2 6 2 2 2 3 5 2" xfId="45177" xr:uid="{00000000-0005-0000-0000-0000E81C0000}"/>
    <cellStyle name="Millares 2 6 2 2 2 3 6" xfId="31615" xr:uid="{00000000-0005-0000-0000-0000E91C0000}"/>
    <cellStyle name="Millares 2 6 2 2 2 4" xfId="4248" xr:uid="{00000000-0005-0000-0000-0000EA1C0000}"/>
    <cellStyle name="Millares 2 6 2 2 2 4 2" xfId="7858" xr:uid="{00000000-0005-0000-0000-0000EB1C0000}"/>
    <cellStyle name="Millares 2 6 2 2 2 4 2 2" xfId="14648" xr:uid="{00000000-0005-0000-0000-0000EC1C0000}"/>
    <cellStyle name="Millares 2 6 2 2 2 4 2 2 2" xfId="28216" xr:uid="{00000000-0005-0000-0000-0000ED1C0000}"/>
    <cellStyle name="Millares 2 6 2 2 2 4 2 2 2 2" xfId="55349" xr:uid="{00000000-0005-0000-0000-0000EE1C0000}"/>
    <cellStyle name="Millares 2 6 2 2 2 4 2 2 3" xfId="41787" xr:uid="{00000000-0005-0000-0000-0000EF1C0000}"/>
    <cellStyle name="Millares 2 6 2 2 2 4 2 3" xfId="21435" xr:uid="{00000000-0005-0000-0000-0000F01C0000}"/>
    <cellStyle name="Millares 2 6 2 2 2 4 2 3 2" xfId="48568" xr:uid="{00000000-0005-0000-0000-0000F11C0000}"/>
    <cellStyle name="Millares 2 6 2 2 2 4 2 4" xfId="35006" xr:uid="{00000000-0005-0000-0000-0000F21C0000}"/>
    <cellStyle name="Millares 2 6 2 2 2 4 3" xfId="11259" xr:uid="{00000000-0005-0000-0000-0000F31C0000}"/>
    <cellStyle name="Millares 2 6 2 2 2 4 3 2" xfId="24827" xr:uid="{00000000-0005-0000-0000-0000F41C0000}"/>
    <cellStyle name="Millares 2 6 2 2 2 4 3 2 2" xfId="51960" xr:uid="{00000000-0005-0000-0000-0000F51C0000}"/>
    <cellStyle name="Millares 2 6 2 2 2 4 3 3" xfId="38398" xr:uid="{00000000-0005-0000-0000-0000F61C0000}"/>
    <cellStyle name="Millares 2 6 2 2 2 4 4" xfId="18046" xr:uid="{00000000-0005-0000-0000-0000F71C0000}"/>
    <cellStyle name="Millares 2 6 2 2 2 4 4 2" xfId="45179" xr:uid="{00000000-0005-0000-0000-0000F81C0000}"/>
    <cellStyle name="Millares 2 6 2 2 2 4 5" xfId="31617" xr:uid="{00000000-0005-0000-0000-0000F91C0000}"/>
    <cellStyle name="Millares 2 6 2 2 2 5" xfId="4249" xr:uid="{00000000-0005-0000-0000-0000FA1C0000}"/>
    <cellStyle name="Millares 2 6 2 2 2 5 2" xfId="7859" xr:uid="{00000000-0005-0000-0000-0000FB1C0000}"/>
    <cellStyle name="Millares 2 6 2 2 2 5 2 2" xfId="14649" xr:uid="{00000000-0005-0000-0000-0000FC1C0000}"/>
    <cellStyle name="Millares 2 6 2 2 2 5 2 2 2" xfId="28217" xr:uid="{00000000-0005-0000-0000-0000FD1C0000}"/>
    <cellStyle name="Millares 2 6 2 2 2 5 2 2 2 2" xfId="55350" xr:uid="{00000000-0005-0000-0000-0000FE1C0000}"/>
    <cellStyle name="Millares 2 6 2 2 2 5 2 2 3" xfId="41788" xr:uid="{00000000-0005-0000-0000-0000FF1C0000}"/>
    <cellStyle name="Millares 2 6 2 2 2 5 2 3" xfId="21436" xr:uid="{00000000-0005-0000-0000-0000001D0000}"/>
    <cellStyle name="Millares 2 6 2 2 2 5 2 3 2" xfId="48569" xr:uid="{00000000-0005-0000-0000-0000011D0000}"/>
    <cellStyle name="Millares 2 6 2 2 2 5 2 4" xfId="35007" xr:uid="{00000000-0005-0000-0000-0000021D0000}"/>
    <cellStyle name="Millares 2 6 2 2 2 5 3" xfId="11260" xr:uid="{00000000-0005-0000-0000-0000031D0000}"/>
    <cellStyle name="Millares 2 6 2 2 2 5 3 2" xfId="24828" xr:uid="{00000000-0005-0000-0000-0000041D0000}"/>
    <cellStyle name="Millares 2 6 2 2 2 5 3 2 2" xfId="51961" xr:uid="{00000000-0005-0000-0000-0000051D0000}"/>
    <cellStyle name="Millares 2 6 2 2 2 5 3 3" xfId="38399" xr:uid="{00000000-0005-0000-0000-0000061D0000}"/>
    <cellStyle name="Millares 2 6 2 2 2 5 4" xfId="18047" xr:uid="{00000000-0005-0000-0000-0000071D0000}"/>
    <cellStyle name="Millares 2 6 2 2 2 5 4 2" xfId="45180" xr:uid="{00000000-0005-0000-0000-0000081D0000}"/>
    <cellStyle name="Millares 2 6 2 2 2 5 5" xfId="31618" xr:uid="{00000000-0005-0000-0000-0000091D0000}"/>
    <cellStyle name="Millares 2 6 2 2 2 6" xfId="7852" xr:uid="{00000000-0005-0000-0000-00000A1D0000}"/>
    <cellStyle name="Millares 2 6 2 2 2 6 2" xfId="14642" xr:uid="{00000000-0005-0000-0000-00000B1D0000}"/>
    <cellStyle name="Millares 2 6 2 2 2 6 2 2" xfId="28210" xr:uid="{00000000-0005-0000-0000-00000C1D0000}"/>
    <cellStyle name="Millares 2 6 2 2 2 6 2 2 2" xfId="55343" xr:uid="{00000000-0005-0000-0000-00000D1D0000}"/>
    <cellStyle name="Millares 2 6 2 2 2 6 2 3" xfId="41781" xr:uid="{00000000-0005-0000-0000-00000E1D0000}"/>
    <cellStyle name="Millares 2 6 2 2 2 6 3" xfId="21429" xr:uid="{00000000-0005-0000-0000-00000F1D0000}"/>
    <cellStyle name="Millares 2 6 2 2 2 6 3 2" xfId="48562" xr:uid="{00000000-0005-0000-0000-0000101D0000}"/>
    <cellStyle name="Millares 2 6 2 2 2 6 4" xfId="35000" xr:uid="{00000000-0005-0000-0000-0000111D0000}"/>
    <cellStyle name="Millares 2 6 2 2 2 7" xfId="11253" xr:uid="{00000000-0005-0000-0000-0000121D0000}"/>
    <cellStyle name="Millares 2 6 2 2 2 7 2" xfId="24821" xr:uid="{00000000-0005-0000-0000-0000131D0000}"/>
    <cellStyle name="Millares 2 6 2 2 2 7 2 2" xfId="51954" xr:uid="{00000000-0005-0000-0000-0000141D0000}"/>
    <cellStyle name="Millares 2 6 2 2 2 7 3" xfId="38392" xr:uid="{00000000-0005-0000-0000-0000151D0000}"/>
    <cellStyle name="Millares 2 6 2 2 2 8" xfId="18040" xr:uid="{00000000-0005-0000-0000-0000161D0000}"/>
    <cellStyle name="Millares 2 6 2 2 2 8 2" xfId="45173" xr:uid="{00000000-0005-0000-0000-0000171D0000}"/>
    <cellStyle name="Millares 2 6 2 2 2 9" xfId="31611" xr:uid="{00000000-0005-0000-0000-0000181D0000}"/>
    <cellStyle name="Millares 2 6 2 2 3" xfId="4250" xr:uid="{00000000-0005-0000-0000-0000191D0000}"/>
    <cellStyle name="Millares 2 6 2 2 3 2" xfId="4251" xr:uid="{00000000-0005-0000-0000-00001A1D0000}"/>
    <cellStyle name="Millares 2 6 2 2 3 2 2" xfId="7861" xr:uid="{00000000-0005-0000-0000-00001B1D0000}"/>
    <cellStyle name="Millares 2 6 2 2 3 2 2 2" xfId="14651" xr:uid="{00000000-0005-0000-0000-00001C1D0000}"/>
    <cellStyle name="Millares 2 6 2 2 3 2 2 2 2" xfId="28219" xr:uid="{00000000-0005-0000-0000-00001D1D0000}"/>
    <cellStyle name="Millares 2 6 2 2 3 2 2 2 2 2" xfId="55352" xr:uid="{00000000-0005-0000-0000-00001E1D0000}"/>
    <cellStyle name="Millares 2 6 2 2 3 2 2 2 3" xfId="41790" xr:uid="{00000000-0005-0000-0000-00001F1D0000}"/>
    <cellStyle name="Millares 2 6 2 2 3 2 2 3" xfId="21438" xr:uid="{00000000-0005-0000-0000-0000201D0000}"/>
    <cellStyle name="Millares 2 6 2 2 3 2 2 3 2" xfId="48571" xr:uid="{00000000-0005-0000-0000-0000211D0000}"/>
    <cellStyle name="Millares 2 6 2 2 3 2 2 4" xfId="35009" xr:uid="{00000000-0005-0000-0000-0000221D0000}"/>
    <cellStyle name="Millares 2 6 2 2 3 2 3" xfId="11262" xr:uid="{00000000-0005-0000-0000-0000231D0000}"/>
    <cellStyle name="Millares 2 6 2 2 3 2 3 2" xfId="24830" xr:uid="{00000000-0005-0000-0000-0000241D0000}"/>
    <cellStyle name="Millares 2 6 2 2 3 2 3 2 2" xfId="51963" xr:uid="{00000000-0005-0000-0000-0000251D0000}"/>
    <cellStyle name="Millares 2 6 2 2 3 2 3 3" xfId="38401" xr:uid="{00000000-0005-0000-0000-0000261D0000}"/>
    <cellStyle name="Millares 2 6 2 2 3 2 4" xfId="18049" xr:uid="{00000000-0005-0000-0000-0000271D0000}"/>
    <cellStyle name="Millares 2 6 2 2 3 2 4 2" xfId="45182" xr:uid="{00000000-0005-0000-0000-0000281D0000}"/>
    <cellStyle name="Millares 2 6 2 2 3 2 5" xfId="31620" xr:uid="{00000000-0005-0000-0000-0000291D0000}"/>
    <cellStyle name="Millares 2 6 2 2 3 3" xfId="4252" xr:uid="{00000000-0005-0000-0000-00002A1D0000}"/>
    <cellStyle name="Millares 2 6 2 2 3 3 2" xfId="7862" xr:uid="{00000000-0005-0000-0000-00002B1D0000}"/>
    <cellStyle name="Millares 2 6 2 2 3 3 2 2" xfId="14652" xr:uid="{00000000-0005-0000-0000-00002C1D0000}"/>
    <cellStyle name="Millares 2 6 2 2 3 3 2 2 2" xfId="28220" xr:uid="{00000000-0005-0000-0000-00002D1D0000}"/>
    <cellStyle name="Millares 2 6 2 2 3 3 2 2 2 2" xfId="55353" xr:uid="{00000000-0005-0000-0000-00002E1D0000}"/>
    <cellStyle name="Millares 2 6 2 2 3 3 2 2 3" xfId="41791" xr:uid="{00000000-0005-0000-0000-00002F1D0000}"/>
    <cellStyle name="Millares 2 6 2 2 3 3 2 3" xfId="21439" xr:uid="{00000000-0005-0000-0000-0000301D0000}"/>
    <cellStyle name="Millares 2 6 2 2 3 3 2 3 2" xfId="48572" xr:uid="{00000000-0005-0000-0000-0000311D0000}"/>
    <cellStyle name="Millares 2 6 2 2 3 3 2 4" xfId="35010" xr:uid="{00000000-0005-0000-0000-0000321D0000}"/>
    <cellStyle name="Millares 2 6 2 2 3 3 3" xfId="11263" xr:uid="{00000000-0005-0000-0000-0000331D0000}"/>
    <cellStyle name="Millares 2 6 2 2 3 3 3 2" xfId="24831" xr:uid="{00000000-0005-0000-0000-0000341D0000}"/>
    <cellStyle name="Millares 2 6 2 2 3 3 3 2 2" xfId="51964" xr:uid="{00000000-0005-0000-0000-0000351D0000}"/>
    <cellStyle name="Millares 2 6 2 2 3 3 3 3" xfId="38402" xr:uid="{00000000-0005-0000-0000-0000361D0000}"/>
    <cellStyle name="Millares 2 6 2 2 3 3 4" xfId="18050" xr:uid="{00000000-0005-0000-0000-0000371D0000}"/>
    <cellStyle name="Millares 2 6 2 2 3 3 4 2" xfId="45183" xr:uid="{00000000-0005-0000-0000-0000381D0000}"/>
    <cellStyle name="Millares 2 6 2 2 3 3 5" xfId="31621" xr:uid="{00000000-0005-0000-0000-0000391D0000}"/>
    <cellStyle name="Millares 2 6 2 2 3 4" xfId="7860" xr:uid="{00000000-0005-0000-0000-00003A1D0000}"/>
    <cellStyle name="Millares 2 6 2 2 3 4 2" xfId="14650" xr:uid="{00000000-0005-0000-0000-00003B1D0000}"/>
    <cellStyle name="Millares 2 6 2 2 3 4 2 2" xfId="28218" xr:uid="{00000000-0005-0000-0000-00003C1D0000}"/>
    <cellStyle name="Millares 2 6 2 2 3 4 2 2 2" xfId="55351" xr:uid="{00000000-0005-0000-0000-00003D1D0000}"/>
    <cellStyle name="Millares 2 6 2 2 3 4 2 3" xfId="41789" xr:uid="{00000000-0005-0000-0000-00003E1D0000}"/>
    <cellStyle name="Millares 2 6 2 2 3 4 3" xfId="21437" xr:uid="{00000000-0005-0000-0000-00003F1D0000}"/>
    <cellStyle name="Millares 2 6 2 2 3 4 3 2" xfId="48570" xr:uid="{00000000-0005-0000-0000-0000401D0000}"/>
    <cellStyle name="Millares 2 6 2 2 3 4 4" xfId="35008" xr:uid="{00000000-0005-0000-0000-0000411D0000}"/>
    <cellStyle name="Millares 2 6 2 2 3 5" xfId="11261" xr:uid="{00000000-0005-0000-0000-0000421D0000}"/>
    <cellStyle name="Millares 2 6 2 2 3 5 2" xfId="24829" xr:uid="{00000000-0005-0000-0000-0000431D0000}"/>
    <cellStyle name="Millares 2 6 2 2 3 5 2 2" xfId="51962" xr:uid="{00000000-0005-0000-0000-0000441D0000}"/>
    <cellStyle name="Millares 2 6 2 2 3 5 3" xfId="38400" xr:uid="{00000000-0005-0000-0000-0000451D0000}"/>
    <cellStyle name="Millares 2 6 2 2 3 6" xfId="18048" xr:uid="{00000000-0005-0000-0000-0000461D0000}"/>
    <cellStyle name="Millares 2 6 2 2 3 6 2" xfId="45181" xr:uid="{00000000-0005-0000-0000-0000471D0000}"/>
    <cellStyle name="Millares 2 6 2 2 3 7" xfId="31619" xr:uid="{00000000-0005-0000-0000-0000481D0000}"/>
    <cellStyle name="Millares 2 6 2 2 4" xfId="4253" xr:uid="{00000000-0005-0000-0000-0000491D0000}"/>
    <cellStyle name="Millares 2 6 2 2 4 2" xfId="4254" xr:uid="{00000000-0005-0000-0000-00004A1D0000}"/>
    <cellStyle name="Millares 2 6 2 2 4 2 2" xfId="7864" xr:uid="{00000000-0005-0000-0000-00004B1D0000}"/>
    <cellStyle name="Millares 2 6 2 2 4 2 2 2" xfId="14654" xr:uid="{00000000-0005-0000-0000-00004C1D0000}"/>
    <cellStyle name="Millares 2 6 2 2 4 2 2 2 2" xfId="28222" xr:uid="{00000000-0005-0000-0000-00004D1D0000}"/>
    <cellStyle name="Millares 2 6 2 2 4 2 2 2 2 2" xfId="55355" xr:uid="{00000000-0005-0000-0000-00004E1D0000}"/>
    <cellStyle name="Millares 2 6 2 2 4 2 2 2 3" xfId="41793" xr:uid="{00000000-0005-0000-0000-00004F1D0000}"/>
    <cellStyle name="Millares 2 6 2 2 4 2 2 3" xfId="21441" xr:uid="{00000000-0005-0000-0000-0000501D0000}"/>
    <cellStyle name="Millares 2 6 2 2 4 2 2 3 2" xfId="48574" xr:uid="{00000000-0005-0000-0000-0000511D0000}"/>
    <cellStyle name="Millares 2 6 2 2 4 2 2 4" xfId="35012" xr:uid="{00000000-0005-0000-0000-0000521D0000}"/>
    <cellStyle name="Millares 2 6 2 2 4 2 3" xfId="11265" xr:uid="{00000000-0005-0000-0000-0000531D0000}"/>
    <cellStyle name="Millares 2 6 2 2 4 2 3 2" xfId="24833" xr:uid="{00000000-0005-0000-0000-0000541D0000}"/>
    <cellStyle name="Millares 2 6 2 2 4 2 3 2 2" xfId="51966" xr:uid="{00000000-0005-0000-0000-0000551D0000}"/>
    <cellStyle name="Millares 2 6 2 2 4 2 3 3" xfId="38404" xr:uid="{00000000-0005-0000-0000-0000561D0000}"/>
    <cellStyle name="Millares 2 6 2 2 4 2 4" xfId="18052" xr:uid="{00000000-0005-0000-0000-0000571D0000}"/>
    <cellStyle name="Millares 2 6 2 2 4 2 4 2" xfId="45185" xr:uid="{00000000-0005-0000-0000-0000581D0000}"/>
    <cellStyle name="Millares 2 6 2 2 4 2 5" xfId="31623" xr:uid="{00000000-0005-0000-0000-0000591D0000}"/>
    <cellStyle name="Millares 2 6 2 2 4 3" xfId="7863" xr:uid="{00000000-0005-0000-0000-00005A1D0000}"/>
    <cellStyle name="Millares 2 6 2 2 4 3 2" xfId="14653" xr:uid="{00000000-0005-0000-0000-00005B1D0000}"/>
    <cellStyle name="Millares 2 6 2 2 4 3 2 2" xfId="28221" xr:uid="{00000000-0005-0000-0000-00005C1D0000}"/>
    <cellStyle name="Millares 2 6 2 2 4 3 2 2 2" xfId="55354" xr:uid="{00000000-0005-0000-0000-00005D1D0000}"/>
    <cellStyle name="Millares 2 6 2 2 4 3 2 3" xfId="41792" xr:uid="{00000000-0005-0000-0000-00005E1D0000}"/>
    <cellStyle name="Millares 2 6 2 2 4 3 3" xfId="21440" xr:uid="{00000000-0005-0000-0000-00005F1D0000}"/>
    <cellStyle name="Millares 2 6 2 2 4 3 3 2" xfId="48573" xr:uid="{00000000-0005-0000-0000-0000601D0000}"/>
    <cellStyle name="Millares 2 6 2 2 4 3 4" xfId="35011" xr:uid="{00000000-0005-0000-0000-0000611D0000}"/>
    <cellStyle name="Millares 2 6 2 2 4 4" xfId="11264" xr:uid="{00000000-0005-0000-0000-0000621D0000}"/>
    <cellStyle name="Millares 2 6 2 2 4 4 2" xfId="24832" xr:uid="{00000000-0005-0000-0000-0000631D0000}"/>
    <cellStyle name="Millares 2 6 2 2 4 4 2 2" xfId="51965" xr:uid="{00000000-0005-0000-0000-0000641D0000}"/>
    <cellStyle name="Millares 2 6 2 2 4 4 3" xfId="38403" xr:uid="{00000000-0005-0000-0000-0000651D0000}"/>
    <cellStyle name="Millares 2 6 2 2 4 5" xfId="18051" xr:uid="{00000000-0005-0000-0000-0000661D0000}"/>
    <cellStyle name="Millares 2 6 2 2 4 5 2" xfId="45184" xr:uid="{00000000-0005-0000-0000-0000671D0000}"/>
    <cellStyle name="Millares 2 6 2 2 4 6" xfId="31622" xr:uid="{00000000-0005-0000-0000-0000681D0000}"/>
    <cellStyle name="Millares 2 6 2 2 5" xfId="4255" xr:uid="{00000000-0005-0000-0000-0000691D0000}"/>
    <cellStyle name="Millares 2 6 2 2 5 2" xfId="7865" xr:uid="{00000000-0005-0000-0000-00006A1D0000}"/>
    <cellStyle name="Millares 2 6 2 2 5 2 2" xfId="14655" xr:uid="{00000000-0005-0000-0000-00006B1D0000}"/>
    <cellStyle name="Millares 2 6 2 2 5 2 2 2" xfId="28223" xr:uid="{00000000-0005-0000-0000-00006C1D0000}"/>
    <cellStyle name="Millares 2 6 2 2 5 2 2 2 2" xfId="55356" xr:uid="{00000000-0005-0000-0000-00006D1D0000}"/>
    <cellStyle name="Millares 2 6 2 2 5 2 2 3" xfId="41794" xr:uid="{00000000-0005-0000-0000-00006E1D0000}"/>
    <cellStyle name="Millares 2 6 2 2 5 2 3" xfId="21442" xr:uid="{00000000-0005-0000-0000-00006F1D0000}"/>
    <cellStyle name="Millares 2 6 2 2 5 2 3 2" xfId="48575" xr:uid="{00000000-0005-0000-0000-0000701D0000}"/>
    <cellStyle name="Millares 2 6 2 2 5 2 4" xfId="35013" xr:uid="{00000000-0005-0000-0000-0000711D0000}"/>
    <cellStyle name="Millares 2 6 2 2 5 3" xfId="11266" xr:uid="{00000000-0005-0000-0000-0000721D0000}"/>
    <cellStyle name="Millares 2 6 2 2 5 3 2" xfId="24834" xr:uid="{00000000-0005-0000-0000-0000731D0000}"/>
    <cellStyle name="Millares 2 6 2 2 5 3 2 2" xfId="51967" xr:uid="{00000000-0005-0000-0000-0000741D0000}"/>
    <cellStyle name="Millares 2 6 2 2 5 3 3" xfId="38405" xr:uid="{00000000-0005-0000-0000-0000751D0000}"/>
    <cellStyle name="Millares 2 6 2 2 5 4" xfId="18053" xr:uid="{00000000-0005-0000-0000-0000761D0000}"/>
    <cellStyle name="Millares 2 6 2 2 5 4 2" xfId="45186" xr:uid="{00000000-0005-0000-0000-0000771D0000}"/>
    <cellStyle name="Millares 2 6 2 2 5 5" xfId="31624" xr:uid="{00000000-0005-0000-0000-0000781D0000}"/>
    <cellStyle name="Millares 2 6 2 2 6" xfId="4256" xr:uid="{00000000-0005-0000-0000-0000791D0000}"/>
    <cellStyle name="Millares 2 6 2 2 6 2" xfId="7866" xr:uid="{00000000-0005-0000-0000-00007A1D0000}"/>
    <cellStyle name="Millares 2 6 2 2 6 2 2" xfId="14656" xr:uid="{00000000-0005-0000-0000-00007B1D0000}"/>
    <cellStyle name="Millares 2 6 2 2 6 2 2 2" xfId="28224" xr:uid="{00000000-0005-0000-0000-00007C1D0000}"/>
    <cellStyle name="Millares 2 6 2 2 6 2 2 2 2" xfId="55357" xr:uid="{00000000-0005-0000-0000-00007D1D0000}"/>
    <cellStyle name="Millares 2 6 2 2 6 2 2 3" xfId="41795" xr:uid="{00000000-0005-0000-0000-00007E1D0000}"/>
    <cellStyle name="Millares 2 6 2 2 6 2 3" xfId="21443" xr:uid="{00000000-0005-0000-0000-00007F1D0000}"/>
    <cellStyle name="Millares 2 6 2 2 6 2 3 2" xfId="48576" xr:uid="{00000000-0005-0000-0000-0000801D0000}"/>
    <cellStyle name="Millares 2 6 2 2 6 2 4" xfId="35014" xr:uid="{00000000-0005-0000-0000-0000811D0000}"/>
    <cellStyle name="Millares 2 6 2 2 6 3" xfId="11267" xr:uid="{00000000-0005-0000-0000-0000821D0000}"/>
    <cellStyle name="Millares 2 6 2 2 6 3 2" xfId="24835" xr:uid="{00000000-0005-0000-0000-0000831D0000}"/>
    <cellStyle name="Millares 2 6 2 2 6 3 2 2" xfId="51968" xr:uid="{00000000-0005-0000-0000-0000841D0000}"/>
    <cellStyle name="Millares 2 6 2 2 6 3 3" xfId="38406" xr:uid="{00000000-0005-0000-0000-0000851D0000}"/>
    <cellStyle name="Millares 2 6 2 2 6 4" xfId="18054" xr:uid="{00000000-0005-0000-0000-0000861D0000}"/>
    <cellStyle name="Millares 2 6 2 2 6 4 2" xfId="45187" xr:uid="{00000000-0005-0000-0000-0000871D0000}"/>
    <cellStyle name="Millares 2 6 2 2 6 5" xfId="31625" xr:uid="{00000000-0005-0000-0000-0000881D0000}"/>
    <cellStyle name="Millares 2 6 2 2 7" xfId="7851" xr:uid="{00000000-0005-0000-0000-0000891D0000}"/>
    <cellStyle name="Millares 2 6 2 2 7 2" xfId="14641" xr:uid="{00000000-0005-0000-0000-00008A1D0000}"/>
    <cellStyle name="Millares 2 6 2 2 7 2 2" xfId="28209" xr:uid="{00000000-0005-0000-0000-00008B1D0000}"/>
    <cellStyle name="Millares 2 6 2 2 7 2 2 2" xfId="55342" xr:uid="{00000000-0005-0000-0000-00008C1D0000}"/>
    <cellStyle name="Millares 2 6 2 2 7 2 3" xfId="41780" xr:uid="{00000000-0005-0000-0000-00008D1D0000}"/>
    <cellStyle name="Millares 2 6 2 2 7 3" xfId="21428" xr:uid="{00000000-0005-0000-0000-00008E1D0000}"/>
    <cellStyle name="Millares 2 6 2 2 7 3 2" xfId="48561" xr:uid="{00000000-0005-0000-0000-00008F1D0000}"/>
    <cellStyle name="Millares 2 6 2 2 7 4" xfId="34999" xr:uid="{00000000-0005-0000-0000-0000901D0000}"/>
    <cellStyle name="Millares 2 6 2 2 8" xfId="11252" xr:uid="{00000000-0005-0000-0000-0000911D0000}"/>
    <cellStyle name="Millares 2 6 2 2 8 2" xfId="24820" xr:uid="{00000000-0005-0000-0000-0000921D0000}"/>
    <cellStyle name="Millares 2 6 2 2 8 2 2" xfId="51953" xr:uid="{00000000-0005-0000-0000-0000931D0000}"/>
    <cellStyle name="Millares 2 6 2 2 8 3" xfId="38391" xr:uid="{00000000-0005-0000-0000-0000941D0000}"/>
    <cellStyle name="Millares 2 6 2 2 9" xfId="18039" xr:uid="{00000000-0005-0000-0000-0000951D0000}"/>
    <cellStyle name="Millares 2 6 2 2 9 2" xfId="45172" xr:uid="{00000000-0005-0000-0000-0000961D0000}"/>
    <cellStyle name="Millares 2 6 2 3" xfId="4257" xr:uid="{00000000-0005-0000-0000-0000971D0000}"/>
    <cellStyle name="Millares 2 6 2 3 2" xfId="4258" xr:uid="{00000000-0005-0000-0000-0000981D0000}"/>
    <cellStyle name="Millares 2 6 2 3 2 2" xfId="4259" xr:uid="{00000000-0005-0000-0000-0000991D0000}"/>
    <cellStyle name="Millares 2 6 2 3 2 2 2" xfId="7869" xr:uid="{00000000-0005-0000-0000-00009A1D0000}"/>
    <cellStyle name="Millares 2 6 2 3 2 2 2 2" xfId="14659" xr:uid="{00000000-0005-0000-0000-00009B1D0000}"/>
    <cellStyle name="Millares 2 6 2 3 2 2 2 2 2" xfId="28227" xr:uid="{00000000-0005-0000-0000-00009C1D0000}"/>
    <cellStyle name="Millares 2 6 2 3 2 2 2 2 2 2" xfId="55360" xr:uid="{00000000-0005-0000-0000-00009D1D0000}"/>
    <cellStyle name="Millares 2 6 2 3 2 2 2 2 3" xfId="41798" xr:uid="{00000000-0005-0000-0000-00009E1D0000}"/>
    <cellStyle name="Millares 2 6 2 3 2 2 2 3" xfId="21446" xr:uid="{00000000-0005-0000-0000-00009F1D0000}"/>
    <cellStyle name="Millares 2 6 2 3 2 2 2 3 2" xfId="48579" xr:uid="{00000000-0005-0000-0000-0000A01D0000}"/>
    <cellStyle name="Millares 2 6 2 3 2 2 2 4" xfId="35017" xr:uid="{00000000-0005-0000-0000-0000A11D0000}"/>
    <cellStyle name="Millares 2 6 2 3 2 2 3" xfId="11270" xr:uid="{00000000-0005-0000-0000-0000A21D0000}"/>
    <cellStyle name="Millares 2 6 2 3 2 2 3 2" xfId="24838" xr:uid="{00000000-0005-0000-0000-0000A31D0000}"/>
    <cellStyle name="Millares 2 6 2 3 2 2 3 2 2" xfId="51971" xr:uid="{00000000-0005-0000-0000-0000A41D0000}"/>
    <cellStyle name="Millares 2 6 2 3 2 2 3 3" xfId="38409" xr:uid="{00000000-0005-0000-0000-0000A51D0000}"/>
    <cellStyle name="Millares 2 6 2 3 2 2 4" xfId="18057" xr:uid="{00000000-0005-0000-0000-0000A61D0000}"/>
    <cellStyle name="Millares 2 6 2 3 2 2 4 2" xfId="45190" xr:uid="{00000000-0005-0000-0000-0000A71D0000}"/>
    <cellStyle name="Millares 2 6 2 3 2 2 5" xfId="31628" xr:uid="{00000000-0005-0000-0000-0000A81D0000}"/>
    <cellStyle name="Millares 2 6 2 3 2 3" xfId="4260" xr:uid="{00000000-0005-0000-0000-0000A91D0000}"/>
    <cellStyle name="Millares 2 6 2 3 2 3 2" xfId="7870" xr:uid="{00000000-0005-0000-0000-0000AA1D0000}"/>
    <cellStyle name="Millares 2 6 2 3 2 3 2 2" xfId="14660" xr:uid="{00000000-0005-0000-0000-0000AB1D0000}"/>
    <cellStyle name="Millares 2 6 2 3 2 3 2 2 2" xfId="28228" xr:uid="{00000000-0005-0000-0000-0000AC1D0000}"/>
    <cellStyle name="Millares 2 6 2 3 2 3 2 2 2 2" xfId="55361" xr:uid="{00000000-0005-0000-0000-0000AD1D0000}"/>
    <cellStyle name="Millares 2 6 2 3 2 3 2 2 3" xfId="41799" xr:uid="{00000000-0005-0000-0000-0000AE1D0000}"/>
    <cellStyle name="Millares 2 6 2 3 2 3 2 3" xfId="21447" xr:uid="{00000000-0005-0000-0000-0000AF1D0000}"/>
    <cellStyle name="Millares 2 6 2 3 2 3 2 3 2" xfId="48580" xr:uid="{00000000-0005-0000-0000-0000B01D0000}"/>
    <cellStyle name="Millares 2 6 2 3 2 3 2 4" xfId="35018" xr:uid="{00000000-0005-0000-0000-0000B11D0000}"/>
    <cellStyle name="Millares 2 6 2 3 2 3 3" xfId="11271" xr:uid="{00000000-0005-0000-0000-0000B21D0000}"/>
    <cellStyle name="Millares 2 6 2 3 2 3 3 2" xfId="24839" xr:uid="{00000000-0005-0000-0000-0000B31D0000}"/>
    <cellStyle name="Millares 2 6 2 3 2 3 3 2 2" xfId="51972" xr:uid="{00000000-0005-0000-0000-0000B41D0000}"/>
    <cellStyle name="Millares 2 6 2 3 2 3 3 3" xfId="38410" xr:uid="{00000000-0005-0000-0000-0000B51D0000}"/>
    <cellStyle name="Millares 2 6 2 3 2 3 4" xfId="18058" xr:uid="{00000000-0005-0000-0000-0000B61D0000}"/>
    <cellStyle name="Millares 2 6 2 3 2 3 4 2" xfId="45191" xr:uid="{00000000-0005-0000-0000-0000B71D0000}"/>
    <cellStyle name="Millares 2 6 2 3 2 3 5" xfId="31629" xr:uid="{00000000-0005-0000-0000-0000B81D0000}"/>
    <cellStyle name="Millares 2 6 2 3 2 4" xfId="7868" xr:uid="{00000000-0005-0000-0000-0000B91D0000}"/>
    <cellStyle name="Millares 2 6 2 3 2 4 2" xfId="14658" xr:uid="{00000000-0005-0000-0000-0000BA1D0000}"/>
    <cellStyle name="Millares 2 6 2 3 2 4 2 2" xfId="28226" xr:uid="{00000000-0005-0000-0000-0000BB1D0000}"/>
    <cellStyle name="Millares 2 6 2 3 2 4 2 2 2" xfId="55359" xr:uid="{00000000-0005-0000-0000-0000BC1D0000}"/>
    <cellStyle name="Millares 2 6 2 3 2 4 2 3" xfId="41797" xr:uid="{00000000-0005-0000-0000-0000BD1D0000}"/>
    <cellStyle name="Millares 2 6 2 3 2 4 3" xfId="21445" xr:uid="{00000000-0005-0000-0000-0000BE1D0000}"/>
    <cellStyle name="Millares 2 6 2 3 2 4 3 2" xfId="48578" xr:uid="{00000000-0005-0000-0000-0000BF1D0000}"/>
    <cellStyle name="Millares 2 6 2 3 2 4 4" xfId="35016" xr:uid="{00000000-0005-0000-0000-0000C01D0000}"/>
    <cellStyle name="Millares 2 6 2 3 2 5" xfId="11269" xr:uid="{00000000-0005-0000-0000-0000C11D0000}"/>
    <cellStyle name="Millares 2 6 2 3 2 5 2" xfId="24837" xr:uid="{00000000-0005-0000-0000-0000C21D0000}"/>
    <cellStyle name="Millares 2 6 2 3 2 5 2 2" xfId="51970" xr:uid="{00000000-0005-0000-0000-0000C31D0000}"/>
    <cellStyle name="Millares 2 6 2 3 2 5 3" xfId="38408" xr:uid="{00000000-0005-0000-0000-0000C41D0000}"/>
    <cellStyle name="Millares 2 6 2 3 2 6" xfId="18056" xr:uid="{00000000-0005-0000-0000-0000C51D0000}"/>
    <cellStyle name="Millares 2 6 2 3 2 6 2" xfId="45189" xr:uid="{00000000-0005-0000-0000-0000C61D0000}"/>
    <cellStyle name="Millares 2 6 2 3 2 7" xfId="31627" xr:uid="{00000000-0005-0000-0000-0000C71D0000}"/>
    <cellStyle name="Millares 2 6 2 3 3" xfId="4261" xr:uid="{00000000-0005-0000-0000-0000C81D0000}"/>
    <cellStyle name="Millares 2 6 2 3 3 2" xfId="4262" xr:uid="{00000000-0005-0000-0000-0000C91D0000}"/>
    <cellStyle name="Millares 2 6 2 3 3 2 2" xfId="7872" xr:uid="{00000000-0005-0000-0000-0000CA1D0000}"/>
    <cellStyle name="Millares 2 6 2 3 3 2 2 2" xfId="14662" xr:uid="{00000000-0005-0000-0000-0000CB1D0000}"/>
    <cellStyle name="Millares 2 6 2 3 3 2 2 2 2" xfId="28230" xr:uid="{00000000-0005-0000-0000-0000CC1D0000}"/>
    <cellStyle name="Millares 2 6 2 3 3 2 2 2 2 2" xfId="55363" xr:uid="{00000000-0005-0000-0000-0000CD1D0000}"/>
    <cellStyle name="Millares 2 6 2 3 3 2 2 2 3" xfId="41801" xr:uid="{00000000-0005-0000-0000-0000CE1D0000}"/>
    <cellStyle name="Millares 2 6 2 3 3 2 2 3" xfId="21449" xr:uid="{00000000-0005-0000-0000-0000CF1D0000}"/>
    <cellStyle name="Millares 2 6 2 3 3 2 2 3 2" xfId="48582" xr:uid="{00000000-0005-0000-0000-0000D01D0000}"/>
    <cellStyle name="Millares 2 6 2 3 3 2 2 4" xfId="35020" xr:uid="{00000000-0005-0000-0000-0000D11D0000}"/>
    <cellStyle name="Millares 2 6 2 3 3 2 3" xfId="11273" xr:uid="{00000000-0005-0000-0000-0000D21D0000}"/>
    <cellStyle name="Millares 2 6 2 3 3 2 3 2" xfId="24841" xr:uid="{00000000-0005-0000-0000-0000D31D0000}"/>
    <cellStyle name="Millares 2 6 2 3 3 2 3 2 2" xfId="51974" xr:uid="{00000000-0005-0000-0000-0000D41D0000}"/>
    <cellStyle name="Millares 2 6 2 3 3 2 3 3" xfId="38412" xr:uid="{00000000-0005-0000-0000-0000D51D0000}"/>
    <cellStyle name="Millares 2 6 2 3 3 2 4" xfId="18060" xr:uid="{00000000-0005-0000-0000-0000D61D0000}"/>
    <cellStyle name="Millares 2 6 2 3 3 2 4 2" xfId="45193" xr:uid="{00000000-0005-0000-0000-0000D71D0000}"/>
    <cellStyle name="Millares 2 6 2 3 3 2 5" xfId="31631" xr:uid="{00000000-0005-0000-0000-0000D81D0000}"/>
    <cellStyle name="Millares 2 6 2 3 3 3" xfId="7871" xr:uid="{00000000-0005-0000-0000-0000D91D0000}"/>
    <cellStyle name="Millares 2 6 2 3 3 3 2" xfId="14661" xr:uid="{00000000-0005-0000-0000-0000DA1D0000}"/>
    <cellStyle name="Millares 2 6 2 3 3 3 2 2" xfId="28229" xr:uid="{00000000-0005-0000-0000-0000DB1D0000}"/>
    <cellStyle name="Millares 2 6 2 3 3 3 2 2 2" xfId="55362" xr:uid="{00000000-0005-0000-0000-0000DC1D0000}"/>
    <cellStyle name="Millares 2 6 2 3 3 3 2 3" xfId="41800" xr:uid="{00000000-0005-0000-0000-0000DD1D0000}"/>
    <cellStyle name="Millares 2 6 2 3 3 3 3" xfId="21448" xr:uid="{00000000-0005-0000-0000-0000DE1D0000}"/>
    <cellStyle name="Millares 2 6 2 3 3 3 3 2" xfId="48581" xr:uid="{00000000-0005-0000-0000-0000DF1D0000}"/>
    <cellStyle name="Millares 2 6 2 3 3 3 4" xfId="35019" xr:uid="{00000000-0005-0000-0000-0000E01D0000}"/>
    <cellStyle name="Millares 2 6 2 3 3 4" xfId="11272" xr:uid="{00000000-0005-0000-0000-0000E11D0000}"/>
    <cellStyle name="Millares 2 6 2 3 3 4 2" xfId="24840" xr:uid="{00000000-0005-0000-0000-0000E21D0000}"/>
    <cellStyle name="Millares 2 6 2 3 3 4 2 2" xfId="51973" xr:uid="{00000000-0005-0000-0000-0000E31D0000}"/>
    <cellStyle name="Millares 2 6 2 3 3 4 3" xfId="38411" xr:uid="{00000000-0005-0000-0000-0000E41D0000}"/>
    <cellStyle name="Millares 2 6 2 3 3 5" xfId="18059" xr:uid="{00000000-0005-0000-0000-0000E51D0000}"/>
    <cellStyle name="Millares 2 6 2 3 3 5 2" xfId="45192" xr:uid="{00000000-0005-0000-0000-0000E61D0000}"/>
    <cellStyle name="Millares 2 6 2 3 3 6" xfId="31630" xr:uid="{00000000-0005-0000-0000-0000E71D0000}"/>
    <cellStyle name="Millares 2 6 2 3 4" xfId="4263" xr:uid="{00000000-0005-0000-0000-0000E81D0000}"/>
    <cellStyle name="Millares 2 6 2 3 4 2" xfId="7873" xr:uid="{00000000-0005-0000-0000-0000E91D0000}"/>
    <cellStyle name="Millares 2 6 2 3 4 2 2" xfId="14663" xr:uid="{00000000-0005-0000-0000-0000EA1D0000}"/>
    <cellStyle name="Millares 2 6 2 3 4 2 2 2" xfId="28231" xr:uid="{00000000-0005-0000-0000-0000EB1D0000}"/>
    <cellStyle name="Millares 2 6 2 3 4 2 2 2 2" xfId="55364" xr:uid="{00000000-0005-0000-0000-0000EC1D0000}"/>
    <cellStyle name="Millares 2 6 2 3 4 2 2 3" xfId="41802" xr:uid="{00000000-0005-0000-0000-0000ED1D0000}"/>
    <cellStyle name="Millares 2 6 2 3 4 2 3" xfId="21450" xr:uid="{00000000-0005-0000-0000-0000EE1D0000}"/>
    <cellStyle name="Millares 2 6 2 3 4 2 3 2" xfId="48583" xr:uid="{00000000-0005-0000-0000-0000EF1D0000}"/>
    <cellStyle name="Millares 2 6 2 3 4 2 4" xfId="35021" xr:uid="{00000000-0005-0000-0000-0000F01D0000}"/>
    <cellStyle name="Millares 2 6 2 3 4 3" xfId="11274" xr:uid="{00000000-0005-0000-0000-0000F11D0000}"/>
    <cellStyle name="Millares 2 6 2 3 4 3 2" xfId="24842" xr:uid="{00000000-0005-0000-0000-0000F21D0000}"/>
    <cellStyle name="Millares 2 6 2 3 4 3 2 2" xfId="51975" xr:uid="{00000000-0005-0000-0000-0000F31D0000}"/>
    <cellStyle name="Millares 2 6 2 3 4 3 3" xfId="38413" xr:uid="{00000000-0005-0000-0000-0000F41D0000}"/>
    <cellStyle name="Millares 2 6 2 3 4 4" xfId="18061" xr:uid="{00000000-0005-0000-0000-0000F51D0000}"/>
    <cellStyle name="Millares 2 6 2 3 4 4 2" xfId="45194" xr:uid="{00000000-0005-0000-0000-0000F61D0000}"/>
    <cellStyle name="Millares 2 6 2 3 4 5" xfId="31632" xr:uid="{00000000-0005-0000-0000-0000F71D0000}"/>
    <cellStyle name="Millares 2 6 2 3 5" xfId="4264" xr:uid="{00000000-0005-0000-0000-0000F81D0000}"/>
    <cellStyle name="Millares 2 6 2 3 5 2" xfId="7874" xr:uid="{00000000-0005-0000-0000-0000F91D0000}"/>
    <cellStyle name="Millares 2 6 2 3 5 2 2" xfId="14664" xr:uid="{00000000-0005-0000-0000-0000FA1D0000}"/>
    <cellStyle name="Millares 2 6 2 3 5 2 2 2" xfId="28232" xr:uid="{00000000-0005-0000-0000-0000FB1D0000}"/>
    <cellStyle name="Millares 2 6 2 3 5 2 2 2 2" xfId="55365" xr:uid="{00000000-0005-0000-0000-0000FC1D0000}"/>
    <cellStyle name="Millares 2 6 2 3 5 2 2 3" xfId="41803" xr:uid="{00000000-0005-0000-0000-0000FD1D0000}"/>
    <cellStyle name="Millares 2 6 2 3 5 2 3" xfId="21451" xr:uid="{00000000-0005-0000-0000-0000FE1D0000}"/>
    <cellStyle name="Millares 2 6 2 3 5 2 3 2" xfId="48584" xr:uid="{00000000-0005-0000-0000-0000FF1D0000}"/>
    <cellStyle name="Millares 2 6 2 3 5 2 4" xfId="35022" xr:uid="{00000000-0005-0000-0000-0000001E0000}"/>
    <cellStyle name="Millares 2 6 2 3 5 3" xfId="11275" xr:uid="{00000000-0005-0000-0000-0000011E0000}"/>
    <cellStyle name="Millares 2 6 2 3 5 3 2" xfId="24843" xr:uid="{00000000-0005-0000-0000-0000021E0000}"/>
    <cellStyle name="Millares 2 6 2 3 5 3 2 2" xfId="51976" xr:uid="{00000000-0005-0000-0000-0000031E0000}"/>
    <cellStyle name="Millares 2 6 2 3 5 3 3" xfId="38414" xr:uid="{00000000-0005-0000-0000-0000041E0000}"/>
    <cellStyle name="Millares 2 6 2 3 5 4" xfId="18062" xr:uid="{00000000-0005-0000-0000-0000051E0000}"/>
    <cellStyle name="Millares 2 6 2 3 5 4 2" xfId="45195" xr:uid="{00000000-0005-0000-0000-0000061E0000}"/>
    <cellStyle name="Millares 2 6 2 3 5 5" xfId="31633" xr:uid="{00000000-0005-0000-0000-0000071E0000}"/>
    <cellStyle name="Millares 2 6 2 3 6" xfId="7867" xr:uid="{00000000-0005-0000-0000-0000081E0000}"/>
    <cellStyle name="Millares 2 6 2 3 6 2" xfId="14657" xr:uid="{00000000-0005-0000-0000-0000091E0000}"/>
    <cellStyle name="Millares 2 6 2 3 6 2 2" xfId="28225" xr:uid="{00000000-0005-0000-0000-00000A1E0000}"/>
    <cellStyle name="Millares 2 6 2 3 6 2 2 2" xfId="55358" xr:uid="{00000000-0005-0000-0000-00000B1E0000}"/>
    <cellStyle name="Millares 2 6 2 3 6 2 3" xfId="41796" xr:uid="{00000000-0005-0000-0000-00000C1E0000}"/>
    <cellStyle name="Millares 2 6 2 3 6 3" xfId="21444" xr:uid="{00000000-0005-0000-0000-00000D1E0000}"/>
    <cellStyle name="Millares 2 6 2 3 6 3 2" xfId="48577" xr:uid="{00000000-0005-0000-0000-00000E1E0000}"/>
    <cellStyle name="Millares 2 6 2 3 6 4" xfId="35015" xr:uid="{00000000-0005-0000-0000-00000F1E0000}"/>
    <cellStyle name="Millares 2 6 2 3 7" xfId="11268" xr:uid="{00000000-0005-0000-0000-0000101E0000}"/>
    <cellStyle name="Millares 2 6 2 3 7 2" xfId="24836" xr:uid="{00000000-0005-0000-0000-0000111E0000}"/>
    <cellStyle name="Millares 2 6 2 3 7 2 2" xfId="51969" xr:uid="{00000000-0005-0000-0000-0000121E0000}"/>
    <cellStyle name="Millares 2 6 2 3 7 3" xfId="38407" xr:uid="{00000000-0005-0000-0000-0000131E0000}"/>
    <cellStyle name="Millares 2 6 2 3 8" xfId="18055" xr:uid="{00000000-0005-0000-0000-0000141E0000}"/>
    <cellStyle name="Millares 2 6 2 3 8 2" xfId="45188" xr:uid="{00000000-0005-0000-0000-0000151E0000}"/>
    <cellStyle name="Millares 2 6 2 3 9" xfId="31626" xr:uid="{00000000-0005-0000-0000-0000161E0000}"/>
    <cellStyle name="Millares 2 6 2 4" xfId="4265" xr:uid="{00000000-0005-0000-0000-0000171E0000}"/>
    <cellStyle name="Millares 2 6 2 4 2" xfId="4266" xr:uid="{00000000-0005-0000-0000-0000181E0000}"/>
    <cellStyle name="Millares 2 6 2 4 2 2" xfId="4267" xr:uid="{00000000-0005-0000-0000-0000191E0000}"/>
    <cellStyle name="Millares 2 6 2 4 2 2 2" xfId="7877" xr:uid="{00000000-0005-0000-0000-00001A1E0000}"/>
    <cellStyle name="Millares 2 6 2 4 2 2 2 2" xfId="14667" xr:uid="{00000000-0005-0000-0000-00001B1E0000}"/>
    <cellStyle name="Millares 2 6 2 4 2 2 2 2 2" xfId="28235" xr:uid="{00000000-0005-0000-0000-00001C1E0000}"/>
    <cellStyle name="Millares 2 6 2 4 2 2 2 2 2 2" xfId="55368" xr:uid="{00000000-0005-0000-0000-00001D1E0000}"/>
    <cellStyle name="Millares 2 6 2 4 2 2 2 2 3" xfId="41806" xr:uid="{00000000-0005-0000-0000-00001E1E0000}"/>
    <cellStyle name="Millares 2 6 2 4 2 2 2 3" xfId="21454" xr:uid="{00000000-0005-0000-0000-00001F1E0000}"/>
    <cellStyle name="Millares 2 6 2 4 2 2 2 3 2" xfId="48587" xr:uid="{00000000-0005-0000-0000-0000201E0000}"/>
    <cellStyle name="Millares 2 6 2 4 2 2 2 4" xfId="35025" xr:uid="{00000000-0005-0000-0000-0000211E0000}"/>
    <cellStyle name="Millares 2 6 2 4 2 2 3" xfId="11278" xr:uid="{00000000-0005-0000-0000-0000221E0000}"/>
    <cellStyle name="Millares 2 6 2 4 2 2 3 2" xfId="24846" xr:uid="{00000000-0005-0000-0000-0000231E0000}"/>
    <cellStyle name="Millares 2 6 2 4 2 2 3 2 2" xfId="51979" xr:uid="{00000000-0005-0000-0000-0000241E0000}"/>
    <cellStyle name="Millares 2 6 2 4 2 2 3 3" xfId="38417" xr:uid="{00000000-0005-0000-0000-0000251E0000}"/>
    <cellStyle name="Millares 2 6 2 4 2 2 4" xfId="18065" xr:uid="{00000000-0005-0000-0000-0000261E0000}"/>
    <cellStyle name="Millares 2 6 2 4 2 2 4 2" xfId="45198" xr:uid="{00000000-0005-0000-0000-0000271E0000}"/>
    <cellStyle name="Millares 2 6 2 4 2 2 5" xfId="31636" xr:uid="{00000000-0005-0000-0000-0000281E0000}"/>
    <cellStyle name="Millares 2 6 2 4 2 3" xfId="4268" xr:uid="{00000000-0005-0000-0000-0000291E0000}"/>
    <cellStyle name="Millares 2 6 2 4 2 3 2" xfId="7878" xr:uid="{00000000-0005-0000-0000-00002A1E0000}"/>
    <cellStyle name="Millares 2 6 2 4 2 3 2 2" xfId="14668" xr:uid="{00000000-0005-0000-0000-00002B1E0000}"/>
    <cellStyle name="Millares 2 6 2 4 2 3 2 2 2" xfId="28236" xr:uid="{00000000-0005-0000-0000-00002C1E0000}"/>
    <cellStyle name="Millares 2 6 2 4 2 3 2 2 2 2" xfId="55369" xr:uid="{00000000-0005-0000-0000-00002D1E0000}"/>
    <cellStyle name="Millares 2 6 2 4 2 3 2 2 3" xfId="41807" xr:uid="{00000000-0005-0000-0000-00002E1E0000}"/>
    <cellStyle name="Millares 2 6 2 4 2 3 2 3" xfId="21455" xr:uid="{00000000-0005-0000-0000-00002F1E0000}"/>
    <cellStyle name="Millares 2 6 2 4 2 3 2 3 2" xfId="48588" xr:uid="{00000000-0005-0000-0000-0000301E0000}"/>
    <cellStyle name="Millares 2 6 2 4 2 3 2 4" xfId="35026" xr:uid="{00000000-0005-0000-0000-0000311E0000}"/>
    <cellStyle name="Millares 2 6 2 4 2 3 3" xfId="11279" xr:uid="{00000000-0005-0000-0000-0000321E0000}"/>
    <cellStyle name="Millares 2 6 2 4 2 3 3 2" xfId="24847" xr:uid="{00000000-0005-0000-0000-0000331E0000}"/>
    <cellStyle name="Millares 2 6 2 4 2 3 3 2 2" xfId="51980" xr:uid="{00000000-0005-0000-0000-0000341E0000}"/>
    <cellStyle name="Millares 2 6 2 4 2 3 3 3" xfId="38418" xr:uid="{00000000-0005-0000-0000-0000351E0000}"/>
    <cellStyle name="Millares 2 6 2 4 2 3 4" xfId="18066" xr:uid="{00000000-0005-0000-0000-0000361E0000}"/>
    <cellStyle name="Millares 2 6 2 4 2 3 4 2" xfId="45199" xr:uid="{00000000-0005-0000-0000-0000371E0000}"/>
    <cellStyle name="Millares 2 6 2 4 2 3 5" xfId="31637" xr:uid="{00000000-0005-0000-0000-0000381E0000}"/>
    <cellStyle name="Millares 2 6 2 4 2 4" xfId="7876" xr:uid="{00000000-0005-0000-0000-0000391E0000}"/>
    <cellStyle name="Millares 2 6 2 4 2 4 2" xfId="14666" xr:uid="{00000000-0005-0000-0000-00003A1E0000}"/>
    <cellStyle name="Millares 2 6 2 4 2 4 2 2" xfId="28234" xr:uid="{00000000-0005-0000-0000-00003B1E0000}"/>
    <cellStyle name="Millares 2 6 2 4 2 4 2 2 2" xfId="55367" xr:uid="{00000000-0005-0000-0000-00003C1E0000}"/>
    <cellStyle name="Millares 2 6 2 4 2 4 2 3" xfId="41805" xr:uid="{00000000-0005-0000-0000-00003D1E0000}"/>
    <cellStyle name="Millares 2 6 2 4 2 4 3" xfId="21453" xr:uid="{00000000-0005-0000-0000-00003E1E0000}"/>
    <cellStyle name="Millares 2 6 2 4 2 4 3 2" xfId="48586" xr:uid="{00000000-0005-0000-0000-00003F1E0000}"/>
    <cellStyle name="Millares 2 6 2 4 2 4 4" xfId="35024" xr:uid="{00000000-0005-0000-0000-0000401E0000}"/>
    <cellStyle name="Millares 2 6 2 4 2 5" xfId="11277" xr:uid="{00000000-0005-0000-0000-0000411E0000}"/>
    <cellStyle name="Millares 2 6 2 4 2 5 2" xfId="24845" xr:uid="{00000000-0005-0000-0000-0000421E0000}"/>
    <cellStyle name="Millares 2 6 2 4 2 5 2 2" xfId="51978" xr:uid="{00000000-0005-0000-0000-0000431E0000}"/>
    <cellStyle name="Millares 2 6 2 4 2 5 3" xfId="38416" xr:uid="{00000000-0005-0000-0000-0000441E0000}"/>
    <cellStyle name="Millares 2 6 2 4 2 6" xfId="18064" xr:uid="{00000000-0005-0000-0000-0000451E0000}"/>
    <cellStyle name="Millares 2 6 2 4 2 6 2" xfId="45197" xr:uid="{00000000-0005-0000-0000-0000461E0000}"/>
    <cellStyle name="Millares 2 6 2 4 2 7" xfId="31635" xr:uid="{00000000-0005-0000-0000-0000471E0000}"/>
    <cellStyle name="Millares 2 6 2 4 3" xfId="4269" xr:uid="{00000000-0005-0000-0000-0000481E0000}"/>
    <cellStyle name="Millares 2 6 2 4 3 2" xfId="7879" xr:uid="{00000000-0005-0000-0000-0000491E0000}"/>
    <cellStyle name="Millares 2 6 2 4 3 2 2" xfId="14669" xr:uid="{00000000-0005-0000-0000-00004A1E0000}"/>
    <cellStyle name="Millares 2 6 2 4 3 2 2 2" xfId="28237" xr:uid="{00000000-0005-0000-0000-00004B1E0000}"/>
    <cellStyle name="Millares 2 6 2 4 3 2 2 2 2" xfId="55370" xr:uid="{00000000-0005-0000-0000-00004C1E0000}"/>
    <cellStyle name="Millares 2 6 2 4 3 2 2 3" xfId="41808" xr:uid="{00000000-0005-0000-0000-00004D1E0000}"/>
    <cellStyle name="Millares 2 6 2 4 3 2 3" xfId="21456" xr:uid="{00000000-0005-0000-0000-00004E1E0000}"/>
    <cellStyle name="Millares 2 6 2 4 3 2 3 2" xfId="48589" xr:uid="{00000000-0005-0000-0000-00004F1E0000}"/>
    <cellStyle name="Millares 2 6 2 4 3 2 4" xfId="35027" xr:uid="{00000000-0005-0000-0000-0000501E0000}"/>
    <cellStyle name="Millares 2 6 2 4 3 3" xfId="11280" xr:uid="{00000000-0005-0000-0000-0000511E0000}"/>
    <cellStyle name="Millares 2 6 2 4 3 3 2" xfId="24848" xr:uid="{00000000-0005-0000-0000-0000521E0000}"/>
    <cellStyle name="Millares 2 6 2 4 3 3 2 2" xfId="51981" xr:uid="{00000000-0005-0000-0000-0000531E0000}"/>
    <cellStyle name="Millares 2 6 2 4 3 3 3" xfId="38419" xr:uid="{00000000-0005-0000-0000-0000541E0000}"/>
    <cellStyle name="Millares 2 6 2 4 3 4" xfId="18067" xr:uid="{00000000-0005-0000-0000-0000551E0000}"/>
    <cellStyle name="Millares 2 6 2 4 3 4 2" xfId="45200" xr:uid="{00000000-0005-0000-0000-0000561E0000}"/>
    <cellStyle name="Millares 2 6 2 4 3 5" xfId="31638" xr:uid="{00000000-0005-0000-0000-0000571E0000}"/>
    <cellStyle name="Millares 2 6 2 4 4" xfId="4270" xr:uid="{00000000-0005-0000-0000-0000581E0000}"/>
    <cellStyle name="Millares 2 6 2 4 4 2" xfId="7880" xr:uid="{00000000-0005-0000-0000-0000591E0000}"/>
    <cellStyle name="Millares 2 6 2 4 4 2 2" xfId="14670" xr:uid="{00000000-0005-0000-0000-00005A1E0000}"/>
    <cellStyle name="Millares 2 6 2 4 4 2 2 2" xfId="28238" xr:uid="{00000000-0005-0000-0000-00005B1E0000}"/>
    <cellStyle name="Millares 2 6 2 4 4 2 2 2 2" xfId="55371" xr:uid="{00000000-0005-0000-0000-00005C1E0000}"/>
    <cellStyle name="Millares 2 6 2 4 4 2 2 3" xfId="41809" xr:uid="{00000000-0005-0000-0000-00005D1E0000}"/>
    <cellStyle name="Millares 2 6 2 4 4 2 3" xfId="21457" xr:uid="{00000000-0005-0000-0000-00005E1E0000}"/>
    <cellStyle name="Millares 2 6 2 4 4 2 3 2" xfId="48590" xr:uid="{00000000-0005-0000-0000-00005F1E0000}"/>
    <cellStyle name="Millares 2 6 2 4 4 2 4" xfId="35028" xr:uid="{00000000-0005-0000-0000-0000601E0000}"/>
    <cellStyle name="Millares 2 6 2 4 4 3" xfId="11281" xr:uid="{00000000-0005-0000-0000-0000611E0000}"/>
    <cellStyle name="Millares 2 6 2 4 4 3 2" xfId="24849" xr:uid="{00000000-0005-0000-0000-0000621E0000}"/>
    <cellStyle name="Millares 2 6 2 4 4 3 2 2" xfId="51982" xr:uid="{00000000-0005-0000-0000-0000631E0000}"/>
    <cellStyle name="Millares 2 6 2 4 4 3 3" xfId="38420" xr:uid="{00000000-0005-0000-0000-0000641E0000}"/>
    <cellStyle name="Millares 2 6 2 4 4 4" xfId="18068" xr:uid="{00000000-0005-0000-0000-0000651E0000}"/>
    <cellStyle name="Millares 2 6 2 4 4 4 2" xfId="45201" xr:uid="{00000000-0005-0000-0000-0000661E0000}"/>
    <cellStyle name="Millares 2 6 2 4 4 5" xfId="31639" xr:uid="{00000000-0005-0000-0000-0000671E0000}"/>
    <cellStyle name="Millares 2 6 2 4 5" xfId="7875" xr:uid="{00000000-0005-0000-0000-0000681E0000}"/>
    <cellStyle name="Millares 2 6 2 4 5 2" xfId="14665" xr:uid="{00000000-0005-0000-0000-0000691E0000}"/>
    <cellStyle name="Millares 2 6 2 4 5 2 2" xfId="28233" xr:uid="{00000000-0005-0000-0000-00006A1E0000}"/>
    <cellStyle name="Millares 2 6 2 4 5 2 2 2" xfId="55366" xr:uid="{00000000-0005-0000-0000-00006B1E0000}"/>
    <cellStyle name="Millares 2 6 2 4 5 2 3" xfId="41804" xr:uid="{00000000-0005-0000-0000-00006C1E0000}"/>
    <cellStyle name="Millares 2 6 2 4 5 3" xfId="21452" xr:uid="{00000000-0005-0000-0000-00006D1E0000}"/>
    <cellStyle name="Millares 2 6 2 4 5 3 2" xfId="48585" xr:uid="{00000000-0005-0000-0000-00006E1E0000}"/>
    <cellStyle name="Millares 2 6 2 4 5 4" xfId="35023" xr:uid="{00000000-0005-0000-0000-00006F1E0000}"/>
    <cellStyle name="Millares 2 6 2 4 6" xfId="11276" xr:uid="{00000000-0005-0000-0000-0000701E0000}"/>
    <cellStyle name="Millares 2 6 2 4 6 2" xfId="24844" xr:uid="{00000000-0005-0000-0000-0000711E0000}"/>
    <cellStyle name="Millares 2 6 2 4 6 2 2" xfId="51977" xr:uid="{00000000-0005-0000-0000-0000721E0000}"/>
    <cellStyle name="Millares 2 6 2 4 6 3" xfId="38415" xr:uid="{00000000-0005-0000-0000-0000731E0000}"/>
    <cellStyle name="Millares 2 6 2 4 7" xfId="18063" xr:uid="{00000000-0005-0000-0000-0000741E0000}"/>
    <cellStyle name="Millares 2 6 2 4 7 2" xfId="45196" xr:uid="{00000000-0005-0000-0000-0000751E0000}"/>
    <cellStyle name="Millares 2 6 2 4 8" xfId="31634" xr:uid="{00000000-0005-0000-0000-0000761E0000}"/>
    <cellStyle name="Millares 2 6 2 5" xfId="4271" xr:uid="{00000000-0005-0000-0000-0000771E0000}"/>
    <cellStyle name="Millares 2 6 2 5 2" xfId="4272" xr:uid="{00000000-0005-0000-0000-0000781E0000}"/>
    <cellStyle name="Millares 2 6 2 5 2 2" xfId="4273" xr:uid="{00000000-0005-0000-0000-0000791E0000}"/>
    <cellStyle name="Millares 2 6 2 5 2 2 2" xfId="7883" xr:uid="{00000000-0005-0000-0000-00007A1E0000}"/>
    <cellStyle name="Millares 2 6 2 5 2 2 2 2" xfId="14673" xr:uid="{00000000-0005-0000-0000-00007B1E0000}"/>
    <cellStyle name="Millares 2 6 2 5 2 2 2 2 2" xfId="28241" xr:uid="{00000000-0005-0000-0000-00007C1E0000}"/>
    <cellStyle name="Millares 2 6 2 5 2 2 2 2 2 2" xfId="55374" xr:uid="{00000000-0005-0000-0000-00007D1E0000}"/>
    <cellStyle name="Millares 2 6 2 5 2 2 2 2 3" xfId="41812" xr:uid="{00000000-0005-0000-0000-00007E1E0000}"/>
    <cellStyle name="Millares 2 6 2 5 2 2 2 3" xfId="21460" xr:uid="{00000000-0005-0000-0000-00007F1E0000}"/>
    <cellStyle name="Millares 2 6 2 5 2 2 2 3 2" xfId="48593" xr:uid="{00000000-0005-0000-0000-0000801E0000}"/>
    <cellStyle name="Millares 2 6 2 5 2 2 2 4" xfId="35031" xr:uid="{00000000-0005-0000-0000-0000811E0000}"/>
    <cellStyle name="Millares 2 6 2 5 2 2 3" xfId="11284" xr:uid="{00000000-0005-0000-0000-0000821E0000}"/>
    <cellStyle name="Millares 2 6 2 5 2 2 3 2" xfId="24852" xr:uid="{00000000-0005-0000-0000-0000831E0000}"/>
    <cellStyle name="Millares 2 6 2 5 2 2 3 2 2" xfId="51985" xr:uid="{00000000-0005-0000-0000-0000841E0000}"/>
    <cellStyle name="Millares 2 6 2 5 2 2 3 3" xfId="38423" xr:uid="{00000000-0005-0000-0000-0000851E0000}"/>
    <cellStyle name="Millares 2 6 2 5 2 2 4" xfId="18071" xr:uid="{00000000-0005-0000-0000-0000861E0000}"/>
    <cellStyle name="Millares 2 6 2 5 2 2 4 2" xfId="45204" xr:uid="{00000000-0005-0000-0000-0000871E0000}"/>
    <cellStyle name="Millares 2 6 2 5 2 2 5" xfId="31642" xr:uid="{00000000-0005-0000-0000-0000881E0000}"/>
    <cellStyle name="Millares 2 6 2 5 2 3" xfId="4274" xr:uid="{00000000-0005-0000-0000-0000891E0000}"/>
    <cellStyle name="Millares 2 6 2 5 2 3 2" xfId="7884" xr:uid="{00000000-0005-0000-0000-00008A1E0000}"/>
    <cellStyle name="Millares 2 6 2 5 2 3 2 2" xfId="14674" xr:uid="{00000000-0005-0000-0000-00008B1E0000}"/>
    <cellStyle name="Millares 2 6 2 5 2 3 2 2 2" xfId="28242" xr:uid="{00000000-0005-0000-0000-00008C1E0000}"/>
    <cellStyle name="Millares 2 6 2 5 2 3 2 2 2 2" xfId="55375" xr:uid="{00000000-0005-0000-0000-00008D1E0000}"/>
    <cellStyle name="Millares 2 6 2 5 2 3 2 2 3" xfId="41813" xr:uid="{00000000-0005-0000-0000-00008E1E0000}"/>
    <cellStyle name="Millares 2 6 2 5 2 3 2 3" xfId="21461" xr:uid="{00000000-0005-0000-0000-00008F1E0000}"/>
    <cellStyle name="Millares 2 6 2 5 2 3 2 3 2" xfId="48594" xr:uid="{00000000-0005-0000-0000-0000901E0000}"/>
    <cellStyle name="Millares 2 6 2 5 2 3 2 4" xfId="35032" xr:uid="{00000000-0005-0000-0000-0000911E0000}"/>
    <cellStyle name="Millares 2 6 2 5 2 3 3" xfId="11285" xr:uid="{00000000-0005-0000-0000-0000921E0000}"/>
    <cellStyle name="Millares 2 6 2 5 2 3 3 2" xfId="24853" xr:uid="{00000000-0005-0000-0000-0000931E0000}"/>
    <cellStyle name="Millares 2 6 2 5 2 3 3 2 2" xfId="51986" xr:uid="{00000000-0005-0000-0000-0000941E0000}"/>
    <cellStyle name="Millares 2 6 2 5 2 3 3 3" xfId="38424" xr:uid="{00000000-0005-0000-0000-0000951E0000}"/>
    <cellStyle name="Millares 2 6 2 5 2 3 4" xfId="18072" xr:uid="{00000000-0005-0000-0000-0000961E0000}"/>
    <cellStyle name="Millares 2 6 2 5 2 3 4 2" xfId="45205" xr:uid="{00000000-0005-0000-0000-0000971E0000}"/>
    <cellStyle name="Millares 2 6 2 5 2 3 5" xfId="31643" xr:uid="{00000000-0005-0000-0000-0000981E0000}"/>
    <cellStyle name="Millares 2 6 2 5 2 4" xfId="7882" xr:uid="{00000000-0005-0000-0000-0000991E0000}"/>
    <cellStyle name="Millares 2 6 2 5 2 4 2" xfId="14672" xr:uid="{00000000-0005-0000-0000-00009A1E0000}"/>
    <cellStyle name="Millares 2 6 2 5 2 4 2 2" xfId="28240" xr:uid="{00000000-0005-0000-0000-00009B1E0000}"/>
    <cellStyle name="Millares 2 6 2 5 2 4 2 2 2" xfId="55373" xr:uid="{00000000-0005-0000-0000-00009C1E0000}"/>
    <cellStyle name="Millares 2 6 2 5 2 4 2 3" xfId="41811" xr:uid="{00000000-0005-0000-0000-00009D1E0000}"/>
    <cellStyle name="Millares 2 6 2 5 2 4 3" xfId="21459" xr:uid="{00000000-0005-0000-0000-00009E1E0000}"/>
    <cellStyle name="Millares 2 6 2 5 2 4 3 2" xfId="48592" xr:uid="{00000000-0005-0000-0000-00009F1E0000}"/>
    <cellStyle name="Millares 2 6 2 5 2 4 4" xfId="35030" xr:uid="{00000000-0005-0000-0000-0000A01E0000}"/>
    <cellStyle name="Millares 2 6 2 5 2 5" xfId="11283" xr:uid="{00000000-0005-0000-0000-0000A11E0000}"/>
    <cellStyle name="Millares 2 6 2 5 2 5 2" xfId="24851" xr:uid="{00000000-0005-0000-0000-0000A21E0000}"/>
    <cellStyle name="Millares 2 6 2 5 2 5 2 2" xfId="51984" xr:uid="{00000000-0005-0000-0000-0000A31E0000}"/>
    <cellStyle name="Millares 2 6 2 5 2 5 3" xfId="38422" xr:uid="{00000000-0005-0000-0000-0000A41E0000}"/>
    <cellStyle name="Millares 2 6 2 5 2 6" xfId="18070" xr:uid="{00000000-0005-0000-0000-0000A51E0000}"/>
    <cellStyle name="Millares 2 6 2 5 2 6 2" xfId="45203" xr:uid="{00000000-0005-0000-0000-0000A61E0000}"/>
    <cellStyle name="Millares 2 6 2 5 2 7" xfId="31641" xr:uid="{00000000-0005-0000-0000-0000A71E0000}"/>
    <cellStyle name="Millares 2 6 2 5 3" xfId="4275" xr:uid="{00000000-0005-0000-0000-0000A81E0000}"/>
    <cellStyle name="Millares 2 6 2 5 3 2" xfId="7885" xr:uid="{00000000-0005-0000-0000-0000A91E0000}"/>
    <cellStyle name="Millares 2 6 2 5 3 2 2" xfId="14675" xr:uid="{00000000-0005-0000-0000-0000AA1E0000}"/>
    <cellStyle name="Millares 2 6 2 5 3 2 2 2" xfId="28243" xr:uid="{00000000-0005-0000-0000-0000AB1E0000}"/>
    <cellStyle name="Millares 2 6 2 5 3 2 2 2 2" xfId="55376" xr:uid="{00000000-0005-0000-0000-0000AC1E0000}"/>
    <cellStyle name="Millares 2 6 2 5 3 2 2 3" xfId="41814" xr:uid="{00000000-0005-0000-0000-0000AD1E0000}"/>
    <cellStyle name="Millares 2 6 2 5 3 2 3" xfId="21462" xr:uid="{00000000-0005-0000-0000-0000AE1E0000}"/>
    <cellStyle name="Millares 2 6 2 5 3 2 3 2" xfId="48595" xr:uid="{00000000-0005-0000-0000-0000AF1E0000}"/>
    <cellStyle name="Millares 2 6 2 5 3 2 4" xfId="35033" xr:uid="{00000000-0005-0000-0000-0000B01E0000}"/>
    <cellStyle name="Millares 2 6 2 5 3 3" xfId="11286" xr:uid="{00000000-0005-0000-0000-0000B11E0000}"/>
    <cellStyle name="Millares 2 6 2 5 3 3 2" xfId="24854" xr:uid="{00000000-0005-0000-0000-0000B21E0000}"/>
    <cellStyle name="Millares 2 6 2 5 3 3 2 2" xfId="51987" xr:uid="{00000000-0005-0000-0000-0000B31E0000}"/>
    <cellStyle name="Millares 2 6 2 5 3 3 3" xfId="38425" xr:uid="{00000000-0005-0000-0000-0000B41E0000}"/>
    <cellStyle name="Millares 2 6 2 5 3 4" xfId="18073" xr:uid="{00000000-0005-0000-0000-0000B51E0000}"/>
    <cellStyle name="Millares 2 6 2 5 3 4 2" xfId="45206" xr:uid="{00000000-0005-0000-0000-0000B61E0000}"/>
    <cellStyle name="Millares 2 6 2 5 3 5" xfId="31644" xr:uid="{00000000-0005-0000-0000-0000B71E0000}"/>
    <cellStyle name="Millares 2 6 2 5 4" xfId="4276" xr:uid="{00000000-0005-0000-0000-0000B81E0000}"/>
    <cellStyle name="Millares 2 6 2 5 4 2" xfId="7886" xr:uid="{00000000-0005-0000-0000-0000B91E0000}"/>
    <cellStyle name="Millares 2 6 2 5 4 2 2" xfId="14676" xr:uid="{00000000-0005-0000-0000-0000BA1E0000}"/>
    <cellStyle name="Millares 2 6 2 5 4 2 2 2" xfId="28244" xr:uid="{00000000-0005-0000-0000-0000BB1E0000}"/>
    <cellStyle name="Millares 2 6 2 5 4 2 2 2 2" xfId="55377" xr:uid="{00000000-0005-0000-0000-0000BC1E0000}"/>
    <cellStyle name="Millares 2 6 2 5 4 2 2 3" xfId="41815" xr:uid="{00000000-0005-0000-0000-0000BD1E0000}"/>
    <cellStyle name="Millares 2 6 2 5 4 2 3" xfId="21463" xr:uid="{00000000-0005-0000-0000-0000BE1E0000}"/>
    <cellStyle name="Millares 2 6 2 5 4 2 3 2" xfId="48596" xr:uid="{00000000-0005-0000-0000-0000BF1E0000}"/>
    <cellStyle name="Millares 2 6 2 5 4 2 4" xfId="35034" xr:uid="{00000000-0005-0000-0000-0000C01E0000}"/>
    <cellStyle name="Millares 2 6 2 5 4 3" xfId="11287" xr:uid="{00000000-0005-0000-0000-0000C11E0000}"/>
    <cellStyle name="Millares 2 6 2 5 4 3 2" xfId="24855" xr:uid="{00000000-0005-0000-0000-0000C21E0000}"/>
    <cellStyle name="Millares 2 6 2 5 4 3 2 2" xfId="51988" xr:uid="{00000000-0005-0000-0000-0000C31E0000}"/>
    <cellStyle name="Millares 2 6 2 5 4 3 3" xfId="38426" xr:uid="{00000000-0005-0000-0000-0000C41E0000}"/>
    <cellStyle name="Millares 2 6 2 5 4 4" xfId="18074" xr:uid="{00000000-0005-0000-0000-0000C51E0000}"/>
    <cellStyle name="Millares 2 6 2 5 4 4 2" xfId="45207" xr:uid="{00000000-0005-0000-0000-0000C61E0000}"/>
    <cellStyle name="Millares 2 6 2 5 4 5" xfId="31645" xr:uid="{00000000-0005-0000-0000-0000C71E0000}"/>
    <cellStyle name="Millares 2 6 2 5 5" xfId="7881" xr:uid="{00000000-0005-0000-0000-0000C81E0000}"/>
    <cellStyle name="Millares 2 6 2 5 5 2" xfId="14671" xr:uid="{00000000-0005-0000-0000-0000C91E0000}"/>
    <cellStyle name="Millares 2 6 2 5 5 2 2" xfId="28239" xr:uid="{00000000-0005-0000-0000-0000CA1E0000}"/>
    <cellStyle name="Millares 2 6 2 5 5 2 2 2" xfId="55372" xr:uid="{00000000-0005-0000-0000-0000CB1E0000}"/>
    <cellStyle name="Millares 2 6 2 5 5 2 3" xfId="41810" xr:uid="{00000000-0005-0000-0000-0000CC1E0000}"/>
    <cellStyle name="Millares 2 6 2 5 5 3" xfId="21458" xr:uid="{00000000-0005-0000-0000-0000CD1E0000}"/>
    <cellStyle name="Millares 2 6 2 5 5 3 2" xfId="48591" xr:uid="{00000000-0005-0000-0000-0000CE1E0000}"/>
    <cellStyle name="Millares 2 6 2 5 5 4" xfId="35029" xr:uid="{00000000-0005-0000-0000-0000CF1E0000}"/>
    <cellStyle name="Millares 2 6 2 5 6" xfId="11282" xr:uid="{00000000-0005-0000-0000-0000D01E0000}"/>
    <cellStyle name="Millares 2 6 2 5 6 2" xfId="24850" xr:uid="{00000000-0005-0000-0000-0000D11E0000}"/>
    <cellStyle name="Millares 2 6 2 5 6 2 2" xfId="51983" xr:uid="{00000000-0005-0000-0000-0000D21E0000}"/>
    <cellStyle name="Millares 2 6 2 5 6 3" xfId="38421" xr:uid="{00000000-0005-0000-0000-0000D31E0000}"/>
    <cellStyle name="Millares 2 6 2 5 7" xfId="18069" xr:uid="{00000000-0005-0000-0000-0000D41E0000}"/>
    <cellStyle name="Millares 2 6 2 5 7 2" xfId="45202" xr:uid="{00000000-0005-0000-0000-0000D51E0000}"/>
    <cellStyle name="Millares 2 6 2 5 8" xfId="31640" xr:uid="{00000000-0005-0000-0000-0000D61E0000}"/>
    <cellStyle name="Millares 2 6 2 6" xfId="4277" xr:uid="{00000000-0005-0000-0000-0000D71E0000}"/>
    <cellStyle name="Millares 2 6 2 6 2" xfId="4278" xr:uid="{00000000-0005-0000-0000-0000D81E0000}"/>
    <cellStyle name="Millares 2 6 2 6 2 2" xfId="7888" xr:uid="{00000000-0005-0000-0000-0000D91E0000}"/>
    <cellStyle name="Millares 2 6 2 6 2 2 2" xfId="14678" xr:uid="{00000000-0005-0000-0000-0000DA1E0000}"/>
    <cellStyle name="Millares 2 6 2 6 2 2 2 2" xfId="28246" xr:uid="{00000000-0005-0000-0000-0000DB1E0000}"/>
    <cellStyle name="Millares 2 6 2 6 2 2 2 2 2" xfId="55379" xr:uid="{00000000-0005-0000-0000-0000DC1E0000}"/>
    <cellStyle name="Millares 2 6 2 6 2 2 2 3" xfId="41817" xr:uid="{00000000-0005-0000-0000-0000DD1E0000}"/>
    <cellStyle name="Millares 2 6 2 6 2 2 3" xfId="21465" xr:uid="{00000000-0005-0000-0000-0000DE1E0000}"/>
    <cellStyle name="Millares 2 6 2 6 2 2 3 2" xfId="48598" xr:uid="{00000000-0005-0000-0000-0000DF1E0000}"/>
    <cellStyle name="Millares 2 6 2 6 2 2 4" xfId="35036" xr:uid="{00000000-0005-0000-0000-0000E01E0000}"/>
    <cellStyle name="Millares 2 6 2 6 2 3" xfId="11289" xr:uid="{00000000-0005-0000-0000-0000E11E0000}"/>
    <cellStyle name="Millares 2 6 2 6 2 3 2" xfId="24857" xr:uid="{00000000-0005-0000-0000-0000E21E0000}"/>
    <cellStyle name="Millares 2 6 2 6 2 3 2 2" xfId="51990" xr:uid="{00000000-0005-0000-0000-0000E31E0000}"/>
    <cellStyle name="Millares 2 6 2 6 2 3 3" xfId="38428" xr:uid="{00000000-0005-0000-0000-0000E41E0000}"/>
    <cellStyle name="Millares 2 6 2 6 2 4" xfId="18076" xr:uid="{00000000-0005-0000-0000-0000E51E0000}"/>
    <cellStyle name="Millares 2 6 2 6 2 4 2" xfId="45209" xr:uid="{00000000-0005-0000-0000-0000E61E0000}"/>
    <cellStyle name="Millares 2 6 2 6 2 5" xfId="31647" xr:uid="{00000000-0005-0000-0000-0000E71E0000}"/>
    <cellStyle name="Millares 2 6 2 6 3" xfId="4279" xr:uid="{00000000-0005-0000-0000-0000E81E0000}"/>
    <cellStyle name="Millares 2 6 2 6 3 2" xfId="7889" xr:uid="{00000000-0005-0000-0000-0000E91E0000}"/>
    <cellStyle name="Millares 2 6 2 6 3 2 2" xfId="14679" xr:uid="{00000000-0005-0000-0000-0000EA1E0000}"/>
    <cellStyle name="Millares 2 6 2 6 3 2 2 2" xfId="28247" xr:uid="{00000000-0005-0000-0000-0000EB1E0000}"/>
    <cellStyle name="Millares 2 6 2 6 3 2 2 2 2" xfId="55380" xr:uid="{00000000-0005-0000-0000-0000EC1E0000}"/>
    <cellStyle name="Millares 2 6 2 6 3 2 2 3" xfId="41818" xr:uid="{00000000-0005-0000-0000-0000ED1E0000}"/>
    <cellStyle name="Millares 2 6 2 6 3 2 3" xfId="21466" xr:uid="{00000000-0005-0000-0000-0000EE1E0000}"/>
    <cellStyle name="Millares 2 6 2 6 3 2 3 2" xfId="48599" xr:uid="{00000000-0005-0000-0000-0000EF1E0000}"/>
    <cellStyle name="Millares 2 6 2 6 3 2 4" xfId="35037" xr:uid="{00000000-0005-0000-0000-0000F01E0000}"/>
    <cellStyle name="Millares 2 6 2 6 3 3" xfId="11290" xr:uid="{00000000-0005-0000-0000-0000F11E0000}"/>
    <cellStyle name="Millares 2 6 2 6 3 3 2" xfId="24858" xr:uid="{00000000-0005-0000-0000-0000F21E0000}"/>
    <cellStyle name="Millares 2 6 2 6 3 3 2 2" xfId="51991" xr:uid="{00000000-0005-0000-0000-0000F31E0000}"/>
    <cellStyle name="Millares 2 6 2 6 3 3 3" xfId="38429" xr:uid="{00000000-0005-0000-0000-0000F41E0000}"/>
    <cellStyle name="Millares 2 6 2 6 3 4" xfId="18077" xr:uid="{00000000-0005-0000-0000-0000F51E0000}"/>
    <cellStyle name="Millares 2 6 2 6 3 4 2" xfId="45210" xr:uid="{00000000-0005-0000-0000-0000F61E0000}"/>
    <cellStyle name="Millares 2 6 2 6 3 5" xfId="31648" xr:uid="{00000000-0005-0000-0000-0000F71E0000}"/>
    <cellStyle name="Millares 2 6 2 6 4" xfId="7887" xr:uid="{00000000-0005-0000-0000-0000F81E0000}"/>
    <cellStyle name="Millares 2 6 2 6 4 2" xfId="14677" xr:uid="{00000000-0005-0000-0000-0000F91E0000}"/>
    <cellStyle name="Millares 2 6 2 6 4 2 2" xfId="28245" xr:uid="{00000000-0005-0000-0000-0000FA1E0000}"/>
    <cellStyle name="Millares 2 6 2 6 4 2 2 2" xfId="55378" xr:uid="{00000000-0005-0000-0000-0000FB1E0000}"/>
    <cellStyle name="Millares 2 6 2 6 4 2 3" xfId="41816" xr:uid="{00000000-0005-0000-0000-0000FC1E0000}"/>
    <cellStyle name="Millares 2 6 2 6 4 3" xfId="21464" xr:uid="{00000000-0005-0000-0000-0000FD1E0000}"/>
    <cellStyle name="Millares 2 6 2 6 4 3 2" xfId="48597" xr:uid="{00000000-0005-0000-0000-0000FE1E0000}"/>
    <cellStyle name="Millares 2 6 2 6 4 4" xfId="35035" xr:uid="{00000000-0005-0000-0000-0000FF1E0000}"/>
    <cellStyle name="Millares 2 6 2 6 5" xfId="11288" xr:uid="{00000000-0005-0000-0000-0000001F0000}"/>
    <cellStyle name="Millares 2 6 2 6 5 2" xfId="24856" xr:uid="{00000000-0005-0000-0000-0000011F0000}"/>
    <cellStyle name="Millares 2 6 2 6 5 2 2" xfId="51989" xr:uid="{00000000-0005-0000-0000-0000021F0000}"/>
    <cellStyle name="Millares 2 6 2 6 5 3" xfId="38427" xr:uid="{00000000-0005-0000-0000-0000031F0000}"/>
    <cellStyle name="Millares 2 6 2 6 6" xfId="18075" xr:uid="{00000000-0005-0000-0000-0000041F0000}"/>
    <cellStyle name="Millares 2 6 2 6 6 2" xfId="45208" xr:uid="{00000000-0005-0000-0000-0000051F0000}"/>
    <cellStyle name="Millares 2 6 2 6 7" xfId="31646" xr:uid="{00000000-0005-0000-0000-0000061F0000}"/>
    <cellStyle name="Millares 2 6 2 7" xfId="4280" xr:uid="{00000000-0005-0000-0000-0000071F0000}"/>
    <cellStyle name="Millares 2 6 2 7 2" xfId="4281" xr:uid="{00000000-0005-0000-0000-0000081F0000}"/>
    <cellStyle name="Millares 2 6 2 7 2 2" xfId="7891" xr:uid="{00000000-0005-0000-0000-0000091F0000}"/>
    <cellStyle name="Millares 2 6 2 7 2 2 2" xfId="14681" xr:uid="{00000000-0005-0000-0000-00000A1F0000}"/>
    <cellStyle name="Millares 2 6 2 7 2 2 2 2" xfId="28249" xr:uid="{00000000-0005-0000-0000-00000B1F0000}"/>
    <cellStyle name="Millares 2 6 2 7 2 2 2 2 2" xfId="55382" xr:uid="{00000000-0005-0000-0000-00000C1F0000}"/>
    <cellStyle name="Millares 2 6 2 7 2 2 2 3" xfId="41820" xr:uid="{00000000-0005-0000-0000-00000D1F0000}"/>
    <cellStyle name="Millares 2 6 2 7 2 2 3" xfId="21468" xr:uid="{00000000-0005-0000-0000-00000E1F0000}"/>
    <cellStyle name="Millares 2 6 2 7 2 2 3 2" xfId="48601" xr:uid="{00000000-0005-0000-0000-00000F1F0000}"/>
    <cellStyle name="Millares 2 6 2 7 2 2 4" xfId="35039" xr:uid="{00000000-0005-0000-0000-0000101F0000}"/>
    <cellStyle name="Millares 2 6 2 7 2 3" xfId="11292" xr:uid="{00000000-0005-0000-0000-0000111F0000}"/>
    <cellStyle name="Millares 2 6 2 7 2 3 2" xfId="24860" xr:uid="{00000000-0005-0000-0000-0000121F0000}"/>
    <cellStyle name="Millares 2 6 2 7 2 3 2 2" xfId="51993" xr:uid="{00000000-0005-0000-0000-0000131F0000}"/>
    <cellStyle name="Millares 2 6 2 7 2 3 3" xfId="38431" xr:uid="{00000000-0005-0000-0000-0000141F0000}"/>
    <cellStyle name="Millares 2 6 2 7 2 4" xfId="18079" xr:uid="{00000000-0005-0000-0000-0000151F0000}"/>
    <cellStyle name="Millares 2 6 2 7 2 4 2" xfId="45212" xr:uid="{00000000-0005-0000-0000-0000161F0000}"/>
    <cellStyle name="Millares 2 6 2 7 2 5" xfId="31650" xr:uid="{00000000-0005-0000-0000-0000171F0000}"/>
    <cellStyle name="Millares 2 6 2 7 3" xfId="4282" xr:uid="{00000000-0005-0000-0000-0000181F0000}"/>
    <cellStyle name="Millares 2 6 2 7 3 2" xfId="7892" xr:uid="{00000000-0005-0000-0000-0000191F0000}"/>
    <cellStyle name="Millares 2 6 2 7 3 2 2" xfId="14682" xr:uid="{00000000-0005-0000-0000-00001A1F0000}"/>
    <cellStyle name="Millares 2 6 2 7 3 2 2 2" xfId="28250" xr:uid="{00000000-0005-0000-0000-00001B1F0000}"/>
    <cellStyle name="Millares 2 6 2 7 3 2 2 2 2" xfId="55383" xr:uid="{00000000-0005-0000-0000-00001C1F0000}"/>
    <cellStyle name="Millares 2 6 2 7 3 2 2 3" xfId="41821" xr:uid="{00000000-0005-0000-0000-00001D1F0000}"/>
    <cellStyle name="Millares 2 6 2 7 3 2 3" xfId="21469" xr:uid="{00000000-0005-0000-0000-00001E1F0000}"/>
    <cellStyle name="Millares 2 6 2 7 3 2 3 2" xfId="48602" xr:uid="{00000000-0005-0000-0000-00001F1F0000}"/>
    <cellStyle name="Millares 2 6 2 7 3 2 4" xfId="35040" xr:uid="{00000000-0005-0000-0000-0000201F0000}"/>
    <cellStyle name="Millares 2 6 2 7 3 3" xfId="11293" xr:uid="{00000000-0005-0000-0000-0000211F0000}"/>
    <cellStyle name="Millares 2 6 2 7 3 3 2" xfId="24861" xr:uid="{00000000-0005-0000-0000-0000221F0000}"/>
    <cellStyle name="Millares 2 6 2 7 3 3 2 2" xfId="51994" xr:uid="{00000000-0005-0000-0000-0000231F0000}"/>
    <cellStyle name="Millares 2 6 2 7 3 3 3" xfId="38432" xr:uid="{00000000-0005-0000-0000-0000241F0000}"/>
    <cellStyle name="Millares 2 6 2 7 3 4" xfId="18080" xr:uid="{00000000-0005-0000-0000-0000251F0000}"/>
    <cellStyle name="Millares 2 6 2 7 3 4 2" xfId="45213" xr:uid="{00000000-0005-0000-0000-0000261F0000}"/>
    <cellStyle name="Millares 2 6 2 7 3 5" xfId="31651" xr:uid="{00000000-0005-0000-0000-0000271F0000}"/>
    <cellStyle name="Millares 2 6 2 7 4" xfId="7890" xr:uid="{00000000-0005-0000-0000-0000281F0000}"/>
    <cellStyle name="Millares 2 6 2 7 4 2" xfId="14680" xr:uid="{00000000-0005-0000-0000-0000291F0000}"/>
    <cellStyle name="Millares 2 6 2 7 4 2 2" xfId="28248" xr:uid="{00000000-0005-0000-0000-00002A1F0000}"/>
    <cellStyle name="Millares 2 6 2 7 4 2 2 2" xfId="55381" xr:uid="{00000000-0005-0000-0000-00002B1F0000}"/>
    <cellStyle name="Millares 2 6 2 7 4 2 3" xfId="41819" xr:uid="{00000000-0005-0000-0000-00002C1F0000}"/>
    <cellStyle name="Millares 2 6 2 7 4 3" xfId="21467" xr:uid="{00000000-0005-0000-0000-00002D1F0000}"/>
    <cellStyle name="Millares 2 6 2 7 4 3 2" xfId="48600" xr:uid="{00000000-0005-0000-0000-00002E1F0000}"/>
    <cellStyle name="Millares 2 6 2 7 4 4" xfId="35038" xr:uid="{00000000-0005-0000-0000-00002F1F0000}"/>
    <cellStyle name="Millares 2 6 2 7 5" xfId="11291" xr:uid="{00000000-0005-0000-0000-0000301F0000}"/>
    <cellStyle name="Millares 2 6 2 7 5 2" xfId="24859" xr:uid="{00000000-0005-0000-0000-0000311F0000}"/>
    <cellStyle name="Millares 2 6 2 7 5 2 2" xfId="51992" xr:uid="{00000000-0005-0000-0000-0000321F0000}"/>
    <cellStyle name="Millares 2 6 2 7 5 3" xfId="38430" xr:uid="{00000000-0005-0000-0000-0000331F0000}"/>
    <cellStyle name="Millares 2 6 2 7 6" xfId="18078" xr:uid="{00000000-0005-0000-0000-0000341F0000}"/>
    <cellStyle name="Millares 2 6 2 7 6 2" xfId="45211" xr:uid="{00000000-0005-0000-0000-0000351F0000}"/>
    <cellStyle name="Millares 2 6 2 7 7" xfId="31649" xr:uid="{00000000-0005-0000-0000-0000361F0000}"/>
    <cellStyle name="Millares 2 6 2 8" xfId="4283" xr:uid="{00000000-0005-0000-0000-0000371F0000}"/>
    <cellStyle name="Millares 2 6 2 8 2" xfId="7893" xr:uid="{00000000-0005-0000-0000-0000381F0000}"/>
    <cellStyle name="Millares 2 6 2 8 2 2" xfId="14683" xr:uid="{00000000-0005-0000-0000-0000391F0000}"/>
    <cellStyle name="Millares 2 6 2 8 2 2 2" xfId="28251" xr:uid="{00000000-0005-0000-0000-00003A1F0000}"/>
    <cellStyle name="Millares 2 6 2 8 2 2 2 2" xfId="55384" xr:uid="{00000000-0005-0000-0000-00003B1F0000}"/>
    <cellStyle name="Millares 2 6 2 8 2 2 3" xfId="41822" xr:uid="{00000000-0005-0000-0000-00003C1F0000}"/>
    <cellStyle name="Millares 2 6 2 8 2 3" xfId="21470" xr:uid="{00000000-0005-0000-0000-00003D1F0000}"/>
    <cellStyle name="Millares 2 6 2 8 2 3 2" xfId="48603" xr:uid="{00000000-0005-0000-0000-00003E1F0000}"/>
    <cellStyle name="Millares 2 6 2 8 2 4" xfId="35041" xr:uid="{00000000-0005-0000-0000-00003F1F0000}"/>
    <cellStyle name="Millares 2 6 2 8 3" xfId="11294" xr:uid="{00000000-0005-0000-0000-0000401F0000}"/>
    <cellStyle name="Millares 2 6 2 8 3 2" xfId="24862" xr:uid="{00000000-0005-0000-0000-0000411F0000}"/>
    <cellStyle name="Millares 2 6 2 8 3 2 2" xfId="51995" xr:uid="{00000000-0005-0000-0000-0000421F0000}"/>
    <cellStyle name="Millares 2 6 2 8 3 3" xfId="38433" xr:uid="{00000000-0005-0000-0000-0000431F0000}"/>
    <cellStyle name="Millares 2 6 2 8 4" xfId="18081" xr:uid="{00000000-0005-0000-0000-0000441F0000}"/>
    <cellStyle name="Millares 2 6 2 8 4 2" xfId="45214" xr:uid="{00000000-0005-0000-0000-0000451F0000}"/>
    <cellStyle name="Millares 2 6 2 8 5" xfId="31652" xr:uid="{00000000-0005-0000-0000-0000461F0000}"/>
    <cellStyle name="Millares 2 6 2 9" xfId="4284" xr:uid="{00000000-0005-0000-0000-0000471F0000}"/>
    <cellStyle name="Millares 2 6 2 9 2" xfId="7894" xr:uid="{00000000-0005-0000-0000-0000481F0000}"/>
    <cellStyle name="Millares 2 6 2 9 2 2" xfId="14684" xr:uid="{00000000-0005-0000-0000-0000491F0000}"/>
    <cellStyle name="Millares 2 6 2 9 2 2 2" xfId="28252" xr:uid="{00000000-0005-0000-0000-00004A1F0000}"/>
    <cellStyle name="Millares 2 6 2 9 2 2 2 2" xfId="55385" xr:uid="{00000000-0005-0000-0000-00004B1F0000}"/>
    <cellStyle name="Millares 2 6 2 9 2 2 3" xfId="41823" xr:uid="{00000000-0005-0000-0000-00004C1F0000}"/>
    <cellStyle name="Millares 2 6 2 9 2 3" xfId="21471" xr:uid="{00000000-0005-0000-0000-00004D1F0000}"/>
    <cellStyle name="Millares 2 6 2 9 2 3 2" xfId="48604" xr:uid="{00000000-0005-0000-0000-00004E1F0000}"/>
    <cellStyle name="Millares 2 6 2 9 2 4" xfId="35042" xr:uid="{00000000-0005-0000-0000-00004F1F0000}"/>
    <cellStyle name="Millares 2 6 2 9 3" xfId="11295" xr:uid="{00000000-0005-0000-0000-0000501F0000}"/>
    <cellStyle name="Millares 2 6 2 9 3 2" xfId="24863" xr:uid="{00000000-0005-0000-0000-0000511F0000}"/>
    <cellStyle name="Millares 2 6 2 9 3 2 2" xfId="51996" xr:uid="{00000000-0005-0000-0000-0000521F0000}"/>
    <cellStyle name="Millares 2 6 2 9 3 3" xfId="38434" xr:uid="{00000000-0005-0000-0000-0000531F0000}"/>
    <cellStyle name="Millares 2 6 2 9 4" xfId="18082" xr:uid="{00000000-0005-0000-0000-0000541F0000}"/>
    <cellStyle name="Millares 2 6 2 9 4 2" xfId="45215" xr:uid="{00000000-0005-0000-0000-0000551F0000}"/>
    <cellStyle name="Millares 2 6 2 9 5" xfId="31653" xr:uid="{00000000-0005-0000-0000-0000561F0000}"/>
    <cellStyle name="Millares 2 6 3" xfId="4285" xr:uid="{00000000-0005-0000-0000-0000571F0000}"/>
    <cellStyle name="Millares 2 6 3 10" xfId="11296" xr:uid="{00000000-0005-0000-0000-0000581F0000}"/>
    <cellStyle name="Millares 2 6 3 10 2" xfId="24864" xr:uid="{00000000-0005-0000-0000-0000591F0000}"/>
    <cellStyle name="Millares 2 6 3 10 2 2" xfId="51997" xr:uid="{00000000-0005-0000-0000-00005A1F0000}"/>
    <cellStyle name="Millares 2 6 3 10 3" xfId="38435" xr:uid="{00000000-0005-0000-0000-00005B1F0000}"/>
    <cellStyle name="Millares 2 6 3 11" xfId="18083" xr:uid="{00000000-0005-0000-0000-00005C1F0000}"/>
    <cellStyle name="Millares 2 6 3 11 2" xfId="45216" xr:uid="{00000000-0005-0000-0000-00005D1F0000}"/>
    <cellStyle name="Millares 2 6 3 12" xfId="31654" xr:uid="{00000000-0005-0000-0000-00005E1F0000}"/>
    <cellStyle name="Millares 2 6 3 2" xfId="4286" xr:uid="{00000000-0005-0000-0000-00005F1F0000}"/>
    <cellStyle name="Millares 2 6 3 2 10" xfId="31655" xr:uid="{00000000-0005-0000-0000-0000601F0000}"/>
    <cellStyle name="Millares 2 6 3 2 2" xfId="4287" xr:uid="{00000000-0005-0000-0000-0000611F0000}"/>
    <cellStyle name="Millares 2 6 3 2 2 2" xfId="4288" xr:uid="{00000000-0005-0000-0000-0000621F0000}"/>
    <cellStyle name="Millares 2 6 3 2 2 2 2" xfId="4289" xr:uid="{00000000-0005-0000-0000-0000631F0000}"/>
    <cellStyle name="Millares 2 6 3 2 2 2 2 2" xfId="7899" xr:uid="{00000000-0005-0000-0000-0000641F0000}"/>
    <cellStyle name="Millares 2 6 3 2 2 2 2 2 2" xfId="14689" xr:uid="{00000000-0005-0000-0000-0000651F0000}"/>
    <cellStyle name="Millares 2 6 3 2 2 2 2 2 2 2" xfId="28257" xr:uid="{00000000-0005-0000-0000-0000661F0000}"/>
    <cellStyle name="Millares 2 6 3 2 2 2 2 2 2 2 2" xfId="55390" xr:uid="{00000000-0005-0000-0000-0000671F0000}"/>
    <cellStyle name="Millares 2 6 3 2 2 2 2 2 2 3" xfId="41828" xr:uid="{00000000-0005-0000-0000-0000681F0000}"/>
    <cellStyle name="Millares 2 6 3 2 2 2 2 2 3" xfId="21476" xr:uid="{00000000-0005-0000-0000-0000691F0000}"/>
    <cellStyle name="Millares 2 6 3 2 2 2 2 2 3 2" xfId="48609" xr:uid="{00000000-0005-0000-0000-00006A1F0000}"/>
    <cellStyle name="Millares 2 6 3 2 2 2 2 2 4" xfId="35047" xr:uid="{00000000-0005-0000-0000-00006B1F0000}"/>
    <cellStyle name="Millares 2 6 3 2 2 2 2 3" xfId="11300" xr:uid="{00000000-0005-0000-0000-00006C1F0000}"/>
    <cellStyle name="Millares 2 6 3 2 2 2 2 3 2" xfId="24868" xr:uid="{00000000-0005-0000-0000-00006D1F0000}"/>
    <cellStyle name="Millares 2 6 3 2 2 2 2 3 2 2" xfId="52001" xr:uid="{00000000-0005-0000-0000-00006E1F0000}"/>
    <cellStyle name="Millares 2 6 3 2 2 2 2 3 3" xfId="38439" xr:uid="{00000000-0005-0000-0000-00006F1F0000}"/>
    <cellStyle name="Millares 2 6 3 2 2 2 2 4" xfId="18087" xr:uid="{00000000-0005-0000-0000-0000701F0000}"/>
    <cellStyle name="Millares 2 6 3 2 2 2 2 4 2" xfId="45220" xr:uid="{00000000-0005-0000-0000-0000711F0000}"/>
    <cellStyle name="Millares 2 6 3 2 2 2 2 5" xfId="31658" xr:uid="{00000000-0005-0000-0000-0000721F0000}"/>
    <cellStyle name="Millares 2 6 3 2 2 2 3" xfId="4290" xr:uid="{00000000-0005-0000-0000-0000731F0000}"/>
    <cellStyle name="Millares 2 6 3 2 2 2 3 2" xfId="7900" xr:uid="{00000000-0005-0000-0000-0000741F0000}"/>
    <cellStyle name="Millares 2 6 3 2 2 2 3 2 2" xfId="14690" xr:uid="{00000000-0005-0000-0000-0000751F0000}"/>
    <cellStyle name="Millares 2 6 3 2 2 2 3 2 2 2" xfId="28258" xr:uid="{00000000-0005-0000-0000-0000761F0000}"/>
    <cellStyle name="Millares 2 6 3 2 2 2 3 2 2 2 2" xfId="55391" xr:uid="{00000000-0005-0000-0000-0000771F0000}"/>
    <cellStyle name="Millares 2 6 3 2 2 2 3 2 2 3" xfId="41829" xr:uid="{00000000-0005-0000-0000-0000781F0000}"/>
    <cellStyle name="Millares 2 6 3 2 2 2 3 2 3" xfId="21477" xr:uid="{00000000-0005-0000-0000-0000791F0000}"/>
    <cellStyle name="Millares 2 6 3 2 2 2 3 2 3 2" xfId="48610" xr:uid="{00000000-0005-0000-0000-00007A1F0000}"/>
    <cellStyle name="Millares 2 6 3 2 2 2 3 2 4" xfId="35048" xr:uid="{00000000-0005-0000-0000-00007B1F0000}"/>
    <cellStyle name="Millares 2 6 3 2 2 2 3 3" xfId="11301" xr:uid="{00000000-0005-0000-0000-00007C1F0000}"/>
    <cellStyle name="Millares 2 6 3 2 2 2 3 3 2" xfId="24869" xr:uid="{00000000-0005-0000-0000-00007D1F0000}"/>
    <cellStyle name="Millares 2 6 3 2 2 2 3 3 2 2" xfId="52002" xr:uid="{00000000-0005-0000-0000-00007E1F0000}"/>
    <cellStyle name="Millares 2 6 3 2 2 2 3 3 3" xfId="38440" xr:uid="{00000000-0005-0000-0000-00007F1F0000}"/>
    <cellStyle name="Millares 2 6 3 2 2 2 3 4" xfId="18088" xr:uid="{00000000-0005-0000-0000-0000801F0000}"/>
    <cellStyle name="Millares 2 6 3 2 2 2 3 4 2" xfId="45221" xr:uid="{00000000-0005-0000-0000-0000811F0000}"/>
    <cellStyle name="Millares 2 6 3 2 2 2 3 5" xfId="31659" xr:uid="{00000000-0005-0000-0000-0000821F0000}"/>
    <cellStyle name="Millares 2 6 3 2 2 2 4" xfId="7898" xr:uid="{00000000-0005-0000-0000-0000831F0000}"/>
    <cellStyle name="Millares 2 6 3 2 2 2 4 2" xfId="14688" xr:uid="{00000000-0005-0000-0000-0000841F0000}"/>
    <cellStyle name="Millares 2 6 3 2 2 2 4 2 2" xfId="28256" xr:uid="{00000000-0005-0000-0000-0000851F0000}"/>
    <cellStyle name="Millares 2 6 3 2 2 2 4 2 2 2" xfId="55389" xr:uid="{00000000-0005-0000-0000-0000861F0000}"/>
    <cellStyle name="Millares 2 6 3 2 2 2 4 2 3" xfId="41827" xr:uid="{00000000-0005-0000-0000-0000871F0000}"/>
    <cellStyle name="Millares 2 6 3 2 2 2 4 3" xfId="21475" xr:uid="{00000000-0005-0000-0000-0000881F0000}"/>
    <cellStyle name="Millares 2 6 3 2 2 2 4 3 2" xfId="48608" xr:uid="{00000000-0005-0000-0000-0000891F0000}"/>
    <cellStyle name="Millares 2 6 3 2 2 2 4 4" xfId="35046" xr:uid="{00000000-0005-0000-0000-00008A1F0000}"/>
    <cellStyle name="Millares 2 6 3 2 2 2 5" xfId="11299" xr:uid="{00000000-0005-0000-0000-00008B1F0000}"/>
    <cellStyle name="Millares 2 6 3 2 2 2 5 2" xfId="24867" xr:uid="{00000000-0005-0000-0000-00008C1F0000}"/>
    <cellStyle name="Millares 2 6 3 2 2 2 5 2 2" xfId="52000" xr:uid="{00000000-0005-0000-0000-00008D1F0000}"/>
    <cellStyle name="Millares 2 6 3 2 2 2 5 3" xfId="38438" xr:uid="{00000000-0005-0000-0000-00008E1F0000}"/>
    <cellStyle name="Millares 2 6 3 2 2 2 6" xfId="18086" xr:uid="{00000000-0005-0000-0000-00008F1F0000}"/>
    <cellStyle name="Millares 2 6 3 2 2 2 6 2" xfId="45219" xr:uid="{00000000-0005-0000-0000-0000901F0000}"/>
    <cellStyle name="Millares 2 6 3 2 2 2 7" xfId="31657" xr:uid="{00000000-0005-0000-0000-0000911F0000}"/>
    <cellStyle name="Millares 2 6 3 2 2 3" xfId="4291" xr:uid="{00000000-0005-0000-0000-0000921F0000}"/>
    <cellStyle name="Millares 2 6 3 2 2 3 2" xfId="4292" xr:uid="{00000000-0005-0000-0000-0000931F0000}"/>
    <cellStyle name="Millares 2 6 3 2 2 3 2 2" xfId="7902" xr:uid="{00000000-0005-0000-0000-0000941F0000}"/>
    <cellStyle name="Millares 2 6 3 2 2 3 2 2 2" xfId="14692" xr:uid="{00000000-0005-0000-0000-0000951F0000}"/>
    <cellStyle name="Millares 2 6 3 2 2 3 2 2 2 2" xfId="28260" xr:uid="{00000000-0005-0000-0000-0000961F0000}"/>
    <cellStyle name="Millares 2 6 3 2 2 3 2 2 2 2 2" xfId="55393" xr:uid="{00000000-0005-0000-0000-0000971F0000}"/>
    <cellStyle name="Millares 2 6 3 2 2 3 2 2 2 3" xfId="41831" xr:uid="{00000000-0005-0000-0000-0000981F0000}"/>
    <cellStyle name="Millares 2 6 3 2 2 3 2 2 3" xfId="21479" xr:uid="{00000000-0005-0000-0000-0000991F0000}"/>
    <cellStyle name="Millares 2 6 3 2 2 3 2 2 3 2" xfId="48612" xr:uid="{00000000-0005-0000-0000-00009A1F0000}"/>
    <cellStyle name="Millares 2 6 3 2 2 3 2 2 4" xfId="35050" xr:uid="{00000000-0005-0000-0000-00009B1F0000}"/>
    <cellStyle name="Millares 2 6 3 2 2 3 2 3" xfId="11303" xr:uid="{00000000-0005-0000-0000-00009C1F0000}"/>
    <cellStyle name="Millares 2 6 3 2 2 3 2 3 2" xfId="24871" xr:uid="{00000000-0005-0000-0000-00009D1F0000}"/>
    <cellStyle name="Millares 2 6 3 2 2 3 2 3 2 2" xfId="52004" xr:uid="{00000000-0005-0000-0000-00009E1F0000}"/>
    <cellStyle name="Millares 2 6 3 2 2 3 2 3 3" xfId="38442" xr:uid="{00000000-0005-0000-0000-00009F1F0000}"/>
    <cellStyle name="Millares 2 6 3 2 2 3 2 4" xfId="18090" xr:uid="{00000000-0005-0000-0000-0000A01F0000}"/>
    <cellStyle name="Millares 2 6 3 2 2 3 2 4 2" xfId="45223" xr:uid="{00000000-0005-0000-0000-0000A11F0000}"/>
    <cellStyle name="Millares 2 6 3 2 2 3 2 5" xfId="31661" xr:uid="{00000000-0005-0000-0000-0000A21F0000}"/>
    <cellStyle name="Millares 2 6 3 2 2 3 3" xfId="7901" xr:uid="{00000000-0005-0000-0000-0000A31F0000}"/>
    <cellStyle name="Millares 2 6 3 2 2 3 3 2" xfId="14691" xr:uid="{00000000-0005-0000-0000-0000A41F0000}"/>
    <cellStyle name="Millares 2 6 3 2 2 3 3 2 2" xfId="28259" xr:uid="{00000000-0005-0000-0000-0000A51F0000}"/>
    <cellStyle name="Millares 2 6 3 2 2 3 3 2 2 2" xfId="55392" xr:uid="{00000000-0005-0000-0000-0000A61F0000}"/>
    <cellStyle name="Millares 2 6 3 2 2 3 3 2 3" xfId="41830" xr:uid="{00000000-0005-0000-0000-0000A71F0000}"/>
    <cellStyle name="Millares 2 6 3 2 2 3 3 3" xfId="21478" xr:uid="{00000000-0005-0000-0000-0000A81F0000}"/>
    <cellStyle name="Millares 2 6 3 2 2 3 3 3 2" xfId="48611" xr:uid="{00000000-0005-0000-0000-0000A91F0000}"/>
    <cellStyle name="Millares 2 6 3 2 2 3 3 4" xfId="35049" xr:uid="{00000000-0005-0000-0000-0000AA1F0000}"/>
    <cellStyle name="Millares 2 6 3 2 2 3 4" xfId="11302" xr:uid="{00000000-0005-0000-0000-0000AB1F0000}"/>
    <cellStyle name="Millares 2 6 3 2 2 3 4 2" xfId="24870" xr:uid="{00000000-0005-0000-0000-0000AC1F0000}"/>
    <cellStyle name="Millares 2 6 3 2 2 3 4 2 2" xfId="52003" xr:uid="{00000000-0005-0000-0000-0000AD1F0000}"/>
    <cellStyle name="Millares 2 6 3 2 2 3 4 3" xfId="38441" xr:uid="{00000000-0005-0000-0000-0000AE1F0000}"/>
    <cellStyle name="Millares 2 6 3 2 2 3 5" xfId="18089" xr:uid="{00000000-0005-0000-0000-0000AF1F0000}"/>
    <cellStyle name="Millares 2 6 3 2 2 3 5 2" xfId="45222" xr:uid="{00000000-0005-0000-0000-0000B01F0000}"/>
    <cellStyle name="Millares 2 6 3 2 2 3 6" xfId="31660" xr:uid="{00000000-0005-0000-0000-0000B11F0000}"/>
    <cellStyle name="Millares 2 6 3 2 2 4" xfId="4293" xr:uid="{00000000-0005-0000-0000-0000B21F0000}"/>
    <cellStyle name="Millares 2 6 3 2 2 4 2" xfId="7903" xr:uid="{00000000-0005-0000-0000-0000B31F0000}"/>
    <cellStyle name="Millares 2 6 3 2 2 4 2 2" xfId="14693" xr:uid="{00000000-0005-0000-0000-0000B41F0000}"/>
    <cellStyle name="Millares 2 6 3 2 2 4 2 2 2" xfId="28261" xr:uid="{00000000-0005-0000-0000-0000B51F0000}"/>
    <cellStyle name="Millares 2 6 3 2 2 4 2 2 2 2" xfId="55394" xr:uid="{00000000-0005-0000-0000-0000B61F0000}"/>
    <cellStyle name="Millares 2 6 3 2 2 4 2 2 3" xfId="41832" xr:uid="{00000000-0005-0000-0000-0000B71F0000}"/>
    <cellStyle name="Millares 2 6 3 2 2 4 2 3" xfId="21480" xr:uid="{00000000-0005-0000-0000-0000B81F0000}"/>
    <cellStyle name="Millares 2 6 3 2 2 4 2 3 2" xfId="48613" xr:uid="{00000000-0005-0000-0000-0000B91F0000}"/>
    <cellStyle name="Millares 2 6 3 2 2 4 2 4" xfId="35051" xr:uid="{00000000-0005-0000-0000-0000BA1F0000}"/>
    <cellStyle name="Millares 2 6 3 2 2 4 3" xfId="11304" xr:uid="{00000000-0005-0000-0000-0000BB1F0000}"/>
    <cellStyle name="Millares 2 6 3 2 2 4 3 2" xfId="24872" xr:uid="{00000000-0005-0000-0000-0000BC1F0000}"/>
    <cellStyle name="Millares 2 6 3 2 2 4 3 2 2" xfId="52005" xr:uid="{00000000-0005-0000-0000-0000BD1F0000}"/>
    <cellStyle name="Millares 2 6 3 2 2 4 3 3" xfId="38443" xr:uid="{00000000-0005-0000-0000-0000BE1F0000}"/>
    <cellStyle name="Millares 2 6 3 2 2 4 4" xfId="18091" xr:uid="{00000000-0005-0000-0000-0000BF1F0000}"/>
    <cellStyle name="Millares 2 6 3 2 2 4 4 2" xfId="45224" xr:uid="{00000000-0005-0000-0000-0000C01F0000}"/>
    <cellStyle name="Millares 2 6 3 2 2 4 5" xfId="31662" xr:uid="{00000000-0005-0000-0000-0000C11F0000}"/>
    <cellStyle name="Millares 2 6 3 2 2 5" xfId="4294" xr:uid="{00000000-0005-0000-0000-0000C21F0000}"/>
    <cellStyle name="Millares 2 6 3 2 2 5 2" xfId="7904" xr:uid="{00000000-0005-0000-0000-0000C31F0000}"/>
    <cellStyle name="Millares 2 6 3 2 2 5 2 2" xfId="14694" xr:uid="{00000000-0005-0000-0000-0000C41F0000}"/>
    <cellStyle name="Millares 2 6 3 2 2 5 2 2 2" xfId="28262" xr:uid="{00000000-0005-0000-0000-0000C51F0000}"/>
    <cellStyle name="Millares 2 6 3 2 2 5 2 2 2 2" xfId="55395" xr:uid="{00000000-0005-0000-0000-0000C61F0000}"/>
    <cellStyle name="Millares 2 6 3 2 2 5 2 2 3" xfId="41833" xr:uid="{00000000-0005-0000-0000-0000C71F0000}"/>
    <cellStyle name="Millares 2 6 3 2 2 5 2 3" xfId="21481" xr:uid="{00000000-0005-0000-0000-0000C81F0000}"/>
    <cellStyle name="Millares 2 6 3 2 2 5 2 3 2" xfId="48614" xr:uid="{00000000-0005-0000-0000-0000C91F0000}"/>
    <cellStyle name="Millares 2 6 3 2 2 5 2 4" xfId="35052" xr:uid="{00000000-0005-0000-0000-0000CA1F0000}"/>
    <cellStyle name="Millares 2 6 3 2 2 5 3" xfId="11305" xr:uid="{00000000-0005-0000-0000-0000CB1F0000}"/>
    <cellStyle name="Millares 2 6 3 2 2 5 3 2" xfId="24873" xr:uid="{00000000-0005-0000-0000-0000CC1F0000}"/>
    <cellStyle name="Millares 2 6 3 2 2 5 3 2 2" xfId="52006" xr:uid="{00000000-0005-0000-0000-0000CD1F0000}"/>
    <cellStyle name="Millares 2 6 3 2 2 5 3 3" xfId="38444" xr:uid="{00000000-0005-0000-0000-0000CE1F0000}"/>
    <cellStyle name="Millares 2 6 3 2 2 5 4" xfId="18092" xr:uid="{00000000-0005-0000-0000-0000CF1F0000}"/>
    <cellStyle name="Millares 2 6 3 2 2 5 4 2" xfId="45225" xr:uid="{00000000-0005-0000-0000-0000D01F0000}"/>
    <cellStyle name="Millares 2 6 3 2 2 5 5" xfId="31663" xr:uid="{00000000-0005-0000-0000-0000D11F0000}"/>
    <cellStyle name="Millares 2 6 3 2 2 6" xfId="7897" xr:uid="{00000000-0005-0000-0000-0000D21F0000}"/>
    <cellStyle name="Millares 2 6 3 2 2 6 2" xfId="14687" xr:uid="{00000000-0005-0000-0000-0000D31F0000}"/>
    <cellStyle name="Millares 2 6 3 2 2 6 2 2" xfId="28255" xr:uid="{00000000-0005-0000-0000-0000D41F0000}"/>
    <cellStyle name="Millares 2 6 3 2 2 6 2 2 2" xfId="55388" xr:uid="{00000000-0005-0000-0000-0000D51F0000}"/>
    <cellStyle name="Millares 2 6 3 2 2 6 2 3" xfId="41826" xr:uid="{00000000-0005-0000-0000-0000D61F0000}"/>
    <cellStyle name="Millares 2 6 3 2 2 6 3" xfId="21474" xr:uid="{00000000-0005-0000-0000-0000D71F0000}"/>
    <cellStyle name="Millares 2 6 3 2 2 6 3 2" xfId="48607" xr:uid="{00000000-0005-0000-0000-0000D81F0000}"/>
    <cellStyle name="Millares 2 6 3 2 2 6 4" xfId="35045" xr:uid="{00000000-0005-0000-0000-0000D91F0000}"/>
    <cellStyle name="Millares 2 6 3 2 2 7" xfId="11298" xr:uid="{00000000-0005-0000-0000-0000DA1F0000}"/>
    <cellStyle name="Millares 2 6 3 2 2 7 2" xfId="24866" xr:uid="{00000000-0005-0000-0000-0000DB1F0000}"/>
    <cellStyle name="Millares 2 6 3 2 2 7 2 2" xfId="51999" xr:uid="{00000000-0005-0000-0000-0000DC1F0000}"/>
    <cellStyle name="Millares 2 6 3 2 2 7 3" xfId="38437" xr:uid="{00000000-0005-0000-0000-0000DD1F0000}"/>
    <cellStyle name="Millares 2 6 3 2 2 8" xfId="18085" xr:uid="{00000000-0005-0000-0000-0000DE1F0000}"/>
    <cellStyle name="Millares 2 6 3 2 2 8 2" xfId="45218" xr:uid="{00000000-0005-0000-0000-0000DF1F0000}"/>
    <cellStyle name="Millares 2 6 3 2 2 9" xfId="31656" xr:uid="{00000000-0005-0000-0000-0000E01F0000}"/>
    <cellStyle name="Millares 2 6 3 2 3" xfId="4295" xr:uid="{00000000-0005-0000-0000-0000E11F0000}"/>
    <cellStyle name="Millares 2 6 3 2 3 2" xfId="4296" xr:uid="{00000000-0005-0000-0000-0000E21F0000}"/>
    <cellStyle name="Millares 2 6 3 2 3 2 2" xfId="7906" xr:uid="{00000000-0005-0000-0000-0000E31F0000}"/>
    <cellStyle name="Millares 2 6 3 2 3 2 2 2" xfId="14696" xr:uid="{00000000-0005-0000-0000-0000E41F0000}"/>
    <cellStyle name="Millares 2 6 3 2 3 2 2 2 2" xfId="28264" xr:uid="{00000000-0005-0000-0000-0000E51F0000}"/>
    <cellStyle name="Millares 2 6 3 2 3 2 2 2 2 2" xfId="55397" xr:uid="{00000000-0005-0000-0000-0000E61F0000}"/>
    <cellStyle name="Millares 2 6 3 2 3 2 2 2 3" xfId="41835" xr:uid="{00000000-0005-0000-0000-0000E71F0000}"/>
    <cellStyle name="Millares 2 6 3 2 3 2 2 3" xfId="21483" xr:uid="{00000000-0005-0000-0000-0000E81F0000}"/>
    <cellStyle name="Millares 2 6 3 2 3 2 2 3 2" xfId="48616" xr:uid="{00000000-0005-0000-0000-0000E91F0000}"/>
    <cellStyle name="Millares 2 6 3 2 3 2 2 4" xfId="35054" xr:uid="{00000000-0005-0000-0000-0000EA1F0000}"/>
    <cellStyle name="Millares 2 6 3 2 3 2 3" xfId="11307" xr:uid="{00000000-0005-0000-0000-0000EB1F0000}"/>
    <cellStyle name="Millares 2 6 3 2 3 2 3 2" xfId="24875" xr:uid="{00000000-0005-0000-0000-0000EC1F0000}"/>
    <cellStyle name="Millares 2 6 3 2 3 2 3 2 2" xfId="52008" xr:uid="{00000000-0005-0000-0000-0000ED1F0000}"/>
    <cellStyle name="Millares 2 6 3 2 3 2 3 3" xfId="38446" xr:uid="{00000000-0005-0000-0000-0000EE1F0000}"/>
    <cellStyle name="Millares 2 6 3 2 3 2 4" xfId="18094" xr:uid="{00000000-0005-0000-0000-0000EF1F0000}"/>
    <cellStyle name="Millares 2 6 3 2 3 2 4 2" xfId="45227" xr:uid="{00000000-0005-0000-0000-0000F01F0000}"/>
    <cellStyle name="Millares 2 6 3 2 3 2 5" xfId="31665" xr:uid="{00000000-0005-0000-0000-0000F11F0000}"/>
    <cellStyle name="Millares 2 6 3 2 3 3" xfId="4297" xr:uid="{00000000-0005-0000-0000-0000F21F0000}"/>
    <cellStyle name="Millares 2 6 3 2 3 3 2" xfId="7907" xr:uid="{00000000-0005-0000-0000-0000F31F0000}"/>
    <cellStyle name="Millares 2 6 3 2 3 3 2 2" xfId="14697" xr:uid="{00000000-0005-0000-0000-0000F41F0000}"/>
    <cellStyle name="Millares 2 6 3 2 3 3 2 2 2" xfId="28265" xr:uid="{00000000-0005-0000-0000-0000F51F0000}"/>
    <cellStyle name="Millares 2 6 3 2 3 3 2 2 2 2" xfId="55398" xr:uid="{00000000-0005-0000-0000-0000F61F0000}"/>
    <cellStyle name="Millares 2 6 3 2 3 3 2 2 3" xfId="41836" xr:uid="{00000000-0005-0000-0000-0000F71F0000}"/>
    <cellStyle name="Millares 2 6 3 2 3 3 2 3" xfId="21484" xr:uid="{00000000-0005-0000-0000-0000F81F0000}"/>
    <cellStyle name="Millares 2 6 3 2 3 3 2 3 2" xfId="48617" xr:uid="{00000000-0005-0000-0000-0000F91F0000}"/>
    <cellStyle name="Millares 2 6 3 2 3 3 2 4" xfId="35055" xr:uid="{00000000-0005-0000-0000-0000FA1F0000}"/>
    <cellStyle name="Millares 2 6 3 2 3 3 3" xfId="11308" xr:uid="{00000000-0005-0000-0000-0000FB1F0000}"/>
    <cellStyle name="Millares 2 6 3 2 3 3 3 2" xfId="24876" xr:uid="{00000000-0005-0000-0000-0000FC1F0000}"/>
    <cellStyle name="Millares 2 6 3 2 3 3 3 2 2" xfId="52009" xr:uid="{00000000-0005-0000-0000-0000FD1F0000}"/>
    <cellStyle name="Millares 2 6 3 2 3 3 3 3" xfId="38447" xr:uid="{00000000-0005-0000-0000-0000FE1F0000}"/>
    <cellStyle name="Millares 2 6 3 2 3 3 4" xfId="18095" xr:uid="{00000000-0005-0000-0000-0000FF1F0000}"/>
    <cellStyle name="Millares 2 6 3 2 3 3 4 2" xfId="45228" xr:uid="{00000000-0005-0000-0000-000000200000}"/>
    <cellStyle name="Millares 2 6 3 2 3 3 5" xfId="31666" xr:uid="{00000000-0005-0000-0000-000001200000}"/>
    <cellStyle name="Millares 2 6 3 2 3 4" xfId="7905" xr:uid="{00000000-0005-0000-0000-000002200000}"/>
    <cellStyle name="Millares 2 6 3 2 3 4 2" xfId="14695" xr:uid="{00000000-0005-0000-0000-000003200000}"/>
    <cellStyle name="Millares 2 6 3 2 3 4 2 2" xfId="28263" xr:uid="{00000000-0005-0000-0000-000004200000}"/>
    <cellStyle name="Millares 2 6 3 2 3 4 2 2 2" xfId="55396" xr:uid="{00000000-0005-0000-0000-000005200000}"/>
    <cellStyle name="Millares 2 6 3 2 3 4 2 3" xfId="41834" xr:uid="{00000000-0005-0000-0000-000006200000}"/>
    <cellStyle name="Millares 2 6 3 2 3 4 3" xfId="21482" xr:uid="{00000000-0005-0000-0000-000007200000}"/>
    <cellStyle name="Millares 2 6 3 2 3 4 3 2" xfId="48615" xr:uid="{00000000-0005-0000-0000-000008200000}"/>
    <cellStyle name="Millares 2 6 3 2 3 4 4" xfId="35053" xr:uid="{00000000-0005-0000-0000-000009200000}"/>
    <cellStyle name="Millares 2 6 3 2 3 5" xfId="11306" xr:uid="{00000000-0005-0000-0000-00000A200000}"/>
    <cellStyle name="Millares 2 6 3 2 3 5 2" xfId="24874" xr:uid="{00000000-0005-0000-0000-00000B200000}"/>
    <cellStyle name="Millares 2 6 3 2 3 5 2 2" xfId="52007" xr:uid="{00000000-0005-0000-0000-00000C200000}"/>
    <cellStyle name="Millares 2 6 3 2 3 5 3" xfId="38445" xr:uid="{00000000-0005-0000-0000-00000D200000}"/>
    <cellStyle name="Millares 2 6 3 2 3 6" xfId="18093" xr:uid="{00000000-0005-0000-0000-00000E200000}"/>
    <cellStyle name="Millares 2 6 3 2 3 6 2" xfId="45226" xr:uid="{00000000-0005-0000-0000-00000F200000}"/>
    <cellStyle name="Millares 2 6 3 2 3 7" xfId="31664" xr:uid="{00000000-0005-0000-0000-000010200000}"/>
    <cellStyle name="Millares 2 6 3 2 4" xfId="4298" xr:uid="{00000000-0005-0000-0000-000011200000}"/>
    <cellStyle name="Millares 2 6 3 2 4 2" xfId="4299" xr:uid="{00000000-0005-0000-0000-000012200000}"/>
    <cellStyle name="Millares 2 6 3 2 4 2 2" xfId="7909" xr:uid="{00000000-0005-0000-0000-000013200000}"/>
    <cellStyle name="Millares 2 6 3 2 4 2 2 2" xfId="14699" xr:uid="{00000000-0005-0000-0000-000014200000}"/>
    <cellStyle name="Millares 2 6 3 2 4 2 2 2 2" xfId="28267" xr:uid="{00000000-0005-0000-0000-000015200000}"/>
    <cellStyle name="Millares 2 6 3 2 4 2 2 2 2 2" xfId="55400" xr:uid="{00000000-0005-0000-0000-000016200000}"/>
    <cellStyle name="Millares 2 6 3 2 4 2 2 2 3" xfId="41838" xr:uid="{00000000-0005-0000-0000-000017200000}"/>
    <cellStyle name="Millares 2 6 3 2 4 2 2 3" xfId="21486" xr:uid="{00000000-0005-0000-0000-000018200000}"/>
    <cellStyle name="Millares 2 6 3 2 4 2 2 3 2" xfId="48619" xr:uid="{00000000-0005-0000-0000-000019200000}"/>
    <cellStyle name="Millares 2 6 3 2 4 2 2 4" xfId="35057" xr:uid="{00000000-0005-0000-0000-00001A200000}"/>
    <cellStyle name="Millares 2 6 3 2 4 2 3" xfId="11310" xr:uid="{00000000-0005-0000-0000-00001B200000}"/>
    <cellStyle name="Millares 2 6 3 2 4 2 3 2" xfId="24878" xr:uid="{00000000-0005-0000-0000-00001C200000}"/>
    <cellStyle name="Millares 2 6 3 2 4 2 3 2 2" xfId="52011" xr:uid="{00000000-0005-0000-0000-00001D200000}"/>
    <cellStyle name="Millares 2 6 3 2 4 2 3 3" xfId="38449" xr:uid="{00000000-0005-0000-0000-00001E200000}"/>
    <cellStyle name="Millares 2 6 3 2 4 2 4" xfId="18097" xr:uid="{00000000-0005-0000-0000-00001F200000}"/>
    <cellStyle name="Millares 2 6 3 2 4 2 4 2" xfId="45230" xr:uid="{00000000-0005-0000-0000-000020200000}"/>
    <cellStyle name="Millares 2 6 3 2 4 2 5" xfId="31668" xr:uid="{00000000-0005-0000-0000-000021200000}"/>
    <cellStyle name="Millares 2 6 3 2 4 3" xfId="7908" xr:uid="{00000000-0005-0000-0000-000022200000}"/>
    <cellStyle name="Millares 2 6 3 2 4 3 2" xfId="14698" xr:uid="{00000000-0005-0000-0000-000023200000}"/>
    <cellStyle name="Millares 2 6 3 2 4 3 2 2" xfId="28266" xr:uid="{00000000-0005-0000-0000-000024200000}"/>
    <cellStyle name="Millares 2 6 3 2 4 3 2 2 2" xfId="55399" xr:uid="{00000000-0005-0000-0000-000025200000}"/>
    <cellStyle name="Millares 2 6 3 2 4 3 2 3" xfId="41837" xr:uid="{00000000-0005-0000-0000-000026200000}"/>
    <cellStyle name="Millares 2 6 3 2 4 3 3" xfId="21485" xr:uid="{00000000-0005-0000-0000-000027200000}"/>
    <cellStyle name="Millares 2 6 3 2 4 3 3 2" xfId="48618" xr:uid="{00000000-0005-0000-0000-000028200000}"/>
    <cellStyle name="Millares 2 6 3 2 4 3 4" xfId="35056" xr:uid="{00000000-0005-0000-0000-000029200000}"/>
    <cellStyle name="Millares 2 6 3 2 4 4" xfId="11309" xr:uid="{00000000-0005-0000-0000-00002A200000}"/>
    <cellStyle name="Millares 2 6 3 2 4 4 2" xfId="24877" xr:uid="{00000000-0005-0000-0000-00002B200000}"/>
    <cellStyle name="Millares 2 6 3 2 4 4 2 2" xfId="52010" xr:uid="{00000000-0005-0000-0000-00002C200000}"/>
    <cellStyle name="Millares 2 6 3 2 4 4 3" xfId="38448" xr:uid="{00000000-0005-0000-0000-00002D200000}"/>
    <cellStyle name="Millares 2 6 3 2 4 5" xfId="18096" xr:uid="{00000000-0005-0000-0000-00002E200000}"/>
    <cellStyle name="Millares 2 6 3 2 4 5 2" xfId="45229" xr:uid="{00000000-0005-0000-0000-00002F200000}"/>
    <cellStyle name="Millares 2 6 3 2 4 6" xfId="31667" xr:uid="{00000000-0005-0000-0000-000030200000}"/>
    <cellStyle name="Millares 2 6 3 2 5" xfId="4300" xr:uid="{00000000-0005-0000-0000-000031200000}"/>
    <cellStyle name="Millares 2 6 3 2 5 2" xfId="7910" xr:uid="{00000000-0005-0000-0000-000032200000}"/>
    <cellStyle name="Millares 2 6 3 2 5 2 2" xfId="14700" xr:uid="{00000000-0005-0000-0000-000033200000}"/>
    <cellStyle name="Millares 2 6 3 2 5 2 2 2" xfId="28268" xr:uid="{00000000-0005-0000-0000-000034200000}"/>
    <cellStyle name="Millares 2 6 3 2 5 2 2 2 2" xfId="55401" xr:uid="{00000000-0005-0000-0000-000035200000}"/>
    <cellStyle name="Millares 2 6 3 2 5 2 2 3" xfId="41839" xr:uid="{00000000-0005-0000-0000-000036200000}"/>
    <cellStyle name="Millares 2 6 3 2 5 2 3" xfId="21487" xr:uid="{00000000-0005-0000-0000-000037200000}"/>
    <cellStyle name="Millares 2 6 3 2 5 2 3 2" xfId="48620" xr:uid="{00000000-0005-0000-0000-000038200000}"/>
    <cellStyle name="Millares 2 6 3 2 5 2 4" xfId="35058" xr:uid="{00000000-0005-0000-0000-000039200000}"/>
    <cellStyle name="Millares 2 6 3 2 5 3" xfId="11311" xr:uid="{00000000-0005-0000-0000-00003A200000}"/>
    <cellStyle name="Millares 2 6 3 2 5 3 2" xfId="24879" xr:uid="{00000000-0005-0000-0000-00003B200000}"/>
    <cellStyle name="Millares 2 6 3 2 5 3 2 2" xfId="52012" xr:uid="{00000000-0005-0000-0000-00003C200000}"/>
    <cellStyle name="Millares 2 6 3 2 5 3 3" xfId="38450" xr:uid="{00000000-0005-0000-0000-00003D200000}"/>
    <cellStyle name="Millares 2 6 3 2 5 4" xfId="18098" xr:uid="{00000000-0005-0000-0000-00003E200000}"/>
    <cellStyle name="Millares 2 6 3 2 5 4 2" xfId="45231" xr:uid="{00000000-0005-0000-0000-00003F200000}"/>
    <cellStyle name="Millares 2 6 3 2 5 5" xfId="31669" xr:uid="{00000000-0005-0000-0000-000040200000}"/>
    <cellStyle name="Millares 2 6 3 2 6" xfId="4301" xr:uid="{00000000-0005-0000-0000-000041200000}"/>
    <cellStyle name="Millares 2 6 3 2 6 2" xfId="7911" xr:uid="{00000000-0005-0000-0000-000042200000}"/>
    <cellStyle name="Millares 2 6 3 2 6 2 2" xfId="14701" xr:uid="{00000000-0005-0000-0000-000043200000}"/>
    <cellStyle name="Millares 2 6 3 2 6 2 2 2" xfId="28269" xr:uid="{00000000-0005-0000-0000-000044200000}"/>
    <cellStyle name="Millares 2 6 3 2 6 2 2 2 2" xfId="55402" xr:uid="{00000000-0005-0000-0000-000045200000}"/>
    <cellStyle name="Millares 2 6 3 2 6 2 2 3" xfId="41840" xr:uid="{00000000-0005-0000-0000-000046200000}"/>
    <cellStyle name="Millares 2 6 3 2 6 2 3" xfId="21488" xr:uid="{00000000-0005-0000-0000-000047200000}"/>
    <cellStyle name="Millares 2 6 3 2 6 2 3 2" xfId="48621" xr:uid="{00000000-0005-0000-0000-000048200000}"/>
    <cellStyle name="Millares 2 6 3 2 6 2 4" xfId="35059" xr:uid="{00000000-0005-0000-0000-000049200000}"/>
    <cellStyle name="Millares 2 6 3 2 6 3" xfId="11312" xr:uid="{00000000-0005-0000-0000-00004A200000}"/>
    <cellStyle name="Millares 2 6 3 2 6 3 2" xfId="24880" xr:uid="{00000000-0005-0000-0000-00004B200000}"/>
    <cellStyle name="Millares 2 6 3 2 6 3 2 2" xfId="52013" xr:uid="{00000000-0005-0000-0000-00004C200000}"/>
    <cellStyle name="Millares 2 6 3 2 6 3 3" xfId="38451" xr:uid="{00000000-0005-0000-0000-00004D200000}"/>
    <cellStyle name="Millares 2 6 3 2 6 4" xfId="18099" xr:uid="{00000000-0005-0000-0000-00004E200000}"/>
    <cellStyle name="Millares 2 6 3 2 6 4 2" xfId="45232" xr:uid="{00000000-0005-0000-0000-00004F200000}"/>
    <cellStyle name="Millares 2 6 3 2 6 5" xfId="31670" xr:uid="{00000000-0005-0000-0000-000050200000}"/>
    <cellStyle name="Millares 2 6 3 2 7" xfId="7896" xr:uid="{00000000-0005-0000-0000-000051200000}"/>
    <cellStyle name="Millares 2 6 3 2 7 2" xfId="14686" xr:uid="{00000000-0005-0000-0000-000052200000}"/>
    <cellStyle name="Millares 2 6 3 2 7 2 2" xfId="28254" xr:uid="{00000000-0005-0000-0000-000053200000}"/>
    <cellStyle name="Millares 2 6 3 2 7 2 2 2" xfId="55387" xr:uid="{00000000-0005-0000-0000-000054200000}"/>
    <cellStyle name="Millares 2 6 3 2 7 2 3" xfId="41825" xr:uid="{00000000-0005-0000-0000-000055200000}"/>
    <cellStyle name="Millares 2 6 3 2 7 3" xfId="21473" xr:uid="{00000000-0005-0000-0000-000056200000}"/>
    <cellStyle name="Millares 2 6 3 2 7 3 2" xfId="48606" xr:uid="{00000000-0005-0000-0000-000057200000}"/>
    <cellStyle name="Millares 2 6 3 2 7 4" xfId="35044" xr:uid="{00000000-0005-0000-0000-000058200000}"/>
    <cellStyle name="Millares 2 6 3 2 8" xfId="11297" xr:uid="{00000000-0005-0000-0000-000059200000}"/>
    <cellStyle name="Millares 2 6 3 2 8 2" xfId="24865" xr:uid="{00000000-0005-0000-0000-00005A200000}"/>
    <cellStyle name="Millares 2 6 3 2 8 2 2" xfId="51998" xr:uid="{00000000-0005-0000-0000-00005B200000}"/>
    <cellStyle name="Millares 2 6 3 2 8 3" xfId="38436" xr:uid="{00000000-0005-0000-0000-00005C200000}"/>
    <cellStyle name="Millares 2 6 3 2 9" xfId="18084" xr:uid="{00000000-0005-0000-0000-00005D200000}"/>
    <cellStyle name="Millares 2 6 3 2 9 2" xfId="45217" xr:uid="{00000000-0005-0000-0000-00005E200000}"/>
    <cellStyle name="Millares 2 6 3 3" xfId="4302" xr:uid="{00000000-0005-0000-0000-00005F200000}"/>
    <cellStyle name="Millares 2 6 3 3 2" xfId="4303" xr:uid="{00000000-0005-0000-0000-000060200000}"/>
    <cellStyle name="Millares 2 6 3 3 2 2" xfId="4304" xr:uid="{00000000-0005-0000-0000-000061200000}"/>
    <cellStyle name="Millares 2 6 3 3 2 2 2" xfId="7914" xr:uid="{00000000-0005-0000-0000-000062200000}"/>
    <cellStyle name="Millares 2 6 3 3 2 2 2 2" xfId="14704" xr:uid="{00000000-0005-0000-0000-000063200000}"/>
    <cellStyle name="Millares 2 6 3 3 2 2 2 2 2" xfId="28272" xr:uid="{00000000-0005-0000-0000-000064200000}"/>
    <cellStyle name="Millares 2 6 3 3 2 2 2 2 2 2" xfId="55405" xr:uid="{00000000-0005-0000-0000-000065200000}"/>
    <cellStyle name="Millares 2 6 3 3 2 2 2 2 3" xfId="41843" xr:uid="{00000000-0005-0000-0000-000066200000}"/>
    <cellStyle name="Millares 2 6 3 3 2 2 2 3" xfId="21491" xr:uid="{00000000-0005-0000-0000-000067200000}"/>
    <cellStyle name="Millares 2 6 3 3 2 2 2 3 2" xfId="48624" xr:uid="{00000000-0005-0000-0000-000068200000}"/>
    <cellStyle name="Millares 2 6 3 3 2 2 2 4" xfId="35062" xr:uid="{00000000-0005-0000-0000-000069200000}"/>
    <cellStyle name="Millares 2 6 3 3 2 2 3" xfId="11315" xr:uid="{00000000-0005-0000-0000-00006A200000}"/>
    <cellStyle name="Millares 2 6 3 3 2 2 3 2" xfId="24883" xr:uid="{00000000-0005-0000-0000-00006B200000}"/>
    <cellStyle name="Millares 2 6 3 3 2 2 3 2 2" xfId="52016" xr:uid="{00000000-0005-0000-0000-00006C200000}"/>
    <cellStyle name="Millares 2 6 3 3 2 2 3 3" xfId="38454" xr:uid="{00000000-0005-0000-0000-00006D200000}"/>
    <cellStyle name="Millares 2 6 3 3 2 2 4" xfId="18102" xr:uid="{00000000-0005-0000-0000-00006E200000}"/>
    <cellStyle name="Millares 2 6 3 3 2 2 4 2" xfId="45235" xr:uid="{00000000-0005-0000-0000-00006F200000}"/>
    <cellStyle name="Millares 2 6 3 3 2 2 5" xfId="31673" xr:uid="{00000000-0005-0000-0000-000070200000}"/>
    <cellStyle name="Millares 2 6 3 3 2 3" xfId="4305" xr:uid="{00000000-0005-0000-0000-000071200000}"/>
    <cellStyle name="Millares 2 6 3 3 2 3 2" xfId="7915" xr:uid="{00000000-0005-0000-0000-000072200000}"/>
    <cellStyle name="Millares 2 6 3 3 2 3 2 2" xfId="14705" xr:uid="{00000000-0005-0000-0000-000073200000}"/>
    <cellStyle name="Millares 2 6 3 3 2 3 2 2 2" xfId="28273" xr:uid="{00000000-0005-0000-0000-000074200000}"/>
    <cellStyle name="Millares 2 6 3 3 2 3 2 2 2 2" xfId="55406" xr:uid="{00000000-0005-0000-0000-000075200000}"/>
    <cellStyle name="Millares 2 6 3 3 2 3 2 2 3" xfId="41844" xr:uid="{00000000-0005-0000-0000-000076200000}"/>
    <cellStyle name="Millares 2 6 3 3 2 3 2 3" xfId="21492" xr:uid="{00000000-0005-0000-0000-000077200000}"/>
    <cellStyle name="Millares 2 6 3 3 2 3 2 3 2" xfId="48625" xr:uid="{00000000-0005-0000-0000-000078200000}"/>
    <cellStyle name="Millares 2 6 3 3 2 3 2 4" xfId="35063" xr:uid="{00000000-0005-0000-0000-000079200000}"/>
    <cellStyle name="Millares 2 6 3 3 2 3 3" xfId="11316" xr:uid="{00000000-0005-0000-0000-00007A200000}"/>
    <cellStyle name="Millares 2 6 3 3 2 3 3 2" xfId="24884" xr:uid="{00000000-0005-0000-0000-00007B200000}"/>
    <cellStyle name="Millares 2 6 3 3 2 3 3 2 2" xfId="52017" xr:uid="{00000000-0005-0000-0000-00007C200000}"/>
    <cellStyle name="Millares 2 6 3 3 2 3 3 3" xfId="38455" xr:uid="{00000000-0005-0000-0000-00007D200000}"/>
    <cellStyle name="Millares 2 6 3 3 2 3 4" xfId="18103" xr:uid="{00000000-0005-0000-0000-00007E200000}"/>
    <cellStyle name="Millares 2 6 3 3 2 3 4 2" xfId="45236" xr:uid="{00000000-0005-0000-0000-00007F200000}"/>
    <cellStyle name="Millares 2 6 3 3 2 3 5" xfId="31674" xr:uid="{00000000-0005-0000-0000-000080200000}"/>
    <cellStyle name="Millares 2 6 3 3 2 4" xfId="7913" xr:uid="{00000000-0005-0000-0000-000081200000}"/>
    <cellStyle name="Millares 2 6 3 3 2 4 2" xfId="14703" xr:uid="{00000000-0005-0000-0000-000082200000}"/>
    <cellStyle name="Millares 2 6 3 3 2 4 2 2" xfId="28271" xr:uid="{00000000-0005-0000-0000-000083200000}"/>
    <cellStyle name="Millares 2 6 3 3 2 4 2 2 2" xfId="55404" xr:uid="{00000000-0005-0000-0000-000084200000}"/>
    <cellStyle name="Millares 2 6 3 3 2 4 2 3" xfId="41842" xr:uid="{00000000-0005-0000-0000-000085200000}"/>
    <cellStyle name="Millares 2 6 3 3 2 4 3" xfId="21490" xr:uid="{00000000-0005-0000-0000-000086200000}"/>
    <cellStyle name="Millares 2 6 3 3 2 4 3 2" xfId="48623" xr:uid="{00000000-0005-0000-0000-000087200000}"/>
    <cellStyle name="Millares 2 6 3 3 2 4 4" xfId="35061" xr:uid="{00000000-0005-0000-0000-000088200000}"/>
    <cellStyle name="Millares 2 6 3 3 2 5" xfId="11314" xr:uid="{00000000-0005-0000-0000-000089200000}"/>
    <cellStyle name="Millares 2 6 3 3 2 5 2" xfId="24882" xr:uid="{00000000-0005-0000-0000-00008A200000}"/>
    <cellStyle name="Millares 2 6 3 3 2 5 2 2" xfId="52015" xr:uid="{00000000-0005-0000-0000-00008B200000}"/>
    <cellStyle name="Millares 2 6 3 3 2 5 3" xfId="38453" xr:uid="{00000000-0005-0000-0000-00008C200000}"/>
    <cellStyle name="Millares 2 6 3 3 2 6" xfId="18101" xr:uid="{00000000-0005-0000-0000-00008D200000}"/>
    <cellStyle name="Millares 2 6 3 3 2 6 2" xfId="45234" xr:uid="{00000000-0005-0000-0000-00008E200000}"/>
    <cellStyle name="Millares 2 6 3 3 2 7" xfId="31672" xr:uid="{00000000-0005-0000-0000-00008F200000}"/>
    <cellStyle name="Millares 2 6 3 3 3" xfId="4306" xr:uid="{00000000-0005-0000-0000-000090200000}"/>
    <cellStyle name="Millares 2 6 3 3 3 2" xfId="4307" xr:uid="{00000000-0005-0000-0000-000091200000}"/>
    <cellStyle name="Millares 2 6 3 3 3 2 2" xfId="7917" xr:uid="{00000000-0005-0000-0000-000092200000}"/>
    <cellStyle name="Millares 2 6 3 3 3 2 2 2" xfId="14707" xr:uid="{00000000-0005-0000-0000-000093200000}"/>
    <cellStyle name="Millares 2 6 3 3 3 2 2 2 2" xfId="28275" xr:uid="{00000000-0005-0000-0000-000094200000}"/>
    <cellStyle name="Millares 2 6 3 3 3 2 2 2 2 2" xfId="55408" xr:uid="{00000000-0005-0000-0000-000095200000}"/>
    <cellStyle name="Millares 2 6 3 3 3 2 2 2 3" xfId="41846" xr:uid="{00000000-0005-0000-0000-000096200000}"/>
    <cellStyle name="Millares 2 6 3 3 3 2 2 3" xfId="21494" xr:uid="{00000000-0005-0000-0000-000097200000}"/>
    <cellStyle name="Millares 2 6 3 3 3 2 2 3 2" xfId="48627" xr:uid="{00000000-0005-0000-0000-000098200000}"/>
    <cellStyle name="Millares 2 6 3 3 3 2 2 4" xfId="35065" xr:uid="{00000000-0005-0000-0000-000099200000}"/>
    <cellStyle name="Millares 2 6 3 3 3 2 3" xfId="11318" xr:uid="{00000000-0005-0000-0000-00009A200000}"/>
    <cellStyle name="Millares 2 6 3 3 3 2 3 2" xfId="24886" xr:uid="{00000000-0005-0000-0000-00009B200000}"/>
    <cellStyle name="Millares 2 6 3 3 3 2 3 2 2" xfId="52019" xr:uid="{00000000-0005-0000-0000-00009C200000}"/>
    <cellStyle name="Millares 2 6 3 3 3 2 3 3" xfId="38457" xr:uid="{00000000-0005-0000-0000-00009D200000}"/>
    <cellStyle name="Millares 2 6 3 3 3 2 4" xfId="18105" xr:uid="{00000000-0005-0000-0000-00009E200000}"/>
    <cellStyle name="Millares 2 6 3 3 3 2 4 2" xfId="45238" xr:uid="{00000000-0005-0000-0000-00009F200000}"/>
    <cellStyle name="Millares 2 6 3 3 3 2 5" xfId="31676" xr:uid="{00000000-0005-0000-0000-0000A0200000}"/>
    <cellStyle name="Millares 2 6 3 3 3 3" xfId="7916" xr:uid="{00000000-0005-0000-0000-0000A1200000}"/>
    <cellStyle name="Millares 2 6 3 3 3 3 2" xfId="14706" xr:uid="{00000000-0005-0000-0000-0000A2200000}"/>
    <cellStyle name="Millares 2 6 3 3 3 3 2 2" xfId="28274" xr:uid="{00000000-0005-0000-0000-0000A3200000}"/>
    <cellStyle name="Millares 2 6 3 3 3 3 2 2 2" xfId="55407" xr:uid="{00000000-0005-0000-0000-0000A4200000}"/>
    <cellStyle name="Millares 2 6 3 3 3 3 2 3" xfId="41845" xr:uid="{00000000-0005-0000-0000-0000A5200000}"/>
    <cellStyle name="Millares 2 6 3 3 3 3 3" xfId="21493" xr:uid="{00000000-0005-0000-0000-0000A6200000}"/>
    <cellStyle name="Millares 2 6 3 3 3 3 3 2" xfId="48626" xr:uid="{00000000-0005-0000-0000-0000A7200000}"/>
    <cellStyle name="Millares 2 6 3 3 3 3 4" xfId="35064" xr:uid="{00000000-0005-0000-0000-0000A8200000}"/>
    <cellStyle name="Millares 2 6 3 3 3 4" xfId="11317" xr:uid="{00000000-0005-0000-0000-0000A9200000}"/>
    <cellStyle name="Millares 2 6 3 3 3 4 2" xfId="24885" xr:uid="{00000000-0005-0000-0000-0000AA200000}"/>
    <cellStyle name="Millares 2 6 3 3 3 4 2 2" xfId="52018" xr:uid="{00000000-0005-0000-0000-0000AB200000}"/>
    <cellStyle name="Millares 2 6 3 3 3 4 3" xfId="38456" xr:uid="{00000000-0005-0000-0000-0000AC200000}"/>
    <cellStyle name="Millares 2 6 3 3 3 5" xfId="18104" xr:uid="{00000000-0005-0000-0000-0000AD200000}"/>
    <cellStyle name="Millares 2 6 3 3 3 5 2" xfId="45237" xr:uid="{00000000-0005-0000-0000-0000AE200000}"/>
    <cellStyle name="Millares 2 6 3 3 3 6" xfId="31675" xr:uid="{00000000-0005-0000-0000-0000AF200000}"/>
    <cellStyle name="Millares 2 6 3 3 4" xfId="4308" xr:uid="{00000000-0005-0000-0000-0000B0200000}"/>
    <cellStyle name="Millares 2 6 3 3 4 2" xfId="7918" xr:uid="{00000000-0005-0000-0000-0000B1200000}"/>
    <cellStyle name="Millares 2 6 3 3 4 2 2" xfId="14708" xr:uid="{00000000-0005-0000-0000-0000B2200000}"/>
    <cellStyle name="Millares 2 6 3 3 4 2 2 2" xfId="28276" xr:uid="{00000000-0005-0000-0000-0000B3200000}"/>
    <cellStyle name="Millares 2 6 3 3 4 2 2 2 2" xfId="55409" xr:uid="{00000000-0005-0000-0000-0000B4200000}"/>
    <cellStyle name="Millares 2 6 3 3 4 2 2 3" xfId="41847" xr:uid="{00000000-0005-0000-0000-0000B5200000}"/>
    <cellStyle name="Millares 2 6 3 3 4 2 3" xfId="21495" xr:uid="{00000000-0005-0000-0000-0000B6200000}"/>
    <cellStyle name="Millares 2 6 3 3 4 2 3 2" xfId="48628" xr:uid="{00000000-0005-0000-0000-0000B7200000}"/>
    <cellStyle name="Millares 2 6 3 3 4 2 4" xfId="35066" xr:uid="{00000000-0005-0000-0000-0000B8200000}"/>
    <cellStyle name="Millares 2 6 3 3 4 3" xfId="11319" xr:uid="{00000000-0005-0000-0000-0000B9200000}"/>
    <cellStyle name="Millares 2 6 3 3 4 3 2" xfId="24887" xr:uid="{00000000-0005-0000-0000-0000BA200000}"/>
    <cellStyle name="Millares 2 6 3 3 4 3 2 2" xfId="52020" xr:uid="{00000000-0005-0000-0000-0000BB200000}"/>
    <cellStyle name="Millares 2 6 3 3 4 3 3" xfId="38458" xr:uid="{00000000-0005-0000-0000-0000BC200000}"/>
    <cellStyle name="Millares 2 6 3 3 4 4" xfId="18106" xr:uid="{00000000-0005-0000-0000-0000BD200000}"/>
    <cellStyle name="Millares 2 6 3 3 4 4 2" xfId="45239" xr:uid="{00000000-0005-0000-0000-0000BE200000}"/>
    <cellStyle name="Millares 2 6 3 3 4 5" xfId="31677" xr:uid="{00000000-0005-0000-0000-0000BF200000}"/>
    <cellStyle name="Millares 2 6 3 3 5" xfId="4309" xr:uid="{00000000-0005-0000-0000-0000C0200000}"/>
    <cellStyle name="Millares 2 6 3 3 5 2" xfId="7919" xr:uid="{00000000-0005-0000-0000-0000C1200000}"/>
    <cellStyle name="Millares 2 6 3 3 5 2 2" xfId="14709" xr:uid="{00000000-0005-0000-0000-0000C2200000}"/>
    <cellStyle name="Millares 2 6 3 3 5 2 2 2" xfId="28277" xr:uid="{00000000-0005-0000-0000-0000C3200000}"/>
    <cellStyle name="Millares 2 6 3 3 5 2 2 2 2" xfId="55410" xr:uid="{00000000-0005-0000-0000-0000C4200000}"/>
    <cellStyle name="Millares 2 6 3 3 5 2 2 3" xfId="41848" xr:uid="{00000000-0005-0000-0000-0000C5200000}"/>
    <cellStyle name="Millares 2 6 3 3 5 2 3" xfId="21496" xr:uid="{00000000-0005-0000-0000-0000C6200000}"/>
    <cellStyle name="Millares 2 6 3 3 5 2 3 2" xfId="48629" xr:uid="{00000000-0005-0000-0000-0000C7200000}"/>
    <cellStyle name="Millares 2 6 3 3 5 2 4" xfId="35067" xr:uid="{00000000-0005-0000-0000-0000C8200000}"/>
    <cellStyle name="Millares 2 6 3 3 5 3" xfId="11320" xr:uid="{00000000-0005-0000-0000-0000C9200000}"/>
    <cellStyle name="Millares 2 6 3 3 5 3 2" xfId="24888" xr:uid="{00000000-0005-0000-0000-0000CA200000}"/>
    <cellStyle name="Millares 2 6 3 3 5 3 2 2" xfId="52021" xr:uid="{00000000-0005-0000-0000-0000CB200000}"/>
    <cellStyle name="Millares 2 6 3 3 5 3 3" xfId="38459" xr:uid="{00000000-0005-0000-0000-0000CC200000}"/>
    <cellStyle name="Millares 2 6 3 3 5 4" xfId="18107" xr:uid="{00000000-0005-0000-0000-0000CD200000}"/>
    <cellStyle name="Millares 2 6 3 3 5 4 2" xfId="45240" xr:uid="{00000000-0005-0000-0000-0000CE200000}"/>
    <cellStyle name="Millares 2 6 3 3 5 5" xfId="31678" xr:uid="{00000000-0005-0000-0000-0000CF200000}"/>
    <cellStyle name="Millares 2 6 3 3 6" xfId="7912" xr:uid="{00000000-0005-0000-0000-0000D0200000}"/>
    <cellStyle name="Millares 2 6 3 3 6 2" xfId="14702" xr:uid="{00000000-0005-0000-0000-0000D1200000}"/>
    <cellStyle name="Millares 2 6 3 3 6 2 2" xfId="28270" xr:uid="{00000000-0005-0000-0000-0000D2200000}"/>
    <cellStyle name="Millares 2 6 3 3 6 2 2 2" xfId="55403" xr:uid="{00000000-0005-0000-0000-0000D3200000}"/>
    <cellStyle name="Millares 2 6 3 3 6 2 3" xfId="41841" xr:uid="{00000000-0005-0000-0000-0000D4200000}"/>
    <cellStyle name="Millares 2 6 3 3 6 3" xfId="21489" xr:uid="{00000000-0005-0000-0000-0000D5200000}"/>
    <cellStyle name="Millares 2 6 3 3 6 3 2" xfId="48622" xr:uid="{00000000-0005-0000-0000-0000D6200000}"/>
    <cellStyle name="Millares 2 6 3 3 6 4" xfId="35060" xr:uid="{00000000-0005-0000-0000-0000D7200000}"/>
    <cellStyle name="Millares 2 6 3 3 7" xfId="11313" xr:uid="{00000000-0005-0000-0000-0000D8200000}"/>
    <cellStyle name="Millares 2 6 3 3 7 2" xfId="24881" xr:uid="{00000000-0005-0000-0000-0000D9200000}"/>
    <cellStyle name="Millares 2 6 3 3 7 2 2" xfId="52014" xr:uid="{00000000-0005-0000-0000-0000DA200000}"/>
    <cellStyle name="Millares 2 6 3 3 7 3" xfId="38452" xr:uid="{00000000-0005-0000-0000-0000DB200000}"/>
    <cellStyle name="Millares 2 6 3 3 8" xfId="18100" xr:uid="{00000000-0005-0000-0000-0000DC200000}"/>
    <cellStyle name="Millares 2 6 3 3 8 2" xfId="45233" xr:uid="{00000000-0005-0000-0000-0000DD200000}"/>
    <cellStyle name="Millares 2 6 3 3 9" xfId="31671" xr:uid="{00000000-0005-0000-0000-0000DE200000}"/>
    <cellStyle name="Millares 2 6 3 4" xfId="4310" xr:uid="{00000000-0005-0000-0000-0000DF200000}"/>
    <cellStyle name="Millares 2 6 3 4 2" xfId="4311" xr:uid="{00000000-0005-0000-0000-0000E0200000}"/>
    <cellStyle name="Millares 2 6 3 4 2 2" xfId="4312" xr:uid="{00000000-0005-0000-0000-0000E1200000}"/>
    <cellStyle name="Millares 2 6 3 4 2 2 2" xfId="7922" xr:uid="{00000000-0005-0000-0000-0000E2200000}"/>
    <cellStyle name="Millares 2 6 3 4 2 2 2 2" xfId="14712" xr:uid="{00000000-0005-0000-0000-0000E3200000}"/>
    <cellStyle name="Millares 2 6 3 4 2 2 2 2 2" xfId="28280" xr:uid="{00000000-0005-0000-0000-0000E4200000}"/>
    <cellStyle name="Millares 2 6 3 4 2 2 2 2 2 2" xfId="55413" xr:uid="{00000000-0005-0000-0000-0000E5200000}"/>
    <cellStyle name="Millares 2 6 3 4 2 2 2 2 3" xfId="41851" xr:uid="{00000000-0005-0000-0000-0000E6200000}"/>
    <cellStyle name="Millares 2 6 3 4 2 2 2 3" xfId="21499" xr:uid="{00000000-0005-0000-0000-0000E7200000}"/>
    <cellStyle name="Millares 2 6 3 4 2 2 2 3 2" xfId="48632" xr:uid="{00000000-0005-0000-0000-0000E8200000}"/>
    <cellStyle name="Millares 2 6 3 4 2 2 2 4" xfId="35070" xr:uid="{00000000-0005-0000-0000-0000E9200000}"/>
    <cellStyle name="Millares 2 6 3 4 2 2 3" xfId="11323" xr:uid="{00000000-0005-0000-0000-0000EA200000}"/>
    <cellStyle name="Millares 2 6 3 4 2 2 3 2" xfId="24891" xr:uid="{00000000-0005-0000-0000-0000EB200000}"/>
    <cellStyle name="Millares 2 6 3 4 2 2 3 2 2" xfId="52024" xr:uid="{00000000-0005-0000-0000-0000EC200000}"/>
    <cellStyle name="Millares 2 6 3 4 2 2 3 3" xfId="38462" xr:uid="{00000000-0005-0000-0000-0000ED200000}"/>
    <cellStyle name="Millares 2 6 3 4 2 2 4" xfId="18110" xr:uid="{00000000-0005-0000-0000-0000EE200000}"/>
    <cellStyle name="Millares 2 6 3 4 2 2 4 2" xfId="45243" xr:uid="{00000000-0005-0000-0000-0000EF200000}"/>
    <cellStyle name="Millares 2 6 3 4 2 2 5" xfId="31681" xr:uid="{00000000-0005-0000-0000-0000F0200000}"/>
    <cellStyle name="Millares 2 6 3 4 2 3" xfId="4313" xr:uid="{00000000-0005-0000-0000-0000F1200000}"/>
    <cellStyle name="Millares 2 6 3 4 2 3 2" xfId="7923" xr:uid="{00000000-0005-0000-0000-0000F2200000}"/>
    <cellStyle name="Millares 2 6 3 4 2 3 2 2" xfId="14713" xr:uid="{00000000-0005-0000-0000-0000F3200000}"/>
    <cellStyle name="Millares 2 6 3 4 2 3 2 2 2" xfId="28281" xr:uid="{00000000-0005-0000-0000-0000F4200000}"/>
    <cellStyle name="Millares 2 6 3 4 2 3 2 2 2 2" xfId="55414" xr:uid="{00000000-0005-0000-0000-0000F5200000}"/>
    <cellStyle name="Millares 2 6 3 4 2 3 2 2 3" xfId="41852" xr:uid="{00000000-0005-0000-0000-0000F6200000}"/>
    <cellStyle name="Millares 2 6 3 4 2 3 2 3" xfId="21500" xr:uid="{00000000-0005-0000-0000-0000F7200000}"/>
    <cellStyle name="Millares 2 6 3 4 2 3 2 3 2" xfId="48633" xr:uid="{00000000-0005-0000-0000-0000F8200000}"/>
    <cellStyle name="Millares 2 6 3 4 2 3 2 4" xfId="35071" xr:uid="{00000000-0005-0000-0000-0000F9200000}"/>
    <cellStyle name="Millares 2 6 3 4 2 3 3" xfId="11324" xr:uid="{00000000-0005-0000-0000-0000FA200000}"/>
    <cellStyle name="Millares 2 6 3 4 2 3 3 2" xfId="24892" xr:uid="{00000000-0005-0000-0000-0000FB200000}"/>
    <cellStyle name="Millares 2 6 3 4 2 3 3 2 2" xfId="52025" xr:uid="{00000000-0005-0000-0000-0000FC200000}"/>
    <cellStyle name="Millares 2 6 3 4 2 3 3 3" xfId="38463" xr:uid="{00000000-0005-0000-0000-0000FD200000}"/>
    <cellStyle name="Millares 2 6 3 4 2 3 4" xfId="18111" xr:uid="{00000000-0005-0000-0000-0000FE200000}"/>
    <cellStyle name="Millares 2 6 3 4 2 3 4 2" xfId="45244" xr:uid="{00000000-0005-0000-0000-0000FF200000}"/>
    <cellStyle name="Millares 2 6 3 4 2 3 5" xfId="31682" xr:uid="{00000000-0005-0000-0000-000000210000}"/>
    <cellStyle name="Millares 2 6 3 4 2 4" xfId="7921" xr:uid="{00000000-0005-0000-0000-000001210000}"/>
    <cellStyle name="Millares 2 6 3 4 2 4 2" xfId="14711" xr:uid="{00000000-0005-0000-0000-000002210000}"/>
    <cellStyle name="Millares 2 6 3 4 2 4 2 2" xfId="28279" xr:uid="{00000000-0005-0000-0000-000003210000}"/>
    <cellStyle name="Millares 2 6 3 4 2 4 2 2 2" xfId="55412" xr:uid="{00000000-0005-0000-0000-000004210000}"/>
    <cellStyle name="Millares 2 6 3 4 2 4 2 3" xfId="41850" xr:uid="{00000000-0005-0000-0000-000005210000}"/>
    <cellStyle name="Millares 2 6 3 4 2 4 3" xfId="21498" xr:uid="{00000000-0005-0000-0000-000006210000}"/>
    <cellStyle name="Millares 2 6 3 4 2 4 3 2" xfId="48631" xr:uid="{00000000-0005-0000-0000-000007210000}"/>
    <cellStyle name="Millares 2 6 3 4 2 4 4" xfId="35069" xr:uid="{00000000-0005-0000-0000-000008210000}"/>
    <cellStyle name="Millares 2 6 3 4 2 5" xfId="11322" xr:uid="{00000000-0005-0000-0000-000009210000}"/>
    <cellStyle name="Millares 2 6 3 4 2 5 2" xfId="24890" xr:uid="{00000000-0005-0000-0000-00000A210000}"/>
    <cellStyle name="Millares 2 6 3 4 2 5 2 2" xfId="52023" xr:uid="{00000000-0005-0000-0000-00000B210000}"/>
    <cellStyle name="Millares 2 6 3 4 2 5 3" xfId="38461" xr:uid="{00000000-0005-0000-0000-00000C210000}"/>
    <cellStyle name="Millares 2 6 3 4 2 6" xfId="18109" xr:uid="{00000000-0005-0000-0000-00000D210000}"/>
    <cellStyle name="Millares 2 6 3 4 2 6 2" xfId="45242" xr:uid="{00000000-0005-0000-0000-00000E210000}"/>
    <cellStyle name="Millares 2 6 3 4 2 7" xfId="31680" xr:uid="{00000000-0005-0000-0000-00000F210000}"/>
    <cellStyle name="Millares 2 6 3 4 3" xfId="4314" xr:uid="{00000000-0005-0000-0000-000010210000}"/>
    <cellStyle name="Millares 2 6 3 4 3 2" xfId="7924" xr:uid="{00000000-0005-0000-0000-000011210000}"/>
    <cellStyle name="Millares 2 6 3 4 3 2 2" xfId="14714" xr:uid="{00000000-0005-0000-0000-000012210000}"/>
    <cellStyle name="Millares 2 6 3 4 3 2 2 2" xfId="28282" xr:uid="{00000000-0005-0000-0000-000013210000}"/>
    <cellStyle name="Millares 2 6 3 4 3 2 2 2 2" xfId="55415" xr:uid="{00000000-0005-0000-0000-000014210000}"/>
    <cellStyle name="Millares 2 6 3 4 3 2 2 3" xfId="41853" xr:uid="{00000000-0005-0000-0000-000015210000}"/>
    <cellStyle name="Millares 2 6 3 4 3 2 3" xfId="21501" xr:uid="{00000000-0005-0000-0000-000016210000}"/>
    <cellStyle name="Millares 2 6 3 4 3 2 3 2" xfId="48634" xr:uid="{00000000-0005-0000-0000-000017210000}"/>
    <cellStyle name="Millares 2 6 3 4 3 2 4" xfId="35072" xr:uid="{00000000-0005-0000-0000-000018210000}"/>
    <cellStyle name="Millares 2 6 3 4 3 3" xfId="11325" xr:uid="{00000000-0005-0000-0000-000019210000}"/>
    <cellStyle name="Millares 2 6 3 4 3 3 2" xfId="24893" xr:uid="{00000000-0005-0000-0000-00001A210000}"/>
    <cellStyle name="Millares 2 6 3 4 3 3 2 2" xfId="52026" xr:uid="{00000000-0005-0000-0000-00001B210000}"/>
    <cellStyle name="Millares 2 6 3 4 3 3 3" xfId="38464" xr:uid="{00000000-0005-0000-0000-00001C210000}"/>
    <cellStyle name="Millares 2 6 3 4 3 4" xfId="18112" xr:uid="{00000000-0005-0000-0000-00001D210000}"/>
    <cellStyle name="Millares 2 6 3 4 3 4 2" xfId="45245" xr:uid="{00000000-0005-0000-0000-00001E210000}"/>
    <cellStyle name="Millares 2 6 3 4 3 5" xfId="31683" xr:uid="{00000000-0005-0000-0000-00001F210000}"/>
    <cellStyle name="Millares 2 6 3 4 4" xfId="4315" xr:uid="{00000000-0005-0000-0000-000020210000}"/>
    <cellStyle name="Millares 2 6 3 4 4 2" xfId="7925" xr:uid="{00000000-0005-0000-0000-000021210000}"/>
    <cellStyle name="Millares 2 6 3 4 4 2 2" xfId="14715" xr:uid="{00000000-0005-0000-0000-000022210000}"/>
    <cellStyle name="Millares 2 6 3 4 4 2 2 2" xfId="28283" xr:uid="{00000000-0005-0000-0000-000023210000}"/>
    <cellStyle name="Millares 2 6 3 4 4 2 2 2 2" xfId="55416" xr:uid="{00000000-0005-0000-0000-000024210000}"/>
    <cellStyle name="Millares 2 6 3 4 4 2 2 3" xfId="41854" xr:uid="{00000000-0005-0000-0000-000025210000}"/>
    <cellStyle name="Millares 2 6 3 4 4 2 3" xfId="21502" xr:uid="{00000000-0005-0000-0000-000026210000}"/>
    <cellStyle name="Millares 2 6 3 4 4 2 3 2" xfId="48635" xr:uid="{00000000-0005-0000-0000-000027210000}"/>
    <cellStyle name="Millares 2 6 3 4 4 2 4" xfId="35073" xr:uid="{00000000-0005-0000-0000-000028210000}"/>
    <cellStyle name="Millares 2 6 3 4 4 3" xfId="11326" xr:uid="{00000000-0005-0000-0000-000029210000}"/>
    <cellStyle name="Millares 2 6 3 4 4 3 2" xfId="24894" xr:uid="{00000000-0005-0000-0000-00002A210000}"/>
    <cellStyle name="Millares 2 6 3 4 4 3 2 2" xfId="52027" xr:uid="{00000000-0005-0000-0000-00002B210000}"/>
    <cellStyle name="Millares 2 6 3 4 4 3 3" xfId="38465" xr:uid="{00000000-0005-0000-0000-00002C210000}"/>
    <cellStyle name="Millares 2 6 3 4 4 4" xfId="18113" xr:uid="{00000000-0005-0000-0000-00002D210000}"/>
    <cellStyle name="Millares 2 6 3 4 4 4 2" xfId="45246" xr:uid="{00000000-0005-0000-0000-00002E210000}"/>
    <cellStyle name="Millares 2 6 3 4 4 5" xfId="31684" xr:uid="{00000000-0005-0000-0000-00002F210000}"/>
    <cellStyle name="Millares 2 6 3 4 5" xfId="7920" xr:uid="{00000000-0005-0000-0000-000030210000}"/>
    <cellStyle name="Millares 2 6 3 4 5 2" xfId="14710" xr:uid="{00000000-0005-0000-0000-000031210000}"/>
    <cellStyle name="Millares 2 6 3 4 5 2 2" xfId="28278" xr:uid="{00000000-0005-0000-0000-000032210000}"/>
    <cellStyle name="Millares 2 6 3 4 5 2 2 2" xfId="55411" xr:uid="{00000000-0005-0000-0000-000033210000}"/>
    <cellStyle name="Millares 2 6 3 4 5 2 3" xfId="41849" xr:uid="{00000000-0005-0000-0000-000034210000}"/>
    <cellStyle name="Millares 2 6 3 4 5 3" xfId="21497" xr:uid="{00000000-0005-0000-0000-000035210000}"/>
    <cellStyle name="Millares 2 6 3 4 5 3 2" xfId="48630" xr:uid="{00000000-0005-0000-0000-000036210000}"/>
    <cellStyle name="Millares 2 6 3 4 5 4" xfId="35068" xr:uid="{00000000-0005-0000-0000-000037210000}"/>
    <cellStyle name="Millares 2 6 3 4 6" xfId="11321" xr:uid="{00000000-0005-0000-0000-000038210000}"/>
    <cellStyle name="Millares 2 6 3 4 6 2" xfId="24889" xr:uid="{00000000-0005-0000-0000-000039210000}"/>
    <cellStyle name="Millares 2 6 3 4 6 2 2" xfId="52022" xr:uid="{00000000-0005-0000-0000-00003A210000}"/>
    <cellStyle name="Millares 2 6 3 4 6 3" xfId="38460" xr:uid="{00000000-0005-0000-0000-00003B210000}"/>
    <cellStyle name="Millares 2 6 3 4 7" xfId="18108" xr:uid="{00000000-0005-0000-0000-00003C210000}"/>
    <cellStyle name="Millares 2 6 3 4 7 2" xfId="45241" xr:uid="{00000000-0005-0000-0000-00003D210000}"/>
    <cellStyle name="Millares 2 6 3 4 8" xfId="31679" xr:uid="{00000000-0005-0000-0000-00003E210000}"/>
    <cellStyle name="Millares 2 6 3 5" xfId="4316" xr:uid="{00000000-0005-0000-0000-00003F210000}"/>
    <cellStyle name="Millares 2 6 3 5 2" xfId="4317" xr:uid="{00000000-0005-0000-0000-000040210000}"/>
    <cellStyle name="Millares 2 6 3 5 2 2" xfId="7927" xr:uid="{00000000-0005-0000-0000-000041210000}"/>
    <cellStyle name="Millares 2 6 3 5 2 2 2" xfId="14717" xr:uid="{00000000-0005-0000-0000-000042210000}"/>
    <cellStyle name="Millares 2 6 3 5 2 2 2 2" xfId="28285" xr:uid="{00000000-0005-0000-0000-000043210000}"/>
    <cellStyle name="Millares 2 6 3 5 2 2 2 2 2" xfId="55418" xr:uid="{00000000-0005-0000-0000-000044210000}"/>
    <cellStyle name="Millares 2 6 3 5 2 2 2 3" xfId="41856" xr:uid="{00000000-0005-0000-0000-000045210000}"/>
    <cellStyle name="Millares 2 6 3 5 2 2 3" xfId="21504" xr:uid="{00000000-0005-0000-0000-000046210000}"/>
    <cellStyle name="Millares 2 6 3 5 2 2 3 2" xfId="48637" xr:uid="{00000000-0005-0000-0000-000047210000}"/>
    <cellStyle name="Millares 2 6 3 5 2 2 4" xfId="35075" xr:uid="{00000000-0005-0000-0000-000048210000}"/>
    <cellStyle name="Millares 2 6 3 5 2 3" xfId="11328" xr:uid="{00000000-0005-0000-0000-000049210000}"/>
    <cellStyle name="Millares 2 6 3 5 2 3 2" xfId="24896" xr:uid="{00000000-0005-0000-0000-00004A210000}"/>
    <cellStyle name="Millares 2 6 3 5 2 3 2 2" xfId="52029" xr:uid="{00000000-0005-0000-0000-00004B210000}"/>
    <cellStyle name="Millares 2 6 3 5 2 3 3" xfId="38467" xr:uid="{00000000-0005-0000-0000-00004C210000}"/>
    <cellStyle name="Millares 2 6 3 5 2 4" xfId="18115" xr:uid="{00000000-0005-0000-0000-00004D210000}"/>
    <cellStyle name="Millares 2 6 3 5 2 4 2" xfId="45248" xr:uid="{00000000-0005-0000-0000-00004E210000}"/>
    <cellStyle name="Millares 2 6 3 5 2 5" xfId="31686" xr:uid="{00000000-0005-0000-0000-00004F210000}"/>
    <cellStyle name="Millares 2 6 3 5 3" xfId="4318" xr:uid="{00000000-0005-0000-0000-000050210000}"/>
    <cellStyle name="Millares 2 6 3 5 3 2" xfId="7928" xr:uid="{00000000-0005-0000-0000-000051210000}"/>
    <cellStyle name="Millares 2 6 3 5 3 2 2" xfId="14718" xr:uid="{00000000-0005-0000-0000-000052210000}"/>
    <cellStyle name="Millares 2 6 3 5 3 2 2 2" xfId="28286" xr:uid="{00000000-0005-0000-0000-000053210000}"/>
    <cellStyle name="Millares 2 6 3 5 3 2 2 2 2" xfId="55419" xr:uid="{00000000-0005-0000-0000-000054210000}"/>
    <cellStyle name="Millares 2 6 3 5 3 2 2 3" xfId="41857" xr:uid="{00000000-0005-0000-0000-000055210000}"/>
    <cellStyle name="Millares 2 6 3 5 3 2 3" xfId="21505" xr:uid="{00000000-0005-0000-0000-000056210000}"/>
    <cellStyle name="Millares 2 6 3 5 3 2 3 2" xfId="48638" xr:uid="{00000000-0005-0000-0000-000057210000}"/>
    <cellStyle name="Millares 2 6 3 5 3 2 4" xfId="35076" xr:uid="{00000000-0005-0000-0000-000058210000}"/>
    <cellStyle name="Millares 2 6 3 5 3 3" xfId="11329" xr:uid="{00000000-0005-0000-0000-000059210000}"/>
    <cellStyle name="Millares 2 6 3 5 3 3 2" xfId="24897" xr:uid="{00000000-0005-0000-0000-00005A210000}"/>
    <cellStyle name="Millares 2 6 3 5 3 3 2 2" xfId="52030" xr:uid="{00000000-0005-0000-0000-00005B210000}"/>
    <cellStyle name="Millares 2 6 3 5 3 3 3" xfId="38468" xr:uid="{00000000-0005-0000-0000-00005C210000}"/>
    <cellStyle name="Millares 2 6 3 5 3 4" xfId="18116" xr:uid="{00000000-0005-0000-0000-00005D210000}"/>
    <cellStyle name="Millares 2 6 3 5 3 4 2" xfId="45249" xr:uid="{00000000-0005-0000-0000-00005E210000}"/>
    <cellStyle name="Millares 2 6 3 5 3 5" xfId="31687" xr:uid="{00000000-0005-0000-0000-00005F210000}"/>
    <cellStyle name="Millares 2 6 3 5 4" xfId="7926" xr:uid="{00000000-0005-0000-0000-000060210000}"/>
    <cellStyle name="Millares 2 6 3 5 4 2" xfId="14716" xr:uid="{00000000-0005-0000-0000-000061210000}"/>
    <cellStyle name="Millares 2 6 3 5 4 2 2" xfId="28284" xr:uid="{00000000-0005-0000-0000-000062210000}"/>
    <cellStyle name="Millares 2 6 3 5 4 2 2 2" xfId="55417" xr:uid="{00000000-0005-0000-0000-000063210000}"/>
    <cellStyle name="Millares 2 6 3 5 4 2 3" xfId="41855" xr:uid="{00000000-0005-0000-0000-000064210000}"/>
    <cellStyle name="Millares 2 6 3 5 4 3" xfId="21503" xr:uid="{00000000-0005-0000-0000-000065210000}"/>
    <cellStyle name="Millares 2 6 3 5 4 3 2" xfId="48636" xr:uid="{00000000-0005-0000-0000-000066210000}"/>
    <cellStyle name="Millares 2 6 3 5 4 4" xfId="35074" xr:uid="{00000000-0005-0000-0000-000067210000}"/>
    <cellStyle name="Millares 2 6 3 5 5" xfId="11327" xr:uid="{00000000-0005-0000-0000-000068210000}"/>
    <cellStyle name="Millares 2 6 3 5 5 2" xfId="24895" xr:uid="{00000000-0005-0000-0000-000069210000}"/>
    <cellStyle name="Millares 2 6 3 5 5 2 2" xfId="52028" xr:uid="{00000000-0005-0000-0000-00006A210000}"/>
    <cellStyle name="Millares 2 6 3 5 5 3" xfId="38466" xr:uid="{00000000-0005-0000-0000-00006B210000}"/>
    <cellStyle name="Millares 2 6 3 5 6" xfId="18114" xr:uid="{00000000-0005-0000-0000-00006C210000}"/>
    <cellStyle name="Millares 2 6 3 5 6 2" xfId="45247" xr:uid="{00000000-0005-0000-0000-00006D210000}"/>
    <cellStyle name="Millares 2 6 3 5 7" xfId="31685" xr:uid="{00000000-0005-0000-0000-00006E210000}"/>
    <cellStyle name="Millares 2 6 3 6" xfId="4319" xr:uid="{00000000-0005-0000-0000-00006F210000}"/>
    <cellStyle name="Millares 2 6 3 6 2" xfId="4320" xr:uid="{00000000-0005-0000-0000-000070210000}"/>
    <cellStyle name="Millares 2 6 3 6 2 2" xfId="7930" xr:uid="{00000000-0005-0000-0000-000071210000}"/>
    <cellStyle name="Millares 2 6 3 6 2 2 2" xfId="14720" xr:uid="{00000000-0005-0000-0000-000072210000}"/>
    <cellStyle name="Millares 2 6 3 6 2 2 2 2" xfId="28288" xr:uid="{00000000-0005-0000-0000-000073210000}"/>
    <cellStyle name="Millares 2 6 3 6 2 2 2 2 2" xfId="55421" xr:uid="{00000000-0005-0000-0000-000074210000}"/>
    <cellStyle name="Millares 2 6 3 6 2 2 2 3" xfId="41859" xr:uid="{00000000-0005-0000-0000-000075210000}"/>
    <cellStyle name="Millares 2 6 3 6 2 2 3" xfId="21507" xr:uid="{00000000-0005-0000-0000-000076210000}"/>
    <cellStyle name="Millares 2 6 3 6 2 2 3 2" xfId="48640" xr:uid="{00000000-0005-0000-0000-000077210000}"/>
    <cellStyle name="Millares 2 6 3 6 2 2 4" xfId="35078" xr:uid="{00000000-0005-0000-0000-000078210000}"/>
    <cellStyle name="Millares 2 6 3 6 2 3" xfId="11331" xr:uid="{00000000-0005-0000-0000-000079210000}"/>
    <cellStyle name="Millares 2 6 3 6 2 3 2" xfId="24899" xr:uid="{00000000-0005-0000-0000-00007A210000}"/>
    <cellStyle name="Millares 2 6 3 6 2 3 2 2" xfId="52032" xr:uid="{00000000-0005-0000-0000-00007B210000}"/>
    <cellStyle name="Millares 2 6 3 6 2 3 3" xfId="38470" xr:uid="{00000000-0005-0000-0000-00007C210000}"/>
    <cellStyle name="Millares 2 6 3 6 2 4" xfId="18118" xr:uid="{00000000-0005-0000-0000-00007D210000}"/>
    <cellStyle name="Millares 2 6 3 6 2 4 2" xfId="45251" xr:uid="{00000000-0005-0000-0000-00007E210000}"/>
    <cellStyle name="Millares 2 6 3 6 2 5" xfId="31689" xr:uid="{00000000-0005-0000-0000-00007F210000}"/>
    <cellStyle name="Millares 2 6 3 6 3" xfId="7929" xr:uid="{00000000-0005-0000-0000-000080210000}"/>
    <cellStyle name="Millares 2 6 3 6 3 2" xfId="14719" xr:uid="{00000000-0005-0000-0000-000081210000}"/>
    <cellStyle name="Millares 2 6 3 6 3 2 2" xfId="28287" xr:uid="{00000000-0005-0000-0000-000082210000}"/>
    <cellStyle name="Millares 2 6 3 6 3 2 2 2" xfId="55420" xr:uid="{00000000-0005-0000-0000-000083210000}"/>
    <cellStyle name="Millares 2 6 3 6 3 2 3" xfId="41858" xr:uid="{00000000-0005-0000-0000-000084210000}"/>
    <cellStyle name="Millares 2 6 3 6 3 3" xfId="21506" xr:uid="{00000000-0005-0000-0000-000085210000}"/>
    <cellStyle name="Millares 2 6 3 6 3 3 2" xfId="48639" xr:uid="{00000000-0005-0000-0000-000086210000}"/>
    <cellStyle name="Millares 2 6 3 6 3 4" xfId="35077" xr:uid="{00000000-0005-0000-0000-000087210000}"/>
    <cellStyle name="Millares 2 6 3 6 4" xfId="11330" xr:uid="{00000000-0005-0000-0000-000088210000}"/>
    <cellStyle name="Millares 2 6 3 6 4 2" xfId="24898" xr:uid="{00000000-0005-0000-0000-000089210000}"/>
    <cellStyle name="Millares 2 6 3 6 4 2 2" xfId="52031" xr:uid="{00000000-0005-0000-0000-00008A210000}"/>
    <cellStyle name="Millares 2 6 3 6 4 3" xfId="38469" xr:uid="{00000000-0005-0000-0000-00008B210000}"/>
    <cellStyle name="Millares 2 6 3 6 5" xfId="18117" xr:uid="{00000000-0005-0000-0000-00008C210000}"/>
    <cellStyle name="Millares 2 6 3 6 5 2" xfId="45250" xr:uid="{00000000-0005-0000-0000-00008D210000}"/>
    <cellStyle name="Millares 2 6 3 6 6" xfId="31688" xr:uid="{00000000-0005-0000-0000-00008E210000}"/>
    <cellStyle name="Millares 2 6 3 7" xfId="4321" xr:uid="{00000000-0005-0000-0000-00008F210000}"/>
    <cellStyle name="Millares 2 6 3 7 2" xfId="7931" xr:uid="{00000000-0005-0000-0000-000090210000}"/>
    <cellStyle name="Millares 2 6 3 7 2 2" xfId="14721" xr:uid="{00000000-0005-0000-0000-000091210000}"/>
    <cellStyle name="Millares 2 6 3 7 2 2 2" xfId="28289" xr:uid="{00000000-0005-0000-0000-000092210000}"/>
    <cellStyle name="Millares 2 6 3 7 2 2 2 2" xfId="55422" xr:uid="{00000000-0005-0000-0000-000093210000}"/>
    <cellStyle name="Millares 2 6 3 7 2 2 3" xfId="41860" xr:uid="{00000000-0005-0000-0000-000094210000}"/>
    <cellStyle name="Millares 2 6 3 7 2 3" xfId="21508" xr:uid="{00000000-0005-0000-0000-000095210000}"/>
    <cellStyle name="Millares 2 6 3 7 2 3 2" xfId="48641" xr:uid="{00000000-0005-0000-0000-000096210000}"/>
    <cellStyle name="Millares 2 6 3 7 2 4" xfId="35079" xr:uid="{00000000-0005-0000-0000-000097210000}"/>
    <cellStyle name="Millares 2 6 3 7 3" xfId="11332" xr:uid="{00000000-0005-0000-0000-000098210000}"/>
    <cellStyle name="Millares 2 6 3 7 3 2" xfId="24900" xr:uid="{00000000-0005-0000-0000-000099210000}"/>
    <cellStyle name="Millares 2 6 3 7 3 2 2" xfId="52033" xr:uid="{00000000-0005-0000-0000-00009A210000}"/>
    <cellStyle name="Millares 2 6 3 7 3 3" xfId="38471" xr:uid="{00000000-0005-0000-0000-00009B210000}"/>
    <cellStyle name="Millares 2 6 3 7 4" xfId="18119" xr:uid="{00000000-0005-0000-0000-00009C210000}"/>
    <cellStyle name="Millares 2 6 3 7 4 2" xfId="45252" xr:uid="{00000000-0005-0000-0000-00009D210000}"/>
    <cellStyle name="Millares 2 6 3 7 5" xfId="31690" xr:uid="{00000000-0005-0000-0000-00009E210000}"/>
    <cellStyle name="Millares 2 6 3 8" xfId="4322" xr:uid="{00000000-0005-0000-0000-00009F210000}"/>
    <cellStyle name="Millares 2 6 3 8 2" xfId="7932" xr:uid="{00000000-0005-0000-0000-0000A0210000}"/>
    <cellStyle name="Millares 2 6 3 8 2 2" xfId="14722" xr:uid="{00000000-0005-0000-0000-0000A1210000}"/>
    <cellStyle name="Millares 2 6 3 8 2 2 2" xfId="28290" xr:uid="{00000000-0005-0000-0000-0000A2210000}"/>
    <cellStyle name="Millares 2 6 3 8 2 2 2 2" xfId="55423" xr:uid="{00000000-0005-0000-0000-0000A3210000}"/>
    <cellStyle name="Millares 2 6 3 8 2 2 3" xfId="41861" xr:uid="{00000000-0005-0000-0000-0000A4210000}"/>
    <cellStyle name="Millares 2 6 3 8 2 3" xfId="21509" xr:uid="{00000000-0005-0000-0000-0000A5210000}"/>
    <cellStyle name="Millares 2 6 3 8 2 3 2" xfId="48642" xr:uid="{00000000-0005-0000-0000-0000A6210000}"/>
    <cellStyle name="Millares 2 6 3 8 2 4" xfId="35080" xr:uid="{00000000-0005-0000-0000-0000A7210000}"/>
    <cellStyle name="Millares 2 6 3 8 3" xfId="11333" xr:uid="{00000000-0005-0000-0000-0000A8210000}"/>
    <cellStyle name="Millares 2 6 3 8 3 2" xfId="24901" xr:uid="{00000000-0005-0000-0000-0000A9210000}"/>
    <cellStyle name="Millares 2 6 3 8 3 2 2" xfId="52034" xr:uid="{00000000-0005-0000-0000-0000AA210000}"/>
    <cellStyle name="Millares 2 6 3 8 3 3" xfId="38472" xr:uid="{00000000-0005-0000-0000-0000AB210000}"/>
    <cellStyle name="Millares 2 6 3 8 4" xfId="18120" xr:uid="{00000000-0005-0000-0000-0000AC210000}"/>
    <cellStyle name="Millares 2 6 3 8 4 2" xfId="45253" xr:uid="{00000000-0005-0000-0000-0000AD210000}"/>
    <cellStyle name="Millares 2 6 3 8 5" xfId="31691" xr:uid="{00000000-0005-0000-0000-0000AE210000}"/>
    <cellStyle name="Millares 2 6 3 9" xfId="7895" xr:uid="{00000000-0005-0000-0000-0000AF210000}"/>
    <cellStyle name="Millares 2 6 3 9 2" xfId="14685" xr:uid="{00000000-0005-0000-0000-0000B0210000}"/>
    <cellStyle name="Millares 2 6 3 9 2 2" xfId="28253" xr:uid="{00000000-0005-0000-0000-0000B1210000}"/>
    <cellStyle name="Millares 2 6 3 9 2 2 2" xfId="55386" xr:uid="{00000000-0005-0000-0000-0000B2210000}"/>
    <cellStyle name="Millares 2 6 3 9 2 3" xfId="41824" xr:uid="{00000000-0005-0000-0000-0000B3210000}"/>
    <cellStyle name="Millares 2 6 3 9 3" xfId="21472" xr:uid="{00000000-0005-0000-0000-0000B4210000}"/>
    <cellStyle name="Millares 2 6 3 9 3 2" xfId="48605" xr:uid="{00000000-0005-0000-0000-0000B5210000}"/>
    <cellStyle name="Millares 2 6 3 9 4" xfId="35043" xr:uid="{00000000-0005-0000-0000-0000B6210000}"/>
    <cellStyle name="Millares 2 6 4" xfId="4323" xr:uid="{00000000-0005-0000-0000-0000B7210000}"/>
    <cellStyle name="Millares 2 6 4 10" xfId="31692" xr:uid="{00000000-0005-0000-0000-0000B8210000}"/>
    <cellStyle name="Millares 2 6 4 2" xfId="4324" xr:uid="{00000000-0005-0000-0000-0000B9210000}"/>
    <cellStyle name="Millares 2 6 4 2 2" xfId="4325" xr:uid="{00000000-0005-0000-0000-0000BA210000}"/>
    <cellStyle name="Millares 2 6 4 2 2 2" xfId="4326" xr:uid="{00000000-0005-0000-0000-0000BB210000}"/>
    <cellStyle name="Millares 2 6 4 2 2 2 2" xfId="7936" xr:uid="{00000000-0005-0000-0000-0000BC210000}"/>
    <cellStyle name="Millares 2 6 4 2 2 2 2 2" xfId="14726" xr:uid="{00000000-0005-0000-0000-0000BD210000}"/>
    <cellStyle name="Millares 2 6 4 2 2 2 2 2 2" xfId="28294" xr:uid="{00000000-0005-0000-0000-0000BE210000}"/>
    <cellStyle name="Millares 2 6 4 2 2 2 2 2 2 2" xfId="55427" xr:uid="{00000000-0005-0000-0000-0000BF210000}"/>
    <cellStyle name="Millares 2 6 4 2 2 2 2 2 3" xfId="41865" xr:uid="{00000000-0005-0000-0000-0000C0210000}"/>
    <cellStyle name="Millares 2 6 4 2 2 2 2 3" xfId="21513" xr:uid="{00000000-0005-0000-0000-0000C1210000}"/>
    <cellStyle name="Millares 2 6 4 2 2 2 2 3 2" xfId="48646" xr:uid="{00000000-0005-0000-0000-0000C2210000}"/>
    <cellStyle name="Millares 2 6 4 2 2 2 2 4" xfId="35084" xr:uid="{00000000-0005-0000-0000-0000C3210000}"/>
    <cellStyle name="Millares 2 6 4 2 2 2 3" xfId="11337" xr:uid="{00000000-0005-0000-0000-0000C4210000}"/>
    <cellStyle name="Millares 2 6 4 2 2 2 3 2" xfId="24905" xr:uid="{00000000-0005-0000-0000-0000C5210000}"/>
    <cellStyle name="Millares 2 6 4 2 2 2 3 2 2" xfId="52038" xr:uid="{00000000-0005-0000-0000-0000C6210000}"/>
    <cellStyle name="Millares 2 6 4 2 2 2 3 3" xfId="38476" xr:uid="{00000000-0005-0000-0000-0000C7210000}"/>
    <cellStyle name="Millares 2 6 4 2 2 2 4" xfId="18124" xr:uid="{00000000-0005-0000-0000-0000C8210000}"/>
    <cellStyle name="Millares 2 6 4 2 2 2 4 2" xfId="45257" xr:uid="{00000000-0005-0000-0000-0000C9210000}"/>
    <cellStyle name="Millares 2 6 4 2 2 2 5" xfId="31695" xr:uid="{00000000-0005-0000-0000-0000CA210000}"/>
    <cellStyle name="Millares 2 6 4 2 2 3" xfId="4327" xr:uid="{00000000-0005-0000-0000-0000CB210000}"/>
    <cellStyle name="Millares 2 6 4 2 2 3 2" xfId="7937" xr:uid="{00000000-0005-0000-0000-0000CC210000}"/>
    <cellStyle name="Millares 2 6 4 2 2 3 2 2" xfId="14727" xr:uid="{00000000-0005-0000-0000-0000CD210000}"/>
    <cellStyle name="Millares 2 6 4 2 2 3 2 2 2" xfId="28295" xr:uid="{00000000-0005-0000-0000-0000CE210000}"/>
    <cellStyle name="Millares 2 6 4 2 2 3 2 2 2 2" xfId="55428" xr:uid="{00000000-0005-0000-0000-0000CF210000}"/>
    <cellStyle name="Millares 2 6 4 2 2 3 2 2 3" xfId="41866" xr:uid="{00000000-0005-0000-0000-0000D0210000}"/>
    <cellStyle name="Millares 2 6 4 2 2 3 2 3" xfId="21514" xr:uid="{00000000-0005-0000-0000-0000D1210000}"/>
    <cellStyle name="Millares 2 6 4 2 2 3 2 3 2" xfId="48647" xr:uid="{00000000-0005-0000-0000-0000D2210000}"/>
    <cellStyle name="Millares 2 6 4 2 2 3 2 4" xfId="35085" xr:uid="{00000000-0005-0000-0000-0000D3210000}"/>
    <cellStyle name="Millares 2 6 4 2 2 3 3" xfId="11338" xr:uid="{00000000-0005-0000-0000-0000D4210000}"/>
    <cellStyle name="Millares 2 6 4 2 2 3 3 2" xfId="24906" xr:uid="{00000000-0005-0000-0000-0000D5210000}"/>
    <cellStyle name="Millares 2 6 4 2 2 3 3 2 2" xfId="52039" xr:uid="{00000000-0005-0000-0000-0000D6210000}"/>
    <cellStyle name="Millares 2 6 4 2 2 3 3 3" xfId="38477" xr:uid="{00000000-0005-0000-0000-0000D7210000}"/>
    <cellStyle name="Millares 2 6 4 2 2 3 4" xfId="18125" xr:uid="{00000000-0005-0000-0000-0000D8210000}"/>
    <cellStyle name="Millares 2 6 4 2 2 3 4 2" xfId="45258" xr:uid="{00000000-0005-0000-0000-0000D9210000}"/>
    <cellStyle name="Millares 2 6 4 2 2 3 5" xfId="31696" xr:uid="{00000000-0005-0000-0000-0000DA210000}"/>
    <cellStyle name="Millares 2 6 4 2 2 4" xfId="7935" xr:uid="{00000000-0005-0000-0000-0000DB210000}"/>
    <cellStyle name="Millares 2 6 4 2 2 4 2" xfId="14725" xr:uid="{00000000-0005-0000-0000-0000DC210000}"/>
    <cellStyle name="Millares 2 6 4 2 2 4 2 2" xfId="28293" xr:uid="{00000000-0005-0000-0000-0000DD210000}"/>
    <cellStyle name="Millares 2 6 4 2 2 4 2 2 2" xfId="55426" xr:uid="{00000000-0005-0000-0000-0000DE210000}"/>
    <cellStyle name="Millares 2 6 4 2 2 4 2 3" xfId="41864" xr:uid="{00000000-0005-0000-0000-0000DF210000}"/>
    <cellStyle name="Millares 2 6 4 2 2 4 3" xfId="21512" xr:uid="{00000000-0005-0000-0000-0000E0210000}"/>
    <cellStyle name="Millares 2 6 4 2 2 4 3 2" xfId="48645" xr:uid="{00000000-0005-0000-0000-0000E1210000}"/>
    <cellStyle name="Millares 2 6 4 2 2 4 4" xfId="35083" xr:uid="{00000000-0005-0000-0000-0000E2210000}"/>
    <cellStyle name="Millares 2 6 4 2 2 5" xfId="11336" xr:uid="{00000000-0005-0000-0000-0000E3210000}"/>
    <cellStyle name="Millares 2 6 4 2 2 5 2" xfId="24904" xr:uid="{00000000-0005-0000-0000-0000E4210000}"/>
    <cellStyle name="Millares 2 6 4 2 2 5 2 2" xfId="52037" xr:uid="{00000000-0005-0000-0000-0000E5210000}"/>
    <cellStyle name="Millares 2 6 4 2 2 5 3" xfId="38475" xr:uid="{00000000-0005-0000-0000-0000E6210000}"/>
    <cellStyle name="Millares 2 6 4 2 2 6" xfId="18123" xr:uid="{00000000-0005-0000-0000-0000E7210000}"/>
    <cellStyle name="Millares 2 6 4 2 2 6 2" xfId="45256" xr:uid="{00000000-0005-0000-0000-0000E8210000}"/>
    <cellStyle name="Millares 2 6 4 2 2 7" xfId="31694" xr:uid="{00000000-0005-0000-0000-0000E9210000}"/>
    <cellStyle name="Millares 2 6 4 2 3" xfId="4328" xr:uid="{00000000-0005-0000-0000-0000EA210000}"/>
    <cellStyle name="Millares 2 6 4 2 3 2" xfId="4329" xr:uid="{00000000-0005-0000-0000-0000EB210000}"/>
    <cellStyle name="Millares 2 6 4 2 3 2 2" xfId="7939" xr:uid="{00000000-0005-0000-0000-0000EC210000}"/>
    <cellStyle name="Millares 2 6 4 2 3 2 2 2" xfId="14729" xr:uid="{00000000-0005-0000-0000-0000ED210000}"/>
    <cellStyle name="Millares 2 6 4 2 3 2 2 2 2" xfId="28297" xr:uid="{00000000-0005-0000-0000-0000EE210000}"/>
    <cellStyle name="Millares 2 6 4 2 3 2 2 2 2 2" xfId="55430" xr:uid="{00000000-0005-0000-0000-0000EF210000}"/>
    <cellStyle name="Millares 2 6 4 2 3 2 2 2 3" xfId="41868" xr:uid="{00000000-0005-0000-0000-0000F0210000}"/>
    <cellStyle name="Millares 2 6 4 2 3 2 2 3" xfId="21516" xr:uid="{00000000-0005-0000-0000-0000F1210000}"/>
    <cellStyle name="Millares 2 6 4 2 3 2 2 3 2" xfId="48649" xr:uid="{00000000-0005-0000-0000-0000F2210000}"/>
    <cellStyle name="Millares 2 6 4 2 3 2 2 4" xfId="35087" xr:uid="{00000000-0005-0000-0000-0000F3210000}"/>
    <cellStyle name="Millares 2 6 4 2 3 2 3" xfId="11340" xr:uid="{00000000-0005-0000-0000-0000F4210000}"/>
    <cellStyle name="Millares 2 6 4 2 3 2 3 2" xfId="24908" xr:uid="{00000000-0005-0000-0000-0000F5210000}"/>
    <cellStyle name="Millares 2 6 4 2 3 2 3 2 2" xfId="52041" xr:uid="{00000000-0005-0000-0000-0000F6210000}"/>
    <cellStyle name="Millares 2 6 4 2 3 2 3 3" xfId="38479" xr:uid="{00000000-0005-0000-0000-0000F7210000}"/>
    <cellStyle name="Millares 2 6 4 2 3 2 4" xfId="18127" xr:uid="{00000000-0005-0000-0000-0000F8210000}"/>
    <cellStyle name="Millares 2 6 4 2 3 2 4 2" xfId="45260" xr:uid="{00000000-0005-0000-0000-0000F9210000}"/>
    <cellStyle name="Millares 2 6 4 2 3 2 5" xfId="31698" xr:uid="{00000000-0005-0000-0000-0000FA210000}"/>
    <cellStyle name="Millares 2 6 4 2 3 3" xfId="7938" xr:uid="{00000000-0005-0000-0000-0000FB210000}"/>
    <cellStyle name="Millares 2 6 4 2 3 3 2" xfId="14728" xr:uid="{00000000-0005-0000-0000-0000FC210000}"/>
    <cellStyle name="Millares 2 6 4 2 3 3 2 2" xfId="28296" xr:uid="{00000000-0005-0000-0000-0000FD210000}"/>
    <cellStyle name="Millares 2 6 4 2 3 3 2 2 2" xfId="55429" xr:uid="{00000000-0005-0000-0000-0000FE210000}"/>
    <cellStyle name="Millares 2 6 4 2 3 3 2 3" xfId="41867" xr:uid="{00000000-0005-0000-0000-0000FF210000}"/>
    <cellStyle name="Millares 2 6 4 2 3 3 3" xfId="21515" xr:uid="{00000000-0005-0000-0000-000000220000}"/>
    <cellStyle name="Millares 2 6 4 2 3 3 3 2" xfId="48648" xr:uid="{00000000-0005-0000-0000-000001220000}"/>
    <cellStyle name="Millares 2 6 4 2 3 3 4" xfId="35086" xr:uid="{00000000-0005-0000-0000-000002220000}"/>
    <cellStyle name="Millares 2 6 4 2 3 4" xfId="11339" xr:uid="{00000000-0005-0000-0000-000003220000}"/>
    <cellStyle name="Millares 2 6 4 2 3 4 2" xfId="24907" xr:uid="{00000000-0005-0000-0000-000004220000}"/>
    <cellStyle name="Millares 2 6 4 2 3 4 2 2" xfId="52040" xr:uid="{00000000-0005-0000-0000-000005220000}"/>
    <cellStyle name="Millares 2 6 4 2 3 4 3" xfId="38478" xr:uid="{00000000-0005-0000-0000-000006220000}"/>
    <cellStyle name="Millares 2 6 4 2 3 5" xfId="18126" xr:uid="{00000000-0005-0000-0000-000007220000}"/>
    <cellStyle name="Millares 2 6 4 2 3 5 2" xfId="45259" xr:uid="{00000000-0005-0000-0000-000008220000}"/>
    <cellStyle name="Millares 2 6 4 2 3 6" xfId="31697" xr:uid="{00000000-0005-0000-0000-000009220000}"/>
    <cellStyle name="Millares 2 6 4 2 4" xfId="4330" xr:uid="{00000000-0005-0000-0000-00000A220000}"/>
    <cellStyle name="Millares 2 6 4 2 4 2" xfId="7940" xr:uid="{00000000-0005-0000-0000-00000B220000}"/>
    <cellStyle name="Millares 2 6 4 2 4 2 2" xfId="14730" xr:uid="{00000000-0005-0000-0000-00000C220000}"/>
    <cellStyle name="Millares 2 6 4 2 4 2 2 2" xfId="28298" xr:uid="{00000000-0005-0000-0000-00000D220000}"/>
    <cellStyle name="Millares 2 6 4 2 4 2 2 2 2" xfId="55431" xr:uid="{00000000-0005-0000-0000-00000E220000}"/>
    <cellStyle name="Millares 2 6 4 2 4 2 2 3" xfId="41869" xr:uid="{00000000-0005-0000-0000-00000F220000}"/>
    <cellStyle name="Millares 2 6 4 2 4 2 3" xfId="21517" xr:uid="{00000000-0005-0000-0000-000010220000}"/>
    <cellStyle name="Millares 2 6 4 2 4 2 3 2" xfId="48650" xr:uid="{00000000-0005-0000-0000-000011220000}"/>
    <cellStyle name="Millares 2 6 4 2 4 2 4" xfId="35088" xr:uid="{00000000-0005-0000-0000-000012220000}"/>
    <cellStyle name="Millares 2 6 4 2 4 3" xfId="11341" xr:uid="{00000000-0005-0000-0000-000013220000}"/>
    <cellStyle name="Millares 2 6 4 2 4 3 2" xfId="24909" xr:uid="{00000000-0005-0000-0000-000014220000}"/>
    <cellStyle name="Millares 2 6 4 2 4 3 2 2" xfId="52042" xr:uid="{00000000-0005-0000-0000-000015220000}"/>
    <cellStyle name="Millares 2 6 4 2 4 3 3" xfId="38480" xr:uid="{00000000-0005-0000-0000-000016220000}"/>
    <cellStyle name="Millares 2 6 4 2 4 4" xfId="18128" xr:uid="{00000000-0005-0000-0000-000017220000}"/>
    <cellStyle name="Millares 2 6 4 2 4 4 2" xfId="45261" xr:uid="{00000000-0005-0000-0000-000018220000}"/>
    <cellStyle name="Millares 2 6 4 2 4 5" xfId="31699" xr:uid="{00000000-0005-0000-0000-000019220000}"/>
    <cellStyle name="Millares 2 6 4 2 5" xfId="4331" xr:uid="{00000000-0005-0000-0000-00001A220000}"/>
    <cellStyle name="Millares 2 6 4 2 5 2" xfId="7941" xr:uid="{00000000-0005-0000-0000-00001B220000}"/>
    <cellStyle name="Millares 2 6 4 2 5 2 2" xfId="14731" xr:uid="{00000000-0005-0000-0000-00001C220000}"/>
    <cellStyle name="Millares 2 6 4 2 5 2 2 2" xfId="28299" xr:uid="{00000000-0005-0000-0000-00001D220000}"/>
    <cellStyle name="Millares 2 6 4 2 5 2 2 2 2" xfId="55432" xr:uid="{00000000-0005-0000-0000-00001E220000}"/>
    <cellStyle name="Millares 2 6 4 2 5 2 2 3" xfId="41870" xr:uid="{00000000-0005-0000-0000-00001F220000}"/>
    <cellStyle name="Millares 2 6 4 2 5 2 3" xfId="21518" xr:uid="{00000000-0005-0000-0000-000020220000}"/>
    <cellStyle name="Millares 2 6 4 2 5 2 3 2" xfId="48651" xr:uid="{00000000-0005-0000-0000-000021220000}"/>
    <cellStyle name="Millares 2 6 4 2 5 2 4" xfId="35089" xr:uid="{00000000-0005-0000-0000-000022220000}"/>
    <cellStyle name="Millares 2 6 4 2 5 3" xfId="11342" xr:uid="{00000000-0005-0000-0000-000023220000}"/>
    <cellStyle name="Millares 2 6 4 2 5 3 2" xfId="24910" xr:uid="{00000000-0005-0000-0000-000024220000}"/>
    <cellStyle name="Millares 2 6 4 2 5 3 2 2" xfId="52043" xr:uid="{00000000-0005-0000-0000-000025220000}"/>
    <cellStyle name="Millares 2 6 4 2 5 3 3" xfId="38481" xr:uid="{00000000-0005-0000-0000-000026220000}"/>
    <cellStyle name="Millares 2 6 4 2 5 4" xfId="18129" xr:uid="{00000000-0005-0000-0000-000027220000}"/>
    <cellStyle name="Millares 2 6 4 2 5 4 2" xfId="45262" xr:uid="{00000000-0005-0000-0000-000028220000}"/>
    <cellStyle name="Millares 2 6 4 2 5 5" xfId="31700" xr:uid="{00000000-0005-0000-0000-000029220000}"/>
    <cellStyle name="Millares 2 6 4 2 6" xfId="7934" xr:uid="{00000000-0005-0000-0000-00002A220000}"/>
    <cellStyle name="Millares 2 6 4 2 6 2" xfId="14724" xr:uid="{00000000-0005-0000-0000-00002B220000}"/>
    <cellStyle name="Millares 2 6 4 2 6 2 2" xfId="28292" xr:uid="{00000000-0005-0000-0000-00002C220000}"/>
    <cellStyle name="Millares 2 6 4 2 6 2 2 2" xfId="55425" xr:uid="{00000000-0005-0000-0000-00002D220000}"/>
    <cellStyle name="Millares 2 6 4 2 6 2 3" xfId="41863" xr:uid="{00000000-0005-0000-0000-00002E220000}"/>
    <cellStyle name="Millares 2 6 4 2 6 3" xfId="21511" xr:uid="{00000000-0005-0000-0000-00002F220000}"/>
    <cellStyle name="Millares 2 6 4 2 6 3 2" xfId="48644" xr:uid="{00000000-0005-0000-0000-000030220000}"/>
    <cellStyle name="Millares 2 6 4 2 6 4" xfId="35082" xr:uid="{00000000-0005-0000-0000-000031220000}"/>
    <cellStyle name="Millares 2 6 4 2 7" xfId="11335" xr:uid="{00000000-0005-0000-0000-000032220000}"/>
    <cellStyle name="Millares 2 6 4 2 7 2" xfId="24903" xr:uid="{00000000-0005-0000-0000-000033220000}"/>
    <cellStyle name="Millares 2 6 4 2 7 2 2" xfId="52036" xr:uid="{00000000-0005-0000-0000-000034220000}"/>
    <cellStyle name="Millares 2 6 4 2 7 3" xfId="38474" xr:uid="{00000000-0005-0000-0000-000035220000}"/>
    <cellStyle name="Millares 2 6 4 2 8" xfId="18122" xr:uid="{00000000-0005-0000-0000-000036220000}"/>
    <cellStyle name="Millares 2 6 4 2 8 2" xfId="45255" xr:uid="{00000000-0005-0000-0000-000037220000}"/>
    <cellStyle name="Millares 2 6 4 2 9" xfId="31693" xr:uid="{00000000-0005-0000-0000-000038220000}"/>
    <cellStyle name="Millares 2 6 4 3" xfId="4332" xr:uid="{00000000-0005-0000-0000-000039220000}"/>
    <cellStyle name="Millares 2 6 4 3 2" xfId="4333" xr:uid="{00000000-0005-0000-0000-00003A220000}"/>
    <cellStyle name="Millares 2 6 4 3 2 2" xfId="7943" xr:uid="{00000000-0005-0000-0000-00003B220000}"/>
    <cellStyle name="Millares 2 6 4 3 2 2 2" xfId="14733" xr:uid="{00000000-0005-0000-0000-00003C220000}"/>
    <cellStyle name="Millares 2 6 4 3 2 2 2 2" xfId="28301" xr:uid="{00000000-0005-0000-0000-00003D220000}"/>
    <cellStyle name="Millares 2 6 4 3 2 2 2 2 2" xfId="55434" xr:uid="{00000000-0005-0000-0000-00003E220000}"/>
    <cellStyle name="Millares 2 6 4 3 2 2 2 3" xfId="41872" xr:uid="{00000000-0005-0000-0000-00003F220000}"/>
    <cellStyle name="Millares 2 6 4 3 2 2 3" xfId="21520" xr:uid="{00000000-0005-0000-0000-000040220000}"/>
    <cellStyle name="Millares 2 6 4 3 2 2 3 2" xfId="48653" xr:uid="{00000000-0005-0000-0000-000041220000}"/>
    <cellStyle name="Millares 2 6 4 3 2 2 4" xfId="35091" xr:uid="{00000000-0005-0000-0000-000042220000}"/>
    <cellStyle name="Millares 2 6 4 3 2 3" xfId="11344" xr:uid="{00000000-0005-0000-0000-000043220000}"/>
    <cellStyle name="Millares 2 6 4 3 2 3 2" xfId="24912" xr:uid="{00000000-0005-0000-0000-000044220000}"/>
    <cellStyle name="Millares 2 6 4 3 2 3 2 2" xfId="52045" xr:uid="{00000000-0005-0000-0000-000045220000}"/>
    <cellStyle name="Millares 2 6 4 3 2 3 3" xfId="38483" xr:uid="{00000000-0005-0000-0000-000046220000}"/>
    <cellStyle name="Millares 2 6 4 3 2 4" xfId="18131" xr:uid="{00000000-0005-0000-0000-000047220000}"/>
    <cellStyle name="Millares 2 6 4 3 2 4 2" xfId="45264" xr:uid="{00000000-0005-0000-0000-000048220000}"/>
    <cellStyle name="Millares 2 6 4 3 2 5" xfId="31702" xr:uid="{00000000-0005-0000-0000-000049220000}"/>
    <cellStyle name="Millares 2 6 4 3 3" xfId="4334" xr:uid="{00000000-0005-0000-0000-00004A220000}"/>
    <cellStyle name="Millares 2 6 4 3 3 2" xfId="7944" xr:uid="{00000000-0005-0000-0000-00004B220000}"/>
    <cellStyle name="Millares 2 6 4 3 3 2 2" xfId="14734" xr:uid="{00000000-0005-0000-0000-00004C220000}"/>
    <cellStyle name="Millares 2 6 4 3 3 2 2 2" xfId="28302" xr:uid="{00000000-0005-0000-0000-00004D220000}"/>
    <cellStyle name="Millares 2 6 4 3 3 2 2 2 2" xfId="55435" xr:uid="{00000000-0005-0000-0000-00004E220000}"/>
    <cellStyle name="Millares 2 6 4 3 3 2 2 3" xfId="41873" xr:uid="{00000000-0005-0000-0000-00004F220000}"/>
    <cellStyle name="Millares 2 6 4 3 3 2 3" xfId="21521" xr:uid="{00000000-0005-0000-0000-000050220000}"/>
    <cellStyle name="Millares 2 6 4 3 3 2 3 2" xfId="48654" xr:uid="{00000000-0005-0000-0000-000051220000}"/>
    <cellStyle name="Millares 2 6 4 3 3 2 4" xfId="35092" xr:uid="{00000000-0005-0000-0000-000052220000}"/>
    <cellStyle name="Millares 2 6 4 3 3 3" xfId="11345" xr:uid="{00000000-0005-0000-0000-000053220000}"/>
    <cellStyle name="Millares 2 6 4 3 3 3 2" xfId="24913" xr:uid="{00000000-0005-0000-0000-000054220000}"/>
    <cellStyle name="Millares 2 6 4 3 3 3 2 2" xfId="52046" xr:uid="{00000000-0005-0000-0000-000055220000}"/>
    <cellStyle name="Millares 2 6 4 3 3 3 3" xfId="38484" xr:uid="{00000000-0005-0000-0000-000056220000}"/>
    <cellStyle name="Millares 2 6 4 3 3 4" xfId="18132" xr:uid="{00000000-0005-0000-0000-000057220000}"/>
    <cellStyle name="Millares 2 6 4 3 3 4 2" xfId="45265" xr:uid="{00000000-0005-0000-0000-000058220000}"/>
    <cellStyle name="Millares 2 6 4 3 3 5" xfId="31703" xr:uid="{00000000-0005-0000-0000-000059220000}"/>
    <cellStyle name="Millares 2 6 4 3 4" xfId="7942" xr:uid="{00000000-0005-0000-0000-00005A220000}"/>
    <cellStyle name="Millares 2 6 4 3 4 2" xfId="14732" xr:uid="{00000000-0005-0000-0000-00005B220000}"/>
    <cellStyle name="Millares 2 6 4 3 4 2 2" xfId="28300" xr:uid="{00000000-0005-0000-0000-00005C220000}"/>
    <cellStyle name="Millares 2 6 4 3 4 2 2 2" xfId="55433" xr:uid="{00000000-0005-0000-0000-00005D220000}"/>
    <cellStyle name="Millares 2 6 4 3 4 2 3" xfId="41871" xr:uid="{00000000-0005-0000-0000-00005E220000}"/>
    <cellStyle name="Millares 2 6 4 3 4 3" xfId="21519" xr:uid="{00000000-0005-0000-0000-00005F220000}"/>
    <cellStyle name="Millares 2 6 4 3 4 3 2" xfId="48652" xr:uid="{00000000-0005-0000-0000-000060220000}"/>
    <cellStyle name="Millares 2 6 4 3 4 4" xfId="35090" xr:uid="{00000000-0005-0000-0000-000061220000}"/>
    <cellStyle name="Millares 2 6 4 3 5" xfId="11343" xr:uid="{00000000-0005-0000-0000-000062220000}"/>
    <cellStyle name="Millares 2 6 4 3 5 2" xfId="24911" xr:uid="{00000000-0005-0000-0000-000063220000}"/>
    <cellStyle name="Millares 2 6 4 3 5 2 2" xfId="52044" xr:uid="{00000000-0005-0000-0000-000064220000}"/>
    <cellStyle name="Millares 2 6 4 3 5 3" xfId="38482" xr:uid="{00000000-0005-0000-0000-000065220000}"/>
    <cellStyle name="Millares 2 6 4 3 6" xfId="18130" xr:uid="{00000000-0005-0000-0000-000066220000}"/>
    <cellStyle name="Millares 2 6 4 3 6 2" xfId="45263" xr:uid="{00000000-0005-0000-0000-000067220000}"/>
    <cellStyle name="Millares 2 6 4 3 7" xfId="31701" xr:uid="{00000000-0005-0000-0000-000068220000}"/>
    <cellStyle name="Millares 2 6 4 4" xfId="4335" xr:uid="{00000000-0005-0000-0000-000069220000}"/>
    <cellStyle name="Millares 2 6 4 4 2" xfId="4336" xr:uid="{00000000-0005-0000-0000-00006A220000}"/>
    <cellStyle name="Millares 2 6 4 4 2 2" xfId="7946" xr:uid="{00000000-0005-0000-0000-00006B220000}"/>
    <cellStyle name="Millares 2 6 4 4 2 2 2" xfId="14736" xr:uid="{00000000-0005-0000-0000-00006C220000}"/>
    <cellStyle name="Millares 2 6 4 4 2 2 2 2" xfId="28304" xr:uid="{00000000-0005-0000-0000-00006D220000}"/>
    <cellStyle name="Millares 2 6 4 4 2 2 2 2 2" xfId="55437" xr:uid="{00000000-0005-0000-0000-00006E220000}"/>
    <cellStyle name="Millares 2 6 4 4 2 2 2 3" xfId="41875" xr:uid="{00000000-0005-0000-0000-00006F220000}"/>
    <cellStyle name="Millares 2 6 4 4 2 2 3" xfId="21523" xr:uid="{00000000-0005-0000-0000-000070220000}"/>
    <cellStyle name="Millares 2 6 4 4 2 2 3 2" xfId="48656" xr:uid="{00000000-0005-0000-0000-000071220000}"/>
    <cellStyle name="Millares 2 6 4 4 2 2 4" xfId="35094" xr:uid="{00000000-0005-0000-0000-000072220000}"/>
    <cellStyle name="Millares 2 6 4 4 2 3" xfId="11347" xr:uid="{00000000-0005-0000-0000-000073220000}"/>
    <cellStyle name="Millares 2 6 4 4 2 3 2" xfId="24915" xr:uid="{00000000-0005-0000-0000-000074220000}"/>
    <cellStyle name="Millares 2 6 4 4 2 3 2 2" xfId="52048" xr:uid="{00000000-0005-0000-0000-000075220000}"/>
    <cellStyle name="Millares 2 6 4 4 2 3 3" xfId="38486" xr:uid="{00000000-0005-0000-0000-000076220000}"/>
    <cellStyle name="Millares 2 6 4 4 2 4" xfId="18134" xr:uid="{00000000-0005-0000-0000-000077220000}"/>
    <cellStyle name="Millares 2 6 4 4 2 4 2" xfId="45267" xr:uid="{00000000-0005-0000-0000-000078220000}"/>
    <cellStyle name="Millares 2 6 4 4 2 5" xfId="31705" xr:uid="{00000000-0005-0000-0000-000079220000}"/>
    <cellStyle name="Millares 2 6 4 4 3" xfId="7945" xr:uid="{00000000-0005-0000-0000-00007A220000}"/>
    <cellStyle name="Millares 2 6 4 4 3 2" xfId="14735" xr:uid="{00000000-0005-0000-0000-00007B220000}"/>
    <cellStyle name="Millares 2 6 4 4 3 2 2" xfId="28303" xr:uid="{00000000-0005-0000-0000-00007C220000}"/>
    <cellStyle name="Millares 2 6 4 4 3 2 2 2" xfId="55436" xr:uid="{00000000-0005-0000-0000-00007D220000}"/>
    <cellStyle name="Millares 2 6 4 4 3 2 3" xfId="41874" xr:uid="{00000000-0005-0000-0000-00007E220000}"/>
    <cellStyle name="Millares 2 6 4 4 3 3" xfId="21522" xr:uid="{00000000-0005-0000-0000-00007F220000}"/>
    <cellStyle name="Millares 2 6 4 4 3 3 2" xfId="48655" xr:uid="{00000000-0005-0000-0000-000080220000}"/>
    <cellStyle name="Millares 2 6 4 4 3 4" xfId="35093" xr:uid="{00000000-0005-0000-0000-000081220000}"/>
    <cellStyle name="Millares 2 6 4 4 4" xfId="11346" xr:uid="{00000000-0005-0000-0000-000082220000}"/>
    <cellStyle name="Millares 2 6 4 4 4 2" xfId="24914" xr:uid="{00000000-0005-0000-0000-000083220000}"/>
    <cellStyle name="Millares 2 6 4 4 4 2 2" xfId="52047" xr:uid="{00000000-0005-0000-0000-000084220000}"/>
    <cellStyle name="Millares 2 6 4 4 4 3" xfId="38485" xr:uid="{00000000-0005-0000-0000-000085220000}"/>
    <cellStyle name="Millares 2 6 4 4 5" xfId="18133" xr:uid="{00000000-0005-0000-0000-000086220000}"/>
    <cellStyle name="Millares 2 6 4 4 5 2" xfId="45266" xr:uid="{00000000-0005-0000-0000-000087220000}"/>
    <cellStyle name="Millares 2 6 4 4 6" xfId="31704" xr:uid="{00000000-0005-0000-0000-000088220000}"/>
    <cellStyle name="Millares 2 6 4 5" xfId="4337" xr:uid="{00000000-0005-0000-0000-000089220000}"/>
    <cellStyle name="Millares 2 6 4 5 2" xfId="7947" xr:uid="{00000000-0005-0000-0000-00008A220000}"/>
    <cellStyle name="Millares 2 6 4 5 2 2" xfId="14737" xr:uid="{00000000-0005-0000-0000-00008B220000}"/>
    <cellStyle name="Millares 2 6 4 5 2 2 2" xfId="28305" xr:uid="{00000000-0005-0000-0000-00008C220000}"/>
    <cellStyle name="Millares 2 6 4 5 2 2 2 2" xfId="55438" xr:uid="{00000000-0005-0000-0000-00008D220000}"/>
    <cellStyle name="Millares 2 6 4 5 2 2 3" xfId="41876" xr:uid="{00000000-0005-0000-0000-00008E220000}"/>
    <cellStyle name="Millares 2 6 4 5 2 3" xfId="21524" xr:uid="{00000000-0005-0000-0000-00008F220000}"/>
    <cellStyle name="Millares 2 6 4 5 2 3 2" xfId="48657" xr:uid="{00000000-0005-0000-0000-000090220000}"/>
    <cellStyle name="Millares 2 6 4 5 2 4" xfId="35095" xr:uid="{00000000-0005-0000-0000-000091220000}"/>
    <cellStyle name="Millares 2 6 4 5 3" xfId="11348" xr:uid="{00000000-0005-0000-0000-000092220000}"/>
    <cellStyle name="Millares 2 6 4 5 3 2" xfId="24916" xr:uid="{00000000-0005-0000-0000-000093220000}"/>
    <cellStyle name="Millares 2 6 4 5 3 2 2" xfId="52049" xr:uid="{00000000-0005-0000-0000-000094220000}"/>
    <cellStyle name="Millares 2 6 4 5 3 3" xfId="38487" xr:uid="{00000000-0005-0000-0000-000095220000}"/>
    <cellStyle name="Millares 2 6 4 5 4" xfId="18135" xr:uid="{00000000-0005-0000-0000-000096220000}"/>
    <cellStyle name="Millares 2 6 4 5 4 2" xfId="45268" xr:uid="{00000000-0005-0000-0000-000097220000}"/>
    <cellStyle name="Millares 2 6 4 5 5" xfId="31706" xr:uid="{00000000-0005-0000-0000-000098220000}"/>
    <cellStyle name="Millares 2 6 4 6" xfId="4338" xr:uid="{00000000-0005-0000-0000-000099220000}"/>
    <cellStyle name="Millares 2 6 4 6 2" xfId="7948" xr:uid="{00000000-0005-0000-0000-00009A220000}"/>
    <cellStyle name="Millares 2 6 4 6 2 2" xfId="14738" xr:uid="{00000000-0005-0000-0000-00009B220000}"/>
    <cellStyle name="Millares 2 6 4 6 2 2 2" xfId="28306" xr:uid="{00000000-0005-0000-0000-00009C220000}"/>
    <cellStyle name="Millares 2 6 4 6 2 2 2 2" xfId="55439" xr:uid="{00000000-0005-0000-0000-00009D220000}"/>
    <cellStyle name="Millares 2 6 4 6 2 2 3" xfId="41877" xr:uid="{00000000-0005-0000-0000-00009E220000}"/>
    <cellStyle name="Millares 2 6 4 6 2 3" xfId="21525" xr:uid="{00000000-0005-0000-0000-00009F220000}"/>
    <cellStyle name="Millares 2 6 4 6 2 3 2" xfId="48658" xr:uid="{00000000-0005-0000-0000-0000A0220000}"/>
    <cellStyle name="Millares 2 6 4 6 2 4" xfId="35096" xr:uid="{00000000-0005-0000-0000-0000A1220000}"/>
    <cellStyle name="Millares 2 6 4 6 3" xfId="11349" xr:uid="{00000000-0005-0000-0000-0000A2220000}"/>
    <cellStyle name="Millares 2 6 4 6 3 2" xfId="24917" xr:uid="{00000000-0005-0000-0000-0000A3220000}"/>
    <cellStyle name="Millares 2 6 4 6 3 2 2" xfId="52050" xr:uid="{00000000-0005-0000-0000-0000A4220000}"/>
    <cellStyle name="Millares 2 6 4 6 3 3" xfId="38488" xr:uid="{00000000-0005-0000-0000-0000A5220000}"/>
    <cellStyle name="Millares 2 6 4 6 4" xfId="18136" xr:uid="{00000000-0005-0000-0000-0000A6220000}"/>
    <cellStyle name="Millares 2 6 4 6 4 2" xfId="45269" xr:uid="{00000000-0005-0000-0000-0000A7220000}"/>
    <cellStyle name="Millares 2 6 4 6 5" xfId="31707" xr:uid="{00000000-0005-0000-0000-0000A8220000}"/>
    <cellStyle name="Millares 2 6 4 7" xfId="7933" xr:uid="{00000000-0005-0000-0000-0000A9220000}"/>
    <cellStyle name="Millares 2 6 4 7 2" xfId="14723" xr:uid="{00000000-0005-0000-0000-0000AA220000}"/>
    <cellStyle name="Millares 2 6 4 7 2 2" xfId="28291" xr:uid="{00000000-0005-0000-0000-0000AB220000}"/>
    <cellStyle name="Millares 2 6 4 7 2 2 2" xfId="55424" xr:uid="{00000000-0005-0000-0000-0000AC220000}"/>
    <cellStyle name="Millares 2 6 4 7 2 3" xfId="41862" xr:uid="{00000000-0005-0000-0000-0000AD220000}"/>
    <cellStyle name="Millares 2 6 4 7 3" xfId="21510" xr:uid="{00000000-0005-0000-0000-0000AE220000}"/>
    <cellStyle name="Millares 2 6 4 7 3 2" xfId="48643" xr:uid="{00000000-0005-0000-0000-0000AF220000}"/>
    <cellStyle name="Millares 2 6 4 7 4" xfId="35081" xr:uid="{00000000-0005-0000-0000-0000B0220000}"/>
    <cellStyle name="Millares 2 6 4 8" xfId="11334" xr:uid="{00000000-0005-0000-0000-0000B1220000}"/>
    <cellStyle name="Millares 2 6 4 8 2" xfId="24902" xr:uid="{00000000-0005-0000-0000-0000B2220000}"/>
    <cellStyle name="Millares 2 6 4 8 2 2" xfId="52035" xr:uid="{00000000-0005-0000-0000-0000B3220000}"/>
    <cellStyle name="Millares 2 6 4 8 3" xfId="38473" xr:uid="{00000000-0005-0000-0000-0000B4220000}"/>
    <cellStyle name="Millares 2 6 4 9" xfId="18121" xr:uid="{00000000-0005-0000-0000-0000B5220000}"/>
    <cellStyle name="Millares 2 6 4 9 2" xfId="45254" xr:uid="{00000000-0005-0000-0000-0000B6220000}"/>
    <cellStyle name="Millares 2 6 5" xfId="4339" xr:uid="{00000000-0005-0000-0000-0000B7220000}"/>
    <cellStyle name="Millares 2 6 5 2" xfId="4340" xr:uid="{00000000-0005-0000-0000-0000B8220000}"/>
    <cellStyle name="Millares 2 6 5 2 2" xfId="4341" xr:uid="{00000000-0005-0000-0000-0000B9220000}"/>
    <cellStyle name="Millares 2 6 5 2 2 2" xfId="7951" xr:uid="{00000000-0005-0000-0000-0000BA220000}"/>
    <cellStyle name="Millares 2 6 5 2 2 2 2" xfId="14741" xr:uid="{00000000-0005-0000-0000-0000BB220000}"/>
    <cellStyle name="Millares 2 6 5 2 2 2 2 2" xfId="28309" xr:uid="{00000000-0005-0000-0000-0000BC220000}"/>
    <cellStyle name="Millares 2 6 5 2 2 2 2 2 2" xfId="55442" xr:uid="{00000000-0005-0000-0000-0000BD220000}"/>
    <cellStyle name="Millares 2 6 5 2 2 2 2 3" xfId="41880" xr:uid="{00000000-0005-0000-0000-0000BE220000}"/>
    <cellStyle name="Millares 2 6 5 2 2 2 3" xfId="21528" xr:uid="{00000000-0005-0000-0000-0000BF220000}"/>
    <cellStyle name="Millares 2 6 5 2 2 2 3 2" xfId="48661" xr:uid="{00000000-0005-0000-0000-0000C0220000}"/>
    <cellStyle name="Millares 2 6 5 2 2 2 4" xfId="35099" xr:uid="{00000000-0005-0000-0000-0000C1220000}"/>
    <cellStyle name="Millares 2 6 5 2 2 3" xfId="11352" xr:uid="{00000000-0005-0000-0000-0000C2220000}"/>
    <cellStyle name="Millares 2 6 5 2 2 3 2" xfId="24920" xr:uid="{00000000-0005-0000-0000-0000C3220000}"/>
    <cellStyle name="Millares 2 6 5 2 2 3 2 2" xfId="52053" xr:uid="{00000000-0005-0000-0000-0000C4220000}"/>
    <cellStyle name="Millares 2 6 5 2 2 3 3" xfId="38491" xr:uid="{00000000-0005-0000-0000-0000C5220000}"/>
    <cellStyle name="Millares 2 6 5 2 2 4" xfId="18139" xr:uid="{00000000-0005-0000-0000-0000C6220000}"/>
    <cellStyle name="Millares 2 6 5 2 2 4 2" xfId="45272" xr:uid="{00000000-0005-0000-0000-0000C7220000}"/>
    <cellStyle name="Millares 2 6 5 2 2 5" xfId="31710" xr:uid="{00000000-0005-0000-0000-0000C8220000}"/>
    <cellStyle name="Millares 2 6 5 2 3" xfId="4342" xr:uid="{00000000-0005-0000-0000-0000C9220000}"/>
    <cellStyle name="Millares 2 6 5 2 3 2" xfId="7952" xr:uid="{00000000-0005-0000-0000-0000CA220000}"/>
    <cellStyle name="Millares 2 6 5 2 3 2 2" xfId="14742" xr:uid="{00000000-0005-0000-0000-0000CB220000}"/>
    <cellStyle name="Millares 2 6 5 2 3 2 2 2" xfId="28310" xr:uid="{00000000-0005-0000-0000-0000CC220000}"/>
    <cellStyle name="Millares 2 6 5 2 3 2 2 2 2" xfId="55443" xr:uid="{00000000-0005-0000-0000-0000CD220000}"/>
    <cellStyle name="Millares 2 6 5 2 3 2 2 3" xfId="41881" xr:uid="{00000000-0005-0000-0000-0000CE220000}"/>
    <cellStyle name="Millares 2 6 5 2 3 2 3" xfId="21529" xr:uid="{00000000-0005-0000-0000-0000CF220000}"/>
    <cellStyle name="Millares 2 6 5 2 3 2 3 2" xfId="48662" xr:uid="{00000000-0005-0000-0000-0000D0220000}"/>
    <cellStyle name="Millares 2 6 5 2 3 2 4" xfId="35100" xr:uid="{00000000-0005-0000-0000-0000D1220000}"/>
    <cellStyle name="Millares 2 6 5 2 3 3" xfId="11353" xr:uid="{00000000-0005-0000-0000-0000D2220000}"/>
    <cellStyle name="Millares 2 6 5 2 3 3 2" xfId="24921" xr:uid="{00000000-0005-0000-0000-0000D3220000}"/>
    <cellStyle name="Millares 2 6 5 2 3 3 2 2" xfId="52054" xr:uid="{00000000-0005-0000-0000-0000D4220000}"/>
    <cellStyle name="Millares 2 6 5 2 3 3 3" xfId="38492" xr:uid="{00000000-0005-0000-0000-0000D5220000}"/>
    <cellStyle name="Millares 2 6 5 2 3 4" xfId="18140" xr:uid="{00000000-0005-0000-0000-0000D6220000}"/>
    <cellStyle name="Millares 2 6 5 2 3 4 2" xfId="45273" xr:uid="{00000000-0005-0000-0000-0000D7220000}"/>
    <cellStyle name="Millares 2 6 5 2 3 5" xfId="31711" xr:uid="{00000000-0005-0000-0000-0000D8220000}"/>
    <cellStyle name="Millares 2 6 5 2 4" xfId="7950" xr:uid="{00000000-0005-0000-0000-0000D9220000}"/>
    <cellStyle name="Millares 2 6 5 2 4 2" xfId="14740" xr:uid="{00000000-0005-0000-0000-0000DA220000}"/>
    <cellStyle name="Millares 2 6 5 2 4 2 2" xfId="28308" xr:uid="{00000000-0005-0000-0000-0000DB220000}"/>
    <cellStyle name="Millares 2 6 5 2 4 2 2 2" xfId="55441" xr:uid="{00000000-0005-0000-0000-0000DC220000}"/>
    <cellStyle name="Millares 2 6 5 2 4 2 3" xfId="41879" xr:uid="{00000000-0005-0000-0000-0000DD220000}"/>
    <cellStyle name="Millares 2 6 5 2 4 3" xfId="21527" xr:uid="{00000000-0005-0000-0000-0000DE220000}"/>
    <cellStyle name="Millares 2 6 5 2 4 3 2" xfId="48660" xr:uid="{00000000-0005-0000-0000-0000DF220000}"/>
    <cellStyle name="Millares 2 6 5 2 4 4" xfId="35098" xr:uid="{00000000-0005-0000-0000-0000E0220000}"/>
    <cellStyle name="Millares 2 6 5 2 5" xfId="11351" xr:uid="{00000000-0005-0000-0000-0000E1220000}"/>
    <cellStyle name="Millares 2 6 5 2 5 2" xfId="24919" xr:uid="{00000000-0005-0000-0000-0000E2220000}"/>
    <cellStyle name="Millares 2 6 5 2 5 2 2" xfId="52052" xr:uid="{00000000-0005-0000-0000-0000E3220000}"/>
    <cellStyle name="Millares 2 6 5 2 5 3" xfId="38490" xr:uid="{00000000-0005-0000-0000-0000E4220000}"/>
    <cellStyle name="Millares 2 6 5 2 6" xfId="18138" xr:uid="{00000000-0005-0000-0000-0000E5220000}"/>
    <cellStyle name="Millares 2 6 5 2 6 2" xfId="45271" xr:uid="{00000000-0005-0000-0000-0000E6220000}"/>
    <cellStyle name="Millares 2 6 5 2 7" xfId="31709" xr:uid="{00000000-0005-0000-0000-0000E7220000}"/>
    <cellStyle name="Millares 2 6 5 3" xfId="4343" xr:uid="{00000000-0005-0000-0000-0000E8220000}"/>
    <cellStyle name="Millares 2 6 5 3 2" xfId="4344" xr:uid="{00000000-0005-0000-0000-0000E9220000}"/>
    <cellStyle name="Millares 2 6 5 3 2 2" xfId="7954" xr:uid="{00000000-0005-0000-0000-0000EA220000}"/>
    <cellStyle name="Millares 2 6 5 3 2 2 2" xfId="14744" xr:uid="{00000000-0005-0000-0000-0000EB220000}"/>
    <cellStyle name="Millares 2 6 5 3 2 2 2 2" xfId="28312" xr:uid="{00000000-0005-0000-0000-0000EC220000}"/>
    <cellStyle name="Millares 2 6 5 3 2 2 2 2 2" xfId="55445" xr:uid="{00000000-0005-0000-0000-0000ED220000}"/>
    <cellStyle name="Millares 2 6 5 3 2 2 2 3" xfId="41883" xr:uid="{00000000-0005-0000-0000-0000EE220000}"/>
    <cellStyle name="Millares 2 6 5 3 2 2 3" xfId="21531" xr:uid="{00000000-0005-0000-0000-0000EF220000}"/>
    <cellStyle name="Millares 2 6 5 3 2 2 3 2" xfId="48664" xr:uid="{00000000-0005-0000-0000-0000F0220000}"/>
    <cellStyle name="Millares 2 6 5 3 2 2 4" xfId="35102" xr:uid="{00000000-0005-0000-0000-0000F1220000}"/>
    <cellStyle name="Millares 2 6 5 3 2 3" xfId="11355" xr:uid="{00000000-0005-0000-0000-0000F2220000}"/>
    <cellStyle name="Millares 2 6 5 3 2 3 2" xfId="24923" xr:uid="{00000000-0005-0000-0000-0000F3220000}"/>
    <cellStyle name="Millares 2 6 5 3 2 3 2 2" xfId="52056" xr:uid="{00000000-0005-0000-0000-0000F4220000}"/>
    <cellStyle name="Millares 2 6 5 3 2 3 3" xfId="38494" xr:uid="{00000000-0005-0000-0000-0000F5220000}"/>
    <cellStyle name="Millares 2 6 5 3 2 4" xfId="18142" xr:uid="{00000000-0005-0000-0000-0000F6220000}"/>
    <cellStyle name="Millares 2 6 5 3 2 4 2" xfId="45275" xr:uid="{00000000-0005-0000-0000-0000F7220000}"/>
    <cellStyle name="Millares 2 6 5 3 2 5" xfId="31713" xr:uid="{00000000-0005-0000-0000-0000F8220000}"/>
    <cellStyle name="Millares 2 6 5 3 3" xfId="7953" xr:uid="{00000000-0005-0000-0000-0000F9220000}"/>
    <cellStyle name="Millares 2 6 5 3 3 2" xfId="14743" xr:uid="{00000000-0005-0000-0000-0000FA220000}"/>
    <cellStyle name="Millares 2 6 5 3 3 2 2" xfId="28311" xr:uid="{00000000-0005-0000-0000-0000FB220000}"/>
    <cellStyle name="Millares 2 6 5 3 3 2 2 2" xfId="55444" xr:uid="{00000000-0005-0000-0000-0000FC220000}"/>
    <cellStyle name="Millares 2 6 5 3 3 2 3" xfId="41882" xr:uid="{00000000-0005-0000-0000-0000FD220000}"/>
    <cellStyle name="Millares 2 6 5 3 3 3" xfId="21530" xr:uid="{00000000-0005-0000-0000-0000FE220000}"/>
    <cellStyle name="Millares 2 6 5 3 3 3 2" xfId="48663" xr:uid="{00000000-0005-0000-0000-0000FF220000}"/>
    <cellStyle name="Millares 2 6 5 3 3 4" xfId="35101" xr:uid="{00000000-0005-0000-0000-000000230000}"/>
    <cellStyle name="Millares 2 6 5 3 4" xfId="11354" xr:uid="{00000000-0005-0000-0000-000001230000}"/>
    <cellStyle name="Millares 2 6 5 3 4 2" xfId="24922" xr:uid="{00000000-0005-0000-0000-000002230000}"/>
    <cellStyle name="Millares 2 6 5 3 4 2 2" xfId="52055" xr:uid="{00000000-0005-0000-0000-000003230000}"/>
    <cellStyle name="Millares 2 6 5 3 4 3" xfId="38493" xr:uid="{00000000-0005-0000-0000-000004230000}"/>
    <cellStyle name="Millares 2 6 5 3 5" xfId="18141" xr:uid="{00000000-0005-0000-0000-000005230000}"/>
    <cellStyle name="Millares 2 6 5 3 5 2" xfId="45274" xr:uid="{00000000-0005-0000-0000-000006230000}"/>
    <cellStyle name="Millares 2 6 5 3 6" xfId="31712" xr:uid="{00000000-0005-0000-0000-000007230000}"/>
    <cellStyle name="Millares 2 6 5 4" xfId="4345" xr:uid="{00000000-0005-0000-0000-000008230000}"/>
    <cellStyle name="Millares 2 6 5 4 2" xfId="7955" xr:uid="{00000000-0005-0000-0000-000009230000}"/>
    <cellStyle name="Millares 2 6 5 4 2 2" xfId="14745" xr:uid="{00000000-0005-0000-0000-00000A230000}"/>
    <cellStyle name="Millares 2 6 5 4 2 2 2" xfId="28313" xr:uid="{00000000-0005-0000-0000-00000B230000}"/>
    <cellStyle name="Millares 2 6 5 4 2 2 2 2" xfId="55446" xr:uid="{00000000-0005-0000-0000-00000C230000}"/>
    <cellStyle name="Millares 2 6 5 4 2 2 3" xfId="41884" xr:uid="{00000000-0005-0000-0000-00000D230000}"/>
    <cellStyle name="Millares 2 6 5 4 2 3" xfId="21532" xr:uid="{00000000-0005-0000-0000-00000E230000}"/>
    <cellStyle name="Millares 2 6 5 4 2 3 2" xfId="48665" xr:uid="{00000000-0005-0000-0000-00000F230000}"/>
    <cellStyle name="Millares 2 6 5 4 2 4" xfId="35103" xr:uid="{00000000-0005-0000-0000-000010230000}"/>
    <cellStyle name="Millares 2 6 5 4 3" xfId="11356" xr:uid="{00000000-0005-0000-0000-000011230000}"/>
    <cellStyle name="Millares 2 6 5 4 3 2" xfId="24924" xr:uid="{00000000-0005-0000-0000-000012230000}"/>
    <cellStyle name="Millares 2 6 5 4 3 2 2" xfId="52057" xr:uid="{00000000-0005-0000-0000-000013230000}"/>
    <cellStyle name="Millares 2 6 5 4 3 3" xfId="38495" xr:uid="{00000000-0005-0000-0000-000014230000}"/>
    <cellStyle name="Millares 2 6 5 4 4" xfId="18143" xr:uid="{00000000-0005-0000-0000-000015230000}"/>
    <cellStyle name="Millares 2 6 5 4 4 2" xfId="45276" xr:uid="{00000000-0005-0000-0000-000016230000}"/>
    <cellStyle name="Millares 2 6 5 4 5" xfId="31714" xr:uid="{00000000-0005-0000-0000-000017230000}"/>
    <cellStyle name="Millares 2 6 5 5" xfId="4346" xr:uid="{00000000-0005-0000-0000-000018230000}"/>
    <cellStyle name="Millares 2 6 5 5 2" xfId="7956" xr:uid="{00000000-0005-0000-0000-000019230000}"/>
    <cellStyle name="Millares 2 6 5 5 2 2" xfId="14746" xr:uid="{00000000-0005-0000-0000-00001A230000}"/>
    <cellStyle name="Millares 2 6 5 5 2 2 2" xfId="28314" xr:uid="{00000000-0005-0000-0000-00001B230000}"/>
    <cellStyle name="Millares 2 6 5 5 2 2 2 2" xfId="55447" xr:uid="{00000000-0005-0000-0000-00001C230000}"/>
    <cellStyle name="Millares 2 6 5 5 2 2 3" xfId="41885" xr:uid="{00000000-0005-0000-0000-00001D230000}"/>
    <cellStyle name="Millares 2 6 5 5 2 3" xfId="21533" xr:uid="{00000000-0005-0000-0000-00001E230000}"/>
    <cellStyle name="Millares 2 6 5 5 2 3 2" xfId="48666" xr:uid="{00000000-0005-0000-0000-00001F230000}"/>
    <cellStyle name="Millares 2 6 5 5 2 4" xfId="35104" xr:uid="{00000000-0005-0000-0000-000020230000}"/>
    <cellStyle name="Millares 2 6 5 5 3" xfId="11357" xr:uid="{00000000-0005-0000-0000-000021230000}"/>
    <cellStyle name="Millares 2 6 5 5 3 2" xfId="24925" xr:uid="{00000000-0005-0000-0000-000022230000}"/>
    <cellStyle name="Millares 2 6 5 5 3 2 2" xfId="52058" xr:uid="{00000000-0005-0000-0000-000023230000}"/>
    <cellStyle name="Millares 2 6 5 5 3 3" xfId="38496" xr:uid="{00000000-0005-0000-0000-000024230000}"/>
    <cellStyle name="Millares 2 6 5 5 4" xfId="18144" xr:uid="{00000000-0005-0000-0000-000025230000}"/>
    <cellStyle name="Millares 2 6 5 5 4 2" xfId="45277" xr:uid="{00000000-0005-0000-0000-000026230000}"/>
    <cellStyle name="Millares 2 6 5 5 5" xfId="31715" xr:uid="{00000000-0005-0000-0000-000027230000}"/>
    <cellStyle name="Millares 2 6 5 6" xfId="7949" xr:uid="{00000000-0005-0000-0000-000028230000}"/>
    <cellStyle name="Millares 2 6 5 6 2" xfId="14739" xr:uid="{00000000-0005-0000-0000-000029230000}"/>
    <cellStyle name="Millares 2 6 5 6 2 2" xfId="28307" xr:uid="{00000000-0005-0000-0000-00002A230000}"/>
    <cellStyle name="Millares 2 6 5 6 2 2 2" xfId="55440" xr:uid="{00000000-0005-0000-0000-00002B230000}"/>
    <cellStyle name="Millares 2 6 5 6 2 3" xfId="41878" xr:uid="{00000000-0005-0000-0000-00002C230000}"/>
    <cellStyle name="Millares 2 6 5 6 3" xfId="21526" xr:uid="{00000000-0005-0000-0000-00002D230000}"/>
    <cellStyle name="Millares 2 6 5 6 3 2" xfId="48659" xr:uid="{00000000-0005-0000-0000-00002E230000}"/>
    <cellStyle name="Millares 2 6 5 6 4" xfId="35097" xr:uid="{00000000-0005-0000-0000-00002F230000}"/>
    <cellStyle name="Millares 2 6 5 7" xfId="11350" xr:uid="{00000000-0005-0000-0000-000030230000}"/>
    <cellStyle name="Millares 2 6 5 7 2" xfId="24918" xr:uid="{00000000-0005-0000-0000-000031230000}"/>
    <cellStyle name="Millares 2 6 5 7 2 2" xfId="52051" xr:uid="{00000000-0005-0000-0000-000032230000}"/>
    <cellStyle name="Millares 2 6 5 7 3" xfId="38489" xr:uid="{00000000-0005-0000-0000-000033230000}"/>
    <cellStyle name="Millares 2 6 5 8" xfId="18137" xr:uid="{00000000-0005-0000-0000-000034230000}"/>
    <cellStyle name="Millares 2 6 5 8 2" xfId="45270" xr:uid="{00000000-0005-0000-0000-000035230000}"/>
    <cellStyle name="Millares 2 6 5 9" xfId="31708" xr:uid="{00000000-0005-0000-0000-000036230000}"/>
    <cellStyle name="Millares 2 6 6" xfId="4347" xr:uid="{00000000-0005-0000-0000-000037230000}"/>
    <cellStyle name="Millares 2 6 6 2" xfId="4348" xr:uid="{00000000-0005-0000-0000-000038230000}"/>
    <cellStyle name="Millares 2 6 6 2 2" xfId="4349" xr:uid="{00000000-0005-0000-0000-000039230000}"/>
    <cellStyle name="Millares 2 6 6 2 2 2" xfId="7959" xr:uid="{00000000-0005-0000-0000-00003A230000}"/>
    <cellStyle name="Millares 2 6 6 2 2 2 2" xfId="14749" xr:uid="{00000000-0005-0000-0000-00003B230000}"/>
    <cellStyle name="Millares 2 6 6 2 2 2 2 2" xfId="28317" xr:uid="{00000000-0005-0000-0000-00003C230000}"/>
    <cellStyle name="Millares 2 6 6 2 2 2 2 2 2" xfId="55450" xr:uid="{00000000-0005-0000-0000-00003D230000}"/>
    <cellStyle name="Millares 2 6 6 2 2 2 2 3" xfId="41888" xr:uid="{00000000-0005-0000-0000-00003E230000}"/>
    <cellStyle name="Millares 2 6 6 2 2 2 3" xfId="21536" xr:uid="{00000000-0005-0000-0000-00003F230000}"/>
    <cellStyle name="Millares 2 6 6 2 2 2 3 2" xfId="48669" xr:uid="{00000000-0005-0000-0000-000040230000}"/>
    <cellStyle name="Millares 2 6 6 2 2 2 4" xfId="35107" xr:uid="{00000000-0005-0000-0000-000041230000}"/>
    <cellStyle name="Millares 2 6 6 2 2 3" xfId="11360" xr:uid="{00000000-0005-0000-0000-000042230000}"/>
    <cellStyle name="Millares 2 6 6 2 2 3 2" xfId="24928" xr:uid="{00000000-0005-0000-0000-000043230000}"/>
    <cellStyle name="Millares 2 6 6 2 2 3 2 2" xfId="52061" xr:uid="{00000000-0005-0000-0000-000044230000}"/>
    <cellStyle name="Millares 2 6 6 2 2 3 3" xfId="38499" xr:uid="{00000000-0005-0000-0000-000045230000}"/>
    <cellStyle name="Millares 2 6 6 2 2 4" xfId="18147" xr:uid="{00000000-0005-0000-0000-000046230000}"/>
    <cellStyle name="Millares 2 6 6 2 2 4 2" xfId="45280" xr:uid="{00000000-0005-0000-0000-000047230000}"/>
    <cellStyle name="Millares 2 6 6 2 2 5" xfId="31718" xr:uid="{00000000-0005-0000-0000-000048230000}"/>
    <cellStyle name="Millares 2 6 6 2 3" xfId="4350" xr:uid="{00000000-0005-0000-0000-000049230000}"/>
    <cellStyle name="Millares 2 6 6 2 3 2" xfId="7960" xr:uid="{00000000-0005-0000-0000-00004A230000}"/>
    <cellStyle name="Millares 2 6 6 2 3 2 2" xfId="14750" xr:uid="{00000000-0005-0000-0000-00004B230000}"/>
    <cellStyle name="Millares 2 6 6 2 3 2 2 2" xfId="28318" xr:uid="{00000000-0005-0000-0000-00004C230000}"/>
    <cellStyle name="Millares 2 6 6 2 3 2 2 2 2" xfId="55451" xr:uid="{00000000-0005-0000-0000-00004D230000}"/>
    <cellStyle name="Millares 2 6 6 2 3 2 2 3" xfId="41889" xr:uid="{00000000-0005-0000-0000-00004E230000}"/>
    <cellStyle name="Millares 2 6 6 2 3 2 3" xfId="21537" xr:uid="{00000000-0005-0000-0000-00004F230000}"/>
    <cellStyle name="Millares 2 6 6 2 3 2 3 2" xfId="48670" xr:uid="{00000000-0005-0000-0000-000050230000}"/>
    <cellStyle name="Millares 2 6 6 2 3 2 4" xfId="35108" xr:uid="{00000000-0005-0000-0000-000051230000}"/>
    <cellStyle name="Millares 2 6 6 2 3 3" xfId="11361" xr:uid="{00000000-0005-0000-0000-000052230000}"/>
    <cellStyle name="Millares 2 6 6 2 3 3 2" xfId="24929" xr:uid="{00000000-0005-0000-0000-000053230000}"/>
    <cellStyle name="Millares 2 6 6 2 3 3 2 2" xfId="52062" xr:uid="{00000000-0005-0000-0000-000054230000}"/>
    <cellStyle name="Millares 2 6 6 2 3 3 3" xfId="38500" xr:uid="{00000000-0005-0000-0000-000055230000}"/>
    <cellStyle name="Millares 2 6 6 2 3 4" xfId="18148" xr:uid="{00000000-0005-0000-0000-000056230000}"/>
    <cellStyle name="Millares 2 6 6 2 3 4 2" xfId="45281" xr:uid="{00000000-0005-0000-0000-000057230000}"/>
    <cellStyle name="Millares 2 6 6 2 3 5" xfId="31719" xr:uid="{00000000-0005-0000-0000-000058230000}"/>
    <cellStyle name="Millares 2 6 6 2 4" xfId="7958" xr:uid="{00000000-0005-0000-0000-000059230000}"/>
    <cellStyle name="Millares 2 6 6 2 4 2" xfId="14748" xr:uid="{00000000-0005-0000-0000-00005A230000}"/>
    <cellStyle name="Millares 2 6 6 2 4 2 2" xfId="28316" xr:uid="{00000000-0005-0000-0000-00005B230000}"/>
    <cellStyle name="Millares 2 6 6 2 4 2 2 2" xfId="55449" xr:uid="{00000000-0005-0000-0000-00005C230000}"/>
    <cellStyle name="Millares 2 6 6 2 4 2 3" xfId="41887" xr:uid="{00000000-0005-0000-0000-00005D230000}"/>
    <cellStyle name="Millares 2 6 6 2 4 3" xfId="21535" xr:uid="{00000000-0005-0000-0000-00005E230000}"/>
    <cellStyle name="Millares 2 6 6 2 4 3 2" xfId="48668" xr:uid="{00000000-0005-0000-0000-00005F230000}"/>
    <cellStyle name="Millares 2 6 6 2 4 4" xfId="35106" xr:uid="{00000000-0005-0000-0000-000060230000}"/>
    <cellStyle name="Millares 2 6 6 2 5" xfId="11359" xr:uid="{00000000-0005-0000-0000-000061230000}"/>
    <cellStyle name="Millares 2 6 6 2 5 2" xfId="24927" xr:uid="{00000000-0005-0000-0000-000062230000}"/>
    <cellStyle name="Millares 2 6 6 2 5 2 2" xfId="52060" xr:uid="{00000000-0005-0000-0000-000063230000}"/>
    <cellStyle name="Millares 2 6 6 2 5 3" xfId="38498" xr:uid="{00000000-0005-0000-0000-000064230000}"/>
    <cellStyle name="Millares 2 6 6 2 6" xfId="18146" xr:uid="{00000000-0005-0000-0000-000065230000}"/>
    <cellStyle name="Millares 2 6 6 2 6 2" xfId="45279" xr:uid="{00000000-0005-0000-0000-000066230000}"/>
    <cellStyle name="Millares 2 6 6 2 7" xfId="31717" xr:uid="{00000000-0005-0000-0000-000067230000}"/>
    <cellStyle name="Millares 2 6 6 3" xfId="4351" xr:uid="{00000000-0005-0000-0000-000068230000}"/>
    <cellStyle name="Millares 2 6 6 3 2" xfId="7961" xr:uid="{00000000-0005-0000-0000-000069230000}"/>
    <cellStyle name="Millares 2 6 6 3 2 2" xfId="14751" xr:uid="{00000000-0005-0000-0000-00006A230000}"/>
    <cellStyle name="Millares 2 6 6 3 2 2 2" xfId="28319" xr:uid="{00000000-0005-0000-0000-00006B230000}"/>
    <cellStyle name="Millares 2 6 6 3 2 2 2 2" xfId="55452" xr:uid="{00000000-0005-0000-0000-00006C230000}"/>
    <cellStyle name="Millares 2 6 6 3 2 2 3" xfId="41890" xr:uid="{00000000-0005-0000-0000-00006D230000}"/>
    <cellStyle name="Millares 2 6 6 3 2 3" xfId="21538" xr:uid="{00000000-0005-0000-0000-00006E230000}"/>
    <cellStyle name="Millares 2 6 6 3 2 3 2" xfId="48671" xr:uid="{00000000-0005-0000-0000-00006F230000}"/>
    <cellStyle name="Millares 2 6 6 3 2 4" xfId="35109" xr:uid="{00000000-0005-0000-0000-000070230000}"/>
    <cellStyle name="Millares 2 6 6 3 3" xfId="11362" xr:uid="{00000000-0005-0000-0000-000071230000}"/>
    <cellStyle name="Millares 2 6 6 3 3 2" xfId="24930" xr:uid="{00000000-0005-0000-0000-000072230000}"/>
    <cellStyle name="Millares 2 6 6 3 3 2 2" xfId="52063" xr:uid="{00000000-0005-0000-0000-000073230000}"/>
    <cellStyle name="Millares 2 6 6 3 3 3" xfId="38501" xr:uid="{00000000-0005-0000-0000-000074230000}"/>
    <cellStyle name="Millares 2 6 6 3 4" xfId="18149" xr:uid="{00000000-0005-0000-0000-000075230000}"/>
    <cellStyle name="Millares 2 6 6 3 4 2" xfId="45282" xr:uid="{00000000-0005-0000-0000-000076230000}"/>
    <cellStyle name="Millares 2 6 6 3 5" xfId="31720" xr:uid="{00000000-0005-0000-0000-000077230000}"/>
    <cellStyle name="Millares 2 6 6 4" xfId="4352" xr:uid="{00000000-0005-0000-0000-000078230000}"/>
    <cellStyle name="Millares 2 6 6 4 2" xfId="7962" xr:uid="{00000000-0005-0000-0000-000079230000}"/>
    <cellStyle name="Millares 2 6 6 4 2 2" xfId="14752" xr:uid="{00000000-0005-0000-0000-00007A230000}"/>
    <cellStyle name="Millares 2 6 6 4 2 2 2" xfId="28320" xr:uid="{00000000-0005-0000-0000-00007B230000}"/>
    <cellStyle name="Millares 2 6 6 4 2 2 2 2" xfId="55453" xr:uid="{00000000-0005-0000-0000-00007C230000}"/>
    <cellStyle name="Millares 2 6 6 4 2 2 3" xfId="41891" xr:uid="{00000000-0005-0000-0000-00007D230000}"/>
    <cellStyle name="Millares 2 6 6 4 2 3" xfId="21539" xr:uid="{00000000-0005-0000-0000-00007E230000}"/>
    <cellStyle name="Millares 2 6 6 4 2 3 2" xfId="48672" xr:uid="{00000000-0005-0000-0000-00007F230000}"/>
    <cellStyle name="Millares 2 6 6 4 2 4" xfId="35110" xr:uid="{00000000-0005-0000-0000-000080230000}"/>
    <cellStyle name="Millares 2 6 6 4 3" xfId="11363" xr:uid="{00000000-0005-0000-0000-000081230000}"/>
    <cellStyle name="Millares 2 6 6 4 3 2" xfId="24931" xr:uid="{00000000-0005-0000-0000-000082230000}"/>
    <cellStyle name="Millares 2 6 6 4 3 2 2" xfId="52064" xr:uid="{00000000-0005-0000-0000-000083230000}"/>
    <cellStyle name="Millares 2 6 6 4 3 3" xfId="38502" xr:uid="{00000000-0005-0000-0000-000084230000}"/>
    <cellStyle name="Millares 2 6 6 4 4" xfId="18150" xr:uid="{00000000-0005-0000-0000-000085230000}"/>
    <cellStyle name="Millares 2 6 6 4 4 2" xfId="45283" xr:uid="{00000000-0005-0000-0000-000086230000}"/>
    <cellStyle name="Millares 2 6 6 4 5" xfId="31721" xr:uid="{00000000-0005-0000-0000-000087230000}"/>
    <cellStyle name="Millares 2 6 6 5" xfId="7957" xr:uid="{00000000-0005-0000-0000-000088230000}"/>
    <cellStyle name="Millares 2 6 6 5 2" xfId="14747" xr:uid="{00000000-0005-0000-0000-000089230000}"/>
    <cellStyle name="Millares 2 6 6 5 2 2" xfId="28315" xr:uid="{00000000-0005-0000-0000-00008A230000}"/>
    <cellStyle name="Millares 2 6 6 5 2 2 2" xfId="55448" xr:uid="{00000000-0005-0000-0000-00008B230000}"/>
    <cellStyle name="Millares 2 6 6 5 2 3" xfId="41886" xr:uid="{00000000-0005-0000-0000-00008C230000}"/>
    <cellStyle name="Millares 2 6 6 5 3" xfId="21534" xr:uid="{00000000-0005-0000-0000-00008D230000}"/>
    <cellStyle name="Millares 2 6 6 5 3 2" xfId="48667" xr:uid="{00000000-0005-0000-0000-00008E230000}"/>
    <cellStyle name="Millares 2 6 6 5 4" xfId="35105" xr:uid="{00000000-0005-0000-0000-00008F230000}"/>
    <cellStyle name="Millares 2 6 6 6" xfId="11358" xr:uid="{00000000-0005-0000-0000-000090230000}"/>
    <cellStyle name="Millares 2 6 6 6 2" xfId="24926" xr:uid="{00000000-0005-0000-0000-000091230000}"/>
    <cellStyle name="Millares 2 6 6 6 2 2" xfId="52059" xr:uid="{00000000-0005-0000-0000-000092230000}"/>
    <cellStyle name="Millares 2 6 6 6 3" xfId="38497" xr:uid="{00000000-0005-0000-0000-000093230000}"/>
    <cellStyle name="Millares 2 6 6 7" xfId="18145" xr:uid="{00000000-0005-0000-0000-000094230000}"/>
    <cellStyle name="Millares 2 6 6 7 2" xfId="45278" xr:uid="{00000000-0005-0000-0000-000095230000}"/>
    <cellStyle name="Millares 2 6 6 8" xfId="31716" xr:uid="{00000000-0005-0000-0000-000096230000}"/>
    <cellStyle name="Millares 2 6 7" xfId="4353" xr:uid="{00000000-0005-0000-0000-000097230000}"/>
    <cellStyle name="Millares 2 6 7 2" xfId="4354" xr:uid="{00000000-0005-0000-0000-000098230000}"/>
    <cellStyle name="Millares 2 6 7 2 2" xfId="4355" xr:uid="{00000000-0005-0000-0000-000099230000}"/>
    <cellStyle name="Millares 2 6 7 2 2 2" xfId="7965" xr:uid="{00000000-0005-0000-0000-00009A230000}"/>
    <cellStyle name="Millares 2 6 7 2 2 2 2" xfId="14755" xr:uid="{00000000-0005-0000-0000-00009B230000}"/>
    <cellStyle name="Millares 2 6 7 2 2 2 2 2" xfId="28323" xr:uid="{00000000-0005-0000-0000-00009C230000}"/>
    <cellStyle name="Millares 2 6 7 2 2 2 2 2 2" xfId="55456" xr:uid="{00000000-0005-0000-0000-00009D230000}"/>
    <cellStyle name="Millares 2 6 7 2 2 2 2 3" xfId="41894" xr:uid="{00000000-0005-0000-0000-00009E230000}"/>
    <cellStyle name="Millares 2 6 7 2 2 2 3" xfId="21542" xr:uid="{00000000-0005-0000-0000-00009F230000}"/>
    <cellStyle name="Millares 2 6 7 2 2 2 3 2" xfId="48675" xr:uid="{00000000-0005-0000-0000-0000A0230000}"/>
    <cellStyle name="Millares 2 6 7 2 2 2 4" xfId="35113" xr:uid="{00000000-0005-0000-0000-0000A1230000}"/>
    <cellStyle name="Millares 2 6 7 2 2 3" xfId="11366" xr:uid="{00000000-0005-0000-0000-0000A2230000}"/>
    <cellStyle name="Millares 2 6 7 2 2 3 2" xfId="24934" xr:uid="{00000000-0005-0000-0000-0000A3230000}"/>
    <cellStyle name="Millares 2 6 7 2 2 3 2 2" xfId="52067" xr:uid="{00000000-0005-0000-0000-0000A4230000}"/>
    <cellStyle name="Millares 2 6 7 2 2 3 3" xfId="38505" xr:uid="{00000000-0005-0000-0000-0000A5230000}"/>
    <cellStyle name="Millares 2 6 7 2 2 4" xfId="18153" xr:uid="{00000000-0005-0000-0000-0000A6230000}"/>
    <cellStyle name="Millares 2 6 7 2 2 4 2" xfId="45286" xr:uid="{00000000-0005-0000-0000-0000A7230000}"/>
    <cellStyle name="Millares 2 6 7 2 2 5" xfId="31724" xr:uid="{00000000-0005-0000-0000-0000A8230000}"/>
    <cellStyle name="Millares 2 6 7 2 3" xfId="4356" xr:uid="{00000000-0005-0000-0000-0000A9230000}"/>
    <cellStyle name="Millares 2 6 7 2 3 2" xfId="7966" xr:uid="{00000000-0005-0000-0000-0000AA230000}"/>
    <cellStyle name="Millares 2 6 7 2 3 2 2" xfId="14756" xr:uid="{00000000-0005-0000-0000-0000AB230000}"/>
    <cellStyle name="Millares 2 6 7 2 3 2 2 2" xfId="28324" xr:uid="{00000000-0005-0000-0000-0000AC230000}"/>
    <cellStyle name="Millares 2 6 7 2 3 2 2 2 2" xfId="55457" xr:uid="{00000000-0005-0000-0000-0000AD230000}"/>
    <cellStyle name="Millares 2 6 7 2 3 2 2 3" xfId="41895" xr:uid="{00000000-0005-0000-0000-0000AE230000}"/>
    <cellStyle name="Millares 2 6 7 2 3 2 3" xfId="21543" xr:uid="{00000000-0005-0000-0000-0000AF230000}"/>
    <cellStyle name="Millares 2 6 7 2 3 2 3 2" xfId="48676" xr:uid="{00000000-0005-0000-0000-0000B0230000}"/>
    <cellStyle name="Millares 2 6 7 2 3 2 4" xfId="35114" xr:uid="{00000000-0005-0000-0000-0000B1230000}"/>
    <cellStyle name="Millares 2 6 7 2 3 3" xfId="11367" xr:uid="{00000000-0005-0000-0000-0000B2230000}"/>
    <cellStyle name="Millares 2 6 7 2 3 3 2" xfId="24935" xr:uid="{00000000-0005-0000-0000-0000B3230000}"/>
    <cellStyle name="Millares 2 6 7 2 3 3 2 2" xfId="52068" xr:uid="{00000000-0005-0000-0000-0000B4230000}"/>
    <cellStyle name="Millares 2 6 7 2 3 3 3" xfId="38506" xr:uid="{00000000-0005-0000-0000-0000B5230000}"/>
    <cellStyle name="Millares 2 6 7 2 3 4" xfId="18154" xr:uid="{00000000-0005-0000-0000-0000B6230000}"/>
    <cellStyle name="Millares 2 6 7 2 3 4 2" xfId="45287" xr:uid="{00000000-0005-0000-0000-0000B7230000}"/>
    <cellStyle name="Millares 2 6 7 2 3 5" xfId="31725" xr:uid="{00000000-0005-0000-0000-0000B8230000}"/>
    <cellStyle name="Millares 2 6 7 2 4" xfId="7964" xr:uid="{00000000-0005-0000-0000-0000B9230000}"/>
    <cellStyle name="Millares 2 6 7 2 4 2" xfId="14754" xr:uid="{00000000-0005-0000-0000-0000BA230000}"/>
    <cellStyle name="Millares 2 6 7 2 4 2 2" xfId="28322" xr:uid="{00000000-0005-0000-0000-0000BB230000}"/>
    <cellStyle name="Millares 2 6 7 2 4 2 2 2" xfId="55455" xr:uid="{00000000-0005-0000-0000-0000BC230000}"/>
    <cellStyle name="Millares 2 6 7 2 4 2 3" xfId="41893" xr:uid="{00000000-0005-0000-0000-0000BD230000}"/>
    <cellStyle name="Millares 2 6 7 2 4 3" xfId="21541" xr:uid="{00000000-0005-0000-0000-0000BE230000}"/>
    <cellStyle name="Millares 2 6 7 2 4 3 2" xfId="48674" xr:uid="{00000000-0005-0000-0000-0000BF230000}"/>
    <cellStyle name="Millares 2 6 7 2 4 4" xfId="35112" xr:uid="{00000000-0005-0000-0000-0000C0230000}"/>
    <cellStyle name="Millares 2 6 7 2 5" xfId="11365" xr:uid="{00000000-0005-0000-0000-0000C1230000}"/>
    <cellStyle name="Millares 2 6 7 2 5 2" xfId="24933" xr:uid="{00000000-0005-0000-0000-0000C2230000}"/>
    <cellStyle name="Millares 2 6 7 2 5 2 2" xfId="52066" xr:uid="{00000000-0005-0000-0000-0000C3230000}"/>
    <cellStyle name="Millares 2 6 7 2 5 3" xfId="38504" xr:uid="{00000000-0005-0000-0000-0000C4230000}"/>
    <cellStyle name="Millares 2 6 7 2 6" xfId="18152" xr:uid="{00000000-0005-0000-0000-0000C5230000}"/>
    <cellStyle name="Millares 2 6 7 2 6 2" xfId="45285" xr:uid="{00000000-0005-0000-0000-0000C6230000}"/>
    <cellStyle name="Millares 2 6 7 2 7" xfId="31723" xr:uid="{00000000-0005-0000-0000-0000C7230000}"/>
    <cellStyle name="Millares 2 6 7 3" xfId="4357" xr:uid="{00000000-0005-0000-0000-0000C8230000}"/>
    <cellStyle name="Millares 2 6 7 3 2" xfId="7967" xr:uid="{00000000-0005-0000-0000-0000C9230000}"/>
    <cellStyle name="Millares 2 6 7 3 2 2" xfId="14757" xr:uid="{00000000-0005-0000-0000-0000CA230000}"/>
    <cellStyle name="Millares 2 6 7 3 2 2 2" xfId="28325" xr:uid="{00000000-0005-0000-0000-0000CB230000}"/>
    <cellStyle name="Millares 2 6 7 3 2 2 2 2" xfId="55458" xr:uid="{00000000-0005-0000-0000-0000CC230000}"/>
    <cellStyle name="Millares 2 6 7 3 2 2 3" xfId="41896" xr:uid="{00000000-0005-0000-0000-0000CD230000}"/>
    <cellStyle name="Millares 2 6 7 3 2 3" xfId="21544" xr:uid="{00000000-0005-0000-0000-0000CE230000}"/>
    <cellStyle name="Millares 2 6 7 3 2 3 2" xfId="48677" xr:uid="{00000000-0005-0000-0000-0000CF230000}"/>
    <cellStyle name="Millares 2 6 7 3 2 4" xfId="35115" xr:uid="{00000000-0005-0000-0000-0000D0230000}"/>
    <cellStyle name="Millares 2 6 7 3 3" xfId="11368" xr:uid="{00000000-0005-0000-0000-0000D1230000}"/>
    <cellStyle name="Millares 2 6 7 3 3 2" xfId="24936" xr:uid="{00000000-0005-0000-0000-0000D2230000}"/>
    <cellStyle name="Millares 2 6 7 3 3 2 2" xfId="52069" xr:uid="{00000000-0005-0000-0000-0000D3230000}"/>
    <cellStyle name="Millares 2 6 7 3 3 3" xfId="38507" xr:uid="{00000000-0005-0000-0000-0000D4230000}"/>
    <cellStyle name="Millares 2 6 7 3 4" xfId="18155" xr:uid="{00000000-0005-0000-0000-0000D5230000}"/>
    <cellStyle name="Millares 2 6 7 3 4 2" xfId="45288" xr:uid="{00000000-0005-0000-0000-0000D6230000}"/>
    <cellStyle name="Millares 2 6 7 3 5" xfId="31726" xr:uid="{00000000-0005-0000-0000-0000D7230000}"/>
    <cellStyle name="Millares 2 6 7 4" xfId="4358" xr:uid="{00000000-0005-0000-0000-0000D8230000}"/>
    <cellStyle name="Millares 2 6 7 4 2" xfId="7968" xr:uid="{00000000-0005-0000-0000-0000D9230000}"/>
    <cellStyle name="Millares 2 6 7 4 2 2" xfId="14758" xr:uid="{00000000-0005-0000-0000-0000DA230000}"/>
    <cellStyle name="Millares 2 6 7 4 2 2 2" xfId="28326" xr:uid="{00000000-0005-0000-0000-0000DB230000}"/>
    <cellStyle name="Millares 2 6 7 4 2 2 2 2" xfId="55459" xr:uid="{00000000-0005-0000-0000-0000DC230000}"/>
    <cellStyle name="Millares 2 6 7 4 2 2 3" xfId="41897" xr:uid="{00000000-0005-0000-0000-0000DD230000}"/>
    <cellStyle name="Millares 2 6 7 4 2 3" xfId="21545" xr:uid="{00000000-0005-0000-0000-0000DE230000}"/>
    <cellStyle name="Millares 2 6 7 4 2 3 2" xfId="48678" xr:uid="{00000000-0005-0000-0000-0000DF230000}"/>
    <cellStyle name="Millares 2 6 7 4 2 4" xfId="35116" xr:uid="{00000000-0005-0000-0000-0000E0230000}"/>
    <cellStyle name="Millares 2 6 7 4 3" xfId="11369" xr:uid="{00000000-0005-0000-0000-0000E1230000}"/>
    <cellStyle name="Millares 2 6 7 4 3 2" xfId="24937" xr:uid="{00000000-0005-0000-0000-0000E2230000}"/>
    <cellStyle name="Millares 2 6 7 4 3 2 2" xfId="52070" xr:uid="{00000000-0005-0000-0000-0000E3230000}"/>
    <cellStyle name="Millares 2 6 7 4 3 3" xfId="38508" xr:uid="{00000000-0005-0000-0000-0000E4230000}"/>
    <cellStyle name="Millares 2 6 7 4 4" xfId="18156" xr:uid="{00000000-0005-0000-0000-0000E5230000}"/>
    <cellStyle name="Millares 2 6 7 4 4 2" xfId="45289" xr:uid="{00000000-0005-0000-0000-0000E6230000}"/>
    <cellStyle name="Millares 2 6 7 4 5" xfId="31727" xr:uid="{00000000-0005-0000-0000-0000E7230000}"/>
    <cellStyle name="Millares 2 6 7 5" xfId="7963" xr:uid="{00000000-0005-0000-0000-0000E8230000}"/>
    <cellStyle name="Millares 2 6 7 5 2" xfId="14753" xr:uid="{00000000-0005-0000-0000-0000E9230000}"/>
    <cellStyle name="Millares 2 6 7 5 2 2" xfId="28321" xr:uid="{00000000-0005-0000-0000-0000EA230000}"/>
    <cellStyle name="Millares 2 6 7 5 2 2 2" xfId="55454" xr:uid="{00000000-0005-0000-0000-0000EB230000}"/>
    <cellStyle name="Millares 2 6 7 5 2 3" xfId="41892" xr:uid="{00000000-0005-0000-0000-0000EC230000}"/>
    <cellStyle name="Millares 2 6 7 5 3" xfId="21540" xr:uid="{00000000-0005-0000-0000-0000ED230000}"/>
    <cellStyle name="Millares 2 6 7 5 3 2" xfId="48673" xr:uid="{00000000-0005-0000-0000-0000EE230000}"/>
    <cellStyle name="Millares 2 6 7 5 4" xfId="35111" xr:uid="{00000000-0005-0000-0000-0000EF230000}"/>
    <cellStyle name="Millares 2 6 7 6" xfId="11364" xr:uid="{00000000-0005-0000-0000-0000F0230000}"/>
    <cellStyle name="Millares 2 6 7 6 2" xfId="24932" xr:uid="{00000000-0005-0000-0000-0000F1230000}"/>
    <cellStyle name="Millares 2 6 7 6 2 2" xfId="52065" xr:uid="{00000000-0005-0000-0000-0000F2230000}"/>
    <cellStyle name="Millares 2 6 7 6 3" xfId="38503" xr:uid="{00000000-0005-0000-0000-0000F3230000}"/>
    <cellStyle name="Millares 2 6 7 7" xfId="18151" xr:uid="{00000000-0005-0000-0000-0000F4230000}"/>
    <cellStyle name="Millares 2 6 7 7 2" xfId="45284" xr:uid="{00000000-0005-0000-0000-0000F5230000}"/>
    <cellStyle name="Millares 2 6 7 8" xfId="31722" xr:uid="{00000000-0005-0000-0000-0000F6230000}"/>
    <cellStyle name="Millares 2 6 8" xfId="4359" xr:uid="{00000000-0005-0000-0000-0000F7230000}"/>
    <cellStyle name="Millares 2 6 8 2" xfId="4360" xr:uid="{00000000-0005-0000-0000-0000F8230000}"/>
    <cellStyle name="Millares 2 6 8 2 2" xfId="7970" xr:uid="{00000000-0005-0000-0000-0000F9230000}"/>
    <cellStyle name="Millares 2 6 8 2 2 2" xfId="14760" xr:uid="{00000000-0005-0000-0000-0000FA230000}"/>
    <cellStyle name="Millares 2 6 8 2 2 2 2" xfId="28328" xr:uid="{00000000-0005-0000-0000-0000FB230000}"/>
    <cellStyle name="Millares 2 6 8 2 2 2 2 2" xfId="55461" xr:uid="{00000000-0005-0000-0000-0000FC230000}"/>
    <cellStyle name="Millares 2 6 8 2 2 2 3" xfId="41899" xr:uid="{00000000-0005-0000-0000-0000FD230000}"/>
    <cellStyle name="Millares 2 6 8 2 2 3" xfId="21547" xr:uid="{00000000-0005-0000-0000-0000FE230000}"/>
    <cellStyle name="Millares 2 6 8 2 2 3 2" xfId="48680" xr:uid="{00000000-0005-0000-0000-0000FF230000}"/>
    <cellStyle name="Millares 2 6 8 2 2 4" xfId="35118" xr:uid="{00000000-0005-0000-0000-000000240000}"/>
    <cellStyle name="Millares 2 6 8 2 3" xfId="11371" xr:uid="{00000000-0005-0000-0000-000001240000}"/>
    <cellStyle name="Millares 2 6 8 2 3 2" xfId="24939" xr:uid="{00000000-0005-0000-0000-000002240000}"/>
    <cellStyle name="Millares 2 6 8 2 3 2 2" xfId="52072" xr:uid="{00000000-0005-0000-0000-000003240000}"/>
    <cellStyle name="Millares 2 6 8 2 3 3" xfId="38510" xr:uid="{00000000-0005-0000-0000-000004240000}"/>
    <cellStyle name="Millares 2 6 8 2 4" xfId="18158" xr:uid="{00000000-0005-0000-0000-000005240000}"/>
    <cellStyle name="Millares 2 6 8 2 4 2" xfId="45291" xr:uid="{00000000-0005-0000-0000-000006240000}"/>
    <cellStyle name="Millares 2 6 8 2 5" xfId="31729" xr:uid="{00000000-0005-0000-0000-000007240000}"/>
    <cellStyle name="Millares 2 6 8 3" xfId="4361" xr:uid="{00000000-0005-0000-0000-000008240000}"/>
    <cellStyle name="Millares 2 6 8 3 2" xfId="7971" xr:uid="{00000000-0005-0000-0000-000009240000}"/>
    <cellStyle name="Millares 2 6 8 3 2 2" xfId="14761" xr:uid="{00000000-0005-0000-0000-00000A240000}"/>
    <cellStyle name="Millares 2 6 8 3 2 2 2" xfId="28329" xr:uid="{00000000-0005-0000-0000-00000B240000}"/>
    <cellStyle name="Millares 2 6 8 3 2 2 2 2" xfId="55462" xr:uid="{00000000-0005-0000-0000-00000C240000}"/>
    <cellStyle name="Millares 2 6 8 3 2 2 3" xfId="41900" xr:uid="{00000000-0005-0000-0000-00000D240000}"/>
    <cellStyle name="Millares 2 6 8 3 2 3" xfId="21548" xr:uid="{00000000-0005-0000-0000-00000E240000}"/>
    <cellStyle name="Millares 2 6 8 3 2 3 2" xfId="48681" xr:uid="{00000000-0005-0000-0000-00000F240000}"/>
    <cellStyle name="Millares 2 6 8 3 2 4" xfId="35119" xr:uid="{00000000-0005-0000-0000-000010240000}"/>
    <cellStyle name="Millares 2 6 8 3 3" xfId="11372" xr:uid="{00000000-0005-0000-0000-000011240000}"/>
    <cellStyle name="Millares 2 6 8 3 3 2" xfId="24940" xr:uid="{00000000-0005-0000-0000-000012240000}"/>
    <cellStyle name="Millares 2 6 8 3 3 2 2" xfId="52073" xr:uid="{00000000-0005-0000-0000-000013240000}"/>
    <cellStyle name="Millares 2 6 8 3 3 3" xfId="38511" xr:uid="{00000000-0005-0000-0000-000014240000}"/>
    <cellStyle name="Millares 2 6 8 3 4" xfId="18159" xr:uid="{00000000-0005-0000-0000-000015240000}"/>
    <cellStyle name="Millares 2 6 8 3 4 2" xfId="45292" xr:uid="{00000000-0005-0000-0000-000016240000}"/>
    <cellStyle name="Millares 2 6 8 3 5" xfId="31730" xr:uid="{00000000-0005-0000-0000-000017240000}"/>
    <cellStyle name="Millares 2 6 8 4" xfId="7969" xr:uid="{00000000-0005-0000-0000-000018240000}"/>
    <cellStyle name="Millares 2 6 8 4 2" xfId="14759" xr:uid="{00000000-0005-0000-0000-000019240000}"/>
    <cellStyle name="Millares 2 6 8 4 2 2" xfId="28327" xr:uid="{00000000-0005-0000-0000-00001A240000}"/>
    <cellStyle name="Millares 2 6 8 4 2 2 2" xfId="55460" xr:uid="{00000000-0005-0000-0000-00001B240000}"/>
    <cellStyle name="Millares 2 6 8 4 2 3" xfId="41898" xr:uid="{00000000-0005-0000-0000-00001C240000}"/>
    <cellStyle name="Millares 2 6 8 4 3" xfId="21546" xr:uid="{00000000-0005-0000-0000-00001D240000}"/>
    <cellStyle name="Millares 2 6 8 4 3 2" xfId="48679" xr:uid="{00000000-0005-0000-0000-00001E240000}"/>
    <cellStyle name="Millares 2 6 8 4 4" xfId="35117" xr:uid="{00000000-0005-0000-0000-00001F240000}"/>
    <cellStyle name="Millares 2 6 8 5" xfId="11370" xr:uid="{00000000-0005-0000-0000-000020240000}"/>
    <cellStyle name="Millares 2 6 8 5 2" xfId="24938" xr:uid="{00000000-0005-0000-0000-000021240000}"/>
    <cellStyle name="Millares 2 6 8 5 2 2" xfId="52071" xr:uid="{00000000-0005-0000-0000-000022240000}"/>
    <cellStyle name="Millares 2 6 8 5 3" xfId="38509" xr:uid="{00000000-0005-0000-0000-000023240000}"/>
    <cellStyle name="Millares 2 6 8 6" xfId="18157" xr:uid="{00000000-0005-0000-0000-000024240000}"/>
    <cellStyle name="Millares 2 6 8 6 2" xfId="45290" xr:uid="{00000000-0005-0000-0000-000025240000}"/>
    <cellStyle name="Millares 2 6 8 7" xfId="31728" xr:uid="{00000000-0005-0000-0000-000026240000}"/>
    <cellStyle name="Millares 2 6 9" xfId="4362" xr:uid="{00000000-0005-0000-0000-000027240000}"/>
    <cellStyle name="Millares 2 6 9 2" xfId="4363" xr:uid="{00000000-0005-0000-0000-000028240000}"/>
    <cellStyle name="Millares 2 6 9 2 2" xfId="7973" xr:uid="{00000000-0005-0000-0000-000029240000}"/>
    <cellStyle name="Millares 2 6 9 2 2 2" xfId="14763" xr:uid="{00000000-0005-0000-0000-00002A240000}"/>
    <cellStyle name="Millares 2 6 9 2 2 2 2" xfId="28331" xr:uid="{00000000-0005-0000-0000-00002B240000}"/>
    <cellStyle name="Millares 2 6 9 2 2 2 2 2" xfId="55464" xr:uid="{00000000-0005-0000-0000-00002C240000}"/>
    <cellStyle name="Millares 2 6 9 2 2 2 3" xfId="41902" xr:uid="{00000000-0005-0000-0000-00002D240000}"/>
    <cellStyle name="Millares 2 6 9 2 2 3" xfId="21550" xr:uid="{00000000-0005-0000-0000-00002E240000}"/>
    <cellStyle name="Millares 2 6 9 2 2 3 2" xfId="48683" xr:uid="{00000000-0005-0000-0000-00002F240000}"/>
    <cellStyle name="Millares 2 6 9 2 2 4" xfId="35121" xr:uid="{00000000-0005-0000-0000-000030240000}"/>
    <cellStyle name="Millares 2 6 9 2 3" xfId="11374" xr:uid="{00000000-0005-0000-0000-000031240000}"/>
    <cellStyle name="Millares 2 6 9 2 3 2" xfId="24942" xr:uid="{00000000-0005-0000-0000-000032240000}"/>
    <cellStyle name="Millares 2 6 9 2 3 2 2" xfId="52075" xr:uid="{00000000-0005-0000-0000-000033240000}"/>
    <cellStyle name="Millares 2 6 9 2 3 3" xfId="38513" xr:uid="{00000000-0005-0000-0000-000034240000}"/>
    <cellStyle name="Millares 2 6 9 2 4" xfId="18161" xr:uid="{00000000-0005-0000-0000-000035240000}"/>
    <cellStyle name="Millares 2 6 9 2 4 2" xfId="45294" xr:uid="{00000000-0005-0000-0000-000036240000}"/>
    <cellStyle name="Millares 2 6 9 2 5" xfId="31732" xr:uid="{00000000-0005-0000-0000-000037240000}"/>
    <cellStyle name="Millares 2 6 9 3" xfId="4364" xr:uid="{00000000-0005-0000-0000-000038240000}"/>
    <cellStyle name="Millares 2 6 9 3 2" xfId="7974" xr:uid="{00000000-0005-0000-0000-000039240000}"/>
    <cellStyle name="Millares 2 6 9 3 2 2" xfId="14764" xr:uid="{00000000-0005-0000-0000-00003A240000}"/>
    <cellStyle name="Millares 2 6 9 3 2 2 2" xfId="28332" xr:uid="{00000000-0005-0000-0000-00003B240000}"/>
    <cellStyle name="Millares 2 6 9 3 2 2 2 2" xfId="55465" xr:uid="{00000000-0005-0000-0000-00003C240000}"/>
    <cellStyle name="Millares 2 6 9 3 2 2 3" xfId="41903" xr:uid="{00000000-0005-0000-0000-00003D240000}"/>
    <cellStyle name="Millares 2 6 9 3 2 3" xfId="21551" xr:uid="{00000000-0005-0000-0000-00003E240000}"/>
    <cellStyle name="Millares 2 6 9 3 2 3 2" xfId="48684" xr:uid="{00000000-0005-0000-0000-00003F240000}"/>
    <cellStyle name="Millares 2 6 9 3 2 4" xfId="35122" xr:uid="{00000000-0005-0000-0000-000040240000}"/>
    <cellStyle name="Millares 2 6 9 3 3" xfId="11375" xr:uid="{00000000-0005-0000-0000-000041240000}"/>
    <cellStyle name="Millares 2 6 9 3 3 2" xfId="24943" xr:uid="{00000000-0005-0000-0000-000042240000}"/>
    <cellStyle name="Millares 2 6 9 3 3 2 2" xfId="52076" xr:uid="{00000000-0005-0000-0000-000043240000}"/>
    <cellStyle name="Millares 2 6 9 3 3 3" xfId="38514" xr:uid="{00000000-0005-0000-0000-000044240000}"/>
    <cellStyle name="Millares 2 6 9 3 4" xfId="18162" xr:uid="{00000000-0005-0000-0000-000045240000}"/>
    <cellStyle name="Millares 2 6 9 3 4 2" xfId="45295" xr:uid="{00000000-0005-0000-0000-000046240000}"/>
    <cellStyle name="Millares 2 6 9 3 5" xfId="31733" xr:uid="{00000000-0005-0000-0000-000047240000}"/>
    <cellStyle name="Millares 2 6 9 4" xfId="7972" xr:uid="{00000000-0005-0000-0000-000048240000}"/>
    <cellStyle name="Millares 2 6 9 4 2" xfId="14762" xr:uid="{00000000-0005-0000-0000-000049240000}"/>
    <cellStyle name="Millares 2 6 9 4 2 2" xfId="28330" xr:uid="{00000000-0005-0000-0000-00004A240000}"/>
    <cellStyle name="Millares 2 6 9 4 2 2 2" xfId="55463" xr:uid="{00000000-0005-0000-0000-00004B240000}"/>
    <cellStyle name="Millares 2 6 9 4 2 3" xfId="41901" xr:uid="{00000000-0005-0000-0000-00004C240000}"/>
    <cellStyle name="Millares 2 6 9 4 3" xfId="21549" xr:uid="{00000000-0005-0000-0000-00004D240000}"/>
    <cellStyle name="Millares 2 6 9 4 3 2" xfId="48682" xr:uid="{00000000-0005-0000-0000-00004E240000}"/>
    <cellStyle name="Millares 2 6 9 4 4" xfId="35120" xr:uid="{00000000-0005-0000-0000-00004F240000}"/>
    <cellStyle name="Millares 2 6 9 5" xfId="11373" xr:uid="{00000000-0005-0000-0000-000050240000}"/>
    <cellStyle name="Millares 2 6 9 5 2" xfId="24941" xr:uid="{00000000-0005-0000-0000-000051240000}"/>
    <cellStyle name="Millares 2 6 9 5 2 2" xfId="52074" xr:uid="{00000000-0005-0000-0000-000052240000}"/>
    <cellStyle name="Millares 2 6 9 5 3" xfId="38512" xr:uid="{00000000-0005-0000-0000-000053240000}"/>
    <cellStyle name="Millares 2 6 9 6" xfId="18160" xr:uid="{00000000-0005-0000-0000-000054240000}"/>
    <cellStyle name="Millares 2 6 9 6 2" xfId="45293" xr:uid="{00000000-0005-0000-0000-000055240000}"/>
    <cellStyle name="Millares 2 6 9 7" xfId="31731" xr:uid="{00000000-0005-0000-0000-000056240000}"/>
    <cellStyle name="Millares 2 60" xfId="2422" xr:uid="{00000000-0005-0000-0000-000057240000}"/>
    <cellStyle name="Millares 2 61" xfId="2423" xr:uid="{00000000-0005-0000-0000-000058240000}"/>
    <cellStyle name="Millares 2 62" xfId="2424" xr:uid="{00000000-0005-0000-0000-000059240000}"/>
    <cellStyle name="Millares 2 63" xfId="2425" xr:uid="{00000000-0005-0000-0000-00005A240000}"/>
    <cellStyle name="Millares 2 64" xfId="2426" xr:uid="{00000000-0005-0000-0000-00005B240000}"/>
    <cellStyle name="Millares 2 65" xfId="2427" xr:uid="{00000000-0005-0000-0000-00005C240000}"/>
    <cellStyle name="Millares 2 66" xfId="2428" xr:uid="{00000000-0005-0000-0000-00005D240000}"/>
    <cellStyle name="Millares 2 67" xfId="2429" xr:uid="{00000000-0005-0000-0000-00005E240000}"/>
    <cellStyle name="Millares 2 68" xfId="2430" xr:uid="{00000000-0005-0000-0000-00005F240000}"/>
    <cellStyle name="Millares 2 69" xfId="2431" xr:uid="{00000000-0005-0000-0000-000060240000}"/>
    <cellStyle name="Millares 2 7" xfId="2432" xr:uid="{00000000-0005-0000-0000-000061240000}"/>
    <cellStyle name="Millares 2 7 10" xfId="4365" xr:uid="{00000000-0005-0000-0000-000062240000}"/>
    <cellStyle name="Millares 2 7 10 2" xfId="7975" xr:uid="{00000000-0005-0000-0000-000063240000}"/>
    <cellStyle name="Millares 2 7 10 2 2" xfId="14765" xr:uid="{00000000-0005-0000-0000-000064240000}"/>
    <cellStyle name="Millares 2 7 10 2 2 2" xfId="28333" xr:uid="{00000000-0005-0000-0000-000065240000}"/>
    <cellStyle name="Millares 2 7 10 2 2 2 2" xfId="55466" xr:uid="{00000000-0005-0000-0000-000066240000}"/>
    <cellStyle name="Millares 2 7 10 2 2 3" xfId="41904" xr:uid="{00000000-0005-0000-0000-000067240000}"/>
    <cellStyle name="Millares 2 7 10 2 3" xfId="21552" xr:uid="{00000000-0005-0000-0000-000068240000}"/>
    <cellStyle name="Millares 2 7 10 2 3 2" xfId="48685" xr:uid="{00000000-0005-0000-0000-000069240000}"/>
    <cellStyle name="Millares 2 7 10 2 4" xfId="35123" xr:uid="{00000000-0005-0000-0000-00006A240000}"/>
    <cellStyle name="Millares 2 7 10 3" xfId="11376" xr:uid="{00000000-0005-0000-0000-00006B240000}"/>
    <cellStyle name="Millares 2 7 10 3 2" xfId="24944" xr:uid="{00000000-0005-0000-0000-00006C240000}"/>
    <cellStyle name="Millares 2 7 10 3 2 2" xfId="52077" xr:uid="{00000000-0005-0000-0000-00006D240000}"/>
    <cellStyle name="Millares 2 7 10 3 3" xfId="38515" xr:uid="{00000000-0005-0000-0000-00006E240000}"/>
    <cellStyle name="Millares 2 7 10 4" xfId="18163" xr:uid="{00000000-0005-0000-0000-00006F240000}"/>
    <cellStyle name="Millares 2 7 10 4 2" xfId="45296" xr:uid="{00000000-0005-0000-0000-000070240000}"/>
    <cellStyle name="Millares 2 7 10 5" xfId="31734" xr:uid="{00000000-0005-0000-0000-000071240000}"/>
    <cellStyle name="Millares 2 7 2" xfId="4366" xr:uid="{00000000-0005-0000-0000-000072240000}"/>
    <cellStyle name="Millares 2 7 2 10" xfId="11377" xr:uid="{00000000-0005-0000-0000-000073240000}"/>
    <cellStyle name="Millares 2 7 2 10 2" xfId="24945" xr:uid="{00000000-0005-0000-0000-000074240000}"/>
    <cellStyle name="Millares 2 7 2 10 2 2" xfId="52078" xr:uid="{00000000-0005-0000-0000-000075240000}"/>
    <cellStyle name="Millares 2 7 2 10 3" xfId="38516" xr:uid="{00000000-0005-0000-0000-000076240000}"/>
    <cellStyle name="Millares 2 7 2 11" xfId="18164" xr:uid="{00000000-0005-0000-0000-000077240000}"/>
    <cellStyle name="Millares 2 7 2 11 2" xfId="45297" xr:uid="{00000000-0005-0000-0000-000078240000}"/>
    <cellStyle name="Millares 2 7 2 12" xfId="31735" xr:uid="{00000000-0005-0000-0000-000079240000}"/>
    <cellStyle name="Millares 2 7 2 2" xfId="4367" xr:uid="{00000000-0005-0000-0000-00007A240000}"/>
    <cellStyle name="Millares 2 7 2 2 10" xfId="31736" xr:uid="{00000000-0005-0000-0000-00007B240000}"/>
    <cellStyle name="Millares 2 7 2 2 2" xfId="4368" xr:uid="{00000000-0005-0000-0000-00007C240000}"/>
    <cellStyle name="Millares 2 7 2 2 2 2" xfId="4369" xr:uid="{00000000-0005-0000-0000-00007D240000}"/>
    <cellStyle name="Millares 2 7 2 2 2 2 2" xfId="4370" xr:uid="{00000000-0005-0000-0000-00007E240000}"/>
    <cellStyle name="Millares 2 7 2 2 2 2 2 2" xfId="7980" xr:uid="{00000000-0005-0000-0000-00007F240000}"/>
    <cellStyle name="Millares 2 7 2 2 2 2 2 2 2" xfId="14770" xr:uid="{00000000-0005-0000-0000-000080240000}"/>
    <cellStyle name="Millares 2 7 2 2 2 2 2 2 2 2" xfId="28338" xr:uid="{00000000-0005-0000-0000-000081240000}"/>
    <cellStyle name="Millares 2 7 2 2 2 2 2 2 2 2 2" xfId="55471" xr:uid="{00000000-0005-0000-0000-000082240000}"/>
    <cellStyle name="Millares 2 7 2 2 2 2 2 2 2 3" xfId="41909" xr:uid="{00000000-0005-0000-0000-000083240000}"/>
    <cellStyle name="Millares 2 7 2 2 2 2 2 2 3" xfId="21557" xr:uid="{00000000-0005-0000-0000-000084240000}"/>
    <cellStyle name="Millares 2 7 2 2 2 2 2 2 3 2" xfId="48690" xr:uid="{00000000-0005-0000-0000-000085240000}"/>
    <cellStyle name="Millares 2 7 2 2 2 2 2 2 4" xfId="35128" xr:uid="{00000000-0005-0000-0000-000086240000}"/>
    <cellStyle name="Millares 2 7 2 2 2 2 2 3" xfId="11381" xr:uid="{00000000-0005-0000-0000-000087240000}"/>
    <cellStyle name="Millares 2 7 2 2 2 2 2 3 2" xfId="24949" xr:uid="{00000000-0005-0000-0000-000088240000}"/>
    <cellStyle name="Millares 2 7 2 2 2 2 2 3 2 2" xfId="52082" xr:uid="{00000000-0005-0000-0000-000089240000}"/>
    <cellStyle name="Millares 2 7 2 2 2 2 2 3 3" xfId="38520" xr:uid="{00000000-0005-0000-0000-00008A240000}"/>
    <cellStyle name="Millares 2 7 2 2 2 2 2 4" xfId="18168" xr:uid="{00000000-0005-0000-0000-00008B240000}"/>
    <cellStyle name="Millares 2 7 2 2 2 2 2 4 2" xfId="45301" xr:uid="{00000000-0005-0000-0000-00008C240000}"/>
    <cellStyle name="Millares 2 7 2 2 2 2 2 5" xfId="31739" xr:uid="{00000000-0005-0000-0000-00008D240000}"/>
    <cellStyle name="Millares 2 7 2 2 2 2 3" xfId="4371" xr:uid="{00000000-0005-0000-0000-00008E240000}"/>
    <cellStyle name="Millares 2 7 2 2 2 2 3 2" xfId="7981" xr:uid="{00000000-0005-0000-0000-00008F240000}"/>
    <cellStyle name="Millares 2 7 2 2 2 2 3 2 2" xfId="14771" xr:uid="{00000000-0005-0000-0000-000090240000}"/>
    <cellStyle name="Millares 2 7 2 2 2 2 3 2 2 2" xfId="28339" xr:uid="{00000000-0005-0000-0000-000091240000}"/>
    <cellStyle name="Millares 2 7 2 2 2 2 3 2 2 2 2" xfId="55472" xr:uid="{00000000-0005-0000-0000-000092240000}"/>
    <cellStyle name="Millares 2 7 2 2 2 2 3 2 2 3" xfId="41910" xr:uid="{00000000-0005-0000-0000-000093240000}"/>
    <cellStyle name="Millares 2 7 2 2 2 2 3 2 3" xfId="21558" xr:uid="{00000000-0005-0000-0000-000094240000}"/>
    <cellStyle name="Millares 2 7 2 2 2 2 3 2 3 2" xfId="48691" xr:uid="{00000000-0005-0000-0000-000095240000}"/>
    <cellStyle name="Millares 2 7 2 2 2 2 3 2 4" xfId="35129" xr:uid="{00000000-0005-0000-0000-000096240000}"/>
    <cellStyle name="Millares 2 7 2 2 2 2 3 3" xfId="11382" xr:uid="{00000000-0005-0000-0000-000097240000}"/>
    <cellStyle name="Millares 2 7 2 2 2 2 3 3 2" xfId="24950" xr:uid="{00000000-0005-0000-0000-000098240000}"/>
    <cellStyle name="Millares 2 7 2 2 2 2 3 3 2 2" xfId="52083" xr:uid="{00000000-0005-0000-0000-000099240000}"/>
    <cellStyle name="Millares 2 7 2 2 2 2 3 3 3" xfId="38521" xr:uid="{00000000-0005-0000-0000-00009A240000}"/>
    <cellStyle name="Millares 2 7 2 2 2 2 3 4" xfId="18169" xr:uid="{00000000-0005-0000-0000-00009B240000}"/>
    <cellStyle name="Millares 2 7 2 2 2 2 3 4 2" xfId="45302" xr:uid="{00000000-0005-0000-0000-00009C240000}"/>
    <cellStyle name="Millares 2 7 2 2 2 2 3 5" xfId="31740" xr:uid="{00000000-0005-0000-0000-00009D240000}"/>
    <cellStyle name="Millares 2 7 2 2 2 2 4" xfId="7979" xr:uid="{00000000-0005-0000-0000-00009E240000}"/>
    <cellStyle name="Millares 2 7 2 2 2 2 4 2" xfId="14769" xr:uid="{00000000-0005-0000-0000-00009F240000}"/>
    <cellStyle name="Millares 2 7 2 2 2 2 4 2 2" xfId="28337" xr:uid="{00000000-0005-0000-0000-0000A0240000}"/>
    <cellStyle name="Millares 2 7 2 2 2 2 4 2 2 2" xfId="55470" xr:uid="{00000000-0005-0000-0000-0000A1240000}"/>
    <cellStyle name="Millares 2 7 2 2 2 2 4 2 3" xfId="41908" xr:uid="{00000000-0005-0000-0000-0000A2240000}"/>
    <cellStyle name="Millares 2 7 2 2 2 2 4 3" xfId="21556" xr:uid="{00000000-0005-0000-0000-0000A3240000}"/>
    <cellStyle name="Millares 2 7 2 2 2 2 4 3 2" xfId="48689" xr:uid="{00000000-0005-0000-0000-0000A4240000}"/>
    <cellStyle name="Millares 2 7 2 2 2 2 4 4" xfId="35127" xr:uid="{00000000-0005-0000-0000-0000A5240000}"/>
    <cellStyle name="Millares 2 7 2 2 2 2 5" xfId="11380" xr:uid="{00000000-0005-0000-0000-0000A6240000}"/>
    <cellStyle name="Millares 2 7 2 2 2 2 5 2" xfId="24948" xr:uid="{00000000-0005-0000-0000-0000A7240000}"/>
    <cellStyle name="Millares 2 7 2 2 2 2 5 2 2" xfId="52081" xr:uid="{00000000-0005-0000-0000-0000A8240000}"/>
    <cellStyle name="Millares 2 7 2 2 2 2 5 3" xfId="38519" xr:uid="{00000000-0005-0000-0000-0000A9240000}"/>
    <cellStyle name="Millares 2 7 2 2 2 2 6" xfId="18167" xr:uid="{00000000-0005-0000-0000-0000AA240000}"/>
    <cellStyle name="Millares 2 7 2 2 2 2 6 2" xfId="45300" xr:uid="{00000000-0005-0000-0000-0000AB240000}"/>
    <cellStyle name="Millares 2 7 2 2 2 2 7" xfId="31738" xr:uid="{00000000-0005-0000-0000-0000AC240000}"/>
    <cellStyle name="Millares 2 7 2 2 2 3" xfId="4372" xr:uid="{00000000-0005-0000-0000-0000AD240000}"/>
    <cellStyle name="Millares 2 7 2 2 2 3 2" xfId="4373" xr:uid="{00000000-0005-0000-0000-0000AE240000}"/>
    <cellStyle name="Millares 2 7 2 2 2 3 2 2" xfId="7983" xr:uid="{00000000-0005-0000-0000-0000AF240000}"/>
    <cellStyle name="Millares 2 7 2 2 2 3 2 2 2" xfId="14773" xr:uid="{00000000-0005-0000-0000-0000B0240000}"/>
    <cellStyle name="Millares 2 7 2 2 2 3 2 2 2 2" xfId="28341" xr:uid="{00000000-0005-0000-0000-0000B1240000}"/>
    <cellStyle name="Millares 2 7 2 2 2 3 2 2 2 2 2" xfId="55474" xr:uid="{00000000-0005-0000-0000-0000B2240000}"/>
    <cellStyle name="Millares 2 7 2 2 2 3 2 2 2 3" xfId="41912" xr:uid="{00000000-0005-0000-0000-0000B3240000}"/>
    <cellStyle name="Millares 2 7 2 2 2 3 2 2 3" xfId="21560" xr:uid="{00000000-0005-0000-0000-0000B4240000}"/>
    <cellStyle name="Millares 2 7 2 2 2 3 2 2 3 2" xfId="48693" xr:uid="{00000000-0005-0000-0000-0000B5240000}"/>
    <cellStyle name="Millares 2 7 2 2 2 3 2 2 4" xfId="35131" xr:uid="{00000000-0005-0000-0000-0000B6240000}"/>
    <cellStyle name="Millares 2 7 2 2 2 3 2 3" xfId="11384" xr:uid="{00000000-0005-0000-0000-0000B7240000}"/>
    <cellStyle name="Millares 2 7 2 2 2 3 2 3 2" xfId="24952" xr:uid="{00000000-0005-0000-0000-0000B8240000}"/>
    <cellStyle name="Millares 2 7 2 2 2 3 2 3 2 2" xfId="52085" xr:uid="{00000000-0005-0000-0000-0000B9240000}"/>
    <cellStyle name="Millares 2 7 2 2 2 3 2 3 3" xfId="38523" xr:uid="{00000000-0005-0000-0000-0000BA240000}"/>
    <cellStyle name="Millares 2 7 2 2 2 3 2 4" xfId="18171" xr:uid="{00000000-0005-0000-0000-0000BB240000}"/>
    <cellStyle name="Millares 2 7 2 2 2 3 2 4 2" xfId="45304" xr:uid="{00000000-0005-0000-0000-0000BC240000}"/>
    <cellStyle name="Millares 2 7 2 2 2 3 2 5" xfId="31742" xr:uid="{00000000-0005-0000-0000-0000BD240000}"/>
    <cellStyle name="Millares 2 7 2 2 2 3 3" xfId="7982" xr:uid="{00000000-0005-0000-0000-0000BE240000}"/>
    <cellStyle name="Millares 2 7 2 2 2 3 3 2" xfId="14772" xr:uid="{00000000-0005-0000-0000-0000BF240000}"/>
    <cellStyle name="Millares 2 7 2 2 2 3 3 2 2" xfId="28340" xr:uid="{00000000-0005-0000-0000-0000C0240000}"/>
    <cellStyle name="Millares 2 7 2 2 2 3 3 2 2 2" xfId="55473" xr:uid="{00000000-0005-0000-0000-0000C1240000}"/>
    <cellStyle name="Millares 2 7 2 2 2 3 3 2 3" xfId="41911" xr:uid="{00000000-0005-0000-0000-0000C2240000}"/>
    <cellStyle name="Millares 2 7 2 2 2 3 3 3" xfId="21559" xr:uid="{00000000-0005-0000-0000-0000C3240000}"/>
    <cellStyle name="Millares 2 7 2 2 2 3 3 3 2" xfId="48692" xr:uid="{00000000-0005-0000-0000-0000C4240000}"/>
    <cellStyle name="Millares 2 7 2 2 2 3 3 4" xfId="35130" xr:uid="{00000000-0005-0000-0000-0000C5240000}"/>
    <cellStyle name="Millares 2 7 2 2 2 3 4" xfId="11383" xr:uid="{00000000-0005-0000-0000-0000C6240000}"/>
    <cellStyle name="Millares 2 7 2 2 2 3 4 2" xfId="24951" xr:uid="{00000000-0005-0000-0000-0000C7240000}"/>
    <cellStyle name="Millares 2 7 2 2 2 3 4 2 2" xfId="52084" xr:uid="{00000000-0005-0000-0000-0000C8240000}"/>
    <cellStyle name="Millares 2 7 2 2 2 3 4 3" xfId="38522" xr:uid="{00000000-0005-0000-0000-0000C9240000}"/>
    <cellStyle name="Millares 2 7 2 2 2 3 5" xfId="18170" xr:uid="{00000000-0005-0000-0000-0000CA240000}"/>
    <cellStyle name="Millares 2 7 2 2 2 3 5 2" xfId="45303" xr:uid="{00000000-0005-0000-0000-0000CB240000}"/>
    <cellStyle name="Millares 2 7 2 2 2 3 6" xfId="31741" xr:uid="{00000000-0005-0000-0000-0000CC240000}"/>
    <cellStyle name="Millares 2 7 2 2 2 4" xfId="4374" xr:uid="{00000000-0005-0000-0000-0000CD240000}"/>
    <cellStyle name="Millares 2 7 2 2 2 4 2" xfId="7984" xr:uid="{00000000-0005-0000-0000-0000CE240000}"/>
    <cellStyle name="Millares 2 7 2 2 2 4 2 2" xfId="14774" xr:uid="{00000000-0005-0000-0000-0000CF240000}"/>
    <cellStyle name="Millares 2 7 2 2 2 4 2 2 2" xfId="28342" xr:uid="{00000000-0005-0000-0000-0000D0240000}"/>
    <cellStyle name="Millares 2 7 2 2 2 4 2 2 2 2" xfId="55475" xr:uid="{00000000-0005-0000-0000-0000D1240000}"/>
    <cellStyle name="Millares 2 7 2 2 2 4 2 2 3" xfId="41913" xr:uid="{00000000-0005-0000-0000-0000D2240000}"/>
    <cellStyle name="Millares 2 7 2 2 2 4 2 3" xfId="21561" xr:uid="{00000000-0005-0000-0000-0000D3240000}"/>
    <cellStyle name="Millares 2 7 2 2 2 4 2 3 2" xfId="48694" xr:uid="{00000000-0005-0000-0000-0000D4240000}"/>
    <cellStyle name="Millares 2 7 2 2 2 4 2 4" xfId="35132" xr:uid="{00000000-0005-0000-0000-0000D5240000}"/>
    <cellStyle name="Millares 2 7 2 2 2 4 3" xfId="11385" xr:uid="{00000000-0005-0000-0000-0000D6240000}"/>
    <cellStyle name="Millares 2 7 2 2 2 4 3 2" xfId="24953" xr:uid="{00000000-0005-0000-0000-0000D7240000}"/>
    <cellStyle name="Millares 2 7 2 2 2 4 3 2 2" xfId="52086" xr:uid="{00000000-0005-0000-0000-0000D8240000}"/>
    <cellStyle name="Millares 2 7 2 2 2 4 3 3" xfId="38524" xr:uid="{00000000-0005-0000-0000-0000D9240000}"/>
    <cellStyle name="Millares 2 7 2 2 2 4 4" xfId="18172" xr:uid="{00000000-0005-0000-0000-0000DA240000}"/>
    <cellStyle name="Millares 2 7 2 2 2 4 4 2" xfId="45305" xr:uid="{00000000-0005-0000-0000-0000DB240000}"/>
    <cellStyle name="Millares 2 7 2 2 2 4 5" xfId="31743" xr:uid="{00000000-0005-0000-0000-0000DC240000}"/>
    <cellStyle name="Millares 2 7 2 2 2 5" xfId="4375" xr:uid="{00000000-0005-0000-0000-0000DD240000}"/>
    <cellStyle name="Millares 2 7 2 2 2 5 2" xfId="7985" xr:uid="{00000000-0005-0000-0000-0000DE240000}"/>
    <cellStyle name="Millares 2 7 2 2 2 5 2 2" xfId="14775" xr:uid="{00000000-0005-0000-0000-0000DF240000}"/>
    <cellStyle name="Millares 2 7 2 2 2 5 2 2 2" xfId="28343" xr:uid="{00000000-0005-0000-0000-0000E0240000}"/>
    <cellStyle name="Millares 2 7 2 2 2 5 2 2 2 2" xfId="55476" xr:uid="{00000000-0005-0000-0000-0000E1240000}"/>
    <cellStyle name="Millares 2 7 2 2 2 5 2 2 3" xfId="41914" xr:uid="{00000000-0005-0000-0000-0000E2240000}"/>
    <cellStyle name="Millares 2 7 2 2 2 5 2 3" xfId="21562" xr:uid="{00000000-0005-0000-0000-0000E3240000}"/>
    <cellStyle name="Millares 2 7 2 2 2 5 2 3 2" xfId="48695" xr:uid="{00000000-0005-0000-0000-0000E4240000}"/>
    <cellStyle name="Millares 2 7 2 2 2 5 2 4" xfId="35133" xr:uid="{00000000-0005-0000-0000-0000E5240000}"/>
    <cellStyle name="Millares 2 7 2 2 2 5 3" xfId="11386" xr:uid="{00000000-0005-0000-0000-0000E6240000}"/>
    <cellStyle name="Millares 2 7 2 2 2 5 3 2" xfId="24954" xr:uid="{00000000-0005-0000-0000-0000E7240000}"/>
    <cellStyle name="Millares 2 7 2 2 2 5 3 2 2" xfId="52087" xr:uid="{00000000-0005-0000-0000-0000E8240000}"/>
    <cellStyle name="Millares 2 7 2 2 2 5 3 3" xfId="38525" xr:uid="{00000000-0005-0000-0000-0000E9240000}"/>
    <cellStyle name="Millares 2 7 2 2 2 5 4" xfId="18173" xr:uid="{00000000-0005-0000-0000-0000EA240000}"/>
    <cellStyle name="Millares 2 7 2 2 2 5 4 2" xfId="45306" xr:uid="{00000000-0005-0000-0000-0000EB240000}"/>
    <cellStyle name="Millares 2 7 2 2 2 5 5" xfId="31744" xr:uid="{00000000-0005-0000-0000-0000EC240000}"/>
    <cellStyle name="Millares 2 7 2 2 2 6" xfId="7978" xr:uid="{00000000-0005-0000-0000-0000ED240000}"/>
    <cellStyle name="Millares 2 7 2 2 2 6 2" xfId="14768" xr:uid="{00000000-0005-0000-0000-0000EE240000}"/>
    <cellStyle name="Millares 2 7 2 2 2 6 2 2" xfId="28336" xr:uid="{00000000-0005-0000-0000-0000EF240000}"/>
    <cellStyle name="Millares 2 7 2 2 2 6 2 2 2" xfId="55469" xr:uid="{00000000-0005-0000-0000-0000F0240000}"/>
    <cellStyle name="Millares 2 7 2 2 2 6 2 3" xfId="41907" xr:uid="{00000000-0005-0000-0000-0000F1240000}"/>
    <cellStyle name="Millares 2 7 2 2 2 6 3" xfId="21555" xr:uid="{00000000-0005-0000-0000-0000F2240000}"/>
    <cellStyle name="Millares 2 7 2 2 2 6 3 2" xfId="48688" xr:uid="{00000000-0005-0000-0000-0000F3240000}"/>
    <cellStyle name="Millares 2 7 2 2 2 6 4" xfId="35126" xr:uid="{00000000-0005-0000-0000-0000F4240000}"/>
    <cellStyle name="Millares 2 7 2 2 2 7" xfId="11379" xr:uid="{00000000-0005-0000-0000-0000F5240000}"/>
    <cellStyle name="Millares 2 7 2 2 2 7 2" xfId="24947" xr:uid="{00000000-0005-0000-0000-0000F6240000}"/>
    <cellStyle name="Millares 2 7 2 2 2 7 2 2" xfId="52080" xr:uid="{00000000-0005-0000-0000-0000F7240000}"/>
    <cellStyle name="Millares 2 7 2 2 2 7 3" xfId="38518" xr:uid="{00000000-0005-0000-0000-0000F8240000}"/>
    <cellStyle name="Millares 2 7 2 2 2 8" xfId="18166" xr:uid="{00000000-0005-0000-0000-0000F9240000}"/>
    <cellStyle name="Millares 2 7 2 2 2 8 2" xfId="45299" xr:uid="{00000000-0005-0000-0000-0000FA240000}"/>
    <cellStyle name="Millares 2 7 2 2 2 9" xfId="31737" xr:uid="{00000000-0005-0000-0000-0000FB240000}"/>
    <cellStyle name="Millares 2 7 2 2 3" xfId="4376" xr:uid="{00000000-0005-0000-0000-0000FC240000}"/>
    <cellStyle name="Millares 2 7 2 2 3 2" xfId="4377" xr:uid="{00000000-0005-0000-0000-0000FD240000}"/>
    <cellStyle name="Millares 2 7 2 2 3 2 2" xfId="7987" xr:uid="{00000000-0005-0000-0000-0000FE240000}"/>
    <cellStyle name="Millares 2 7 2 2 3 2 2 2" xfId="14777" xr:uid="{00000000-0005-0000-0000-0000FF240000}"/>
    <cellStyle name="Millares 2 7 2 2 3 2 2 2 2" xfId="28345" xr:uid="{00000000-0005-0000-0000-000000250000}"/>
    <cellStyle name="Millares 2 7 2 2 3 2 2 2 2 2" xfId="55478" xr:uid="{00000000-0005-0000-0000-000001250000}"/>
    <cellStyle name="Millares 2 7 2 2 3 2 2 2 3" xfId="41916" xr:uid="{00000000-0005-0000-0000-000002250000}"/>
    <cellStyle name="Millares 2 7 2 2 3 2 2 3" xfId="21564" xr:uid="{00000000-0005-0000-0000-000003250000}"/>
    <cellStyle name="Millares 2 7 2 2 3 2 2 3 2" xfId="48697" xr:uid="{00000000-0005-0000-0000-000004250000}"/>
    <cellStyle name="Millares 2 7 2 2 3 2 2 4" xfId="35135" xr:uid="{00000000-0005-0000-0000-000005250000}"/>
    <cellStyle name="Millares 2 7 2 2 3 2 3" xfId="11388" xr:uid="{00000000-0005-0000-0000-000006250000}"/>
    <cellStyle name="Millares 2 7 2 2 3 2 3 2" xfId="24956" xr:uid="{00000000-0005-0000-0000-000007250000}"/>
    <cellStyle name="Millares 2 7 2 2 3 2 3 2 2" xfId="52089" xr:uid="{00000000-0005-0000-0000-000008250000}"/>
    <cellStyle name="Millares 2 7 2 2 3 2 3 3" xfId="38527" xr:uid="{00000000-0005-0000-0000-000009250000}"/>
    <cellStyle name="Millares 2 7 2 2 3 2 4" xfId="18175" xr:uid="{00000000-0005-0000-0000-00000A250000}"/>
    <cellStyle name="Millares 2 7 2 2 3 2 4 2" xfId="45308" xr:uid="{00000000-0005-0000-0000-00000B250000}"/>
    <cellStyle name="Millares 2 7 2 2 3 2 5" xfId="31746" xr:uid="{00000000-0005-0000-0000-00000C250000}"/>
    <cellStyle name="Millares 2 7 2 2 3 3" xfId="4378" xr:uid="{00000000-0005-0000-0000-00000D250000}"/>
    <cellStyle name="Millares 2 7 2 2 3 3 2" xfId="7988" xr:uid="{00000000-0005-0000-0000-00000E250000}"/>
    <cellStyle name="Millares 2 7 2 2 3 3 2 2" xfId="14778" xr:uid="{00000000-0005-0000-0000-00000F250000}"/>
    <cellStyle name="Millares 2 7 2 2 3 3 2 2 2" xfId="28346" xr:uid="{00000000-0005-0000-0000-000010250000}"/>
    <cellStyle name="Millares 2 7 2 2 3 3 2 2 2 2" xfId="55479" xr:uid="{00000000-0005-0000-0000-000011250000}"/>
    <cellStyle name="Millares 2 7 2 2 3 3 2 2 3" xfId="41917" xr:uid="{00000000-0005-0000-0000-000012250000}"/>
    <cellStyle name="Millares 2 7 2 2 3 3 2 3" xfId="21565" xr:uid="{00000000-0005-0000-0000-000013250000}"/>
    <cellStyle name="Millares 2 7 2 2 3 3 2 3 2" xfId="48698" xr:uid="{00000000-0005-0000-0000-000014250000}"/>
    <cellStyle name="Millares 2 7 2 2 3 3 2 4" xfId="35136" xr:uid="{00000000-0005-0000-0000-000015250000}"/>
    <cellStyle name="Millares 2 7 2 2 3 3 3" xfId="11389" xr:uid="{00000000-0005-0000-0000-000016250000}"/>
    <cellStyle name="Millares 2 7 2 2 3 3 3 2" xfId="24957" xr:uid="{00000000-0005-0000-0000-000017250000}"/>
    <cellStyle name="Millares 2 7 2 2 3 3 3 2 2" xfId="52090" xr:uid="{00000000-0005-0000-0000-000018250000}"/>
    <cellStyle name="Millares 2 7 2 2 3 3 3 3" xfId="38528" xr:uid="{00000000-0005-0000-0000-000019250000}"/>
    <cellStyle name="Millares 2 7 2 2 3 3 4" xfId="18176" xr:uid="{00000000-0005-0000-0000-00001A250000}"/>
    <cellStyle name="Millares 2 7 2 2 3 3 4 2" xfId="45309" xr:uid="{00000000-0005-0000-0000-00001B250000}"/>
    <cellStyle name="Millares 2 7 2 2 3 3 5" xfId="31747" xr:uid="{00000000-0005-0000-0000-00001C250000}"/>
    <cellStyle name="Millares 2 7 2 2 3 4" xfId="7986" xr:uid="{00000000-0005-0000-0000-00001D250000}"/>
    <cellStyle name="Millares 2 7 2 2 3 4 2" xfId="14776" xr:uid="{00000000-0005-0000-0000-00001E250000}"/>
    <cellStyle name="Millares 2 7 2 2 3 4 2 2" xfId="28344" xr:uid="{00000000-0005-0000-0000-00001F250000}"/>
    <cellStyle name="Millares 2 7 2 2 3 4 2 2 2" xfId="55477" xr:uid="{00000000-0005-0000-0000-000020250000}"/>
    <cellStyle name="Millares 2 7 2 2 3 4 2 3" xfId="41915" xr:uid="{00000000-0005-0000-0000-000021250000}"/>
    <cellStyle name="Millares 2 7 2 2 3 4 3" xfId="21563" xr:uid="{00000000-0005-0000-0000-000022250000}"/>
    <cellStyle name="Millares 2 7 2 2 3 4 3 2" xfId="48696" xr:uid="{00000000-0005-0000-0000-000023250000}"/>
    <cellStyle name="Millares 2 7 2 2 3 4 4" xfId="35134" xr:uid="{00000000-0005-0000-0000-000024250000}"/>
    <cellStyle name="Millares 2 7 2 2 3 5" xfId="11387" xr:uid="{00000000-0005-0000-0000-000025250000}"/>
    <cellStyle name="Millares 2 7 2 2 3 5 2" xfId="24955" xr:uid="{00000000-0005-0000-0000-000026250000}"/>
    <cellStyle name="Millares 2 7 2 2 3 5 2 2" xfId="52088" xr:uid="{00000000-0005-0000-0000-000027250000}"/>
    <cellStyle name="Millares 2 7 2 2 3 5 3" xfId="38526" xr:uid="{00000000-0005-0000-0000-000028250000}"/>
    <cellStyle name="Millares 2 7 2 2 3 6" xfId="18174" xr:uid="{00000000-0005-0000-0000-000029250000}"/>
    <cellStyle name="Millares 2 7 2 2 3 6 2" xfId="45307" xr:uid="{00000000-0005-0000-0000-00002A250000}"/>
    <cellStyle name="Millares 2 7 2 2 3 7" xfId="31745" xr:uid="{00000000-0005-0000-0000-00002B250000}"/>
    <cellStyle name="Millares 2 7 2 2 4" xfId="4379" xr:uid="{00000000-0005-0000-0000-00002C250000}"/>
    <cellStyle name="Millares 2 7 2 2 4 2" xfId="4380" xr:uid="{00000000-0005-0000-0000-00002D250000}"/>
    <cellStyle name="Millares 2 7 2 2 4 2 2" xfId="7990" xr:uid="{00000000-0005-0000-0000-00002E250000}"/>
    <cellStyle name="Millares 2 7 2 2 4 2 2 2" xfId="14780" xr:uid="{00000000-0005-0000-0000-00002F250000}"/>
    <cellStyle name="Millares 2 7 2 2 4 2 2 2 2" xfId="28348" xr:uid="{00000000-0005-0000-0000-000030250000}"/>
    <cellStyle name="Millares 2 7 2 2 4 2 2 2 2 2" xfId="55481" xr:uid="{00000000-0005-0000-0000-000031250000}"/>
    <cellStyle name="Millares 2 7 2 2 4 2 2 2 3" xfId="41919" xr:uid="{00000000-0005-0000-0000-000032250000}"/>
    <cellStyle name="Millares 2 7 2 2 4 2 2 3" xfId="21567" xr:uid="{00000000-0005-0000-0000-000033250000}"/>
    <cellStyle name="Millares 2 7 2 2 4 2 2 3 2" xfId="48700" xr:uid="{00000000-0005-0000-0000-000034250000}"/>
    <cellStyle name="Millares 2 7 2 2 4 2 2 4" xfId="35138" xr:uid="{00000000-0005-0000-0000-000035250000}"/>
    <cellStyle name="Millares 2 7 2 2 4 2 3" xfId="11391" xr:uid="{00000000-0005-0000-0000-000036250000}"/>
    <cellStyle name="Millares 2 7 2 2 4 2 3 2" xfId="24959" xr:uid="{00000000-0005-0000-0000-000037250000}"/>
    <cellStyle name="Millares 2 7 2 2 4 2 3 2 2" xfId="52092" xr:uid="{00000000-0005-0000-0000-000038250000}"/>
    <cellStyle name="Millares 2 7 2 2 4 2 3 3" xfId="38530" xr:uid="{00000000-0005-0000-0000-000039250000}"/>
    <cellStyle name="Millares 2 7 2 2 4 2 4" xfId="18178" xr:uid="{00000000-0005-0000-0000-00003A250000}"/>
    <cellStyle name="Millares 2 7 2 2 4 2 4 2" xfId="45311" xr:uid="{00000000-0005-0000-0000-00003B250000}"/>
    <cellStyle name="Millares 2 7 2 2 4 2 5" xfId="31749" xr:uid="{00000000-0005-0000-0000-00003C250000}"/>
    <cellStyle name="Millares 2 7 2 2 4 3" xfId="7989" xr:uid="{00000000-0005-0000-0000-00003D250000}"/>
    <cellStyle name="Millares 2 7 2 2 4 3 2" xfId="14779" xr:uid="{00000000-0005-0000-0000-00003E250000}"/>
    <cellStyle name="Millares 2 7 2 2 4 3 2 2" xfId="28347" xr:uid="{00000000-0005-0000-0000-00003F250000}"/>
    <cellStyle name="Millares 2 7 2 2 4 3 2 2 2" xfId="55480" xr:uid="{00000000-0005-0000-0000-000040250000}"/>
    <cellStyle name="Millares 2 7 2 2 4 3 2 3" xfId="41918" xr:uid="{00000000-0005-0000-0000-000041250000}"/>
    <cellStyle name="Millares 2 7 2 2 4 3 3" xfId="21566" xr:uid="{00000000-0005-0000-0000-000042250000}"/>
    <cellStyle name="Millares 2 7 2 2 4 3 3 2" xfId="48699" xr:uid="{00000000-0005-0000-0000-000043250000}"/>
    <cellStyle name="Millares 2 7 2 2 4 3 4" xfId="35137" xr:uid="{00000000-0005-0000-0000-000044250000}"/>
    <cellStyle name="Millares 2 7 2 2 4 4" xfId="11390" xr:uid="{00000000-0005-0000-0000-000045250000}"/>
    <cellStyle name="Millares 2 7 2 2 4 4 2" xfId="24958" xr:uid="{00000000-0005-0000-0000-000046250000}"/>
    <cellStyle name="Millares 2 7 2 2 4 4 2 2" xfId="52091" xr:uid="{00000000-0005-0000-0000-000047250000}"/>
    <cellStyle name="Millares 2 7 2 2 4 4 3" xfId="38529" xr:uid="{00000000-0005-0000-0000-000048250000}"/>
    <cellStyle name="Millares 2 7 2 2 4 5" xfId="18177" xr:uid="{00000000-0005-0000-0000-000049250000}"/>
    <cellStyle name="Millares 2 7 2 2 4 5 2" xfId="45310" xr:uid="{00000000-0005-0000-0000-00004A250000}"/>
    <cellStyle name="Millares 2 7 2 2 4 6" xfId="31748" xr:uid="{00000000-0005-0000-0000-00004B250000}"/>
    <cellStyle name="Millares 2 7 2 2 5" xfId="4381" xr:uid="{00000000-0005-0000-0000-00004C250000}"/>
    <cellStyle name="Millares 2 7 2 2 5 2" xfId="7991" xr:uid="{00000000-0005-0000-0000-00004D250000}"/>
    <cellStyle name="Millares 2 7 2 2 5 2 2" xfId="14781" xr:uid="{00000000-0005-0000-0000-00004E250000}"/>
    <cellStyle name="Millares 2 7 2 2 5 2 2 2" xfId="28349" xr:uid="{00000000-0005-0000-0000-00004F250000}"/>
    <cellStyle name="Millares 2 7 2 2 5 2 2 2 2" xfId="55482" xr:uid="{00000000-0005-0000-0000-000050250000}"/>
    <cellStyle name="Millares 2 7 2 2 5 2 2 3" xfId="41920" xr:uid="{00000000-0005-0000-0000-000051250000}"/>
    <cellStyle name="Millares 2 7 2 2 5 2 3" xfId="21568" xr:uid="{00000000-0005-0000-0000-000052250000}"/>
    <cellStyle name="Millares 2 7 2 2 5 2 3 2" xfId="48701" xr:uid="{00000000-0005-0000-0000-000053250000}"/>
    <cellStyle name="Millares 2 7 2 2 5 2 4" xfId="35139" xr:uid="{00000000-0005-0000-0000-000054250000}"/>
    <cellStyle name="Millares 2 7 2 2 5 3" xfId="11392" xr:uid="{00000000-0005-0000-0000-000055250000}"/>
    <cellStyle name="Millares 2 7 2 2 5 3 2" xfId="24960" xr:uid="{00000000-0005-0000-0000-000056250000}"/>
    <cellStyle name="Millares 2 7 2 2 5 3 2 2" xfId="52093" xr:uid="{00000000-0005-0000-0000-000057250000}"/>
    <cellStyle name="Millares 2 7 2 2 5 3 3" xfId="38531" xr:uid="{00000000-0005-0000-0000-000058250000}"/>
    <cellStyle name="Millares 2 7 2 2 5 4" xfId="18179" xr:uid="{00000000-0005-0000-0000-000059250000}"/>
    <cellStyle name="Millares 2 7 2 2 5 4 2" xfId="45312" xr:uid="{00000000-0005-0000-0000-00005A250000}"/>
    <cellStyle name="Millares 2 7 2 2 5 5" xfId="31750" xr:uid="{00000000-0005-0000-0000-00005B250000}"/>
    <cellStyle name="Millares 2 7 2 2 6" xfId="4382" xr:uid="{00000000-0005-0000-0000-00005C250000}"/>
    <cellStyle name="Millares 2 7 2 2 6 2" xfId="7992" xr:uid="{00000000-0005-0000-0000-00005D250000}"/>
    <cellStyle name="Millares 2 7 2 2 6 2 2" xfId="14782" xr:uid="{00000000-0005-0000-0000-00005E250000}"/>
    <cellStyle name="Millares 2 7 2 2 6 2 2 2" xfId="28350" xr:uid="{00000000-0005-0000-0000-00005F250000}"/>
    <cellStyle name="Millares 2 7 2 2 6 2 2 2 2" xfId="55483" xr:uid="{00000000-0005-0000-0000-000060250000}"/>
    <cellStyle name="Millares 2 7 2 2 6 2 2 3" xfId="41921" xr:uid="{00000000-0005-0000-0000-000061250000}"/>
    <cellStyle name="Millares 2 7 2 2 6 2 3" xfId="21569" xr:uid="{00000000-0005-0000-0000-000062250000}"/>
    <cellStyle name="Millares 2 7 2 2 6 2 3 2" xfId="48702" xr:uid="{00000000-0005-0000-0000-000063250000}"/>
    <cellStyle name="Millares 2 7 2 2 6 2 4" xfId="35140" xr:uid="{00000000-0005-0000-0000-000064250000}"/>
    <cellStyle name="Millares 2 7 2 2 6 3" xfId="11393" xr:uid="{00000000-0005-0000-0000-000065250000}"/>
    <cellStyle name="Millares 2 7 2 2 6 3 2" xfId="24961" xr:uid="{00000000-0005-0000-0000-000066250000}"/>
    <cellStyle name="Millares 2 7 2 2 6 3 2 2" xfId="52094" xr:uid="{00000000-0005-0000-0000-000067250000}"/>
    <cellStyle name="Millares 2 7 2 2 6 3 3" xfId="38532" xr:uid="{00000000-0005-0000-0000-000068250000}"/>
    <cellStyle name="Millares 2 7 2 2 6 4" xfId="18180" xr:uid="{00000000-0005-0000-0000-000069250000}"/>
    <cellStyle name="Millares 2 7 2 2 6 4 2" xfId="45313" xr:uid="{00000000-0005-0000-0000-00006A250000}"/>
    <cellStyle name="Millares 2 7 2 2 6 5" xfId="31751" xr:uid="{00000000-0005-0000-0000-00006B250000}"/>
    <cellStyle name="Millares 2 7 2 2 7" xfId="7977" xr:uid="{00000000-0005-0000-0000-00006C250000}"/>
    <cellStyle name="Millares 2 7 2 2 7 2" xfId="14767" xr:uid="{00000000-0005-0000-0000-00006D250000}"/>
    <cellStyle name="Millares 2 7 2 2 7 2 2" xfId="28335" xr:uid="{00000000-0005-0000-0000-00006E250000}"/>
    <cellStyle name="Millares 2 7 2 2 7 2 2 2" xfId="55468" xr:uid="{00000000-0005-0000-0000-00006F250000}"/>
    <cellStyle name="Millares 2 7 2 2 7 2 3" xfId="41906" xr:uid="{00000000-0005-0000-0000-000070250000}"/>
    <cellStyle name="Millares 2 7 2 2 7 3" xfId="21554" xr:uid="{00000000-0005-0000-0000-000071250000}"/>
    <cellStyle name="Millares 2 7 2 2 7 3 2" xfId="48687" xr:uid="{00000000-0005-0000-0000-000072250000}"/>
    <cellStyle name="Millares 2 7 2 2 7 4" xfId="35125" xr:uid="{00000000-0005-0000-0000-000073250000}"/>
    <cellStyle name="Millares 2 7 2 2 8" xfId="11378" xr:uid="{00000000-0005-0000-0000-000074250000}"/>
    <cellStyle name="Millares 2 7 2 2 8 2" xfId="24946" xr:uid="{00000000-0005-0000-0000-000075250000}"/>
    <cellStyle name="Millares 2 7 2 2 8 2 2" xfId="52079" xr:uid="{00000000-0005-0000-0000-000076250000}"/>
    <cellStyle name="Millares 2 7 2 2 8 3" xfId="38517" xr:uid="{00000000-0005-0000-0000-000077250000}"/>
    <cellStyle name="Millares 2 7 2 2 9" xfId="18165" xr:uid="{00000000-0005-0000-0000-000078250000}"/>
    <cellStyle name="Millares 2 7 2 2 9 2" xfId="45298" xr:uid="{00000000-0005-0000-0000-000079250000}"/>
    <cellStyle name="Millares 2 7 2 3" xfId="4383" xr:uid="{00000000-0005-0000-0000-00007A250000}"/>
    <cellStyle name="Millares 2 7 2 3 2" xfId="4384" xr:uid="{00000000-0005-0000-0000-00007B250000}"/>
    <cellStyle name="Millares 2 7 2 3 2 2" xfId="4385" xr:uid="{00000000-0005-0000-0000-00007C250000}"/>
    <cellStyle name="Millares 2 7 2 3 2 2 2" xfId="7995" xr:uid="{00000000-0005-0000-0000-00007D250000}"/>
    <cellStyle name="Millares 2 7 2 3 2 2 2 2" xfId="14785" xr:uid="{00000000-0005-0000-0000-00007E250000}"/>
    <cellStyle name="Millares 2 7 2 3 2 2 2 2 2" xfId="28353" xr:uid="{00000000-0005-0000-0000-00007F250000}"/>
    <cellStyle name="Millares 2 7 2 3 2 2 2 2 2 2" xfId="55486" xr:uid="{00000000-0005-0000-0000-000080250000}"/>
    <cellStyle name="Millares 2 7 2 3 2 2 2 2 3" xfId="41924" xr:uid="{00000000-0005-0000-0000-000081250000}"/>
    <cellStyle name="Millares 2 7 2 3 2 2 2 3" xfId="21572" xr:uid="{00000000-0005-0000-0000-000082250000}"/>
    <cellStyle name="Millares 2 7 2 3 2 2 2 3 2" xfId="48705" xr:uid="{00000000-0005-0000-0000-000083250000}"/>
    <cellStyle name="Millares 2 7 2 3 2 2 2 4" xfId="35143" xr:uid="{00000000-0005-0000-0000-000084250000}"/>
    <cellStyle name="Millares 2 7 2 3 2 2 3" xfId="11396" xr:uid="{00000000-0005-0000-0000-000085250000}"/>
    <cellStyle name="Millares 2 7 2 3 2 2 3 2" xfId="24964" xr:uid="{00000000-0005-0000-0000-000086250000}"/>
    <cellStyle name="Millares 2 7 2 3 2 2 3 2 2" xfId="52097" xr:uid="{00000000-0005-0000-0000-000087250000}"/>
    <cellStyle name="Millares 2 7 2 3 2 2 3 3" xfId="38535" xr:uid="{00000000-0005-0000-0000-000088250000}"/>
    <cellStyle name="Millares 2 7 2 3 2 2 4" xfId="18183" xr:uid="{00000000-0005-0000-0000-000089250000}"/>
    <cellStyle name="Millares 2 7 2 3 2 2 4 2" xfId="45316" xr:uid="{00000000-0005-0000-0000-00008A250000}"/>
    <cellStyle name="Millares 2 7 2 3 2 2 5" xfId="31754" xr:uid="{00000000-0005-0000-0000-00008B250000}"/>
    <cellStyle name="Millares 2 7 2 3 2 3" xfId="4386" xr:uid="{00000000-0005-0000-0000-00008C250000}"/>
    <cellStyle name="Millares 2 7 2 3 2 3 2" xfId="7996" xr:uid="{00000000-0005-0000-0000-00008D250000}"/>
    <cellStyle name="Millares 2 7 2 3 2 3 2 2" xfId="14786" xr:uid="{00000000-0005-0000-0000-00008E250000}"/>
    <cellStyle name="Millares 2 7 2 3 2 3 2 2 2" xfId="28354" xr:uid="{00000000-0005-0000-0000-00008F250000}"/>
    <cellStyle name="Millares 2 7 2 3 2 3 2 2 2 2" xfId="55487" xr:uid="{00000000-0005-0000-0000-000090250000}"/>
    <cellStyle name="Millares 2 7 2 3 2 3 2 2 3" xfId="41925" xr:uid="{00000000-0005-0000-0000-000091250000}"/>
    <cellStyle name="Millares 2 7 2 3 2 3 2 3" xfId="21573" xr:uid="{00000000-0005-0000-0000-000092250000}"/>
    <cellStyle name="Millares 2 7 2 3 2 3 2 3 2" xfId="48706" xr:uid="{00000000-0005-0000-0000-000093250000}"/>
    <cellStyle name="Millares 2 7 2 3 2 3 2 4" xfId="35144" xr:uid="{00000000-0005-0000-0000-000094250000}"/>
    <cellStyle name="Millares 2 7 2 3 2 3 3" xfId="11397" xr:uid="{00000000-0005-0000-0000-000095250000}"/>
    <cellStyle name="Millares 2 7 2 3 2 3 3 2" xfId="24965" xr:uid="{00000000-0005-0000-0000-000096250000}"/>
    <cellStyle name="Millares 2 7 2 3 2 3 3 2 2" xfId="52098" xr:uid="{00000000-0005-0000-0000-000097250000}"/>
    <cellStyle name="Millares 2 7 2 3 2 3 3 3" xfId="38536" xr:uid="{00000000-0005-0000-0000-000098250000}"/>
    <cellStyle name="Millares 2 7 2 3 2 3 4" xfId="18184" xr:uid="{00000000-0005-0000-0000-000099250000}"/>
    <cellStyle name="Millares 2 7 2 3 2 3 4 2" xfId="45317" xr:uid="{00000000-0005-0000-0000-00009A250000}"/>
    <cellStyle name="Millares 2 7 2 3 2 3 5" xfId="31755" xr:uid="{00000000-0005-0000-0000-00009B250000}"/>
    <cellStyle name="Millares 2 7 2 3 2 4" xfId="7994" xr:uid="{00000000-0005-0000-0000-00009C250000}"/>
    <cellStyle name="Millares 2 7 2 3 2 4 2" xfId="14784" xr:uid="{00000000-0005-0000-0000-00009D250000}"/>
    <cellStyle name="Millares 2 7 2 3 2 4 2 2" xfId="28352" xr:uid="{00000000-0005-0000-0000-00009E250000}"/>
    <cellStyle name="Millares 2 7 2 3 2 4 2 2 2" xfId="55485" xr:uid="{00000000-0005-0000-0000-00009F250000}"/>
    <cellStyle name="Millares 2 7 2 3 2 4 2 3" xfId="41923" xr:uid="{00000000-0005-0000-0000-0000A0250000}"/>
    <cellStyle name="Millares 2 7 2 3 2 4 3" xfId="21571" xr:uid="{00000000-0005-0000-0000-0000A1250000}"/>
    <cellStyle name="Millares 2 7 2 3 2 4 3 2" xfId="48704" xr:uid="{00000000-0005-0000-0000-0000A2250000}"/>
    <cellStyle name="Millares 2 7 2 3 2 4 4" xfId="35142" xr:uid="{00000000-0005-0000-0000-0000A3250000}"/>
    <cellStyle name="Millares 2 7 2 3 2 5" xfId="11395" xr:uid="{00000000-0005-0000-0000-0000A4250000}"/>
    <cellStyle name="Millares 2 7 2 3 2 5 2" xfId="24963" xr:uid="{00000000-0005-0000-0000-0000A5250000}"/>
    <cellStyle name="Millares 2 7 2 3 2 5 2 2" xfId="52096" xr:uid="{00000000-0005-0000-0000-0000A6250000}"/>
    <cellStyle name="Millares 2 7 2 3 2 5 3" xfId="38534" xr:uid="{00000000-0005-0000-0000-0000A7250000}"/>
    <cellStyle name="Millares 2 7 2 3 2 6" xfId="18182" xr:uid="{00000000-0005-0000-0000-0000A8250000}"/>
    <cellStyle name="Millares 2 7 2 3 2 6 2" xfId="45315" xr:uid="{00000000-0005-0000-0000-0000A9250000}"/>
    <cellStyle name="Millares 2 7 2 3 2 7" xfId="31753" xr:uid="{00000000-0005-0000-0000-0000AA250000}"/>
    <cellStyle name="Millares 2 7 2 3 3" xfId="4387" xr:uid="{00000000-0005-0000-0000-0000AB250000}"/>
    <cellStyle name="Millares 2 7 2 3 3 2" xfId="4388" xr:uid="{00000000-0005-0000-0000-0000AC250000}"/>
    <cellStyle name="Millares 2 7 2 3 3 2 2" xfId="7998" xr:uid="{00000000-0005-0000-0000-0000AD250000}"/>
    <cellStyle name="Millares 2 7 2 3 3 2 2 2" xfId="14788" xr:uid="{00000000-0005-0000-0000-0000AE250000}"/>
    <cellStyle name="Millares 2 7 2 3 3 2 2 2 2" xfId="28356" xr:uid="{00000000-0005-0000-0000-0000AF250000}"/>
    <cellStyle name="Millares 2 7 2 3 3 2 2 2 2 2" xfId="55489" xr:uid="{00000000-0005-0000-0000-0000B0250000}"/>
    <cellStyle name="Millares 2 7 2 3 3 2 2 2 3" xfId="41927" xr:uid="{00000000-0005-0000-0000-0000B1250000}"/>
    <cellStyle name="Millares 2 7 2 3 3 2 2 3" xfId="21575" xr:uid="{00000000-0005-0000-0000-0000B2250000}"/>
    <cellStyle name="Millares 2 7 2 3 3 2 2 3 2" xfId="48708" xr:uid="{00000000-0005-0000-0000-0000B3250000}"/>
    <cellStyle name="Millares 2 7 2 3 3 2 2 4" xfId="35146" xr:uid="{00000000-0005-0000-0000-0000B4250000}"/>
    <cellStyle name="Millares 2 7 2 3 3 2 3" xfId="11399" xr:uid="{00000000-0005-0000-0000-0000B5250000}"/>
    <cellStyle name="Millares 2 7 2 3 3 2 3 2" xfId="24967" xr:uid="{00000000-0005-0000-0000-0000B6250000}"/>
    <cellStyle name="Millares 2 7 2 3 3 2 3 2 2" xfId="52100" xr:uid="{00000000-0005-0000-0000-0000B7250000}"/>
    <cellStyle name="Millares 2 7 2 3 3 2 3 3" xfId="38538" xr:uid="{00000000-0005-0000-0000-0000B8250000}"/>
    <cellStyle name="Millares 2 7 2 3 3 2 4" xfId="18186" xr:uid="{00000000-0005-0000-0000-0000B9250000}"/>
    <cellStyle name="Millares 2 7 2 3 3 2 4 2" xfId="45319" xr:uid="{00000000-0005-0000-0000-0000BA250000}"/>
    <cellStyle name="Millares 2 7 2 3 3 2 5" xfId="31757" xr:uid="{00000000-0005-0000-0000-0000BB250000}"/>
    <cellStyle name="Millares 2 7 2 3 3 3" xfId="7997" xr:uid="{00000000-0005-0000-0000-0000BC250000}"/>
    <cellStyle name="Millares 2 7 2 3 3 3 2" xfId="14787" xr:uid="{00000000-0005-0000-0000-0000BD250000}"/>
    <cellStyle name="Millares 2 7 2 3 3 3 2 2" xfId="28355" xr:uid="{00000000-0005-0000-0000-0000BE250000}"/>
    <cellStyle name="Millares 2 7 2 3 3 3 2 2 2" xfId="55488" xr:uid="{00000000-0005-0000-0000-0000BF250000}"/>
    <cellStyle name="Millares 2 7 2 3 3 3 2 3" xfId="41926" xr:uid="{00000000-0005-0000-0000-0000C0250000}"/>
    <cellStyle name="Millares 2 7 2 3 3 3 3" xfId="21574" xr:uid="{00000000-0005-0000-0000-0000C1250000}"/>
    <cellStyle name="Millares 2 7 2 3 3 3 3 2" xfId="48707" xr:uid="{00000000-0005-0000-0000-0000C2250000}"/>
    <cellStyle name="Millares 2 7 2 3 3 3 4" xfId="35145" xr:uid="{00000000-0005-0000-0000-0000C3250000}"/>
    <cellStyle name="Millares 2 7 2 3 3 4" xfId="11398" xr:uid="{00000000-0005-0000-0000-0000C4250000}"/>
    <cellStyle name="Millares 2 7 2 3 3 4 2" xfId="24966" xr:uid="{00000000-0005-0000-0000-0000C5250000}"/>
    <cellStyle name="Millares 2 7 2 3 3 4 2 2" xfId="52099" xr:uid="{00000000-0005-0000-0000-0000C6250000}"/>
    <cellStyle name="Millares 2 7 2 3 3 4 3" xfId="38537" xr:uid="{00000000-0005-0000-0000-0000C7250000}"/>
    <cellStyle name="Millares 2 7 2 3 3 5" xfId="18185" xr:uid="{00000000-0005-0000-0000-0000C8250000}"/>
    <cellStyle name="Millares 2 7 2 3 3 5 2" xfId="45318" xr:uid="{00000000-0005-0000-0000-0000C9250000}"/>
    <cellStyle name="Millares 2 7 2 3 3 6" xfId="31756" xr:uid="{00000000-0005-0000-0000-0000CA250000}"/>
    <cellStyle name="Millares 2 7 2 3 4" xfId="4389" xr:uid="{00000000-0005-0000-0000-0000CB250000}"/>
    <cellStyle name="Millares 2 7 2 3 4 2" xfId="7999" xr:uid="{00000000-0005-0000-0000-0000CC250000}"/>
    <cellStyle name="Millares 2 7 2 3 4 2 2" xfId="14789" xr:uid="{00000000-0005-0000-0000-0000CD250000}"/>
    <cellStyle name="Millares 2 7 2 3 4 2 2 2" xfId="28357" xr:uid="{00000000-0005-0000-0000-0000CE250000}"/>
    <cellStyle name="Millares 2 7 2 3 4 2 2 2 2" xfId="55490" xr:uid="{00000000-0005-0000-0000-0000CF250000}"/>
    <cellStyle name="Millares 2 7 2 3 4 2 2 3" xfId="41928" xr:uid="{00000000-0005-0000-0000-0000D0250000}"/>
    <cellStyle name="Millares 2 7 2 3 4 2 3" xfId="21576" xr:uid="{00000000-0005-0000-0000-0000D1250000}"/>
    <cellStyle name="Millares 2 7 2 3 4 2 3 2" xfId="48709" xr:uid="{00000000-0005-0000-0000-0000D2250000}"/>
    <cellStyle name="Millares 2 7 2 3 4 2 4" xfId="35147" xr:uid="{00000000-0005-0000-0000-0000D3250000}"/>
    <cellStyle name="Millares 2 7 2 3 4 3" xfId="11400" xr:uid="{00000000-0005-0000-0000-0000D4250000}"/>
    <cellStyle name="Millares 2 7 2 3 4 3 2" xfId="24968" xr:uid="{00000000-0005-0000-0000-0000D5250000}"/>
    <cellStyle name="Millares 2 7 2 3 4 3 2 2" xfId="52101" xr:uid="{00000000-0005-0000-0000-0000D6250000}"/>
    <cellStyle name="Millares 2 7 2 3 4 3 3" xfId="38539" xr:uid="{00000000-0005-0000-0000-0000D7250000}"/>
    <cellStyle name="Millares 2 7 2 3 4 4" xfId="18187" xr:uid="{00000000-0005-0000-0000-0000D8250000}"/>
    <cellStyle name="Millares 2 7 2 3 4 4 2" xfId="45320" xr:uid="{00000000-0005-0000-0000-0000D9250000}"/>
    <cellStyle name="Millares 2 7 2 3 4 5" xfId="31758" xr:uid="{00000000-0005-0000-0000-0000DA250000}"/>
    <cellStyle name="Millares 2 7 2 3 5" xfId="4390" xr:uid="{00000000-0005-0000-0000-0000DB250000}"/>
    <cellStyle name="Millares 2 7 2 3 5 2" xfId="8000" xr:uid="{00000000-0005-0000-0000-0000DC250000}"/>
    <cellStyle name="Millares 2 7 2 3 5 2 2" xfId="14790" xr:uid="{00000000-0005-0000-0000-0000DD250000}"/>
    <cellStyle name="Millares 2 7 2 3 5 2 2 2" xfId="28358" xr:uid="{00000000-0005-0000-0000-0000DE250000}"/>
    <cellStyle name="Millares 2 7 2 3 5 2 2 2 2" xfId="55491" xr:uid="{00000000-0005-0000-0000-0000DF250000}"/>
    <cellStyle name="Millares 2 7 2 3 5 2 2 3" xfId="41929" xr:uid="{00000000-0005-0000-0000-0000E0250000}"/>
    <cellStyle name="Millares 2 7 2 3 5 2 3" xfId="21577" xr:uid="{00000000-0005-0000-0000-0000E1250000}"/>
    <cellStyle name="Millares 2 7 2 3 5 2 3 2" xfId="48710" xr:uid="{00000000-0005-0000-0000-0000E2250000}"/>
    <cellStyle name="Millares 2 7 2 3 5 2 4" xfId="35148" xr:uid="{00000000-0005-0000-0000-0000E3250000}"/>
    <cellStyle name="Millares 2 7 2 3 5 3" xfId="11401" xr:uid="{00000000-0005-0000-0000-0000E4250000}"/>
    <cellStyle name="Millares 2 7 2 3 5 3 2" xfId="24969" xr:uid="{00000000-0005-0000-0000-0000E5250000}"/>
    <cellStyle name="Millares 2 7 2 3 5 3 2 2" xfId="52102" xr:uid="{00000000-0005-0000-0000-0000E6250000}"/>
    <cellStyle name="Millares 2 7 2 3 5 3 3" xfId="38540" xr:uid="{00000000-0005-0000-0000-0000E7250000}"/>
    <cellStyle name="Millares 2 7 2 3 5 4" xfId="18188" xr:uid="{00000000-0005-0000-0000-0000E8250000}"/>
    <cellStyle name="Millares 2 7 2 3 5 4 2" xfId="45321" xr:uid="{00000000-0005-0000-0000-0000E9250000}"/>
    <cellStyle name="Millares 2 7 2 3 5 5" xfId="31759" xr:uid="{00000000-0005-0000-0000-0000EA250000}"/>
    <cellStyle name="Millares 2 7 2 3 6" xfId="7993" xr:uid="{00000000-0005-0000-0000-0000EB250000}"/>
    <cellStyle name="Millares 2 7 2 3 6 2" xfId="14783" xr:uid="{00000000-0005-0000-0000-0000EC250000}"/>
    <cellStyle name="Millares 2 7 2 3 6 2 2" xfId="28351" xr:uid="{00000000-0005-0000-0000-0000ED250000}"/>
    <cellStyle name="Millares 2 7 2 3 6 2 2 2" xfId="55484" xr:uid="{00000000-0005-0000-0000-0000EE250000}"/>
    <cellStyle name="Millares 2 7 2 3 6 2 3" xfId="41922" xr:uid="{00000000-0005-0000-0000-0000EF250000}"/>
    <cellStyle name="Millares 2 7 2 3 6 3" xfId="21570" xr:uid="{00000000-0005-0000-0000-0000F0250000}"/>
    <cellStyle name="Millares 2 7 2 3 6 3 2" xfId="48703" xr:uid="{00000000-0005-0000-0000-0000F1250000}"/>
    <cellStyle name="Millares 2 7 2 3 6 4" xfId="35141" xr:uid="{00000000-0005-0000-0000-0000F2250000}"/>
    <cellStyle name="Millares 2 7 2 3 7" xfId="11394" xr:uid="{00000000-0005-0000-0000-0000F3250000}"/>
    <cellStyle name="Millares 2 7 2 3 7 2" xfId="24962" xr:uid="{00000000-0005-0000-0000-0000F4250000}"/>
    <cellStyle name="Millares 2 7 2 3 7 2 2" xfId="52095" xr:uid="{00000000-0005-0000-0000-0000F5250000}"/>
    <cellStyle name="Millares 2 7 2 3 7 3" xfId="38533" xr:uid="{00000000-0005-0000-0000-0000F6250000}"/>
    <cellStyle name="Millares 2 7 2 3 8" xfId="18181" xr:uid="{00000000-0005-0000-0000-0000F7250000}"/>
    <cellStyle name="Millares 2 7 2 3 8 2" xfId="45314" xr:uid="{00000000-0005-0000-0000-0000F8250000}"/>
    <cellStyle name="Millares 2 7 2 3 9" xfId="31752" xr:uid="{00000000-0005-0000-0000-0000F9250000}"/>
    <cellStyle name="Millares 2 7 2 4" xfId="4391" xr:uid="{00000000-0005-0000-0000-0000FA250000}"/>
    <cellStyle name="Millares 2 7 2 4 2" xfId="4392" xr:uid="{00000000-0005-0000-0000-0000FB250000}"/>
    <cellStyle name="Millares 2 7 2 4 2 2" xfId="4393" xr:uid="{00000000-0005-0000-0000-0000FC250000}"/>
    <cellStyle name="Millares 2 7 2 4 2 2 2" xfId="8003" xr:uid="{00000000-0005-0000-0000-0000FD250000}"/>
    <cellStyle name="Millares 2 7 2 4 2 2 2 2" xfId="14793" xr:uid="{00000000-0005-0000-0000-0000FE250000}"/>
    <cellStyle name="Millares 2 7 2 4 2 2 2 2 2" xfId="28361" xr:uid="{00000000-0005-0000-0000-0000FF250000}"/>
    <cellStyle name="Millares 2 7 2 4 2 2 2 2 2 2" xfId="55494" xr:uid="{00000000-0005-0000-0000-000000260000}"/>
    <cellStyle name="Millares 2 7 2 4 2 2 2 2 3" xfId="41932" xr:uid="{00000000-0005-0000-0000-000001260000}"/>
    <cellStyle name="Millares 2 7 2 4 2 2 2 3" xfId="21580" xr:uid="{00000000-0005-0000-0000-000002260000}"/>
    <cellStyle name="Millares 2 7 2 4 2 2 2 3 2" xfId="48713" xr:uid="{00000000-0005-0000-0000-000003260000}"/>
    <cellStyle name="Millares 2 7 2 4 2 2 2 4" xfId="35151" xr:uid="{00000000-0005-0000-0000-000004260000}"/>
    <cellStyle name="Millares 2 7 2 4 2 2 3" xfId="11404" xr:uid="{00000000-0005-0000-0000-000005260000}"/>
    <cellStyle name="Millares 2 7 2 4 2 2 3 2" xfId="24972" xr:uid="{00000000-0005-0000-0000-000006260000}"/>
    <cellStyle name="Millares 2 7 2 4 2 2 3 2 2" xfId="52105" xr:uid="{00000000-0005-0000-0000-000007260000}"/>
    <cellStyle name="Millares 2 7 2 4 2 2 3 3" xfId="38543" xr:uid="{00000000-0005-0000-0000-000008260000}"/>
    <cellStyle name="Millares 2 7 2 4 2 2 4" xfId="18191" xr:uid="{00000000-0005-0000-0000-000009260000}"/>
    <cellStyle name="Millares 2 7 2 4 2 2 4 2" xfId="45324" xr:uid="{00000000-0005-0000-0000-00000A260000}"/>
    <cellStyle name="Millares 2 7 2 4 2 2 5" xfId="31762" xr:uid="{00000000-0005-0000-0000-00000B260000}"/>
    <cellStyle name="Millares 2 7 2 4 2 3" xfId="4394" xr:uid="{00000000-0005-0000-0000-00000C260000}"/>
    <cellStyle name="Millares 2 7 2 4 2 3 2" xfId="8004" xr:uid="{00000000-0005-0000-0000-00000D260000}"/>
    <cellStyle name="Millares 2 7 2 4 2 3 2 2" xfId="14794" xr:uid="{00000000-0005-0000-0000-00000E260000}"/>
    <cellStyle name="Millares 2 7 2 4 2 3 2 2 2" xfId="28362" xr:uid="{00000000-0005-0000-0000-00000F260000}"/>
    <cellStyle name="Millares 2 7 2 4 2 3 2 2 2 2" xfId="55495" xr:uid="{00000000-0005-0000-0000-000010260000}"/>
    <cellStyle name="Millares 2 7 2 4 2 3 2 2 3" xfId="41933" xr:uid="{00000000-0005-0000-0000-000011260000}"/>
    <cellStyle name="Millares 2 7 2 4 2 3 2 3" xfId="21581" xr:uid="{00000000-0005-0000-0000-000012260000}"/>
    <cellStyle name="Millares 2 7 2 4 2 3 2 3 2" xfId="48714" xr:uid="{00000000-0005-0000-0000-000013260000}"/>
    <cellStyle name="Millares 2 7 2 4 2 3 2 4" xfId="35152" xr:uid="{00000000-0005-0000-0000-000014260000}"/>
    <cellStyle name="Millares 2 7 2 4 2 3 3" xfId="11405" xr:uid="{00000000-0005-0000-0000-000015260000}"/>
    <cellStyle name="Millares 2 7 2 4 2 3 3 2" xfId="24973" xr:uid="{00000000-0005-0000-0000-000016260000}"/>
    <cellStyle name="Millares 2 7 2 4 2 3 3 2 2" xfId="52106" xr:uid="{00000000-0005-0000-0000-000017260000}"/>
    <cellStyle name="Millares 2 7 2 4 2 3 3 3" xfId="38544" xr:uid="{00000000-0005-0000-0000-000018260000}"/>
    <cellStyle name="Millares 2 7 2 4 2 3 4" xfId="18192" xr:uid="{00000000-0005-0000-0000-000019260000}"/>
    <cellStyle name="Millares 2 7 2 4 2 3 4 2" xfId="45325" xr:uid="{00000000-0005-0000-0000-00001A260000}"/>
    <cellStyle name="Millares 2 7 2 4 2 3 5" xfId="31763" xr:uid="{00000000-0005-0000-0000-00001B260000}"/>
    <cellStyle name="Millares 2 7 2 4 2 4" xfId="8002" xr:uid="{00000000-0005-0000-0000-00001C260000}"/>
    <cellStyle name="Millares 2 7 2 4 2 4 2" xfId="14792" xr:uid="{00000000-0005-0000-0000-00001D260000}"/>
    <cellStyle name="Millares 2 7 2 4 2 4 2 2" xfId="28360" xr:uid="{00000000-0005-0000-0000-00001E260000}"/>
    <cellStyle name="Millares 2 7 2 4 2 4 2 2 2" xfId="55493" xr:uid="{00000000-0005-0000-0000-00001F260000}"/>
    <cellStyle name="Millares 2 7 2 4 2 4 2 3" xfId="41931" xr:uid="{00000000-0005-0000-0000-000020260000}"/>
    <cellStyle name="Millares 2 7 2 4 2 4 3" xfId="21579" xr:uid="{00000000-0005-0000-0000-000021260000}"/>
    <cellStyle name="Millares 2 7 2 4 2 4 3 2" xfId="48712" xr:uid="{00000000-0005-0000-0000-000022260000}"/>
    <cellStyle name="Millares 2 7 2 4 2 4 4" xfId="35150" xr:uid="{00000000-0005-0000-0000-000023260000}"/>
    <cellStyle name="Millares 2 7 2 4 2 5" xfId="11403" xr:uid="{00000000-0005-0000-0000-000024260000}"/>
    <cellStyle name="Millares 2 7 2 4 2 5 2" xfId="24971" xr:uid="{00000000-0005-0000-0000-000025260000}"/>
    <cellStyle name="Millares 2 7 2 4 2 5 2 2" xfId="52104" xr:uid="{00000000-0005-0000-0000-000026260000}"/>
    <cellStyle name="Millares 2 7 2 4 2 5 3" xfId="38542" xr:uid="{00000000-0005-0000-0000-000027260000}"/>
    <cellStyle name="Millares 2 7 2 4 2 6" xfId="18190" xr:uid="{00000000-0005-0000-0000-000028260000}"/>
    <cellStyle name="Millares 2 7 2 4 2 6 2" xfId="45323" xr:uid="{00000000-0005-0000-0000-000029260000}"/>
    <cellStyle name="Millares 2 7 2 4 2 7" xfId="31761" xr:uid="{00000000-0005-0000-0000-00002A260000}"/>
    <cellStyle name="Millares 2 7 2 4 3" xfId="4395" xr:uid="{00000000-0005-0000-0000-00002B260000}"/>
    <cellStyle name="Millares 2 7 2 4 3 2" xfId="8005" xr:uid="{00000000-0005-0000-0000-00002C260000}"/>
    <cellStyle name="Millares 2 7 2 4 3 2 2" xfId="14795" xr:uid="{00000000-0005-0000-0000-00002D260000}"/>
    <cellStyle name="Millares 2 7 2 4 3 2 2 2" xfId="28363" xr:uid="{00000000-0005-0000-0000-00002E260000}"/>
    <cellStyle name="Millares 2 7 2 4 3 2 2 2 2" xfId="55496" xr:uid="{00000000-0005-0000-0000-00002F260000}"/>
    <cellStyle name="Millares 2 7 2 4 3 2 2 3" xfId="41934" xr:uid="{00000000-0005-0000-0000-000030260000}"/>
    <cellStyle name="Millares 2 7 2 4 3 2 3" xfId="21582" xr:uid="{00000000-0005-0000-0000-000031260000}"/>
    <cellStyle name="Millares 2 7 2 4 3 2 3 2" xfId="48715" xr:uid="{00000000-0005-0000-0000-000032260000}"/>
    <cellStyle name="Millares 2 7 2 4 3 2 4" xfId="35153" xr:uid="{00000000-0005-0000-0000-000033260000}"/>
    <cellStyle name="Millares 2 7 2 4 3 3" xfId="11406" xr:uid="{00000000-0005-0000-0000-000034260000}"/>
    <cellStyle name="Millares 2 7 2 4 3 3 2" xfId="24974" xr:uid="{00000000-0005-0000-0000-000035260000}"/>
    <cellStyle name="Millares 2 7 2 4 3 3 2 2" xfId="52107" xr:uid="{00000000-0005-0000-0000-000036260000}"/>
    <cellStyle name="Millares 2 7 2 4 3 3 3" xfId="38545" xr:uid="{00000000-0005-0000-0000-000037260000}"/>
    <cellStyle name="Millares 2 7 2 4 3 4" xfId="18193" xr:uid="{00000000-0005-0000-0000-000038260000}"/>
    <cellStyle name="Millares 2 7 2 4 3 4 2" xfId="45326" xr:uid="{00000000-0005-0000-0000-000039260000}"/>
    <cellStyle name="Millares 2 7 2 4 3 5" xfId="31764" xr:uid="{00000000-0005-0000-0000-00003A260000}"/>
    <cellStyle name="Millares 2 7 2 4 4" xfId="4396" xr:uid="{00000000-0005-0000-0000-00003B260000}"/>
    <cellStyle name="Millares 2 7 2 4 4 2" xfId="8006" xr:uid="{00000000-0005-0000-0000-00003C260000}"/>
    <cellStyle name="Millares 2 7 2 4 4 2 2" xfId="14796" xr:uid="{00000000-0005-0000-0000-00003D260000}"/>
    <cellStyle name="Millares 2 7 2 4 4 2 2 2" xfId="28364" xr:uid="{00000000-0005-0000-0000-00003E260000}"/>
    <cellStyle name="Millares 2 7 2 4 4 2 2 2 2" xfId="55497" xr:uid="{00000000-0005-0000-0000-00003F260000}"/>
    <cellStyle name="Millares 2 7 2 4 4 2 2 3" xfId="41935" xr:uid="{00000000-0005-0000-0000-000040260000}"/>
    <cellStyle name="Millares 2 7 2 4 4 2 3" xfId="21583" xr:uid="{00000000-0005-0000-0000-000041260000}"/>
    <cellStyle name="Millares 2 7 2 4 4 2 3 2" xfId="48716" xr:uid="{00000000-0005-0000-0000-000042260000}"/>
    <cellStyle name="Millares 2 7 2 4 4 2 4" xfId="35154" xr:uid="{00000000-0005-0000-0000-000043260000}"/>
    <cellStyle name="Millares 2 7 2 4 4 3" xfId="11407" xr:uid="{00000000-0005-0000-0000-000044260000}"/>
    <cellStyle name="Millares 2 7 2 4 4 3 2" xfId="24975" xr:uid="{00000000-0005-0000-0000-000045260000}"/>
    <cellStyle name="Millares 2 7 2 4 4 3 2 2" xfId="52108" xr:uid="{00000000-0005-0000-0000-000046260000}"/>
    <cellStyle name="Millares 2 7 2 4 4 3 3" xfId="38546" xr:uid="{00000000-0005-0000-0000-000047260000}"/>
    <cellStyle name="Millares 2 7 2 4 4 4" xfId="18194" xr:uid="{00000000-0005-0000-0000-000048260000}"/>
    <cellStyle name="Millares 2 7 2 4 4 4 2" xfId="45327" xr:uid="{00000000-0005-0000-0000-000049260000}"/>
    <cellStyle name="Millares 2 7 2 4 4 5" xfId="31765" xr:uid="{00000000-0005-0000-0000-00004A260000}"/>
    <cellStyle name="Millares 2 7 2 4 5" xfId="8001" xr:uid="{00000000-0005-0000-0000-00004B260000}"/>
    <cellStyle name="Millares 2 7 2 4 5 2" xfId="14791" xr:uid="{00000000-0005-0000-0000-00004C260000}"/>
    <cellStyle name="Millares 2 7 2 4 5 2 2" xfId="28359" xr:uid="{00000000-0005-0000-0000-00004D260000}"/>
    <cellStyle name="Millares 2 7 2 4 5 2 2 2" xfId="55492" xr:uid="{00000000-0005-0000-0000-00004E260000}"/>
    <cellStyle name="Millares 2 7 2 4 5 2 3" xfId="41930" xr:uid="{00000000-0005-0000-0000-00004F260000}"/>
    <cellStyle name="Millares 2 7 2 4 5 3" xfId="21578" xr:uid="{00000000-0005-0000-0000-000050260000}"/>
    <cellStyle name="Millares 2 7 2 4 5 3 2" xfId="48711" xr:uid="{00000000-0005-0000-0000-000051260000}"/>
    <cellStyle name="Millares 2 7 2 4 5 4" xfId="35149" xr:uid="{00000000-0005-0000-0000-000052260000}"/>
    <cellStyle name="Millares 2 7 2 4 6" xfId="11402" xr:uid="{00000000-0005-0000-0000-000053260000}"/>
    <cellStyle name="Millares 2 7 2 4 6 2" xfId="24970" xr:uid="{00000000-0005-0000-0000-000054260000}"/>
    <cellStyle name="Millares 2 7 2 4 6 2 2" xfId="52103" xr:uid="{00000000-0005-0000-0000-000055260000}"/>
    <cellStyle name="Millares 2 7 2 4 6 3" xfId="38541" xr:uid="{00000000-0005-0000-0000-000056260000}"/>
    <cellStyle name="Millares 2 7 2 4 7" xfId="18189" xr:uid="{00000000-0005-0000-0000-000057260000}"/>
    <cellStyle name="Millares 2 7 2 4 7 2" xfId="45322" xr:uid="{00000000-0005-0000-0000-000058260000}"/>
    <cellStyle name="Millares 2 7 2 4 8" xfId="31760" xr:uid="{00000000-0005-0000-0000-000059260000}"/>
    <cellStyle name="Millares 2 7 2 5" xfId="4397" xr:uid="{00000000-0005-0000-0000-00005A260000}"/>
    <cellStyle name="Millares 2 7 2 5 2" xfId="4398" xr:uid="{00000000-0005-0000-0000-00005B260000}"/>
    <cellStyle name="Millares 2 7 2 5 2 2" xfId="8008" xr:uid="{00000000-0005-0000-0000-00005C260000}"/>
    <cellStyle name="Millares 2 7 2 5 2 2 2" xfId="14798" xr:uid="{00000000-0005-0000-0000-00005D260000}"/>
    <cellStyle name="Millares 2 7 2 5 2 2 2 2" xfId="28366" xr:uid="{00000000-0005-0000-0000-00005E260000}"/>
    <cellStyle name="Millares 2 7 2 5 2 2 2 2 2" xfId="55499" xr:uid="{00000000-0005-0000-0000-00005F260000}"/>
    <cellStyle name="Millares 2 7 2 5 2 2 2 3" xfId="41937" xr:uid="{00000000-0005-0000-0000-000060260000}"/>
    <cellStyle name="Millares 2 7 2 5 2 2 3" xfId="21585" xr:uid="{00000000-0005-0000-0000-000061260000}"/>
    <cellStyle name="Millares 2 7 2 5 2 2 3 2" xfId="48718" xr:uid="{00000000-0005-0000-0000-000062260000}"/>
    <cellStyle name="Millares 2 7 2 5 2 2 4" xfId="35156" xr:uid="{00000000-0005-0000-0000-000063260000}"/>
    <cellStyle name="Millares 2 7 2 5 2 3" xfId="11409" xr:uid="{00000000-0005-0000-0000-000064260000}"/>
    <cellStyle name="Millares 2 7 2 5 2 3 2" xfId="24977" xr:uid="{00000000-0005-0000-0000-000065260000}"/>
    <cellStyle name="Millares 2 7 2 5 2 3 2 2" xfId="52110" xr:uid="{00000000-0005-0000-0000-000066260000}"/>
    <cellStyle name="Millares 2 7 2 5 2 3 3" xfId="38548" xr:uid="{00000000-0005-0000-0000-000067260000}"/>
    <cellStyle name="Millares 2 7 2 5 2 4" xfId="18196" xr:uid="{00000000-0005-0000-0000-000068260000}"/>
    <cellStyle name="Millares 2 7 2 5 2 4 2" xfId="45329" xr:uid="{00000000-0005-0000-0000-000069260000}"/>
    <cellStyle name="Millares 2 7 2 5 2 5" xfId="31767" xr:uid="{00000000-0005-0000-0000-00006A260000}"/>
    <cellStyle name="Millares 2 7 2 5 3" xfId="4399" xr:uid="{00000000-0005-0000-0000-00006B260000}"/>
    <cellStyle name="Millares 2 7 2 5 3 2" xfId="8009" xr:uid="{00000000-0005-0000-0000-00006C260000}"/>
    <cellStyle name="Millares 2 7 2 5 3 2 2" xfId="14799" xr:uid="{00000000-0005-0000-0000-00006D260000}"/>
    <cellStyle name="Millares 2 7 2 5 3 2 2 2" xfId="28367" xr:uid="{00000000-0005-0000-0000-00006E260000}"/>
    <cellStyle name="Millares 2 7 2 5 3 2 2 2 2" xfId="55500" xr:uid="{00000000-0005-0000-0000-00006F260000}"/>
    <cellStyle name="Millares 2 7 2 5 3 2 2 3" xfId="41938" xr:uid="{00000000-0005-0000-0000-000070260000}"/>
    <cellStyle name="Millares 2 7 2 5 3 2 3" xfId="21586" xr:uid="{00000000-0005-0000-0000-000071260000}"/>
    <cellStyle name="Millares 2 7 2 5 3 2 3 2" xfId="48719" xr:uid="{00000000-0005-0000-0000-000072260000}"/>
    <cellStyle name="Millares 2 7 2 5 3 2 4" xfId="35157" xr:uid="{00000000-0005-0000-0000-000073260000}"/>
    <cellStyle name="Millares 2 7 2 5 3 3" xfId="11410" xr:uid="{00000000-0005-0000-0000-000074260000}"/>
    <cellStyle name="Millares 2 7 2 5 3 3 2" xfId="24978" xr:uid="{00000000-0005-0000-0000-000075260000}"/>
    <cellStyle name="Millares 2 7 2 5 3 3 2 2" xfId="52111" xr:uid="{00000000-0005-0000-0000-000076260000}"/>
    <cellStyle name="Millares 2 7 2 5 3 3 3" xfId="38549" xr:uid="{00000000-0005-0000-0000-000077260000}"/>
    <cellStyle name="Millares 2 7 2 5 3 4" xfId="18197" xr:uid="{00000000-0005-0000-0000-000078260000}"/>
    <cellStyle name="Millares 2 7 2 5 3 4 2" xfId="45330" xr:uid="{00000000-0005-0000-0000-000079260000}"/>
    <cellStyle name="Millares 2 7 2 5 3 5" xfId="31768" xr:uid="{00000000-0005-0000-0000-00007A260000}"/>
    <cellStyle name="Millares 2 7 2 5 4" xfId="8007" xr:uid="{00000000-0005-0000-0000-00007B260000}"/>
    <cellStyle name="Millares 2 7 2 5 4 2" xfId="14797" xr:uid="{00000000-0005-0000-0000-00007C260000}"/>
    <cellStyle name="Millares 2 7 2 5 4 2 2" xfId="28365" xr:uid="{00000000-0005-0000-0000-00007D260000}"/>
    <cellStyle name="Millares 2 7 2 5 4 2 2 2" xfId="55498" xr:uid="{00000000-0005-0000-0000-00007E260000}"/>
    <cellStyle name="Millares 2 7 2 5 4 2 3" xfId="41936" xr:uid="{00000000-0005-0000-0000-00007F260000}"/>
    <cellStyle name="Millares 2 7 2 5 4 3" xfId="21584" xr:uid="{00000000-0005-0000-0000-000080260000}"/>
    <cellStyle name="Millares 2 7 2 5 4 3 2" xfId="48717" xr:uid="{00000000-0005-0000-0000-000081260000}"/>
    <cellStyle name="Millares 2 7 2 5 4 4" xfId="35155" xr:uid="{00000000-0005-0000-0000-000082260000}"/>
    <cellStyle name="Millares 2 7 2 5 5" xfId="11408" xr:uid="{00000000-0005-0000-0000-000083260000}"/>
    <cellStyle name="Millares 2 7 2 5 5 2" xfId="24976" xr:uid="{00000000-0005-0000-0000-000084260000}"/>
    <cellStyle name="Millares 2 7 2 5 5 2 2" xfId="52109" xr:uid="{00000000-0005-0000-0000-000085260000}"/>
    <cellStyle name="Millares 2 7 2 5 5 3" xfId="38547" xr:uid="{00000000-0005-0000-0000-000086260000}"/>
    <cellStyle name="Millares 2 7 2 5 6" xfId="18195" xr:uid="{00000000-0005-0000-0000-000087260000}"/>
    <cellStyle name="Millares 2 7 2 5 6 2" xfId="45328" xr:uid="{00000000-0005-0000-0000-000088260000}"/>
    <cellStyle name="Millares 2 7 2 5 7" xfId="31766" xr:uid="{00000000-0005-0000-0000-000089260000}"/>
    <cellStyle name="Millares 2 7 2 6" xfId="4400" xr:uid="{00000000-0005-0000-0000-00008A260000}"/>
    <cellStyle name="Millares 2 7 2 6 2" xfId="4401" xr:uid="{00000000-0005-0000-0000-00008B260000}"/>
    <cellStyle name="Millares 2 7 2 6 2 2" xfId="8011" xr:uid="{00000000-0005-0000-0000-00008C260000}"/>
    <cellStyle name="Millares 2 7 2 6 2 2 2" xfId="14801" xr:uid="{00000000-0005-0000-0000-00008D260000}"/>
    <cellStyle name="Millares 2 7 2 6 2 2 2 2" xfId="28369" xr:uid="{00000000-0005-0000-0000-00008E260000}"/>
    <cellStyle name="Millares 2 7 2 6 2 2 2 2 2" xfId="55502" xr:uid="{00000000-0005-0000-0000-00008F260000}"/>
    <cellStyle name="Millares 2 7 2 6 2 2 2 3" xfId="41940" xr:uid="{00000000-0005-0000-0000-000090260000}"/>
    <cellStyle name="Millares 2 7 2 6 2 2 3" xfId="21588" xr:uid="{00000000-0005-0000-0000-000091260000}"/>
    <cellStyle name="Millares 2 7 2 6 2 2 3 2" xfId="48721" xr:uid="{00000000-0005-0000-0000-000092260000}"/>
    <cellStyle name="Millares 2 7 2 6 2 2 4" xfId="35159" xr:uid="{00000000-0005-0000-0000-000093260000}"/>
    <cellStyle name="Millares 2 7 2 6 2 3" xfId="11412" xr:uid="{00000000-0005-0000-0000-000094260000}"/>
    <cellStyle name="Millares 2 7 2 6 2 3 2" xfId="24980" xr:uid="{00000000-0005-0000-0000-000095260000}"/>
    <cellStyle name="Millares 2 7 2 6 2 3 2 2" xfId="52113" xr:uid="{00000000-0005-0000-0000-000096260000}"/>
    <cellStyle name="Millares 2 7 2 6 2 3 3" xfId="38551" xr:uid="{00000000-0005-0000-0000-000097260000}"/>
    <cellStyle name="Millares 2 7 2 6 2 4" xfId="18199" xr:uid="{00000000-0005-0000-0000-000098260000}"/>
    <cellStyle name="Millares 2 7 2 6 2 4 2" xfId="45332" xr:uid="{00000000-0005-0000-0000-000099260000}"/>
    <cellStyle name="Millares 2 7 2 6 2 5" xfId="31770" xr:uid="{00000000-0005-0000-0000-00009A260000}"/>
    <cellStyle name="Millares 2 7 2 6 3" xfId="4402" xr:uid="{00000000-0005-0000-0000-00009B260000}"/>
    <cellStyle name="Millares 2 7 2 6 3 2" xfId="8012" xr:uid="{00000000-0005-0000-0000-00009C260000}"/>
    <cellStyle name="Millares 2 7 2 6 3 2 2" xfId="14802" xr:uid="{00000000-0005-0000-0000-00009D260000}"/>
    <cellStyle name="Millares 2 7 2 6 3 2 2 2" xfId="28370" xr:uid="{00000000-0005-0000-0000-00009E260000}"/>
    <cellStyle name="Millares 2 7 2 6 3 2 2 2 2" xfId="55503" xr:uid="{00000000-0005-0000-0000-00009F260000}"/>
    <cellStyle name="Millares 2 7 2 6 3 2 2 3" xfId="41941" xr:uid="{00000000-0005-0000-0000-0000A0260000}"/>
    <cellStyle name="Millares 2 7 2 6 3 2 3" xfId="21589" xr:uid="{00000000-0005-0000-0000-0000A1260000}"/>
    <cellStyle name="Millares 2 7 2 6 3 2 3 2" xfId="48722" xr:uid="{00000000-0005-0000-0000-0000A2260000}"/>
    <cellStyle name="Millares 2 7 2 6 3 2 4" xfId="35160" xr:uid="{00000000-0005-0000-0000-0000A3260000}"/>
    <cellStyle name="Millares 2 7 2 6 3 3" xfId="11413" xr:uid="{00000000-0005-0000-0000-0000A4260000}"/>
    <cellStyle name="Millares 2 7 2 6 3 3 2" xfId="24981" xr:uid="{00000000-0005-0000-0000-0000A5260000}"/>
    <cellStyle name="Millares 2 7 2 6 3 3 2 2" xfId="52114" xr:uid="{00000000-0005-0000-0000-0000A6260000}"/>
    <cellStyle name="Millares 2 7 2 6 3 3 3" xfId="38552" xr:uid="{00000000-0005-0000-0000-0000A7260000}"/>
    <cellStyle name="Millares 2 7 2 6 3 4" xfId="18200" xr:uid="{00000000-0005-0000-0000-0000A8260000}"/>
    <cellStyle name="Millares 2 7 2 6 3 4 2" xfId="45333" xr:uid="{00000000-0005-0000-0000-0000A9260000}"/>
    <cellStyle name="Millares 2 7 2 6 3 5" xfId="31771" xr:uid="{00000000-0005-0000-0000-0000AA260000}"/>
    <cellStyle name="Millares 2 7 2 6 4" xfId="8010" xr:uid="{00000000-0005-0000-0000-0000AB260000}"/>
    <cellStyle name="Millares 2 7 2 6 4 2" xfId="14800" xr:uid="{00000000-0005-0000-0000-0000AC260000}"/>
    <cellStyle name="Millares 2 7 2 6 4 2 2" xfId="28368" xr:uid="{00000000-0005-0000-0000-0000AD260000}"/>
    <cellStyle name="Millares 2 7 2 6 4 2 2 2" xfId="55501" xr:uid="{00000000-0005-0000-0000-0000AE260000}"/>
    <cellStyle name="Millares 2 7 2 6 4 2 3" xfId="41939" xr:uid="{00000000-0005-0000-0000-0000AF260000}"/>
    <cellStyle name="Millares 2 7 2 6 4 3" xfId="21587" xr:uid="{00000000-0005-0000-0000-0000B0260000}"/>
    <cellStyle name="Millares 2 7 2 6 4 3 2" xfId="48720" xr:uid="{00000000-0005-0000-0000-0000B1260000}"/>
    <cellStyle name="Millares 2 7 2 6 4 4" xfId="35158" xr:uid="{00000000-0005-0000-0000-0000B2260000}"/>
    <cellStyle name="Millares 2 7 2 6 5" xfId="11411" xr:uid="{00000000-0005-0000-0000-0000B3260000}"/>
    <cellStyle name="Millares 2 7 2 6 5 2" xfId="24979" xr:uid="{00000000-0005-0000-0000-0000B4260000}"/>
    <cellStyle name="Millares 2 7 2 6 5 2 2" xfId="52112" xr:uid="{00000000-0005-0000-0000-0000B5260000}"/>
    <cellStyle name="Millares 2 7 2 6 5 3" xfId="38550" xr:uid="{00000000-0005-0000-0000-0000B6260000}"/>
    <cellStyle name="Millares 2 7 2 6 6" xfId="18198" xr:uid="{00000000-0005-0000-0000-0000B7260000}"/>
    <cellStyle name="Millares 2 7 2 6 6 2" xfId="45331" xr:uid="{00000000-0005-0000-0000-0000B8260000}"/>
    <cellStyle name="Millares 2 7 2 6 7" xfId="31769" xr:uid="{00000000-0005-0000-0000-0000B9260000}"/>
    <cellStyle name="Millares 2 7 2 7" xfId="4403" xr:uid="{00000000-0005-0000-0000-0000BA260000}"/>
    <cellStyle name="Millares 2 7 2 7 2" xfId="8013" xr:uid="{00000000-0005-0000-0000-0000BB260000}"/>
    <cellStyle name="Millares 2 7 2 7 2 2" xfId="14803" xr:uid="{00000000-0005-0000-0000-0000BC260000}"/>
    <cellStyle name="Millares 2 7 2 7 2 2 2" xfId="28371" xr:uid="{00000000-0005-0000-0000-0000BD260000}"/>
    <cellStyle name="Millares 2 7 2 7 2 2 2 2" xfId="55504" xr:uid="{00000000-0005-0000-0000-0000BE260000}"/>
    <cellStyle name="Millares 2 7 2 7 2 2 3" xfId="41942" xr:uid="{00000000-0005-0000-0000-0000BF260000}"/>
    <cellStyle name="Millares 2 7 2 7 2 3" xfId="21590" xr:uid="{00000000-0005-0000-0000-0000C0260000}"/>
    <cellStyle name="Millares 2 7 2 7 2 3 2" xfId="48723" xr:uid="{00000000-0005-0000-0000-0000C1260000}"/>
    <cellStyle name="Millares 2 7 2 7 2 4" xfId="35161" xr:uid="{00000000-0005-0000-0000-0000C2260000}"/>
    <cellStyle name="Millares 2 7 2 7 3" xfId="11414" xr:uid="{00000000-0005-0000-0000-0000C3260000}"/>
    <cellStyle name="Millares 2 7 2 7 3 2" xfId="24982" xr:uid="{00000000-0005-0000-0000-0000C4260000}"/>
    <cellStyle name="Millares 2 7 2 7 3 2 2" xfId="52115" xr:uid="{00000000-0005-0000-0000-0000C5260000}"/>
    <cellStyle name="Millares 2 7 2 7 3 3" xfId="38553" xr:uid="{00000000-0005-0000-0000-0000C6260000}"/>
    <cellStyle name="Millares 2 7 2 7 4" xfId="18201" xr:uid="{00000000-0005-0000-0000-0000C7260000}"/>
    <cellStyle name="Millares 2 7 2 7 4 2" xfId="45334" xr:uid="{00000000-0005-0000-0000-0000C8260000}"/>
    <cellStyle name="Millares 2 7 2 7 5" xfId="31772" xr:uid="{00000000-0005-0000-0000-0000C9260000}"/>
    <cellStyle name="Millares 2 7 2 8" xfId="4404" xr:uid="{00000000-0005-0000-0000-0000CA260000}"/>
    <cellStyle name="Millares 2 7 2 8 2" xfId="8014" xr:uid="{00000000-0005-0000-0000-0000CB260000}"/>
    <cellStyle name="Millares 2 7 2 8 2 2" xfId="14804" xr:uid="{00000000-0005-0000-0000-0000CC260000}"/>
    <cellStyle name="Millares 2 7 2 8 2 2 2" xfId="28372" xr:uid="{00000000-0005-0000-0000-0000CD260000}"/>
    <cellStyle name="Millares 2 7 2 8 2 2 2 2" xfId="55505" xr:uid="{00000000-0005-0000-0000-0000CE260000}"/>
    <cellStyle name="Millares 2 7 2 8 2 2 3" xfId="41943" xr:uid="{00000000-0005-0000-0000-0000CF260000}"/>
    <cellStyle name="Millares 2 7 2 8 2 3" xfId="21591" xr:uid="{00000000-0005-0000-0000-0000D0260000}"/>
    <cellStyle name="Millares 2 7 2 8 2 3 2" xfId="48724" xr:uid="{00000000-0005-0000-0000-0000D1260000}"/>
    <cellStyle name="Millares 2 7 2 8 2 4" xfId="35162" xr:uid="{00000000-0005-0000-0000-0000D2260000}"/>
    <cellStyle name="Millares 2 7 2 8 3" xfId="11415" xr:uid="{00000000-0005-0000-0000-0000D3260000}"/>
    <cellStyle name="Millares 2 7 2 8 3 2" xfId="24983" xr:uid="{00000000-0005-0000-0000-0000D4260000}"/>
    <cellStyle name="Millares 2 7 2 8 3 2 2" xfId="52116" xr:uid="{00000000-0005-0000-0000-0000D5260000}"/>
    <cellStyle name="Millares 2 7 2 8 3 3" xfId="38554" xr:uid="{00000000-0005-0000-0000-0000D6260000}"/>
    <cellStyle name="Millares 2 7 2 8 4" xfId="18202" xr:uid="{00000000-0005-0000-0000-0000D7260000}"/>
    <cellStyle name="Millares 2 7 2 8 4 2" xfId="45335" xr:uid="{00000000-0005-0000-0000-0000D8260000}"/>
    <cellStyle name="Millares 2 7 2 8 5" xfId="31773" xr:uid="{00000000-0005-0000-0000-0000D9260000}"/>
    <cellStyle name="Millares 2 7 2 9" xfId="7976" xr:uid="{00000000-0005-0000-0000-0000DA260000}"/>
    <cellStyle name="Millares 2 7 2 9 2" xfId="14766" xr:uid="{00000000-0005-0000-0000-0000DB260000}"/>
    <cellStyle name="Millares 2 7 2 9 2 2" xfId="28334" xr:uid="{00000000-0005-0000-0000-0000DC260000}"/>
    <cellStyle name="Millares 2 7 2 9 2 2 2" xfId="55467" xr:uid="{00000000-0005-0000-0000-0000DD260000}"/>
    <cellStyle name="Millares 2 7 2 9 2 3" xfId="41905" xr:uid="{00000000-0005-0000-0000-0000DE260000}"/>
    <cellStyle name="Millares 2 7 2 9 3" xfId="21553" xr:uid="{00000000-0005-0000-0000-0000DF260000}"/>
    <cellStyle name="Millares 2 7 2 9 3 2" xfId="48686" xr:uid="{00000000-0005-0000-0000-0000E0260000}"/>
    <cellStyle name="Millares 2 7 2 9 4" xfId="35124" xr:uid="{00000000-0005-0000-0000-0000E1260000}"/>
    <cellStyle name="Millares 2 7 3" xfId="4405" xr:uid="{00000000-0005-0000-0000-0000E2260000}"/>
    <cellStyle name="Millares 2 7 3 10" xfId="31774" xr:uid="{00000000-0005-0000-0000-0000E3260000}"/>
    <cellStyle name="Millares 2 7 3 2" xfId="4406" xr:uid="{00000000-0005-0000-0000-0000E4260000}"/>
    <cellStyle name="Millares 2 7 3 2 2" xfId="4407" xr:uid="{00000000-0005-0000-0000-0000E5260000}"/>
    <cellStyle name="Millares 2 7 3 2 2 2" xfId="4408" xr:uid="{00000000-0005-0000-0000-0000E6260000}"/>
    <cellStyle name="Millares 2 7 3 2 2 2 2" xfId="8018" xr:uid="{00000000-0005-0000-0000-0000E7260000}"/>
    <cellStyle name="Millares 2 7 3 2 2 2 2 2" xfId="14808" xr:uid="{00000000-0005-0000-0000-0000E8260000}"/>
    <cellStyle name="Millares 2 7 3 2 2 2 2 2 2" xfId="28376" xr:uid="{00000000-0005-0000-0000-0000E9260000}"/>
    <cellStyle name="Millares 2 7 3 2 2 2 2 2 2 2" xfId="55509" xr:uid="{00000000-0005-0000-0000-0000EA260000}"/>
    <cellStyle name="Millares 2 7 3 2 2 2 2 2 3" xfId="41947" xr:uid="{00000000-0005-0000-0000-0000EB260000}"/>
    <cellStyle name="Millares 2 7 3 2 2 2 2 3" xfId="21595" xr:uid="{00000000-0005-0000-0000-0000EC260000}"/>
    <cellStyle name="Millares 2 7 3 2 2 2 2 3 2" xfId="48728" xr:uid="{00000000-0005-0000-0000-0000ED260000}"/>
    <cellStyle name="Millares 2 7 3 2 2 2 2 4" xfId="35166" xr:uid="{00000000-0005-0000-0000-0000EE260000}"/>
    <cellStyle name="Millares 2 7 3 2 2 2 3" xfId="11419" xr:uid="{00000000-0005-0000-0000-0000EF260000}"/>
    <cellStyle name="Millares 2 7 3 2 2 2 3 2" xfId="24987" xr:uid="{00000000-0005-0000-0000-0000F0260000}"/>
    <cellStyle name="Millares 2 7 3 2 2 2 3 2 2" xfId="52120" xr:uid="{00000000-0005-0000-0000-0000F1260000}"/>
    <cellStyle name="Millares 2 7 3 2 2 2 3 3" xfId="38558" xr:uid="{00000000-0005-0000-0000-0000F2260000}"/>
    <cellStyle name="Millares 2 7 3 2 2 2 4" xfId="18206" xr:uid="{00000000-0005-0000-0000-0000F3260000}"/>
    <cellStyle name="Millares 2 7 3 2 2 2 4 2" xfId="45339" xr:uid="{00000000-0005-0000-0000-0000F4260000}"/>
    <cellStyle name="Millares 2 7 3 2 2 2 5" xfId="31777" xr:uid="{00000000-0005-0000-0000-0000F5260000}"/>
    <cellStyle name="Millares 2 7 3 2 2 3" xfId="4409" xr:uid="{00000000-0005-0000-0000-0000F6260000}"/>
    <cellStyle name="Millares 2 7 3 2 2 3 2" xfId="8019" xr:uid="{00000000-0005-0000-0000-0000F7260000}"/>
    <cellStyle name="Millares 2 7 3 2 2 3 2 2" xfId="14809" xr:uid="{00000000-0005-0000-0000-0000F8260000}"/>
    <cellStyle name="Millares 2 7 3 2 2 3 2 2 2" xfId="28377" xr:uid="{00000000-0005-0000-0000-0000F9260000}"/>
    <cellStyle name="Millares 2 7 3 2 2 3 2 2 2 2" xfId="55510" xr:uid="{00000000-0005-0000-0000-0000FA260000}"/>
    <cellStyle name="Millares 2 7 3 2 2 3 2 2 3" xfId="41948" xr:uid="{00000000-0005-0000-0000-0000FB260000}"/>
    <cellStyle name="Millares 2 7 3 2 2 3 2 3" xfId="21596" xr:uid="{00000000-0005-0000-0000-0000FC260000}"/>
    <cellStyle name="Millares 2 7 3 2 2 3 2 3 2" xfId="48729" xr:uid="{00000000-0005-0000-0000-0000FD260000}"/>
    <cellStyle name="Millares 2 7 3 2 2 3 2 4" xfId="35167" xr:uid="{00000000-0005-0000-0000-0000FE260000}"/>
    <cellStyle name="Millares 2 7 3 2 2 3 3" xfId="11420" xr:uid="{00000000-0005-0000-0000-0000FF260000}"/>
    <cellStyle name="Millares 2 7 3 2 2 3 3 2" xfId="24988" xr:uid="{00000000-0005-0000-0000-000000270000}"/>
    <cellStyle name="Millares 2 7 3 2 2 3 3 2 2" xfId="52121" xr:uid="{00000000-0005-0000-0000-000001270000}"/>
    <cellStyle name="Millares 2 7 3 2 2 3 3 3" xfId="38559" xr:uid="{00000000-0005-0000-0000-000002270000}"/>
    <cellStyle name="Millares 2 7 3 2 2 3 4" xfId="18207" xr:uid="{00000000-0005-0000-0000-000003270000}"/>
    <cellStyle name="Millares 2 7 3 2 2 3 4 2" xfId="45340" xr:uid="{00000000-0005-0000-0000-000004270000}"/>
    <cellStyle name="Millares 2 7 3 2 2 3 5" xfId="31778" xr:uid="{00000000-0005-0000-0000-000005270000}"/>
    <cellStyle name="Millares 2 7 3 2 2 4" xfId="8017" xr:uid="{00000000-0005-0000-0000-000006270000}"/>
    <cellStyle name="Millares 2 7 3 2 2 4 2" xfId="14807" xr:uid="{00000000-0005-0000-0000-000007270000}"/>
    <cellStyle name="Millares 2 7 3 2 2 4 2 2" xfId="28375" xr:uid="{00000000-0005-0000-0000-000008270000}"/>
    <cellStyle name="Millares 2 7 3 2 2 4 2 2 2" xfId="55508" xr:uid="{00000000-0005-0000-0000-000009270000}"/>
    <cellStyle name="Millares 2 7 3 2 2 4 2 3" xfId="41946" xr:uid="{00000000-0005-0000-0000-00000A270000}"/>
    <cellStyle name="Millares 2 7 3 2 2 4 3" xfId="21594" xr:uid="{00000000-0005-0000-0000-00000B270000}"/>
    <cellStyle name="Millares 2 7 3 2 2 4 3 2" xfId="48727" xr:uid="{00000000-0005-0000-0000-00000C270000}"/>
    <cellStyle name="Millares 2 7 3 2 2 4 4" xfId="35165" xr:uid="{00000000-0005-0000-0000-00000D270000}"/>
    <cellStyle name="Millares 2 7 3 2 2 5" xfId="11418" xr:uid="{00000000-0005-0000-0000-00000E270000}"/>
    <cellStyle name="Millares 2 7 3 2 2 5 2" xfId="24986" xr:uid="{00000000-0005-0000-0000-00000F270000}"/>
    <cellStyle name="Millares 2 7 3 2 2 5 2 2" xfId="52119" xr:uid="{00000000-0005-0000-0000-000010270000}"/>
    <cellStyle name="Millares 2 7 3 2 2 5 3" xfId="38557" xr:uid="{00000000-0005-0000-0000-000011270000}"/>
    <cellStyle name="Millares 2 7 3 2 2 6" xfId="18205" xr:uid="{00000000-0005-0000-0000-000012270000}"/>
    <cellStyle name="Millares 2 7 3 2 2 6 2" xfId="45338" xr:uid="{00000000-0005-0000-0000-000013270000}"/>
    <cellStyle name="Millares 2 7 3 2 2 7" xfId="31776" xr:uid="{00000000-0005-0000-0000-000014270000}"/>
    <cellStyle name="Millares 2 7 3 2 3" xfId="4410" xr:uid="{00000000-0005-0000-0000-000015270000}"/>
    <cellStyle name="Millares 2 7 3 2 3 2" xfId="4411" xr:uid="{00000000-0005-0000-0000-000016270000}"/>
    <cellStyle name="Millares 2 7 3 2 3 2 2" xfId="8021" xr:uid="{00000000-0005-0000-0000-000017270000}"/>
    <cellStyle name="Millares 2 7 3 2 3 2 2 2" xfId="14811" xr:uid="{00000000-0005-0000-0000-000018270000}"/>
    <cellStyle name="Millares 2 7 3 2 3 2 2 2 2" xfId="28379" xr:uid="{00000000-0005-0000-0000-000019270000}"/>
    <cellStyle name="Millares 2 7 3 2 3 2 2 2 2 2" xfId="55512" xr:uid="{00000000-0005-0000-0000-00001A270000}"/>
    <cellStyle name="Millares 2 7 3 2 3 2 2 2 3" xfId="41950" xr:uid="{00000000-0005-0000-0000-00001B270000}"/>
    <cellStyle name="Millares 2 7 3 2 3 2 2 3" xfId="21598" xr:uid="{00000000-0005-0000-0000-00001C270000}"/>
    <cellStyle name="Millares 2 7 3 2 3 2 2 3 2" xfId="48731" xr:uid="{00000000-0005-0000-0000-00001D270000}"/>
    <cellStyle name="Millares 2 7 3 2 3 2 2 4" xfId="35169" xr:uid="{00000000-0005-0000-0000-00001E270000}"/>
    <cellStyle name="Millares 2 7 3 2 3 2 3" xfId="11422" xr:uid="{00000000-0005-0000-0000-00001F270000}"/>
    <cellStyle name="Millares 2 7 3 2 3 2 3 2" xfId="24990" xr:uid="{00000000-0005-0000-0000-000020270000}"/>
    <cellStyle name="Millares 2 7 3 2 3 2 3 2 2" xfId="52123" xr:uid="{00000000-0005-0000-0000-000021270000}"/>
    <cellStyle name="Millares 2 7 3 2 3 2 3 3" xfId="38561" xr:uid="{00000000-0005-0000-0000-000022270000}"/>
    <cellStyle name="Millares 2 7 3 2 3 2 4" xfId="18209" xr:uid="{00000000-0005-0000-0000-000023270000}"/>
    <cellStyle name="Millares 2 7 3 2 3 2 4 2" xfId="45342" xr:uid="{00000000-0005-0000-0000-000024270000}"/>
    <cellStyle name="Millares 2 7 3 2 3 2 5" xfId="31780" xr:uid="{00000000-0005-0000-0000-000025270000}"/>
    <cellStyle name="Millares 2 7 3 2 3 3" xfId="8020" xr:uid="{00000000-0005-0000-0000-000026270000}"/>
    <cellStyle name="Millares 2 7 3 2 3 3 2" xfId="14810" xr:uid="{00000000-0005-0000-0000-000027270000}"/>
    <cellStyle name="Millares 2 7 3 2 3 3 2 2" xfId="28378" xr:uid="{00000000-0005-0000-0000-000028270000}"/>
    <cellStyle name="Millares 2 7 3 2 3 3 2 2 2" xfId="55511" xr:uid="{00000000-0005-0000-0000-000029270000}"/>
    <cellStyle name="Millares 2 7 3 2 3 3 2 3" xfId="41949" xr:uid="{00000000-0005-0000-0000-00002A270000}"/>
    <cellStyle name="Millares 2 7 3 2 3 3 3" xfId="21597" xr:uid="{00000000-0005-0000-0000-00002B270000}"/>
    <cellStyle name="Millares 2 7 3 2 3 3 3 2" xfId="48730" xr:uid="{00000000-0005-0000-0000-00002C270000}"/>
    <cellStyle name="Millares 2 7 3 2 3 3 4" xfId="35168" xr:uid="{00000000-0005-0000-0000-00002D270000}"/>
    <cellStyle name="Millares 2 7 3 2 3 4" xfId="11421" xr:uid="{00000000-0005-0000-0000-00002E270000}"/>
    <cellStyle name="Millares 2 7 3 2 3 4 2" xfId="24989" xr:uid="{00000000-0005-0000-0000-00002F270000}"/>
    <cellStyle name="Millares 2 7 3 2 3 4 2 2" xfId="52122" xr:uid="{00000000-0005-0000-0000-000030270000}"/>
    <cellStyle name="Millares 2 7 3 2 3 4 3" xfId="38560" xr:uid="{00000000-0005-0000-0000-000031270000}"/>
    <cellStyle name="Millares 2 7 3 2 3 5" xfId="18208" xr:uid="{00000000-0005-0000-0000-000032270000}"/>
    <cellStyle name="Millares 2 7 3 2 3 5 2" xfId="45341" xr:uid="{00000000-0005-0000-0000-000033270000}"/>
    <cellStyle name="Millares 2 7 3 2 3 6" xfId="31779" xr:uid="{00000000-0005-0000-0000-000034270000}"/>
    <cellStyle name="Millares 2 7 3 2 4" xfId="4412" xr:uid="{00000000-0005-0000-0000-000035270000}"/>
    <cellStyle name="Millares 2 7 3 2 4 2" xfId="8022" xr:uid="{00000000-0005-0000-0000-000036270000}"/>
    <cellStyle name="Millares 2 7 3 2 4 2 2" xfId="14812" xr:uid="{00000000-0005-0000-0000-000037270000}"/>
    <cellStyle name="Millares 2 7 3 2 4 2 2 2" xfId="28380" xr:uid="{00000000-0005-0000-0000-000038270000}"/>
    <cellStyle name="Millares 2 7 3 2 4 2 2 2 2" xfId="55513" xr:uid="{00000000-0005-0000-0000-000039270000}"/>
    <cellStyle name="Millares 2 7 3 2 4 2 2 3" xfId="41951" xr:uid="{00000000-0005-0000-0000-00003A270000}"/>
    <cellStyle name="Millares 2 7 3 2 4 2 3" xfId="21599" xr:uid="{00000000-0005-0000-0000-00003B270000}"/>
    <cellStyle name="Millares 2 7 3 2 4 2 3 2" xfId="48732" xr:uid="{00000000-0005-0000-0000-00003C270000}"/>
    <cellStyle name="Millares 2 7 3 2 4 2 4" xfId="35170" xr:uid="{00000000-0005-0000-0000-00003D270000}"/>
    <cellStyle name="Millares 2 7 3 2 4 3" xfId="11423" xr:uid="{00000000-0005-0000-0000-00003E270000}"/>
    <cellStyle name="Millares 2 7 3 2 4 3 2" xfId="24991" xr:uid="{00000000-0005-0000-0000-00003F270000}"/>
    <cellStyle name="Millares 2 7 3 2 4 3 2 2" xfId="52124" xr:uid="{00000000-0005-0000-0000-000040270000}"/>
    <cellStyle name="Millares 2 7 3 2 4 3 3" xfId="38562" xr:uid="{00000000-0005-0000-0000-000041270000}"/>
    <cellStyle name="Millares 2 7 3 2 4 4" xfId="18210" xr:uid="{00000000-0005-0000-0000-000042270000}"/>
    <cellStyle name="Millares 2 7 3 2 4 4 2" xfId="45343" xr:uid="{00000000-0005-0000-0000-000043270000}"/>
    <cellStyle name="Millares 2 7 3 2 4 5" xfId="31781" xr:uid="{00000000-0005-0000-0000-000044270000}"/>
    <cellStyle name="Millares 2 7 3 2 5" xfId="4413" xr:uid="{00000000-0005-0000-0000-000045270000}"/>
    <cellStyle name="Millares 2 7 3 2 5 2" xfId="8023" xr:uid="{00000000-0005-0000-0000-000046270000}"/>
    <cellStyle name="Millares 2 7 3 2 5 2 2" xfId="14813" xr:uid="{00000000-0005-0000-0000-000047270000}"/>
    <cellStyle name="Millares 2 7 3 2 5 2 2 2" xfId="28381" xr:uid="{00000000-0005-0000-0000-000048270000}"/>
    <cellStyle name="Millares 2 7 3 2 5 2 2 2 2" xfId="55514" xr:uid="{00000000-0005-0000-0000-000049270000}"/>
    <cellStyle name="Millares 2 7 3 2 5 2 2 3" xfId="41952" xr:uid="{00000000-0005-0000-0000-00004A270000}"/>
    <cellStyle name="Millares 2 7 3 2 5 2 3" xfId="21600" xr:uid="{00000000-0005-0000-0000-00004B270000}"/>
    <cellStyle name="Millares 2 7 3 2 5 2 3 2" xfId="48733" xr:uid="{00000000-0005-0000-0000-00004C270000}"/>
    <cellStyle name="Millares 2 7 3 2 5 2 4" xfId="35171" xr:uid="{00000000-0005-0000-0000-00004D270000}"/>
    <cellStyle name="Millares 2 7 3 2 5 3" xfId="11424" xr:uid="{00000000-0005-0000-0000-00004E270000}"/>
    <cellStyle name="Millares 2 7 3 2 5 3 2" xfId="24992" xr:uid="{00000000-0005-0000-0000-00004F270000}"/>
    <cellStyle name="Millares 2 7 3 2 5 3 2 2" xfId="52125" xr:uid="{00000000-0005-0000-0000-000050270000}"/>
    <cellStyle name="Millares 2 7 3 2 5 3 3" xfId="38563" xr:uid="{00000000-0005-0000-0000-000051270000}"/>
    <cellStyle name="Millares 2 7 3 2 5 4" xfId="18211" xr:uid="{00000000-0005-0000-0000-000052270000}"/>
    <cellStyle name="Millares 2 7 3 2 5 4 2" xfId="45344" xr:uid="{00000000-0005-0000-0000-000053270000}"/>
    <cellStyle name="Millares 2 7 3 2 5 5" xfId="31782" xr:uid="{00000000-0005-0000-0000-000054270000}"/>
    <cellStyle name="Millares 2 7 3 2 6" xfId="8016" xr:uid="{00000000-0005-0000-0000-000055270000}"/>
    <cellStyle name="Millares 2 7 3 2 6 2" xfId="14806" xr:uid="{00000000-0005-0000-0000-000056270000}"/>
    <cellStyle name="Millares 2 7 3 2 6 2 2" xfId="28374" xr:uid="{00000000-0005-0000-0000-000057270000}"/>
    <cellStyle name="Millares 2 7 3 2 6 2 2 2" xfId="55507" xr:uid="{00000000-0005-0000-0000-000058270000}"/>
    <cellStyle name="Millares 2 7 3 2 6 2 3" xfId="41945" xr:uid="{00000000-0005-0000-0000-000059270000}"/>
    <cellStyle name="Millares 2 7 3 2 6 3" xfId="21593" xr:uid="{00000000-0005-0000-0000-00005A270000}"/>
    <cellStyle name="Millares 2 7 3 2 6 3 2" xfId="48726" xr:uid="{00000000-0005-0000-0000-00005B270000}"/>
    <cellStyle name="Millares 2 7 3 2 6 4" xfId="35164" xr:uid="{00000000-0005-0000-0000-00005C270000}"/>
    <cellStyle name="Millares 2 7 3 2 7" xfId="11417" xr:uid="{00000000-0005-0000-0000-00005D270000}"/>
    <cellStyle name="Millares 2 7 3 2 7 2" xfId="24985" xr:uid="{00000000-0005-0000-0000-00005E270000}"/>
    <cellStyle name="Millares 2 7 3 2 7 2 2" xfId="52118" xr:uid="{00000000-0005-0000-0000-00005F270000}"/>
    <cellStyle name="Millares 2 7 3 2 7 3" xfId="38556" xr:uid="{00000000-0005-0000-0000-000060270000}"/>
    <cellStyle name="Millares 2 7 3 2 8" xfId="18204" xr:uid="{00000000-0005-0000-0000-000061270000}"/>
    <cellStyle name="Millares 2 7 3 2 8 2" xfId="45337" xr:uid="{00000000-0005-0000-0000-000062270000}"/>
    <cellStyle name="Millares 2 7 3 2 9" xfId="31775" xr:uid="{00000000-0005-0000-0000-000063270000}"/>
    <cellStyle name="Millares 2 7 3 3" xfId="4414" xr:uid="{00000000-0005-0000-0000-000064270000}"/>
    <cellStyle name="Millares 2 7 3 3 2" xfId="4415" xr:uid="{00000000-0005-0000-0000-000065270000}"/>
    <cellStyle name="Millares 2 7 3 3 2 2" xfId="8025" xr:uid="{00000000-0005-0000-0000-000066270000}"/>
    <cellStyle name="Millares 2 7 3 3 2 2 2" xfId="14815" xr:uid="{00000000-0005-0000-0000-000067270000}"/>
    <cellStyle name="Millares 2 7 3 3 2 2 2 2" xfId="28383" xr:uid="{00000000-0005-0000-0000-000068270000}"/>
    <cellStyle name="Millares 2 7 3 3 2 2 2 2 2" xfId="55516" xr:uid="{00000000-0005-0000-0000-000069270000}"/>
    <cellStyle name="Millares 2 7 3 3 2 2 2 3" xfId="41954" xr:uid="{00000000-0005-0000-0000-00006A270000}"/>
    <cellStyle name="Millares 2 7 3 3 2 2 3" xfId="21602" xr:uid="{00000000-0005-0000-0000-00006B270000}"/>
    <cellStyle name="Millares 2 7 3 3 2 2 3 2" xfId="48735" xr:uid="{00000000-0005-0000-0000-00006C270000}"/>
    <cellStyle name="Millares 2 7 3 3 2 2 4" xfId="35173" xr:uid="{00000000-0005-0000-0000-00006D270000}"/>
    <cellStyle name="Millares 2 7 3 3 2 3" xfId="11426" xr:uid="{00000000-0005-0000-0000-00006E270000}"/>
    <cellStyle name="Millares 2 7 3 3 2 3 2" xfId="24994" xr:uid="{00000000-0005-0000-0000-00006F270000}"/>
    <cellStyle name="Millares 2 7 3 3 2 3 2 2" xfId="52127" xr:uid="{00000000-0005-0000-0000-000070270000}"/>
    <cellStyle name="Millares 2 7 3 3 2 3 3" xfId="38565" xr:uid="{00000000-0005-0000-0000-000071270000}"/>
    <cellStyle name="Millares 2 7 3 3 2 4" xfId="18213" xr:uid="{00000000-0005-0000-0000-000072270000}"/>
    <cellStyle name="Millares 2 7 3 3 2 4 2" xfId="45346" xr:uid="{00000000-0005-0000-0000-000073270000}"/>
    <cellStyle name="Millares 2 7 3 3 2 5" xfId="31784" xr:uid="{00000000-0005-0000-0000-000074270000}"/>
    <cellStyle name="Millares 2 7 3 3 3" xfId="4416" xr:uid="{00000000-0005-0000-0000-000075270000}"/>
    <cellStyle name="Millares 2 7 3 3 3 2" xfId="8026" xr:uid="{00000000-0005-0000-0000-000076270000}"/>
    <cellStyle name="Millares 2 7 3 3 3 2 2" xfId="14816" xr:uid="{00000000-0005-0000-0000-000077270000}"/>
    <cellStyle name="Millares 2 7 3 3 3 2 2 2" xfId="28384" xr:uid="{00000000-0005-0000-0000-000078270000}"/>
    <cellStyle name="Millares 2 7 3 3 3 2 2 2 2" xfId="55517" xr:uid="{00000000-0005-0000-0000-000079270000}"/>
    <cellStyle name="Millares 2 7 3 3 3 2 2 3" xfId="41955" xr:uid="{00000000-0005-0000-0000-00007A270000}"/>
    <cellStyle name="Millares 2 7 3 3 3 2 3" xfId="21603" xr:uid="{00000000-0005-0000-0000-00007B270000}"/>
    <cellStyle name="Millares 2 7 3 3 3 2 3 2" xfId="48736" xr:uid="{00000000-0005-0000-0000-00007C270000}"/>
    <cellStyle name="Millares 2 7 3 3 3 2 4" xfId="35174" xr:uid="{00000000-0005-0000-0000-00007D270000}"/>
    <cellStyle name="Millares 2 7 3 3 3 3" xfId="11427" xr:uid="{00000000-0005-0000-0000-00007E270000}"/>
    <cellStyle name="Millares 2 7 3 3 3 3 2" xfId="24995" xr:uid="{00000000-0005-0000-0000-00007F270000}"/>
    <cellStyle name="Millares 2 7 3 3 3 3 2 2" xfId="52128" xr:uid="{00000000-0005-0000-0000-000080270000}"/>
    <cellStyle name="Millares 2 7 3 3 3 3 3" xfId="38566" xr:uid="{00000000-0005-0000-0000-000081270000}"/>
    <cellStyle name="Millares 2 7 3 3 3 4" xfId="18214" xr:uid="{00000000-0005-0000-0000-000082270000}"/>
    <cellStyle name="Millares 2 7 3 3 3 4 2" xfId="45347" xr:uid="{00000000-0005-0000-0000-000083270000}"/>
    <cellStyle name="Millares 2 7 3 3 3 5" xfId="31785" xr:uid="{00000000-0005-0000-0000-000084270000}"/>
    <cellStyle name="Millares 2 7 3 3 4" xfId="8024" xr:uid="{00000000-0005-0000-0000-000085270000}"/>
    <cellStyle name="Millares 2 7 3 3 4 2" xfId="14814" xr:uid="{00000000-0005-0000-0000-000086270000}"/>
    <cellStyle name="Millares 2 7 3 3 4 2 2" xfId="28382" xr:uid="{00000000-0005-0000-0000-000087270000}"/>
    <cellStyle name="Millares 2 7 3 3 4 2 2 2" xfId="55515" xr:uid="{00000000-0005-0000-0000-000088270000}"/>
    <cellStyle name="Millares 2 7 3 3 4 2 3" xfId="41953" xr:uid="{00000000-0005-0000-0000-000089270000}"/>
    <cellStyle name="Millares 2 7 3 3 4 3" xfId="21601" xr:uid="{00000000-0005-0000-0000-00008A270000}"/>
    <cellStyle name="Millares 2 7 3 3 4 3 2" xfId="48734" xr:uid="{00000000-0005-0000-0000-00008B270000}"/>
    <cellStyle name="Millares 2 7 3 3 4 4" xfId="35172" xr:uid="{00000000-0005-0000-0000-00008C270000}"/>
    <cellStyle name="Millares 2 7 3 3 5" xfId="11425" xr:uid="{00000000-0005-0000-0000-00008D270000}"/>
    <cellStyle name="Millares 2 7 3 3 5 2" xfId="24993" xr:uid="{00000000-0005-0000-0000-00008E270000}"/>
    <cellStyle name="Millares 2 7 3 3 5 2 2" xfId="52126" xr:uid="{00000000-0005-0000-0000-00008F270000}"/>
    <cellStyle name="Millares 2 7 3 3 5 3" xfId="38564" xr:uid="{00000000-0005-0000-0000-000090270000}"/>
    <cellStyle name="Millares 2 7 3 3 6" xfId="18212" xr:uid="{00000000-0005-0000-0000-000091270000}"/>
    <cellStyle name="Millares 2 7 3 3 6 2" xfId="45345" xr:uid="{00000000-0005-0000-0000-000092270000}"/>
    <cellStyle name="Millares 2 7 3 3 7" xfId="31783" xr:uid="{00000000-0005-0000-0000-000093270000}"/>
    <cellStyle name="Millares 2 7 3 4" xfId="4417" xr:uid="{00000000-0005-0000-0000-000094270000}"/>
    <cellStyle name="Millares 2 7 3 4 2" xfId="4418" xr:uid="{00000000-0005-0000-0000-000095270000}"/>
    <cellStyle name="Millares 2 7 3 4 2 2" xfId="8028" xr:uid="{00000000-0005-0000-0000-000096270000}"/>
    <cellStyle name="Millares 2 7 3 4 2 2 2" xfId="14818" xr:uid="{00000000-0005-0000-0000-000097270000}"/>
    <cellStyle name="Millares 2 7 3 4 2 2 2 2" xfId="28386" xr:uid="{00000000-0005-0000-0000-000098270000}"/>
    <cellStyle name="Millares 2 7 3 4 2 2 2 2 2" xfId="55519" xr:uid="{00000000-0005-0000-0000-000099270000}"/>
    <cellStyle name="Millares 2 7 3 4 2 2 2 3" xfId="41957" xr:uid="{00000000-0005-0000-0000-00009A270000}"/>
    <cellStyle name="Millares 2 7 3 4 2 2 3" xfId="21605" xr:uid="{00000000-0005-0000-0000-00009B270000}"/>
    <cellStyle name="Millares 2 7 3 4 2 2 3 2" xfId="48738" xr:uid="{00000000-0005-0000-0000-00009C270000}"/>
    <cellStyle name="Millares 2 7 3 4 2 2 4" xfId="35176" xr:uid="{00000000-0005-0000-0000-00009D270000}"/>
    <cellStyle name="Millares 2 7 3 4 2 3" xfId="11429" xr:uid="{00000000-0005-0000-0000-00009E270000}"/>
    <cellStyle name="Millares 2 7 3 4 2 3 2" xfId="24997" xr:uid="{00000000-0005-0000-0000-00009F270000}"/>
    <cellStyle name="Millares 2 7 3 4 2 3 2 2" xfId="52130" xr:uid="{00000000-0005-0000-0000-0000A0270000}"/>
    <cellStyle name="Millares 2 7 3 4 2 3 3" xfId="38568" xr:uid="{00000000-0005-0000-0000-0000A1270000}"/>
    <cellStyle name="Millares 2 7 3 4 2 4" xfId="18216" xr:uid="{00000000-0005-0000-0000-0000A2270000}"/>
    <cellStyle name="Millares 2 7 3 4 2 4 2" xfId="45349" xr:uid="{00000000-0005-0000-0000-0000A3270000}"/>
    <cellStyle name="Millares 2 7 3 4 2 5" xfId="31787" xr:uid="{00000000-0005-0000-0000-0000A4270000}"/>
    <cellStyle name="Millares 2 7 3 4 3" xfId="8027" xr:uid="{00000000-0005-0000-0000-0000A5270000}"/>
    <cellStyle name="Millares 2 7 3 4 3 2" xfId="14817" xr:uid="{00000000-0005-0000-0000-0000A6270000}"/>
    <cellStyle name="Millares 2 7 3 4 3 2 2" xfId="28385" xr:uid="{00000000-0005-0000-0000-0000A7270000}"/>
    <cellStyle name="Millares 2 7 3 4 3 2 2 2" xfId="55518" xr:uid="{00000000-0005-0000-0000-0000A8270000}"/>
    <cellStyle name="Millares 2 7 3 4 3 2 3" xfId="41956" xr:uid="{00000000-0005-0000-0000-0000A9270000}"/>
    <cellStyle name="Millares 2 7 3 4 3 3" xfId="21604" xr:uid="{00000000-0005-0000-0000-0000AA270000}"/>
    <cellStyle name="Millares 2 7 3 4 3 3 2" xfId="48737" xr:uid="{00000000-0005-0000-0000-0000AB270000}"/>
    <cellStyle name="Millares 2 7 3 4 3 4" xfId="35175" xr:uid="{00000000-0005-0000-0000-0000AC270000}"/>
    <cellStyle name="Millares 2 7 3 4 4" xfId="11428" xr:uid="{00000000-0005-0000-0000-0000AD270000}"/>
    <cellStyle name="Millares 2 7 3 4 4 2" xfId="24996" xr:uid="{00000000-0005-0000-0000-0000AE270000}"/>
    <cellStyle name="Millares 2 7 3 4 4 2 2" xfId="52129" xr:uid="{00000000-0005-0000-0000-0000AF270000}"/>
    <cellStyle name="Millares 2 7 3 4 4 3" xfId="38567" xr:uid="{00000000-0005-0000-0000-0000B0270000}"/>
    <cellStyle name="Millares 2 7 3 4 5" xfId="18215" xr:uid="{00000000-0005-0000-0000-0000B1270000}"/>
    <cellStyle name="Millares 2 7 3 4 5 2" xfId="45348" xr:uid="{00000000-0005-0000-0000-0000B2270000}"/>
    <cellStyle name="Millares 2 7 3 4 6" xfId="31786" xr:uid="{00000000-0005-0000-0000-0000B3270000}"/>
    <cellStyle name="Millares 2 7 3 5" xfId="4419" xr:uid="{00000000-0005-0000-0000-0000B4270000}"/>
    <cellStyle name="Millares 2 7 3 5 2" xfId="8029" xr:uid="{00000000-0005-0000-0000-0000B5270000}"/>
    <cellStyle name="Millares 2 7 3 5 2 2" xfId="14819" xr:uid="{00000000-0005-0000-0000-0000B6270000}"/>
    <cellStyle name="Millares 2 7 3 5 2 2 2" xfId="28387" xr:uid="{00000000-0005-0000-0000-0000B7270000}"/>
    <cellStyle name="Millares 2 7 3 5 2 2 2 2" xfId="55520" xr:uid="{00000000-0005-0000-0000-0000B8270000}"/>
    <cellStyle name="Millares 2 7 3 5 2 2 3" xfId="41958" xr:uid="{00000000-0005-0000-0000-0000B9270000}"/>
    <cellStyle name="Millares 2 7 3 5 2 3" xfId="21606" xr:uid="{00000000-0005-0000-0000-0000BA270000}"/>
    <cellStyle name="Millares 2 7 3 5 2 3 2" xfId="48739" xr:uid="{00000000-0005-0000-0000-0000BB270000}"/>
    <cellStyle name="Millares 2 7 3 5 2 4" xfId="35177" xr:uid="{00000000-0005-0000-0000-0000BC270000}"/>
    <cellStyle name="Millares 2 7 3 5 3" xfId="11430" xr:uid="{00000000-0005-0000-0000-0000BD270000}"/>
    <cellStyle name="Millares 2 7 3 5 3 2" xfId="24998" xr:uid="{00000000-0005-0000-0000-0000BE270000}"/>
    <cellStyle name="Millares 2 7 3 5 3 2 2" xfId="52131" xr:uid="{00000000-0005-0000-0000-0000BF270000}"/>
    <cellStyle name="Millares 2 7 3 5 3 3" xfId="38569" xr:uid="{00000000-0005-0000-0000-0000C0270000}"/>
    <cellStyle name="Millares 2 7 3 5 4" xfId="18217" xr:uid="{00000000-0005-0000-0000-0000C1270000}"/>
    <cellStyle name="Millares 2 7 3 5 4 2" xfId="45350" xr:uid="{00000000-0005-0000-0000-0000C2270000}"/>
    <cellStyle name="Millares 2 7 3 5 5" xfId="31788" xr:uid="{00000000-0005-0000-0000-0000C3270000}"/>
    <cellStyle name="Millares 2 7 3 6" xfId="4420" xr:uid="{00000000-0005-0000-0000-0000C4270000}"/>
    <cellStyle name="Millares 2 7 3 6 2" xfId="8030" xr:uid="{00000000-0005-0000-0000-0000C5270000}"/>
    <cellStyle name="Millares 2 7 3 6 2 2" xfId="14820" xr:uid="{00000000-0005-0000-0000-0000C6270000}"/>
    <cellStyle name="Millares 2 7 3 6 2 2 2" xfId="28388" xr:uid="{00000000-0005-0000-0000-0000C7270000}"/>
    <cellStyle name="Millares 2 7 3 6 2 2 2 2" xfId="55521" xr:uid="{00000000-0005-0000-0000-0000C8270000}"/>
    <cellStyle name="Millares 2 7 3 6 2 2 3" xfId="41959" xr:uid="{00000000-0005-0000-0000-0000C9270000}"/>
    <cellStyle name="Millares 2 7 3 6 2 3" xfId="21607" xr:uid="{00000000-0005-0000-0000-0000CA270000}"/>
    <cellStyle name="Millares 2 7 3 6 2 3 2" xfId="48740" xr:uid="{00000000-0005-0000-0000-0000CB270000}"/>
    <cellStyle name="Millares 2 7 3 6 2 4" xfId="35178" xr:uid="{00000000-0005-0000-0000-0000CC270000}"/>
    <cellStyle name="Millares 2 7 3 6 3" xfId="11431" xr:uid="{00000000-0005-0000-0000-0000CD270000}"/>
    <cellStyle name="Millares 2 7 3 6 3 2" xfId="24999" xr:uid="{00000000-0005-0000-0000-0000CE270000}"/>
    <cellStyle name="Millares 2 7 3 6 3 2 2" xfId="52132" xr:uid="{00000000-0005-0000-0000-0000CF270000}"/>
    <cellStyle name="Millares 2 7 3 6 3 3" xfId="38570" xr:uid="{00000000-0005-0000-0000-0000D0270000}"/>
    <cellStyle name="Millares 2 7 3 6 4" xfId="18218" xr:uid="{00000000-0005-0000-0000-0000D1270000}"/>
    <cellStyle name="Millares 2 7 3 6 4 2" xfId="45351" xr:uid="{00000000-0005-0000-0000-0000D2270000}"/>
    <cellStyle name="Millares 2 7 3 6 5" xfId="31789" xr:uid="{00000000-0005-0000-0000-0000D3270000}"/>
    <cellStyle name="Millares 2 7 3 7" xfId="8015" xr:uid="{00000000-0005-0000-0000-0000D4270000}"/>
    <cellStyle name="Millares 2 7 3 7 2" xfId="14805" xr:uid="{00000000-0005-0000-0000-0000D5270000}"/>
    <cellStyle name="Millares 2 7 3 7 2 2" xfId="28373" xr:uid="{00000000-0005-0000-0000-0000D6270000}"/>
    <cellStyle name="Millares 2 7 3 7 2 2 2" xfId="55506" xr:uid="{00000000-0005-0000-0000-0000D7270000}"/>
    <cellStyle name="Millares 2 7 3 7 2 3" xfId="41944" xr:uid="{00000000-0005-0000-0000-0000D8270000}"/>
    <cellStyle name="Millares 2 7 3 7 3" xfId="21592" xr:uid="{00000000-0005-0000-0000-0000D9270000}"/>
    <cellStyle name="Millares 2 7 3 7 3 2" xfId="48725" xr:uid="{00000000-0005-0000-0000-0000DA270000}"/>
    <cellStyle name="Millares 2 7 3 7 4" xfId="35163" xr:uid="{00000000-0005-0000-0000-0000DB270000}"/>
    <cellStyle name="Millares 2 7 3 8" xfId="11416" xr:uid="{00000000-0005-0000-0000-0000DC270000}"/>
    <cellStyle name="Millares 2 7 3 8 2" xfId="24984" xr:uid="{00000000-0005-0000-0000-0000DD270000}"/>
    <cellStyle name="Millares 2 7 3 8 2 2" xfId="52117" xr:uid="{00000000-0005-0000-0000-0000DE270000}"/>
    <cellStyle name="Millares 2 7 3 8 3" xfId="38555" xr:uid="{00000000-0005-0000-0000-0000DF270000}"/>
    <cellStyle name="Millares 2 7 3 9" xfId="18203" xr:uid="{00000000-0005-0000-0000-0000E0270000}"/>
    <cellStyle name="Millares 2 7 3 9 2" xfId="45336" xr:uid="{00000000-0005-0000-0000-0000E1270000}"/>
    <cellStyle name="Millares 2 7 4" xfId="4421" xr:uid="{00000000-0005-0000-0000-0000E2270000}"/>
    <cellStyle name="Millares 2 7 4 2" xfId="4422" xr:uid="{00000000-0005-0000-0000-0000E3270000}"/>
    <cellStyle name="Millares 2 7 4 2 2" xfId="4423" xr:uid="{00000000-0005-0000-0000-0000E4270000}"/>
    <cellStyle name="Millares 2 7 4 2 2 2" xfId="8033" xr:uid="{00000000-0005-0000-0000-0000E5270000}"/>
    <cellStyle name="Millares 2 7 4 2 2 2 2" xfId="14823" xr:uid="{00000000-0005-0000-0000-0000E6270000}"/>
    <cellStyle name="Millares 2 7 4 2 2 2 2 2" xfId="28391" xr:uid="{00000000-0005-0000-0000-0000E7270000}"/>
    <cellStyle name="Millares 2 7 4 2 2 2 2 2 2" xfId="55524" xr:uid="{00000000-0005-0000-0000-0000E8270000}"/>
    <cellStyle name="Millares 2 7 4 2 2 2 2 3" xfId="41962" xr:uid="{00000000-0005-0000-0000-0000E9270000}"/>
    <cellStyle name="Millares 2 7 4 2 2 2 3" xfId="21610" xr:uid="{00000000-0005-0000-0000-0000EA270000}"/>
    <cellStyle name="Millares 2 7 4 2 2 2 3 2" xfId="48743" xr:uid="{00000000-0005-0000-0000-0000EB270000}"/>
    <cellStyle name="Millares 2 7 4 2 2 2 4" xfId="35181" xr:uid="{00000000-0005-0000-0000-0000EC270000}"/>
    <cellStyle name="Millares 2 7 4 2 2 3" xfId="11434" xr:uid="{00000000-0005-0000-0000-0000ED270000}"/>
    <cellStyle name="Millares 2 7 4 2 2 3 2" xfId="25002" xr:uid="{00000000-0005-0000-0000-0000EE270000}"/>
    <cellStyle name="Millares 2 7 4 2 2 3 2 2" xfId="52135" xr:uid="{00000000-0005-0000-0000-0000EF270000}"/>
    <cellStyle name="Millares 2 7 4 2 2 3 3" xfId="38573" xr:uid="{00000000-0005-0000-0000-0000F0270000}"/>
    <cellStyle name="Millares 2 7 4 2 2 4" xfId="18221" xr:uid="{00000000-0005-0000-0000-0000F1270000}"/>
    <cellStyle name="Millares 2 7 4 2 2 4 2" xfId="45354" xr:uid="{00000000-0005-0000-0000-0000F2270000}"/>
    <cellStyle name="Millares 2 7 4 2 2 5" xfId="31792" xr:uid="{00000000-0005-0000-0000-0000F3270000}"/>
    <cellStyle name="Millares 2 7 4 2 3" xfId="4424" xr:uid="{00000000-0005-0000-0000-0000F4270000}"/>
    <cellStyle name="Millares 2 7 4 2 3 2" xfId="8034" xr:uid="{00000000-0005-0000-0000-0000F5270000}"/>
    <cellStyle name="Millares 2 7 4 2 3 2 2" xfId="14824" xr:uid="{00000000-0005-0000-0000-0000F6270000}"/>
    <cellStyle name="Millares 2 7 4 2 3 2 2 2" xfId="28392" xr:uid="{00000000-0005-0000-0000-0000F7270000}"/>
    <cellStyle name="Millares 2 7 4 2 3 2 2 2 2" xfId="55525" xr:uid="{00000000-0005-0000-0000-0000F8270000}"/>
    <cellStyle name="Millares 2 7 4 2 3 2 2 3" xfId="41963" xr:uid="{00000000-0005-0000-0000-0000F9270000}"/>
    <cellStyle name="Millares 2 7 4 2 3 2 3" xfId="21611" xr:uid="{00000000-0005-0000-0000-0000FA270000}"/>
    <cellStyle name="Millares 2 7 4 2 3 2 3 2" xfId="48744" xr:uid="{00000000-0005-0000-0000-0000FB270000}"/>
    <cellStyle name="Millares 2 7 4 2 3 2 4" xfId="35182" xr:uid="{00000000-0005-0000-0000-0000FC270000}"/>
    <cellStyle name="Millares 2 7 4 2 3 3" xfId="11435" xr:uid="{00000000-0005-0000-0000-0000FD270000}"/>
    <cellStyle name="Millares 2 7 4 2 3 3 2" xfId="25003" xr:uid="{00000000-0005-0000-0000-0000FE270000}"/>
    <cellStyle name="Millares 2 7 4 2 3 3 2 2" xfId="52136" xr:uid="{00000000-0005-0000-0000-0000FF270000}"/>
    <cellStyle name="Millares 2 7 4 2 3 3 3" xfId="38574" xr:uid="{00000000-0005-0000-0000-000000280000}"/>
    <cellStyle name="Millares 2 7 4 2 3 4" xfId="18222" xr:uid="{00000000-0005-0000-0000-000001280000}"/>
    <cellStyle name="Millares 2 7 4 2 3 4 2" xfId="45355" xr:uid="{00000000-0005-0000-0000-000002280000}"/>
    <cellStyle name="Millares 2 7 4 2 3 5" xfId="31793" xr:uid="{00000000-0005-0000-0000-000003280000}"/>
    <cellStyle name="Millares 2 7 4 2 4" xfId="8032" xr:uid="{00000000-0005-0000-0000-000004280000}"/>
    <cellStyle name="Millares 2 7 4 2 4 2" xfId="14822" xr:uid="{00000000-0005-0000-0000-000005280000}"/>
    <cellStyle name="Millares 2 7 4 2 4 2 2" xfId="28390" xr:uid="{00000000-0005-0000-0000-000006280000}"/>
    <cellStyle name="Millares 2 7 4 2 4 2 2 2" xfId="55523" xr:uid="{00000000-0005-0000-0000-000007280000}"/>
    <cellStyle name="Millares 2 7 4 2 4 2 3" xfId="41961" xr:uid="{00000000-0005-0000-0000-000008280000}"/>
    <cellStyle name="Millares 2 7 4 2 4 3" xfId="21609" xr:uid="{00000000-0005-0000-0000-000009280000}"/>
    <cellStyle name="Millares 2 7 4 2 4 3 2" xfId="48742" xr:uid="{00000000-0005-0000-0000-00000A280000}"/>
    <cellStyle name="Millares 2 7 4 2 4 4" xfId="35180" xr:uid="{00000000-0005-0000-0000-00000B280000}"/>
    <cellStyle name="Millares 2 7 4 2 5" xfId="11433" xr:uid="{00000000-0005-0000-0000-00000C280000}"/>
    <cellStyle name="Millares 2 7 4 2 5 2" xfId="25001" xr:uid="{00000000-0005-0000-0000-00000D280000}"/>
    <cellStyle name="Millares 2 7 4 2 5 2 2" xfId="52134" xr:uid="{00000000-0005-0000-0000-00000E280000}"/>
    <cellStyle name="Millares 2 7 4 2 5 3" xfId="38572" xr:uid="{00000000-0005-0000-0000-00000F280000}"/>
    <cellStyle name="Millares 2 7 4 2 6" xfId="18220" xr:uid="{00000000-0005-0000-0000-000010280000}"/>
    <cellStyle name="Millares 2 7 4 2 6 2" xfId="45353" xr:uid="{00000000-0005-0000-0000-000011280000}"/>
    <cellStyle name="Millares 2 7 4 2 7" xfId="31791" xr:uid="{00000000-0005-0000-0000-000012280000}"/>
    <cellStyle name="Millares 2 7 4 3" xfId="4425" xr:uid="{00000000-0005-0000-0000-000013280000}"/>
    <cellStyle name="Millares 2 7 4 3 2" xfId="4426" xr:uid="{00000000-0005-0000-0000-000014280000}"/>
    <cellStyle name="Millares 2 7 4 3 2 2" xfId="8036" xr:uid="{00000000-0005-0000-0000-000015280000}"/>
    <cellStyle name="Millares 2 7 4 3 2 2 2" xfId="14826" xr:uid="{00000000-0005-0000-0000-000016280000}"/>
    <cellStyle name="Millares 2 7 4 3 2 2 2 2" xfId="28394" xr:uid="{00000000-0005-0000-0000-000017280000}"/>
    <cellStyle name="Millares 2 7 4 3 2 2 2 2 2" xfId="55527" xr:uid="{00000000-0005-0000-0000-000018280000}"/>
    <cellStyle name="Millares 2 7 4 3 2 2 2 3" xfId="41965" xr:uid="{00000000-0005-0000-0000-000019280000}"/>
    <cellStyle name="Millares 2 7 4 3 2 2 3" xfId="21613" xr:uid="{00000000-0005-0000-0000-00001A280000}"/>
    <cellStyle name="Millares 2 7 4 3 2 2 3 2" xfId="48746" xr:uid="{00000000-0005-0000-0000-00001B280000}"/>
    <cellStyle name="Millares 2 7 4 3 2 2 4" xfId="35184" xr:uid="{00000000-0005-0000-0000-00001C280000}"/>
    <cellStyle name="Millares 2 7 4 3 2 3" xfId="11437" xr:uid="{00000000-0005-0000-0000-00001D280000}"/>
    <cellStyle name="Millares 2 7 4 3 2 3 2" xfId="25005" xr:uid="{00000000-0005-0000-0000-00001E280000}"/>
    <cellStyle name="Millares 2 7 4 3 2 3 2 2" xfId="52138" xr:uid="{00000000-0005-0000-0000-00001F280000}"/>
    <cellStyle name="Millares 2 7 4 3 2 3 3" xfId="38576" xr:uid="{00000000-0005-0000-0000-000020280000}"/>
    <cellStyle name="Millares 2 7 4 3 2 4" xfId="18224" xr:uid="{00000000-0005-0000-0000-000021280000}"/>
    <cellStyle name="Millares 2 7 4 3 2 4 2" xfId="45357" xr:uid="{00000000-0005-0000-0000-000022280000}"/>
    <cellStyle name="Millares 2 7 4 3 2 5" xfId="31795" xr:uid="{00000000-0005-0000-0000-000023280000}"/>
    <cellStyle name="Millares 2 7 4 3 3" xfId="8035" xr:uid="{00000000-0005-0000-0000-000024280000}"/>
    <cellStyle name="Millares 2 7 4 3 3 2" xfId="14825" xr:uid="{00000000-0005-0000-0000-000025280000}"/>
    <cellStyle name="Millares 2 7 4 3 3 2 2" xfId="28393" xr:uid="{00000000-0005-0000-0000-000026280000}"/>
    <cellStyle name="Millares 2 7 4 3 3 2 2 2" xfId="55526" xr:uid="{00000000-0005-0000-0000-000027280000}"/>
    <cellStyle name="Millares 2 7 4 3 3 2 3" xfId="41964" xr:uid="{00000000-0005-0000-0000-000028280000}"/>
    <cellStyle name="Millares 2 7 4 3 3 3" xfId="21612" xr:uid="{00000000-0005-0000-0000-000029280000}"/>
    <cellStyle name="Millares 2 7 4 3 3 3 2" xfId="48745" xr:uid="{00000000-0005-0000-0000-00002A280000}"/>
    <cellStyle name="Millares 2 7 4 3 3 4" xfId="35183" xr:uid="{00000000-0005-0000-0000-00002B280000}"/>
    <cellStyle name="Millares 2 7 4 3 4" xfId="11436" xr:uid="{00000000-0005-0000-0000-00002C280000}"/>
    <cellStyle name="Millares 2 7 4 3 4 2" xfId="25004" xr:uid="{00000000-0005-0000-0000-00002D280000}"/>
    <cellStyle name="Millares 2 7 4 3 4 2 2" xfId="52137" xr:uid="{00000000-0005-0000-0000-00002E280000}"/>
    <cellStyle name="Millares 2 7 4 3 4 3" xfId="38575" xr:uid="{00000000-0005-0000-0000-00002F280000}"/>
    <cellStyle name="Millares 2 7 4 3 5" xfId="18223" xr:uid="{00000000-0005-0000-0000-000030280000}"/>
    <cellStyle name="Millares 2 7 4 3 5 2" xfId="45356" xr:uid="{00000000-0005-0000-0000-000031280000}"/>
    <cellStyle name="Millares 2 7 4 3 6" xfId="31794" xr:uid="{00000000-0005-0000-0000-000032280000}"/>
    <cellStyle name="Millares 2 7 4 4" xfId="4427" xr:uid="{00000000-0005-0000-0000-000033280000}"/>
    <cellStyle name="Millares 2 7 4 4 2" xfId="8037" xr:uid="{00000000-0005-0000-0000-000034280000}"/>
    <cellStyle name="Millares 2 7 4 4 2 2" xfId="14827" xr:uid="{00000000-0005-0000-0000-000035280000}"/>
    <cellStyle name="Millares 2 7 4 4 2 2 2" xfId="28395" xr:uid="{00000000-0005-0000-0000-000036280000}"/>
    <cellStyle name="Millares 2 7 4 4 2 2 2 2" xfId="55528" xr:uid="{00000000-0005-0000-0000-000037280000}"/>
    <cellStyle name="Millares 2 7 4 4 2 2 3" xfId="41966" xr:uid="{00000000-0005-0000-0000-000038280000}"/>
    <cellStyle name="Millares 2 7 4 4 2 3" xfId="21614" xr:uid="{00000000-0005-0000-0000-000039280000}"/>
    <cellStyle name="Millares 2 7 4 4 2 3 2" xfId="48747" xr:uid="{00000000-0005-0000-0000-00003A280000}"/>
    <cellStyle name="Millares 2 7 4 4 2 4" xfId="35185" xr:uid="{00000000-0005-0000-0000-00003B280000}"/>
    <cellStyle name="Millares 2 7 4 4 3" xfId="11438" xr:uid="{00000000-0005-0000-0000-00003C280000}"/>
    <cellStyle name="Millares 2 7 4 4 3 2" xfId="25006" xr:uid="{00000000-0005-0000-0000-00003D280000}"/>
    <cellStyle name="Millares 2 7 4 4 3 2 2" xfId="52139" xr:uid="{00000000-0005-0000-0000-00003E280000}"/>
    <cellStyle name="Millares 2 7 4 4 3 3" xfId="38577" xr:uid="{00000000-0005-0000-0000-00003F280000}"/>
    <cellStyle name="Millares 2 7 4 4 4" xfId="18225" xr:uid="{00000000-0005-0000-0000-000040280000}"/>
    <cellStyle name="Millares 2 7 4 4 4 2" xfId="45358" xr:uid="{00000000-0005-0000-0000-000041280000}"/>
    <cellStyle name="Millares 2 7 4 4 5" xfId="31796" xr:uid="{00000000-0005-0000-0000-000042280000}"/>
    <cellStyle name="Millares 2 7 4 5" xfId="4428" xr:uid="{00000000-0005-0000-0000-000043280000}"/>
    <cellStyle name="Millares 2 7 4 5 2" xfId="8038" xr:uid="{00000000-0005-0000-0000-000044280000}"/>
    <cellStyle name="Millares 2 7 4 5 2 2" xfId="14828" xr:uid="{00000000-0005-0000-0000-000045280000}"/>
    <cellStyle name="Millares 2 7 4 5 2 2 2" xfId="28396" xr:uid="{00000000-0005-0000-0000-000046280000}"/>
    <cellStyle name="Millares 2 7 4 5 2 2 2 2" xfId="55529" xr:uid="{00000000-0005-0000-0000-000047280000}"/>
    <cellStyle name="Millares 2 7 4 5 2 2 3" xfId="41967" xr:uid="{00000000-0005-0000-0000-000048280000}"/>
    <cellStyle name="Millares 2 7 4 5 2 3" xfId="21615" xr:uid="{00000000-0005-0000-0000-000049280000}"/>
    <cellStyle name="Millares 2 7 4 5 2 3 2" xfId="48748" xr:uid="{00000000-0005-0000-0000-00004A280000}"/>
    <cellStyle name="Millares 2 7 4 5 2 4" xfId="35186" xr:uid="{00000000-0005-0000-0000-00004B280000}"/>
    <cellStyle name="Millares 2 7 4 5 3" xfId="11439" xr:uid="{00000000-0005-0000-0000-00004C280000}"/>
    <cellStyle name="Millares 2 7 4 5 3 2" xfId="25007" xr:uid="{00000000-0005-0000-0000-00004D280000}"/>
    <cellStyle name="Millares 2 7 4 5 3 2 2" xfId="52140" xr:uid="{00000000-0005-0000-0000-00004E280000}"/>
    <cellStyle name="Millares 2 7 4 5 3 3" xfId="38578" xr:uid="{00000000-0005-0000-0000-00004F280000}"/>
    <cellStyle name="Millares 2 7 4 5 4" xfId="18226" xr:uid="{00000000-0005-0000-0000-000050280000}"/>
    <cellStyle name="Millares 2 7 4 5 4 2" xfId="45359" xr:uid="{00000000-0005-0000-0000-000051280000}"/>
    <cellStyle name="Millares 2 7 4 5 5" xfId="31797" xr:uid="{00000000-0005-0000-0000-000052280000}"/>
    <cellStyle name="Millares 2 7 4 6" xfId="8031" xr:uid="{00000000-0005-0000-0000-000053280000}"/>
    <cellStyle name="Millares 2 7 4 6 2" xfId="14821" xr:uid="{00000000-0005-0000-0000-000054280000}"/>
    <cellStyle name="Millares 2 7 4 6 2 2" xfId="28389" xr:uid="{00000000-0005-0000-0000-000055280000}"/>
    <cellStyle name="Millares 2 7 4 6 2 2 2" xfId="55522" xr:uid="{00000000-0005-0000-0000-000056280000}"/>
    <cellStyle name="Millares 2 7 4 6 2 3" xfId="41960" xr:uid="{00000000-0005-0000-0000-000057280000}"/>
    <cellStyle name="Millares 2 7 4 6 3" xfId="21608" xr:uid="{00000000-0005-0000-0000-000058280000}"/>
    <cellStyle name="Millares 2 7 4 6 3 2" xfId="48741" xr:uid="{00000000-0005-0000-0000-000059280000}"/>
    <cellStyle name="Millares 2 7 4 6 4" xfId="35179" xr:uid="{00000000-0005-0000-0000-00005A280000}"/>
    <cellStyle name="Millares 2 7 4 7" xfId="11432" xr:uid="{00000000-0005-0000-0000-00005B280000}"/>
    <cellStyle name="Millares 2 7 4 7 2" xfId="25000" xr:uid="{00000000-0005-0000-0000-00005C280000}"/>
    <cellStyle name="Millares 2 7 4 7 2 2" xfId="52133" xr:uid="{00000000-0005-0000-0000-00005D280000}"/>
    <cellStyle name="Millares 2 7 4 7 3" xfId="38571" xr:uid="{00000000-0005-0000-0000-00005E280000}"/>
    <cellStyle name="Millares 2 7 4 8" xfId="18219" xr:uid="{00000000-0005-0000-0000-00005F280000}"/>
    <cellStyle name="Millares 2 7 4 8 2" xfId="45352" xr:uid="{00000000-0005-0000-0000-000060280000}"/>
    <cellStyle name="Millares 2 7 4 9" xfId="31790" xr:uid="{00000000-0005-0000-0000-000061280000}"/>
    <cellStyle name="Millares 2 7 5" xfId="4429" xr:uid="{00000000-0005-0000-0000-000062280000}"/>
    <cellStyle name="Millares 2 7 5 2" xfId="4430" xr:uid="{00000000-0005-0000-0000-000063280000}"/>
    <cellStyle name="Millares 2 7 5 2 2" xfId="4431" xr:uid="{00000000-0005-0000-0000-000064280000}"/>
    <cellStyle name="Millares 2 7 5 2 2 2" xfId="8041" xr:uid="{00000000-0005-0000-0000-000065280000}"/>
    <cellStyle name="Millares 2 7 5 2 2 2 2" xfId="14831" xr:uid="{00000000-0005-0000-0000-000066280000}"/>
    <cellStyle name="Millares 2 7 5 2 2 2 2 2" xfId="28399" xr:uid="{00000000-0005-0000-0000-000067280000}"/>
    <cellStyle name="Millares 2 7 5 2 2 2 2 2 2" xfId="55532" xr:uid="{00000000-0005-0000-0000-000068280000}"/>
    <cellStyle name="Millares 2 7 5 2 2 2 2 3" xfId="41970" xr:uid="{00000000-0005-0000-0000-000069280000}"/>
    <cellStyle name="Millares 2 7 5 2 2 2 3" xfId="21618" xr:uid="{00000000-0005-0000-0000-00006A280000}"/>
    <cellStyle name="Millares 2 7 5 2 2 2 3 2" xfId="48751" xr:uid="{00000000-0005-0000-0000-00006B280000}"/>
    <cellStyle name="Millares 2 7 5 2 2 2 4" xfId="35189" xr:uid="{00000000-0005-0000-0000-00006C280000}"/>
    <cellStyle name="Millares 2 7 5 2 2 3" xfId="11442" xr:uid="{00000000-0005-0000-0000-00006D280000}"/>
    <cellStyle name="Millares 2 7 5 2 2 3 2" xfId="25010" xr:uid="{00000000-0005-0000-0000-00006E280000}"/>
    <cellStyle name="Millares 2 7 5 2 2 3 2 2" xfId="52143" xr:uid="{00000000-0005-0000-0000-00006F280000}"/>
    <cellStyle name="Millares 2 7 5 2 2 3 3" xfId="38581" xr:uid="{00000000-0005-0000-0000-000070280000}"/>
    <cellStyle name="Millares 2 7 5 2 2 4" xfId="18229" xr:uid="{00000000-0005-0000-0000-000071280000}"/>
    <cellStyle name="Millares 2 7 5 2 2 4 2" xfId="45362" xr:uid="{00000000-0005-0000-0000-000072280000}"/>
    <cellStyle name="Millares 2 7 5 2 2 5" xfId="31800" xr:uid="{00000000-0005-0000-0000-000073280000}"/>
    <cellStyle name="Millares 2 7 5 2 3" xfId="4432" xr:uid="{00000000-0005-0000-0000-000074280000}"/>
    <cellStyle name="Millares 2 7 5 2 3 2" xfId="8042" xr:uid="{00000000-0005-0000-0000-000075280000}"/>
    <cellStyle name="Millares 2 7 5 2 3 2 2" xfId="14832" xr:uid="{00000000-0005-0000-0000-000076280000}"/>
    <cellStyle name="Millares 2 7 5 2 3 2 2 2" xfId="28400" xr:uid="{00000000-0005-0000-0000-000077280000}"/>
    <cellStyle name="Millares 2 7 5 2 3 2 2 2 2" xfId="55533" xr:uid="{00000000-0005-0000-0000-000078280000}"/>
    <cellStyle name="Millares 2 7 5 2 3 2 2 3" xfId="41971" xr:uid="{00000000-0005-0000-0000-000079280000}"/>
    <cellStyle name="Millares 2 7 5 2 3 2 3" xfId="21619" xr:uid="{00000000-0005-0000-0000-00007A280000}"/>
    <cellStyle name="Millares 2 7 5 2 3 2 3 2" xfId="48752" xr:uid="{00000000-0005-0000-0000-00007B280000}"/>
    <cellStyle name="Millares 2 7 5 2 3 2 4" xfId="35190" xr:uid="{00000000-0005-0000-0000-00007C280000}"/>
    <cellStyle name="Millares 2 7 5 2 3 3" xfId="11443" xr:uid="{00000000-0005-0000-0000-00007D280000}"/>
    <cellStyle name="Millares 2 7 5 2 3 3 2" xfId="25011" xr:uid="{00000000-0005-0000-0000-00007E280000}"/>
    <cellStyle name="Millares 2 7 5 2 3 3 2 2" xfId="52144" xr:uid="{00000000-0005-0000-0000-00007F280000}"/>
    <cellStyle name="Millares 2 7 5 2 3 3 3" xfId="38582" xr:uid="{00000000-0005-0000-0000-000080280000}"/>
    <cellStyle name="Millares 2 7 5 2 3 4" xfId="18230" xr:uid="{00000000-0005-0000-0000-000081280000}"/>
    <cellStyle name="Millares 2 7 5 2 3 4 2" xfId="45363" xr:uid="{00000000-0005-0000-0000-000082280000}"/>
    <cellStyle name="Millares 2 7 5 2 3 5" xfId="31801" xr:uid="{00000000-0005-0000-0000-000083280000}"/>
    <cellStyle name="Millares 2 7 5 2 4" xfId="8040" xr:uid="{00000000-0005-0000-0000-000084280000}"/>
    <cellStyle name="Millares 2 7 5 2 4 2" xfId="14830" xr:uid="{00000000-0005-0000-0000-000085280000}"/>
    <cellStyle name="Millares 2 7 5 2 4 2 2" xfId="28398" xr:uid="{00000000-0005-0000-0000-000086280000}"/>
    <cellStyle name="Millares 2 7 5 2 4 2 2 2" xfId="55531" xr:uid="{00000000-0005-0000-0000-000087280000}"/>
    <cellStyle name="Millares 2 7 5 2 4 2 3" xfId="41969" xr:uid="{00000000-0005-0000-0000-000088280000}"/>
    <cellStyle name="Millares 2 7 5 2 4 3" xfId="21617" xr:uid="{00000000-0005-0000-0000-000089280000}"/>
    <cellStyle name="Millares 2 7 5 2 4 3 2" xfId="48750" xr:uid="{00000000-0005-0000-0000-00008A280000}"/>
    <cellStyle name="Millares 2 7 5 2 4 4" xfId="35188" xr:uid="{00000000-0005-0000-0000-00008B280000}"/>
    <cellStyle name="Millares 2 7 5 2 5" xfId="11441" xr:uid="{00000000-0005-0000-0000-00008C280000}"/>
    <cellStyle name="Millares 2 7 5 2 5 2" xfId="25009" xr:uid="{00000000-0005-0000-0000-00008D280000}"/>
    <cellStyle name="Millares 2 7 5 2 5 2 2" xfId="52142" xr:uid="{00000000-0005-0000-0000-00008E280000}"/>
    <cellStyle name="Millares 2 7 5 2 5 3" xfId="38580" xr:uid="{00000000-0005-0000-0000-00008F280000}"/>
    <cellStyle name="Millares 2 7 5 2 6" xfId="18228" xr:uid="{00000000-0005-0000-0000-000090280000}"/>
    <cellStyle name="Millares 2 7 5 2 6 2" xfId="45361" xr:uid="{00000000-0005-0000-0000-000091280000}"/>
    <cellStyle name="Millares 2 7 5 2 7" xfId="31799" xr:uid="{00000000-0005-0000-0000-000092280000}"/>
    <cellStyle name="Millares 2 7 5 3" xfId="4433" xr:uid="{00000000-0005-0000-0000-000093280000}"/>
    <cellStyle name="Millares 2 7 5 3 2" xfId="8043" xr:uid="{00000000-0005-0000-0000-000094280000}"/>
    <cellStyle name="Millares 2 7 5 3 2 2" xfId="14833" xr:uid="{00000000-0005-0000-0000-000095280000}"/>
    <cellStyle name="Millares 2 7 5 3 2 2 2" xfId="28401" xr:uid="{00000000-0005-0000-0000-000096280000}"/>
    <cellStyle name="Millares 2 7 5 3 2 2 2 2" xfId="55534" xr:uid="{00000000-0005-0000-0000-000097280000}"/>
    <cellStyle name="Millares 2 7 5 3 2 2 3" xfId="41972" xr:uid="{00000000-0005-0000-0000-000098280000}"/>
    <cellStyle name="Millares 2 7 5 3 2 3" xfId="21620" xr:uid="{00000000-0005-0000-0000-000099280000}"/>
    <cellStyle name="Millares 2 7 5 3 2 3 2" xfId="48753" xr:uid="{00000000-0005-0000-0000-00009A280000}"/>
    <cellStyle name="Millares 2 7 5 3 2 4" xfId="35191" xr:uid="{00000000-0005-0000-0000-00009B280000}"/>
    <cellStyle name="Millares 2 7 5 3 3" xfId="11444" xr:uid="{00000000-0005-0000-0000-00009C280000}"/>
    <cellStyle name="Millares 2 7 5 3 3 2" xfId="25012" xr:uid="{00000000-0005-0000-0000-00009D280000}"/>
    <cellStyle name="Millares 2 7 5 3 3 2 2" xfId="52145" xr:uid="{00000000-0005-0000-0000-00009E280000}"/>
    <cellStyle name="Millares 2 7 5 3 3 3" xfId="38583" xr:uid="{00000000-0005-0000-0000-00009F280000}"/>
    <cellStyle name="Millares 2 7 5 3 4" xfId="18231" xr:uid="{00000000-0005-0000-0000-0000A0280000}"/>
    <cellStyle name="Millares 2 7 5 3 4 2" xfId="45364" xr:uid="{00000000-0005-0000-0000-0000A1280000}"/>
    <cellStyle name="Millares 2 7 5 3 5" xfId="31802" xr:uid="{00000000-0005-0000-0000-0000A2280000}"/>
    <cellStyle name="Millares 2 7 5 4" xfId="4434" xr:uid="{00000000-0005-0000-0000-0000A3280000}"/>
    <cellStyle name="Millares 2 7 5 4 2" xfId="8044" xr:uid="{00000000-0005-0000-0000-0000A4280000}"/>
    <cellStyle name="Millares 2 7 5 4 2 2" xfId="14834" xr:uid="{00000000-0005-0000-0000-0000A5280000}"/>
    <cellStyle name="Millares 2 7 5 4 2 2 2" xfId="28402" xr:uid="{00000000-0005-0000-0000-0000A6280000}"/>
    <cellStyle name="Millares 2 7 5 4 2 2 2 2" xfId="55535" xr:uid="{00000000-0005-0000-0000-0000A7280000}"/>
    <cellStyle name="Millares 2 7 5 4 2 2 3" xfId="41973" xr:uid="{00000000-0005-0000-0000-0000A8280000}"/>
    <cellStyle name="Millares 2 7 5 4 2 3" xfId="21621" xr:uid="{00000000-0005-0000-0000-0000A9280000}"/>
    <cellStyle name="Millares 2 7 5 4 2 3 2" xfId="48754" xr:uid="{00000000-0005-0000-0000-0000AA280000}"/>
    <cellStyle name="Millares 2 7 5 4 2 4" xfId="35192" xr:uid="{00000000-0005-0000-0000-0000AB280000}"/>
    <cellStyle name="Millares 2 7 5 4 3" xfId="11445" xr:uid="{00000000-0005-0000-0000-0000AC280000}"/>
    <cellStyle name="Millares 2 7 5 4 3 2" xfId="25013" xr:uid="{00000000-0005-0000-0000-0000AD280000}"/>
    <cellStyle name="Millares 2 7 5 4 3 2 2" xfId="52146" xr:uid="{00000000-0005-0000-0000-0000AE280000}"/>
    <cellStyle name="Millares 2 7 5 4 3 3" xfId="38584" xr:uid="{00000000-0005-0000-0000-0000AF280000}"/>
    <cellStyle name="Millares 2 7 5 4 4" xfId="18232" xr:uid="{00000000-0005-0000-0000-0000B0280000}"/>
    <cellStyle name="Millares 2 7 5 4 4 2" xfId="45365" xr:uid="{00000000-0005-0000-0000-0000B1280000}"/>
    <cellStyle name="Millares 2 7 5 4 5" xfId="31803" xr:uid="{00000000-0005-0000-0000-0000B2280000}"/>
    <cellStyle name="Millares 2 7 5 5" xfId="8039" xr:uid="{00000000-0005-0000-0000-0000B3280000}"/>
    <cellStyle name="Millares 2 7 5 5 2" xfId="14829" xr:uid="{00000000-0005-0000-0000-0000B4280000}"/>
    <cellStyle name="Millares 2 7 5 5 2 2" xfId="28397" xr:uid="{00000000-0005-0000-0000-0000B5280000}"/>
    <cellStyle name="Millares 2 7 5 5 2 2 2" xfId="55530" xr:uid="{00000000-0005-0000-0000-0000B6280000}"/>
    <cellStyle name="Millares 2 7 5 5 2 3" xfId="41968" xr:uid="{00000000-0005-0000-0000-0000B7280000}"/>
    <cellStyle name="Millares 2 7 5 5 3" xfId="21616" xr:uid="{00000000-0005-0000-0000-0000B8280000}"/>
    <cellStyle name="Millares 2 7 5 5 3 2" xfId="48749" xr:uid="{00000000-0005-0000-0000-0000B9280000}"/>
    <cellStyle name="Millares 2 7 5 5 4" xfId="35187" xr:uid="{00000000-0005-0000-0000-0000BA280000}"/>
    <cellStyle name="Millares 2 7 5 6" xfId="11440" xr:uid="{00000000-0005-0000-0000-0000BB280000}"/>
    <cellStyle name="Millares 2 7 5 6 2" xfId="25008" xr:uid="{00000000-0005-0000-0000-0000BC280000}"/>
    <cellStyle name="Millares 2 7 5 6 2 2" xfId="52141" xr:uid="{00000000-0005-0000-0000-0000BD280000}"/>
    <cellStyle name="Millares 2 7 5 6 3" xfId="38579" xr:uid="{00000000-0005-0000-0000-0000BE280000}"/>
    <cellStyle name="Millares 2 7 5 7" xfId="18227" xr:uid="{00000000-0005-0000-0000-0000BF280000}"/>
    <cellStyle name="Millares 2 7 5 7 2" xfId="45360" xr:uid="{00000000-0005-0000-0000-0000C0280000}"/>
    <cellStyle name="Millares 2 7 5 8" xfId="31798" xr:uid="{00000000-0005-0000-0000-0000C1280000}"/>
    <cellStyle name="Millares 2 7 6" xfId="4435" xr:uid="{00000000-0005-0000-0000-0000C2280000}"/>
    <cellStyle name="Millares 2 7 6 2" xfId="4436" xr:uid="{00000000-0005-0000-0000-0000C3280000}"/>
    <cellStyle name="Millares 2 7 6 2 2" xfId="4437" xr:uid="{00000000-0005-0000-0000-0000C4280000}"/>
    <cellStyle name="Millares 2 7 6 2 2 2" xfId="8047" xr:uid="{00000000-0005-0000-0000-0000C5280000}"/>
    <cellStyle name="Millares 2 7 6 2 2 2 2" xfId="14837" xr:uid="{00000000-0005-0000-0000-0000C6280000}"/>
    <cellStyle name="Millares 2 7 6 2 2 2 2 2" xfId="28405" xr:uid="{00000000-0005-0000-0000-0000C7280000}"/>
    <cellStyle name="Millares 2 7 6 2 2 2 2 2 2" xfId="55538" xr:uid="{00000000-0005-0000-0000-0000C8280000}"/>
    <cellStyle name="Millares 2 7 6 2 2 2 2 3" xfId="41976" xr:uid="{00000000-0005-0000-0000-0000C9280000}"/>
    <cellStyle name="Millares 2 7 6 2 2 2 3" xfId="21624" xr:uid="{00000000-0005-0000-0000-0000CA280000}"/>
    <cellStyle name="Millares 2 7 6 2 2 2 3 2" xfId="48757" xr:uid="{00000000-0005-0000-0000-0000CB280000}"/>
    <cellStyle name="Millares 2 7 6 2 2 2 4" xfId="35195" xr:uid="{00000000-0005-0000-0000-0000CC280000}"/>
    <cellStyle name="Millares 2 7 6 2 2 3" xfId="11448" xr:uid="{00000000-0005-0000-0000-0000CD280000}"/>
    <cellStyle name="Millares 2 7 6 2 2 3 2" xfId="25016" xr:uid="{00000000-0005-0000-0000-0000CE280000}"/>
    <cellStyle name="Millares 2 7 6 2 2 3 2 2" xfId="52149" xr:uid="{00000000-0005-0000-0000-0000CF280000}"/>
    <cellStyle name="Millares 2 7 6 2 2 3 3" xfId="38587" xr:uid="{00000000-0005-0000-0000-0000D0280000}"/>
    <cellStyle name="Millares 2 7 6 2 2 4" xfId="18235" xr:uid="{00000000-0005-0000-0000-0000D1280000}"/>
    <cellStyle name="Millares 2 7 6 2 2 4 2" xfId="45368" xr:uid="{00000000-0005-0000-0000-0000D2280000}"/>
    <cellStyle name="Millares 2 7 6 2 2 5" xfId="31806" xr:uid="{00000000-0005-0000-0000-0000D3280000}"/>
    <cellStyle name="Millares 2 7 6 2 3" xfId="4438" xr:uid="{00000000-0005-0000-0000-0000D4280000}"/>
    <cellStyle name="Millares 2 7 6 2 3 2" xfId="8048" xr:uid="{00000000-0005-0000-0000-0000D5280000}"/>
    <cellStyle name="Millares 2 7 6 2 3 2 2" xfId="14838" xr:uid="{00000000-0005-0000-0000-0000D6280000}"/>
    <cellStyle name="Millares 2 7 6 2 3 2 2 2" xfId="28406" xr:uid="{00000000-0005-0000-0000-0000D7280000}"/>
    <cellStyle name="Millares 2 7 6 2 3 2 2 2 2" xfId="55539" xr:uid="{00000000-0005-0000-0000-0000D8280000}"/>
    <cellStyle name="Millares 2 7 6 2 3 2 2 3" xfId="41977" xr:uid="{00000000-0005-0000-0000-0000D9280000}"/>
    <cellStyle name="Millares 2 7 6 2 3 2 3" xfId="21625" xr:uid="{00000000-0005-0000-0000-0000DA280000}"/>
    <cellStyle name="Millares 2 7 6 2 3 2 3 2" xfId="48758" xr:uid="{00000000-0005-0000-0000-0000DB280000}"/>
    <cellStyle name="Millares 2 7 6 2 3 2 4" xfId="35196" xr:uid="{00000000-0005-0000-0000-0000DC280000}"/>
    <cellStyle name="Millares 2 7 6 2 3 3" xfId="11449" xr:uid="{00000000-0005-0000-0000-0000DD280000}"/>
    <cellStyle name="Millares 2 7 6 2 3 3 2" xfId="25017" xr:uid="{00000000-0005-0000-0000-0000DE280000}"/>
    <cellStyle name="Millares 2 7 6 2 3 3 2 2" xfId="52150" xr:uid="{00000000-0005-0000-0000-0000DF280000}"/>
    <cellStyle name="Millares 2 7 6 2 3 3 3" xfId="38588" xr:uid="{00000000-0005-0000-0000-0000E0280000}"/>
    <cellStyle name="Millares 2 7 6 2 3 4" xfId="18236" xr:uid="{00000000-0005-0000-0000-0000E1280000}"/>
    <cellStyle name="Millares 2 7 6 2 3 4 2" xfId="45369" xr:uid="{00000000-0005-0000-0000-0000E2280000}"/>
    <cellStyle name="Millares 2 7 6 2 3 5" xfId="31807" xr:uid="{00000000-0005-0000-0000-0000E3280000}"/>
    <cellStyle name="Millares 2 7 6 2 4" xfId="8046" xr:uid="{00000000-0005-0000-0000-0000E4280000}"/>
    <cellStyle name="Millares 2 7 6 2 4 2" xfId="14836" xr:uid="{00000000-0005-0000-0000-0000E5280000}"/>
    <cellStyle name="Millares 2 7 6 2 4 2 2" xfId="28404" xr:uid="{00000000-0005-0000-0000-0000E6280000}"/>
    <cellStyle name="Millares 2 7 6 2 4 2 2 2" xfId="55537" xr:uid="{00000000-0005-0000-0000-0000E7280000}"/>
    <cellStyle name="Millares 2 7 6 2 4 2 3" xfId="41975" xr:uid="{00000000-0005-0000-0000-0000E8280000}"/>
    <cellStyle name="Millares 2 7 6 2 4 3" xfId="21623" xr:uid="{00000000-0005-0000-0000-0000E9280000}"/>
    <cellStyle name="Millares 2 7 6 2 4 3 2" xfId="48756" xr:uid="{00000000-0005-0000-0000-0000EA280000}"/>
    <cellStyle name="Millares 2 7 6 2 4 4" xfId="35194" xr:uid="{00000000-0005-0000-0000-0000EB280000}"/>
    <cellStyle name="Millares 2 7 6 2 5" xfId="11447" xr:uid="{00000000-0005-0000-0000-0000EC280000}"/>
    <cellStyle name="Millares 2 7 6 2 5 2" xfId="25015" xr:uid="{00000000-0005-0000-0000-0000ED280000}"/>
    <cellStyle name="Millares 2 7 6 2 5 2 2" xfId="52148" xr:uid="{00000000-0005-0000-0000-0000EE280000}"/>
    <cellStyle name="Millares 2 7 6 2 5 3" xfId="38586" xr:uid="{00000000-0005-0000-0000-0000EF280000}"/>
    <cellStyle name="Millares 2 7 6 2 6" xfId="18234" xr:uid="{00000000-0005-0000-0000-0000F0280000}"/>
    <cellStyle name="Millares 2 7 6 2 6 2" xfId="45367" xr:uid="{00000000-0005-0000-0000-0000F1280000}"/>
    <cellStyle name="Millares 2 7 6 2 7" xfId="31805" xr:uid="{00000000-0005-0000-0000-0000F2280000}"/>
    <cellStyle name="Millares 2 7 6 3" xfId="4439" xr:uid="{00000000-0005-0000-0000-0000F3280000}"/>
    <cellStyle name="Millares 2 7 6 3 2" xfId="8049" xr:uid="{00000000-0005-0000-0000-0000F4280000}"/>
    <cellStyle name="Millares 2 7 6 3 2 2" xfId="14839" xr:uid="{00000000-0005-0000-0000-0000F5280000}"/>
    <cellStyle name="Millares 2 7 6 3 2 2 2" xfId="28407" xr:uid="{00000000-0005-0000-0000-0000F6280000}"/>
    <cellStyle name="Millares 2 7 6 3 2 2 2 2" xfId="55540" xr:uid="{00000000-0005-0000-0000-0000F7280000}"/>
    <cellStyle name="Millares 2 7 6 3 2 2 3" xfId="41978" xr:uid="{00000000-0005-0000-0000-0000F8280000}"/>
    <cellStyle name="Millares 2 7 6 3 2 3" xfId="21626" xr:uid="{00000000-0005-0000-0000-0000F9280000}"/>
    <cellStyle name="Millares 2 7 6 3 2 3 2" xfId="48759" xr:uid="{00000000-0005-0000-0000-0000FA280000}"/>
    <cellStyle name="Millares 2 7 6 3 2 4" xfId="35197" xr:uid="{00000000-0005-0000-0000-0000FB280000}"/>
    <cellStyle name="Millares 2 7 6 3 3" xfId="11450" xr:uid="{00000000-0005-0000-0000-0000FC280000}"/>
    <cellStyle name="Millares 2 7 6 3 3 2" xfId="25018" xr:uid="{00000000-0005-0000-0000-0000FD280000}"/>
    <cellStyle name="Millares 2 7 6 3 3 2 2" xfId="52151" xr:uid="{00000000-0005-0000-0000-0000FE280000}"/>
    <cellStyle name="Millares 2 7 6 3 3 3" xfId="38589" xr:uid="{00000000-0005-0000-0000-0000FF280000}"/>
    <cellStyle name="Millares 2 7 6 3 4" xfId="18237" xr:uid="{00000000-0005-0000-0000-000000290000}"/>
    <cellStyle name="Millares 2 7 6 3 4 2" xfId="45370" xr:uid="{00000000-0005-0000-0000-000001290000}"/>
    <cellStyle name="Millares 2 7 6 3 5" xfId="31808" xr:uid="{00000000-0005-0000-0000-000002290000}"/>
    <cellStyle name="Millares 2 7 6 4" xfId="4440" xr:uid="{00000000-0005-0000-0000-000003290000}"/>
    <cellStyle name="Millares 2 7 6 4 2" xfId="8050" xr:uid="{00000000-0005-0000-0000-000004290000}"/>
    <cellStyle name="Millares 2 7 6 4 2 2" xfId="14840" xr:uid="{00000000-0005-0000-0000-000005290000}"/>
    <cellStyle name="Millares 2 7 6 4 2 2 2" xfId="28408" xr:uid="{00000000-0005-0000-0000-000006290000}"/>
    <cellStyle name="Millares 2 7 6 4 2 2 2 2" xfId="55541" xr:uid="{00000000-0005-0000-0000-000007290000}"/>
    <cellStyle name="Millares 2 7 6 4 2 2 3" xfId="41979" xr:uid="{00000000-0005-0000-0000-000008290000}"/>
    <cellStyle name="Millares 2 7 6 4 2 3" xfId="21627" xr:uid="{00000000-0005-0000-0000-000009290000}"/>
    <cellStyle name="Millares 2 7 6 4 2 3 2" xfId="48760" xr:uid="{00000000-0005-0000-0000-00000A290000}"/>
    <cellStyle name="Millares 2 7 6 4 2 4" xfId="35198" xr:uid="{00000000-0005-0000-0000-00000B290000}"/>
    <cellStyle name="Millares 2 7 6 4 3" xfId="11451" xr:uid="{00000000-0005-0000-0000-00000C290000}"/>
    <cellStyle name="Millares 2 7 6 4 3 2" xfId="25019" xr:uid="{00000000-0005-0000-0000-00000D290000}"/>
    <cellStyle name="Millares 2 7 6 4 3 2 2" xfId="52152" xr:uid="{00000000-0005-0000-0000-00000E290000}"/>
    <cellStyle name="Millares 2 7 6 4 3 3" xfId="38590" xr:uid="{00000000-0005-0000-0000-00000F290000}"/>
    <cellStyle name="Millares 2 7 6 4 4" xfId="18238" xr:uid="{00000000-0005-0000-0000-000010290000}"/>
    <cellStyle name="Millares 2 7 6 4 4 2" xfId="45371" xr:uid="{00000000-0005-0000-0000-000011290000}"/>
    <cellStyle name="Millares 2 7 6 4 5" xfId="31809" xr:uid="{00000000-0005-0000-0000-000012290000}"/>
    <cellStyle name="Millares 2 7 6 5" xfId="8045" xr:uid="{00000000-0005-0000-0000-000013290000}"/>
    <cellStyle name="Millares 2 7 6 5 2" xfId="14835" xr:uid="{00000000-0005-0000-0000-000014290000}"/>
    <cellStyle name="Millares 2 7 6 5 2 2" xfId="28403" xr:uid="{00000000-0005-0000-0000-000015290000}"/>
    <cellStyle name="Millares 2 7 6 5 2 2 2" xfId="55536" xr:uid="{00000000-0005-0000-0000-000016290000}"/>
    <cellStyle name="Millares 2 7 6 5 2 3" xfId="41974" xr:uid="{00000000-0005-0000-0000-000017290000}"/>
    <cellStyle name="Millares 2 7 6 5 3" xfId="21622" xr:uid="{00000000-0005-0000-0000-000018290000}"/>
    <cellStyle name="Millares 2 7 6 5 3 2" xfId="48755" xr:uid="{00000000-0005-0000-0000-000019290000}"/>
    <cellStyle name="Millares 2 7 6 5 4" xfId="35193" xr:uid="{00000000-0005-0000-0000-00001A290000}"/>
    <cellStyle name="Millares 2 7 6 6" xfId="11446" xr:uid="{00000000-0005-0000-0000-00001B290000}"/>
    <cellStyle name="Millares 2 7 6 6 2" xfId="25014" xr:uid="{00000000-0005-0000-0000-00001C290000}"/>
    <cellStyle name="Millares 2 7 6 6 2 2" xfId="52147" xr:uid="{00000000-0005-0000-0000-00001D290000}"/>
    <cellStyle name="Millares 2 7 6 6 3" xfId="38585" xr:uid="{00000000-0005-0000-0000-00001E290000}"/>
    <cellStyle name="Millares 2 7 6 7" xfId="18233" xr:uid="{00000000-0005-0000-0000-00001F290000}"/>
    <cellStyle name="Millares 2 7 6 7 2" xfId="45366" xr:uid="{00000000-0005-0000-0000-000020290000}"/>
    <cellStyle name="Millares 2 7 6 8" xfId="31804" xr:uid="{00000000-0005-0000-0000-000021290000}"/>
    <cellStyle name="Millares 2 7 7" xfId="4441" xr:uid="{00000000-0005-0000-0000-000022290000}"/>
    <cellStyle name="Millares 2 7 7 2" xfId="4442" xr:uid="{00000000-0005-0000-0000-000023290000}"/>
    <cellStyle name="Millares 2 7 7 2 2" xfId="8052" xr:uid="{00000000-0005-0000-0000-000024290000}"/>
    <cellStyle name="Millares 2 7 7 2 2 2" xfId="14842" xr:uid="{00000000-0005-0000-0000-000025290000}"/>
    <cellStyle name="Millares 2 7 7 2 2 2 2" xfId="28410" xr:uid="{00000000-0005-0000-0000-000026290000}"/>
    <cellStyle name="Millares 2 7 7 2 2 2 2 2" xfId="55543" xr:uid="{00000000-0005-0000-0000-000027290000}"/>
    <cellStyle name="Millares 2 7 7 2 2 2 3" xfId="41981" xr:uid="{00000000-0005-0000-0000-000028290000}"/>
    <cellStyle name="Millares 2 7 7 2 2 3" xfId="21629" xr:uid="{00000000-0005-0000-0000-000029290000}"/>
    <cellStyle name="Millares 2 7 7 2 2 3 2" xfId="48762" xr:uid="{00000000-0005-0000-0000-00002A290000}"/>
    <cellStyle name="Millares 2 7 7 2 2 4" xfId="35200" xr:uid="{00000000-0005-0000-0000-00002B290000}"/>
    <cellStyle name="Millares 2 7 7 2 3" xfId="11453" xr:uid="{00000000-0005-0000-0000-00002C290000}"/>
    <cellStyle name="Millares 2 7 7 2 3 2" xfId="25021" xr:uid="{00000000-0005-0000-0000-00002D290000}"/>
    <cellStyle name="Millares 2 7 7 2 3 2 2" xfId="52154" xr:uid="{00000000-0005-0000-0000-00002E290000}"/>
    <cellStyle name="Millares 2 7 7 2 3 3" xfId="38592" xr:uid="{00000000-0005-0000-0000-00002F290000}"/>
    <cellStyle name="Millares 2 7 7 2 4" xfId="18240" xr:uid="{00000000-0005-0000-0000-000030290000}"/>
    <cellStyle name="Millares 2 7 7 2 4 2" xfId="45373" xr:uid="{00000000-0005-0000-0000-000031290000}"/>
    <cellStyle name="Millares 2 7 7 2 5" xfId="31811" xr:uid="{00000000-0005-0000-0000-000032290000}"/>
    <cellStyle name="Millares 2 7 7 3" xfId="4443" xr:uid="{00000000-0005-0000-0000-000033290000}"/>
    <cellStyle name="Millares 2 7 7 3 2" xfId="8053" xr:uid="{00000000-0005-0000-0000-000034290000}"/>
    <cellStyle name="Millares 2 7 7 3 2 2" xfId="14843" xr:uid="{00000000-0005-0000-0000-000035290000}"/>
    <cellStyle name="Millares 2 7 7 3 2 2 2" xfId="28411" xr:uid="{00000000-0005-0000-0000-000036290000}"/>
    <cellStyle name="Millares 2 7 7 3 2 2 2 2" xfId="55544" xr:uid="{00000000-0005-0000-0000-000037290000}"/>
    <cellStyle name="Millares 2 7 7 3 2 2 3" xfId="41982" xr:uid="{00000000-0005-0000-0000-000038290000}"/>
    <cellStyle name="Millares 2 7 7 3 2 3" xfId="21630" xr:uid="{00000000-0005-0000-0000-000039290000}"/>
    <cellStyle name="Millares 2 7 7 3 2 3 2" xfId="48763" xr:uid="{00000000-0005-0000-0000-00003A290000}"/>
    <cellStyle name="Millares 2 7 7 3 2 4" xfId="35201" xr:uid="{00000000-0005-0000-0000-00003B290000}"/>
    <cellStyle name="Millares 2 7 7 3 3" xfId="11454" xr:uid="{00000000-0005-0000-0000-00003C290000}"/>
    <cellStyle name="Millares 2 7 7 3 3 2" xfId="25022" xr:uid="{00000000-0005-0000-0000-00003D290000}"/>
    <cellStyle name="Millares 2 7 7 3 3 2 2" xfId="52155" xr:uid="{00000000-0005-0000-0000-00003E290000}"/>
    <cellStyle name="Millares 2 7 7 3 3 3" xfId="38593" xr:uid="{00000000-0005-0000-0000-00003F290000}"/>
    <cellStyle name="Millares 2 7 7 3 4" xfId="18241" xr:uid="{00000000-0005-0000-0000-000040290000}"/>
    <cellStyle name="Millares 2 7 7 3 4 2" xfId="45374" xr:uid="{00000000-0005-0000-0000-000041290000}"/>
    <cellStyle name="Millares 2 7 7 3 5" xfId="31812" xr:uid="{00000000-0005-0000-0000-000042290000}"/>
    <cellStyle name="Millares 2 7 7 4" xfId="8051" xr:uid="{00000000-0005-0000-0000-000043290000}"/>
    <cellStyle name="Millares 2 7 7 4 2" xfId="14841" xr:uid="{00000000-0005-0000-0000-000044290000}"/>
    <cellStyle name="Millares 2 7 7 4 2 2" xfId="28409" xr:uid="{00000000-0005-0000-0000-000045290000}"/>
    <cellStyle name="Millares 2 7 7 4 2 2 2" xfId="55542" xr:uid="{00000000-0005-0000-0000-000046290000}"/>
    <cellStyle name="Millares 2 7 7 4 2 3" xfId="41980" xr:uid="{00000000-0005-0000-0000-000047290000}"/>
    <cellStyle name="Millares 2 7 7 4 3" xfId="21628" xr:uid="{00000000-0005-0000-0000-000048290000}"/>
    <cellStyle name="Millares 2 7 7 4 3 2" xfId="48761" xr:uid="{00000000-0005-0000-0000-000049290000}"/>
    <cellStyle name="Millares 2 7 7 4 4" xfId="35199" xr:uid="{00000000-0005-0000-0000-00004A290000}"/>
    <cellStyle name="Millares 2 7 7 5" xfId="11452" xr:uid="{00000000-0005-0000-0000-00004B290000}"/>
    <cellStyle name="Millares 2 7 7 5 2" xfId="25020" xr:uid="{00000000-0005-0000-0000-00004C290000}"/>
    <cellStyle name="Millares 2 7 7 5 2 2" xfId="52153" xr:uid="{00000000-0005-0000-0000-00004D290000}"/>
    <cellStyle name="Millares 2 7 7 5 3" xfId="38591" xr:uid="{00000000-0005-0000-0000-00004E290000}"/>
    <cellStyle name="Millares 2 7 7 6" xfId="18239" xr:uid="{00000000-0005-0000-0000-00004F290000}"/>
    <cellStyle name="Millares 2 7 7 6 2" xfId="45372" xr:uid="{00000000-0005-0000-0000-000050290000}"/>
    <cellStyle name="Millares 2 7 7 7" xfId="31810" xr:uid="{00000000-0005-0000-0000-000051290000}"/>
    <cellStyle name="Millares 2 7 8" xfId="4444" xr:uid="{00000000-0005-0000-0000-000052290000}"/>
    <cellStyle name="Millares 2 7 8 2" xfId="4445" xr:uid="{00000000-0005-0000-0000-000053290000}"/>
    <cellStyle name="Millares 2 7 8 2 2" xfId="8055" xr:uid="{00000000-0005-0000-0000-000054290000}"/>
    <cellStyle name="Millares 2 7 8 2 2 2" xfId="14845" xr:uid="{00000000-0005-0000-0000-000055290000}"/>
    <cellStyle name="Millares 2 7 8 2 2 2 2" xfId="28413" xr:uid="{00000000-0005-0000-0000-000056290000}"/>
    <cellStyle name="Millares 2 7 8 2 2 2 2 2" xfId="55546" xr:uid="{00000000-0005-0000-0000-000057290000}"/>
    <cellStyle name="Millares 2 7 8 2 2 2 3" xfId="41984" xr:uid="{00000000-0005-0000-0000-000058290000}"/>
    <cellStyle name="Millares 2 7 8 2 2 3" xfId="21632" xr:uid="{00000000-0005-0000-0000-000059290000}"/>
    <cellStyle name="Millares 2 7 8 2 2 3 2" xfId="48765" xr:uid="{00000000-0005-0000-0000-00005A290000}"/>
    <cellStyle name="Millares 2 7 8 2 2 4" xfId="35203" xr:uid="{00000000-0005-0000-0000-00005B290000}"/>
    <cellStyle name="Millares 2 7 8 2 3" xfId="11456" xr:uid="{00000000-0005-0000-0000-00005C290000}"/>
    <cellStyle name="Millares 2 7 8 2 3 2" xfId="25024" xr:uid="{00000000-0005-0000-0000-00005D290000}"/>
    <cellStyle name="Millares 2 7 8 2 3 2 2" xfId="52157" xr:uid="{00000000-0005-0000-0000-00005E290000}"/>
    <cellStyle name="Millares 2 7 8 2 3 3" xfId="38595" xr:uid="{00000000-0005-0000-0000-00005F290000}"/>
    <cellStyle name="Millares 2 7 8 2 4" xfId="18243" xr:uid="{00000000-0005-0000-0000-000060290000}"/>
    <cellStyle name="Millares 2 7 8 2 4 2" xfId="45376" xr:uid="{00000000-0005-0000-0000-000061290000}"/>
    <cellStyle name="Millares 2 7 8 2 5" xfId="31814" xr:uid="{00000000-0005-0000-0000-000062290000}"/>
    <cellStyle name="Millares 2 7 8 3" xfId="4446" xr:uid="{00000000-0005-0000-0000-000063290000}"/>
    <cellStyle name="Millares 2 7 8 3 2" xfId="8056" xr:uid="{00000000-0005-0000-0000-000064290000}"/>
    <cellStyle name="Millares 2 7 8 3 2 2" xfId="14846" xr:uid="{00000000-0005-0000-0000-000065290000}"/>
    <cellStyle name="Millares 2 7 8 3 2 2 2" xfId="28414" xr:uid="{00000000-0005-0000-0000-000066290000}"/>
    <cellStyle name="Millares 2 7 8 3 2 2 2 2" xfId="55547" xr:uid="{00000000-0005-0000-0000-000067290000}"/>
    <cellStyle name="Millares 2 7 8 3 2 2 3" xfId="41985" xr:uid="{00000000-0005-0000-0000-000068290000}"/>
    <cellStyle name="Millares 2 7 8 3 2 3" xfId="21633" xr:uid="{00000000-0005-0000-0000-000069290000}"/>
    <cellStyle name="Millares 2 7 8 3 2 3 2" xfId="48766" xr:uid="{00000000-0005-0000-0000-00006A290000}"/>
    <cellStyle name="Millares 2 7 8 3 2 4" xfId="35204" xr:uid="{00000000-0005-0000-0000-00006B290000}"/>
    <cellStyle name="Millares 2 7 8 3 3" xfId="11457" xr:uid="{00000000-0005-0000-0000-00006C290000}"/>
    <cellStyle name="Millares 2 7 8 3 3 2" xfId="25025" xr:uid="{00000000-0005-0000-0000-00006D290000}"/>
    <cellStyle name="Millares 2 7 8 3 3 2 2" xfId="52158" xr:uid="{00000000-0005-0000-0000-00006E290000}"/>
    <cellStyle name="Millares 2 7 8 3 3 3" xfId="38596" xr:uid="{00000000-0005-0000-0000-00006F290000}"/>
    <cellStyle name="Millares 2 7 8 3 4" xfId="18244" xr:uid="{00000000-0005-0000-0000-000070290000}"/>
    <cellStyle name="Millares 2 7 8 3 4 2" xfId="45377" xr:uid="{00000000-0005-0000-0000-000071290000}"/>
    <cellStyle name="Millares 2 7 8 3 5" xfId="31815" xr:uid="{00000000-0005-0000-0000-000072290000}"/>
    <cellStyle name="Millares 2 7 8 4" xfId="8054" xr:uid="{00000000-0005-0000-0000-000073290000}"/>
    <cellStyle name="Millares 2 7 8 4 2" xfId="14844" xr:uid="{00000000-0005-0000-0000-000074290000}"/>
    <cellStyle name="Millares 2 7 8 4 2 2" xfId="28412" xr:uid="{00000000-0005-0000-0000-000075290000}"/>
    <cellStyle name="Millares 2 7 8 4 2 2 2" xfId="55545" xr:uid="{00000000-0005-0000-0000-000076290000}"/>
    <cellStyle name="Millares 2 7 8 4 2 3" xfId="41983" xr:uid="{00000000-0005-0000-0000-000077290000}"/>
    <cellStyle name="Millares 2 7 8 4 3" xfId="21631" xr:uid="{00000000-0005-0000-0000-000078290000}"/>
    <cellStyle name="Millares 2 7 8 4 3 2" xfId="48764" xr:uid="{00000000-0005-0000-0000-000079290000}"/>
    <cellStyle name="Millares 2 7 8 4 4" xfId="35202" xr:uid="{00000000-0005-0000-0000-00007A290000}"/>
    <cellStyle name="Millares 2 7 8 5" xfId="11455" xr:uid="{00000000-0005-0000-0000-00007B290000}"/>
    <cellStyle name="Millares 2 7 8 5 2" xfId="25023" xr:uid="{00000000-0005-0000-0000-00007C290000}"/>
    <cellStyle name="Millares 2 7 8 5 2 2" xfId="52156" xr:uid="{00000000-0005-0000-0000-00007D290000}"/>
    <cellStyle name="Millares 2 7 8 5 3" xfId="38594" xr:uid="{00000000-0005-0000-0000-00007E290000}"/>
    <cellStyle name="Millares 2 7 8 6" xfId="18242" xr:uid="{00000000-0005-0000-0000-00007F290000}"/>
    <cellStyle name="Millares 2 7 8 6 2" xfId="45375" xr:uid="{00000000-0005-0000-0000-000080290000}"/>
    <cellStyle name="Millares 2 7 8 7" xfId="31813" xr:uid="{00000000-0005-0000-0000-000081290000}"/>
    <cellStyle name="Millares 2 7 9" xfId="4447" xr:uid="{00000000-0005-0000-0000-000082290000}"/>
    <cellStyle name="Millares 2 7 9 2" xfId="8057" xr:uid="{00000000-0005-0000-0000-000083290000}"/>
    <cellStyle name="Millares 2 7 9 2 2" xfId="14847" xr:uid="{00000000-0005-0000-0000-000084290000}"/>
    <cellStyle name="Millares 2 7 9 2 2 2" xfId="28415" xr:uid="{00000000-0005-0000-0000-000085290000}"/>
    <cellStyle name="Millares 2 7 9 2 2 2 2" xfId="55548" xr:uid="{00000000-0005-0000-0000-000086290000}"/>
    <cellStyle name="Millares 2 7 9 2 2 3" xfId="41986" xr:uid="{00000000-0005-0000-0000-000087290000}"/>
    <cellStyle name="Millares 2 7 9 2 3" xfId="21634" xr:uid="{00000000-0005-0000-0000-000088290000}"/>
    <cellStyle name="Millares 2 7 9 2 3 2" xfId="48767" xr:uid="{00000000-0005-0000-0000-000089290000}"/>
    <cellStyle name="Millares 2 7 9 2 4" xfId="35205" xr:uid="{00000000-0005-0000-0000-00008A290000}"/>
    <cellStyle name="Millares 2 7 9 3" xfId="11458" xr:uid="{00000000-0005-0000-0000-00008B290000}"/>
    <cellStyle name="Millares 2 7 9 3 2" xfId="25026" xr:uid="{00000000-0005-0000-0000-00008C290000}"/>
    <cellStyle name="Millares 2 7 9 3 2 2" xfId="52159" xr:uid="{00000000-0005-0000-0000-00008D290000}"/>
    <cellStyle name="Millares 2 7 9 3 3" xfId="38597" xr:uid="{00000000-0005-0000-0000-00008E290000}"/>
    <cellStyle name="Millares 2 7 9 4" xfId="18245" xr:uid="{00000000-0005-0000-0000-00008F290000}"/>
    <cellStyle name="Millares 2 7 9 4 2" xfId="45378" xr:uid="{00000000-0005-0000-0000-000090290000}"/>
    <cellStyle name="Millares 2 7 9 5" xfId="31816" xr:uid="{00000000-0005-0000-0000-000091290000}"/>
    <cellStyle name="Millares 2 70" xfId="2433" xr:uid="{00000000-0005-0000-0000-000092290000}"/>
    <cellStyle name="Millares 2 71" xfId="2434" xr:uid="{00000000-0005-0000-0000-000093290000}"/>
    <cellStyle name="Millares 2 72" xfId="2435" xr:uid="{00000000-0005-0000-0000-000094290000}"/>
    <cellStyle name="Millares 2 73" xfId="2436" xr:uid="{00000000-0005-0000-0000-000095290000}"/>
    <cellStyle name="Millares 2 74" xfId="2437" xr:uid="{00000000-0005-0000-0000-000096290000}"/>
    <cellStyle name="Millares 2 75" xfId="2438" xr:uid="{00000000-0005-0000-0000-000097290000}"/>
    <cellStyle name="Millares 2 76" xfId="2439" xr:uid="{00000000-0005-0000-0000-000098290000}"/>
    <cellStyle name="Millares 2 77" xfId="2440" xr:uid="{00000000-0005-0000-0000-000099290000}"/>
    <cellStyle name="Millares 2 78" xfId="2441" xr:uid="{00000000-0005-0000-0000-00009A290000}"/>
    <cellStyle name="Millares 2 79" xfId="2442" xr:uid="{00000000-0005-0000-0000-00009B290000}"/>
    <cellStyle name="Millares 2 8" xfId="2443" xr:uid="{00000000-0005-0000-0000-00009C290000}"/>
    <cellStyle name="Millares 2 80" xfId="4448" xr:uid="{00000000-0005-0000-0000-00009D290000}"/>
    <cellStyle name="Millares 2 80 10" xfId="4449" xr:uid="{00000000-0005-0000-0000-00009E290000}"/>
    <cellStyle name="Millares 2 80 10 2" xfId="8058" xr:uid="{00000000-0005-0000-0000-00009F290000}"/>
    <cellStyle name="Millares 2 80 10 2 2" xfId="14848" xr:uid="{00000000-0005-0000-0000-0000A0290000}"/>
    <cellStyle name="Millares 2 80 10 2 2 2" xfId="28416" xr:uid="{00000000-0005-0000-0000-0000A1290000}"/>
    <cellStyle name="Millares 2 80 10 2 2 2 2" xfId="55549" xr:uid="{00000000-0005-0000-0000-0000A2290000}"/>
    <cellStyle name="Millares 2 80 10 2 2 3" xfId="41987" xr:uid="{00000000-0005-0000-0000-0000A3290000}"/>
    <cellStyle name="Millares 2 80 10 2 3" xfId="21635" xr:uid="{00000000-0005-0000-0000-0000A4290000}"/>
    <cellStyle name="Millares 2 80 10 2 3 2" xfId="48768" xr:uid="{00000000-0005-0000-0000-0000A5290000}"/>
    <cellStyle name="Millares 2 80 10 2 4" xfId="35206" xr:uid="{00000000-0005-0000-0000-0000A6290000}"/>
    <cellStyle name="Millares 2 80 10 3" xfId="11459" xr:uid="{00000000-0005-0000-0000-0000A7290000}"/>
    <cellStyle name="Millares 2 80 10 3 2" xfId="25027" xr:uid="{00000000-0005-0000-0000-0000A8290000}"/>
    <cellStyle name="Millares 2 80 10 3 2 2" xfId="52160" xr:uid="{00000000-0005-0000-0000-0000A9290000}"/>
    <cellStyle name="Millares 2 80 10 3 3" xfId="38598" xr:uid="{00000000-0005-0000-0000-0000AA290000}"/>
    <cellStyle name="Millares 2 80 10 4" xfId="18246" xr:uid="{00000000-0005-0000-0000-0000AB290000}"/>
    <cellStyle name="Millares 2 80 10 4 2" xfId="45379" xr:uid="{00000000-0005-0000-0000-0000AC290000}"/>
    <cellStyle name="Millares 2 80 10 5" xfId="31817" xr:uid="{00000000-0005-0000-0000-0000AD290000}"/>
    <cellStyle name="Millares 2 80 11" xfId="4450" xr:uid="{00000000-0005-0000-0000-0000AE290000}"/>
    <cellStyle name="Millares 2 80 11 2" xfId="8059" xr:uid="{00000000-0005-0000-0000-0000AF290000}"/>
    <cellStyle name="Millares 2 80 11 2 2" xfId="14849" xr:uid="{00000000-0005-0000-0000-0000B0290000}"/>
    <cellStyle name="Millares 2 80 11 2 2 2" xfId="28417" xr:uid="{00000000-0005-0000-0000-0000B1290000}"/>
    <cellStyle name="Millares 2 80 11 2 2 2 2" xfId="55550" xr:uid="{00000000-0005-0000-0000-0000B2290000}"/>
    <cellStyle name="Millares 2 80 11 2 2 3" xfId="41988" xr:uid="{00000000-0005-0000-0000-0000B3290000}"/>
    <cellStyle name="Millares 2 80 11 2 3" xfId="21636" xr:uid="{00000000-0005-0000-0000-0000B4290000}"/>
    <cellStyle name="Millares 2 80 11 2 3 2" xfId="48769" xr:uid="{00000000-0005-0000-0000-0000B5290000}"/>
    <cellStyle name="Millares 2 80 11 2 4" xfId="35207" xr:uid="{00000000-0005-0000-0000-0000B6290000}"/>
    <cellStyle name="Millares 2 80 11 3" xfId="11460" xr:uid="{00000000-0005-0000-0000-0000B7290000}"/>
    <cellStyle name="Millares 2 80 11 3 2" xfId="25028" xr:uid="{00000000-0005-0000-0000-0000B8290000}"/>
    <cellStyle name="Millares 2 80 11 3 2 2" xfId="52161" xr:uid="{00000000-0005-0000-0000-0000B9290000}"/>
    <cellStyle name="Millares 2 80 11 3 3" xfId="38599" xr:uid="{00000000-0005-0000-0000-0000BA290000}"/>
    <cellStyle name="Millares 2 80 11 4" xfId="18247" xr:uid="{00000000-0005-0000-0000-0000BB290000}"/>
    <cellStyle name="Millares 2 80 11 4 2" xfId="45380" xr:uid="{00000000-0005-0000-0000-0000BC290000}"/>
    <cellStyle name="Millares 2 80 11 5" xfId="31818" xr:uid="{00000000-0005-0000-0000-0000BD290000}"/>
    <cellStyle name="Millares 2 80 2" xfId="4451" xr:uid="{00000000-0005-0000-0000-0000BE290000}"/>
    <cellStyle name="Millares 2 80 2 10" xfId="4452" xr:uid="{00000000-0005-0000-0000-0000BF290000}"/>
    <cellStyle name="Millares 2 80 2 10 2" xfId="8061" xr:uid="{00000000-0005-0000-0000-0000C0290000}"/>
    <cellStyle name="Millares 2 80 2 10 2 2" xfId="14851" xr:uid="{00000000-0005-0000-0000-0000C1290000}"/>
    <cellStyle name="Millares 2 80 2 10 2 2 2" xfId="28419" xr:uid="{00000000-0005-0000-0000-0000C2290000}"/>
    <cellStyle name="Millares 2 80 2 10 2 2 2 2" xfId="55552" xr:uid="{00000000-0005-0000-0000-0000C3290000}"/>
    <cellStyle name="Millares 2 80 2 10 2 2 3" xfId="41990" xr:uid="{00000000-0005-0000-0000-0000C4290000}"/>
    <cellStyle name="Millares 2 80 2 10 2 3" xfId="21638" xr:uid="{00000000-0005-0000-0000-0000C5290000}"/>
    <cellStyle name="Millares 2 80 2 10 2 3 2" xfId="48771" xr:uid="{00000000-0005-0000-0000-0000C6290000}"/>
    <cellStyle name="Millares 2 80 2 10 2 4" xfId="35209" xr:uid="{00000000-0005-0000-0000-0000C7290000}"/>
    <cellStyle name="Millares 2 80 2 10 3" xfId="11462" xr:uid="{00000000-0005-0000-0000-0000C8290000}"/>
    <cellStyle name="Millares 2 80 2 10 3 2" xfId="25030" xr:uid="{00000000-0005-0000-0000-0000C9290000}"/>
    <cellStyle name="Millares 2 80 2 10 3 2 2" xfId="52163" xr:uid="{00000000-0005-0000-0000-0000CA290000}"/>
    <cellStyle name="Millares 2 80 2 10 3 3" xfId="38601" xr:uid="{00000000-0005-0000-0000-0000CB290000}"/>
    <cellStyle name="Millares 2 80 2 10 4" xfId="18249" xr:uid="{00000000-0005-0000-0000-0000CC290000}"/>
    <cellStyle name="Millares 2 80 2 10 4 2" xfId="45382" xr:uid="{00000000-0005-0000-0000-0000CD290000}"/>
    <cellStyle name="Millares 2 80 2 10 5" xfId="31820" xr:uid="{00000000-0005-0000-0000-0000CE290000}"/>
    <cellStyle name="Millares 2 80 2 11" xfId="8060" xr:uid="{00000000-0005-0000-0000-0000CF290000}"/>
    <cellStyle name="Millares 2 80 2 11 2" xfId="14850" xr:uid="{00000000-0005-0000-0000-0000D0290000}"/>
    <cellStyle name="Millares 2 80 2 11 2 2" xfId="28418" xr:uid="{00000000-0005-0000-0000-0000D1290000}"/>
    <cellStyle name="Millares 2 80 2 11 2 2 2" xfId="55551" xr:uid="{00000000-0005-0000-0000-0000D2290000}"/>
    <cellStyle name="Millares 2 80 2 11 2 3" xfId="41989" xr:uid="{00000000-0005-0000-0000-0000D3290000}"/>
    <cellStyle name="Millares 2 80 2 11 3" xfId="21637" xr:uid="{00000000-0005-0000-0000-0000D4290000}"/>
    <cellStyle name="Millares 2 80 2 11 3 2" xfId="48770" xr:uid="{00000000-0005-0000-0000-0000D5290000}"/>
    <cellStyle name="Millares 2 80 2 11 4" xfId="35208" xr:uid="{00000000-0005-0000-0000-0000D6290000}"/>
    <cellStyle name="Millares 2 80 2 12" xfId="11461" xr:uid="{00000000-0005-0000-0000-0000D7290000}"/>
    <cellStyle name="Millares 2 80 2 12 2" xfId="25029" xr:uid="{00000000-0005-0000-0000-0000D8290000}"/>
    <cellStyle name="Millares 2 80 2 12 2 2" xfId="52162" xr:uid="{00000000-0005-0000-0000-0000D9290000}"/>
    <cellStyle name="Millares 2 80 2 12 3" xfId="38600" xr:uid="{00000000-0005-0000-0000-0000DA290000}"/>
    <cellStyle name="Millares 2 80 2 13" xfId="18248" xr:uid="{00000000-0005-0000-0000-0000DB290000}"/>
    <cellStyle name="Millares 2 80 2 13 2" xfId="45381" xr:uid="{00000000-0005-0000-0000-0000DC290000}"/>
    <cellStyle name="Millares 2 80 2 14" xfId="31819" xr:uid="{00000000-0005-0000-0000-0000DD290000}"/>
    <cellStyle name="Millares 2 80 2 2" xfId="4453" xr:uid="{00000000-0005-0000-0000-0000DE290000}"/>
    <cellStyle name="Millares 2 80 2 2 10" xfId="11463" xr:uid="{00000000-0005-0000-0000-0000DF290000}"/>
    <cellStyle name="Millares 2 80 2 2 10 2" xfId="25031" xr:uid="{00000000-0005-0000-0000-0000E0290000}"/>
    <cellStyle name="Millares 2 80 2 2 10 2 2" xfId="52164" xr:uid="{00000000-0005-0000-0000-0000E1290000}"/>
    <cellStyle name="Millares 2 80 2 2 10 3" xfId="38602" xr:uid="{00000000-0005-0000-0000-0000E2290000}"/>
    <cellStyle name="Millares 2 80 2 2 11" xfId="18250" xr:uid="{00000000-0005-0000-0000-0000E3290000}"/>
    <cellStyle name="Millares 2 80 2 2 11 2" xfId="45383" xr:uid="{00000000-0005-0000-0000-0000E4290000}"/>
    <cellStyle name="Millares 2 80 2 2 12" xfId="31821" xr:uid="{00000000-0005-0000-0000-0000E5290000}"/>
    <cellStyle name="Millares 2 80 2 2 2" xfId="4454" xr:uid="{00000000-0005-0000-0000-0000E6290000}"/>
    <cellStyle name="Millares 2 80 2 2 2 10" xfId="31822" xr:uid="{00000000-0005-0000-0000-0000E7290000}"/>
    <cellStyle name="Millares 2 80 2 2 2 2" xfId="4455" xr:uid="{00000000-0005-0000-0000-0000E8290000}"/>
    <cellStyle name="Millares 2 80 2 2 2 2 2" xfId="4456" xr:uid="{00000000-0005-0000-0000-0000E9290000}"/>
    <cellStyle name="Millares 2 80 2 2 2 2 2 2" xfId="4457" xr:uid="{00000000-0005-0000-0000-0000EA290000}"/>
    <cellStyle name="Millares 2 80 2 2 2 2 2 2 2" xfId="8066" xr:uid="{00000000-0005-0000-0000-0000EB290000}"/>
    <cellStyle name="Millares 2 80 2 2 2 2 2 2 2 2" xfId="14856" xr:uid="{00000000-0005-0000-0000-0000EC290000}"/>
    <cellStyle name="Millares 2 80 2 2 2 2 2 2 2 2 2" xfId="28424" xr:uid="{00000000-0005-0000-0000-0000ED290000}"/>
    <cellStyle name="Millares 2 80 2 2 2 2 2 2 2 2 2 2" xfId="55557" xr:uid="{00000000-0005-0000-0000-0000EE290000}"/>
    <cellStyle name="Millares 2 80 2 2 2 2 2 2 2 2 3" xfId="41995" xr:uid="{00000000-0005-0000-0000-0000EF290000}"/>
    <cellStyle name="Millares 2 80 2 2 2 2 2 2 2 3" xfId="21643" xr:uid="{00000000-0005-0000-0000-0000F0290000}"/>
    <cellStyle name="Millares 2 80 2 2 2 2 2 2 2 3 2" xfId="48776" xr:uid="{00000000-0005-0000-0000-0000F1290000}"/>
    <cellStyle name="Millares 2 80 2 2 2 2 2 2 2 4" xfId="35214" xr:uid="{00000000-0005-0000-0000-0000F2290000}"/>
    <cellStyle name="Millares 2 80 2 2 2 2 2 2 3" xfId="11467" xr:uid="{00000000-0005-0000-0000-0000F3290000}"/>
    <cellStyle name="Millares 2 80 2 2 2 2 2 2 3 2" xfId="25035" xr:uid="{00000000-0005-0000-0000-0000F4290000}"/>
    <cellStyle name="Millares 2 80 2 2 2 2 2 2 3 2 2" xfId="52168" xr:uid="{00000000-0005-0000-0000-0000F5290000}"/>
    <cellStyle name="Millares 2 80 2 2 2 2 2 2 3 3" xfId="38606" xr:uid="{00000000-0005-0000-0000-0000F6290000}"/>
    <cellStyle name="Millares 2 80 2 2 2 2 2 2 4" xfId="18254" xr:uid="{00000000-0005-0000-0000-0000F7290000}"/>
    <cellStyle name="Millares 2 80 2 2 2 2 2 2 4 2" xfId="45387" xr:uid="{00000000-0005-0000-0000-0000F8290000}"/>
    <cellStyle name="Millares 2 80 2 2 2 2 2 2 5" xfId="31825" xr:uid="{00000000-0005-0000-0000-0000F9290000}"/>
    <cellStyle name="Millares 2 80 2 2 2 2 2 3" xfId="4458" xr:uid="{00000000-0005-0000-0000-0000FA290000}"/>
    <cellStyle name="Millares 2 80 2 2 2 2 2 3 2" xfId="8067" xr:uid="{00000000-0005-0000-0000-0000FB290000}"/>
    <cellStyle name="Millares 2 80 2 2 2 2 2 3 2 2" xfId="14857" xr:uid="{00000000-0005-0000-0000-0000FC290000}"/>
    <cellStyle name="Millares 2 80 2 2 2 2 2 3 2 2 2" xfId="28425" xr:uid="{00000000-0005-0000-0000-0000FD290000}"/>
    <cellStyle name="Millares 2 80 2 2 2 2 2 3 2 2 2 2" xfId="55558" xr:uid="{00000000-0005-0000-0000-0000FE290000}"/>
    <cellStyle name="Millares 2 80 2 2 2 2 2 3 2 2 3" xfId="41996" xr:uid="{00000000-0005-0000-0000-0000FF290000}"/>
    <cellStyle name="Millares 2 80 2 2 2 2 2 3 2 3" xfId="21644" xr:uid="{00000000-0005-0000-0000-0000002A0000}"/>
    <cellStyle name="Millares 2 80 2 2 2 2 2 3 2 3 2" xfId="48777" xr:uid="{00000000-0005-0000-0000-0000012A0000}"/>
    <cellStyle name="Millares 2 80 2 2 2 2 2 3 2 4" xfId="35215" xr:uid="{00000000-0005-0000-0000-0000022A0000}"/>
    <cellStyle name="Millares 2 80 2 2 2 2 2 3 3" xfId="11468" xr:uid="{00000000-0005-0000-0000-0000032A0000}"/>
    <cellStyle name="Millares 2 80 2 2 2 2 2 3 3 2" xfId="25036" xr:uid="{00000000-0005-0000-0000-0000042A0000}"/>
    <cellStyle name="Millares 2 80 2 2 2 2 2 3 3 2 2" xfId="52169" xr:uid="{00000000-0005-0000-0000-0000052A0000}"/>
    <cellStyle name="Millares 2 80 2 2 2 2 2 3 3 3" xfId="38607" xr:uid="{00000000-0005-0000-0000-0000062A0000}"/>
    <cellStyle name="Millares 2 80 2 2 2 2 2 3 4" xfId="18255" xr:uid="{00000000-0005-0000-0000-0000072A0000}"/>
    <cellStyle name="Millares 2 80 2 2 2 2 2 3 4 2" xfId="45388" xr:uid="{00000000-0005-0000-0000-0000082A0000}"/>
    <cellStyle name="Millares 2 80 2 2 2 2 2 3 5" xfId="31826" xr:uid="{00000000-0005-0000-0000-0000092A0000}"/>
    <cellStyle name="Millares 2 80 2 2 2 2 2 4" xfId="8065" xr:uid="{00000000-0005-0000-0000-00000A2A0000}"/>
    <cellStyle name="Millares 2 80 2 2 2 2 2 4 2" xfId="14855" xr:uid="{00000000-0005-0000-0000-00000B2A0000}"/>
    <cellStyle name="Millares 2 80 2 2 2 2 2 4 2 2" xfId="28423" xr:uid="{00000000-0005-0000-0000-00000C2A0000}"/>
    <cellStyle name="Millares 2 80 2 2 2 2 2 4 2 2 2" xfId="55556" xr:uid="{00000000-0005-0000-0000-00000D2A0000}"/>
    <cellStyle name="Millares 2 80 2 2 2 2 2 4 2 3" xfId="41994" xr:uid="{00000000-0005-0000-0000-00000E2A0000}"/>
    <cellStyle name="Millares 2 80 2 2 2 2 2 4 3" xfId="21642" xr:uid="{00000000-0005-0000-0000-00000F2A0000}"/>
    <cellStyle name="Millares 2 80 2 2 2 2 2 4 3 2" xfId="48775" xr:uid="{00000000-0005-0000-0000-0000102A0000}"/>
    <cellStyle name="Millares 2 80 2 2 2 2 2 4 4" xfId="35213" xr:uid="{00000000-0005-0000-0000-0000112A0000}"/>
    <cellStyle name="Millares 2 80 2 2 2 2 2 5" xfId="11466" xr:uid="{00000000-0005-0000-0000-0000122A0000}"/>
    <cellStyle name="Millares 2 80 2 2 2 2 2 5 2" xfId="25034" xr:uid="{00000000-0005-0000-0000-0000132A0000}"/>
    <cellStyle name="Millares 2 80 2 2 2 2 2 5 2 2" xfId="52167" xr:uid="{00000000-0005-0000-0000-0000142A0000}"/>
    <cellStyle name="Millares 2 80 2 2 2 2 2 5 3" xfId="38605" xr:uid="{00000000-0005-0000-0000-0000152A0000}"/>
    <cellStyle name="Millares 2 80 2 2 2 2 2 6" xfId="18253" xr:uid="{00000000-0005-0000-0000-0000162A0000}"/>
    <cellStyle name="Millares 2 80 2 2 2 2 2 6 2" xfId="45386" xr:uid="{00000000-0005-0000-0000-0000172A0000}"/>
    <cellStyle name="Millares 2 80 2 2 2 2 2 7" xfId="31824" xr:uid="{00000000-0005-0000-0000-0000182A0000}"/>
    <cellStyle name="Millares 2 80 2 2 2 2 3" xfId="4459" xr:uid="{00000000-0005-0000-0000-0000192A0000}"/>
    <cellStyle name="Millares 2 80 2 2 2 2 3 2" xfId="4460" xr:uid="{00000000-0005-0000-0000-00001A2A0000}"/>
    <cellStyle name="Millares 2 80 2 2 2 2 3 2 2" xfId="8069" xr:uid="{00000000-0005-0000-0000-00001B2A0000}"/>
    <cellStyle name="Millares 2 80 2 2 2 2 3 2 2 2" xfId="14859" xr:uid="{00000000-0005-0000-0000-00001C2A0000}"/>
    <cellStyle name="Millares 2 80 2 2 2 2 3 2 2 2 2" xfId="28427" xr:uid="{00000000-0005-0000-0000-00001D2A0000}"/>
    <cellStyle name="Millares 2 80 2 2 2 2 3 2 2 2 2 2" xfId="55560" xr:uid="{00000000-0005-0000-0000-00001E2A0000}"/>
    <cellStyle name="Millares 2 80 2 2 2 2 3 2 2 2 3" xfId="41998" xr:uid="{00000000-0005-0000-0000-00001F2A0000}"/>
    <cellStyle name="Millares 2 80 2 2 2 2 3 2 2 3" xfId="21646" xr:uid="{00000000-0005-0000-0000-0000202A0000}"/>
    <cellStyle name="Millares 2 80 2 2 2 2 3 2 2 3 2" xfId="48779" xr:uid="{00000000-0005-0000-0000-0000212A0000}"/>
    <cellStyle name="Millares 2 80 2 2 2 2 3 2 2 4" xfId="35217" xr:uid="{00000000-0005-0000-0000-0000222A0000}"/>
    <cellStyle name="Millares 2 80 2 2 2 2 3 2 3" xfId="11470" xr:uid="{00000000-0005-0000-0000-0000232A0000}"/>
    <cellStyle name="Millares 2 80 2 2 2 2 3 2 3 2" xfId="25038" xr:uid="{00000000-0005-0000-0000-0000242A0000}"/>
    <cellStyle name="Millares 2 80 2 2 2 2 3 2 3 2 2" xfId="52171" xr:uid="{00000000-0005-0000-0000-0000252A0000}"/>
    <cellStyle name="Millares 2 80 2 2 2 2 3 2 3 3" xfId="38609" xr:uid="{00000000-0005-0000-0000-0000262A0000}"/>
    <cellStyle name="Millares 2 80 2 2 2 2 3 2 4" xfId="18257" xr:uid="{00000000-0005-0000-0000-0000272A0000}"/>
    <cellStyle name="Millares 2 80 2 2 2 2 3 2 4 2" xfId="45390" xr:uid="{00000000-0005-0000-0000-0000282A0000}"/>
    <cellStyle name="Millares 2 80 2 2 2 2 3 2 5" xfId="31828" xr:uid="{00000000-0005-0000-0000-0000292A0000}"/>
    <cellStyle name="Millares 2 80 2 2 2 2 3 3" xfId="8068" xr:uid="{00000000-0005-0000-0000-00002A2A0000}"/>
    <cellStyle name="Millares 2 80 2 2 2 2 3 3 2" xfId="14858" xr:uid="{00000000-0005-0000-0000-00002B2A0000}"/>
    <cellStyle name="Millares 2 80 2 2 2 2 3 3 2 2" xfId="28426" xr:uid="{00000000-0005-0000-0000-00002C2A0000}"/>
    <cellStyle name="Millares 2 80 2 2 2 2 3 3 2 2 2" xfId="55559" xr:uid="{00000000-0005-0000-0000-00002D2A0000}"/>
    <cellStyle name="Millares 2 80 2 2 2 2 3 3 2 3" xfId="41997" xr:uid="{00000000-0005-0000-0000-00002E2A0000}"/>
    <cellStyle name="Millares 2 80 2 2 2 2 3 3 3" xfId="21645" xr:uid="{00000000-0005-0000-0000-00002F2A0000}"/>
    <cellStyle name="Millares 2 80 2 2 2 2 3 3 3 2" xfId="48778" xr:uid="{00000000-0005-0000-0000-0000302A0000}"/>
    <cellStyle name="Millares 2 80 2 2 2 2 3 3 4" xfId="35216" xr:uid="{00000000-0005-0000-0000-0000312A0000}"/>
    <cellStyle name="Millares 2 80 2 2 2 2 3 4" xfId="11469" xr:uid="{00000000-0005-0000-0000-0000322A0000}"/>
    <cellStyle name="Millares 2 80 2 2 2 2 3 4 2" xfId="25037" xr:uid="{00000000-0005-0000-0000-0000332A0000}"/>
    <cellStyle name="Millares 2 80 2 2 2 2 3 4 2 2" xfId="52170" xr:uid="{00000000-0005-0000-0000-0000342A0000}"/>
    <cellStyle name="Millares 2 80 2 2 2 2 3 4 3" xfId="38608" xr:uid="{00000000-0005-0000-0000-0000352A0000}"/>
    <cellStyle name="Millares 2 80 2 2 2 2 3 5" xfId="18256" xr:uid="{00000000-0005-0000-0000-0000362A0000}"/>
    <cellStyle name="Millares 2 80 2 2 2 2 3 5 2" xfId="45389" xr:uid="{00000000-0005-0000-0000-0000372A0000}"/>
    <cellStyle name="Millares 2 80 2 2 2 2 3 6" xfId="31827" xr:uid="{00000000-0005-0000-0000-0000382A0000}"/>
    <cellStyle name="Millares 2 80 2 2 2 2 4" xfId="4461" xr:uid="{00000000-0005-0000-0000-0000392A0000}"/>
    <cellStyle name="Millares 2 80 2 2 2 2 4 2" xfId="8070" xr:uid="{00000000-0005-0000-0000-00003A2A0000}"/>
    <cellStyle name="Millares 2 80 2 2 2 2 4 2 2" xfId="14860" xr:uid="{00000000-0005-0000-0000-00003B2A0000}"/>
    <cellStyle name="Millares 2 80 2 2 2 2 4 2 2 2" xfId="28428" xr:uid="{00000000-0005-0000-0000-00003C2A0000}"/>
    <cellStyle name="Millares 2 80 2 2 2 2 4 2 2 2 2" xfId="55561" xr:uid="{00000000-0005-0000-0000-00003D2A0000}"/>
    <cellStyle name="Millares 2 80 2 2 2 2 4 2 2 3" xfId="41999" xr:uid="{00000000-0005-0000-0000-00003E2A0000}"/>
    <cellStyle name="Millares 2 80 2 2 2 2 4 2 3" xfId="21647" xr:uid="{00000000-0005-0000-0000-00003F2A0000}"/>
    <cellStyle name="Millares 2 80 2 2 2 2 4 2 3 2" xfId="48780" xr:uid="{00000000-0005-0000-0000-0000402A0000}"/>
    <cellStyle name="Millares 2 80 2 2 2 2 4 2 4" xfId="35218" xr:uid="{00000000-0005-0000-0000-0000412A0000}"/>
    <cellStyle name="Millares 2 80 2 2 2 2 4 3" xfId="11471" xr:uid="{00000000-0005-0000-0000-0000422A0000}"/>
    <cellStyle name="Millares 2 80 2 2 2 2 4 3 2" xfId="25039" xr:uid="{00000000-0005-0000-0000-0000432A0000}"/>
    <cellStyle name="Millares 2 80 2 2 2 2 4 3 2 2" xfId="52172" xr:uid="{00000000-0005-0000-0000-0000442A0000}"/>
    <cellStyle name="Millares 2 80 2 2 2 2 4 3 3" xfId="38610" xr:uid="{00000000-0005-0000-0000-0000452A0000}"/>
    <cellStyle name="Millares 2 80 2 2 2 2 4 4" xfId="18258" xr:uid="{00000000-0005-0000-0000-0000462A0000}"/>
    <cellStyle name="Millares 2 80 2 2 2 2 4 4 2" xfId="45391" xr:uid="{00000000-0005-0000-0000-0000472A0000}"/>
    <cellStyle name="Millares 2 80 2 2 2 2 4 5" xfId="31829" xr:uid="{00000000-0005-0000-0000-0000482A0000}"/>
    <cellStyle name="Millares 2 80 2 2 2 2 5" xfId="4462" xr:uid="{00000000-0005-0000-0000-0000492A0000}"/>
    <cellStyle name="Millares 2 80 2 2 2 2 5 2" xfId="8071" xr:uid="{00000000-0005-0000-0000-00004A2A0000}"/>
    <cellStyle name="Millares 2 80 2 2 2 2 5 2 2" xfId="14861" xr:uid="{00000000-0005-0000-0000-00004B2A0000}"/>
    <cellStyle name="Millares 2 80 2 2 2 2 5 2 2 2" xfId="28429" xr:uid="{00000000-0005-0000-0000-00004C2A0000}"/>
    <cellStyle name="Millares 2 80 2 2 2 2 5 2 2 2 2" xfId="55562" xr:uid="{00000000-0005-0000-0000-00004D2A0000}"/>
    <cellStyle name="Millares 2 80 2 2 2 2 5 2 2 3" xfId="42000" xr:uid="{00000000-0005-0000-0000-00004E2A0000}"/>
    <cellStyle name="Millares 2 80 2 2 2 2 5 2 3" xfId="21648" xr:uid="{00000000-0005-0000-0000-00004F2A0000}"/>
    <cellStyle name="Millares 2 80 2 2 2 2 5 2 3 2" xfId="48781" xr:uid="{00000000-0005-0000-0000-0000502A0000}"/>
    <cellStyle name="Millares 2 80 2 2 2 2 5 2 4" xfId="35219" xr:uid="{00000000-0005-0000-0000-0000512A0000}"/>
    <cellStyle name="Millares 2 80 2 2 2 2 5 3" xfId="11472" xr:uid="{00000000-0005-0000-0000-0000522A0000}"/>
    <cellStyle name="Millares 2 80 2 2 2 2 5 3 2" xfId="25040" xr:uid="{00000000-0005-0000-0000-0000532A0000}"/>
    <cellStyle name="Millares 2 80 2 2 2 2 5 3 2 2" xfId="52173" xr:uid="{00000000-0005-0000-0000-0000542A0000}"/>
    <cellStyle name="Millares 2 80 2 2 2 2 5 3 3" xfId="38611" xr:uid="{00000000-0005-0000-0000-0000552A0000}"/>
    <cellStyle name="Millares 2 80 2 2 2 2 5 4" xfId="18259" xr:uid="{00000000-0005-0000-0000-0000562A0000}"/>
    <cellStyle name="Millares 2 80 2 2 2 2 5 4 2" xfId="45392" xr:uid="{00000000-0005-0000-0000-0000572A0000}"/>
    <cellStyle name="Millares 2 80 2 2 2 2 5 5" xfId="31830" xr:uid="{00000000-0005-0000-0000-0000582A0000}"/>
    <cellStyle name="Millares 2 80 2 2 2 2 6" xfId="8064" xr:uid="{00000000-0005-0000-0000-0000592A0000}"/>
    <cellStyle name="Millares 2 80 2 2 2 2 6 2" xfId="14854" xr:uid="{00000000-0005-0000-0000-00005A2A0000}"/>
    <cellStyle name="Millares 2 80 2 2 2 2 6 2 2" xfId="28422" xr:uid="{00000000-0005-0000-0000-00005B2A0000}"/>
    <cellStyle name="Millares 2 80 2 2 2 2 6 2 2 2" xfId="55555" xr:uid="{00000000-0005-0000-0000-00005C2A0000}"/>
    <cellStyle name="Millares 2 80 2 2 2 2 6 2 3" xfId="41993" xr:uid="{00000000-0005-0000-0000-00005D2A0000}"/>
    <cellStyle name="Millares 2 80 2 2 2 2 6 3" xfId="21641" xr:uid="{00000000-0005-0000-0000-00005E2A0000}"/>
    <cellStyle name="Millares 2 80 2 2 2 2 6 3 2" xfId="48774" xr:uid="{00000000-0005-0000-0000-00005F2A0000}"/>
    <cellStyle name="Millares 2 80 2 2 2 2 6 4" xfId="35212" xr:uid="{00000000-0005-0000-0000-0000602A0000}"/>
    <cellStyle name="Millares 2 80 2 2 2 2 7" xfId="11465" xr:uid="{00000000-0005-0000-0000-0000612A0000}"/>
    <cellStyle name="Millares 2 80 2 2 2 2 7 2" xfId="25033" xr:uid="{00000000-0005-0000-0000-0000622A0000}"/>
    <cellStyle name="Millares 2 80 2 2 2 2 7 2 2" xfId="52166" xr:uid="{00000000-0005-0000-0000-0000632A0000}"/>
    <cellStyle name="Millares 2 80 2 2 2 2 7 3" xfId="38604" xr:uid="{00000000-0005-0000-0000-0000642A0000}"/>
    <cellStyle name="Millares 2 80 2 2 2 2 8" xfId="18252" xr:uid="{00000000-0005-0000-0000-0000652A0000}"/>
    <cellStyle name="Millares 2 80 2 2 2 2 8 2" xfId="45385" xr:uid="{00000000-0005-0000-0000-0000662A0000}"/>
    <cellStyle name="Millares 2 80 2 2 2 2 9" xfId="31823" xr:uid="{00000000-0005-0000-0000-0000672A0000}"/>
    <cellStyle name="Millares 2 80 2 2 2 3" xfId="4463" xr:uid="{00000000-0005-0000-0000-0000682A0000}"/>
    <cellStyle name="Millares 2 80 2 2 2 3 2" xfId="4464" xr:uid="{00000000-0005-0000-0000-0000692A0000}"/>
    <cellStyle name="Millares 2 80 2 2 2 3 2 2" xfId="8073" xr:uid="{00000000-0005-0000-0000-00006A2A0000}"/>
    <cellStyle name="Millares 2 80 2 2 2 3 2 2 2" xfId="14863" xr:uid="{00000000-0005-0000-0000-00006B2A0000}"/>
    <cellStyle name="Millares 2 80 2 2 2 3 2 2 2 2" xfId="28431" xr:uid="{00000000-0005-0000-0000-00006C2A0000}"/>
    <cellStyle name="Millares 2 80 2 2 2 3 2 2 2 2 2" xfId="55564" xr:uid="{00000000-0005-0000-0000-00006D2A0000}"/>
    <cellStyle name="Millares 2 80 2 2 2 3 2 2 2 3" xfId="42002" xr:uid="{00000000-0005-0000-0000-00006E2A0000}"/>
    <cellStyle name="Millares 2 80 2 2 2 3 2 2 3" xfId="21650" xr:uid="{00000000-0005-0000-0000-00006F2A0000}"/>
    <cellStyle name="Millares 2 80 2 2 2 3 2 2 3 2" xfId="48783" xr:uid="{00000000-0005-0000-0000-0000702A0000}"/>
    <cellStyle name="Millares 2 80 2 2 2 3 2 2 4" xfId="35221" xr:uid="{00000000-0005-0000-0000-0000712A0000}"/>
    <cellStyle name="Millares 2 80 2 2 2 3 2 3" xfId="11474" xr:uid="{00000000-0005-0000-0000-0000722A0000}"/>
    <cellStyle name="Millares 2 80 2 2 2 3 2 3 2" xfId="25042" xr:uid="{00000000-0005-0000-0000-0000732A0000}"/>
    <cellStyle name="Millares 2 80 2 2 2 3 2 3 2 2" xfId="52175" xr:uid="{00000000-0005-0000-0000-0000742A0000}"/>
    <cellStyle name="Millares 2 80 2 2 2 3 2 3 3" xfId="38613" xr:uid="{00000000-0005-0000-0000-0000752A0000}"/>
    <cellStyle name="Millares 2 80 2 2 2 3 2 4" xfId="18261" xr:uid="{00000000-0005-0000-0000-0000762A0000}"/>
    <cellStyle name="Millares 2 80 2 2 2 3 2 4 2" xfId="45394" xr:uid="{00000000-0005-0000-0000-0000772A0000}"/>
    <cellStyle name="Millares 2 80 2 2 2 3 2 5" xfId="31832" xr:uid="{00000000-0005-0000-0000-0000782A0000}"/>
    <cellStyle name="Millares 2 80 2 2 2 3 3" xfId="4465" xr:uid="{00000000-0005-0000-0000-0000792A0000}"/>
    <cellStyle name="Millares 2 80 2 2 2 3 3 2" xfId="8074" xr:uid="{00000000-0005-0000-0000-00007A2A0000}"/>
    <cellStyle name="Millares 2 80 2 2 2 3 3 2 2" xfId="14864" xr:uid="{00000000-0005-0000-0000-00007B2A0000}"/>
    <cellStyle name="Millares 2 80 2 2 2 3 3 2 2 2" xfId="28432" xr:uid="{00000000-0005-0000-0000-00007C2A0000}"/>
    <cellStyle name="Millares 2 80 2 2 2 3 3 2 2 2 2" xfId="55565" xr:uid="{00000000-0005-0000-0000-00007D2A0000}"/>
    <cellStyle name="Millares 2 80 2 2 2 3 3 2 2 3" xfId="42003" xr:uid="{00000000-0005-0000-0000-00007E2A0000}"/>
    <cellStyle name="Millares 2 80 2 2 2 3 3 2 3" xfId="21651" xr:uid="{00000000-0005-0000-0000-00007F2A0000}"/>
    <cellStyle name="Millares 2 80 2 2 2 3 3 2 3 2" xfId="48784" xr:uid="{00000000-0005-0000-0000-0000802A0000}"/>
    <cellStyle name="Millares 2 80 2 2 2 3 3 2 4" xfId="35222" xr:uid="{00000000-0005-0000-0000-0000812A0000}"/>
    <cellStyle name="Millares 2 80 2 2 2 3 3 3" xfId="11475" xr:uid="{00000000-0005-0000-0000-0000822A0000}"/>
    <cellStyle name="Millares 2 80 2 2 2 3 3 3 2" xfId="25043" xr:uid="{00000000-0005-0000-0000-0000832A0000}"/>
    <cellStyle name="Millares 2 80 2 2 2 3 3 3 2 2" xfId="52176" xr:uid="{00000000-0005-0000-0000-0000842A0000}"/>
    <cellStyle name="Millares 2 80 2 2 2 3 3 3 3" xfId="38614" xr:uid="{00000000-0005-0000-0000-0000852A0000}"/>
    <cellStyle name="Millares 2 80 2 2 2 3 3 4" xfId="18262" xr:uid="{00000000-0005-0000-0000-0000862A0000}"/>
    <cellStyle name="Millares 2 80 2 2 2 3 3 4 2" xfId="45395" xr:uid="{00000000-0005-0000-0000-0000872A0000}"/>
    <cellStyle name="Millares 2 80 2 2 2 3 3 5" xfId="31833" xr:uid="{00000000-0005-0000-0000-0000882A0000}"/>
    <cellStyle name="Millares 2 80 2 2 2 3 4" xfId="8072" xr:uid="{00000000-0005-0000-0000-0000892A0000}"/>
    <cellStyle name="Millares 2 80 2 2 2 3 4 2" xfId="14862" xr:uid="{00000000-0005-0000-0000-00008A2A0000}"/>
    <cellStyle name="Millares 2 80 2 2 2 3 4 2 2" xfId="28430" xr:uid="{00000000-0005-0000-0000-00008B2A0000}"/>
    <cellStyle name="Millares 2 80 2 2 2 3 4 2 2 2" xfId="55563" xr:uid="{00000000-0005-0000-0000-00008C2A0000}"/>
    <cellStyle name="Millares 2 80 2 2 2 3 4 2 3" xfId="42001" xr:uid="{00000000-0005-0000-0000-00008D2A0000}"/>
    <cellStyle name="Millares 2 80 2 2 2 3 4 3" xfId="21649" xr:uid="{00000000-0005-0000-0000-00008E2A0000}"/>
    <cellStyle name="Millares 2 80 2 2 2 3 4 3 2" xfId="48782" xr:uid="{00000000-0005-0000-0000-00008F2A0000}"/>
    <cellStyle name="Millares 2 80 2 2 2 3 4 4" xfId="35220" xr:uid="{00000000-0005-0000-0000-0000902A0000}"/>
    <cellStyle name="Millares 2 80 2 2 2 3 5" xfId="11473" xr:uid="{00000000-0005-0000-0000-0000912A0000}"/>
    <cellStyle name="Millares 2 80 2 2 2 3 5 2" xfId="25041" xr:uid="{00000000-0005-0000-0000-0000922A0000}"/>
    <cellStyle name="Millares 2 80 2 2 2 3 5 2 2" xfId="52174" xr:uid="{00000000-0005-0000-0000-0000932A0000}"/>
    <cellStyle name="Millares 2 80 2 2 2 3 5 3" xfId="38612" xr:uid="{00000000-0005-0000-0000-0000942A0000}"/>
    <cellStyle name="Millares 2 80 2 2 2 3 6" xfId="18260" xr:uid="{00000000-0005-0000-0000-0000952A0000}"/>
    <cellStyle name="Millares 2 80 2 2 2 3 6 2" xfId="45393" xr:uid="{00000000-0005-0000-0000-0000962A0000}"/>
    <cellStyle name="Millares 2 80 2 2 2 3 7" xfId="31831" xr:uid="{00000000-0005-0000-0000-0000972A0000}"/>
    <cellStyle name="Millares 2 80 2 2 2 4" xfId="4466" xr:uid="{00000000-0005-0000-0000-0000982A0000}"/>
    <cellStyle name="Millares 2 80 2 2 2 4 2" xfId="4467" xr:uid="{00000000-0005-0000-0000-0000992A0000}"/>
    <cellStyle name="Millares 2 80 2 2 2 4 2 2" xfId="8076" xr:uid="{00000000-0005-0000-0000-00009A2A0000}"/>
    <cellStyle name="Millares 2 80 2 2 2 4 2 2 2" xfId="14866" xr:uid="{00000000-0005-0000-0000-00009B2A0000}"/>
    <cellStyle name="Millares 2 80 2 2 2 4 2 2 2 2" xfId="28434" xr:uid="{00000000-0005-0000-0000-00009C2A0000}"/>
    <cellStyle name="Millares 2 80 2 2 2 4 2 2 2 2 2" xfId="55567" xr:uid="{00000000-0005-0000-0000-00009D2A0000}"/>
    <cellStyle name="Millares 2 80 2 2 2 4 2 2 2 3" xfId="42005" xr:uid="{00000000-0005-0000-0000-00009E2A0000}"/>
    <cellStyle name="Millares 2 80 2 2 2 4 2 2 3" xfId="21653" xr:uid="{00000000-0005-0000-0000-00009F2A0000}"/>
    <cellStyle name="Millares 2 80 2 2 2 4 2 2 3 2" xfId="48786" xr:uid="{00000000-0005-0000-0000-0000A02A0000}"/>
    <cellStyle name="Millares 2 80 2 2 2 4 2 2 4" xfId="35224" xr:uid="{00000000-0005-0000-0000-0000A12A0000}"/>
    <cellStyle name="Millares 2 80 2 2 2 4 2 3" xfId="11477" xr:uid="{00000000-0005-0000-0000-0000A22A0000}"/>
    <cellStyle name="Millares 2 80 2 2 2 4 2 3 2" xfId="25045" xr:uid="{00000000-0005-0000-0000-0000A32A0000}"/>
    <cellStyle name="Millares 2 80 2 2 2 4 2 3 2 2" xfId="52178" xr:uid="{00000000-0005-0000-0000-0000A42A0000}"/>
    <cellStyle name="Millares 2 80 2 2 2 4 2 3 3" xfId="38616" xr:uid="{00000000-0005-0000-0000-0000A52A0000}"/>
    <cellStyle name="Millares 2 80 2 2 2 4 2 4" xfId="18264" xr:uid="{00000000-0005-0000-0000-0000A62A0000}"/>
    <cellStyle name="Millares 2 80 2 2 2 4 2 4 2" xfId="45397" xr:uid="{00000000-0005-0000-0000-0000A72A0000}"/>
    <cellStyle name="Millares 2 80 2 2 2 4 2 5" xfId="31835" xr:uid="{00000000-0005-0000-0000-0000A82A0000}"/>
    <cellStyle name="Millares 2 80 2 2 2 4 3" xfId="8075" xr:uid="{00000000-0005-0000-0000-0000A92A0000}"/>
    <cellStyle name="Millares 2 80 2 2 2 4 3 2" xfId="14865" xr:uid="{00000000-0005-0000-0000-0000AA2A0000}"/>
    <cellStyle name="Millares 2 80 2 2 2 4 3 2 2" xfId="28433" xr:uid="{00000000-0005-0000-0000-0000AB2A0000}"/>
    <cellStyle name="Millares 2 80 2 2 2 4 3 2 2 2" xfId="55566" xr:uid="{00000000-0005-0000-0000-0000AC2A0000}"/>
    <cellStyle name="Millares 2 80 2 2 2 4 3 2 3" xfId="42004" xr:uid="{00000000-0005-0000-0000-0000AD2A0000}"/>
    <cellStyle name="Millares 2 80 2 2 2 4 3 3" xfId="21652" xr:uid="{00000000-0005-0000-0000-0000AE2A0000}"/>
    <cellStyle name="Millares 2 80 2 2 2 4 3 3 2" xfId="48785" xr:uid="{00000000-0005-0000-0000-0000AF2A0000}"/>
    <cellStyle name="Millares 2 80 2 2 2 4 3 4" xfId="35223" xr:uid="{00000000-0005-0000-0000-0000B02A0000}"/>
    <cellStyle name="Millares 2 80 2 2 2 4 4" xfId="11476" xr:uid="{00000000-0005-0000-0000-0000B12A0000}"/>
    <cellStyle name="Millares 2 80 2 2 2 4 4 2" xfId="25044" xr:uid="{00000000-0005-0000-0000-0000B22A0000}"/>
    <cellStyle name="Millares 2 80 2 2 2 4 4 2 2" xfId="52177" xr:uid="{00000000-0005-0000-0000-0000B32A0000}"/>
    <cellStyle name="Millares 2 80 2 2 2 4 4 3" xfId="38615" xr:uid="{00000000-0005-0000-0000-0000B42A0000}"/>
    <cellStyle name="Millares 2 80 2 2 2 4 5" xfId="18263" xr:uid="{00000000-0005-0000-0000-0000B52A0000}"/>
    <cellStyle name="Millares 2 80 2 2 2 4 5 2" xfId="45396" xr:uid="{00000000-0005-0000-0000-0000B62A0000}"/>
    <cellStyle name="Millares 2 80 2 2 2 4 6" xfId="31834" xr:uid="{00000000-0005-0000-0000-0000B72A0000}"/>
    <cellStyle name="Millares 2 80 2 2 2 5" xfId="4468" xr:uid="{00000000-0005-0000-0000-0000B82A0000}"/>
    <cellStyle name="Millares 2 80 2 2 2 5 2" xfId="8077" xr:uid="{00000000-0005-0000-0000-0000B92A0000}"/>
    <cellStyle name="Millares 2 80 2 2 2 5 2 2" xfId="14867" xr:uid="{00000000-0005-0000-0000-0000BA2A0000}"/>
    <cellStyle name="Millares 2 80 2 2 2 5 2 2 2" xfId="28435" xr:uid="{00000000-0005-0000-0000-0000BB2A0000}"/>
    <cellStyle name="Millares 2 80 2 2 2 5 2 2 2 2" xfId="55568" xr:uid="{00000000-0005-0000-0000-0000BC2A0000}"/>
    <cellStyle name="Millares 2 80 2 2 2 5 2 2 3" xfId="42006" xr:uid="{00000000-0005-0000-0000-0000BD2A0000}"/>
    <cellStyle name="Millares 2 80 2 2 2 5 2 3" xfId="21654" xr:uid="{00000000-0005-0000-0000-0000BE2A0000}"/>
    <cellStyle name="Millares 2 80 2 2 2 5 2 3 2" xfId="48787" xr:uid="{00000000-0005-0000-0000-0000BF2A0000}"/>
    <cellStyle name="Millares 2 80 2 2 2 5 2 4" xfId="35225" xr:uid="{00000000-0005-0000-0000-0000C02A0000}"/>
    <cellStyle name="Millares 2 80 2 2 2 5 3" xfId="11478" xr:uid="{00000000-0005-0000-0000-0000C12A0000}"/>
    <cellStyle name="Millares 2 80 2 2 2 5 3 2" xfId="25046" xr:uid="{00000000-0005-0000-0000-0000C22A0000}"/>
    <cellStyle name="Millares 2 80 2 2 2 5 3 2 2" xfId="52179" xr:uid="{00000000-0005-0000-0000-0000C32A0000}"/>
    <cellStyle name="Millares 2 80 2 2 2 5 3 3" xfId="38617" xr:uid="{00000000-0005-0000-0000-0000C42A0000}"/>
    <cellStyle name="Millares 2 80 2 2 2 5 4" xfId="18265" xr:uid="{00000000-0005-0000-0000-0000C52A0000}"/>
    <cellStyle name="Millares 2 80 2 2 2 5 4 2" xfId="45398" xr:uid="{00000000-0005-0000-0000-0000C62A0000}"/>
    <cellStyle name="Millares 2 80 2 2 2 5 5" xfId="31836" xr:uid="{00000000-0005-0000-0000-0000C72A0000}"/>
    <cellStyle name="Millares 2 80 2 2 2 6" xfId="4469" xr:uid="{00000000-0005-0000-0000-0000C82A0000}"/>
    <cellStyle name="Millares 2 80 2 2 2 6 2" xfId="8078" xr:uid="{00000000-0005-0000-0000-0000C92A0000}"/>
    <cellStyle name="Millares 2 80 2 2 2 6 2 2" xfId="14868" xr:uid="{00000000-0005-0000-0000-0000CA2A0000}"/>
    <cellStyle name="Millares 2 80 2 2 2 6 2 2 2" xfId="28436" xr:uid="{00000000-0005-0000-0000-0000CB2A0000}"/>
    <cellStyle name="Millares 2 80 2 2 2 6 2 2 2 2" xfId="55569" xr:uid="{00000000-0005-0000-0000-0000CC2A0000}"/>
    <cellStyle name="Millares 2 80 2 2 2 6 2 2 3" xfId="42007" xr:uid="{00000000-0005-0000-0000-0000CD2A0000}"/>
    <cellStyle name="Millares 2 80 2 2 2 6 2 3" xfId="21655" xr:uid="{00000000-0005-0000-0000-0000CE2A0000}"/>
    <cellStyle name="Millares 2 80 2 2 2 6 2 3 2" xfId="48788" xr:uid="{00000000-0005-0000-0000-0000CF2A0000}"/>
    <cellStyle name="Millares 2 80 2 2 2 6 2 4" xfId="35226" xr:uid="{00000000-0005-0000-0000-0000D02A0000}"/>
    <cellStyle name="Millares 2 80 2 2 2 6 3" xfId="11479" xr:uid="{00000000-0005-0000-0000-0000D12A0000}"/>
    <cellStyle name="Millares 2 80 2 2 2 6 3 2" xfId="25047" xr:uid="{00000000-0005-0000-0000-0000D22A0000}"/>
    <cellStyle name="Millares 2 80 2 2 2 6 3 2 2" xfId="52180" xr:uid="{00000000-0005-0000-0000-0000D32A0000}"/>
    <cellStyle name="Millares 2 80 2 2 2 6 3 3" xfId="38618" xr:uid="{00000000-0005-0000-0000-0000D42A0000}"/>
    <cellStyle name="Millares 2 80 2 2 2 6 4" xfId="18266" xr:uid="{00000000-0005-0000-0000-0000D52A0000}"/>
    <cellStyle name="Millares 2 80 2 2 2 6 4 2" xfId="45399" xr:uid="{00000000-0005-0000-0000-0000D62A0000}"/>
    <cellStyle name="Millares 2 80 2 2 2 6 5" xfId="31837" xr:uid="{00000000-0005-0000-0000-0000D72A0000}"/>
    <cellStyle name="Millares 2 80 2 2 2 7" xfId="8063" xr:uid="{00000000-0005-0000-0000-0000D82A0000}"/>
    <cellStyle name="Millares 2 80 2 2 2 7 2" xfId="14853" xr:uid="{00000000-0005-0000-0000-0000D92A0000}"/>
    <cellStyle name="Millares 2 80 2 2 2 7 2 2" xfId="28421" xr:uid="{00000000-0005-0000-0000-0000DA2A0000}"/>
    <cellStyle name="Millares 2 80 2 2 2 7 2 2 2" xfId="55554" xr:uid="{00000000-0005-0000-0000-0000DB2A0000}"/>
    <cellStyle name="Millares 2 80 2 2 2 7 2 3" xfId="41992" xr:uid="{00000000-0005-0000-0000-0000DC2A0000}"/>
    <cellStyle name="Millares 2 80 2 2 2 7 3" xfId="21640" xr:uid="{00000000-0005-0000-0000-0000DD2A0000}"/>
    <cellStyle name="Millares 2 80 2 2 2 7 3 2" xfId="48773" xr:uid="{00000000-0005-0000-0000-0000DE2A0000}"/>
    <cellStyle name="Millares 2 80 2 2 2 7 4" xfId="35211" xr:uid="{00000000-0005-0000-0000-0000DF2A0000}"/>
    <cellStyle name="Millares 2 80 2 2 2 8" xfId="11464" xr:uid="{00000000-0005-0000-0000-0000E02A0000}"/>
    <cellStyle name="Millares 2 80 2 2 2 8 2" xfId="25032" xr:uid="{00000000-0005-0000-0000-0000E12A0000}"/>
    <cellStyle name="Millares 2 80 2 2 2 8 2 2" xfId="52165" xr:uid="{00000000-0005-0000-0000-0000E22A0000}"/>
    <cellStyle name="Millares 2 80 2 2 2 8 3" xfId="38603" xr:uid="{00000000-0005-0000-0000-0000E32A0000}"/>
    <cellStyle name="Millares 2 80 2 2 2 9" xfId="18251" xr:uid="{00000000-0005-0000-0000-0000E42A0000}"/>
    <cellStyle name="Millares 2 80 2 2 2 9 2" xfId="45384" xr:uid="{00000000-0005-0000-0000-0000E52A0000}"/>
    <cellStyle name="Millares 2 80 2 2 3" xfId="4470" xr:uid="{00000000-0005-0000-0000-0000E62A0000}"/>
    <cellStyle name="Millares 2 80 2 2 3 2" xfId="4471" xr:uid="{00000000-0005-0000-0000-0000E72A0000}"/>
    <cellStyle name="Millares 2 80 2 2 3 2 2" xfId="4472" xr:uid="{00000000-0005-0000-0000-0000E82A0000}"/>
    <cellStyle name="Millares 2 80 2 2 3 2 2 2" xfId="8081" xr:uid="{00000000-0005-0000-0000-0000E92A0000}"/>
    <cellStyle name="Millares 2 80 2 2 3 2 2 2 2" xfId="14871" xr:uid="{00000000-0005-0000-0000-0000EA2A0000}"/>
    <cellStyle name="Millares 2 80 2 2 3 2 2 2 2 2" xfId="28439" xr:uid="{00000000-0005-0000-0000-0000EB2A0000}"/>
    <cellStyle name="Millares 2 80 2 2 3 2 2 2 2 2 2" xfId="55572" xr:uid="{00000000-0005-0000-0000-0000EC2A0000}"/>
    <cellStyle name="Millares 2 80 2 2 3 2 2 2 2 3" xfId="42010" xr:uid="{00000000-0005-0000-0000-0000ED2A0000}"/>
    <cellStyle name="Millares 2 80 2 2 3 2 2 2 3" xfId="21658" xr:uid="{00000000-0005-0000-0000-0000EE2A0000}"/>
    <cellStyle name="Millares 2 80 2 2 3 2 2 2 3 2" xfId="48791" xr:uid="{00000000-0005-0000-0000-0000EF2A0000}"/>
    <cellStyle name="Millares 2 80 2 2 3 2 2 2 4" xfId="35229" xr:uid="{00000000-0005-0000-0000-0000F02A0000}"/>
    <cellStyle name="Millares 2 80 2 2 3 2 2 3" xfId="11482" xr:uid="{00000000-0005-0000-0000-0000F12A0000}"/>
    <cellStyle name="Millares 2 80 2 2 3 2 2 3 2" xfId="25050" xr:uid="{00000000-0005-0000-0000-0000F22A0000}"/>
    <cellStyle name="Millares 2 80 2 2 3 2 2 3 2 2" xfId="52183" xr:uid="{00000000-0005-0000-0000-0000F32A0000}"/>
    <cellStyle name="Millares 2 80 2 2 3 2 2 3 3" xfId="38621" xr:uid="{00000000-0005-0000-0000-0000F42A0000}"/>
    <cellStyle name="Millares 2 80 2 2 3 2 2 4" xfId="18269" xr:uid="{00000000-0005-0000-0000-0000F52A0000}"/>
    <cellStyle name="Millares 2 80 2 2 3 2 2 4 2" xfId="45402" xr:uid="{00000000-0005-0000-0000-0000F62A0000}"/>
    <cellStyle name="Millares 2 80 2 2 3 2 2 5" xfId="31840" xr:uid="{00000000-0005-0000-0000-0000F72A0000}"/>
    <cellStyle name="Millares 2 80 2 2 3 2 3" xfId="4473" xr:uid="{00000000-0005-0000-0000-0000F82A0000}"/>
    <cellStyle name="Millares 2 80 2 2 3 2 3 2" xfId="8082" xr:uid="{00000000-0005-0000-0000-0000F92A0000}"/>
    <cellStyle name="Millares 2 80 2 2 3 2 3 2 2" xfId="14872" xr:uid="{00000000-0005-0000-0000-0000FA2A0000}"/>
    <cellStyle name="Millares 2 80 2 2 3 2 3 2 2 2" xfId="28440" xr:uid="{00000000-0005-0000-0000-0000FB2A0000}"/>
    <cellStyle name="Millares 2 80 2 2 3 2 3 2 2 2 2" xfId="55573" xr:uid="{00000000-0005-0000-0000-0000FC2A0000}"/>
    <cellStyle name="Millares 2 80 2 2 3 2 3 2 2 3" xfId="42011" xr:uid="{00000000-0005-0000-0000-0000FD2A0000}"/>
    <cellStyle name="Millares 2 80 2 2 3 2 3 2 3" xfId="21659" xr:uid="{00000000-0005-0000-0000-0000FE2A0000}"/>
    <cellStyle name="Millares 2 80 2 2 3 2 3 2 3 2" xfId="48792" xr:uid="{00000000-0005-0000-0000-0000FF2A0000}"/>
    <cellStyle name="Millares 2 80 2 2 3 2 3 2 4" xfId="35230" xr:uid="{00000000-0005-0000-0000-0000002B0000}"/>
    <cellStyle name="Millares 2 80 2 2 3 2 3 3" xfId="11483" xr:uid="{00000000-0005-0000-0000-0000012B0000}"/>
    <cellStyle name="Millares 2 80 2 2 3 2 3 3 2" xfId="25051" xr:uid="{00000000-0005-0000-0000-0000022B0000}"/>
    <cellStyle name="Millares 2 80 2 2 3 2 3 3 2 2" xfId="52184" xr:uid="{00000000-0005-0000-0000-0000032B0000}"/>
    <cellStyle name="Millares 2 80 2 2 3 2 3 3 3" xfId="38622" xr:uid="{00000000-0005-0000-0000-0000042B0000}"/>
    <cellStyle name="Millares 2 80 2 2 3 2 3 4" xfId="18270" xr:uid="{00000000-0005-0000-0000-0000052B0000}"/>
    <cellStyle name="Millares 2 80 2 2 3 2 3 4 2" xfId="45403" xr:uid="{00000000-0005-0000-0000-0000062B0000}"/>
    <cellStyle name="Millares 2 80 2 2 3 2 3 5" xfId="31841" xr:uid="{00000000-0005-0000-0000-0000072B0000}"/>
    <cellStyle name="Millares 2 80 2 2 3 2 4" xfId="8080" xr:uid="{00000000-0005-0000-0000-0000082B0000}"/>
    <cellStyle name="Millares 2 80 2 2 3 2 4 2" xfId="14870" xr:uid="{00000000-0005-0000-0000-0000092B0000}"/>
    <cellStyle name="Millares 2 80 2 2 3 2 4 2 2" xfId="28438" xr:uid="{00000000-0005-0000-0000-00000A2B0000}"/>
    <cellStyle name="Millares 2 80 2 2 3 2 4 2 2 2" xfId="55571" xr:uid="{00000000-0005-0000-0000-00000B2B0000}"/>
    <cellStyle name="Millares 2 80 2 2 3 2 4 2 3" xfId="42009" xr:uid="{00000000-0005-0000-0000-00000C2B0000}"/>
    <cellStyle name="Millares 2 80 2 2 3 2 4 3" xfId="21657" xr:uid="{00000000-0005-0000-0000-00000D2B0000}"/>
    <cellStyle name="Millares 2 80 2 2 3 2 4 3 2" xfId="48790" xr:uid="{00000000-0005-0000-0000-00000E2B0000}"/>
    <cellStyle name="Millares 2 80 2 2 3 2 4 4" xfId="35228" xr:uid="{00000000-0005-0000-0000-00000F2B0000}"/>
    <cellStyle name="Millares 2 80 2 2 3 2 5" xfId="11481" xr:uid="{00000000-0005-0000-0000-0000102B0000}"/>
    <cellStyle name="Millares 2 80 2 2 3 2 5 2" xfId="25049" xr:uid="{00000000-0005-0000-0000-0000112B0000}"/>
    <cellStyle name="Millares 2 80 2 2 3 2 5 2 2" xfId="52182" xr:uid="{00000000-0005-0000-0000-0000122B0000}"/>
    <cellStyle name="Millares 2 80 2 2 3 2 5 3" xfId="38620" xr:uid="{00000000-0005-0000-0000-0000132B0000}"/>
    <cellStyle name="Millares 2 80 2 2 3 2 6" xfId="18268" xr:uid="{00000000-0005-0000-0000-0000142B0000}"/>
    <cellStyle name="Millares 2 80 2 2 3 2 6 2" xfId="45401" xr:uid="{00000000-0005-0000-0000-0000152B0000}"/>
    <cellStyle name="Millares 2 80 2 2 3 2 7" xfId="31839" xr:uid="{00000000-0005-0000-0000-0000162B0000}"/>
    <cellStyle name="Millares 2 80 2 2 3 3" xfId="4474" xr:uid="{00000000-0005-0000-0000-0000172B0000}"/>
    <cellStyle name="Millares 2 80 2 2 3 3 2" xfId="4475" xr:uid="{00000000-0005-0000-0000-0000182B0000}"/>
    <cellStyle name="Millares 2 80 2 2 3 3 2 2" xfId="8084" xr:uid="{00000000-0005-0000-0000-0000192B0000}"/>
    <cellStyle name="Millares 2 80 2 2 3 3 2 2 2" xfId="14874" xr:uid="{00000000-0005-0000-0000-00001A2B0000}"/>
    <cellStyle name="Millares 2 80 2 2 3 3 2 2 2 2" xfId="28442" xr:uid="{00000000-0005-0000-0000-00001B2B0000}"/>
    <cellStyle name="Millares 2 80 2 2 3 3 2 2 2 2 2" xfId="55575" xr:uid="{00000000-0005-0000-0000-00001C2B0000}"/>
    <cellStyle name="Millares 2 80 2 2 3 3 2 2 2 3" xfId="42013" xr:uid="{00000000-0005-0000-0000-00001D2B0000}"/>
    <cellStyle name="Millares 2 80 2 2 3 3 2 2 3" xfId="21661" xr:uid="{00000000-0005-0000-0000-00001E2B0000}"/>
    <cellStyle name="Millares 2 80 2 2 3 3 2 2 3 2" xfId="48794" xr:uid="{00000000-0005-0000-0000-00001F2B0000}"/>
    <cellStyle name="Millares 2 80 2 2 3 3 2 2 4" xfId="35232" xr:uid="{00000000-0005-0000-0000-0000202B0000}"/>
    <cellStyle name="Millares 2 80 2 2 3 3 2 3" xfId="11485" xr:uid="{00000000-0005-0000-0000-0000212B0000}"/>
    <cellStyle name="Millares 2 80 2 2 3 3 2 3 2" xfId="25053" xr:uid="{00000000-0005-0000-0000-0000222B0000}"/>
    <cellStyle name="Millares 2 80 2 2 3 3 2 3 2 2" xfId="52186" xr:uid="{00000000-0005-0000-0000-0000232B0000}"/>
    <cellStyle name="Millares 2 80 2 2 3 3 2 3 3" xfId="38624" xr:uid="{00000000-0005-0000-0000-0000242B0000}"/>
    <cellStyle name="Millares 2 80 2 2 3 3 2 4" xfId="18272" xr:uid="{00000000-0005-0000-0000-0000252B0000}"/>
    <cellStyle name="Millares 2 80 2 2 3 3 2 4 2" xfId="45405" xr:uid="{00000000-0005-0000-0000-0000262B0000}"/>
    <cellStyle name="Millares 2 80 2 2 3 3 2 5" xfId="31843" xr:uid="{00000000-0005-0000-0000-0000272B0000}"/>
    <cellStyle name="Millares 2 80 2 2 3 3 3" xfId="8083" xr:uid="{00000000-0005-0000-0000-0000282B0000}"/>
    <cellStyle name="Millares 2 80 2 2 3 3 3 2" xfId="14873" xr:uid="{00000000-0005-0000-0000-0000292B0000}"/>
    <cellStyle name="Millares 2 80 2 2 3 3 3 2 2" xfId="28441" xr:uid="{00000000-0005-0000-0000-00002A2B0000}"/>
    <cellStyle name="Millares 2 80 2 2 3 3 3 2 2 2" xfId="55574" xr:uid="{00000000-0005-0000-0000-00002B2B0000}"/>
    <cellStyle name="Millares 2 80 2 2 3 3 3 2 3" xfId="42012" xr:uid="{00000000-0005-0000-0000-00002C2B0000}"/>
    <cellStyle name="Millares 2 80 2 2 3 3 3 3" xfId="21660" xr:uid="{00000000-0005-0000-0000-00002D2B0000}"/>
    <cellStyle name="Millares 2 80 2 2 3 3 3 3 2" xfId="48793" xr:uid="{00000000-0005-0000-0000-00002E2B0000}"/>
    <cellStyle name="Millares 2 80 2 2 3 3 3 4" xfId="35231" xr:uid="{00000000-0005-0000-0000-00002F2B0000}"/>
    <cellStyle name="Millares 2 80 2 2 3 3 4" xfId="11484" xr:uid="{00000000-0005-0000-0000-0000302B0000}"/>
    <cellStyle name="Millares 2 80 2 2 3 3 4 2" xfId="25052" xr:uid="{00000000-0005-0000-0000-0000312B0000}"/>
    <cellStyle name="Millares 2 80 2 2 3 3 4 2 2" xfId="52185" xr:uid="{00000000-0005-0000-0000-0000322B0000}"/>
    <cellStyle name="Millares 2 80 2 2 3 3 4 3" xfId="38623" xr:uid="{00000000-0005-0000-0000-0000332B0000}"/>
    <cellStyle name="Millares 2 80 2 2 3 3 5" xfId="18271" xr:uid="{00000000-0005-0000-0000-0000342B0000}"/>
    <cellStyle name="Millares 2 80 2 2 3 3 5 2" xfId="45404" xr:uid="{00000000-0005-0000-0000-0000352B0000}"/>
    <cellStyle name="Millares 2 80 2 2 3 3 6" xfId="31842" xr:uid="{00000000-0005-0000-0000-0000362B0000}"/>
    <cellStyle name="Millares 2 80 2 2 3 4" xfId="4476" xr:uid="{00000000-0005-0000-0000-0000372B0000}"/>
    <cellStyle name="Millares 2 80 2 2 3 4 2" xfId="8085" xr:uid="{00000000-0005-0000-0000-0000382B0000}"/>
    <cellStyle name="Millares 2 80 2 2 3 4 2 2" xfId="14875" xr:uid="{00000000-0005-0000-0000-0000392B0000}"/>
    <cellStyle name="Millares 2 80 2 2 3 4 2 2 2" xfId="28443" xr:uid="{00000000-0005-0000-0000-00003A2B0000}"/>
    <cellStyle name="Millares 2 80 2 2 3 4 2 2 2 2" xfId="55576" xr:uid="{00000000-0005-0000-0000-00003B2B0000}"/>
    <cellStyle name="Millares 2 80 2 2 3 4 2 2 3" xfId="42014" xr:uid="{00000000-0005-0000-0000-00003C2B0000}"/>
    <cellStyle name="Millares 2 80 2 2 3 4 2 3" xfId="21662" xr:uid="{00000000-0005-0000-0000-00003D2B0000}"/>
    <cellStyle name="Millares 2 80 2 2 3 4 2 3 2" xfId="48795" xr:uid="{00000000-0005-0000-0000-00003E2B0000}"/>
    <cellStyle name="Millares 2 80 2 2 3 4 2 4" xfId="35233" xr:uid="{00000000-0005-0000-0000-00003F2B0000}"/>
    <cellStyle name="Millares 2 80 2 2 3 4 3" xfId="11486" xr:uid="{00000000-0005-0000-0000-0000402B0000}"/>
    <cellStyle name="Millares 2 80 2 2 3 4 3 2" xfId="25054" xr:uid="{00000000-0005-0000-0000-0000412B0000}"/>
    <cellStyle name="Millares 2 80 2 2 3 4 3 2 2" xfId="52187" xr:uid="{00000000-0005-0000-0000-0000422B0000}"/>
    <cellStyle name="Millares 2 80 2 2 3 4 3 3" xfId="38625" xr:uid="{00000000-0005-0000-0000-0000432B0000}"/>
    <cellStyle name="Millares 2 80 2 2 3 4 4" xfId="18273" xr:uid="{00000000-0005-0000-0000-0000442B0000}"/>
    <cellStyle name="Millares 2 80 2 2 3 4 4 2" xfId="45406" xr:uid="{00000000-0005-0000-0000-0000452B0000}"/>
    <cellStyle name="Millares 2 80 2 2 3 4 5" xfId="31844" xr:uid="{00000000-0005-0000-0000-0000462B0000}"/>
    <cellStyle name="Millares 2 80 2 2 3 5" xfId="4477" xr:uid="{00000000-0005-0000-0000-0000472B0000}"/>
    <cellStyle name="Millares 2 80 2 2 3 5 2" xfId="8086" xr:uid="{00000000-0005-0000-0000-0000482B0000}"/>
    <cellStyle name="Millares 2 80 2 2 3 5 2 2" xfId="14876" xr:uid="{00000000-0005-0000-0000-0000492B0000}"/>
    <cellStyle name="Millares 2 80 2 2 3 5 2 2 2" xfId="28444" xr:uid="{00000000-0005-0000-0000-00004A2B0000}"/>
    <cellStyle name="Millares 2 80 2 2 3 5 2 2 2 2" xfId="55577" xr:uid="{00000000-0005-0000-0000-00004B2B0000}"/>
    <cellStyle name="Millares 2 80 2 2 3 5 2 2 3" xfId="42015" xr:uid="{00000000-0005-0000-0000-00004C2B0000}"/>
    <cellStyle name="Millares 2 80 2 2 3 5 2 3" xfId="21663" xr:uid="{00000000-0005-0000-0000-00004D2B0000}"/>
    <cellStyle name="Millares 2 80 2 2 3 5 2 3 2" xfId="48796" xr:uid="{00000000-0005-0000-0000-00004E2B0000}"/>
    <cellStyle name="Millares 2 80 2 2 3 5 2 4" xfId="35234" xr:uid="{00000000-0005-0000-0000-00004F2B0000}"/>
    <cellStyle name="Millares 2 80 2 2 3 5 3" xfId="11487" xr:uid="{00000000-0005-0000-0000-0000502B0000}"/>
    <cellStyle name="Millares 2 80 2 2 3 5 3 2" xfId="25055" xr:uid="{00000000-0005-0000-0000-0000512B0000}"/>
    <cellStyle name="Millares 2 80 2 2 3 5 3 2 2" xfId="52188" xr:uid="{00000000-0005-0000-0000-0000522B0000}"/>
    <cellStyle name="Millares 2 80 2 2 3 5 3 3" xfId="38626" xr:uid="{00000000-0005-0000-0000-0000532B0000}"/>
    <cellStyle name="Millares 2 80 2 2 3 5 4" xfId="18274" xr:uid="{00000000-0005-0000-0000-0000542B0000}"/>
    <cellStyle name="Millares 2 80 2 2 3 5 4 2" xfId="45407" xr:uid="{00000000-0005-0000-0000-0000552B0000}"/>
    <cellStyle name="Millares 2 80 2 2 3 5 5" xfId="31845" xr:uid="{00000000-0005-0000-0000-0000562B0000}"/>
    <cellStyle name="Millares 2 80 2 2 3 6" xfId="8079" xr:uid="{00000000-0005-0000-0000-0000572B0000}"/>
    <cellStyle name="Millares 2 80 2 2 3 6 2" xfId="14869" xr:uid="{00000000-0005-0000-0000-0000582B0000}"/>
    <cellStyle name="Millares 2 80 2 2 3 6 2 2" xfId="28437" xr:uid="{00000000-0005-0000-0000-0000592B0000}"/>
    <cellStyle name="Millares 2 80 2 2 3 6 2 2 2" xfId="55570" xr:uid="{00000000-0005-0000-0000-00005A2B0000}"/>
    <cellStyle name="Millares 2 80 2 2 3 6 2 3" xfId="42008" xr:uid="{00000000-0005-0000-0000-00005B2B0000}"/>
    <cellStyle name="Millares 2 80 2 2 3 6 3" xfId="21656" xr:uid="{00000000-0005-0000-0000-00005C2B0000}"/>
    <cellStyle name="Millares 2 80 2 2 3 6 3 2" xfId="48789" xr:uid="{00000000-0005-0000-0000-00005D2B0000}"/>
    <cellStyle name="Millares 2 80 2 2 3 6 4" xfId="35227" xr:uid="{00000000-0005-0000-0000-00005E2B0000}"/>
    <cellStyle name="Millares 2 80 2 2 3 7" xfId="11480" xr:uid="{00000000-0005-0000-0000-00005F2B0000}"/>
    <cellStyle name="Millares 2 80 2 2 3 7 2" xfId="25048" xr:uid="{00000000-0005-0000-0000-0000602B0000}"/>
    <cellStyle name="Millares 2 80 2 2 3 7 2 2" xfId="52181" xr:uid="{00000000-0005-0000-0000-0000612B0000}"/>
    <cellStyle name="Millares 2 80 2 2 3 7 3" xfId="38619" xr:uid="{00000000-0005-0000-0000-0000622B0000}"/>
    <cellStyle name="Millares 2 80 2 2 3 8" xfId="18267" xr:uid="{00000000-0005-0000-0000-0000632B0000}"/>
    <cellStyle name="Millares 2 80 2 2 3 8 2" xfId="45400" xr:uid="{00000000-0005-0000-0000-0000642B0000}"/>
    <cellStyle name="Millares 2 80 2 2 3 9" xfId="31838" xr:uid="{00000000-0005-0000-0000-0000652B0000}"/>
    <cellStyle name="Millares 2 80 2 2 4" xfId="4478" xr:uid="{00000000-0005-0000-0000-0000662B0000}"/>
    <cellStyle name="Millares 2 80 2 2 4 2" xfId="4479" xr:uid="{00000000-0005-0000-0000-0000672B0000}"/>
    <cellStyle name="Millares 2 80 2 2 4 2 2" xfId="4480" xr:uid="{00000000-0005-0000-0000-0000682B0000}"/>
    <cellStyle name="Millares 2 80 2 2 4 2 2 2" xfId="8089" xr:uid="{00000000-0005-0000-0000-0000692B0000}"/>
    <cellStyle name="Millares 2 80 2 2 4 2 2 2 2" xfId="14879" xr:uid="{00000000-0005-0000-0000-00006A2B0000}"/>
    <cellStyle name="Millares 2 80 2 2 4 2 2 2 2 2" xfId="28447" xr:uid="{00000000-0005-0000-0000-00006B2B0000}"/>
    <cellStyle name="Millares 2 80 2 2 4 2 2 2 2 2 2" xfId="55580" xr:uid="{00000000-0005-0000-0000-00006C2B0000}"/>
    <cellStyle name="Millares 2 80 2 2 4 2 2 2 2 3" xfId="42018" xr:uid="{00000000-0005-0000-0000-00006D2B0000}"/>
    <cellStyle name="Millares 2 80 2 2 4 2 2 2 3" xfId="21666" xr:uid="{00000000-0005-0000-0000-00006E2B0000}"/>
    <cellStyle name="Millares 2 80 2 2 4 2 2 2 3 2" xfId="48799" xr:uid="{00000000-0005-0000-0000-00006F2B0000}"/>
    <cellStyle name="Millares 2 80 2 2 4 2 2 2 4" xfId="35237" xr:uid="{00000000-0005-0000-0000-0000702B0000}"/>
    <cellStyle name="Millares 2 80 2 2 4 2 2 3" xfId="11490" xr:uid="{00000000-0005-0000-0000-0000712B0000}"/>
    <cellStyle name="Millares 2 80 2 2 4 2 2 3 2" xfId="25058" xr:uid="{00000000-0005-0000-0000-0000722B0000}"/>
    <cellStyle name="Millares 2 80 2 2 4 2 2 3 2 2" xfId="52191" xr:uid="{00000000-0005-0000-0000-0000732B0000}"/>
    <cellStyle name="Millares 2 80 2 2 4 2 2 3 3" xfId="38629" xr:uid="{00000000-0005-0000-0000-0000742B0000}"/>
    <cellStyle name="Millares 2 80 2 2 4 2 2 4" xfId="18277" xr:uid="{00000000-0005-0000-0000-0000752B0000}"/>
    <cellStyle name="Millares 2 80 2 2 4 2 2 4 2" xfId="45410" xr:uid="{00000000-0005-0000-0000-0000762B0000}"/>
    <cellStyle name="Millares 2 80 2 2 4 2 2 5" xfId="31848" xr:uid="{00000000-0005-0000-0000-0000772B0000}"/>
    <cellStyle name="Millares 2 80 2 2 4 2 3" xfId="4481" xr:uid="{00000000-0005-0000-0000-0000782B0000}"/>
    <cellStyle name="Millares 2 80 2 2 4 2 3 2" xfId="8090" xr:uid="{00000000-0005-0000-0000-0000792B0000}"/>
    <cellStyle name="Millares 2 80 2 2 4 2 3 2 2" xfId="14880" xr:uid="{00000000-0005-0000-0000-00007A2B0000}"/>
    <cellStyle name="Millares 2 80 2 2 4 2 3 2 2 2" xfId="28448" xr:uid="{00000000-0005-0000-0000-00007B2B0000}"/>
    <cellStyle name="Millares 2 80 2 2 4 2 3 2 2 2 2" xfId="55581" xr:uid="{00000000-0005-0000-0000-00007C2B0000}"/>
    <cellStyle name="Millares 2 80 2 2 4 2 3 2 2 3" xfId="42019" xr:uid="{00000000-0005-0000-0000-00007D2B0000}"/>
    <cellStyle name="Millares 2 80 2 2 4 2 3 2 3" xfId="21667" xr:uid="{00000000-0005-0000-0000-00007E2B0000}"/>
    <cellStyle name="Millares 2 80 2 2 4 2 3 2 3 2" xfId="48800" xr:uid="{00000000-0005-0000-0000-00007F2B0000}"/>
    <cellStyle name="Millares 2 80 2 2 4 2 3 2 4" xfId="35238" xr:uid="{00000000-0005-0000-0000-0000802B0000}"/>
    <cellStyle name="Millares 2 80 2 2 4 2 3 3" xfId="11491" xr:uid="{00000000-0005-0000-0000-0000812B0000}"/>
    <cellStyle name="Millares 2 80 2 2 4 2 3 3 2" xfId="25059" xr:uid="{00000000-0005-0000-0000-0000822B0000}"/>
    <cellStyle name="Millares 2 80 2 2 4 2 3 3 2 2" xfId="52192" xr:uid="{00000000-0005-0000-0000-0000832B0000}"/>
    <cellStyle name="Millares 2 80 2 2 4 2 3 3 3" xfId="38630" xr:uid="{00000000-0005-0000-0000-0000842B0000}"/>
    <cellStyle name="Millares 2 80 2 2 4 2 3 4" xfId="18278" xr:uid="{00000000-0005-0000-0000-0000852B0000}"/>
    <cellStyle name="Millares 2 80 2 2 4 2 3 4 2" xfId="45411" xr:uid="{00000000-0005-0000-0000-0000862B0000}"/>
    <cellStyle name="Millares 2 80 2 2 4 2 3 5" xfId="31849" xr:uid="{00000000-0005-0000-0000-0000872B0000}"/>
    <cellStyle name="Millares 2 80 2 2 4 2 4" xfId="8088" xr:uid="{00000000-0005-0000-0000-0000882B0000}"/>
    <cellStyle name="Millares 2 80 2 2 4 2 4 2" xfId="14878" xr:uid="{00000000-0005-0000-0000-0000892B0000}"/>
    <cellStyle name="Millares 2 80 2 2 4 2 4 2 2" xfId="28446" xr:uid="{00000000-0005-0000-0000-00008A2B0000}"/>
    <cellStyle name="Millares 2 80 2 2 4 2 4 2 2 2" xfId="55579" xr:uid="{00000000-0005-0000-0000-00008B2B0000}"/>
    <cellStyle name="Millares 2 80 2 2 4 2 4 2 3" xfId="42017" xr:uid="{00000000-0005-0000-0000-00008C2B0000}"/>
    <cellStyle name="Millares 2 80 2 2 4 2 4 3" xfId="21665" xr:uid="{00000000-0005-0000-0000-00008D2B0000}"/>
    <cellStyle name="Millares 2 80 2 2 4 2 4 3 2" xfId="48798" xr:uid="{00000000-0005-0000-0000-00008E2B0000}"/>
    <cellStyle name="Millares 2 80 2 2 4 2 4 4" xfId="35236" xr:uid="{00000000-0005-0000-0000-00008F2B0000}"/>
    <cellStyle name="Millares 2 80 2 2 4 2 5" xfId="11489" xr:uid="{00000000-0005-0000-0000-0000902B0000}"/>
    <cellStyle name="Millares 2 80 2 2 4 2 5 2" xfId="25057" xr:uid="{00000000-0005-0000-0000-0000912B0000}"/>
    <cellStyle name="Millares 2 80 2 2 4 2 5 2 2" xfId="52190" xr:uid="{00000000-0005-0000-0000-0000922B0000}"/>
    <cellStyle name="Millares 2 80 2 2 4 2 5 3" xfId="38628" xr:uid="{00000000-0005-0000-0000-0000932B0000}"/>
    <cellStyle name="Millares 2 80 2 2 4 2 6" xfId="18276" xr:uid="{00000000-0005-0000-0000-0000942B0000}"/>
    <cellStyle name="Millares 2 80 2 2 4 2 6 2" xfId="45409" xr:uid="{00000000-0005-0000-0000-0000952B0000}"/>
    <cellStyle name="Millares 2 80 2 2 4 2 7" xfId="31847" xr:uid="{00000000-0005-0000-0000-0000962B0000}"/>
    <cellStyle name="Millares 2 80 2 2 4 3" xfId="4482" xr:uid="{00000000-0005-0000-0000-0000972B0000}"/>
    <cellStyle name="Millares 2 80 2 2 4 3 2" xfId="8091" xr:uid="{00000000-0005-0000-0000-0000982B0000}"/>
    <cellStyle name="Millares 2 80 2 2 4 3 2 2" xfId="14881" xr:uid="{00000000-0005-0000-0000-0000992B0000}"/>
    <cellStyle name="Millares 2 80 2 2 4 3 2 2 2" xfId="28449" xr:uid="{00000000-0005-0000-0000-00009A2B0000}"/>
    <cellStyle name="Millares 2 80 2 2 4 3 2 2 2 2" xfId="55582" xr:uid="{00000000-0005-0000-0000-00009B2B0000}"/>
    <cellStyle name="Millares 2 80 2 2 4 3 2 2 3" xfId="42020" xr:uid="{00000000-0005-0000-0000-00009C2B0000}"/>
    <cellStyle name="Millares 2 80 2 2 4 3 2 3" xfId="21668" xr:uid="{00000000-0005-0000-0000-00009D2B0000}"/>
    <cellStyle name="Millares 2 80 2 2 4 3 2 3 2" xfId="48801" xr:uid="{00000000-0005-0000-0000-00009E2B0000}"/>
    <cellStyle name="Millares 2 80 2 2 4 3 2 4" xfId="35239" xr:uid="{00000000-0005-0000-0000-00009F2B0000}"/>
    <cellStyle name="Millares 2 80 2 2 4 3 3" xfId="11492" xr:uid="{00000000-0005-0000-0000-0000A02B0000}"/>
    <cellStyle name="Millares 2 80 2 2 4 3 3 2" xfId="25060" xr:uid="{00000000-0005-0000-0000-0000A12B0000}"/>
    <cellStyle name="Millares 2 80 2 2 4 3 3 2 2" xfId="52193" xr:uid="{00000000-0005-0000-0000-0000A22B0000}"/>
    <cellStyle name="Millares 2 80 2 2 4 3 3 3" xfId="38631" xr:uid="{00000000-0005-0000-0000-0000A32B0000}"/>
    <cellStyle name="Millares 2 80 2 2 4 3 4" xfId="18279" xr:uid="{00000000-0005-0000-0000-0000A42B0000}"/>
    <cellStyle name="Millares 2 80 2 2 4 3 4 2" xfId="45412" xr:uid="{00000000-0005-0000-0000-0000A52B0000}"/>
    <cellStyle name="Millares 2 80 2 2 4 3 5" xfId="31850" xr:uid="{00000000-0005-0000-0000-0000A62B0000}"/>
    <cellStyle name="Millares 2 80 2 2 4 4" xfId="4483" xr:uid="{00000000-0005-0000-0000-0000A72B0000}"/>
    <cellStyle name="Millares 2 80 2 2 4 4 2" xfId="8092" xr:uid="{00000000-0005-0000-0000-0000A82B0000}"/>
    <cellStyle name="Millares 2 80 2 2 4 4 2 2" xfId="14882" xr:uid="{00000000-0005-0000-0000-0000A92B0000}"/>
    <cellStyle name="Millares 2 80 2 2 4 4 2 2 2" xfId="28450" xr:uid="{00000000-0005-0000-0000-0000AA2B0000}"/>
    <cellStyle name="Millares 2 80 2 2 4 4 2 2 2 2" xfId="55583" xr:uid="{00000000-0005-0000-0000-0000AB2B0000}"/>
    <cellStyle name="Millares 2 80 2 2 4 4 2 2 3" xfId="42021" xr:uid="{00000000-0005-0000-0000-0000AC2B0000}"/>
    <cellStyle name="Millares 2 80 2 2 4 4 2 3" xfId="21669" xr:uid="{00000000-0005-0000-0000-0000AD2B0000}"/>
    <cellStyle name="Millares 2 80 2 2 4 4 2 3 2" xfId="48802" xr:uid="{00000000-0005-0000-0000-0000AE2B0000}"/>
    <cellStyle name="Millares 2 80 2 2 4 4 2 4" xfId="35240" xr:uid="{00000000-0005-0000-0000-0000AF2B0000}"/>
    <cellStyle name="Millares 2 80 2 2 4 4 3" xfId="11493" xr:uid="{00000000-0005-0000-0000-0000B02B0000}"/>
    <cellStyle name="Millares 2 80 2 2 4 4 3 2" xfId="25061" xr:uid="{00000000-0005-0000-0000-0000B12B0000}"/>
    <cellStyle name="Millares 2 80 2 2 4 4 3 2 2" xfId="52194" xr:uid="{00000000-0005-0000-0000-0000B22B0000}"/>
    <cellStyle name="Millares 2 80 2 2 4 4 3 3" xfId="38632" xr:uid="{00000000-0005-0000-0000-0000B32B0000}"/>
    <cellStyle name="Millares 2 80 2 2 4 4 4" xfId="18280" xr:uid="{00000000-0005-0000-0000-0000B42B0000}"/>
    <cellStyle name="Millares 2 80 2 2 4 4 4 2" xfId="45413" xr:uid="{00000000-0005-0000-0000-0000B52B0000}"/>
    <cellStyle name="Millares 2 80 2 2 4 4 5" xfId="31851" xr:uid="{00000000-0005-0000-0000-0000B62B0000}"/>
    <cellStyle name="Millares 2 80 2 2 4 5" xfId="8087" xr:uid="{00000000-0005-0000-0000-0000B72B0000}"/>
    <cellStyle name="Millares 2 80 2 2 4 5 2" xfId="14877" xr:uid="{00000000-0005-0000-0000-0000B82B0000}"/>
    <cellStyle name="Millares 2 80 2 2 4 5 2 2" xfId="28445" xr:uid="{00000000-0005-0000-0000-0000B92B0000}"/>
    <cellStyle name="Millares 2 80 2 2 4 5 2 2 2" xfId="55578" xr:uid="{00000000-0005-0000-0000-0000BA2B0000}"/>
    <cellStyle name="Millares 2 80 2 2 4 5 2 3" xfId="42016" xr:uid="{00000000-0005-0000-0000-0000BB2B0000}"/>
    <cellStyle name="Millares 2 80 2 2 4 5 3" xfId="21664" xr:uid="{00000000-0005-0000-0000-0000BC2B0000}"/>
    <cellStyle name="Millares 2 80 2 2 4 5 3 2" xfId="48797" xr:uid="{00000000-0005-0000-0000-0000BD2B0000}"/>
    <cellStyle name="Millares 2 80 2 2 4 5 4" xfId="35235" xr:uid="{00000000-0005-0000-0000-0000BE2B0000}"/>
    <cellStyle name="Millares 2 80 2 2 4 6" xfId="11488" xr:uid="{00000000-0005-0000-0000-0000BF2B0000}"/>
    <cellStyle name="Millares 2 80 2 2 4 6 2" xfId="25056" xr:uid="{00000000-0005-0000-0000-0000C02B0000}"/>
    <cellStyle name="Millares 2 80 2 2 4 6 2 2" xfId="52189" xr:uid="{00000000-0005-0000-0000-0000C12B0000}"/>
    <cellStyle name="Millares 2 80 2 2 4 6 3" xfId="38627" xr:uid="{00000000-0005-0000-0000-0000C22B0000}"/>
    <cellStyle name="Millares 2 80 2 2 4 7" xfId="18275" xr:uid="{00000000-0005-0000-0000-0000C32B0000}"/>
    <cellStyle name="Millares 2 80 2 2 4 7 2" xfId="45408" xr:uid="{00000000-0005-0000-0000-0000C42B0000}"/>
    <cellStyle name="Millares 2 80 2 2 4 8" xfId="31846" xr:uid="{00000000-0005-0000-0000-0000C52B0000}"/>
    <cellStyle name="Millares 2 80 2 2 5" xfId="4484" xr:uid="{00000000-0005-0000-0000-0000C62B0000}"/>
    <cellStyle name="Millares 2 80 2 2 5 2" xfId="4485" xr:uid="{00000000-0005-0000-0000-0000C72B0000}"/>
    <cellStyle name="Millares 2 80 2 2 5 2 2" xfId="8094" xr:uid="{00000000-0005-0000-0000-0000C82B0000}"/>
    <cellStyle name="Millares 2 80 2 2 5 2 2 2" xfId="14884" xr:uid="{00000000-0005-0000-0000-0000C92B0000}"/>
    <cellStyle name="Millares 2 80 2 2 5 2 2 2 2" xfId="28452" xr:uid="{00000000-0005-0000-0000-0000CA2B0000}"/>
    <cellStyle name="Millares 2 80 2 2 5 2 2 2 2 2" xfId="55585" xr:uid="{00000000-0005-0000-0000-0000CB2B0000}"/>
    <cellStyle name="Millares 2 80 2 2 5 2 2 2 3" xfId="42023" xr:uid="{00000000-0005-0000-0000-0000CC2B0000}"/>
    <cellStyle name="Millares 2 80 2 2 5 2 2 3" xfId="21671" xr:uid="{00000000-0005-0000-0000-0000CD2B0000}"/>
    <cellStyle name="Millares 2 80 2 2 5 2 2 3 2" xfId="48804" xr:uid="{00000000-0005-0000-0000-0000CE2B0000}"/>
    <cellStyle name="Millares 2 80 2 2 5 2 2 4" xfId="35242" xr:uid="{00000000-0005-0000-0000-0000CF2B0000}"/>
    <cellStyle name="Millares 2 80 2 2 5 2 3" xfId="11495" xr:uid="{00000000-0005-0000-0000-0000D02B0000}"/>
    <cellStyle name="Millares 2 80 2 2 5 2 3 2" xfId="25063" xr:uid="{00000000-0005-0000-0000-0000D12B0000}"/>
    <cellStyle name="Millares 2 80 2 2 5 2 3 2 2" xfId="52196" xr:uid="{00000000-0005-0000-0000-0000D22B0000}"/>
    <cellStyle name="Millares 2 80 2 2 5 2 3 3" xfId="38634" xr:uid="{00000000-0005-0000-0000-0000D32B0000}"/>
    <cellStyle name="Millares 2 80 2 2 5 2 4" xfId="18282" xr:uid="{00000000-0005-0000-0000-0000D42B0000}"/>
    <cellStyle name="Millares 2 80 2 2 5 2 4 2" xfId="45415" xr:uid="{00000000-0005-0000-0000-0000D52B0000}"/>
    <cellStyle name="Millares 2 80 2 2 5 2 5" xfId="31853" xr:uid="{00000000-0005-0000-0000-0000D62B0000}"/>
    <cellStyle name="Millares 2 80 2 2 5 3" xfId="4486" xr:uid="{00000000-0005-0000-0000-0000D72B0000}"/>
    <cellStyle name="Millares 2 80 2 2 5 3 2" xfId="8095" xr:uid="{00000000-0005-0000-0000-0000D82B0000}"/>
    <cellStyle name="Millares 2 80 2 2 5 3 2 2" xfId="14885" xr:uid="{00000000-0005-0000-0000-0000D92B0000}"/>
    <cellStyle name="Millares 2 80 2 2 5 3 2 2 2" xfId="28453" xr:uid="{00000000-0005-0000-0000-0000DA2B0000}"/>
    <cellStyle name="Millares 2 80 2 2 5 3 2 2 2 2" xfId="55586" xr:uid="{00000000-0005-0000-0000-0000DB2B0000}"/>
    <cellStyle name="Millares 2 80 2 2 5 3 2 2 3" xfId="42024" xr:uid="{00000000-0005-0000-0000-0000DC2B0000}"/>
    <cellStyle name="Millares 2 80 2 2 5 3 2 3" xfId="21672" xr:uid="{00000000-0005-0000-0000-0000DD2B0000}"/>
    <cellStyle name="Millares 2 80 2 2 5 3 2 3 2" xfId="48805" xr:uid="{00000000-0005-0000-0000-0000DE2B0000}"/>
    <cellStyle name="Millares 2 80 2 2 5 3 2 4" xfId="35243" xr:uid="{00000000-0005-0000-0000-0000DF2B0000}"/>
    <cellStyle name="Millares 2 80 2 2 5 3 3" xfId="11496" xr:uid="{00000000-0005-0000-0000-0000E02B0000}"/>
    <cellStyle name="Millares 2 80 2 2 5 3 3 2" xfId="25064" xr:uid="{00000000-0005-0000-0000-0000E12B0000}"/>
    <cellStyle name="Millares 2 80 2 2 5 3 3 2 2" xfId="52197" xr:uid="{00000000-0005-0000-0000-0000E22B0000}"/>
    <cellStyle name="Millares 2 80 2 2 5 3 3 3" xfId="38635" xr:uid="{00000000-0005-0000-0000-0000E32B0000}"/>
    <cellStyle name="Millares 2 80 2 2 5 3 4" xfId="18283" xr:uid="{00000000-0005-0000-0000-0000E42B0000}"/>
    <cellStyle name="Millares 2 80 2 2 5 3 4 2" xfId="45416" xr:uid="{00000000-0005-0000-0000-0000E52B0000}"/>
    <cellStyle name="Millares 2 80 2 2 5 3 5" xfId="31854" xr:uid="{00000000-0005-0000-0000-0000E62B0000}"/>
    <cellStyle name="Millares 2 80 2 2 5 4" xfId="8093" xr:uid="{00000000-0005-0000-0000-0000E72B0000}"/>
    <cellStyle name="Millares 2 80 2 2 5 4 2" xfId="14883" xr:uid="{00000000-0005-0000-0000-0000E82B0000}"/>
    <cellStyle name="Millares 2 80 2 2 5 4 2 2" xfId="28451" xr:uid="{00000000-0005-0000-0000-0000E92B0000}"/>
    <cellStyle name="Millares 2 80 2 2 5 4 2 2 2" xfId="55584" xr:uid="{00000000-0005-0000-0000-0000EA2B0000}"/>
    <cellStyle name="Millares 2 80 2 2 5 4 2 3" xfId="42022" xr:uid="{00000000-0005-0000-0000-0000EB2B0000}"/>
    <cellStyle name="Millares 2 80 2 2 5 4 3" xfId="21670" xr:uid="{00000000-0005-0000-0000-0000EC2B0000}"/>
    <cellStyle name="Millares 2 80 2 2 5 4 3 2" xfId="48803" xr:uid="{00000000-0005-0000-0000-0000ED2B0000}"/>
    <cellStyle name="Millares 2 80 2 2 5 4 4" xfId="35241" xr:uid="{00000000-0005-0000-0000-0000EE2B0000}"/>
    <cellStyle name="Millares 2 80 2 2 5 5" xfId="11494" xr:uid="{00000000-0005-0000-0000-0000EF2B0000}"/>
    <cellStyle name="Millares 2 80 2 2 5 5 2" xfId="25062" xr:uid="{00000000-0005-0000-0000-0000F02B0000}"/>
    <cellStyle name="Millares 2 80 2 2 5 5 2 2" xfId="52195" xr:uid="{00000000-0005-0000-0000-0000F12B0000}"/>
    <cellStyle name="Millares 2 80 2 2 5 5 3" xfId="38633" xr:uid="{00000000-0005-0000-0000-0000F22B0000}"/>
    <cellStyle name="Millares 2 80 2 2 5 6" xfId="18281" xr:uid="{00000000-0005-0000-0000-0000F32B0000}"/>
    <cellStyle name="Millares 2 80 2 2 5 6 2" xfId="45414" xr:uid="{00000000-0005-0000-0000-0000F42B0000}"/>
    <cellStyle name="Millares 2 80 2 2 5 7" xfId="31852" xr:uid="{00000000-0005-0000-0000-0000F52B0000}"/>
    <cellStyle name="Millares 2 80 2 2 6" xfId="4487" xr:uid="{00000000-0005-0000-0000-0000F62B0000}"/>
    <cellStyle name="Millares 2 80 2 2 6 2" xfId="4488" xr:uid="{00000000-0005-0000-0000-0000F72B0000}"/>
    <cellStyle name="Millares 2 80 2 2 6 2 2" xfId="8097" xr:uid="{00000000-0005-0000-0000-0000F82B0000}"/>
    <cellStyle name="Millares 2 80 2 2 6 2 2 2" xfId="14887" xr:uid="{00000000-0005-0000-0000-0000F92B0000}"/>
    <cellStyle name="Millares 2 80 2 2 6 2 2 2 2" xfId="28455" xr:uid="{00000000-0005-0000-0000-0000FA2B0000}"/>
    <cellStyle name="Millares 2 80 2 2 6 2 2 2 2 2" xfId="55588" xr:uid="{00000000-0005-0000-0000-0000FB2B0000}"/>
    <cellStyle name="Millares 2 80 2 2 6 2 2 2 3" xfId="42026" xr:uid="{00000000-0005-0000-0000-0000FC2B0000}"/>
    <cellStyle name="Millares 2 80 2 2 6 2 2 3" xfId="21674" xr:uid="{00000000-0005-0000-0000-0000FD2B0000}"/>
    <cellStyle name="Millares 2 80 2 2 6 2 2 3 2" xfId="48807" xr:uid="{00000000-0005-0000-0000-0000FE2B0000}"/>
    <cellStyle name="Millares 2 80 2 2 6 2 2 4" xfId="35245" xr:uid="{00000000-0005-0000-0000-0000FF2B0000}"/>
    <cellStyle name="Millares 2 80 2 2 6 2 3" xfId="11498" xr:uid="{00000000-0005-0000-0000-0000002C0000}"/>
    <cellStyle name="Millares 2 80 2 2 6 2 3 2" xfId="25066" xr:uid="{00000000-0005-0000-0000-0000012C0000}"/>
    <cellStyle name="Millares 2 80 2 2 6 2 3 2 2" xfId="52199" xr:uid="{00000000-0005-0000-0000-0000022C0000}"/>
    <cellStyle name="Millares 2 80 2 2 6 2 3 3" xfId="38637" xr:uid="{00000000-0005-0000-0000-0000032C0000}"/>
    <cellStyle name="Millares 2 80 2 2 6 2 4" xfId="18285" xr:uid="{00000000-0005-0000-0000-0000042C0000}"/>
    <cellStyle name="Millares 2 80 2 2 6 2 4 2" xfId="45418" xr:uid="{00000000-0005-0000-0000-0000052C0000}"/>
    <cellStyle name="Millares 2 80 2 2 6 2 5" xfId="31856" xr:uid="{00000000-0005-0000-0000-0000062C0000}"/>
    <cellStyle name="Millares 2 80 2 2 6 3" xfId="4489" xr:uid="{00000000-0005-0000-0000-0000072C0000}"/>
    <cellStyle name="Millares 2 80 2 2 6 3 2" xfId="8098" xr:uid="{00000000-0005-0000-0000-0000082C0000}"/>
    <cellStyle name="Millares 2 80 2 2 6 3 2 2" xfId="14888" xr:uid="{00000000-0005-0000-0000-0000092C0000}"/>
    <cellStyle name="Millares 2 80 2 2 6 3 2 2 2" xfId="28456" xr:uid="{00000000-0005-0000-0000-00000A2C0000}"/>
    <cellStyle name="Millares 2 80 2 2 6 3 2 2 2 2" xfId="55589" xr:uid="{00000000-0005-0000-0000-00000B2C0000}"/>
    <cellStyle name="Millares 2 80 2 2 6 3 2 2 3" xfId="42027" xr:uid="{00000000-0005-0000-0000-00000C2C0000}"/>
    <cellStyle name="Millares 2 80 2 2 6 3 2 3" xfId="21675" xr:uid="{00000000-0005-0000-0000-00000D2C0000}"/>
    <cellStyle name="Millares 2 80 2 2 6 3 2 3 2" xfId="48808" xr:uid="{00000000-0005-0000-0000-00000E2C0000}"/>
    <cellStyle name="Millares 2 80 2 2 6 3 2 4" xfId="35246" xr:uid="{00000000-0005-0000-0000-00000F2C0000}"/>
    <cellStyle name="Millares 2 80 2 2 6 3 3" xfId="11499" xr:uid="{00000000-0005-0000-0000-0000102C0000}"/>
    <cellStyle name="Millares 2 80 2 2 6 3 3 2" xfId="25067" xr:uid="{00000000-0005-0000-0000-0000112C0000}"/>
    <cellStyle name="Millares 2 80 2 2 6 3 3 2 2" xfId="52200" xr:uid="{00000000-0005-0000-0000-0000122C0000}"/>
    <cellStyle name="Millares 2 80 2 2 6 3 3 3" xfId="38638" xr:uid="{00000000-0005-0000-0000-0000132C0000}"/>
    <cellStyle name="Millares 2 80 2 2 6 3 4" xfId="18286" xr:uid="{00000000-0005-0000-0000-0000142C0000}"/>
    <cellStyle name="Millares 2 80 2 2 6 3 4 2" xfId="45419" xr:uid="{00000000-0005-0000-0000-0000152C0000}"/>
    <cellStyle name="Millares 2 80 2 2 6 3 5" xfId="31857" xr:uid="{00000000-0005-0000-0000-0000162C0000}"/>
    <cellStyle name="Millares 2 80 2 2 6 4" xfId="8096" xr:uid="{00000000-0005-0000-0000-0000172C0000}"/>
    <cellStyle name="Millares 2 80 2 2 6 4 2" xfId="14886" xr:uid="{00000000-0005-0000-0000-0000182C0000}"/>
    <cellStyle name="Millares 2 80 2 2 6 4 2 2" xfId="28454" xr:uid="{00000000-0005-0000-0000-0000192C0000}"/>
    <cellStyle name="Millares 2 80 2 2 6 4 2 2 2" xfId="55587" xr:uid="{00000000-0005-0000-0000-00001A2C0000}"/>
    <cellStyle name="Millares 2 80 2 2 6 4 2 3" xfId="42025" xr:uid="{00000000-0005-0000-0000-00001B2C0000}"/>
    <cellStyle name="Millares 2 80 2 2 6 4 3" xfId="21673" xr:uid="{00000000-0005-0000-0000-00001C2C0000}"/>
    <cellStyle name="Millares 2 80 2 2 6 4 3 2" xfId="48806" xr:uid="{00000000-0005-0000-0000-00001D2C0000}"/>
    <cellStyle name="Millares 2 80 2 2 6 4 4" xfId="35244" xr:uid="{00000000-0005-0000-0000-00001E2C0000}"/>
    <cellStyle name="Millares 2 80 2 2 6 5" xfId="11497" xr:uid="{00000000-0005-0000-0000-00001F2C0000}"/>
    <cellStyle name="Millares 2 80 2 2 6 5 2" xfId="25065" xr:uid="{00000000-0005-0000-0000-0000202C0000}"/>
    <cellStyle name="Millares 2 80 2 2 6 5 2 2" xfId="52198" xr:uid="{00000000-0005-0000-0000-0000212C0000}"/>
    <cellStyle name="Millares 2 80 2 2 6 5 3" xfId="38636" xr:uid="{00000000-0005-0000-0000-0000222C0000}"/>
    <cellStyle name="Millares 2 80 2 2 6 6" xfId="18284" xr:uid="{00000000-0005-0000-0000-0000232C0000}"/>
    <cellStyle name="Millares 2 80 2 2 6 6 2" xfId="45417" xr:uid="{00000000-0005-0000-0000-0000242C0000}"/>
    <cellStyle name="Millares 2 80 2 2 6 7" xfId="31855" xr:uid="{00000000-0005-0000-0000-0000252C0000}"/>
    <cellStyle name="Millares 2 80 2 2 7" xfId="4490" xr:uid="{00000000-0005-0000-0000-0000262C0000}"/>
    <cellStyle name="Millares 2 80 2 2 7 2" xfId="8099" xr:uid="{00000000-0005-0000-0000-0000272C0000}"/>
    <cellStyle name="Millares 2 80 2 2 7 2 2" xfId="14889" xr:uid="{00000000-0005-0000-0000-0000282C0000}"/>
    <cellStyle name="Millares 2 80 2 2 7 2 2 2" xfId="28457" xr:uid="{00000000-0005-0000-0000-0000292C0000}"/>
    <cellStyle name="Millares 2 80 2 2 7 2 2 2 2" xfId="55590" xr:uid="{00000000-0005-0000-0000-00002A2C0000}"/>
    <cellStyle name="Millares 2 80 2 2 7 2 2 3" xfId="42028" xr:uid="{00000000-0005-0000-0000-00002B2C0000}"/>
    <cellStyle name="Millares 2 80 2 2 7 2 3" xfId="21676" xr:uid="{00000000-0005-0000-0000-00002C2C0000}"/>
    <cellStyle name="Millares 2 80 2 2 7 2 3 2" xfId="48809" xr:uid="{00000000-0005-0000-0000-00002D2C0000}"/>
    <cellStyle name="Millares 2 80 2 2 7 2 4" xfId="35247" xr:uid="{00000000-0005-0000-0000-00002E2C0000}"/>
    <cellStyle name="Millares 2 80 2 2 7 3" xfId="11500" xr:uid="{00000000-0005-0000-0000-00002F2C0000}"/>
    <cellStyle name="Millares 2 80 2 2 7 3 2" xfId="25068" xr:uid="{00000000-0005-0000-0000-0000302C0000}"/>
    <cellStyle name="Millares 2 80 2 2 7 3 2 2" xfId="52201" xr:uid="{00000000-0005-0000-0000-0000312C0000}"/>
    <cellStyle name="Millares 2 80 2 2 7 3 3" xfId="38639" xr:uid="{00000000-0005-0000-0000-0000322C0000}"/>
    <cellStyle name="Millares 2 80 2 2 7 4" xfId="18287" xr:uid="{00000000-0005-0000-0000-0000332C0000}"/>
    <cellStyle name="Millares 2 80 2 2 7 4 2" xfId="45420" xr:uid="{00000000-0005-0000-0000-0000342C0000}"/>
    <cellStyle name="Millares 2 80 2 2 7 5" xfId="31858" xr:uid="{00000000-0005-0000-0000-0000352C0000}"/>
    <cellStyle name="Millares 2 80 2 2 8" xfId="4491" xr:uid="{00000000-0005-0000-0000-0000362C0000}"/>
    <cellStyle name="Millares 2 80 2 2 8 2" xfId="8100" xr:uid="{00000000-0005-0000-0000-0000372C0000}"/>
    <cellStyle name="Millares 2 80 2 2 8 2 2" xfId="14890" xr:uid="{00000000-0005-0000-0000-0000382C0000}"/>
    <cellStyle name="Millares 2 80 2 2 8 2 2 2" xfId="28458" xr:uid="{00000000-0005-0000-0000-0000392C0000}"/>
    <cellStyle name="Millares 2 80 2 2 8 2 2 2 2" xfId="55591" xr:uid="{00000000-0005-0000-0000-00003A2C0000}"/>
    <cellStyle name="Millares 2 80 2 2 8 2 2 3" xfId="42029" xr:uid="{00000000-0005-0000-0000-00003B2C0000}"/>
    <cellStyle name="Millares 2 80 2 2 8 2 3" xfId="21677" xr:uid="{00000000-0005-0000-0000-00003C2C0000}"/>
    <cellStyle name="Millares 2 80 2 2 8 2 3 2" xfId="48810" xr:uid="{00000000-0005-0000-0000-00003D2C0000}"/>
    <cellStyle name="Millares 2 80 2 2 8 2 4" xfId="35248" xr:uid="{00000000-0005-0000-0000-00003E2C0000}"/>
    <cellStyle name="Millares 2 80 2 2 8 3" xfId="11501" xr:uid="{00000000-0005-0000-0000-00003F2C0000}"/>
    <cellStyle name="Millares 2 80 2 2 8 3 2" xfId="25069" xr:uid="{00000000-0005-0000-0000-0000402C0000}"/>
    <cellStyle name="Millares 2 80 2 2 8 3 2 2" xfId="52202" xr:uid="{00000000-0005-0000-0000-0000412C0000}"/>
    <cellStyle name="Millares 2 80 2 2 8 3 3" xfId="38640" xr:uid="{00000000-0005-0000-0000-0000422C0000}"/>
    <cellStyle name="Millares 2 80 2 2 8 4" xfId="18288" xr:uid="{00000000-0005-0000-0000-0000432C0000}"/>
    <cellStyle name="Millares 2 80 2 2 8 4 2" xfId="45421" xr:uid="{00000000-0005-0000-0000-0000442C0000}"/>
    <cellStyle name="Millares 2 80 2 2 8 5" xfId="31859" xr:uid="{00000000-0005-0000-0000-0000452C0000}"/>
    <cellStyle name="Millares 2 80 2 2 9" xfId="8062" xr:uid="{00000000-0005-0000-0000-0000462C0000}"/>
    <cellStyle name="Millares 2 80 2 2 9 2" xfId="14852" xr:uid="{00000000-0005-0000-0000-0000472C0000}"/>
    <cellStyle name="Millares 2 80 2 2 9 2 2" xfId="28420" xr:uid="{00000000-0005-0000-0000-0000482C0000}"/>
    <cellStyle name="Millares 2 80 2 2 9 2 2 2" xfId="55553" xr:uid="{00000000-0005-0000-0000-0000492C0000}"/>
    <cellStyle name="Millares 2 80 2 2 9 2 3" xfId="41991" xr:uid="{00000000-0005-0000-0000-00004A2C0000}"/>
    <cellStyle name="Millares 2 80 2 2 9 3" xfId="21639" xr:uid="{00000000-0005-0000-0000-00004B2C0000}"/>
    <cellStyle name="Millares 2 80 2 2 9 3 2" xfId="48772" xr:uid="{00000000-0005-0000-0000-00004C2C0000}"/>
    <cellStyle name="Millares 2 80 2 2 9 4" xfId="35210" xr:uid="{00000000-0005-0000-0000-00004D2C0000}"/>
    <cellStyle name="Millares 2 80 2 3" xfId="4492" xr:uid="{00000000-0005-0000-0000-00004E2C0000}"/>
    <cellStyle name="Millares 2 80 2 3 10" xfId="31860" xr:uid="{00000000-0005-0000-0000-00004F2C0000}"/>
    <cellStyle name="Millares 2 80 2 3 2" xfId="4493" xr:uid="{00000000-0005-0000-0000-0000502C0000}"/>
    <cellStyle name="Millares 2 80 2 3 2 2" xfId="4494" xr:uid="{00000000-0005-0000-0000-0000512C0000}"/>
    <cellStyle name="Millares 2 80 2 3 2 2 2" xfId="4495" xr:uid="{00000000-0005-0000-0000-0000522C0000}"/>
    <cellStyle name="Millares 2 80 2 3 2 2 2 2" xfId="8104" xr:uid="{00000000-0005-0000-0000-0000532C0000}"/>
    <cellStyle name="Millares 2 80 2 3 2 2 2 2 2" xfId="14894" xr:uid="{00000000-0005-0000-0000-0000542C0000}"/>
    <cellStyle name="Millares 2 80 2 3 2 2 2 2 2 2" xfId="28462" xr:uid="{00000000-0005-0000-0000-0000552C0000}"/>
    <cellStyle name="Millares 2 80 2 3 2 2 2 2 2 2 2" xfId="55595" xr:uid="{00000000-0005-0000-0000-0000562C0000}"/>
    <cellStyle name="Millares 2 80 2 3 2 2 2 2 2 3" xfId="42033" xr:uid="{00000000-0005-0000-0000-0000572C0000}"/>
    <cellStyle name="Millares 2 80 2 3 2 2 2 2 3" xfId="21681" xr:uid="{00000000-0005-0000-0000-0000582C0000}"/>
    <cellStyle name="Millares 2 80 2 3 2 2 2 2 3 2" xfId="48814" xr:uid="{00000000-0005-0000-0000-0000592C0000}"/>
    <cellStyle name="Millares 2 80 2 3 2 2 2 2 4" xfId="35252" xr:uid="{00000000-0005-0000-0000-00005A2C0000}"/>
    <cellStyle name="Millares 2 80 2 3 2 2 2 3" xfId="11505" xr:uid="{00000000-0005-0000-0000-00005B2C0000}"/>
    <cellStyle name="Millares 2 80 2 3 2 2 2 3 2" xfId="25073" xr:uid="{00000000-0005-0000-0000-00005C2C0000}"/>
    <cellStyle name="Millares 2 80 2 3 2 2 2 3 2 2" xfId="52206" xr:uid="{00000000-0005-0000-0000-00005D2C0000}"/>
    <cellStyle name="Millares 2 80 2 3 2 2 2 3 3" xfId="38644" xr:uid="{00000000-0005-0000-0000-00005E2C0000}"/>
    <cellStyle name="Millares 2 80 2 3 2 2 2 4" xfId="18292" xr:uid="{00000000-0005-0000-0000-00005F2C0000}"/>
    <cellStyle name="Millares 2 80 2 3 2 2 2 4 2" xfId="45425" xr:uid="{00000000-0005-0000-0000-0000602C0000}"/>
    <cellStyle name="Millares 2 80 2 3 2 2 2 5" xfId="31863" xr:uid="{00000000-0005-0000-0000-0000612C0000}"/>
    <cellStyle name="Millares 2 80 2 3 2 2 3" xfId="4496" xr:uid="{00000000-0005-0000-0000-0000622C0000}"/>
    <cellStyle name="Millares 2 80 2 3 2 2 3 2" xfId="8105" xr:uid="{00000000-0005-0000-0000-0000632C0000}"/>
    <cellStyle name="Millares 2 80 2 3 2 2 3 2 2" xfId="14895" xr:uid="{00000000-0005-0000-0000-0000642C0000}"/>
    <cellStyle name="Millares 2 80 2 3 2 2 3 2 2 2" xfId="28463" xr:uid="{00000000-0005-0000-0000-0000652C0000}"/>
    <cellStyle name="Millares 2 80 2 3 2 2 3 2 2 2 2" xfId="55596" xr:uid="{00000000-0005-0000-0000-0000662C0000}"/>
    <cellStyle name="Millares 2 80 2 3 2 2 3 2 2 3" xfId="42034" xr:uid="{00000000-0005-0000-0000-0000672C0000}"/>
    <cellStyle name="Millares 2 80 2 3 2 2 3 2 3" xfId="21682" xr:uid="{00000000-0005-0000-0000-0000682C0000}"/>
    <cellStyle name="Millares 2 80 2 3 2 2 3 2 3 2" xfId="48815" xr:uid="{00000000-0005-0000-0000-0000692C0000}"/>
    <cellStyle name="Millares 2 80 2 3 2 2 3 2 4" xfId="35253" xr:uid="{00000000-0005-0000-0000-00006A2C0000}"/>
    <cellStyle name="Millares 2 80 2 3 2 2 3 3" xfId="11506" xr:uid="{00000000-0005-0000-0000-00006B2C0000}"/>
    <cellStyle name="Millares 2 80 2 3 2 2 3 3 2" xfId="25074" xr:uid="{00000000-0005-0000-0000-00006C2C0000}"/>
    <cellStyle name="Millares 2 80 2 3 2 2 3 3 2 2" xfId="52207" xr:uid="{00000000-0005-0000-0000-00006D2C0000}"/>
    <cellStyle name="Millares 2 80 2 3 2 2 3 3 3" xfId="38645" xr:uid="{00000000-0005-0000-0000-00006E2C0000}"/>
    <cellStyle name="Millares 2 80 2 3 2 2 3 4" xfId="18293" xr:uid="{00000000-0005-0000-0000-00006F2C0000}"/>
    <cellStyle name="Millares 2 80 2 3 2 2 3 4 2" xfId="45426" xr:uid="{00000000-0005-0000-0000-0000702C0000}"/>
    <cellStyle name="Millares 2 80 2 3 2 2 3 5" xfId="31864" xr:uid="{00000000-0005-0000-0000-0000712C0000}"/>
    <cellStyle name="Millares 2 80 2 3 2 2 4" xfId="8103" xr:uid="{00000000-0005-0000-0000-0000722C0000}"/>
    <cellStyle name="Millares 2 80 2 3 2 2 4 2" xfId="14893" xr:uid="{00000000-0005-0000-0000-0000732C0000}"/>
    <cellStyle name="Millares 2 80 2 3 2 2 4 2 2" xfId="28461" xr:uid="{00000000-0005-0000-0000-0000742C0000}"/>
    <cellStyle name="Millares 2 80 2 3 2 2 4 2 2 2" xfId="55594" xr:uid="{00000000-0005-0000-0000-0000752C0000}"/>
    <cellStyle name="Millares 2 80 2 3 2 2 4 2 3" xfId="42032" xr:uid="{00000000-0005-0000-0000-0000762C0000}"/>
    <cellStyle name="Millares 2 80 2 3 2 2 4 3" xfId="21680" xr:uid="{00000000-0005-0000-0000-0000772C0000}"/>
    <cellStyle name="Millares 2 80 2 3 2 2 4 3 2" xfId="48813" xr:uid="{00000000-0005-0000-0000-0000782C0000}"/>
    <cellStyle name="Millares 2 80 2 3 2 2 4 4" xfId="35251" xr:uid="{00000000-0005-0000-0000-0000792C0000}"/>
    <cellStyle name="Millares 2 80 2 3 2 2 5" xfId="11504" xr:uid="{00000000-0005-0000-0000-00007A2C0000}"/>
    <cellStyle name="Millares 2 80 2 3 2 2 5 2" xfId="25072" xr:uid="{00000000-0005-0000-0000-00007B2C0000}"/>
    <cellStyle name="Millares 2 80 2 3 2 2 5 2 2" xfId="52205" xr:uid="{00000000-0005-0000-0000-00007C2C0000}"/>
    <cellStyle name="Millares 2 80 2 3 2 2 5 3" xfId="38643" xr:uid="{00000000-0005-0000-0000-00007D2C0000}"/>
    <cellStyle name="Millares 2 80 2 3 2 2 6" xfId="18291" xr:uid="{00000000-0005-0000-0000-00007E2C0000}"/>
    <cellStyle name="Millares 2 80 2 3 2 2 6 2" xfId="45424" xr:uid="{00000000-0005-0000-0000-00007F2C0000}"/>
    <cellStyle name="Millares 2 80 2 3 2 2 7" xfId="31862" xr:uid="{00000000-0005-0000-0000-0000802C0000}"/>
    <cellStyle name="Millares 2 80 2 3 2 3" xfId="4497" xr:uid="{00000000-0005-0000-0000-0000812C0000}"/>
    <cellStyle name="Millares 2 80 2 3 2 3 2" xfId="4498" xr:uid="{00000000-0005-0000-0000-0000822C0000}"/>
    <cellStyle name="Millares 2 80 2 3 2 3 2 2" xfId="8107" xr:uid="{00000000-0005-0000-0000-0000832C0000}"/>
    <cellStyle name="Millares 2 80 2 3 2 3 2 2 2" xfId="14897" xr:uid="{00000000-0005-0000-0000-0000842C0000}"/>
    <cellStyle name="Millares 2 80 2 3 2 3 2 2 2 2" xfId="28465" xr:uid="{00000000-0005-0000-0000-0000852C0000}"/>
    <cellStyle name="Millares 2 80 2 3 2 3 2 2 2 2 2" xfId="55598" xr:uid="{00000000-0005-0000-0000-0000862C0000}"/>
    <cellStyle name="Millares 2 80 2 3 2 3 2 2 2 3" xfId="42036" xr:uid="{00000000-0005-0000-0000-0000872C0000}"/>
    <cellStyle name="Millares 2 80 2 3 2 3 2 2 3" xfId="21684" xr:uid="{00000000-0005-0000-0000-0000882C0000}"/>
    <cellStyle name="Millares 2 80 2 3 2 3 2 2 3 2" xfId="48817" xr:uid="{00000000-0005-0000-0000-0000892C0000}"/>
    <cellStyle name="Millares 2 80 2 3 2 3 2 2 4" xfId="35255" xr:uid="{00000000-0005-0000-0000-00008A2C0000}"/>
    <cellStyle name="Millares 2 80 2 3 2 3 2 3" xfId="11508" xr:uid="{00000000-0005-0000-0000-00008B2C0000}"/>
    <cellStyle name="Millares 2 80 2 3 2 3 2 3 2" xfId="25076" xr:uid="{00000000-0005-0000-0000-00008C2C0000}"/>
    <cellStyle name="Millares 2 80 2 3 2 3 2 3 2 2" xfId="52209" xr:uid="{00000000-0005-0000-0000-00008D2C0000}"/>
    <cellStyle name="Millares 2 80 2 3 2 3 2 3 3" xfId="38647" xr:uid="{00000000-0005-0000-0000-00008E2C0000}"/>
    <cellStyle name="Millares 2 80 2 3 2 3 2 4" xfId="18295" xr:uid="{00000000-0005-0000-0000-00008F2C0000}"/>
    <cellStyle name="Millares 2 80 2 3 2 3 2 4 2" xfId="45428" xr:uid="{00000000-0005-0000-0000-0000902C0000}"/>
    <cellStyle name="Millares 2 80 2 3 2 3 2 5" xfId="31866" xr:uid="{00000000-0005-0000-0000-0000912C0000}"/>
    <cellStyle name="Millares 2 80 2 3 2 3 3" xfId="8106" xr:uid="{00000000-0005-0000-0000-0000922C0000}"/>
    <cellStyle name="Millares 2 80 2 3 2 3 3 2" xfId="14896" xr:uid="{00000000-0005-0000-0000-0000932C0000}"/>
    <cellStyle name="Millares 2 80 2 3 2 3 3 2 2" xfId="28464" xr:uid="{00000000-0005-0000-0000-0000942C0000}"/>
    <cellStyle name="Millares 2 80 2 3 2 3 3 2 2 2" xfId="55597" xr:uid="{00000000-0005-0000-0000-0000952C0000}"/>
    <cellStyle name="Millares 2 80 2 3 2 3 3 2 3" xfId="42035" xr:uid="{00000000-0005-0000-0000-0000962C0000}"/>
    <cellStyle name="Millares 2 80 2 3 2 3 3 3" xfId="21683" xr:uid="{00000000-0005-0000-0000-0000972C0000}"/>
    <cellStyle name="Millares 2 80 2 3 2 3 3 3 2" xfId="48816" xr:uid="{00000000-0005-0000-0000-0000982C0000}"/>
    <cellStyle name="Millares 2 80 2 3 2 3 3 4" xfId="35254" xr:uid="{00000000-0005-0000-0000-0000992C0000}"/>
    <cellStyle name="Millares 2 80 2 3 2 3 4" xfId="11507" xr:uid="{00000000-0005-0000-0000-00009A2C0000}"/>
    <cellStyle name="Millares 2 80 2 3 2 3 4 2" xfId="25075" xr:uid="{00000000-0005-0000-0000-00009B2C0000}"/>
    <cellStyle name="Millares 2 80 2 3 2 3 4 2 2" xfId="52208" xr:uid="{00000000-0005-0000-0000-00009C2C0000}"/>
    <cellStyle name="Millares 2 80 2 3 2 3 4 3" xfId="38646" xr:uid="{00000000-0005-0000-0000-00009D2C0000}"/>
    <cellStyle name="Millares 2 80 2 3 2 3 5" xfId="18294" xr:uid="{00000000-0005-0000-0000-00009E2C0000}"/>
    <cellStyle name="Millares 2 80 2 3 2 3 5 2" xfId="45427" xr:uid="{00000000-0005-0000-0000-00009F2C0000}"/>
    <cellStyle name="Millares 2 80 2 3 2 3 6" xfId="31865" xr:uid="{00000000-0005-0000-0000-0000A02C0000}"/>
    <cellStyle name="Millares 2 80 2 3 2 4" xfId="4499" xr:uid="{00000000-0005-0000-0000-0000A12C0000}"/>
    <cellStyle name="Millares 2 80 2 3 2 4 2" xfId="8108" xr:uid="{00000000-0005-0000-0000-0000A22C0000}"/>
    <cellStyle name="Millares 2 80 2 3 2 4 2 2" xfId="14898" xr:uid="{00000000-0005-0000-0000-0000A32C0000}"/>
    <cellStyle name="Millares 2 80 2 3 2 4 2 2 2" xfId="28466" xr:uid="{00000000-0005-0000-0000-0000A42C0000}"/>
    <cellStyle name="Millares 2 80 2 3 2 4 2 2 2 2" xfId="55599" xr:uid="{00000000-0005-0000-0000-0000A52C0000}"/>
    <cellStyle name="Millares 2 80 2 3 2 4 2 2 3" xfId="42037" xr:uid="{00000000-0005-0000-0000-0000A62C0000}"/>
    <cellStyle name="Millares 2 80 2 3 2 4 2 3" xfId="21685" xr:uid="{00000000-0005-0000-0000-0000A72C0000}"/>
    <cellStyle name="Millares 2 80 2 3 2 4 2 3 2" xfId="48818" xr:uid="{00000000-0005-0000-0000-0000A82C0000}"/>
    <cellStyle name="Millares 2 80 2 3 2 4 2 4" xfId="35256" xr:uid="{00000000-0005-0000-0000-0000A92C0000}"/>
    <cellStyle name="Millares 2 80 2 3 2 4 3" xfId="11509" xr:uid="{00000000-0005-0000-0000-0000AA2C0000}"/>
    <cellStyle name="Millares 2 80 2 3 2 4 3 2" xfId="25077" xr:uid="{00000000-0005-0000-0000-0000AB2C0000}"/>
    <cellStyle name="Millares 2 80 2 3 2 4 3 2 2" xfId="52210" xr:uid="{00000000-0005-0000-0000-0000AC2C0000}"/>
    <cellStyle name="Millares 2 80 2 3 2 4 3 3" xfId="38648" xr:uid="{00000000-0005-0000-0000-0000AD2C0000}"/>
    <cellStyle name="Millares 2 80 2 3 2 4 4" xfId="18296" xr:uid="{00000000-0005-0000-0000-0000AE2C0000}"/>
    <cellStyle name="Millares 2 80 2 3 2 4 4 2" xfId="45429" xr:uid="{00000000-0005-0000-0000-0000AF2C0000}"/>
    <cellStyle name="Millares 2 80 2 3 2 4 5" xfId="31867" xr:uid="{00000000-0005-0000-0000-0000B02C0000}"/>
    <cellStyle name="Millares 2 80 2 3 2 5" xfId="4500" xr:uid="{00000000-0005-0000-0000-0000B12C0000}"/>
    <cellStyle name="Millares 2 80 2 3 2 5 2" xfId="8109" xr:uid="{00000000-0005-0000-0000-0000B22C0000}"/>
    <cellStyle name="Millares 2 80 2 3 2 5 2 2" xfId="14899" xr:uid="{00000000-0005-0000-0000-0000B32C0000}"/>
    <cellStyle name="Millares 2 80 2 3 2 5 2 2 2" xfId="28467" xr:uid="{00000000-0005-0000-0000-0000B42C0000}"/>
    <cellStyle name="Millares 2 80 2 3 2 5 2 2 2 2" xfId="55600" xr:uid="{00000000-0005-0000-0000-0000B52C0000}"/>
    <cellStyle name="Millares 2 80 2 3 2 5 2 2 3" xfId="42038" xr:uid="{00000000-0005-0000-0000-0000B62C0000}"/>
    <cellStyle name="Millares 2 80 2 3 2 5 2 3" xfId="21686" xr:uid="{00000000-0005-0000-0000-0000B72C0000}"/>
    <cellStyle name="Millares 2 80 2 3 2 5 2 3 2" xfId="48819" xr:uid="{00000000-0005-0000-0000-0000B82C0000}"/>
    <cellStyle name="Millares 2 80 2 3 2 5 2 4" xfId="35257" xr:uid="{00000000-0005-0000-0000-0000B92C0000}"/>
    <cellStyle name="Millares 2 80 2 3 2 5 3" xfId="11510" xr:uid="{00000000-0005-0000-0000-0000BA2C0000}"/>
    <cellStyle name="Millares 2 80 2 3 2 5 3 2" xfId="25078" xr:uid="{00000000-0005-0000-0000-0000BB2C0000}"/>
    <cellStyle name="Millares 2 80 2 3 2 5 3 2 2" xfId="52211" xr:uid="{00000000-0005-0000-0000-0000BC2C0000}"/>
    <cellStyle name="Millares 2 80 2 3 2 5 3 3" xfId="38649" xr:uid="{00000000-0005-0000-0000-0000BD2C0000}"/>
    <cellStyle name="Millares 2 80 2 3 2 5 4" xfId="18297" xr:uid="{00000000-0005-0000-0000-0000BE2C0000}"/>
    <cellStyle name="Millares 2 80 2 3 2 5 4 2" xfId="45430" xr:uid="{00000000-0005-0000-0000-0000BF2C0000}"/>
    <cellStyle name="Millares 2 80 2 3 2 5 5" xfId="31868" xr:uid="{00000000-0005-0000-0000-0000C02C0000}"/>
    <cellStyle name="Millares 2 80 2 3 2 6" xfId="8102" xr:uid="{00000000-0005-0000-0000-0000C12C0000}"/>
    <cellStyle name="Millares 2 80 2 3 2 6 2" xfId="14892" xr:uid="{00000000-0005-0000-0000-0000C22C0000}"/>
    <cellStyle name="Millares 2 80 2 3 2 6 2 2" xfId="28460" xr:uid="{00000000-0005-0000-0000-0000C32C0000}"/>
    <cellStyle name="Millares 2 80 2 3 2 6 2 2 2" xfId="55593" xr:uid="{00000000-0005-0000-0000-0000C42C0000}"/>
    <cellStyle name="Millares 2 80 2 3 2 6 2 3" xfId="42031" xr:uid="{00000000-0005-0000-0000-0000C52C0000}"/>
    <cellStyle name="Millares 2 80 2 3 2 6 3" xfId="21679" xr:uid="{00000000-0005-0000-0000-0000C62C0000}"/>
    <cellStyle name="Millares 2 80 2 3 2 6 3 2" xfId="48812" xr:uid="{00000000-0005-0000-0000-0000C72C0000}"/>
    <cellStyle name="Millares 2 80 2 3 2 6 4" xfId="35250" xr:uid="{00000000-0005-0000-0000-0000C82C0000}"/>
    <cellStyle name="Millares 2 80 2 3 2 7" xfId="11503" xr:uid="{00000000-0005-0000-0000-0000C92C0000}"/>
    <cellStyle name="Millares 2 80 2 3 2 7 2" xfId="25071" xr:uid="{00000000-0005-0000-0000-0000CA2C0000}"/>
    <cellStyle name="Millares 2 80 2 3 2 7 2 2" xfId="52204" xr:uid="{00000000-0005-0000-0000-0000CB2C0000}"/>
    <cellStyle name="Millares 2 80 2 3 2 7 3" xfId="38642" xr:uid="{00000000-0005-0000-0000-0000CC2C0000}"/>
    <cellStyle name="Millares 2 80 2 3 2 8" xfId="18290" xr:uid="{00000000-0005-0000-0000-0000CD2C0000}"/>
    <cellStyle name="Millares 2 80 2 3 2 8 2" xfId="45423" xr:uid="{00000000-0005-0000-0000-0000CE2C0000}"/>
    <cellStyle name="Millares 2 80 2 3 2 9" xfId="31861" xr:uid="{00000000-0005-0000-0000-0000CF2C0000}"/>
    <cellStyle name="Millares 2 80 2 3 3" xfId="4501" xr:uid="{00000000-0005-0000-0000-0000D02C0000}"/>
    <cellStyle name="Millares 2 80 2 3 3 2" xfId="4502" xr:uid="{00000000-0005-0000-0000-0000D12C0000}"/>
    <cellStyle name="Millares 2 80 2 3 3 2 2" xfId="8111" xr:uid="{00000000-0005-0000-0000-0000D22C0000}"/>
    <cellStyle name="Millares 2 80 2 3 3 2 2 2" xfId="14901" xr:uid="{00000000-0005-0000-0000-0000D32C0000}"/>
    <cellStyle name="Millares 2 80 2 3 3 2 2 2 2" xfId="28469" xr:uid="{00000000-0005-0000-0000-0000D42C0000}"/>
    <cellStyle name="Millares 2 80 2 3 3 2 2 2 2 2" xfId="55602" xr:uid="{00000000-0005-0000-0000-0000D52C0000}"/>
    <cellStyle name="Millares 2 80 2 3 3 2 2 2 3" xfId="42040" xr:uid="{00000000-0005-0000-0000-0000D62C0000}"/>
    <cellStyle name="Millares 2 80 2 3 3 2 2 3" xfId="21688" xr:uid="{00000000-0005-0000-0000-0000D72C0000}"/>
    <cellStyle name="Millares 2 80 2 3 3 2 2 3 2" xfId="48821" xr:uid="{00000000-0005-0000-0000-0000D82C0000}"/>
    <cellStyle name="Millares 2 80 2 3 3 2 2 4" xfId="35259" xr:uid="{00000000-0005-0000-0000-0000D92C0000}"/>
    <cellStyle name="Millares 2 80 2 3 3 2 3" xfId="11512" xr:uid="{00000000-0005-0000-0000-0000DA2C0000}"/>
    <cellStyle name="Millares 2 80 2 3 3 2 3 2" xfId="25080" xr:uid="{00000000-0005-0000-0000-0000DB2C0000}"/>
    <cellStyle name="Millares 2 80 2 3 3 2 3 2 2" xfId="52213" xr:uid="{00000000-0005-0000-0000-0000DC2C0000}"/>
    <cellStyle name="Millares 2 80 2 3 3 2 3 3" xfId="38651" xr:uid="{00000000-0005-0000-0000-0000DD2C0000}"/>
    <cellStyle name="Millares 2 80 2 3 3 2 4" xfId="18299" xr:uid="{00000000-0005-0000-0000-0000DE2C0000}"/>
    <cellStyle name="Millares 2 80 2 3 3 2 4 2" xfId="45432" xr:uid="{00000000-0005-0000-0000-0000DF2C0000}"/>
    <cellStyle name="Millares 2 80 2 3 3 2 5" xfId="31870" xr:uid="{00000000-0005-0000-0000-0000E02C0000}"/>
    <cellStyle name="Millares 2 80 2 3 3 3" xfId="4503" xr:uid="{00000000-0005-0000-0000-0000E12C0000}"/>
    <cellStyle name="Millares 2 80 2 3 3 3 2" xfId="8112" xr:uid="{00000000-0005-0000-0000-0000E22C0000}"/>
    <cellStyle name="Millares 2 80 2 3 3 3 2 2" xfId="14902" xr:uid="{00000000-0005-0000-0000-0000E32C0000}"/>
    <cellStyle name="Millares 2 80 2 3 3 3 2 2 2" xfId="28470" xr:uid="{00000000-0005-0000-0000-0000E42C0000}"/>
    <cellStyle name="Millares 2 80 2 3 3 3 2 2 2 2" xfId="55603" xr:uid="{00000000-0005-0000-0000-0000E52C0000}"/>
    <cellStyle name="Millares 2 80 2 3 3 3 2 2 3" xfId="42041" xr:uid="{00000000-0005-0000-0000-0000E62C0000}"/>
    <cellStyle name="Millares 2 80 2 3 3 3 2 3" xfId="21689" xr:uid="{00000000-0005-0000-0000-0000E72C0000}"/>
    <cellStyle name="Millares 2 80 2 3 3 3 2 3 2" xfId="48822" xr:uid="{00000000-0005-0000-0000-0000E82C0000}"/>
    <cellStyle name="Millares 2 80 2 3 3 3 2 4" xfId="35260" xr:uid="{00000000-0005-0000-0000-0000E92C0000}"/>
    <cellStyle name="Millares 2 80 2 3 3 3 3" xfId="11513" xr:uid="{00000000-0005-0000-0000-0000EA2C0000}"/>
    <cellStyle name="Millares 2 80 2 3 3 3 3 2" xfId="25081" xr:uid="{00000000-0005-0000-0000-0000EB2C0000}"/>
    <cellStyle name="Millares 2 80 2 3 3 3 3 2 2" xfId="52214" xr:uid="{00000000-0005-0000-0000-0000EC2C0000}"/>
    <cellStyle name="Millares 2 80 2 3 3 3 3 3" xfId="38652" xr:uid="{00000000-0005-0000-0000-0000ED2C0000}"/>
    <cellStyle name="Millares 2 80 2 3 3 3 4" xfId="18300" xr:uid="{00000000-0005-0000-0000-0000EE2C0000}"/>
    <cellStyle name="Millares 2 80 2 3 3 3 4 2" xfId="45433" xr:uid="{00000000-0005-0000-0000-0000EF2C0000}"/>
    <cellStyle name="Millares 2 80 2 3 3 3 5" xfId="31871" xr:uid="{00000000-0005-0000-0000-0000F02C0000}"/>
    <cellStyle name="Millares 2 80 2 3 3 4" xfId="8110" xr:uid="{00000000-0005-0000-0000-0000F12C0000}"/>
    <cellStyle name="Millares 2 80 2 3 3 4 2" xfId="14900" xr:uid="{00000000-0005-0000-0000-0000F22C0000}"/>
    <cellStyle name="Millares 2 80 2 3 3 4 2 2" xfId="28468" xr:uid="{00000000-0005-0000-0000-0000F32C0000}"/>
    <cellStyle name="Millares 2 80 2 3 3 4 2 2 2" xfId="55601" xr:uid="{00000000-0005-0000-0000-0000F42C0000}"/>
    <cellStyle name="Millares 2 80 2 3 3 4 2 3" xfId="42039" xr:uid="{00000000-0005-0000-0000-0000F52C0000}"/>
    <cellStyle name="Millares 2 80 2 3 3 4 3" xfId="21687" xr:uid="{00000000-0005-0000-0000-0000F62C0000}"/>
    <cellStyle name="Millares 2 80 2 3 3 4 3 2" xfId="48820" xr:uid="{00000000-0005-0000-0000-0000F72C0000}"/>
    <cellStyle name="Millares 2 80 2 3 3 4 4" xfId="35258" xr:uid="{00000000-0005-0000-0000-0000F82C0000}"/>
    <cellStyle name="Millares 2 80 2 3 3 5" xfId="11511" xr:uid="{00000000-0005-0000-0000-0000F92C0000}"/>
    <cellStyle name="Millares 2 80 2 3 3 5 2" xfId="25079" xr:uid="{00000000-0005-0000-0000-0000FA2C0000}"/>
    <cellStyle name="Millares 2 80 2 3 3 5 2 2" xfId="52212" xr:uid="{00000000-0005-0000-0000-0000FB2C0000}"/>
    <cellStyle name="Millares 2 80 2 3 3 5 3" xfId="38650" xr:uid="{00000000-0005-0000-0000-0000FC2C0000}"/>
    <cellStyle name="Millares 2 80 2 3 3 6" xfId="18298" xr:uid="{00000000-0005-0000-0000-0000FD2C0000}"/>
    <cellStyle name="Millares 2 80 2 3 3 6 2" xfId="45431" xr:uid="{00000000-0005-0000-0000-0000FE2C0000}"/>
    <cellStyle name="Millares 2 80 2 3 3 7" xfId="31869" xr:uid="{00000000-0005-0000-0000-0000FF2C0000}"/>
    <cellStyle name="Millares 2 80 2 3 4" xfId="4504" xr:uid="{00000000-0005-0000-0000-0000002D0000}"/>
    <cellStyle name="Millares 2 80 2 3 4 2" xfId="4505" xr:uid="{00000000-0005-0000-0000-0000012D0000}"/>
    <cellStyle name="Millares 2 80 2 3 4 2 2" xfId="8114" xr:uid="{00000000-0005-0000-0000-0000022D0000}"/>
    <cellStyle name="Millares 2 80 2 3 4 2 2 2" xfId="14904" xr:uid="{00000000-0005-0000-0000-0000032D0000}"/>
    <cellStyle name="Millares 2 80 2 3 4 2 2 2 2" xfId="28472" xr:uid="{00000000-0005-0000-0000-0000042D0000}"/>
    <cellStyle name="Millares 2 80 2 3 4 2 2 2 2 2" xfId="55605" xr:uid="{00000000-0005-0000-0000-0000052D0000}"/>
    <cellStyle name="Millares 2 80 2 3 4 2 2 2 3" xfId="42043" xr:uid="{00000000-0005-0000-0000-0000062D0000}"/>
    <cellStyle name="Millares 2 80 2 3 4 2 2 3" xfId="21691" xr:uid="{00000000-0005-0000-0000-0000072D0000}"/>
    <cellStyle name="Millares 2 80 2 3 4 2 2 3 2" xfId="48824" xr:uid="{00000000-0005-0000-0000-0000082D0000}"/>
    <cellStyle name="Millares 2 80 2 3 4 2 2 4" xfId="35262" xr:uid="{00000000-0005-0000-0000-0000092D0000}"/>
    <cellStyle name="Millares 2 80 2 3 4 2 3" xfId="11515" xr:uid="{00000000-0005-0000-0000-00000A2D0000}"/>
    <cellStyle name="Millares 2 80 2 3 4 2 3 2" xfId="25083" xr:uid="{00000000-0005-0000-0000-00000B2D0000}"/>
    <cellStyle name="Millares 2 80 2 3 4 2 3 2 2" xfId="52216" xr:uid="{00000000-0005-0000-0000-00000C2D0000}"/>
    <cellStyle name="Millares 2 80 2 3 4 2 3 3" xfId="38654" xr:uid="{00000000-0005-0000-0000-00000D2D0000}"/>
    <cellStyle name="Millares 2 80 2 3 4 2 4" xfId="18302" xr:uid="{00000000-0005-0000-0000-00000E2D0000}"/>
    <cellStyle name="Millares 2 80 2 3 4 2 4 2" xfId="45435" xr:uid="{00000000-0005-0000-0000-00000F2D0000}"/>
    <cellStyle name="Millares 2 80 2 3 4 2 5" xfId="31873" xr:uid="{00000000-0005-0000-0000-0000102D0000}"/>
    <cellStyle name="Millares 2 80 2 3 4 3" xfId="8113" xr:uid="{00000000-0005-0000-0000-0000112D0000}"/>
    <cellStyle name="Millares 2 80 2 3 4 3 2" xfId="14903" xr:uid="{00000000-0005-0000-0000-0000122D0000}"/>
    <cellStyle name="Millares 2 80 2 3 4 3 2 2" xfId="28471" xr:uid="{00000000-0005-0000-0000-0000132D0000}"/>
    <cellStyle name="Millares 2 80 2 3 4 3 2 2 2" xfId="55604" xr:uid="{00000000-0005-0000-0000-0000142D0000}"/>
    <cellStyle name="Millares 2 80 2 3 4 3 2 3" xfId="42042" xr:uid="{00000000-0005-0000-0000-0000152D0000}"/>
    <cellStyle name="Millares 2 80 2 3 4 3 3" xfId="21690" xr:uid="{00000000-0005-0000-0000-0000162D0000}"/>
    <cellStyle name="Millares 2 80 2 3 4 3 3 2" xfId="48823" xr:uid="{00000000-0005-0000-0000-0000172D0000}"/>
    <cellStyle name="Millares 2 80 2 3 4 3 4" xfId="35261" xr:uid="{00000000-0005-0000-0000-0000182D0000}"/>
    <cellStyle name="Millares 2 80 2 3 4 4" xfId="11514" xr:uid="{00000000-0005-0000-0000-0000192D0000}"/>
    <cellStyle name="Millares 2 80 2 3 4 4 2" xfId="25082" xr:uid="{00000000-0005-0000-0000-00001A2D0000}"/>
    <cellStyle name="Millares 2 80 2 3 4 4 2 2" xfId="52215" xr:uid="{00000000-0005-0000-0000-00001B2D0000}"/>
    <cellStyle name="Millares 2 80 2 3 4 4 3" xfId="38653" xr:uid="{00000000-0005-0000-0000-00001C2D0000}"/>
    <cellStyle name="Millares 2 80 2 3 4 5" xfId="18301" xr:uid="{00000000-0005-0000-0000-00001D2D0000}"/>
    <cellStyle name="Millares 2 80 2 3 4 5 2" xfId="45434" xr:uid="{00000000-0005-0000-0000-00001E2D0000}"/>
    <cellStyle name="Millares 2 80 2 3 4 6" xfId="31872" xr:uid="{00000000-0005-0000-0000-00001F2D0000}"/>
    <cellStyle name="Millares 2 80 2 3 5" xfId="4506" xr:uid="{00000000-0005-0000-0000-0000202D0000}"/>
    <cellStyle name="Millares 2 80 2 3 5 2" xfId="8115" xr:uid="{00000000-0005-0000-0000-0000212D0000}"/>
    <cellStyle name="Millares 2 80 2 3 5 2 2" xfId="14905" xr:uid="{00000000-0005-0000-0000-0000222D0000}"/>
    <cellStyle name="Millares 2 80 2 3 5 2 2 2" xfId="28473" xr:uid="{00000000-0005-0000-0000-0000232D0000}"/>
    <cellStyle name="Millares 2 80 2 3 5 2 2 2 2" xfId="55606" xr:uid="{00000000-0005-0000-0000-0000242D0000}"/>
    <cellStyle name="Millares 2 80 2 3 5 2 2 3" xfId="42044" xr:uid="{00000000-0005-0000-0000-0000252D0000}"/>
    <cellStyle name="Millares 2 80 2 3 5 2 3" xfId="21692" xr:uid="{00000000-0005-0000-0000-0000262D0000}"/>
    <cellStyle name="Millares 2 80 2 3 5 2 3 2" xfId="48825" xr:uid="{00000000-0005-0000-0000-0000272D0000}"/>
    <cellStyle name="Millares 2 80 2 3 5 2 4" xfId="35263" xr:uid="{00000000-0005-0000-0000-0000282D0000}"/>
    <cellStyle name="Millares 2 80 2 3 5 3" xfId="11516" xr:uid="{00000000-0005-0000-0000-0000292D0000}"/>
    <cellStyle name="Millares 2 80 2 3 5 3 2" xfId="25084" xr:uid="{00000000-0005-0000-0000-00002A2D0000}"/>
    <cellStyle name="Millares 2 80 2 3 5 3 2 2" xfId="52217" xr:uid="{00000000-0005-0000-0000-00002B2D0000}"/>
    <cellStyle name="Millares 2 80 2 3 5 3 3" xfId="38655" xr:uid="{00000000-0005-0000-0000-00002C2D0000}"/>
    <cellStyle name="Millares 2 80 2 3 5 4" xfId="18303" xr:uid="{00000000-0005-0000-0000-00002D2D0000}"/>
    <cellStyle name="Millares 2 80 2 3 5 4 2" xfId="45436" xr:uid="{00000000-0005-0000-0000-00002E2D0000}"/>
    <cellStyle name="Millares 2 80 2 3 5 5" xfId="31874" xr:uid="{00000000-0005-0000-0000-00002F2D0000}"/>
    <cellStyle name="Millares 2 80 2 3 6" xfId="4507" xr:uid="{00000000-0005-0000-0000-0000302D0000}"/>
    <cellStyle name="Millares 2 80 2 3 6 2" xfId="8116" xr:uid="{00000000-0005-0000-0000-0000312D0000}"/>
    <cellStyle name="Millares 2 80 2 3 6 2 2" xfId="14906" xr:uid="{00000000-0005-0000-0000-0000322D0000}"/>
    <cellStyle name="Millares 2 80 2 3 6 2 2 2" xfId="28474" xr:uid="{00000000-0005-0000-0000-0000332D0000}"/>
    <cellStyle name="Millares 2 80 2 3 6 2 2 2 2" xfId="55607" xr:uid="{00000000-0005-0000-0000-0000342D0000}"/>
    <cellStyle name="Millares 2 80 2 3 6 2 2 3" xfId="42045" xr:uid="{00000000-0005-0000-0000-0000352D0000}"/>
    <cellStyle name="Millares 2 80 2 3 6 2 3" xfId="21693" xr:uid="{00000000-0005-0000-0000-0000362D0000}"/>
    <cellStyle name="Millares 2 80 2 3 6 2 3 2" xfId="48826" xr:uid="{00000000-0005-0000-0000-0000372D0000}"/>
    <cellStyle name="Millares 2 80 2 3 6 2 4" xfId="35264" xr:uid="{00000000-0005-0000-0000-0000382D0000}"/>
    <cellStyle name="Millares 2 80 2 3 6 3" xfId="11517" xr:uid="{00000000-0005-0000-0000-0000392D0000}"/>
    <cellStyle name="Millares 2 80 2 3 6 3 2" xfId="25085" xr:uid="{00000000-0005-0000-0000-00003A2D0000}"/>
    <cellStyle name="Millares 2 80 2 3 6 3 2 2" xfId="52218" xr:uid="{00000000-0005-0000-0000-00003B2D0000}"/>
    <cellStyle name="Millares 2 80 2 3 6 3 3" xfId="38656" xr:uid="{00000000-0005-0000-0000-00003C2D0000}"/>
    <cellStyle name="Millares 2 80 2 3 6 4" xfId="18304" xr:uid="{00000000-0005-0000-0000-00003D2D0000}"/>
    <cellStyle name="Millares 2 80 2 3 6 4 2" xfId="45437" xr:uid="{00000000-0005-0000-0000-00003E2D0000}"/>
    <cellStyle name="Millares 2 80 2 3 6 5" xfId="31875" xr:uid="{00000000-0005-0000-0000-00003F2D0000}"/>
    <cellStyle name="Millares 2 80 2 3 7" xfId="8101" xr:uid="{00000000-0005-0000-0000-0000402D0000}"/>
    <cellStyle name="Millares 2 80 2 3 7 2" xfId="14891" xr:uid="{00000000-0005-0000-0000-0000412D0000}"/>
    <cellStyle name="Millares 2 80 2 3 7 2 2" xfId="28459" xr:uid="{00000000-0005-0000-0000-0000422D0000}"/>
    <cellStyle name="Millares 2 80 2 3 7 2 2 2" xfId="55592" xr:uid="{00000000-0005-0000-0000-0000432D0000}"/>
    <cellStyle name="Millares 2 80 2 3 7 2 3" xfId="42030" xr:uid="{00000000-0005-0000-0000-0000442D0000}"/>
    <cellStyle name="Millares 2 80 2 3 7 3" xfId="21678" xr:uid="{00000000-0005-0000-0000-0000452D0000}"/>
    <cellStyle name="Millares 2 80 2 3 7 3 2" xfId="48811" xr:uid="{00000000-0005-0000-0000-0000462D0000}"/>
    <cellStyle name="Millares 2 80 2 3 7 4" xfId="35249" xr:uid="{00000000-0005-0000-0000-0000472D0000}"/>
    <cellStyle name="Millares 2 80 2 3 8" xfId="11502" xr:uid="{00000000-0005-0000-0000-0000482D0000}"/>
    <cellStyle name="Millares 2 80 2 3 8 2" xfId="25070" xr:uid="{00000000-0005-0000-0000-0000492D0000}"/>
    <cellStyle name="Millares 2 80 2 3 8 2 2" xfId="52203" xr:uid="{00000000-0005-0000-0000-00004A2D0000}"/>
    <cellStyle name="Millares 2 80 2 3 8 3" xfId="38641" xr:uid="{00000000-0005-0000-0000-00004B2D0000}"/>
    <cellStyle name="Millares 2 80 2 3 9" xfId="18289" xr:uid="{00000000-0005-0000-0000-00004C2D0000}"/>
    <cellStyle name="Millares 2 80 2 3 9 2" xfId="45422" xr:uid="{00000000-0005-0000-0000-00004D2D0000}"/>
    <cellStyle name="Millares 2 80 2 4" xfId="4508" xr:uid="{00000000-0005-0000-0000-00004E2D0000}"/>
    <cellStyle name="Millares 2 80 2 4 2" xfId="4509" xr:uid="{00000000-0005-0000-0000-00004F2D0000}"/>
    <cellStyle name="Millares 2 80 2 4 2 2" xfId="4510" xr:uid="{00000000-0005-0000-0000-0000502D0000}"/>
    <cellStyle name="Millares 2 80 2 4 2 2 2" xfId="8119" xr:uid="{00000000-0005-0000-0000-0000512D0000}"/>
    <cellStyle name="Millares 2 80 2 4 2 2 2 2" xfId="14909" xr:uid="{00000000-0005-0000-0000-0000522D0000}"/>
    <cellStyle name="Millares 2 80 2 4 2 2 2 2 2" xfId="28477" xr:uid="{00000000-0005-0000-0000-0000532D0000}"/>
    <cellStyle name="Millares 2 80 2 4 2 2 2 2 2 2" xfId="55610" xr:uid="{00000000-0005-0000-0000-0000542D0000}"/>
    <cellStyle name="Millares 2 80 2 4 2 2 2 2 3" xfId="42048" xr:uid="{00000000-0005-0000-0000-0000552D0000}"/>
    <cellStyle name="Millares 2 80 2 4 2 2 2 3" xfId="21696" xr:uid="{00000000-0005-0000-0000-0000562D0000}"/>
    <cellStyle name="Millares 2 80 2 4 2 2 2 3 2" xfId="48829" xr:uid="{00000000-0005-0000-0000-0000572D0000}"/>
    <cellStyle name="Millares 2 80 2 4 2 2 2 4" xfId="35267" xr:uid="{00000000-0005-0000-0000-0000582D0000}"/>
    <cellStyle name="Millares 2 80 2 4 2 2 3" xfId="11520" xr:uid="{00000000-0005-0000-0000-0000592D0000}"/>
    <cellStyle name="Millares 2 80 2 4 2 2 3 2" xfId="25088" xr:uid="{00000000-0005-0000-0000-00005A2D0000}"/>
    <cellStyle name="Millares 2 80 2 4 2 2 3 2 2" xfId="52221" xr:uid="{00000000-0005-0000-0000-00005B2D0000}"/>
    <cellStyle name="Millares 2 80 2 4 2 2 3 3" xfId="38659" xr:uid="{00000000-0005-0000-0000-00005C2D0000}"/>
    <cellStyle name="Millares 2 80 2 4 2 2 4" xfId="18307" xr:uid="{00000000-0005-0000-0000-00005D2D0000}"/>
    <cellStyle name="Millares 2 80 2 4 2 2 4 2" xfId="45440" xr:uid="{00000000-0005-0000-0000-00005E2D0000}"/>
    <cellStyle name="Millares 2 80 2 4 2 2 5" xfId="31878" xr:uid="{00000000-0005-0000-0000-00005F2D0000}"/>
    <cellStyle name="Millares 2 80 2 4 2 3" xfId="4511" xr:uid="{00000000-0005-0000-0000-0000602D0000}"/>
    <cellStyle name="Millares 2 80 2 4 2 3 2" xfId="8120" xr:uid="{00000000-0005-0000-0000-0000612D0000}"/>
    <cellStyle name="Millares 2 80 2 4 2 3 2 2" xfId="14910" xr:uid="{00000000-0005-0000-0000-0000622D0000}"/>
    <cellStyle name="Millares 2 80 2 4 2 3 2 2 2" xfId="28478" xr:uid="{00000000-0005-0000-0000-0000632D0000}"/>
    <cellStyle name="Millares 2 80 2 4 2 3 2 2 2 2" xfId="55611" xr:uid="{00000000-0005-0000-0000-0000642D0000}"/>
    <cellStyle name="Millares 2 80 2 4 2 3 2 2 3" xfId="42049" xr:uid="{00000000-0005-0000-0000-0000652D0000}"/>
    <cellStyle name="Millares 2 80 2 4 2 3 2 3" xfId="21697" xr:uid="{00000000-0005-0000-0000-0000662D0000}"/>
    <cellStyle name="Millares 2 80 2 4 2 3 2 3 2" xfId="48830" xr:uid="{00000000-0005-0000-0000-0000672D0000}"/>
    <cellStyle name="Millares 2 80 2 4 2 3 2 4" xfId="35268" xr:uid="{00000000-0005-0000-0000-0000682D0000}"/>
    <cellStyle name="Millares 2 80 2 4 2 3 3" xfId="11521" xr:uid="{00000000-0005-0000-0000-0000692D0000}"/>
    <cellStyle name="Millares 2 80 2 4 2 3 3 2" xfId="25089" xr:uid="{00000000-0005-0000-0000-00006A2D0000}"/>
    <cellStyle name="Millares 2 80 2 4 2 3 3 2 2" xfId="52222" xr:uid="{00000000-0005-0000-0000-00006B2D0000}"/>
    <cellStyle name="Millares 2 80 2 4 2 3 3 3" xfId="38660" xr:uid="{00000000-0005-0000-0000-00006C2D0000}"/>
    <cellStyle name="Millares 2 80 2 4 2 3 4" xfId="18308" xr:uid="{00000000-0005-0000-0000-00006D2D0000}"/>
    <cellStyle name="Millares 2 80 2 4 2 3 4 2" xfId="45441" xr:uid="{00000000-0005-0000-0000-00006E2D0000}"/>
    <cellStyle name="Millares 2 80 2 4 2 3 5" xfId="31879" xr:uid="{00000000-0005-0000-0000-00006F2D0000}"/>
    <cellStyle name="Millares 2 80 2 4 2 4" xfId="8118" xr:uid="{00000000-0005-0000-0000-0000702D0000}"/>
    <cellStyle name="Millares 2 80 2 4 2 4 2" xfId="14908" xr:uid="{00000000-0005-0000-0000-0000712D0000}"/>
    <cellStyle name="Millares 2 80 2 4 2 4 2 2" xfId="28476" xr:uid="{00000000-0005-0000-0000-0000722D0000}"/>
    <cellStyle name="Millares 2 80 2 4 2 4 2 2 2" xfId="55609" xr:uid="{00000000-0005-0000-0000-0000732D0000}"/>
    <cellStyle name="Millares 2 80 2 4 2 4 2 3" xfId="42047" xr:uid="{00000000-0005-0000-0000-0000742D0000}"/>
    <cellStyle name="Millares 2 80 2 4 2 4 3" xfId="21695" xr:uid="{00000000-0005-0000-0000-0000752D0000}"/>
    <cellStyle name="Millares 2 80 2 4 2 4 3 2" xfId="48828" xr:uid="{00000000-0005-0000-0000-0000762D0000}"/>
    <cellStyle name="Millares 2 80 2 4 2 4 4" xfId="35266" xr:uid="{00000000-0005-0000-0000-0000772D0000}"/>
    <cellStyle name="Millares 2 80 2 4 2 5" xfId="11519" xr:uid="{00000000-0005-0000-0000-0000782D0000}"/>
    <cellStyle name="Millares 2 80 2 4 2 5 2" xfId="25087" xr:uid="{00000000-0005-0000-0000-0000792D0000}"/>
    <cellStyle name="Millares 2 80 2 4 2 5 2 2" xfId="52220" xr:uid="{00000000-0005-0000-0000-00007A2D0000}"/>
    <cellStyle name="Millares 2 80 2 4 2 5 3" xfId="38658" xr:uid="{00000000-0005-0000-0000-00007B2D0000}"/>
    <cellStyle name="Millares 2 80 2 4 2 6" xfId="18306" xr:uid="{00000000-0005-0000-0000-00007C2D0000}"/>
    <cellStyle name="Millares 2 80 2 4 2 6 2" xfId="45439" xr:uid="{00000000-0005-0000-0000-00007D2D0000}"/>
    <cellStyle name="Millares 2 80 2 4 2 7" xfId="31877" xr:uid="{00000000-0005-0000-0000-00007E2D0000}"/>
    <cellStyle name="Millares 2 80 2 4 3" xfId="4512" xr:uid="{00000000-0005-0000-0000-00007F2D0000}"/>
    <cellStyle name="Millares 2 80 2 4 3 2" xfId="4513" xr:uid="{00000000-0005-0000-0000-0000802D0000}"/>
    <cellStyle name="Millares 2 80 2 4 3 2 2" xfId="8122" xr:uid="{00000000-0005-0000-0000-0000812D0000}"/>
    <cellStyle name="Millares 2 80 2 4 3 2 2 2" xfId="14912" xr:uid="{00000000-0005-0000-0000-0000822D0000}"/>
    <cellStyle name="Millares 2 80 2 4 3 2 2 2 2" xfId="28480" xr:uid="{00000000-0005-0000-0000-0000832D0000}"/>
    <cellStyle name="Millares 2 80 2 4 3 2 2 2 2 2" xfId="55613" xr:uid="{00000000-0005-0000-0000-0000842D0000}"/>
    <cellStyle name="Millares 2 80 2 4 3 2 2 2 3" xfId="42051" xr:uid="{00000000-0005-0000-0000-0000852D0000}"/>
    <cellStyle name="Millares 2 80 2 4 3 2 2 3" xfId="21699" xr:uid="{00000000-0005-0000-0000-0000862D0000}"/>
    <cellStyle name="Millares 2 80 2 4 3 2 2 3 2" xfId="48832" xr:uid="{00000000-0005-0000-0000-0000872D0000}"/>
    <cellStyle name="Millares 2 80 2 4 3 2 2 4" xfId="35270" xr:uid="{00000000-0005-0000-0000-0000882D0000}"/>
    <cellStyle name="Millares 2 80 2 4 3 2 3" xfId="11523" xr:uid="{00000000-0005-0000-0000-0000892D0000}"/>
    <cellStyle name="Millares 2 80 2 4 3 2 3 2" xfId="25091" xr:uid="{00000000-0005-0000-0000-00008A2D0000}"/>
    <cellStyle name="Millares 2 80 2 4 3 2 3 2 2" xfId="52224" xr:uid="{00000000-0005-0000-0000-00008B2D0000}"/>
    <cellStyle name="Millares 2 80 2 4 3 2 3 3" xfId="38662" xr:uid="{00000000-0005-0000-0000-00008C2D0000}"/>
    <cellStyle name="Millares 2 80 2 4 3 2 4" xfId="18310" xr:uid="{00000000-0005-0000-0000-00008D2D0000}"/>
    <cellStyle name="Millares 2 80 2 4 3 2 4 2" xfId="45443" xr:uid="{00000000-0005-0000-0000-00008E2D0000}"/>
    <cellStyle name="Millares 2 80 2 4 3 2 5" xfId="31881" xr:uid="{00000000-0005-0000-0000-00008F2D0000}"/>
    <cellStyle name="Millares 2 80 2 4 3 3" xfId="8121" xr:uid="{00000000-0005-0000-0000-0000902D0000}"/>
    <cellStyle name="Millares 2 80 2 4 3 3 2" xfId="14911" xr:uid="{00000000-0005-0000-0000-0000912D0000}"/>
    <cellStyle name="Millares 2 80 2 4 3 3 2 2" xfId="28479" xr:uid="{00000000-0005-0000-0000-0000922D0000}"/>
    <cellStyle name="Millares 2 80 2 4 3 3 2 2 2" xfId="55612" xr:uid="{00000000-0005-0000-0000-0000932D0000}"/>
    <cellStyle name="Millares 2 80 2 4 3 3 2 3" xfId="42050" xr:uid="{00000000-0005-0000-0000-0000942D0000}"/>
    <cellStyle name="Millares 2 80 2 4 3 3 3" xfId="21698" xr:uid="{00000000-0005-0000-0000-0000952D0000}"/>
    <cellStyle name="Millares 2 80 2 4 3 3 3 2" xfId="48831" xr:uid="{00000000-0005-0000-0000-0000962D0000}"/>
    <cellStyle name="Millares 2 80 2 4 3 3 4" xfId="35269" xr:uid="{00000000-0005-0000-0000-0000972D0000}"/>
    <cellStyle name="Millares 2 80 2 4 3 4" xfId="11522" xr:uid="{00000000-0005-0000-0000-0000982D0000}"/>
    <cellStyle name="Millares 2 80 2 4 3 4 2" xfId="25090" xr:uid="{00000000-0005-0000-0000-0000992D0000}"/>
    <cellStyle name="Millares 2 80 2 4 3 4 2 2" xfId="52223" xr:uid="{00000000-0005-0000-0000-00009A2D0000}"/>
    <cellStyle name="Millares 2 80 2 4 3 4 3" xfId="38661" xr:uid="{00000000-0005-0000-0000-00009B2D0000}"/>
    <cellStyle name="Millares 2 80 2 4 3 5" xfId="18309" xr:uid="{00000000-0005-0000-0000-00009C2D0000}"/>
    <cellStyle name="Millares 2 80 2 4 3 5 2" xfId="45442" xr:uid="{00000000-0005-0000-0000-00009D2D0000}"/>
    <cellStyle name="Millares 2 80 2 4 3 6" xfId="31880" xr:uid="{00000000-0005-0000-0000-00009E2D0000}"/>
    <cellStyle name="Millares 2 80 2 4 4" xfId="4514" xr:uid="{00000000-0005-0000-0000-00009F2D0000}"/>
    <cellStyle name="Millares 2 80 2 4 4 2" xfId="8123" xr:uid="{00000000-0005-0000-0000-0000A02D0000}"/>
    <cellStyle name="Millares 2 80 2 4 4 2 2" xfId="14913" xr:uid="{00000000-0005-0000-0000-0000A12D0000}"/>
    <cellStyle name="Millares 2 80 2 4 4 2 2 2" xfId="28481" xr:uid="{00000000-0005-0000-0000-0000A22D0000}"/>
    <cellStyle name="Millares 2 80 2 4 4 2 2 2 2" xfId="55614" xr:uid="{00000000-0005-0000-0000-0000A32D0000}"/>
    <cellStyle name="Millares 2 80 2 4 4 2 2 3" xfId="42052" xr:uid="{00000000-0005-0000-0000-0000A42D0000}"/>
    <cellStyle name="Millares 2 80 2 4 4 2 3" xfId="21700" xr:uid="{00000000-0005-0000-0000-0000A52D0000}"/>
    <cellStyle name="Millares 2 80 2 4 4 2 3 2" xfId="48833" xr:uid="{00000000-0005-0000-0000-0000A62D0000}"/>
    <cellStyle name="Millares 2 80 2 4 4 2 4" xfId="35271" xr:uid="{00000000-0005-0000-0000-0000A72D0000}"/>
    <cellStyle name="Millares 2 80 2 4 4 3" xfId="11524" xr:uid="{00000000-0005-0000-0000-0000A82D0000}"/>
    <cellStyle name="Millares 2 80 2 4 4 3 2" xfId="25092" xr:uid="{00000000-0005-0000-0000-0000A92D0000}"/>
    <cellStyle name="Millares 2 80 2 4 4 3 2 2" xfId="52225" xr:uid="{00000000-0005-0000-0000-0000AA2D0000}"/>
    <cellStyle name="Millares 2 80 2 4 4 3 3" xfId="38663" xr:uid="{00000000-0005-0000-0000-0000AB2D0000}"/>
    <cellStyle name="Millares 2 80 2 4 4 4" xfId="18311" xr:uid="{00000000-0005-0000-0000-0000AC2D0000}"/>
    <cellStyle name="Millares 2 80 2 4 4 4 2" xfId="45444" xr:uid="{00000000-0005-0000-0000-0000AD2D0000}"/>
    <cellStyle name="Millares 2 80 2 4 4 5" xfId="31882" xr:uid="{00000000-0005-0000-0000-0000AE2D0000}"/>
    <cellStyle name="Millares 2 80 2 4 5" xfId="4515" xr:uid="{00000000-0005-0000-0000-0000AF2D0000}"/>
    <cellStyle name="Millares 2 80 2 4 5 2" xfId="8124" xr:uid="{00000000-0005-0000-0000-0000B02D0000}"/>
    <cellStyle name="Millares 2 80 2 4 5 2 2" xfId="14914" xr:uid="{00000000-0005-0000-0000-0000B12D0000}"/>
    <cellStyle name="Millares 2 80 2 4 5 2 2 2" xfId="28482" xr:uid="{00000000-0005-0000-0000-0000B22D0000}"/>
    <cellStyle name="Millares 2 80 2 4 5 2 2 2 2" xfId="55615" xr:uid="{00000000-0005-0000-0000-0000B32D0000}"/>
    <cellStyle name="Millares 2 80 2 4 5 2 2 3" xfId="42053" xr:uid="{00000000-0005-0000-0000-0000B42D0000}"/>
    <cellStyle name="Millares 2 80 2 4 5 2 3" xfId="21701" xr:uid="{00000000-0005-0000-0000-0000B52D0000}"/>
    <cellStyle name="Millares 2 80 2 4 5 2 3 2" xfId="48834" xr:uid="{00000000-0005-0000-0000-0000B62D0000}"/>
    <cellStyle name="Millares 2 80 2 4 5 2 4" xfId="35272" xr:uid="{00000000-0005-0000-0000-0000B72D0000}"/>
    <cellStyle name="Millares 2 80 2 4 5 3" xfId="11525" xr:uid="{00000000-0005-0000-0000-0000B82D0000}"/>
    <cellStyle name="Millares 2 80 2 4 5 3 2" xfId="25093" xr:uid="{00000000-0005-0000-0000-0000B92D0000}"/>
    <cellStyle name="Millares 2 80 2 4 5 3 2 2" xfId="52226" xr:uid="{00000000-0005-0000-0000-0000BA2D0000}"/>
    <cellStyle name="Millares 2 80 2 4 5 3 3" xfId="38664" xr:uid="{00000000-0005-0000-0000-0000BB2D0000}"/>
    <cellStyle name="Millares 2 80 2 4 5 4" xfId="18312" xr:uid="{00000000-0005-0000-0000-0000BC2D0000}"/>
    <cellStyle name="Millares 2 80 2 4 5 4 2" xfId="45445" xr:uid="{00000000-0005-0000-0000-0000BD2D0000}"/>
    <cellStyle name="Millares 2 80 2 4 5 5" xfId="31883" xr:uid="{00000000-0005-0000-0000-0000BE2D0000}"/>
    <cellStyle name="Millares 2 80 2 4 6" xfId="8117" xr:uid="{00000000-0005-0000-0000-0000BF2D0000}"/>
    <cellStyle name="Millares 2 80 2 4 6 2" xfId="14907" xr:uid="{00000000-0005-0000-0000-0000C02D0000}"/>
    <cellStyle name="Millares 2 80 2 4 6 2 2" xfId="28475" xr:uid="{00000000-0005-0000-0000-0000C12D0000}"/>
    <cellStyle name="Millares 2 80 2 4 6 2 2 2" xfId="55608" xr:uid="{00000000-0005-0000-0000-0000C22D0000}"/>
    <cellStyle name="Millares 2 80 2 4 6 2 3" xfId="42046" xr:uid="{00000000-0005-0000-0000-0000C32D0000}"/>
    <cellStyle name="Millares 2 80 2 4 6 3" xfId="21694" xr:uid="{00000000-0005-0000-0000-0000C42D0000}"/>
    <cellStyle name="Millares 2 80 2 4 6 3 2" xfId="48827" xr:uid="{00000000-0005-0000-0000-0000C52D0000}"/>
    <cellStyle name="Millares 2 80 2 4 6 4" xfId="35265" xr:uid="{00000000-0005-0000-0000-0000C62D0000}"/>
    <cellStyle name="Millares 2 80 2 4 7" xfId="11518" xr:uid="{00000000-0005-0000-0000-0000C72D0000}"/>
    <cellStyle name="Millares 2 80 2 4 7 2" xfId="25086" xr:uid="{00000000-0005-0000-0000-0000C82D0000}"/>
    <cellStyle name="Millares 2 80 2 4 7 2 2" xfId="52219" xr:uid="{00000000-0005-0000-0000-0000C92D0000}"/>
    <cellStyle name="Millares 2 80 2 4 7 3" xfId="38657" xr:uid="{00000000-0005-0000-0000-0000CA2D0000}"/>
    <cellStyle name="Millares 2 80 2 4 8" xfId="18305" xr:uid="{00000000-0005-0000-0000-0000CB2D0000}"/>
    <cellStyle name="Millares 2 80 2 4 8 2" xfId="45438" xr:uid="{00000000-0005-0000-0000-0000CC2D0000}"/>
    <cellStyle name="Millares 2 80 2 4 9" xfId="31876" xr:uid="{00000000-0005-0000-0000-0000CD2D0000}"/>
    <cellStyle name="Millares 2 80 2 5" xfId="4516" xr:uid="{00000000-0005-0000-0000-0000CE2D0000}"/>
    <cellStyle name="Millares 2 80 2 5 2" xfId="4517" xr:uid="{00000000-0005-0000-0000-0000CF2D0000}"/>
    <cellStyle name="Millares 2 80 2 5 2 2" xfId="4518" xr:uid="{00000000-0005-0000-0000-0000D02D0000}"/>
    <cellStyle name="Millares 2 80 2 5 2 2 2" xfId="8127" xr:uid="{00000000-0005-0000-0000-0000D12D0000}"/>
    <cellStyle name="Millares 2 80 2 5 2 2 2 2" xfId="14917" xr:uid="{00000000-0005-0000-0000-0000D22D0000}"/>
    <cellStyle name="Millares 2 80 2 5 2 2 2 2 2" xfId="28485" xr:uid="{00000000-0005-0000-0000-0000D32D0000}"/>
    <cellStyle name="Millares 2 80 2 5 2 2 2 2 2 2" xfId="55618" xr:uid="{00000000-0005-0000-0000-0000D42D0000}"/>
    <cellStyle name="Millares 2 80 2 5 2 2 2 2 3" xfId="42056" xr:uid="{00000000-0005-0000-0000-0000D52D0000}"/>
    <cellStyle name="Millares 2 80 2 5 2 2 2 3" xfId="21704" xr:uid="{00000000-0005-0000-0000-0000D62D0000}"/>
    <cellStyle name="Millares 2 80 2 5 2 2 2 3 2" xfId="48837" xr:uid="{00000000-0005-0000-0000-0000D72D0000}"/>
    <cellStyle name="Millares 2 80 2 5 2 2 2 4" xfId="35275" xr:uid="{00000000-0005-0000-0000-0000D82D0000}"/>
    <cellStyle name="Millares 2 80 2 5 2 2 3" xfId="11528" xr:uid="{00000000-0005-0000-0000-0000D92D0000}"/>
    <cellStyle name="Millares 2 80 2 5 2 2 3 2" xfId="25096" xr:uid="{00000000-0005-0000-0000-0000DA2D0000}"/>
    <cellStyle name="Millares 2 80 2 5 2 2 3 2 2" xfId="52229" xr:uid="{00000000-0005-0000-0000-0000DB2D0000}"/>
    <cellStyle name="Millares 2 80 2 5 2 2 3 3" xfId="38667" xr:uid="{00000000-0005-0000-0000-0000DC2D0000}"/>
    <cellStyle name="Millares 2 80 2 5 2 2 4" xfId="18315" xr:uid="{00000000-0005-0000-0000-0000DD2D0000}"/>
    <cellStyle name="Millares 2 80 2 5 2 2 4 2" xfId="45448" xr:uid="{00000000-0005-0000-0000-0000DE2D0000}"/>
    <cellStyle name="Millares 2 80 2 5 2 2 5" xfId="31886" xr:uid="{00000000-0005-0000-0000-0000DF2D0000}"/>
    <cellStyle name="Millares 2 80 2 5 2 3" xfId="4519" xr:uid="{00000000-0005-0000-0000-0000E02D0000}"/>
    <cellStyle name="Millares 2 80 2 5 2 3 2" xfId="8128" xr:uid="{00000000-0005-0000-0000-0000E12D0000}"/>
    <cellStyle name="Millares 2 80 2 5 2 3 2 2" xfId="14918" xr:uid="{00000000-0005-0000-0000-0000E22D0000}"/>
    <cellStyle name="Millares 2 80 2 5 2 3 2 2 2" xfId="28486" xr:uid="{00000000-0005-0000-0000-0000E32D0000}"/>
    <cellStyle name="Millares 2 80 2 5 2 3 2 2 2 2" xfId="55619" xr:uid="{00000000-0005-0000-0000-0000E42D0000}"/>
    <cellStyle name="Millares 2 80 2 5 2 3 2 2 3" xfId="42057" xr:uid="{00000000-0005-0000-0000-0000E52D0000}"/>
    <cellStyle name="Millares 2 80 2 5 2 3 2 3" xfId="21705" xr:uid="{00000000-0005-0000-0000-0000E62D0000}"/>
    <cellStyle name="Millares 2 80 2 5 2 3 2 3 2" xfId="48838" xr:uid="{00000000-0005-0000-0000-0000E72D0000}"/>
    <cellStyle name="Millares 2 80 2 5 2 3 2 4" xfId="35276" xr:uid="{00000000-0005-0000-0000-0000E82D0000}"/>
    <cellStyle name="Millares 2 80 2 5 2 3 3" xfId="11529" xr:uid="{00000000-0005-0000-0000-0000E92D0000}"/>
    <cellStyle name="Millares 2 80 2 5 2 3 3 2" xfId="25097" xr:uid="{00000000-0005-0000-0000-0000EA2D0000}"/>
    <cellStyle name="Millares 2 80 2 5 2 3 3 2 2" xfId="52230" xr:uid="{00000000-0005-0000-0000-0000EB2D0000}"/>
    <cellStyle name="Millares 2 80 2 5 2 3 3 3" xfId="38668" xr:uid="{00000000-0005-0000-0000-0000EC2D0000}"/>
    <cellStyle name="Millares 2 80 2 5 2 3 4" xfId="18316" xr:uid="{00000000-0005-0000-0000-0000ED2D0000}"/>
    <cellStyle name="Millares 2 80 2 5 2 3 4 2" xfId="45449" xr:uid="{00000000-0005-0000-0000-0000EE2D0000}"/>
    <cellStyle name="Millares 2 80 2 5 2 3 5" xfId="31887" xr:uid="{00000000-0005-0000-0000-0000EF2D0000}"/>
    <cellStyle name="Millares 2 80 2 5 2 4" xfId="8126" xr:uid="{00000000-0005-0000-0000-0000F02D0000}"/>
    <cellStyle name="Millares 2 80 2 5 2 4 2" xfId="14916" xr:uid="{00000000-0005-0000-0000-0000F12D0000}"/>
    <cellStyle name="Millares 2 80 2 5 2 4 2 2" xfId="28484" xr:uid="{00000000-0005-0000-0000-0000F22D0000}"/>
    <cellStyle name="Millares 2 80 2 5 2 4 2 2 2" xfId="55617" xr:uid="{00000000-0005-0000-0000-0000F32D0000}"/>
    <cellStyle name="Millares 2 80 2 5 2 4 2 3" xfId="42055" xr:uid="{00000000-0005-0000-0000-0000F42D0000}"/>
    <cellStyle name="Millares 2 80 2 5 2 4 3" xfId="21703" xr:uid="{00000000-0005-0000-0000-0000F52D0000}"/>
    <cellStyle name="Millares 2 80 2 5 2 4 3 2" xfId="48836" xr:uid="{00000000-0005-0000-0000-0000F62D0000}"/>
    <cellStyle name="Millares 2 80 2 5 2 4 4" xfId="35274" xr:uid="{00000000-0005-0000-0000-0000F72D0000}"/>
    <cellStyle name="Millares 2 80 2 5 2 5" xfId="11527" xr:uid="{00000000-0005-0000-0000-0000F82D0000}"/>
    <cellStyle name="Millares 2 80 2 5 2 5 2" xfId="25095" xr:uid="{00000000-0005-0000-0000-0000F92D0000}"/>
    <cellStyle name="Millares 2 80 2 5 2 5 2 2" xfId="52228" xr:uid="{00000000-0005-0000-0000-0000FA2D0000}"/>
    <cellStyle name="Millares 2 80 2 5 2 5 3" xfId="38666" xr:uid="{00000000-0005-0000-0000-0000FB2D0000}"/>
    <cellStyle name="Millares 2 80 2 5 2 6" xfId="18314" xr:uid="{00000000-0005-0000-0000-0000FC2D0000}"/>
    <cellStyle name="Millares 2 80 2 5 2 6 2" xfId="45447" xr:uid="{00000000-0005-0000-0000-0000FD2D0000}"/>
    <cellStyle name="Millares 2 80 2 5 2 7" xfId="31885" xr:uid="{00000000-0005-0000-0000-0000FE2D0000}"/>
    <cellStyle name="Millares 2 80 2 5 3" xfId="4520" xr:uid="{00000000-0005-0000-0000-0000FF2D0000}"/>
    <cellStyle name="Millares 2 80 2 5 3 2" xfId="8129" xr:uid="{00000000-0005-0000-0000-0000002E0000}"/>
    <cellStyle name="Millares 2 80 2 5 3 2 2" xfId="14919" xr:uid="{00000000-0005-0000-0000-0000012E0000}"/>
    <cellStyle name="Millares 2 80 2 5 3 2 2 2" xfId="28487" xr:uid="{00000000-0005-0000-0000-0000022E0000}"/>
    <cellStyle name="Millares 2 80 2 5 3 2 2 2 2" xfId="55620" xr:uid="{00000000-0005-0000-0000-0000032E0000}"/>
    <cellStyle name="Millares 2 80 2 5 3 2 2 3" xfId="42058" xr:uid="{00000000-0005-0000-0000-0000042E0000}"/>
    <cellStyle name="Millares 2 80 2 5 3 2 3" xfId="21706" xr:uid="{00000000-0005-0000-0000-0000052E0000}"/>
    <cellStyle name="Millares 2 80 2 5 3 2 3 2" xfId="48839" xr:uid="{00000000-0005-0000-0000-0000062E0000}"/>
    <cellStyle name="Millares 2 80 2 5 3 2 4" xfId="35277" xr:uid="{00000000-0005-0000-0000-0000072E0000}"/>
    <cellStyle name="Millares 2 80 2 5 3 3" xfId="11530" xr:uid="{00000000-0005-0000-0000-0000082E0000}"/>
    <cellStyle name="Millares 2 80 2 5 3 3 2" xfId="25098" xr:uid="{00000000-0005-0000-0000-0000092E0000}"/>
    <cellStyle name="Millares 2 80 2 5 3 3 2 2" xfId="52231" xr:uid="{00000000-0005-0000-0000-00000A2E0000}"/>
    <cellStyle name="Millares 2 80 2 5 3 3 3" xfId="38669" xr:uid="{00000000-0005-0000-0000-00000B2E0000}"/>
    <cellStyle name="Millares 2 80 2 5 3 4" xfId="18317" xr:uid="{00000000-0005-0000-0000-00000C2E0000}"/>
    <cellStyle name="Millares 2 80 2 5 3 4 2" xfId="45450" xr:uid="{00000000-0005-0000-0000-00000D2E0000}"/>
    <cellStyle name="Millares 2 80 2 5 3 5" xfId="31888" xr:uid="{00000000-0005-0000-0000-00000E2E0000}"/>
    <cellStyle name="Millares 2 80 2 5 4" xfId="4521" xr:uid="{00000000-0005-0000-0000-00000F2E0000}"/>
    <cellStyle name="Millares 2 80 2 5 4 2" xfId="8130" xr:uid="{00000000-0005-0000-0000-0000102E0000}"/>
    <cellStyle name="Millares 2 80 2 5 4 2 2" xfId="14920" xr:uid="{00000000-0005-0000-0000-0000112E0000}"/>
    <cellStyle name="Millares 2 80 2 5 4 2 2 2" xfId="28488" xr:uid="{00000000-0005-0000-0000-0000122E0000}"/>
    <cellStyle name="Millares 2 80 2 5 4 2 2 2 2" xfId="55621" xr:uid="{00000000-0005-0000-0000-0000132E0000}"/>
    <cellStyle name="Millares 2 80 2 5 4 2 2 3" xfId="42059" xr:uid="{00000000-0005-0000-0000-0000142E0000}"/>
    <cellStyle name="Millares 2 80 2 5 4 2 3" xfId="21707" xr:uid="{00000000-0005-0000-0000-0000152E0000}"/>
    <cellStyle name="Millares 2 80 2 5 4 2 3 2" xfId="48840" xr:uid="{00000000-0005-0000-0000-0000162E0000}"/>
    <cellStyle name="Millares 2 80 2 5 4 2 4" xfId="35278" xr:uid="{00000000-0005-0000-0000-0000172E0000}"/>
    <cellStyle name="Millares 2 80 2 5 4 3" xfId="11531" xr:uid="{00000000-0005-0000-0000-0000182E0000}"/>
    <cellStyle name="Millares 2 80 2 5 4 3 2" xfId="25099" xr:uid="{00000000-0005-0000-0000-0000192E0000}"/>
    <cellStyle name="Millares 2 80 2 5 4 3 2 2" xfId="52232" xr:uid="{00000000-0005-0000-0000-00001A2E0000}"/>
    <cellStyle name="Millares 2 80 2 5 4 3 3" xfId="38670" xr:uid="{00000000-0005-0000-0000-00001B2E0000}"/>
    <cellStyle name="Millares 2 80 2 5 4 4" xfId="18318" xr:uid="{00000000-0005-0000-0000-00001C2E0000}"/>
    <cellStyle name="Millares 2 80 2 5 4 4 2" xfId="45451" xr:uid="{00000000-0005-0000-0000-00001D2E0000}"/>
    <cellStyle name="Millares 2 80 2 5 4 5" xfId="31889" xr:uid="{00000000-0005-0000-0000-00001E2E0000}"/>
    <cellStyle name="Millares 2 80 2 5 5" xfId="8125" xr:uid="{00000000-0005-0000-0000-00001F2E0000}"/>
    <cellStyle name="Millares 2 80 2 5 5 2" xfId="14915" xr:uid="{00000000-0005-0000-0000-0000202E0000}"/>
    <cellStyle name="Millares 2 80 2 5 5 2 2" xfId="28483" xr:uid="{00000000-0005-0000-0000-0000212E0000}"/>
    <cellStyle name="Millares 2 80 2 5 5 2 2 2" xfId="55616" xr:uid="{00000000-0005-0000-0000-0000222E0000}"/>
    <cellStyle name="Millares 2 80 2 5 5 2 3" xfId="42054" xr:uid="{00000000-0005-0000-0000-0000232E0000}"/>
    <cellStyle name="Millares 2 80 2 5 5 3" xfId="21702" xr:uid="{00000000-0005-0000-0000-0000242E0000}"/>
    <cellStyle name="Millares 2 80 2 5 5 3 2" xfId="48835" xr:uid="{00000000-0005-0000-0000-0000252E0000}"/>
    <cellStyle name="Millares 2 80 2 5 5 4" xfId="35273" xr:uid="{00000000-0005-0000-0000-0000262E0000}"/>
    <cellStyle name="Millares 2 80 2 5 6" xfId="11526" xr:uid="{00000000-0005-0000-0000-0000272E0000}"/>
    <cellStyle name="Millares 2 80 2 5 6 2" xfId="25094" xr:uid="{00000000-0005-0000-0000-0000282E0000}"/>
    <cellStyle name="Millares 2 80 2 5 6 2 2" xfId="52227" xr:uid="{00000000-0005-0000-0000-0000292E0000}"/>
    <cellStyle name="Millares 2 80 2 5 6 3" xfId="38665" xr:uid="{00000000-0005-0000-0000-00002A2E0000}"/>
    <cellStyle name="Millares 2 80 2 5 7" xfId="18313" xr:uid="{00000000-0005-0000-0000-00002B2E0000}"/>
    <cellStyle name="Millares 2 80 2 5 7 2" xfId="45446" xr:uid="{00000000-0005-0000-0000-00002C2E0000}"/>
    <cellStyle name="Millares 2 80 2 5 8" xfId="31884" xr:uid="{00000000-0005-0000-0000-00002D2E0000}"/>
    <cellStyle name="Millares 2 80 2 6" xfId="4522" xr:uid="{00000000-0005-0000-0000-00002E2E0000}"/>
    <cellStyle name="Millares 2 80 2 6 2" xfId="4523" xr:uid="{00000000-0005-0000-0000-00002F2E0000}"/>
    <cellStyle name="Millares 2 80 2 6 2 2" xfId="4524" xr:uid="{00000000-0005-0000-0000-0000302E0000}"/>
    <cellStyle name="Millares 2 80 2 6 2 2 2" xfId="8133" xr:uid="{00000000-0005-0000-0000-0000312E0000}"/>
    <cellStyle name="Millares 2 80 2 6 2 2 2 2" xfId="14923" xr:uid="{00000000-0005-0000-0000-0000322E0000}"/>
    <cellStyle name="Millares 2 80 2 6 2 2 2 2 2" xfId="28491" xr:uid="{00000000-0005-0000-0000-0000332E0000}"/>
    <cellStyle name="Millares 2 80 2 6 2 2 2 2 2 2" xfId="55624" xr:uid="{00000000-0005-0000-0000-0000342E0000}"/>
    <cellStyle name="Millares 2 80 2 6 2 2 2 2 3" xfId="42062" xr:uid="{00000000-0005-0000-0000-0000352E0000}"/>
    <cellStyle name="Millares 2 80 2 6 2 2 2 3" xfId="21710" xr:uid="{00000000-0005-0000-0000-0000362E0000}"/>
    <cellStyle name="Millares 2 80 2 6 2 2 2 3 2" xfId="48843" xr:uid="{00000000-0005-0000-0000-0000372E0000}"/>
    <cellStyle name="Millares 2 80 2 6 2 2 2 4" xfId="35281" xr:uid="{00000000-0005-0000-0000-0000382E0000}"/>
    <cellStyle name="Millares 2 80 2 6 2 2 3" xfId="11534" xr:uid="{00000000-0005-0000-0000-0000392E0000}"/>
    <cellStyle name="Millares 2 80 2 6 2 2 3 2" xfId="25102" xr:uid="{00000000-0005-0000-0000-00003A2E0000}"/>
    <cellStyle name="Millares 2 80 2 6 2 2 3 2 2" xfId="52235" xr:uid="{00000000-0005-0000-0000-00003B2E0000}"/>
    <cellStyle name="Millares 2 80 2 6 2 2 3 3" xfId="38673" xr:uid="{00000000-0005-0000-0000-00003C2E0000}"/>
    <cellStyle name="Millares 2 80 2 6 2 2 4" xfId="18321" xr:uid="{00000000-0005-0000-0000-00003D2E0000}"/>
    <cellStyle name="Millares 2 80 2 6 2 2 4 2" xfId="45454" xr:uid="{00000000-0005-0000-0000-00003E2E0000}"/>
    <cellStyle name="Millares 2 80 2 6 2 2 5" xfId="31892" xr:uid="{00000000-0005-0000-0000-00003F2E0000}"/>
    <cellStyle name="Millares 2 80 2 6 2 3" xfId="4525" xr:uid="{00000000-0005-0000-0000-0000402E0000}"/>
    <cellStyle name="Millares 2 80 2 6 2 3 2" xfId="8134" xr:uid="{00000000-0005-0000-0000-0000412E0000}"/>
    <cellStyle name="Millares 2 80 2 6 2 3 2 2" xfId="14924" xr:uid="{00000000-0005-0000-0000-0000422E0000}"/>
    <cellStyle name="Millares 2 80 2 6 2 3 2 2 2" xfId="28492" xr:uid="{00000000-0005-0000-0000-0000432E0000}"/>
    <cellStyle name="Millares 2 80 2 6 2 3 2 2 2 2" xfId="55625" xr:uid="{00000000-0005-0000-0000-0000442E0000}"/>
    <cellStyle name="Millares 2 80 2 6 2 3 2 2 3" xfId="42063" xr:uid="{00000000-0005-0000-0000-0000452E0000}"/>
    <cellStyle name="Millares 2 80 2 6 2 3 2 3" xfId="21711" xr:uid="{00000000-0005-0000-0000-0000462E0000}"/>
    <cellStyle name="Millares 2 80 2 6 2 3 2 3 2" xfId="48844" xr:uid="{00000000-0005-0000-0000-0000472E0000}"/>
    <cellStyle name="Millares 2 80 2 6 2 3 2 4" xfId="35282" xr:uid="{00000000-0005-0000-0000-0000482E0000}"/>
    <cellStyle name="Millares 2 80 2 6 2 3 3" xfId="11535" xr:uid="{00000000-0005-0000-0000-0000492E0000}"/>
    <cellStyle name="Millares 2 80 2 6 2 3 3 2" xfId="25103" xr:uid="{00000000-0005-0000-0000-00004A2E0000}"/>
    <cellStyle name="Millares 2 80 2 6 2 3 3 2 2" xfId="52236" xr:uid="{00000000-0005-0000-0000-00004B2E0000}"/>
    <cellStyle name="Millares 2 80 2 6 2 3 3 3" xfId="38674" xr:uid="{00000000-0005-0000-0000-00004C2E0000}"/>
    <cellStyle name="Millares 2 80 2 6 2 3 4" xfId="18322" xr:uid="{00000000-0005-0000-0000-00004D2E0000}"/>
    <cellStyle name="Millares 2 80 2 6 2 3 4 2" xfId="45455" xr:uid="{00000000-0005-0000-0000-00004E2E0000}"/>
    <cellStyle name="Millares 2 80 2 6 2 3 5" xfId="31893" xr:uid="{00000000-0005-0000-0000-00004F2E0000}"/>
    <cellStyle name="Millares 2 80 2 6 2 4" xfId="8132" xr:uid="{00000000-0005-0000-0000-0000502E0000}"/>
    <cellStyle name="Millares 2 80 2 6 2 4 2" xfId="14922" xr:uid="{00000000-0005-0000-0000-0000512E0000}"/>
    <cellStyle name="Millares 2 80 2 6 2 4 2 2" xfId="28490" xr:uid="{00000000-0005-0000-0000-0000522E0000}"/>
    <cellStyle name="Millares 2 80 2 6 2 4 2 2 2" xfId="55623" xr:uid="{00000000-0005-0000-0000-0000532E0000}"/>
    <cellStyle name="Millares 2 80 2 6 2 4 2 3" xfId="42061" xr:uid="{00000000-0005-0000-0000-0000542E0000}"/>
    <cellStyle name="Millares 2 80 2 6 2 4 3" xfId="21709" xr:uid="{00000000-0005-0000-0000-0000552E0000}"/>
    <cellStyle name="Millares 2 80 2 6 2 4 3 2" xfId="48842" xr:uid="{00000000-0005-0000-0000-0000562E0000}"/>
    <cellStyle name="Millares 2 80 2 6 2 4 4" xfId="35280" xr:uid="{00000000-0005-0000-0000-0000572E0000}"/>
    <cellStyle name="Millares 2 80 2 6 2 5" xfId="11533" xr:uid="{00000000-0005-0000-0000-0000582E0000}"/>
    <cellStyle name="Millares 2 80 2 6 2 5 2" xfId="25101" xr:uid="{00000000-0005-0000-0000-0000592E0000}"/>
    <cellStyle name="Millares 2 80 2 6 2 5 2 2" xfId="52234" xr:uid="{00000000-0005-0000-0000-00005A2E0000}"/>
    <cellStyle name="Millares 2 80 2 6 2 5 3" xfId="38672" xr:uid="{00000000-0005-0000-0000-00005B2E0000}"/>
    <cellStyle name="Millares 2 80 2 6 2 6" xfId="18320" xr:uid="{00000000-0005-0000-0000-00005C2E0000}"/>
    <cellStyle name="Millares 2 80 2 6 2 6 2" xfId="45453" xr:uid="{00000000-0005-0000-0000-00005D2E0000}"/>
    <cellStyle name="Millares 2 80 2 6 2 7" xfId="31891" xr:uid="{00000000-0005-0000-0000-00005E2E0000}"/>
    <cellStyle name="Millares 2 80 2 6 3" xfId="4526" xr:uid="{00000000-0005-0000-0000-00005F2E0000}"/>
    <cellStyle name="Millares 2 80 2 6 3 2" xfId="8135" xr:uid="{00000000-0005-0000-0000-0000602E0000}"/>
    <cellStyle name="Millares 2 80 2 6 3 2 2" xfId="14925" xr:uid="{00000000-0005-0000-0000-0000612E0000}"/>
    <cellStyle name="Millares 2 80 2 6 3 2 2 2" xfId="28493" xr:uid="{00000000-0005-0000-0000-0000622E0000}"/>
    <cellStyle name="Millares 2 80 2 6 3 2 2 2 2" xfId="55626" xr:uid="{00000000-0005-0000-0000-0000632E0000}"/>
    <cellStyle name="Millares 2 80 2 6 3 2 2 3" xfId="42064" xr:uid="{00000000-0005-0000-0000-0000642E0000}"/>
    <cellStyle name="Millares 2 80 2 6 3 2 3" xfId="21712" xr:uid="{00000000-0005-0000-0000-0000652E0000}"/>
    <cellStyle name="Millares 2 80 2 6 3 2 3 2" xfId="48845" xr:uid="{00000000-0005-0000-0000-0000662E0000}"/>
    <cellStyle name="Millares 2 80 2 6 3 2 4" xfId="35283" xr:uid="{00000000-0005-0000-0000-0000672E0000}"/>
    <cellStyle name="Millares 2 80 2 6 3 3" xfId="11536" xr:uid="{00000000-0005-0000-0000-0000682E0000}"/>
    <cellStyle name="Millares 2 80 2 6 3 3 2" xfId="25104" xr:uid="{00000000-0005-0000-0000-0000692E0000}"/>
    <cellStyle name="Millares 2 80 2 6 3 3 2 2" xfId="52237" xr:uid="{00000000-0005-0000-0000-00006A2E0000}"/>
    <cellStyle name="Millares 2 80 2 6 3 3 3" xfId="38675" xr:uid="{00000000-0005-0000-0000-00006B2E0000}"/>
    <cellStyle name="Millares 2 80 2 6 3 4" xfId="18323" xr:uid="{00000000-0005-0000-0000-00006C2E0000}"/>
    <cellStyle name="Millares 2 80 2 6 3 4 2" xfId="45456" xr:uid="{00000000-0005-0000-0000-00006D2E0000}"/>
    <cellStyle name="Millares 2 80 2 6 3 5" xfId="31894" xr:uid="{00000000-0005-0000-0000-00006E2E0000}"/>
    <cellStyle name="Millares 2 80 2 6 4" xfId="4527" xr:uid="{00000000-0005-0000-0000-00006F2E0000}"/>
    <cellStyle name="Millares 2 80 2 6 4 2" xfId="8136" xr:uid="{00000000-0005-0000-0000-0000702E0000}"/>
    <cellStyle name="Millares 2 80 2 6 4 2 2" xfId="14926" xr:uid="{00000000-0005-0000-0000-0000712E0000}"/>
    <cellStyle name="Millares 2 80 2 6 4 2 2 2" xfId="28494" xr:uid="{00000000-0005-0000-0000-0000722E0000}"/>
    <cellStyle name="Millares 2 80 2 6 4 2 2 2 2" xfId="55627" xr:uid="{00000000-0005-0000-0000-0000732E0000}"/>
    <cellStyle name="Millares 2 80 2 6 4 2 2 3" xfId="42065" xr:uid="{00000000-0005-0000-0000-0000742E0000}"/>
    <cellStyle name="Millares 2 80 2 6 4 2 3" xfId="21713" xr:uid="{00000000-0005-0000-0000-0000752E0000}"/>
    <cellStyle name="Millares 2 80 2 6 4 2 3 2" xfId="48846" xr:uid="{00000000-0005-0000-0000-0000762E0000}"/>
    <cellStyle name="Millares 2 80 2 6 4 2 4" xfId="35284" xr:uid="{00000000-0005-0000-0000-0000772E0000}"/>
    <cellStyle name="Millares 2 80 2 6 4 3" xfId="11537" xr:uid="{00000000-0005-0000-0000-0000782E0000}"/>
    <cellStyle name="Millares 2 80 2 6 4 3 2" xfId="25105" xr:uid="{00000000-0005-0000-0000-0000792E0000}"/>
    <cellStyle name="Millares 2 80 2 6 4 3 2 2" xfId="52238" xr:uid="{00000000-0005-0000-0000-00007A2E0000}"/>
    <cellStyle name="Millares 2 80 2 6 4 3 3" xfId="38676" xr:uid="{00000000-0005-0000-0000-00007B2E0000}"/>
    <cellStyle name="Millares 2 80 2 6 4 4" xfId="18324" xr:uid="{00000000-0005-0000-0000-00007C2E0000}"/>
    <cellStyle name="Millares 2 80 2 6 4 4 2" xfId="45457" xr:uid="{00000000-0005-0000-0000-00007D2E0000}"/>
    <cellStyle name="Millares 2 80 2 6 4 5" xfId="31895" xr:uid="{00000000-0005-0000-0000-00007E2E0000}"/>
    <cellStyle name="Millares 2 80 2 6 5" xfId="8131" xr:uid="{00000000-0005-0000-0000-00007F2E0000}"/>
    <cellStyle name="Millares 2 80 2 6 5 2" xfId="14921" xr:uid="{00000000-0005-0000-0000-0000802E0000}"/>
    <cellStyle name="Millares 2 80 2 6 5 2 2" xfId="28489" xr:uid="{00000000-0005-0000-0000-0000812E0000}"/>
    <cellStyle name="Millares 2 80 2 6 5 2 2 2" xfId="55622" xr:uid="{00000000-0005-0000-0000-0000822E0000}"/>
    <cellStyle name="Millares 2 80 2 6 5 2 3" xfId="42060" xr:uid="{00000000-0005-0000-0000-0000832E0000}"/>
    <cellStyle name="Millares 2 80 2 6 5 3" xfId="21708" xr:uid="{00000000-0005-0000-0000-0000842E0000}"/>
    <cellStyle name="Millares 2 80 2 6 5 3 2" xfId="48841" xr:uid="{00000000-0005-0000-0000-0000852E0000}"/>
    <cellStyle name="Millares 2 80 2 6 5 4" xfId="35279" xr:uid="{00000000-0005-0000-0000-0000862E0000}"/>
    <cellStyle name="Millares 2 80 2 6 6" xfId="11532" xr:uid="{00000000-0005-0000-0000-0000872E0000}"/>
    <cellStyle name="Millares 2 80 2 6 6 2" xfId="25100" xr:uid="{00000000-0005-0000-0000-0000882E0000}"/>
    <cellStyle name="Millares 2 80 2 6 6 2 2" xfId="52233" xr:uid="{00000000-0005-0000-0000-0000892E0000}"/>
    <cellStyle name="Millares 2 80 2 6 6 3" xfId="38671" xr:uid="{00000000-0005-0000-0000-00008A2E0000}"/>
    <cellStyle name="Millares 2 80 2 6 7" xfId="18319" xr:uid="{00000000-0005-0000-0000-00008B2E0000}"/>
    <cellStyle name="Millares 2 80 2 6 7 2" xfId="45452" xr:uid="{00000000-0005-0000-0000-00008C2E0000}"/>
    <cellStyle name="Millares 2 80 2 6 8" xfId="31890" xr:uid="{00000000-0005-0000-0000-00008D2E0000}"/>
    <cellStyle name="Millares 2 80 2 7" xfId="4528" xr:uid="{00000000-0005-0000-0000-00008E2E0000}"/>
    <cellStyle name="Millares 2 80 2 7 2" xfId="4529" xr:uid="{00000000-0005-0000-0000-00008F2E0000}"/>
    <cellStyle name="Millares 2 80 2 7 2 2" xfId="8138" xr:uid="{00000000-0005-0000-0000-0000902E0000}"/>
    <cellStyle name="Millares 2 80 2 7 2 2 2" xfId="14928" xr:uid="{00000000-0005-0000-0000-0000912E0000}"/>
    <cellStyle name="Millares 2 80 2 7 2 2 2 2" xfId="28496" xr:uid="{00000000-0005-0000-0000-0000922E0000}"/>
    <cellStyle name="Millares 2 80 2 7 2 2 2 2 2" xfId="55629" xr:uid="{00000000-0005-0000-0000-0000932E0000}"/>
    <cellStyle name="Millares 2 80 2 7 2 2 2 3" xfId="42067" xr:uid="{00000000-0005-0000-0000-0000942E0000}"/>
    <cellStyle name="Millares 2 80 2 7 2 2 3" xfId="21715" xr:uid="{00000000-0005-0000-0000-0000952E0000}"/>
    <cellStyle name="Millares 2 80 2 7 2 2 3 2" xfId="48848" xr:uid="{00000000-0005-0000-0000-0000962E0000}"/>
    <cellStyle name="Millares 2 80 2 7 2 2 4" xfId="35286" xr:uid="{00000000-0005-0000-0000-0000972E0000}"/>
    <cellStyle name="Millares 2 80 2 7 2 3" xfId="11539" xr:uid="{00000000-0005-0000-0000-0000982E0000}"/>
    <cellStyle name="Millares 2 80 2 7 2 3 2" xfId="25107" xr:uid="{00000000-0005-0000-0000-0000992E0000}"/>
    <cellStyle name="Millares 2 80 2 7 2 3 2 2" xfId="52240" xr:uid="{00000000-0005-0000-0000-00009A2E0000}"/>
    <cellStyle name="Millares 2 80 2 7 2 3 3" xfId="38678" xr:uid="{00000000-0005-0000-0000-00009B2E0000}"/>
    <cellStyle name="Millares 2 80 2 7 2 4" xfId="18326" xr:uid="{00000000-0005-0000-0000-00009C2E0000}"/>
    <cellStyle name="Millares 2 80 2 7 2 4 2" xfId="45459" xr:uid="{00000000-0005-0000-0000-00009D2E0000}"/>
    <cellStyle name="Millares 2 80 2 7 2 5" xfId="31897" xr:uid="{00000000-0005-0000-0000-00009E2E0000}"/>
    <cellStyle name="Millares 2 80 2 7 3" xfId="4530" xr:uid="{00000000-0005-0000-0000-00009F2E0000}"/>
    <cellStyle name="Millares 2 80 2 7 3 2" xfId="8139" xr:uid="{00000000-0005-0000-0000-0000A02E0000}"/>
    <cellStyle name="Millares 2 80 2 7 3 2 2" xfId="14929" xr:uid="{00000000-0005-0000-0000-0000A12E0000}"/>
    <cellStyle name="Millares 2 80 2 7 3 2 2 2" xfId="28497" xr:uid="{00000000-0005-0000-0000-0000A22E0000}"/>
    <cellStyle name="Millares 2 80 2 7 3 2 2 2 2" xfId="55630" xr:uid="{00000000-0005-0000-0000-0000A32E0000}"/>
    <cellStyle name="Millares 2 80 2 7 3 2 2 3" xfId="42068" xr:uid="{00000000-0005-0000-0000-0000A42E0000}"/>
    <cellStyle name="Millares 2 80 2 7 3 2 3" xfId="21716" xr:uid="{00000000-0005-0000-0000-0000A52E0000}"/>
    <cellStyle name="Millares 2 80 2 7 3 2 3 2" xfId="48849" xr:uid="{00000000-0005-0000-0000-0000A62E0000}"/>
    <cellStyle name="Millares 2 80 2 7 3 2 4" xfId="35287" xr:uid="{00000000-0005-0000-0000-0000A72E0000}"/>
    <cellStyle name="Millares 2 80 2 7 3 3" xfId="11540" xr:uid="{00000000-0005-0000-0000-0000A82E0000}"/>
    <cellStyle name="Millares 2 80 2 7 3 3 2" xfId="25108" xr:uid="{00000000-0005-0000-0000-0000A92E0000}"/>
    <cellStyle name="Millares 2 80 2 7 3 3 2 2" xfId="52241" xr:uid="{00000000-0005-0000-0000-0000AA2E0000}"/>
    <cellStyle name="Millares 2 80 2 7 3 3 3" xfId="38679" xr:uid="{00000000-0005-0000-0000-0000AB2E0000}"/>
    <cellStyle name="Millares 2 80 2 7 3 4" xfId="18327" xr:uid="{00000000-0005-0000-0000-0000AC2E0000}"/>
    <cellStyle name="Millares 2 80 2 7 3 4 2" xfId="45460" xr:uid="{00000000-0005-0000-0000-0000AD2E0000}"/>
    <cellStyle name="Millares 2 80 2 7 3 5" xfId="31898" xr:uid="{00000000-0005-0000-0000-0000AE2E0000}"/>
    <cellStyle name="Millares 2 80 2 7 4" xfId="8137" xr:uid="{00000000-0005-0000-0000-0000AF2E0000}"/>
    <cellStyle name="Millares 2 80 2 7 4 2" xfId="14927" xr:uid="{00000000-0005-0000-0000-0000B02E0000}"/>
    <cellStyle name="Millares 2 80 2 7 4 2 2" xfId="28495" xr:uid="{00000000-0005-0000-0000-0000B12E0000}"/>
    <cellStyle name="Millares 2 80 2 7 4 2 2 2" xfId="55628" xr:uid="{00000000-0005-0000-0000-0000B22E0000}"/>
    <cellStyle name="Millares 2 80 2 7 4 2 3" xfId="42066" xr:uid="{00000000-0005-0000-0000-0000B32E0000}"/>
    <cellStyle name="Millares 2 80 2 7 4 3" xfId="21714" xr:uid="{00000000-0005-0000-0000-0000B42E0000}"/>
    <cellStyle name="Millares 2 80 2 7 4 3 2" xfId="48847" xr:uid="{00000000-0005-0000-0000-0000B52E0000}"/>
    <cellStyle name="Millares 2 80 2 7 4 4" xfId="35285" xr:uid="{00000000-0005-0000-0000-0000B62E0000}"/>
    <cellStyle name="Millares 2 80 2 7 5" xfId="11538" xr:uid="{00000000-0005-0000-0000-0000B72E0000}"/>
    <cellStyle name="Millares 2 80 2 7 5 2" xfId="25106" xr:uid="{00000000-0005-0000-0000-0000B82E0000}"/>
    <cellStyle name="Millares 2 80 2 7 5 2 2" xfId="52239" xr:uid="{00000000-0005-0000-0000-0000B92E0000}"/>
    <cellStyle name="Millares 2 80 2 7 5 3" xfId="38677" xr:uid="{00000000-0005-0000-0000-0000BA2E0000}"/>
    <cellStyle name="Millares 2 80 2 7 6" xfId="18325" xr:uid="{00000000-0005-0000-0000-0000BB2E0000}"/>
    <cellStyle name="Millares 2 80 2 7 6 2" xfId="45458" xr:uid="{00000000-0005-0000-0000-0000BC2E0000}"/>
    <cellStyle name="Millares 2 80 2 7 7" xfId="31896" xr:uid="{00000000-0005-0000-0000-0000BD2E0000}"/>
    <cellStyle name="Millares 2 80 2 8" xfId="4531" xr:uid="{00000000-0005-0000-0000-0000BE2E0000}"/>
    <cellStyle name="Millares 2 80 2 8 2" xfId="4532" xr:uid="{00000000-0005-0000-0000-0000BF2E0000}"/>
    <cellStyle name="Millares 2 80 2 8 2 2" xfId="8141" xr:uid="{00000000-0005-0000-0000-0000C02E0000}"/>
    <cellStyle name="Millares 2 80 2 8 2 2 2" xfId="14931" xr:uid="{00000000-0005-0000-0000-0000C12E0000}"/>
    <cellStyle name="Millares 2 80 2 8 2 2 2 2" xfId="28499" xr:uid="{00000000-0005-0000-0000-0000C22E0000}"/>
    <cellStyle name="Millares 2 80 2 8 2 2 2 2 2" xfId="55632" xr:uid="{00000000-0005-0000-0000-0000C32E0000}"/>
    <cellStyle name="Millares 2 80 2 8 2 2 2 3" xfId="42070" xr:uid="{00000000-0005-0000-0000-0000C42E0000}"/>
    <cellStyle name="Millares 2 80 2 8 2 2 3" xfId="21718" xr:uid="{00000000-0005-0000-0000-0000C52E0000}"/>
    <cellStyle name="Millares 2 80 2 8 2 2 3 2" xfId="48851" xr:uid="{00000000-0005-0000-0000-0000C62E0000}"/>
    <cellStyle name="Millares 2 80 2 8 2 2 4" xfId="35289" xr:uid="{00000000-0005-0000-0000-0000C72E0000}"/>
    <cellStyle name="Millares 2 80 2 8 2 3" xfId="11542" xr:uid="{00000000-0005-0000-0000-0000C82E0000}"/>
    <cellStyle name="Millares 2 80 2 8 2 3 2" xfId="25110" xr:uid="{00000000-0005-0000-0000-0000C92E0000}"/>
    <cellStyle name="Millares 2 80 2 8 2 3 2 2" xfId="52243" xr:uid="{00000000-0005-0000-0000-0000CA2E0000}"/>
    <cellStyle name="Millares 2 80 2 8 2 3 3" xfId="38681" xr:uid="{00000000-0005-0000-0000-0000CB2E0000}"/>
    <cellStyle name="Millares 2 80 2 8 2 4" xfId="18329" xr:uid="{00000000-0005-0000-0000-0000CC2E0000}"/>
    <cellStyle name="Millares 2 80 2 8 2 4 2" xfId="45462" xr:uid="{00000000-0005-0000-0000-0000CD2E0000}"/>
    <cellStyle name="Millares 2 80 2 8 2 5" xfId="31900" xr:uid="{00000000-0005-0000-0000-0000CE2E0000}"/>
    <cellStyle name="Millares 2 80 2 8 3" xfId="4533" xr:uid="{00000000-0005-0000-0000-0000CF2E0000}"/>
    <cellStyle name="Millares 2 80 2 8 3 2" xfId="8142" xr:uid="{00000000-0005-0000-0000-0000D02E0000}"/>
    <cellStyle name="Millares 2 80 2 8 3 2 2" xfId="14932" xr:uid="{00000000-0005-0000-0000-0000D12E0000}"/>
    <cellStyle name="Millares 2 80 2 8 3 2 2 2" xfId="28500" xr:uid="{00000000-0005-0000-0000-0000D22E0000}"/>
    <cellStyle name="Millares 2 80 2 8 3 2 2 2 2" xfId="55633" xr:uid="{00000000-0005-0000-0000-0000D32E0000}"/>
    <cellStyle name="Millares 2 80 2 8 3 2 2 3" xfId="42071" xr:uid="{00000000-0005-0000-0000-0000D42E0000}"/>
    <cellStyle name="Millares 2 80 2 8 3 2 3" xfId="21719" xr:uid="{00000000-0005-0000-0000-0000D52E0000}"/>
    <cellStyle name="Millares 2 80 2 8 3 2 3 2" xfId="48852" xr:uid="{00000000-0005-0000-0000-0000D62E0000}"/>
    <cellStyle name="Millares 2 80 2 8 3 2 4" xfId="35290" xr:uid="{00000000-0005-0000-0000-0000D72E0000}"/>
    <cellStyle name="Millares 2 80 2 8 3 3" xfId="11543" xr:uid="{00000000-0005-0000-0000-0000D82E0000}"/>
    <cellStyle name="Millares 2 80 2 8 3 3 2" xfId="25111" xr:uid="{00000000-0005-0000-0000-0000D92E0000}"/>
    <cellStyle name="Millares 2 80 2 8 3 3 2 2" xfId="52244" xr:uid="{00000000-0005-0000-0000-0000DA2E0000}"/>
    <cellStyle name="Millares 2 80 2 8 3 3 3" xfId="38682" xr:uid="{00000000-0005-0000-0000-0000DB2E0000}"/>
    <cellStyle name="Millares 2 80 2 8 3 4" xfId="18330" xr:uid="{00000000-0005-0000-0000-0000DC2E0000}"/>
    <cellStyle name="Millares 2 80 2 8 3 4 2" xfId="45463" xr:uid="{00000000-0005-0000-0000-0000DD2E0000}"/>
    <cellStyle name="Millares 2 80 2 8 3 5" xfId="31901" xr:uid="{00000000-0005-0000-0000-0000DE2E0000}"/>
    <cellStyle name="Millares 2 80 2 8 4" xfId="8140" xr:uid="{00000000-0005-0000-0000-0000DF2E0000}"/>
    <cellStyle name="Millares 2 80 2 8 4 2" xfId="14930" xr:uid="{00000000-0005-0000-0000-0000E02E0000}"/>
    <cellStyle name="Millares 2 80 2 8 4 2 2" xfId="28498" xr:uid="{00000000-0005-0000-0000-0000E12E0000}"/>
    <cellStyle name="Millares 2 80 2 8 4 2 2 2" xfId="55631" xr:uid="{00000000-0005-0000-0000-0000E22E0000}"/>
    <cellStyle name="Millares 2 80 2 8 4 2 3" xfId="42069" xr:uid="{00000000-0005-0000-0000-0000E32E0000}"/>
    <cellStyle name="Millares 2 80 2 8 4 3" xfId="21717" xr:uid="{00000000-0005-0000-0000-0000E42E0000}"/>
    <cellStyle name="Millares 2 80 2 8 4 3 2" xfId="48850" xr:uid="{00000000-0005-0000-0000-0000E52E0000}"/>
    <cellStyle name="Millares 2 80 2 8 4 4" xfId="35288" xr:uid="{00000000-0005-0000-0000-0000E62E0000}"/>
    <cellStyle name="Millares 2 80 2 8 5" xfId="11541" xr:uid="{00000000-0005-0000-0000-0000E72E0000}"/>
    <cellStyle name="Millares 2 80 2 8 5 2" xfId="25109" xr:uid="{00000000-0005-0000-0000-0000E82E0000}"/>
    <cellStyle name="Millares 2 80 2 8 5 2 2" xfId="52242" xr:uid="{00000000-0005-0000-0000-0000E92E0000}"/>
    <cellStyle name="Millares 2 80 2 8 5 3" xfId="38680" xr:uid="{00000000-0005-0000-0000-0000EA2E0000}"/>
    <cellStyle name="Millares 2 80 2 8 6" xfId="18328" xr:uid="{00000000-0005-0000-0000-0000EB2E0000}"/>
    <cellStyle name="Millares 2 80 2 8 6 2" xfId="45461" xr:uid="{00000000-0005-0000-0000-0000EC2E0000}"/>
    <cellStyle name="Millares 2 80 2 8 7" xfId="31899" xr:uid="{00000000-0005-0000-0000-0000ED2E0000}"/>
    <cellStyle name="Millares 2 80 2 9" xfId="4534" xr:uid="{00000000-0005-0000-0000-0000EE2E0000}"/>
    <cellStyle name="Millares 2 80 2 9 2" xfId="8143" xr:uid="{00000000-0005-0000-0000-0000EF2E0000}"/>
    <cellStyle name="Millares 2 80 2 9 2 2" xfId="14933" xr:uid="{00000000-0005-0000-0000-0000F02E0000}"/>
    <cellStyle name="Millares 2 80 2 9 2 2 2" xfId="28501" xr:uid="{00000000-0005-0000-0000-0000F12E0000}"/>
    <cellStyle name="Millares 2 80 2 9 2 2 2 2" xfId="55634" xr:uid="{00000000-0005-0000-0000-0000F22E0000}"/>
    <cellStyle name="Millares 2 80 2 9 2 2 3" xfId="42072" xr:uid="{00000000-0005-0000-0000-0000F32E0000}"/>
    <cellStyle name="Millares 2 80 2 9 2 3" xfId="21720" xr:uid="{00000000-0005-0000-0000-0000F42E0000}"/>
    <cellStyle name="Millares 2 80 2 9 2 3 2" xfId="48853" xr:uid="{00000000-0005-0000-0000-0000F52E0000}"/>
    <cellStyle name="Millares 2 80 2 9 2 4" xfId="35291" xr:uid="{00000000-0005-0000-0000-0000F62E0000}"/>
    <cellStyle name="Millares 2 80 2 9 3" xfId="11544" xr:uid="{00000000-0005-0000-0000-0000F72E0000}"/>
    <cellStyle name="Millares 2 80 2 9 3 2" xfId="25112" xr:uid="{00000000-0005-0000-0000-0000F82E0000}"/>
    <cellStyle name="Millares 2 80 2 9 3 2 2" xfId="52245" xr:uid="{00000000-0005-0000-0000-0000F92E0000}"/>
    <cellStyle name="Millares 2 80 2 9 3 3" xfId="38683" xr:uid="{00000000-0005-0000-0000-0000FA2E0000}"/>
    <cellStyle name="Millares 2 80 2 9 4" xfId="18331" xr:uid="{00000000-0005-0000-0000-0000FB2E0000}"/>
    <cellStyle name="Millares 2 80 2 9 4 2" xfId="45464" xr:uid="{00000000-0005-0000-0000-0000FC2E0000}"/>
    <cellStyle name="Millares 2 80 2 9 5" xfId="31902" xr:uid="{00000000-0005-0000-0000-0000FD2E0000}"/>
    <cellStyle name="Millares 2 80 3" xfId="4535" xr:uid="{00000000-0005-0000-0000-0000FE2E0000}"/>
    <cellStyle name="Millares 2 80 3 10" xfId="8144" xr:uid="{00000000-0005-0000-0000-0000FF2E0000}"/>
    <cellStyle name="Millares 2 80 3 10 2" xfId="14934" xr:uid="{00000000-0005-0000-0000-0000002F0000}"/>
    <cellStyle name="Millares 2 80 3 10 2 2" xfId="28502" xr:uid="{00000000-0005-0000-0000-0000012F0000}"/>
    <cellStyle name="Millares 2 80 3 10 2 2 2" xfId="55635" xr:uid="{00000000-0005-0000-0000-0000022F0000}"/>
    <cellStyle name="Millares 2 80 3 10 2 3" xfId="42073" xr:uid="{00000000-0005-0000-0000-0000032F0000}"/>
    <cellStyle name="Millares 2 80 3 10 3" xfId="21721" xr:uid="{00000000-0005-0000-0000-0000042F0000}"/>
    <cellStyle name="Millares 2 80 3 10 3 2" xfId="48854" xr:uid="{00000000-0005-0000-0000-0000052F0000}"/>
    <cellStyle name="Millares 2 80 3 10 4" xfId="35292" xr:uid="{00000000-0005-0000-0000-0000062F0000}"/>
    <cellStyle name="Millares 2 80 3 11" xfId="11545" xr:uid="{00000000-0005-0000-0000-0000072F0000}"/>
    <cellStyle name="Millares 2 80 3 11 2" xfId="25113" xr:uid="{00000000-0005-0000-0000-0000082F0000}"/>
    <cellStyle name="Millares 2 80 3 11 2 2" xfId="52246" xr:uid="{00000000-0005-0000-0000-0000092F0000}"/>
    <cellStyle name="Millares 2 80 3 11 3" xfId="38684" xr:uid="{00000000-0005-0000-0000-00000A2F0000}"/>
    <cellStyle name="Millares 2 80 3 12" xfId="18332" xr:uid="{00000000-0005-0000-0000-00000B2F0000}"/>
    <cellStyle name="Millares 2 80 3 12 2" xfId="45465" xr:uid="{00000000-0005-0000-0000-00000C2F0000}"/>
    <cellStyle name="Millares 2 80 3 13" xfId="31903" xr:uid="{00000000-0005-0000-0000-00000D2F0000}"/>
    <cellStyle name="Millares 2 80 3 2" xfId="4536" xr:uid="{00000000-0005-0000-0000-00000E2F0000}"/>
    <cellStyle name="Millares 2 80 3 2 10" xfId="31904" xr:uid="{00000000-0005-0000-0000-00000F2F0000}"/>
    <cellStyle name="Millares 2 80 3 2 2" xfId="4537" xr:uid="{00000000-0005-0000-0000-0000102F0000}"/>
    <cellStyle name="Millares 2 80 3 2 2 2" xfId="4538" xr:uid="{00000000-0005-0000-0000-0000112F0000}"/>
    <cellStyle name="Millares 2 80 3 2 2 2 2" xfId="4539" xr:uid="{00000000-0005-0000-0000-0000122F0000}"/>
    <cellStyle name="Millares 2 80 3 2 2 2 2 2" xfId="8148" xr:uid="{00000000-0005-0000-0000-0000132F0000}"/>
    <cellStyle name="Millares 2 80 3 2 2 2 2 2 2" xfId="14938" xr:uid="{00000000-0005-0000-0000-0000142F0000}"/>
    <cellStyle name="Millares 2 80 3 2 2 2 2 2 2 2" xfId="28506" xr:uid="{00000000-0005-0000-0000-0000152F0000}"/>
    <cellStyle name="Millares 2 80 3 2 2 2 2 2 2 2 2" xfId="55639" xr:uid="{00000000-0005-0000-0000-0000162F0000}"/>
    <cellStyle name="Millares 2 80 3 2 2 2 2 2 2 3" xfId="42077" xr:uid="{00000000-0005-0000-0000-0000172F0000}"/>
    <cellStyle name="Millares 2 80 3 2 2 2 2 2 3" xfId="21725" xr:uid="{00000000-0005-0000-0000-0000182F0000}"/>
    <cellStyle name="Millares 2 80 3 2 2 2 2 2 3 2" xfId="48858" xr:uid="{00000000-0005-0000-0000-0000192F0000}"/>
    <cellStyle name="Millares 2 80 3 2 2 2 2 2 4" xfId="35296" xr:uid="{00000000-0005-0000-0000-00001A2F0000}"/>
    <cellStyle name="Millares 2 80 3 2 2 2 2 3" xfId="11549" xr:uid="{00000000-0005-0000-0000-00001B2F0000}"/>
    <cellStyle name="Millares 2 80 3 2 2 2 2 3 2" xfId="25117" xr:uid="{00000000-0005-0000-0000-00001C2F0000}"/>
    <cellStyle name="Millares 2 80 3 2 2 2 2 3 2 2" xfId="52250" xr:uid="{00000000-0005-0000-0000-00001D2F0000}"/>
    <cellStyle name="Millares 2 80 3 2 2 2 2 3 3" xfId="38688" xr:uid="{00000000-0005-0000-0000-00001E2F0000}"/>
    <cellStyle name="Millares 2 80 3 2 2 2 2 4" xfId="18336" xr:uid="{00000000-0005-0000-0000-00001F2F0000}"/>
    <cellStyle name="Millares 2 80 3 2 2 2 2 4 2" xfId="45469" xr:uid="{00000000-0005-0000-0000-0000202F0000}"/>
    <cellStyle name="Millares 2 80 3 2 2 2 2 5" xfId="31907" xr:uid="{00000000-0005-0000-0000-0000212F0000}"/>
    <cellStyle name="Millares 2 80 3 2 2 2 3" xfId="4540" xr:uid="{00000000-0005-0000-0000-0000222F0000}"/>
    <cellStyle name="Millares 2 80 3 2 2 2 3 2" xfId="8149" xr:uid="{00000000-0005-0000-0000-0000232F0000}"/>
    <cellStyle name="Millares 2 80 3 2 2 2 3 2 2" xfId="14939" xr:uid="{00000000-0005-0000-0000-0000242F0000}"/>
    <cellStyle name="Millares 2 80 3 2 2 2 3 2 2 2" xfId="28507" xr:uid="{00000000-0005-0000-0000-0000252F0000}"/>
    <cellStyle name="Millares 2 80 3 2 2 2 3 2 2 2 2" xfId="55640" xr:uid="{00000000-0005-0000-0000-0000262F0000}"/>
    <cellStyle name="Millares 2 80 3 2 2 2 3 2 2 3" xfId="42078" xr:uid="{00000000-0005-0000-0000-0000272F0000}"/>
    <cellStyle name="Millares 2 80 3 2 2 2 3 2 3" xfId="21726" xr:uid="{00000000-0005-0000-0000-0000282F0000}"/>
    <cellStyle name="Millares 2 80 3 2 2 2 3 2 3 2" xfId="48859" xr:uid="{00000000-0005-0000-0000-0000292F0000}"/>
    <cellStyle name="Millares 2 80 3 2 2 2 3 2 4" xfId="35297" xr:uid="{00000000-0005-0000-0000-00002A2F0000}"/>
    <cellStyle name="Millares 2 80 3 2 2 2 3 3" xfId="11550" xr:uid="{00000000-0005-0000-0000-00002B2F0000}"/>
    <cellStyle name="Millares 2 80 3 2 2 2 3 3 2" xfId="25118" xr:uid="{00000000-0005-0000-0000-00002C2F0000}"/>
    <cellStyle name="Millares 2 80 3 2 2 2 3 3 2 2" xfId="52251" xr:uid="{00000000-0005-0000-0000-00002D2F0000}"/>
    <cellStyle name="Millares 2 80 3 2 2 2 3 3 3" xfId="38689" xr:uid="{00000000-0005-0000-0000-00002E2F0000}"/>
    <cellStyle name="Millares 2 80 3 2 2 2 3 4" xfId="18337" xr:uid="{00000000-0005-0000-0000-00002F2F0000}"/>
    <cellStyle name="Millares 2 80 3 2 2 2 3 4 2" xfId="45470" xr:uid="{00000000-0005-0000-0000-0000302F0000}"/>
    <cellStyle name="Millares 2 80 3 2 2 2 3 5" xfId="31908" xr:uid="{00000000-0005-0000-0000-0000312F0000}"/>
    <cellStyle name="Millares 2 80 3 2 2 2 4" xfId="8147" xr:uid="{00000000-0005-0000-0000-0000322F0000}"/>
    <cellStyle name="Millares 2 80 3 2 2 2 4 2" xfId="14937" xr:uid="{00000000-0005-0000-0000-0000332F0000}"/>
    <cellStyle name="Millares 2 80 3 2 2 2 4 2 2" xfId="28505" xr:uid="{00000000-0005-0000-0000-0000342F0000}"/>
    <cellStyle name="Millares 2 80 3 2 2 2 4 2 2 2" xfId="55638" xr:uid="{00000000-0005-0000-0000-0000352F0000}"/>
    <cellStyle name="Millares 2 80 3 2 2 2 4 2 3" xfId="42076" xr:uid="{00000000-0005-0000-0000-0000362F0000}"/>
    <cellStyle name="Millares 2 80 3 2 2 2 4 3" xfId="21724" xr:uid="{00000000-0005-0000-0000-0000372F0000}"/>
    <cellStyle name="Millares 2 80 3 2 2 2 4 3 2" xfId="48857" xr:uid="{00000000-0005-0000-0000-0000382F0000}"/>
    <cellStyle name="Millares 2 80 3 2 2 2 4 4" xfId="35295" xr:uid="{00000000-0005-0000-0000-0000392F0000}"/>
    <cellStyle name="Millares 2 80 3 2 2 2 5" xfId="11548" xr:uid="{00000000-0005-0000-0000-00003A2F0000}"/>
    <cellStyle name="Millares 2 80 3 2 2 2 5 2" xfId="25116" xr:uid="{00000000-0005-0000-0000-00003B2F0000}"/>
    <cellStyle name="Millares 2 80 3 2 2 2 5 2 2" xfId="52249" xr:uid="{00000000-0005-0000-0000-00003C2F0000}"/>
    <cellStyle name="Millares 2 80 3 2 2 2 5 3" xfId="38687" xr:uid="{00000000-0005-0000-0000-00003D2F0000}"/>
    <cellStyle name="Millares 2 80 3 2 2 2 6" xfId="18335" xr:uid="{00000000-0005-0000-0000-00003E2F0000}"/>
    <cellStyle name="Millares 2 80 3 2 2 2 6 2" xfId="45468" xr:uid="{00000000-0005-0000-0000-00003F2F0000}"/>
    <cellStyle name="Millares 2 80 3 2 2 2 7" xfId="31906" xr:uid="{00000000-0005-0000-0000-0000402F0000}"/>
    <cellStyle name="Millares 2 80 3 2 2 3" xfId="4541" xr:uid="{00000000-0005-0000-0000-0000412F0000}"/>
    <cellStyle name="Millares 2 80 3 2 2 3 2" xfId="4542" xr:uid="{00000000-0005-0000-0000-0000422F0000}"/>
    <cellStyle name="Millares 2 80 3 2 2 3 2 2" xfId="8151" xr:uid="{00000000-0005-0000-0000-0000432F0000}"/>
    <cellStyle name="Millares 2 80 3 2 2 3 2 2 2" xfId="14941" xr:uid="{00000000-0005-0000-0000-0000442F0000}"/>
    <cellStyle name="Millares 2 80 3 2 2 3 2 2 2 2" xfId="28509" xr:uid="{00000000-0005-0000-0000-0000452F0000}"/>
    <cellStyle name="Millares 2 80 3 2 2 3 2 2 2 2 2" xfId="55642" xr:uid="{00000000-0005-0000-0000-0000462F0000}"/>
    <cellStyle name="Millares 2 80 3 2 2 3 2 2 2 3" xfId="42080" xr:uid="{00000000-0005-0000-0000-0000472F0000}"/>
    <cellStyle name="Millares 2 80 3 2 2 3 2 2 3" xfId="21728" xr:uid="{00000000-0005-0000-0000-0000482F0000}"/>
    <cellStyle name="Millares 2 80 3 2 2 3 2 2 3 2" xfId="48861" xr:uid="{00000000-0005-0000-0000-0000492F0000}"/>
    <cellStyle name="Millares 2 80 3 2 2 3 2 2 4" xfId="35299" xr:uid="{00000000-0005-0000-0000-00004A2F0000}"/>
    <cellStyle name="Millares 2 80 3 2 2 3 2 3" xfId="11552" xr:uid="{00000000-0005-0000-0000-00004B2F0000}"/>
    <cellStyle name="Millares 2 80 3 2 2 3 2 3 2" xfId="25120" xr:uid="{00000000-0005-0000-0000-00004C2F0000}"/>
    <cellStyle name="Millares 2 80 3 2 2 3 2 3 2 2" xfId="52253" xr:uid="{00000000-0005-0000-0000-00004D2F0000}"/>
    <cellStyle name="Millares 2 80 3 2 2 3 2 3 3" xfId="38691" xr:uid="{00000000-0005-0000-0000-00004E2F0000}"/>
    <cellStyle name="Millares 2 80 3 2 2 3 2 4" xfId="18339" xr:uid="{00000000-0005-0000-0000-00004F2F0000}"/>
    <cellStyle name="Millares 2 80 3 2 2 3 2 4 2" xfId="45472" xr:uid="{00000000-0005-0000-0000-0000502F0000}"/>
    <cellStyle name="Millares 2 80 3 2 2 3 2 5" xfId="31910" xr:uid="{00000000-0005-0000-0000-0000512F0000}"/>
    <cellStyle name="Millares 2 80 3 2 2 3 3" xfId="8150" xr:uid="{00000000-0005-0000-0000-0000522F0000}"/>
    <cellStyle name="Millares 2 80 3 2 2 3 3 2" xfId="14940" xr:uid="{00000000-0005-0000-0000-0000532F0000}"/>
    <cellStyle name="Millares 2 80 3 2 2 3 3 2 2" xfId="28508" xr:uid="{00000000-0005-0000-0000-0000542F0000}"/>
    <cellStyle name="Millares 2 80 3 2 2 3 3 2 2 2" xfId="55641" xr:uid="{00000000-0005-0000-0000-0000552F0000}"/>
    <cellStyle name="Millares 2 80 3 2 2 3 3 2 3" xfId="42079" xr:uid="{00000000-0005-0000-0000-0000562F0000}"/>
    <cellStyle name="Millares 2 80 3 2 2 3 3 3" xfId="21727" xr:uid="{00000000-0005-0000-0000-0000572F0000}"/>
    <cellStyle name="Millares 2 80 3 2 2 3 3 3 2" xfId="48860" xr:uid="{00000000-0005-0000-0000-0000582F0000}"/>
    <cellStyle name="Millares 2 80 3 2 2 3 3 4" xfId="35298" xr:uid="{00000000-0005-0000-0000-0000592F0000}"/>
    <cellStyle name="Millares 2 80 3 2 2 3 4" xfId="11551" xr:uid="{00000000-0005-0000-0000-00005A2F0000}"/>
    <cellStyle name="Millares 2 80 3 2 2 3 4 2" xfId="25119" xr:uid="{00000000-0005-0000-0000-00005B2F0000}"/>
    <cellStyle name="Millares 2 80 3 2 2 3 4 2 2" xfId="52252" xr:uid="{00000000-0005-0000-0000-00005C2F0000}"/>
    <cellStyle name="Millares 2 80 3 2 2 3 4 3" xfId="38690" xr:uid="{00000000-0005-0000-0000-00005D2F0000}"/>
    <cellStyle name="Millares 2 80 3 2 2 3 5" xfId="18338" xr:uid="{00000000-0005-0000-0000-00005E2F0000}"/>
    <cellStyle name="Millares 2 80 3 2 2 3 5 2" xfId="45471" xr:uid="{00000000-0005-0000-0000-00005F2F0000}"/>
    <cellStyle name="Millares 2 80 3 2 2 3 6" xfId="31909" xr:uid="{00000000-0005-0000-0000-0000602F0000}"/>
    <cellStyle name="Millares 2 80 3 2 2 4" xfId="4543" xr:uid="{00000000-0005-0000-0000-0000612F0000}"/>
    <cellStyle name="Millares 2 80 3 2 2 4 2" xfId="8152" xr:uid="{00000000-0005-0000-0000-0000622F0000}"/>
    <cellStyle name="Millares 2 80 3 2 2 4 2 2" xfId="14942" xr:uid="{00000000-0005-0000-0000-0000632F0000}"/>
    <cellStyle name="Millares 2 80 3 2 2 4 2 2 2" xfId="28510" xr:uid="{00000000-0005-0000-0000-0000642F0000}"/>
    <cellStyle name="Millares 2 80 3 2 2 4 2 2 2 2" xfId="55643" xr:uid="{00000000-0005-0000-0000-0000652F0000}"/>
    <cellStyle name="Millares 2 80 3 2 2 4 2 2 3" xfId="42081" xr:uid="{00000000-0005-0000-0000-0000662F0000}"/>
    <cellStyle name="Millares 2 80 3 2 2 4 2 3" xfId="21729" xr:uid="{00000000-0005-0000-0000-0000672F0000}"/>
    <cellStyle name="Millares 2 80 3 2 2 4 2 3 2" xfId="48862" xr:uid="{00000000-0005-0000-0000-0000682F0000}"/>
    <cellStyle name="Millares 2 80 3 2 2 4 2 4" xfId="35300" xr:uid="{00000000-0005-0000-0000-0000692F0000}"/>
    <cellStyle name="Millares 2 80 3 2 2 4 3" xfId="11553" xr:uid="{00000000-0005-0000-0000-00006A2F0000}"/>
    <cellStyle name="Millares 2 80 3 2 2 4 3 2" xfId="25121" xr:uid="{00000000-0005-0000-0000-00006B2F0000}"/>
    <cellStyle name="Millares 2 80 3 2 2 4 3 2 2" xfId="52254" xr:uid="{00000000-0005-0000-0000-00006C2F0000}"/>
    <cellStyle name="Millares 2 80 3 2 2 4 3 3" xfId="38692" xr:uid="{00000000-0005-0000-0000-00006D2F0000}"/>
    <cellStyle name="Millares 2 80 3 2 2 4 4" xfId="18340" xr:uid="{00000000-0005-0000-0000-00006E2F0000}"/>
    <cellStyle name="Millares 2 80 3 2 2 4 4 2" xfId="45473" xr:uid="{00000000-0005-0000-0000-00006F2F0000}"/>
    <cellStyle name="Millares 2 80 3 2 2 4 5" xfId="31911" xr:uid="{00000000-0005-0000-0000-0000702F0000}"/>
    <cellStyle name="Millares 2 80 3 2 2 5" xfId="4544" xr:uid="{00000000-0005-0000-0000-0000712F0000}"/>
    <cellStyle name="Millares 2 80 3 2 2 5 2" xfId="8153" xr:uid="{00000000-0005-0000-0000-0000722F0000}"/>
    <cellStyle name="Millares 2 80 3 2 2 5 2 2" xfId="14943" xr:uid="{00000000-0005-0000-0000-0000732F0000}"/>
    <cellStyle name="Millares 2 80 3 2 2 5 2 2 2" xfId="28511" xr:uid="{00000000-0005-0000-0000-0000742F0000}"/>
    <cellStyle name="Millares 2 80 3 2 2 5 2 2 2 2" xfId="55644" xr:uid="{00000000-0005-0000-0000-0000752F0000}"/>
    <cellStyle name="Millares 2 80 3 2 2 5 2 2 3" xfId="42082" xr:uid="{00000000-0005-0000-0000-0000762F0000}"/>
    <cellStyle name="Millares 2 80 3 2 2 5 2 3" xfId="21730" xr:uid="{00000000-0005-0000-0000-0000772F0000}"/>
    <cellStyle name="Millares 2 80 3 2 2 5 2 3 2" xfId="48863" xr:uid="{00000000-0005-0000-0000-0000782F0000}"/>
    <cellStyle name="Millares 2 80 3 2 2 5 2 4" xfId="35301" xr:uid="{00000000-0005-0000-0000-0000792F0000}"/>
    <cellStyle name="Millares 2 80 3 2 2 5 3" xfId="11554" xr:uid="{00000000-0005-0000-0000-00007A2F0000}"/>
    <cellStyle name="Millares 2 80 3 2 2 5 3 2" xfId="25122" xr:uid="{00000000-0005-0000-0000-00007B2F0000}"/>
    <cellStyle name="Millares 2 80 3 2 2 5 3 2 2" xfId="52255" xr:uid="{00000000-0005-0000-0000-00007C2F0000}"/>
    <cellStyle name="Millares 2 80 3 2 2 5 3 3" xfId="38693" xr:uid="{00000000-0005-0000-0000-00007D2F0000}"/>
    <cellStyle name="Millares 2 80 3 2 2 5 4" xfId="18341" xr:uid="{00000000-0005-0000-0000-00007E2F0000}"/>
    <cellStyle name="Millares 2 80 3 2 2 5 4 2" xfId="45474" xr:uid="{00000000-0005-0000-0000-00007F2F0000}"/>
    <cellStyle name="Millares 2 80 3 2 2 5 5" xfId="31912" xr:uid="{00000000-0005-0000-0000-0000802F0000}"/>
    <cellStyle name="Millares 2 80 3 2 2 6" xfId="8146" xr:uid="{00000000-0005-0000-0000-0000812F0000}"/>
    <cellStyle name="Millares 2 80 3 2 2 6 2" xfId="14936" xr:uid="{00000000-0005-0000-0000-0000822F0000}"/>
    <cellStyle name="Millares 2 80 3 2 2 6 2 2" xfId="28504" xr:uid="{00000000-0005-0000-0000-0000832F0000}"/>
    <cellStyle name="Millares 2 80 3 2 2 6 2 2 2" xfId="55637" xr:uid="{00000000-0005-0000-0000-0000842F0000}"/>
    <cellStyle name="Millares 2 80 3 2 2 6 2 3" xfId="42075" xr:uid="{00000000-0005-0000-0000-0000852F0000}"/>
    <cellStyle name="Millares 2 80 3 2 2 6 3" xfId="21723" xr:uid="{00000000-0005-0000-0000-0000862F0000}"/>
    <cellStyle name="Millares 2 80 3 2 2 6 3 2" xfId="48856" xr:uid="{00000000-0005-0000-0000-0000872F0000}"/>
    <cellStyle name="Millares 2 80 3 2 2 6 4" xfId="35294" xr:uid="{00000000-0005-0000-0000-0000882F0000}"/>
    <cellStyle name="Millares 2 80 3 2 2 7" xfId="11547" xr:uid="{00000000-0005-0000-0000-0000892F0000}"/>
    <cellStyle name="Millares 2 80 3 2 2 7 2" xfId="25115" xr:uid="{00000000-0005-0000-0000-00008A2F0000}"/>
    <cellStyle name="Millares 2 80 3 2 2 7 2 2" xfId="52248" xr:uid="{00000000-0005-0000-0000-00008B2F0000}"/>
    <cellStyle name="Millares 2 80 3 2 2 7 3" xfId="38686" xr:uid="{00000000-0005-0000-0000-00008C2F0000}"/>
    <cellStyle name="Millares 2 80 3 2 2 8" xfId="18334" xr:uid="{00000000-0005-0000-0000-00008D2F0000}"/>
    <cellStyle name="Millares 2 80 3 2 2 8 2" xfId="45467" xr:uid="{00000000-0005-0000-0000-00008E2F0000}"/>
    <cellStyle name="Millares 2 80 3 2 2 9" xfId="31905" xr:uid="{00000000-0005-0000-0000-00008F2F0000}"/>
    <cellStyle name="Millares 2 80 3 2 3" xfId="4545" xr:uid="{00000000-0005-0000-0000-0000902F0000}"/>
    <cellStyle name="Millares 2 80 3 2 3 2" xfId="4546" xr:uid="{00000000-0005-0000-0000-0000912F0000}"/>
    <cellStyle name="Millares 2 80 3 2 3 2 2" xfId="8155" xr:uid="{00000000-0005-0000-0000-0000922F0000}"/>
    <cellStyle name="Millares 2 80 3 2 3 2 2 2" xfId="14945" xr:uid="{00000000-0005-0000-0000-0000932F0000}"/>
    <cellStyle name="Millares 2 80 3 2 3 2 2 2 2" xfId="28513" xr:uid="{00000000-0005-0000-0000-0000942F0000}"/>
    <cellStyle name="Millares 2 80 3 2 3 2 2 2 2 2" xfId="55646" xr:uid="{00000000-0005-0000-0000-0000952F0000}"/>
    <cellStyle name="Millares 2 80 3 2 3 2 2 2 3" xfId="42084" xr:uid="{00000000-0005-0000-0000-0000962F0000}"/>
    <cellStyle name="Millares 2 80 3 2 3 2 2 3" xfId="21732" xr:uid="{00000000-0005-0000-0000-0000972F0000}"/>
    <cellStyle name="Millares 2 80 3 2 3 2 2 3 2" xfId="48865" xr:uid="{00000000-0005-0000-0000-0000982F0000}"/>
    <cellStyle name="Millares 2 80 3 2 3 2 2 4" xfId="35303" xr:uid="{00000000-0005-0000-0000-0000992F0000}"/>
    <cellStyle name="Millares 2 80 3 2 3 2 3" xfId="11556" xr:uid="{00000000-0005-0000-0000-00009A2F0000}"/>
    <cellStyle name="Millares 2 80 3 2 3 2 3 2" xfId="25124" xr:uid="{00000000-0005-0000-0000-00009B2F0000}"/>
    <cellStyle name="Millares 2 80 3 2 3 2 3 2 2" xfId="52257" xr:uid="{00000000-0005-0000-0000-00009C2F0000}"/>
    <cellStyle name="Millares 2 80 3 2 3 2 3 3" xfId="38695" xr:uid="{00000000-0005-0000-0000-00009D2F0000}"/>
    <cellStyle name="Millares 2 80 3 2 3 2 4" xfId="18343" xr:uid="{00000000-0005-0000-0000-00009E2F0000}"/>
    <cellStyle name="Millares 2 80 3 2 3 2 4 2" xfId="45476" xr:uid="{00000000-0005-0000-0000-00009F2F0000}"/>
    <cellStyle name="Millares 2 80 3 2 3 2 5" xfId="31914" xr:uid="{00000000-0005-0000-0000-0000A02F0000}"/>
    <cellStyle name="Millares 2 80 3 2 3 3" xfId="4547" xr:uid="{00000000-0005-0000-0000-0000A12F0000}"/>
    <cellStyle name="Millares 2 80 3 2 3 3 2" xfId="8156" xr:uid="{00000000-0005-0000-0000-0000A22F0000}"/>
    <cellStyle name="Millares 2 80 3 2 3 3 2 2" xfId="14946" xr:uid="{00000000-0005-0000-0000-0000A32F0000}"/>
    <cellStyle name="Millares 2 80 3 2 3 3 2 2 2" xfId="28514" xr:uid="{00000000-0005-0000-0000-0000A42F0000}"/>
    <cellStyle name="Millares 2 80 3 2 3 3 2 2 2 2" xfId="55647" xr:uid="{00000000-0005-0000-0000-0000A52F0000}"/>
    <cellStyle name="Millares 2 80 3 2 3 3 2 2 3" xfId="42085" xr:uid="{00000000-0005-0000-0000-0000A62F0000}"/>
    <cellStyle name="Millares 2 80 3 2 3 3 2 3" xfId="21733" xr:uid="{00000000-0005-0000-0000-0000A72F0000}"/>
    <cellStyle name="Millares 2 80 3 2 3 3 2 3 2" xfId="48866" xr:uid="{00000000-0005-0000-0000-0000A82F0000}"/>
    <cellStyle name="Millares 2 80 3 2 3 3 2 4" xfId="35304" xr:uid="{00000000-0005-0000-0000-0000A92F0000}"/>
    <cellStyle name="Millares 2 80 3 2 3 3 3" xfId="11557" xr:uid="{00000000-0005-0000-0000-0000AA2F0000}"/>
    <cellStyle name="Millares 2 80 3 2 3 3 3 2" xfId="25125" xr:uid="{00000000-0005-0000-0000-0000AB2F0000}"/>
    <cellStyle name="Millares 2 80 3 2 3 3 3 2 2" xfId="52258" xr:uid="{00000000-0005-0000-0000-0000AC2F0000}"/>
    <cellStyle name="Millares 2 80 3 2 3 3 3 3" xfId="38696" xr:uid="{00000000-0005-0000-0000-0000AD2F0000}"/>
    <cellStyle name="Millares 2 80 3 2 3 3 4" xfId="18344" xr:uid="{00000000-0005-0000-0000-0000AE2F0000}"/>
    <cellStyle name="Millares 2 80 3 2 3 3 4 2" xfId="45477" xr:uid="{00000000-0005-0000-0000-0000AF2F0000}"/>
    <cellStyle name="Millares 2 80 3 2 3 3 5" xfId="31915" xr:uid="{00000000-0005-0000-0000-0000B02F0000}"/>
    <cellStyle name="Millares 2 80 3 2 3 4" xfId="8154" xr:uid="{00000000-0005-0000-0000-0000B12F0000}"/>
    <cellStyle name="Millares 2 80 3 2 3 4 2" xfId="14944" xr:uid="{00000000-0005-0000-0000-0000B22F0000}"/>
    <cellStyle name="Millares 2 80 3 2 3 4 2 2" xfId="28512" xr:uid="{00000000-0005-0000-0000-0000B32F0000}"/>
    <cellStyle name="Millares 2 80 3 2 3 4 2 2 2" xfId="55645" xr:uid="{00000000-0005-0000-0000-0000B42F0000}"/>
    <cellStyle name="Millares 2 80 3 2 3 4 2 3" xfId="42083" xr:uid="{00000000-0005-0000-0000-0000B52F0000}"/>
    <cellStyle name="Millares 2 80 3 2 3 4 3" xfId="21731" xr:uid="{00000000-0005-0000-0000-0000B62F0000}"/>
    <cellStyle name="Millares 2 80 3 2 3 4 3 2" xfId="48864" xr:uid="{00000000-0005-0000-0000-0000B72F0000}"/>
    <cellStyle name="Millares 2 80 3 2 3 4 4" xfId="35302" xr:uid="{00000000-0005-0000-0000-0000B82F0000}"/>
    <cellStyle name="Millares 2 80 3 2 3 5" xfId="11555" xr:uid="{00000000-0005-0000-0000-0000B92F0000}"/>
    <cellStyle name="Millares 2 80 3 2 3 5 2" xfId="25123" xr:uid="{00000000-0005-0000-0000-0000BA2F0000}"/>
    <cellStyle name="Millares 2 80 3 2 3 5 2 2" xfId="52256" xr:uid="{00000000-0005-0000-0000-0000BB2F0000}"/>
    <cellStyle name="Millares 2 80 3 2 3 5 3" xfId="38694" xr:uid="{00000000-0005-0000-0000-0000BC2F0000}"/>
    <cellStyle name="Millares 2 80 3 2 3 6" xfId="18342" xr:uid="{00000000-0005-0000-0000-0000BD2F0000}"/>
    <cellStyle name="Millares 2 80 3 2 3 6 2" xfId="45475" xr:uid="{00000000-0005-0000-0000-0000BE2F0000}"/>
    <cellStyle name="Millares 2 80 3 2 3 7" xfId="31913" xr:uid="{00000000-0005-0000-0000-0000BF2F0000}"/>
    <cellStyle name="Millares 2 80 3 2 4" xfId="4548" xr:uid="{00000000-0005-0000-0000-0000C02F0000}"/>
    <cellStyle name="Millares 2 80 3 2 4 2" xfId="4549" xr:uid="{00000000-0005-0000-0000-0000C12F0000}"/>
    <cellStyle name="Millares 2 80 3 2 4 2 2" xfId="8158" xr:uid="{00000000-0005-0000-0000-0000C22F0000}"/>
    <cellStyle name="Millares 2 80 3 2 4 2 2 2" xfId="14948" xr:uid="{00000000-0005-0000-0000-0000C32F0000}"/>
    <cellStyle name="Millares 2 80 3 2 4 2 2 2 2" xfId="28516" xr:uid="{00000000-0005-0000-0000-0000C42F0000}"/>
    <cellStyle name="Millares 2 80 3 2 4 2 2 2 2 2" xfId="55649" xr:uid="{00000000-0005-0000-0000-0000C52F0000}"/>
    <cellStyle name="Millares 2 80 3 2 4 2 2 2 3" xfId="42087" xr:uid="{00000000-0005-0000-0000-0000C62F0000}"/>
    <cellStyle name="Millares 2 80 3 2 4 2 2 3" xfId="21735" xr:uid="{00000000-0005-0000-0000-0000C72F0000}"/>
    <cellStyle name="Millares 2 80 3 2 4 2 2 3 2" xfId="48868" xr:uid="{00000000-0005-0000-0000-0000C82F0000}"/>
    <cellStyle name="Millares 2 80 3 2 4 2 2 4" xfId="35306" xr:uid="{00000000-0005-0000-0000-0000C92F0000}"/>
    <cellStyle name="Millares 2 80 3 2 4 2 3" xfId="11559" xr:uid="{00000000-0005-0000-0000-0000CA2F0000}"/>
    <cellStyle name="Millares 2 80 3 2 4 2 3 2" xfId="25127" xr:uid="{00000000-0005-0000-0000-0000CB2F0000}"/>
    <cellStyle name="Millares 2 80 3 2 4 2 3 2 2" xfId="52260" xr:uid="{00000000-0005-0000-0000-0000CC2F0000}"/>
    <cellStyle name="Millares 2 80 3 2 4 2 3 3" xfId="38698" xr:uid="{00000000-0005-0000-0000-0000CD2F0000}"/>
    <cellStyle name="Millares 2 80 3 2 4 2 4" xfId="18346" xr:uid="{00000000-0005-0000-0000-0000CE2F0000}"/>
    <cellStyle name="Millares 2 80 3 2 4 2 4 2" xfId="45479" xr:uid="{00000000-0005-0000-0000-0000CF2F0000}"/>
    <cellStyle name="Millares 2 80 3 2 4 2 5" xfId="31917" xr:uid="{00000000-0005-0000-0000-0000D02F0000}"/>
    <cellStyle name="Millares 2 80 3 2 4 3" xfId="8157" xr:uid="{00000000-0005-0000-0000-0000D12F0000}"/>
    <cellStyle name="Millares 2 80 3 2 4 3 2" xfId="14947" xr:uid="{00000000-0005-0000-0000-0000D22F0000}"/>
    <cellStyle name="Millares 2 80 3 2 4 3 2 2" xfId="28515" xr:uid="{00000000-0005-0000-0000-0000D32F0000}"/>
    <cellStyle name="Millares 2 80 3 2 4 3 2 2 2" xfId="55648" xr:uid="{00000000-0005-0000-0000-0000D42F0000}"/>
    <cellStyle name="Millares 2 80 3 2 4 3 2 3" xfId="42086" xr:uid="{00000000-0005-0000-0000-0000D52F0000}"/>
    <cellStyle name="Millares 2 80 3 2 4 3 3" xfId="21734" xr:uid="{00000000-0005-0000-0000-0000D62F0000}"/>
    <cellStyle name="Millares 2 80 3 2 4 3 3 2" xfId="48867" xr:uid="{00000000-0005-0000-0000-0000D72F0000}"/>
    <cellStyle name="Millares 2 80 3 2 4 3 4" xfId="35305" xr:uid="{00000000-0005-0000-0000-0000D82F0000}"/>
    <cellStyle name="Millares 2 80 3 2 4 4" xfId="11558" xr:uid="{00000000-0005-0000-0000-0000D92F0000}"/>
    <cellStyle name="Millares 2 80 3 2 4 4 2" xfId="25126" xr:uid="{00000000-0005-0000-0000-0000DA2F0000}"/>
    <cellStyle name="Millares 2 80 3 2 4 4 2 2" xfId="52259" xr:uid="{00000000-0005-0000-0000-0000DB2F0000}"/>
    <cellStyle name="Millares 2 80 3 2 4 4 3" xfId="38697" xr:uid="{00000000-0005-0000-0000-0000DC2F0000}"/>
    <cellStyle name="Millares 2 80 3 2 4 5" xfId="18345" xr:uid="{00000000-0005-0000-0000-0000DD2F0000}"/>
    <cellStyle name="Millares 2 80 3 2 4 5 2" xfId="45478" xr:uid="{00000000-0005-0000-0000-0000DE2F0000}"/>
    <cellStyle name="Millares 2 80 3 2 4 6" xfId="31916" xr:uid="{00000000-0005-0000-0000-0000DF2F0000}"/>
    <cellStyle name="Millares 2 80 3 2 5" xfId="4550" xr:uid="{00000000-0005-0000-0000-0000E02F0000}"/>
    <cellStyle name="Millares 2 80 3 2 5 2" xfId="8159" xr:uid="{00000000-0005-0000-0000-0000E12F0000}"/>
    <cellStyle name="Millares 2 80 3 2 5 2 2" xfId="14949" xr:uid="{00000000-0005-0000-0000-0000E22F0000}"/>
    <cellStyle name="Millares 2 80 3 2 5 2 2 2" xfId="28517" xr:uid="{00000000-0005-0000-0000-0000E32F0000}"/>
    <cellStyle name="Millares 2 80 3 2 5 2 2 2 2" xfId="55650" xr:uid="{00000000-0005-0000-0000-0000E42F0000}"/>
    <cellStyle name="Millares 2 80 3 2 5 2 2 3" xfId="42088" xr:uid="{00000000-0005-0000-0000-0000E52F0000}"/>
    <cellStyle name="Millares 2 80 3 2 5 2 3" xfId="21736" xr:uid="{00000000-0005-0000-0000-0000E62F0000}"/>
    <cellStyle name="Millares 2 80 3 2 5 2 3 2" xfId="48869" xr:uid="{00000000-0005-0000-0000-0000E72F0000}"/>
    <cellStyle name="Millares 2 80 3 2 5 2 4" xfId="35307" xr:uid="{00000000-0005-0000-0000-0000E82F0000}"/>
    <cellStyle name="Millares 2 80 3 2 5 3" xfId="11560" xr:uid="{00000000-0005-0000-0000-0000E92F0000}"/>
    <cellStyle name="Millares 2 80 3 2 5 3 2" xfId="25128" xr:uid="{00000000-0005-0000-0000-0000EA2F0000}"/>
    <cellStyle name="Millares 2 80 3 2 5 3 2 2" xfId="52261" xr:uid="{00000000-0005-0000-0000-0000EB2F0000}"/>
    <cellStyle name="Millares 2 80 3 2 5 3 3" xfId="38699" xr:uid="{00000000-0005-0000-0000-0000EC2F0000}"/>
    <cellStyle name="Millares 2 80 3 2 5 4" xfId="18347" xr:uid="{00000000-0005-0000-0000-0000ED2F0000}"/>
    <cellStyle name="Millares 2 80 3 2 5 4 2" xfId="45480" xr:uid="{00000000-0005-0000-0000-0000EE2F0000}"/>
    <cellStyle name="Millares 2 80 3 2 5 5" xfId="31918" xr:uid="{00000000-0005-0000-0000-0000EF2F0000}"/>
    <cellStyle name="Millares 2 80 3 2 6" xfId="4551" xr:uid="{00000000-0005-0000-0000-0000F02F0000}"/>
    <cellStyle name="Millares 2 80 3 2 6 2" xfId="8160" xr:uid="{00000000-0005-0000-0000-0000F12F0000}"/>
    <cellStyle name="Millares 2 80 3 2 6 2 2" xfId="14950" xr:uid="{00000000-0005-0000-0000-0000F22F0000}"/>
    <cellStyle name="Millares 2 80 3 2 6 2 2 2" xfId="28518" xr:uid="{00000000-0005-0000-0000-0000F32F0000}"/>
    <cellStyle name="Millares 2 80 3 2 6 2 2 2 2" xfId="55651" xr:uid="{00000000-0005-0000-0000-0000F42F0000}"/>
    <cellStyle name="Millares 2 80 3 2 6 2 2 3" xfId="42089" xr:uid="{00000000-0005-0000-0000-0000F52F0000}"/>
    <cellStyle name="Millares 2 80 3 2 6 2 3" xfId="21737" xr:uid="{00000000-0005-0000-0000-0000F62F0000}"/>
    <cellStyle name="Millares 2 80 3 2 6 2 3 2" xfId="48870" xr:uid="{00000000-0005-0000-0000-0000F72F0000}"/>
    <cellStyle name="Millares 2 80 3 2 6 2 4" xfId="35308" xr:uid="{00000000-0005-0000-0000-0000F82F0000}"/>
    <cellStyle name="Millares 2 80 3 2 6 3" xfId="11561" xr:uid="{00000000-0005-0000-0000-0000F92F0000}"/>
    <cellStyle name="Millares 2 80 3 2 6 3 2" xfId="25129" xr:uid="{00000000-0005-0000-0000-0000FA2F0000}"/>
    <cellStyle name="Millares 2 80 3 2 6 3 2 2" xfId="52262" xr:uid="{00000000-0005-0000-0000-0000FB2F0000}"/>
    <cellStyle name="Millares 2 80 3 2 6 3 3" xfId="38700" xr:uid="{00000000-0005-0000-0000-0000FC2F0000}"/>
    <cellStyle name="Millares 2 80 3 2 6 4" xfId="18348" xr:uid="{00000000-0005-0000-0000-0000FD2F0000}"/>
    <cellStyle name="Millares 2 80 3 2 6 4 2" xfId="45481" xr:uid="{00000000-0005-0000-0000-0000FE2F0000}"/>
    <cellStyle name="Millares 2 80 3 2 6 5" xfId="31919" xr:uid="{00000000-0005-0000-0000-0000FF2F0000}"/>
    <cellStyle name="Millares 2 80 3 2 7" xfId="8145" xr:uid="{00000000-0005-0000-0000-000000300000}"/>
    <cellStyle name="Millares 2 80 3 2 7 2" xfId="14935" xr:uid="{00000000-0005-0000-0000-000001300000}"/>
    <cellStyle name="Millares 2 80 3 2 7 2 2" xfId="28503" xr:uid="{00000000-0005-0000-0000-000002300000}"/>
    <cellStyle name="Millares 2 80 3 2 7 2 2 2" xfId="55636" xr:uid="{00000000-0005-0000-0000-000003300000}"/>
    <cellStyle name="Millares 2 80 3 2 7 2 3" xfId="42074" xr:uid="{00000000-0005-0000-0000-000004300000}"/>
    <cellStyle name="Millares 2 80 3 2 7 3" xfId="21722" xr:uid="{00000000-0005-0000-0000-000005300000}"/>
    <cellStyle name="Millares 2 80 3 2 7 3 2" xfId="48855" xr:uid="{00000000-0005-0000-0000-000006300000}"/>
    <cellStyle name="Millares 2 80 3 2 7 4" xfId="35293" xr:uid="{00000000-0005-0000-0000-000007300000}"/>
    <cellStyle name="Millares 2 80 3 2 8" xfId="11546" xr:uid="{00000000-0005-0000-0000-000008300000}"/>
    <cellStyle name="Millares 2 80 3 2 8 2" xfId="25114" xr:uid="{00000000-0005-0000-0000-000009300000}"/>
    <cellStyle name="Millares 2 80 3 2 8 2 2" xfId="52247" xr:uid="{00000000-0005-0000-0000-00000A300000}"/>
    <cellStyle name="Millares 2 80 3 2 8 3" xfId="38685" xr:uid="{00000000-0005-0000-0000-00000B300000}"/>
    <cellStyle name="Millares 2 80 3 2 9" xfId="18333" xr:uid="{00000000-0005-0000-0000-00000C300000}"/>
    <cellStyle name="Millares 2 80 3 2 9 2" xfId="45466" xr:uid="{00000000-0005-0000-0000-00000D300000}"/>
    <cellStyle name="Millares 2 80 3 3" xfId="4552" xr:uid="{00000000-0005-0000-0000-00000E300000}"/>
    <cellStyle name="Millares 2 80 3 3 2" xfId="4553" xr:uid="{00000000-0005-0000-0000-00000F300000}"/>
    <cellStyle name="Millares 2 80 3 3 2 2" xfId="4554" xr:uid="{00000000-0005-0000-0000-000010300000}"/>
    <cellStyle name="Millares 2 80 3 3 2 2 2" xfId="8163" xr:uid="{00000000-0005-0000-0000-000011300000}"/>
    <cellStyle name="Millares 2 80 3 3 2 2 2 2" xfId="14953" xr:uid="{00000000-0005-0000-0000-000012300000}"/>
    <cellStyle name="Millares 2 80 3 3 2 2 2 2 2" xfId="28521" xr:uid="{00000000-0005-0000-0000-000013300000}"/>
    <cellStyle name="Millares 2 80 3 3 2 2 2 2 2 2" xfId="55654" xr:uid="{00000000-0005-0000-0000-000014300000}"/>
    <cellStyle name="Millares 2 80 3 3 2 2 2 2 3" xfId="42092" xr:uid="{00000000-0005-0000-0000-000015300000}"/>
    <cellStyle name="Millares 2 80 3 3 2 2 2 3" xfId="21740" xr:uid="{00000000-0005-0000-0000-000016300000}"/>
    <cellStyle name="Millares 2 80 3 3 2 2 2 3 2" xfId="48873" xr:uid="{00000000-0005-0000-0000-000017300000}"/>
    <cellStyle name="Millares 2 80 3 3 2 2 2 4" xfId="35311" xr:uid="{00000000-0005-0000-0000-000018300000}"/>
    <cellStyle name="Millares 2 80 3 3 2 2 3" xfId="11564" xr:uid="{00000000-0005-0000-0000-000019300000}"/>
    <cellStyle name="Millares 2 80 3 3 2 2 3 2" xfId="25132" xr:uid="{00000000-0005-0000-0000-00001A300000}"/>
    <cellStyle name="Millares 2 80 3 3 2 2 3 2 2" xfId="52265" xr:uid="{00000000-0005-0000-0000-00001B300000}"/>
    <cellStyle name="Millares 2 80 3 3 2 2 3 3" xfId="38703" xr:uid="{00000000-0005-0000-0000-00001C300000}"/>
    <cellStyle name="Millares 2 80 3 3 2 2 4" xfId="18351" xr:uid="{00000000-0005-0000-0000-00001D300000}"/>
    <cellStyle name="Millares 2 80 3 3 2 2 4 2" xfId="45484" xr:uid="{00000000-0005-0000-0000-00001E300000}"/>
    <cellStyle name="Millares 2 80 3 3 2 2 5" xfId="31922" xr:uid="{00000000-0005-0000-0000-00001F300000}"/>
    <cellStyle name="Millares 2 80 3 3 2 3" xfId="4555" xr:uid="{00000000-0005-0000-0000-000020300000}"/>
    <cellStyle name="Millares 2 80 3 3 2 3 2" xfId="8164" xr:uid="{00000000-0005-0000-0000-000021300000}"/>
    <cellStyle name="Millares 2 80 3 3 2 3 2 2" xfId="14954" xr:uid="{00000000-0005-0000-0000-000022300000}"/>
    <cellStyle name="Millares 2 80 3 3 2 3 2 2 2" xfId="28522" xr:uid="{00000000-0005-0000-0000-000023300000}"/>
    <cellStyle name="Millares 2 80 3 3 2 3 2 2 2 2" xfId="55655" xr:uid="{00000000-0005-0000-0000-000024300000}"/>
    <cellStyle name="Millares 2 80 3 3 2 3 2 2 3" xfId="42093" xr:uid="{00000000-0005-0000-0000-000025300000}"/>
    <cellStyle name="Millares 2 80 3 3 2 3 2 3" xfId="21741" xr:uid="{00000000-0005-0000-0000-000026300000}"/>
    <cellStyle name="Millares 2 80 3 3 2 3 2 3 2" xfId="48874" xr:uid="{00000000-0005-0000-0000-000027300000}"/>
    <cellStyle name="Millares 2 80 3 3 2 3 2 4" xfId="35312" xr:uid="{00000000-0005-0000-0000-000028300000}"/>
    <cellStyle name="Millares 2 80 3 3 2 3 3" xfId="11565" xr:uid="{00000000-0005-0000-0000-000029300000}"/>
    <cellStyle name="Millares 2 80 3 3 2 3 3 2" xfId="25133" xr:uid="{00000000-0005-0000-0000-00002A300000}"/>
    <cellStyle name="Millares 2 80 3 3 2 3 3 2 2" xfId="52266" xr:uid="{00000000-0005-0000-0000-00002B300000}"/>
    <cellStyle name="Millares 2 80 3 3 2 3 3 3" xfId="38704" xr:uid="{00000000-0005-0000-0000-00002C300000}"/>
    <cellStyle name="Millares 2 80 3 3 2 3 4" xfId="18352" xr:uid="{00000000-0005-0000-0000-00002D300000}"/>
    <cellStyle name="Millares 2 80 3 3 2 3 4 2" xfId="45485" xr:uid="{00000000-0005-0000-0000-00002E300000}"/>
    <cellStyle name="Millares 2 80 3 3 2 3 5" xfId="31923" xr:uid="{00000000-0005-0000-0000-00002F300000}"/>
    <cellStyle name="Millares 2 80 3 3 2 4" xfId="8162" xr:uid="{00000000-0005-0000-0000-000030300000}"/>
    <cellStyle name="Millares 2 80 3 3 2 4 2" xfId="14952" xr:uid="{00000000-0005-0000-0000-000031300000}"/>
    <cellStyle name="Millares 2 80 3 3 2 4 2 2" xfId="28520" xr:uid="{00000000-0005-0000-0000-000032300000}"/>
    <cellStyle name="Millares 2 80 3 3 2 4 2 2 2" xfId="55653" xr:uid="{00000000-0005-0000-0000-000033300000}"/>
    <cellStyle name="Millares 2 80 3 3 2 4 2 3" xfId="42091" xr:uid="{00000000-0005-0000-0000-000034300000}"/>
    <cellStyle name="Millares 2 80 3 3 2 4 3" xfId="21739" xr:uid="{00000000-0005-0000-0000-000035300000}"/>
    <cellStyle name="Millares 2 80 3 3 2 4 3 2" xfId="48872" xr:uid="{00000000-0005-0000-0000-000036300000}"/>
    <cellStyle name="Millares 2 80 3 3 2 4 4" xfId="35310" xr:uid="{00000000-0005-0000-0000-000037300000}"/>
    <cellStyle name="Millares 2 80 3 3 2 5" xfId="11563" xr:uid="{00000000-0005-0000-0000-000038300000}"/>
    <cellStyle name="Millares 2 80 3 3 2 5 2" xfId="25131" xr:uid="{00000000-0005-0000-0000-000039300000}"/>
    <cellStyle name="Millares 2 80 3 3 2 5 2 2" xfId="52264" xr:uid="{00000000-0005-0000-0000-00003A300000}"/>
    <cellStyle name="Millares 2 80 3 3 2 5 3" xfId="38702" xr:uid="{00000000-0005-0000-0000-00003B300000}"/>
    <cellStyle name="Millares 2 80 3 3 2 6" xfId="18350" xr:uid="{00000000-0005-0000-0000-00003C300000}"/>
    <cellStyle name="Millares 2 80 3 3 2 6 2" xfId="45483" xr:uid="{00000000-0005-0000-0000-00003D300000}"/>
    <cellStyle name="Millares 2 80 3 3 2 7" xfId="31921" xr:uid="{00000000-0005-0000-0000-00003E300000}"/>
    <cellStyle name="Millares 2 80 3 3 3" xfId="4556" xr:uid="{00000000-0005-0000-0000-00003F300000}"/>
    <cellStyle name="Millares 2 80 3 3 3 2" xfId="4557" xr:uid="{00000000-0005-0000-0000-000040300000}"/>
    <cellStyle name="Millares 2 80 3 3 3 2 2" xfId="8166" xr:uid="{00000000-0005-0000-0000-000041300000}"/>
    <cellStyle name="Millares 2 80 3 3 3 2 2 2" xfId="14956" xr:uid="{00000000-0005-0000-0000-000042300000}"/>
    <cellStyle name="Millares 2 80 3 3 3 2 2 2 2" xfId="28524" xr:uid="{00000000-0005-0000-0000-000043300000}"/>
    <cellStyle name="Millares 2 80 3 3 3 2 2 2 2 2" xfId="55657" xr:uid="{00000000-0005-0000-0000-000044300000}"/>
    <cellStyle name="Millares 2 80 3 3 3 2 2 2 3" xfId="42095" xr:uid="{00000000-0005-0000-0000-000045300000}"/>
    <cellStyle name="Millares 2 80 3 3 3 2 2 3" xfId="21743" xr:uid="{00000000-0005-0000-0000-000046300000}"/>
    <cellStyle name="Millares 2 80 3 3 3 2 2 3 2" xfId="48876" xr:uid="{00000000-0005-0000-0000-000047300000}"/>
    <cellStyle name="Millares 2 80 3 3 3 2 2 4" xfId="35314" xr:uid="{00000000-0005-0000-0000-000048300000}"/>
    <cellStyle name="Millares 2 80 3 3 3 2 3" xfId="11567" xr:uid="{00000000-0005-0000-0000-000049300000}"/>
    <cellStyle name="Millares 2 80 3 3 3 2 3 2" xfId="25135" xr:uid="{00000000-0005-0000-0000-00004A300000}"/>
    <cellStyle name="Millares 2 80 3 3 3 2 3 2 2" xfId="52268" xr:uid="{00000000-0005-0000-0000-00004B300000}"/>
    <cellStyle name="Millares 2 80 3 3 3 2 3 3" xfId="38706" xr:uid="{00000000-0005-0000-0000-00004C300000}"/>
    <cellStyle name="Millares 2 80 3 3 3 2 4" xfId="18354" xr:uid="{00000000-0005-0000-0000-00004D300000}"/>
    <cellStyle name="Millares 2 80 3 3 3 2 4 2" xfId="45487" xr:uid="{00000000-0005-0000-0000-00004E300000}"/>
    <cellStyle name="Millares 2 80 3 3 3 2 5" xfId="31925" xr:uid="{00000000-0005-0000-0000-00004F300000}"/>
    <cellStyle name="Millares 2 80 3 3 3 3" xfId="8165" xr:uid="{00000000-0005-0000-0000-000050300000}"/>
    <cellStyle name="Millares 2 80 3 3 3 3 2" xfId="14955" xr:uid="{00000000-0005-0000-0000-000051300000}"/>
    <cellStyle name="Millares 2 80 3 3 3 3 2 2" xfId="28523" xr:uid="{00000000-0005-0000-0000-000052300000}"/>
    <cellStyle name="Millares 2 80 3 3 3 3 2 2 2" xfId="55656" xr:uid="{00000000-0005-0000-0000-000053300000}"/>
    <cellStyle name="Millares 2 80 3 3 3 3 2 3" xfId="42094" xr:uid="{00000000-0005-0000-0000-000054300000}"/>
    <cellStyle name="Millares 2 80 3 3 3 3 3" xfId="21742" xr:uid="{00000000-0005-0000-0000-000055300000}"/>
    <cellStyle name="Millares 2 80 3 3 3 3 3 2" xfId="48875" xr:uid="{00000000-0005-0000-0000-000056300000}"/>
    <cellStyle name="Millares 2 80 3 3 3 3 4" xfId="35313" xr:uid="{00000000-0005-0000-0000-000057300000}"/>
    <cellStyle name="Millares 2 80 3 3 3 4" xfId="11566" xr:uid="{00000000-0005-0000-0000-000058300000}"/>
    <cellStyle name="Millares 2 80 3 3 3 4 2" xfId="25134" xr:uid="{00000000-0005-0000-0000-000059300000}"/>
    <cellStyle name="Millares 2 80 3 3 3 4 2 2" xfId="52267" xr:uid="{00000000-0005-0000-0000-00005A300000}"/>
    <cellStyle name="Millares 2 80 3 3 3 4 3" xfId="38705" xr:uid="{00000000-0005-0000-0000-00005B300000}"/>
    <cellStyle name="Millares 2 80 3 3 3 5" xfId="18353" xr:uid="{00000000-0005-0000-0000-00005C300000}"/>
    <cellStyle name="Millares 2 80 3 3 3 5 2" xfId="45486" xr:uid="{00000000-0005-0000-0000-00005D300000}"/>
    <cellStyle name="Millares 2 80 3 3 3 6" xfId="31924" xr:uid="{00000000-0005-0000-0000-00005E300000}"/>
    <cellStyle name="Millares 2 80 3 3 4" xfId="4558" xr:uid="{00000000-0005-0000-0000-00005F300000}"/>
    <cellStyle name="Millares 2 80 3 3 4 2" xfId="8167" xr:uid="{00000000-0005-0000-0000-000060300000}"/>
    <cellStyle name="Millares 2 80 3 3 4 2 2" xfId="14957" xr:uid="{00000000-0005-0000-0000-000061300000}"/>
    <cellStyle name="Millares 2 80 3 3 4 2 2 2" xfId="28525" xr:uid="{00000000-0005-0000-0000-000062300000}"/>
    <cellStyle name="Millares 2 80 3 3 4 2 2 2 2" xfId="55658" xr:uid="{00000000-0005-0000-0000-000063300000}"/>
    <cellStyle name="Millares 2 80 3 3 4 2 2 3" xfId="42096" xr:uid="{00000000-0005-0000-0000-000064300000}"/>
    <cellStyle name="Millares 2 80 3 3 4 2 3" xfId="21744" xr:uid="{00000000-0005-0000-0000-000065300000}"/>
    <cellStyle name="Millares 2 80 3 3 4 2 3 2" xfId="48877" xr:uid="{00000000-0005-0000-0000-000066300000}"/>
    <cellStyle name="Millares 2 80 3 3 4 2 4" xfId="35315" xr:uid="{00000000-0005-0000-0000-000067300000}"/>
    <cellStyle name="Millares 2 80 3 3 4 3" xfId="11568" xr:uid="{00000000-0005-0000-0000-000068300000}"/>
    <cellStyle name="Millares 2 80 3 3 4 3 2" xfId="25136" xr:uid="{00000000-0005-0000-0000-000069300000}"/>
    <cellStyle name="Millares 2 80 3 3 4 3 2 2" xfId="52269" xr:uid="{00000000-0005-0000-0000-00006A300000}"/>
    <cellStyle name="Millares 2 80 3 3 4 3 3" xfId="38707" xr:uid="{00000000-0005-0000-0000-00006B300000}"/>
    <cellStyle name="Millares 2 80 3 3 4 4" xfId="18355" xr:uid="{00000000-0005-0000-0000-00006C300000}"/>
    <cellStyle name="Millares 2 80 3 3 4 4 2" xfId="45488" xr:uid="{00000000-0005-0000-0000-00006D300000}"/>
    <cellStyle name="Millares 2 80 3 3 4 5" xfId="31926" xr:uid="{00000000-0005-0000-0000-00006E300000}"/>
    <cellStyle name="Millares 2 80 3 3 5" xfId="4559" xr:uid="{00000000-0005-0000-0000-00006F300000}"/>
    <cellStyle name="Millares 2 80 3 3 5 2" xfId="8168" xr:uid="{00000000-0005-0000-0000-000070300000}"/>
    <cellStyle name="Millares 2 80 3 3 5 2 2" xfId="14958" xr:uid="{00000000-0005-0000-0000-000071300000}"/>
    <cellStyle name="Millares 2 80 3 3 5 2 2 2" xfId="28526" xr:uid="{00000000-0005-0000-0000-000072300000}"/>
    <cellStyle name="Millares 2 80 3 3 5 2 2 2 2" xfId="55659" xr:uid="{00000000-0005-0000-0000-000073300000}"/>
    <cellStyle name="Millares 2 80 3 3 5 2 2 3" xfId="42097" xr:uid="{00000000-0005-0000-0000-000074300000}"/>
    <cellStyle name="Millares 2 80 3 3 5 2 3" xfId="21745" xr:uid="{00000000-0005-0000-0000-000075300000}"/>
    <cellStyle name="Millares 2 80 3 3 5 2 3 2" xfId="48878" xr:uid="{00000000-0005-0000-0000-000076300000}"/>
    <cellStyle name="Millares 2 80 3 3 5 2 4" xfId="35316" xr:uid="{00000000-0005-0000-0000-000077300000}"/>
    <cellStyle name="Millares 2 80 3 3 5 3" xfId="11569" xr:uid="{00000000-0005-0000-0000-000078300000}"/>
    <cellStyle name="Millares 2 80 3 3 5 3 2" xfId="25137" xr:uid="{00000000-0005-0000-0000-000079300000}"/>
    <cellStyle name="Millares 2 80 3 3 5 3 2 2" xfId="52270" xr:uid="{00000000-0005-0000-0000-00007A300000}"/>
    <cellStyle name="Millares 2 80 3 3 5 3 3" xfId="38708" xr:uid="{00000000-0005-0000-0000-00007B300000}"/>
    <cellStyle name="Millares 2 80 3 3 5 4" xfId="18356" xr:uid="{00000000-0005-0000-0000-00007C300000}"/>
    <cellStyle name="Millares 2 80 3 3 5 4 2" xfId="45489" xr:uid="{00000000-0005-0000-0000-00007D300000}"/>
    <cellStyle name="Millares 2 80 3 3 5 5" xfId="31927" xr:uid="{00000000-0005-0000-0000-00007E300000}"/>
    <cellStyle name="Millares 2 80 3 3 6" xfId="8161" xr:uid="{00000000-0005-0000-0000-00007F300000}"/>
    <cellStyle name="Millares 2 80 3 3 6 2" xfId="14951" xr:uid="{00000000-0005-0000-0000-000080300000}"/>
    <cellStyle name="Millares 2 80 3 3 6 2 2" xfId="28519" xr:uid="{00000000-0005-0000-0000-000081300000}"/>
    <cellStyle name="Millares 2 80 3 3 6 2 2 2" xfId="55652" xr:uid="{00000000-0005-0000-0000-000082300000}"/>
    <cellStyle name="Millares 2 80 3 3 6 2 3" xfId="42090" xr:uid="{00000000-0005-0000-0000-000083300000}"/>
    <cellStyle name="Millares 2 80 3 3 6 3" xfId="21738" xr:uid="{00000000-0005-0000-0000-000084300000}"/>
    <cellStyle name="Millares 2 80 3 3 6 3 2" xfId="48871" xr:uid="{00000000-0005-0000-0000-000085300000}"/>
    <cellStyle name="Millares 2 80 3 3 6 4" xfId="35309" xr:uid="{00000000-0005-0000-0000-000086300000}"/>
    <cellStyle name="Millares 2 80 3 3 7" xfId="11562" xr:uid="{00000000-0005-0000-0000-000087300000}"/>
    <cellStyle name="Millares 2 80 3 3 7 2" xfId="25130" xr:uid="{00000000-0005-0000-0000-000088300000}"/>
    <cellStyle name="Millares 2 80 3 3 7 2 2" xfId="52263" xr:uid="{00000000-0005-0000-0000-000089300000}"/>
    <cellStyle name="Millares 2 80 3 3 7 3" xfId="38701" xr:uid="{00000000-0005-0000-0000-00008A300000}"/>
    <cellStyle name="Millares 2 80 3 3 8" xfId="18349" xr:uid="{00000000-0005-0000-0000-00008B300000}"/>
    <cellStyle name="Millares 2 80 3 3 8 2" xfId="45482" xr:uid="{00000000-0005-0000-0000-00008C300000}"/>
    <cellStyle name="Millares 2 80 3 3 9" xfId="31920" xr:uid="{00000000-0005-0000-0000-00008D300000}"/>
    <cellStyle name="Millares 2 80 3 4" xfId="4560" xr:uid="{00000000-0005-0000-0000-00008E300000}"/>
    <cellStyle name="Millares 2 80 3 4 2" xfId="4561" xr:uid="{00000000-0005-0000-0000-00008F300000}"/>
    <cellStyle name="Millares 2 80 3 4 2 2" xfId="4562" xr:uid="{00000000-0005-0000-0000-000090300000}"/>
    <cellStyle name="Millares 2 80 3 4 2 2 2" xfId="8171" xr:uid="{00000000-0005-0000-0000-000091300000}"/>
    <cellStyle name="Millares 2 80 3 4 2 2 2 2" xfId="14961" xr:uid="{00000000-0005-0000-0000-000092300000}"/>
    <cellStyle name="Millares 2 80 3 4 2 2 2 2 2" xfId="28529" xr:uid="{00000000-0005-0000-0000-000093300000}"/>
    <cellStyle name="Millares 2 80 3 4 2 2 2 2 2 2" xfId="55662" xr:uid="{00000000-0005-0000-0000-000094300000}"/>
    <cellStyle name="Millares 2 80 3 4 2 2 2 2 3" xfId="42100" xr:uid="{00000000-0005-0000-0000-000095300000}"/>
    <cellStyle name="Millares 2 80 3 4 2 2 2 3" xfId="21748" xr:uid="{00000000-0005-0000-0000-000096300000}"/>
    <cellStyle name="Millares 2 80 3 4 2 2 2 3 2" xfId="48881" xr:uid="{00000000-0005-0000-0000-000097300000}"/>
    <cellStyle name="Millares 2 80 3 4 2 2 2 4" xfId="35319" xr:uid="{00000000-0005-0000-0000-000098300000}"/>
    <cellStyle name="Millares 2 80 3 4 2 2 3" xfId="11572" xr:uid="{00000000-0005-0000-0000-000099300000}"/>
    <cellStyle name="Millares 2 80 3 4 2 2 3 2" xfId="25140" xr:uid="{00000000-0005-0000-0000-00009A300000}"/>
    <cellStyle name="Millares 2 80 3 4 2 2 3 2 2" xfId="52273" xr:uid="{00000000-0005-0000-0000-00009B300000}"/>
    <cellStyle name="Millares 2 80 3 4 2 2 3 3" xfId="38711" xr:uid="{00000000-0005-0000-0000-00009C300000}"/>
    <cellStyle name="Millares 2 80 3 4 2 2 4" xfId="18359" xr:uid="{00000000-0005-0000-0000-00009D300000}"/>
    <cellStyle name="Millares 2 80 3 4 2 2 4 2" xfId="45492" xr:uid="{00000000-0005-0000-0000-00009E300000}"/>
    <cellStyle name="Millares 2 80 3 4 2 2 5" xfId="31930" xr:uid="{00000000-0005-0000-0000-00009F300000}"/>
    <cellStyle name="Millares 2 80 3 4 2 3" xfId="4563" xr:uid="{00000000-0005-0000-0000-0000A0300000}"/>
    <cellStyle name="Millares 2 80 3 4 2 3 2" xfId="8172" xr:uid="{00000000-0005-0000-0000-0000A1300000}"/>
    <cellStyle name="Millares 2 80 3 4 2 3 2 2" xfId="14962" xr:uid="{00000000-0005-0000-0000-0000A2300000}"/>
    <cellStyle name="Millares 2 80 3 4 2 3 2 2 2" xfId="28530" xr:uid="{00000000-0005-0000-0000-0000A3300000}"/>
    <cellStyle name="Millares 2 80 3 4 2 3 2 2 2 2" xfId="55663" xr:uid="{00000000-0005-0000-0000-0000A4300000}"/>
    <cellStyle name="Millares 2 80 3 4 2 3 2 2 3" xfId="42101" xr:uid="{00000000-0005-0000-0000-0000A5300000}"/>
    <cellStyle name="Millares 2 80 3 4 2 3 2 3" xfId="21749" xr:uid="{00000000-0005-0000-0000-0000A6300000}"/>
    <cellStyle name="Millares 2 80 3 4 2 3 2 3 2" xfId="48882" xr:uid="{00000000-0005-0000-0000-0000A7300000}"/>
    <cellStyle name="Millares 2 80 3 4 2 3 2 4" xfId="35320" xr:uid="{00000000-0005-0000-0000-0000A8300000}"/>
    <cellStyle name="Millares 2 80 3 4 2 3 3" xfId="11573" xr:uid="{00000000-0005-0000-0000-0000A9300000}"/>
    <cellStyle name="Millares 2 80 3 4 2 3 3 2" xfId="25141" xr:uid="{00000000-0005-0000-0000-0000AA300000}"/>
    <cellStyle name="Millares 2 80 3 4 2 3 3 2 2" xfId="52274" xr:uid="{00000000-0005-0000-0000-0000AB300000}"/>
    <cellStyle name="Millares 2 80 3 4 2 3 3 3" xfId="38712" xr:uid="{00000000-0005-0000-0000-0000AC300000}"/>
    <cellStyle name="Millares 2 80 3 4 2 3 4" xfId="18360" xr:uid="{00000000-0005-0000-0000-0000AD300000}"/>
    <cellStyle name="Millares 2 80 3 4 2 3 4 2" xfId="45493" xr:uid="{00000000-0005-0000-0000-0000AE300000}"/>
    <cellStyle name="Millares 2 80 3 4 2 3 5" xfId="31931" xr:uid="{00000000-0005-0000-0000-0000AF300000}"/>
    <cellStyle name="Millares 2 80 3 4 2 4" xfId="8170" xr:uid="{00000000-0005-0000-0000-0000B0300000}"/>
    <cellStyle name="Millares 2 80 3 4 2 4 2" xfId="14960" xr:uid="{00000000-0005-0000-0000-0000B1300000}"/>
    <cellStyle name="Millares 2 80 3 4 2 4 2 2" xfId="28528" xr:uid="{00000000-0005-0000-0000-0000B2300000}"/>
    <cellStyle name="Millares 2 80 3 4 2 4 2 2 2" xfId="55661" xr:uid="{00000000-0005-0000-0000-0000B3300000}"/>
    <cellStyle name="Millares 2 80 3 4 2 4 2 3" xfId="42099" xr:uid="{00000000-0005-0000-0000-0000B4300000}"/>
    <cellStyle name="Millares 2 80 3 4 2 4 3" xfId="21747" xr:uid="{00000000-0005-0000-0000-0000B5300000}"/>
    <cellStyle name="Millares 2 80 3 4 2 4 3 2" xfId="48880" xr:uid="{00000000-0005-0000-0000-0000B6300000}"/>
    <cellStyle name="Millares 2 80 3 4 2 4 4" xfId="35318" xr:uid="{00000000-0005-0000-0000-0000B7300000}"/>
    <cellStyle name="Millares 2 80 3 4 2 5" xfId="11571" xr:uid="{00000000-0005-0000-0000-0000B8300000}"/>
    <cellStyle name="Millares 2 80 3 4 2 5 2" xfId="25139" xr:uid="{00000000-0005-0000-0000-0000B9300000}"/>
    <cellStyle name="Millares 2 80 3 4 2 5 2 2" xfId="52272" xr:uid="{00000000-0005-0000-0000-0000BA300000}"/>
    <cellStyle name="Millares 2 80 3 4 2 5 3" xfId="38710" xr:uid="{00000000-0005-0000-0000-0000BB300000}"/>
    <cellStyle name="Millares 2 80 3 4 2 6" xfId="18358" xr:uid="{00000000-0005-0000-0000-0000BC300000}"/>
    <cellStyle name="Millares 2 80 3 4 2 6 2" xfId="45491" xr:uid="{00000000-0005-0000-0000-0000BD300000}"/>
    <cellStyle name="Millares 2 80 3 4 2 7" xfId="31929" xr:uid="{00000000-0005-0000-0000-0000BE300000}"/>
    <cellStyle name="Millares 2 80 3 4 3" xfId="4564" xr:uid="{00000000-0005-0000-0000-0000BF300000}"/>
    <cellStyle name="Millares 2 80 3 4 3 2" xfId="8173" xr:uid="{00000000-0005-0000-0000-0000C0300000}"/>
    <cellStyle name="Millares 2 80 3 4 3 2 2" xfId="14963" xr:uid="{00000000-0005-0000-0000-0000C1300000}"/>
    <cellStyle name="Millares 2 80 3 4 3 2 2 2" xfId="28531" xr:uid="{00000000-0005-0000-0000-0000C2300000}"/>
    <cellStyle name="Millares 2 80 3 4 3 2 2 2 2" xfId="55664" xr:uid="{00000000-0005-0000-0000-0000C3300000}"/>
    <cellStyle name="Millares 2 80 3 4 3 2 2 3" xfId="42102" xr:uid="{00000000-0005-0000-0000-0000C4300000}"/>
    <cellStyle name="Millares 2 80 3 4 3 2 3" xfId="21750" xr:uid="{00000000-0005-0000-0000-0000C5300000}"/>
    <cellStyle name="Millares 2 80 3 4 3 2 3 2" xfId="48883" xr:uid="{00000000-0005-0000-0000-0000C6300000}"/>
    <cellStyle name="Millares 2 80 3 4 3 2 4" xfId="35321" xr:uid="{00000000-0005-0000-0000-0000C7300000}"/>
    <cellStyle name="Millares 2 80 3 4 3 3" xfId="11574" xr:uid="{00000000-0005-0000-0000-0000C8300000}"/>
    <cellStyle name="Millares 2 80 3 4 3 3 2" xfId="25142" xr:uid="{00000000-0005-0000-0000-0000C9300000}"/>
    <cellStyle name="Millares 2 80 3 4 3 3 2 2" xfId="52275" xr:uid="{00000000-0005-0000-0000-0000CA300000}"/>
    <cellStyle name="Millares 2 80 3 4 3 3 3" xfId="38713" xr:uid="{00000000-0005-0000-0000-0000CB300000}"/>
    <cellStyle name="Millares 2 80 3 4 3 4" xfId="18361" xr:uid="{00000000-0005-0000-0000-0000CC300000}"/>
    <cellStyle name="Millares 2 80 3 4 3 4 2" xfId="45494" xr:uid="{00000000-0005-0000-0000-0000CD300000}"/>
    <cellStyle name="Millares 2 80 3 4 3 5" xfId="31932" xr:uid="{00000000-0005-0000-0000-0000CE300000}"/>
    <cellStyle name="Millares 2 80 3 4 4" xfId="4565" xr:uid="{00000000-0005-0000-0000-0000CF300000}"/>
    <cellStyle name="Millares 2 80 3 4 4 2" xfId="8174" xr:uid="{00000000-0005-0000-0000-0000D0300000}"/>
    <cellStyle name="Millares 2 80 3 4 4 2 2" xfId="14964" xr:uid="{00000000-0005-0000-0000-0000D1300000}"/>
    <cellStyle name="Millares 2 80 3 4 4 2 2 2" xfId="28532" xr:uid="{00000000-0005-0000-0000-0000D2300000}"/>
    <cellStyle name="Millares 2 80 3 4 4 2 2 2 2" xfId="55665" xr:uid="{00000000-0005-0000-0000-0000D3300000}"/>
    <cellStyle name="Millares 2 80 3 4 4 2 2 3" xfId="42103" xr:uid="{00000000-0005-0000-0000-0000D4300000}"/>
    <cellStyle name="Millares 2 80 3 4 4 2 3" xfId="21751" xr:uid="{00000000-0005-0000-0000-0000D5300000}"/>
    <cellStyle name="Millares 2 80 3 4 4 2 3 2" xfId="48884" xr:uid="{00000000-0005-0000-0000-0000D6300000}"/>
    <cellStyle name="Millares 2 80 3 4 4 2 4" xfId="35322" xr:uid="{00000000-0005-0000-0000-0000D7300000}"/>
    <cellStyle name="Millares 2 80 3 4 4 3" xfId="11575" xr:uid="{00000000-0005-0000-0000-0000D8300000}"/>
    <cellStyle name="Millares 2 80 3 4 4 3 2" xfId="25143" xr:uid="{00000000-0005-0000-0000-0000D9300000}"/>
    <cellStyle name="Millares 2 80 3 4 4 3 2 2" xfId="52276" xr:uid="{00000000-0005-0000-0000-0000DA300000}"/>
    <cellStyle name="Millares 2 80 3 4 4 3 3" xfId="38714" xr:uid="{00000000-0005-0000-0000-0000DB300000}"/>
    <cellStyle name="Millares 2 80 3 4 4 4" xfId="18362" xr:uid="{00000000-0005-0000-0000-0000DC300000}"/>
    <cellStyle name="Millares 2 80 3 4 4 4 2" xfId="45495" xr:uid="{00000000-0005-0000-0000-0000DD300000}"/>
    <cellStyle name="Millares 2 80 3 4 4 5" xfId="31933" xr:uid="{00000000-0005-0000-0000-0000DE300000}"/>
    <cellStyle name="Millares 2 80 3 4 5" xfId="8169" xr:uid="{00000000-0005-0000-0000-0000DF300000}"/>
    <cellStyle name="Millares 2 80 3 4 5 2" xfId="14959" xr:uid="{00000000-0005-0000-0000-0000E0300000}"/>
    <cellStyle name="Millares 2 80 3 4 5 2 2" xfId="28527" xr:uid="{00000000-0005-0000-0000-0000E1300000}"/>
    <cellStyle name="Millares 2 80 3 4 5 2 2 2" xfId="55660" xr:uid="{00000000-0005-0000-0000-0000E2300000}"/>
    <cellStyle name="Millares 2 80 3 4 5 2 3" xfId="42098" xr:uid="{00000000-0005-0000-0000-0000E3300000}"/>
    <cellStyle name="Millares 2 80 3 4 5 3" xfId="21746" xr:uid="{00000000-0005-0000-0000-0000E4300000}"/>
    <cellStyle name="Millares 2 80 3 4 5 3 2" xfId="48879" xr:uid="{00000000-0005-0000-0000-0000E5300000}"/>
    <cellStyle name="Millares 2 80 3 4 5 4" xfId="35317" xr:uid="{00000000-0005-0000-0000-0000E6300000}"/>
    <cellStyle name="Millares 2 80 3 4 6" xfId="11570" xr:uid="{00000000-0005-0000-0000-0000E7300000}"/>
    <cellStyle name="Millares 2 80 3 4 6 2" xfId="25138" xr:uid="{00000000-0005-0000-0000-0000E8300000}"/>
    <cellStyle name="Millares 2 80 3 4 6 2 2" xfId="52271" xr:uid="{00000000-0005-0000-0000-0000E9300000}"/>
    <cellStyle name="Millares 2 80 3 4 6 3" xfId="38709" xr:uid="{00000000-0005-0000-0000-0000EA300000}"/>
    <cellStyle name="Millares 2 80 3 4 7" xfId="18357" xr:uid="{00000000-0005-0000-0000-0000EB300000}"/>
    <cellStyle name="Millares 2 80 3 4 7 2" xfId="45490" xr:uid="{00000000-0005-0000-0000-0000EC300000}"/>
    <cellStyle name="Millares 2 80 3 4 8" xfId="31928" xr:uid="{00000000-0005-0000-0000-0000ED300000}"/>
    <cellStyle name="Millares 2 80 3 5" xfId="4566" xr:uid="{00000000-0005-0000-0000-0000EE300000}"/>
    <cellStyle name="Millares 2 80 3 5 2" xfId="4567" xr:uid="{00000000-0005-0000-0000-0000EF300000}"/>
    <cellStyle name="Millares 2 80 3 5 2 2" xfId="4568" xr:uid="{00000000-0005-0000-0000-0000F0300000}"/>
    <cellStyle name="Millares 2 80 3 5 2 2 2" xfId="8177" xr:uid="{00000000-0005-0000-0000-0000F1300000}"/>
    <cellStyle name="Millares 2 80 3 5 2 2 2 2" xfId="14967" xr:uid="{00000000-0005-0000-0000-0000F2300000}"/>
    <cellStyle name="Millares 2 80 3 5 2 2 2 2 2" xfId="28535" xr:uid="{00000000-0005-0000-0000-0000F3300000}"/>
    <cellStyle name="Millares 2 80 3 5 2 2 2 2 2 2" xfId="55668" xr:uid="{00000000-0005-0000-0000-0000F4300000}"/>
    <cellStyle name="Millares 2 80 3 5 2 2 2 2 3" xfId="42106" xr:uid="{00000000-0005-0000-0000-0000F5300000}"/>
    <cellStyle name="Millares 2 80 3 5 2 2 2 3" xfId="21754" xr:uid="{00000000-0005-0000-0000-0000F6300000}"/>
    <cellStyle name="Millares 2 80 3 5 2 2 2 3 2" xfId="48887" xr:uid="{00000000-0005-0000-0000-0000F7300000}"/>
    <cellStyle name="Millares 2 80 3 5 2 2 2 4" xfId="35325" xr:uid="{00000000-0005-0000-0000-0000F8300000}"/>
    <cellStyle name="Millares 2 80 3 5 2 2 3" xfId="11578" xr:uid="{00000000-0005-0000-0000-0000F9300000}"/>
    <cellStyle name="Millares 2 80 3 5 2 2 3 2" xfId="25146" xr:uid="{00000000-0005-0000-0000-0000FA300000}"/>
    <cellStyle name="Millares 2 80 3 5 2 2 3 2 2" xfId="52279" xr:uid="{00000000-0005-0000-0000-0000FB300000}"/>
    <cellStyle name="Millares 2 80 3 5 2 2 3 3" xfId="38717" xr:uid="{00000000-0005-0000-0000-0000FC300000}"/>
    <cellStyle name="Millares 2 80 3 5 2 2 4" xfId="18365" xr:uid="{00000000-0005-0000-0000-0000FD300000}"/>
    <cellStyle name="Millares 2 80 3 5 2 2 4 2" xfId="45498" xr:uid="{00000000-0005-0000-0000-0000FE300000}"/>
    <cellStyle name="Millares 2 80 3 5 2 2 5" xfId="31936" xr:uid="{00000000-0005-0000-0000-0000FF300000}"/>
    <cellStyle name="Millares 2 80 3 5 2 3" xfId="4569" xr:uid="{00000000-0005-0000-0000-000000310000}"/>
    <cellStyle name="Millares 2 80 3 5 2 3 2" xfId="8178" xr:uid="{00000000-0005-0000-0000-000001310000}"/>
    <cellStyle name="Millares 2 80 3 5 2 3 2 2" xfId="14968" xr:uid="{00000000-0005-0000-0000-000002310000}"/>
    <cellStyle name="Millares 2 80 3 5 2 3 2 2 2" xfId="28536" xr:uid="{00000000-0005-0000-0000-000003310000}"/>
    <cellStyle name="Millares 2 80 3 5 2 3 2 2 2 2" xfId="55669" xr:uid="{00000000-0005-0000-0000-000004310000}"/>
    <cellStyle name="Millares 2 80 3 5 2 3 2 2 3" xfId="42107" xr:uid="{00000000-0005-0000-0000-000005310000}"/>
    <cellStyle name="Millares 2 80 3 5 2 3 2 3" xfId="21755" xr:uid="{00000000-0005-0000-0000-000006310000}"/>
    <cellStyle name="Millares 2 80 3 5 2 3 2 3 2" xfId="48888" xr:uid="{00000000-0005-0000-0000-000007310000}"/>
    <cellStyle name="Millares 2 80 3 5 2 3 2 4" xfId="35326" xr:uid="{00000000-0005-0000-0000-000008310000}"/>
    <cellStyle name="Millares 2 80 3 5 2 3 3" xfId="11579" xr:uid="{00000000-0005-0000-0000-000009310000}"/>
    <cellStyle name="Millares 2 80 3 5 2 3 3 2" xfId="25147" xr:uid="{00000000-0005-0000-0000-00000A310000}"/>
    <cellStyle name="Millares 2 80 3 5 2 3 3 2 2" xfId="52280" xr:uid="{00000000-0005-0000-0000-00000B310000}"/>
    <cellStyle name="Millares 2 80 3 5 2 3 3 3" xfId="38718" xr:uid="{00000000-0005-0000-0000-00000C310000}"/>
    <cellStyle name="Millares 2 80 3 5 2 3 4" xfId="18366" xr:uid="{00000000-0005-0000-0000-00000D310000}"/>
    <cellStyle name="Millares 2 80 3 5 2 3 4 2" xfId="45499" xr:uid="{00000000-0005-0000-0000-00000E310000}"/>
    <cellStyle name="Millares 2 80 3 5 2 3 5" xfId="31937" xr:uid="{00000000-0005-0000-0000-00000F310000}"/>
    <cellStyle name="Millares 2 80 3 5 2 4" xfId="8176" xr:uid="{00000000-0005-0000-0000-000010310000}"/>
    <cellStyle name="Millares 2 80 3 5 2 4 2" xfId="14966" xr:uid="{00000000-0005-0000-0000-000011310000}"/>
    <cellStyle name="Millares 2 80 3 5 2 4 2 2" xfId="28534" xr:uid="{00000000-0005-0000-0000-000012310000}"/>
    <cellStyle name="Millares 2 80 3 5 2 4 2 2 2" xfId="55667" xr:uid="{00000000-0005-0000-0000-000013310000}"/>
    <cellStyle name="Millares 2 80 3 5 2 4 2 3" xfId="42105" xr:uid="{00000000-0005-0000-0000-000014310000}"/>
    <cellStyle name="Millares 2 80 3 5 2 4 3" xfId="21753" xr:uid="{00000000-0005-0000-0000-000015310000}"/>
    <cellStyle name="Millares 2 80 3 5 2 4 3 2" xfId="48886" xr:uid="{00000000-0005-0000-0000-000016310000}"/>
    <cellStyle name="Millares 2 80 3 5 2 4 4" xfId="35324" xr:uid="{00000000-0005-0000-0000-000017310000}"/>
    <cellStyle name="Millares 2 80 3 5 2 5" xfId="11577" xr:uid="{00000000-0005-0000-0000-000018310000}"/>
    <cellStyle name="Millares 2 80 3 5 2 5 2" xfId="25145" xr:uid="{00000000-0005-0000-0000-000019310000}"/>
    <cellStyle name="Millares 2 80 3 5 2 5 2 2" xfId="52278" xr:uid="{00000000-0005-0000-0000-00001A310000}"/>
    <cellStyle name="Millares 2 80 3 5 2 5 3" xfId="38716" xr:uid="{00000000-0005-0000-0000-00001B310000}"/>
    <cellStyle name="Millares 2 80 3 5 2 6" xfId="18364" xr:uid="{00000000-0005-0000-0000-00001C310000}"/>
    <cellStyle name="Millares 2 80 3 5 2 6 2" xfId="45497" xr:uid="{00000000-0005-0000-0000-00001D310000}"/>
    <cellStyle name="Millares 2 80 3 5 2 7" xfId="31935" xr:uid="{00000000-0005-0000-0000-00001E310000}"/>
    <cellStyle name="Millares 2 80 3 5 3" xfId="4570" xr:uid="{00000000-0005-0000-0000-00001F310000}"/>
    <cellStyle name="Millares 2 80 3 5 3 2" xfId="8179" xr:uid="{00000000-0005-0000-0000-000020310000}"/>
    <cellStyle name="Millares 2 80 3 5 3 2 2" xfId="14969" xr:uid="{00000000-0005-0000-0000-000021310000}"/>
    <cellStyle name="Millares 2 80 3 5 3 2 2 2" xfId="28537" xr:uid="{00000000-0005-0000-0000-000022310000}"/>
    <cellStyle name="Millares 2 80 3 5 3 2 2 2 2" xfId="55670" xr:uid="{00000000-0005-0000-0000-000023310000}"/>
    <cellStyle name="Millares 2 80 3 5 3 2 2 3" xfId="42108" xr:uid="{00000000-0005-0000-0000-000024310000}"/>
    <cellStyle name="Millares 2 80 3 5 3 2 3" xfId="21756" xr:uid="{00000000-0005-0000-0000-000025310000}"/>
    <cellStyle name="Millares 2 80 3 5 3 2 3 2" xfId="48889" xr:uid="{00000000-0005-0000-0000-000026310000}"/>
    <cellStyle name="Millares 2 80 3 5 3 2 4" xfId="35327" xr:uid="{00000000-0005-0000-0000-000027310000}"/>
    <cellStyle name="Millares 2 80 3 5 3 3" xfId="11580" xr:uid="{00000000-0005-0000-0000-000028310000}"/>
    <cellStyle name="Millares 2 80 3 5 3 3 2" xfId="25148" xr:uid="{00000000-0005-0000-0000-000029310000}"/>
    <cellStyle name="Millares 2 80 3 5 3 3 2 2" xfId="52281" xr:uid="{00000000-0005-0000-0000-00002A310000}"/>
    <cellStyle name="Millares 2 80 3 5 3 3 3" xfId="38719" xr:uid="{00000000-0005-0000-0000-00002B310000}"/>
    <cellStyle name="Millares 2 80 3 5 3 4" xfId="18367" xr:uid="{00000000-0005-0000-0000-00002C310000}"/>
    <cellStyle name="Millares 2 80 3 5 3 4 2" xfId="45500" xr:uid="{00000000-0005-0000-0000-00002D310000}"/>
    <cellStyle name="Millares 2 80 3 5 3 5" xfId="31938" xr:uid="{00000000-0005-0000-0000-00002E310000}"/>
    <cellStyle name="Millares 2 80 3 5 4" xfId="4571" xr:uid="{00000000-0005-0000-0000-00002F310000}"/>
    <cellStyle name="Millares 2 80 3 5 4 2" xfId="8180" xr:uid="{00000000-0005-0000-0000-000030310000}"/>
    <cellStyle name="Millares 2 80 3 5 4 2 2" xfId="14970" xr:uid="{00000000-0005-0000-0000-000031310000}"/>
    <cellStyle name="Millares 2 80 3 5 4 2 2 2" xfId="28538" xr:uid="{00000000-0005-0000-0000-000032310000}"/>
    <cellStyle name="Millares 2 80 3 5 4 2 2 2 2" xfId="55671" xr:uid="{00000000-0005-0000-0000-000033310000}"/>
    <cellStyle name="Millares 2 80 3 5 4 2 2 3" xfId="42109" xr:uid="{00000000-0005-0000-0000-000034310000}"/>
    <cellStyle name="Millares 2 80 3 5 4 2 3" xfId="21757" xr:uid="{00000000-0005-0000-0000-000035310000}"/>
    <cellStyle name="Millares 2 80 3 5 4 2 3 2" xfId="48890" xr:uid="{00000000-0005-0000-0000-000036310000}"/>
    <cellStyle name="Millares 2 80 3 5 4 2 4" xfId="35328" xr:uid="{00000000-0005-0000-0000-000037310000}"/>
    <cellStyle name="Millares 2 80 3 5 4 3" xfId="11581" xr:uid="{00000000-0005-0000-0000-000038310000}"/>
    <cellStyle name="Millares 2 80 3 5 4 3 2" xfId="25149" xr:uid="{00000000-0005-0000-0000-000039310000}"/>
    <cellStyle name="Millares 2 80 3 5 4 3 2 2" xfId="52282" xr:uid="{00000000-0005-0000-0000-00003A310000}"/>
    <cellStyle name="Millares 2 80 3 5 4 3 3" xfId="38720" xr:uid="{00000000-0005-0000-0000-00003B310000}"/>
    <cellStyle name="Millares 2 80 3 5 4 4" xfId="18368" xr:uid="{00000000-0005-0000-0000-00003C310000}"/>
    <cellStyle name="Millares 2 80 3 5 4 4 2" xfId="45501" xr:uid="{00000000-0005-0000-0000-00003D310000}"/>
    <cellStyle name="Millares 2 80 3 5 4 5" xfId="31939" xr:uid="{00000000-0005-0000-0000-00003E310000}"/>
    <cellStyle name="Millares 2 80 3 5 5" xfId="8175" xr:uid="{00000000-0005-0000-0000-00003F310000}"/>
    <cellStyle name="Millares 2 80 3 5 5 2" xfId="14965" xr:uid="{00000000-0005-0000-0000-000040310000}"/>
    <cellStyle name="Millares 2 80 3 5 5 2 2" xfId="28533" xr:uid="{00000000-0005-0000-0000-000041310000}"/>
    <cellStyle name="Millares 2 80 3 5 5 2 2 2" xfId="55666" xr:uid="{00000000-0005-0000-0000-000042310000}"/>
    <cellStyle name="Millares 2 80 3 5 5 2 3" xfId="42104" xr:uid="{00000000-0005-0000-0000-000043310000}"/>
    <cellStyle name="Millares 2 80 3 5 5 3" xfId="21752" xr:uid="{00000000-0005-0000-0000-000044310000}"/>
    <cellStyle name="Millares 2 80 3 5 5 3 2" xfId="48885" xr:uid="{00000000-0005-0000-0000-000045310000}"/>
    <cellStyle name="Millares 2 80 3 5 5 4" xfId="35323" xr:uid="{00000000-0005-0000-0000-000046310000}"/>
    <cellStyle name="Millares 2 80 3 5 6" xfId="11576" xr:uid="{00000000-0005-0000-0000-000047310000}"/>
    <cellStyle name="Millares 2 80 3 5 6 2" xfId="25144" xr:uid="{00000000-0005-0000-0000-000048310000}"/>
    <cellStyle name="Millares 2 80 3 5 6 2 2" xfId="52277" xr:uid="{00000000-0005-0000-0000-000049310000}"/>
    <cellStyle name="Millares 2 80 3 5 6 3" xfId="38715" xr:uid="{00000000-0005-0000-0000-00004A310000}"/>
    <cellStyle name="Millares 2 80 3 5 7" xfId="18363" xr:uid="{00000000-0005-0000-0000-00004B310000}"/>
    <cellStyle name="Millares 2 80 3 5 7 2" xfId="45496" xr:uid="{00000000-0005-0000-0000-00004C310000}"/>
    <cellStyle name="Millares 2 80 3 5 8" xfId="31934" xr:uid="{00000000-0005-0000-0000-00004D310000}"/>
    <cellStyle name="Millares 2 80 3 6" xfId="4572" xr:uid="{00000000-0005-0000-0000-00004E310000}"/>
    <cellStyle name="Millares 2 80 3 6 2" xfId="4573" xr:uid="{00000000-0005-0000-0000-00004F310000}"/>
    <cellStyle name="Millares 2 80 3 6 2 2" xfId="8182" xr:uid="{00000000-0005-0000-0000-000050310000}"/>
    <cellStyle name="Millares 2 80 3 6 2 2 2" xfId="14972" xr:uid="{00000000-0005-0000-0000-000051310000}"/>
    <cellStyle name="Millares 2 80 3 6 2 2 2 2" xfId="28540" xr:uid="{00000000-0005-0000-0000-000052310000}"/>
    <cellStyle name="Millares 2 80 3 6 2 2 2 2 2" xfId="55673" xr:uid="{00000000-0005-0000-0000-000053310000}"/>
    <cellStyle name="Millares 2 80 3 6 2 2 2 3" xfId="42111" xr:uid="{00000000-0005-0000-0000-000054310000}"/>
    <cellStyle name="Millares 2 80 3 6 2 2 3" xfId="21759" xr:uid="{00000000-0005-0000-0000-000055310000}"/>
    <cellStyle name="Millares 2 80 3 6 2 2 3 2" xfId="48892" xr:uid="{00000000-0005-0000-0000-000056310000}"/>
    <cellStyle name="Millares 2 80 3 6 2 2 4" xfId="35330" xr:uid="{00000000-0005-0000-0000-000057310000}"/>
    <cellStyle name="Millares 2 80 3 6 2 3" xfId="11583" xr:uid="{00000000-0005-0000-0000-000058310000}"/>
    <cellStyle name="Millares 2 80 3 6 2 3 2" xfId="25151" xr:uid="{00000000-0005-0000-0000-000059310000}"/>
    <cellStyle name="Millares 2 80 3 6 2 3 2 2" xfId="52284" xr:uid="{00000000-0005-0000-0000-00005A310000}"/>
    <cellStyle name="Millares 2 80 3 6 2 3 3" xfId="38722" xr:uid="{00000000-0005-0000-0000-00005B310000}"/>
    <cellStyle name="Millares 2 80 3 6 2 4" xfId="18370" xr:uid="{00000000-0005-0000-0000-00005C310000}"/>
    <cellStyle name="Millares 2 80 3 6 2 4 2" xfId="45503" xr:uid="{00000000-0005-0000-0000-00005D310000}"/>
    <cellStyle name="Millares 2 80 3 6 2 5" xfId="31941" xr:uid="{00000000-0005-0000-0000-00005E310000}"/>
    <cellStyle name="Millares 2 80 3 6 3" xfId="4574" xr:uid="{00000000-0005-0000-0000-00005F310000}"/>
    <cellStyle name="Millares 2 80 3 6 3 2" xfId="8183" xr:uid="{00000000-0005-0000-0000-000060310000}"/>
    <cellStyle name="Millares 2 80 3 6 3 2 2" xfId="14973" xr:uid="{00000000-0005-0000-0000-000061310000}"/>
    <cellStyle name="Millares 2 80 3 6 3 2 2 2" xfId="28541" xr:uid="{00000000-0005-0000-0000-000062310000}"/>
    <cellStyle name="Millares 2 80 3 6 3 2 2 2 2" xfId="55674" xr:uid="{00000000-0005-0000-0000-000063310000}"/>
    <cellStyle name="Millares 2 80 3 6 3 2 2 3" xfId="42112" xr:uid="{00000000-0005-0000-0000-000064310000}"/>
    <cellStyle name="Millares 2 80 3 6 3 2 3" xfId="21760" xr:uid="{00000000-0005-0000-0000-000065310000}"/>
    <cellStyle name="Millares 2 80 3 6 3 2 3 2" xfId="48893" xr:uid="{00000000-0005-0000-0000-000066310000}"/>
    <cellStyle name="Millares 2 80 3 6 3 2 4" xfId="35331" xr:uid="{00000000-0005-0000-0000-000067310000}"/>
    <cellStyle name="Millares 2 80 3 6 3 3" xfId="11584" xr:uid="{00000000-0005-0000-0000-000068310000}"/>
    <cellStyle name="Millares 2 80 3 6 3 3 2" xfId="25152" xr:uid="{00000000-0005-0000-0000-000069310000}"/>
    <cellStyle name="Millares 2 80 3 6 3 3 2 2" xfId="52285" xr:uid="{00000000-0005-0000-0000-00006A310000}"/>
    <cellStyle name="Millares 2 80 3 6 3 3 3" xfId="38723" xr:uid="{00000000-0005-0000-0000-00006B310000}"/>
    <cellStyle name="Millares 2 80 3 6 3 4" xfId="18371" xr:uid="{00000000-0005-0000-0000-00006C310000}"/>
    <cellStyle name="Millares 2 80 3 6 3 4 2" xfId="45504" xr:uid="{00000000-0005-0000-0000-00006D310000}"/>
    <cellStyle name="Millares 2 80 3 6 3 5" xfId="31942" xr:uid="{00000000-0005-0000-0000-00006E310000}"/>
    <cellStyle name="Millares 2 80 3 6 4" xfId="8181" xr:uid="{00000000-0005-0000-0000-00006F310000}"/>
    <cellStyle name="Millares 2 80 3 6 4 2" xfId="14971" xr:uid="{00000000-0005-0000-0000-000070310000}"/>
    <cellStyle name="Millares 2 80 3 6 4 2 2" xfId="28539" xr:uid="{00000000-0005-0000-0000-000071310000}"/>
    <cellStyle name="Millares 2 80 3 6 4 2 2 2" xfId="55672" xr:uid="{00000000-0005-0000-0000-000072310000}"/>
    <cellStyle name="Millares 2 80 3 6 4 2 3" xfId="42110" xr:uid="{00000000-0005-0000-0000-000073310000}"/>
    <cellStyle name="Millares 2 80 3 6 4 3" xfId="21758" xr:uid="{00000000-0005-0000-0000-000074310000}"/>
    <cellStyle name="Millares 2 80 3 6 4 3 2" xfId="48891" xr:uid="{00000000-0005-0000-0000-000075310000}"/>
    <cellStyle name="Millares 2 80 3 6 4 4" xfId="35329" xr:uid="{00000000-0005-0000-0000-000076310000}"/>
    <cellStyle name="Millares 2 80 3 6 5" xfId="11582" xr:uid="{00000000-0005-0000-0000-000077310000}"/>
    <cellStyle name="Millares 2 80 3 6 5 2" xfId="25150" xr:uid="{00000000-0005-0000-0000-000078310000}"/>
    <cellStyle name="Millares 2 80 3 6 5 2 2" xfId="52283" xr:uid="{00000000-0005-0000-0000-000079310000}"/>
    <cellStyle name="Millares 2 80 3 6 5 3" xfId="38721" xr:uid="{00000000-0005-0000-0000-00007A310000}"/>
    <cellStyle name="Millares 2 80 3 6 6" xfId="18369" xr:uid="{00000000-0005-0000-0000-00007B310000}"/>
    <cellStyle name="Millares 2 80 3 6 6 2" xfId="45502" xr:uid="{00000000-0005-0000-0000-00007C310000}"/>
    <cellStyle name="Millares 2 80 3 6 7" xfId="31940" xr:uid="{00000000-0005-0000-0000-00007D310000}"/>
    <cellStyle name="Millares 2 80 3 7" xfId="4575" xr:uid="{00000000-0005-0000-0000-00007E310000}"/>
    <cellStyle name="Millares 2 80 3 7 2" xfId="4576" xr:uid="{00000000-0005-0000-0000-00007F310000}"/>
    <cellStyle name="Millares 2 80 3 7 2 2" xfId="8185" xr:uid="{00000000-0005-0000-0000-000080310000}"/>
    <cellStyle name="Millares 2 80 3 7 2 2 2" xfId="14975" xr:uid="{00000000-0005-0000-0000-000081310000}"/>
    <cellStyle name="Millares 2 80 3 7 2 2 2 2" xfId="28543" xr:uid="{00000000-0005-0000-0000-000082310000}"/>
    <cellStyle name="Millares 2 80 3 7 2 2 2 2 2" xfId="55676" xr:uid="{00000000-0005-0000-0000-000083310000}"/>
    <cellStyle name="Millares 2 80 3 7 2 2 2 3" xfId="42114" xr:uid="{00000000-0005-0000-0000-000084310000}"/>
    <cellStyle name="Millares 2 80 3 7 2 2 3" xfId="21762" xr:uid="{00000000-0005-0000-0000-000085310000}"/>
    <cellStyle name="Millares 2 80 3 7 2 2 3 2" xfId="48895" xr:uid="{00000000-0005-0000-0000-000086310000}"/>
    <cellStyle name="Millares 2 80 3 7 2 2 4" xfId="35333" xr:uid="{00000000-0005-0000-0000-000087310000}"/>
    <cellStyle name="Millares 2 80 3 7 2 3" xfId="11586" xr:uid="{00000000-0005-0000-0000-000088310000}"/>
    <cellStyle name="Millares 2 80 3 7 2 3 2" xfId="25154" xr:uid="{00000000-0005-0000-0000-000089310000}"/>
    <cellStyle name="Millares 2 80 3 7 2 3 2 2" xfId="52287" xr:uid="{00000000-0005-0000-0000-00008A310000}"/>
    <cellStyle name="Millares 2 80 3 7 2 3 3" xfId="38725" xr:uid="{00000000-0005-0000-0000-00008B310000}"/>
    <cellStyle name="Millares 2 80 3 7 2 4" xfId="18373" xr:uid="{00000000-0005-0000-0000-00008C310000}"/>
    <cellStyle name="Millares 2 80 3 7 2 4 2" xfId="45506" xr:uid="{00000000-0005-0000-0000-00008D310000}"/>
    <cellStyle name="Millares 2 80 3 7 2 5" xfId="31944" xr:uid="{00000000-0005-0000-0000-00008E310000}"/>
    <cellStyle name="Millares 2 80 3 7 3" xfId="4577" xr:uid="{00000000-0005-0000-0000-00008F310000}"/>
    <cellStyle name="Millares 2 80 3 7 3 2" xfId="8186" xr:uid="{00000000-0005-0000-0000-000090310000}"/>
    <cellStyle name="Millares 2 80 3 7 3 2 2" xfId="14976" xr:uid="{00000000-0005-0000-0000-000091310000}"/>
    <cellStyle name="Millares 2 80 3 7 3 2 2 2" xfId="28544" xr:uid="{00000000-0005-0000-0000-000092310000}"/>
    <cellStyle name="Millares 2 80 3 7 3 2 2 2 2" xfId="55677" xr:uid="{00000000-0005-0000-0000-000093310000}"/>
    <cellStyle name="Millares 2 80 3 7 3 2 2 3" xfId="42115" xr:uid="{00000000-0005-0000-0000-000094310000}"/>
    <cellStyle name="Millares 2 80 3 7 3 2 3" xfId="21763" xr:uid="{00000000-0005-0000-0000-000095310000}"/>
    <cellStyle name="Millares 2 80 3 7 3 2 3 2" xfId="48896" xr:uid="{00000000-0005-0000-0000-000096310000}"/>
    <cellStyle name="Millares 2 80 3 7 3 2 4" xfId="35334" xr:uid="{00000000-0005-0000-0000-000097310000}"/>
    <cellStyle name="Millares 2 80 3 7 3 3" xfId="11587" xr:uid="{00000000-0005-0000-0000-000098310000}"/>
    <cellStyle name="Millares 2 80 3 7 3 3 2" xfId="25155" xr:uid="{00000000-0005-0000-0000-000099310000}"/>
    <cellStyle name="Millares 2 80 3 7 3 3 2 2" xfId="52288" xr:uid="{00000000-0005-0000-0000-00009A310000}"/>
    <cellStyle name="Millares 2 80 3 7 3 3 3" xfId="38726" xr:uid="{00000000-0005-0000-0000-00009B310000}"/>
    <cellStyle name="Millares 2 80 3 7 3 4" xfId="18374" xr:uid="{00000000-0005-0000-0000-00009C310000}"/>
    <cellStyle name="Millares 2 80 3 7 3 4 2" xfId="45507" xr:uid="{00000000-0005-0000-0000-00009D310000}"/>
    <cellStyle name="Millares 2 80 3 7 3 5" xfId="31945" xr:uid="{00000000-0005-0000-0000-00009E310000}"/>
    <cellStyle name="Millares 2 80 3 7 4" xfId="8184" xr:uid="{00000000-0005-0000-0000-00009F310000}"/>
    <cellStyle name="Millares 2 80 3 7 4 2" xfId="14974" xr:uid="{00000000-0005-0000-0000-0000A0310000}"/>
    <cellStyle name="Millares 2 80 3 7 4 2 2" xfId="28542" xr:uid="{00000000-0005-0000-0000-0000A1310000}"/>
    <cellStyle name="Millares 2 80 3 7 4 2 2 2" xfId="55675" xr:uid="{00000000-0005-0000-0000-0000A2310000}"/>
    <cellStyle name="Millares 2 80 3 7 4 2 3" xfId="42113" xr:uid="{00000000-0005-0000-0000-0000A3310000}"/>
    <cellStyle name="Millares 2 80 3 7 4 3" xfId="21761" xr:uid="{00000000-0005-0000-0000-0000A4310000}"/>
    <cellStyle name="Millares 2 80 3 7 4 3 2" xfId="48894" xr:uid="{00000000-0005-0000-0000-0000A5310000}"/>
    <cellStyle name="Millares 2 80 3 7 4 4" xfId="35332" xr:uid="{00000000-0005-0000-0000-0000A6310000}"/>
    <cellStyle name="Millares 2 80 3 7 5" xfId="11585" xr:uid="{00000000-0005-0000-0000-0000A7310000}"/>
    <cellStyle name="Millares 2 80 3 7 5 2" xfId="25153" xr:uid="{00000000-0005-0000-0000-0000A8310000}"/>
    <cellStyle name="Millares 2 80 3 7 5 2 2" xfId="52286" xr:uid="{00000000-0005-0000-0000-0000A9310000}"/>
    <cellStyle name="Millares 2 80 3 7 5 3" xfId="38724" xr:uid="{00000000-0005-0000-0000-0000AA310000}"/>
    <cellStyle name="Millares 2 80 3 7 6" xfId="18372" xr:uid="{00000000-0005-0000-0000-0000AB310000}"/>
    <cellStyle name="Millares 2 80 3 7 6 2" xfId="45505" xr:uid="{00000000-0005-0000-0000-0000AC310000}"/>
    <cellStyle name="Millares 2 80 3 7 7" xfId="31943" xr:uid="{00000000-0005-0000-0000-0000AD310000}"/>
    <cellStyle name="Millares 2 80 3 8" xfId="4578" xr:uid="{00000000-0005-0000-0000-0000AE310000}"/>
    <cellStyle name="Millares 2 80 3 8 2" xfId="8187" xr:uid="{00000000-0005-0000-0000-0000AF310000}"/>
    <cellStyle name="Millares 2 80 3 8 2 2" xfId="14977" xr:uid="{00000000-0005-0000-0000-0000B0310000}"/>
    <cellStyle name="Millares 2 80 3 8 2 2 2" xfId="28545" xr:uid="{00000000-0005-0000-0000-0000B1310000}"/>
    <cellStyle name="Millares 2 80 3 8 2 2 2 2" xfId="55678" xr:uid="{00000000-0005-0000-0000-0000B2310000}"/>
    <cellStyle name="Millares 2 80 3 8 2 2 3" xfId="42116" xr:uid="{00000000-0005-0000-0000-0000B3310000}"/>
    <cellStyle name="Millares 2 80 3 8 2 3" xfId="21764" xr:uid="{00000000-0005-0000-0000-0000B4310000}"/>
    <cellStyle name="Millares 2 80 3 8 2 3 2" xfId="48897" xr:uid="{00000000-0005-0000-0000-0000B5310000}"/>
    <cellStyle name="Millares 2 80 3 8 2 4" xfId="35335" xr:uid="{00000000-0005-0000-0000-0000B6310000}"/>
    <cellStyle name="Millares 2 80 3 8 3" xfId="11588" xr:uid="{00000000-0005-0000-0000-0000B7310000}"/>
    <cellStyle name="Millares 2 80 3 8 3 2" xfId="25156" xr:uid="{00000000-0005-0000-0000-0000B8310000}"/>
    <cellStyle name="Millares 2 80 3 8 3 2 2" xfId="52289" xr:uid="{00000000-0005-0000-0000-0000B9310000}"/>
    <cellStyle name="Millares 2 80 3 8 3 3" xfId="38727" xr:uid="{00000000-0005-0000-0000-0000BA310000}"/>
    <cellStyle name="Millares 2 80 3 8 4" xfId="18375" xr:uid="{00000000-0005-0000-0000-0000BB310000}"/>
    <cellStyle name="Millares 2 80 3 8 4 2" xfId="45508" xr:uid="{00000000-0005-0000-0000-0000BC310000}"/>
    <cellStyle name="Millares 2 80 3 8 5" xfId="31946" xr:uid="{00000000-0005-0000-0000-0000BD310000}"/>
    <cellStyle name="Millares 2 80 3 9" xfId="4579" xr:uid="{00000000-0005-0000-0000-0000BE310000}"/>
    <cellStyle name="Millares 2 80 3 9 2" xfId="8188" xr:uid="{00000000-0005-0000-0000-0000BF310000}"/>
    <cellStyle name="Millares 2 80 3 9 2 2" xfId="14978" xr:uid="{00000000-0005-0000-0000-0000C0310000}"/>
    <cellStyle name="Millares 2 80 3 9 2 2 2" xfId="28546" xr:uid="{00000000-0005-0000-0000-0000C1310000}"/>
    <cellStyle name="Millares 2 80 3 9 2 2 2 2" xfId="55679" xr:uid="{00000000-0005-0000-0000-0000C2310000}"/>
    <cellStyle name="Millares 2 80 3 9 2 2 3" xfId="42117" xr:uid="{00000000-0005-0000-0000-0000C3310000}"/>
    <cellStyle name="Millares 2 80 3 9 2 3" xfId="21765" xr:uid="{00000000-0005-0000-0000-0000C4310000}"/>
    <cellStyle name="Millares 2 80 3 9 2 3 2" xfId="48898" xr:uid="{00000000-0005-0000-0000-0000C5310000}"/>
    <cellStyle name="Millares 2 80 3 9 2 4" xfId="35336" xr:uid="{00000000-0005-0000-0000-0000C6310000}"/>
    <cellStyle name="Millares 2 80 3 9 3" xfId="11589" xr:uid="{00000000-0005-0000-0000-0000C7310000}"/>
    <cellStyle name="Millares 2 80 3 9 3 2" xfId="25157" xr:uid="{00000000-0005-0000-0000-0000C8310000}"/>
    <cellStyle name="Millares 2 80 3 9 3 2 2" xfId="52290" xr:uid="{00000000-0005-0000-0000-0000C9310000}"/>
    <cellStyle name="Millares 2 80 3 9 3 3" xfId="38728" xr:uid="{00000000-0005-0000-0000-0000CA310000}"/>
    <cellStyle name="Millares 2 80 3 9 4" xfId="18376" xr:uid="{00000000-0005-0000-0000-0000CB310000}"/>
    <cellStyle name="Millares 2 80 3 9 4 2" xfId="45509" xr:uid="{00000000-0005-0000-0000-0000CC310000}"/>
    <cellStyle name="Millares 2 80 3 9 5" xfId="31947" xr:uid="{00000000-0005-0000-0000-0000CD310000}"/>
    <cellStyle name="Millares 2 80 4" xfId="4580" xr:uid="{00000000-0005-0000-0000-0000CE310000}"/>
    <cellStyle name="Millares 2 80 4 10" xfId="31948" xr:uid="{00000000-0005-0000-0000-0000CF310000}"/>
    <cellStyle name="Millares 2 80 4 2" xfId="4581" xr:uid="{00000000-0005-0000-0000-0000D0310000}"/>
    <cellStyle name="Millares 2 80 4 2 2" xfId="4582" xr:uid="{00000000-0005-0000-0000-0000D1310000}"/>
    <cellStyle name="Millares 2 80 4 2 2 2" xfId="4583" xr:uid="{00000000-0005-0000-0000-0000D2310000}"/>
    <cellStyle name="Millares 2 80 4 2 2 2 2" xfId="8192" xr:uid="{00000000-0005-0000-0000-0000D3310000}"/>
    <cellStyle name="Millares 2 80 4 2 2 2 2 2" xfId="14982" xr:uid="{00000000-0005-0000-0000-0000D4310000}"/>
    <cellStyle name="Millares 2 80 4 2 2 2 2 2 2" xfId="28550" xr:uid="{00000000-0005-0000-0000-0000D5310000}"/>
    <cellStyle name="Millares 2 80 4 2 2 2 2 2 2 2" xfId="55683" xr:uid="{00000000-0005-0000-0000-0000D6310000}"/>
    <cellStyle name="Millares 2 80 4 2 2 2 2 2 3" xfId="42121" xr:uid="{00000000-0005-0000-0000-0000D7310000}"/>
    <cellStyle name="Millares 2 80 4 2 2 2 2 3" xfId="21769" xr:uid="{00000000-0005-0000-0000-0000D8310000}"/>
    <cellStyle name="Millares 2 80 4 2 2 2 2 3 2" xfId="48902" xr:uid="{00000000-0005-0000-0000-0000D9310000}"/>
    <cellStyle name="Millares 2 80 4 2 2 2 2 4" xfId="35340" xr:uid="{00000000-0005-0000-0000-0000DA310000}"/>
    <cellStyle name="Millares 2 80 4 2 2 2 3" xfId="11593" xr:uid="{00000000-0005-0000-0000-0000DB310000}"/>
    <cellStyle name="Millares 2 80 4 2 2 2 3 2" xfId="25161" xr:uid="{00000000-0005-0000-0000-0000DC310000}"/>
    <cellStyle name="Millares 2 80 4 2 2 2 3 2 2" xfId="52294" xr:uid="{00000000-0005-0000-0000-0000DD310000}"/>
    <cellStyle name="Millares 2 80 4 2 2 2 3 3" xfId="38732" xr:uid="{00000000-0005-0000-0000-0000DE310000}"/>
    <cellStyle name="Millares 2 80 4 2 2 2 4" xfId="18380" xr:uid="{00000000-0005-0000-0000-0000DF310000}"/>
    <cellStyle name="Millares 2 80 4 2 2 2 4 2" xfId="45513" xr:uid="{00000000-0005-0000-0000-0000E0310000}"/>
    <cellStyle name="Millares 2 80 4 2 2 2 5" xfId="31951" xr:uid="{00000000-0005-0000-0000-0000E1310000}"/>
    <cellStyle name="Millares 2 80 4 2 2 3" xfId="4584" xr:uid="{00000000-0005-0000-0000-0000E2310000}"/>
    <cellStyle name="Millares 2 80 4 2 2 3 2" xfId="8193" xr:uid="{00000000-0005-0000-0000-0000E3310000}"/>
    <cellStyle name="Millares 2 80 4 2 2 3 2 2" xfId="14983" xr:uid="{00000000-0005-0000-0000-0000E4310000}"/>
    <cellStyle name="Millares 2 80 4 2 2 3 2 2 2" xfId="28551" xr:uid="{00000000-0005-0000-0000-0000E5310000}"/>
    <cellStyle name="Millares 2 80 4 2 2 3 2 2 2 2" xfId="55684" xr:uid="{00000000-0005-0000-0000-0000E6310000}"/>
    <cellStyle name="Millares 2 80 4 2 2 3 2 2 3" xfId="42122" xr:uid="{00000000-0005-0000-0000-0000E7310000}"/>
    <cellStyle name="Millares 2 80 4 2 2 3 2 3" xfId="21770" xr:uid="{00000000-0005-0000-0000-0000E8310000}"/>
    <cellStyle name="Millares 2 80 4 2 2 3 2 3 2" xfId="48903" xr:uid="{00000000-0005-0000-0000-0000E9310000}"/>
    <cellStyle name="Millares 2 80 4 2 2 3 2 4" xfId="35341" xr:uid="{00000000-0005-0000-0000-0000EA310000}"/>
    <cellStyle name="Millares 2 80 4 2 2 3 3" xfId="11594" xr:uid="{00000000-0005-0000-0000-0000EB310000}"/>
    <cellStyle name="Millares 2 80 4 2 2 3 3 2" xfId="25162" xr:uid="{00000000-0005-0000-0000-0000EC310000}"/>
    <cellStyle name="Millares 2 80 4 2 2 3 3 2 2" xfId="52295" xr:uid="{00000000-0005-0000-0000-0000ED310000}"/>
    <cellStyle name="Millares 2 80 4 2 2 3 3 3" xfId="38733" xr:uid="{00000000-0005-0000-0000-0000EE310000}"/>
    <cellStyle name="Millares 2 80 4 2 2 3 4" xfId="18381" xr:uid="{00000000-0005-0000-0000-0000EF310000}"/>
    <cellStyle name="Millares 2 80 4 2 2 3 4 2" xfId="45514" xr:uid="{00000000-0005-0000-0000-0000F0310000}"/>
    <cellStyle name="Millares 2 80 4 2 2 3 5" xfId="31952" xr:uid="{00000000-0005-0000-0000-0000F1310000}"/>
    <cellStyle name="Millares 2 80 4 2 2 4" xfId="8191" xr:uid="{00000000-0005-0000-0000-0000F2310000}"/>
    <cellStyle name="Millares 2 80 4 2 2 4 2" xfId="14981" xr:uid="{00000000-0005-0000-0000-0000F3310000}"/>
    <cellStyle name="Millares 2 80 4 2 2 4 2 2" xfId="28549" xr:uid="{00000000-0005-0000-0000-0000F4310000}"/>
    <cellStyle name="Millares 2 80 4 2 2 4 2 2 2" xfId="55682" xr:uid="{00000000-0005-0000-0000-0000F5310000}"/>
    <cellStyle name="Millares 2 80 4 2 2 4 2 3" xfId="42120" xr:uid="{00000000-0005-0000-0000-0000F6310000}"/>
    <cellStyle name="Millares 2 80 4 2 2 4 3" xfId="21768" xr:uid="{00000000-0005-0000-0000-0000F7310000}"/>
    <cellStyle name="Millares 2 80 4 2 2 4 3 2" xfId="48901" xr:uid="{00000000-0005-0000-0000-0000F8310000}"/>
    <cellStyle name="Millares 2 80 4 2 2 4 4" xfId="35339" xr:uid="{00000000-0005-0000-0000-0000F9310000}"/>
    <cellStyle name="Millares 2 80 4 2 2 5" xfId="11592" xr:uid="{00000000-0005-0000-0000-0000FA310000}"/>
    <cellStyle name="Millares 2 80 4 2 2 5 2" xfId="25160" xr:uid="{00000000-0005-0000-0000-0000FB310000}"/>
    <cellStyle name="Millares 2 80 4 2 2 5 2 2" xfId="52293" xr:uid="{00000000-0005-0000-0000-0000FC310000}"/>
    <cellStyle name="Millares 2 80 4 2 2 5 3" xfId="38731" xr:uid="{00000000-0005-0000-0000-0000FD310000}"/>
    <cellStyle name="Millares 2 80 4 2 2 6" xfId="18379" xr:uid="{00000000-0005-0000-0000-0000FE310000}"/>
    <cellStyle name="Millares 2 80 4 2 2 6 2" xfId="45512" xr:uid="{00000000-0005-0000-0000-0000FF310000}"/>
    <cellStyle name="Millares 2 80 4 2 2 7" xfId="31950" xr:uid="{00000000-0005-0000-0000-000000320000}"/>
    <cellStyle name="Millares 2 80 4 2 3" xfId="4585" xr:uid="{00000000-0005-0000-0000-000001320000}"/>
    <cellStyle name="Millares 2 80 4 2 3 2" xfId="4586" xr:uid="{00000000-0005-0000-0000-000002320000}"/>
    <cellStyle name="Millares 2 80 4 2 3 2 2" xfId="8195" xr:uid="{00000000-0005-0000-0000-000003320000}"/>
    <cellStyle name="Millares 2 80 4 2 3 2 2 2" xfId="14985" xr:uid="{00000000-0005-0000-0000-000004320000}"/>
    <cellStyle name="Millares 2 80 4 2 3 2 2 2 2" xfId="28553" xr:uid="{00000000-0005-0000-0000-000005320000}"/>
    <cellStyle name="Millares 2 80 4 2 3 2 2 2 2 2" xfId="55686" xr:uid="{00000000-0005-0000-0000-000006320000}"/>
    <cellStyle name="Millares 2 80 4 2 3 2 2 2 3" xfId="42124" xr:uid="{00000000-0005-0000-0000-000007320000}"/>
    <cellStyle name="Millares 2 80 4 2 3 2 2 3" xfId="21772" xr:uid="{00000000-0005-0000-0000-000008320000}"/>
    <cellStyle name="Millares 2 80 4 2 3 2 2 3 2" xfId="48905" xr:uid="{00000000-0005-0000-0000-000009320000}"/>
    <cellStyle name="Millares 2 80 4 2 3 2 2 4" xfId="35343" xr:uid="{00000000-0005-0000-0000-00000A320000}"/>
    <cellStyle name="Millares 2 80 4 2 3 2 3" xfId="11596" xr:uid="{00000000-0005-0000-0000-00000B320000}"/>
    <cellStyle name="Millares 2 80 4 2 3 2 3 2" xfId="25164" xr:uid="{00000000-0005-0000-0000-00000C320000}"/>
    <cellStyle name="Millares 2 80 4 2 3 2 3 2 2" xfId="52297" xr:uid="{00000000-0005-0000-0000-00000D320000}"/>
    <cellStyle name="Millares 2 80 4 2 3 2 3 3" xfId="38735" xr:uid="{00000000-0005-0000-0000-00000E320000}"/>
    <cellStyle name="Millares 2 80 4 2 3 2 4" xfId="18383" xr:uid="{00000000-0005-0000-0000-00000F320000}"/>
    <cellStyle name="Millares 2 80 4 2 3 2 4 2" xfId="45516" xr:uid="{00000000-0005-0000-0000-000010320000}"/>
    <cellStyle name="Millares 2 80 4 2 3 2 5" xfId="31954" xr:uid="{00000000-0005-0000-0000-000011320000}"/>
    <cellStyle name="Millares 2 80 4 2 3 3" xfId="8194" xr:uid="{00000000-0005-0000-0000-000012320000}"/>
    <cellStyle name="Millares 2 80 4 2 3 3 2" xfId="14984" xr:uid="{00000000-0005-0000-0000-000013320000}"/>
    <cellStyle name="Millares 2 80 4 2 3 3 2 2" xfId="28552" xr:uid="{00000000-0005-0000-0000-000014320000}"/>
    <cellStyle name="Millares 2 80 4 2 3 3 2 2 2" xfId="55685" xr:uid="{00000000-0005-0000-0000-000015320000}"/>
    <cellStyle name="Millares 2 80 4 2 3 3 2 3" xfId="42123" xr:uid="{00000000-0005-0000-0000-000016320000}"/>
    <cellStyle name="Millares 2 80 4 2 3 3 3" xfId="21771" xr:uid="{00000000-0005-0000-0000-000017320000}"/>
    <cellStyle name="Millares 2 80 4 2 3 3 3 2" xfId="48904" xr:uid="{00000000-0005-0000-0000-000018320000}"/>
    <cellStyle name="Millares 2 80 4 2 3 3 4" xfId="35342" xr:uid="{00000000-0005-0000-0000-000019320000}"/>
    <cellStyle name="Millares 2 80 4 2 3 4" xfId="11595" xr:uid="{00000000-0005-0000-0000-00001A320000}"/>
    <cellStyle name="Millares 2 80 4 2 3 4 2" xfId="25163" xr:uid="{00000000-0005-0000-0000-00001B320000}"/>
    <cellStyle name="Millares 2 80 4 2 3 4 2 2" xfId="52296" xr:uid="{00000000-0005-0000-0000-00001C320000}"/>
    <cellStyle name="Millares 2 80 4 2 3 4 3" xfId="38734" xr:uid="{00000000-0005-0000-0000-00001D320000}"/>
    <cellStyle name="Millares 2 80 4 2 3 5" xfId="18382" xr:uid="{00000000-0005-0000-0000-00001E320000}"/>
    <cellStyle name="Millares 2 80 4 2 3 5 2" xfId="45515" xr:uid="{00000000-0005-0000-0000-00001F320000}"/>
    <cellStyle name="Millares 2 80 4 2 3 6" xfId="31953" xr:uid="{00000000-0005-0000-0000-000020320000}"/>
    <cellStyle name="Millares 2 80 4 2 4" xfId="4587" xr:uid="{00000000-0005-0000-0000-000021320000}"/>
    <cellStyle name="Millares 2 80 4 2 4 2" xfId="8196" xr:uid="{00000000-0005-0000-0000-000022320000}"/>
    <cellStyle name="Millares 2 80 4 2 4 2 2" xfId="14986" xr:uid="{00000000-0005-0000-0000-000023320000}"/>
    <cellStyle name="Millares 2 80 4 2 4 2 2 2" xfId="28554" xr:uid="{00000000-0005-0000-0000-000024320000}"/>
    <cellStyle name="Millares 2 80 4 2 4 2 2 2 2" xfId="55687" xr:uid="{00000000-0005-0000-0000-000025320000}"/>
    <cellStyle name="Millares 2 80 4 2 4 2 2 3" xfId="42125" xr:uid="{00000000-0005-0000-0000-000026320000}"/>
    <cellStyle name="Millares 2 80 4 2 4 2 3" xfId="21773" xr:uid="{00000000-0005-0000-0000-000027320000}"/>
    <cellStyle name="Millares 2 80 4 2 4 2 3 2" xfId="48906" xr:uid="{00000000-0005-0000-0000-000028320000}"/>
    <cellStyle name="Millares 2 80 4 2 4 2 4" xfId="35344" xr:uid="{00000000-0005-0000-0000-000029320000}"/>
    <cellStyle name="Millares 2 80 4 2 4 3" xfId="11597" xr:uid="{00000000-0005-0000-0000-00002A320000}"/>
    <cellStyle name="Millares 2 80 4 2 4 3 2" xfId="25165" xr:uid="{00000000-0005-0000-0000-00002B320000}"/>
    <cellStyle name="Millares 2 80 4 2 4 3 2 2" xfId="52298" xr:uid="{00000000-0005-0000-0000-00002C320000}"/>
    <cellStyle name="Millares 2 80 4 2 4 3 3" xfId="38736" xr:uid="{00000000-0005-0000-0000-00002D320000}"/>
    <cellStyle name="Millares 2 80 4 2 4 4" xfId="18384" xr:uid="{00000000-0005-0000-0000-00002E320000}"/>
    <cellStyle name="Millares 2 80 4 2 4 4 2" xfId="45517" xr:uid="{00000000-0005-0000-0000-00002F320000}"/>
    <cellStyle name="Millares 2 80 4 2 4 5" xfId="31955" xr:uid="{00000000-0005-0000-0000-000030320000}"/>
    <cellStyle name="Millares 2 80 4 2 5" xfId="4588" xr:uid="{00000000-0005-0000-0000-000031320000}"/>
    <cellStyle name="Millares 2 80 4 2 5 2" xfId="8197" xr:uid="{00000000-0005-0000-0000-000032320000}"/>
    <cellStyle name="Millares 2 80 4 2 5 2 2" xfId="14987" xr:uid="{00000000-0005-0000-0000-000033320000}"/>
    <cellStyle name="Millares 2 80 4 2 5 2 2 2" xfId="28555" xr:uid="{00000000-0005-0000-0000-000034320000}"/>
    <cellStyle name="Millares 2 80 4 2 5 2 2 2 2" xfId="55688" xr:uid="{00000000-0005-0000-0000-000035320000}"/>
    <cellStyle name="Millares 2 80 4 2 5 2 2 3" xfId="42126" xr:uid="{00000000-0005-0000-0000-000036320000}"/>
    <cellStyle name="Millares 2 80 4 2 5 2 3" xfId="21774" xr:uid="{00000000-0005-0000-0000-000037320000}"/>
    <cellStyle name="Millares 2 80 4 2 5 2 3 2" xfId="48907" xr:uid="{00000000-0005-0000-0000-000038320000}"/>
    <cellStyle name="Millares 2 80 4 2 5 2 4" xfId="35345" xr:uid="{00000000-0005-0000-0000-000039320000}"/>
    <cellStyle name="Millares 2 80 4 2 5 3" xfId="11598" xr:uid="{00000000-0005-0000-0000-00003A320000}"/>
    <cellStyle name="Millares 2 80 4 2 5 3 2" xfId="25166" xr:uid="{00000000-0005-0000-0000-00003B320000}"/>
    <cellStyle name="Millares 2 80 4 2 5 3 2 2" xfId="52299" xr:uid="{00000000-0005-0000-0000-00003C320000}"/>
    <cellStyle name="Millares 2 80 4 2 5 3 3" xfId="38737" xr:uid="{00000000-0005-0000-0000-00003D320000}"/>
    <cellStyle name="Millares 2 80 4 2 5 4" xfId="18385" xr:uid="{00000000-0005-0000-0000-00003E320000}"/>
    <cellStyle name="Millares 2 80 4 2 5 4 2" xfId="45518" xr:uid="{00000000-0005-0000-0000-00003F320000}"/>
    <cellStyle name="Millares 2 80 4 2 5 5" xfId="31956" xr:uid="{00000000-0005-0000-0000-000040320000}"/>
    <cellStyle name="Millares 2 80 4 2 6" xfId="8190" xr:uid="{00000000-0005-0000-0000-000041320000}"/>
    <cellStyle name="Millares 2 80 4 2 6 2" xfId="14980" xr:uid="{00000000-0005-0000-0000-000042320000}"/>
    <cellStyle name="Millares 2 80 4 2 6 2 2" xfId="28548" xr:uid="{00000000-0005-0000-0000-000043320000}"/>
    <cellStyle name="Millares 2 80 4 2 6 2 2 2" xfId="55681" xr:uid="{00000000-0005-0000-0000-000044320000}"/>
    <cellStyle name="Millares 2 80 4 2 6 2 3" xfId="42119" xr:uid="{00000000-0005-0000-0000-000045320000}"/>
    <cellStyle name="Millares 2 80 4 2 6 3" xfId="21767" xr:uid="{00000000-0005-0000-0000-000046320000}"/>
    <cellStyle name="Millares 2 80 4 2 6 3 2" xfId="48900" xr:uid="{00000000-0005-0000-0000-000047320000}"/>
    <cellStyle name="Millares 2 80 4 2 6 4" xfId="35338" xr:uid="{00000000-0005-0000-0000-000048320000}"/>
    <cellStyle name="Millares 2 80 4 2 7" xfId="11591" xr:uid="{00000000-0005-0000-0000-000049320000}"/>
    <cellStyle name="Millares 2 80 4 2 7 2" xfId="25159" xr:uid="{00000000-0005-0000-0000-00004A320000}"/>
    <cellStyle name="Millares 2 80 4 2 7 2 2" xfId="52292" xr:uid="{00000000-0005-0000-0000-00004B320000}"/>
    <cellStyle name="Millares 2 80 4 2 7 3" xfId="38730" xr:uid="{00000000-0005-0000-0000-00004C320000}"/>
    <cellStyle name="Millares 2 80 4 2 8" xfId="18378" xr:uid="{00000000-0005-0000-0000-00004D320000}"/>
    <cellStyle name="Millares 2 80 4 2 8 2" xfId="45511" xr:uid="{00000000-0005-0000-0000-00004E320000}"/>
    <cellStyle name="Millares 2 80 4 2 9" xfId="31949" xr:uid="{00000000-0005-0000-0000-00004F320000}"/>
    <cellStyle name="Millares 2 80 4 3" xfId="4589" xr:uid="{00000000-0005-0000-0000-000050320000}"/>
    <cellStyle name="Millares 2 80 4 3 2" xfId="4590" xr:uid="{00000000-0005-0000-0000-000051320000}"/>
    <cellStyle name="Millares 2 80 4 3 2 2" xfId="8199" xr:uid="{00000000-0005-0000-0000-000052320000}"/>
    <cellStyle name="Millares 2 80 4 3 2 2 2" xfId="14989" xr:uid="{00000000-0005-0000-0000-000053320000}"/>
    <cellStyle name="Millares 2 80 4 3 2 2 2 2" xfId="28557" xr:uid="{00000000-0005-0000-0000-000054320000}"/>
    <cellStyle name="Millares 2 80 4 3 2 2 2 2 2" xfId="55690" xr:uid="{00000000-0005-0000-0000-000055320000}"/>
    <cellStyle name="Millares 2 80 4 3 2 2 2 3" xfId="42128" xr:uid="{00000000-0005-0000-0000-000056320000}"/>
    <cellStyle name="Millares 2 80 4 3 2 2 3" xfId="21776" xr:uid="{00000000-0005-0000-0000-000057320000}"/>
    <cellStyle name="Millares 2 80 4 3 2 2 3 2" xfId="48909" xr:uid="{00000000-0005-0000-0000-000058320000}"/>
    <cellStyle name="Millares 2 80 4 3 2 2 4" xfId="35347" xr:uid="{00000000-0005-0000-0000-000059320000}"/>
    <cellStyle name="Millares 2 80 4 3 2 3" xfId="11600" xr:uid="{00000000-0005-0000-0000-00005A320000}"/>
    <cellStyle name="Millares 2 80 4 3 2 3 2" xfId="25168" xr:uid="{00000000-0005-0000-0000-00005B320000}"/>
    <cellStyle name="Millares 2 80 4 3 2 3 2 2" xfId="52301" xr:uid="{00000000-0005-0000-0000-00005C320000}"/>
    <cellStyle name="Millares 2 80 4 3 2 3 3" xfId="38739" xr:uid="{00000000-0005-0000-0000-00005D320000}"/>
    <cellStyle name="Millares 2 80 4 3 2 4" xfId="18387" xr:uid="{00000000-0005-0000-0000-00005E320000}"/>
    <cellStyle name="Millares 2 80 4 3 2 4 2" xfId="45520" xr:uid="{00000000-0005-0000-0000-00005F320000}"/>
    <cellStyle name="Millares 2 80 4 3 2 5" xfId="31958" xr:uid="{00000000-0005-0000-0000-000060320000}"/>
    <cellStyle name="Millares 2 80 4 3 3" xfId="4591" xr:uid="{00000000-0005-0000-0000-000061320000}"/>
    <cellStyle name="Millares 2 80 4 3 3 2" xfId="8200" xr:uid="{00000000-0005-0000-0000-000062320000}"/>
    <cellStyle name="Millares 2 80 4 3 3 2 2" xfId="14990" xr:uid="{00000000-0005-0000-0000-000063320000}"/>
    <cellStyle name="Millares 2 80 4 3 3 2 2 2" xfId="28558" xr:uid="{00000000-0005-0000-0000-000064320000}"/>
    <cellStyle name="Millares 2 80 4 3 3 2 2 2 2" xfId="55691" xr:uid="{00000000-0005-0000-0000-000065320000}"/>
    <cellStyle name="Millares 2 80 4 3 3 2 2 3" xfId="42129" xr:uid="{00000000-0005-0000-0000-000066320000}"/>
    <cellStyle name="Millares 2 80 4 3 3 2 3" xfId="21777" xr:uid="{00000000-0005-0000-0000-000067320000}"/>
    <cellStyle name="Millares 2 80 4 3 3 2 3 2" xfId="48910" xr:uid="{00000000-0005-0000-0000-000068320000}"/>
    <cellStyle name="Millares 2 80 4 3 3 2 4" xfId="35348" xr:uid="{00000000-0005-0000-0000-000069320000}"/>
    <cellStyle name="Millares 2 80 4 3 3 3" xfId="11601" xr:uid="{00000000-0005-0000-0000-00006A320000}"/>
    <cellStyle name="Millares 2 80 4 3 3 3 2" xfId="25169" xr:uid="{00000000-0005-0000-0000-00006B320000}"/>
    <cellStyle name="Millares 2 80 4 3 3 3 2 2" xfId="52302" xr:uid="{00000000-0005-0000-0000-00006C320000}"/>
    <cellStyle name="Millares 2 80 4 3 3 3 3" xfId="38740" xr:uid="{00000000-0005-0000-0000-00006D320000}"/>
    <cellStyle name="Millares 2 80 4 3 3 4" xfId="18388" xr:uid="{00000000-0005-0000-0000-00006E320000}"/>
    <cellStyle name="Millares 2 80 4 3 3 4 2" xfId="45521" xr:uid="{00000000-0005-0000-0000-00006F320000}"/>
    <cellStyle name="Millares 2 80 4 3 3 5" xfId="31959" xr:uid="{00000000-0005-0000-0000-000070320000}"/>
    <cellStyle name="Millares 2 80 4 3 4" xfId="8198" xr:uid="{00000000-0005-0000-0000-000071320000}"/>
    <cellStyle name="Millares 2 80 4 3 4 2" xfId="14988" xr:uid="{00000000-0005-0000-0000-000072320000}"/>
    <cellStyle name="Millares 2 80 4 3 4 2 2" xfId="28556" xr:uid="{00000000-0005-0000-0000-000073320000}"/>
    <cellStyle name="Millares 2 80 4 3 4 2 2 2" xfId="55689" xr:uid="{00000000-0005-0000-0000-000074320000}"/>
    <cellStyle name="Millares 2 80 4 3 4 2 3" xfId="42127" xr:uid="{00000000-0005-0000-0000-000075320000}"/>
    <cellStyle name="Millares 2 80 4 3 4 3" xfId="21775" xr:uid="{00000000-0005-0000-0000-000076320000}"/>
    <cellStyle name="Millares 2 80 4 3 4 3 2" xfId="48908" xr:uid="{00000000-0005-0000-0000-000077320000}"/>
    <cellStyle name="Millares 2 80 4 3 4 4" xfId="35346" xr:uid="{00000000-0005-0000-0000-000078320000}"/>
    <cellStyle name="Millares 2 80 4 3 5" xfId="11599" xr:uid="{00000000-0005-0000-0000-000079320000}"/>
    <cellStyle name="Millares 2 80 4 3 5 2" xfId="25167" xr:uid="{00000000-0005-0000-0000-00007A320000}"/>
    <cellStyle name="Millares 2 80 4 3 5 2 2" xfId="52300" xr:uid="{00000000-0005-0000-0000-00007B320000}"/>
    <cellStyle name="Millares 2 80 4 3 5 3" xfId="38738" xr:uid="{00000000-0005-0000-0000-00007C320000}"/>
    <cellStyle name="Millares 2 80 4 3 6" xfId="18386" xr:uid="{00000000-0005-0000-0000-00007D320000}"/>
    <cellStyle name="Millares 2 80 4 3 6 2" xfId="45519" xr:uid="{00000000-0005-0000-0000-00007E320000}"/>
    <cellStyle name="Millares 2 80 4 3 7" xfId="31957" xr:uid="{00000000-0005-0000-0000-00007F320000}"/>
    <cellStyle name="Millares 2 80 4 4" xfId="4592" xr:uid="{00000000-0005-0000-0000-000080320000}"/>
    <cellStyle name="Millares 2 80 4 4 2" xfId="4593" xr:uid="{00000000-0005-0000-0000-000081320000}"/>
    <cellStyle name="Millares 2 80 4 4 2 2" xfId="8202" xr:uid="{00000000-0005-0000-0000-000082320000}"/>
    <cellStyle name="Millares 2 80 4 4 2 2 2" xfId="14992" xr:uid="{00000000-0005-0000-0000-000083320000}"/>
    <cellStyle name="Millares 2 80 4 4 2 2 2 2" xfId="28560" xr:uid="{00000000-0005-0000-0000-000084320000}"/>
    <cellStyle name="Millares 2 80 4 4 2 2 2 2 2" xfId="55693" xr:uid="{00000000-0005-0000-0000-000085320000}"/>
    <cellStyle name="Millares 2 80 4 4 2 2 2 3" xfId="42131" xr:uid="{00000000-0005-0000-0000-000086320000}"/>
    <cellStyle name="Millares 2 80 4 4 2 2 3" xfId="21779" xr:uid="{00000000-0005-0000-0000-000087320000}"/>
    <cellStyle name="Millares 2 80 4 4 2 2 3 2" xfId="48912" xr:uid="{00000000-0005-0000-0000-000088320000}"/>
    <cellStyle name="Millares 2 80 4 4 2 2 4" xfId="35350" xr:uid="{00000000-0005-0000-0000-000089320000}"/>
    <cellStyle name="Millares 2 80 4 4 2 3" xfId="11603" xr:uid="{00000000-0005-0000-0000-00008A320000}"/>
    <cellStyle name="Millares 2 80 4 4 2 3 2" xfId="25171" xr:uid="{00000000-0005-0000-0000-00008B320000}"/>
    <cellStyle name="Millares 2 80 4 4 2 3 2 2" xfId="52304" xr:uid="{00000000-0005-0000-0000-00008C320000}"/>
    <cellStyle name="Millares 2 80 4 4 2 3 3" xfId="38742" xr:uid="{00000000-0005-0000-0000-00008D320000}"/>
    <cellStyle name="Millares 2 80 4 4 2 4" xfId="18390" xr:uid="{00000000-0005-0000-0000-00008E320000}"/>
    <cellStyle name="Millares 2 80 4 4 2 4 2" xfId="45523" xr:uid="{00000000-0005-0000-0000-00008F320000}"/>
    <cellStyle name="Millares 2 80 4 4 2 5" xfId="31961" xr:uid="{00000000-0005-0000-0000-000090320000}"/>
    <cellStyle name="Millares 2 80 4 4 3" xfId="8201" xr:uid="{00000000-0005-0000-0000-000091320000}"/>
    <cellStyle name="Millares 2 80 4 4 3 2" xfId="14991" xr:uid="{00000000-0005-0000-0000-000092320000}"/>
    <cellStyle name="Millares 2 80 4 4 3 2 2" xfId="28559" xr:uid="{00000000-0005-0000-0000-000093320000}"/>
    <cellStyle name="Millares 2 80 4 4 3 2 2 2" xfId="55692" xr:uid="{00000000-0005-0000-0000-000094320000}"/>
    <cellStyle name="Millares 2 80 4 4 3 2 3" xfId="42130" xr:uid="{00000000-0005-0000-0000-000095320000}"/>
    <cellStyle name="Millares 2 80 4 4 3 3" xfId="21778" xr:uid="{00000000-0005-0000-0000-000096320000}"/>
    <cellStyle name="Millares 2 80 4 4 3 3 2" xfId="48911" xr:uid="{00000000-0005-0000-0000-000097320000}"/>
    <cellStyle name="Millares 2 80 4 4 3 4" xfId="35349" xr:uid="{00000000-0005-0000-0000-000098320000}"/>
    <cellStyle name="Millares 2 80 4 4 4" xfId="11602" xr:uid="{00000000-0005-0000-0000-000099320000}"/>
    <cellStyle name="Millares 2 80 4 4 4 2" xfId="25170" xr:uid="{00000000-0005-0000-0000-00009A320000}"/>
    <cellStyle name="Millares 2 80 4 4 4 2 2" xfId="52303" xr:uid="{00000000-0005-0000-0000-00009B320000}"/>
    <cellStyle name="Millares 2 80 4 4 4 3" xfId="38741" xr:uid="{00000000-0005-0000-0000-00009C320000}"/>
    <cellStyle name="Millares 2 80 4 4 5" xfId="18389" xr:uid="{00000000-0005-0000-0000-00009D320000}"/>
    <cellStyle name="Millares 2 80 4 4 5 2" xfId="45522" xr:uid="{00000000-0005-0000-0000-00009E320000}"/>
    <cellStyle name="Millares 2 80 4 4 6" xfId="31960" xr:uid="{00000000-0005-0000-0000-00009F320000}"/>
    <cellStyle name="Millares 2 80 4 5" xfId="4594" xr:uid="{00000000-0005-0000-0000-0000A0320000}"/>
    <cellStyle name="Millares 2 80 4 5 2" xfId="8203" xr:uid="{00000000-0005-0000-0000-0000A1320000}"/>
    <cellStyle name="Millares 2 80 4 5 2 2" xfId="14993" xr:uid="{00000000-0005-0000-0000-0000A2320000}"/>
    <cellStyle name="Millares 2 80 4 5 2 2 2" xfId="28561" xr:uid="{00000000-0005-0000-0000-0000A3320000}"/>
    <cellStyle name="Millares 2 80 4 5 2 2 2 2" xfId="55694" xr:uid="{00000000-0005-0000-0000-0000A4320000}"/>
    <cellStyle name="Millares 2 80 4 5 2 2 3" xfId="42132" xr:uid="{00000000-0005-0000-0000-0000A5320000}"/>
    <cellStyle name="Millares 2 80 4 5 2 3" xfId="21780" xr:uid="{00000000-0005-0000-0000-0000A6320000}"/>
    <cellStyle name="Millares 2 80 4 5 2 3 2" xfId="48913" xr:uid="{00000000-0005-0000-0000-0000A7320000}"/>
    <cellStyle name="Millares 2 80 4 5 2 4" xfId="35351" xr:uid="{00000000-0005-0000-0000-0000A8320000}"/>
    <cellStyle name="Millares 2 80 4 5 3" xfId="11604" xr:uid="{00000000-0005-0000-0000-0000A9320000}"/>
    <cellStyle name="Millares 2 80 4 5 3 2" xfId="25172" xr:uid="{00000000-0005-0000-0000-0000AA320000}"/>
    <cellStyle name="Millares 2 80 4 5 3 2 2" xfId="52305" xr:uid="{00000000-0005-0000-0000-0000AB320000}"/>
    <cellStyle name="Millares 2 80 4 5 3 3" xfId="38743" xr:uid="{00000000-0005-0000-0000-0000AC320000}"/>
    <cellStyle name="Millares 2 80 4 5 4" xfId="18391" xr:uid="{00000000-0005-0000-0000-0000AD320000}"/>
    <cellStyle name="Millares 2 80 4 5 4 2" xfId="45524" xr:uid="{00000000-0005-0000-0000-0000AE320000}"/>
    <cellStyle name="Millares 2 80 4 5 5" xfId="31962" xr:uid="{00000000-0005-0000-0000-0000AF320000}"/>
    <cellStyle name="Millares 2 80 4 6" xfId="4595" xr:uid="{00000000-0005-0000-0000-0000B0320000}"/>
    <cellStyle name="Millares 2 80 4 6 2" xfId="8204" xr:uid="{00000000-0005-0000-0000-0000B1320000}"/>
    <cellStyle name="Millares 2 80 4 6 2 2" xfId="14994" xr:uid="{00000000-0005-0000-0000-0000B2320000}"/>
    <cellStyle name="Millares 2 80 4 6 2 2 2" xfId="28562" xr:uid="{00000000-0005-0000-0000-0000B3320000}"/>
    <cellStyle name="Millares 2 80 4 6 2 2 2 2" xfId="55695" xr:uid="{00000000-0005-0000-0000-0000B4320000}"/>
    <cellStyle name="Millares 2 80 4 6 2 2 3" xfId="42133" xr:uid="{00000000-0005-0000-0000-0000B5320000}"/>
    <cellStyle name="Millares 2 80 4 6 2 3" xfId="21781" xr:uid="{00000000-0005-0000-0000-0000B6320000}"/>
    <cellStyle name="Millares 2 80 4 6 2 3 2" xfId="48914" xr:uid="{00000000-0005-0000-0000-0000B7320000}"/>
    <cellStyle name="Millares 2 80 4 6 2 4" xfId="35352" xr:uid="{00000000-0005-0000-0000-0000B8320000}"/>
    <cellStyle name="Millares 2 80 4 6 3" xfId="11605" xr:uid="{00000000-0005-0000-0000-0000B9320000}"/>
    <cellStyle name="Millares 2 80 4 6 3 2" xfId="25173" xr:uid="{00000000-0005-0000-0000-0000BA320000}"/>
    <cellStyle name="Millares 2 80 4 6 3 2 2" xfId="52306" xr:uid="{00000000-0005-0000-0000-0000BB320000}"/>
    <cellStyle name="Millares 2 80 4 6 3 3" xfId="38744" xr:uid="{00000000-0005-0000-0000-0000BC320000}"/>
    <cellStyle name="Millares 2 80 4 6 4" xfId="18392" xr:uid="{00000000-0005-0000-0000-0000BD320000}"/>
    <cellStyle name="Millares 2 80 4 6 4 2" xfId="45525" xr:uid="{00000000-0005-0000-0000-0000BE320000}"/>
    <cellStyle name="Millares 2 80 4 6 5" xfId="31963" xr:uid="{00000000-0005-0000-0000-0000BF320000}"/>
    <cellStyle name="Millares 2 80 4 7" xfId="8189" xr:uid="{00000000-0005-0000-0000-0000C0320000}"/>
    <cellStyle name="Millares 2 80 4 7 2" xfId="14979" xr:uid="{00000000-0005-0000-0000-0000C1320000}"/>
    <cellStyle name="Millares 2 80 4 7 2 2" xfId="28547" xr:uid="{00000000-0005-0000-0000-0000C2320000}"/>
    <cellStyle name="Millares 2 80 4 7 2 2 2" xfId="55680" xr:uid="{00000000-0005-0000-0000-0000C3320000}"/>
    <cellStyle name="Millares 2 80 4 7 2 3" xfId="42118" xr:uid="{00000000-0005-0000-0000-0000C4320000}"/>
    <cellStyle name="Millares 2 80 4 7 3" xfId="21766" xr:uid="{00000000-0005-0000-0000-0000C5320000}"/>
    <cellStyle name="Millares 2 80 4 7 3 2" xfId="48899" xr:uid="{00000000-0005-0000-0000-0000C6320000}"/>
    <cellStyle name="Millares 2 80 4 7 4" xfId="35337" xr:uid="{00000000-0005-0000-0000-0000C7320000}"/>
    <cellStyle name="Millares 2 80 4 8" xfId="11590" xr:uid="{00000000-0005-0000-0000-0000C8320000}"/>
    <cellStyle name="Millares 2 80 4 8 2" xfId="25158" xr:uid="{00000000-0005-0000-0000-0000C9320000}"/>
    <cellStyle name="Millares 2 80 4 8 2 2" xfId="52291" xr:uid="{00000000-0005-0000-0000-0000CA320000}"/>
    <cellStyle name="Millares 2 80 4 8 3" xfId="38729" xr:uid="{00000000-0005-0000-0000-0000CB320000}"/>
    <cellStyle name="Millares 2 80 4 9" xfId="18377" xr:uid="{00000000-0005-0000-0000-0000CC320000}"/>
    <cellStyle name="Millares 2 80 4 9 2" xfId="45510" xr:uid="{00000000-0005-0000-0000-0000CD320000}"/>
    <cellStyle name="Millares 2 80 5" xfId="4596" xr:uid="{00000000-0005-0000-0000-0000CE320000}"/>
    <cellStyle name="Millares 2 80 5 2" xfId="4597" xr:uid="{00000000-0005-0000-0000-0000CF320000}"/>
    <cellStyle name="Millares 2 80 5 2 2" xfId="4598" xr:uid="{00000000-0005-0000-0000-0000D0320000}"/>
    <cellStyle name="Millares 2 80 5 2 2 2" xfId="8207" xr:uid="{00000000-0005-0000-0000-0000D1320000}"/>
    <cellStyle name="Millares 2 80 5 2 2 2 2" xfId="14997" xr:uid="{00000000-0005-0000-0000-0000D2320000}"/>
    <cellStyle name="Millares 2 80 5 2 2 2 2 2" xfId="28565" xr:uid="{00000000-0005-0000-0000-0000D3320000}"/>
    <cellStyle name="Millares 2 80 5 2 2 2 2 2 2" xfId="55698" xr:uid="{00000000-0005-0000-0000-0000D4320000}"/>
    <cellStyle name="Millares 2 80 5 2 2 2 2 3" xfId="42136" xr:uid="{00000000-0005-0000-0000-0000D5320000}"/>
    <cellStyle name="Millares 2 80 5 2 2 2 3" xfId="21784" xr:uid="{00000000-0005-0000-0000-0000D6320000}"/>
    <cellStyle name="Millares 2 80 5 2 2 2 3 2" xfId="48917" xr:uid="{00000000-0005-0000-0000-0000D7320000}"/>
    <cellStyle name="Millares 2 80 5 2 2 2 4" xfId="35355" xr:uid="{00000000-0005-0000-0000-0000D8320000}"/>
    <cellStyle name="Millares 2 80 5 2 2 3" xfId="11608" xr:uid="{00000000-0005-0000-0000-0000D9320000}"/>
    <cellStyle name="Millares 2 80 5 2 2 3 2" xfId="25176" xr:uid="{00000000-0005-0000-0000-0000DA320000}"/>
    <cellStyle name="Millares 2 80 5 2 2 3 2 2" xfId="52309" xr:uid="{00000000-0005-0000-0000-0000DB320000}"/>
    <cellStyle name="Millares 2 80 5 2 2 3 3" xfId="38747" xr:uid="{00000000-0005-0000-0000-0000DC320000}"/>
    <cellStyle name="Millares 2 80 5 2 2 4" xfId="18395" xr:uid="{00000000-0005-0000-0000-0000DD320000}"/>
    <cellStyle name="Millares 2 80 5 2 2 4 2" xfId="45528" xr:uid="{00000000-0005-0000-0000-0000DE320000}"/>
    <cellStyle name="Millares 2 80 5 2 2 5" xfId="31966" xr:uid="{00000000-0005-0000-0000-0000DF320000}"/>
    <cellStyle name="Millares 2 80 5 2 3" xfId="4599" xr:uid="{00000000-0005-0000-0000-0000E0320000}"/>
    <cellStyle name="Millares 2 80 5 2 3 2" xfId="8208" xr:uid="{00000000-0005-0000-0000-0000E1320000}"/>
    <cellStyle name="Millares 2 80 5 2 3 2 2" xfId="14998" xr:uid="{00000000-0005-0000-0000-0000E2320000}"/>
    <cellStyle name="Millares 2 80 5 2 3 2 2 2" xfId="28566" xr:uid="{00000000-0005-0000-0000-0000E3320000}"/>
    <cellStyle name="Millares 2 80 5 2 3 2 2 2 2" xfId="55699" xr:uid="{00000000-0005-0000-0000-0000E4320000}"/>
    <cellStyle name="Millares 2 80 5 2 3 2 2 3" xfId="42137" xr:uid="{00000000-0005-0000-0000-0000E5320000}"/>
    <cellStyle name="Millares 2 80 5 2 3 2 3" xfId="21785" xr:uid="{00000000-0005-0000-0000-0000E6320000}"/>
    <cellStyle name="Millares 2 80 5 2 3 2 3 2" xfId="48918" xr:uid="{00000000-0005-0000-0000-0000E7320000}"/>
    <cellStyle name="Millares 2 80 5 2 3 2 4" xfId="35356" xr:uid="{00000000-0005-0000-0000-0000E8320000}"/>
    <cellStyle name="Millares 2 80 5 2 3 3" xfId="11609" xr:uid="{00000000-0005-0000-0000-0000E9320000}"/>
    <cellStyle name="Millares 2 80 5 2 3 3 2" xfId="25177" xr:uid="{00000000-0005-0000-0000-0000EA320000}"/>
    <cellStyle name="Millares 2 80 5 2 3 3 2 2" xfId="52310" xr:uid="{00000000-0005-0000-0000-0000EB320000}"/>
    <cellStyle name="Millares 2 80 5 2 3 3 3" xfId="38748" xr:uid="{00000000-0005-0000-0000-0000EC320000}"/>
    <cellStyle name="Millares 2 80 5 2 3 4" xfId="18396" xr:uid="{00000000-0005-0000-0000-0000ED320000}"/>
    <cellStyle name="Millares 2 80 5 2 3 4 2" xfId="45529" xr:uid="{00000000-0005-0000-0000-0000EE320000}"/>
    <cellStyle name="Millares 2 80 5 2 3 5" xfId="31967" xr:uid="{00000000-0005-0000-0000-0000EF320000}"/>
    <cellStyle name="Millares 2 80 5 2 4" xfId="8206" xr:uid="{00000000-0005-0000-0000-0000F0320000}"/>
    <cellStyle name="Millares 2 80 5 2 4 2" xfId="14996" xr:uid="{00000000-0005-0000-0000-0000F1320000}"/>
    <cellStyle name="Millares 2 80 5 2 4 2 2" xfId="28564" xr:uid="{00000000-0005-0000-0000-0000F2320000}"/>
    <cellStyle name="Millares 2 80 5 2 4 2 2 2" xfId="55697" xr:uid="{00000000-0005-0000-0000-0000F3320000}"/>
    <cellStyle name="Millares 2 80 5 2 4 2 3" xfId="42135" xr:uid="{00000000-0005-0000-0000-0000F4320000}"/>
    <cellStyle name="Millares 2 80 5 2 4 3" xfId="21783" xr:uid="{00000000-0005-0000-0000-0000F5320000}"/>
    <cellStyle name="Millares 2 80 5 2 4 3 2" xfId="48916" xr:uid="{00000000-0005-0000-0000-0000F6320000}"/>
    <cellStyle name="Millares 2 80 5 2 4 4" xfId="35354" xr:uid="{00000000-0005-0000-0000-0000F7320000}"/>
    <cellStyle name="Millares 2 80 5 2 5" xfId="11607" xr:uid="{00000000-0005-0000-0000-0000F8320000}"/>
    <cellStyle name="Millares 2 80 5 2 5 2" xfId="25175" xr:uid="{00000000-0005-0000-0000-0000F9320000}"/>
    <cellStyle name="Millares 2 80 5 2 5 2 2" xfId="52308" xr:uid="{00000000-0005-0000-0000-0000FA320000}"/>
    <cellStyle name="Millares 2 80 5 2 5 3" xfId="38746" xr:uid="{00000000-0005-0000-0000-0000FB320000}"/>
    <cellStyle name="Millares 2 80 5 2 6" xfId="18394" xr:uid="{00000000-0005-0000-0000-0000FC320000}"/>
    <cellStyle name="Millares 2 80 5 2 6 2" xfId="45527" xr:uid="{00000000-0005-0000-0000-0000FD320000}"/>
    <cellStyle name="Millares 2 80 5 2 7" xfId="31965" xr:uid="{00000000-0005-0000-0000-0000FE320000}"/>
    <cellStyle name="Millares 2 80 5 3" xfId="4600" xr:uid="{00000000-0005-0000-0000-0000FF320000}"/>
    <cellStyle name="Millares 2 80 5 3 2" xfId="4601" xr:uid="{00000000-0005-0000-0000-000000330000}"/>
    <cellStyle name="Millares 2 80 5 3 2 2" xfId="8210" xr:uid="{00000000-0005-0000-0000-000001330000}"/>
    <cellStyle name="Millares 2 80 5 3 2 2 2" xfId="15000" xr:uid="{00000000-0005-0000-0000-000002330000}"/>
    <cellStyle name="Millares 2 80 5 3 2 2 2 2" xfId="28568" xr:uid="{00000000-0005-0000-0000-000003330000}"/>
    <cellStyle name="Millares 2 80 5 3 2 2 2 2 2" xfId="55701" xr:uid="{00000000-0005-0000-0000-000004330000}"/>
    <cellStyle name="Millares 2 80 5 3 2 2 2 3" xfId="42139" xr:uid="{00000000-0005-0000-0000-000005330000}"/>
    <cellStyle name="Millares 2 80 5 3 2 2 3" xfId="21787" xr:uid="{00000000-0005-0000-0000-000006330000}"/>
    <cellStyle name="Millares 2 80 5 3 2 2 3 2" xfId="48920" xr:uid="{00000000-0005-0000-0000-000007330000}"/>
    <cellStyle name="Millares 2 80 5 3 2 2 4" xfId="35358" xr:uid="{00000000-0005-0000-0000-000008330000}"/>
    <cellStyle name="Millares 2 80 5 3 2 3" xfId="11611" xr:uid="{00000000-0005-0000-0000-000009330000}"/>
    <cellStyle name="Millares 2 80 5 3 2 3 2" xfId="25179" xr:uid="{00000000-0005-0000-0000-00000A330000}"/>
    <cellStyle name="Millares 2 80 5 3 2 3 2 2" xfId="52312" xr:uid="{00000000-0005-0000-0000-00000B330000}"/>
    <cellStyle name="Millares 2 80 5 3 2 3 3" xfId="38750" xr:uid="{00000000-0005-0000-0000-00000C330000}"/>
    <cellStyle name="Millares 2 80 5 3 2 4" xfId="18398" xr:uid="{00000000-0005-0000-0000-00000D330000}"/>
    <cellStyle name="Millares 2 80 5 3 2 4 2" xfId="45531" xr:uid="{00000000-0005-0000-0000-00000E330000}"/>
    <cellStyle name="Millares 2 80 5 3 2 5" xfId="31969" xr:uid="{00000000-0005-0000-0000-00000F330000}"/>
    <cellStyle name="Millares 2 80 5 3 3" xfId="8209" xr:uid="{00000000-0005-0000-0000-000010330000}"/>
    <cellStyle name="Millares 2 80 5 3 3 2" xfId="14999" xr:uid="{00000000-0005-0000-0000-000011330000}"/>
    <cellStyle name="Millares 2 80 5 3 3 2 2" xfId="28567" xr:uid="{00000000-0005-0000-0000-000012330000}"/>
    <cellStyle name="Millares 2 80 5 3 3 2 2 2" xfId="55700" xr:uid="{00000000-0005-0000-0000-000013330000}"/>
    <cellStyle name="Millares 2 80 5 3 3 2 3" xfId="42138" xr:uid="{00000000-0005-0000-0000-000014330000}"/>
    <cellStyle name="Millares 2 80 5 3 3 3" xfId="21786" xr:uid="{00000000-0005-0000-0000-000015330000}"/>
    <cellStyle name="Millares 2 80 5 3 3 3 2" xfId="48919" xr:uid="{00000000-0005-0000-0000-000016330000}"/>
    <cellStyle name="Millares 2 80 5 3 3 4" xfId="35357" xr:uid="{00000000-0005-0000-0000-000017330000}"/>
    <cellStyle name="Millares 2 80 5 3 4" xfId="11610" xr:uid="{00000000-0005-0000-0000-000018330000}"/>
    <cellStyle name="Millares 2 80 5 3 4 2" xfId="25178" xr:uid="{00000000-0005-0000-0000-000019330000}"/>
    <cellStyle name="Millares 2 80 5 3 4 2 2" xfId="52311" xr:uid="{00000000-0005-0000-0000-00001A330000}"/>
    <cellStyle name="Millares 2 80 5 3 4 3" xfId="38749" xr:uid="{00000000-0005-0000-0000-00001B330000}"/>
    <cellStyle name="Millares 2 80 5 3 5" xfId="18397" xr:uid="{00000000-0005-0000-0000-00001C330000}"/>
    <cellStyle name="Millares 2 80 5 3 5 2" xfId="45530" xr:uid="{00000000-0005-0000-0000-00001D330000}"/>
    <cellStyle name="Millares 2 80 5 3 6" xfId="31968" xr:uid="{00000000-0005-0000-0000-00001E330000}"/>
    <cellStyle name="Millares 2 80 5 4" xfId="4602" xr:uid="{00000000-0005-0000-0000-00001F330000}"/>
    <cellStyle name="Millares 2 80 5 4 2" xfId="8211" xr:uid="{00000000-0005-0000-0000-000020330000}"/>
    <cellStyle name="Millares 2 80 5 4 2 2" xfId="15001" xr:uid="{00000000-0005-0000-0000-000021330000}"/>
    <cellStyle name="Millares 2 80 5 4 2 2 2" xfId="28569" xr:uid="{00000000-0005-0000-0000-000022330000}"/>
    <cellStyle name="Millares 2 80 5 4 2 2 2 2" xfId="55702" xr:uid="{00000000-0005-0000-0000-000023330000}"/>
    <cellStyle name="Millares 2 80 5 4 2 2 3" xfId="42140" xr:uid="{00000000-0005-0000-0000-000024330000}"/>
    <cellStyle name="Millares 2 80 5 4 2 3" xfId="21788" xr:uid="{00000000-0005-0000-0000-000025330000}"/>
    <cellStyle name="Millares 2 80 5 4 2 3 2" xfId="48921" xr:uid="{00000000-0005-0000-0000-000026330000}"/>
    <cellStyle name="Millares 2 80 5 4 2 4" xfId="35359" xr:uid="{00000000-0005-0000-0000-000027330000}"/>
    <cellStyle name="Millares 2 80 5 4 3" xfId="11612" xr:uid="{00000000-0005-0000-0000-000028330000}"/>
    <cellStyle name="Millares 2 80 5 4 3 2" xfId="25180" xr:uid="{00000000-0005-0000-0000-000029330000}"/>
    <cellStyle name="Millares 2 80 5 4 3 2 2" xfId="52313" xr:uid="{00000000-0005-0000-0000-00002A330000}"/>
    <cellStyle name="Millares 2 80 5 4 3 3" xfId="38751" xr:uid="{00000000-0005-0000-0000-00002B330000}"/>
    <cellStyle name="Millares 2 80 5 4 4" xfId="18399" xr:uid="{00000000-0005-0000-0000-00002C330000}"/>
    <cellStyle name="Millares 2 80 5 4 4 2" xfId="45532" xr:uid="{00000000-0005-0000-0000-00002D330000}"/>
    <cellStyle name="Millares 2 80 5 4 5" xfId="31970" xr:uid="{00000000-0005-0000-0000-00002E330000}"/>
    <cellStyle name="Millares 2 80 5 5" xfId="4603" xr:uid="{00000000-0005-0000-0000-00002F330000}"/>
    <cellStyle name="Millares 2 80 5 5 2" xfId="8212" xr:uid="{00000000-0005-0000-0000-000030330000}"/>
    <cellStyle name="Millares 2 80 5 5 2 2" xfId="15002" xr:uid="{00000000-0005-0000-0000-000031330000}"/>
    <cellStyle name="Millares 2 80 5 5 2 2 2" xfId="28570" xr:uid="{00000000-0005-0000-0000-000032330000}"/>
    <cellStyle name="Millares 2 80 5 5 2 2 2 2" xfId="55703" xr:uid="{00000000-0005-0000-0000-000033330000}"/>
    <cellStyle name="Millares 2 80 5 5 2 2 3" xfId="42141" xr:uid="{00000000-0005-0000-0000-000034330000}"/>
    <cellStyle name="Millares 2 80 5 5 2 3" xfId="21789" xr:uid="{00000000-0005-0000-0000-000035330000}"/>
    <cellStyle name="Millares 2 80 5 5 2 3 2" xfId="48922" xr:uid="{00000000-0005-0000-0000-000036330000}"/>
    <cellStyle name="Millares 2 80 5 5 2 4" xfId="35360" xr:uid="{00000000-0005-0000-0000-000037330000}"/>
    <cellStyle name="Millares 2 80 5 5 3" xfId="11613" xr:uid="{00000000-0005-0000-0000-000038330000}"/>
    <cellStyle name="Millares 2 80 5 5 3 2" xfId="25181" xr:uid="{00000000-0005-0000-0000-000039330000}"/>
    <cellStyle name="Millares 2 80 5 5 3 2 2" xfId="52314" xr:uid="{00000000-0005-0000-0000-00003A330000}"/>
    <cellStyle name="Millares 2 80 5 5 3 3" xfId="38752" xr:uid="{00000000-0005-0000-0000-00003B330000}"/>
    <cellStyle name="Millares 2 80 5 5 4" xfId="18400" xr:uid="{00000000-0005-0000-0000-00003C330000}"/>
    <cellStyle name="Millares 2 80 5 5 4 2" xfId="45533" xr:uid="{00000000-0005-0000-0000-00003D330000}"/>
    <cellStyle name="Millares 2 80 5 5 5" xfId="31971" xr:uid="{00000000-0005-0000-0000-00003E330000}"/>
    <cellStyle name="Millares 2 80 5 6" xfId="8205" xr:uid="{00000000-0005-0000-0000-00003F330000}"/>
    <cellStyle name="Millares 2 80 5 6 2" xfId="14995" xr:uid="{00000000-0005-0000-0000-000040330000}"/>
    <cellStyle name="Millares 2 80 5 6 2 2" xfId="28563" xr:uid="{00000000-0005-0000-0000-000041330000}"/>
    <cellStyle name="Millares 2 80 5 6 2 2 2" xfId="55696" xr:uid="{00000000-0005-0000-0000-000042330000}"/>
    <cellStyle name="Millares 2 80 5 6 2 3" xfId="42134" xr:uid="{00000000-0005-0000-0000-000043330000}"/>
    <cellStyle name="Millares 2 80 5 6 3" xfId="21782" xr:uid="{00000000-0005-0000-0000-000044330000}"/>
    <cellStyle name="Millares 2 80 5 6 3 2" xfId="48915" xr:uid="{00000000-0005-0000-0000-000045330000}"/>
    <cellStyle name="Millares 2 80 5 6 4" xfId="35353" xr:uid="{00000000-0005-0000-0000-000046330000}"/>
    <cellStyle name="Millares 2 80 5 7" xfId="11606" xr:uid="{00000000-0005-0000-0000-000047330000}"/>
    <cellStyle name="Millares 2 80 5 7 2" xfId="25174" xr:uid="{00000000-0005-0000-0000-000048330000}"/>
    <cellStyle name="Millares 2 80 5 7 2 2" xfId="52307" xr:uid="{00000000-0005-0000-0000-000049330000}"/>
    <cellStyle name="Millares 2 80 5 7 3" xfId="38745" xr:uid="{00000000-0005-0000-0000-00004A330000}"/>
    <cellStyle name="Millares 2 80 5 8" xfId="18393" xr:uid="{00000000-0005-0000-0000-00004B330000}"/>
    <cellStyle name="Millares 2 80 5 8 2" xfId="45526" xr:uid="{00000000-0005-0000-0000-00004C330000}"/>
    <cellStyle name="Millares 2 80 5 9" xfId="31964" xr:uid="{00000000-0005-0000-0000-00004D330000}"/>
    <cellStyle name="Millares 2 80 6" xfId="4604" xr:uid="{00000000-0005-0000-0000-00004E330000}"/>
    <cellStyle name="Millares 2 80 6 2" xfId="4605" xr:uid="{00000000-0005-0000-0000-00004F330000}"/>
    <cellStyle name="Millares 2 80 6 2 2" xfId="4606" xr:uid="{00000000-0005-0000-0000-000050330000}"/>
    <cellStyle name="Millares 2 80 6 2 2 2" xfId="8215" xr:uid="{00000000-0005-0000-0000-000051330000}"/>
    <cellStyle name="Millares 2 80 6 2 2 2 2" xfId="15005" xr:uid="{00000000-0005-0000-0000-000052330000}"/>
    <cellStyle name="Millares 2 80 6 2 2 2 2 2" xfId="28573" xr:uid="{00000000-0005-0000-0000-000053330000}"/>
    <cellStyle name="Millares 2 80 6 2 2 2 2 2 2" xfId="55706" xr:uid="{00000000-0005-0000-0000-000054330000}"/>
    <cellStyle name="Millares 2 80 6 2 2 2 2 3" xfId="42144" xr:uid="{00000000-0005-0000-0000-000055330000}"/>
    <cellStyle name="Millares 2 80 6 2 2 2 3" xfId="21792" xr:uid="{00000000-0005-0000-0000-000056330000}"/>
    <cellStyle name="Millares 2 80 6 2 2 2 3 2" xfId="48925" xr:uid="{00000000-0005-0000-0000-000057330000}"/>
    <cellStyle name="Millares 2 80 6 2 2 2 4" xfId="35363" xr:uid="{00000000-0005-0000-0000-000058330000}"/>
    <cellStyle name="Millares 2 80 6 2 2 3" xfId="11616" xr:uid="{00000000-0005-0000-0000-000059330000}"/>
    <cellStyle name="Millares 2 80 6 2 2 3 2" xfId="25184" xr:uid="{00000000-0005-0000-0000-00005A330000}"/>
    <cellStyle name="Millares 2 80 6 2 2 3 2 2" xfId="52317" xr:uid="{00000000-0005-0000-0000-00005B330000}"/>
    <cellStyle name="Millares 2 80 6 2 2 3 3" xfId="38755" xr:uid="{00000000-0005-0000-0000-00005C330000}"/>
    <cellStyle name="Millares 2 80 6 2 2 4" xfId="18403" xr:uid="{00000000-0005-0000-0000-00005D330000}"/>
    <cellStyle name="Millares 2 80 6 2 2 4 2" xfId="45536" xr:uid="{00000000-0005-0000-0000-00005E330000}"/>
    <cellStyle name="Millares 2 80 6 2 2 5" xfId="31974" xr:uid="{00000000-0005-0000-0000-00005F330000}"/>
    <cellStyle name="Millares 2 80 6 2 3" xfId="4607" xr:uid="{00000000-0005-0000-0000-000060330000}"/>
    <cellStyle name="Millares 2 80 6 2 3 2" xfId="8216" xr:uid="{00000000-0005-0000-0000-000061330000}"/>
    <cellStyle name="Millares 2 80 6 2 3 2 2" xfId="15006" xr:uid="{00000000-0005-0000-0000-000062330000}"/>
    <cellStyle name="Millares 2 80 6 2 3 2 2 2" xfId="28574" xr:uid="{00000000-0005-0000-0000-000063330000}"/>
    <cellStyle name="Millares 2 80 6 2 3 2 2 2 2" xfId="55707" xr:uid="{00000000-0005-0000-0000-000064330000}"/>
    <cellStyle name="Millares 2 80 6 2 3 2 2 3" xfId="42145" xr:uid="{00000000-0005-0000-0000-000065330000}"/>
    <cellStyle name="Millares 2 80 6 2 3 2 3" xfId="21793" xr:uid="{00000000-0005-0000-0000-000066330000}"/>
    <cellStyle name="Millares 2 80 6 2 3 2 3 2" xfId="48926" xr:uid="{00000000-0005-0000-0000-000067330000}"/>
    <cellStyle name="Millares 2 80 6 2 3 2 4" xfId="35364" xr:uid="{00000000-0005-0000-0000-000068330000}"/>
    <cellStyle name="Millares 2 80 6 2 3 3" xfId="11617" xr:uid="{00000000-0005-0000-0000-000069330000}"/>
    <cellStyle name="Millares 2 80 6 2 3 3 2" xfId="25185" xr:uid="{00000000-0005-0000-0000-00006A330000}"/>
    <cellStyle name="Millares 2 80 6 2 3 3 2 2" xfId="52318" xr:uid="{00000000-0005-0000-0000-00006B330000}"/>
    <cellStyle name="Millares 2 80 6 2 3 3 3" xfId="38756" xr:uid="{00000000-0005-0000-0000-00006C330000}"/>
    <cellStyle name="Millares 2 80 6 2 3 4" xfId="18404" xr:uid="{00000000-0005-0000-0000-00006D330000}"/>
    <cellStyle name="Millares 2 80 6 2 3 4 2" xfId="45537" xr:uid="{00000000-0005-0000-0000-00006E330000}"/>
    <cellStyle name="Millares 2 80 6 2 3 5" xfId="31975" xr:uid="{00000000-0005-0000-0000-00006F330000}"/>
    <cellStyle name="Millares 2 80 6 2 4" xfId="8214" xr:uid="{00000000-0005-0000-0000-000070330000}"/>
    <cellStyle name="Millares 2 80 6 2 4 2" xfId="15004" xr:uid="{00000000-0005-0000-0000-000071330000}"/>
    <cellStyle name="Millares 2 80 6 2 4 2 2" xfId="28572" xr:uid="{00000000-0005-0000-0000-000072330000}"/>
    <cellStyle name="Millares 2 80 6 2 4 2 2 2" xfId="55705" xr:uid="{00000000-0005-0000-0000-000073330000}"/>
    <cellStyle name="Millares 2 80 6 2 4 2 3" xfId="42143" xr:uid="{00000000-0005-0000-0000-000074330000}"/>
    <cellStyle name="Millares 2 80 6 2 4 3" xfId="21791" xr:uid="{00000000-0005-0000-0000-000075330000}"/>
    <cellStyle name="Millares 2 80 6 2 4 3 2" xfId="48924" xr:uid="{00000000-0005-0000-0000-000076330000}"/>
    <cellStyle name="Millares 2 80 6 2 4 4" xfId="35362" xr:uid="{00000000-0005-0000-0000-000077330000}"/>
    <cellStyle name="Millares 2 80 6 2 5" xfId="11615" xr:uid="{00000000-0005-0000-0000-000078330000}"/>
    <cellStyle name="Millares 2 80 6 2 5 2" xfId="25183" xr:uid="{00000000-0005-0000-0000-000079330000}"/>
    <cellStyle name="Millares 2 80 6 2 5 2 2" xfId="52316" xr:uid="{00000000-0005-0000-0000-00007A330000}"/>
    <cellStyle name="Millares 2 80 6 2 5 3" xfId="38754" xr:uid="{00000000-0005-0000-0000-00007B330000}"/>
    <cellStyle name="Millares 2 80 6 2 6" xfId="18402" xr:uid="{00000000-0005-0000-0000-00007C330000}"/>
    <cellStyle name="Millares 2 80 6 2 6 2" xfId="45535" xr:uid="{00000000-0005-0000-0000-00007D330000}"/>
    <cellStyle name="Millares 2 80 6 2 7" xfId="31973" xr:uid="{00000000-0005-0000-0000-00007E330000}"/>
    <cellStyle name="Millares 2 80 6 3" xfId="4608" xr:uid="{00000000-0005-0000-0000-00007F330000}"/>
    <cellStyle name="Millares 2 80 6 3 2" xfId="8217" xr:uid="{00000000-0005-0000-0000-000080330000}"/>
    <cellStyle name="Millares 2 80 6 3 2 2" xfId="15007" xr:uid="{00000000-0005-0000-0000-000081330000}"/>
    <cellStyle name="Millares 2 80 6 3 2 2 2" xfId="28575" xr:uid="{00000000-0005-0000-0000-000082330000}"/>
    <cellStyle name="Millares 2 80 6 3 2 2 2 2" xfId="55708" xr:uid="{00000000-0005-0000-0000-000083330000}"/>
    <cellStyle name="Millares 2 80 6 3 2 2 3" xfId="42146" xr:uid="{00000000-0005-0000-0000-000084330000}"/>
    <cellStyle name="Millares 2 80 6 3 2 3" xfId="21794" xr:uid="{00000000-0005-0000-0000-000085330000}"/>
    <cellStyle name="Millares 2 80 6 3 2 3 2" xfId="48927" xr:uid="{00000000-0005-0000-0000-000086330000}"/>
    <cellStyle name="Millares 2 80 6 3 2 4" xfId="35365" xr:uid="{00000000-0005-0000-0000-000087330000}"/>
    <cellStyle name="Millares 2 80 6 3 3" xfId="11618" xr:uid="{00000000-0005-0000-0000-000088330000}"/>
    <cellStyle name="Millares 2 80 6 3 3 2" xfId="25186" xr:uid="{00000000-0005-0000-0000-000089330000}"/>
    <cellStyle name="Millares 2 80 6 3 3 2 2" xfId="52319" xr:uid="{00000000-0005-0000-0000-00008A330000}"/>
    <cellStyle name="Millares 2 80 6 3 3 3" xfId="38757" xr:uid="{00000000-0005-0000-0000-00008B330000}"/>
    <cellStyle name="Millares 2 80 6 3 4" xfId="18405" xr:uid="{00000000-0005-0000-0000-00008C330000}"/>
    <cellStyle name="Millares 2 80 6 3 4 2" xfId="45538" xr:uid="{00000000-0005-0000-0000-00008D330000}"/>
    <cellStyle name="Millares 2 80 6 3 5" xfId="31976" xr:uid="{00000000-0005-0000-0000-00008E330000}"/>
    <cellStyle name="Millares 2 80 6 4" xfId="4609" xr:uid="{00000000-0005-0000-0000-00008F330000}"/>
    <cellStyle name="Millares 2 80 6 4 2" xfId="8218" xr:uid="{00000000-0005-0000-0000-000090330000}"/>
    <cellStyle name="Millares 2 80 6 4 2 2" xfId="15008" xr:uid="{00000000-0005-0000-0000-000091330000}"/>
    <cellStyle name="Millares 2 80 6 4 2 2 2" xfId="28576" xr:uid="{00000000-0005-0000-0000-000092330000}"/>
    <cellStyle name="Millares 2 80 6 4 2 2 2 2" xfId="55709" xr:uid="{00000000-0005-0000-0000-000093330000}"/>
    <cellStyle name="Millares 2 80 6 4 2 2 3" xfId="42147" xr:uid="{00000000-0005-0000-0000-000094330000}"/>
    <cellStyle name="Millares 2 80 6 4 2 3" xfId="21795" xr:uid="{00000000-0005-0000-0000-000095330000}"/>
    <cellStyle name="Millares 2 80 6 4 2 3 2" xfId="48928" xr:uid="{00000000-0005-0000-0000-000096330000}"/>
    <cellStyle name="Millares 2 80 6 4 2 4" xfId="35366" xr:uid="{00000000-0005-0000-0000-000097330000}"/>
    <cellStyle name="Millares 2 80 6 4 3" xfId="11619" xr:uid="{00000000-0005-0000-0000-000098330000}"/>
    <cellStyle name="Millares 2 80 6 4 3 2" xfId="25187" xr:uid="{00000000-0005-0000-0000-000099330000}"/>
    <cellStyle name="Millares 2 80 6 4 3 2 2" xfId="52320" xr:uid="{00000000-0005-0000-0000-00009A330000}"/>
    <cellStyle name="Millares 2 80 6 4 3 3" xfId="38758" xr:uid="{00000000-0005-0000-0000-00009B330000}"/>
    <cellStyle name="Millares 2 80 6 4 4" xfId="18406" xr:uid="{00000000-0005-0000-0000-00009C330000}"/>
    <cellStyle name="Millares 2 80 6 4 4 2" xfId="45539" xr:uid="{00000000-0005-0000-0000-00009D330000}"/>
    <cellStyle name="Millares 2 80 6 4 5" xfId="31977" xr:uid="{00000000-0005-0000-0000-00009E330000}"/>
    <cellStyle name="Millares 2 80 6 5" xfId="8213" xr:uid="{00000000-0005-0000-0000-00009F330000}"/>
    <cellStyle name="Millares 2 80 6 5 2" xfId="15003" xr:uid="{00000000-0005-0000-0000-0000A0330000}"/>
    <cellStyle name="Millares 2 80 6 5 2 2" xfId="28571" xr:uid="{00000000-0005-0000-0000-0000A1330000}"/>
    <cellStyle name="Millares 2 80 6 5 2 2 2" xfId="55704" xr:uid="{00000000-0005-0000-0000-0000A2330000}"/>
    <cellStyle name="Millares 2 80 6 5 2 3" xfId="42142" xr:uid="{00000000-0005-0000-0000-0000A3330000}"/>
    <cellStyle name="Millares 2 80 6 5 3" xfId="21790" xr:uid="{00000000-0005-0000-0000-0000A4330000}"/>
    <cellStyle name="Millares 2 80 6 5 3 2" xfId="48923" xr:uid="{00000000-0005-0000-0000-0000A5330000}"/>
    <cellStyle name="Millares 2 80 6 5 4" xfId="35361" xr:uid="{00000000-0005-0000-0000-0000A6330000}"/>
    <cellStyle name="Millares 2 80 6 6" xfId="11614" xr:uid="{00000000-0005-0000-0000-0000A7330000}"/>
    <cellStyle name="Millares 2 80 6 6 2" xfId="25182" xr:uid="{00000000-0005-0000-0000-0000A8330000}"/>
    <cellStyle name="Millares 2 80 6 6 2 2" xfId="52315" xr:uid="{00000000-0005-0000-0000-0000A9330000}"/>
    <cellStyle name="Millares 2 80 6 6 3" xfId="38753" xr:uid="{00000000-0005-0000-0000-0000AA330000}"/>
    <cellStyle name="Millares 2 80 6 7" xfId="18401" xr:uid="{00000000-0005-0000-0000-0000AB330000}"/>
    <cellStyle name="Millares 2 80 6 7 2" xfId="45534" xr:uid="{00000000-0005-0000-0000-0000AC330000}"/>
    <cellStyle name="Millares 2 80 6 8" xfId="31972" xr:uid="{00000000-0005-0000-0000-0000AD330000}"/>
    <cellStyle name="Millares 2 80 7" xfId="4610" xr:uid="{00000000-0005-0000-0000-0000AE330000}"/>
    <cellStyle name="Millares 2 80 7 2" xfId="4611" xr:uid="{00000000-0005-0000-0000-0000AF330000}"/>
    <cellStyle name="Millares 2 80 7 2 2" xfId="4612" xr:uid="{00000000-0005-0000-0000-0000B0330000}"/>
    <cellStyle name="Millares 2 80 7 2 2 2" xfId="8221" xr:uid="{00000000-0005-0000-0000-0000B1330000}"/>
    <cellStyle name="Millares 2 80 7 2 2 2 2" xfId="15011" xr:uid="{00000000-0005-0000-0000-0000B2330000}"/>
    <cellStyle name="Millares 2 80 7 2 2 2 2 2" xfId="28579" xr:uid="{00000000-0005-0000-0000-0000B3330000}"/>
    <cellStyle name="Millares 2 80 7 2 2 2 2 2 2" xfId="55712" xr:uid="{00000000-0005-0000-0000-0000B4330000}"/>
    <cellStyle name="Millares 2 80 7 2 2 2 2 3" xfId="42150" xr:uid="{00000000-0005-0000-0000-0000B5330000}"/>
    <cellStyle name="Millares 2 80 7 2 2 2 3" xfId="21798" xr:uid="{00000000-0005-0000-0000-0000B6330000}"/>
    <cellStyle name="Millares 2 80 7 2 2 2 3 2" xfId="48931" xr:uid="{00000000-0005-0000-0000-0000B7330000}"/>
    <cellStyle name="Millares 2 80 7 2 2 2 4" xfId="35369" xr:uid="{00000000-0005-0000-0000-0000B8330000}"/>
    <cellStyle name="Millares 2 80 7 2 2 3" xfId="11622" xr:uid="{00000000-0005-0000-0000-0000B9330000}"/>
    <cellStyle name="Millares 2 80 7 2 2 3 2" xfId="25190" xr:uid="{00000000-0005-0000-0000-0000BA330000}"/>
    <cellStyle name="Millares 2 80 7 2 2 3 2 2" xfId="52323" xr:uid="{00000000-0005-0000-0000-0000BB330000}"/>
    <cellStyle name="Millares 2 80 7 2 2 3 3" xfId="38761" xr:uid="{00000000-0005-0000-0000-0000BC330000}"/>
    <cellStyle name="Millares 2 80 7 2 2 4" xfId="18409" xr:uid="{00000000-0005-0000-0000-0000BD330000}"/>
    <cellStyle name="Millares 2 80 7 2 2 4 2" xfId="45542" xr:uid="{00000000-0005-0000-0000-0000BE330000}"/>
    <cellStyle name="Millares 2 80 7 2 2 5" xfId="31980" xr:uid="{00000000-0005-0000-0000-0000BF330000}"/>
    <cellStyle name="Millares 2 80 7 2 3" xfId="4613" xr:uid="{00000000-0005-0000-0000-0000C0330000}"/>
    <cellStyle name="Millares 2 80 7 2 3 2" xfId="8222" xr:uid="{00000000-0005-0000-0000-0000C1330000}"/>
    <cellStyle name="Millares 2 80 7 2 3 2 2" xfId="15012" xr:uid="{00000000-0005-0000-0000-0000C2330000}"/>
    <cellStyle name="Millares 2 80 7 2 3 2 2 2" xfId="28580" xr:uid="{00000000-0005-0000-0000-0000C3330000}"/>
    <cellStyle name="Millares 2 80 7 2 3 2 2 2 2" xfId="55713" xr:uid="{00000000-0005-0000-0000-0000C4330000}"/>
    <cellStyle name="Millares 2 80 7 2 3 2 2 3" xfId="42151" xr:uid="{00000000-0005-0000-0000-0000C5330000}"/>
    <cellStyle name="Millares 2 80 7 2 3 2 3" xfId="21799" xr:uid="{00000000-0005-0000-0000-0000C6330000}"/>
    <cellStyle name="Millares 2 80 7 2 3 2 3 2" xfId="48932" xr:uid="{00000000-0005-0000-0000-0000C7330000}"/>
    <cellStyle name="Millares 2 80 7 2 3 2 4" xfId="35370" xr:uid="{00000000-0005-0000-0000-0000C8330000}"/>
    <cellStyle name="Millares 2 80 7 2 3 3" xfId="11623" xr:uid="{00000000-0005-0000-0000-0000C9330000}"/>
    <cellStyle name="Millares 2 80 7 2 3 3 2" xfId="25191" xr:uid="{00000000-0005-0000-0000-0000CA330000}"/>
    <cellStyle name="Millares 2 80 7 2 3 3 2 2" xfId="52324" xr:uid="{00000000-0005-0000-0000-0000CB330000}"/>
    <cellStyle name="Millares 2 80 7 2 3 3 3" xfId="38762" xr:uid="{00000000-0005-0000-0000-0000CC330000}"/>
    <cellStyle name="Millares 2 80 7 2 3 4" xfId="18410" xr:uid="{00000000-0005-0000-0000-0000CD330000}"/>
    <cellStyle name="Millares 2 80 7 2 3 4 2" xfId="45543" xr:uid="{00000000-0005-0000-0000-0000CE330000}"/>
    <cellStyle name="Millares 2 80 7 2 3 5" xfId="31981" xr:uid="{00000000-0005-0000-0000-0000CF330000}"/>
    <cellStyle name="Millares 2 80 7 2 4" xfId="8220" xr:uid="{00000000-0005-0000-0000-0000D0330000}"/>
    <cellStyle name="Millares 2 80 7 2 4 2" xfId="15010" xr:uid="{00000000-0005-0000-0000-0000D1330000}"/>
    <cellStyle name="Millares 2 80 7 2 4 2 2" xfId="28578" xr:uid="{00000000-0005-0000-0000-0000D2330000}"/>
    <cellStyle name="Millares 2 80 7 2 4 2 2 2" xfId="55711" xr:uid="{00000000-0005-0000-0000-0000D3330000}"/>
    <cellStyle name="Millares 2 80 7 2 4 2 3" xfId="42149" xr:uid="{00000000-0005-0000-0000-0000D4330000}"/>
    <cellStyle name="Millares 2 80 7 2 4 3" xfId="21797" xr:uid="{00000000-0005-0000-0000-0000D5330000}"/>
    <cellStyle name="Millares 2 80 7 2 4 3 2" xfId="48930" xr:uid="{00000000-0005-0000-0000-0000D6330000}"/>
    <cellStyle name="Millares 2 80 7 2 4 4" xfId="35368" xr:uid="{00000000-0005-0000-0000-0000D7330000}"/>
    <cellStyle name="Millares 2 80 7 2 5" xfId="11621" xr:uid="{00000000-0005-0000-0000-0000D8330000}"/>
    <cellStyle name="Millares 2 80 7 2 5 2" xfId="25189" xr:uid="{00000000-0005-0000-0000-0000D9330000}"/>
    <cellStyle name="Millares 2 80 7 2 5 2 2" xfId="52322" xr:uid="{00000000-0005-0000-0000-0000DA330000}"/>
    <cellStyle name="Millares 2 80 7 2 5 3" xfId="38760" xr:uid="{00000000-0005-0000-0000-0000DB330000}"/>
    <cellStyle name="Millares 2 80 7 2 6" xfId="18408" xr:uid="{00000000-0005-0000-0000-0000DC330000}"/>
    <cellStyle name="Millares 2 80 7 2 6 2" xfId="45541" xr:uid="{00000000-0005-0000-0000-0000DD330000}"/>
    <cellStyle name="Millares 2 80 7 2 7" xfId="31979" xr:uid="{00000000-0005-0000-0000-0000DE330000}"/>
    <cellStyle name="Millares 2 80 7 3" xfId="4614" xr:uid="{00000000-0005-0000-0000-0000DF330000}"/>
    <cellStyle name="Millares 2 80 7 3 2" xfId="8223" xr:uid="{00000000-0005-0000-0000-0000E0330000}"/>
    <cellStyle name="Millares 2 80 7 3 2 2" xfId="15013" xr:uid="{00000000-0005-0000-0000-0000E1330000}"/>
    <cellStyle name="Millares 2 80 7 3 2 2 2" xfId="28581" xr:uid="{00000000-0005-0000-0000-0000E2330000}"/>
    <cellStyle name="Millares 2 80 7 3 2 2 2 2" xfId="55714" xr:uid="{00000000-0005-0000-0000-0000E3330000}"/>
    <cellStyle name="Millares 2 80 7 3 2 2 3" xfId="42152" xr:uid="{00000000-0005-0000-0000-0000E4330000}"/>
    <cellStyle name="Millares 2 80 7 3 2 3" xfId="21800" xr:uid="{00000000-0005-0000-0000-0000E5330000}"/>
    <cellStyle name="Millares 2 80 7 3 2 3 2" xfId="48933" xr:uid="{00000000-0005-0000-0000-0000E6330000}"/>
    <cellStyle name="Millares 2 80 7 3 2 4" xfId="35371" xr:uid="{00000000-0005-0000-0000-0000E7330000}"/>
    <cellStyle name="Millares 2 80 7 3 3" xfId="11624" xr:uid="{00000000-0005-0000-0000-0000E8330000}"/>
    <cellStyle name="Millares 2 80 7 3 3 2" xfId="25192" xr:uid="{00000000-0005-0000-0000-0000E9330000}"/>
    <cellStyle name="Millares 2 80 7 3 3 2 2" xfId="52325" xr:uid="{00000000-0005-0000-0000-0000EA330000}"/>
    <cellStyle name="Millares 2 80 7 3 3 3" xfId="38763" xr:uid="{00000000-0005-0000-0000-0000EB330000}"/>
    <cellStyle name="Millares 2 80 7 3 4" xfId="18411" xr:uid="{00000000-0005-0000-0000-0000EC330000}"/>
    <cellStyle name="Millares 2 80 7 3 4 2" xfId="45544" xr:uid="{00000000-0005-0000-0000-0000ED330000}"/>
    <cellStyle name="Millares 2 80 7 3 5" xfId="31982" xr:uid="{00000000-0005-0000-0000-0000EE330000}"/>
    <cellStyle name="Millares 2 80 7 4" xfId="4615" xr:uid="{00000000-0005-0000-0000-0000EF330000}"/>
    <cellStyle name="Millares 2 80 7 4 2" xfId="8224" xr:uid="{00000000-0005-0000-0000-0000F0330000}"/>
    <cellStyle name="Millares 2 80 7 4 2 2" xfId="15014" xr:uid="{00000000-0005-0000-0000-0000F1330000}"/>
    <cellStyle name="Millares 2 80 7 4 2 2 2" xfId="28582" xr:uid="{00000000-0005-0000-0000-0000F2330000}"/>
    <cellStyle name="Millares 2 80 7 4 2 2 2 2" xfId="55715" xr:uid="{00000000-0005-0000-0000-0000F3330000}"/>
    <cellStyle name="Millares 2 80 7 4 2 2 3" xfId="42153" xr:uid="{00000000-0005-0000-0000-0000F4330000}"/>
    <cellStyle name="Millares 2 80 7 4 2 3" xfId="21801" xr:uid="{00000000-0005-0000-0000-0000F5330000}"/>
    <cellStyle name="Millares 2 80 7 4 2 3 2" xfId="48934" xr:uid="{00000000-0005-0000-0000-0000F6330000}"/>
    <cellStyle name="Millares 2 80 7 4 2 4" xfId="35372" xr:uid="{00000000-0005-0000-0000-0000F7330000}"/>
    <cellStyle name="Millares 2 80 7 4 3" xfId="11625" xr:uid="{00000000-0005-0000-0000-0000F8330000}"/>
    <cellStyle name="Millares 2 80 7 4 3 2" xfId="25193" xr:uid="{00000000-0005-0000-0000-0000F9330000}"/>
    <cellStyle name="Millares 2 80 7 4 3 2 2" xfId="52326" xr:uid="{00000000-0005-0000-0000-0000FA330000}"/>
    <cellStyle name="Millares 2 80 7 4 3 3" xfId="38764" xr:uid="{00000000-0005-0000-0000-0000FB330000}"/>
    <cellStyle name="Millares 2 80 7 4 4" xfId="18412" xr:uid="{00000000-0005-0000-0000-0000FC330000}"/>
    <cellStyle name="Millares 2 80 7 4 4 2" xfId="45545" xr:uid="{00000000-0005-0000-0000-0000FD330000}"/>
    <cellStyle name="Millares 2 80 7 4 5" xfId="31983" xr:uid="{00000000-0005-0000-0000-0000FE330000}"/>
    <cellStyle name="Millares 2 80 7 5" xfId="8219" xr:uid="{00000000-0005-0000-0000-0000FF330000}"/>
    <cellStyle name="Millares 2 80 7 5 2" xfId="15009" xr:uid="{00000000-0005-0000-0000-000000340000}"/>
    <cellStyle name="Millares 2 80 7 5 2 2" xfId="28577" xr:uid="{00000000-0005-0000-0000-000001340000}"/>
    <cellStyle name="Millares 2 80 7 5 2 2 2" xfId="55710" xr:uid="{00000000-0005-0000-0000-000002340000}"/>
    <cellStyle name="Millares 2 80 7 5 2 3" xfId="42148" xr:uid="{00000000-0005-0000-0000-000003340000}"/>
    <cellStyle name="Millares 2 80 7 5 3" xfId="21796" xr:uid="{00000000-0005-0000-0000-000004340000}"/>
    <cellStyle name="Millares 2 80 7 5 3 2" xfId="48929" xr:uid="{00000000-0005-0000-0000-000005340000}"/>
    <cellStyle name="Millares 2 80 7 5 4" xfId="35367" xr:uid="{00000000-0005-0000-0000-000006340000}"/>
    <cellStyle name="Millares 2 80 7 6" xfId="11620" xr:uid="{00000000-0005-0000-0000-000007340000}"/>
    <cellStyle name="Millares 2 80 7 6 2" xfId="25188" xr:uid="{00000000-0005-0000-0000-000008340000}"/>
    <cellStyle name="Millares 2 80 7 6 2 2" xfId="52321" xr:uid="{00000000-0005-0000-0000-000009340000}"/>
    <cellStyle name="Millares 2 80 7 6 3" xfId="38759" xr:uid="{00000000-0005-0000-0000-00000A340000}"/>
    <cellStyle name="Millares 2 80 7 7" xfId="18407" xr:uid="{00000000-0005-0000-0000-00000B340000}"/>
    <cellStyle name="Millares 2 80 7 7 2" xfId="45540" xr:uid="{00000000-0005-0000-0000-00000C340000}"/>
    <cellStyle name="Millares 2 80 7 8" xfId="31978" xr:uid="{00000000-0005-0000-0000-00000D340000}"/>
    <cellStyle name="Millares 2 80 8" xfId="4616" xr:uid="{00000000-0005-0000-0000-00000E340000}"/>
    <cellStyle name="Millares 2 80 8 2" xfId="4617" xr:uid="{00000000-0005-0000-0000-00000F340000}"/>
    <cellStyle name="Millares 2 80 8 2 2" xfId="8226" xr:uid="{00000000-0005-0000-0000-000010340000}"/>
    <cellStyle name="Millares 2 80 8 2 2 2" xfId="15016" xr:uid="{00000000-0005-0000-0000-000011340000}"/>
    <cellStyle name="Millares 2 80 8 2 2 2 2" xfId="28584" xr:uid="{00000000-0005-0000-0000-000012340000}"/>
    <cellStyle name="Millares 2 80 8 2 2 2 2 2" xfId="55717" xr:uid="{00000000-0005-0000-0000-000013340000}"/>
    <cellStyle name="Millares 2 80 8 2 2 2 3" xfId="42155" xr:uid="{00000000-0005-0000-0000-000014340000}"/>
    <cellStyle name="Millares 2 80 8 2 2 3" xfId="21803" xr:uid="{00000000-0005-0000-0000-000015340000}"/>
    <cellStyle name="Millares 2 80 8 2 2 3 2" xfId="48936" xr:uid="{00000000-0005-0000-0000-000016340000}"/>
    <cellStyle name="Millares 2 80 8 2 2 4" xfId="35374" xr:uid="{00000000-0005-0000-0000-000017340000}"/>
    <cellStyle name="Millares 2 80 8 2 3" xfId="11627" xr:uid="{00000000-0005-0000-0000-000018340000}"/>
    <cellStyle name="Millares 2 80 8 2 3 2" xfId="25195" xr:uid="{00000000-0005-0000-0000-000019340000}"/>
    <cellStyle name="Millares 2 80 8 2 3 2 2" xfId="52328" xr:uid="{00000000-0005-0000-0000-00001A340000}"/>
    <cellStyle name="Millares 2 80 8 2 3 3" xfId="38766" xr:uid="{00000000-0005-0000-0000-00001B340000}"/>
    <cellStyle name="Millares 2 80 8 2 4" xfId="18414" xr:uid="{00000000-0005-0000-0000-00001C340000}"/>
    <cellStyle name="Millares 2 80 8 2 4 2" xfId="45547" xr:uid="{00000000-0005-0000-0000-00001D340000}"/>
    <cellStyle name="Millares 2 80 8 2 5" xfId="31985" xr:uid="{00000000-0005-0000-0000-00001E340000}"/>
    <cellStyle name="Millares 2 80 8 3" xfId="4618" xr:uid="{00000000-0005-0000-0000-00001F340000}"/>
    <cellStyle name="Millares 2 80 8 3 2" xfId="8227" xr:uid="{00000000-0005-0000-0000-000020340000}"/>
    <cellStyle name="Millares 2 80 8 3 2 2" xfId="15017" xr:uid="{00000000-0005-0000-0000-000021340000}"/>
    <cellStyle name="Millares 2 80 8 3 2 2 2" xfId="28585" xr:uid="{00000000-0005-0000-0000-000022340000}"/>
    <cellStyle name="Millares 2 80 8 3 2 2 2 2" xfId="55718" xr:uid="{00000000-0005-0000-0000-000023340000}"/>
    <cellStyle name="Millares 2 80 8 3 2 2 3" xfId="42156" xr:uid="{00000000-0005-0000-0000-000024340000}"/>
    <cellStyle name="Millares 2 80 8 3 2 3" xfId="21804" xr:uid="{00000000-0005-0000-0000-000025340000}"/>
    <cellStyle name="Millares 2 80 8 3 2 3 2" xfId="48937" xr:uid="{00000000-0005-0000-0000-000026340000}"/>
    <cellStyle name="Millares 2 80 8 3 2 4" xfId="35375" xr:uid="{00000000-0005-0000-0000-000027340000}"/>
    <cellStyle name="Millares 2 80 8 3 3" xfId="11628" xr:uid="{00000000-0005-0000-0000-000028340000}"/>
    <cellStyle name="Millares 2 80 8 3 3 2" xfId="25196" xr:uid="{00000000-0005-0000-0000-000029340000}"/>
    <cellStyle name="Millares 2 80 8 3 3 2 2" xfId="52329" xr:uid="{00000000-0005-0000-0000-00002A340000}"/>
    <cellStyle name="Millares 2 80 8 3 3 3" xfId="38767" xr:uid="{00000000-0005-0000-0000-00002B340000}"/>
    <cellStyle name="Millares 2 80 8 3 4" xfId="18415" xr:uid="{00000000-0005-0000-0000-00002C340000}"/>
    <cellStyle name="Millares 2 80 8 3 4 2" xfId="45548" xr:uid="{00000000-0005-0000-0000-00002D340000}"/>
    <cellStyle name="Millares 2 80 8 3 5" xfId="31986" xr:uid="{00000000-0005-0000-0000-00002E340000}"/>
    <cellStyle name="Millares 2 80 8 4" xfId="8225" xr:uid="{00000000-0005-0000-0000-00002F340000}"/>
    <cellStyle name="Millares 2 80 8 4 2" xfId="15015" xr:uid="{00000000-0005-0000-0000-000030340000}"/>
    <cellStyle name="Millares 2 80 8 4 2 2" xfId="28583" xr:uid="{00000000-0005-0000-0000-000031340000}"/>
    <cellStyle name="Millares 2 80 8 4 2 2 2" xfId="55716" xr:uid="{00000000-0005-0000-0000-000032340000}"/>
    <cellStyle name="Millares 2 80 8 4 2 3" xfId="42154" xr:uid="{00000000-0005-0000-0000-000033340000}"/>
    <cellStyle name="Millares 2 80 8 4 3" xfId="21802" xr:uid="{00000000-0005-0000-0000-000034340000}"/>
    <cellStyle name="Millares 2 80 8 4 3 2" xfId="48935" xr:uid="{00000000-0005-0000-0000-000035340000}"/>
    <cellStyle name="Millares 2 80 8 4 4" xfId="35373" xr:uid="{00000000-0005-0000-0000-000036340000}"/>
    <cellStyle name="Millares 2 80 8 5" xfId="11626" xr:uid="{00000000-0005-0000-0000-000037340000}"/>
    <cellStyle name="Millares 2 80 8 5 2" xfId="25194" xr:uid="{00000000-0005-0000-0000-000038340000}"/>
    <cellStyle name="Millares 2 80 8 5 2 2" xfId="52327" xr:uid="{00000000-0005-0000-0000-000039340000}"/>
    <cellStyle name="Millares 2 80 8 5 3" xfId="38765" xr:uid="{00000000-0005-0000-0000-00003A340000}"/>
    <cellStyle name="Millares 2 80 8 6" xfId="18413" xr:uid="{00000000-0005-0000-0000-00003B340000}"/>
    <cellStyle name="Millares 2 80 8 6 2" xfId="45546" xr:uid="{00000000-0005-0000-0000-00003C340000}"/>
    <cellStyle name="Millares 2 80 8 7" xfId="31984" xr:uid="{00000000-0005-0000-0000-00003D340000}"/>
    <cellStyle name="Millares 2 80 9" xfId="4619" xr:uid="{00000000-0005-0000-0000-00003E340000}"/>
    <cellStyle name="Millares 2 80 9 2" xfId="4620" xr:uid="{00000000-0005-0000-0000-00003F340000}"/>
    <cellStyle name="Millares 2 80 9 2 2" xfId="8229" xr:uid="{00000000-0005-0000-0000-000040340000}"/>
    <cellStyle name="Millares 2 80 9 2 2 2" xfId="15019" xr:uid="{00000000-0005-0000-0000-000041340000}"/>
    <cellStyle name="Millares 2 80 9 2 2 2 2" xfId="28587" xr:uid="{00000000-0005-0000-0000-000042340000}"/>
    <cellStyle name="Millares 2 80 9 2 2 2 2 2" xfId="55720" xr:uid="{00000000-0005-0000-0000-000043340000}"/>
    <cellStyle name="Millares 2 80 9 2 2 2 3" xfId="42158" xr:uid="{00000000-0005-0000-0000-000044340000}"/>
    <cellStyle name="Millares 2 80 9 2 2 3" xfId="21806" xr:uid="{00000000-0005-0000-0000-000045340000}"/>
    <cellStyle name="Millares 2 80 9 2 2 3 2" xfId="48939" xr:uid="{00000000-0005-0000-0000-000046340000}"/>
    <cellStyle name="Millares 2 80 9 2 2 4" xfId="35377" xr:uid="{00000000-0005-0000-0000-000047340000}"/>
    <cellStyle name="Millares 2 80 9 2 3" xfId="11630" xr:uid="{00000000-0005-0000-0000-000048340000}"/>
    <cellStyle name="Millares 2 80 9 2 3 2" xfId="25198" xr:uid="{00000000-0005-0000-0000-000049340000}"/>
    <cellStyle name="Millares 2 80 9 2 3 2 2" xfId="52331" xr:uid="{00000000-0005-0000-0000-00004A340000}"/>
    <cellStyle name="Millares 2 80 9 2 3 3" xfId="38769" xr:uid="{00000000-0005-0000-0000-00004B340000}"/>
    <cellStyle name="Millares 2 80 9 2 4" xfId="18417" xr:uid="{00000000-0005-0000-0000-00004C340000}"/>
    <cellStyle name="Millares 2 80 9 2 4 2" xfId="45550" xr:uid="{00000000-0005-0000-0000-00004D340000}"/>
    <cellStyle name="Millares 2 80 9 2 5" xfId="31988" xr:uid="{00000000-0005-0000-0000-00004E340000}"/>
    <cellStyle name="Millares 2 80 9 3" xfId="4621" xr:uid="{00000000-0005-0000-0000-00004F340000}"/>
    <cellStyle name="Millares 2 80 9 3 2" xfId="8230" xr:uid="{00000000-0005-0000-0000-000050340000}"/>
    <cellStyle name="Millares 2 80 9 3 2 2" xfId="15020" xr:uid="{00000000-0005-0000-0000-000051340000}"/>
    <cellStyle name="Millares 2 80 9 3 2 2 2" xfId="28588" xr:uid="{00000000-0005-0000-0000-000052340000}"/>
    <cellStyle name="Millares 2 80 9 3 2 2 2 2" xfId="55721" xr:uid="{00000000-0005-0000-0000-000053340000}"/>
    <cellStyle name="Millares 2 80 9 3 2 2 3" xfId="42159" xr:uid="{00000000-0005-0000-0000-000054340000}"/>
    <cellStyle name="Millares 2 80 9 3 2 3" xfId="21807" xr:uid="{00000000-0005-0000-0000-000055340000}"/>
    <cellStyle name="Millares 2 80 9 3 2 3 2" xfId="48940" xr:uid="{00000000-0005-0000-0000-000056340000}"/>
    <cellStyle name="Millares 2 80 9 3 2 4" xfId="35378" xr:uid="{00000000-0005-0000-0000-000057340000}"/>
    <cellStyle name="Millares 2 80 9 3 3" xfId="11631" xr:uid="{00000000-0005-0000-0000-000058340000}"/>
    <cellStyle name="Millares 2 80 9 3 3 2" xfId="25199" xr:uid="{00000000-0005-0000-0000-000059340000}"/>
    <cellStyle name="Millares 2 80 9 3 3 2 2" xfId="52332" xr:uid="{00000000-0005-0000-0000-00005A340000}"/>
    <cellStyle name="Millares 2 80 9 3 3 3" xfId="38770" xr:uid="{00000000-0005-0000-0000-00005B340000}"/>
    <cellStyle name="Millares 2 80 9 3 4" xfId="18418" xr:uid="{00000000-0005-0000-0000-00005C340000}"/>
    <cellStyle name="Millares 2 80 9 3 4 2" xfId="45551" xr:uid="{00000000-0005-0000-0000-00005D340000}"/>
    <cellStyle name="Millares 2 80 9 3 5" xfId="31989" xr:uid="{00000000-0005-0000-0000-00005E340000}"/>
    <cellStyle name="Millares 2 80 9 4" xfId="8228" xr:uid="{00000000-0005-0000-0000-00005F340000}"/>
    <cellStyle name="Millares 2 80 9 4 2" xfId="15018" xr:uid="{00000000-0005-0000-0000-000060340000}"/>
    <cellStyle name="Millares 2 80 9 4 2 2" xfId="28586" xr:uid="{00000000-0005-0000-0000-000061340000}"/>
    <cellStyle name="Millares 2 80 9 4 2 2 2" xfId="55719" xr:uid="{00000000-0005-0000-0000-000062340000}"/>
    <cellStyle name="Millares 2 80 9 4 2 3" xfId="42157" xr:uid="{00000000-0005-0000-0000-000063340000}"/>
    <cellStyle name="Millares 2 80 9 4 3" xfId="21805" xr:uid="{00000000-0005-0000-0000-000064340000}"/>
    <cellStyle name="Millares 2 80 9 4 3 2" xfId="48938" xr:uid="{00000000-0005-0000-0000-000065340000}"/>
    <cellStyle name="Millares 2 80 9 4 4" xfId="35376" xr:uid="{00000000-0005-0000-0000-000066340000}"/>
    <cellStyle name="Millares 2 80 9 5" xfId="11629" xr:uid="{00000000-0005-0000-0000-000067340000}"/>
    <cellStyle name="Millares 2 80 9 5 2" xfId="25197" xr:uid="{00000000-0005-0000-0000-000068340000}"/>
    <cellStyle name="Millares 2 80 9 5 2 2" xfId="52330" xr:uid="{00000000-0005-0000-0000-000069340000}"/>
    <cellStyle name="Millares 2 80 9 5 3" xfId="38768" xr:uid="{00000000-0005-0000-0000-00006A340000}"/>
    <cellStyle name="Millares 2 80 9 6" xfId="18416" xr:uid="{00000000-0005-0000-0000-00006B340000}"/>
    <cellStyle name="Millares 2 80 9 6 2" xfId="45549" xr:uid="{00000000-0005-0000-0000-00006C340000}"/>
    <cellStyle name="Millares 2 80 9 7" xfId="31987" xr:uid="{00000000-0005-0000-0000-00006D340000}"/>
    <cellStyle name="Millares 2 81" xfId="58352" xr:uid="{00000000-0005-0000-0000-00006E340000}"/>
    <cellStyle name="Millares 2 9" xfId="2444" xr:uid="{00000000-0005-0000-0000-00006F340000}"/>
    <cellStyle name="Millares 2 9 2" xfId="4622" xr:uid="{00000000-0005-0000-0000-000070340000}"/>
    <cellStyle name="Millares 2 9 2 10" xfId="31990" xr:uid="{00000000-0005-0000-0000-000071340000}"/>
    <cellStyle name="Millares 2 9 2 2" xfId="4623" xr:uid="{00000000-0005-0000-0000-000072340000}"/>
    <cellStyle name="Millares 2 9 2 2 2" xfId="4624" xr:uid="{00000000-0005-0000-0000-000073340000}"/>
    <cellStyle name="Millares 2 9 2 2 2 2" xfId="4625" xr:uid="{00000000-0005-0000-0000-000074340000}"/>
    <cellStyle name="Millares 2 9 2 2 2 2 2" xfId="8234" xr:uid="{00000000-0005-0000-0000-000075340000}"/>
    <cellStyle name="Millares 2 9 2 2 2 2 2 2" xfId="15024" xr:uid="{00000000-0005-0000-0000-000076340000}"/>
    <cellStyle name="Millares 2 9 2 2 2 2 2 2 2" xfId="28592" xr:uid="{00000000-0005-0000-0000-000077340000}"/>
    <cellStyle name="Millares 2 9 2 2 2 2 2 2 2 2" xfId="55725" xr:uid="{00000000-0005-0000-0000-000078340000}"/>
    <cellStyle name="Millares 2 9 2 2 2 2 2 2 3" xfId="42163" xr:uid="{00000000-0005-0000-0000-000079340000}"/>
    <cellStyle name="Millares 2 9 2 2 2 2 2 3" xfId="21811" xr:uid="{00000000-0005-0000-0000-00007A340000}"/>
    <cellStyle name="Millares 2 9 2 2 2 2 2 3 2" xfId="48944" xr:uid="{00000000-0005-0000-0000-00007B340000}"/>
    <cellStyle name="Millares 2 9 2 2 2 2 2 4" xfId="35382" xr:uid="{00000000-0005-0000-0000-00007C340000}"/>
    <cellStyle name="Millares 2 9 2 2 2 2 3" xfId="11635" xr:uid="{00000000-0005-0000-0000-00007D340000}"/>
    <cellStyle name="Millares 2 9 2 2 2 2 3 2" xfId="25203" xr:uid="{00000000-0005-0000-0000-00007E340000}"/>
    <cellStyle name="Millares 2 9 2 2 2 2 3 2 2" xfId="52336" xr:uid="{00000000-0005-0000-0000-00007F340000}"/>
    <cellStyle name="Millares 2 9 2 2 2 2 3 3" xfId="38774" xr:uid="{00000000-0005-0000-0000-000080340000}"/>
    <cellStyle name="Millares 2 9 2 2 2 2 4" xfId="18422" xr:uid="{00000000-0005-0000-0000-000081340000}"/>
    <cellStyle name="Millares 2 9 2 2 2 2 4 2" xfId="45555" xr:uid="{00000000-0005-0000-0000-000082340000}"/>
    <cellStyle name="Millares 2 9 2 2 2 2 5" xfId="31993" xr:uid="{00000000-0005-0000-0000-000083340000}"/>
    <cellStyle name="Millares 2 9 2 2 2 3" xfId="4626" xr:uid="{00000000-0005-0000-0000-000084340000}"/>
    <cellStyle name="Millares 2 9 2 2 2 3 2" xfId="8235" xr:uid="{00000000-0005-0000-0000-000085340000}"/>
    <cellStyle name="Millares 2 9 2 2 2 3 2 2" xfId="15025" xr:uid="{00000000-0005-0000-0000-000086340000}"/>
    <cellStyle name="Millares 2 9 2 2 2 3 2 2 2" xfId="28593" xr:uid="{00000000-0005-0000-0000-000087340000}"/>
    <cellStyle name="Millares 2 9 2 2 2 3 2 2 2 2" xfId="55726" xr:uid="{00000000-0005-0000-0000-000088340000}"/>
    <cellStyle name="Millares 2 9 2 2 2 3 2 2 3" xfId="42164" xr:uid="{00000000-0005-0000-0000-000089340000}"/>
    <cellStyle name="Millares 2 9 2 2 2 3 2 3" xfId="21812" xr:uid="{00000000-0005-0000-0000-00008A340000}"/>
    <cellStyle name="Millares 2 9 2 2 2 3 2 3 2" xfId="48945" xr:uid="{00000000-0005-0000-0000-00008B340000}"/>
    <cellStyle name="Millares 2 9 2 2 2 3 2 4" xfId="35383" xr:uid="{00000000-0005-0000-0000-00008C340000}"/>
    <cellStyle name="Millares 2 9 2 2 2 3 3" xfId="11636" xr:uid="{00000000-0005-0000-0000-00008D340000}"/>
    <cellStyle name="Millares 2 9 2 2 2 3 3 2" xfId="25204" xr:uid="{00000000-0005-0000-0000-00008E340000}"/>
    <cellStyle name="Millares 2 9 2 2 2 3 3 2 2" xfId="52337" xr:uid="{00000000-0005-0000-0000-00008F340000}"/>
    <cellStyle name="Millares 2 9 2 2 2 3 3 3" xfId="38775" xr:uid="{00000000-0005-0000-0000-000090340000}"/>
    <cellStyle name="Millares 2 9 2 2 2 3 4" xfId="18423" xr:uid="{00000000-0005-0000-0000-000091340000}"/>
    <cellStyle name="Millares 2 9 2 2 2 3 4 2" xfId="45556" xr:uid="{00000000-0005-0000-0000-000092340000}"/>
    <cellStyle name="Millares 2 9 2 2 2 3 5" xfId="31994" xr:uid="{00000000-0005-0000-0000-000093340000}"/>
    <cellStyle name="Millares 2 9 2 2 2 4" xfId="8233" xr:uid="{00000000-0005-0000-0000-000094340000}"/>
    <cellStyle name="Millares 2 9 2 2 2 4 2" xfId="15023" xr:uid="{00000000-0005-0000-0000-000095340000}"/>
    <cellStyle name="Millares 2 9 2 2 2 4 2 2" xfId="28591" xr:uid="{00000000-0005-0000-0000-000096340000}"/>
    <cellStyle name="Millares 2 9 2 2 2 4 2 2 2" xfId="55724" xr:uid="{00000000-0005-0000-0000-000097340000}"/>
    <cellStyle name="Millares 2 9 2 2 2 4 2 3" xfId="42162" xr:uid="{00000000-0005-0000-0000-000098340000}"/>
    <cellStyle name="Millares 2 9 2 2 2 4 3" xfId="21810" xr:uid="{00000000-0005-0000-0000-000099340000}"/>
    <cellStyle name="Millares 2 9 2 2 2 4 3 2" xfId="48943" xr:uid="{00000000-0005-0000-0000-00009A340000}"/>
    <cellStyle name="Millares 2 9 2 2 2 4 4" xfId="35381" xr:uid="{00000000-0005-0000-0000-00009B340000}"/>
    <cellStyle name="Millares 2 9 2 2 2 5" xfId="11634" xr:uid="{00000000-0005-0000-0000-00009C340000}"/>
    <cellStyle name="Millares 2 9 2 2 2 5 2" xfId="25202" xr:uid="{00000000-0005-0000-0000-00009D340000}"/>
    <cellStyle name="Millares 2 9 2 2 2 5 2 2" xfId="52335" xr:uid="{00000000-0005-0000-0000-00009E340000}"/>
    <cellStyle name="Millares 2 9 2 2 2 5 3" xfId="38773" xr:uid="{00000000-0005-0000-0000-00009F340000}"/>
    <cellStyle name="Millares 2 9 2 2 2 6" xfId="18421" xr:uid="{00000000-0005-0000-0000-0000A0340000}"/>
    <cellStyle name="Millares 2 9 2 2 2 6 2" xfId="45554" xr:uid="{00000000-0005-0000-0000-0000A1340000}"/>
    <cellStyle name="Millares 2 9 2 2 2 7" xfId="31992" xr:uid="{00000000-0005-0000-0000-0000A2340000}"/>
    <cellStyle name="Millares 2 9 2 2 3" xfId="4627" xr:uid="{00000000-0005-0000-0000-0000A3340000}"/>
    <cellStyle name="Millares 2 9 2 2 3 2" xfId="4628" xr:uid="{00000000-0005-0000-0000-0000A4340000}"/>
    <cellStyle name="Millares 2 9 2 2 3 2 2" xfId="8237" xr:uid="{00000000-0005-0000-0000-0000A5340000}"/>
    <cellStyle name="Millares 2 9 2 2 3 2 2 2" xfId="15027" xr:uid="{00000000-0005-0000-0000-0000A6340000}"/>
    <cellStyle name="Millares 2 9 2 2 3 2 2 2 2" xfId="28595" xr:uid="{00000000-0005-0000-0000-0000A7340000}"/>
    <cellStyle name="Millares 2 9 2 2 3 2 2 2 2 2" xfId="55728" xr:uid="{00000000-0005-0000-0000-0000A8340000}"/>
    <cellStyle name="Millares 2 9 2 2 3 2 2 2 3" xfId="42166" xr:uid="{00000000-0005-0000-0000-0000A9340000}"/>
    <cellStyle name="Millares 2 9 2 2 3 2 2 3" xfId="21814" xr:uid="{00000000-0005-0000-0000-0000AA340000}"/>
    <cellStyle name="Millares 2 9 2 2 3 2 2 3 2" xfId="48947" xr:uid="{00000000-0005-0000-0000-0000AB340000}"/>
    <cellStyle name="Millares 2 9 2 2 3 2 2 4" xfId="35385" xr:uid="{00000000-0005-0000-0000-0000AC340000}"/>
    <cellStyle name="Millares 2 9 2 2 3 2 3" xfId="11638" xr:uid="{00000000-0005-0000-0000-0000AD340000}"/>
    <cellStyle name="Millares 2 9 2 2 3 2 3 2" xfId="25206" xr:uid="{00000000-0005-0000-0000-0000AE340000}"/>
    <cellStyle name="Millares 2 9 2 2 3 2 3 2 2" xfId="52339" xr:uid="{00000000-0005-0000-0000-0000AF340000}"/>
    <cellStyle name="Millares 2 9 2 2 3 2 3 3" xfId="38777" xr:uid="{00000000-0005-0000-0000-0000B0340000}"/>
    <cellStyle name="Millares 2 9 2 2 3 2 4" xfId="18425" xr:uid="{00000000-0005-0000-0000-0000B1340000}"/>
    <cellStyle name="Millares 2 9 2 2 3 2 4 2" xfId="45558" xr:uid="{00000000-0005-0000-0000-0000B2340000}"/>
    <cellStyle name="Millares 2 9 2 2 3 2 5" xfId="31996" xr:uid="{00000000-0005-0000-0000-0000B3340000}"/>
    <cellStyle name="Millares 2 9 2 2 3 3" xfId="8236" xr:uid="{00000000-0005-0000-0000-0000B4340000}"/>
    <cellStyle name="Millares 2 9 2 2 3 3 2" xfId="15026" xr:uid="{00000000-0005-0000-0000-0000B5340000}"/>
    <cellStyle name="Millares 2 9 2 2 3 3 2 2" xfId="28594" xr:uid="{00000000-0005-0000-0000-0000B6340000}"/>
    <cellStyle name="Millares 2 9 2 2 3 3 2 2 2" xfId="55727" xr:uid="{00000000-0005-0000-0000-0000B7340000}"/>
    <cellStyle name="Millares 2 9 2 2 3 3 2 3" xfId="42165" xr:uid="{00000000-0005-0000-0000-0000B8340000}"/>
    <cellStyle name="Millares 2 9 2 2 3 3 3" xfId="21813" xr:uid="{00000000-0005-0000-0000-0000B9340000}"/>
    <cellStyle name="Millares 2 9 2 2 3 3 3 2" xfId="48946" xr:uid="{00000000-0005-0000-0000-0000BA340000}"/>
    <cellStyle name="Millares 2 9 2 2 3 3 4" xfId="35384" xr:uid="{00000000-0005-0000-0000-0000BB340000}"/>
    <cellStyle name="Millares 2 9 2 2 3 4" xfId="11637" xr:uid="{00000000-0005-0000-0000-0000BC340000}"/>
    <cellStyle name="Millares 2 9 2 2 3 4 2" xfId="25205" xr:uid="{00000000-0005-0000-0000-0000BD340000}"/>
    <cellStyle name="Millares 2 9 2 2 3 4 2 2" xfId="52338" xr:uid="{00000000-0005-0000-0000-0000BE340000}"/>
    <cellStyle name="Millares 2 9 2 2 3 4 3" xfId="38776" xr:uid="{00000000-0005-0000-0000-0000BF340000}"/>
    <cellStyle name="Millares 2 9 2 2 3 5" xfId="18424" xr:uid="{00000000-0005-0000-0000-0000C0340000}"/>
    <cellStyle name="Millares 2 9 2 2 3 5 2" xfId="45557" xr:uid="{00000000-0005-0000-0000-0000C1340000}"/>
    <cellStyle name="Millares 2 9 2 2 3 6" xfId="31995" xr:uid="{00000000-0005-0000-0000-0000C2340000}"/>
    <cellStyle name="Millares 2 9 2 2 4" xfId="4629" xr:uid="{00000000-0005-0000-0000-0000C3340000}"/>
    <cellStyle name="Millares 2 9 2 2 4 2" xfId="8238" xr:uid="{00000000-0005-0000-0000-0000C4340000}"/>
    <cellStyle name="Millares 2 9 2 2 4 2 2" xfId="15028" xr:uid="{00000000-0005-0000-0000-0000C5340000}"/>
    <cellStyle name="Millares 2 9 2 2 4 2 2 2" xfId="28596" xr:uid="{00000000-0005-0000-0000-0000C6340000}"/>
    <cellStyle name="Millares 2 9 2 2 4 2 2 2 2" xfId="55729" xr:uid="{00000000-0005-0000-0000-0000C7340000}"/>
    <cellStyle name="Millares 2 9 2 2 4 2 2 3" xfId="42167" xr:uid="{00000000-0005-0000-0000-0000C8340000}"/>
    <cellStyle name="Millares 2 9 2 2 4 2 3" xfId="21815" xr:uid="{00000000-0005-0000-0000-0000C9340000}"/>
    <cellStyle name="Millares 2 9 2 2 4 2 3 2" xfId="48948" xr:uid="{00000000-0005-0000-0000-0000CA340000}"/>
    <cellStyle name="Millares 2 9 2 2 4 2 4" xfId="35386" xr:uid="{00000000-0005-0000-0000-0000CB340000}"/>
    <cellStyle name="Millares 2 9 2 2 4 3" xfId="11639" xr:uid="{00000000-0005-0000-0000-0000CC340000}"/>
    <cellStyle name="Millares 2 9 2 2 4 3 2" xfId="25207" xr:uid="{00000000-0005-0000-0000-0000CD340000}"/>
    <cellStyle name="Millares 2 9 2 2 4 3 2 2" xfId="52340" xr:uid="{00000000-0005-0000-0000-0000CE340000}"/>
    <cellStyle name="Millares 2 9 2 2 4 3 3" xfId="38778" xr:uid="{00000000-0005-0000-0000-0000CF340000}"/>
    <cellStyle name="Millares 2 9 2 2 4 4" xfId="18426" xr:uid="{00000000-0005-0000-0000-0000D0340000}"/>
    <cellStyle name="Millares 2 9 2 2 4 4 2" xfId="45559" xr:uid="{00000000-0005-0000-0000-0000D1340000}"/>
    <cellStyle name="Millares 2 9 2 2 4 5" xfId="31997" xr:uid="{00000000-0005-0000-0000-0000D2340000}"/>
    <cellStyle name="Millares 2 9 2 2 5" xfId="4630" xr:uid="{00000000-0005-0000-0000-0000D3340000}"/>
    <cellStyle name="Millares 2 9 2 2 5 2" xfId="8239" xr:uid="{00000000-0005-0000-0000-0000D4340000}"/>
    <cellStyle name="Millares 2 9 2 2 5 2 2" xfId="15029" xr:uid="{00000000-0005-0000-0000-0000D5340000}"/>
    <cellStyle name="Millares 2 9 2 2 5 2 2 2" xfId="28597" xr:uid="{00000000-0005-0000-0000-0000D6340000}"/>
    <cellStyle name="Millares 2 9 2 2 5 2 2 2 2" xfId="55730" xr:uid="{00000000-0005-0000-0000-0000D7340000}"/>
    <cellStyle name="Millares 2 9 2 2 5 2 2 3" xfId="42168" xr:uid="{00000000-0005-0000-0000-0000D8340000}"/>
    <cellStyle name="Millares 2 9 2 2 5 2 3" xfId="21816" xr:uid="{00000000-0005-0000-0000-0000D9340000}"/>
    <cellStyle name="Millares 2 9 2 2 5 2 3 2" xfId="48949" xr:uid="{00000000-0005-0000-0000-0000DA340000}"/>
    <cellStyle name="Millares 2 9 2 2 5 2 4" xfId="35387" xr:uid="{00000000-0005-0000-0000-0000DB340000}"/>
    <cellStyle name="Millares 2 9 2 2 5 3" xfId="11640" xr:uid="{00000000-0005-0000-0000-0000DC340000}"/>
    <cellStyle name="Millares 2 9 2 2 5 3 2" xfId="25208" xr:uid="{00000000-0005-0000-0000-0000DD340000}"/>
    <cellStyle name="Millares 2 9 2 2 5 3 2 2" xfId="52341" xr:uid="{00000000-0005-0000-0000-0000DE340000}"/>
    <cellStyle name="Millares 2 9 2 2 5 3 3" xfId="38779" xr:uid="{00000000-0005-0000-0000-0000DF340000}"/>
    <cellStyle name="Millares 2 9 2 2 5 4" xfId="18427" xr:uid="{00000000-0005-0000-0000-0000E0340000}"/>
    <cellStyle name="Millares 2 9 2 2 5 4 2" xfId="45560" xr:uid="{00000000-0005-0000-0000-0000E1340000}"/>
    <cellStyle name="Millares 2 9 2 2 5 5" xfId="31998" xr:uid="{00000000-0005-0000-0000-0000E2340000}"/>
    <cellStyle name="Millares 2 9 2 2 6" xfId="8232" xr:uid="{00000000-0005-0000-0000-0000E3340000}"/>
    <cellStyle name="Millares 2 9 2 2 6 2" xfId="15022" xr:uid="{00000000-0005-0000-0000-0000E4340000}"/>
    <cellStyle name="Millares 2 9 2 2 6 2 2" xfId="28590" xr:uid="{00000000-0005-0000-0000-0000E5340000}"/>
    <cellStyle name="Millares 2 9 2 2 6 2 2 2" xfId="55723" xr:uid="{00000000-0005-0000-0000-0000E6340000}"/>
    <cellStyle name="Millares 2 9 2 2 6 2 3" xfId="42161" xr:uid="{00000000-0005-0000-0000-0000E7340000}"/>
    <cellStyle name="Millares 2 9 2 2 6 3" xfId="21809" xr:uid="{00000000-0005-0000-0000-0000E8340000}"/>
    <cellStyle name="Millares 2 9 2 2 6 3 2" xfId="48942" xr:uid="{00000000-0005-0000-0000-0000E9340000}"/>
    <cellStyle name="Millares 2 9 2 2 6 4" xfId="35380" xr:uid="{00000000-0005-0000-0000-0000EA340000}"/>
    <cellStyle name="Millares 2 9 2 2 7" xfId="11633" xr:uid="{00000000-0005-0000-0000-0000EB340000}"/>
    <cellStyle name="Millares 2 9 2 2 7 2" xfId="25201" xr:uid="{00000000-0005-0000-0000-0000EC340000}"/>
    <cellStyle name="Millares 2 9 2 2 7 2 2" xfId="52334" xr:uid="{00000000-0005-0000-0000-0000ED340000}"/>
    <cellStyle name="Millares 2 9 2 2 7 3" xfId="38772" xr:uid="{00000000-0005-0000-0000-0000EE340000}"/>
    <cellStyle name="Millares 2 9 2 2 8" xfId="18420" xr:uid="{00000000-0005-0000-0000-0000EF340000}"/>
    <cellStyle name="Millares 2 9 2 2 8 2" xfId="45553" xr:uid="{00000000-0005-0000-0000-0000F0340000}"/>
    <cellStyle name="Millares 2 9 2 2 9" xfId="31991" xr:uid="{00000000-0005-0000-0000-0000F1340000}"/>
    <cellStyle name="Millares 2 9 2 3" xfId="4631" xr:uid="{00000000-0005-0000-0000-0000F2340000}"/>
    <cellStyle name="Millares 2 9 2 3 2" xfId="4632" xr:uid="{00000000-0005-0000-0000-0000F3340000}"/>
    <cellStyle name="Millares 2 9 2 3 2 2" xfId="8241" xr:uid="{00000000-0005-0000-0000-0000F4340000}"/>
    <cellStyle name="Millares 2 9 2 3 2 2 2" xfId="15031" xr:uid="{00000000-0005-0000-0000-0000F5340000}"/>
    <cellStyle name="Millares 2 9 2 3 2 2 2 2" xfId="28599" xr:uid="{00000000-0005-0000-0000-0000F6340000}"/>
    <cellStyle name="Millares 2 9 2 3 2 2 2 2 2" xfId="55732" xr:uid="{00000000-0005-0000-0000-0000F7340000}"/>
    <cellStyle name="Millares 2 9 2 3 2 2 2 3" xfId="42170" xr:uid="{00000000-0005-0000-0000-0000F8340000}"/>
    <cellStyle name="Millares 2 9 2 3 2 2 3" xfId="21818" xr:uid="{00000000-0005-0000-0000-0000F9340000}"/>
    <cellStyle name="Millares 2 9 2 3 2 2 3 2" xfId="48951" xr:uid="{00000000-0005-0000-0000-0000FA340000}"/>
    <cellStyle name="Millares 2 9 2 3 2 2 4" xfId="35389" xr:uid="{00000000-0005-0000-0000-0000FB340000}"/>
    <cellStyle name="Millares 2 9 2 3 2 3" xfId="11642" xr:uid="{00000000-0005-0000-0000-0000FC340000}"/>
    <cellStyle name="Millares 2 9 2 3 2 3 2" xfId="25210" xr:uid="{00000000-0005-0000-0000-0000FD340000}"/>
    <cellStyle name="Millares 2 9 2 3 2 3 2 2" xfId="52343" xr:uid="{00000000-0005-0000-0000-0000FE340000}"/>
    <cellStyle name="Millares 2 9 2 3 2 3 3" xfId="38781" xr:uid="{00000000-0005-0000-0000-0000FF340000}"/>
    <cellStyle name="Millares 2 9 2 3 2 4" xfId="18429" xr:uid="{00000000-0005-0000-0000-000000350000}"/>
    <cellStyle name="Millares 2 9 2 3 2 4 2" xfId="45562" xr:uid="{00000000-0005-0000-0000-000001350000}"/>
    <cellStyle name="Millares 2 9 2 3 2 5" xfId="32000" xr:uid="{00000000-0005-0000-0000-000002350000}"/>
    <cellStyle name="Millares 2 9 2 3 3" xfId="4633" xr:uid="{00000000-0005-0000-0000-000003350000}"/>
    <cellStyle name="Millares 2 9 2 3 3 2" xfId="8242" xr:uid="{00000000-0005-0000-0000-000004350000}"/>
    <cellStyle name="Millares 2 9 2 3 3 2 2" xfId="15032" xr:uid="{00000000-0005-0000-0000-000005350000}"/>
    <cellStyle name="Millares 2 9 2 3 3 2 2 2" xfId="28600" xr:uid="{00000000-0005-0000-0000-000006350000}"/>
    <cellStyle name="Millares 2 9 2 3 3 2 2 2 2" xfId="55733" xr:uid="{00000000-0005-0000-0000-000007350000}"/>
    <cellStyle name="Millares 2 9 2 3 3 2 2 3" xfId="42171" xr:uid="{00000000-0005-0000-0000-000008350000}"/>
    <cellStyle name="Millares 2 9 2 3 3 2 3" xfId="21819" xr:uid="{00000000-0005-0000-0000-000009350000}"/>
    <cellStyle name="Millares 2 9 2 3 3 2 3 2" xfId="48952" xr:uid="{00000000-0005-0000-0000-00000A350000}"/>
    <cellStyle name="Millares 2 9 2 3 3 2 4" xfId="35390" xr:uid="{00000000-0005-0000-0000-00000B350000}"/>
    <cellStyle name="Millares 2 9 2 3 3 3" xfId="11643" xr:uid="{00000000-0005-0000-0000-00000C350000}"/>
    <cellStyle name="Millares 2 9 2 3 3 3 2" xfId="25211" xr:uid="{00000000-0005-0000-0000-00000D350000}"/>
    <cellStyle name="Millares 2 9 2 3 3 3 2 2" xfId="52344" xr:uid="{00000000-0005-0000-0000-00000E350000}"/>
    <cellStyle name="Millares 2 9 2 3 3 3 3" xfId="38782" xr:uid="{00000000-0005-0000-0000-00000F350000}"/>
    <cellStyle name="Millares 2 9 2 3 3 4" xfId="18430" xr:uid="{00000000-0005-0000-0000-000010350000}"/>
    <cellStyle name="Millares 2 9 2 3 3 4 2" xfId="45563" xr:uid="{00000000-0005-0000-0000-000011350000}"/>
    <cellStyle name="Millares 2 9 2 3 3 5" xfId="32001" xr:uid="{00000000-0005-0000-0000-000012350000}"/>
    <cellStyle name="Millares 2 9 2 3 4" xfId="8240" xr:uid="{00000000-0005-0000-0000-000013350000}"/>
    <cellStyle name="Millares 2 9 2 3 4 2" xfId="15030" xr:uid="{00000000-0005-0000-0000-000014350000}"/>
    <cellStyle name="Millares 2 9 2 3 4 2 2" xfId="28598" xr:uid="{00000000-0005-0000-0000-000015350000}"/>
    <cellStyle name="Millares 2 9 2 3 4 2 2 2" xfId="55731" xr:uid="{00000000-0005-0000-0000-000016350000}"/>
    <cellStyle name="Millares 2 9 2 3 4 2 3" xfId="42169" xr:uid="{00000000-0005-0000-0000-000017350000}"/>
    <cellStyle name="Millares 2 9 2 3 4 3" xfId="21817" xr:uid="{00000000-0005-0000-0000-000018350000}"/>
    <cellStyle name="Millares 2 9 2 3 4 3 2" xfId="48950" xr:uid="{00000000-0005-0000-0000-000019350000}"/>
    <cellStyle name="Millares 2 9 2 3 4 4" xfId="35388" xr:uid="{00000000-0005-0000-0000-00001A350000}"/>
    <cellStyle name="Millares 2 9 2 3 5" xfId="11641" xr:uid="{00000000-0005-0000-0000-00001B350000}"/>
    <cellStyle name="Millares 2 9 2 3 5 2" xfId="25209" xr:uid="{00000000-0005-0000-0000-00001C350000}"/>
    <cellStyle name="Millares 2 9 2 3 5 2 2" xfId="52342" xr:uid="{00000000-0005-0000-0000-00001D350000}"/>
    <cellStyle name="Millares 2 9 2 3 5 3" xfId="38780" xr:uid="{00000000-0005-0000-0000-00001E350000}"/>
    <cellStyle name="Millares 2 9 2 3 6" xfId="18428" xr:uid="{00000000-0005-0000-0000-00001F350000}"/>
    <cellStyle name="Millares 2 9 2 3 6 2" xfId="45561" xr:uid="{00000000-0005-0000-0000-000020350000}"/>
    <cellStyle name="Millares 2 9 2 3 7" xfId="31999" xr:uid="{00000000-0005-0000-0000-000021350000}"/>
    <cellStyle name="Millares 2 9 2 4" xfId="4634" xr:uid="{00000000-0005-0000-0000-000022350000}"/>
    <cellStyle name="Millares 2 9 2 4 2" xfId="4635" xr:uid="{00000000-0005-0000-0000-000023350000}"/>
    <cellStyle name="Millares 2 9 2 4 2 2" xfId="8244" xr:uid="{00000000-0005-0000-0000-000024350000}"/>
    <cellStyle name="Millares 2 9 2 4 2 2 2" xfId="15034" xr:uid="{00000000-0005-0000-0000-000025350000}"/>
    <cellStyle name="Millares 2 9 2 4 2 2 2 2" xfId="28602" xr:uid="{00000000-0005-0000-0000-000026350000}"/>
    <cellStyle name="Millares 2 9 2 4 2 2 2 2 2" xfId="55735" xr:uid="{00000000-0005-0000-0000-000027350000}"/>
    <cellStyle name="Millares 2 9 2 4 2 2 2 3" xfId="42173" xr:uid="{00000000-0005-0000-0000-000028350000}"/>
    <cellStyle name="Millares 2 9 2 4 2 2 3" xfId="21821" xr:uid="{00000000-0005-0000-0000-000029350000}"/>
    <cellStyle name="Millares 2 9 2 4 2 2 3 2" xfId="48954" xr:uid="{00000000-0005-0000-0000-00002A350000}"/>
    <cellStyle name="Millares 2 9 2 4 2 2 4" xfId="35392" xr:uid="{00000000-0005-0000-0000-00002B350000}"/>
    <cellStyle name="Millares 2 9 2 4 2 3" xfId="11645" xr:uid="{00000000-0005-0000-0000-00002C350000}"/>
    <cellStyle name="Millares 2 9 2 4 2 3 2" xfId="25213" xr:uid="{00000000-0005-0000-0000-00002D350000}"/>
    <cellStyle name="Millares 2 9 2 4 2 3 2 2" xfId="52346" xr:uid="{00000000-0005-0000-0000-00002E350000}"/>
    <cellStyle name="Millares 2 9 2 4 2 3 3" xfId="38784" xr:uid="{00000000-0005-0000-0000-00002F350000}"/>
    <cellStyle name="Millares 2 9 2 4 2 4" xfId="18432" xr:uid="{00000000-0005-0000-0000-000030350000}"/>
    <cellStyle name="Millares 2 9 2 4 2 4 2" xfId="45565" xr:uid="{00000000-0005-0000-0000-000031350000}"/>
    <cellStyle name="Millares 2 9 2 4 2 5" xfId="32003" xr:uid="{00000000-0005-0000-0000-000032350000}"/>
    <cellStyle name="Millares 2 9 2 4 3" xfId="8243" xr:uid="{00000000-0005-0000-0000-000033350000}"/>
    <cellStyle name="Millares 2 9 2 4 3 2" xfId="15033" xr:uid="{00000000-0005-0000-0000-000034350000}"/>
    <cellStyle name="Millares 2 9 2 4 3 2 2" xfId="28601" xr:uid="{00000000-0005-0000-0000-000035350000}"/>
    <cellStyle name="Millares 2 9 2 4 3 2 2 2" xfId="55734" xr:uid="{00000000-0005-0000-0000-000036350000}"/>
    <cellStyle name="Millares 2 9 2 4 3 2 3" xfId="42172" xr:uid="{00000000-0005-0000-0000-000037350000}"/>
    <cellStyle name="Millares 2 9 2 4 3 3" xfId="21820" xr:uid="{00000000-0005-0000-0000-000038350000}"/>
    <cellStyle name="Millares 2 9 2 4 3 3 2" xfId="48953" xr:uid="{00000000-0005-0000-0000-000039350000}"/>
    <cellStyle name="Millares 2 9 2 4 3 4" xfId="35391" xr:uid="{00000000-0005-0000-0000-00003A350000}"/>
    <cellStyle name="Millares 2 9 2 4 4" xfId="11644" xr:uid="{00000000-0005-0000-0000-00003B350000}"/>
    <cellStyle name="Millares 2 9 2 4 4 2" xfId="25212" xr:uid="{00000000-0005-0000-0000-00003C350000}"/>
    <cellStyle name="Millares 2 9 2 4 4 2 2" xfId="52345" xr:uid="{00000000-0005-0000-0000-00003D350000}"/>
    <cellStyle name="Millares 2 9 2 4 4 3" xfId="38783" xr:uid="{00000000-0005-0000-0000-00003E350000}"/>
    <cellStyle name="Millares 2 9 2 4 5" xfId="18431" xr:uid="{00000000-0005-0000-0000-00003F350000}"/>
    <cellStyle name="Millares 2 9 2 4 5 2" xfId="45564" xr:uid="{00000000-0005-0000-0000-000040350000}"/>
    <cellStyle name="Millares 2 9 2 4 6" xfId="32002" xr:uid="{00000000-0005-0000-0000-000041350000}"/>
    <cellStyle name="Millares 2 9 2 5" xfId="4636" xr:uid="{00000000-0005-0000-0000-000042350000}"/>
    <cellStyle name="Millares 2 9 2 5 2" xfId="8245" xr:uid="{00000000-0005-0000-0000-000043350000}"/>
    <cellStyle name="Millares 2 9 2 5 2 2" xfId="15035" xr:uid="{00000000-0005-0000-0000-000044350000}"/>
    <cellStyle name="Millares 2 9 2 5 2 2 2" xfId="28603" xr:uid="{00000000-0005-0000-0000-000045350000}"/>
    <cellStyle name="Millares 2 9 2 5 2 2 2 2" xfId="55736" xr:uid="{00000000-0005-0000-0000-000046350000}"/>
    <cellStyle name="Millares 2 9 2 5 2 2 3" xfId="42174" xr:uid="{00000000-0005-0000-0000-000047350000}"/>
    <cellStyle name="Millares 2 9 2 5 2 3" xfId="21822" xr:uid="{00000000-0005-0000-0000-000048350000}"/>
    <cellStyle name="Millares 2 9 2 5 2 3 2" xfId="48955" xr:uid="{00000000-0005-0000-0000-000049350000}"/>
    <cellStyle name="Millares 2 9 2 5 2 4" xfId="35393" xr:uid="{00000000-0005-0000-0000-00004A350000}"/>
    <cellStyle name="Millares 2 9 2 5 3" xfId="11646" xr:uid="{00000000-0005-0000-0000-00004B350000}"/>
    <cellStyle name="Millares 2 9 2 5 3 2" xfId="25214" xr:uid="{00000000-0005-0000-0000-00004C350000}"/>
    <cellStyle name="Millares 2 9 2 5 3 2 2" xfId="52347" xr:uid="{00000000-0005-0000-0000-00004D350000}"/>
    <cellStyle name="Millares 2 9 2 5 3 3" xfId="38785" xr:uid="{00000000-0005-0000-0000-00004E350000}"/>
    <cellStyle name="Millares 2 9 2 5 4" xfId="18433" xr:uid="{00000000-0005-0000-0000-00004F350000}"/>
    <cellStyle name="Millares 2 9 2 5 4 2" xfId="45566" xr:uid="{00000000-0005-0000-0000-000050350000}"/>
    <cellStyle name="Millares 2 9 2 5 5" xfId="32004" xr:uid="{00000000-0005-0000-0000-000051350000}"/>
    <cellStyle name="Millares 2 9 2 6" xfId="4637" xr:uid="{00000000-0005-0000-0000-000052350000}"/>
    <cellStyle name="Millares 2 9 2 6 2" xfId="8246" xr:uid="{00000000-0005-0000-0000-000053350000}"/>
    <cellStyle name="Millares 2 9 2 6 2 2" xfId="15036" xr:uid="{00000000-0005-0000-0000-000054350000}"/>
    <cellStyle name="Millares 2 9 2 6 2 2 2" xfId="28604" xr:uid="{00000000-0005-0000-0000-000055350000}"/>
    <cellStyle name="Millares 2 9 2 6 2 2 2 2" xfId="55737" xr:uid="{00000000-0005-0000-0000-000056350000}"/>
    <cellStyle name="Millares 2 9 2 6 2 2 3" xfId="42175" xr:uid="{00000000-0005-0000-0000-000057350000}"/>
    <cellStyle name="Millares 2 9 2 6 2 3" xfId="21823" xr:uid="{00000000-0005-0000-0000-000058350000}"/>
    <cellStyle name="Millares 2 9 2 6 2 3 2" xfId="48956" xr:uid="{00000000-0005-0000-0000-000059350000}"/>
    <cellStyle name="Millares 2 9 2 6 2 4" xfId="35394" xr:uid="{00000000-0005-0000-0000-00005A350000}"/>
    <cellStyle name="Millares 2 9 2 6 3" xfId="11647" xr:uid="{00000000-0005-0000-0000-00005B350000}"/>
    <cellStyle name="Millares 2 9 2 6 3 2" xfId="25215" xr:uid="{00000000-0005-0000-0000-00005C350000}"/>
    <cellStyle name="Millares 2 9 2 6 3 2 2" xfId="52348" xr:uid="{00000000-0005-0000-0000-00005D350000}"/>
    <cellStyle name="Millares 2 9 2 6 3 3" xfId="38786" xr:uid="{00000000-0005-0000-0000-00005E350000}"/>
    <cellStyle name="Millares 2 9 2 6 4" xfId="18434" xr:uid="{00000000-0005-0000-0000-00005F350000}"/>
    <cellStyle name="Millares 2 9 2 6 4 2" xfId="45567" xr:uid="{00000000-0005-0000-0000-000060350000}"/>
    <cellStyle name="Millares 2 9 2 6 5" xfId="32005" xr:uid="{00000000-0005-0000-0000-000061350000}"/>
    <cellStyle name="Millares 2 9 2 7" xfId="8231" xr:uid="{00000000-0005-0000-0000-000062350000}"/>
    <cellStyle name="Millares 2 9 2 7 2" xfId="15021" xr:uid="{00000000-0005-0000-0000-000063350000}"/>
    <cellStyle name="Millares 2 9 2 7 2 2" xfId="28589" xr:uid="{00000000-0005-0000-0000-000064350000}"/>
    <cellStyle name="Millares 2 9 2 7 2 2 2" xfId="55722" xr:uid="{00000000-0005-0000-0000-000065350000}"/>
    <cellStyle name="Millares 2 9 2 7 2 3" xfId="42160" xr:uid="{00000000-0005-0000-0000-000066350000}"/>
    <cellStyle name="Millares 2 9 2 7 3" xfId="21808" xr:uid="{00000000-0005-0000-0000-000067350000}"/>
    <cellStyle name="Millares 2 9 2 7 3 2" xfId="48941" xr:uid="{00000000-0005-0000-0000-000068350000}"/>
    <cellStyle name="Millares 2 9 2 7 4" xfId="35379" xr:uid="{00000000-0005-0000-0000-000069350000}"/>
    <cellStyle name="Millares 2 9 2 8" xfId="11632" xr:uid="{00000000-0005-0000-0000-00006A350000}"/>
    <cellStyle name="Millares 2 9 2 8 2" xfId="25200" xr:uid="{00000000-0005-0000-0000-00006B350000}"/>
    <cellStyle name="Millares 2 9 2 8 2 2" xfId="52333" xr:uid="{00000000-0005-0000-0000-00006C350000}"/>
    <cellStyle name="Millares 2 9 2 8 3" xfId="38771" xr:uid="{00000000-0005-0000-0000-00006D350000}"/>
    <cellStyle name="Millares 2 9 2 9" xfId="18419" xr:uid="{00000000-0005-0000-0000-00006E350000}"/>
    <cellStyle name="Millares 2 9 2 9 2" xfId="45552" xr:uid="{00000000-0005-0000-0000-00006F350000}"/>
    <cellStyle name="Millares 2 9 3" xfId="4638" xr:uid="{00000000-0005-0000-0000-000070350000}"/>
    <cellStyle name="Millares 2 9 3 2" xfId="4639" xr:uid="{00000000-0005-0000-0000-000071350000}"/>
    <cellStyle name="Millares 2 9 3 2 2" xfId="4640" xr:uid="{00000000-0005-0000-0000-000072350000}"/>
    <cellStyle name="Millares 2 9 3 2 2 2" xfId="8249" xr:uid="{00000000-0005-0000-0000-000073350000}"/>
    <cellStyle name="Millares 2 9 3 2 2 2 2" xfId="15039" xr:uid="{00000000-0005-0000-0000-000074350000}"/>
    <cellStyle name="Millares 2 9 3 2 2 2 2 2" xfId="28607" xr:uid="{00000000-0005-0000-0000-000075350000}"/>
    <cellStyle name="Millares 2 9 3 2 2 2 2 2 2" xfId="55740" xr:uid="{00000000-0005-0000-0000-000076350000}"/>
    <cellStyle name="Millares 2 9 3 2 2 2 2 3" xfId="42178" xr:uid="{00000000-0005-0000-0000-000077350000}"/>
    <cellStyle name="Millares 2 9 3 2 2 2 3" xfId="21826" xr:uid="{00000000-0005-0000-0000-000078350000}"/>
    <cellStyle name="Millares 2 9 3 2 2 2 3 2" xfId="48959" xr:uid="{00000000-0005-0000-0000-000079350000}"/>
    <cellStyle name="Millares 2 9 3 2 2 2 4" xfId="35397" xr:uid="{00000000-0005-0000-0000-00007A350000}"/>
    <cellStyle name="Millares 2 9 3 2 2 3" xfId="11650" xr:uid="{00000000-0005-0000-0000-00007B350000}"/>
    <cellStyle name="Millares 2 9 3 2 2 3 2" xfId="25218" xr:uid="{00000000-0005-0000-0000-00007C350000}"/>
    <cellStyle name="Millares 2 9 3 2 2 3 2 2" xfId="52351" xr:uid="{00000000-0005-0000-0000-00007D350000}"/>
    <cellStyle name="Millares 2 9 3 2 2 3 3" xfId="38789" xr:uid="{00000000-0005-0000-0000-00007E350000}"/>
    <cellStyle name="Millares 2 9 3 2 2 4" xfId="18437" xr:uid="{00000000-0005-0000-0000-00007F350000}"/>
    <cellStyle name="Millares 2 9 3 2 2 4 2" xfId="45570" xr:uid="{00000000-0005-0000-0000-000080350000}"/>
    <cellStyle name="Millares 2 9 3 2 2 5" xfId="32008" xr:uid="{00000000-0005-0000-0000-000081350000}"/>
    <cellStyle name="Millares 2 9 3 2 3" xfId="4641" xr:uid="{00000000-0005-0000-0000-000082350000}"/>
    <cellStyle name="Millares 2 9 3 2 3 2" xfId="8250" xr:uid="{00000000-0005-0000-0000-000083350000}"/>
    <cellStyle name="Millares 2 9 3 2 3 2 2" xfId="15040" xr:uid="{00000000-0005-0000-0000-000084350000}"/>
    <cellStyle name="Millares 2 9 3 2 3 2 2 2" xfId="28608" xr:uid="{00000000-0005-0000-0000-000085350000}"/>
    <cellStyle name="Millares 2 9 3 2 3 2 2 2 2" xfId="55741" xr:uid="{00000000-0005-0000-0000-000086350000}"/>
    <cellStyle name="Millares 2 9 3 2 3 2 2 3" xfId="42179" xr:uid="{00000000-0005-0000-0000-000087350000}"/>
    <cellStyle name="Millares 2 9 3 2 3 2 3" xfId="21827" xr:uid="{00000000-0005-0000-0000-000088350000}"/>
    <cellStyle name="Millares 2 9 3 2 3 2 3 2" xfId="48960" xr:uid="{00000000-0005-0000-0000-000089350000}"/>
    <cellStyle name="Millares 2 9 3 2 3 2 4" xfId="35398" xr:uid="{00000000-0005-0000-0000-00008A350000}"/>
    <cellStyle name="Millares 2 9 3 2 3 3" xfId="11651" xr:uid="{00000000-0005-0000-0000-00008B350000}"/>
    <cellStyle name="Millares 2 9 3 2 3 3 2" xfId="25219" xr:uid="{00000000-0005-0000-0000-00008C350000}"/>
    <cellStyle name="Millares 2 9 3 2 3 3 2 2" xfId="52352" xr:uid="{00000000-0005-0000-0000-00008D350000}"/>
    <cellStyle name="Millares 2 9 3 2 3 3 3" xfId="38790" xr:uid="{00000000-0005-0000-0000-00008E350000}"/>
    <cellStyle name="Millares 2 9 3 2 3 4" xfId="18438" xr:uid="{00000000-0005-0000-0000-00008F350000}"/>
    <cellStyle name="Millares 2 9 3 2 3 4 2" xfId="45571" xr:uid="{00000000-0005-0000-0000-000090350000}"/>
    <cellStyle name="Millares 2 9 3 2 3 5" xfId="32009" xr:uid="{00000000-0005-0000-0000-000091350000}"/>
    <cellStyle name="Millares 2 9 3 2 4" xfId="8248" xr:uid="{00000000-0005-0000-0000-000092350000}"/>
    <cellStyle name="Millares 2 9 3 2 4 2" xfId="15038" xr:uid="{00000000-0005-0000-0000-000093350000}"/>
    <cellStyle name="Millares 2 9 3 2 4 2 2" xfId="28606" xr:uid="{00000000-0005-0000-0000-000094350000}"/>
    <cellStyle name="Millares 2 9 3 2 4 2 2 2" xfId="55739" xr:uid="{00000000-0005-0000-0000-000095350000}"/>
    <cellStyle name="Millares 2 9 3 2 4 2 3" xfId="42177" xr:uid="{00000000-0005-0000-0000-000096350000}"/>
    <cellStyle name="Millares 2 9 3 2 4 3" xfId="21825" xr:uid="{00000000-0005-0000-0000-000097350000}"/>
    <cellStyle name="Millares 2 9 3 2 4 3 2" xfId="48958" xr:uid="{00000000-0005-0000-0000-000098350000}"/>
    <cellStyle name="Millares 2 9 3 2 4 4" xfId="35396" xr:uid="{00000000-0005-0000-0000-000099350000}"/>
    <cellStyle name="Millares 2 9 3 2 5" xfId="11649" xr:uid="{00000000-0005-0000-0000-00009A350000}"/>
    <cellStyle name="Millares 2 9 3 2 5 2" xfId="25217" xr:uid="{00000000-0005-0000-0000-00009B350000}"/>
    <cellStyle name="Millares 2 9 3 2 5 2 2" xfId="52350" xr:uid="{00000000-0005-0000-0000-00009C350000}"/>
    <cellStyle name="Millares 2 9 3 2 5 3" xfId="38788" xr:uid="{00000000-0005-0000-0000-00009D350000}"/>
    <cellStyle name="Millares 2 9 3 2 6" xfId="18436" xr:uid="{00000000-0005-0000-0000-00009E350000}"/>
    <cellStyle name="Millares 2 9 3 2 6 2" xfId="45569" xr:uid="{00000000-0005-0000-0000-00009F350000}"/>
    <cellStyle name="Millares 2 9 3 2 7" xfId="32007" xr:uid="{00000000-0005-0000-0000-0000A0350000}"/>
    <cellStyle name="Millares 2 9 3 3" xfId="4642" xr:uid="{00000000-0005-0000-0000-0000A1350000}"/>
    <cellStyle name="Millares 2 9 3 3 2" xfId="4643" xr:uid="{00000000-0005-0000-0000-0000A2350000}"/>
    <cellStyle name="Millares 2 9 3 3 2 2" xfId="8252" xr:uid="{00000000-0005-0000-0000-0000A3350000}"/>
    <cellStyle name="Millares 2 9 3 3 2 2 2" xfId="15042" xr:uid="{00000000-0005-0000-0000-0000A4350000}"/>
    <cellStyle name="Millares 2 9 3 3 2 2 2 2" xfId="28610" xr:uid="{00000000-0005-0000-0000-0000A5350000}"/>
    <cellStyle name="Millares 2 9 3 3 2 2 2 2 2" xfId="55743" xr:uid="{00000000-0005-0000-0000-0000A6350000}"/>
    <cellStyle name="Millares 2 9 3 3 2 2 2 3" xfId="42181" xr:uid="{00000000-0005-0000-0000-0000A7350000}"/>
    <cellStyle name="Millares 2 9 3 3 2 2 3" xfId="21829" xr:uid="{00000000-0005-0000-0000-0000A8350000}"/>
    <cellStyle name="Millares 2 9 3 3 2 2 3 2" xfId="48962" xr:uid="{00000000-0005-0000-0000-0000A9350000}"/>
    <cellStyle name="Millares 2 9 3 3 2 2 4" xfId="35400" xr:uid="{00000000-0005-0000-0000-0000AA350000}"/>
    <cellStyle name="Millares 2 9 3 3 2 3" xfId="11653" xr:uid="{00000000-0005-0000-0000-0000AB350000}"/>
    <cellStyle name="Millares 2 9 3 3 2 3 2" xfId="25221" xr:uid="{00000000-0005-0000-0000-0000AC350000}"/>
    <cellStyle name="Millares 2 9 3 3 2 3 2 2" xfId="52354" xr:uid="{00000000-0005-0000-0000-0000AD350000}"/>
    <cellStyle name="Millares 2 9 3 3 2 3 3" xfId="38792" xr:uid="{00000000-0005-0000-0000-0000AE350000}"/>
    <cellStyle name="Millares 2 9 3 3 2 4" xfId="18440" xr:uid="{00000000-0005-0000-0000-0000AF350000}"/>
    <cellStyle name="Millares 2 9 3 3 2 4 2" xfId="45573" xr:uid="{00000000-0005-0000-0000-0000B0350000}"/>
    <cellStyle name="Millares 2 9 3 3 2 5" xfId="32011" xr:uid="{00000000-0005-0000-0000-0000B1350000}"/>
    <cellStyle name="Millares 2 9 3 3 3" xfId="8251" xr:uid="{00000000-0005-0000-0000-0000B2350000}"/>
    <cellStyle name="Millares 2 9 3 3 3 2" xfId="15041" xr:uid="{00000000-0005-0000-0000-0000B3350000}"/>
    <cellStyle name="Millares 2 9 3 3 3 2 2" xfId="28609" xr:uid="{00000000-0005-0000-0000-0000B4350000}"/>
    <cellStyle name="Millares 2 9 3 3 3 2 2 2" xfId="55742" xr:uid="{00000000-0005-0000-0000-0000B5350000}"/>
    <cellStyle name="Millares 2 9 3 3 3 2 3" xfId="42180" xr:uid="{00000000-0005-0000-0000-0000B6350000}"/>
    <cellStyle name="Millares 2 9 3 3 3 3" xfId="21828" xr:uid="{00000000-0005-0000-0000-0000B7350000}"/>
    <cellStyle name="Millares 2 9 3 3 3 3 2" xfId="48961" xr:uid="{00000000-0005-0000-0000-0000B8350000}"/>
    <cellStyle name="Millares 2 9 3 3 3 4" xfId="35399" xr:uid="{00000000-0005-0000-0000-0000B9350000}"/>
    <cellStyle name="Millares 2 9 3 3 4" xfId="11652" xr:uid="{00000000-0005-0000-0000-0000BA350000}"/>
    <cellStyle name="Millares 2 9 3 3 4 2" xfId="25220" xr:uid="{00000000-0005-0000-0000-0000BB350000}"/>
    <cellStyle name="Millares 2 9 3 3 4 2 2" xfId="52353" xr:uid="{00000000-0005-0000-0000-0000BC350000}"/>
    <cellStyle name="Millares 2 9 3 3 4 3" xfId="38791" xr:uid="{00000000-0005-0000-0000-0000BD350000}"/>
    <cellStyle name="Millares 2 9 3 3 5" xfId="18439" xr:uid="{00000000-0005-0000-0000-0000BE350000}"/>
    <cellStyle name="Millares 2 9 3 3 5 2" xfId="45572" xr:uid="{00000000-0005-0000-0000-0000BF350000}"/>
    <cellStyle name="Millares 2 9 3 3 6" xfId="32010" xr:uid="{00000000-0005-0000-0000-0000C0350000}"/>
    <cellStyle name="Millares 2 9 3 4" xfId="4644" xr:uid="{00000000-0005-0000-0000-0000C1350000}"/>
    <cellStyle name="Millares 2 9 3 4 2" xfId="8253" xr:uid="{00000000-0005-0000-0000-0000C2350000}"/>
    <cellStyle name="Millares 2 9 3 4 2 2" xfId="15043" xr:uid="{00000000-0005-0000-0000-0000C3350000}"/>
    <cellStyle name="Millares 2 9 3 4 2 2 2" xfId="28611" xr:uid="{00000000-0005-0000-0000-0000C4350000}"/>
    <cellStyle name="Millares 2 9 3 4 2 2 2 2" xfId="55744" xr:uid="{00000000-0005-0000-0000-0000C5350000}"/>
    <cellStyle name="Millares 2 9 3 4 2 2 3" xfId="42182" xr:uid="{00000000-0005-0000-0000-0000C6350000}"/>
    <cellStyle name="Millares 2 9 3 4 2 3" xfId="21830" xr:uid="{00000000-0005-0000-0000-0000C7350000}"/>
    <cellStyle name="Millares 2 9 3 4 2 3 2" xfId="48963" xr:uid="{00000000-0005-0000-0000-0000C8350000}"/>
    <cellStyle name="Millares 2 9 3 4 2 4" xfId="35401" xr:uid="{00000000-0005-0000-0000-0000C9350000}"/>
    <cellStyle name="Millares 2 9 3 4 3" xfId="11654" xr:uid="{00000000-0005-0000-0000-0000CA350000}"/>
    <cellStyle name="Millares 2 9 3 4 3 2" xfId="25222" xr:uid="{00000000-0005-0000-0000-0000CB350000}"/>
    <cellStyle name="Millares 2 9 3 4 3 2 2" xfId="52355" xr:uid="{00000000-0005-0000-0000-0000CC350000}"/>
    <cellStyle name="Millares 2 9 3 4 3 3" xfId="38793" xr:uid="{00000000-0005-0000-0000-0000CD350000}"/>
    <cellStyle name="Millares 2 9 3 4 4" xfId="18441" xr:uid="{00000000-0005-0000-0000-0000CE350000}"/>
    <cellStyle name="Millares 2 9 3 4 4 2" xfId="45574" xr:uid="{00000000-0005-0000-0000-0000CF350000}"/>
    <cellStyle name="Millares 2 9 3 4 5" xfId="32012" xr:uid="{00000000-0005-0000-0000-0000D0350000}"/>
    <cellStyle name="Millares 2 9 3 5" xfId="4645" xr:uid="{00000000-0005-0000-0000-0000D1350000}"/>
    <cellStyle name="Millares 2 9 3 5 2" xfId="8254" xr:uid="{00000000-0005-0000-0000-0000D2350000}"/>
    <cellStyle name="Millares 2 9 3 5 2 2" xfId="15044" xr:uid="{00000000-0005-0000-0000-0000D3350000}"/>
    <cellStyle name="Millares 2 9 3 5 2 2 2" xfId="28612" xr:uid="{00000000-0005-0000-0000-0000D4350000}"/>
    <cellStyle name="Millares 2 9 3 5 2 2 2 2" xfId="55745" xr:uid="{00000000-0005-0000-0000-0000D5350000}"/>
    <cellStyle name="Millares 2 9 3 5 2 2 3" xfId="42183" xr:uid="{00000000-0005-0000-0000-0000D6350000}"/>
    <cellStyle name="Millares 2 9 3 5 2 3" xfId="21831" xr:uid="{00000000-0005-0000-0000-0000D7350000}"/>
    <cellStyle name="Millares 2 9 3 5 2 3 2" xfId="48964" xr:uid="{00000000-0005-0000-0000-0000D8350000}"/>
    <cellStyle name="Millares 2 9 3 5 2 4" xfId="35402" xr:uid="{00000000-0005-0000-0000-0000D9350000}"/>
    <cellStyle name="Millares 2 9 3 5 3" xfId="11655" xr:uid="{00000000-0005-0000-0000-0000DA350000}"/>
    <cellStyle name="Millares 2 9 3 5 3 2" xfId="25223" xr:uid="{00000000-0005-0000-0000-0000DB350000}"/>
    <cellStyle name="Millares 2 9 3 5 3 2 2" xfId="52356" xr:uid="{00000000-0005-0000-0000-0000DC350000}"/>
    <cellStyle name="Millares 2 9 3 5 3 3" xfId="38794" xr:uid="{00000000-0005-0000-0000-0000DD350000}"/>
    <cellStyle name="Millares 2 9 3 5 4" xfId="18442" xr:uid="{00000000-0005-0000-0000-0000DE350000}"/>
    <cellStyle name="Millares 2 9 3 5 4 2" xfId="45575" xr:uid="{00000000-0005-0000-0000-0000DF350000}"/>
    <cellStyle name="Millares 2 9 3 5 5" xfId="32013" xr:uid="{00000000-0005-0000-0000-0000E0350000}"/>
    <cellStyle name="Millares 2 9 3 6" xfId="8247" xr:uid="{00000000-0005-0000-0000-0000E1350000}"/>
    <cellStyle name="Millares 2 9 3 6 2" xfId="15037" xr:uid="{00000000-0005-0000-0000-0000E2350000}"/>
    <cellStyle name="Millares 2 9 3 6 2 2" xfId="28605" xr:uid="{00000000-0005-0000-0000-0000E3350000}"/>
    <cellStyle name="Millares 2 9 3 6 2 2 2" xfId="55738" xr:uid="{00000000-0005-0000-0000-0000E4350000}"/>
    <cellStyle name="Millares 2 9 3 6 2 3" xfId="42176" xr:uid="{00000000-0005-0000-0000-0000E5350000}"/>
    <cellStyle name="Millares 2 9 3 6 3" xfId="21824" xr:uid="{00000000-0005-0000-0000-0000E6350000}"/>
    <cellStyle name="Millares 2 9 3 6 3 2" xfId="48957" xr:uid="{00000000-0005-0000-0000-0000E7350000}"/>
    <cellStyle name="Millares 2 9 3 6 4" xfId="35395" xr:uid="{00000000-0005-0000-0000-0000E8350000}"/>
    <cellStyle name="Millares 2 9 3 7" xfId="11648" xr:uid="{00000000-0005-0000-0000-0000E9350000}"/>
    <cellStyle name="Millares 2 9 3 7 2" xfId="25216" xr:uid="{00000000-0005-0000-0000-0000EA350000}"/>
    <cellStyle name="Millares 2 9 3 7 2 2" xfId="52349" xr:uid="{00000000-0005-0000-0000-0000EB350000}"/>
    <cellStyle name="Millares 2 9 3 7 3" xfId="38787" xr:uid="{00000000-0005-0000-0000-0000EC350000}"/>
    <cellStyle name="Millares 2 9 3 8" xfId="18435" xr:uid="{00000000-0005-0000-0000-0000ED350000}"/>
    <cellStyle name="Millares 2 9 3 8 2" xfId="45568" xr:uid="{00000000-0005-0000-0000-0000EE350000}"/>
    <cellStyle name="Millares 2 9 3 9" xfId="32006" xr:uid="{00000000-0005-0000-0000-0000EF350000}"/>
    <cellStyle name="Millares 2 9 4" xfId="4646" xr:uid="{00000000-0005-0000-0000-0000F0350000}"/>
    <cellStyle name="Millares 2 9 4 2" xfId="4647" xr:uid="{00000000-0005-0000-0000-0000F1350000}"/>
    <cellStyle name="Millares 2 9 4 2 2" xfId="4648" xr:uid="{00000000-0005-0000-0000-0000F2350000}"/>
    <cellStyle name="Millares 2 9 4 2 2 2" xfId="8257" xr:uid="{00000000-0005-0000-0000-0000F3350000}"/>
    <cellStyle name="Millares 2 9 4 2 2 2 2" xfId="15047" xr:uid="{00000000-0005-0000-0000-0000F4350000}"/>
    <cellStyle name="Millares 2 9 4 2 2 2 2 2" xfId="28615" xr:uid="{00000000-0005-0000-0000-0000F5350000}"/>
    <cellStyle name="Millares 2 9 4 2 2 2 2 2 2" xfId="55748" xr:uid="{00000000-0005-0000-0000-0000F6350000}"/>
    <cellStyle name="Millares 2 9 4 2 2 2 2 3" xfId="42186" xr:uid="{00000000-0005-0000-0000-0000F7350000}"/>
    <cellStyle name="Millares 2 9 4 2 2 2 3" xfId="21834" xr:uid="{00000000-0005-0000-0000-0000F8350000}"/>
    <cellStyle name="Millares 2 9 4 2 2 2 3 2" xfId="48967" xr:uid="{00000000-0005-0000-0000-0000F9350000}"/>
    <cellStyle name="Millares 2 9 4 2 2 2 4" xfId="35405" xr:uid="{00000000-0005-0000-0000-0000FA350000}"/>
    <cellStyle name="Millares 2 9 4 2 2 3" xfId="11658" xr:uid="{00000000-0005-0000-0000-0000FB350000}"/>
    <cellStyle name="Millares 2 9 4 2 2 3 2" xfId="25226" xr:uid="{00000000-0005-0000-0000-0000FC350000}"/>
    <cellStyle name="Millares 2 9 4 2 2 3 2 2" xfId="52359" xr:uid="{00000000-0005-0000-0000-0000FD350000}"/>
    <cellStyle name="Millares 2 9 4 2 2 3 3" xfId="38797" xr:uid="{00000000-0005-0000-0000-0000FE350000}"/>
    <cellStyle name="Millares 2 9 4 2 2 4" xfId="18445" xr:uid="{00000000-0005-0000-0000-0000FF350000}"/>
    <cellStyle name="Millares 2 9 4 2 2 4 2" xfId="45578" xr:uid="{00000000-0005-0000-0000-000000360000}"/>
    <cellStyle name="Millares 2 9 4 2 2 5" xfId="32016" xr:uid="{00000000-0005-0000-0000-000001360000}"/>
    <cellStyle name="Millares 2 9 4 2 3" xfId="4649" xr:uid="{00000000-0005-0000-0000-000002360000}"/>
    <cellStyle name="Millares 2 9 4 2 3 2" xfId="8258" xr:uid="{00000000-0005-0000-0000-000003360000}"/>
    <cellStyle name="Millares 2 9 4 2 3 2 2" xfId="15048" xr:uid="{00000000-0005-0000-0000-000004360000}"/>
    <cellStyle name="Millares 2 9 4 2 3 2 2 2" xfId="28616" xr:uid="{00000000-0005-0000-0000-000005360000}"/>
    <cellStyle name="Millares 2 9 4 2 3 2 2 2 2" xfId="55749" xr:uid="{00000000-0005-0000-0000-000006360000}"/>
    <cellStyle name="Millares 2 9 4 2 3 2 2 3" xfId="42187" xr:uid="{00000000-0005-0000-0000-000007360000}"/>
    <cellStyle name="Millares 2 9 4 2 3 2 3" xfId="21835" xr:uid="{00000000-0005-0000-0000-000008360000}"/>
    <cellStyle name="Millares 2 9 4 2 3 2 3 2" xfId="48968" xr:uid="{00000000-0005-0000-0000-000009360000}"/>
    <cellStyle name="Millares 2 9 4 2 3 2 4" xfId="35406" xr:uid="{00000000-0005-0000-0000-00000A360000}"/>
    <cellStyle name="Millares 2 9 4 2 3 3" xfId="11659" xr:uid="{00000000-0005-0000-0000-00000B360000}"/>
    <cellStyle name="Millares 2 9 4 2 3 3 2" xfId="25227" xr:uid="{00000000-0005-0000-0000-00000C360000}"/>
    <cellStyle name="Millares 2 9 4 2 3 3 2 2" xfId="52360" xr:uid="{00000000-0005-0000-0000-00000D360000}"/>
    <cellStyle name="Millares 2 9 4 2 3 3 3" xfId="38798" xr:uid="{00000000-0005-0000-0000-00000E360000}"/>
    <cellStyle name="Millares 2 9 4 2 3 4" xfId="18446" xr:uid="{00000000-0005-0000-0000-00000F360000}"/>
    <cellStyle name="Millares 2 9 4 2 3 4 2" xfId="45579" xr:uid="{00000000-0005-0000-0000-000010360000}"/>
    <cellStyle name="Millares 2 9 4 2 3 5" xfId="32017" xr:uid="{00000000-0005-0000-0000-000011360000}"/>
    <cellStyle name="Millares 2 9 4 2 4" xfId="8256" xr:uid="{00000000-0005-0000-0000-000012360000}"/>
    <cellStyle name="Millares 2 9 4 2 4 2" xfId="15046" xr:uid="{00000000-0005-0000-0000-000013360000}"/>
    <cellStyle name="Millares 2 9 4 2 4 2 2" xfId="28614" xr:uid="{00000000-0005-0000-0000-000014360000}"/>
    <cellStyle name="Millares 2 9 4 2 4 2 2 2" xfId="55747" xr:uid="{00000000-0005-0000-0000-000015360000}"/>
    <cellStyle name="Millares 2 9 4 2 4 2 3" xfId="42185" xr:uid="{00000000-0005-0000-0000-000016360000}"/>
    <cellStyle name="Millares 2 9 4 2 4 3" xfId="21833" xr:uid="{00000000-0005-0000-0000-000017360000}"/>
    <cellStyle name="Millares 2 9 4 2 4 3 2" xfId="48966" xr:uid="{00000000-0005-0000-0000-000018360000}"/>
    <cellStyle name="Millares 2 9 4 2 4 4" xfId="35404" xr:uid="{00000000-0005-0000-0000-000019360000}"/>
    <cellStyle name="Millares 2 9 4 2 5" xfId="11657" xr:uid="{00000000-0005-0000-0000-00001A360000}"/>
    <cellStyle name="Millares 2 9 4 2 5 2" xfId="25225" xr:uid="{00000000-0005-0000-0000-00001B360000}"/>
    <cellStyle name="Millares 2 9 4 2 5 2 2" xfId="52358" xr:uid="{00000000-0005-0000-0000-00001C360000}"/>
    <cellStyle name="Millares 2 9 4 2 5 3" xfId="38796" xr:uid="{00000000-0005-0000-0000-00001D360000}"/>
    <cellStyle name="Millares 2 9 4 2 6" xfId="18444" xr:uid="{00000000-0005-0000-0000-00001E360000}"/>
    <cellStyle name="Millares 2 9 4 2 6 2" xfId="45577" xr:uid="{00000000-0005-0000-0000-00001F360000}"/>
    <cellStyle name="Millares 2 9 4 2 7" xfId="32015" xr:uid="{00000000-0005-0000-0000-000020360000}"/>
    <cellStyle name="Millares 2 9 4 3" xfId="4650" xr:uid="{00000000-0005-0000-0000-000021360000}"/>
    <cellStyle name="Millares 2 9 4 3 2" xfId="8259" xr:uid="{00000000-0005-0000-0000-000022360000}"/>
    <cellStyle name="Millares 2 9 4 3 2 2" xfId="15049" xr:uid="{00000000-0005-0000-0000-000023360000}"/>
    <cellStyle name="Millares 2 9 4 3 2 2 2" xfId="28617" xr:uid="{00000000-0005-0000-0000-000024360000}"/>
    <cellStyle name="Millares 2 9 4 3 2 2 2 2" xfId="55750" xr:uid="{00000000-0005-0000-0000-000025360000}"/>
    <cellStyle name="Millares 2 9 4 3 2 2 3" xfId="42188" xr:uid="{00000000-0005-0000-0000-000026360000}"/>
    <cellStyle name="Millares 2 9 4 3 2 3" xfId="21836" xr:uid="{00000000-0005-0000-0000-000027360000}"/>
    <cellStyle name="Millares 2 9 4 3 2 3 2" xfId="48969" xr:uid="{00000000-0005-0000-0000-000028360000}"/>
    <cellStyle name="Millares 2 9 4 3 2 4" xfId="35407" xr:uid="{00000000-0005-0000-0000-000029360000}"/>
    <cellStyle name="Millares 2 9 4 3 3" xfId="11660" xr:uid="{00000000-0005-0000-0000-00002A360000}"/>
    <cellStyle name="Millares 2 9 4 3 3 2" xfId="25228" xr:uid="{00000000-0005-0000-0000-00002B360000}"/>
    <cellStyle name="Millares 2 9 4 3 3 2 2" xfId="52361" xr:uid="{00000000-0005-0000-0000-00002C360000}"/>
    <cellStyle name="Millares 2 9 4 3 3 3" xfId="38799" xr:uid="{00000000-0005-0000-0000-00002D360000}"/>
    <cellStyle name="Millares 2 9 4 3 4" xfId="18447" xr:uid="{00000000-0005-0000-0000-00002E360000}"/>
    <cellStyle name="Millares 2 9 4 3 4 2" xfId="45580" xr:uid="{00000000-0005-0000-0000-00002F360000}"/>
    <cellStyle name="Millares 2 9 4 3 5" xfId="32018" xr:uid="{00000000-0005-0000-0000-000030360000}"/>
    <cellStyle name="Millares 2 9 4 4" xfId="4651" xr:uid="{00000000-0005-0000-0000-000031360000}"/>
    <cellStyle name="Millares 2 9 4 4 2" xfId="8260" xr:uid="{00000000-0005-0000-0000-000032360000}"/>
    <cellStyle name="Millares 2 9 4 4 2 2" xfId="15050" xr:uid="{00000000-0005-0000-0000-000033360000}"/>
    <cellStyle name="Millares 2 9 4 4 2 2 2" xfId="28618" xr:uid="{00000000-0005-0000-0000-000034360000}"/>
    <cellStyle name="Millares 2 9 4 4 2 2 2 2" xfId="55751" xr:uid="{00000000-0005-0000-0000-000035360000}"/>
    <cellStyle name="Millares 2 9 4 4 2 2 3" xfId="42189" xr:uid="{00000000-0005-0000-0000-000036360000}"/>
    <cellStyle name="Millares 2 9 4 4 2 3" xfId="21837" xr:uid="{00000000-0005-0000-0000-000037360000}"/>
    <cellStyle name="Millares 2 9 4 4 2 3 2" xfId="48970" xr:uid="{00000000-0005-0000-0000-000038360000}"/>
    <cellStyle name="Millares 2 9 4 4 2 4" xfId="35408" xr:uid="{00000000-0005-0000-0000-000039360000}"/>
    <cellStyle name="Millares 2 9 4 4 3" xfId="11661" xr:uid="{00000000-0005-0000-0000-00003A360000}"/>
    <cellStyle name="Millares 2 9 4 4 3 2" xfId="25229" xr:uid="{00000000-0005-0000-0000-00003B360000}"/>
    <cellStyle name="Millares 2 9 4 4 3 2 2" xfId="52362" xr:uid="{00000000-0005-0000-0000-00003C360000}"/>
    <cellStyle name="Millares 2 9 4 4 3 3" xfId="38800" xr:uid="{00000000-0005-0000-0000-00003D360000}"/>
    <cellStyle name="Millares 2 9 4 4 4" xfId="18448" xr:uid="{00000000-0005-0000-0000-00003E360000}"/>
    <cellStyle name="Millares 2 9 4 4 4 2" xfId="45581" xr:uid="{00000000-0005-0000-0000-00003F360000}"/>
    <cellStyle name="Millares 2 9 4 4 5" xfId="32019" xr:uid="{00000000-0005-0000-0000-000040360000}"/>
    <cellStyle name="Millares 2 9 4 5" xfId="8255" xr:uid="{00000000-0005-0000-0000-000041360000}"/>
    <cellStyle name="Millares 2 9 4 5 2" xfId="15045" xr:uid="{00000000-0005-0000-0000-000042360000}"/>
    <cellStyle name="Millares 2 9 4 5 2 2" xfId="28613" xr:uid="{00000000-0005-0000-0000-000043360000}"/>
    <cellStyle name="Millares 2 9 4 5 2 2 2" xfId="55746" xr:uid="{00000000-0005-0000-0000-000044360000}"/>
    <cellStyle name="Millares 2 9 4 5 2 3" xfId="42184" xr:uid="{00000000-0005-0000-0000-000045360000}"/>
    <cellStyle name="Millares 2 9 4 5 3" xfId="21832" xr:uid="{00000000-0005-0000-0000-000046360000}"/>
    <cellStyle name="Millares 2 9 4 5 3 2" xfId="48965" xr:uid="{00000000-0005-0000-0000-000047360000}"/>
    <cellStyle name="Millares 2 9 4 5 4" xfId="35403" xr:uid="{00000000-0005-0000-0000-000048360000}"/>
    <cellStyle name="Millares 2 9 4 6" xfId="11656" xr:uid="{00000000-0005-0000-0000-000049360000}"/>
    <cellStyle name="Millares 2 9 4 6 2" xfId="25224" xr:uid="{00000000-0005-0000-0000-00004A360000}"/>
    <cellStyle name="Millares 2 9 4 6 2 2" xfId="52357" xr:uid="{00000000-0005-0000-0000-00004B360000}"/>
    <cellStyle name="Millares 2 9 4 6 3" xfId="38795" xr:uid="{00000000-0005-0000-0000-00004C360000}"/>
    <cellStyle name="Millares 2 9 4 7" xfId="18443" xr:uid="{00000000-0005-0000-0000-00004D360000}"/>
    <cellStyle name="Millares 2 9 4 7 2" xfId="45576" xr:uid="{00000000-0005-0000-0000-00004E360000}"/>
    <cellStyle name="Millares 2 9 4 8" xfId="32014" xr:uid="{00000000-0005-0000-0000-00004F360000}"/>
    <cellStyle name="Millares 2 9 5" xfId="4652" xr:uid="{00000000-0005-0000-0000-000050360000}"/>
    <cellStyle name="Millares 2 9 5 2" xfId="4653" xr:uid="{00000000-0005-0000-0000-000051360000}"/>
    <cellStyle name="Millares 2 9 5 2 2" xfId="4654" xr:uid="{00000000-0005-0000-0000-000052360000}"/>
    <cellStyle name="Millares 2 9 5 2 2 2" xfId="8263" xr:uid="{00000000-0005-0000-0000-000053360000}"/>
    <cellStyle name="Millares 2 9 5 2 2 2 2" xfId="15053" xr:uid="{00000000-0005-0000-0000-000054360000}"/>
    <cellStyle name="Millares 2 9 5 2 2 2 2 2" xfId="28621" xr:uid="{00000000-0005-0000-0000-000055360000}"/>
    <cellStyle name="Millares 2 9 5 2 2 2 2 2 2" xfId="55754" xr:uid="{00000000-0005-0000-0000-000056360000}"/>
    <cellStyle name="Millares 2 9 5 2 2 2 2 3" xfId="42192" xr:uid="{00000000-0005-0000-0000-000057360000}"/>
    <cellStyle name="Millares 2 9 5 2 2 2 3" xfId="21840" xr:uid="{00000000-0005-0000-0000-000058360000}"/>
    <cellStyle name="Millares 2 9 5 2 2 2 3 2" xfId="48973" xr:uid="{00000000-0005-0000-0000-000059360000}"/>
    <cellStyle name="Millares 2 9 5 2 2 2 4" xfId="35411" xr:uid="{00000000-0005-0000-0000-00005A360000}"/>
    <cellStyle name="Millares 2 9 5 2 2 3" xfId="11664" xr:uid="{00000000-0005-0000-0000-00005B360000}"/>
    <cellStyle name="Millares 2 9 5 2 2 3 2" xfId="25232" xr:uid="{00000000-0005-0000-0000-00005C360000}"/>
    <cellStyle name="Millares 2 9 5 2 2 3 2 2" xfId="52365" xr:uid="{00000000-0005-0000-0000-00005D360000}"/>
    <cellStyle name="Millares 2 9 5 2 2 3 3" xfId="38803" xr:uid="{00000000-0005-0000-0000-00005E360000}"/>
    <cellStyle name="Millares 2 9 5 2 2 4" xfId="18451" xr:uid="{00000000-0005-0000-0000-00005F360000}"/>
    <cellStyle name="Millares 2 9 5 2 2 4 2" xfId="45584" xr:uid="{00000000-0005-0000-0000-000060360000}"/>
    <cellStyle name="Millares 2 9 5 2 2 5" xfId="32022" xr:uid="{00000000-0005-0000-0000-000061360000}"/>
    <cellStyle name="Millares 2 9 5 2 3" xfId="4655" xr:uid="{00000000-0005-0000-0000-000062360000}"/>
    <cellStyle name="Millares 2 9 5 2 3 2" xfId="8264" xr:uid="{00000000-0005-0000-0000-000063360000}"/>
    <cellStyle name="Millares 2 9 5 2 3 2 2" xfId="15054" xr:uid="{00000000-0005-0000-0000-000064360000}"/>
    <cellStyle name="Millares 2 9 5 2 3 2 2 2" xfId="28622" xr:uid="{00000000-0005-0000-0000-000065360000}"/>
    <cellStyle name="Millares 2 9 5 2 3 2 2 2 2" xfId="55755" xr:uid="{00000000-0005-0000-0000-000066360000}"/>
    <cellStyle name="Millares 2 9 5 2 3 2 2 3" xfId="42193" xr:uid="{00000000-0005-0000-0000-000067360000}"/>
    <cellStyle name="Millares 2 9 5 2 3 2 3" xfId="21841" xr:uid="{00000000-0005-0000-0000-000068360000}"/>
    <cellStyle name="Millares 2 9 5 2 3 2 3 2" xfId="48974" xr:uid="{00000000-0005-0000-0000-000069360000}"/>
    <cellStyle name="Millares 2 9 5 2 3 2 4" xfId="35412" xr:uid="{00000000-0005-0000-0000-00006A360000}"/>
    <cellStyle name="Millares 2 9 5 2 3 3" xfId="11665" xr:uid="{00000000-0005-0000-0000-00006B360000}"/>
    <cellStyle name="Millares 2 9 5 2 3 3 2" xfId="25233" xr:uid="{00000000-0005-0000-0000-00006C360000}"/>
    <cellStyle name="Millares 2 9 5 2 3 3 2 2" xfId="52366" xr:uid="{00000000-0005-0000-0000-00006D360000}"/>
    <cellStyle name="Millares 2 9 5 2 3 3 3" xfId="38804" xr:uid="{00000000-0005-0000-0000-00006E360000}"/>
    <cellStyle name="Millares 2 9 5 2 3 4" xfId="18452" xr:uid="{00000000-0005-0000-0000-00006F360000}"/>
    <cellStyle name="Millares 2 9 5 2 3 4 2" xfId="45585" xr:uid="{00000000-0005-0000-0000-000070360000}"/>
    <cellStyle name="Millares 2 9 5 2 3 5" xfId="32023" xr:uid="{00000000-0005-0000-0000-000071360000}"/>
    <cellStyle name="Millares 2 9 5 2 4" xfId="8262" xr:uid="{00000000-0005-0000-0000-000072360000}"/>
    <cellStyle name="Millares 2 9 5 2 4 2" xfId="15052" xr:uid="{00000000-0005-0000-0000-000073360000}"/>
    <cellStyle name="Millares 2 9 5 2 4 2 2" xfId="28620" xr:uid="{00000000-0005-0000-0000-000074360000}"/>
    <cellStyle name="Millares 2 9 5 2 4 2 2 2" xfId="55753" xr:uid="{00000000-0005-0000-0000-000075360000}"/>
    <cellStyle name="Millares 2 9 5 2 4 2 3" xfId="42191" xr:uid="{00000000-0005-0000-0000-000076360000}"/>
    <cellStyle name="Millares 2 9 5 2 4 3" xfId="21839" xr:uid="{00000000-0005-0000-0000-000077360000}"/>
    <cellStyle name="Millares 2 9 5 2 4 3 2" xfId="48972" xr:uid="{00000000-0005-0000-0000-000078360000}"/>
    <cellStyle name="Millares 2 9 5 2 4 4" xfId="35410" xr:uid="{00000000-0005-0000-0000-000079360000}"/>
    <cellStyle name="Millares 2 9 5 2 5" xfId="11663" xr:uid="{00000000-0005-0000-0000-00007A360000}"/>
    <cellStyle name="Millares 2 9 5 2 5 2" xfId="25231" xr:uid="{00000000-0005-0000-0000-00007B360000}"/>
    <cellStyle name="Millares 2 9 5 2 5 2 2" xfId="52364" xr:uid="{00000000-0005-0000-0000-00007C360000}"/>
    <cellStyle name="Millares 2 9 5 2 5 3" xfId="38802" xr:uid="{00000000-0005-0000-0000-00007D360000}"/>
    <cellStyle name="Millares 2 9 5 2 6" xfId="18450" xr:uid="{00000000-0005-0000-0000-00007E360000}"/>
    <cellStyle name="Millares 2 9 5 2 6 2" xfId="45583" xr:uid="{00000000-0005-0000-0000-00007F360000}"/>
    <cellStyle name="Millares 2 9 5 2 7" xfId="32021" xr:uid="{00000000-0005-0000-0000-000080360000}"/>
    <cellStyle name="Millares 2 9 5 3" xfId="4656" xr:uid="{00000000-0005-0000-0000-000081360000}"/>
    <cellStyle name="Millares 2 9 5 3 2" xfId="8265" xr:uid="{00000000-0005-0000-0000-000082360000}"/>
    <cellStyle name="Millares 2 9 5 3 2 2" xfId="15055" xr:uid="{00000000-0005-0000-0000-000083360000}"/>
    <cellStyle name="Millares 2 9 5 3 2 2 2" xfId="28623" xr:uid="{00000000-0005-0000-0000-000084360000}"/>
    <cellStyle name="Millares 2 9 5 3 2 2 2 2" xfId="55756" xr:uid="{00000000-0005-0000-0000-000085360000}"/>
    <cellStyle name="Millares 2 9 5 3 2 2 3" xfId="42194" xr:uid="{00000000-0005-0000-0000-000086360000}"/>
    <cellStyle name="Millares 2 9 5 3 2 3" xfId="21842" xr:uid="{00000000-0005-0000-0000-000087360000}"/>
    <cellStyle name="Millares 2 9 5 3 2 3 2" xfId="48975" xr:uid="{00000000-0005-0000-0000-000088360000}"/>
    <cellStyle name="Millares 2 9 5 3 2 4" xfId="35413" xr:uid="{00000000-0005-0000-0000-000089360000}"/>
    <cellStyle name="Millares 2 9 5 3 3" xfId="11666" xr:uid="{00000000-0005-0000-0000-00008A360000}"/>
    <cellStyle name="Millares 2 9 5 3 3 2" xfId="25234" xr:uid="{00000000-0005-0000-0000-00008B360000}"/>
    <cellStyle name="Millares 2 9 5 3 3 2 2" xfId="52367" xr:uid="{00000000-0005-0000-0000-00008C360000}"/>
    <cellStyle name="Millares 2 9 5 3 3 3" xfId="38805" xr:uid="{00000000-0005-0000-0000-00008D360000}"/>
    <cellStyle name="Millares 2 9 5 3 4" xfId="18453" xr:uid="{00000000-0005-0000-0000-00008E360000}"/>
    <cellStyle name="Millares 2 9 5 3 4 2" xfId="45586" xr:uid="{00000000-0005-0000-0000-00008F360000}"/>
    <cellStyle name="Millares 2 9 5 3 5" xfId="32024" xr:uid="{00000000-0005-0000-0000-000090360000}"/>
    <cellStyle name="Millares 2 9 5 4" xfId="4657" xr:uid="{00000000-0005-0000-0000-000091360000}"/>
    <cellStyle name="Millares 2 9 5 4 2" xfId="8266" xr:uid="{00000000-0005-0000-0000-000092360000}"/>
    <cellStyle name="Millares 2 9 5 4 2 2" xfId="15056" xr:uid="{00000000-0005-0000-0000-000093360000}"/>
    <cellStyle name="Millares 2 9 5 4 2 2 2" xfId="28624" xr:uid="{00000000-0005-0000-0000-000094360000}"/>
    <cellStyle name="Millares 2 9 5 4 2 2 2 2" xfId="55757" xr:uid="{00000000-0005-0000-0000-000095360000}"/>
    <cellStyle name="Millares 2 9 5 4 2 2 3" xfId="42195" xr:uid="{00000000-0005-0000-0000-000096360000}"/>
    <cellStyle name="Millares 2 9 5 4 2 3" xfId="21843" xr:uid="{00000000-0005-0000-0000-000097360000}"/>
    <cellStyle name="Millares 2 9 5 4 2 3 2" xfId="48976" xr:uid="{00000000-0005-0000-0000-000098360000}"/>
    <cellStyle name="Millares 2 9 5 4 2 4" xfId="35414" xr:uid="{00000000-0005-0000-0000-000099360000}"/>
    <cellStyle name="Millares 2 9 5 4 3" xfId="11667" xr:uid="{00000000-0005-0000-0000-00009A360000}"/>
    <cellStyle name="Millares 2 9 5 4 3 2" xfId="25235" xr:uid="{00000000-0005-0000-0000-00009B360000}"/>
    <cellStyle name="Millares 2 9 5 4 3 2 2" xfId="52368" xr:uid="{00000000-0005-0000-0000-00009C360000}"/>
    <cellStyle name="Millares 2 9 5 4 3 3" xfId="38806" xr:uid="{00000000-0005-0000-0000-00009D360000}"/>
    <cellStyle name="Millares 2 9 5 4 4" xfId="18454" xr:uid="{00000000-0005-0000-0000-00009E360000}"/>
    <cellStyle name="Millares 2 9 5 4 4 2" xfId="45587" xr:uid="{00000000-0005-0000-0000-00009F360000}"/>
    <cellStyle name="Millares 2 9 5 4 5" xfId="32025" xr:uid="{00000000-0005-0000-0000-0000A0360000}"/>
    <cellStyle name="Millares 2 9 5 5" xfId="8261" xr:uid="{00000000-0005-0000-0000-0000A1360000}"/>
    <cellStyle name="Millares 2 9 5 5 2" xfId="15051" xr:uid="{00000000-0005-0000-0000-0000A2360000}"/>
    <cellStyle name="Millares 2 9 5 5 2 2" xfId="28619" xr:uid="{00000000-0005-0000-0000-0000A3360000}"/>
    <cellStyle name="Millares 2 9 5 5 2 2 2" xfId="55752" xr:uid="{00000000-0005-0000-0000-0000A4360000}"/>
    <cellStyle name="Millares 2 9 5 5 2 3" xfId="42190" xr:uid="{00000000-0005-0000-0000-0000A5360000}"/>
    <cellStyle name="Millares 2 9 5 5 3" xfId="21838" xr:uid="{00000000-0005-0000-0000-0000A6360000}"/>
    <cellStyle name="Millares 2 9 5 5 3 2" xfId="48971" xr:uid="{00000000-0005-0000-0000-0000A7360000}"/>
    <cellStyle name="Millares 2 9 5 5 4" xfId="35409" xr:uid="{00000000-0005-0000-0000-0000A8360000}"/>
    <cellStyle name="Millares 2 9 5 6" xfId="11662" xr:uid="{00000000-0005-0000-0000-0000A9360000}"/>
    <cellStyle name="Millares 2 9 5 6 2" xfId="25230" xr:uid="{00000000-0005-0000-0000-0000AA360000}"/>
    <cellStyle name="Millares 2 9 5 6 2 2" xfId="52363" xr:uid="{00000000-0005-0000-0000-0000AB360000}"/>
    <cellStyle name="Millares 2 9 5 6 3" xfId="38801" xr:uid="{00000000-0005-0000-0000-0000AC360000}"/>
    <cellStyle name="Millares 2 9 5 7" xfId="18449" xr:uid="{00000000-0005-0000-0000-0000AD360000}"/>
    <cellStyle name="Millares 2 9 5 7 2" xfId="45582" xr:uid="{00000000-0005-0000-0000-0000AE360000}"/>
    <cellStyle name="Millares 2 9 5 8" xfId="32020" xr:uid="{00000000-0005-0000-0000-0000AF360000}"/>
    <cellStyle name="Millares 2 9 6" xfId="4658" xr:uid="{00000000-0005-0000-0000-0000B0360000}"/>
    <cellStyle name="Millares 2 9 6 2" xfId="4659" xr:uid="{00000000-0005-0000-0000-0000B1360000}"/>
    <cellStyle name="Millares 2 9 6 2 2" xfId="8268" xr:uid="{00000000-0005-0000-0000-0000B2360000}"/>
    <cellStyle name="Millares 2 9 6 2 2 2" xfId="15058" xr:uid="{00000000-0005-0000-0000-0000B3360000}"/>
    <cellStyle name="Millares 2 9 6 2 2 2 2" xfId="28626" xr:uid="{00000000-0005-0000-0000-0000B4360000}"/>
    <cellStyle name="Millares 2 9 6 2 2 2 2 2" xfId="55759" xr:uid="{00000000-0005-0000-0000-0000B5360000}"/>
    <cellStyle name="Millares 2 9 6 2 2 2 3" xfId="42197" xr:uid="{00000000-0005-0000-0000-0000B6360000}"/>
    <cellStyle name="Millares 2 9 6 2 2 3" xfId="21845" xr:uid="{00000000-0005-0000-0000-0000B7360000}"/>
    <cellStyle name="Millares 2 9 6 2 2 3 2" xfId="48978" xr:uid="{00000000-0005-0000-0000-0000B8360000}"/>
    <cellStyle name="Millares 2 9 6 2 2 4" xfId="35416" xr:uid="{00000000-0005-0000-0000-0000B9360000}"/>
    <cellStyle name="Millares 2 9 6 2 3" xfId="11669" xr:uid="{00000000-0005-0000-0000-0000BA360000}"/>
    <cellStyle name="Millares 2 9 6 2 3 2" xfId="25237" xr:uid="{00000000-0005-0000-0000-0000BB360000}"/>
    <cellStyle name="Millares 2 9 6 2 3 2 2" xfId="52370" xr:uid="{00000000-0005-0000-0000-0000BC360000}"/>
    <cellStyle name="Millares 2 9 6 2 3 3" xfId="38808" xr:uid="{00000000-0005-0000-0000-0000BD360000}"/>
    <cellStyle name="Millares 2 9 6 2 4" xfId="18456" xr:uid="{00000000-0005-0000-0000-0000BE360000}"/>
    <cellStyle name="Millares 2 9 6 2 4 2" xfId="45589" xr:uid="{00000000-0005-0000-0000-0000BF360000}"/>
    <cellStyle name="Millares 2 9 6 2 5" xfId="32027" xr:uid="{00000000-0005-0000-0000-0000C0360000}"/>
    <cellStyle name="Millares 2 9 6 3" xfId="4660" xr:uid="{00000000-0005-0000-0000-0000C1360000}"/>
    <cellStyle name="Millares 2 9 6 3 2" xfId="8269" xr:uid="{00000000-0005-0000-0000-0000C2360000}"/>
    <cellStyle name="Millares 2 9 6 3 2 2" xfId="15059" xr:uid="{00000000-0005-0000-0000-0000C3360000}"/>
    <cellStyle name="Millares 2 9 6 3 2 2 2" xfId="28627" xr:uid="{00000000-0005-0000-0000-0000C4360000}"/>
    <cellStyle name="Millares 2 9 6 3 2 2 2 2" xfId="55760" xr:uid="{00000000-0005-0000-0000-0000C5360000}"/>
    <cellStyle name="Millares 2 9 6 3 2 2 3" xfId="42198" xr:uid="{00000000-0005-0000-0000-0000C6360000}"/>
    <cellStyle name="Millares 2 9 6 3 2 3" xfId="21846" xr:uid="{00000000-0005-0000-0000-0000C7360000}"/>
    <cellStyle name="Millares 2 9 6 3 2 3 2" xfId="48979" xr:uid="{00000000-0005-0000-0000-0000C8360000}"/>
    <cellStyle name="Millares 2 9 6 3 2 4" xfId="35417" xr:uid="{00000000-0005-0000-0000-0000C9360000}"/>
    <cellStyle name="Millares 2 9 6 3 3" xfId="11670" xr:uid="{00000000-0005-0000-0000-0000CA360000}"/>
    <cellStyle name="Millares 2 9 6 3 3 2" xfId="25238" xr:uid="{00000000-0005-0000-0000-0000CB360000}"/>
    <cellStyle name="Millares 2 9 6 3 3 2 2" xfId="52371" xr:uid="{00000000-0005-0000-0000-0000CC360000}"/>
    <cellStyle name="Millares 2 9 6 3 3 3" xfId="38809" xr:uid="{00000000-0005-0000-0000-0000CD360000}"/>
    <cellStyle name="Millares 2 9 6 3 4" xfId="18457" xr:uid="{00000000-0005-0000-0000-0000CE360000}"/>
    <cellStyle name="Millares 2 9 6 3 4 2" xfId="45590" xr:uid="{00000000-0005-0000-0000-0000CF360000}"/>
    <cellStyle name="Millares 2 9 6 3 5" xfId="32028" xr:uid="{00000000-0005-0000-0000-0000D0360000}"/>
    <cellStyle name="Millares 2 9 6 4" xfId="8267" xr:uid="{00000000-0005-0000-0000-0000D1360000}"/>
    <cellStyle name="Millares 2 9 6 4 2" xfId="15057" xr:uid="{00000000-0005-0000-0000-0000D2360000}"/>
    <cellStyle name="Millares 2 9 6 4 2 2" xfId="28625" xr:uid="{00000000-0005-0000-0000-0000D3360000}"/>
    <cellStyle name="Millares 2 9 6 4 2 2 2" xfId="55758" xr:uid="{00000000-0005-0000-0000-0000D4360000}"/>
    <cellStyle name="Millares 2 9 6 4 2 3" xfId="42196" xr:uid="{00000000-0005-0000-0000-0000D5360000}"/>
    <cellStyle name="Millares 2 9 6 4 3" xfId="21844" xr:uid="{00000000-0005-0000-0000-0000D6360000}"/>
    <cellStyle name="Millares 2 9 6 4 3 2" xfId="48977" xr:uid="{00000000-0005-0000-0000-0000D7360000}"/>
    <cellStyle name="Millares 2 9 6 4 4" xfId="35415" xr:uid="{00000000-0005-0000-0000-0000D8360000}"/>
    <cellStyle name="Millares 2 9 6 5" xfId="11668" xr:uid="{00000000-0005-0000-0000-0000D9360000}"/>
    <cellStyle name="Millares 2 9 6 5 2" xfId="25236" xr:uid="{00000000-0005-0000-0000-0000DA360000}"/>
    <cellStyle name="Millares 2 9 6 5 2 2" xfId="52369" xr:uid="{00000000-0005-0000-0000-0000DB360000}"/>
    <cellStyle name="Millares 2 9 6 5 3" xfId="38807" xr:uid="{00000000-0005-0000-0000-0000DC360000}"/>
    <cellStyle name="Millares 2 9 6 6" xfId="18455" xr:uid="{00000000-0005-0000-0000-0000DD360000}"/>
    <cellStyle name="Millares 2 9 6 6 2" xfId="45588" xr:uid="{00000000-0005-0000-0000-0000DE360000}"/>
    <cellStyle name="Millares 2 9 6 7" xfId="32026" xr:uid="{00000000-0005-0000-0000-0000DF360000}"/>
    <cellStyle name="Millares 2 9 7" xfId="4661" xr:uid="{00000000-0005-0000-0000-0000E0360000}"/>
    <cellStyle name="Millares 2 9 7 2" xfId="4662" xr:uid="{00000000-0005-0000-0000-0000E1360000}"/>
    <cellStyle name="Millares 2 9 7 2 2" xfId="8271" xr:uid="{00000000-0005-0000-0000-0000E2360000}"/>
    <cellStyle name="Millares 2 9 7 2 2 2" xfId="15061" xr:uid="{00000000-0005-0000-0000-0000E3360000}"/>
    <cellStyle name="Millares 2 9 7 2 2 2 2" xfId="28629" xr:uid="{00000000-0005-0000-0000-0000E4360000}"/>
    <cellStyle name="Millares 2 9 7 2 2 2 2 2" xfId="55762" xr:uid="{00000000-0005-0000-0000-0000E5360000}"/>
    <cellStyle name="Millares 2 9 7 2 2 2 3" xfId="42200" xr:uid="{00000000-0005-0000-0000-0000E6360000}"/>
    <cellStyle name="Millares 2 9 7 2 2 3" xfId="21848" xr:uid="{00000000-0005-0000-0000-0000E7360000}"/>
    <cellStyle name="Millares 2 9 7 2 2 3 2" xfId="48981" xr:uid="{00000000-0005-0000-0000-0000E8360000}"/>
    <cellStyle name="Millares 2 9 7 2 2 4" xfId="35419" xr:uid="{00000000-0005-0000-0000-0000E9360000}"/>
    <cellStyle name="Millares 2 9 7 2 3" xfId="11672" xr:uid="{00000000-0005-0000-0000-0000EA360000}"/>
    <cellStyle name="Millares 2 9 7 2 3 2" xfId="25240" xr:uid="{00000000-0005-0000-0000-0000EB360000}"/>
    <cellStyle name="Millares 2 9 7 2 3 2 2" xfId="52373" xr:uid="{00000000-0005-0000-0000-0000EC360000}"/>
    <cellStyle name="Millares 2 9 7 2 3 3" xfId="38811" xr:uid="{00000000-0005-0000-0000-0000ED360000}"/>
    <cellStyle name="Millares 2 9 7 2 4" xfId="18459" xr:uid="{00000000-0005-0000-0000-0000EE360000}"/>
    <cellStyle name="Millares 2 9 7 2 4 2" xfId="45592" xr:uid="{00000000-0005-0000-0000-0000EF360000}"/>
    <cellStyle name="Millares 2 9 7 2 5" xfId="32030" xr:uid="{00000000-0005-0000-0000-0000F0360000}"/>
    <cellStyle name="Millares 2 9 7 3" xfId="4663" xr:uid="{00000000-0005-0000-0000-0000F1360000}"/>
    <cellStyle name="Millares 2 9 7 3 2" xfId="8272" xr:uid="{00000000-0005-0000-0000-0000F2360000}"/>
    <cellStyle name="Millares 2 9 7 3 2 2" xfId="15062" xr:uid="{00000000-0005-0000-0000-0000F3360000}"/>
    <cellStyle name="Millares 2 9 7 3 2 2 2" xfId="28630" xr:uid="{00000000-0005-0000-0000-0000F4360000}"/>
    <cellStyle name="Millares 2 9 7 3 2 2 2 2" xfId="55763" xr:uid="{00000000-0005-0000-0000-0000F5360000}"/>
    <cellStyle name="Millares 2 9 7 3 2 2 3" xfId="42201" xr:uid="{00000000-0005-0000-0000-0000F6360000}"/>
    <cellStyle name="Millares 2 9 7 3 2 3" xfId="21849" xr:uid="{00000000-0005-0000-0000-0000F7360000}"/>
    <cellStyle name="Millares 2 9 7 3 2 3 2" xfId="48982" xr:uid="{00000000-0005-0000-0000-0000F8360000}"/>
    <cellStyle name="Millares 2 9 7 3 2 4" xfId="35420" xr:uid="{00000000-0005-0000-0000-0000F9360000}"/>
    <cellStyle name="Millares 2 9 7 3 3" xfId="11673" xr:uid="{00000000-0005-0000-0000-0000FA360000}"/>
    <cellStyle name="Millares 2 9 7 3 3 2" xfId="25241" xr:uid="{00000000-0005-0000-0000-0000FB360000}"/>
    <cellStyle name="Millares 2 9 7 3 3 2 2" xfId="52374" xr:uid="{00000000-0005-0000-0000-0000FC360000}"/>
    <cellStyle name="Millares 2 9 7 3 3 3" xfId="38812" xr:uid="{00000000-0005-0000-0000-0000FD360000}"/>
    <cellStyle name="Millares 2 9 7 3 4" xfId="18460" xr:uid="{00000000-0005-0000-0000-0000FE360000}"/>
    <cellStyle name="Millares 2 9 7 3 4 2" xfId="45593" xr:uid="{00000000-0005-0000-0000-0000FF360000}"/>
    <cellStyle name="Millares 2 9 7 3 5" xfId="32031" xr:uid="{00000000-0005-0000-0000-000000370000}"/>
    <cellStyle name="Millares 2 9 7 4" xfId="8270" xr:uid="{00000000-0005-0000-0000-000001370000}"/>
    <cellStyle name="Millares 2 9 7 4 2" xfId="15060" xr:uid="{00000000-0005-0000-0000-000002370000}"/>
    <cellStyle name="Millares 2 9 7 4 2 2" xfId="28628" xr:uid="{00000000-0005-0000-0000-000003370000}"/>
    <cellStyle name="Millares 2 9 7 4 2 2 2" xfId="55761" xr:uid="{00000000-0005-0000-0000-000004370000}"/>
    <cellStyle name="Millares 2 9 7 4 2 3" xfId="42199" xr:uid="{00000000-0005-0000-0000-000005370000}"/>
    <cellStyle name="Millares 2 9 7 4 3" xfId="21847" xr:uid="{00000000-0005-0000-0000-000006370000}"/>
    <cellStyle name="Millares 2 9 7 4 3 2" xfId="48980" xr:uid="{00000000-0005-0000-0000-000007370000}"/>
    <cellStyle name="Millares 2 9 7 4 4" xfId="35418" xr:uid="{00000000-0005-0000-0000-000008370000}"/>
    <cellStyle name="Millares 2 9 7 5" xfId="11671" xr:uid="{00000000-0005-0000-0000-000009370000}"/>
    <cellStyle name="Millares 2 9 7 5 2" xfId="25239" xr:uid="{00000000-0005-0000-0000-00000A370000}"/>
    <cellStyle name="Millares 2 9 7 5 2 2" xfId="52372" xr:uid="{00000000-0005-0000-0000-00000B370000}"/>
    <cellStyle name="Millares 2 9 7 5 3" xfId="38810" xr:uid="{00000000-0005-0000-0000-00000C370000}"/>
    <cellStyle name="Millares 2 9 7 6" xfId="18458" xr:uid="{00000000-0005-0000-0000-00000D370000}"/>
    <cellStyle name="Millares 2 9 7 6 2" xfId="45591" xr:uid="{00000000-0005-0000-0000-00000E370000}"/>
    <cellStyle name="Millares 2 9 7 7" xfId="32029" xr:uid="{00000000-0005-0000-0000-00000F370000}"/>
    <cellStyle name="Millares 2 9 8" xfId="4664" xr:uid="{00000000-0005-0000-0000-000010370000}"/>
    <cellStyle name="Millares 2 9 8 2" xfId="8273" xr:uid="{00000000-0005-0000-0000-000011370000}"/>
    <cellStyle name="Millares 2 9 8 2 2" xfId="15063" xr:uid="{00000000-0005-0000-0000-000012370000}"/>
    <cellStyle name="Millares 2 9 8 2 2 2" xfId="28631" xr:uid="{00000000-0005-0000-0000-000013370000}"/>
    <cellStyle name="Millares 2 9 8 2 2 2 2" xfId="55764" xr:uid="{00000000-0005-0000-0000-000014370000}"/>
    <cellStyle name="Millares 2 9 8 2 2 3" xfId="42202" xr:uid="{00000000-0005-0000-0000-000015370000}"/>
    <cellStyle name="Millares 2 9 8 2 3" xfId="21850" xr:uid="{00000000-0005-0000-0000-000016370000}"/>
    <cellStyle name="Millares 2 9 8 2 3 2" xfId="48983" xr:uid="{00000000-0005-0000-0000-000017370000}"/>
    <cellStyle name="Millares 2 9 8 2 4" xfId="35421" xr:uid="{00000000-0005-0000-0000-000018370000}"/>
    <cellStyle name="Millares 2 9 8 3" xfId="11674" xr:uid="{00000000-0005-0000-0000-000019370000}"/>
    <cellStyle name="Millares 2 9 8 3 2" xfId="25242" xr:uid="{00000000-0005-0000-0000-00001A370000}"/>
    <cellStyle name="Millares 2 9 8 3 2 2" xfId="52375" xr:uid="{00000000-0005-0000-0000-00001B370000}"/>
    <cellStyle name="Millares 2 9 8 3 3" xfId="38813" xr:uid="{00000000-0005-0000-0000-00001C370000}"/>
    <cellStyle name="Millares 2 9 8 4" xfId="18461" xr:uid="{00000000-0005-0000-0000-00001D370000}"/>
    <cellStyle name="Millares 2 9 8 4 2" xfId="45594" xr:uid="{00000000-0005-0000-0000-00001E370000}"/>
    <cellStyle name="Millares 2 9 8 5" xfId="32032" xr:uid="{00000000-0005-0000-0000-00001F370000}"/>
    <cellStyle name="Millares 2 9 9" xfId="4665" xr:uid="{00000000-0005-0000-0000-000020370000}"/>
    <cellStyle name="Millares 2 9 9 2" xfId="8274" xr:uid="{00000000-0005-0000-0000-000021370000}"/>
    <cellStyle name="Millares 2 9 9 2 2" xfId="15064" xr:uid="{00000000-0005-0000-0000-000022370000}"/>
    <cellStyle name="Millares 2 9 9 2 2 2" xfId="28632" xr:uid="{00000000-0005-0000-0000-000023370000}"/>
    <cellStyle name="Millares 2 9 9 2 2 2 2" xfId="55765" xr:uid="{00000000-0005-0000-0000-000024370000}"/>
    <cellStyle name="Millares 2 9 9 2 2 3" xfId="42203" xr:uid="{00000000-0005-0000-0000-000025370000}"/>
    <cellStyle name="Millares 2 9 9 2 3" xfId="21851" xr:uid="{00000000-0005-0000-0000-000026370000}"/>
    <cellStyle name="Millares 2 9 9 2 3 2" xfId="48984" xr:uid="{00000000-0005-0000-0000-000027370000}"/>
    <cellStyle name="Millares 2 9 9 2 4" xfId="35422" xr:uid="{00000000-0005-0000-0000-000028370000}"/>
    <cellStyle name="Millares 2 9 9 3" xfId="11675" xr:uid="{00000000-0005-0000-0000-000029370000}"/>
    <cellStyle name="Millares 2 9 9 3 2" xfId="25243" xr:uid="{00000000-0005-0000-0000-00002A370000}"/>
    <cellStyle name="Millares 2 9 9 3 2 2" xfId="52376" xr:uid="{00000000-0005-0000-0000-00002B370000}"/>
    <cellStyle name="Millares 2 9 9 3 3" xfId="38814" xr:uid="{00000000-0005-0000-0000-00002C370000}"/>
    <cellStyle name="Millares 2 9 9 4" xfId="18462" xr:uid="{00000000-0005-0000-0000-00002D370000}"/>
    <cellStyle name="Millares 2 9 9 4 2" xfId="45595" xr:uid="{00000000-0005-0000-0000-00002E370000}"/>
    <cellStyle name="Millares 2 9 9 5" xfId="32033" xr:uid="{00000000-0005-0000-0000-00002F370000}"/>
    <cellStyle name="Millares 2_3.- Metrado SAN ANDRES (Ricardo Villavicencio)_ Rev.02" xfId="142" xr:uid="{00000000-0005-0000-0000-000030370000}"/>
    <cellStyle name="Millares 20" xfId="7458" xr:uid="{00000000-0005-0000-0000-000031370000}"/>
    <cellStyle name="Millares 204 6" xfId="36" xr:uid="{00000000-0005-0000-0000-000032370000}"/>
    <cellStyle name="Millares 21" xfId="10855" xr:uid="{00000000-0005-0000-0000-000033370000}"/>
    <cellStyle name="Millares 219 2" xfId="40" xr:uid="{00000000-0005-0000-0000-000034370000}"/>
    <cellStyle name="Millares 22" xfId="10859" xr:uid="{00000000-0005-0000-0000-000035370000}"/>
    <cellStyle name="Millares 22 2" xfId="58350" xr:uid="{00000000-0005-0000-0000-000036370000}"/>
    <cellStyle name="Millares 220" xfId="35" xr:uid="{00000000-0005-0000-0000-000037370000}"/>
    <cellStyle name="Millares 222" xfId="32" xr:uid="{00000000-0005-0000-0000-000038370000}"/>
    <cellStyle name="Millares 223" xfId="17" xr:uid="{00000000-0005-0000-0000-000039370000}"/>
    <cellStyle name="Millares 23" xfId="2445" xr:uid="{00000000-0005-0000-0000-00003A370000}"/>
    <cellStyle name="Millares 234" xfId="58386" xr:uid="{0E4AF85E-26B7-497A-9E35-15532E6484AC}"/>
    <cellStyle name="Millares 24" xfId="2446" xr:uid="{00000000-0005-0000-0000-00003B370000}"/>
    <cellStyle name="Millares 25" xfId="2447" xr:uid="{00000000-0005-0000-0000-00003C370000}"/>
    <cellStyle name="Millares 26" xfId="2448" xr:uid="{00000000-0005-0000-0000-00003D370000}"/>
    <cellStyle name="Millares 27" xfId="17643" xr:uid="{00000000-0005-0000-0000-00003E370000}"/>
    <cellStyle name="Millares 28" xfId="17649" xr:uid="{00000000-0005-0000-0000-00003F370000}"/>
    <cellStyle name="Millares 29" xfId="31217" xr:uid="{00000000-0005-0000-0000-000040370000}"/>
    <cellStyle name="Millares 3" xfId="65" xr:uid="{00000000-0005-0000-0000-000041370000}"/>
    <cellStyle name="Millares 3 2" xfId="81" xr:uid="{00000000-0005-0000-0000-000042370000}"/>
    <cellStyle name="Millares 3 2 2" xfId="203" xr:uid="{00000000-0005-0000-0000-000043370000}"/>
    <cellStyle name="Millares 3 2 2 2" xfId="4666" xr:uid="{00000000-0005-0000-0000-000044370000}"/>
    <cellStyle name="Millares 3 2 2 3" xfId="4667" xr:uid="{00000000-0005-0000-0000-000045370000}"/>
    <cellStyle name="Millares 3 2 2 3 2" xfId="4668" xr:uid="{00000000-0005-0000-0000-000046370000}"/>
    <cellStyle name="Millares 3 2 2 3 3" xfId="4669" xr:uid="{00000000-0005-0000-0000-000047370000}"/>
    <cellStyle name="Millares 3 2 3" xfId="4670" xr:uid="{00000000-0005-0000-0000-000048370000}"/>
    <cellStyle name="Millares 3 2 3 2 2" xfId="58379" xr:uid="{00000000-0005-0000-0000-000049370000}"/>
    <cellStyle name="Millares 3 2 3 3 3" xfId="11" xr:uid="{00000000-0005-0000-0000-00004A370000}"/>
    <cellStyle name="Millares 3 2 4" xfId="4671" xr:uid="{00000000-0005-0000-0000-00004B370000}"/>
    <cellStyle name="Millares 3 2 5" xfId="4672" xr:uid="{00000000-0005-0000-0000-00004C370000}"/>
    <cellStyle name="Millares 3 3" xfId="143" xr:uid="{00000000-0005-0000-0000-00004D370000}"/>
    <cellStyle name="Millares 3 3 2" xfId="4673" xr:uid="{00000000-0005-0000-0000-00004E370000}"/>
    <cellStyle name="Millares 3 3 3" xfId="4674" xr:uid="{00000000-0005-0000-0000-00004F370000}"/>
    <cellStyle name="Millares 3 3 4" xfId="4675" xr:uid="{00000000-0005-0000-0000-000050370000}"/>
    <cellStyle name="Millares 3 3 4 2" xfId="4676" xr:uid="{00000000-0005-0000-0000-000051370000}"/>
    <cellStyle name="Millares 3 4" xfId="2449" xr:uid="{00000000-0005-0000-0000-000052370000}"/>
    <cellStyle name="Millares 3 5" xfId="2450" xr:uid="{00000000-0005-0000-0000-000053370000}"/>
    <cellStyle name="Millares 3 5 2" xfId="4677" xr:uid="{00000000-0005-0000-0000-000054370000}"/>
    <cellStyle name="Millares 3 6" xfId="2451" xr:uid="{00000000-0005-0000-0000-000055370000}"/>
    <cellStyle name="Millares 3 7" xfId="4678" xr:uid="{00000000-0005-0000-0000-000056370000}"/>
    <cellStyle name="Millares 3 8" xfId="4679" xr:uid="{00000000-0005-0000-0000-000057370000}"/>
    <cellStyle name="Millares 30" xfId="58351" xr:uid="{00000000-0005-0000-0000-000058370000}"/>
    <cellStyle name="Millares 31" xfId="2452" xr:uid="{00000000-0005-0000-0000-000059370000}"/>
    <cellStyle name="Millares 32" xfId="2453" xr:uid="{00000000-0005-0000-0000-00005A370000}"/>
    <cellStyle name="Millares 33" xfId="2454" xr:uid="{00000000-0005-0000-0000-00005B370000}"/>
    <cellStyle name="Millares 34" xfId="2455" xr:uid="{00000000-0005-0000-0000-00005C370000}"/>
    <cellStyle name="Millares 35" xfId="2456" xr:uid="{00000000-0005-0000-0000-00005D370000}"/>
    <cellStyle name="Millares 36" xfId="2457" xr:uid="{00000000-0005-0000-0000-00005E370000}"/>
    <cellStyle name="Millares 4" xfId="66" xr:uid="{00000000-0005-0000-0000-00005F370000}"/>
    <cellStyle name="Millares 4 10" xfId="2458" xr:uid="{00000000-0005-0000-0000-000060370000}"/>
    <cellStyle name="Millares 4 11" xfId="2459" xr:uid="{00000000-0005-0000-0000-000061370000}"/>
    <cellStyle name="Millares 4 12" xfId="2460" xr:uid="{00000000-0005-0000-0000-000062370000}"/>
    <cellStyle name="Millares 4 13" xfId="2461" xr:uid="{00000000-0005-0000-0000-000063370000}"/>
    <cellStyle name="Millares 4 13 2" xfId="2462" xr:uid="{00000000-0005-0000-0000-000064370000}"/>
    <cellStyle name="Millares 4 13 2 2" xfId="7465" xr:uid="{00000000-0005-0000-0000-000065370000}"/>
    <cellStyle name="Millares 4 13 2 2 2" xfId="14255" xr:uid="{00000000-0005-0000-0000-000066370000}"/>
    <cellStyle name="Millares 4 13 2 2 2 2" xfId="27823" xr:uid="{00000000-0005-0000-0000-000067370000}"/>
    <cellStyle name="Millares 4 13 2 2 2 2 2" xfId="54956" xr:uid="{00000000-0005-0000-0000-000068370000}"/>
    <cellStyle name="Millares 4 13 2 2 2 3" xfId="41394" xr:uid="{00000000-0005-0000-0000-000069370000}"/>
    <cellStyle name="Millares 4 13 2 2 3" xfId="21042" xr:uid="{00000000-0005-0000-0000-00006A370000}"/>
    <cellStyle name="Millares 4 13 2 2 3 2" xfId="48175" xr:uid="{00000000-0005-0000-0000-00006B370000}"/>
    <cellStyle name="Millares 4 13 2 2 4" xfId="34613" xr:uid="{00000000-0005-0000-0000-00006C370000}"/>
    <cellStyle name="Millares 4 13 2 3" xfId="10866" xr:uid="{00000000-0005-0000-0000-00006D370000}"/>
    <cellStyle name="Millares 4 13 2 3 2" xfId="24434" xr:uid="{00000000-0005-0000-0000-00006E370000}"/>
    <cellStyle name="Millares 4 13 2 3 2 2" xfId="51567" xr:uid="{00000000-0005-0000-0000-00006F370000}"/>
    <cellStyle name="Millares 4 13 2 3 3" xfId="38005" xr:uid="{00000000-0005-0000-0000-000070370000}"/>
    <cellStyle name="Millares 4 13 2 4" xfId="17653" xr:uid="{00000000-0005-0000-0000-000071370000}"/>
    <cellStyle name="Millares 4 13 2 4 2" xfId="44786" xr:uid="{00000000-0005-0000-0000-000072370000}"/>
    <cellStyle name="Millares 4 13 2 5" xfId="31224" xr:uid="{00000000-0005-0000-0000-000073370000}"/>
    <cellStyle name="Millares 4 13 3" xfId="7464" xr:uid="{00000000-0005-0000-0000-000074370000}"/>
    <cellStyle name="Millares 4 13 3 2" xfId="14254" xr:uid="{00000000-0005-0000-0000-000075370000}"/>
    <cellStyle name="Millares 4 13 3 2 2" xfId="27822" xr:uid="{00000000-0005-0000-0000-000076370000}"/>
    <cellStyle name="Millares 4 13 3 2 2 2" xfId="54955" xr:uid="{00000000-0005-0000-0000-000077370000}"/>
    <cellStyle name="Millares 4 13 3 2 3" xfId="41393" xr:uid="{00000000-0005-0000-0000-000078370000}"/>
    <cellStyle name="Millares 4 13 3 3" xfId="21041" xr:uid="{00000000-0005-0000-0000-000079370000}"/>
    <cellStyle name="Millares 4 13 3 3 2" xfId="48174" xr:uid="{00000000-0005-0000-0000-00007A370000}"/>
    <cellStyle name="Millares 4 13 3 4" xfId="34612" xr:uid="{00000000-0005-0000-0000-00007B370000}"/>
    <cellStyle name="Millares 4 13 4" xfId="10865" xr:uid="{00000000-0005-0000-0000-00007C370000}"/>
    <cellStyle name="Millares 4 13 4 2" xfId="24433" xr:uid="{00000000-0005-0000-0000-00007D370000}"/>
    <cellStyle name="Millares 4 13 4 2 2" xfId="51566" xr:uid="{00000000-0005-0000-0000-00007E370000}"/>
    <cellStyle name="Millares 4 13 4 3" xfId="38004" xr:uid="{00000000-0005-0000-0000-00007F370000}"/>
    <cellStyle name="Millares 4 13 5" xfId="17652" xr:uid="{00000000-0005-0000-0000-000080370000}"/>
    <cellStyle name="Millares 4 13 5 2" xfId="44785" xr:uid="{00000000-0005-0000-0000-000081370000}"/>
    <cellStyle name="Millares 4 13 6" xfId="31223" xr:uid="{00000000-0005-0000-0000-000082370000}"/>
    <cellStyle name="Millares 4 14" xfId="2463" xr:uid="{00000000-0005-0000-0000-000083370000}"/>
    <cellStyle name="Millares 4 14 2" xfId="7466" xr:uid="{00000000-0005-0000-0000-000084370000}"/>
    <cellStyle name="Millares 4 14 2 2" xfId="14256" xr:uid="{00000000-0005-0000-0000-000085370000}"/>
    <cellStyle name="Millares 4 14 2 2 2" xfId="27824" xr:uid="{00000000-0005-0000-0000-000086370000}"/>
    <cellStyle name="Millares 4 14 2 2 2 2" xfId="54957" xr:uid="{00000000-0005-0000-0000-000087370000}"/>
    <cellStyle name="Millares 4 14 2 2 3" xfId="41395" xr:uid="{00000000-0005-0000-0000-000088370000}"/>
    <cellStyle name="Millares 4 14 2 3" xfId="21043" xr:uid="{00000000-0005-0000-0000-000089370000}"/>
    <cellStyle name="Millares 4 14 2 3 2" xfId="48176" xr:uid="{00000000-0005-0000-0000-00008A370000}"/>
    <cellStyle name="Millares 4 14 2 4" xfId="34614" xr:uid="{00000000-0005-0000-0000-00008B370000}"/>
    <cellStyle name="Millares 4 14 3" xfId="10867" xr:uid="{00000000-0005-0000-0000-00008C370000}"/>
    <cellStyle name="Millares 4 14 3 2" xfId="24435" xr:uid="{00000000-0005-0000-0000-00008D370000}"/>
    <cellStyle name="Millares 4 14 3 2 2" xfId="51568" xr:uid="{00000000-0005-0000-0000-00008E370000}"/>
    <cellStyle name="Millares 4 14 3 3" xfId="38006" xr:uid="{00000000-0005-0000-0000-00008F370000}"/>
    <cellStyle name="Millares 4 14 4" xfId="17654" xr:uid="{00000000-0005-0000-0000-000090370000}"/>
    <cellStyle name="Millares 4 14 4 2" xfId="44787" xr:uid="{00000000-0005-0000-0000-000091370000}"/>
    <cellStyle name="Millares 4 14 5" xfId="31225" xr:uid="{00000000-0005-0000-0000-000092370000}"/>
    <cellStyle name="Millares 4 2" xfId="144" xr:uid="{00000000-0005-0000-0000-000093370000}"/>
    <cellStyle name="Millares 4 2 2" xfId="2464" xr:uid="{00000000-0005-0000-0000-000094370000}"/>
    <cellStyle name="Millares 4 2 2 2" xfId="7467" xr:uid="{00000000-0005-0000-0000-000095370000}"/>
    <cellStyle name="Millares 4 2 2 2 2" xfId="14257" xr:uid="{00000000-0005-0000-0000-000096370000}"/>
    <cellStyle name="Millares 4 2 2 2 2 2" xfId="27825" xr:uid="{00000000-0005-0000-0000-000097370000}"/>
    <cellStyle name="Millares 4 2 2 2 2 2 2" xfId="54958" xr:uid="{00000000-0005-0000-0000-000098370000}"/>
    <cellStyle name="Millares 4 2 2 2 2 3" xfId="41396" xr:uid="{00000000-0005-0000-0000-000099370000}"/>
    <cellStyle name="Millares 4 2 2 2 3" xfId="21044" xr:uid="{00000000-0005-0000-0000-00009A370000}"/>
    <cellStyle name="Millares 4 2 2 2 3 2" xfId="48177" xr:uid="{00000000-0005-0000-0000-00009B370000}"/>
    <cellStyle name="Millares 4 2 2 2 4" xfId="34615" xr:uid="{00000000-0005-0000-0000-00009C370000}"/>
    <cellStyle name="Millares 4 2 2 3" xfId="10868" xr:uid="{00000000-0005-0000-0000-00009D370000}"/>
    <cellStyle name="Millares 4 2 2 3 2" xfId="24436" xr:uid="{00000000-0005-0000-0000-00009E370000}"/>
    <cellStyle name="Millares 4 2 2 3 2 2" xfId="51569" xr:uid="{00000000-0005-0000-0000-00009F370000}"/>
    <cellStyle name="Millares 4 2 2 3 3" xfId="38007" xr:uid="{00000000-0005-0000-0000-0000A0370000}"/>
    <cellStyle name="Millares 4 2 2 4" xfId="17655" xr:uid="{00000000-0005-0000-0000-0000A1370000}"/>
    <cellStyle name="Millares 4 2 2 4 2" xfId="44788" xr:uid="{00000000-0005-0000-0000-0000A2370000}"/>
    <cellStyle name="Millares 4 2 2 5" xfId="31226" xr:uid="{00000000-0005-0000-0000-0000A3370000}"/>
    <cellStyle name="Millares 4 3" xfId="145" xr:uid="{00000000-0005-0000-0000-0000A4370000}"/>
    <cellStyle name="Millares 4 3 2" xfId="2465" xr:uid="{00000000-0005-0000-0000-0000A5370000}"/>
    <cellStyle name="Millares 4 3 2 2" xfId="7468" xr:uid="{00000000-0005-0000-0000-0000A6370000}"/>
    <cellStyle name="Millares 4 3 2 2 2" xfId="14258" xr:uid="{00000000-0005-0000-0000-0000A7370000}"/>
    <cellStyle name="Millares 4 3 2 2 2 2" xfId="27826" xr:uid="{00000000-0005-0000-0000-0000A8370000}"/>
    <cellStyle name="Millares 4 3 2 2 2 2 2" xfId="54959" xr:uid="{00000000-0005-0000-0000-0000A9370000}"/>
    <cellStyle name="Millares 4 3 2 2 2 3" xfId="41397" xr:uid="{00000000-0005-0000-0000-0000AA370000}"/>
    <cellStyle name="Millares 4 3 2 2 3" xfId="21045" xr:uid="{00000000-0005-0000-0000-0000AB370000}"/>
    <cellStyle name="Millares 4 3 2 2 3 2" xfId="48178" xr:uid="{00000000-0005-0000-0000-0000AC370000}"/>
    <cellStyle name="Millares 4 3 2 2 4" xfId="34616" xr:uid="{00000000-0005-0000-0000-0000AD370000}"/>
    <cellStyle name="Millares 4 3 2 3" xfId="10869" xr:uid="{00000000-0005-0000-0000-0000AE370000}"/>
    <cellStyle name="Millares 4 3 2 3 2" xfId="24437" xr:uid="{00000000-0005-0000-0000-0000AF370000}"/>
    <cellStyle name="Millares 4 3 2 3 2 2" xfId="51570" xr:uid="{00000000-0005-0000-0000-0000B0370000}"/>
    <cellStyle name="Millares 4 3 2 3 3" xfId="38008" xr:uid="{00000000-0005-0000-0000-0000B1370000}"/>
    <cellStyle name="Millares 4 3 2 4" xfId="17656" xr:uid="{00000000-0005-0000-0000-0000B2370000}"/>
    <cellStyle name="Millares 4 3 2 4 2" xfId="44789" xr:uid="{00000000-0005-0000-0000-0000B3370000}"/>
    <cellStyle name="Millares 4 3 2 5" xfId="31227" xr:uid="{00000000-0005-0000-0000-0000B4370000}"/>
    <cellStyle name="Millares 4 4" xfId="195" xr:uid="{00000000-0005-0000-0000-0000B5370000}"/>
    <cellStyle name="Millares 4 4 2" xfId="2466" xr:uid="{00000000-0005-0000-0000-0000B6370000}"/>
    <cellStyle name="Millares 4 4 2 2" xfId="7469" xr:uid="{00000000-0005-0000-0000-0000B7370000}"/>
    <cellStyle name="Millares 4 4 2 2 2" xfId="14259" xr:uid="{00000000-0005-0000-0000-0000B8370000}"/>
    <cellStyle name="Millares 4 4 2 2 2 2" xfId="27827" xr:uid="{00000000-0005-0000-0000-0000B9370000}"/>
    <cellStyle name="Millares 4 4 2 2 2 2 2" xfId="54960" xr:uid="{00000000-0005-0000-0000-0000BA370000}"/>
    <cellStyle name="Millares 4 4 2 2 2 3" xfId="41398" xr:uid="{00000000-0005-0000-0000-0000BB370000}"/>
    <cellStyle name="Millares 4 4 2 2 3" xfId="21046" xr:uid="{00000000-0005-0000-0000-0000BC370000}"/>
    <cellStyle name="Millares 4 4 2 2 3 2" xfId="48179" xr:uid="{00000000-0005-0000-0000-0000BD370000}"/>
    <cellStyle name="Millares 4 4 2 2 4" xfId="34617" xr:uid="{00000000-0005-0000-0000-0000BE370000}"/>
    <cellStyle name="Millares 4 4 2 3" xfId="10870" xr:uid="{00000000-0005-0000-0000-0000BF370000}"/>
    <cellStyle name="Millares 4 4 2 3 2" xfId="24438" xr:uid="{00000000-0005-0000-0000-0000C0370000}"/>
    <cellStyle name="Millares 4 4 2 3 2 2" xfId="51571" xr:uid="{00000000-0005-0000-0000-0000C1370000}"/>
    <cellStyle name="Millares 4 4 2 3 3" xfId="38009" xr:uid="{00000000-0005-0000-0000-0000C2370000}"/>
    <cellStyle name="Millares 4 4 2 4" xfId="17657" xr:uid="{00000000-0005-0000-0000-0000C3370000}"/>
    <cellStyle name="Millares 4 4 2 4 2" xfId="44790" xr:uid="{00000000-0005-0000-0000-0000C4370000}"/>
    <cellStyle name="Millares 4 4 2 5" xfId="31228" xr:uid="{00000000-0005-0000-0000-0000C5370000}"/>
    <cellStyle name="Millares 4 5" xfId="2467" xr:uid="{00000000-0005-0000-0000-0000C6370000}"/>
    <cellStyle name="Millares 4 5 2" xfId="2468" xr:uid="{00000000-0005-0000-0000-0000C7370000}"/>
    <cellStyle name="Millares 4 5 2 2" xfId="7471" xr:uid="{00000000-0005-0000-0000-0000C8370000}"/>
    <cellStyle name="Millares 4 5 2 2 2" xfId="14261" xr:uid="{00000000-0005-0000-0000-0000C9370000}"/>
    <cellStyle name="Millares 4 5 2 2 2 2" xfId="27829" xr:uid="{00000000-0005-0000-0000-0000CA370000}"/>
    <cellStyle name="Millares 4 5 2 2 2 2 2" xfId="54962" xr:uid="{00000000-0005-0000-0000-0000CB370000}"/>
    <cellStyle name="Millares 4 5 2 2 2 3" xfId="41400" xr:uid="{00000000-0005-0000-0000-0000CC370000}"/>
    <cellStyle name="Millares 4 5 2 2 3" xfId="21048" xr:uid="{00000000-0005-0000-0000-0000CD370000}"/>
    <cellStyle name="Millares 4 5 2 2 3 2" xfId="48181" xr:uid="{00000000-0005-0000-0000-0000CE370000}"/>
    <cellStyle name="Millares 4 5 2 2 4" xfId="34619" xr:uid="{00000000-0005-0000-0000-0000CF370000}"/>
    <cellStyle name="Millares 4 5 2 3" xfId="10872" xr:uid="{00000000-0005-0000-0000-0000D0370000}"/>
    <cellStyle name="Millares 4 5 2 3 2" xfId="24440" xr:uid="{00000000-0005-0000-0000-0000D1370000}"/>
    <cellStyle name="Millares 4 5 2 3 2 2" xfId="51573" xr:uid="{00000000-0005-0000-0000-0000D2370000}"/>
    <cellStyle name="Millares 4 5 2 3 3" xfId="38011" xr:uid="{00000000-0005-0000-0000-0000D3370000}"/>
    <cellStyle name="Millares 4 5 2 4" xfId="17659" xr:uid="{00000000-0005-0000-0000-0000D4370000}"/>
    <cellStyle name="Millares 4 5 2 4 2" xfId="44792" xr:uid="{00000000-0005-0000-0000-0000D5370000}"/>
    <cellStyle name="Millares 4 5 2 5" xfId="31230" xr:uid="{00000000-0005-0000-0000-0000D6370000}"/>
    <cellStyle name="Millares 4 5 3" xfId="7470" xr:uid="{00000000-0005-0000-0000-0000D7370000}"/>
    <cellStyle name="Millares 4 5 3 2" xfId="14260" xr:uid="{00000000-0005-0000-0000-0000D8370000}"/>
    <cellStyle name="Millares 4 5 3 2 2" xfId="27828" xr:uid="{00000000-0005-0000-0000-0000D9370000}"/>
    <cellStyle name="Millares 4 5 3 2 2 2" xfId="54961" xr:uid="{00000000-0005-0000-0000-0000DA370000}"/>
    <cellStyle name="Millares 4 5 3 2 3" xfId="41399" xr:uid="{00000000-0005-0000-0000-0000DB370000}"/>
    <cellStyle name="Millares 4 5 3 3" xfId="21047" xr:uid="{00000000-0005-0000-0000-0000DC370000}"/>
    <cellStyle name="Millares 4 5 3 3 2" xfId="48180" xr:uid="{00000000-0005-0000-0000-0000DD370000}"/>
    <cellStyle name="Millares 4 5 3 4" xfId="34618" xr:uid="{00000000-0005-0000-0000-0000DE370000}"/>
    <cellStyle name="Millares 4 5 4" xfId="10871" xr:uid="{00000000-0005-0000-0000-0000DF370000}"/>
    <cellStyle name="Millares 4 5 4 2" xfId="24439" xr:uid="{00000000-0005-0000-0000-0000E0370000}"/>
    <cellStyle name="Millares 4 5 4 2 2" xfId="51572" xr:uid="{00000000-0005-0000-0000-0000E1370000}"/>
    <cellStyle name="Millares 4 5 4 3" xfId="38010" xr:uid="{00000000-0005-0000-0000-0000E2370000}"/>
    <cellStyle name="Millares 4 5 5" xfId="17658" xr:uid="{00000000-0005-0000-0000-0000E3370000}"/>
    <cellStyle name="Millares 4 5 5 2" xfId="44791" xr:uid="{00000000-0005-0000-0000-0000E4370000}"/>
    <cellStyle name="Millares 4 5 6" xfId="31229" xr:uid="{00000000-0005-0000-0000-0000E5370000}"/>
    <cellStyle name="Millares 4 6" xfId="2469" xr:uid="{00000000-0005-0000-0000-0000E6370000}"/>
    <cellStyle name="Millares 4 7" xfId="2470" xr:uid="{00000000-0005-0000-0000-0000E7370000}"/>
    <cellStyle name="Millares 4 8" xfId="2471" xr:uid="{00000000-0005-0000-0000-0000E8370000}"/>
    <cellStyle name="Millares 4 9" xfId="2472" xr:uid="{00000000-0005-0000-0000-0000E9370000}"/>
    <cellStyle name="Millares 40" xfId="2473" xr:uid="{00000000-0005-0000-0000-0000EA370000}"/>
    <cellStyle name="Millares 41" xfId="2474" xr:uid="{00000000-0005-0000-0000-0000EB370000}"/>
    <cellStyle name="Millares 42" xfId="2475" xr:uid="{00000000-0005-0000-0000-0000EC370000}"/>
    <cellStyle name="Millares 43" xfId="2476" xr:uid="{00000000-0005-0000-0000-0000ED370000}"/>
    <cellStyle name="Millares 5" xfId="13" xr:uid="{00000000-0005-0000-0000-0000EE370000}"/>
    <cellStyle name="Millares 5 10" xfId="4680" xr:uid="{00000000-0005-0000-0000-0000EF370000}"/>
    <cellStyle name="Millares 5 10 2" xfId="8275" xr:uid="{00000000-0005-0000-0000-0000F0370000}"/>
    <cellStyle name="Millares 5 10 2 2" xfId="15065" xr:uid="{00000000-0005-0000-0000-0000F1370000}"/>
    <cellStyle name="Millares 5 10 2 2 2" xfId="28633" xr:uid="{00000000-0005-0000-0000-0000F2370000}"/>
    <cellStyle name="Millares 5 10 2 2 2 2" xfId="55766" xr:uid="{00000000-0005-0000-0000-0000F3370000}"/>
    <cellStyle name="Millares 5 10 2 2 3" xfId="42204" xr:uid="{00000000-0005-0000-0000-0000F4370000}"/>
    <cellStyle name="Millares 5 10 2 3" xfId="21852" xr:uid="{00000000-0005-0000-0000-0000F5370000}"/>
    <cellStyle name="Millares 5 10 2 3 2" xfId="48985" xr:uid="{00000000-0005-0000-0000-0000F6370000}"/>
    <cellStyle name="Millares 5 10 2 4" xfId="35423" xr:uid="{00000000-0005-0000-0000-0000F7370000}"/>
    <cellStyle name="Millares 5 10 3" xfId="11676" xr:uid="{00000000-0005-0000-0000-0000F8370000}"/>
    <cellStyle name="Millares 5 10 3 2" xfId="25244" xr:uid="{00000000-0005-0000-0000-0000F9370000}"/>
    <cellStyle name="Millares 5 10 3 2 2" xfId="52377" xr:uid="{00000000-0005-0000-0000-0000FA370000}"/>
    <cellStyle name="Millares 5 10 3 3" xfId="38815" xr:uid="{00000000-0005-0000-0000-0000FB370000}"/>
    <cellStyle name="Millares 5 10 4" xfId="18463" xr:uid="{00000000-0005-0000-0000-0000FC370000}"/>
    <cellStyle name="Millares 5 10 4 2" xfId="45596" xr:uid="{00000000-0005-0000-0000-0000FD370000}"/>
    <cellStyle name="Millares 5 10 5" xfId="32034" xr:uid="{00000000-0005-0000-0000-0000FE370000}"/>
    <cellStyle name="Millares 5 11" xfId="4681" xr:uid="{00000000-0005-0000-0000-0000FF370000}"/>
    <cellStyle name="Millares 5 11 2" xfId="8276" xr:uid="{00000000-0005-0000-0000-000000380000}"/>
    <cellStyle name="Millares 5 11 2 2" xfId="15066" xr:uid="{00000000-0005-0000-0000-000001380000}"/>
    <cellStyle name="Millares 5 11 2 2 2" xfId="28634" xr:uid="{00000000-0005-0000-0000-000002380000}"/>
    <cellStyle name="Millares 5 11 2 2 2 2" xfId="55767" xr:uid="{00000000-0005-0000-0000-000003380000}"/>
    <cellStyle name="Millares 5 11 2 2 3" xfId="42205" xr:uid="{00000000-0005-0000-0000-000004380000}"/>
    <cellStyle name="Millares 5 11 2 3" xfId="21853" xr:uid="{00000000-0005-0000-0000-000005380000}"/>
    <cellStyle name="Millares 5 11 2 3 2" xfId="48986" xr:uid="{00000000-0005-0000-0000-000006380000}"/>
    <cellStyle name="Millares 5 11 2 4" xfId="35424" xr:uid="{00000000-0005-0000-0000-000007380000}"/>
    <cellStyle name="Millares 5 11 3" xfId="11677" xr:uid="{00000000-0005-0000-0000-000008380000}"/>
    <cellStyle name="Millares 5 11 3 2" xfId="25245" xr:uid="{00000000-0005-0000-0000-000009380000}"/>
    <cellStyle name="Millares 5 11 3 2 2" xfId="52378" xr:uid="{00000000-0005-0000-0000-00000A380000}"/>
    <cellStyle name="Millares 5 11 3 3" xfId="38816" xr:uid="{00000000-0005-0000-0000-00000B380000}"/>
    <cellStyle name="Millares 5 11 4" xfId="18464" xr:uid="{00000000-0005-0000-0000-00000C380000}"/>
    <cellStyle name="Millares 5 11 4 2" xfId="45597" xr:uid="{00000000-0005-0000-0000-00000D380000}"/>
    <cellStyle name="Millares 5 11 5" xfId="32035" xr:uid="{00000000-0005-0000-0000-00000E380000}"/>
    <cellStyle name="Millares 5 12" xfId="78" xr:uid="{00000000-0005-0000-0000-00000F380000}"/>
    <cellStyle name="Millares 5 2" xfId="146" xr:uid="{00000000-0005-0000-0000-000010380000}"/>
    <cellStyle name="Millares 5 3" xfId="147" xr:uid="{00000000-0005-0000-0000-000011380000}"/>
    <cellStyle name="Millares 5 3 2" xfId="200" xr:uid="{00000000-0005-0000-0000-000012380000}"/>
    <cellStyle name="Millares 5 3 2 2" xfId="4682" xr:uid="{00000000-0005-0000-0000-000013380000}"/>
    <cellStyle name="Millares 5 3 2 2 2" xfId="4683" xr:uid="{00000000-0005-0000-0000-000014380000}"/>
    <cellStyle name="Millares 5 3 2 2 2 2" xfId="4684" xr:uid="{00000000-0005-0000-0000-000015380000}"/>
    <cellStyle name="Millares 5 3 2 2 2 2 2" xfId="8279" xr:uid="{00000000-0005-0000-0000-000016380000}"/>
    <cellStyle name="Millares 5 3 2 2 2 2 2 2" xfId="15069" xr:uid="{00000000-0005-0000-0000-000017380000}"/>
    <cellStyle name="Millares 5 3 2 2 2 2 2 2 2" xfId="28637" xr:uid="{00000000-0005-0000-0000-000018380000}"/>
    <cellStyle name="Millares 5 3 2 2 2 2 2 2 2 2" xfId="55770" xr:uid="{00000000-0005-0000-0000-000019380000}"/>
    <cellStyle name="Millares 5 3 2 2 2 2 2 2 3" xfId="42208" xr:uid="{00000000-0005-0000-0000-00001A380000}"/>
    <cellStyle name="Millares 5 3 2 2 2 2 2 3" xfId="21856" xr:uid="{00000000-0005-0000-0000-00001B380000}"/>
    <cellStyle name="Millares 5 3 2 2 2 2 2 3 2" xfId="48989" xr:uid="{00000000-0005-0000-0000-00001C380000}"/>
    <cellStyle name="Millares 5 3 2 2 2 2 2 4" xfId="35427" xr:uid="{00000000-0005-0000-0000-00001D380000}"/>
    <cellStyle name="Millares 5 3 2 2 2 2 3" xfId="11680" xr:uid="{00000000-0005-0000-0000-00001E380000}"/>
    <cellStyle name="Millares 5 3 2 2 2 2 3 2" xfId="25248" xr:uid="{00000000-0005-0000-0000-00001F380000}"/>
    <cellStyle name="Millares 5 3 2 2 2 2 3 2 2" xfId="52381" xr:uid="{00000000-0005-0000-0000-000020380000}"/>
    <cellStyle name="Millares 5 3 2 2 2 2 3 3" xfId="38819" xr:uid="{00000000-0005-0000-0000-000021380000}"/>
    <cellStyle name="Millares 5 3 2 2 2 2 4" xfId="18467" xr:uid="{00000000-0005-0000-0000-000022380000}"/>
    <cellStyle name="Millares 5 3 2 2 2 2 4 2" xfId="45600" xr:uid="{00000000-0005-0000-0000-000023380000}"/>
    <cellStyle name="Millares 5 3 2 2 2 2 5" xfId="32038" xr:uid="{00000000-0005-0000-0000-000024380000}"/>
    <cellStyle name="Millares 5 3 2 2 2 3" xfId="4685" xr:uid="{00000000-0005-0000-0000-000025380000}"/>
    <cellStyle name="Millares 5 3 2 2 2 3 2" xfId="8280" xr:uid="{00000000-0005-0000-0000-000026380000}"/>
    <cellStyle name="Millares 5 3 2 2 2 3 2 2" xfId="15070" xr:uid="{00000000-0005-0000-0000-000027380000}"/>
    <cellStyle name="Millares 5 3 2 2 2 3 2 2 2" xfId="28638" xr:uid="{00000000-0005-0000-0000-000028380000}"/>
    <cellStyle name="Millares 5 3 2 2 2 3 2 2 2 2" xfId="55771" xr:uid="{00000000-0005-0000-0000-000029380000}"/>
    <cellStyle name="Millares 5 3 2 2 2 3 2 2 3" xfId="42209" xr:uid="{00000000-0005-0000-0000-00002A380000}"/>
    <cellStyle name="Millares 5 3 2 2 2 3 2 3" xfId="21857" xr:uid="{00000000-0005-0000-0000-00002B380000}"/>
    <cellStyle name="Millares 5 3 2 2 2 3 2 3 2" xfId="48990" xr:uid="{00000000-0005-0000-0000-00002C380000}"/>
    <cellStyle name="Millares 5 3 2 2 2 3 2 4" xfId="35428" xr:uid="{00000000-0005-0000-0000-00002D380000}"/>
    <cellStyle name="Millares 5 3 2 2 2 3 3" xfId="11681" xr:uid="{00000000-0005-0000-0000-00002E380000}"/>
    <cellStyle name="Millares 5 3 2 2 2 3 3 2" xfId="25249" xr:uid="{00000000-0005-0000-0000-00002F380000}"/>
    <cellStyle name="Millares 5 3 2 2 2 3 3 2 2" xfId="52382" xr:uid="{00000000-0005-0000-0000-000030380000}"/>
    <cellStyle name="Millares 5 3 2 2 2 3 3 3" xfId="38820" xr:uid="{00000000-0005-0000-0000-000031380000}"/>
    <cellStyle name="Millares 5 3 2 2 2 3 4" xfId="18468" xr:uid="{00000000-0005-0000-0000-000032380000}"/>
    <cellStyle name="Millares 5 3 2 2 2 3 4 2" xfId="45601" xr:uid="{00000000-0005-0000-0000-000033380000}"/>
    <cellStyle name="Millares 5 3 2 2 2 3 5" xfId="32039" xr:uid="{00000000-0005-0000-0000-000034380000}"/>
    <cellStyle name="Millares 5 3 2 2 2 4" xfId="8278" xr:uid="{00000000-0005-0000-0000-000035380000}"/>
    <cellStyle name="Millares 5 3 2 2 2 4 2" xfId="15068" xr:uid="{00000000-0005-0000-0000-000036380000}"/>
    <cellStyle name="Millares 5 3 2 2 2 4 2 2" xfId="28636" xr:uid="{00000000-0005-0000-0000-000037380000}"/>
    <cellStyle name="Millares 5 3 2 2 2 4 2 2 2" xfId="55769" xr:uid="{00000000-0005-0000-0000-000038380000}"/>
    <cellStyle name="Millares 5 3 2 2 2 4 2 3" xfId="42207" xr:uid="{00000000-0005-0000-0000-000039380000}"/>
    <cellStyle name="Millares 5 3 2 2 2 4 3" xfId="21855" xr:uid="{00000000-0005-0000-0000-00003A380000}"/>
    <cellStyle name="Millares 5 3 2 2 2 4 3 2" xfId="48988" xr:uid="{00000000-0005-0000-0000-00003B380000}"/>
    <cellStyle name="Millares 5 3 2 2 2 4 4" xfId="35426" xr:uid="{00000000-0005-0000-0000-00003C380000}"/>
    <cellStyle name="Millares 5 3 2 2 2 5" xfId="11679" xr:uid="{00000000-0005-0000-0000-00003D380000}"/>
    <cellStyle name="Millares 5 3 2 2 2 5 2" xfId="25247" xr:uid="{00000000-0005-0000-0000-00003E380000}"/>
    <cellStyle name="Millares 5 3 2 2 2 5 2 2" xfId="52380" xr:uid="{00000000-0005-0000-0000-00003F380000}"/>
    <cellStyle name="Millares 5 3 2 2 2 5 3" xfId="38818" xr:uid="{00000000-0005-0000-0000-000040380000}"/>
    <cellStyle name="Millares 5 3 2 2 2 6" xfId="18466" xr:uid="{00000000-0005-0000-0000-000041380000}"/>
    <cellStyle name="Millares 5 3 2 2 2 6 2" xfId="45599" xr:uid="{00000000-0005-0000-0000-000042380000}"/>
    <cellStyle name="Millares 5 3 2 2 2 7" xfId="32037" xr:uid="{00000000-0005-0000-0000-000043380000}"/>
    <cellStyle name="Millares 5 3 2 2 3" xfId="4686" xr:uid="{00000000-0005-0000-0000-000044380000}"/>
    <cellStyle name="Millares 5 3 2 2 3 2" xfId="4687" xr:uid="{00000000-0005-0000-0000-000045380000}"/>
    <cellStyle name="Millares 5 3 2 2 3 2 2" xfId="8282" xr:uid="{00000000-0005-0000-0000-000046380000}"/>
    <cellStyle name="Millares 5 3 2 2 3 2 2 2" xfId="15072" xr:uid="{00000000-0005-0000-0000-000047380000}"/>
    <cellStyle name="Millares 5 3 2 2 3 2 2 2 2" xfId="28640" xr:uid="{00000000-0005-0000-0000-000048380000}"/>
    <cellStyle name="Millares 5 3 2 2 3 2 2 2 2 2" xfId="55773" xr:uid="{00000000-0005-0000-0000-000049380000}"/>
    <cellStyle name="Millares 5 3 2 2 3 2 2 2 3" xfId="42211" xr:uid="{00000000-0005-0000-0000-00004A380000}"/>
    <cellStyle name="Millares 5 3 2 2 3 2 2 3" xfId="21859" xr:uid="{00000000-0005-0000-0000-00004B380000}"/>
    <cellStyle name="Millares 5 3 2 2 3 2 2 3 2" xfId="48992" xr:uid="{00000000-0005-0000-0000-00004C380000}"/>
    <cellStyle name="Millares 5 3 2 2 3 2 2 4" xfId="35430" xr:uid="{00000000-0005-0000-0000-00004D380000}"/>
    <cellStyle name="Millares 5 3 2 2 3 2 3" xfId="11683" xr:uid="{00000000-0005-0000-0000-00004E380000}"/>
    <cellStyle name="Millares 5 3 2 2 3 2 3 2" xfId="25251" xr:uid="{00000000-0005-0000-0000-00004F380000}"/>
    <cellStyle name="Millares 5 3 2 2 3 2 3 2 2" xfId="52384" xr:uid="{00000000-0005-0000-0000-000050380000}"/>
    <cellStyle name="Millares 5 3 2 2 3 2 3 3" xfId="38822" xr:uid="{00000000-0005-0000-0000-000051380000}"/>
    <cellStyle name="Millares 5 3 2 2 3 2 4" xfId="18470" xr:uid="{00000000-0005-0000-0000-000052380000}"/>
    <cellStyle name="Millares 5 3 2 2 3 2 4 2" xfId="45603" xr:uid="{00000000-0005-0000-0000-000053380000}"/>
    <cellStyle name="Millares 5 3 2 2 3 2 5" xfId="32041" xr:uid="{00000000-0005-0000-0000-000054380000}"/>
    <cellStyle name="Millares 5 3 2 2 3 3" xfId="8281" xr:uid="{00000000-0005-0000-0000-000055380000}"/>
    <cellStyle name="Millares 5 3 2 2 3 3 2" xfId="15071" xr:uid="{00000000-0005-0000-0000-000056380000}"/>
    <cellStyle name="Millares 5 3 2 2 3 3 2 2" xfId="28639" xr:uid="{00000000-0005-0000-0000-000057380000}"/>
    <cellStyle name="Millares 5 3 2 2 3 3 2 2 2" xfId="55772" xr:uid="{00000000-0005-0000-0000-000058380000}"/>
    <cellStyle name="Millares 5 3 2 2 3 3 2 3" xfId="42210" xr:uid="{00000000-0005-0000-0000-000059380000}"/>
    <cellStyle name="Millares 5 3 2 2 3 3 3" xfId="21858" xr:uid="{00000000-0005-0000-0000-00005A380000}"/>
    <cellStyle name="Millares 5 3 2 2 3 3 3 2" xfId="48991" xr:uid="{00000000-0005-0000-0000-00005B380000}"/>
    <cellStyle name="Millares 5 3 2 2 3 3 4" xfId="35429" xr:uid="{00000000-0005-0000-0000-00005C380000}"/>
    <cellStyle name="Millares 5 3 2 2 3 4" xfId="11682" xr:uid="{00000000-0005-0000-0000-00005D380000}"/>
    <cellStyle name="Millares 5 3 2 2 3 4 2" xfId="25250" xr:uid="{00000000-0005-0000-0000-00005E380000}"/>
    <cellStyle name="Millares 5 3 2 2 3 4 2 2" xfId="52383" xr:uid="{00000000-0005-0000-0000-00005F380000}"/>
    <cellStyle name="Millares 5 3 2 2 3 4 3" xfId="38821" xr:uid="{00000000-0005-0000-0000-000060380000}"/>
    <cellStyle name="Millares 5 3 2 2 3 5" xfId="18469" xr:uid="{00000000-0005-0000-0000-000061380000}"/>
    <cellStyle name="Millares 5 3 2 2 3 5 2" xfId="45602" xr:uid="{00000000-0005-0000-0000-000062380000}"/>
    <cellStyle name="Millares 5 3 2 2 3 6" xfId="32040" xr:uid="{00000000-0005-0000-0000-000063380000}"/>
    <cellStyle name="Millares 5 3 2 2 4" xfId="4688" xr:uid="{00000000-0005-0000-0000-000064380000}"/>
    <cellStyle name="Millares 5 3 2 2 4 2" xfId="8283" xr:uid="{00000000-0005-0000-0000-000065380000}"/>
    <cellStyle name="Millares 5 3 2 2 4 2 2" xfId="15073" xr:uid="{00000000-0005-0000-0000-000066380000}"/>
    <cellStyle name="Millares 5 3 2 2 4 2 2 2" xfId="28641" xr:uid="{00000000-0005-0000-0000-000067380000}"/>
    <cellStyle name="Millares 5 3 2 2 4 2 2 2 2" xfId="55774" xr:uid="{00000000-0005-0000-0000-000068380000}"/>
    <cellStyle name="Millares 5 3 2 2 4 2 2 3" xfId="42212" xr:uid="{00000000-0005-0000-0000-000069380000}"/>
    <cellStyle name="Millares 5 3 2 2 4 2 3" xfId="21860" xr:uid="{00000000-0005-0000-0000-00006A380000}"/>
    <cellStyle name="Millares 5 3 2 2 4 2 3 2" xfId="48993" xr:uid="{00000000-0005-0000-0000-00006B380000}"/>
    <cellStyle name="Millares 5 3 2 2 4 2 4" xfId="35431" xr:uid="{00000000-0005-0000-0000-00006C380000}"/>
    <cellStyle name="Millares 5 3 2 2 4 3" xfId="11684" xr:uid="{00000000-0005-0000-0000-00006D380000}"/>
    <cellStyle name="Millares 5 3 2 2 4 3 2" xfId="25252" xr:uid="{00000000-0005-0000-0000-00006E380000}"/>
    <cellStyle name="Millares 5 3 2 2 4 3 2 2" xfId="52385" xr:uid="{00000000-0005-0000-0000-00006F380000}"/>
    <cellStyle name="Millares 5 3 2 2 4 3 3" xfId="38823" xr:uid="{00000000-0005-0000-0000-000070380000}"/>
    <cellStyle name="Millares 5 3 2 2 4 4" xfId="18471" xr:uid="{00000000-0005-0000-0000-000071380000}"/>
    <cellStyle name="Millares 5 3 2 2 4 4 2" xfId="45604" xr:uid="{00000000-0005-0000-0000-000072380000}"/>
    <cellStyle name="Millares 5 3 2 2 4 5" xfId="32042" xr:uid="{00000000-0005-0000-0000-000073380000}"/>
    <cellStyle name="Millares 5 3 2 2 5" xfId="4689" xr:uid="{00000000-0005-0000-0000-000074380000}"/>
    <cellStyle name="Millares 5 3 2 2 5 2" xfId="8284" xr:uid="{00000000-0005-0000-0000-000075380000}"/>
    <cellStyle name="Millares 5 3 2 2 5 2 2" xfId="15074" xr:uid="{00000000-0005-0000-0000-000076380000}"/>
    <cellStyle name="Millares 5 3 2 2 5 2 2 2" xfId="28642" xr:uid="{00000000-0005-0000-0000-000077380000}"/>
    <cellStyle name="Millares 5 3 2 2 5 2 2 2 2" xfId="55775" xr:uid="{00000000-0005-0000-0000-000078380000}"/>
    <cellStyle name="Millares 5 3 2 2 5 2 2 3" xfId="42213" xr:uid="{00000000-0005-0000-0000-000079380000}"/>
    <cellStyle name="Millares 5 3 2 2 5 2 3" xfId="21861" xr:uid="{00000000-0005-0000-0000-00007A380000}"/>
    <cellStyle name="Millares 5 3 2 2 5 2 3 2" xfId="48994" xr:uid="{00000000-0005-0000-0000-00007B380000}"/>
    <cellStyle name="Millares 5 3 2 2 5 2 4" xfId="35432" xr:uid="{00000000-0005-0000-0000-00007C380000}"/>
    <cellStyle name="Millares 5 3 2 2 5 3" xfId="11685" xr:uid="{00000000-0005-0000-0000-00007D380000}"/>
    <cellStyle name="Millares 5 3 2 2 5 3 2" xfId="25253" xr:uid="{00000000-0005-0000-0000-00007E380000}"/>
    <cellStyle name="Millares 5 3 2 2 5 3 2 2" xfId="52386" xr:uid="{00000000-0005-0000-0000-00007F380000}"/>
    <cellStyle name="Millares 5 3 2 2 5 3 3" xfId="38824" xr:uid="{00000000-0005-0000-0000-000080380000}"/>
    <cellStyle name="Millares 5 3 2 2 5 4" xfId="18472" xr:uid="{00000000-0005-0000-0000-000081380000}"/>
    <cellStyle name="Millares 5 3 2 2 5 4 2" xfId="45605" xr:uid="{00000000-0005-0000-0000-000082380000}"/>
    <cellStyle name="Millares 5 3 2 2 5 5" xfId="32043" xr:uid="{00000000-0005-0000-0000-000083380000}"/>
    <cellStyle name="Millares 5 3 2 2 6" xfId="8277" xr:uid="{00000000-0005-0000-0000-000084380000}"/>
    <cellStyle name="Millares 5 3 2 2 6 2" xfId="15067" xr:uid="{00000000-0005-0000-0000-000085380000}"/>
    <cellStyle name="Millares 5 3 2 2 6 2 2" xfId="28635" xr:uid="{00000000-0005-0000-0000-000086380000}"/>
    <cellStyle name="Millares 5 3 2 2 6 2 2 2" xfId="55768" xr:uid="{00000000-0005-0000-0000-000087380000}"/>
    <cellStyle name="Millares 5 3 2 2 6 2 3" xfId="42206" xr:uid="{00000000-0005-0000-0000-000088380000}"/>
    <cellStyle name="Millares 5 3 2 2 6 3" xfId="21854" xr:uid="{00000000-0005-0000-0000-000089380000}"/>
    <cellStyle name="Millares 5 3 2 2 6 3 2" xfId="48987" xr:uid="{00000000-0005-0000-0000-00008A380000}"/>
    <cellStyle name="Millares 5 3 2 2 6 4" xfId="35425" xr:uid="{00000000-0005-0000-0000-00008B380000}"/>
    <cellStyle name="Millares 5 3 2 2 7" xfId="11678" xr:uid="{00000000-0005-0000-0000-00008C380000}"/>
    <cellStyle name="Millares 5 3 2 2 7 2" xfId="25246" xr:uid="{00000000-0005-0000-0000-00008D380000}"/>
    <cellStyle name="Millares 5 3 2 2 7 2 2" xfId="52379" xr:uid="{00000000-0005-0000-0000-00008E380000}"/>
    <cellStyle name="Millares 5 3 2 2 7 3" xfId="38817" xr:uid="{00000000-0005-0000-0000-00008F380000}"/>
    <cellStyle name="Millares 5 3 2 2 8" xfId="18465" xr:uid="{00000000-0005-0000-0000-000090380000}"/>
    <cellStyle name="Millares 5 3 2 2 8 2" xfId="45598" xr:uid="{00000000-0005-0000-0000-000091380000}"/>
    <cellStyle name="Millares 5 3 2 2 9" xfId="32036" xr:uid="{00000000-0005-0000-0000-000092380000}"/>
    <cellStyle name="Millares 5 3 2 3" xfId="4690" xr:uid="{00000000-0005-0000-0000-000093380000}"/>
    <cellStyle name="Millares 5 3 2 3 2" xfId="4691" xr:uid="{00000000-0005-0000-0000-000094380000}"/>
    <cellStyle name="Millares 5 3 2 3 2 2" xfId="8286" xr:uid="{00000000-0005-0000-0000-000095380000}"/>
    <cellStyle name="Millares 5 3 2 3 2 2 2" xfId="15076" xr:uid="{00000000-0005-0000-0000-000096380000}"/>
    <cellStyle name="Millares 5 3 2 3 2 2 2 2" xfId="28644" xr:uid="{00000000-0005-0000-0000-000097380000}"/>
    <cellStyle name="Millares 5 3 2 3 2 2 2 2 2" xfId="55777" xr:uid="{00000000-0005-0000-0000-000098380000}"/>
    <cellStyle name="Millares 5 3 2 3 2 2 2 3" xfId="42215" xr:uid="{00000000-0005-0000-0000-000099380000}"/>
    <cellStyle name="Millares 5 3 2 3 2 2 3" xfId="21863" xr:uid="{00000000-0005-0000-0000-00009A380000}"/>
    <cellStyle name="Millares 5 3 2 3 2 2 3 2" xfId="48996" xr:uid="{00000000-0005-0000-0000-00009B380000}"/>
    <cellStyle name="Millares 5 3 2 3 2 2 4" xfId="35434" xr:uid="{00000000-0005-0000-0000-00009C380000}"/>
    <cellStyle name="Millares 5 3 2 3 2 3" xfId="11687" xr:uid="{00000000-0005-0000-0000-00009D380000}"/>
    <cellStyle name="Millares 5 3 2 3 2 3 2" xfId="25255" xr:uid="{00000000-0005-0000-0000-00009E380000}"/>
    <cellStyle name="Millares 5 3 2 3 2 3 2 2" xfId="52388" xr:uid="{00000000-0005-0000-0000-00009F380000}"/>
    <cellStyle name="Millares 5 3 2 3 2 3 3" xfId="38826" xr:uid="{00000000-0005-0000-0000-0000A0380000}"/>
    <cellStyle name="Millares 5 3 2 3 2 4" xfId="18474" xr:uid="{00000000-0005-0000-0000-0000A1380000}"/>
    <cellStyle name="Millares 5 3 2 3 2 4 2" xfId="45607" xr:uid="{00000000-0005-0000-0000-0000A2380000}"/>
    <cellStyle name="Millares 5 3 2 3 2 5" xfId="32045" xr:uid="{00000000-0005-0000-0000-0000A3380000}"/>
    <cellStyle name="Millares 5 3 2 3 3" xfId="4692" xr:uid="{00000000-0005-0000-0000-0000A4380000}"/>
    <cellStyle name="Millares 5 3 2 3 3 2" xfId="8287" xr:uid="{00000000-0005-0000-0000-0000A5380000}"/>
    <cellStyle name="Millares 5 3 2 3 3 2 2" xfId="15077" xr:uid="{00000000-0005-0000-0000-0000A6380000}"/>
    <cellStyle name="Millares 5 3 2 3 3 2 2 2" xfId="28645" xr:uid="{00000000-0005-0000-0000-0000A7380000}"/>
    <cellStyle name="Millares 5 3 2 3 3 2 2 2 2" xfId="55778" xr:uid="{00000000-0005-0000-0000-0000A8380000}"/>
    <cellStyle name="Millares 5 3 2 3 3 2 2 3" xfId="42216" xr:uid="{00000000-0005-0000-0000-0000A9380000}"/>
    <cellStyle name="Millares 5 3 2 3 3 2 3" xfId="21864" xr:uid="{00000000-0005-0000-0000-0000AA380000}"/>
    <cellStyle name="Millares 5 3 2 3 3 2 3 2" xfId="48997" xr:uid="{00000000-0005-0000-0000-0000AB380000}"/>
    <cellStyle name="Millares 5 3 2 3 3 2 4" xfId="35435" xr:uid="{00000000-0005-0000-0000-0000AC380000}"/>
    <cellStyle name="Millares 5 3 2 3 3 3" xfId="11688" xr:uid="{00000000-0005-0000-0000-0000AD380000}"/>
    <cellStyle name="Millares 5 3 2 3 3 3 2" xfId="25256" xr:uid="{00000000-0005-0000-0000-0000AE380000}"/>
    <cellStyle name="Millares 5 3 2 3 3 3 2 2" xfId="52389" xr:uid="{00000000-0005-0000-0000-0000AF380000}"/>
    <cellStyle name="Millares 5 3 2 3 3 3 3" xfId="38827" xr:uid="{00000000-0005-0000-0000-0000B0380000}"/>
    <cellStyle name="Millares 5 3 2 3 3 4" xfId="18475" xr:uid="{00000000-0005-0000-0000-0000B1380000}"/>
    <cellStyle name="Millares 5 3 2 3 3 4 2" xfId="45608" xr:uid="{00000000-0005-0000-0000-0000B2380000}"/>
    <cellStyle name="Millares 5 3 2 3 3 5" xfId="32046" xr:uid="{00000000-0005-0000-0000-0000B3380000}"/>
    <cellStyle name="Millares 5 3 2 3 4" xfId="8285" xr:uid="{00000000-0005-0000-0000-0000B4380000}"/>
    <cellStyle name="Millares 5 3 2 3 4 2" xfId="15075" xr:uid="{00000000-0005-0000-0000-0000B5380000}"/>
    <cellStyle name="Millares 5 3 2 3 4 2 2" xfId="28643" xr:uid="{00000000-0005-0000-0000-0000B6380000}"/>
    <cellStyle name="Millares 5 3 2 3 4 2 2 2" xfId="55776" xr:uid="{00000000-0005-0000-0000-0000B7380000}"/>
    <cellStyle name="Millares 5 3 2 3 4 2 3" xfId="42214" xr:uid="{00000000-0005-0000-0000-0000B8380000}"/>
    <cellStyle name="Millares 5 3 2 3 4 3" xfId="21862" xr:uid="{00000000-0005-0000-0000-0000B9380000}"/>
    <cellStyle name="Millares 5 3 2 3 4 3 2" xfId="48995" xr:uid="{00000000-0005-0000-0000-0000BA380000}"/>
    <cellStyle name="Millares 5 3 2 3 4 4" xfId="35433" xr:uid="{00000000-0005-0000-0000-0000BB380000}"/>
    <cellStyle name="Millares 5 3 2 3 5" xfId="11686" xr:uid="{00000000-0005-0000-0000-0000BC380000}"/>
    <cellStyle name="Millares 5 3 2 3 5 2" xfId="25254" xr:uid="{00000000-0005-0000-0000-0000BD380000}"/>
    <cellStyle name="Millares 5 3 2 3 5 2 2" xfId="52387" xr:uid="{00000000-0005-0000-0000-0000BE380000}"/>
    <cellStyle name="Millares 5 3 2 3 5 3" xfId="38825" xr:uid="{00000000-0005-0000-0000-0000BF380000}"/>
    <cellStyle name="Millares 5 3 2 3 6" xfId="18473" xr:uid="{00000000-0005-0000-0000-0000C0380000}"/>
    <cellStyle name="Millares 5 3 2 3 6 2" xfId="45606" xr:uid="{00000000-0005-0000-0000-0000C1380000}"/>
    <cellStyle name="Millares 5 3 2 3 7" xfId="32044" xr:uid="{00000000-0005-0000-0000-0000C2380000}"/>
    <cellStyle name="Millares 5 3 2 4" xfId="4693" xr:uid="{00000000-0005-0000-0000-0000C3380000}"/>
    <cellStyle name="Millares 5 3 2 4 2" xfId="4694" xr:uid="{00000000-0005-0000-0000-0000C4380000}"/>
    <cellStyle name="Millares 5 3 2 4 2 2" xfId="8289" xr:uid="{00000000-0005-0000-0000-0000C5380000}"/>
    <cellStyle name="Millares 5 3 2 4 2 2 2" xfId="15079" xr:uid="{00000000-0005-0000-0000-0000C6380000}"/>
    <cellStyle name="Millares 5 3 2 4 2 2 2 2" xfId="28647" xr:uid="{00000000-0005-0000-0000-0000C7380000}"/>
    <cellStyle name="Millares 5 3 2 4 2 2 2 2 2" xfId="55780" xr:uid="{00000000-0005-0000-0000-0000C8380000}"/>
    <cellStyle name="Millares 5 3 2 4 2 2 2 3" xfId="42218" xr:uid="{00000000-0005-0000-0000-0000C9380000}"/>
    <cellStyle name="Millares 5 3 2 4 2 2 3" xfId="21866" xr:uid="{00000000-0005-0000-0000-0000CA380000}"/>
    <cellStyle name="Millares 5 3 2 4 2 2 3 2" xfId="48999" xr:uid="{00000000-0005-0000-0000-0000CB380000}"/>
    <cellStyle name="Millares 5 3 2 4 2 2 4" xfId="35437" xr:uid="{00000000-0005-0000-0000-0000CC380000}"/>
    <cellStyle name="Millares 5 3 2 4 2 3" xfId="11690" xr:uid="{00000000-0005-0000-0000-0000CD380000}"/>
    <cellStyle name="Millares 5 3 2 4 2 3 2" xfId="25258" xr:uid="{00000000-0005-0000-0000-0000CE380000}"/>
    <cellStyle name="Millares 5 3 2 4 2 3 2 2" xfId="52391" xr:uid="{00000000-0005-0000-0000-0000CF380000}"/>
    <cellStyle name="Millares 5 3 2 4 2 3 3" xfId="38829" xr:uid="{00000000-0005-0000-0000-0000D0380000}"/>
    <cellStyle name="Millares 5 3 2 4 2 4" xfId="18477" xr:uid="{00000000-0005-0000-0000-0000D1380000}"/>
    <cellStyle name="Millares 5 3 2 4 2 4 2" xfId="45610" xr:uid="{00000000-0005-0000-0000-0000D2380000}"/>
    <cellStyle name="Millares 5 3 2 4 2 5" xfId="32048" xr:uid="{00000000-0005-0000-0000-0000D3380000}"/>
    <cellStyle name="Millares 5 3 2 4 3" xfId="8288" xr:uid="{00000000-0005-0000-0000-0000D4380000}"/>
    <cellStyle name="Millares 5 3 2 4 3 2" xfId="15078" xr:uid="{00000000-0005-0000-0000-0000D5380000}"/>
    <cellStyle name="Millares 5 3 2 4 3 2 2" xfId="28646" xr:uid="{00000000-0005-0000-0000-0000D6380000}"/>
    <cellStyle name="Millares 5 3 2 4 3 2 2 2" xfId="55779" xr:uid="{00000000-0005-0000-0000-0000D7380000}"/>
    <cellStyle name="Millares 5 3 2 4 3 2 3" xfId="42217" xr:uid="{00000000-0005-0000-0000-0000D8380000}"/>
    <cellStyle name="Millares 5 3 2 4 3 3" xfId="21865" xr:uid="{00000000-0005-0000-0000-0000D9380000}"/>
    <cellStyle name="Millares 5 3 2 4 3 3 2" xfId="48998" xr:uid="{00000000-0005-0000-0000-0000DA380000}"/>
    <cellStyle name="Millares 5 3 2 4 3 4" xfId="35436" xr:uid="{00000000-0005-0000-0000-0000DB380000}"/>
    <cellStyle name="Millares 5 3 2 4 4" xfId="11689" xr:uid="{00000000-0005-0000-0000-0000DC380000}"/>
    <cellStyle name="Millares 5 3 2 4 4 2" xfId="25257" xr:uid="{00000000-0005-0000-0000-0000DD380000}"/>
    <cellStyle name="Millares 5 3 2 4 4 2 2" xfId="52390" xr:uid="{00000000-0005-0000-0000-0000DE380000}"/>
    <cellStyle name="Millares 5 3 2 4 4 3" xfId="38828" xr:uid="{00000000-0005-0000-0000-0000DF380000}"/>
    <cellStyle name="Millares 5 3 2 4 5" xfId="18476" xr:uid="{00000000-0005-0000-0000-0000E0380000}"/>
    <cellStyle name="Millares 5 3 2 4 5 2" xfId="45609" xr:uid="{00000000-0005-0000-0000-0000E1380000}"/>
    <cellStyle name="Millares 5 3 2 4 6" xfId="32047" xr:uid="{00000000-0005-0000-0000-0000E2380000}"/>
    <cellStyle name="Millares 5 3 2 5" xfId="4695" xr:uid="{00000000-0005-0000-0000-0000E3380000}"/>
    <cellStyle name="Millares 5 3 2 5 2" xfId="8290" xr:uid="{00000000-0005-0000-0000-0000E4380000}"/>
    <cellStyle name="Millares 5 3 2 5 2 2" xfId="15080" xr:uid="{00000000-0005-0000-0000-0000E5380000}"/>
    <cellStyle name="Millares 5 3 2 5 2 2 2" xfId="28648" xr:uid="{00000000-0005-0000-0000-0000E6380000}"/>
    <cellStyle name="Millares 5 3 2 5 2 2 2 2" xfId="55781" xr:uid="{00000000-0005-0000-0000-0000E7380000}"/>
    <cellStyle name="Millares 5 3 2 5 2 2 3" xfId="42219" xr:uid="{00000000-0005-0000-0000-0000E8380000}"/>
    <cellStyle name="Millares 5 3 2 5 2 3" xfId="21867" xr:uid="{00000000-0005-0000-0000-0000E9380000}"/>
    <cellStyle name="Millares 5 3 2 5 2 3 2" xfId="49000" xr:uid="{00000000-0005-0000-0000-0000EA380000}"/>
    <cellStyle name="Millares 5 3 2 5 2 4" xfId="35438" xr:uid="{00000000-0005-0000-0000-0000EB380000}"/>
    <cellStyle name="Millares 5 3 2 5 3" xfId="11691" xr:uid="{00000000-0005-0000-0000-0000EC380000}"/>
    <cellStyle name="Millares 5 3 2 5 3 2" xfId="25259" xr:uid="{00000000-0005-0000-0000-0000ED380000}"/>
    <cellStyle name="Millares 5 3 2 5 3 2 2" xfId="52392" xr:uid="{00000000-0005-0000-0000-0000EE380000}"/>
    <cellStyle name="Millares 5 3 2 5 3 3" xfId="38830" xr:uid="{00000000-0005-0000-0000-0000EF380000}"/>
    <cellStyle name="Millares 5 3 2 5 4" xfId="18478" xr:uid="{00000000-0005-0000-0000-0000F0380000}"/>
    <cellStyle name="Millares 5 3 2 5 4 2" xfId="45611" xr:uid="{00000000-0005-0000-0000-0000F1380000}"/>
    <cellStyle name="Millares 5 3 2 5 5" xfId="32049" xr:uid="{00000000-0005-0000-0000-0000F2380000}"/>
    <cellStyle name="Millares 5 3 2 6" xfId="4696" xr:uid="{00000000-0005-0000-0000-0000F3380000}"/>
    <cellStyle name="Millares 5 3 2 6 2" xfId="8291" xr:uid="{00000000-0005-0000-0000-0000F4380000}"/>
    <cellStyle name="Millares 5 3 2 6 2 2" xfId="15081" xr:uid="{00000000-0005-0000-0000-0000F5380000}"/>
    <cellStyle name="Millares 5 3 2 6 2 2 2" xfId="28649" xr:uid="{00000000-0005-0000-0000-0000F6380000}"/>
    <cellStyle name="Millares 5 3 2 6 2 2 2 2" xfId="55782" xr:uid="{00000000-0005-0000-0000-0000F7380000}"/>
    <cellStyle name="Millares 5 3 2 6 2 2 3" xfId="42220" xr:uid="{00000000-0005-0000-0000-0000F8380000}"/>
    <cellStyle name="Millares 5 3 2 6 2 3" xfId="21868" xr:uid="{00000000-0005-0000-0000-0000F9380000}"/>
    <cellStyle name="Millares 5 3 2 6 2 3 2" xfId="49001" xr:uid="{00000000-0005-0000-0000-0000FA380000}"/>
    <cellStyle name="Millares 5 3 2 6 2 4" xfId="35439" xr:uid="{00000000-0005-0000-0000-0000FB380000}"/>
    <cellStyle name="Millares 5 3 2 6 3" xfId="11692" xr:uid="{00000000-0005-0000-0000-0000FC380000}"/>
    <cellStyle name="Millares 5 3 2 6 3 2" xfId="25260" xr:uid="{00000000-0005-0000-0000-0000FD380000}"/>
    <cellStyle name="Millares 5 3 2 6 3 2 2" xfId="52393" xr:uid="{00000000-0005-0000-0000-0000FE380000}"/>
    <cellStyle name="Millares 5 3 2 6 3 3" xfId="38831" xr:uid="{00000000-0005-0000-0000-0000FF380000}"/>
    <cellStyle name="Millares 5 3 2 6 4" xfId="18479" xr:uid="{00000000-0005-0000-0000-000000390000}"/>
    <cellStyle name="Millares 5 3 2 6 4 2" xfId="45612" xr:uid="{00000000-0005-0000-0000-000001390000}"/>
    <cellStyle name="Millares 5 3 2 6 5" xfId="32050" xr:uid="{00000000-0005-0000-0000-000002390000}"/>
    <cellStyle name="Millares 5 3 3" xfId="4697" xr:uid="{00000000-0005-0000-0000-000003390000}"/>
    <cellStyle name="Millares 5 3 3 2" xfId="4698" xr:uid="{00000000-0005-0000-0000-000004390000}"/>
    <cellStyle name="Millares 5 3 3 2 2" xfId="4699" xr:uid="{00000000-0005-0000-0000-000005390000}"/>
    <cellStyle name="Millares 5 3 3 2 2 2" xfId="8294" xr:uid="{00000000-0005-0000-0000-000006390000}"/>
    <cellStyle name="Millares 5 3 3 2 2 2 2" xfId="15084" xr:uid="{00000000-0005-0000-0000-000007390000}"/>
    <cellStyle name="Millares 5 3 3 2 2 2 2 2" xfId="28652" xr:uid="{00000000-0005-0000-0000-000008390000}"/>
    <cellStyle name="Millares 5 3 3 2 2 2 2 2 2" xfId="55785" xr:uid="{00000000-0005-0000-0000-000009390000}"/>
    <cellStyle name="Millares 5 3 3 2 2 2 2 3" xfId="42223" xr:uid="{00000000-0005-0000-0000-00000A390000}"/>
    <cellStyle name="Millares 5 3 3 2 2 2 3" xfId="21871" xr:uid="{00000000-0005-0000-0000-00000B390000}"/>
    <cellStyle name="Millares 5 3 3 2 2 2 3 2" xfId="49004" xr:uid="{00000000-0005-0000-0000-00000C390000}"/>
    <cellStyle name="Millares 5 3 3 2 2 2 4" xfId="35442" xr:uid="{00000000-0005-0000-0000-00000D390000}"/>
    <cellStyle name="Millares 5 3 3 2 2 3" xfId="11695" xr:uid="{00000000-0005-0000-0000-00000E390000}"/>
    <cellStyle name="Millares 5 3 3 2 2 3 2" xfId="25263" xr:uid="{00000000-0005-0000-0000-00000F390000}"/>
    <cellStyle name="Millares 5 3 3 2 2 3 2 2" xfId="52396" xr:uid="{00000000-0005-0000-0000-000010390000}"/>
    <cellStyle name="Millares 5 3 3 2 2 3 3" xfId="38834" xr:uid="{00000000-0005-0000-0000-000011390000}"/>
    <cellStyle name="Millares 5 3 3 2 2 4" xfId="18482" xr:uid="{00000000-0005-0000-0000-000012390000}"/>
    <cellStyle name="Millares 5 3 3 2 2 4 2" xfId="45615" xr:uid="{00000000-0005-0000-0000-000013390000}"/>
    <cellStyle name="Millares 5 3 3 2 2 5" xfId="32053" xr:uid="{00000000-0005-0000-0000-000014390000}"/>
    <cellStyle name="Millares 5 3 3 2 3" xfId="4700" xr:uid="{00000000-0005-0000-0000-000015390000}"/>
    <cellStyle name="Millares 5 3 3 2 3 2" xfId="8295" xr:uid="{00000000-0005-0000-0000-000016390000}"/>
    <cellStyle name="Millares 5 3 3 2 3 2 2" xfId="15085" xr:uid="{00000000-0005-0000-0000-000017390000}"/>
    <cellStyle name="Millares 5 3 3 2 3 2 2 2" xfId="28653" xr:uid="{00000000-0005-0000-0000-000018390000}"/>
    <cellStyle name="Millares 5 3 3 2 3 2 2 2 2" xfId="55786" xr:uid="{00000000-0005-0000-0000-000019390000}"/>
    <cellStyle name="Millares 5 3 3 2 3 2 2 3" xfId="42224" xr:uid="{00000000-0005-0000-0000-00001A390000}"/>
    <cellStyle name="Millares 5 3 3 2 3 2 3" xfId="21872" xr:uid="{00000000-0005-0000-0000-00001B390000}"/>
    <cellStyle name="Millares 5 3 3 2 3 2 3 2" xfId="49005" xr:uid="{00000000-0005-0000-0000-00001C390000}"/>
    <cellStyle name="Millares 5 3 3 2 3 2 4" xfId="35443" xr:uid="{00000000-0005-0000-0000-00001D390000}"/>
    <cellStyle name="Millares 5 3 3 2 3 3" xfId="11696" xr:uid="{00000000-0005-0000-0000-00001E390000}"/>
    <cellStyle name="Millares 5 3 3 2 3 3 2" xfId="25264" xr:uid="{00000000-0005-0000-0000-00001F390000}"/>
    <cellStyle name="Millares 5 3 3 2 3 3 2 2" xfId="52397" xr:uid="{00000000-0005-0000-0000-000020390000}"/>
    <cellStyle name="Millares 5 3 3 2 3 3 3" xfId="38835" xr:uid="{00000000-0005-0000-0000-000021390000}"/>
    <cellStyle name="Millares 5 3 3 2 3 4" xfId="18483" xr:uid="{00000000-0005-0000-0000-000022390000}"/>
    <cellStyle name="Millares 5 3 3 2 3 4 2" xfId="45616" xr:uid="{00000000-0005-0000-0000-000023390000}"/>
    <cellStyle name="Millares 5 3 3 2 3 5" xfId="32054" xr:uid="{00000000-0005-0000-0000-000024390000}"/>
    <cellStyle name="Millares 5 3 3 2 4" xfId="8293" xr:uid="{00000000-0005-0000-0000-000025390000}"/>
    <cellStyle name="Millares 5 3 3 2 4 2" xfId="15083" xr:uid="{00000000-0005-0000-0000-000026390000}"/>
    <cellStyle name="Millares 5 3 3 2 4 2 2" xfId="28651" xr:uid="{00000000-0005-0000-0000-000027390000}"/>
    <cellStyle name="Millares 5 3 3 2 4 2 2 2" xfId="55784" xr:uid="{00000000-0005-0000-0000-000028390000}"/>
    <cellStyle name="Millares 5 3 3 2 4 2 3" xfId="42222" xr:uid="{00000000-0005-0000-0000-000029390000}"/>
    <cellStyle name="Millares 5 3 3 2 4 3" xfId="21870" xr:uid="{00000000-0005-0000-0000-00002A390000}"/>
    <cellStyle name="Millares 5 3 3 2 4 3 2" xfId="49003" xr:uid="{00000000-0005-0000-0000-00002B390000}"/>
    <cellStyle name="Millares 5 3 3 2 4 4" xfId="35441" xr:uid="{00000000-0005-0000-0000-00002C390000}"/>
    <cellStyle name="Millares 5 3 3 2 5" xfId="11694" xr:uid="{00000000-0005-0000-0000-00002D390000}"/>
    <cellStyle name="Millares 5 3 3 2 5 2" xfId="25262" xr:uid="{00000000-0005-0000-0000-00002E390000}"/>
    <cellStyle name="Millares 5 3 3 2 5 2 2" xfId="52395" xr:uid="{00000000-0005-0000-0000-00002F390000}"/>
    <cellStyle name="Millares 5 3 3 2 5 3" xfId="38833" xr:uid="{00000000-0005-0000-0000-000030390000}"/>
    <cellStyle name="Millares 5 3 3 2 6" xfId="18481" xr:uid="{00000000-0005-0000-0000-000031390000}"/>
    <cellStyle name="Millares 5 3 3 2 6 2" xfId="45614" xr:uid="{00000000-0005-0000-0000-000032390000}"/>
    <cellStyle name="Millares 5 3 3 2 7" xfId="32052" xr:uid="{00000000-0005-0000-0000-000033390000}"/>
    <cellStyle name="Millares 5 3 3 3" xfId="4701" xr:uid="{00000000-0005-0000-0000-000034390000}"/>
    <cellStyle name="Millares 5 3 3 3 2" xfId="4702" xr:uid="{00000000-0005-0000-0000-000035390000}"/>
    <cellStyle name="Millares 5 3 3 3 2 2" xfId="8297" xr:uid="{00000000-0005-0000-0000-000036390000}"/>
    <cellStyle name="Millares 5 3 3 3 2 2 2" xfId="15087" xr:uid="{00000000-0005-0000-0000-000037390000}"/>
    <cellStyle name="Millares 5 3 3 3 2 2 2 2" xfId="28655" xr:uid="{00000000-0005-0000-0000-000038390000}"/>
    <cellStyle name="Millares 5 3 3 3 2 2 2 2 2" xfId="55788" xr:uid="{00000000-0005-0000-0000-000039390000}"/>
    <cellStyle name="Millares 5 3 3 3 2 2 2 3" xfId="42226" xr:uid="{00000000-0005-0000-0000-00003A390000}"/>
    <cellStyle name="Millares 5 3 3 3 2 2 3" xfId="21874" xr:uid="{00000000-0005-0000-0000-00003B390000}"/>
    <cellStyle name="Millares 5 3 3 3 2 2 3 2" xfId="49007" xr:uid="{00000000-0005-0000-0000-00003C390000}"/>
    <cellStyle name="Millares 5 3 3 3 2 2 4" xfId="35445" xr:uid="{00000000-0005-0000-0000-00003D390000}"/>
    <cellStyle name="Millares 5 3 3 3 2 3" xfId="11698" xr:uid="{00000000-0005-0000-0000-00003E390000}"/>
    <cellStyle name="Millares 5 3 3 3 2 3 2" xfId="25266" xr:uid="{00000000-0005-0000-0000-00003F390000}"/>
    <cellStyle name="Millares 5 3 3 3 2 3 2 2" xfId="52399" xr:uid="{00000000-0005-0000-0000-000040390000}"/>
    <cellStyle name="Millares 5 3 3 3 2 3 3" xfId="38837" xr:uid="{00000000-0005-0000-0000-000041390000}"/>
    <cellStyle name="Millares 5 3 3 3 2 4" xfId="18485" xr:uid="{00000000-0005-0000-0000-000042390000}"/>
    <cellStyle name="Millares 5 3 3 3 2 4 2" xfId="45618" xr:uid="{00000000-0005-0000-0000-000043390000}"/>
    <cellStyle name="Millares 5 3 3 3 2 5" xfId="32056" xr:uid="{00000000-0005-0000-0000-000044390000}"/>
    <cellStyle name="Millares 5 3 3 3 3" xfId="8296" xr:uid="{00000000-0005-0000-0000-000045390000}"/>
    <cellStyle name="Millares 5 3 3 3 3 2" xfId="15086" xr:uid="{00000000-0005-0000-0000-000046390000}"/>
    <cellStyle name="Millares 5 3 3 3 3 2 2" xfId="28654" xr:uid="{00000000-0005-0000-0000-000047390000}"/>
    <cellStyle name="Millares 5 3 3 3 3 2 2 2" xfId="55787" xr:uid="{00000000-0005-0000-0000-000048390000}"/>
    <cellStyle name="Millares 5 3 3 3 3 2 3" xfId="42225" xr:uid="{00000000-0005-0000-0000-000049390000}"/>
    <cellStyle name="Millares 5 3 3 3 3 3" xfId="21873" xr:uid="{00000000-0005-0000-0000-00004A390000}"/>
    <cellStyle name="Millares 5 3 3 3 3 3 2" xfId="49006" xr:uid="{00000000-0005-0000-0000-00004B390000}"/>
    <cellStyle name="Millares 5 3 3 3 3 4" xfId="35444" xr:uid="{00000000-0005-0000-0000-00004C390000}"/>
    <cellStyle name="Millares 5 3 3 3 4" xfId="11697" xr:uid="{00000000-0005-0000-0000-00004D390000}"/>
    <cellStyle name="Millares 5 3 3 3 4 2" xfId="25265" xr:uid="{00000000-0005-0000-0000-00004E390000}"/>
    <cellStyle name="Millares 5 3 3 3 4 2 2" xfId="52398" xr:uid="{00000000-0005-0000-0000-00004F390000}"/>
    <cellStyle name="Millares 5 3 3 3 4 3" xfId="38836" xr:uid="{00000000-0005-0000-0000-000050390000}"/>
    <cellStyle name="Millares 5 3 3 3 5" xfId="18484" xr:uid="{00000000-0005-0000-0000-000051390000}"/>
    <cellStyle name="Millares 5 3 3 3 5 2" xfId="45617" xr:uid="{00000000-0005-0000-0000-000052390000}"/>
    <cellStyle name="Millares 5 3 3 3 6" xfId="32055" xr:uid="{00000000-0005-0000-0000-000053390000}"/>
    <cellStyle name="Millares 5 3 3 4" xfId="4703" xr:uid="{00000000-0005-0000-0000-000054390000}"/>
    <cellStyle name="Millares 5 3 3 4 2" xfId="8298" xr:uid="{00000000-0005-0000-0000-000055390000}"/>
    <cellStyle name="Millares 5 3 3 4 2 2" xfId="15088" xr:uid="{00000000-0005-0000-0000-000056390000}"/>
    <cellStyle name="Millares 5 3 3 4 2 2 2" xfId="28656" xr:uid="{00000000-0005-0000-0000-000057390000}"/>
    <cellStyle name="Millares 5 3 3 4 2 2 2 2" xfId="55789" xr:uid="{00000000-0005-0000-0000-000058390000}"/>
    <cellStyle name="Millares 5 3 3 4 2 2 3" xfId="42227" xr:uid="{00000000-0005-0000-0000-000059390000}"/>
    <cellStyle name="Millares 5 3 3 4 2 3" xfId="21875" xr:uid="{00000000-0005-0000-0000-00005A390000}"/>
    <cellStyle name="Millares 5 3 3 4 2 3 2" xfId="49008" xr:uid="{00000000-0005-0000-0000-00005B390000}"/>
    <cellStyle name="Millares 5 3 3 4 2 4" xfId="35446" xr:uid="{00000000-0005-0000-0000-00005C390000}"/>
    <cellStyle name="Millares 5 3 3 4 3" xfId="11699" xr:uid="{00000000-0005-0000-0000-00005D390000}"/>
    <cellStyle name="Millares 5 3 3 4 3 2" xfId="25267" xr:uid="{00000000-0005-0000-0000-00005E390000}"/>
    <cellStyle name="Millares 5 3 3 4 3 2 2" xfId="52400" xr:uid="{00000000-0005-0000-0000-00005F390000}"/>
    <cellStyle name="Millares 5 3 3 4 3 3" xfId="38838" xr:uid="{00000000-0005-0000-0000-000060390000}"/>
    <cellStyle name="Millares 5 3 3 4 4" xfId="18486" xr:uid="{00000000-0005-0000-0000-000061390000}"/>
    <cellStyle name="Millares 5 3 3 4 4 2" xfId="45619" xr:uid="{00000000-0005-0000-0000-000062390000}"/>
    <cellStyle name="Millares 5 3 3 4 5" xfId="32057" xr:uid="{00000000-0005-0000-0000-000063390000}"/>
    <cellStyle name="Millares 5 3 3 5" xfId="4704" xr:uid="{00000000-0005-0000-0000-000064390000}"/>
    <cellStyle name="Millares 5 3 3 5 2" xfId="8299" xr:uid="{00000000-0005-0000-0000-000065390000}"/>
    <cellStyle name="Millares 5 3 3 5 2 2" xfId="15089" xr:uid="{00000000-0005-0000-0000-000066390000}"/>
    <cellStyle name="Millares 5 3 3 5 2 2 2" xfId="28657" xr:uid="{00000000-0005-0000-0000-000067390000}"/>
    <cellStyle name="Millares 5 3 3 5 2 2 2 2" xfId="55790" xr:uid="{00000000-0005-0000-0000-000068390000}"/>
    <cellStyle name="Millares 5 3 3 5 2 2 3" xfId="42228" xr:uid="{00000000-0005-0000-0000-000069390000}"/>
    <cellStyle name="Millares 5 3 3 5 2 3" xfId="21876" xr:uid="{00000000-0005-0000-0000-00006A390000}"/>
    <cellStyle name="Millares 5 3 3 5 2 3 2" xfId="49009" xr:uid="{00000000-0005-0000-0000-00006B390000}"/>
    <cellStyle name="Millares 5 3 3 5 2 4" xfId="35447" xr:uid="{00000000-0005-0000-0000-00006C390000}"/>
    <cellStyle name="Millares 5 3 3 5 3" xfId="11700" xr:uid="{00000000-0005-0000-0000-00006D390000}"/>
    <cellStyle name="Millares 5 3 3 5 3 2" xfId="25268" xr:uid="{00000000-0005-0000-0000-00006E390000}"/>
    <cellStyle name="Millares 5 3 3 5 3 2 2" xfId="52401" xr:uid="{00000000-0005-0000-0000-00006F390000}"/>
    <cellStyle name="Millares 5 3 3 5 3 3" xfId="38839" xr:uid="{00000000-0005-0000-0000-000070390000}"/>
    <cellStyle name="Millares 5 3 3 5 4" xfId="18487" xr:uid="{00000000-0005-0000-0000-000071390000}"/>
    <cellStyle name="Millares 5 3 3 5 4 2" xfId="45620" xr:uid="{00000000-0005-0000-0000-000072390000}"/>
    <cellStyle name="Millares 5 3 3 5 5" xfId="32058" xr:uid="{00000000-0005-0000-0000-000073390000}"/>
    <cellStyle name="Millares 5 3 3 6" xfId="8292" xr:uid="{00000000-0005-0000-0000-000074390000}"/>
    <cellStyle name="Millares 5 3 3 6 2" xfId="15082" xr:uid="{00000000-0005-0000-0000-000075390000}"/>
    <cellStyle name="Millares 5 3 3 6 2 2" xfId="28650" xr:uid="{00000000-0005-0000-0000-000076390000}"/>
    <cellStyle name="Millares 5 3 3 6 2 2 2" xfId="55783" xr:uid="{00000000-0005-0000-0000-000077390000}"/>
    <cellStyle name="Millares 5 3 3 6 2 3" xfId="42221" xr:uid="{00000000-0005-0000-0000-000078390000}"/>
    <cellStyle name="Millares 5 3 3 6 3" xfId="21869" xr:uid="{00000000-0005-0000-0000-000079390000}"/>
    <cellStyle name="Millares 5 3 3 6 3 2" xfId="49002" xr:uid="{00000000-0005-0000-0000-00007A390000}"/>
    <cellStyle name="Millares 5 3 3 6 4" xfId="35440" xr:uid="{00000000-0005-0000-0000-00007B390000}"/>
    <cellStyle name="Millares 5 3 3 7" xfId="11693" xr:uid="{00000000-0005-0000-0000-00007C390000}"/>
    <cellStyle name="Millares 5 3 3 7 2" xfId="25261" xr:uid="{00000000-0005-0000-0000-00007D390000}"/>
    <cellStyle name="Millares 5 3 3 7 2 2" xfId="52394" xr:uid="{00000000-0005-0000-0000-00007E390000}"/>
    <cellStyle name="Millares 5 3 3 7 3" xfId="38832" xr:uid="{00000000-0005-0000-0000-00007F390000}"/>
    <cellStyle name="Millares 5 3 3 8" xfId="18480" xr:uid="{00000000-0005-0000-0000-000080390000}"/>
    <cellStyle name="Millares 5 3 3 8 2" xfId="45613" xr:uid="{00000000-0005-0000-0000-000081390000}"/>
    <cellStyle name="Millares 5 3 3 9" xfId="32051" xr:uid="{00000000-0005-0000-0000-000082390000}"/>
    <cellStyle name="Millares 5 3 4" xfId="4705" xr:uid="{00000000-0005-0000-0000-000083390000}"/>
    <cellStyle name="Millares 5 3 4 2" xfId="4706" xr:uid="{00000000-0005-0000-0000-000084390000}"/>
    <cellStyle name="Millares 5 3 4 2 2" xfId="4707" xr:uid="{00000000-0005-0000-0000-000085390000}"/>
    <cellStyle name="Millares 5 3 4 2 2 2" xfId="8302" xr:uid="{00000000-0005-0000-0000-000086390000}"/>
    <cellStyle name="Millares 5 3 4 2 2 2 2" xfId="15092" xr:uid="{00000000-0005-0000-0000-000087390000}"/>
    <cellStyle name="Millares 5 3 4 2 2 2 2 2" xfId="28660" xr:uid="{00000000-0005-0000-0000-000088390000}"/>
    <cellStyle name="Millares 5 3 4 2 2 2 2 2 2" xfId="55793" xr:uid="{00000000-0005-0000-0000-000089390000}"/>
    <cellStyle name="Millares 5 3 4 2 2 2 2 3" xfId="42231" xr:uid="{00000000-0005-0000-0000-00008A390000}"/>
    <cellStyle name="Millares 5 3 4 2 2 2 3" xfId="21879" xr:uid="{00000000-0005-0000-0000-00008B390000}"/>
    <cellStyle name="Millares 5 3 4 2 2 2 3 2" xfId="49012" xr:uid="{00000000-0005-0000-0000-00008C390000}"/>
    <cellStyle name="Millares 5 3 4 2 2 2 4" xfId="35450" xr:uid="{00000000-0005-0000-0000-00008D390000}"/>
    <cellStyle name="Millares 5 3 4 2 2 3" xfId="11703" xr:uid="{00000000-0005-0000-0000-00008E390000}"/>
    <cellStyle name="Millares 5 3 4 2 2 3 2" xfId="25271" xr:uid="{00000000-0005-0000-0000-00008F390000}"/>
    <cellStyle name="Millares 5 3 4 2 2 3 2 2" xfId="52404" xr:uid="{00000000-0005-0000-0000-000090390000}"/>
    <cellStyle name="Millares 5 3 4 2 2 3 3" xfId="38842" xr:uid="{00000000-0005-0000-0000-000091390000}"/>
    <cellStyle name="Millares 5 3 4 2 2 4" xfId="18490" xr:uid="{00000000-0005-0000-0000-000092390000}"/>
    <cellStyle name="Millares 5 3 4 2 2 4 2" xfId="45623" xr:uid="{00000000-0005-0000-0000-000093390000}"/>
    <cellStyle name="Millares 5 3 4 2 2 5" xfId="32061" xr:uid="{00000000-0005-0000-0000-000094390000}"/>
    <cellStyle name="Millares 5 3 4 2 3" xfId="4708" xr:uid="{00000000-0005-0000-0000-000095390000}"/>
    <cellStyle name="Millares 5 3 4 2 3 2" xfId="8303" xr:uid="{00000000-0005-0000-0000-000096390000}"/>
    <cellStyle name="Millares 5 3 4 2 3 2 2" xfId="15093" xr:uid="{00000000-0005-0000-0000-000097390000}"/>
    <cellStyle name="Millares 5 3 4 2 3 2 2 2" xfId="28661" xr:uid="{00000000-0005-0000-0000-000098390000}"/>
    <cellStyle name="Millares 5 3 4 2 3 2 2 2 2" xfId="55794" xr:uid="{00000000-0005-0000-0000-000099390000}"/>
    <cellStyle name="Millares 5 3 4 2 3 2 2 3" xfId="42232" xr:uid="{00000000-0005-0000-0000-00009A390000}"/>
    <cellStyle name="Millares 5 3 4 2 3 2 3" xfId="21880" xr:uid="{00000000-0005-0000-0000-00009B390000}"/>
    <cellStyle name="Millares 5 3 4 2 3 2 3 2" xfId="49013" xr:uid="{00000000-0005-0000-0000-00009C390000}"/>
    <cellStyle name="Millares 5 3 4 2 3 2 4" xfId="35451" xr:uid="{00000000-0005-0000-0000-00009D390000}"/>
    <cellStyle name="Millares 5 3 4 2 3 3" xfId="11704" xr:uid="{00000000-0005-0000-0000-00009E390000}"/>
    <cellStyle name="Millares 5 3 4 2 3 3 2" xfId="25272" xr:uid="{00000000-0005-0000-0000-00009F390000}"/>
    <cellStyle name="Millares 5 3 4 2 3 3 2 2" xfId="52405" xr:uid="{00000000-0005-0000-0000-0000A0390000}"/>
    <cellStyle name="Millares 5 3 4 2 3 3 3" xfId="38843" xr:uid="{00000000-0005-0000-0000-0000A1390000}"/>
    <cellStyle name="Millares 5 3 4 2 3 4" xfId="18491" xr:uid="{00000000-0005-0000-0000-0000A2390000}"/>
    <cellStyle name="Millares 5 3 4 2 3 4 2" xfId="45624" xr:uid="{00000000-0005-0000-0000-0000A3390000}"/>
    <cellStyle name="Millares 5 3 4 2 3 5" xfId="32062" xr:uid="{00000000-0005-0000-0000-0000A4390000}"/>
    <cellStyle name="Millares 5 3 4 2 4" xfId="8301" xr:uid="{00000000-0005-0000-0000-0000A5390000}"/>
    <cellStyle name="Millares 5 3 4 2 4 2" xfId="15091" xr:uid="{00000000-0005-0000-0000-0000A6390000}"/>
    <cellStyle name="Millares 5 3 4 2 4 2 2" xfId="28659" xr:uid="{00000000-0005-0000-0000-0000A7390000}"/>
    <cellStyle name="Millares 5 3 4 2 4 2 2 2" xfId="55792" xr:uid="{00000000-0005-0000-0000-0000A8390000}"/>
    <cellStyle name="Millares 5 3 4 2 4 2 3" xfId="42230" xr:uid="{00000000-0005-0000-0000-0000A9390000}"/>
    <cellStyle name="Millares 5 3 4 2 4 3" xfId="21878" xr:uid="{00000000-0005-0000-0000-0000AA390000}"/>
    <cellStyle name="Millares 5 3 4 2 4 3 2" xfId="49011" xr:uid="{00000000-0005-0000-0000-0000AB390000}"/>
    <cellStyle name="Millares 5 3 4 2 4 4" xfId="35449" xr:uid="{00000000-0005-0000-0000-0000AC390000}"/>
    <cellStyle name="Millares 5 3 4 2 5" xfId="11702" xr:uid="{00000000-0005-0000-0000-0000AD390000}"/>
    <cellStyle name="Millares 5 3 4 2 5 2" xfId="25270" xr:uid="{00000000-0005-0000-0000-0000AE390000}"/>
    <cellStyle name="Millares 5 3 4 2 5 2 2" xfId="52403" xr:uid="{00000000-0005-0000-0000-0000AF390000}"/>
    <cellStyle name="Millares 5 3 4 2 5 3" xfId="38841" xr:uid="{00000000-0005-0000-0000-0000B0390000}"/>
    <cellStyle name="Millares 5 3 4 2 6" xfId="18489" xr:uid="{00000000-0005-0000-0000-0000B1390000}"/>
    <cellStyle name="Millares 5 3 4 2 6 2" xfId="45622" xr:uid="{00000000-0005-0000-0000-0000B2390000}"/>
    <cellStyle name="Millares 5 3 4 2 7" xfId="32060" xr:uid="{00000000-0005-0000-0000-0000B3390000}"/>
    <cellStyle name="Millares 5 3 4 3" xfId="4709" xr:uid="{00000000-0005-0000-0000-0000B4390000}"/>
    <cellStyle name="Millares 5 3 4 3 2" xfId="8304" xr:uid="{00000000-0005-0000-0000-0000B5390000}"/>
    <cellStyle name="Millares 5 3 4 3 2 2" xfId="15094" xr:uid="{00000000-0005-0000-0000-0000B6390000}"/>
    <cellStyle name="Millares 5 3 4 3 2 2 2" xfId="28662" xr:uid="{00000000-0005-0000-0000-0000B7390000}"/>
    <cellStyle name="Millares 5 3 4 3 2 2 2 2" xfId="55795" xr:uid="{00000000-0005-0000-0000-0000B8390000}"/>
    <cellStyle name="Millares 5 3 4 3 2 2 3" xfId="42233" xr:uid="{00000000-0005-0000-0000-0000B9390000}"/>
    <cellStyle name="Millares 5 3 4 3 2 3" xfId="21881" xr:uid="{00000000-0005-0000-0000-0000BA390000}"/>
    <cellStyle name="Millares 5 3 4 3 2 3 2" xfId="49014" xr:uid="{00000000-0005-0000-0000-0000BB390000}"/>
    <cellStyle name="Millares 5 3 4 3 2 4" xfId="35452" xr:uid="{00000000-0005-0000-0000-0000BC390000}"/>
    <cellStyle name="Millares 5 3 4 3 3" xfId="11705" xr:uid="{00000000-0005-0000-0000-0000BD390000}"/>
    <cellStyle name="Millares 5 3 4 3 3 2" xfId="25273" xr:uid="{00000000-0005-0000-0000-0000BE390000}"/>
    <cellStyle name="Millares 5 3 4 3 3 2 2" xfId="52406" xr:uid="{00000000-0005-0000-0000-0000BF390000}"/>
    <cellStyle name="Millares 5 3 4 3 3 3" xfId="38844" xr:uid="{00000000-0005-0000-0000-0000C0390000}"/>
    <cellStyle name="Millares 5 3 4 3 4" xfId="18492" xr:uid="{00000000-0005-0000-0000-0000C1390000}"/>
    <cellStyle name="Millares 5 3 4 3 4 2" xfId="45625" xr:uid="{00000000-0005-0000-0000-0000C2390000}"/>
    <cellStyle name="Millares 5 3 4 3 5" xfId="32063" xr:uid="{00000000-0005-0000-0000-0000C3390000}"/>
    <cellStyle name="Millares 5 3 4 4" xfId="4710" xr:uid="{00000000-0005-0000-0000-0000C4390000}"/>
    <cellStyle name="Millares 5 3 4 4 2" xfId="8305" xr:uid="{00000000-0005-0000-0000-0000C5390000}"/>
    <cellStyle name="Millares 5 3 4 4 2 2" xfId="15095" xr:uid="{00000000-0005-0000-0000-0000C6390000}"/>
    <cellStyle name="Millares 5 3 4 4 2 2 2" xfId="28663" xr:uid="{00000000-0005-0000-0000-0000C7390000}"/>
    <cellStyle name="Millares 5 3 4 4 2 2 2 2" xfId="55796" xr:uid="{00000000-0005-0000-0000-0000C8390000}"/>
    <cellStyle name="Millares 5 3 4 4 2 2 3" xfId="42234" xr:uid="{00000000-0005-0000-0000-0000C9390000}"/>
    <cellStyle name="Millares 5 3 4 4 2 3" xfId="21882" xr:uid="{00000000-0005-0000-0000-0000CA390000}"/>
    <cellStyle name="Millares 5 3 4 4 2 3 2" xfId="49015" xr:uid="{00000000-0005-0000-0000-0000CB390000}"/>
    <cellStyle name="Millares 5 3 4 4 2 4" xfId="35453" xr:uid="{00000000-0005-0000-0000-0000CC390000}"/>
    <cellStyle name="Millares 5 3 4 4 3" xfId="11706" xr:uid="{00000000-0005-0000-0000-0000CD390000}"/>
    <cellStyle name="Millares 5 3 4 4 3 2" xfId="25274" xr:uid="{00000000-0005-0000-0000-0000CE390000}"/>
    <cellStyle name="Millares 5 3 4 4 3 2 2" xfId="52407" xr:uid="{00000000-0005-0000-0000-0000CF390000}"/>
    <cellStyle name="Millares 5 3 4 4 3 3" xfId="38845" xr:uid="{00000000-0005-0000-0000-0000D0390000}"/>
    <cellStyle name="Millares 5 3 4 4 4" xfId="18493" xr:uid="{00000000-0005-0000-0000-0000D1390000}"/>
    <cellStyle name="Millares 5 3 4 4 4 2" xfId="45626" xr:uid="{00000000-0005-0000-0000-0000D2390000}"/>
    <cellStyle name="Millares 5 3 4 4 5" xfId="32064" xr:uid="{00000000-0005-0000-0000-0000D3390000}"/>
    <cellStyle name="Millares 5 3 4 5" xfId="8300" xr:uid="{00000000-0005-0000-0000-0000D4390000}"/>
    <cellStyle name="Millares 5 3 4 5 2" xfId="15090" xr:uid="{00000000-0005-0000-0000-0000D5390000}"/>
    <cellStyle name="Millares 5 3 4 5 2 2" xfId="28658" xr:uid="{00000000-0005-0000-0000-0000D6390000}"/>
    <cellStyle name="Millares 5 3 4 5 2 2 2" xfId="55791" xr:uid="{00000000-0005-0000-0000-0000D7390000}"/>
    <cellStyle name="Millares 5 3 4 5 2 3" xfId="42229" xr:uid="{00000000-0005-0000-0000-0000D8390000}"/>
    <cellStyle name="Millares 5 3 4 5 3" xfId="21877" xr:uid="{00000000-0005-0000-0000-0000D9390000}"/>
    <cellStyle name="Millares 5 3 4 5 3 2" xfId="49010" xr:uid="{00000000-0005-0000-0000-0000DA390000}"/>
    <cellStyle name="Millares 5 3 4 5 4" xfId="35448" xr:uid="{00000000-0005-0000-0000-0000DB390000}"/>
    <cellStyle name="Millares 5 3 4 6" xfId="11701" xr:uid="{00000000-0005-0000-0000-0000DC390000}"/>
    <cellStyle name="Millares 5 3 4 6 2" xfId="25269" xr:uid="{00000000-0005-0000-0000-0000DD390000}"/>
    <cellStyle name="Millares 5 3 4 6 2 2" xfId="52402" xr:uid="{00000000-0005-0000-0000-0000DE390000}"/>
    <cellStyle name="Millares 5 3 4 6 3" xfId="38840" xr:uid="{00000000-0005-0000-0000-0000DF390000}"/>
    <cellStyle name="Millares 5 3 4 7" xfId="18488" xr:uid="{00000000-0005-0000-0000-0000E0390000}"/>
    <cellStyle name="Millares 5 3 4 7 2" xfId="45621" xr:uid="{00000000-0005-0000-0000-0000E1390000}"/>
    <cellStyle name="Millares 5 3 4 8" xfId="32059" xr:uid="{00000000-0005-0000-0000-0000E2390000}"/>
    <cellStyle name="Millares 5 3 5" xfId="4711" xr:uid="{00000000-0005-0000-0000-0000E3390000}"/>
    <cellStyle name="Millares 5 3 5 2" xfId="4712" xr:uid="{00000000-0005-0000-0000-0000E4390000}"/>
    <cellStyle name="Millares 5 3 5 2 2" xfId="4713" xr:uid="{00000000-0005-0000-0000-0000E5390000}"/>
    <cellStyle name="Millares 5 3 5 2 2 2" xfId="8308" xr:uid="{00000000-0005-0000-0000-0000E6390000}"/>
    <cellStyle name="Millares 5 3 5 2 2 2 2" xfId="15098" xr:uid="{00000000-0005-0000-0000-0000E7390000}"/>
    <cellStyle name="Millares 5 3 5 2 2 2 2 2" xfId="28666" xr:uid="{00000000-0005-0000-0000-0000E8390000}"/>
    <cellStyle name="Millares 5 3 5 2 2 2 2 2 2" xfId="55799" xr:uid="{00000000-0005-0000-0000-0000E9390000}"/>
    <cellStyle name="Millares 5 3 5 2 2 2 2 3" xfId="42237" xr:uid="{00000000-0005-0000-0000-0000EA390000}"/>
    <cellStyle name="Millares 5 3 5 2 2 2 3" xfId="21885" xr:uid="{00000000-0005-0000-0000-0000EB390000}"/>
    <cellStyle name="Millares 5 3 5 2 2 2 3 2" xfId="49018" xr:uid="{00000000-0005-0000-0000-0000EC390000}"/>
    <cellStyle name="Millares 5 3 5 2 2 2 4" xfId="35456" xr:uid="{00000000-0005-0000-0000-0000ED390000}"/>
    <cellStyle name="Millares 5 3 5 2 2 3" xfId="11709" xr:uid="{00000000-0005-0000-0000-0000EE390000}"/>
    <cellStyle name="Millares 5 3 5 2 2 3 2" xfId="25277" xr:uid="{00000000-0005-0000-0000-0000EF390000}"/>
    <cellStyle name="Millares 5 3 5 2 2 3 2 2" xfId="52410" xr:uid="{00000000-0005-0000-0000-0000F0390000}"/>
    <cellStyle name="Millares 5 3 5 2 2 3 3" xfId="38848" xr:uid="{00000000-0005-0000-0000-0000F1390000}"/>
    <cellStyle name="Millares 5 3 5 2 2 4" xfId="18496" xr:uid="{00000000-0005-0000-0000-0000F2390000}"/>
    <cellStyle name="Millares 5 3 5 2 2 4 2" xfId="45629" xr:uid="{00000000-0005-0000-0000-0000F3390000}"/>
    <cellStyle name="Millares 5 3 5 2 2 5" xfId="32067" xr:uid="{00000000-0005-0000-0000-0000F4390000}"/>
    <cellStyle name="Millares 5 3 5 2 3" xfId="4714" xr:uid="{00000000-0005-0000-0000-0000F5390000}"/>
    <cellStyle name="Millares 5 3 5 2 3 2" xfId="8309" xr:uid="{00000000-0005-0000-0000-0000F6390000}"/>
    <cellStyle name="Millares 5 3 5 2 3 2 2" xfId="15099" xr:uid="{00000000-0005-0000-0000-0000F7390000}"/>
    <cellStyle name="Millares 5 3 5 2 3 2 2 2" xfId="28667" xr:uid="{00000000-0005-0000-0000-0000F8390000}"/>
    <cellStyle name="Millares 5 3 5 2 3 2 2 2 2" xfId="55800" xr:uid="{00000000-0005-0000-0000-0000F9390000}"/>
    <cellStyle name="Millares 5 3 5 2 3 2 2 3" xfId="42238" xr:uid="{00000000-0005-0000-0000-0000FA390000}"/>
    <cellStyle name="Millares 5 3 5 2 3 2 3" xfId="21886" xr:uid="{00000000-0005-0000-0000-0000FB390000}"/>
    <cellStyle name="Millares 5 3 5 2 3 2 3 2" xfId="49019" xr:uid="{00000000-0005-0000-0000-0000FC390000}"/>
    <cellStyle name="Millares 5 3 5 2 3 2 4" xfId="35457" xr:uid="{00000000-0005-0000-0000-0000FD390000}"/>
    <cellStyle name="Millares 5 3 5 2 3 3" xfId="11710" xr:uid="{00000000-0005-0000-0000-0000FE390000}"/>
    <cellStyle name="Millares 5 3 5 2 3 3 2" xfId="25278" xr:uid="{00000000-0005-0000-0000-0000FF390000}"/>
    <cellStyle name="Millares 5 3 5 2 3 3 2 2" xfId="52411" xr:uid="{00000000-0005-0000-0000-0000003A0000}"/>
    <cellStyle name="Millares 5 3 5 2 3 3 3" xfId="38849" xr:uid="{00000000-0005-0000-0000-0000013A0000}"/>
    <cellStyle name="Millares 5 3 5 2 3 4" xfId="18497" xr:uid="{00000000-0005-0000-0000-0000023A0000}"/>
    <cellStyle name="Millares 5 3 5 2 3 4 2" xfId="45630" xr:uid="{00000000-0005-0000-0000-0000033A0000}"/>
    <cellStyle name="Millares 5 3 5 2 3 5" xfId="32068" xr:uid="{00000000-0005-0000-0000-0000043A0000}"/>
    <cellStyle name="Millares 5 3 5 2 4" xfId="8307" xr:uid="{00000000-0005-0000-0000-0000053A0000}"/>
    <cellStyle name="Millares 5 3 5 2 4 2" xfId="15097" xr:uid="{00000000-0005-0000-0000-0000063A0000}"/>
    <cellStyle name="Millares 5 3 5 2 4 2 2" xfId="28665" xr:uid="{00000000-0005-0000-0000-0000073A0000}"/>
    <cellStyle name="Millares 5 3 5 2 4 2 2 2" xfId="55798" xr:uid="{00000000-0005-0000-0000-0000083A0000}"/>
    <cellStyle name="Millares 5 3 5 2 4 2 3" xfId="42236" xr:uid="{00000000-0005-0000-0000-0000093A0000}"/>
    <cellStyle name="Millares 5 3 5 2 4 3" xfId="21884" xr:uid="{00000000-0005-0000-0000-00000A3A0000}"/>
    <cellStyle name="Millares 5 3 5 2 4 3 2" xfId="49017" xr:uid="{00000000-0005-0000-0000-00000B3A0000}"/>
    <cellStyle name="Millares 5 3 5 2 4 4" xfId="35455" xr:uid="{00000000-0005-0000-0000-00000C3A0000}"/>
    <cellStyle name="Millares 5 3 5 2 5" xfId="11708" xr:uid="{00000000-0005-0000-0000-00000D3A0000}"/>
    <cellStyle name="Millares 5 3 5 2 5 2" xfId="25276" xr:uid="{00000000-0005-0000-0000-00000E3A0000}"/>
    <cellStyle name="Millares 5 3 5 2 5 2 2" xfId="52409" xr:uid="{00000000-0005-0000-0000-00000F3A0000}"/>
    <cellStyle name="Millares 5 3 5 2 5 3" xfId="38847" xr:uid="{00000000-0005-0000-0000-0000103A0000}"/>
    <cellStyle name="Millares 5 3 5 2 6" xfId="18495" xr:uid="{00000000-0005-0000-0000-0000113A0000}"/>
    <cellStyle name="Millares 5 3 5 2 6 2" xfId="45628" xr:uid="{00000000-0005-0000-0000-0000123A0000}"/>
    <cellStyle name="Millares 5 3 5 2 7" xfId="32066" xr:uid="{00000000-0005-0000-0000-0000133A0000}"/>
    <cellStyle name="Millares 5 3 5 3" xfId="4715" xr:uid="{00000000-0005-0000-0000-0000143A0000}"/>
    <cellStyle name="Millares 5 3 5 3 2" xfId="8310" xr:uid="{00000000-0005-0000-0000-0000153A0000}"/>
    <cellStyle name="Millares 5 3 5 3 2 2" xfId="15100" xr:uid="{00000000-0005-0000-0000-0000163A0000}"/>
    <cellStyle name="Millares 5 3 5 3 2 2 2" xfId="28668" xr:uid="{00000000-0005-0000-0000-0000173A0000}"/>
    <cellStyle name="Millares 5 3 5 3 2 2 2 2" xfId="55801" xr:uid="{00000000-0005-0000-0000-0000183A0000}"/>
    <cellStyle name="Millares 5 3 5 3 2 2 3" xfId="42239" xr:uid="{00000000-0005-0000-0000-0000193A0000}"/>
    <cellStyle name="Millares 5 3 5 3 2 3" xfId="21887" xr:uid="{00000000-0005-0000-0000-00001A3A0000}"/>
    <cellStyle name="Millares 5 3 5 3 2 3 2" xfId="49020" xr:uid="{00000000-0005-0000-0000-00001B3A0000}"/>
    <cellStyle name="Millares 5 3 5 3 2 4" xfId="35458" xr:uid="{00000000-0005-0000-0000-00001C3A0000}"/>
    <cellStyle name="Millares 5 3 5 3 3" xfId="11711" xr:uid="{00000000-0005-0000-0000-00001D3A0000}"/>
    <cellStyle name="Millares 5 3 5 3 3 2" xfId="25279" xr:uid="{00000000-0005-0000-0000-00001E3A0000}"/>
    <cellStyle name="Millares 5 3 5 3 3 2 2" xfId="52412" xr:uid="{00000000-0005-0000-0000-00001F3A0000}"/>
    <cellStyle name="Millares 5 3 5 3 3 3" xfId="38850" xr:uid="{00000000-0005-0000-0000-0000203A0000}"/>
    <cellStyle name="Millares 5 3 5 3 4" xfId="18498" xr:uid="{00000000-0005-0000-0000-0000213A0000}"/>
    <cellStyle name="Millares 5 3 5 3 4 2" xfId="45631" xr:uid="{00000000-0005-0000-0000-0000223A0000}"/>
    <cellStyle name="Millares 5 3 5 3 5" xfId="32069" xr:uid="{00000000-0005-0000-0000-0000233A0000}"/>
    <cellStyle name="Millares 5 3 5 4" xfId="4716" xr:uid="{00000000-0005-0000-0000-0000243A0000}"/>
    <cellStyle name="Millares 5 3 5 4 2" xfId="8311" xr:uid="{00000000-0005-0000-0000-0000253A0000}"/>
    <cellStyle name="Millares 5 3 5 4 2 2" xfId="15101" xr:uid="{00000000-0005-0000-0000-0000263A0000}"/>
    <cellStyle name="Millares 5 3 5 4 2 2 2" xfId="28669" xr:uid="{00000000-0005-0000-0000-0000273A0000}"/>
    <cellStyle name="Millares 5 3 5 4 2 2 2 2" xfId="55802" xr:uid="{00000000-0005-0000-0000-0000283A0000}"/>
    <cellStyle name="Millares 5 3 5 4 2 2 3" xfId="42240" xr:uid="{00000000-0005-0000-0000-0000293A0000}"/>
    <cellStyle name="Millares 5 3 5 4 2 3" xfId="21888" xr:uid="{00000000-0005-0000-0000-00002A3A0000}"/>
    <cellStyle name="Millares 5 3 5 4 2 3 2" xfId="49021" xr:uid="{00000000-0005-0000-0000-00002B3A0000}"/>
    <cellStyle name="Millares 5 3 5 4 2 4" xfId="35459" xr:uid="{00000000-0005-0000-0000-00002C3A0000}"/>
    <cellStyle name="Millares 5 3 5 4 3" xfId="11712" xr:uid="{00000000-0005-0000-0000-00002D3A0000}"/>
    <cellStyle name="Millares 5 3 5 4 3 2" xfId="25280" xr:uid="{00000000-0005-0000-0000-00002E3A0000}"/>
    <cellStyle name="Millares 5 3 5 4 3 2 2" xfId="52413" xr:uid="{00000000-0005-0000-0000-00002F3A0000}"/>
    <cellStyle name="Millares 5 3 5 4 3 3" xfId="38851" xr:uid="{00000000-0005-0000-0000-0000303A0000}"/>
    <cellStyle name="Millares 5 3 5 4 4" xfId="18499" xr:uid="{00000000-0005-0000-0000-0000313A0000}"/>
    <cellStyle name="Millares 5 3 5 4 4 2" xfId="45632" xr:uid="{00000000-0005-0000-0000-0000323A0000}"/>
    <cellStyle name="Millares 5 3 5 4 5" xfId="32070" xr:uid="{00000000-0005-0000-0000-0000333A0000}"/>
    <cellStyle name="Millares 5 3 5 5" xfId="8306" xr:uid="{00000000-0005-0000-0000-0000343A0000}"/>
    <cellStyle name="Millares 5 3 5 5 2" xfId="15096" xr:uid="{00000000-0005-0000-0000-0000353A0000}"/>
    <cellStyle name="Millares 5 3 5 5 2 2" xfId="28664" xr:uid="{00000000-0005-0000-0000-0000363A0000}"/>
    <cellStyle name="Millares 5 3 5 5 2 2 2" xfId="55797" xr:uid="{00000000-0005-0000-0000-0000373A0000}"/>
    <cellStyle name="Millares 5 3 5 5 2 3" xfId="42235" xr:uid="{00000000-0005-0000-0000-0000383A0000}"/>
    <cellStyle name="Millares 5 3 5 5 3" xfId="21883" xr:uid="{00000000-0005-0000-0000-0000393A0000}"/>
    <cellStyle name="Millares 5 3 5 5 3 2" xfId="49016" xr:uid="{00000000-0005-0000-0000-00003A3A0000}"/>
    <cellStyle name="Millares 5 3 5 5 4" xfId="35454" xr:uid="{00000000-0005-0000-0000-00003B3A0000}"/>
    <cellStyle name="Millares 5 3 5 6" xfId="11707" xr:uid="{00000000-0005-0000-0000-00003C3A0000}"/>
    <cellStyle name="Millares 5 3 5 6 2" xfId="25275" xr:uid="{00000000-0005-0000-0000-00003D3A0000}"/>
    <cellStyle name="Millares 5 3 5 6 2 2" xfId="52408" xr:uid="{00000000-0005-0000-0000-00003E3A0000}"/>
    <cellStyle name="Millares 5 3 5 6 3" xfId="38846" xr:uid="{00000000-0005-0000-0000-00003F3A0000}"/>
    <cellStyle name="Millares 5 3 5 7" xfId="18494" xr:uid="{00000000-0005-0000-0000-0000403A0000}"/>
    <cellStyle name="Millares 5 3 5 7 2" xfId="45627" xr:uid="{00000000-0005-0000-0000-0000413A0000}"/>
    <cellStyle name="Millares 5 3 5 8" xfId="32065" xr:uid="{00000000-0005-0000-0000-0000423A0000}"/>
    <cellStyle name="Millares 5 3 6" xfId="4717" xr:uid="{00000000-0005-0000-0000-0000433A0000}"/>
    <cellStyle name="Millares 5 3 6 2" xfId="4718" xr:uid="{00000000-0005-0000-0000-0000443A0000}"/>
    <cellStyle name="Millares 5 3 6 2 2" xfId="8313" xr:uid="{00000000-0005-0000-0000-0000453A0000}"/>
    <cellStyle name="Millares 5 3 6 2 2 2" xfId="15103" xr:uid="{00000000-0005-0000-0000-0000463A0000}"/>
    <cellStyle name="Millares 5 3 6 2 2 2 2" xfId="28671" xr:uid="{00000000-0005-0000-0000-0000473A0000}"/>
    <cellStyle name="Millares 5 3 6 2 2 2 2 2" xfId="55804" xr:uid="{00000000-0005-0000-0000-0000483A0000}"/>
    <cellStyle name="Millares 5 3 6 2 2 2 3" xfId="42242" xr:uid="{00000000-0005-0000-0000-0000493A0000}"/>
    <cellStyle name="Millares 5 3 6 2 2 3" xfId="21890" xr:uid="{00000000-0005-0000-0000-00004A3A0000}"/>
    <cellStyle name="Millares 5 3 6 2 2 3 2" xfId="49023" xr:uid="{00000000-0005-0000-0000-00004B3A0000}"/>
    <cellStyle name="Millares 5 3 6 2 2 4" xfId="35461" xr:uid="{00000000-0005-0000-0000-00004C3A0000}"/>
    <cellStyle name="Millares 5 3 6 2 3" xfId="11714" xr:uid="{00000000-0005-0000-0000-00004D3A0000}"/>
    <cellStyle name="Millares 5 3 6 2 3 2" xfId="25282" xr:uid="{00000000-0005-0000-0000-00004E3A0000}"/>
    <cellStyle name="Millares 5 3 6 2 3 2 2" xfId="52415" xr:uid="{00000000-0005-0000-0000-00004F3A0000}"/>
    <cellStyle name="Millares 5 3 6 2 3 3" xfId="38853" xr:uid="{00000000-0005-0000-0000-0000503A0000}"/>
    <cellStyle name="Millares 5 3 6 2 4" xfId="18501" xr:uid="{00000000-0005-0000-0000-0000513A0000}"/>
    <cellStyle name="Millares 5 3 6 2 4 2" xfId="45634" xr:uid="{00000000-0005-0000-0000-0000523A0000}"/>
    <cellStyle name="Millares 5 3 6 2 5" xfId="32072" xr:uid="{00000000-0005-0000-0000-0000533A0000}"/>
    <cellStyle name="Millares 5 3 6 3" xfId="4719" xr:uid="{00000000-0005-0000-0000-0000543A0000}"/>
    <cellStyle name="Millares 5 3 6 3 2" xfId="8314" xr:uid="{00000000-0005-0000-0000-0000553A0000}"/>
    <cellStyle name="Millares 5 3 6 3 2 2" xfId="15104" xr:uid="{00000000-0005-0000-0000-0000563A0000}"/>
    <cellStyle name="Millares 5 3 6 3 2 2 2" xfId="28672" xr:uid="{00000000-0005-0000-0000-0000573A0000}"/>
    <cellStyle name="Millares 5 3 6 3 2 2 2 2" xfId="55805" xr:uid="{00000000-0005-0000-0000-0000583A0000}"/>
    <cellStyle name="Millares 5 3 6 3 2 2 3" xfId="42243" xr:uid="{00000000-0005-0000-0000-0000593A0000}"/>
    <cellStyle name="Millares 5 3 6 3 2 3" xfId="21891" xr:uid="{00000000-0005-0000-0000-00005A3A0000}"/>
    <cellStyle name="Millares 5 3 6 3 2 3 2" xfId="49024" xr:uid="{00000000-0005-0000-0000-00005B3A0000}"/>
    <cellStyle name="Millares 5 3 6 3 2 4" xfId="35462" xr:uid="{00000000-0005-0000-0000-00005C3A0000}"/>
    <cellStyle name="Millares 5 3 6 3 3" xfId="11715" xr:uid="{00000000-0005-0000-0000-00005D3A0000}"/>
    <cellStyle name="Millares 5 3 6 3 3 2" xfId="25283" xr:uid="{00000000-0005-0000-0000-00005E3A0000}"/>
    <cellStyle name="Millares 5 3 6 3 3 2 2" xfId="52416" xr:uid="{00000000-0005-0000-0000-00005F3A0000}"/>
    <cellStyle name="Millares 5 3 6 3 3 3" xfId="38854" xr:uid="{00000000-0005-0000-0000-0000603A0000}"/>
    <cellStyle name="Millares 5 3 6 3 4" xfId="18502" xr:uid="{00000000-0005-0000-0000-0000613A0000}"/>
    <cellStyle name="Millares 5 3 6 3 4 2" xfId="45635" xr:uid="{00000000-0005-0000-0000-0000623A0000}"/>
    <cellStyle name="Millares 5 3 6 3 5" xfId="32073" xr:uid="{00000000-0005-0000-0000-0000633A0000}"/>
    <cellStyle name="Millares 5 3 6 4" xfId="8312" xr:uid="{00000000-0005-0000-0000-0000643A0000}"/>
    <cellStyle name="Millares 5 3 6 4 2" xfId="15102" xr:uid="{00000000-0005-0000-0000-0000653A0000}"/>
    <cellStyle name="Millares 5 3 6 4 2 2" xfId="28670" xr:uid="{00000000-0005-0000-0000-0000663A0000}"/>
    <cellStyle name="Millares 5 3 6 4 2 2 2" xfId="55803" xr:uid="{00000000-0005-0000-0000-0000673A0000}"/>
    <cellStyle name="Millares 5 3 6 4 2 3" xfId="42241" xr:uid="{00000000-0005-0000-0000-0000683A0000}"/>
    <cellStyle name="Millares 5 3 6 4 3" xfId="21889" xr:uid="{00000000-0005-0000-0000-0000693A0000}"/>
    <cellStyle name="Millares 5 3 6 4 3 2" xfId="49022" xr:uid="{00000000-0005-0000-0000-00006A3A0000}"/>
    <cellStyle name="Millares 5 3 6 4 4" xfId="35460" xr:uid="{00000000-0005-0000-0000-00006B3A0000}"/>
    <cellStyle name="Millares 5 3 6 5" xfId="11713" xr:uid="{00000000-0005-0000-0000-00006C3A0000}"/>
    <cellStyle name="Millares 5 3 6 5 2" xfId="25281" xr:uid="{00000000-0005-0000-0000-00006D3A0000}"/>
    <cellStyle name="Millares 5 3 6 5 2 2" xfId="52414" xr:uid="{00000000-0005-0000-0000-00006E3A0000}"/>
    <cellStyle name="Millares 5 3 6 5 3" xfId="38852" xr:uid="{00000000-0005-0000-0000-00006F3A0000}"/>
    <cellStyle name="Millares 5 3 6 6" xfId="18500" xr:uid="{00000000-0005-0000-0000-0000703A0000}"/>
    <cellStyle name="Millares 5 3 6 6 2" xfId="45633" xr:uid="{00000000-0005-0000-0000-0000713A0000}"/>
    <cellStyle name="Millares 5 3 6 7" xfId="32071" xr:uid="{00000000-0005-0000-0000-0000723A0000}"/>
    <cellStyle name="Millares 5 3 7" xfId="4720" xr:uid="{00000000-0005-0000-0000-0000733A0000}"/>
    <cellStyle name="Millares 5 3 7 2" xfId="4721" xr:uid="{00000000-0005-0000-0000-0000743A0000}"/>
    <cellStyle name="Millares 5 3 7 2 2" xfId="8316" xr:uid="{00000000-0005-0000-0000-0000753A0000}"/>
    <cellStyle name="Millares 5 3 7 2 2 2" xfId="15106" xr:uid="{00000000-0005-0000-0000-0000763A0000}"/>
    <cellStyle name="Millares 5 3 7 2 2 2 2" xfId="28674" xr:uid="{00000000-0005-0000-0000-0000773A0000}"/>
    <cellStyle name="Millares 5 3 7 2 2 2 2 2" xfId="55807" xr:uid="{00000000-0005-0000-0000-0000783A0000}"/>
    <cellStyle name="Millares 5 3 7 2 2 2 3" xfId="42245" xr:uid="{00000000-0005-0000-0000-0000793A0000}"/>
    <cellStyle name="Millares 5 3 7 2 2 3" xfId="21893" xr:uid="{00000000-0005-0000-0000-00007A3A0000}"/>
    <cellStyle name="Millares 5 3 7 2 2 3 2" xfId="49026" xr:uid="{00000000-0005-0000-0000-00007B3A0000}"/>
    <cellStyle name="Millares 5 3 7 2 2 4" xfId="35464" xr:uid="{00000000-0005-0000-0000-00007C3A0000}"/>
    <cellStyle name="Millares 5 3 7 2 3" xfId="11717" xr:uid="{00000000-0005-0000-0000-00007D3A0000}"/>
    <cellStyle name="Millares 5 3 7 2 3 2" xfId="25285" xr:uid="{00000000-0005-0000-0000-00007E3A0000}"/>
    <cellStyle name="Millares 5 3 7 2 3 2 2" xfId="52418" xr:uid="{00000000-0005-0000-0000-00007F3A0000}"/>
    <cellStyle name="Millares 5 3 7 2 3 3" xfId="38856" xr:uid="{00000000-0005-0000-0000-0000803A0000}"/>
    <cellStyle name="Millares 5 3 7 2 4" xfId="18504" xr:uid="{00000000-0005-0000-0000-0000813A0000}"/>
    <cellStyle name="Millares 5 3 7 2 4 2" xfId="45637" xr:uid="{00000000-0005-0000-0000-0000823A0000}"/>
    <cellStyle name="Millares 5 3 7 2 5" xfId="32075" xr:uid="{00000000-0005-0000-0000-0000833A0000}"/>
    <cellStyle name="Millares 5 3 7 3" xfId="4722" xr:uid="{00000000-0005-0000-0000-0000843A0000}"/>
    <cellStyle name="Millares 5 3 7 3 2" xfId="8317" xr:uid="{00000000-0005-0000-0000-0000853A0000}"/>
    <cellStyle name="Millares 5 3 7 3 2 2" xfId="15107" xr:uid="{00000000-0005-0000-0000-0000863A0000}"/>
    <cellStyle name="Millares 5 3 7 3 2 2 2" xfId="28675" xr:uid="{00000000-0005-0000-0000-0000873A0000}"/>
    <cellStyle name="Millares 5 3 7 3 2 2 2 2" xfId="55808" xr:uid="{00000000-0005-0000-0000-0000883A0000}"/>
    <cellStyle name="Millares 5 3 7 3 2 2 3" xfId="42246" xr:uid="{00000000-0005-0000-0000-0000893A0000}"/>
    <cellStyle name="Millares 5 3 7 3 2 3" xfId="21894" xr:uid="{00000000-0005-0000-0000-00008A3A0000}"/>
    <cellStyle name="Millares 5 3 7 3 2 3 2" xfId="49027" xr:uid="{00000000-0005-0000-0000-00008B3A0000}"/>
    <cellStyle name="Millares 5 3 7 3 2 4" xfId="35465" xr:uid="{00000000-0005-0000-0000-00008C3A0000}"/>
    <cellStyle name="Millares 5 3 7 3 3" xfId="11718" xr:uid="{00000000-0005-0000-0000-00008D3A0000}"/>
    <cellStyle name="Millares 5 3 7 3 3 2" xfId="25286" xr:uid="{00000000-0005-0000-0000-00008E3A0000}"/>
    <cellStyle name="Millares 5 3 7 3 3 2 2" xfId="52419" xr:uid="{00000000-0005-0000-0000-00008F3A0000}"/>
    <cellStyle name="Millares 5 3 7 3 3 3" xfId="38857" xr:uid="{00000000-0005-0000-0000-0000903A0000}"/>
    <cellStyle name="Millares 5 3 7 3 4" xfId="18505" xr:uid="{00000000-0005-0000-0000-0000913A0000}"/>
    <cellStyle name="Millares 5 3 7 3 4 2" xfId="45638" xr:uid="{00000000-0005-0000-0000-0000923A0000}"/>
    <cellStyle name="Millares 5 3 7 3 5" xfId="32076" xr:uid="{00000000-0005-0000-0000-0000933A0000}"/>
    <cellStyle name="Millares 5 3 7 4" xfId="8315" xr:uid="{00000000-0005-0000-0000-0000943A0000}"/>
    <cellStyle name="Millares 5 3 7 4 2" xfId="15105" xr:uid="{00000000-0005-0000-0000-0000953A0000}"/>
    <cellStyle name="Millares 5 3 7 4 2 2" xfId="28673" xr:uid="{00000000-0005-0000-0000-0000963A0000}"/>
    <cellStyle name="Millares 5 3 7 4 2 2 2" xfId="55806" xr:uid="{00000000-0005-0000-0000-0000973A0000}"/>
    <cellStyle name="Millares 5 3 7 4 2 3" xfId="42244" xr:uid="{00000000-0005-0000-0000-0000983A0000}"/>
    <cellStyle name="Millares 5 3 7 4 3" xfId="21892" xr:uid="{00000000-0005-0000-0000-0000993A0000}"/>
    <cellStyle name="Millares 5 3 7 4 3 2" xfId="49025" xr:uid="{00000000-0005-0000-0000-00009A3A0000}"/>
    <cellStyle name="Millares 5 3 7 4 4" xfId="35463" xr:uid="{00000000-0005-0000-0000-00009B3A0000}"/>
    <cellStyle name="Millares 5 3 7 5" xfId="11716" xr:uid="{00000000-0005-0000-0000-00009C3A0000}"/>
    <cellStyle name="Millares 5 3 7 5 2" xfId="25284" xr:uid="{00000000-0005-0000-0000-00009D3A0000}"/>
    <cellStyle name="Millares 5 3 7 5 2 2" xfId="52417" xr:uid="{00000000-0005-0000-0000-00009E3A0000}"/>
    <cellStyle name="Millares 5 3 7 5 3" xfId="38855" xr:uid="{00000000-0005-0000-0000-00009F3A0000}"/>
    <cellStyle name="Millares 5 3 7 6" xfId="18503" xr:uid="{00000000-0005-0000-0000-0000A03A0000}"/>
    <cellStyle name="Millares 5 3 7 6 2" xfId="45636" xr:uid="{00000000-0005-0000-0000-0000A13A0000}"/>
    <cellStyle name="Millares 5 3 7 7" xfId="32074" xr:uid="{00000000-0005-0000-0000-0000A23A0000}"/>
    <cellStyle name="Millares 5 3 8" xfId="4723" xr:uid="{00000000-0005-0000-0000-0000A33A0000}"/>
    <cellStyle name="Millares 5 3 8 2" xfId="8318" xr:uid="{00000000-0005-0000-0000-0000A43A0000}"/>
    <cellStyle name="Millares 5 3 8 2 2" xfId="15108" xr:uid="{00000000-0005-0000-0000-0000A53A0000}"/>
    <cellStyle name="Millares 5 3 8 2 2 2" xfId="28676" xr:uid="{00000000-0005-0000-0000-0000A63A0000}"/>
    <cellStyle name="Millares 5 3 8 2 2 2 2" xfId="55809" xr:uid="{00000000-0005-0000-0000-0000A73A0000}"/>
    <cellStyle name="Millares 5 3 8 2 2 3" xfId="42247" xr:uid="{00000000-0005-0000-0000-0000A83A0000}"/>
    <cellStyle name="Millares 5 3 8 2 3" xfId="21895" xr:uid="{00000000-0005-0000-0000-0000A93A0000}"/>
    <cellStyle name="Millares 5 3 8 2 3 2" xfId="49028" xr:uid="{00000000-0005-0000-0000-0000AA3A0000}"/>
    <cellStyle name="Millares 5 3 8 2 4" xfId="35466" xr:uid="{00000000-0005-0000-0000-0000AB3A0000}"/>
    <cellStyle name="Millares 5 3 8 3" xfId="11719" xr:uid="{00000000-0005-0000-0000-0000AC3A0000}"/>
    <cellStyle name="Millares 5 3 8 3 2" xfId="25287" xr:uid="{00000000-0005-0000-0000-0000AD3A0000}"/>
    <cellStyle name="Millares 5 3 8 3 2 2" xfId="52420" xr:uid="{00000000-0005-0000-0000-0000AE3A0000}"/>
    <cellStyle name="Millares 5 3 8 3 3" xfId="38858" xr:uid="{00000000-0005-0000-0000-0000AF3A0000}"/>
    <cellStyle name="Millares 5 3 8 4" xfId="18506" xr:uid="{00000000-0005-0000-0000-0000B03A0000}"/>
    <cellStyle name="Millares 5 3 8 4 2" xfId="45639" xr:uid="{00000000-0005-0000-0000-0000B13A0000}"/>
    <cellStyle name="Millares 5 3 8 5" xfId="32077" xr:uid="{00000000-0005-0000-0000-0000B23A0000}"/>
    <cellStyle name="Millares 5 3 9" xfId="4724" xr:uid="{00000000-0005-0000-0000-0000B33A0000}"/>
    <cellStyle name="Millares 5 3 9 2" xfId="8319" xr:uid="{00000000-0005-0000-0000-0000B43A0000}"/>
    <cellStyle name="Millares 5 3 9 2 2" xfId="15109" xr:uid="{00000000-0005-0000-0000-0000B53A0000}"/>
    <cellStyle name="Millares 5 3 9 2 2 2" xfId="28677" xr:uid="{00000000-0005-0000-0000-0000B63A0000}"/>
    <cellStyle name="Millares 5 3 9 2 2 2 2" xfId="55810" xr:uid="{00000000-0005-0000-0000-0000B73A0000}"/>
    <cellStyle name="Millares 5 3 9 2 2 3" xfId="42248" xr:uid="{00000000-0005-0000-0000-0000B83A0000}"/>
    <cellStyle name="Millares 5 3 9 2 3" xfId="21896" xr:uid="{00000000-0005-0000-0000-0000B93A0000}"/>
    <cellStyle name="Millares 5 3 9 2 3 2" xfId="49029" xr:uid="{00000000-0005-0000-0000-0000BA3A0000}"/>
    <cellStyle name="Millares 5 3 9 2 4" xfId="35467" xr:uid="{00000000-0005-0000-0000-0000BB3A0000}"/>
    <cellStyle name="Millares 5 3 9 3" xfId="11720" xr:uid="{00000000-0005-0000-0000-0000BC3A0000}"/>
    <cellStyle name="Millares 5 3 9 3 2" xfId="25288" xr:uid="{00000000-0005-0000-0000-0000BD3A0000}"/>
    <cellStyle name="Millares 5 3 9 3 2 2" xfId="52421" xr:uid="{00000000-0005-0000-0000-0000BE3A0000}"/>
    <cellStyle name="Millares 5 3 9 3 3" xfId="38859" xr:uid="{00000000-0005-0000-0000-0000BF3A0000}"/>
    <cellStyle name="Millares 5 3 9 4" xfId="18507" xr:uid="{00000000-0005-0000-0000-0000C03A0000}"/>
    <cellStyle name="Millares 5 3 9 4 2" xfId="45640" xr:uid="{00000000-0005-0000-0000-0000C13A0000}"/>
    <cellStyle name="Millares 5 3 9 5" xfId="32078" xr:uid="{00000000-0005-0000-0000-0000C23A0000}"/>
    <cellStyle name="Millares 5 4" xfId="4725" xr:uid="{00000000-0005-0000-0000-0000C33A0000}"/>
    <cellStyle name="Millares 5 4 10" xfId="8320" xr:uid="{00000000-0005-0000-0000-0000C43A0000}"/>
    <cellStyle name="Millares 5 4 10 2" xfId="15110" xr:uid="{00000000-0005-0000-0000-0000C53A0000}"/>
    <cellStyle name="Millares 5 4 10 2 2" xfId="28678" xr:uid="{00000000-0005-0000-0000-0000C63A0000}"/>
    <cellStyle name="Millares 5 4 10 2 2 2" xfId="55811" xr:uid="{00000000-0005-0000-0000-0000C73A0000}"/>
    <cellStyle name="Millares 5 4 10 2 3" xfId="42249" xr:uid="{00000000-0005-0000-0000-0000C83A0000}"/>
    <cellStyle name="Millares 5 4 10 3" xfId="21897" xr:uid="{00000000-0005-0000-0000-0000C93A0000}"/>
    <cellStyle name="Millares 5 4 10 3 2" xfId="49030" xr:uid="{00000000-0005-0000-0000-0000CA3A0000}"/>
    <cellStyle name="Millares 5 4 10 4" xfId="35468" xr:uid="{00000000-0005-0000-0000-0000CB3A0000}"/>
    <cellStyle name="Millares 5 4 11" xfId="11721" xr:uid="{00000000-0005-0000-0000-0000CC3A0000}"/>
    <cellStyle name="Millares 5 4 11 2" xfId="25289" xr:uid="{00000000-0005-0000-0000-0000CD3A0000}"/>
    <cellStyle name="Millares 5 4 11 2 2" xfId="52422" xr:uid="{00000000-0005-0000-0000-0000CE3A0000}"/>
    <cellStyle name="Millares 5 4 11 3" xfId="38860" xr:uid="{00000000-0005-0000-0000-0000CF3A0000}"/>
    <cellStyle name="Millares 5 4 12" xfId="18508" xr:uid="{00000000-0005-0000-0000-0000D03A0000}"/>
    <cellStyle name="Millares 5 4 12 2" xfId="45641" xr:uid="{00000000-0005-0000-0000-0000D13A0000}"/>
    <cellStyle name="Millares 5 4 13" xfId="32079" xr:uid="{00000000-0005-0000-0000-0000D23A0000}"/>
    <cellStyle name="Millares 5 4 2" xfId="4726" xr:uid="{00000000-0005-0000-0000-0000D33A0000}"/>
    <cellStyle name="Millares 5 4 2 10" xfId="32080" xr:uid="{00000000-0005-0000-0000-0000D43A0000}"/>
    <cellStyle name="Millares 5 4 2 2" xfId="4727" xr:uid="{00000000-0005-0000-0000-0000D53A0000}"/>
    <cellStyle name="Millares 5 4 2 2 2" xfId="4728" xr:uid="{00000000-0005-0000-0000-0000D63A0000}"/>
    <cellStyle name="Millares 5 4 2 2 2 2" xfId="4729" xr:uid="{00000000-0005-0000-0000-0000D73A0000}"/>
    <cellStyle name="Millares 5 4 2 2 2 2 2" xfId="8324" xr:uid="{00000000-0005-0000-0000-0000D83A0000}"/>
    <cellStyle name="Millares 5 4 2 2 2 2 2 2" xfId="15114" xr:uid="{00000000-0005-0000-0000-0000D93A0000}"/>
    <cellStyle name="Millares 5 4 2 2 2 2 2 2 2" xfId="28682" xr:uid="{00000000-0005-0000-0000-0000DA3A0000}"/>
    <cellStyle name="Millares 5 4 2 2 2 2 2 2 2 2" xfId="55815" xr:uid="{00000000-0005-0000-0000-0000DB3A0000}"/>
    <cellStyle name="Millares 5 4 2 2 2 2 2 2 3" xfId="42253" xr:uid="{00000000-0005-0000-0000-0000DC3A0000}"/>
    <cellStyle name="Millares 5 4 2 2 2 2 2 3" xfId="21901" xr:uid="{00000000-0005-0000-0000-0000DD3A0000}"/>
    <cellStyle name="Millares 5 4 2 2 2 2 2 3 2" xfId="49034" xr:uid="{00000000-0005-0000-0000-0000DE3A0000}"/>
    <cellStyle name="Millares 5 4 2 2 2 2 2 4" xfId="35472" xr:uid="{00000000-0005-0000-0000-0000DF3A0000}"/>
    <cellStyle name="Millares 5 4 2 2 2 2 3" xfId="11725" xr:uid="{00000000-0005-0000-0000-0000E03A0000}"/>
    <cellStyle name="Millares 5 4 2 2 2 2 3 2" xfId="25293" xr:uid="{00000000-0005-0000-0000-0000E13A0000}"/>
    <cellStyle name="Millares 5 4 2 2 2 2 3 2 2" xfId="52426" xr:uid="{00000000-0005-0000-0000-0000E23A0000}"/>
    <cellStyle name="Millares 5 4 2 2 2 2 3 3" xfId="38864" xr:uid="{00000000-0005-0000-0000-0000E33A0000}"/>
    <cellStyle name="Millares 5 4 2 2 2 2 4" xfId="18512" xr:uid="{00000000-0005-0000-0000-0000E43A0000}"/>
    <cellStyle name="Millares 5 4 2 2 2 2 4 2" xfId="45645" xr:uid="{00000000-0005-0000-0000-0000E53A0000}"/>
    <cellStyle name="Millares 5 4 2 2 2 2 5" xfId="32083" xr:uid="{00000000-0005-0000-0000-0000E63A0000}"/>
    <cellStyle name="Millares 5 4 2 2 2 3" xfId="4730" xr:uid="{00000000-0005-0000-0000-0000E73A0000}"/>
    <cellStyle name="Millares 5 4 2 2 2 3 2" xfId="8325" xr:uid="{00000000-0005-0000-0000-0000E83A0000}"/>
    <cellStyle name="Millares 5 4 2 2 2 3 2 2" xfId="15115" xr:uid="{00000000-0005-0000-0000-0000E93A0000}"/>
    <cellStyle name="Millares 5 4 2 2 2 3 2 2 2" xfId="28683" xr:uid="{00000000-0005-0000-0000-0000EA3A0000}"/>
    <cellStyle name="Millares 5 4 2 2 2 3 2 2 2 2" xfId="55816" xr:uid="{00000000-0005-0000-0000-0000EB3A0000}"/>
    <cellStyle name="Millares 5 4 2 2 2 3 2 2 3" xfId="42254" xr:uid="{00000000-0005-0000-0000-0000EC3A0000}"/>
    <cellStyle name="Millares 5 4 2 2 2 3 2 3" xfId="21902" xr:uid="{00000000-0005-0000-0000-0000ED3A0000}"/>
    <cellStyle name="Millares 5 4 2 2 2 3 2 3 2" xfId="49035" xr:uid="{00000000-0005-0000-0000-0000EE3A0000}"/>
    <cellStyle name="Millares 5 4 2 2 2 3 2 4" xfId="35473" xr:uid="{00000000-0005-0000-0000-0000EF3A0000}"/>
    <cellStyle name="Millares 5 4 2 2 2 3 3" xfId="11726" xr:uid="{00000000-0005-0000-0000-0000F03A0000}"/>
    <cellStyle name="Millares 5 4 2 2 2 3 3 2" xfId="25294" xr:uid="{00000000-0005-0000-0000-0000F13A0000}"/>
    <cellStyle name="Millares 5 4 2 2 2 3 3 2 2" xfId="52427" xr:uid="{00000000-0005-0000-0000-0000F23A0000}"/>
    <cellStyle name="Millares 5 4 2 2 2 3 3 3" xfId="38865" xr:uid="{00000000-0005-0000-0000-0000F33A0000}"/>
    <cellStyle name="Millares 5 4 2 2 2 3 4" xfId="18513" xr:uid="{00000000-0005-0000-0000-0000F43A0000}"/>
    <cellStyle name="Millares 5 4 2 2 2 3 4 2" xfId="45646" xr:uid="{00000000-0005-0000-0000-0000F53A0000}"/>
    <cellStyle name="Millares 5 4 2 2 2 3 5" xfId="32084" xr:uid="{00000000-0005-0000-0000-0000F63A0000}"/>
    <cellStyle name="Millares 5 4 2 2 2 4" xfId="8323" xr:uid="{00000000-0005-0000-0000-0000F73A0000}"/>
    <cellStyle name="Millares 5 4 2 2 2 4 2" xfId="15113" xr:uid="{00000000-0005-0000-0000-0000F83A0000}"/>
    <cellStyle name="Millares 5 4 2 2 2 4 2 2" xfId="28681" xr:uid="{00000000-0005-0000-0000-0000F93A0000}"/>
    <cellStyle name="Millares 5 4 2 2 2 4 2 2 2" xfId="55814" xr:uid="{00000000-0005-0000-0000-0000FA3A0000}"/>
    <cellStyle name="Millares 5 4 2 2 2 4 2 3" xfId="42252" xr:uid="{00000000-0005-0000-0000-0000FB3A0000}"/>
    <cellStyle name="Millares 5 4 2 2 2 4 3" xfId="21900" xr:uid="{00000000-0005-0000-0000-0000FC3A0000}"/>
    <cellStyle name="Millares 5 4 2 2 2 4 3 2" xfId="49033" xr:uid="{00000000-0005-0000-0000-0000FD3A0000}"/>
    <cellStyle name="Millares 5 4 2 2 2 4 4" xfId="35471" xr:uid="{00000000-0005-0000-0000-0000FE3A0000}"/>
    <cellStyle name="Millares 5 4 2 2 2 5" xfId="11724" xr:uid="{00000000-0005-0000-0000-0000FF3A0000}"/>
    <cellStyle name="Millares 5 4 2 2 2 5 2" xfId="25292" xr:uid="{00000000-0005-0000-0000-0000003B0000}"/>
    <cellStyle name="Millares 5 4 2 2 2 5 2 2" xfId="52425" xr:uid="{00000000-0005-0000-0000-0000013B0000}"/>
    <cellStyle name="Millares 5 4 2 2 2 5 3" xfId="38863" xr:uid="{00000000-0005-0000-0000-0000023B0000}"/>
    <cellStyle name="Millares 5 4 2 2 2 6" xfId="18511" xr:uid="{00000000-0005-0000-0000-0000033B0000}"/>
    <cellStyle name="Millares 5 4 2 2 2 6 2" xfId="45644" xr:uid="{00000000-0005-0000-0000-0000043B0000}"/>
    <cellStyle name="Millares 5 4 2 2 2 7" xfId="32082" xr:uid="{00000000-0005-0000-0000-0000053B0000}"/>
    <cellStyle name="Millares 5 4 2 2 3" xfId="4731" xr:uid="{00000000-0005-0000-0000-0000063B0000}"/>
    <cellStyle name="Millares 5 4 2 2 3 2" xfId="4732" xr:uid="{00000000-0005-0000-0000-0000073B0000}"/>
    <cellStyle name="Millares 5 4 2 2 3 2 2" xfId="8327" xr:uid="{00000000-0005-0000-0000-0000083B0000}"/>
    <cellStyle name="Millares 5 4 2 2 3 2 2 2" xfId="15117" xr:uid="{00000000-0005-0000-0000-0000093B0000}"/>
    <cellStyle name="Millares 5 4 2 2 3 2 2 2 2" xfId="28685" xr:uid="{00000000-0005-0000-0000-00000A3B0000}"/>
    <cellStyle name="Millares 5 4 2 2 3 2 2 2 2 2" xfId="55818" xr:uid="{00000000-0005-0000-0000-00000B3B0000}"/>
    <cellStyle name="Millares 5 4 2 2 3 2 2 2 3" xfId="42256" xr:uid="{00000000-0005-0000-0000-00000C3B0000}"/>
    <cellStyle name="Millares 5 4 2 2 3 2 2 3" xfId="21904" xr:uid="{00000000-0005-0000-0000-00000D3B0000}"/>
    <cellStyle name="Millares 5 4 2 2 3 2 2 3 2" xfId="49037" xr:uid="{00000000-0005-0000-0000-00000E3B0000}"/>
    <cellStyle name="Millares 5 4 2 2 3 2 2 4" xfId="35475" xr:uid="{00000000-0005-0000-0000-00000F3B0000}"/>
    <cellStyle name="Millares 5 4 2 2 3 2 3" xfId="11728" xr:uid="{00000000-0005-0000-0000-0000103B0000}"/>
    <cellStyle name="Millares 5 4 2 2 3 2 3 2" xfId="25296" xr:uid="{00000000-0005-0000-0000-0000113B0000}"/>
    <cellStyle name="Millares 5 4 2 2 3 2 3 2 2" xfId="52429" xr:uid="{00000000-0005-0000-0000-0000123B0000}"/>
    <cellStyle name="Millares 5 4 2 2 3 2 3 3" xfId="38867" xr:uid="{00000000-0005-0000-0000-0000133B0000}"/>
    <cellStyle name="Millares 5 4 2 2 3 2 4" xfId="18515" xr:uid="{00000000-0005-0000-0000-0000143B0000}"/>
    <cellStyle name="Millares 5 4 2 2 3 2 4 2" xfId="45648" xr:uid="{00000000-0005-0000-0000-0000153B0000}"/>
    <cellStyle name="Millares 5 4 2 2 3 2 5" xfId="32086" xr:uid="{00000000-0005-0000-0000-0000163B0000}"/>
    <cellStyle name="Millares 5 4 2 2 3 3" xfId="8326" xr:uid="{00000000-0005-0000-0000-0000173B0000}"/>
    <cellStyle name="Millares 5 4 2 2 3 3 2" xfId="15116" xr:uid="{00000000-0005-0000-0000-0000183B0000}"/>
    <cellStyle name="Millares 5 4 2 2 3 3 2 2" xfId="28684" xr:uid="{00000000-0005-0000-0000-0000193B0000}"/>
    <cellStyle name="Millares 5 4 2 2 3 3 2 2 2" xfId="55817" xr:uid="{00000000-0005-0000-0000-00001A3B0000}"/>
    <cellStyle name="Millares 5 4 2 2 3 3 2 3" xfId="42255" xr:uid="{00000000-0005-0000-0000-00001B3B0000}"/>
    <cellStyle name="Millares 5 4 2 2 3 3 3" xfId="21903" xr:uid="{00000000-0005-0000-0000-00001C3B0000}"/>
    <cellStyle name="Millares 5 4 2 2 3 3 3 2" xfId="49036" xr:uid="{00000000-0005-0000-0000-00001D3B0000}"/>
    <cellStyle name="Millares 5 4 2 2 3 3 4" xfId="35474" xr:uid="{00000000-0005-0000-0000-00001E3B0000}"/>
    <cellStyle name="Millares 5 4 2 2 3 4" xfId="11727" xr:uid="{00000000-0005-0000-0000-00001F3B0000}"/>
    <cellStyle name="Millares 5 4 2 2 3 4 2" xfId="25295" xr:uid="{00000000-0005-0000-0000-0000203B0000}"/>
    <cellStyle name="Millares 5 4 2 2 3 4 2 2" xfId="52428" xr:uid="{00000000-0005-0000-0000-0000213B0000}"/>
    <cellStyle name="Millares 5 4 2 2 3 4 3" xfId="38866" xr:uid="{00000000-0005-0000-0000-0000223B0000}"/>
    <cellStyle name="Millares 5 4 2 2 3 5" xfId="18514" xr:uid="{00000000-0005-0000-0000-0000233B0000}"/>
    <cellStyle name="Millares 5 4 2 2 3 5 2" xfId="45647" xr:uid="{00000000-0005-0000-0000-0000243B0000}"/>
    <cellStyle name="Millares 5 4 2 2 3 6" xfId="32085" xr:uid="{00000000-0005-0000-0000-0000253B0000}"/>
    <cellStyle name="Millares 5 4 2 2 4" xfId="4733" xr:uid="{00000000-0005-0000-0000-0000263B0000}"/>
    <cellStyle name="Millares 5 4 2 2 4 2" xfId="8328" xr:uid="{00000000-0005-0000-0000-0000273B0000}"/>
    <cellStyle name="Millares 5 4 2 2 4 2 2" xfId="15118" xr:uid="{00000000-0005-0000-0000-0000283B0000}"/>
    <cellStyle name="Millares 5 4 2 2 4 2 2 2" xfId="28686" xr:uid="{00000000-0005-0000-0000-0000293B0000}"/>
    <cellStyle name="Millares 5 4 2 2 4 2 2 2 2" xfId="55819" xr:uid="{00000000-0005-0000-0000-00002A3B0000}"/>
    <cellStyle name="Millares 5 4 2 2 4 2 2 3" xfId="42257" xr:uid="{00000000-0005-0000-0000-00002B3B0000}"/>
    <cellStyle name="Millares 5 4 2 2 4 2 3" xfId="21905" xr:uid="{00000000-0005-0000-0000-00002C3B0000}"/>
    <cellStyle name="Millares 5 4 2 2 4 2 3 2" xfId="49038" xr:uid="{00000000-0005-0000-0000-00002D3B0000}"/>
    <cellStyle name="Millares 5 4 2 2 4 2 4" xfId="35476" xr:uid="{00000000-0005-0000-0000-00002E3B0000}"/>
    <cellStyle name="Millares 5 4 2 2 4 3" xfId="11729" xr:uid="{00000000-0005-0000-0000-00002F3B0000}"/>
    <cellStyle name="Millares 5 4 2 2 4 3 2" xfId="25297" xr:uid="{00000000-0005-0000-0000-0000303B0000}"/>
    <cellStyle name="Millares 5 4 2 2 4 3 2 2" xfId="52430" xr:uid="{00000000-0005-0000-0000-0000313B0000}"/>
    <cellStyle name="Millares 5 4 2 2 4 3 3" xfId="38868" xr:uid="{00000000-0005-0000-0000-0000323B0000}"/>
    <cellStyle name="Millares 5 4 2 2 4 4" xfId="18516" xr:uid="{00000000-0005-0000-0000-0000333B0000}"/>
    <cellStyle name="Millares 5 4 2 2 4 4 2" xfId="45649" xr:uid="{00000000-0005-0000-0000-0000343B0000}"/>
    <cellStyle name="Millares 5 4 2 2 4 5" xfId="32087" xr:uid="{00000000-0005-0000-0000-0000353B0000}"/>
    <cellStyle name="Millares 5 4 2 2 5" xfId="4734" xr:uid="{00000000-0005-0000-0000-0000363B0000}"/>
    <cellStyle name="Millares 5 4 2 2 5 2" xfId="8329" xr:uid="{00000000-0005-0000-0000-0000373B0000}"/>
    <cellStyle name="Millares 5 4 2 2 5 2 2" xfId="15119" xr:uid="{00000000-0005-0000-0000-0000383B0000}"/>
    <cellStyle name="Millares 5 4 2 2 5 2 2 2" xfId="28687" xr:uid="{00000000-0005-0000-0000-0000393B0000}"/>
    <cellStyle name="Millares 5 4 2 2 5 2 2 2 2" xfId="55820" xr:uid="{00000000-0005-0000-0000-00003A3B0000}"/>
    <cellStyle name="Millares 5 4 2 2 5 2 2 3" xfId="42258" xr:uid="{00000000-0005-0000-0000-00003B3B0000}"/>
    <cellStyle name="Millares 5 4 2 2 5 2 3" xfId="21906" xr:uid="{00000000-0005-0000-0000-00003C3B0000}"/>
    <cellStyle name="Millares 5 4 2 2 5 2 3 2" xfId="49039" xr:uid="{00000000-0005-0000-0000-00003D3B0000}"/>
    <cellStyle name="Millares 5 4 2 2 5 2 4" xfId="35477" xr:uid="{00000000-0005-0000-0000-00003E3B0000}"/>
    <cellStyle name="Millares 5 4 2 2 5 3" xfId="11730" xr:uid="{00000000-0005-0000-0000-00003F3B0000}"/>
    <cellStyle name="Millares 5 4 2 2 5 3 2" xfId="25298" xr:uid="{00000000-0005-0000-0000-0000403B0000}"/>
    <cellStyle name="Millares 5 4 2 2 5 3 2 2" xfId="52431" xr:uid="{00000000-0005-0000-0000-0000413B0000}"/>
    <cellStyle name="Millares 5 4 2 2 5 3 3" xfId="38869" xr:uid="{00000000-0005-0000-0000-0000423B0000}"/>
    <cellStyle name="Millares 5 4 2 2 5 4" xfId="18517" xr:uid="{00000000-0005-0000-0000-0000433B0000}"/>
    <cellStyle name="Millares 5 4 2 2 5 4 2" xfId="45650" xr:uid="{00000000-0005-0000-0000-0000443B0000}"/>
    <cellStyle name="Millares 5 4 2 2 5 5" xfId="32088" xr:uid="{00000000-0005-0000-0000-0000453B0000}"/>
    <cellStyle name="Millares 5 4 2 2 6" xfId="8322" xr:uid="{00000000-0005-0000-0000-0000463B0000}"/>
    <cellStyle name="Millares 5 4 2 2 6 2" xfId="15112" xr:uid="{00000000-0005-0000-0000-0000473B0000}"/>
    <cellStyle name="Millares 5 4 2 2 6 2 2" xfId="28680" xr:uid="{00000000-0005-0000-0000-0000483B0000}"/>
    <cellStyle name="Millares 5 4 2 2 6 2 2 2" xfId="55813" xr:uid="{00000000-0005-0000-0000-0000493B0000}"/>
    <cellStyle name="Millares 5 4 2 2 6 2 3" xfId="42251" xr:uid="{00000000-0005-0000-0000-00004A3B0000}"/>
    <cellStyle name="Millares 5 4 2 2 6 3" xfId="21899" xr:uid="{00000000-0005-0000-0000-00004B3B0000}"/>
    <cellStyle name="Millares 5 4 2 2 6 3 2" xfId="49032" xr:uid="{00000000-0005-0000-0000-00004C3B0000}"/>
    <cellStyle name="Millares 5 4 2 2 6 4" xfId="35470" xr:uid="{00000000-0005-0000-0000-00004D3B0000}"/>
    <cellStyle name="Millares 5 4 2 2 7" xfId="11723" xr:uid="{00000000-0005-0000-0000-00004E3B0000}"/>
    <cellStyle name="Millares 5 4 2 2 7 2" xfId="25291" xr:uid="{00000000-0005-0000-0000-00004F3B0000}"/>
    <cellStyle name="Millares 5 4 2 2 7 2 2" xfId="52424" xr:uid="{00000000-0005-0000-0000-0000503B0000}"/>
    <cellStyle name="Millares 5 4 2 2 7 3" xfId="38862" xr:uid="{00000000-0005-0000-0000-0000513B0000}"/>
    <cellStyle name="Millares 5 4 2 2 8" xfId="18510" xr:uid="{00000000-0005-0000-0000-0000523B0000}"/>
    <cellStyle name="Millares 5 4 2 2 8 2" xfId="45643" xr:uid="{00000000-0005-0000-0000-0000533B0000}"/>
    <cellStyle name="Millares 5 4 2 2 9" xfId="32081" xr:uid="{00000000-0005-0000-0000-0000543B0000}"/>
    <cellStyle name="Millares 5 4 2 3" xfId="4735" xr:uid="{00000000-0005-0000-0000-0000553B0000}"/>
    <cellStyle name="Millares 5 4 2 3 2" xfId="4736" xr:uid="{00000000-0005-0000-0000-0000563B0000}"/>
    <cellStyle name="Millares 5 4 2 3 2 2" xfId="8331" xr:uid="{00000000-0005-0000-0000-0000573B0000}"/>
    <cellStyle name="Millares 5 4 2 3 2 2 2" xfId="15121" xr:uid="{00000000-0005-0000-0000-0000583B0000}"/>
    <cellStyle name="Millares 5 4 2 3 2 2 2 2" xfId="28689" xr:uid="{00000000-0005-0000-0000-0000593B0000}"/>
    <cellStyle name="Millares 5 4 2 3 2 2 2 2 2" xfId="55822" xr:uid="{00000000-0005-0000-0000-00005A3B0000}"/>
    <cellStyle name="Millares 5 4 2 3 2 2 2 3" xfId="42260" xr:uid="{00000000-0005-0000-0000-00005B3B0000}"/>
    <cellStyle name="Millares 5 4 2 3 2 2 3" xfId="21908" xr:uid="{00000000-0005-0000-0000-00005C3B0000}"/>
    <cellStyle name="Millares 5 4 2 3 2 2 3 2" xfId="49041" xr:uid="{00000000-0005-0000-0000-00005D3B0000}"/>
    <cellStyle name="Millares 5 4 2 3 2 2 4" xfId="35479" xr:uid="{00000000-0005-0000-0000-00005E3B0000}"/>
    <cellStyle name="Millares 5 4 2 3 2 3" xfId="11732" xr:uid="{00000000-0005-0000-0000-00005F3B0000}"/>
    <cellStyle name="Millares 5 4 2 3 2 3 2" xfId="25300" xr:uid="{00000000-0005-0000-0000-0000603B0000}"/>
    <cellStyle name="Millares 5 4 2 3 2 3 2 2" xfId="52433" xr:uid="{00000000-0005-0000-0000-0000613B0000}"/>
    <cellStyle name="Millares 5 4 2 3 2 3 3" xfId="38871" xr:uid="{00000000-0005-0000-0000-0000623B0000}"/>
    <cellStyle name="Millares 5 4 2 3 2 4" xfId="18519" xr:uid="{00000000-0005-0000-0000-0000633B0000}"/>
    <cellStyle name="Millares 5 4 2 3 2 4 2" xfId="45652" xr:uid="{00000000-0005-0000-0000-0000643B0000}"/>
    <cellStyle name="Millares 5 4 2 3 2 5" xfId="32090" xr:uid="{00000000-0005-0000-0000-0000653B0000}"/>
    <cellStyle name="Millares 5 4 2 3 3" xfId="4737" xr:uid="{00000000-0005-0000-0000-0000663B0000}"/>
    <cellStyle name="Millares 5 4 2 3 3 2" xfId="8332" xr:uid="{00000000-0005-0000-0000-0000673B0000}"/>
    <cellStyle name="Millares 5 4 2 3 3 2 2" xfId="15122" xr:uid="{00000000-0005-0000-0000-0000683B0000}"/>
    <cellStyle name="Millares 5 4 2 3 3 2 2 2" xfId="28690" xr:uid="{00000000-0005-0000-0000-0000693B0000}"/>
    <cellStyle name="Millares 5 4 2 3 3 2 2 2 2" xfId="55823" xr:uid="{00000000-0005-0000-0000-00006A3B0000}"/>
    <cellStyle name="Millares 5 4 2 3 3 2 2 3" xfId="42261" xr:uid="{00000000-0005-0000-0000-00006B3B0000}"/>
    <cellStyle name="Millares 5 4 2 3 3 2 3" xfId="21909" xr:uid="{00000000-0005-0000-0000-00006C3B0000}"/>
    <cellStyle name="Millares 5 4 2 3 3 2 3 2" xfId="49042" xr:uid="{00000000-0005-0000-0000-00006D3B0000}"/>
    <cellStyle name="Millares 5 4 2 3 3 2 4" xfId="35480" xr:uid="{00000000-0005-0000-0000-00006E3B0000}"/>
    <cellStyle name="Millares 5 4 2 3 3 3" xfId="11733" xr:uid="{00000000-0005-0000-0000-00006F3B0000}"/>
    <cellStyle name="Millares 5 4 2 3 3 3 2" xfId="25301" xr:uid="{00000000-0005-0000-0000-0000703B0000}"/>
    <cellStyle name="Millares 5 4 2 3 3 3 2 2" xfId="52434" xr:uid="{00000000-0005-0000-0000-0000713B0000}"/>
    <cellStyle name="Millares 5 4 2 3 3 3 3" xfId="38872" xr:uid="{00000000-0005-0000-0000-0000723B0000}"/>
    <cellStyle name="Millares 5 4 2 3 3 4" xfId="18520" xr:uid="{00000000-0005-0000-0000-0000733B0000}"/>
    <cellStyle name="Millares 5 4 2 3 3 4 2" xfId="45653" xr:uid="{00000000-0005-0000-0000-0000743B0000}"/>
    <cellStyle name="Millares 5 4 2 3 3 5" xfId="32091" xr:uid="{00000000-0005-0000-0000-0000753B0000}"/>
    <cellStyle name="Millares 5 4 2 3 4" xfId="8330" xr:uid="{00000000-0005-0000-0000-0000763B0000}"/>
    <cellStyle name="Millares 5 4 2 3 4 2" xfId="15120" xr:uid="{00000000-0005-0000-0000-0000773B0000}"/>
    <cellStyle name="Millares 5 4 2 3 4 2 2" xfId="28688" xr:uid="{00000000-0005-0000-0000-0000783B0000}"/>
    <cellStyle name="Millares 5 4 2 3 4 2 2 2" xfId="55821" xr:uid="{00000000-0005-0000-0000-0000793B0000}"/>
    <cellStyle name="Millares 5 4 2 3 4 2 3" xfId="42259" xr:uid="{00000000-0005-0000-0000-00007A3B0000}"/>
    <cellStyle name="Millares 5 4 2 3 4 3" xfId="21907" xr:uid="{00000000-0005-0000-0000-00007B3B0000}"/>
    <cellStyle name="Millares 5 4 2 3 4 3 2" xfId="49040" xr:uid="{00000000-0005-0000-0000-00007C3B0000}"/>
    <cellStyle name="Millares 5 4 2 3 4 4" xfId="35478" xr:uid="{00000000-0005-0000-0000-00007D3B0000}"/>
    <cellStyle name="Millares 5 4 2 3 5" xfId="11731" xr:uid="{00000000-0005-0000-0000-00007E3B0000}"/>
    <cellStyle name="Millares 5 4 2 3 5 2" xfId="25299" xr:uid="{00000000-0005-0000-0000-00007F3B0000}"/>
    <cellStyle name="Millares 5 4 2 3 5 2 2" xfId="52432" xr:uid="{00000000-0005-0000-0000-0000803B0000}"/>
    <cellStyle name="Millares 5 4 2 3 5 3" xfId="38870" xr:uid="{00000000-0005-0000-0000-0000813B0000}"/>
    <cellStyle name="Millares 5 4 2 3 6" xfId="18518" xr:uid="{00000000-0005-0000-0000-0000823B0000}"/>
    <cellStyle name="Millares 5 4 2 3 6 2" xfId="45651" xr:uid="{00000000-0005-0000-0000-0000833B0000}"/>
    <cellStyle name="Millares 5 4 2 3 7" xfId="32089" xr:uid="{00000000-0005-0000-0000-0000843B0000}"/>
    <cellStyle name="Millares 5 4 2 4" xfId="4738" xr:uid="{00000000-0005-0000-0000-0000853B0000}"/>
    <cellStyle name="Millares 5 4 2 4 2" xfId="4739" xr:uid="{00000000-0005-0000-0000-0000863B0000}"/>
    <cellStyle name="Millares 5 4 2 4 2 2" xfId="8334" xr:uid="{00000000-0005-0000-0000-0000873B0000}"/>
    <cellStyle name="Millares 5 4 2 4 2 2 2" xfId="15124" xr:uid="{00000000-0005-0000-0000-0000883B0000}"/>
    <cellStyle name="Millares 5 4 2 4 2 2 2 2" xfId="28692" xr:uid="{00000000-0005-0000-0000-0000893B0000}"/>
    <cellStyle name="Millares 5 4 2 4 2 2 2 2 2" xfId="55825" xr:uid="{00000000-0005-0000-0000-00008A3B0000}"/>
    <cellStyle name="Millares 5 4 2 4 2 2 2 3" xfId="42263" xr:uid="{00000000-0005-0000-0000-00008B3B0000}"/>
    <cellStyle name="Millares 5 4 2 4 2 2 3" xfId="21911" xr:uid="{00000000-0005-0000-0000-00008C3B0000}"/>
    <cellStyle name="Millares 5 4 2 4 2 2 3 2" xfId="49044" xr:uid="{00000000-0005-0000-0000-00008D3B0000}"/>
    <cellStyle name="Millares 5 4 2 4 2 2 4" xfId="35482" xr:uid="{00000000-0005-0000-0000-00008E3B0000}"/>
    <cellStyle name="Millares 5 4 2 4 2 3" xfId="11735" xr:uid="{00000000-0005-0000-0000-00008F3B0000}"/>
    <cellStyle name="Millares 5 4 2 4 2 3 2" xfId="25303" xr:uid="{00000000-0005-0000-0000-0000903B0000}"/>
    <cellStyle name="Millares 5 4 2 4 2 3 2 2" xfId="52436" xr:uid="{00000000-0005-0000-0000-0000913B0000}"/>
    <cellStyle name="Millares 5 4 2 4 2 3 3" xfId="38874" xr:uid="{00000000-0005-0000-0000-0000923B0000}"/>
    <cellStyle name="Millares 5 4 2 4 2 4" xfId="18522" xr:uid="{00000000-0005-0000-0000-0000933B0000}"/>
    <cellStyle name="Millares 5 4 2 4 2 4 2" xfId="45655" xr:uid="{00000000-0005-0000-0000-0000943B0000}"/>
    <cellStyle name="Millares 5 4 2 4 2 5" xfId="32093" xr:uid="{00000000-0005-0000-0000-0000953B0000}"/>
    <cellStyle name="Millares 5 4 2 4 3" xfId="8333" xr:uid="{00000000-0005-0000-0000-0000963B0000}"/>
    <cellStyle name="Millares 5 4 2 4 3 2" xfId="15123" xr:uid="{00000000-0005-0000-0000-0000973B0000}"/>
    <cellStyle name="Millares 5 4 2 4 3 2 2" xfId="28691" xr:uid="{00000000-0005-0000-0000-0000983B0000}"/>
    <cellStyle name="Millares 5 4 2 4 3 2 2 2" xfId="55824" xr:uid="{00000000-0005-0000-0000-0000993B0000}"/>
    <cellStyle name="Millares 5 4 2 4 3 2 3" xfId="42262" xr:uid="{00000000-0005-0000-0000-00009A3B0000}"/>
    <cellStyle name="Millares 5 4 2 4 3 3" xfId="21910" xr:uid="{00000000-0005-0000-0000-00009B3B0000}"/>
    <cellStyle name="Millares 5 4 2 4 3 3 2" xfId="49043" xr:uid="{00000000-0005-0000-0000-00009C3B0000}"/>
    <cellStyle name="Millares 5 4 2 4 3 4" xfId="35481" xr:uid="{00000000-0005-0000-0000-00009D3B0000}"/>
    <cellStyle name="Millares 5 4 2 4 4" xfId="11734" xr:uid="{00000000-0005-0000-0000-00009E3B0000}"/>
    <cellStyle name="Millares 5 4 2 4 4 2" xfId="25302" xr:uid="{00000000-0005-0000-0000-00009F3B0000}"/>
    <cellStyle name="Millares 5 4 2 4 4 2 2" xfId="52435" xr:uid="{00000000-0005-0000-0000-0000A03B0000}"/>
    <cellStyle name="Millares 5 4 2 4 4 3" xfId="38873" xr:uid="{00000000-0005-0000-0000-0000A13B0000}"/>
    <cellStyle name="Millares 5 4 2 4 5" xfId="18521" xr:uid="{00000000-0005-0000-0000-0000A23B0000}"/>
    <cellStyle name="Millares 5 4 2 4 5 2" xfId="45654" xr:uid="{00000000-0005-0000-0000-0000A33B0000}"/>
    <cellStyle name="Millares 5 4 2 4 6" xfId="32092" xr:uid="{00000000-0005-0000-0000-0000A43B0000}"/>
    <cellStyle name="Millares 5 4 2 5" xfId="4740" xr:uid="{00000000-0005-0000-0000-0000A53B0000}"/>
    <cellStyle name="Millares 5 4 2 5 2" xfId="8335" xr:uid="{00000000-0005-0000-0000-0000A63B0000}"/>
    <cellStyle name="Millares 5 4 2 5 2 2" xfId="15125" xr:uid="{00000000-0005-0000-0000-0000A73B0000}"/>
    <cellStyle name="Millares 5 4 2 5 2 2 2" xfId="28693" xr:uid="{00000000-0005-0000-0000-0000A83B0000}"/>
    <cellStyle name="Millares 5 4 2 5 2 2 2 2" xfId="55826" xr:uid="{00000000-0005-0000-0000-0000A93B0000}"/>
    <cellStyle name="Millares 5 4 2 5 2 2 3" xfId="42264" xr:uid="{00000000-0005-0000-0000-0000AA3B0000}"/>
    <cellStyle name="Millares 5 4 2 5 2 3" xfId="21912" xr:uid="{00000000-0005-0000-0000-0000AB3B0000}"/>
    <cellStyle name="Millares 5 4 2 5 2 3 2" xfId="49045" xr:uid="{00000000-0005-0000-0000-0000AC3B0000}"/>
    <cellStyle name="Millares 5 4 2 5 2 4" xfId="35483" xr:uid="{00000000-0005-0000-0000-0000AD3B0000}"/>
    <cellStyle name="Millares 5 4 2 5 3" xfId="11736" xr:uid="{00000000-0005-0000-0000-0000AE3B0000}"/>
    <cellStyle name="Millares 5 4 2 5 3 2" xfId="25304" xr:uid="{00000000-0005-0000-0000-0000AF3B0000}"/>
    <cellStyle name="Millares 5 4 2 5 3 2 2" xfId="52437" xr:uid="{00000000-0005-0000-0000-0000B03B0000}"/>
    <cellStyle name="Millares 5 4 2 5 3 3" xfId="38875" xr:uid="{00000000-0005-0000-0000-0000B13B0000}"/>
    <cellStyle name="Millares 5 4 2 5 4" xfId="18523" xr:uid="{00000000-0005-0000-0000-0000B23B0000}"/>
    <cellStyle name="Millares 5 4 2 5 4 2" xfId="45656" xr:uid="{00000000-0005-0000-0000-0000B33B0000}"/>
    <cellStyle name="Millares 5 4 2 5 5" xfId="32094" xr:uid="{00000000-0005-0000-0000-0000B43B0000}"/>
    <cellStyle name="Millares 5 4 2 6" xfId="4741" xr:uid="{00000000-0005-0000-0000-0000B53B0000}"/>
    <cellStyle name="Millares 5 4 2 6 2" xfId="8336" xr:uid="{00000000-0005-0000-0000-0000B63B0000}"/>
    <cellStyle name="Millares 5 4 2 6 2 2" xfId="15126" xr:uid="{00000000-0005-0000-0000-0000B73B0000}"/>
    <cellStyle name="Millares 5 4 2 6 2 2 2" xfId="28694" xr:uid="{00000000-0005-0000-0000-0000B83B0000}"/>
    <cellStyle name="Millares 5 4 2 6 2 2 2 2" xfId="55827" xr:uid="{00000000-0005-0000-0000-0000B93B0000}"/>
    <cellStyle name="Millares 5 4 2 6 2 2 3" xfId="42265" xr:uid="{00000000-0005-0000-0000-0000BA3B0000}"/>
    <cellStyle name="Millares 5 4 2 6 2 3" xfId="21913" xr:uid="{00000000-0005-0000-0000-0000BB3B0000}"/>
    <cellStyle name="Millares 5 4 2 6 2 3 2" xfId="49046" xr:uid="{00000000-0005-0000-0000-0000BC3B0000}"/>
    <cellStyle name="Millares 5 4 2 6 2 4" xfId="35484" xr:uid="{00000000-0005-0000-0000-0000BD3B0000}"/>
    <cellStyle name="Millares 5 4 2 6 3" xfId="11737" xr:uid="{00000000-0005-0000-0000-0000BE3B0000}"/>
    <cellStyle name="Millares 5 4 2 6 3 2" xfId="25305" xr:uid="{00000000-0005-0000-0000-0000BF3B0000}"/>
    <cellStyle name="Millares 5 4 2 6 3 2 2" xfId="52438" xr:uid="{00000000-0005-0000-0000-0000C03B0000}"/>
    <cellStyle name="Millares 5 4 2 6 3 3" xfId="38876" xr:uid="{00000000-0005-0000-0000-0000C13B0000}"/>
    <cellStyle name="Millares 5 4 2 6 4" xfId="18524" xr:uid="{00000000-0005-0000-0000-0000C23B0000}"/>
    <cellStyle name="Millares 5 4 2 6 4 2" xfId="45657" xr:uid="{00000000-0005-0000-0000-0000C33B0000}"/>
    <cellStyle name="Millares 5 4 2 6 5" xfId="32095" xr:uid="{00000000-0005-0000-0000-0000C43B0000}"/>
    <cellStyle name="Millares 5 4 2 7" xfId="8321" xr:uid="{00000000-0005-0000-0000-0000C53B0000}"/>
    <cellStyle name="Millares 5 4 2 7 2" xfId="15111" xr:uid="{00000000-0005-0000-0000-0000C63B0000}"/>
    <cellStyle name="Millares 5 4 2 7 2 2" xfId="28679" xr:uid="{00000000-0005-0000-0000-0000C73B0000}"/>
    <cellStyle name="Millares 5 4 2 7 2 2 2" xfId="55812" xr:uid="{00000000-0005-0000-0000-0000C83B0000}"/>
    <cellStyle name="Millares 5 4 2 7 2 3" xfId="42250" xr:uid="{00000000-0005-0000-0000-0000C93B0000}"/>
    <cellStyle name="Millares 5 4 2 7 3" xfId="21898" xr:uid="{00000000-0005-0000-0000-0000CA3B0000}"/>
    <cellStyle name="Millares 5 4 2 7 3 2" xfId="49031" xr:uid="{00000000-0005-0000-0000-0000CB3B0000}"/>
    <cellStyle name="Millares 5 4 2 7 4" xfId="35469" xr:uid="{00000000-0005-0000-0000-0000CC3B0000}"/>
    <cellStyle name="Millares 5 4 2 8" xfId="11722" xr:uid="{00000000-0005-0000-0000-0000CD3B0000}"/>
    <cellStyle name="Millares 5 4 2 8 2" xfId="25290" xr:uid="{00000000-0005-0000-0000-0000CE3B0000}"/>
    <cellStyle name="Millares 5 4 2 8 2 2" xfId="52423" xr:uid="{00000000-0005-0000-0000-0000CF3B0000}"/>
    <cellStyle name="Millares 5 4 2 8 3" xfId="38861" xr:uid="{00000000-0005-0000-0000-0000D03B0000}"/>
    <cellStyle name="Millares 5 4 2 9" xfId="18509" xr:uid="{00000000-0005-0000-0000-0000D13B0000}"/>
    <cellStyle name="Millares 5 4 2 9 2" xfId="45642" xr:uid="{00000000-0005-0000-0000-0000D23B0000}"/>
    <cellStyle name="Millares 5 4 3" xfId="4742" xr:uid="{00000000-0005-0000-0000-0000D33B0000}"/>
    <cellStyle name="Millares 5 4 3 2" xfId="4743" xr:uid="{00000000-0005-0000-0000-0000D43B0000}"/>
    <cellStyle name="Millares 5 4 3 2 2" xfId="4744" xr:uid="{00000000-0005-0000-0000-0000D53B0000}"/>
    <cellStyle name="Millares 5 4 3 2 2 2" xfId="8339" xr:uid="{00000000-0005-0000-0000-0000D63B0000}"/>
    <cellStyle name="Millares 5 4 3 2 2 2 2" xfId="15129" xr:uid="{00000000-0005-0000-0000-0000D73B0000}"/>
    <cellStyle name="Millares 5 4 3 2 2 2 2 2" xfId="28697" xr:uid="{00000000-0005-0000-0000-0000D83B0000}"/>
    <cellStyle name="Millares 5 4 3 2 2 2 2 2 2" xfId="55830" xr:uid="{00000000-0005-0000-0000-0000D93B0000}"/>
    <cellStyle name="Millares 5 4 3 2 2 2 2 3" xfId="42268" xr:uid="{00000000-0005-0000-0000-0000DA3B0000}"/>
    <cellStyle name="Millares 5 4 3 2 2 2 3" xfId="21916" xr:uid="{00000000-0005-0000-0000-0000DB3B0000}"/>
    <cellStyle name="Millares 5 4 3 2 2 2 3 2" xfId="49049" xr:uid="{00000000-0005-0000-0000-0000DC3B0000}"/>
    <cellStyle name="Millares 5 4 3 2 2 2 4" xfId="35487" xr:uid="{00000000-0005-0000-0000-0000DD3B0000}"/>
    <cellStyle name="Millares 5 4 3 2 2 3" xfId="11740" xr:uid="{00000000-0005-0000-0000-0000DE3B0000}"/>
    <cellStyle name="Millares 5 4 3 2 2 3 2" xfId="25308" xr:uid="{00000000-0005-0000-0000-0000DF3B0000}"/>
    <cellStyle name="Millares 5 4 3 2 2 3 2 2" xfId="52441" xr:uid="{00000000-0005-0000-0000-0000E03B0000}"/>
    <cellStyle name="Millares 5 4 3 2 2 3 3" xfId="38879" xr:uid="{00000000-0005-0000-0000-0000E13B0000}"/>
    <cellStyle name="Millares 5 4 3 2 2 4" xfId="18527" xr:uid="{00000000-0005-0000-0000-0000E23B0000}"/>
    <cellStyle name="Millares 5 4 3 2 2 4 2" xfId="45660" xr:uid="{00000000-0005-0000-0000-0000E33B0000}"/>
    <cellStyle name="Millares 5 4 3 2 2 5" xfId="32098" xr:uid="{00000000-0005-0000-0000-0000E43B0000}"/>
    <cellStyle name="Millares 5 4 3 2 3" xfId="4745" xr:uid="{00000000-0005-0000-0000-0000E53B0000}"/>
    <cellStyle name="Millares 5 4 3 2 3 2" xfId="8340" xr:uid="{00000000-0005-0000-0000-0000E63B0000}"/>
    <cellStyle name="Millares 5 4 3 2 3 2 2" xfId="15130" xr:uid="{00000000-0005-0000-0000-0000E73B0000}"/>
    <cellStyle name="Millares 5 4 3 2 3 2 2 2" xfId="28698" xr:uid="{00000000-0005-0000-0000-0000E83B0000}"/>
    <cellStyle name="Millares 5 4 3 2 3 2 2 2 2" xfId="55831" xr:uid="{00000000-0005-0000-0000-0000E93B0000}"/>
    <cellStyle name="Millares 5 4 3 2 3 2 2 3" xfId="42269" xr:uid="{00000000-0005-0000-0000-0000EA3B0000}"/>
    <cellStyle name="Millares 5 4 3 2 3 2 3" xfId="21917" xr:uid="{00000000-0005-0000-0000-0000EB3B0000}"/>
    <cellStyle name="Millares 5 4 3 2 3 2 3 2" xfId="49050" xr:uid="{00000000-0005-0000-0000-0000EC3B0000}"/>
    <cellStyle name="Millares 5 4 3 2 3 2 4" xfId="35488" xr:uid="{00000000-0005-0000-0000-0000ED3B0000}"/>
    <cellStyle name="Millares 5 4 3 2 3 3" xfId="11741" xr:uid="{00000000-0005-0000-0000-0000EE3B0000}"/>
    <cellStyle name="Millares 5 4 3 2 3 3 2" xfId="25309" xr:uid="{00000000-0005-0000-0000-0000EF3B0000}"/>
    <cellStyle name="Millares 5 4 3 2 3 3 2 2" xfId="52442" xr:uid="{00000000-0005-0000-0000-0000F03B0000}"/>
    <cellStyle name="Millares 5 4 3 2 3 3 3" xfId="38880" xr:uid="{00000000-0005-0000-0000-0000F13B0000}"/>
    <cellStyle name="Millares 5 4 3 2 3 4" xfId="18528" xr:uid="{00000000-0005-0000-0000-0000F23B0000}"/>
    <cellStyle name="Millares 5 4 3 2 3 4 2" xfId="45661" xr:uid="{00000000-0005-0000-0000-0000F33B0000}"/>
    <cellStyle name="Millares 5 4 3 2 3 5" xfId="32099" xr:uid="{00000000-0005-0000-0000-0000F43B0000}"/>
    <cellStyle name="Millares 5 4 3 2 4" xfId="8338" xr:uid="{00000000-0005-0000-0000-0000F53B0000}"/>
    <cellStyle name="Millares 5 4 3 2 4 2" xfId="15128" xr:uid="{00000000-0005-0000-0000-0000F63B0000}"/>
    <cellStyle name="Millares 5 4 3 2 4 2 2" xfId="28696" xr:uid="{00000000-0005-0000-0000-0000F73B0000}"/>
    <cellStyle name="Millares 5 4 3 2 4 2 2 2" xfId="55829" xr:uid="{00000000-0005-0000-0000-0000F83B0000}"/>
    <cellStyle name="Millares 5 4 3 2 4 2 3" xfId="42267" xr:uid="{00000000-0005-0000-0000-0000F93B0000}"/>
    <cellStyle name="Millares 5 4 3 2 4 3" xfId="21915" xr:uid="{00000000-0005-0000-0000-0000FA3B0000}"/>
    <cellStyle name="Millares 5 4 3 2 4 3 2" xfId="49048" xr:uid="{00000000-0005-0000-0000-0000FB3B0000}"/>
    <cellStyle name="Millares 5 4 3 2 4 4" xfId="35486" xr:uid="{00000000-0005-0000-0000-0000FC3B0000}"/>
    <cellStyle name="Millares 5 4 3 2 5" xfId="11739" xr:uid="{00000000-0005-0000-0000-0000FD3B0000}"/>
    <cellStyle name="Millares 5 4 3 2 5 2" xfId="25307" xr:uid="{00000000-0005-0000-0000-0000FE3B0000}"/>
    <cellStyle name="Millares 5 4 3 2 5 2 2" xfId="52440" xr:uid="{00000000-0005-0000-0000-0000FF3B0000}"/>
    <cellStyle name="Millares 5 4 3 2 5 3" xfId="38878" xr:uid="{00000000-0005-0000-0000-0000003C0000}"/>
    <cellStyle name="Millares 5 4 3 2 6" xfId="18526" xr:uid="{00000000-0005-0000-0000-0000013C0000}"/>
    <cellStyle name="Millares 5 4 3 2 6 2" xfId="45659" xr:uid="{00000000-0005-0000-0000-0000023C0000}"/>
    <cellStyle name="Millares 5 4 3 2 7" xfId="32097" xr:uid="{00000000-0005-0000-0000-0000033C0000}"/>
    <cellStyle name="Millares 5 4 3 3" xfId="4746" xr:uid="{00000000-0005-0000-0000-0000043C0000}"/>
    <cellStyle name="Millares 5 4 3 3 2" xfId="4747" xr:uid="{00000000-0005-0000-0000-0000053C0000}"/>
    <cellStyle name="Millares 5 4 3 3 2 2" xfId="8342" xr:uid="{00000000-0005-0000-0000-0000063C0000}"/>
    <cellStyle name="Millares 5 4 3 3 2 2 2" xfId="15132" xr:uid="{00000000-0005-0000-0000-0000073C0000}"/>
    <cellStyle name="Millares 5 4 3 3 2 2 2 2" xfId="28700" xr:uid="{00000000-0005-0000-0000-0000083C0000}"/>
    <cellStyle name="Millares 5 4 3 3 2 2 2 2 2" xfId="55833" xr:uid="{00000000-0005-0000-0000-0000093C0000}"/>
    <cellStyle name="Millares 5 4 3 3 2 2 2 3" xfId="42271" xr:uid="{00000000-0005-0000-0000-00000A3C0000}"/>
    <cellStyle name="Millares 5 4 3 3 2 2 3" xfId="21919" xr:uid="{00000000-0005-0000-0000-00000B3C0000}"/>
    <cellStyle name="Millares 5 4 3 3 2 2 3 2" xfId="49052" xr:uid="{00000000-0005-0000-0000-00000C3C0000}"/>
    <cellStyle name="Millares 5 4 3 3 2 2 4" xfId="35490" xr:uid="{00000000-0005-0000-0000-00000D3C0000}"/>
    <cellStyle name="Millares 5 4 3 3 2 3" xfId="11743" xr:uid="{00000000-0005-0000-0000-00000E3C0000}"/>
    <cellStyle name="Millares 5 4 3 3 2 3 2" xfId="25311" xr:uid="{00000000-0005-0000-0000-00000F3C0000}"/>
    <cellStyle name="Millares 5 4 3 3 2 3 2 2" xfId="52444" xr:uid="{00000000-0005-0000-0000-0000103C0000}"/>
    <cellStyle name="Millares 5 4 3 3 2 3 3" xfId="38882" xr:uid="{00000000-0005-0000-0000-0000113C0000}"/>
    <cellStyle name="Millares 5 4 3 3 2 4" xfId="18530" xr:uid="{00000000-0005-0000-0000-0000123C0000}"/>
    <cellStyle name="Millares 5 4 3 3 2 4 2" xfId="45663" xr:uid="{00000000-0005-0000-0000-0000133C0000}"/>
    <cellStyle name="Millares 5 4 3 3 2 5" xfId="32101" xr:uid="{00000000-0005-0000-0000-0000143C0000}"/>
    <cellStyle name="Millares 5 4 3 3 3" xfId="8341" xr:uid="{00000000-0005-0000-0000-0000153C0000}"/>
    <cellStyle name="Millares 5 4 3 3 3 2" xfId="15131" xr:uid="{00000000-0005-0000-0000-0000163C0000}"/>
    <cellStyle name="Millares 5 4 3 3 3 2 2" xfId="28699" xr:uid="{00000000-0005-0000-0000-0000173C0000}"/>
    <cellStyle name="Millares 5 4 3 3 3 2 2 2" xfId="55832" xr:uid="{00000000-0005-0000-0000-0000183C0000}"/>
    <cellStyle name="Millares 5 4 3 3 3 2 3" xfId="42270" xr:uid="{00000000-0005-0000-0000-0000193C0000}"/>
    <cellStyle name="Millares 5 4 3 3 3 3" xfId="21918" xr:uid="{00000000-0005-0000-0000-00001A3C0000}"/>
    <cellStyle name="Millares 5 4 3 3 3 3 2" xfId="49051" xr:uid="{00000000-0005-0000-0000-00001B3C0000}"/>
    <cellStyle name="Millares 5 4 3 3 3 4" xfId="35489" xr:uid="{00000000-0005-0000-0000-00001C3C0000}"/>
    <cellStyle name="Millares 5 4 3 3 4" xfId="11742" xr:uid="{00000000-0005-0000-0000-00001D3C0000}"/>
    <cellStyle name="Millares 5 4 3 3 4 2" xfId="25310" xr:uid="{00000000-0005-0000-0000-00001E3C0000}"/>
    <cellStyle name="Millares 5 4 3 3 4 2 2" xfId="52443" xr:uid="{00000000-0005-0000-0000-00001F3C0000}"/>
    <cellStyle name="Millares 5 4 3 3 4 3" xfId="38881" xr:uid="{00000000-0005-0000-0000-0000203C0000}"/>
    <cellStyle name="Millares 5 4 3 3 5" xfId="18529" xr:uid="{00000000-0005-0000-0000-0000213C0000}"/>
    <cellStyle name="Millares 5 4 3 3 5 2" xfId="45662" xr:uid="{00000000-0005-0000-0000-0000223C0000}"/>
    <cellStyle name="Millares 5 4 3 3 6" xfId="32100" xr:uid="{00000000-0005-0000-0000-0000233C0000}"/>
    <cellStyle name="Millares 5 4 3 4" xfId="4748" xr:uid="{00000000-0005-0000-0000-0000243C0000}"/>
    <cellStyle name="Millares 5 4 3 4 2" xfId="8343" xr:uid="{00000000-0005-0000-0000-0000253C0000}"/>
    <cellStyle name="Millares 5 4 3 4 2 2" xfId="15133" xr:uid="{00000000-0005-0000-0000-0000263C0000}"/>
    <cellStyle name="Millares 5 4 3 4 2 2 2" xfId="28701" xr:uid="{00000000-0005-0000-0000-0000273C0000}"/>
    <cellStyle name="Millares 5 4 3 4 2 2 2 2" xfId="55834" xr:uid="{00000000-0005-0000-0000-0000283C0000}"/>
    <cellStyle name="Millares 5 4 3 4 2 2 3" xfId="42272" xr:uid="{00000000-0005-0000-0000-0000293C0000}"/>
    <cellStyle name="Millares 5 4 3 4 2 3" xfId="21920" xr:uid="{00000000-0005-0000-0000-00002A3C0000}"/>
    <cellStyle name="Millares 5 4 3 4 2 3 2" xfId="49053" xr:uid="{00000000-0005-0000-0000-00002B3C0000}"/>
    <cellStyle name="Millares 5 4 3 4 2 4" xfId="35491" xr:uid="{00000000-0005-0000-0000-00002C3C0000}"/>
    <cellStyle name="Millares 5 4 3 4 3" xfId="11744" xr:uid="{00000000-0005-0000-0000-00002D3C0000}"/>
    <cellStyle name="Millares 5 4 3 4 3 2" xfId="25312" xr:uid="{00000000-0005-0000-0000-00002E3C0000}"/>
    <cellStyle name="Millares 5 4 3 4 3 2 2" xfId="52445" xr:uid="{00000000-0005-0000-0000-00002F3C0000}"/>
    <cellStyle name="Millares 5 4 3 4 3 3" xfId="38883" xr:uid="{00000000-0005-0000-0000-0000303C0000}"/>
    <cellStyle name="Millares 5 4 3 4 4" xfId="18531" xr:uid="{00000000-0005-0000-0000-0000313C0000}"/>
    <cellStyle name="Millares 5 4 3 4 4 2" xfId="45664" xr:uid="{00000000-0005-0000-0000-0000323C0000}"/>
    <cellStyle name="Millares 5 4 3 4 5" xfId="32102" xr:uid="{00000000-0005-0000-0000-0000333C0000}"/>
    <cellStyle name="Millares 5 4 3 5" xfId="4749" xr:uid="{00000000-0005-0000-0000-0000343C0000}"/>
    <cellStyle name="Millares 5 4 3 5 2" xfId="8344" xr:uid="{00000000-0005-0000-0000-0000353C0000}"/>
    <cellStyle name="Millares 5 4 3 5 2 2" xfId="15134" xr:uid="{00000000-0005-0000-0000-0000363C0000}"/>
    <cellStyle name="Millares 5 4 3 5 2 2 2" xfId="28702" xr:uid="{00000000-0005-0000-0000-0000373C0000}"/>
    <cellStyle name="Millares 5 4 3 5 2 2 2 2" xfId="55835" xr:uid="{00000000-0005-0000-0000-0000383C0000}"/>
    <cellStyle name="Millares 5 4 3 5 2 2 3" xfId="42273" xr:uid="{00000000-0005-0000-0000-0000393C0000}"/>
    <cellStyle name="Millares 5 4 3 5 2 3" xfId="21921" xr:uid="{00000000-0005-0000-0000-00003A3C0000}"/>
    <cellStyle name="Millares 5 4 3 5 2 3 2" xfId="49054" xr:uid="{00000000-0005-0000-0000-00003B3C0000}"/>
    <cellStyle name="Millares 5 4 3 5 2 4" xfId="35492" xr:uid="{00000000-0005-0000-0000-00003C3C0000}"/>
    <cellStyle name="Millares 5 4 3 5 3" xfId="11745" xr:uid="{00000000-0005-0000-0000-00003D3C0000}"/>
    <cellStyle name="Millares 5 4 3 5 3 2" xfId="25313" xr:uid="{00000000-0005-0000-0000-00003E3C0000}"/>
    <cellStyle name="Millares 5 4 3 5 3 2 2" xfId="52446" xr:uid="{00000000-0005-0000-0000-00003F3C0000}"/>
    <cellStyle name="Millares 5 4 3 5 3 3" xfId="38884" xr:uid="{00000000-0005-0000-0000-0000403C0000}"/>
    <cellStyle name="Millares 5 4 3 5 4" xfId="18532" xr:uid="{00000000-0005-0000-0000-0000413C0000}"/>
    <cellStyle name="Millares 5 4 3 5 4 2" xfId="45665" xr:uid="{00000000-0005-0000-0000-0000423C0000}"/>
    <cellStyle name="Millares 5 4 3 5 5" xfId="32103" xr:uid="{00000000-0005-0000-0000-0000433C0000}"/>
    <cellStyle name="Millares 5 4 3 6" xfId="8337" xr:uid="{00000000-0005-0000-0000-0000443C0000}"/>
    <cellStyle name="Millares 5 4 3 6 2" xfId="15127" xr:uid="{00000000-0005-0000-0000-0000453C0000}"/>
    <cellStyle name="Millares 5 4 3 6 2 2" xfId="28695" xr:uid="{00000000-0005-0000-0000-0000463C0000}"/>
    <cellStyle name="Millares 5 4 3 6 2 2 2" xfId="55828" xr:uid="{00000000-0005-0000-0000-0000473C0000}"/>
    <cellStyle name="Millares 5 4 3 6 2 3" xfId="42266" xr:uid="{00000000-0005-0000-0000-0000483C0000}"/>
    <cellStyle name="Millares 5 4 3 6 3" xfId="21914" xr:uid="{00000000-0005-0000-0000-0000493C0000}"/>
    <cellStyle name="Millares 5 4 3 6 3 2" xfId="49047" xr:uid="{00000000-0005-0000-0000-00004A3C0000}"/>
    <cellStyle name="Millares 5 4 3 6 4" xfId="35485" xr:uid="{00000000-0005-0000-0000-00004B3C0000}"/>
    <cellStyle name="Millares 5 4 3 7" xfId="11738" xr:uid="{00000000-0005-0000-0000-00004C3C0000}"/>
    <cellStyle name="Millares 5 4 3 7 2" xfId="25306" xr:uid="{00000000-0005-0000-0000-00004D3C0000}"/>
    <cellStyle name="Millares 5 4 3 7 2 2" xfId="52439" xr:uid="{00000000-0005-0000-0000-00004E3C0000}"/>
    <cellStyle name="Millares 5 4 3 7 3" xfId="38877" xr:uid="{00000000-0005-0000-0000-00004F3C0000}"/>
    <cellStyle name="Millares 5 4 3 8" xfId="18525" xr:uid="{00000000-0005-0000-0000-0000503C0000}"/>
    <cellStyle name="Millares 5 4 3 8 2" xfId="45658" xr:uid="{00000000-0005-0000-0000-0000513C0000}"/>
    <cellStyle name="Millares 5 4 3 9" xfId="32096" xr:uid="{00000000-0005-0000-0000-0000523C0000}"/>
    <cellStyle name="Millares 5 4 4" xfId="4750" xr:uid="{00000000-0005-0000-0000-0000533C0000}"/>
    <cellStyle name="Millares 5 4 4 2" xfId="4751" xr:uid="{00000000-0005-0000-0000-0000543C0000}"/>
    <cellStyle name="Millares 5 4 4 2 2" xfId="4752" xr:uid="{00000000-0005-0000-0000-0000553C0000}"/>
    <cellStyle name="Millares 5 4 4 2 2 2" xfId="8347" xr:uid="{00000000-0005-0000-0000-0000563C0000}"/>
    <cellStyle name="Millares 5 4 4 2 2 2 2" xfId="15137" xr:uid="{00000000-0005-0000-0000-0000573C0000}"/>
    <cellStyle name="Millares 5 4 4 2 2 2 2 2" xfId="28705" xr:uid="{00000000-0005-0000-0000-0000583C0000}"/>
    <cellStyle name="Millares 5 4 4 2 2 2 2 2 2" xfId="55838" xr:uid="{00000000-0005-0000-0000-0000593C0000}"/>
    <cellStyle name="Millares 5 4 4 2 2 2 2 3" xfId="42276" xr:uid="{00000000-0005-0000-0000-00005A3C0000}"/>
    <cellStyle name="Millares 5 4 4 2 2 2 3" xfId="21924" xr:uid="{00000000-0005-0000-0000-00005B3C0000}"/>
    <cellStyle name="Millares 5 4 4 2 2 2 3 2" xfId="49057" xr:uid="{00000000-0005-0000-0000-00005C3C0000}"/>
    <cellStyle name="Millares 5 4 4 2 2 2 4" xfId="35495" xr:uid="{00000000-0005-0000-0000-00005D3C0000}"/>
    <cellStyle name="Millares 5 4 4 2 2 3" xfId="11748" xr:uid="{00000000-0005-0000-0000-00005E3C0000}"/>
    <cellStyle name="Millares 5 4 4 2 2 3 2" xfId="25316" xr:uid="{00000000-0005-0000-0000-00005F3C0000}"/>
    <cellStyle name="Millares 5 4 4 2 2 3 2 2" xfId="52449" xr:uid="{00000000-0005-0000-0000-0000603C0000}"/>
    <cellStyle name="Millares 5 4 4 2 2 3 3" xfId="38887" xr:uid="{00000000-0005-0000-0000-0000613C0000}"/>
    <cellStyle name="Millares 5 4 4 2 2 4" xfId="18535" xr:uid="{00000000-0005-0000-0000-0000623C0000}"/>
    <cellStyle name="Millares 5 4 4 2 2 4 2" xfId="45668" xr:uid="{00000000-0005-0000-0000-0000633C0000}"/>
    <cellStyle name="Millares 5 4 4 2 2 5" xfId="32106" xr:uid="{00000000-0005-0000-0000-0000643C0000}"/>
    <cellStyle name="Millares 5 4 4 2 3" xfId="4753" xr:uid="{00000000-0005-0000-0000-0000653C0000}"/>
    <cellStyle name="Millares 5 4 4 2 3 2" xfId="8348" xr:uid="{00000000-0005-0000-0000-0000663C0000}"/>
    <cellStyle name="Millares 5 4 4 2 3 2 2" xfId="15138" xr:uid="{00000000-0005-0000-0000-0000673C0000}"/>
    <cellStyle name="Millares 5 4 4 2 3 2 2 2" xfId="28706" xr:uid="{00000000-0005-0000-0000-0000683C0000}"/>
    <cellStyle name="Millares 5 4 4 2 3 2 2 2 2" xfId="55839" xr:uid="{00000000-0005-0000-0000-0000693C0000}"/>
    <cellStyle name="Millares 5 4 4 2 3 2 2 3" xfId="42277" xr:uid="{00000000-0005-0000-0000-00006A3C0000}"/>
    <cellStyle name="Millares 5 4 4 2 3 2 3" xfId="21925" xr:uid="{00000000-0005-0000-0000-00006B3C0000}"/>
    <cellStyle name="Millares 5 4 4 2 3 2 3 2" xfId="49058" xr:uid="{00000000-0005-0000-0000-00006C3C0000}"/>
    <cellStyle name="Millares 5 4 4 2 3 2 4" xfId="35496" xr:uid="{00000000-0005-0000-0000-00006D3C0000}"/>
    <cellStyle name="Millares 5 4 4 2 3 3" xfId="11749" xr:uid="{00000000-0005-0000-0000-00006E3C0000}"/>
    <cellStyle name="Millares 5 4 4 2 3 3 2" xfId="25317" xr:uid="{00000000-0005-0000-0000-00006F3C0000}"/>
    <cellStyle name="Millares 5 4 4 2 3 3 2 2" xfId="52450" xr:uid="{00000000-0005-0000-0000-0000703C0000}"/>
    <cellStyle name="Millares 5 4 4 2 3 3 3" xfId="38888" xr:uid="{00000000-0005-0000-0000-0000713C0000}"/>
    <cellStyle name="Millares 5 4 4 2 3 4" xfId="18536" xr:uid="{00000000-0005-0000-0000-0000723C0000}"/>
    <cellStyle name="Millares 5 4 4 2 3 4 2" xfId="45669" xr:uid="{00000000-0005-0000-0000-0000733C0000}"/>
    <cellStyle name="Millares 5 4 4 2 3 5" xfId="32107" xr:uid="{00000000-0005-0000-0000-0000743C0000}"/>
    <cellStyle name="Millares 5 4 4 2 4" xfId="8346" xr:uid="{00000000-0005-0000-0000-0000753C0000}"/>
    <cellStyle name="Millares 5 4 4 2 4 2" xfId="15136" xr:uid="{00000000-0005-0000-0000-0000763C0000}"/>
    <cellStyle name="Millares 5 4 4 2 4 2 2" xfId="28704" xr:uid="{00000000-0005-0000-0000-0000773C0000}"/>
    <cellStyle name="Millares 5 4 4 2 4 2 2 2" xfId="55837" xr:uid="{00000000-0005-0000-0000-0000783C0000}"/>
    <cellStyle name="Millares 5 4 4 2 4 2 3" xfId="42275" xr:uid="{00000000-0005-0000-0000-0000793C0000}"/>
    <cellStyle name="Millares 5 4 4 2 4 3" xfId="21923" xr:uid="{00000000-0005-0000-0000-00007A3C0000}"/>
    <cellStyle name="Millares 5 4 4 2 4 3 2" xfId="49056" xr:uid="{00000000-0005-0000-0000-00007B3C0000}"/>
    <cellStyle name="Millares 5 4 4 2 4 4" xfId="35494" xr:uid="{00000000-0005-0000-0000-00007C3C0000}"/>
    <cellStyle name="Millares 5 4 4 2 5" xfId="11747" xr:uid="{00000000-0005-0000-0000-00007D3C0000}"/>
    <cellStyle name="Millares 5 4 4 2 5 2" xfId="25315" xr:uid="{00000000-0005-0000-0000-00007E3C0000}"/>
    <cellStyle name="Millares 5 4 4 2 5 2 2" xfId="52448" xr:uid="{00000000-0005-0000-0000-00007F3C0000}"/>
    <cellStyle name="Millares 5 4 4 2 5 3" xfId="38886" xr:uid="{00000000-0005-0000-0000-0000803C0000}"/>
    <cellStyle name="Millares 5 4 4 2 6" xfId="18534" xr:uid="{00000000-0005-0000-0000-0000813C0000}"/>
    <cellStyle name="Millares 5 4 4 2 6 2" xfId="45667" xr:uid="{00000000-0005-0000-0000-0000823C0000}"/>
    <cellStyle name="Millares 5 4 4 2 7" xfId="32105" xr:uid="{00000000-0005-0000-0000-0000833C0000}"/>
    <cellStyle name="Millares 5 4 4 3" xfId="4754" xr:uid="{00000000-0005-0000-0000-0000843C0000}"/>
    <cellStyle name="Millares 5 4 4 3 2" xfId="8349" xr:uid="{00000000-0005-0000-0000-0000853C0000}"/>
    <cellStyle name="Millares 5 4 4 3 2 2" xfId="15139" xr:uid="{00000000-0005-0000-0000-0000863C0000}"/>
    <cellStyle name="Millares 5 4 4 3 2 2 2" xfId="28707" xr:uid="{00000000-0005-0000-0000-0000873C0000}"/>
    <cellStyle name="Millares 5 4 4 3 2 2 2 2" xfId="55840" xr:uid="{00000000-0005-0000-0000-0000883C0000}"/>
    <cellStyle name="Millares 5 4 4 3 2 2 3" xfId="42278" xr:uid="{00000000-0005-0000-0000-0000893C0000}"/>
    <cellStyle name="Millares 5 4 4 3 2 3" xfId="21926" xr:uid="{00000000-0005-0000-0000-00008A3C0000}"/>
    <cellStyle name="Millares 5 4 4 3 2 3 2" xfId="49059" xr:uid="{00000000-0005-0000-0000-00008B3C0000}"/>
    <cellStyle name="Millares 5 4 4 3 2 4" xfId="35497" xr:uid="{00000000-0005-0000-0000-00008C3C0000}"/>
    <cellStyle name="Millares 5 4 4 3 3" xfId="11750" xr:uid="{00000000-0005-0000-0000-00008D3C0000}"/>
    <cellStyle name="Millares 5 4 4 3 3 2" xfId="25318" xr:uid="{00000000-0005-0000-0000-00008E3C0000}"/>
    <cellStyle name="Millares 5 4 4 3 3 2 2" xfId="52451" xr:uid="{00000000-0005-0000-0000-00008F3C0000}"/>
    <cellStyle name="Millares 5 4 4 3 3 3" xfId="38889" xr:uid="{00000000-0005-0000-0000-0000903C0000}"/>
    <cellStyle name="Millares 5 4 4 3 4" xfId="18537" xr:uid="{00000000-0005-0000-0000-0000913C0000}"/>
    <cellStyle name="Millares 5 4 4 3 4 2" xfId="45670" xr:uid="{00000000-0005-0000-0000-0000923C0000}"/>
    <cellStyle name="Millares 5 4 4 3 5" xfId="32108" xr:uid="{00000000-0005-0000-0000-0000933C0000}"/>
    <cellStyle name="Millares 5 4 4 4" xfId="4755" xr:uid="{00000000-0005-0000-0000-0000943C0000}"/>
    <cellStyle name="Millares 5 4 4 4 2" xfId="8350" xr:uid="{00000000-0005-0000-0000-0000953C0000}"/>
    <cellStyle name="Millares 5 4 4 4 2 2" xfId="15140" xr:uid="{00000000-0005-0000-0000-0000963C0000}"/>
    <cellStyle name="Millares 5 4 4 4 2 2 2" xfId="28708" xr:uid="{00000000-0005-0000-0000-0000973C0000}"/>
    <cellStyle name="Millares 5 4 4 4 2 2 2 2" xfId="55841" xr:uid="{00000000-0005-0000-0000-0000983C0000}"/>
    <cellStyle name="Millares 5 4 4 4 2 2 3" xfId="42279" xr:uid="{00000000-0005-0000-0000-0000993C0000}"/>
    <cellStyle name="Millares 5 4 4 4 2 3" xfId="21927" xr:uid="{00000000-0005-0000-0000-00009A3C0000}"/>
    <cellStyle name="Millares 5 4 4 4 2 3 2" xfId="49060" xr:uid="{00000000-0005-0000-0000-00009B3C0000}"/>
    <cellStyle name="Millares 5 4 4 4 2 4" xfId="35498" xr:uid="{00000000-0005-0000-0000-00009C3C0000}"/>
    <cellStyle name="Millares 5 4 4 4 3" xfId="11751" xr:uid="{00000000-0005-0000-0000-00009D3C0000}"/>
    <cellStyle name="Millares 5 4 4 4 3 2" xfId="25319" xr:uid="{00000000-0005-0000-0000-00009E3C0000}"/>
    <cellStyle name="Millares 5 4 4 4 3 2 2" xfId="52452" xr:uid="{00000000-0005-0000-0000-00009F3C0000}"/>
    <cellStyle name="Millares 5 4 4 4 3 3" xfId="38890" xr:uid="{00000000-0005-0000-0000-0000A03C0000}"/>
    <cellStyle name="Millares 5 4 4 4 4" xfId="18538" xr:uid="{00000000-0005-0000-0000-0000A13C0000}"/>
    <cellStyle name="Millares 5 4 4 4 4 2" xfId="45671" xr:uid="{00000000-0005-0000-0000-0000A23C0000}"/>
    <cellStyle name="Millares 5 4 4 4 5" xfId="32109" xr:uid="{00000000-0005-0000-0000-0000A33C0000}"/>
    <cellStyle name="Millares 5 4 4 5" xfId="8345" xr:uid="{00000000-0005-0000-0000-0000A43C0000}"/>
    <cellStyle name="Millares 5 4 4 5 2" xfId="15135" xr:uid="{00000000-0005-0000-0000-0000A53C0000}"/>
    <cellStyle name="Millares 5 4 4 5 2 2" xfId="28703" xr:uid="{00000000-0005-0000-0000-0000A63C0000}"/>
    <cellStyle name="Millares 5 4 4 5 2 2 2" xfId="55836" xr:uid="{00000000-0005-0000-0000-0000A73C0000}"/>
    <cellStyle name="Millares 5 4 4 5 2 3" xfId="42274" xr:uid="{00000000-0005-0000-0000-0000A83C0000}"/>
    <cellStyle name="Millares 5 4 4 5 3" xfId="21922" xr:uid="{00000000-0005-0000-0000-0000A93C0000}"/>
    <cellStyle name="Millares 5 4 4 5 3 2" xfId="49055" xr:uid="{00000000-0005-0000-0000-0000AA3C0000}"/>
    <cellStyle name="Millares 5 4 4 5 4" xfId="35493" xr:uid="{00000000-0005-0000-0000-0000AB3C0000}"/>
    <cellStyle name="Millares 5 4 4 6" xfId="11746" xr:uid="{00000000-0005-0000-0000-0000AC3C0000}"/>
    <cellStyle name="Millares 5 4 4 6 2" xfId="25314" xr:uid="{00000000-0005-0000-0000-0000AD3C0000}"/>
    <cellStyle name="Millares 5 4 4 6 2 2" xfId="52447" xr:uid="{00000000-0005-0000-0000-0000AE3C0000}"/>
    <cellStyle name="Millares 5 4 4 6 3" xfId="38885" xr:uid="{00000000-0005-0000-0000-0000AF3C0000}"/>
    <cellStyle name="Millares 5 4 4 7" xfId="18533" xr:uid="{00000000-0005-0000-0000-0000B03C0000}"/>
    <cellStyle name="Millares 5 4 4 7 2" xfId="45666" xr:uid="{00000000-0005-0000-0000-0000B13C0000}"/>
    <cellStyle name="Millares 5 4 4 8" xfId="32104" xr:uid="{00000000-0005-0000-0000-0000B23C0000}"/>
    <cellStyle name="Millares 5 4 5" xfId="4756" xr:uid="{00000000-0005-0000-0000-0000B33C0000}"/>
    <cellStyle name="Millares 5 4 5 2" xfId="4757" xr:uid="{00000000-0005-0000-0000-0000B43C0000}"/>
    <cellStyle name="Millares 5 4 5 2 2" xfId="4758" xr:uid="{00000000-0005-0000-0000-0000B53C0000}"/>
    <cellStyle name="Millares 5 4 5 2 2 2" xfId="8353" xr:uid="{00000000-0005-0000-0000-0000B63C0000}"/>
    <cellStyle name="Millares 5 4 5 2 2 2 2" xfId="15143" xr:uid="{00000000-0005-0000-0000-0000B73C0000}"/>
    <cellStyle name="Millares 5 4 5 2 2 2 2 2" xfId="28711" xr:uid="{00000000-0005-0000-0000-0000B83C0000}"/>
    <cellStyle name="Millares 5 4 5 2 2 2 2 2 2" xfId="55844" xr:uid="{00000000-0005-0000-0000-0000B93C0000}"/>
    <cellStyle name="Millares 5 4 5 2 2 2 2 3" xfId="42282" xr:uid="{00000000-0005-0000-0000-0000BA3C0000}"/>
    <cellStyle name="Millares 5 4 5 2 2 2 3" xfId="21930" xr:uid="{00000000-0005-0000-0000-0000BB3C0000}"/>
    <cellStyle name="Millares 5 4 5 2 2 2 3 2" xfId="49063" xr:uid="{00000000-0005-0000-0000-0000BC3C0000}"/>
    <cellStyle name="Millares 5 4 5 2 2 2 4" xfId="35501" xr:uid="{00000000-0005-0000-0000-0000BD3C0000}"/>
    <cellStyle name="Millares 5 4 5 2 2 3" xfId="11754" xr:uid="{00000000-0005-0000-0000-0000BE3C0000}"/>
    <cellStyle name="Millares 5 4 5 2 2 3 2" xfId="25322" xr:uid="{00000000-0005-0000-0000-0000BF3C0000}"/>
    <cellStyle name="Millares 5 4 5 2 2 3 2 2" xfId="52455" xr:uid="{00000000-0005-0000-0000-0000C03C0000}"/>
    <cellStyle name="Millares 5 4 5 2 2 3 3" xfId="38893" xr:uid="{00000000-0005-0000-0000-0000C13C0000}"/>
    <cellStyle name="Millares 5 4 5 2 2 4" xfId="18541" xr:uid="{00000000-0005-0000-0000-0000C23C0000}"/>
    <cellStyle name="Millares 5 4 5 2 2 4 2" xfId="45674" xr:uid="{00000000-0005-0000-0000-0000C33C0000}"/>
    <cellStyle name="Millares 5 4 5 2 2 5" xfId="32112" xr:uid="{00000000-0005-0000-0000-0000C43C0000}"/>
    <cellStyle name="Millares 5 4 5 2 3" xfId="4759" xr:uid="{00000000-0005-0000-0000-0000C53C0000}"/>
    <cellStyle name="Millares 5 4 5 2 3 2" xfId="8354" xr:uid="{00000000-0005-0000-0000-0000C63C0000}"/>
    <cellStyle name="Millares 5 4 5 2 3 2 2" xfId="15144" xr:uid="{00000000-0005-0000-0000-0000C73C0000}"/>
    <cellStyle name="Millares 5 4 5 2 3 2 2 2" xfId="28712" xr:uid="{00000000-0005-0000-0000-0000C83C0000}"/>
    <cellStyle name="Millares 5 4 5 2 3 2 2 2 2" xfId="55845" xr:uid="{00000000-0005-0000-0000-0000C93C0000}"/>
    <cellStyle name="Millares 5 4 5 2 3 2 2 3" xfId="42283" xr:uid="{00000000-0005-0000-0000-0000CA3C0000}"/>
    <cellStyle name="Millares 5 4 5 2 3 2 3" xfId="21931" xr:uid="{00000000-0005-0000-0000-0000CB3C0000}"/>
    <cellStyle name="Millares 5 4 5 2 3 2 3 2" xfId="49064" xr:uid="{00000000-0005-0000-0000-0000CC3C0000}"/>
    <cellStyle name="Millares 5 4 5 2 3 2 4" xfId="35502" xr:uid="{00000000-0005-0000-0000-0000CD3C0000}"/>
    <cellStyle name="Millares 5 4 5 2 3 3" xfId="11755" xr:uid="{00000000-0005-0000-0000-0000CE3C0000}"/>
    <cellStyle name="Millares 5 4 5 2 3 3 2" xfId="25323" xr:uid="{00000000-0005-0000-0000-0000CF3C0000}"/>
    <cellStyle name="Millares 5 4 5 2 3 3 2 2" xfId="52456" xr:uid="{00000000-0005-0000-0000-0000D03C0000}"/>
    <cellStyle name="Millares 5 4 5 2 3 3 3" xfId="38894" xr:uid="{00000000-0005-0000-0000-0000D13C0000}"/>
    <cellStyle name="Millares 5 4 5 2 3 4" xfId="18542" xr:uid="{00000000-0005-0000-0000-0000D23C0000}"/>
    <cellStyle name="Millares 5 4 5 2 3 4 2" xfId="45675" xr:uid="{00000000-0005-0000-0000-0000D33C0000}"/>
    <cellStyle name="Millares 5 4 5 2 3 5" xfId="32113" xr:uid="{00000000-0005-0000-0000-0000D43C0000}"/>
    <cellStyle name="Millares 5 4 5 2 4" xfId="8352" xr:uid="{00000000-0005-0000-0000-0000D53C0000}"/>
    <cellStyle name="Millares 5 4 5 2 4 2" xfId="15142" xr:uid="{00000000-0005-0000-0000-0000D63C0000}"/>
    <cellStyle name="Millares 5 4 5 2 4 2 2" xfId="28710" xr:uid="{00000000-0005-0000-0000-0000D73C0000}"/>
    <cellStyle name="Millares 5 4 5 2 4 2 2 2" xfId="55843" xr:uid="{00000000-0005-0000-0000-0000D83C0000}"/>
    <cellStyle name="Millares 5 4 5 2 4 2 3" xfId="42281" xr:uid="{00000000-0005-0000-0000-0000D93C0000}"/>
    <cellStyle name="Millares 5 4 5 2 4 3" xfId="21929" xr:uid="{00000000-0005-0000-0000-0000DA3C0000}"/>
    <cellStyle name="Millares 5 4 5 2 4 3 2" xfId="49062" xr:uid="{00000000-0005-0000-0000-0000DB3C0000}"/>
    <cellStyle name="Millares 5 4 5 2 4 4" xfId="35500" xr:uid="{00000000-0005-0000-0000-0000DC3C0000}"/>
    <cellStyle name="Millares 5 4 5 2 5" xfId="11753" xr:uid="{00000000-0005-0000-0000-0000DD3C0000}"/>
    <cellStyle name="Millares 5 4 5 2 5 2" xfId="25321" xr:uid="{00000000-0005-0000-0000-0000DE3C0000}"/>
    <cellStyle name="Millares 5 4 5 2 5 2 2" xfId="52454" xr:uid="{00000000-0005-0000-0000-0000DF3C0000}"/>
    <cellStyle name="Millares 5 4 5 2 5 3" xfId="38892" xr:uid="{00000000-0005-0000-0000-0000E03C0000}"/>
    <cellStyle name="Millares 5 4 5 2 6" xfId="18540" xr:uid="{00000000-0005-0000-0000-0000E13C0000}"/>
    <cellStyle name="Millares 5 4 5 2 6 2" xfId="45673" xr:uid="{00000000-0005-0000-0000-0000E23C0000}"/>
    <cellStyle name="Millares 5 4 5 2 7" xfId="32111" xr:uid="{00000000-0005-0000-0000-0000E33C0000}"/>
    <cellStyle name="Millares 5 4 5 3" xfId="4760" xr:uid="{00000000-0005-0000-0000-0000E43C0000}"/>
    <cellStyle name="Millares 5 4 5 3 2" xfId="8355" xr:uid="{00000000-0005-0000-0000-0000E53C0000}"/>
    <cellStyle name="Millares 5 4 5 3 2 2" xfId="15145" xr:uid="{00000000-0005-0000-0000-0000E63C0000}"/>
    <cellStyle name="Millares 5 4 5 3 2 2 2" xfId="28713" xr:uid="{00000000-0005-0000-0000-0000E73C0000}"/>
    <cellStyle name="Millares 5 4 5 3 2 2 2 2" xfId="55846" xr:uid="{00000000-0005-0000-0000-0000E83C0000}"/>
    <cellStyle name="Millares 5 4 5 3 2 2 3" xfId="42284" xr:uid="{00000000-0005-0000-0000-0000E93C0000}"/>
    <cellStyle name="Millares 5 4 5 3 2 3" xfId="21932" xr:uid="{00000000-0005-0000-0000-0000EA3C0000}"/>
    <cellStyle name="Millares 5 4 5 3 2 3 2" xfId="49065" xr:uid="{00000000-0005-0000-0000-0000EB3C0000}"/>
    <cellStyle name="Millares 5 4 5 3 2 4" xfId="35503" xr:uid="{00000000-0005-0000-0000-0000EC3C0000}"/>
    <cellStyle name="Millares 5 4 5 3 3" xfId="11756" xr:uid="{00000000-0005-0000-0000-0000ED3C0000}"/>
    <cellStyle name="Millares 5 4 5 3 3 2" xfId="25324" xr:uid="{00000000-0005-0000-0000-0000EE3C0000}"/>
    <cellStyle name="Millares 5 4 5 3 3 2 2" xfId="52457" xr:uid="{00000000-0005-0000-0000-0000EF3C0000}"/>
    <cellStyle name="Millares 5 4 5 3 3 3" xfId="38895" xr:uid="{00000000-0005-0000-0000-0000F03C0000}"/>
    <cellStyle name="Millares 5 4 5 3 4" xfId="18543" xr:uid="{00000000-0005-0000-0000-0000F13C0000}"/>
    <cellStyle name="Millares 5 4 5 3 4 2" xfId="45676" xr:uid="{00000000-0005-0000-0000-0000F23C0000}"/>
    <cellStyle name="Millares 5 4 5 3 5" xfId="32114" xr:uid="{00000000-0005-0000-0000-0000F33C0000}"/>
    <cellStyle name="Millares 5 4 5 4" xfId="4761" xr:uid="{00000000-0005-0000-0000-0000F43C0000}"/>
    <cellStyle name="Millares 5 4 5 4 2" xfId="8356" xr:uid="{00000000-0005-0000-0000-0000F53C0000}"/>
    <cellStyle name="Millares 5 4 5 4 2 2" xfId="15146" xr:uid="{00000000-0005-0000-0000-0000F63C0000}"/>
    <cellStyle name="Millares 5 4 5 4 2 2 2" xfId="28714" xr:uid="{00000000-0005-0000-0000-0000F73C0000}"/>
    <cellStyle name="Millares 5 4 5 4 2 2 2 2" xfId="55847" xr:uid="{00000000-0005-0000-0000-0000F83C0000}"/>
    <cellStyle name="Millares 5 4 5 4 2 2 3" xfId="42285" xr:uid="{00000000-0005-0000-0000-0000F93C0000}"/>
    <cellStyle name="Millares 5 4 5 4 2 3" xfId="21933" xr:uid="{00000000-0005-0000-0000-0000FA3C0000}"/>
    <cellStyle name="Millares 5 4 5 4 2 3 2" xfId="49066" xr:uid="{00000000-0005-0000-0000-0000FB3C0000}"/>
    <cellStyle name="Millares 5 4 5 4 2 4" xfId="35504" xr:uid="{00000000-0005-0000-0000-0000FC3C0000}"/>
    <cellStyle name="Millares 5 4 5 4 3" xfId="11757" xr:uid="{00000000-0005-0000-0000-0000FD3C0000}"/>
    <cellStyle name="Millares 5 4 5 4 3 2" xfId="25325" xr:uid="{00000000-0005-0000-0000-0000FE3C0000}"/>
    <cellStyle name="Millares 5 4 5 4 3 2 2" xfId="52458" xr:uid="{00000000-0005-0000-0000-0000FF3C0000}"/>
    <cellStyle name="Millares 5 4 5 4 3 3" xfId="38896" xr:uid="{00000000-0005-0000-0000-0000003D0000}"/>
    <cellStyle name="Millares 5 4 5 4 4" xfId="18544" xr:uid="{00000000-0005-0000-0000-0000013D0000}"/>
    <cellStyle name="Millares 5 4 5 4 4 2" xfId="45677" xr:uid="{00000000-0005-0000-0000-0000023D0000}"/>
    <cellStyle name="Millares 5 4 5 4 5" xfId="32115" xr:uid="{00000000-0005-0000-0000-0000033D0000}"/>
    <cellStyle name="Millares 5 4 5 5" xfId="8351" xr:uid="{00000000-0005-0000-0000-0000043D0000}"/>
    <cellStyle name="Millares 5 4 5 5 2" xfId="15141" xr:uid="{00000000-0005-0000-0000-0000053D0000}"/>
    <cellStyle name="Millares 5 4 5 5 2 2" xfId="28709" xr:uid="{00000000-0005-0000-0000-0000063D0000}"/>
    <cellStyle name="Millares 5 4 5 5 2 2 2" xfId="55842" xr:uid="{00000000-0005-0000-0000-0000073D0000}"/>
    <cellStyle name="Millares 5 4 5 5 2 3" xfId="42280" xr:uid="{00000000-0005-0000-0000-0000083D0000}"/>
    <cellStyle name="Millares 5 4 5 5 3" xfId="21928" xr:uid="{00000000-0005-0000-0000-0000093D0000}"/>
    <cellStyle name="Millares 5 4 5 5 3 2" xfId="49061" xr:uid="{00000000-0005-0000-0000-00000A3D0000}"/>
    <cellStyle name="Millares 5 4 5 5 4" xfId="35499" xr:uid="{00000000-0005-0000-0000-00000B3D0000}"/>
    <cellStyle name="Millares 5 4 5 6" xfId="11752" xr:uid="{00000000-0005-0000-0000-00000C3D0000}"/>
    <cellStyle name="Millares 5 4 5 6 2" xfId="25320" xr:uid="{00000000-0005-0000-0000-00000D3D0000}"/>
    <cellStyle name="Millares 5 4 5 6 2 2" xfId="52453" xr:uid="{00000000-0005-0000-0000-00000E3D0000}"/>
    <cellStyle name="Millares 5 4 5 6 3" xfId="38891" xr:uid="{00000000-0005-0000-0000-00000F3D0000}"/>
    <cellStyle name="Millares 5 4 5 7" xfId="18539" xr:uid="{00000000-0005-0000-0000-0000103D0000}"/>
    <cellStyle name="Millares 5 4 5 7 2" xfId="45672" xr:uid="{00000000-0005-0000-0000-0000113D0000}"/>
    <cellStyle name="Millares 5 4 5 8" xfId="32110" xr:uid="{00000000-0005-0000-0000-0000123D0000}"/>
    <cellStyle name="Millares 5 4 6" xfId="4762" xr:uid="{00000000-0005-0000-0000-0000133D0000}"/>
    <cellStyle name="Millares 5 4 6 2" xfId="4763" xr:uid="{00000000-0005-0000-0000-0000143D0000}"/>
    <cellStyle name="Millares 5 4 6 2 2" xfId="8358" xr:uid="{00000000-0005-0000-0000-0000153D0000}"/>
    <cellStyle name="Millares 5 4 6 2 2 2" xfId="15148" xr:uid="{00000000-0005-0000-0000-0000163D0000}"/>
    <cellStyle name="Millares 5 4 6 2 2 2 2" xfId="28716" xr:uid="{00000000-0005-0000-0000-0000173D0000}"/>
    <cellStyle name="Millares 5 4 6 2 2 2 2 2" xfId="55849" xr:uid="{00000000-0005-0000-0000-0000183D0000}"/>
    <cellStyle name="Millares 5 4 6 2 2 2 3" xfId="42287" xr:uid="{00000000-0005-0000-0000-0000193D0000}"/>
    <cellStyle name="Millares 5 4 6 2 2 3" xfId="21935" xr:uid="{00000000-0005-0000-0000-00001A3D0000}"/>
    <cellStyle name="Millares 5 4 6 2 2 3 2" xfId="49068" xr:uid="{00000000-0005-0000-0000-00001B3D0000}"/>
    <cellStyle name="Millares 5 4 6 2 2 4" xfId="35506" xr:uid="{00000000-0005-0000-0000-00001C3D0000}"/>
    <cellStyle name="Millares 5 4 6 2 3" xfId="11759" xr:uid="{00000000-0005-0000-0000-00001D3D0000}"/>
    <cellStyle name="Millares 5 4 6 2 3 2" xfId="25327" xr:uid="{00000000-0005-0000-0000-00001E3D0000}"/>
    <cellStyle name="Millares 5 4 6 2 3 2 2" xfId="52460" xr:uid="{00000000-0005-0000-0000-00001F3D0000}"/>
    <cellStyle name="Millares 5 4 6 2 3 3" xfId="38898" xr:uid="{00000000-0005-0000-0000-0000203D0000}"/>
    <cellStyle name="Millares 5 4 6 2 4" xfId="18546" xr:uid="{00000000-0005-0000-0000-0000213D0000}"/>
    <cellStyle name="Millares 5 4 6 2 4 2" xfId="45679" xr:uid="{00000000-0005-0000-0000-0000223D0000}"/>
    <cellStyle name="Millares 5 4 6 2 5" xfId="32117" xr:uid="{00000000-0005-0000-0000-0000233D0000}"/>
    <cellStyle name="Millares 5 4 6 3" xfId="4764" xr:uid="{00000000-0005-0000-0000-0000243D0000}"/>
    <cellStyle name="Millares 5 4 6 3 2" xfId="8359" xr:uid="{00000000-0005-0000-0000-0000253D0000}"/>
    <cellStyle name="Millares 5 4 6 3 2 2" xfId="15149" xr:uid="{00000000-0005-0000-0000-0000263D0000}"/>
    <cellStyle name="Millares 5 4 6 3 2 2 2" xfId="28717" xr:uid="{00000000-0005-0000-0000-0000273D0000}"/>
    <cellStyle name="Millares 5 4 6 3 2 2 2 2" xfId="55850" xr:uid="{00000000-0005-0000-0000-0000283D0000}"/>
    <cellStyle name="Millares 5 4 6 3 2 2 3" xfId="42288" xr:uid="{00000000-0005-0000-0000-0000293D0000}"/>
    <cellStyle name="Millares 5 4 6 3 2 3" xfId="21936" xr:uid="{00000000-0005-0000-0000-00002A3D0000}"/>
    <cellStyle name="Millares 5 4 6 3 2 3 2" xfId="49069" xr:uid="{00000000-0005-0000-0000-00002B3D0000}"/>
    <cellStyle name="Millares 5 4 6 3 2 4" xfId="35507" xr:uid="{00000000-0005-0000-0000-00002C3D0000}"/>
    <cellStyle name="Millares 5 4 6 3 3" xfId="11760" xr:uid="{00000000-0005-0000-0000-00002D3D0000}"/>
    <cellStyle name="Millares 5 4 6 3 3 2" xfId="25328" xr:uid="{00000000-0005-0000-0000-00002E3D0000}"/>
    <cellStyle name="Millares 5 4 6 3 3 2 2" xfId="52461" xr:uid="{00000000-0005-0000-0000-00002F3D0000}"/>
    <cellStyle name="Millares 5 4 6 3 3 3" xfId="38899" xr:uid="{00000000-0005-0000-0000-0000303D0000}"/>
    <cellStyle name="Millares 5 4 6 3 4" xfId="18547" xr:uid="{00000000-0005-0000-0000-0000313D0000}"/>
    <cellStyle name="Millares 5 4 6 3 4 2" xfId="45680" xr:uid="{00000000-0005-0000-0000-0000323D0000}"/>
    <cellStyle name="Millares 5 4 6 3 5" xfId="32118" xr:uid="{00000000-0005-0000-0000-0000333D0000}"/>
    <cellStyle name="Millares 5 4 6 4" xfId="8357" xr:uid="{00000000-0005-0000-0000-0000343D0000}"/>
    <cellStyle name="Millares 5 4 6 4 2" xfId="15147" xr:uid="{00000000-0005-0000-0000-0000353D0000}"/>
    <cellStyle name="Millares 5 4 6 4 2 2" xfId="28715" xr:uid="{00000000-0005-0000-0000-0000363D0000}"/>
    <cellStyle name="Millares 5 4 6 4 2 2 2" xfId="55848" xr:uid="{00000000-0005-0000-0000-0000373D0000}"/>
    <cellStyle name="Millares 5 4 6 4 2 3" xfId="42286" xr:uid="{00000000-0005-0000-0000-0000383D0000}"/>
    <cellStyle name="Millares 5 4 6 4 3" xfId="21934" xr:uid="{00000000-0005-0000-0000-0000393D0000}"/>
    <cellStyle name="Millares 5 4 6 4 3 2" xfId="49067" xr:uid="{00000000-0005-0000-0000-00003A3D0000}"/>
    <cellStyle name="Millares 5 4 6 4 4" xfId="35505" xr:uid="{00000000-0005-0000-0000-00003B3D0000}"/>
    <cellStyle name="Millares 5 4 6 5" xfId="11758" xr:uid="{00000000-0005-0000-0000-00003C3D0000}"/>
    <cellStyle name="Millares 5 4 6 5 2" xfId="25326" xr:uid="{00000000-0005-0000-0000-00003D3D0000}"/>
    <cellStyle name="Millares 5 4 6 5 2 2" xfId="52459" xr:uid="{00000000-0005-0000-0000-00003E3D0000}"/>
    <cellStyle name="Millares 5 4 6 5 3" xfId="38897" xr:uid="{00000000-0005-0000-0000-00003F3D0000}"/>
    <cellStyle name="Millares 5 4 6 6" xfId="18545" xr:uid="{00000000-0005-0000-0000-0000403D0000}"/>
    <cellStyle name="Millares 5 4 6 6 2" xfId="45678" xr:uid="{00000000-0005-0000-0000-0000413D0000}"/>
    <cellStyle name="Millares 5 4 6 7" xfId="32116" xr:uid="{00000000-0005-0000-0000-0000423D0000}"/>
    <cellStyle name="Millares 5 4 7" xfId="4765" xr:uid="{00000000-0005-0000-0000-0000433D0000}"/>
    <cellStyle name="Millares 5 4 7 2" xfId="4766" xr:uid="{00000000-0005-0000-0000-0000443D0000}"/>
    <cellStyle name="Millares 5 4 7 2 2" xfId="8361" xr:uid="{00000000-0005-0000-0000-0000453D0000}"/>
    <cellStyle name="Millares 5 4 7 2 2 2" xfId="15151" xr:uid="{00000000-0005-0000-0000-0000463D0000}"/>
    <cellStyle name="Millares 5 4 7 2 2 2 2" xfId="28719" xr:uid="{00000000-0005-0000-0000-0000473D0000}"/>
    <cellStyle name="Millares 5 4 7 2 2 2 2 2" xfId="55852" xr:uid="{00000000-0005-0000-0000-0000483D0000}"/>
    <cellStyle name="Millares 5 4 7 2 2 2 3" xfId="42290" xr:uid="{00000000-0005-0000-0000-0000493D0000}"/>
    <cellStyle name="Millares 5 4 7 2 2 3" xfId="21938" xr:uid="{00000000-0005-0000-0000-00004A3D0000}"/>
    <cellStyle name="Millares 5 4 7 2 2 3 2" xfId="49071" xr:uid="{00000000-0005-0000-0000-00004B3D0000}"/>
    <cellStyle name="Millares 5 4 7 2 2 4" xfId="35509" xr:uid="{00000000-0005-0000-0000-00004C3D0000}"/>
    <cellStyle name="Millares 5 4 7 2 3" xfId="11762" xr:uid="{00000000-0005-0000-0000-00004D3D0000}"/>
    <cellStyle name="Millares 5 4 7 2 3 2" xfId="25330" xr:uid="{00000000-0005-0000-0000-00004E3D0000}"/>
    <cellStyle name="Millares 5 4 7 2 3 2 2" xfId="52463" xr:uid="{00000000-0005-0000-0000-00004F3D0000}"/>
    <cellStyle name="Millares 5 4 7 2 3 3" xfId="38901" xr:uid="{00000000-0005-0000-0000-0000503D0000}"/>
    <cellStyle name="Millares 5 4 7 2 4" xfId="18549" xr:uid="{00000000-0005-0000-0000-0000513D0000}"/>
    <cellStyle name="Millares 5 4 7 2 4 2" xfId="45682" xr:uid="{00000000-0005-0000-0000-0000523D0000}"/>
    <cellStyle name="Millares 5 4 7 2 5" xfId="32120" xr:uid="{00000000-0005-0000-0000-0000533D0000}"/>
    <cellStyle name="Millares 5 4 7 3" xfId="8360" xr:uid="{00000000-0005-0000-0000-0000543D0000}"/>
    <cellStyle name="Millares 5 4 7 3 2" xfId="15150" xr:uid="{00000000-0005-0000-0000-0000553D0000}"/>
    <cellStyle name="Millares 5 4 7 3 2 2" xfId="28718" xr:uid="{00000000-0005-0000-0000-0000563D0000}"/>
    <cellStyle name="Millares 5 4 7 3 2 2 2" xfId="55851" xr:uid="{00000000-0005-0000-0000-0000573D0000}"/>
    <cellStyle name="Millares 5 4 7 3 2 3" xfId="42289" xr:uid="{00000000-0005-0000-0000-0000583D0000}"/>
    <cellStyle name="Millares 5 4 7 3 3" xfId="21937" xr:uid="{00000000-0005-0000-0000-0000593D0000}"/>
    <cellStyle name="Millares 5 4 7 3 3 2" xfId="49070" xr:uid="{00000000-0005-0000-0000-00005A3D0000}"/>
    <cellStyle name="Millares 5 4 7 3 4" xfId="35508" xr:uid="{00000000-0005-0000-0000-00005B3D0000}"/>
    <cellStyle name="Millares 5 4 7 4" xfId="11761" xr:uid="{00000000-0005-0000-0000-00005C3D0000}"/>
    <cellStyle name="Millares 5 4 7 4 2" xfId="25329" xr:uid="{00000000-0005-0000-0000-00005D3D0000}"/>
    <cellStyle name="Millares 5 4 7 4 2 2" xfId="52462" xr:uid="{00000000-0005-0000-0000-00005E3D0000}"/>
    <cellStyle name="Millares 5 4 7 4 3" xfId="38900" xr:uid="{00000000-0005-0000-0000-00005F3D0000}"/>
    <cellStyle name="Millares 5 4 7 5" xfId="18548" xr:uid="{00000000-0005-0000-0000-0000603D0000}"/>
    <cellStyle name="Millares 5 4 7 5 2" xfId="45681" xr:uid="{00000000-0005-0000-0000-0000613D0000}"/>
    <cellStyle name="Millares 5 4 7 6" xfId="32119" xr:uid="{00000000-0005-0000-0000-0000623D0000}"/>
    <cellStyle name="Millares 5 4 8" xfId="4767" xr:uid="{00000000-0005-0000-0000-0000633D0000}"/>
    <cellStyle name="Millares 5 4 8 2" xfId="8362" xr:uid="{00000000-0005-0000-0000-0000643D0000}"/>
    <cellStyle name="Millares 5 4 8 2 2" xfId="15152" xr:uid="{00000000-0005-0000-0000-0000653D0000}"/>
    <cellStyle name="Millares 5 4 8 2 2 2" xfId="28720" xr:uid="{00000000-0005-0000-0000-0000663D0000}"/>
    <cellStyle name="Millares 5 4 8 2 2 2 2" xfId="55853" xr:uid="{00000000-0005-0000-0000-0000673D0000}"/>
    <cellStyle name="Millares 5 4 8 2 2 3" xfId="42291" xr:uid="{00000000-0005-0000-0000-0000683D0000}"/>
    <cellStyle name="Millares 5 4 8 2 3" xfId="21939" xr:uid="{00000000-0005-0000-0000-0000693D0000}"/>
    <cellStyle name="Millares 5 4 8 2 3 2" xfId="49072" xr:uid="{00000000-0005-0000-0000-00006A3D0000}"/>
    <cellStyle name="Millares 5 4 8 2 4" xfId="35510" xr:uid="{00000000-0005-0000-0000-00006B3D0000}"/>
    <cellStyle name="Millares 5 4 8 3" xfId="11763" xr:uid="{00000000-0005-0000-0000-00006C3D0000}"/>
    <cellStyle name="Millares 5 4 8 3 2" xfId="25331" xr:uid="{00000000-0005-0000-0000-00006D3D0000}"/>
    <cellStyle name="Millares 5 4 8 3 2 2" xfId="52464" xr:uid="{00000000-0005-0000-0000-00006E3D0000}"/>
    <cellStyle name="Millares 5 4 8 3 3" xfId="38902" xr:uid="{00000000-0005-0000-0000-00006F3D0000}"/>
    <cellStyle name="Millares 5 4 8 4" xfId="18550" xr:uid="{00000000-0005-0000-0000-0000703D0000}"/>
    <cellStyle name="Millares 5 4 8 4 2" xfId="45683" xr:uid="{00000000-0005-0000-0000-0000713D0000}"/>
    <cellStyle name="Millares 5 4 8 5" xfId="32121" xr:uid="{00000000-0005-0000-0000-0000723D0000}"/>
    <cellStyle name="Millares 5 4 9" xfId="4768" xr:uid="{00000000-0005-0000-0000-0000733D0000}"/>
    <cellStyle name="Millares 5 4 9 2" xfId="8363" xr:uid="{00000000-0005-0000-0000-0000743D0000}"/>
    <cellStyle name="Millares 5 4 9 2 2" xfId="15153" xr:uid="{00000000-0005-0000-0000-0000753D0000}"/>
    <cellStyle name="Millares 5 4 9 2 2 2" xfId="28721" xr:uid="{00000000-0005-0000-0000-0000763D0000}"/>
    <cellStyle name="Millares 5 4 9 2 2 2 2" xfId="55854" xr:uid="{00000000-0005-0000-0000-0000773D0000}"/>
    <cellStyle name="Millares 5 4 9 2 2 3" xfId="42292" xr:uid="{00000000-0005-0000-0000-0000783D0000}"/>
    <cellStyle name="Millares 5 4 9 2 3" xfId="21940" xr:uid="{00000000-0005-0000-0000-0000793D0000}"/>
    <cellStyle name="Millares 5 4 9 2 3 2" xfId="49073" xr:uid="{00000000-0005-0000-0000-00007A3D0000}"/>
    <cellStyle name="Millares 5 4 9 2 4" xfId="35511" xr:uid="{00000000-0005-0000-0000-00007B3D0000}"/>
    <cellStyle name="Millares 5 4 9 3" xfId="11764" xr:uid="{00000000-0005-0000-0000-00007C3D0000}"/>
    <cellStyle name="Millares 5 4 9 3 2" xfId="25332" xr:uid="{00000000-0005-0000-0000-00007D3D0000}"/>
    <cellStyle name="Millares 5 4 9 3 2 2" xfId="52465" xr:uid="{00000000-0005-0000-0000-00007E3D0000}"/>
    <cellStyle name="Millares 5 4 9 3 3" xfId="38903" xr:uid="{00000000-0005-0000-0000-00007F3D0000}"/>
    <cellStyle name="Millares 5 4 9 4" xfId="18551" xr:uid="{00000000-0005-0000-0000-0000803D0000}"/>
    <cellStyle name="Millares 5 4 9 4 2" xfId="45684" xr:uid="{00000000-0005-0000-0000-0000813D0000}"/>
    <cellStyle name="Millares 5 4 9 5" xfId="32122" xr:uid="{00000000-0005-0000-0000-0000823D0000}"/>
    <cellStyle name="Millares 5 5" xfId="4769" xr:uid="{00000000-0005-0000-0000-0000833D0000}"/>
    <cellStyle name="Millares 5 5 10" xfId="32123" xr:uid="{00000000-0005-0000-0000-0000843D0000}"/>
    <cellStyle name="Millares 5 5 2" xfId="4770" xr:uid="{00000000-0005-0000-0000-0000853D0000}"/>
    <cellStyle name="Millares 5 5 2 2" xfId="4771" xr:uid="{00000000-0005-0000-0000-0000863D0000}"/>
    <cellStyle name="Millares 5 5 2 2 2" xfId="4772" xr:uid="{00000000-0005-0000-0000-0000873D0000}"/>
    <cellStyle name="Millares 5 5 2 2 2 2" xfId="8367" xr:uid="{00000000-0005-0000-0000-0000883D0000}"/>
    <cellStyle name="Millares 5 5 2 2 2 2 2" xfId="15157" xr:uid="{00000000-0005-0000-0000-0000893D0000}"/>
    <cellStyle name="Millares 5 5 2 2 2 2 2 2" xfId="28725" xr:uid="{00000000-0005-0000-0000-00008A3D0000}"/>
    <cellStyle name="Millares 5 5 2 2 2 2 2 2 2" xfId="55858" xr:uid="{00000000-0005-0000-0000-00008B3D0000}"/>
    <cellStyle name="Millares 5 5 2 2 2 2 2 3" xfId="42296" xr:uid="{00000000-0005-0000-0000-00008C3D0000}"/>
    <cellStyle name="Millares 5 5 2 2 2 2 3" xfId="21944" xr:uid="{00000000-0005-0000-0000-00008D3D0000}"/>
    <cellStyle name="Millares 5 5 2 2 2 2 3 2" xfId="49077" xr:uid="{00000000-0005-0000-0000-00008E3D0000}"/>
    <cellStyle name="Millares 5 5 2 2 2 2 4" xfId="35515" xr:uid="{00000000-0005-0000-0000-00008F3D0000}"/>
    <cellStyle name="Millares 5 5 2 2 2 3" xfId="11768" xr:uid="{00000000-0005-0000-0000-0000903D0000}"/>
    <cellStyle name="Millares 5 5 2 2 2 3 2" xfId="25336" xr:uid="{00000000-0005-0000-0000-0000913D0000}"/>
    <cellStyle name="Millares 5 5 2 2 2 3 2 2" xfId="52469" xr:uid="{00000000-0005-0000-0000-0000923D0000}"/>
    <cellStyle name="Millares 5 5 2 2 2 3 3" xfId="38907" xr:uid="{00000000-0005-0000-0000-0000933D0000}"/>
    <cellStyle name="Millares 5 5 2 2 2 4" xfId="18555" xr:uid="{00000000-0005-0000-0000-0000943D0000}"/>
    <cellStyle name="Millares 5 5 2 2 2 4 2" xfId="45688" xr:uid="{00000000-0005-0000-0000-0000953D0000}"/>
    <cellStyle name="Millares 5 5 2 2 2 5" xfId="32126" xr:uid="{00000000-0005-0000-0000-0000963D0000}"/>
    <cellStyle name="Millares 5 5 2 2 3" xfId="4773" xr:uid="{00000000-0005-0000-0000-0000973D0000}"/>
    <cellStyle name="Millares 5 5 2 2 3 2" xfId="8368" xr:uid="{00000000-0005-0000-0000-0000983D0000}"/>
    <cellStyle name="Millares 5 5 2 2 3 2 2" xfId="15158" xr:uid="{00000000-0005-0000-0000-0000993D0000}"/>
    <cellStyle name="Millares 5 5 2 2 3 2 2 2" xfId="28726" xr:uid="{00000000-0005-0000-0000-00009A3D0000}"/>
    <cellStyle name="Millares 5 5 2 2 3 2 2 2 2" xfId="55859" xr:uid="{00000000-0005-0000-0000-00009B3D0000}"/>
    <cellStyle name="Millares 5 5 2 2 3 2 2 3" xfId="42297" xr:uid="{00000000-0005-0000-0000-00009C3D0000}"/>
    <cellStyle name="Millares 5 5 2 2 3 2 3" xfId="21945" xr:uid="{00000000-0005-0000-0000-00009D3D0000}"/>
    <cellStyle name="Millares 5 5 2 2 3 2 3 2" xfId="49078" xr:uid="{00000000-0005-0000-0000-00009E3D0000}"/>
    <cellStyle name="Millares 5 5 2 2 3 2 4" xfId="35516" xr:uid="{00000000-0005-0000-0000-00009F3D0000}"/>
    <cellStyle name="Millares 5 5 2 2 3 3" xfId="11769" xr:uid="{00000000-0005-0000-0000-0000A03D0000}"/>
    <cellStyle name="Millares 5 5 2 2 3 3 2" xfId="25337" xr:uid="{00000000-0005-0000-0000-0000A13D0000}"/>
    <cellStyle name="Millares 5 5 2 2 3 3 2 2" xfId="52470" xr:uid="{00000000-0005-0000-0000-0000A23D0000}"/>
    <cellStyle name="Millares 5 5 2 2 3 3 3" xfId="38908" xr:uid="{00000000-0005-0000-0000-0000A33D0000}"/>
    <cellStyle name="Millares 5 5 2 2 3 4" xfId="18556" xr:uid="{00000000-0005-0000-0000-0000A43D0000}"/>
    <cellStyle name="Millares 5 5 2 2 3 4 2" xfId="45689" xr:uid="{00000000-0005-0000-0000-0000A53D0000}"/>
    <cellStyle name="Millares 5 5 2 2 3 5" xfId="32127" xr:uid="{00000000-0005-0000-0000-0000A63D0000}"/>
    <cellStyle name="Millares 5 5 2 2 4" xfId="8366" xr:uid="{00000000-0005-0000-0000-0000A73D0000}"/>
    <cellStyle name="Millares 5 5 2 2 4 2" xfId="15156" xr:uid="{00000000-0005-0000-0000-0000A83D0000}"/>
    <cellStyle name="Millares 5 5 2 2 4 2 2" xfId="28724" xr:uid="{00000000-0005-0000-0000-0000A93D0000}"/>
    <cellStyle name="Millares 5 5 2 2 4 2 2 2" xfId="55857" xr:uid="{00000000-0005-0000-0000-0000AA3D0000}"/>
    <cellStyle name="Millares 5 5 2 2 4 2 3" xfId="42295" xr:uid="{00000000-0005-0000-0000-0000AB3D0000}"/>
    <cellStyle name="Millares 5 5 2 2 4 3" xfId="21943" xr:uid="{00000000-0005-0000-0000-0000AC3D0000}"/>
    <cellStyle name="Millares 5 5 2 2 4 3 2" xfId="49076" xr:uid="{00000000-0005-0000-0000-0000AD3D0000}"/>
    <cellStyle name="Millares 5 5 2 2 4 4" xfId="35514" xr:uid="{00000000-0005-0000-0000-0000AE3D0000}"/>
    <cellStyle name="Millares 5 5 2 2 5" xfId="11767" xr:uid="{00000000-0005-0000-0000-0000AF3D0000}"/>
    <cellStyle name="Millares 5 5 2 2 5 2" xfId="25335" xr:uid="{00000000-0005-0000-0000-0000B03D0000}"/>
    <cellStyle name="Millares 5 5 2 2 5 2 2" xfId="52468" xr:uid="{00000000-0005-0000-0000-0000B13D0000}"/>
    <cellStyle name="Millares 5 5 2 2 5 3" xfId="38906" xr:uid="{00000000-0005-0000-0000-0000B23D0000}"/>
    <cellStyle name="Millares 5 5 2 2 6" xfId="18554" xr:uid="{00000000-0005-0000-0000-0000B33D0000}"/>
    <cellStyle name="Millares 5 5 2 2 6 2" xfId="45687" xr:uid="{00000000-0005-0000-0000-0000B43D0000}"/>
    <cellStyle name="Millares 5 5 2 2 7" xfId="32125" xr:uid="{00000000-0005-0000-0000-0000B53D0000}"/>
    <cellStyle name="Millares 5 5 2 3" xfId="4774" xr:uid="{00000000-0005-0000-0000-0000B63D0000}"/>
    <cellStyle name="Millares 5 5 2 3 2" xfId="4775" xr:uid="{00000000-0005-0000-0000-0000B73D0000}"/>
    <cellStyle name="Millares 5 5 2 3 2 2" xfId="8370" xr:uid="{00000000-0005-0000-0000-0000B83D0000}"/>
    <cellStyle name="Millares 5 5 2 3 2 2 2" xfId="15160" xr:uid="{00000000-0005-0000-0000-0000B93D0000}"/>
    <cellStyle name="Millares 5 5 2 3 2 2 2 2" xfId="28728" xr:uid="{00000000-0005-0000-0000-0000BA3D0000}"/>
    <cellStyle name="Millares 5 5 2 3 2 2 2 2 2" xfId="55861" xr:uid="{00000000-0005-0000-0000-0000BB3D0000}"/>
    <cellStyle name="Millares 5 5 2 3 2 2 2 3" xfId="42299" xr:uid="{00000000-0005-0000-0000-0000BC3D0000}"/>
    <cellStyle name="Millares 5 5 2 3 2 2 3" xfId="21947" xr:uid="{00000000-0005-0000-0000-0000BD3D0000}"/>
    <cellStyle name="Millares 5 5 2 3 2 2 3 2" xfId="49080" xr:uid="{00000000-0005-0000-0000-0000BE3D0000}"/>
    <cellStyle name="Millares 5 5 2 3 2 2 4" xfId="35518" xr:uid="{00000000-0005-0000-0000-0000BF3D0000}"/>
    <cellStyle name="Millares 5 5 2 3 2 3" xfId="11771" xr:uid="{00000000-0005-0000-0000-0000C03D0000}"/>
    <cellStyle name="Millares 5 5 2 3 2 3 2" xfId="25339" xr:uid="{00000000-0005-0000-0000-0000C13D0000}"/>
    <cellStyle name="Millares 5 5 2 3 2 3 2 2" xfId="52472" xr:uid="{00000000-0005-0000-0000-0000C23D0000}"/>
    <cellStyle name="Millares 5 5 2 3 2 3 3" xfId="38910" xr:uid="{00000000-0005-0000-0000-0000C33D0000}"/>
    <cellStyle name="Millares 5 5 2 3 2 4" xfId="18558" xr:uid="{00000000-0005-0000-0000-0000C43D0000}"/>
    <cellStyle name="Millares 5 5 2 3 2 4 2" xfId="45691" xr:uid="{00000000-0005-0000-0000-0000C53D0000}"/>
    <cellStyle name="Millares 5 5 2 3 2 5" xfId="32129" xr:uid="{00000000-0005-0000-0000-0000C63D0000}"/>
    <cellStyle name="Millares 5 5 2 3 3" xfId="8369" xr:uid="{00000000-0005-0000-0000-0000C73D0000}"/>
    <cellStyle name="Millares 5 5 2 3 3 2" xfId="15159" xr:uid="{00000000-0005-0000-0000-0000C83D0000}"/>
    <cellStyle name="Millares 5 5 2 3 3 2 2" xfId="28727" xr:uid="{00000000-0005-0000-0000-0000C93D0000}"/>
    <cellStyle name="Millares 5 5 2 3 3 2 2 2" xfId="55860" xr:uid="{00000000-0005-0000-0000-0000CA3D0000}"/>
    <cellStyle name="Millares 5 5 2 3 3 2 3" xfId="42298" xr:uid="{00000000-0005-0000-0000-0000CB3D0000}"/>
    <cellStyle name="Millares 5 5 2 3 3 3" xfId="21946" xr:uid="{00000000-0005-0000-0000-0000CC3D0000}"/>
    <cellStyle name="Millares 5 5 2 3 3 3 2" xfId="49079" xr:uid="{00000000-0005-0000-0000-0000CD3D0000}"/>
    <cellStyle name="Millares 5 5 2 3 3 4" xfId="35517" xr:uid="{00000000-0005-0000-0000-0000CE3D0000}"/>
    <cellStyle name="Millares 5 5 2 3 4" xfId="11770" xr:uid="{00000000-0005-0000-0000-0000CF3D0000}"/>
    <cellStyle name="Millares 5 5 2 3 4 2" xfId="25338" xr:uid="{00000000-0005-0000-0000-0000D03D0000}"/>
    <cellStyle name="Millares 5 5 2 3 4 2 2" xfId="52471" xr:uid="{00000000-0005-0000-0000-0000D13D0000}"/>
    <cellStyle name="Millares 5 5 2 3 4 3" xfId="38909" xr:uid="{00000000-0005-0000-0000-0000D23D0000}"/>
    <cellStyle name="Millares 5 5 2 3 5" xfId="18557" xr:uid="{00000000-0005-0000-0000-0000D33D0000}"/>
    <cellStyle name="Millares 5 5 2 3 5 2" xfId="45690" xr:uid="{00000000-0005-0000-0000-0000D43D0000}"/>
    <cellStyle name="Millares 5 5 2 3 6" xfId="32128" xr:uid="{00000000-0005-0000-0000-0000D53D0000}"/>
    <cellStyle name="Millares 5 5 2 4" xfId="4776" xr:uid="{00000000-0005-0000-0000-0000D63D0000}"/>
    <cellStyle name="Millares 5 5 2 4 2" xfId="8371" xr:uid="{00000000-0005-0000-0000-0000D73D0000}"/>
    <cellStyle name="Millares 5 5 2 4 2 2" xfId="15161" xr:uid="{00000000-0005-0000-0000-0000D83D0000}"/>
    <cellStyle name="Millares 5 5 2 4 2 2 2" xfId="28729" xr:uid="{00000000-0005-0000-0000-0000D93D0000}"/>
    <cellStyle name="Millares 5 5 2 4 2 2 2 2" xfId="55862" xr:uid="{00000000-0005-0000-0000-0000DA3D0000}"/>
    <cellStyle name="Millares 5 5 2 4 2 2 3" xfId="42300" xr:uid="{00000000-0005-0000-0000-0000DB3D0000}"/>
    <cellStyle name="Millares 5 5 2 4 2 3" xfId="21948" xr:uid="{00000000-0005-0000-0000-0000DC3D0000}"/>
    <cellStyle name="Millares 5 5 2 4 2 3 2" xfId="49081" xr:uid="{00000000-0005-0000-0000-0000DD3D0000}"/>
    <cellStyle name="Millares 5 5 2 4 2 4" xfId="35519" xr:uid="{00000000-0005-0000-0000-0000DE3D0000}"/>
    <cellStyle name="Millares 5 5 2 4 3" xfId="11772" xr:uid="{00000000-0005-0000-0000-0000DF3D0000}"/>
    <cellStyle name="Millares 5 5 2 4 3 2" xfId="25340" xr:uid="{00000000-0005-0000-0000-0000E03D0000}"/>
    <cellStyle name="Millares 5 5 2 4 3 2 2" xfId="52473" xr:uid="{00000000-0005-0000-0000-0000E13D0000}"/>
    <cellStyle name="Millares 5 5 2 4 3 3" xfId="38911" xr:uid="{00000000-0005-0000-0000-0000E23D0000}"/>
    <cellStyle name="Millares 5 5 2 4 4" xfId="18559" xr:uid="{00000000-0005-0000-0000-0000E33D0000}"/>
    <cellStyle name="Millares 5 5 2 4 4 2" xfId="45692" xr:uid="{00000000-0005-0000-0000-0000E43D0000}"/>
    <cellStyle name="Millares 5 5 2 4 5" xfId="32130" xr:uid="{00000000-0005-0000-0000-0000E53D0000}"/>
    <cellStyle name="Millares 5 5 2 5" xfId="4777" xr:uid="{00000000-0005-0000-0000-0000E63D0000}"/>
    <cellStyle name="Millares 5 5 2 5 2" xfId="8372" xr:uid="{00000000-0005-0000-0000-0000E73D0000}"/>
    <cellStyle name="Millares 5 5 2 5 2 2" xfId="15162" xr:uid="{00000000-0005-0000-0000-0000E83D0000}"/>
    <cellStyle name="Millares 5 5 2 5 2 2 2" xfId="28730" xr:uid="{00000000-0005-0000-0000-0000E93D0000}"/>
    <cellStyle name="Millares 5 5 2 5 2 2 2 2" xfId="55863" xr:uid="{00000000-0005-0000-0000-0000EA3D0000}"/>
    <cellStyle name="Millares 5 5 2 5 2 2 3" xfId="42301" xr:uid="{00000000-0005-0000-0000-0000EB3D0000}"/>
    <cellStyle name="Millares 5 5 2 5 2 3" xfId="21949" xr:uid="{00000000-0005-0000-0000-0000EC3D0000}"/>
    <cellStyle name="Millares 5 5 2 5 2 3 2" xfId="49082" xr:uid="{00000000-0005-0000-0000-0000ED3D0000}"/>
    <cellStyle name="Millares 5 5 2 5 2 4" xfId="35520" xr:uid="{00000000-0005-0000-0000-0000EE3D0000}"/>
    <cellStyle name="Millares 5 5 2 5 3" xfId="11773" xr:uid="{00000000-0005-0000-0000-0000EF3D0000}"/>
    <cellStyle name="Millares 5 5 2 5 3 2" xfId="25341" xr:uid="{00000000-0005-0000-0000-0000F03D0000}"/>
    <cellStyle name="Millares 5 5 2 5 3 2 2" xfId="52474" xr:uid="{00000000-0005-0000-0000-0000F13D0000}"/>
    <cellStyle name="Millares 5 5 2 5 3 3" xfId="38912" xr:uid="{00000000-0005-0000-0000-0000F23D0000}"/>
    <cellStyle name="Millares 5 5 2 5 4" xfId="18560" xr:uid="{00000000-0005-0000-0000-0000F33D0000}"/>
    <cellStyle name="Millares 5 5 2 5 4 2" xfId="45693" xr:uid="{00000000-0005-0000-0000-0000F43D0000}"/>
    <cellStyle name="Millares 5 5 2 5 5" xfId="32131" xr:uid="{00000000-0005-0000-0000-0000F53D0000}"/>
    <cellStyle name="Millares 5 5 2 6" xfId="8365" xr:uid="{00000000-0005-0000-0000-0000F63D0000}"/>
    <cellStyle name="Millares 5 5 2 6 2" xfId="15155" xr:uid="{00000000-0005-0000-0000-0000F73D0000}"/>
    <cellStyle name="Millares 5 5 2 6 2 2" xfId="28723" xr:uid="{00000000-0005-0000-0000-0000F83D0000}"/>
    <cellStyle name="Millares 5 5 2 6 2 2 2" xfId="55856" xr:uid="{00000000-0005-0000-0000-0000F93D0000}"/>
    <cellStyle name="Millares 5 5 2 6 2 3" xfId="42294" xr:uid="{00000000-0005-0000-0000-0000FA3D0000}"/>
    <cellStyle name="Millares 5 5 2 6 3" xfId="21942" xr:uid="{00000000-0005-0000-0000-0000FB3D0000}"/>
    <cellStyle name="Millares 5 5 2 6 3 2" xfId="49075" xr:uid="{00000000-0005-0000-0000-0000FC3D0000}"/>
    <cellStyle name="Millares 5 5 2 6 4" xfId="35513" xr:uid="{00000000-0005-0000-0000-0000FD3D0000}"/>
    <cellStyle name="Millares 5 5 2 7" xfId="11766" xr:uid="{00000000-0005-0000-0000-0000FE3D0000}"/>
    <cellStyle name="Millares 5 5 2 7 2" xfId="25334" xr:uid="{00000000-0005-0000-0000-0000FF3D0000}"/>
    <cellStyle name="Millares 5 5 2 7 2 2" xfId="52467" xr:uid="{00000000-0005-0000-0000-0000003E0000}"/>
    <cellStyle name="Millares 5 5 2 7 3" xfId="38905" xr:uid="{00000000-0005-0000-0000-0000013E0000}"/>
    <cellStyle name="Millares 5 5 2 8" xfId="18553" xr:uid="{00000000-0005-0000-0000-0000023E0000}"/>
    <cellStyle name="Millares 5 5 2 8 2" xfId="45686" xr:uid="{00000000-0005-0000-0000-0000033E0000}"/>
    <cellStyle name="Millares 5 5 2 9" xfId="32124" xr:uid="{00000000-0005-0000-0000-0000043E0000}"/>
    <cellStyle name="Millares 5 5 3" xfId="4778" xr:uid="{00000000-0005-0000-0000-0000053E0000}"/>
    <cellStyle name="Millares 5 5 3 2" xfId="4779" xr:uid="{00000000-0005-0000-0000-0000063E0000}"/>
    <cellStyle name="Millares 5 5 3 2 2" xfId="8374" xr:uid="{00000000-0005-0000-0000-0000073E0000}"/>
    <cellStyle name="Millares 5 5 3 2 2 2" xfId="15164" xr:uid="{00000000-0005-0000-0000-0000083E0000}"/>
    <cellStyle name="Millares 5 5 3 2 2 2 2" xfId="28732" xr:uid="{00000000-0005-0000-0000-0000093E0000}"/>
    <cellStyle name="Millares 5 5 3 2 2 2 2 2" xfId="55865" xr:uid="{00000000-0005-0000-0000-00000A3E0000}"/>
    <cellStyle name="Millares 5 5 3 2 2 2 3" xfId="42303" xr:uid="{00000000-0005-0000-0000-00000B3E0000}"/>
    <cellStyle name="Millares 5 5 3 2 2 3" xfId="21951" xr:uid="{00000000-0005-0000-0000-00000C3E0000}"/>
    <cellStyle name="Millares 5 5 3 2 2 3 2" xfId="49084" xr:uid="{00000000-0005-0000-0000-00000D3E0000}"/>
    <cellStyle name="Millares 5 5 3 2 2 4" xfId="35522" xr:uid="{00000000-0005-0000-0000-00000E3E0000}"/>
    <cellStyle name="Millares 5 5 3 2 3" xfId="11775" xr:uid="{00000000-0005-0000-0000-00000F3E0000}"/>
    <cellStyle name="Millares 5 5 3 2 3 2" xfId="25343" xr:uid="{00000000-0005-0000-0000-0000103E0000}"/>
    <cellStyle name="Millares 5 5 3 2 3 2 2" xfId="52476" xr:uid="{00000000-0005-0000-0000-0000113E0000}"/>
    <cellStyle name="Millares 5 5 3 2 3 3" xfId="38914" xr:uid="{00000000-0005-0000-0000-0000123E0000}"/>
    <cellStyle name="Millares 5 5 3 2 4" xfId="18562" xr:uid="{00000000-0005-0000-0000-0000133E0000}"/>
    <cellStyle name="Millares 5 5 3 2 4 2" xfId="45695" xr:uid="{00000000-0005-0000-0000-0000143E0000}"/>
    <cellStyle name="Millares 5 5 3 2 5" xfId="32133" xr:uid="{00000000-0005-0000-0000-0000153E0000}"/>
    <cellStyle name="Millares 5 5 3 3" xfId="4780" xr:uid="{00000000-0005-0000-0000-0000163E0000}"/>
    <cellStyle name="Millares 5 5 3 3 2" xfId="8375" xr:uid="{00000000-0005-0000-0000-0000173E0000}"/>
    <cellStyle name="Millares 5 5 3 3 2 2" xfId="15165" xr:uid="{00000000-0005-0000-0000-0000183E0000}"/>
    <cellStyle name="Millares 5 5 3 3 2 2 2" xfId="28733" xr:uid="{00000000-0005-0000-0000-0000193E0000}"/>
    <cellStyle name="Millares 5 5 3 3 2 2 2 2" xfId="55866" xr:uid="{00000000-0005-0000-0000-00001A3E0000}"/>
    <cellStyle name="Millares 5 5 3 3 2 2 3" xfId="42304" xr:uid="{00000000-0005-0000-0000-00001B3E0000}"/>
    <cellStyle name="Millares 5 5 3 3 2 3" xfId="21952" xr:uid="{00000000-0005-0000-0000-00001C3E0000}"/>
    <cellStyle name="Millares 5 5 3 3 2 3 2" xfId="49085" xr:uid="{00000000-0005-0000-0000-00001D3E0000}"/>
    <cellStyle name="Millares 5 5 3 3 2 4" xfId="35523" xr:uid="{00000000-0005-0000-0000-00001E3E0000}"/>
    <cellStyle name="Millares 5 5 3 3 3" xfId="11776" xr:uid="{00000000-0005-0000-0000-00001F3E0000}"/>
    <cellStyle name="Millares 5 5 3 3 3 2" xfId="25344" xr:uid="{00000000-0005-0000-0000-0000203E0000}"/>
    <cellStyle name="Millares 5 5 3 3 3 2 2" xfId="52477" xr:uid="{00000000-0005-0000-0000-0000213E0000}"/>
    <cellStyle name="Millares 5 5 3 3 3 3" xfId="38915" xr:uid="{00000000-0005-0000-0000-0000223E0000}"/>
    <cellStyle name="Millares 5 5 3 3 4" xfId="18563" xr:uid="{00000000-0005-0000-0000-0000233E0000}"/>
    <cellStyle name="Millares 5 5 3 3 4 2" xfId="45696" xr:uid="{00000000-0005-0000-0000-0000243E0000}"/>
    <cellStyle name="Millares 5 5 3 3 5" xfId="32134" xr:uid="{00000000-0005-0000-0000-0000253E0000}"/>
    <cellStyle name="Millares 5 5 3 4" xfId="8373" xr:uid="{00000000-0005-0000-0000-0000263E0000}"/>
    <cellStyle name="Millares 5 5 3 4 2" xfId="15163" xr:uid="{00000000-0005-0000-0000-0000273E0000}"/>
    <cellStyle name="Millares 5 5 3 4 2 2" xfId="28731" xr:uid="{00000000-0005-0000-0000-0000283E0000}"/>
    <cellStyle name="Millares 5 5 3 4 2 2 2" xfId="55864" xr:uid="{00000000-0005-0000-0000-0000293E0000}"/>
    <cellStyle name="Millares 5 5 3 4 2 3" xfId="42302" xr:uid="{00000000-0005-0000-0000-00002A3E0000}"/>
    <cellStyle name="Millares 5 5 3 4 3" xfId="21950" xr:uid="{00000000-0005-0000-0000-00002B3E0000}"/>
    <cellStyle name="Millares 5 5 3 4 3 2" xfId="49083" xr:uid="{00000000-0005-0000-0000-00002C3E0000}"/>
    <cellStyle name="Millares 5 5 3 4 4" xfId="35521" xr:uid="{00000000-0005-0000-0000-00002D3E0000}"/>
    <cellStyle name="Millares 5 5 3 5" xfId="11774" xr:uid="{00000000-0005-0000-0000-00002E3E0000}"/>
    <cellStyle name="Millares 5 5 3 5 2" xfId="25342" xr:uid="{00000000-0005-0000-0000-00002F3E0000}"/>
    <cellStyle name="Millares 5 5 3 5 2 2" xfId="52475" xr:uid="{00000000-0005-0000-0000-0000303E0000}"/>
    <cellStyle name="Millares 5 5 3 5 3" xfId="38913" xr:uid="{00000000-0005-0000-0000-0000313E0000}"/>
    <cellStyle name="Millares 5 5 3 6" xfId="18561" xr:uid="{00000000-0005-0000-0000-0000323E0000}"/>
    <cellStyle name="Millares 5 5 3 6 2" xfId="45694" xr:uid="{00000000-0005-0000-0000-0000333E0000}"/>
    <cellStyle name="Millares 5 5 3 7" xfId="32132" xr:uid="{00000000-0005-0000-0000-0000343E0000}"/>
    <cellStyle name="Millares 5 5 4" xfId="4781" xr:uid="{00000000-0005-0000-0000-0000353E0000}"/>
    <cellStyle name="Millares 5 5 4 2" xfId="4782" xr:uid="{00000000-0005-0000-0000-0000363E0000}"/>
    <cellStyle name="Millares 5 5 4 2 2" xfId="8377" xr:uid="{00000000-0005-0000-0000-0000373E0000}"/>
    <cellStyle name="Millares 5 5 4 2 2 2" xfId="15167" xr:uid="{00000000-0005-0000-0000-0000383E0000}"/>
    <cellStyle name="Millares 5 5 4 2 2 2 2" xfId="28735" xr:uid="{00000000-0005-0000-0000-0000393E0000}"/>
    <cellStyle name="Millares 5 5 4 2 2 2 2 2" xfId="55868" xr:uid="{00000000-0005-0000-0000-00003A3E0000}"/>
    <cellStyle name="Millares 5 5 4 2 2 2 3" xfId="42306" xr:uid="{00000000-0005-0000-0000-00003B3E0000}"/>
    <cellStyle name="Millares 5 5 4 2 2 3" xfId="21954" xr:uid="{00000000-0005-0000-0000-00003C3E0000}"/>
    <cellStyle name="Millares 5 5 4 2 2 3 2" xfId="49087" xr:uid="{00000000-0005-0000-0000-00003D3E0000}"/>
    <cellStyle name="Millares 5 5 4 2 2 4" xfId="35525" xr:uid="{00000000-0005-0000-0000-00003E3E0000}"/>
    <cellStyle name="Millares 5 5 4 2 3" xfId="11778" xr:uid="{00000000-0005-0000-0000-00003F3E0000}"/>
    <cellStyle name="Millares 5 5 4 2 3 2" xfId="25346" xr:uid="{00000000-0005-0000-0000-0000403E0000}"/>
    <cellStyle name="Millares 5 5 4 2 3 2 2" xfId="52479" xr:uid="{00000000-0005-0000-0000-0000413E0000}"/>
    <cellStyle name="Millares 5 5 4 2 3 3" xfId="38917" xr:uid="{00000000-0005-0000-0000-0000423E0000}"/>
    <cellStyle name="Millares 5 5 4 2 4" xfId="18565" xr:uid="{00000000-0005-0000-0000-0000433E0000}"/>
    <cellStyle name="Millares 5 5 4 2 4 2" xfId="45698" xr:uid="{00000000-0005-0000-0000-0000443E0000}"/>
    <cellStyle name="Millares 5 5 4 2 5" xfId="32136" xr:uid="{00000000-0005-0000-0000-0000453E0000}"/>
    <cellStyle name="Millares 5 5 4 3" xfId="8376" xr:uid="{00000000-0005-0000-0000-0000463E0000}"/>
    <cellStyle name="Millares 5 5 4 3 2" xfId="15166" xr:uid="{00000000-0005-0000-0000-0000473E0000}"/>
    <cellStyle name="Millares 5 5 4 3 2 2" xfId="28734" xr:uid="{00000000-0005-0000-0000-0000483E0000}"/>
    <cellStyle name="Millares 5 5 4 3 2 2 2" xfId="55867" xr:uid="{00000000-0005-0000-0000-0000493E0000}"/>
    <cellStyle name="Millares 5 5 4 3 2 3" xfId="42305" xr:uid="{00000000-0005-0000-0000-00004A3E0000}"/>
    <cellStyle name="Millares 5 5 4 3 3" xfId="21953" xr:uid="{00000000-0005-0000-0000-00004B3E0000}"/>
    <cellStyle name="Millares 5 5 4 3 3 2" xfId="49086" xr:uid="{00000000-0005-0000-0000-00004C3E0000}"/>
    <cellStyle name="Millares 5 5 4 3 4" xfId="35524" xr:uid="{00000000-0005-0000-0000-00004D3E0000}"/>
    <cellStyle name="Millares 5 5 4 4" xfId="11777" xr:uid="{00000000-0005-0000-0000-00004E3E0000}"/>
    <cellStyle name="Millares 5 5 4 4 2" xfId="25345" xr:uid="{00000000-0005-0000-0000-00004F3E0000}"/>
    <cellStyle name="Millares 5 5 4 4 2 2" xfId="52478" xr:uid="{00000000-0005-0000-0000-0000503E0000}"/>
    <cellStyle name="Millares 5 5 4 4 3" xfId="38916" xr:uid="{00000000-0005-0000-0000-0000513E0000}"/>
    <cellStyle name="Millares 5 5 4 5" xfId="18564" xr:uid="{00000000-0005-0000-0000-0000523E0000}"/>
    <cellStyle name="Millares 5 5 4 5 2" xfId="45697" xr:uid="{00000000-0005-0000-0000-0000533E0000}"/>
    <cellStyle name="Millares 5 5 4 6" xfId="32135" xr:uid="{00000000-0005-0000-0000-0000543E0000}"/>
    <cellStyle name="Millares 5 5 5" xfId="4783" xr:uid="{00000000-0005-0000-0000-0000553E0000}"/>
    <cellStyle name="Millares 5 5 5 2" xfId="8378" xr:uid="{00000000-0005-0000-0000-0000563E0000}"/>
    <cellStyle name="Millares 5 5 5 2 2" xfId="15168" xr:uid="{00000000-0005-0000-0000-0000573E0000}"/>
    <cellStyle name="Millares 5 5 5 2 2 2" xfId="28736" xr:uid="{00000000-0005-0000-0000-0000583E0000}"/>
    <cellStyle name="Millares 5 5 5 2 2 2 2" xfId="55869" xr:uid="{00000000-0005-0000-0000-0000593E0000}"/>
    <cellStyle name="Millares 5 5 5 2 2 3" xfId="42307" xr:uid="{00000000-0005-0000-0000-00005A3E0000}"/>
    <cellStyle name="Millares 5 5 5 2 3" xfId="21955" xr:uid="{00000000-0005-0000-0000-00005B3E0000}"/>
    <cellStyle name="Millares 5 5 5 2 3 2" xfId="49088" xr:uid="{00000000-0005-0000-0000-00005C3E0000}"/>
    <cellStyle name="Millares 5 5 5 2 4" xfId="35526" xr:uid="{00000000-0005-0000-0000-00005D3E0000}"/>
    <cellStyle name="Millares 5 5 5 3" xfId="11779" xr:uid="{00000000-0005-0000-0000-00005E3E0000}"/>
    <cellStyle name="Millares 5 5 5 3 2" xfId="25347" xr:uid="{00000000-0005-0000-0000-00005F3E0000}"/>
    <cellStyle name="Millares 5 5 5 3 2 2" xfId="52480" xr:uid="{00000000-0005-0000-0000-0000603E0000}"/>
    <cellStyle name="Millares 5 5 5 3 3" xfId="38918" xr:uid="{00000000-0005-0000-0000-0000613E0000}"/>
    <cellStyle name="Millares 5 5 5 4" xfId="18566" xr:uid="{00000000-0005-0000-0000-0000623E0000}"/>
    <cellStyle name="Millares 5 5 5 4 2" xfId="45699" xr:uid="{00000000-0005-0000-0000-0000633E0000}"/>
    <cellStyle name="Millares 5 5 5 5" xfId="32137" xr:uid="{00000000-0005-0000-0000-0000643E0000}"/>
    <cellStyle name="Millares 5 5 6" xfId="4784" xr:uid="{00000000-0005-0000-0000-0000653E0000}"/>
    <cellStyle name="Millares 5 5 6 2" xfId="8379" xr:uid="{00000000-0005-0000-0000-0000663E0000}"/>
    <cellStyle name="Millares 5 5 6 2 2" xfId="15169" xr:uid="{00000000-0005-0000-0000-0000673E0000}"/>
    <cellStyle name="Millares 5 5 6 2 2 2" xfId="28737" xr:uid="{00000000-0005-0000-0000-0000683E0000}"/>
    <cellStyle name="Millares 5 5 6 2 2 2 2" xfId="55870" xr:uid="{00000000-0005-0000-0000-0000693E0000}"/>
    <cellStyle name="Millares 5 5 6 2 2 3" xfId="42308" xr:uid="{00000000-0005-0000-0000-00006A3E0000}"/>
    <cellStyle name="Millares 5 5 6 2 3" xfId="21956" xr:uid="{00000000-0005-0000-0000-00006B3E0000}"/>
    <cellStyle name="Millares 5 5 6 2 3 2" xfId="49089" xr:uid="{00000000-0005-0000-0000-00006C3E0000}"/>
    <cellStyle name="Millares 5 5 6 2 4" xfId="35527" xr:uid="{00000000-0005-0000-0000-00006D3E0000}"/>
    <cellStyle name="Millares 5 5 6 3" xfId="11780" xr:uid="{00000000-0005-0000-0000-00006E3E0000}"/>
    <cellStyle name="Millares 5 5 6 3 2" xfId="25348" xr:uid="{00000000-0005-0000-0000-00006F3E0000}"/>
    <cellStyle name="Millares 5 5 6 3 2 2" xfId="52481" xr:uid="{00000000-0005-0000-0000-0000703E0000}"/>
    <cellStyle name="Millares 5 5 6 3 3" xfId="38919" xr:uid="{00000000-0005-0000-0000-0000713E0000}"/>
    <cellStyle name="Millares 5 5 6 4" xfId="18567" xr:uid="{00000000-0005-0000-0000-0000723E0000}"/>
    <cellStyle name="Millares 5 5 6 4 2" xfId="45700" xr:uid="{00000000-0005-0000-0000-0000733E0000}"/>
    <cellStyle name="Millares 5 5 6 5" xfId="32138" xr:uid="{00000000-0005-0000-0000-0000743E0000}"/>
    <cellStyle name="Millares 5 5 7" xfId="8364" xr:uid="{00000000-0005-0000-0000-0000753E0000}"/>
    <cellStyle name="Millares 5 5 7 2" xfId="15154" xr:uid="{00000000-0005-0000-0000-0000763E0000}"/>
    <cellStyle name="Millares 5 5 7 2 2" xfId="28722" xr:uid="{00000000-0005-0000-0000-0000773E0000}"/>
    <cellStyle name="Millares 5 5 7 2 2 2" xfId="55855" xr:uid="{00000000-0005-0000-0000-0000783E0000}"/>
    <cellStyle name="Millares 5 5 7 2 3" xfId="42293" xr:uid="{00000000-0005-0000-0000-0000793E0000}"/>
    <cellStyle name="Millares 5 5 7 3" xfId="21941" xr:uid="{00000000-0005-0000-0000-00007A3E0000}"/>
    <cellStyle name="Millares 5 5 7 3 2" xfId="49074" xr:uid="{00000000-0005-0000-0000-00007B3E0000}"/>
    <cellStyle name="Millares 5 5 7 4" xfId="35512" xr:uid="{00000000-0005-0000-0000-00007C3E0000}"/>
    <cellStyle name="Millares 5 5 8" xfId="11765" xr:uid="{00000000-0005-0000-0000-00007D3E0000}"/>
    <cellStyle name="Millares 5 5 8 2" xfId="25333" xr:uid="{00000000-0005-0000-0000-00007E3E0000}"/>
    <cellStyle name="Millares 5 5 8 2 2" xfId="52466" xr:uid="{00000000-0005-0000-0000-00007F3E0000}"/>
    <cellStyle name="Millares 5 5 8 3" xfId="38904" xr:uid="{00000000-0005-0000-0000-0000803E0000}"/>
    <cellStyle name="Millares 5 5 9" xfId="18552" xr:uid="{00000000-0005-0000-0000-0000813E0000}"/>
    <cellStyle name="Millares 5 5 9 2" xfId="45685" xr:uid="{00000000-0005-0000-0000-0000823E0000}"/>
    <cellStyle name="Millares 5 6" xfId="4785" xr:uid="{00000000-0005-0000-0000-0000833E0000}"/>
    <cellStyle name="Millares 5 6 2" xfId="4786" xr:uid="{00000000-0005-0000-0000-0000843E0000}"/>
    <cellStyle name="Millares 5 6 2 2" xfId="4787" xr:uid="{00000000-0005-0000-0000-0000853E0000}"/>
    <cellStyle name="Millares 5 6 2 2 2" xfId="8382" xr:uid="{00000000-0005-0000-0000-0000863E0000}"/>
    <cellStyle name="Millares 5 6 2 2 2 2" xfId="15172" xr:uid="{00000000-0005-0000-0000-0000873E0000}"/>
    <cellStyle name="Millares 5 6 2 2 2 2 2" xfId="28740" xr:uid="{00000000-0005-0000-0000-0000883E0000}"/>
    <cellStyle name="Millares 5 6 2 2 2 2 2 2" xfId="55873" xr:uid="{00000000-0005-0000-0000-0000893E0000}"/>
    <cellStyle name="Millares 5 6 2 2 2 2 3" xfId="42311" xr:uid="{00000000-0005-0000-0000-00008A3E0000}"/>
    <cellStyle name="Millares 5 6 2 2 2 3" xfId="21959" xr:uid="{00000000-0005-0000-0000-00008B3E0000}"/>
    <cellStyle name="Millares 5 6 2 2 2 3 2" xfId="49092" xr:uid="{00000000-0005-0000-0000-00008C3E0000}"/>
    <cellStyle name="Millares 5 6 2 2 2 4" xfId="35530" xr:uid="{00000000-0005-0000-0000-00008D3E0000}"/>
    <cellStyle name="Millares 5 6 2 2 3" xfId="11783" xr:uid="{00000000-0005-0000-0000-00008E3E0000}"/>
    <cellStyle name="Millares 5 6 2 2 3 2" xfId="25351" xr:uid="{00000000-0005-0000-0000-00008F3E0000}"/>
    <cellStyle name="Millares 5 6 2 2 3 2 2" xfId="52484" xr:uid="{00000000-0005-0000-0000-0000903E0000}"/>
    <cellStyle name="Millares 5 6 2 2 3 3" xfId="38922" xr:uid="{00000000-0005-0000-0000-0000913E0000}"/>
    <cellStyle name="Millares 5 6 2 2 4" xfId="18570" xr:uid="{00000000-0005-0000-0000-0000923E0000}"/>
    <cellStyle name="Millares 5 6 2 2 4 2" xfId="45703" xr:uid="{00000000-0005-0000-0000-0000933E0000}"/>
    <cellStyle name="Millares 5 6 2 2 5" xfId="32141" xr:uid="{00000000-0005-0000-0000-0000943E0000}"/>
    <cellStyle name="Millares 5 6 2 3" xfId="4788" xr:uid="{00000000-0005-0000-0000-0000953E0000}"/>
    <cellStyle name="Millares 5 6 2 3 2" xfId="8383" xr:uid="{00000000-0005-0000-0000-0000963E0000}"/>
    <cellStyle name="Millares 5 6 2 3 2 2" xfId="15173" xr:uid="{00000000-0005-0000-0000-0000973E0000}"/>
    <cellStyle name="Millares 5 6 2 3 2 2 2" xfId="28741" xr:uid="{00000000-0005-0000-0000-0000983E0000}"/>
    <cellStyle name="Millares 5 6 2 3 2 2 2 2" xfId="55874" xr:uid="{00000000-0005-0000-0000-0000993E0000}"/>
    <cellStyle name="Millares 5 6 2 3 2 2 3" xfId="42312" xr:uid="{00000000-0005-0000-0000-00009A3E0000}"/>
    <cellStyle name="Millares 5 6 2 3 2 3" xfId="21960" xr:uid="{00000000-0005-0000-0000-00009B3E0000}"/>
    <cellStyle name="Millares 5 6 2 3 2 3 2" xfId="49093" xr:uid="{00000000-0005-0000-0000-00009C3E0000}"/>
    <cellStyle name="Millares 5 6 2 3 2 4" xfId="35531" xr:uid="{00000000-0005-0000-0000-00009D3E0000}"/>
    <cellStyle name="Millares 5 6 2 3 3" xfId="11784" xr:uid="{00000000-0005-0000-0000-00009E3E0000}"/>
    <cellStyle name="Millares 5 6 2 3 3 2" xfId="25352" xr:uid="{00000000-0005-0000-0000-00009F3E0000}"/>
    <cellStyle name="Millares 5 6 2 3 3 2 2" xfId="52485" xr:uid="{00000000-0005-0000-0000-0000A03E0000}"/>
    <cellStyle name="Millares 5 6 2 3 3 3" xfId="38923" xr:uid="{00000000-0005-0000-0000-0000A13E0000}"/>
    <cellStyle name="Millares 5 6 2 3 4" xfId="18571" xr:uid="{00000000-0005-0000-0000-0000A23E0000}"/>
    <cellStyle name="Millares 5 6 2 3 4 2" xfId="45704" xr:uid="{00000000-0005-0000-0000-0000A33E0000}"/>
    <cellStyle name="Millares 5 6 2 3 5" xfId="32142" xr:uid="{00000000-0005-0000-0000-0000A43E0000}"/>
    <cellStyle name="Millares 5 6 2 4" xfId="8381" xr:uid="{00000000-0005-0000-0000-0000A53E0000}"/>
    <cellStyle name="Millares 5 6 2 4 2" xfId="15171" xr:uid="{00000000-0005-0000-0000-0000A63E0000}"/>
    <cellStyle name="Millares 5 6 2 4 2 2" xfId="28739" xr:uid="{00000000-0005-0000-0000-0000A73E0000}"/>
    <cellStyle name="Millares 5 6 2 4 2 2 2" xfId="55872" xr:uid="{00000000-0005-0000-0000-0000A83E0000}"/>
    <cellStyle name="Millares 5 6 2 4 2 3" xfId="42310" xr:uid="{00000000-0005-0000-0000-0000A93E0000}"/>
    <cellStyle name="Millares 5 6 2 4 3" xfId="21958" xr:uid="{00000000-0005-0000-0000-0000AA3E0000}"/>
    <cellStyle name="Millares 5 6 2 4 3 2" xfId="49091" xr:uid="{00000000-0005-0000-0000-0000AB3E0000}"/>
    <cellStyle name="Millares 5 6 2 4 4" xfId="35529" xr:uid="{00000000-0005-0000-0000-0000AC3E0000}"/>
    <cellStyle name="Millares 5 6 2 5" xfId="11782" xr:uid="{00000000-0005-0000-0000-0000AD3E0000}"/>
    <cellStyle name="Millares 5 6 2 5 2" xfId="25350" xr:uid="{00000000-0005-0000-0000-0000AE3E0000}"/>
    <cellStyle name="Millares 5 6 2 5 2 2" xfId="52483" xr:uid="{00000000-0005-0000-0000-0000AF3E0000}"/>
    <cellStyle name="Millares 5 6 2 5 3" xfId="38921" xr:uid="{00000000-0005-0000-0000-0000B03E0000}"/>
    <cellStyle name="Millares 5 6 2 6" xfId="18569" xr:uid="{00000000-0005-0000-0000-0000B13E0000}"/>
    <cellStyle name="Millares 5 6 2 6 2" xfId="45702" xr:uid="{00000000-0005-0000-0000-0000B23E0000}"/>
    <cellStyle name="Millares 5 6 2 7" xfId="32140" xr:uid="{00000000-0005-0000-0000-0000B33E0000}"/>
    <cellStyle name="Millares 5 6 3" xfId="4789" xr:uid="{00000000-0005-0000-0000-0000B43E0000}"/>
    <cellStyle name="Millares 5 6 3 2" xfId="4790" xr:uid="{00000000-0005-0000-0000-0000B53E0000}"/>
    <cellStyle name="Millares 5 6 3 2 2" xfId="8385" xr:uid="{00000000-0005-0000-0000-0000B63E0000}"/>
    <cellStyle name="Millares 5 6 3 2 2 2" xfId="15175" xr:uid="{00000000-0005-0000-0000-0000B73E0000}"/>
    <cellStyle name="Millares 5 6 3 2 2 2 2" xfId="28743" xr:uid="{00000000-0005-0000-0000-0000B83E0000}"/>
    <cellStyle name="Millares 5 6 3 2 2 2 2 2" xfId="55876" xr:uid="{00000000-0005-0000-0000-0000B93E0000}"/>
    <cellStyle name="Millares 5 6 3 2 2 2 3" xfId="42314" xr:uid="{00000000-0005-0000-0000-0000BA3E0000}"/>
    <cellStyle name="Millares 5 6 3 2 2 3" xfId="21962" xr:uid="{00000000-0005-0000-0000-0000BB3E0000}"/>
    <cellStyle name="Millares 5 6 3 2 2 3 2" xfId="49095" xr:uid="{00000000-0005-0000-0000-0000BC3E0000}"/>
    <cellStyle name="Millares 5 6 3 2 2 4" xfId="35533" xr:uid="{00000000-0005-0000-0000-0000BD3E0000}"/>
    <cellStyle name="Millares 5 6 3 2 3" xfId="11786" xr:uid="{00000000-0005-0000-0000-0000BE3E0000}"/>
    <cellStyle name="Millares 5 6 3 2 3 2" xfId="25354" xr:uid="{00000000-0005-0000-0000-0000BF3E0000}"/>
    <cellStyle name="Millares 5 6 3 2 3 2 2" xfId="52487" xr:uid="{00000000-0005-0000-0000-0000C03E0000}"/>
    <cellStyle name="Millares 5 6 3 2 3 3" xfId="38925" xr:uid="{00000000-0005-0000-0000-0000C13E0000}"/>
    <cellStyle name="Millares 5 6 3 2 4" xfId="18573" xr:uid="{00000000-0005-0000-0000-0000C23E0000}"/>
    <cellStyle name="Millares 5 6 3 2 4 2" xfId="45706" xr:uid="{00000000-0005-0000-0000-0000C33E0000}"/>
    <cellStyle name="Millares 5 6 3 2 5" xfId="32144" xr:uid="{00000000-0005-0000-0000-0000C43E0000}"/>
    <cellStyle name="Millares 5 6 3 3" xfId="8384" xr:uid="{00000000-0005-0000-0000-0000C53E0000}"/>
    <cellStyle name="Millares 5 6 3 3 2" xfId="15174" xr:uid="{00000000-0005-0000-0000-0000C63E0000}"/>
    <cellStyle name="Millares 5 6 3 3 2 2" xfId="28742" xr:uid="{00000000-0005-0000-0000-0000C73E0000}"/>
    <cellStyle name="Millares 5 6 3 3 2 2 2" xfId="55875" xr:uid="{00000000-0005-0000-0000-0000C83E0000}"/>
    <cellStyle name="Millares 5 6 3 3 2 3" xfId="42313" xr:uid="{00000000-0005-0000-0000-0000C93E0000}"/>
    <cellStyle name="Millares 5 6 3 3 3" xfId="21961" xr:uid="{00000000-0005-0000-0000-0000CA3E0000}"/>
    <cellStyle name="Millares 5 6 3 3 3 2" xfId="49094" xr:uid="{00000000-0005-0000-0000-0000CB3E0000}"/>
    <cellStyle name="Millares 5 6 3 3 4" xfId="35532" xr:uid="{00000000-0005-0000-0000-0000CC3E0000}"/>
    <cellStyle name="Millares 5 6 3 4" xfId="11785" xr:uid="{00000000-0005-0000-0000-0000CD3E0000}"/>
    <cellStyle name="Millares 5 6 3 4 2" xfId="25353" xr:uid="{00000000-0005-0000-0000-0000CE3E0000}"/>
    <cellStyle name="Millares 5 6 3 4 2 2" xfId="52486" xr:uid="{00000000-0005-0000-0000-0000CF3E0000}"/>
    <cellStyle name="Millares 5 6 3 4 3" xfId="38924" xr:uid="{00000000-0005-0000-0000-0000D03E0000}"/>
    <cellStyle name="Millares 5 6 3 5" xfId="18572" xr:uid="{00000000-0005-0000-0000-0000D13E0000}"/>
    <cellStyle name="Millares 5 6 3 5 2" xfId="45705" xr:uid="{00000000-0005-0000-0000-0000D23E0000}"/>
    <cellStyle name="Millares 5 6 3 6" xfId="32143" xr:uid="{00000000-0005-0000-0000-0000D33E0000}"/>
    <cellStyle name="Millares 5 6 4" xfId="4791" xr:uid="{00000000-0005-0000-0000-0000D43E0000}"/>
    <cellStyle name="Millares 5 6 4 2" xfId="8386" xr:uid="{00000000-0005-0000-0000-0000D53E0000}"/>
    <cellStyle name="Millares 5 6 4 2 2" xfId="15176" xr:uid="{00000000-0005-0000-0000-0000D63E0000}"/>
    <cellStyle name="Millares 5 6 4 2 2 2" xfId="28744" xr:uid="{00000000-0005-0000-0000-0000D73E0000}"/>
    <cellStyle name="Millares 5 6 4 2 2 2 2" xfId="55877" xr:uid="{00000000-0005-0000-0000-0000D83E0000}"/>
    <cellStyle name="Millares 5 6 4 2 2 3" xfId="42315" xr:uid="{00000000-0005-0000-0000-0000D93E0000}"/>
    <cellStyle name="Millares 5 6 4 2 3" xfId="21963" xr:uid="{00000000-0005-0000-0000-0000DA3E0000}"/>
    <cellStyle name="Millares 5 6 4 2 3 2" xfId="49096" xr:uid="{00000000-0005-0000-0000-0000DB3E0000}"/>
    <cellStyle name="Millares 5 6 4 2 4" xfId="35534" xr:uid="{00000000-0005-0000-0000-0000DC3E0000}"/>
    <cellStyle name="Millares 5 6 4 3" xfId="11787" xr:uid="{00000000-0005-0000-0000-0000DD3E0000}"/>
    <cellStyle name="Millares 5 6 4 3 2" xfId="25355" xr:uid="{00000000-0005-0000-0000-0000DE3E0000}"/>
    <cellStyle name="Millares 5 6 4 3 2 2" xfId="52488" xr:uid="{00000000-0005-0000-0000-0000DF3E0000}"/>
    <cellStyle name="Millares 5 6 4 3 3" xfId="38926" xr:uid="{00000000-0005-0000-0000-0000E03E0000}"/>
    <cellStyle name="Millares 5 6 4 4" xfId="18574" xr:uid="{00000000-0005-0000-0000-0000E13E0000}"/>
    <cellStyle name="Millares 5 6 4 4 2" xfId="45707" xr:uid="{00000000-0005-0000-0000-0000E23E0000}"/>
    <cellStyle name="Millares 5 6 4 5" xfId="32145" xr:uid="{00000000-0005-0000-0000-0000E33E0000}"/>
    <cellStyle name="Millares 5 6 5" xfId="4792" xr:uid="{00000000-0005-0000-0000-0000E43E0000}"/>
    <cellStyle name="Millares 5 6 5 2" xfId="8387" xr:uid="{00000000-0005-0000-0000-0000E53E0000}"/>
    <cellStyle name="Millares 5 6 5 2 2" xfId="15177" xr:uid="{00000000-0005-0000-0000-0000E63E0000}"/>
    <cellStyle name="Millares 5 6 5 2 2 2" xfId="28745" xr:uid="{00000000-0005-0000-0000-0000E73E0000}"/>
    <cellStyle name="Millares 5 6 5 2 2 2 2" xfId="55878" xr:uid="{00000000-0005-0000-0000-0000E83E0000}"/>
    <cellStyle name="Millares 5 6 5 2 2 3" xfId="42316" xr:uid="{00000000-0005-0000-0000-0000E93E0000}"/>
    <cellStyle name="Millares 5 6 5 2 3" xfId="21964" xr:uid="{00000000-0005-0000-0000-0000EA3E0000}"/>
    <cellStyle name="Millares 5 6 5 2 3 2" xfId="49097" xr:uid="{00000000-0005-0000-0000-0000EB3E0000}"/>
    <cellStyle name="Millares 5 6 5 2 4" xfId="35535" xr:uid="{00000000-0005-0000-0000-0000EC3E0000}"/>
    <cellStyle name="Millares 5 6 5 3" xfId="11788" xr:uid="{00000000-0005-0000-0000-0000ED3E0000}"/>
    <cellStyle name="Millares 5 6 5 3 2" xfId="25356" xr:uid="{00000000-0005-0000-0000-0000EE3E0000}"/>
    <cellStyle name="Millares 5 6 5 3 2 2" xfId="52489" xr:uid="{00000000-0005-0000-0000-0000EF3E0000}"/>
    <cellStyle name="Millares 5 6 5 3 3" xfId="38927" xr:uid="{00000000-0005-0000-0000-0000F03E0000}"/>
    <cellStyle name="Millares 5 6 5 4" xfId="18575" xr:uid="{00000000-0005-0000-0000-0000F13E0000}"/>
    <cellStyle name="Millares 5 6 5 4 2" xfId="45708" xr:uid="{00000000-0005-0000-0000-0000F23E0000}"/>
    <cellStyle name="Millares 5 6 5 5" xfId="32146" xr:uid="{00000000-0005-0000-0000-0000F33E0000}"/>
    <cellStyle name="Millares 5 6 6" xfId="8380" xr:uid="{00000000-0005-0000-0000-0000F43E0000}"/>
    <cellStyle name="Millares 5 6 6 2" xfId="15170" xr:uid="{00000000-0005-0000-0000-0000F53E0000}"/>
    <cellStyle name="Millares 5 6 6 2 2" xfId="28738" xr:uid="{00000000-0005-0000-0000-0000F63E0000}"/>
    <cellStyle name="Millares 5 6 6 2 2 2" xfId="55871" xr:uid="{00000000-0005-0000-0000-0000F73E0000}"/>
    <cellStyle name="Millares 5 6 6 2 3" xfId="42309" xr:uid="{00000000-0005-0000-0000-0000F83E0000}"/>
    <cellStyle name="Millares 5 6 6 3" xfId="21957" xr:uid="{00000000-0005-0000-0000-0000F93E0000}"/>
    <cellStyle name="Millares 5 6 6 3 2" xfId="49090" xr:uid="{00000000-0005-0000-0000-0000FA3E0000}"/>
    <cellStyle name="Millares 5 6 6 4" xfId="35528" xr:uid="{00000000-0005-0000-0000-0000FB3E0000}"/>
    <cellStyle name="Millares 5 6 7" xfId="11781" xr:uid="{00000000-0005-0000-0000-0000FC3E0000}"/>
    <cellStyle name="Millares 5 6 7 2" xfId="25349" xr:uid="{00000000-0005-0000-0000-0000FD3E0000}"/>
    <cellStyle name="Millares 5 6 7 2 2" xfId="52482" xr:uid="{00000000-0005-0000-0000-0000FE3E0000}"/>
    <cellStyle name="Millares 5 6 7 3" xfId="38920" xr:uid="{00000000-0005-0000-0000-0000FF3E0000}"/>
    <cellStyle name="Millares 5 6 8" xfId="18568" xr:uid="{00000000-0005-0000-0000-0000003F0000}"/>
    <cellStyle name="Millares 5 6 8 2" xfId="45701" xr:uid="{00000000-0005-0000-0000-0000013F0000}"/>
    <cellStyle name="Millares 5 6 9" xfId="32139" xr:uid="{00000000-0005-0000-0000-0000023F0000}"/>
    <cellStyle name="Millares 5 7" xfId="4793" xr:uid="{00000000-0005-0000-0000-0000033F0000}"/>
    <cellStyle name="Millares 5 7 2" xfId="4794" xr:uid="{00000000-0005-0000-0000-0000043F0000}"/>
    <cellStyle name="Millares 5 7 2 2" xfId="4795" xr:uid="{00000000-0005-0000-0000-0000053F0000}"/>
    <cellStyle name="Millares 5 7 2 2 2" xfId="8390" xr:uid="{00000000-0005-0000-0000-0000063F0000}"/>
    <cellStyle name="Millares 5 7 2 2 2 2" xfId="15180" xr:uid="{00000000-0005-0000-0000-0000073F0000}"/>
    <cellStyle name="Millares 5 7 2 2 2 2 2" xfId="28748" xr:uid="{00000000-0005-0000-0000-0000083F0000}"/>
    <cellStyle name="Millares 5 7 2 2 2 2 2 2" xfId="55881" xr:uid="{00000000-0005-0000-0000-0000093F0000}"/>
    <cellStyle name="Millares 5 7 2 2 2 2 3" xfId="42319" xr:uid="{00000000-0005-0000-0000-00000A3F0000}"/>
    <cellStyle name="Millares 5 7 2 2 2 3" xfId="21967" xr:uid="{00000000-0005-0000-0000-00000B3F0000}"/>
    <cellStyle name="Millares 5 7 2 2 2 3 2" xfId="49100" xr:uid="{00000000-0005-0000-0000-00000C3F0000}"/>
    <cellStyle name="Millares 5 7 2 2 2 4" xfId="35538" xr:uid="{00000000-0005-0000-0000-00000D3F0000}"/>
    <cellStyle name="Millares 5 7 2 2 3" xfId="11791" xr:uid="{00000000-0005-0000-0000-00000E3F0000}"/>
    <cellStyle name="Millares 5 7 2 2 3 2" xfId="25359" xr:uid="{00000000-0005-0000-0000-00000F3F0000}"/>
    <cellStyle name="Millares 5 7 2 2 3 2 2" xfId="52492" xr:uid="{00000000-0005-0000-0000-0000103F0000}"/>
    <cellStyle name="Millares 5 7 2 2 3 3" xfId="38930" xr:uid="{00000000-0005-0000-0000-0000113F0000}"/>
    <cellStyle name="Millares 5 7 2 2 4" xfId="18578" xr:uid="{00000000-0005-0000-0000-0000123F0000}"/>
    <cellStyle name="Millares 5 7 2 2 4 2" xfId="45711" xr:uid="{00000000-0005-0000-0000-0000133F0000}"/>
    <cellStyle name="Millares 5 7 2 2 5" xfId="32149" xr:uid="{00000000-0005-0000-0000-0000143F0000}"/>
    <cellStyle name="Millares 5 7 2 3" xfId="4796" xr:uid="{00000000-0005-0000-0000-0000153F0000}"/>
    <cellStyle name="Millares 5 7 2 3 2" xfId="8391" xr:uid="{00000000-0005-0000-0000-0000163F0000}"/>
    <cellStyle name="Millares 5 7 2 3 2 2" xfId="15181" xr:uid="{00000000-0005-0000-0000-0000173F0000}"/>
    <cellStyle name="Millares 5 7 2 3 2 2 2" xfId="28749" xr:uid="{00000000-0005-0000-0000-0000183F0000}"/>
    <cellStyle name="Millares 5 7 2 3 2 2 2 2" xfId="55882" xr:uid="{00000000-0005-0000-0000-0000193F0000}"/>
    <cellStyle name="Millares 5 7 2 3 2 2 3" xfId="42320" xr:uid="{00000000-0005-0000-0000-00001A3F0000}"/>
    <cellStyle name="Millares 5 7 2 3 2 3" xfId="21968" xr:uid="{00000000-0005-0000-0000-00001B3F0000}"/>
    <cellStyle name="Millares 5 7 2 3 2 3 2" xfId="49101" xr:uid="{00000000-0005-0000-0000-00001C3F0000}"/>
    <cellStyle name="Millares 5 7 2 3 2 4" xfId="35539" xr:uid="{00000000-0005-0000-0000-00001D3F0000}"/>
    <cellStyle name="Millares 5 7 2 3 3" xfId="11792" xr:uid="{00000000-0005-0000-0000-00001E3F0000}"/>
    <cellStyle name="Millares 5 7 2 3 3 2" xfId="25360" xr:uid="{00000000-0005-0000-0000-00001F3F0000}"/>
    <cellStyle name="Millares 5 7 2 3 3 2 2" xfId="52493" xr:uid="{00000000-0005-0000-0000-0000203F0000}"/>
    <cellStyle name="Millares 5 7 2 3 3 3" xfId="38931" xr:uid="{00000000-0005-0000-0000-0000213F0000}"/>
    <cellStyle name="Millares 5 7 2 3 4" xfId="18579" xr:uid="{00000000-0005-0000-0000-0000223F0000}"/>
    <cellStyle name="Millares 5 7 2 3 4 2" xfId="45712" xr:uid="{00000000-0005-0000-0000-0000233F0000}"/>
    <cellStyle name="Millares 5 7 2 3 5" xfId="32150" xr:uid="{00000000-0005-0000-0000-0000243F0000}"/>
    <cellStyle name="Millares 5 7 2 4" xfId="8389" xr:uid="{00000000-0005-0000-0000-0000253F0000}"/>
    <cellStyle name="Millares 5 7 2 4 2" xfId="15179" xr:uid="{00000000-0005-0000-0000-0000263F0000}"/>
    <cellStyle name="Millares 5 7 2 4 2 2" xfId="28747" xr:uid="{00000000-0005-0000-0000-0000273F0000}"/>
    <cellStyle name="Millares 5 7 2 4 2 2 2" xfId="55880" xr:uid="{00000000-0005-0000-0000-0000283F0000}"/>
    <cellStyle name="Millares 5 7 2 4 2 3" xfId="42318" xr:uid="{00000000-0005-0000-0000-0000293F0000}"/>
    <cellStyle name="Millares 5 7 2 4 3" xfId="21966" xr:uid="{00000000-0005-0000-0000-00002A3F0000}"/>
    <cellStyle name="Millares 5 7 2 4 3 2" xfId="49099" xr:uid="{00000000-0005-0000-0000-00002B3F0000}"/>
    <cellStyle name="Millares 5 7 2 4 4" xfId="35537" xr:uid="{00000000-0005-0000-0000-00002C3F0000}"/>
    <cellStyle name="Millares 5 7 2 5" xfId="11790" xr:uid="{00000000-0005-0000-0000-00002D3F0000}"/>
    <cellStyle name="Millares 5 7 2 5 2" xfId="25358" xr:uid="{00000000-0005-0000-0000-00002E3F0000}"/>
    <cellStyle name="Millares 5 7 2 5 2 2" xfId="52491" xr:uid="{00000000-0005-0000-0000-00002F3F0000}"/>
    <cellStyle name="Millares 5 7 2 5 3" xfId="38929" xr:uid="{00000000-0005-0000-0000-0000303F0000}"/>
    <cellStyle name="Millares 5 7 2 6" xfId="18577" xr:uid="{00000000-0005-0000-0000-0000313F0000}"/>
    <cellStyle name="Millares 5 7 2 6 2" xfId="45710" xr:uid="{00000000-0005-0000-0000-0000323F0000}"/>
    <cellStyle name="Millares 5 7 2 7" xfId="32148" xr:uid="{00000000-0005-0000-0000-0000333F0000}"/>
    <cellStyle name="Millares 5 7 3" xfId="4797" xr:uid="{00000000-0005-0000-0000-0000343F0000}"/>
    <cellStyle name="Millares 5 7 3 2" xfId="8392" xr:uid="{00000000-0005-0000-0000-0000353F0000}"/>
    <cellStyle name="Millares 5 7 3 2 2" xfId="15182" xr:uid="{00000000-0005-0000-0000-0000363F0000}"/>
    <cellStyle name="Millares 5 7 3 2 2 2" xfId="28750" xr:uid="{00000000-0005-0000-0000-0000373F0000}"/>
    <cellStyle name="Millares 5 7 3 2 2 2 2" xfId="55883" xr:uid="{00000000-0005-0000-0000-0000383F0000}"/>
    <cellStyle name="Millares 5 7 3 2 2 3" xfId="42321" xr:uid="{00000000-0005-0000-0000-0000393F0000}"/>
    <cellStyle name="Millares 5 7 3 2 3" xfId="21969" xr:uid="{00000000-0005-0000-0000-00003A3F0000}"/>
    <cellStyle name="Millares 5 7 3 2 3 2" xfId="49102" xr:uid="{00000000-0005-0000-0000-00003B3F0000}"/>
    <cellStyle name="Millares 5 7 3 2 4" xfId="35540" xr:uid="{00000000-0005-0000-0000-00003C3F0000}"/>
    <cellStyle name="Millares 5 7 3 3" xfId="11793" xr:uid="{00000000-0005-0000-0000-00003D3F0000}"/>
    <cellStyle name="Millares 5 7 3 3 2" xfId="25361" xr:uid="{00000000-0005-0000-0000-00003E3F0000}"/>
    <cellStyle name="Millares 5 7 3 3 2 2" xfId="52494" xr:uid="{00000000-0005-0000-0000-00003F3F0000}"/>
    <cellStyle name="Millares 5 7 3 3 3" xfId="38932" xr:uid="{00000000-0005-0000-0000-0000403F0000}"/>
    <cellStyle name="Millares 5 7 3 4" xfId="18580" xr:uid="{00000000-0005-0000-0000-0000413F0000}"/>
    <cellStyle name="Millares 5 7 3 4 2" xfId="45713" xr:uid="{00000000-0005-0000-0000-0000423F0000}"/>
    <cellStyle name="Millares 5 7 3 5" xfId="32151" xr:uid="{00000000-0005-0000-0000-0000433F0000}"/>
    <cellStyle name="Millares 5 7 4" xfId="4798" xr:uid="{00000000-0005-0000-0000-0000443F0000}"/>
    <cellStyle name="Millares 5 7 4 2" xfId="8393" xr:uid="{00000000-0005-0000-0000-0000453F0000}"/>
    <cellStyle name="Millares 5 7 4 2 2" xfId="15183" xr:uid="{00000000-0005-0000-0000-0000463F0000}"/>
    <cellStyle name="Millares 5 7 4 2 2 2" xfId="28751" xr:uid="{00000000-0005-0000-0000-0000473F0000}"/>
    <cellStyle name="Millares 5 7 4 2 2 2 2" xfId="55884" xr:uid="{00000000-0005-0000-0000-0000483F0000}"/>
    <cellStyle name="Millares 5 7 4 2 2 3" xfId="42322" xr:uid="{00000000-0005-0000-0000-0000493F0000}"/>
    <cellStyle name="Millares 5 7 4 2 3" xfId="21970" xr:uid="{00000000-0005-0000-0000-00004A3F0000}"/>
    <cellStyle name="Millares 5 7 4 2 3 2" xfId="49103" xr:uid="{00000000-0005-0000-0000-00004B3F0000}"/>
    <cellStyle name="Millares 5 7 4 2 4" xfId="35541" xr:uid="{00000000-0005-0000-0000-00004C3F0000}"/>
    <cellStyle name="Millares 5 7 4 3" xfId="11794" xr:uid="{00000000-0005-0000-0000-00004D3F0000}"/>
    <cellStyle name="Millares 5 7 4 3 2" xfId="25362" xr:uid="{00000000-0005-0000-0000-00004E3F0000}"/>
    <cellStyle name="Millares 5 7 4 3 2 2" xfId="52495" xr:uid="{00000000-0005-0000-0000-00004F3F0000}"/>
    <cellStyle name="Millares 5 7 4 3 3" xfId="38933" xr:uid="{00000000-0005-0000-0000-0000503F0000}"/>
    <cellStyle name="Millares 5 7 4 4" xfId="18581" xr:uid="{00000000-0005-0000-0000-0000513F0000}"/>
    <cellStyle name="Millares 5 7 4 4 2" xfId="45714" xr:uid="{00000000-0005-0000-0000-0000523F0000}"/>
    <cellStyle name="Millares 5 7 4 5" xfId="32152" xr:uid="{00000000-0005-0000-0000-0000533F0000}"/>
    <cellStyle name="Millares 5 7 5" xfId="8388" xr:uid="{00000000-0005-0000-0000-0000543F0000}"/>
    <cellStyle name="Millares 5 7 5 2" xfId="15178" xr:uid="{00000000-0005-0000-0000-0000553F0000}"/>
    <cellStyle name="Millares 5 7 5 2 2" xfId="28746" xr:uid="{00000000-0005-0000-0000-0000563F0000}"/>
    <cellStyle name="Millares 5 7 5 2 2 2" xfId="55879" xr:uid="{00000000-0005-0000-0000-0000573F0000}"/>
    <cellStyle name="Millares 5 7 5 2 3" xfId="42317" xr:uid="{00000000-0005-0000-0000-0000583F0000}"/>
    <cellStyle name="Millares 5 7 5 3" xfId="21965" xr:uid="{00000000-0005-0000-0000-0000593F0000}"/>
    <cellStyle name="Millares 5 7 5 3 2" xfId="49098" xr:uid="{00000000-0005-0000-0000-00005A3F0000}"/>
    <cellStyle name="Millares 5 7 5 4" xfId="35536" xr:uid="{00000000-0005-0000-0000-00005B3F0000}"/>
    <cellStyle name="Millares 5 7 6" xfId="11789" xr:uid="{00000000-0005-0000-0000-00005C3F0000}"/>
    <cellStyle name="Millares 5 7 6 2" xfId="25357" xr:uid="{00000000-0005-0000-0000-00005D3F0000}"/>
    <cellStyle name="Millares 5 7 6 2 2" xfId="52490" xr:uid="{00000000-0005-0000-0000-00005E3F0000}"/>
    <cellStyle name="Millares 5 7 6 3" xfId="38928" xr:uid="{00000000-0005-0000-0000-00005F3F0000}"/>
    <cellStyle name="Millares 5 7 7" xfId="18576" xr:uid="{00000000-0005-0000-0000-0000603F0000}"/>
    <cellStyle name="Millares 5 7 7 2" xfId="45709" xr:uid="{00000000-0005-0000-0000-0000613F0000}"/>
    <cellStyle name="Millares 5 7 8" xfId="32147" xr:uid="{00000000-0005-0000-0000-0000623F0000}"/>
    <cellStyle name="Millares 5 8" xfId="4799" xr:uid="{00000000-0005-0000-0000-0000633F0000}"/>
    <cellStyle name="Millares 5 8 2" xfId="4800" xr:uid="{00000000-0005-0000-0000-0000643F0000}"/>
    <cellStyle name="Millares 5 8 2 2" xfId="4801" xr:uid="{00000000-0005-0000-0000-0000653F0000}"/>
    <cellStyle name="Millares 5 8 2 2 2" xfId="8396" xr:uid="{00000000-0005-0000-0000-0000663F0000}"/>
    <cellStyle name="Millares 5 8 2 2 2 2" xfId="15186" xr:uid="{00000000-0005-0000-0000-0000673F0000}"/>
    <cellStyle name="Millares 5 8 2 2 2 2 2" xfId="28754" xr:uid="{00000000-0005-0000-0000-0000683F0000}"/>
    <cellStyle name="Millares 5 8 2 2 2 2 2 2" xfId="55887" xr:uid="{00000000-0005-0000-0000-0000693F0000}"/>
    <cellStyle name="Millares 5 8 2 2 2 2 3" xfId="42325" xr:uid="{00000000-0005-0000-0000-00006A3F0000}"/>
    <cellStyle name="Millares 5 8 2 2 2 3" xfId="21973" xr:uid="{00000000-0005-0000-0000-00006B3F0000}"/>
    <cellStyle name="Millares 5 8 2 2 2 3 2" xfId="49106" xr:uid="{00000000-0005-0000-0000-00006C3F0000}"/>
    <cellStyle name="Millares 5 8 2 2 2 4" xfId="35544" xr:uid="{00000000-0005-0000-0000-00006D3F0000}"/>
    <cellStyle name="Millares 5 8 2 2 3" xfId="11797" xr:uid="{00000000-0005-0000-0000-00006E3F0000}"/>
    <cellStyle name="Millares 5 8 2 2 3 2" xfId="25365" xr:uid="{00000000-0005-0000-0000-00006F3F0000}"/>
    <cellStyle name="Millares 5 8 2 2 3 2 2" xfId="52498" xr:uid="{00000000-0005-0000-0000-0000703F0000}"/>
    <cellStyle name="Millares 5 8 2 2 3 3" xfId="38936" xr:uid="{00000000-0005-0000-0000-0000713F0000}"/>
    <cellStyle name="Millares 5 8 2 2 4" xfId="18584" xr:uid="{00000000-0005-0000-0000-0000723F0000}"/>
    <cellStyle name="Millares 5 8 2 2 4 2" xfId="45717" xr:uid="{00000000-0005-0000-0000-0000733F0000}"/>
    <cellStyle name="Millares 5 8 2 2 5" xfId="32155" xr:uid="{00000000-0005-0000-0000-0000743F0000}"/>
    <cellStyle name="Millares 5 8 2 3" xfId="4802" xr:uid="{00000000-0005-0000-0000-0000753F0000}"/>
    <cellStyle name="Millares 5 8 2 3 2" xfId="8397" xr:uid="{00000000-0005-0000-0000-0000763F0000}"/>
    <cellStyle name="Millares 5 8 2 3 2 2" xfId="15187" xr:uid="{00000000-0005-0000-0000-0000773F0000}"/>
    <cellStyle name="Millares 5 8 2 3 2 2 2" xfId="28755" xr:uid="{00000000-0005-0000-0000-0000783F0000}"/>
    <cellStyle name="Millares 5 8 2 3 2 2 2 2" xfId="55888" xr:uid="{00000000-0005-0000-0000-0000793F0000}"/>
    <cellStyle name="Millares 5 8 2 3 2 2 3" xfId="42326" xr:uid="{00000000-0005-0000-0000-00007A3F0000}"/>
    <cellStyle name="Millares 5 8 2 3 2 3" xfId="21974" xr:uid="{00000000-0005-0000-0000-00007B3F0000}"/>
    <cellStyle name="Millares 5 8 2 3 2 3 2" xfId="49107" xr:uid="{00000000-0005-0000-0000-00007C3F0000}"/>
    <cellStyle name="Millares 5 8 2 3 2 4" xfId="35545" xr:uid="{00000000-0005-0000-0000-00007D3F0000}"/>
    <cellStyle name="Millares 5 8 2 3 3" xfId="11798" xr:uid="{00000000-0005-0000-0000-00007E3F0000}"/>
    <cellStyle name="Millares 5 8 2 3 3 2" xfId="25366" xr:uid="{00000000-0005-0000-0000-00007F3F0000}"/>
    <cellStyle name="Millares 5 8 2 3 3 2 2" xfId="52499" xr:uid="{00000000-0005-0000-0000-0000803F0000}"/>
    <cellStyle name="Millares 5 8 2 3 3 3" xfId="38937" xr:uid="{00000000-0005-0000-0000-0000813F0000}"/>
    <cellStyle name="Millares 5 8 2 3 4" xfId="18585" xr:uid="{00000000-0005-0000-0000-0000823F0000}"/>
    <cellStyle name="Millares 5 8 2 3 4 2" xfId="45718" xr:uid="{00000000-0005-0000-0000-0000833F0000}"/>
    <cellStyle name="Millares 5 8 2 3 5" xfId="32156" xr:uid="{00000000-0005-0000-0000-0000843F0000}"/>
    <cellStyle name="Millares 5 8 2 4" xfId="8395" xr:uid="{00000000-0005-0000-0000-0000853F0000}"/>
    <cellStyle name="Millares 5 8 2 4 2" xfId="15185" xr:uid="{00000000-0005-0000-0000-0000863F0000}"/>
    <cellStyle name="Millares 5 8 2 4 2 2" xfId="28753" xr:uid="{00000000-0005-0000-0000-0000873F0000}"/>
    <cellStyle name="Millares 5 8 2 4 2 2 2" xfId="55886" xr:uid="{00000000-0005-0000-0000-0000883F0000}"/>
    <cellStyle name="Millares 5 8 2 4 2 3" xfId="42324" xr:uid="{00000000-0005-0000-0000-0000893F0000}"/>
    <cellStyle name="Millares 5 8 2 4 3" xfId="21972" xr:uid="{00000000-0005-0000-0000-00008A3F0000}"/>
    <cellStyle name="Millares 5 8 2 4 3 2" xfId="49105" xr:uid="{00000000-0005-0000-0000-00008B3F0000}"/>
    <cellStyle name="Millares 5 8 2 4 4" xfId="35543" xr:uid="{00000000-0005-0000-0000-00008C3F0000}"/>
    <cellStyle name="Millares 5 8 2 5" xfId="11796" xr:uid="{00000000-0005-0000-0000-00008D3F0000}"/>
    <cellStyle name="Millares 5 8 2 5 2" xfId="25364" xr:uid="{00000000-0005-0000-0000-00008E3F0000}"/>
    <cellStyle name="Millares 5 8 2 5 2 2" xfId="52497" xr:uid="{00000000-0005-0000-0000-00008F3F0000}"/>
    <cellStyle name="Millares 5 8 2 5 3" xfId="38935" xr:uid="{00000000-0005-0000-0000-0000903F0000}"/>
    <cellStyle name="Millares 5 8 2 6" xfId="18583" xr:uid="{00000000-0005-0000-0000-0000913F0000}"/>
    <cellStyle name="Millares 5 8 2 6 2" xfId="45716" xr:uid="{00000000-0005-0000-0000-0000923F0000}"/>
    <cellStyle name="Millares 5 8 2 7" xfId="32154" xr:uid="{00000000-0005-0000-0000-0000933F0000}"/>
    <cellStyle name="Millares 5 8 3" xfId="4803" xr:uid="{00000000-0005-0000-0000-0000943F0000}"/>
    <cellStyle name="Millares 5 8 3 2" xfId="8398" xr:uid="{00000000-0005-0000-0000-0000953F0000}"/>
    <cellStyle name="Millares 5 8 3 2 2" xfId="15188" xr:uid="{00000000-0005-0000-0000-0000963F0000}"/>
    <cellStyle name="Millares 5 8 3 2 2 2" xfId="28756" xr:uid="{00000000-0005-0000-0000-0000973F0000}"/>
    <cellStyle name="Millares 5 8 3 2 2 2 2" xfId="55889" xr:uid="{00000000-0005-0000-0000-0000983F0000}"/>
    <cellStyle name="Millares 5 8 3 2 2 3" xfId="42327" xr:uid="{00000000-0005-0000-0000-0000993F0000}"/>
    <cellStyle name="Millares 5 8 3 2 3" xfId="21975" xr:uid="{00000000-0005-0000-0000-00009A3F0000}"/>
    <cellStyle name="Millares 5 8 3 2 3 2" xfId="49108" xr:uid="{00000000-0005-0000-0000-00009B3F0000}"/>
    <cellStyle name="Millares 5 8 3 2 4" xfId="35546" xr:uid="{00000000-0005-0000-0000-00009C3F0000}"/>
    <cellStyle name="Millares 5 8 3 3" xfId="11799" xr:uid="{00000000-0005-0000-0000-00009D3F0000}"/>
    <cellStyle name="Millares 5 8 3 3 2" xfId="25367" xr:uid="{00000000-0005-0000-0000-00009E3F0000}"/>
    <cellStyle name="Millares 5 8 3 3 2 2" xfId="52500" xr:uid="{00000000-0005-0000-0000-00009F3F0000}"/>
    <cellStyle name="Millares 5 8 3 3 3" xfId="38938" xr:uid="{00000000-0005-0000-0000-0000A03F0000}"/>
    <cellStyle name="Millares 5 8 3 4" xfId="18586" xr:uid="{00000000-0005-0000-0000-0000A13F0000}"/>
    <cellStyle name="Millares 5 8 3 4 2" xfId="45719" xr:uid="{00000000-0005-0000-0000-0000A23F0000}"/>
    <cellStyle name="Millares 5 8 3 5" xfId="32157" xr:uid="{00000000-0005-0000-0000-0000A33F0000}"/>
    <cellStyle name="Millares 5 8 4" xfId="4804" xr:uid="{00000000-0005-0000-0000-0000A43F0000}"/>
    <cellStyle name="Millares 5 8 4 2" xfId="8399" xr:uid="{00000000-0005-0000-0000-0000A53F0000}"/>
    <cellStyle name="Millares 5 8 4 2 2" xfId="15189" xr:uid="{00000000-0005-0000-0000-0000A63F0000}"/>
    <cellStyle name="Millares 5 8 4 2 2 2" xfId="28757" xr:uid="{00000000-0005-0000-0000-0000A73F0000}"/>
    <cellStyle name="Millares 5 8 4 2 2 2 2" xfId="55890" xr:uid="{00000000-0005-0000-0000-0000A83F0000}"/>
    <cellStyle name="Millares 5 8 4 2 2 3" xfId="42328" xr:uid="{00000000-0005-0000-0000-0000A93F0000}"/>
    <cellStyle name="Millares 5 8 4 2 3" xfId="21976" xr:uid="{00000000-0005-0000-0000-0000AA3F0000}"/>
    <cellStyle name="Millares 5 8 4 2 3 2" xfId="49109" xr:uid="{00000000-0005-0000-0000-0000AB3F0000}"/>
    <cellStyle name="Millares 5 8 4 2 4" xfId="35547" xr:uid="{00000000-0005-0000-0000-0000AC3F0000}"/>
    <cellStyle name="Millares 5 8 4 3" xfId="11800" xr:uid="{00000000-0005-0000-0000-0000AD3F0000}"/>
    <cellStyle name="Millares 5 8 4 3 2" xfId="25368" xr:uid="{00000000-0005-0000-0000-0000AE3F0000}"/>
    <cellStyle name="Millares 5 8 4 3 2 2" xfId="52501" xr:uid="{00000000-0005-0000-0000-0000AF3F0000}"/>
    <cellStyle name="Millares 5 8 4 3 3" xfId="38939" xr:uid="{00000000-0005-0000-0000-0000B03F0000}"/>
    <cellStyle name="Millares 5 8 4 4" xfId="18587" xr:uid="{00000000-0005-0000-0000-0000B13F0000}"/>
    <cellStyle name="Millares 5 8 4 4 2" xfId="45720" xr:uid="{00000000-0005-0000-0000-0000B23F0000}"/>
    <cellStyle name="Millares 5 8 4 5" xfId="32158" xr:uid="{00000000-0005-0000-0000-0000B33F0000}"/>
    <cellStyle name="Millares 5 8 5" xfId="8394" xr:uid="{00000000-0005-0000-0000-0000B43F0000}"/>
    <cellStyle name="Millares 5 8 5 2" xfId="15184" xr:uid="{00000000-0005-0000-0000-0000B53F0000}"/>
    <cellStyle name="Millares 5 8 5 2 2" xfId="28752" xr:uid="{00000000-0005-0000-0000-0000B63F0000}"/>
    <cellStyle name="Millares 5 8 5 2 2 2" xfId="55885" xr:uid="{00000000-0005-0000-0000-0000B73F0000}"/>
    <cellStyle name="Millares 5 8 5 2 3" xfId="42323" xr:uid="{00000000-0005-0000-0000-0000B83F0000}"/>
    <cellStyle name="Millares 5 8 5 3" xfId="21971" xr:uid="{00000000-0005-0000-0000-0000B93F0000}"/>
    <cellStyle name="Millares 5 8 5 3 2" xfId="49104" xr:uid="{00000000-0005-0000-0000-0000BA3F0000}"/>
    <cellStyle name="Millares 5 8 5 4" xfId="35542" xr:uid="{00000000-0005-0000-0000-0000BB3F0000}"/>
    <cellStyle name="Millares 5 8 6" xfId="11795" xr:uid="{00000000-0005-0000-0000-0000BC3F0000}"/>
    <cellStyle name="Millares 5 8 6 2" xfId="25363" xr:uid="{00000000-0005-0000-0000-0000BD3F0000}"/>
    <cellStyle name="Millares 5 8 6 2 2" xfId="52496" xr:uid="{00000000-0005-0000-0000-0000BE3F0000}"/>
    <cellStyle name="Millares 5 8 6 3" xfId="38934" xr:uid="{00000000-0005-0000-0000-0000BF3F0000}"/>
    <cellStyle name="Millares 5 8 7" xfId="18582" xr:uid="{00000000-0005-0000-0000-0000C03F0000}"/>
    <cellStyle name="Millares 5 8 7 2" xfId="45715" xr:uid="{00000000-0005-0000-0000-0000C13F0000}"/>
    <cellStyle name="Millares 5 8 8" xfId="32153" xr:uid="{00000000-0005-0000-0000-0000C23F0000}"/>
    <cellStyle name="Millares 5 9" xfId="4805" xr:uid="{00000000-0005-0000-0000-0000C33F0000}"/>
    <cellStyle name="Millares 5 9 2" xfId="4806" xr:uid="{00000000-0005-0000-0000-0000C43F0000}"/>
    <cellStyle name="Millares 5 9 2 2" xfId="8401" xr:uid="{00000000-0005-0000-0000-0000C53F0000}"/>
    <cellStyle name="Millares 5 9 2 2 2" xfId="15191" xr:uid="{00000000-0005-0000-0000-0000C63F0000}"/>
    <cellStyle name="Millares 5 9 2 2 2 2" xfId="28759" xr:uid="{00000000-0005-0000-0000-0000C73F0000}"/>
    <cellStyle name="Millares 5 9 2 2 2 2 2" xfId="55892" xr:uid="{00000000-0005-0000-0000-0000C83F0000}"/>
    <cellStyle name="Millares 5 9 2 2 2 3" xfId="42330" xr:uid="{00000000-0005-0000-0000-0000C93F0000}"/>
    <cellStyle name="Millares 5 9 2 2 3" xfId="21978" xr:uid="{00000000-0005-0000-0000-0000CA3F0000}"/>
    <cellStyle name="Millares 5 9 2 2 3 2" xfId="49111" xr:uid="{00000000-0005-0000-0000-0000CB3F0000}"/>
    <cellStyle name="Millares 5 9 2 2 4" xfId="35549" xr:uid="{00000000-0005-0000-0000-0000CC3F0000}"/>
    <cellStyle name="Millares 5 9 2 3" xfId="11802" xr:uid="{00000000-0005-0000-0000-0000CD3F0000}"/>
    <cellStyle name="Millares 5 9 2 3 2" xfId="25370" xr:uid="{00000000-0005-0000-0000-0000CE3F0000}"/>
    <cellStyle name="Millares 5 9 2 3 2 2" xfId="52503" xr:uid="{00000000-0005-0000-0000-0000CF3F0000}"/>
    <cellStyle name="Millares 5 9 2 3 3" xfId="38941" xr:uid="{00000000-0005-0000-0000-0000D03F0000}"/>
    <cellStyle name="Millares 5 9 2 4" xfId="18589" xr:uid="{00000000-0005-0000-0000-0000D13F0000}"/>
    <cellStyle name="Millares 5 9 2 4 2" xfId="45722" xr:uid="{00000000-0005-0000-0000-0000D23F0000}"/>
    <cellStyle name="Millares 5 9 2 5" xfId="32160" xr:uid="{00000000-0005-0000-0000-0000D33F0000}"/>
    <cellStyle name="Millares 5 9 3" xfId="8400" xr:uid="{00000000-0005-0000-0000-0000D43F0000}"/>
    <cellStyle name="Millares 5 9 3 2" xfId="15190" xr:uid="{00000000-0005-0000-0000-0000D53F0000}"/>
    <cellStyle name="Millares 5 9 3 2 2" xfId="28758" xr:uid="{00000000-0005-0000-0000-0000D63F0000}"/>
    <cellStyle name="Millares 5 9 3 2 2 2" xfId="55891" xr:uid="{00000000-0005-0000-0000-0000D73F0000}"/>
    <cellStyle name="Millares 5 9 3 2 3" xfId="42329" xr:uid="{00000000-0005-0000-0000-0000D83F0000}"/>
    <cellStyle name="Millares 5 9 3 3" xfId="21977" xr:uid="{00000000-0005-0000-0000-0000D93F0000}"/>
    <cellStyle name="Millares 5 9 3 3 2" xfId="49110" xr:uid="{00000000-0005-0000-0000-0000DA3F0000}"/>
    <cellStyle name="Millares 5 9 3 4" xfId="35548" xr:uid="{00000000-0005-0000-0000-0000DB3F0000}"/>
    <cellStyle name="Millares 5 9 4" xfId="11801" xr:uid="{00000000-0005-0000-0000-0000DC3F0000}"/>
    <cellStyle name="Millares 5 9 4 2" xfId="25369" xr:uid="{00000000-0005-0000-0000-0000DD3F0000}"/>
    <cellStyle name="Millares 5 9 4 2 2" xfId="52502" xr:uid="{00000000-0005-0000-0000-0000DE3F0000}"/>
    <cellStyle name="Millares 5 9 4 3" xfId="38940" xr:uid="{00000000-0005-0000-0000-0000DF3F0000}"/>
    <cellStyle name="Millares 5 9 5" xfId="18588" xr:uid="{00000000-0005-0000-0000-0000E03F0000}"/>
    <cellStyle name="Millares 5 9 5 2" xfId="45721" xr:uid="{00000000-0005-0000-0000-0000E13F0000}"/>
    <cellStyle name="Millares 5 9 6" xfId="32159" xr:uid="{00000000-0005-0000-0000-0000E23F0000}"/>
    <cellStyle name="Millares 6" xfId="26" xr:uid="{00000000-0005-0000-0000-0000E33F0000}"/>
    <cellStyle name="Millares 6 10" xfId="4807" xr:uid="{00000000-0005-0000-0000-0000E43F0000}"/>
    <cellStyle name="Millares 6 10 2" xfId="8402" xr:uid="{00000000-0005-0000-0000-0000E53F0000}"/>
    <cellStyle name="Millares 6 10 2 2" xfId="15192" xr:uid="{00000000-0005-0000-0000-0000E63F0000}"/>
    <cellStyle name="Millares 6 10 2 2 2" xfId="28760" xr:uid="{00000000-0005-0000-0000-0000E73F0000}"/>
    <cellStyle name="Millares 6 10 2 2 2 2" xfId="55893" xr:uid="{00000000-0005-0000-0000-0000E83F0000}"/>
    <cellStyle name="Millares 6 10 2 2 3" xfId="42331" xr:uid="{00000000-0005-0000-0000-0000E93F0000}"/>
    <cellStyle name="Millares 6 10 2 3" xfId="21979" xr:uid="{00000000-0005-0000-0000-0000EA3F0000}"/>
    <cellStyle name="Millares 6 10 2 3 2" xfId="49112" xr:uid="{00000000-0005-0000-0000-0000EB3F0000}"/>
    <cellStyle name="Millares 6 10 2 4" xfId="35550" xr:uid="{00000000-0005-0000-0000-0000EC3F0000}"/>
    <cellStyle name="Millares 6 10 3" xfId="11803" xr:uid="{00000000-0005-0000-0000-0000ED3F0000}"/>
    <cellStyle name="Millares 6 10 3 2" xfId="25371" xr:uid="{00000000-0005-0000-0000-0000EE3F0000}"/>
    <cellStyle name="Millares 6 10 3 2 2" xfId="52504" xr:uid="{00000000-0005-0000-0000-0000EF3F0000}"/>
    <cellStyle name="Millares 6 10 3 3" xfId="38942" xr:uid="{00000000-0005-0000-0000-0000F03F0000}"/>
    <cellStyle name="Millares 6 10 4" xfId="18590" xr:uid="{00000000-0005-0000-0000-0000F13F0000}"/>
    <cellStyle name="Millares 6 10 4 2" xfId="45723" xr:uid="{00000000-0005-0000-0000-0000F23F0000}"/>
    <cellStyle name="Millares 6 10 5" xfId="32161" xr:uid="{00000000-0005-0000-0000-0000F33F0000}"/>
    <cellStyle name="Millares 6 11" xfId="85" xr:uid="{00000000-0005-0000-0000-0000F43F0000}"/>
    <cellStyle name="Millares 6 12" xfId="58383" xr:uid="{168EAD7B-14BE-497B-8EC4-2A51B9ECE54B}"/>
    <cellStyle name="Millares 6 2" xfId="2477" xr:uid="{00000000-0005-0000-0000-0000F53F0000}"/>
    <cellStyle name="Millares 6 2 2 4" xfId="7391" xr:uid="{00000000-0005-0000-0000-0000F63F0000}"/>
    <cellStyle name="Millares 6 3" xfId="4808" xr:uid="{00000000-0005-0000-0000-0000F73F0000}"/>
    <cellStyle name="Millares 6 3 10" xfId="11804" xr:uid="{00000000-0005-0000-0000-0000F83F0000}"/>
    <cellStyle name="Millares 6 3 10 2" xfId="25372" xr:uid="{00000000-0005-0000-0000-0000F93F0000}"/>
    <cellStyle name="Millares 6 3 10 2 2" xfId="52505" xr:uid="{00000000-0005-0000-0000-0000FA3F0000}"/>
    <cellStyle name="Millares 6 3 10 3" xfId="38943" xr:uid="{00000000-0005-0000-0000-0000FB3F0000}"/>
    <cellStyle name="Millares 6 3 11" xfId="18591" xr:uid="{00000000-0005-0000-0000-0000FC3F0000}"/>
    <cellStyle name="Millares 6 3 11 2" xfId="45724" xr:uid="{00000000-0005-0000-0000-0000FD3F0000}"/>
    <cellStyle name="Millares 6 3 12" xfId="32162" xr:uid="{00000000-0005-0000-0000-0000FE3F0000}"/>
    <cellStyle name="Millares 6 3 2" xfId="4809" xr:uid="{00000000-0005-0000-0000-0000FF3F0000}"/>
    <cellStyle name="Millares 6 3 2 10" xfId="32163" xr:uid="{00000000-0005-0000-0000-000000400000}"/>
    <cellStyle name="Millares 6 3 2 2" xfId="4810" xr:uid="{00000000-0005-0000-0000-000001400000}"/>
    <cellStyle name="Millares 6 3 2 2 2" xfId="4811" xr:uid="{00000000-0005-0000-0000-000002400000}"/>
    <cellStyle name="Millares 6 3 2 2 2 2" xfId="4812" xr:uid="{00000000-0005-0000-0000-000003400000}"/>
    <cellStyle name="Millares 6 3 2 2 2 2 2" xfId="8407" xr:uid="{00000000-0005-0000-0000-000004400000}"/>
    <cellStyle name="Millares 6 3 2 2 2 2 2 2" xfId="15197" xr:uid="{00000000-0005-0000-0000-000005400000}"/>
    <cellStyle name="Millares 6 3 2 2 2 2 2 2 2" xfId="28765" xr:uid="{00000000-0005-0000-0000-000006400000}"/>
    <cellStyle name="Millares 6 3 2 2 2 2 2 2 2 2" xfId="55898" xr:uid="{00000000-0005-0000-0000-000007400000}"/>
    <cellStyle name="Millares 6 3 2 2 2 2 2 2 3" xfId="42336" xr:uid="{00000000-0005-0000-0000-000008400000}"/>
    <cellStyle name="Millares 6 3 2 2 2 2 2 3" xfId="21984" xr:uid="{00000000-0005-0000-0000-000009400000}"/>
    <cellStyle name="Millares 6 3 2 2 2 2 2 3 2" xfId="49117" xr:uid="{00000000-0005-0000-0000-00000A400000}"/>
    <cellStyle name="Millares 6 3 2 2 2 2 2 4" xfId="35555" xr:uid="{00000000-0005-0000-0000-00000B400000}"/>
    <cellStyle name="Millares 6 3 2 2 2 2 3" xfId="11808" xr:uid="{00000000-0005-0000-0000-00000C400000}"/>
    <cellStyle name="Millares 6 3 2 2 2 2 3 2" xfId="25376" xr:uid="{00000000-0005-0000-0000-00000D400000}"/>
    <cellStyle name="Millares 6 3 2 2 2 2 3 2 2" xfId="52509" xr:uid="{00000000-0005-0000-0000-00000E400000}"/>
    <cellStyle name="Millares 6 3 2 2 2 2 3 3" xfId="38947" xr:uid="{00000000-0005-0000-0000-00000F400000}"/>
    <cellStyle name="Millares 6 3 2 2 2 2 4" xfId="18595" xr:uid="{00000000-0005-0000-0000-000010400000}"/>
    <cellStyle name="Millares 6 3 2 2 2 2 4 2" xfId="45728" xr:uid="{00000000-0005-0000-0000-000011400000}"/>
    <cellStyle name="Millares 6 3 2 2 2 2 5" xfId="32166" xr:uid="{00000000-0005-0000-0000-000012400000}"/>
    <cellStyle name="Millares 6 3 2 2 2 3" xfId="4813" xr:uid="{00000000-0005-0000-0000-000013400000}"/>
    <cellStyle name="Millares 6 3 2 2 2 3 2" xfId="8408" xr:uid="{00000000-0005-0000-0000-000014400000}"/>
    <cellStyle name="Millares 6 3 2 2 2 3 2 2" xfId="15198" xr:uid="{00000000-0005-0000-0000-000015400000}"/>
    <cellStyle name="Millares 6 3 2 2 2 3 2 2 2" xfId="28766" xr:uid="{00000000-0005-0000-0000-000016400000}"/>
    <cellStyle name="Millares 6 3 2 2 2 3 2 2 2 2" xfId="55899" xr:uid="{00000000-0005-0000-0000-000017400000}"/>
    <cellStyle name="Millares 6 3 2 2 2 3 2 2 3" xfId="42337" xr:uid="{00000000-0005-0000-0000-000018400000}"/>
    <cellStyle name="Millares 6 3 2 2 2 3 2 3" xfId="21985" xr:uid="{00000000-0005-0000-0000-000019400000}"/>
    <cellStyle name="Millares 6 3 2 2 2 3 2 3 2" xfId="49118" xr:uid="{00000000-0005-0000-0000-00001A400000}"/>
    <cellStyle name="Millares 6 3 2 2 2 3 2 4" xfId="35556" xr:uid="{00000000-0005-0000-0000-00001B400000}"/>
    <cellStyle name="Millares 6 3 2 2 2 3 3" xfId="11809" xr:uid="{00000000-0005-0000-0000-00001C400000}"/>
    <cellStyle name="Millares 6 3 2 2 2 3 3 2" xfId="25377" xr:uid="{00000000-0005-0000-0000-00001D400000}"/>
    <cellStyle name="Millares 6 3 2 2 2 3 3 2 2" xfId="52510" xr:uid="{00000000-0005-0000-0000-00001E400000}"/>
    <cellStyle name="Millares 6 3 2 2 2 3 3 3" xfId="38948" xr:uid="{00000000-0005-0000-0000-00001F400000}"/>
    <cellStyle name="Millares 6 3 2 2 2 3 4" xfId="18596" xr:uid="{00000000-0005-0000-0000-000020400000}"/>
    <cellStyle name="Millares 6 3 2 2 2 3 4 2" xfId="45729" xr:uid="{00000000-0005-0000-0000-000021400000}"/>
    <cellStyle name="Millares 6 3 2 2 2 3 5" xfId="32167" xr:uid="{00000000-0005-0000-0000-000022400000}"/>
    <cellStyle name="Millares 6 3 2 2 2 4" xfId="8406" xr:uid="{00000000-0005-0000-0000-000023400000}"/>
    <cellStyle name="Millares 6 3 2 2 2 4 2" xfId="15196" xr:uid="{00000000-0005-0000-0000-000024400000}"/>
    <cellStyle name="Millares 6 3 2 2 2 4 2 2" xfId="28764" xr:uid="{00000000-0005-0000-0000-000025400000}"/>
    <cellStyle name="Millares 6 3 2 2 2 4 2 2 2" xfId="55897" xr:uid="{00000000-0005-0000-0000-000026400000}"/>
    <cellStyle name="Millares 6 3 2 2 2 4 2 3" xfId="42335" xr:uid="{00000000-0005-0000-0000-000027400000}"/>
    <cellStyle name="Millares 6 3 2 2 2 4 3" xfId="21983" xr:uid="{00000000-0005-0000-0000-000028400000}"/>
    <cellStyle name="Millares 6 3 2 2 2 4 3 2" xfId="49116" xr:uid="{00000000-0005-0000-0000-000029400000}"/>
    <cellStyle name="Millares 6 3 2 2 2 4 4" xfId="35554" xr:uid="{00000000-0005-0000-0000-00002A400000}"/>
    <cellStyle name="Millares 6 3 2 2 2 5" xfId="11807" xr:uid="{00000000-0005-0000-0000-00002B400000}"/>
    <cellStyle name="Millares 6 3 2 2 2 5 2" xfId="25375" xr:uid="{00000000-0005-0000-0000-00002C400000}"/>
    <cellStyle name="Millares 6 3 2 2 2 5 2 2" xfId="52508" xr:uid="{00000000-0005-0000-0000-00002D400000}"/>
    <cellStyle name="Millares 6 3 2 2 2 5 3" xfId="38946" xr:uid="{00000000-0005-0000-0000-00002E400000}"/>
    <cellStyle name="Millares 6 3 2 2 2 6" xfId="18594" xr:uid="{00000000-0005-0000-0000-00002F400000}"/>
    <cellStyle name="Millares 6 3 2 2 2 6 2" xfId="45727" xr:uid="{00000000-0005-0000-0000-000030400000}"/>
    <cellStyle name="Millares 6 3 2 2 2 7" xfId="32165" xr:uid="{00000000-0005-0000-0000-000031400000}"/>
    <cellStyle name="Millares 6 3 2 2 3" xfId="4814" xr:uid="{00000000-0005-0000-0000-000032400000}"/>
    <cellStyle name="Millares 6 3 2 2 3 2" xfId="4815" xr:uid="{00000000-0005-0000-0000-000033400000}"/>
    <cellStyle name="Millares 6 3 2 2 3 2 2" xfId="8410" xr:uid="{00000000-0005-0000-0000-000034400000}"/>
    <cellStyle name="Millares 6 3 2 2 3 2 2 2" xfId="15200" xr:uid="{00000000-0005-0000-0000-000035400000}"/>
    <cellStyle name="Millares 6 3 2 2 3 2 2 2 2" xfId="28768" xr:uid="{00000000-0005-0000-0000-000036400000}"/>
    <cellStyle name="Millares 6 3 2 2 3 2 2 2 2 2" xfId="55901" xr:uid="{00000000-0005-0000-0000-000037400000}"/>
    <cellStyle name="Millares 6 3 2 2 3 2 2 2 3" xfId="42339" xr:uid="{00000000-0005-0000-0000-000038400000}"/>
    <cellStyle name="Millares 6 3 2 2 3 2 2 3" xfId="21987" xr:uid="{00000000-0005-0000-0000-000039400000}"/>
    <cellStyle name="Millares 6 3 2 2 3 2 2 3 2" xfId="49120" xr:uid="{00000000-0005-0000-0000-00003A400000}"/>
    <cellStyle name="Millares 6 3 2 2 3 2 2 4" xfId="35558" xr:uid="{00000000-0005-0000-0000-00003B400000}"/>
    <cellStyle name="Millares 6 3 2 2 3 2 3" xfId="11811" xr:uid="{00000000-0005-0000-0000-00003C400000}"/>
    <cellStyle name="Millares 6 3 2 2 3 2 3 2" xfId="25379" xr:uid="{00000000-0005-0000-0000-00003D400000}"/>
    <cellStyle name="Millares 6 3 2 2 3 2 3 2 2" xfId="52512" xr:uid="{00000000-0005-0000-0000-00003E400000}"/>
    <cellStyle name="Millares 6 3 2 2 3 2 3 3" xfId="38950" xr:uid="{00000000-0005-0000-0000-00003F400000}"/>
    <cellStyle name="Millares 6 3 2 2 3 2 4" xfId="18598" xr:uid="{00000000-0005-0000-0000-000040400000}"/>
    <cellStyle name="Millares 6 3 2 2 3 2 4 2" xfId="45731" xr:uid="{00000000-0005-0000-0000-000041400000}"/>
    <cellStyle name="Millares 6 3 2 2 3 2 5" xfId="32169" xr:uid="{00000000-0005-0000-0000-000042400000}"/>
    <cellStyle name="Millares 6 3 2 2 3 3" xfId="8409" xr:uid="{00000000-0005-0000-0000-000043400000}"/>
    <cellStyle name="Millares 6 3 2 2 3 3 2" xfId="15199" xr:uid="{00000000-0005-0000-0000-000044400000}"/>
    <cellStyle name="Millares 6 3 2 2 3 3 2 2" xfId="28767" xr:uid="{00000000-0005-0000-0000-000045400000}"/>
    <cellStyle name="Millares 6 3 2 2 3 3 2 2 2" xfId="55900" xr:uid="{00000000-0005-0000-0000-000046400000}"/>
    <cellStyle name="Millares 6 3 2 2 3 3 2 3" xfId="42338" xr:uid="{00000000-0005-0000-0000-000047400000}"/>
    <cellStyle name="Millares 6 3 2 2 3 3 3" xfId="21986" xr:uid="{00000000-0005-0000-0000-000048400000}"/>
    <cellStyle name="Millares 6 3 2 2 3 3 3 2" xfId="49119" xr:uid="{00000000-0005-0000-0000-000049400000}"/>
    <cellStyle name="Millares 6 3 2 2 3 3 4" xfId="35557" xr:uid="{00000000-0005-0000-0000-00004A400000}"/>
    <cellStyle name="Millares 6 3 2 2 3 4" xfId="11810" xr:uid="{00000000-0005-0000-0000-00004B400000}"/>
    <cellStyle name="Millares 6 3 2 2 3 4 2" xfId="25378" xr:uid="{00000000-0005-0000-0000-00004C400000}"/>
    <cellStyle name="Millares 6 3 2 2 3 4 2 2" xfId="52511" xr:uid="{00000000-0005-0000-0000-00004D400000}"/>
    <cellStyle name="Millares 6 3 2 2 3 4 3" xfId="38949" xr:uid="{00000000-0005-0000-0000-00004E400000}"/>
    <cellStyle name="Millares 6 3 2 2 3 5" xfId="18597" xr:uid="{00000000-0005-0000-0000-00004F400000}"/>
    <cellStyle name="Millares 6 3 2 2 3 5 2" xfId="45730" xr:uid="{00000000-0005-0000-0000-000050400000}"/>
    <cellStyle name="Millares 6 3 2 2 3 6" xfId="32168" xr:uid="{00000000-0005-0000-0000-000051400000}"/>
    <cellStyle name="Millares 6 3 2 2 4" xfId="4816" xr:uid="{00000000-0005-0000-0000-000052400000}"/>
    <cellStyle name="Millares 6 3 2 2 4 2" xfId="8411" xr:uid="{00000000-0005-0000-0000-000053400000}"/>
    <cellStyle name="Millares 6 3 2 2 4 2 2" xfId="15201" xr:uid="{00000000-0005-0000-0000-000054400000}"/>
    <cellStyle name="Millares 6 3 2 2 4 2 2 2" xfId="28769" xr:uid="{00000000-0005-0000-0000-000055400000}"/>
    <cellStyle name="Millares 6 3 2 2 4 2 2 2 2" xfId="55902" xr:uid="{00000000-0005-0000-0000-000056400000}"/>
    <cellStyle name="Millares 6 3 2 2 4 2 2 3" xfId="42340" xr:uid="{00000000-0005-0000-0000-000057400000}"/>
    <cellStyle name="Millares 6 3 2 2 4 2 3" xfId="21988" xr:uid="{00000000-0005-0000-0000-000058400000}"/>
    <cellStyle name="Millares 6 3 2 2 4 2 3 2" xfId="49121" xr:uid="{00000000-0005-0000-0000-000059400000}"/>
    <cellStyle name="Millares 6 3 2 2 4 2 4" xfId="35559" xr:uid="{00000000-0005-0000-0000-00005A400000}"/>
    <cellStyle name="Millares 6 3 2 2 4 3" xfId="11812" xr:uid="{00000000-0005-0000-0000-00005B400000}"/>
    <cellStyle name="Millares 6 3 2 2 4 3 2" xfId="25380" xr:uid="{00000000-0005-0000-0000-00005C400000}"/>
    <cellStyle name="Millares 6 3 2 2 4 3 2 2" xfId="52513" xr:uid="{00000000-0005-0000-0000-00005D400000}"/>
    <cellStyle name="Millares 6 3 2 2 4 3 3" xfId="38951" xr:uid="{00000000-0005-0000-0000-00005E400000}"/>
    <cellStyle name="Millares 6 3 2 2 4 4" xfId="18599" xr:uid="{00000000-0005-0000-0000-00005F400000}"/>
    <cellStyle name="Millares 6 3 2 2 4 4 2" xfId="45732" xr:uid="{00000000-0005-0000-0000-000060400000}"/>
    <cellStyle name="Millares 6 3 2 2 4 5" xfId="32170" xr:uid="{00000000-0005-0000-0000-000061400000}"/>
    <cellStyle name="Millares 6 3 2 2 5" xfId="4817" xr:uid="{00000000-0005-0000-0000-000062400000}"/>
    <cellStyle name="Millares 6 3 2 2 5 2" xfId="8412" xr:uid="{00000000-0005-0000-0000-000063400000}"/>
    <cellStyle name="Millares 6 3 2 2 5 2 2" xfId="15202" xr:uid="{00000000-0005-0000-0000-000064400000}"/>
    <cellStyle name="Millares 6 3 2 2 5 2 2 2" xfId="28770" xr:uid="{00000000-0005-0000-0000-000065400000}"/>
    <cellStyle name="Millares 6 3 2 2 5 2 2 2 2" xfId="55903" xr:uid="{00000000-0005-0000-0000-000066400000}"/>
    <cellStyle name="Millares 6 3 2 2 5 2 2 3" xfId="42341" xr:uid="{00000000-0005-0000-0000-000067400000}"/>
    <cellStyle name="Millares 6 3 2 2 5 2 3" xfId="21989" xr:uid="{00000000-0005-0000-0000-000068400000}"/>
    <cellStyle name="Millares 6 3 2 2 5 2 3 2" xfId="49122" xr:uid="{00000000-0005-0000-0000-000069400000}"/>
    <cellStyle name="Millares 6 3 2 2 5 2 4" xfId="35560" xr:uid="{00000000-0005-0000-0000-00006A400000}"/>
    <cellStyle name="Millares 6 3 2 2 5 3" xfId="11813" xr:uid="{00000000-0005-0000-0000-00006B400000}"/>
    <cellStyle name="Millares 6 3 2 2 5 3 2" xfId="25381" xr:uid="{00000000-0005-0000-0000-00006C400000}"/>
    <cellStyle name="Millares 6 3 2 2 5 3 2 2" xfId="52514" xr:uid="{00000000-0005-0000-0000-00006D400000}"/>
    <cellStyle name="Millares 6 3 2 2 5 3 3" xfId="38952" xr:uid="{00000000-0005-0000-0000-00006E400000}"/>
    <cellStyle name="Millares 6 3 2 2 5 4" xfId="18600" xr:uid="{00000000-0005-0000-0000-00006F400000}"/>
    <cellStyle name="Millares 6 3 2 2 5 4 2" xfId="45733" xr:uid="{00000000-0005-0000-0000-000070400000}"/>
    <cellStyle name="Millares 6 3 2 2 5 5" xfId="32171" xr:uid="{00000000-0005-0000-0000-000071400000}"/>
    <cellStyle name="Millares 6 3 2 2 6" xfId="8405" xr:uid="{00000000-0005-0000-0000-000072400000}"/>
    <cellStyle name="Millares 6 3 2 2 6 2" xfId="15195" xr:uid="{00000000-0005-0000-0000-000073400000}"/>
    <cellStyle name="Millares 6 3 2 2 6 2 2" xfId="28763" xr:uid="{00000000-0005-0000-0000-000074400000}"/>
    <cellStyle name="Millares 6 3 2 2 6 2 2 2" xfId="55896" xr:uid="{00000000-0005-0000-0000-000075400000}"/>
    <cellStyle name="Millares 6 3 2 2 6 2 3" xfId="42334" xr:uid="{00000000-0005-0000-0000-000076400000}"/>
    <cellStyle name="Millares 6 3 2 2 6 3" xfId="21982" xr:uid="{00000000-0005-0000-0000-000077400000}"/>
    <cellStyle name="Millares 6 3 2 2 6 3 2" xfId="49115" xr:uid="{00000000-0005-0000-0000-000078400000}"/>
    <cellStyle name="Millares 6 3 2 2 6 4" xfId="35553" xr:uid="{00000000-0005-0000-0000-000079400000}"/>
    <cellStyle name="Millares 6 3 2 2 7" xfId="11806" xr:uid="{00000000-0005-0000-0000-00007A400000}"/>
    <cellStyle name="Millares 6 3 2 2 7 2" xfId="25374" xr:uid="{00000000-0005-0000-0000-00007B400000}"/>
    <cellStyle name="Millares 6 3 2 2 7 2 2" xfId="52507" xr:uid="{00000000-0005-0000-0000-00007C400000}"/>
    <cellStyle name="Millares 6 3 2 2 7 3" xfId="38945" xr:uid="{00000000-0005-0000-0000-00007D400000}"/>
    <cellStyle name="Millares 6 3 2 2 8" xfId="18593" xr:uid="{00000000-0005-0000-0000-00007E400000}"/>
    <cellStyle name="Millares 6 3 2 2 8 2" xfId="45726" xr:uid="{00000000-0005-0000-0000-00007F400000}"/>
    <cellStyle name="Millares 6 3 2 2 9" xfId="32164" xr:uid="{00000000-0005-0000-0000-000080400000}"/>
    <cellStyle name="Millares 6 3 2 3" xfId="4818" xr:uid="{00000000-0005-0000-0000-000081400000}"/>
    <cellStyle name="Millares 6 3 2 3 2" xfId="4819" xr:uid="{00000000-0005-0000-0000-000082400000}"/>
    <cellStyle name="Millares 6 3 2 3 2 2" xfId="8414" xr:uid="{00000000-0005-0000-0000-000083400000}"/>
    <cellStyle name="Millares 6 3 2 3 2 2 2" xfId="15204" xr:uid="{00000000-0005-0000-0000-000084400000}"/>
    <cellStyle name="Millares 6 3 2 3 2 2 2 2" xfId="28772" xr:uid="{00000000-0005-0000-0000-000085400000}"/>
    <cellStyle name="Millares 6 3 2 3 2 2 2 2 2" xfId="55905" xr:uid="{00000000-0005-0000-0000-000086400000}"/>
    <cellStyle name="Millares 6 3 2 3 2 2 2 3" xfId="42343" xr:uid="{00000000-0005-0000-0000-000087400000}"/>
    <cellStyle name="Millares 6 3 2 3 2 2 3" xfId="21991" xr:uid="{00000000-0005-0000-0000-000088400000}"/>
    <cellStyle name="Millares 6 3 2 3 2 2 3 2" xfId="49124" xr:uid="{00000000-0005-0000-0000-000089400000}"/>
    <cellStyle name="Millares 6 3 2 3 2 2 4" xfId="35562" xr:uid="{00000000-0005-0000-0000-00008A400000}"/>
    <cellStyle name="Millares 6 3 2 3 2 3" xfId="11815" xr:uid="{00000000-0005-0000-0000-00008B400000}"/>
    <cellStyle name="Millares 6 3 2 3 2 3 2" xfId="25383" xr:uid="{00000000-0005-0000-0000-00008C400000}"/>
    <cellStyle name="Millares 6 3 2 3 2 3 2 2" xfId="52516" xr:uid="{00000000-0005-0000-0000-00008D400000}"/>
    <cellStyle name="Millares 6 3 2 3 2 3 3" xfId="38954" xr:uid="{00000000-0005-0000-0000-00008E400000}"/>
    <cellStyle name="Millares 6 3 2 3 2 4" xfId="18602" xr:uid="{00000000-0005-0000-0000-00008F400000}"/>
    <cellStyle name="Millares 6 3 2 3 2 4 2" xfId="45735" xr:uid="{00000000-0005-0000-0000-000090400000}"/>
    <cellStyle name="Millares 6 3 2 3 2 5" xfId="32173" xr:uid="{00000000-0005-0000-0000-000091400000}"/>
    <cellStyle name="Millares 6 3 2 3 3" xfId="4820" xr:uid="{00000000-0005-0000-0000-000092400000}"/>
    <cellStyle name="Millares 6 3 2 3 3 2" xfId="8415" xr:uid="{00000000-0005-0000-0000-000093400000}"/>
    <cellStyle name="Millares 6 3 2 3 3 2 2" xfId="15205" xr:uid="{00000000-0005-0000-0000-000094400000}"/>
    <cellStyle name="Millares 6 3 2 3 3 2 2 2" xfId="28773" xr:uid="{00000000-0005-0000-0000-000095400000}"/>
    <cellStyle name="Millares 6 3 2 3 3 2 2 2 2" xfId="55906" xr:uid="{00000000-0005-0000-0000-000096400000}"/>
    <cellStyle name="Millares 6 3 2 3 3 2 2 3" xfId="42344" xr:uid="{00000000-0005-0000-0000-000097400000}"/>
    <cellStyle name="Millares 6 3 2 3 3 2 3" xfId="21992" xr:uid="{00000000-0005-0000-0000-000098400000}"/>
    <cellStyle name="Millares 6 3 2 3 3 2 3 2" xfId="49125" xr:uid="{00000000-0005-0000-0000-000099400000}"/>
    <cellStyle name="Millares 6 3 2 3 3 2 4" xfId="35563" xr:uid="{00000000-0005-0000-0000-00009A400000}"/>
    <cellStyle name="Millares 6 3 2 3 3 3" xfId="11816" xr:uid="{00000000-0005-0000-0000-00009B400000}"/>
    <cellStyle name="Millares 6 3 2 3 3 3 2" xfId="25384" xr:uid="{00000000-0005-0000-0000-00009C400000}"/>
    <cellStyle name="Millares 6 3 2 3 3 3 2 2" xfId="52517" xr:uid="{00000000-0005-0000-0000-00009D400000}"/>
    <cellStyle name="Millares 6 3 2 3 3 3 3" xfId="38955" xr:uid="{00000000-0005-0000-0000-00009E400000}"/>
    <cellStyle name="Millares 6 3 2 3 3 4" xfId="18603" xr:uid="{00000000-0005-0000-0000-00009F400000}"/>
    <cellStyle name="Millares 6 3 2 3 3 4 2" xfId="45736" xr:uid="{00000000-0005-0000-0000-0000A0400000}"/>
    <cellStyle name="Millares 6 3 2 3 3 5" xfId="32174" xr:uid="{00000000-0005-0000-0000-0000A1400000}"/>
    <cellStyle name="Millares 6 3 2 3 4" xfId="8413" xr:uid="{00000000-0005-0000-0000-0000A2400000}"/>
    <cellStyle name="Millares 6 3 2 3 4 2" xfId="15203" xr:uid="{00000000-0005-0000-0000-0000A3400000}"/>
    <cellStyle name="Millares 6 3 2 3 4 2 2" xfId="28771" xr:uid="{00000000-0005-0000-0000-0000A4400000}"/>
    <cellStyle name="Millares 6 3 2 3 4 2 2 2" xfId="55904" xr:uid="{00000000-0005-0000-0000-0000A5400000}"/>
    <cellStyle name="Millares 6 3 2 3 4 2 3" xfId="42342" xr:uid="{00000000-0005-0000-0000-0000A6400000}"/>
    <cellStyle name="Millares 6 3 2 3 4 3" xfId="21990" xr:uid="{00000000-0005-0000-0000-0000A7400000}"/>
    <cellStyle name="Millares 6 3 2 3 4 3 2" xfId="49123" xr:uid="{00000000-0005-0000-0000-0000A8400000}"/>
    <cellStyle name="Millares 6 3 2 3 4 4" xfId="35561" xr:uid="{00000000-0005-0000-0000-0000A9400000}"/>
    <cellStyle name="Millares 6 3 2 3 5" xfId="11814" xr:uid="{00000000-0005-0000-0000-0000AA400000}"/>
    <cellStyle name="Millares 6 3 2 3 5 2" xfId="25382" xr:uid="{00000000-0005-0000-0000-0000AB400000}"/>
    <cellStyle name="Millares 6 3 2 3 5 2 2" xfId="52515" xr:uid="{00000000-0005-0000-0000-0000AC400000}"/>
    <cellStyle name="Millares 6 3 2 3 5 3" xfId="38953" xr:uid="{00000000-0005-0000-0000-0000AD400000}"/>
    <cellStyle name="Millares 6 3 2 3 6" xfId="18601" xr:uid="{00000000-0005-0000-0000-0000AE400000}"/>
    <cellStyle name="Millares 6 3 2 3 6 2" xfId="45734" xr:uid="{00000000-0005-0000-0000-0000AF400000}"/>
    <cellStyle name="Millares 6 3 2 3 7" xfId="32172" xr:uid="{00000000-0005-0000-0000-0000B0400000}"/>
    <cellStyle name="Millares 6 3 2 4" xfId="4821" xr:uid="{00000000-0005-0000-0000-0000B1400000}"/>
    <cellStyle name="Millares 6 3 2 4 2" xfId="4822" xr:uid="{00000000-0005-0000-0000-0000B2400000}"/>
    <cellStyle name="Millares 6 3 2 4 2 2" xfId="8417" xr:uid="{00000000-0005-0000-0000-0000B3400000}"/>
    <cellStyle name="Millares 6 3 2 4 2 2 2" xfId="15207" xr:uid="{00000000-0005-0000-0000-0000B4400000}"/>
    <cellStyle name="Millares 6 3 2 4 2 2 2 2" xfId="28775" xr:uid="{00000000-0005-0000-0000-0000B5400000}"/>
    <cellStyle name="Millares 6 3 2 4 2 2 2 2 2" xfId="55908" xr:uid="{00000000-0005-0000-0000-0000B6400000}"/>
    <cellStyle name="Millares 6 3 2 4 2 2 2 3" xfId="42346" xr:uid="{00000000-0005-0000-0000-0000B7400000}"/>
    <cellStyle name="Millares 6 3 2 4 2 2 3" xfId="21994" xr:uid="{00000000-0005-0000-0000-0000B8400000}"/>
    <cellStyle name="Millares 6 3 2 4 2 2 3 2" xfId="49127" xr:uid="{00000000-0005-0000-0000-0000B9400000}"/>
    <cellStyle name="Millares 6 3 2 4 2 2 4" xfId="35565" xr:uid="{00000000-0005-0000-0000-0000BA400000}"/>
    <cellStyle name="Millares 6 3 2 4 2 3" xfId="11818" xr:uid="{00000000-0005-0000-0000-0000BB400000}"/>
    <cellStyle name="Millares 6 3 2 4 2 3 2" xfId="25386" xr:uid="{00000000-0005-0000-0000-0000BC400000}"/>
    <cellStyle name="Millares 6 3 2 4 2 3 2 2" xfId="52519" xr:uid="{00000000-0005-0000-0000-0000BD400000}"/>
    <cellStyle name="Millares 6 3 2 4 2 3 3" xfId="38957" xr:uid="{00000000-0005-0000-0000-0000BE400000}"/>
    <cellStyle name="Millares 6 3 2 4 2 4" xfId="18605" xr:uid="{00000000-0005-0000-0000-0000BF400000}"/>
    <cellStyle name="Millares 6 3 2 4 2 4 2" xfId="45738" xr:uid="{00000000-0005-0000-0000-0000C0400000}"/>
    <cellStyle name="Millares 6 3 2 4 2 5" xfId="32176" xr:uid="{00000000-0005-0000-0000-0000C1400000}"/>
    <cellStyle name="Millares 6 3 2 4 3" xfId="8416" xr:uid="{00000000-0005-0000-0000-0000C2400000}"/>
    <cellStyle name="Millares 6 3 2 4 3 2" xfId="15206" xr:uid="{00000000-0005-0000-0000-0000C3400000}"/>
    <cellStyle name="Millares 6 3 2 4 3 2 2" xfId="28774" xr:uid="{00000000-0005-0000-0000-0000C4400000}"/>
    <cellStyle name="Millares 6 3 2 4 3 2 2 2" xfId="55907" xr:uid="{00000000-0005-0000-0000-0000C5400000}"/>
    <cellStyle name="Millares 6 3 2 4 3 2 3" xfId="42345" xr:uid="{00000000-0005-0000-0000-0000C6400000}"/>
    <cellStyle name="Millares 6 3 2 4 3 3" xfId="21993" xr:uid="{00000000-0005-0000-0000-0000C7400000}"/>
    <cellStyle name="Millares 6 3 2 4 3 3 2" xfId="49126" xr:uid="{00000000-0005-0000-0000-0000C8400000}"/>
    <cellStyle name="Millares 6 3 2 4 3 4" xfId="35564" xr:uid="{00000000-0005-0000-0000-0000C9400000}"/>
    <cellStyle name="Millares 6 3 2 4 4" xfId="11817" xr:uid="{00000000-0005-0000-0000-0000CA400000}"/>
    <cellStyle name="Millares 6 3 2 4 4 2" xfId="25385" xr:uid="{00000000-0005-0000-0000-0000CB400000}"/>
    <cellStyle name="Millares 6 3 2 4 4 2 2" xfId="52518" xr:uid="{00000000-0005-0000-0000-0000CC400000}"/>
    <cellStyle name="Millares 6 3 2 4 4 3" xfId="38956" xr:uid="{00000000-0005-0000-0000-0000CD400000}"/>
    <cellStyle name="Millares 6 3 2 4 5" xfId="18604" xr:uid="{00000000-0005-0000-0000-0000CE400000}"/>
    <cellStyle name="Millares 6 3 2 4 5 2" xfId="45737" xr:uid="{00000000-0005-0000-0000-0000CF400000}"/>
    <cellStyle name="Millares 6 3 2 4 6" xfId="32175" xr:uid="{00000000-0005-0000-0000-0000D0400000}"/>
    <cellStyle name="Millares 6 3 2 5" xfId="4823" xr:uid="{00000000-0005-0000-0000-0000D1400000}"/>
    <cellStyle name="Millares 6 3 2 5 2" xfId="8418" xr:uid="{00000000-0005-0000-0000-0000D2400000}"/>
    <cellStyle name="Millares 6 3 2 5 2 2" xfId="15208" xr:uid="{00000000-0005-0000-0000-0000D3400000}"/>
    <cellStyle name="Millares 6 3 2 5 2 2 2" xfId="28776" xr:uid="{00000000-0005-0000-0000-0000D4400000}"/>
    <cellStyle name="Millares 6 3 2 5 2 2 2 2" xfId="55909" xr:uid="{00000000-0005-0000-0000-0000D5400000}"/>
    <cellStyle name="Millares 6 3 2 5 2 2 3" xfId="42347" xr:uid="{00000000-0005-0000-0000-0000D6400000}"/>
    <cellStyle name="Millares 6 3 2 5 2 3" xfId="21995" xr:uid="{00000000-0005-0000-0000-0000D7400000}"/>
    <cellStyle name="Millares 6 3 2 5 2 3 2" xfId="49128" xr:uid="{00000000-0005-0000-0000-0000D8400000}"/>
    <cellStyle name="Millares 6 3 2 5 2 4" xfId="35566" xr:uid="{00000000-0005-0000-0000-0000D9400000}"/>
    <cellStyle name="Millares 6 3 2 5 3" xfId="11819" xr:uid="{00000000-0005-0000-0000-0000DA400000}"/>
    <cellStyle name="Millares 6 3 2 5 3 2" xfId="25387" xr:uid="{00000000-0005-0000-0000-0000DB400000}"/>
    <cellStyle name="Millares 6 3 2 5 3 2 2" xfId="52520" xr:uid="{00000000-0005-0000-0000-0000DC400000}"/>
    <cellStyle name="Millares 6 3 2 5 3 3" xfId="38958" xr:uid="{00000000-0005-0000-0000-0000DD400000}"/>
    <cellStyle name="Millares 6 3 2 5 4" xfId="18606" xr:uid="{00000000-0005-0000-0000-0000DE400000}"/>
    <cellStyle name="Millares 6 3 2 5 4 2" xfId="45739" xr:uid="{00000000-0005-0000-0000-0000DF400000}"/>
    <cellStyle name="Millares 6 3 2 5 5" xfId="32177" xr:uid="{00000000-0005-0000-0000-0000E0400000}"/>
    <cellStyle name="Millares 6 3 2 6" xfId="4824" xr:uid="{00000000-0005-0000-0000-0000E1400000}"/>
    <cellStyle name="Millares 6 3 2 6 2" xfId="8419" xr:uid="{00000000-0005-0000-0000-0000E2400000}"/>
    <cellStyle name="Millares 6 3 2 6 2 2" xfId="15209" xr:uid="{00000000-0005-0000-0000-0000E3400000}"/>
    <cellStyle name="Millares 6 3 2 6 2 2 2" xfId="28777" xr:uid="{00000000-0005-0000-0000-0000E4400000}"/>
    <cellStyle name="Millares 6 3 2 6 2 2 2 2" xfId="55910" xr:uid="{00000000-0005-0000-0000-0000E5400000}"/>
    <cellStyle name="Millares 6 3 2 6 2 2 3" xfId="42348" xr:uid="{00000000-0005-0000-0000-0000E6400000}"/>
    <cellStyle name="Millares 6 3 2 6 2 3" xfId="21996" xr:uid="{00000000-0005-0000-0000-0000E7400000}"/>
    <cellStyle name="Millares 6 3 2 6 2 3 2" xfId="49129" xr:uid="{00000000-0005-0000-0000-0000E8400000}"/>
    <cellStyle name="Millares 6 3 2 6 2 4" xfId="35567" xr:uid="{00000000-0005-0000-0000-0000E9400000}"/>
    <cellStyle name="Millares 6 3 2 6 3" xfId="11820" xr:uid="{00000000-0005-0000-0000-0000EA400000}"/>
    <cellStyle name="Millares 6 3 2 6 3 2" xfId="25388" xr:uid="{00000000-0005-0000-0000-0000EB400000}"/>
    <cellStyle name="Millares 6 3 2 6 3 2 2" xfId="52521" xr:uid="{00000000-0005-0000-0000-0000EC400000}"/>
    <cellStyle name="Millares 6 3 2 6 3 3" xfId="38959" xr:uid="{00000000-0005-0000-0000-0000ED400000}"/>
    <cellStyle name="Millares 6 3 2 6 4" xfId="18607" xr:uid="{00000000-0005-0000-0000-0000EE400000}"/>
    <cellStyle name="Millares 6 3 2 6 4 2" xfId="45740" xr:uid="{00000000-0005-0000-0000-0000EF400000}"/>
    <cellStyle name="Millares 6 3 2 6 5" xfId="32178" xr:uid="{00000000-0005-0000-0000-0000F0400000}"/>
    <cellStyle name="Millares 6 3 2 7" xfId="8404" xr:uid="{00000000-0005-0000-0000-0000F1400000}"/>
    <cellStyle name="Millares 6 3 2 7 2" xfId="15194" xr:uid="{00000000-0005-0000-0000-0000F2400000}"/>
    <cellStyle name="Millares 6 3 2 7 2 2" xfId="28762" xr:uid="{00000000-0005-0000-0000-0000F3400000}"/>
    <cellStyle name="Millares 6 3 2 7 2 2 2" xfId="55895" xr:uid="{00000000-0005-0000-0000-0000F4400000}"/>
    <cellStyle name="Millares 6 3 2 7 2 3" xfId="42333" xr:uid="{00000000-0005-0000-0000-0000F5400000}"/>
    <cellStyle name="Millares 6 3 2 7 3" xfId="21981" xr:uid="{00000000-0005-0000-0000-0000F6400000}"/>
    <cellStyle name="Millares 6 3 2 7 3 2" xfId="49114" xr:uid="{00000000-0005-0000-0000-0000F7400000}"/>
    <cellStyle name="Millares 6 3 2 7 4" xfId="35552" xr:uid="{00000000-0005-0000-0000-0000F8400000}"/>
    <cellStyle name="Millares 6 3 2 8" xfId="11805" xr:uid="{00000000-0005-0000-0000-0000F9400000}"/>
    <cellStyle name="Millares 6 3 2 8 2" xfId="25373" xr:uid="{00000000-0005-0000-0000-0000FA400000}"/>
    <cellStyle name="Millares 6 3 2 8 2 2" xfId="52506" xr:uid="{00000000-0005-0000-0000-0000FB400000}"/>
    <cellStyle name="Millares 6 3 2 8 3" xfId="38944" xr:uid="{00000000-0005-0000-0000-0000FC400000}"/>
    <cellStyle name="Millares 6 3 2 9" xfId="18592" xr:uid="{00000000-0005-0000-0000-0000FD400000}"/>
    <cellStyle name="Millares 6 3 2 9 2" xfId="45725" xr:uid="{00000000-0005-0000-0000-0000FE400000}"/>
    <cellStyle name="Millares 6 3 3" xfId="4825" xr:uid="{00000000-0005-0000-0000-0000FF400000}"/>
    <cellStyle name="Millares 6 3 3 2" xfId="4826" xr:uid="{00000000-0005-0000-0000-000000410000}"/>
    <cellStyle name="Millares 6 3 3 2 2" xfId="4827" xr:uid="{00000000-0005-0000-0000-000001410000}"/>
    <cellStyle name="Millares 6 3 3 2 2 2" xfId="8422" xr:uid="{00000000-0005-0000-0000-000002410000}"/>
    <cellStyle name="Millares 6 3 3 2 2 2 2" xfId="15212" xr:uid="{00000000-0005-0000-0000-000003410000}"/>
    <cellStyle name="Millares 6 3 3 2 2 2 2 2" xfId="28780" xr:uid="{00000000-0005-0000-0000-000004410000}"/>
    <cellStyle name="Millares 6 3 3 2 2 2 2 2 2" xfId="55913" xr:uid="{00000000-0005-0000-0000-000005410000}"/>
    <cellStyle name="Millares 6 3 3 2 2 2 2 3" xfId="42351" xr:uid="{00000000-0005-0000-0000-000006410000}"/>
    <cellStyle name="Millares 6 3 3 2 2 2 3" xfId="21999" xr:uid="{00000000-0005-0000-0000-000007410000}"/>
    <cellStyle name="Millares 6 3 3 2 2 2 3 2" xfId="49132" xr:uid="{00000000-0005-0000-0000-000008410000}"/>
    <cellStyle name="Millares 6 3 3 2 2 2 4" xfId="35570" xr:uid="{00000000-0005-0000-0000-000009410000}"/>
    <cellStyle name="Millares 6 3 3 2 2 3" xfId="11823" xr:uid="{00000000-0005-0000-0000-00000A410000}"/>
    <cellStyle name="Millares 6 3 3 2 2 3 2" xfId="25391" xr:uid="{00000000-0005-0000-0000-00000B410000}"/>
    <cellStyle name="Millares 6 3 3 2 2 3 2 2" xfId="52524" xr:uid="{00000000-0005-0000-0000-00000C410000}"/>
    <cellStyle name="Millares 6 3 3 2 2 3 3" xfId="38962" xr:uid="{00000000-0005-0000-0000-00000D410000}"/>
    <cellStyle name="Millares 6 3 3 2 2 4" xfId="18610" xr:uid="{00000000-0005-0000-0000-00000E410000}"/>
    <cellStyle name="Millares 6 3 3 2 2 4 2" xfId="45743" xr:uid="{00000000-0005-0000-0000-00000F410000}"/>
    <cellStyle name="Millares 6 3 3 2 2 5" xfId="32181" xr:uid="{00000000-0005-0000-0000-000010410000}"/>
    <cellStyle name="Millares 6 3 3 2 3" xfId="4828" xr:uid="{00000000-0005-0000-0000-000011410000}"/>
    <cellStyle name="Millares 6 3 3 2 3 2" xfId="8423" xr:uid="{00000000-0005-0000-0000-000012410000}"/>
    <cellStyle name="Millares 6 3 3 2 3 2 2" xfId="15213" xr:uid="{00000000-0005-0000-0000-000013410000}"/>
    <cellStyle name="Millares 6 3 3 2 3 2 2 2" xfId="28781" xr:uid="{00000000-0005-0000-0000-000014410000}"/>
    <cellStyle name="Millares 6 3 3 2 3 2 2 2 2" xfId="55914" xr:uid="{00000000-0005-0000-0000-000015410000}"/>
    <cellStyle name="Millares 6 3 3 2 3 2 2 3" xfId="42352" xr:uid="{00000000-0005-0000-0000-000016410000}"/>
    <cellStyle name="Millares 6 3 3 2 3 2 3" xfId="22000" xr:uid="{00000000-0005-0000-0000-000017410000}"/>
    <cellStyle name="Millares 6 3 3 2 3 2 3 2" xfId="49133" xr:uid="{00000000-0005-0000-0000-000018410000}"/>
    <cellStyle name="Millares 6 3 3 2 3 2 4" xfId="35571" xr:uid="{00000000-0005-0000-0000-000019410000}"/>
    <cellStyle name="Millares 6 3 3 2 3 3" xfId="11824" xr:uid="{00000000-0005-0000-0000-00001A410000}"/>
    <cellStyle name="Millares 6 3 3 2 3 3 2" xfId="25392" xr:uid="{00000000-0005-0000-0000-00001B410000}"/>
    <cellStyle name="Millares 6 3 3 2 3 3 2 2" xfId="52525" xr:uid="{00000000-0005-0000-0000-00001C410000}"/>
    <cellStyle name="Millares 6 3 3 2 3 3 3" xfId="38963" xr:uid="{00000000-0005-0000-0000-00001D410000}"/>
    <cellStyle name="Millares 6 3 3 2 3 4" xfId="18611" xr:uid="{00000000-0005-0000-0000-00001E410000}"/>
    <cellStyle name="Millares 6 3 3 2 3 4 2" xfId="45744" xr:uid="{00000000-0005-0000-0000-00001F410000}"/>
    <cellStyle name="Millares 6 3 3 2 3 5" xfId="32182" xr:uid="{00000000-0005-0000-0000-000020410000}"/>
    <cellStyle name="Millares 6 3 3 2 4" xfId="8421" xr:uid="{00000000-0005-0000-0000-000021410000}"/>
    <cellStyle name="Millares 6 3 3 2 4 2" xfId="15211" xr:uid="{00000000-0005-0000-0000-000022410000}"/>
    <cellStyle name="Millares 6 3 3 2 4 2 2" xfId="28779" xr:uid="{00000000-0005-0000-0000-000023410000}"/>
    <cellStyle name="Millares 6 3 3 2 4 2 2 2" xfId="55912" xr:uid="{00000000-0005-0000-0000-000024410000}"/>
    <cellStyle name="Millares 6 3 3 2 4 2 3" xfId="42350" xr:uid="{00000000-0005-0000-0000-000025410000}"/>
    <cellStyle name="Millares 6 3 3 2 4 3" xfId="21998" xr:uid="{00000000-0005-0000-0000-000026410000}"/>
    <cellStyle name="Millares 6 3 3 2 4 3 2" xfId="49131" xr:uid="{00000000-0005-0000-0000-000027410000}"/>
    <cellStyle name="Millares 6 3 3 2 4 4" xfId="35569" xr:uid="{00000000-0005-0000-0000-000028410000}"/>
    <cellStyle name="Millares 6 3 3 2 5" xfId="11822" xr:uid="{00000000-0005-0000-0000-000029410000}"/>
    <cellStyle name="Millares 6 3 3 2 5 2" xfId="25390" xr:uid="{00000000-0005-0000-0000-00002A410000}"/>
    <cellStyle name="Millares 6 3 3 2 5 2 2" xfId="52523" xr:uid="{00000000-0005-0000-0000-00002B410000}"/>
    <cellStyle name="Millares 6 3 3 2 5 3" xfId="38961" xr:uid="{00000000-0005-0000-0000-00002C410000}"/>
    <cellStyle name="Millares 6 3 3 2 6" xfId="18609" xr:uid="{00000000-0005-0000-0000-00002D410000}"/>
    <cellStyle name="Millares 6 3 3 2 6 2" xfId="45742" xr:uid="{00000000-0005-0000-0000-00002E410000}"/>
    <cellStyle name="Millares 6 3 3 2 7" xfId="32180" xr:uid="{00000000-0005-0000-0000-00002F410000}"/>
    <cellStyle name="Millares 6 3 3 3" xfId="4829" xr:uid="{00000000-0005-0000-0000-000030410000}"/>
    <cellStyle name="Millares 6 3 3 3 2" xfId="4830" xr:uid="{00000000-0005-0000-0000-000031410000}"/>
    <cellStyle name="Millares 6 3 3 3 2 2" xfId="8425" xr:uid="{00000000-0005-0000-0000-000032410000}"/>
    <cellStyle name="Millares 6 3 3 3 2 2 2" xfId="15215" xr:uid="{00000000-0005-0000-0000-000033410000}"/>
    <cellStyle name="Millares 6 3 3 3 2 2 2 2" xfId="28783" xr:uid="{00000000-0005-0000-0000-000034410000}"/>
    <cellStyle name="Millares 6 3 3 3 2 2 2 2 2" xfId="55916" xr:uid="{00000000-0005-0000-0000-000035410000}"/>
    <cellStyle name="Millares 6 3 3 3 2 2 2 3" xfId="42354" xr:uid="{00000000-0005-0000-0000-000036410000}"/>
    <cellStyle name="Millares 6 3 3 3 2 2 3" xfId="22002" xr:uid="{00000000-0005-0000-0000-000037410000}"/>
    <cellStyle name="Millares 6 3 3 3 2 2 3 2" xfId="49135" xr:uid="{00000000-0005-0000-0000-000038410000}"/>
    <cellStyle name="Millares 6 3 3 3 2 2 4" xfId="35573" xr:uid="{00000000-0005-0000-0000-000039410000}"/>
    <cellStyle name="Millares 6 3 3 3 2 3" xfId="11826" xr:uid="{00000000-0005-0000-0000-00003A410000}"/>
    <cellStyle name="Millares 6 3 3 3 2 3 2" xfId="25394" xr:uid="{00000000-0005-0000-0000-00003B410000}"/>
    <cellStyle name="Millares 6 3 3 3 2 3 2 2" xfId="52527" xr:uid="{00000000-0005-0000-0000-00003C410000}"/>
    <cellStyle name="Millares 6 3 3 3 2 3 3" xfId="38965" xr:uid="{00000000-0005-0000-0000-00003D410000}"/>
    <cellStyle name="Millares 6 3 3 3 2 4" xfId="18613" xr:uid="{00000000-0005-0000-0000-00003E410000}"/>
    <cellStyle name="Millares 6 3 3 3 2 4 2" xfId="45746" xr:uid="{00000000-0005-0000-0000-00003F410000}"/>
    <cellStyle name="Millares 6 3 3 3 2 5" xfId="32184" xr:uid="{00000000-0005-0000-0000-000040410000}"/>
    <cellStyle name="Millares 6 3 3 3 3" xfId="8424" xr:uid="{00000000-0005-0000-0000-000041410000}"/>
    <cellStyle name="Millares 6 3 3 3 3 2" xfId="15214" xr:uid="{00000000-0005-0000-0000-000042410000}"/>
    <cellStyle name="Millares 6 3 3 3 3 2 2" xfId="28782" xr:uid="{00000000-0005-0000-0000-000043410000}"/>
    <cellStyle name="Millares 6 3 3 3 3 2 2 2" xfId="55915" xr:uid="{00000000-0005-0000-0000-000044410000}"/>
    <cellStyle name="Millares 6 3 3 3 3 2 3" xfId="42353" xr:uid="{00000000-0005-0000-0000-000045410000}"/>
    <cellStyle name="Millares 6 3 3 3 3 3" xfId="22001" xr:uid="{00000000-0005-0000-0000-000046410000}"/>
    <cellStyle name="Millares 6 3 3 3 3 3 2" xfId="49134" xr:uid="{00000000-0005-0000-0000-000047410000}"/>
    <cellStyle name="Millares 6 3 3 3 3 4" xfId="35572" xr:uid="{00000000-0005-0000-0000-000048410000}"/>
    <cellStyle name="Millares 6 3 3 3 4" xfId="11825" xr:uid="{00000000-0005-0000-0000-000049410000}"/>
    <cellStyle name="Millares 6 3 3 3 4 2" xfId="25393" xr:uid="{00000000-0005-0000-0000-00004A410000}"/>
    <cellStyle name="Millares 6 3 3 3 4 2 2" xfId="52526" xr:uid="{00000000-0005-0000-0000-00004B410000}"/>
    <cellStyle name="Millares 6 3 3 3 4 3" xfId="38964" xr:uid="{00000000-0005-0000-0000-00004C410000}"/>
    <cellStyle name="Millares 6 3 3 3 5" xfId="18612" xr:uid="{00000000-0005-0000-0000-00004D410000}"/>
    <cellStyle name="Millares 6 3 3 3 5 2" xfId="45745" xr:uid="{00000000-0005-0000-0000-00004E410000}"/>
    <cellStyle name="Millares 6 3 3 3 6" xfId="32183" xr:uid="{00000000-0005-0000-0000-00004F410000}"/>
    <cellStyle name="Millares 6 3 3 4" xfId="4831" xr:uid="{00000000-0005-0000-0000-000050410000}"/>
    <cellStyle name="Millares 6 3 3 4 2" xfId="8426" xr:uid="{00000000-0005-0000-0000-000051410000}"/>
    <cellStyle name="Millares 6 3 3 4 2 2" xfId="15216" xr:uid="{00000000-0005-0000-0000-000052410000}"/>
    <cellStyle name="Millares 6 3 3 4 2 2 2" xfId="28784" xr:uid="{00000000-0005-0000-0000-000053410000}"/>
    <cellStyle name="Millares 6 3 3 4 2 2 2 2" xfId="55917" xr:uid="{00000000-0005-0000-0000-000054410000}"/>
    <cellStyle name="Millares 6 3 3 4 2 2 3" xfId="42355" xr:uid="{00000000-0005-0000-0000-000055410000}"/>
    <cellStyle name="Millares 6 3 3 4 2 3" xfId="22003" xr:uid="{00000000-0005-0000-0000-000056410000}"/>
    <cellStyle name="Millares 6 3 3 4 2 3 2" xfId="49136" xr:uid="{00000000-0005-0000-0000-000057410000}"/>
    <cellStyle name="Millares 6 3 3 4 2 4" xfId="35574" xr:uid="{00000000-0005-0000-0000-000058410000}"/>
    <cellStyle name="Millares 6 3 3 4 3" xfId="11827" xr:uid="{00000000-0005-0000-0000-000059410000}"/>
    <cellStyle name="Millares 6 3 3 4 3 2" xfId="25395" xr:uid="{00000000-0005-0000-0000-00005A410000}"/>
    <cellStyle name="Millares 6 3 3 4 3 2 2" xfId="52528" xr:uid="{00000000-0005-0000-0000-00005B410000}"/>
    <cellStyle name="Millares 6 3 3 4 3 3" xfId="38966" xr:uid="{00000000-0005-0000-0000-00005C410000}"/>
    <cellStyle name="Millares 6 3 3 4 4" xfId="18614" xr:uid="{00000000-0005-0000-0000-00005D410000}"/>
    <cellStyle name="Millares 6 3 3 4 4 2" xfId="45747" xr:uid="{00000000-0005-0000-0000-00005E410000}"/>
    <cellStyle name="Millares 6 3 3 4 5" xfId="32185" xr:uid="{00000000-0005-0000-0000-00005F410000}"/>
    <cellStyle name="Millares 6 3 3 5" xfId="4832" xr:uid="{00000000-0005-0000-0000-000060410000}"/>
    <cellStyle name="Millares 6 3 3 5 2" xfId="8427" xr:uid="{00000000-0005-0000-0000-000061410000}"/>
    <cellStyle name="Millares 6 3 3 5 2 2" xfId="15217" xr:uid="{00000000-0005-0000-0000-000062410000}"/>
    <cellStyle name="Millares 6 3 3 5 2 2 2" xfId="28785" xr:uid="{00000000-0005-0000-0000-000063410000}"/>
    <cellStyle name="Millares 6 3 3 5 2 2 2 2" xfId="55918" xr:uid="{00000000-0005-0000-0000-000064410000}"/>
    <cellStyle name="Millares 6 3 3 5 2 2 3" xfId="42356" xr:uid="{00000000-0005-0000-0000-000065410000}"/>
    <cellStyle name="Millares 6 3 3 5 2 3" xfId="22004" xr:uid="{00000000-0005-0000-0000-000066410000}"/>
    <cellStyle name="Millares 6 3 3 5 2 3 2" xfId="49137" xr:uid="{00000000-0005-0000-0000-000067410000}"/>
    <cellStyle name="Millares 6 3 3 5 2 4" xfId="35575" xr:uid="{00000000-0005-0000-0000-000068410000}"/>
    <cellStyle name="Millares 6 3 3 5 3" xfId="11828" xr:uid="{00000000-0005-0000-0000-000069410000}"/>
    <cellStyle name="Millares 6 3 3 5 3 2" xfId="25396" xr:uid="{00000000-0005-0000-0000-00006A410000}"/>
    <cellStyle name="Millares 6 3 3 5 3 2 2" xfId="52529" xr:uid="{00000000-0005-0000-0000-00006B410000}"/>
    <cellStyle name="Millares 6 3 3 5 3 3" xfId="38967" xr:uid="{00000000-0005-0000-0000-00006C410000}"/>
    <cellStyle name="Millares 6 3 3 5 4" xfId="18615" xr:uid="{00000000-0005-0000-0000-00006D410000}"/>
    <cellStyle name="Millares 6 3 3 5 4 2" xfId="45748" xr:uid="{00000000-0005-0000-0000-00006E410000}"/>
    <cellStyle name="Millares 6 3 3 5 5" xfId="32186" xr:uid="{00000000-0005-0000-0000-00006F410000}"/>
    <cellStyle name="Millares 6 3 3 6" xfId="8420" xr:uid="{00000000-0005-0000-0000-000070410000}"/>
    <cellStyle name="Millares 6 3 3 6 2" xfId="15210" xr:uid="{00000000-0005-0000-0000-000071410000}"/>
    <cellStyle name="Millares 6 3 3 6 2 2" xfId="28778" xr:uid="{00000000-0005-0000-0000-000072410000}"/>
    <cellStyle name="Millares 6 3 3 6 2 2 2" xfId="55911" xr:uid="{00000000-0005-0000-0000-000073410000}"/>
    <cellStyle name="Millares 6 3 3 6 2 3" xfId="42349" xr:uid="{00000000-0005-0000-0000-000074410000}"/>
    <cellStyle name="Millares 6 3 3 6 3" xfId="21997" xr:uid="{00000000-0005-0000-0000-000075410000}"/>
    <cellStyle name="Millares 6 3 3 6 3 2" xfId="49130" xr:uid="{00000000-0005-0000-0000-000076410000}"/>
    <cellStyle name="Millares 6 3 3 6 4" xfId="35568" xr:uid="{00000000-0005-0000-0000-000077410000}"/>
    <cellStyle name="Millares 6 3 3 7" xfId="11821" xr:uid="{00000000-0005-0000-0000-000078410000}"/>
    <cellStyle name="Millares 6 3 3 7 2" xfId="25389" xr:uid="{00000000-0005-0000-0000-000079410000}"/>
    <cellStyle name="Millares 6 3 3 7 2 2" xfId="52522" xr:uid="{00000000-0005-0000-0000-00007A410000}"/>
    <cellStyle name="Millares 6 3 3 7 3" xfId="38960" xr:uid="{00000000-0005-0000-0000-00007B410000}"/>
    <cellStyle name="Millares 6 3 3 8" xfId="18608" xr:uid="{00000000-0005-0000-0000-00007C410000}"/>
    <cellStyle name="Millares 6 3 3 8 2" xfId="45741" xr:uid="{00000000-0005-0000-0000-00007D410000}"/>
    <cellStyle name="Millares 6 3 3 9" xfId="32179" xr:uid="{00000000-0005-0000-0000-00007E410000}"/>
    <cellStyle name="Millares 6 3 4" xfId="4833" xr:uid="{00000000-0005-0000-0000-00007F410000}"/>
    <cellStyle name="Millares 6 3 4 2" xfId="4834" xr:uid="{00000000-0005-0000-0000-000080410000}"/>
    <cellStyle name="Millares 6 3 4 2 2" xfId="4835" xr:uid="{00000000-0005-0000-0000-000081410000}"/>
    <cellStyle name="Millares 6 3 4 2 2 2" xfId="8430" xr:uid="{00000000-0005-0000-0000-000082410000}"/>
    <cellStyle name="Millares 6 3 4 2 2 2 2" xfId="15220" xr:uid="{00000000-0005-0000-0000-000083410000}"/>
    <cellStyle name="Millares 6 3 4 2 2 2 2 2" xfId="28788" xr:uid="{00000000-0005-0000-0000-000084410000}"/>
    <cellStyle name="Millares 6 3 4 2 2 2 2 2 2" xfId="55921" xr:uid="{00000000-0005-0000-0000-000085410000}"/>
    <cellStyle name="Millares 6 3 4 2 2 2 2 3" xfId="42359" xr:uid="{00000000-0005-0000-0000-000086410000}"/>
    <cellStyle name="Millares 6 3 4 2 2 2 3" xfId="22007" xr:uid="{00000000-0005-0000-0000-000087410000}"/>
    <cellStyle name="Millares 6 3 4 2 2 2 3 2" xfId="49140" xr:uid="{00000000-0005-0000-0000-000088410000}"/>
    <cellStyle name="Millares 6 3 4 2 2 2 4" xfId="35578" xr:uid="{00000000-0005-0000-0000-000089410000}"/>
    <cellStyle name="Millares 6 3 4 2 2 3" xfId="11831" xr:uid="{00000000-0005-0000-0000-00008A410000}"/>
    <cellStyle name="Millares 6 3 4 2 2 3 2" xfId="25399" xr:uid="{00000000-0005-0000-0000-00008B410000}"/>
    <cellStyle name="Millares 6 3 4 2 2 3 2 2" xfId="52532" xr:uid="{00000000-0005-0000-0000-00008C410000}"/>
    <cellStyle name="Millares 6 3 4 2 2 3 3" xfId="38970" xr:uid="{00000000-0005-0000-0000-00008D410000}"/>
    <cellStyle name="Millares 6 3 4 2 2 4" xfId="18618" xr:uid="{00000000-0005-0000-0000-00008E410000}"/>
    <cellStyle name="Millares 6 3 4 2 2 4 2" xfId="45751" xr:uid="{00000000-0005-0000-0000-00008F410000}"/>
    <cellStyle name="Millares 6 3 4 2 2 5" xfId="32189" xr:uid="{00000000-0005-0000-0000-000090410000}"/>
    <cellStyle name="Millares 6 3 4 2 3" xfId="4836" xr:uid="{00000000-0005-0000-0000-000091410000}"/>
    <cellStyle name="Millares 6 3 4 2 3 2" xfId="8431" xr:uid="{00000000-0005-0000-0000-000092410000}"/>
    <cellStyle name="Millares 6 3 4 2 3 2 2" xfId="15221" xr:uid="{00000000-0005-0000-0000-000093410000}"/>
    <cellStyle name="Millares 6 3 4 2 3 2 2 2" xfId="28789" xr:uid="{00000000-0005-0000-0000-000094410000}"/>
    <cellStyle name="Millares 6 3 4 2 3 2 2 2 2" xfId="55922" xr:uid="{00000000-0005-0000-0000-000095410000}"/>
    <cellStyle name="Millares 6 3 4 2 3 2 2 3" xfId="42360" xr:uid="{00000000-0005-0000-0000-000096410000}"/>
    <cellStyle name="Millares 6 3 4 2 3 2 3" xfId="22008" xr:uid="{00000000-0005-0000-0000-000097410000}"/>
    <cellStyle name="Millares 6 3 4 2 3 2 3 2" xfId="49141" xr:uid="{00000000-0005-0000-0000-000098410000}"/>
    <cellStyle name="Millares 6 3 4 2 3 2 4" xfId="35579" xr:uid="{00000000-0005-0000-0000-000099410000}"/>
    <cellStyle name="Millares 6 3 4 2 3 3" xfId="11832" xr:uid="{00000000-0005-0000-0000-00009A410000}"/>
    <cellStyle name="Millares 6 3 4 2 3 3 2" xfId="25400" xr:uid="{00000000-0005-0000-0000-00009B410000}"/>
    <cellStyle name="Millares 6 3 4 2 3 3 2 2" xfId="52533" xr:uid="{00000000-0005-0000-0000-00009C410000}"/>
    <cellStyle name="Millares 6 3 4 2 3 3 3" xfId="38971" xr:uid="{00000000-0005-0000-0000-00009D410000}"/>
    <cellStyle name="Millares 6 3 4 2 3 4" xfId="18619" xr:uid="{00000000-0005-0000-0000-00009E410000}"/>
    <cellStyle name="Millares 6 3 4 2 3 4 2" xfId="45752" xr:uid="{00000000-0005-0000-0000-00009F410000}"/>
    <cellStyle name="Millares 6 3 4 2 3 5" xfId="32190" xr:uid="{00000000-0005-0000-0000-0000A0410000}"/>
    <cellStyle name="Millares 6 3 4 2 4" xfId="8429" xr:uid="{00000000-0005-0000-0000-0000A1410000}"/>
    <cellStyle name="Millares 6 3 4 2 4 2" xfId="15219" xr:uid="{00000000-0005-0000-0000-0000A2410000}"/>
    <cellStyle name="Millares 6 3 4 2 4 2 2" xfId="28787" xr:uid="{00000000-0005-0000-0000-0000A3410000}"/>
    <cellStyle name="Millares 6 3 4 2 4 2 2 2" xfId="55920" xr:uid="{00000000-0005-0000-0000-0000A4410000}"/>
    <cellStyle name="Millares 6 3 4 2 4 2 3" xfId="42358" xr:uid="{00000000-0005-0000-0000-0000A5410000}"/>
    <cellStyle name="Millares 6 3 4 2 4 3" xfId="22006" xr:uid="{00000000-0005-0000-0000-0000A6410000}"/>
    <cellStyle name="Millares 6 3 4 2 4 3 2" xfId="49139" xr:uid="{00000000-0005-0000-0000-0000A7410000}"/>
    <cellStyle name="Millares 6 3 4 2 4 4" xfId="35577" xr:uid="{00000000-0005-0000-0000-0000A8410000}"/>
    <cellStyle name="Millares 6 3 4 2 5" xfId="11830" xr:uid="{00000000-0005-0000-0000-0000A9410000}"/>
    <cellStyle name="Millares 6 3 4 2 5 2" xfId="25398" xr:uid="{00000000-0005-0000-0000-0000AA410000}"/>
    <cellStyle name="Millares 6 3 4 2 5 2 2" xfId="52531" xr:uid="{00000000-0005-0000-0000-0000AB410000}"/>
    <cellStyle name="Millares 6 3 4 2 5 3" xfId="38969" xr:uid="{00000000-0005-0000-0000-0000AC410000}"/>
    <cellStyle name="Millares 6 3 4 2 6" xfId="18617" xr:uid="{00000000-0005-0000-0000-0000AD410000}"/>
    <cellStyle name="Millares 6 3 4 2 6 2" xfId="45750" xr:uid="{00000000-0005-0000-0000-0000AE410000}"/>
    <cellStyle name="Millares 6 3 4 2 7" xfId="32188" xr:uid="{00000000-0005-0000-0000-0000AF410000}"/>
    <cellStyle name="Millares 6 3 4 3" xfId="4837" xr:uid="{00000000-0005-0000-0000-0000B0410000}"/>
    <cellStyle name="Millares 6 3 4 3 2" xfId="8432" xr:uid="{00000000-0005-0000-0000-0000B1410000}"/>
    <cellStyle name="Millares 6 3 4 3 2 2" xfId="15222" xr:uid="{00000000-0005-0000-0000-0000B2410000}"/>
    <cellStyle name="Millares 6 3 4 3 2 2 2" xfId="28790" xr:uid="{00000000-0005-0000-0000-0000B3410000}"/>
    <cellStyle name="Millares 6 3 4 3 2 2 2 2" xfId="55923" xr:uid="{00000000-0005-0000-0000-0000B4410000}"/>
    <cellStyle name="Millares 6 3 4 3 2 2 3" xfId="42361" xr:uid="{00000000-0005-0000-0000-0000B5410000}"/>
    <cellStyle name="Millares 6 3 4 3 2 3" xfId="22009" xr:uid="{00000000-0005-0000-0000-0000B6410000}"/>
    <cellStyle name="Millares 6 3 4 3 2 3 2" xfId="49142" xr:uid="{00000000-0005-0000-0000-0000B7410000}"/>
    <cellStyle name="Millares 6 3 4 3 2 4" xfId="35580" xr:uid="{00000000-0005-0000-0000-0000B8410000}"/>
    <cellStyle name="Millares 6 3 4 3 3" xfId="11833" xr:uid="{00000000-0005-0000-0000-0000B9410000}"/>
    <cellStyle name="Millares 6 3 4 3 3 2" xfId="25401" xr:uid="{00000000-0005-0000-0000-0000BA410000}"/>
    <cellStyle name="Millares 6 3 4 3 3 2 2" xfId="52534" xr:uid="{00000000-0005-0000-0000-0000BB410000}"/>
    <cellStyle name="Millares 6 3 4 3 3 3" xfId="38972" xr:uid="{00000000-0005-0000-0000-0000BC410000}"/>
    <cellStyle name="Millares 6 3 4 3 4" xfId="18620" xr:uid="{00000000-0005-0000-0000-0000BD410000}"/>
    <cellStyle name="Millares 6 3 4 3 4 2" xfId="45753" xr:uid="{00000000-0005-0000-0000-0000BE410000}"/>
    <cellStyle name="Millares 6 3 4 3 5" xfId="32191" xr:uid="{00000000-0005-0000-0000-0000BF410000}"/>
    <cellStyle name="Millares 6 3 4 4" xfId="4838" xr:uid="{00000000-0005-0000-0000-0000C0410000}"/>
    <cellStyle name="Millares 6 3 4 4 2" xfId="8433" xr:uid="{00000000-0005-0000-0000-0000C1410000}"/>
    <cellStyle name="Millares 6 3 4 4 2 2" xfId="15223" xr:uid="{00000000-0005-0000-0000-0000C2410000}"/>
    <cellStyle name="Millares 6 3 4 4 2 2 2" xfId="28791" xr:uid="{00000000-0005-0000-0000-0000C3410000}"/>
    <cellStyle name="Millares 6 3 4 4 2 2 2 2" xfId="55924" xr:uid="{00000000-0005-0000-0000-0000C4410000}"/>
    <cellStyle name="Millares 6 3 4 4 2 2 3" xfId="42362" xr:uid="{00000000-0005-0000-0000-0000C5410000}"/>
    <cellStyle name="Millares 6 3 4 4 2 3" xfId="22010" xr:uid="{00000000-0005-0000-0000-0000C6410000}"/>
    <cellStyle name="Millares 6 3 4 4 2 3 2" xfId="49143" xr:uid="{00000000-0005-0000-0000-0000C7410000}"/>
    <cellStyle name="Millares 6 3 4 4 2 4" xfId="35581" xr:uid="{00000000-0005-0000-0000-0000C8410000}"/>
    <cellStyle name="Millares 6 3 4 4 3" xfId="11834" xr:uid="{00000000-0005-0000-0000-0000C9410000}"/>
    <cellStyle name="Millares 6 3 4 4 3 2" xfId="25402" xr:uid="{00000000-0005-0000-0000-0000CA410000}"/>
    <cellStyle name="Millares 6 3 4 4 3 2 2" xfId="52535" xr:uid="{00000000-0005-0000-0000-0000CB410000}"/>
    <cellStyle name="Millares 6 3 4 4 3 3" xfId="38973" xr:uid="{00000000-0005-0000-0000-0000CC410000}"/>
    <cellStyle name="Millares 6 3 4 4 4" xfId="18621" xr:uid="{00000000-0005-0000-0000-0000CD410000}"/>
    <cellStyle name="Millares 6 3 4 4 4 2" xfId="45754" xr:uid="{00000000-0005-0000-0000-0000CE410000}"/>
    <cellStyle name="Millares 6 3 4 4 5" xfId="32192" xr:uid="{00000000-0005-0000-0000-0000CF410000}"/>
    <cellStyle name="Millares 6 3 4 5" xfId="8428" xr:uid="{00000000-0005-0000-0000-0000D0410000}"/>
    <cellStyle name="Millares 6 3 4 5 2" xfId="15218" xr:uid="{00000000-0005-0000-0000-0000D1410000}"/>
    <cellStyle name="Millares 6 3 4 5 2 2" xfId="28786" xr:uid="{00000000-0005-0000-0000-0000D2410000}"/>
    <cellStyle name="Millares 6 3 4 5 2 2 2" xfId="55919" xr:uid="{00000000-0005-0000-0000-0000D3410000}"/>
    <cellStyle name="Millares 6 3 4 5 2 3" xfId="42357" xr:uid="{00000000-0005-0000-0000-0000D4410000}"/>
    <cellStyle name="Millares 6 3 4 5 3" xfId="22005" xr:uid="{00000000-0005-0000-0000-0000D5410000}"/>
    <cellStyle name="Millares 6 3 4 5 3 2" xfId="49138" xr:uid="{00000000-0005-0000-0000-0000D6410000}"/>
    <cellStyle name="Millares 6 3 4 5 4" xfId="35576" xr:uid="{00000000-0005-0000-0000-0000D7410000}"/>
    <cellStyle name="Millares 6 3 4 6" xfId="11829" xr:uid="{00000000-0005-0000-0000-0000D8410000}"/>
    <cellStyle name="Millares 6 3 4 6 2" xfId="25397" xr:uid="{00000000-0005-0000-0000-0000D9410000}"/>
    <cellStyle name="Millares 6 3 4 6 2 2" xfId="52530" xr:uid="{00000000-0005-0000-0000-0000DA410000}"/>
    <cellStyle name="Millares 6 3 4 6 3" xfId="38968" xr:uid="{00000000-0005-0000-0000-0000DB410000}"/>
    <cellStyle name="Millares 6 3 4 7" xfId="18616" xr:uid="{00000000-0005-0000-0000-0000DC410000}"/>
    <cellStyle name="Millares 6 3 4 7 2" xfId="45749" xr:uid="{00000000-0005-0000-0000-0000DD410000}"/>
    <cellStyle name="Millares 6 3 4 8" xfId="32187" xr:uid="{00000000-0005-0000-0000-0000DE410000}"/>
    <cellStyle name="Millares 6 3 5" xfId="4839" xr:uid="{00000000-0005-0000-0000-0000DF410000}"/>
    <cellStyle name="Millares 6 3 5 2" xfId="4840" xr:uid="{00000000-0005-0000-0000-0000E0410000}"/>
    <cellStyle name="Millares 6 3 5 2 2" xfId="8435" xr:uid="{00000000-0005-0000-0000-0000E1410000}"/>
    <cellStyle name="Millares 6 3 5 2 2 2" xfId="15225" xr:uid="{00000000-0005-0000-0000-0000E2410000}"/>
    <cellStyle name="Millares 6 3 5 2 2 2 2" xfId="28793" xr:uid="{00000000-0005-0000-0000-0000E3410000}"/>
    <cellStyle name="Millares 6 3 5 2 2 2 2 2" xfId="55926" xr:uid="{00000000-0005-0000-0000-0000E4410000}"/>
    <cellStyle name="Millares 6 3 5 2 2 2 3" xfId="42364" xr:uid="{00000000-0005-0000-0000-0000E5410000}"/>
    <cellStyle name="Millares 6 3 5 2 2 3" xfId="22012" xr:uid="{00000000-0005-0000-0000-0000E6410000}"/>
    <cellStyle name="Millares 6 3 5 2 2 3 2" xfId="49145" xr:uid="{00000000-0005-0000-0000-0000E7410000}"/>
    <cellStyle name="Millares 6 3 5 2 2 4" xfId="35583" xr:uid="{00000000-0005-0000-0000-0000E8410000}"/>
    <cellStyle name="Millares 6 3 5 2 3" xfId="11836" xr:uid="{00000000-0005-0000-0000-0000E9410000}"/>
    <cellStyle name="Millares 6 3 5 2 3 2" xfId="25404" xr:uid="{00000000-0005-0000-0000-0000EA410000}"/>
    <cellStyle name="Millares 6 3 5 2 3 2 2" xfId="52537" xr:uid="{00000000-0005-0000-0000-0000EB410000}"/>
    <cellStyle name="Millares 6 3 5 2 3 3" xfId="38975" xr:uid="{00000000-0005-0000-0000-0000EC410000}"/>
    <cellStyle name="Millares 6 3 5 2 4" xfId="18623" xr:uid="{00000000-0005-0000-0000-0000ED410000}"/>
    <cellStyle name="Millares 6 3 5 2 4 2" xfId="45756" xr:uid="{00000000-0005-0000-0000-0000EE410000}"/>
    <cellStyle name="Millares 6 3 5 2 5" xfId="32194" xr:uid="{00000000-0005-0000-0000-0000EF410000}"/>
    <cellStyle name="Millares 6 3 5 3" xfId="4841" xr:uid="{00000000-0005-0000-0000-0000F0410000}"/>
    <cellStyle name="Millares 6 3 5 3 2" xfId="8436" xr:uid="{00000000-0005-0000-0000-0000F1410000}"/>
    <cellStyle name="Millares 6 3 5 3 2 2" xfId="15226" xr:uid="{00000000-0005-0000-0000-0000F2410000}"/>
    <cellStyle name="Millares 6 3 5 3 2 2 2" xfId="28794" xr:uid="{00000000-0005-0000-0000-0000F3410000}"/>
    <cellStyle name="Millares 6 3 5 3 2 2 2 2" xfId="55927" xr:uid="{00000000-0005-0000-0000-0000F4410000}"/>
    <cellStyle name="Millares 6 3 5 3 2 2 3" xfId="42365" xr:uid="{00000000-0005-0000-0000-0000F5410000}"/>
    <cellStyle name="Millares 6 3 5 3 2 3" xfId="22013" xr:uid="{00000000-0005-0000-0000-0000F6410000}"/>
    <cellStyle name="Millares 6 3 5 3 2 3 2" xfId="49146" xr:uid="{00000000-0005-0000-0000-0000F7410000}"/>
    <cellStyle name="Millares 6 3 5 3 2 4" xfId="35584" xr:uid="{00000000-0005-0000-0000-0000F8410000}"/>
    <cellStyle name="Millares 6 3 5 3 3" xfId="11837" xr:uid="{00000000-0005-0000-0000-0000F9410000}"/>
    <cellStyle name="Millares 6 3 5 3 3 2" xfId="25405" xr:uid="{00000000-0005-0000-0000-0000FA410000}"/>
    <cellStyle name="Millares 6 3 5 3 3 2 2" xfId="52538" xr:uid="{00000000-0005-0000-0000-0000FB410000}"/>
    <cellStyle name="Millares 6 3 5 3 3 3" xfId="38976" xr:uid="{00000000-0005-0000-0000-0000FC410000}"/>
    <cellStyle name="Millares 6 3 5 3 4" xfId="18624" xr:uid="{00000000-0005-0000-0000-0000FD410000}"/>
    <cellStyle name="Millares 6 3 5 3 4 2" xfId="45757" xr:uid="{00000000-0005-0000-0000-0000FE410000}"/>
    <cellStyle name="Millares 6 3 5 3 5" xfId="32195" xr:uid="{00000000-0005-0000-0000-0000FF410000}"/>
    <cellStyle name="Millares 6 3 5 4" xfId="8434" xr:uid="{00000000-0005-0000-0000-000000420000}"/>
    <cellStyle name="Millares 6 3 5 4 2" xfId="15224" xr:uid="{00000000-0005-0000-0000-000001420000}"/>
    <cellStyle name="Millares 6 3 5 4 2 2" xfId="28792" xr:uid="{00000000-0005-0000-0000-000002420000}"/>
    <cellStyle name="Millares 6 3 5 4 2 2 2" xfId="55925" xr:uid="{00000000-0005-0000-0000-000003420000}"/>
    <cellStyle name="Millares 6 3 5 4 2 3" xfId="42363" xr:uid="{00000000-0005-0000-0000-000004420000}"/>
    <cellStyle name="Millares 6 3 5 4 3" xfId="22011" xr:uid="{00000000-0005-0000-0000-000005420000}"/>
    <cellStyle name="Millares 6 3 5 4 3 2" xfId="49144" xr:uid="{00000000-0005-0000-0000-000006420000}"/>
    <cellStyle name="Millares 6 3 5 4 4" xfId="35582" xr:uid="{00000000-0005-0000-0000-000007420000}"/>
    <cellStyle name="Millares 6 3 5 5" xfId="11835" xr:uid="{00000000-0005-0000-0000-000008420000}"/>
    <cellStyle name="Millares 6 3 5 5 2" xfId="25403" xr:uid="{00000000-0005-0000-0000-000009420000}"/>
    <cellStyle name="Millares 6 3 5 5 2 2" xfId="52536" xr:uid="{00000000-0005-0000-0000-00000A420000}"/>
    <cellStyle name="Millares 6 3 5 5 3" xfId="38974" xr:uid="{00000000-0005-0000-0000-00000B420000}"/>
    <cellStyle name="Millares 6 3 5 6" xfId="18622" xr:uid="{00000000-0005-0000-0000-00000C420000}"/>
    <cellStyle name="Millares 6 3 5 6 2" xfId="45755" xr:uid="{00000000-0005-0000-0000-00000D420000}"/>
    <cellStyle name="Millares 6 3 5 7" xfId="32193" xr:uid="{00000000-0005-0000-0000-00000E420000}"/>
    <cellStyle name="Millares 6 3 6" xfId="4842" xr:uid="{00000000-0005-0000-0000-00000F420000}"/>
    <cellStyle name="Millares 6 3 6 2" xfId="4843" xr:uid="{00000000-0005-0000-0000-000010420000}"/>
    <cellStyle name="Millares 6 3 6 2 2" xfId="8438" xr:uid="{00000000-0005-0000-0000-000011420000}"/>
    <cellStyle name="Millares 6 3 6 2 2 2" xfId="15228" xr:uid="{00000000-0005-0000-0000-000012420000}"/>
    <cellStyle name="Millares 6 3 6 2 2 2 2" xfId="28796" xr:uid="{00000000-0005-0000-0000-000013420000}"/>
    <cellStyle name="Millares 6 3 6 2 2 2 2 2" xfId="55929" xr:uid="{00000000-0005-0000-0000-000014420000}"/>
    <cellStyle name="Millares 6 3 6 2 2 2 3" xfId="42367" xr:uid="{00000000-0005-0000-0000-000015420000}"/>
    <cellStyle name="Millares 6 3 6 2 2 3" xfId="22015" xr:uid="{00000000-0005-0000-0000-000016420000}"/>
    <cellStyle name="Millares 6 3 6 2 2 3 2" xfId="49148" xr:uid="{00000000-0005-0000-0000-000017420000}"/>
    <cellStyle name="Millares 6 3 6 2 2 4" xfId="35586" xr:uid="{00000000-0005-0000-0000-000018420000}"/>
    <cellStyle name="Millares 6 3 6 2 3" xfId="11839" xr:uid="{00000000-0005-0000-0000-000019420000}"/>
    <cellStyle name="Millares 6 3 6 2 3 2" xfId="25407" xr:uid="{00000000-0005-0000-0000-00001A420000}"/>
    <cellStyle name="Millares 6 3 6 2 3 2 2" xfId="52540" xr:uid="{00000000-0005-0000-0000-00001B420000}"/>
    <cellStyle name="Millares 6 3 6 2 3 3" xfId="38978" xr:uid="{00000000-0005-0000-0000-00001C420000}"/>
    <cellStyle name="Millares 6 3 6 2 4" xfId="18626" xr:uid="{00000000-0005-0000-0000-00001D420000}"/>
    <cellStyle name="Millares 6 3 6 2 4 2" xfId="45759" xr:uid="{00000000-0005-0000-0000-00001E420000}"/>
    <cellStyle name="Millares 6 3 6 2 5" xfId="32197" xr:uid="{00000000-0005-0000-0000-00001F420000}"/>
    <cellStyle name="Millares 6 3 6 3" xfId="4844" xr:uid="{00000000-0005-0000-0000-000020420000}"/>
    <cellStyle name="Millares 6 3 6 3 2" xfId="8439" xr:uid="{00000000-0005-0000-0000-000021420000}"/>
    <cellStyle name="Millares 6 3 6 3 2 2" xfId="15229" xr:uid="{00000000-0005-0000-0000-000022420000}"/>
    <cellStyle name="Millares 6 3 6 3 2 2 2" xfId="28797" xr:uid="{00000000-0005-0000-0000-000023420000}"/>
    <cellStyle name="Millares 6 3 6 3 2 2 2 2" xfId="55930" xr:uid="{00000000-0005-0000-0000-000024420000}"/>
    <cellStyle name="Millares 6 3 6 3 2 2 3" xfId="42368" xr:uid="{00000000-0005-0000-0000-000025420000}"/>
    <cellStyle name="Millares 6 3 6 3 2 3" xfId="22016" xr:uid="{00000000-0005-0000-0000-000026420000}"/>
    <cellStyle name="Millares 6 3 6 3 2 3 2" xfId="49149" xr:uid="{00000000-0005-0000-0000-000027420000}"/>
    <cellStyle name="Millares 6 3 6 3 2 4" xfId="35587" xr:uid="{00000000-0005-0000-0000-000028420000}"/>
    <cellStyle name="Millares 6 3 6 3 3" xfId="11840" xr:uid="{00000000-0005-0000-0000-000029420000}"/>
    <cellStyle name="Millares 6 3 6 3 3 2" xfId="25408" xr:uid="{00000000-0005-0000-0000-00002A420000}"/>
    <cellStyle name="Millares 6 3 6 3 3 2 2" xfId="52541" xr:uid="{00000000-0005-0000-0000-00002B420000}"/>
    <cellStyle name="Millares 6 3 6 3 3 3" xfId="38979" xr:uid="{00000000-0005-0000-0000-00002C420000}"/>
    <cellStyle name="Millares 6 3 6 3 4" xfId="18627" xr:uid="{00000000-0005-0000-0000-00002D420000}"/>
    <cellStyle name="Millares 6 3 6 3 4 2" xfId="45760" xr:uid="{00000000-0005-0000-0000-00002E420000}"/>
    <cellStyle name="Millares 6 3 6 3 5" xfId="32198" xr:uid="{00000000-0005-0000-0000-00002F420000}"/>
    <cellStyle name="Millares 6 3 6 4" xfId="8437" xr:uid="{00000000-0005-0000-0000-000030420000}"/>
    <cellStyle name="Millares 6 3 6 4 2" xfId="15227" xr:uid="{00000000-0005-0000-0000-000031420000}"/>
    <cellStyle name="Millares 6 3 6 4 2 2" xfId="28795" xr:uid="{00000000-0005-0000-0000-000032420000}"/>
    <cellStyle name="Millares 6 3 6 4 2 2 2" xfId="55928" xr:uid="{00000000-0005-0000-0000-000033420000}"/>
    <cellStyle name="Millares 6 3 6 4 2 3" xfId="42366" xr:uid="{00000000-0005-0000-0000-000034420000}"/>
    <cellStyle name="Millares 6 3 6 4 3" xfId="22014" xr:uid="{00000000-0005-0000-0000-000035420000}"/>
    <cellStyle name="Millares 6 3 6 4 3 2" xfId="49147" xr:uid="{00000000-0005-0000-0000-000036420000}"/>
    <cellStyle name="Millares 6 3 6 4 4" xfId="35585" xr:uid="{00000000-0005-0000-0000-000037420000}"/>
    <cellStyle name="Millares 6 3 6 5" xfId="11838" xr:uid="{00000000-0005-0000-0000-000038420000}"/>
    <cellStyle name="Millares 6 3 6 5 2" xfId="25406" xr:uid="{00000000-0005-0000-0000-000039420000}"/>
    <cellStyle name="Millares 6 3 6 5 2 2" xfId="52539" xr:uid="{00000000-0005-0000-0000-00003A420000}"/>
    <cellStyle name="Millares 6 3 6 5 3" xfId="38977" xr:uid="{00000000-0005-0000-0000-00003B420000}"/>
    <cellStyle name="Millares 6 3 6 6" xfId="18625" xr:uid="{00000000-0005-0000-0000-00003C420000}"/>
    <cellStyle name="Millares 6 3 6 6 2" xfId="45758" xr:uid="{00000000-0005-0000-0000-00003D420000}"/>
    <cellStyle name="Millares 6 3 6 7" xfId="32196" xr:uid="{00000000-0005-0000-0000-00003E420000}"/>
    <cellStyle name="Millares 6 3 7" xfId="4845" xr:uid="{00000000-0005-0000-0000-00003F420000}"/>
    <cellStyle name="Millares 6 3 7 2" xfId="8440" xr:uid="{00000000-0005-0000-0000-000040420000}"/>
    <cellStyle name="Millares 6 3 7 2 2" xfId="15230" xr:uid="{00000000-0005-0000-0000-000041420000}"/>
    <cellStyle name="Millares 6 3 7 2 2 2" xfId="28798" xr:uid="{00000000-0005-0000-0000-000042420000}"/>
    <cellStyle name="Millares 6 3 7 2 2 2 2" xfId="55931" xr:uid="{00000000-0005-0000-0000-000043420000}"/>
    <cellStyle name="Millares 6 3 7 2 2 3" xfId="42369" xr:uid="{00000000-0005-0000-0000-000044420000}"/>
    <cellStyle name="Millares 6 3 7 2 3" xfId="22017" xr:uid="{00000000-0005-0000-0000-000045420000}"/>
    <cellStyle name="Millares 6 3 7 2 3 2" xfId="49150" xr:uid="{00000000-0005-0000-0000-000046420000}"/>
    <cellStyle name="Millares 6 3 7 2 4" xfId="35588" xr:uid="{00000000-0005-0000-0000-000047420000}"/>
    <cellStyle name="Millares 6 3 7 3" xfId="11841" xr:uid="{00000000-0005-0000-0000-000048420000}"/>
    <cellStyle name="Millares 6 3 7 3 2" xfId="25409" xr:uid="{00000000-0005-0000-0000-000049420000}"/>
    <cellStyle name="Millares 6 3 7 3 2 2" xfId="52542" xr:uid="{00000000-0005-0000-0000-00004A420000}"/>
    <cellStyle name="Millares 6 3 7 3 3" xfId="38980" xr:uid="{00000000-0005-0000-0000-00004B420000}"/>
    <cellStyle name="Millares 6 3 7 4" xfId="18628" xr:uid="{00000000-0005-0000-0000-00004C420000}"/>
    <cellStyle name="Millares 6 3 7 4 2" xfId="45761" xr:uid="{00000000-0005-0000-0000-00004D420000}"/>
    <cellStyle name="Millares 6 3 7 5" xfId="32199" xr:uid="{00000000-0005-0000-0000-00004E420000}"/>
    <cellStyle name="Millares 6 3 8" xfId="4846" xr:uid="{00000000-0005-0000-0000-00004F420000}"/>
    <cellStyle name="Millares 6 3 8 2" xfId="8441" xr:uid="{00000000-0005-0000-0000-000050420000}"/>
    <cellStyle name="Millares 6 3 8 2 2" xfId="15231" xr:uid="{00000000-0005-0000-0000-000051420000}"/>
    <cellStyle name="Millares 6 3 8 2 2 2" xfId="28799" xr:uid="{00000000-0005-0000-0000-000052420000}"/>
    <cellStyle name="Millares 6 3 8 2 2 2 2" xfId="55932" xr:uid="{00000000-0005-0000-0000-000053420000}"/>
    <cellStyle name="Millares 6 3 8 2 2 3" xfId="42370" xr:uid="{00000000-0005-0000-0000-000054420000}"/>
    <cellStyle name="Millares 6 3 8 2 3" xfId="22018" xr:uid="{00000000-0005-0000-0000-000055420000}"/>
    <cellStyle name="Millares 6 3 8 2 3 2" xfId="49151" xr:uid="{00000000-0005-0000-0000-000056420000}"/>
    <cellStyle name="Millares 6 3 8 2 4" xfId="35589" xr:uid="{00000000-0005-0000-0000-000057420000}"/>
    <cellStyle name="Millares 6 3 8 3" xfId="11842" xr:uid="{00000000-0005-0000-0000-000058420000}"/>
    <cellStyle name="Millares 6 3 8 3 2" xfId="25410" xr:uid="{00000000-0005-0000-0000-000059420000}"/>
    <cellStyle name="Millares 6 3 8 3 2 2" xfId="52543" xr:uid="{00000000-0005-0000-0000-00005A420000}"/>
    <cellStyle name="Millares 6 3 8 3 3" xfId="38981" xr:uid="{00000000-0005-0000-0000-00005B420000}"/>
    <cellStyle name="Millares 6 3 8 4" xfId="18629" xr:uid="{00000000-0005-0000-0000-00005C420000}"/>
    <cellStyle name="Millares 6 3 8 4 2" xfId="45762" xr:uid="{00000000-0005-0000-0000-00005D420000}"/>
    <cellStyle name="Millares 6 3 8 5" xfId="32200" xr:uid="{00000000-0005-0000-0000-00005E420000}"/>
    <cellStyle name="Millares 6 3 9" xfId="8403" xr:uid="{00000000-0005-0000-0000-00005F420000}"/>
    <cellStyle name="Millares 6 3 9 2" xfId="15193" xr:uid="{00000000-0005-0000-0000-000060420000}"/>
    <cellStyle name="Millares 6 3 9 2 2" xfId="28761" xr:uid="{00000000-0005-0000-0000-000061420000}"/>
    <cellStyle name="Millares 6 3 9 2 2 2" xfId="55894" xr:uid="{00000000-0005-0000-0000-000062420000}"/>
    <cellStyle name="Millares 6 3 9 2 3" xfId="42332" xr:uid="{00000000-0005-0000-0000-000063420000}"/>
    <cellStyle name="Millares 6 3 9 3" xfId="21980" xr:uid="{00000000-0005-0000-0000-000064420000}"/>
    <cellStyle name="Millares 6 3 9 3 2" xfId="49113" xr:uid="{00000000-0005-0000-0000-000065420000}"/>
    <cellStyle name="Millares 6 3 9 4" xfId="35551" xr:uid="{00000000-0005-0000-0000-000066420000}"/>
    <cellStyle name="Millares 6 4" xfId="4847" xr:uid="{00000000-0005-0000-0000-000067420000}"/>
    <cellStyle name="Millares 6 4 10" xfId="32201" xr:uid="{00000000-0005-0000-0000-000068420000}"/>
    <cellStyle name="Millares 6 4 2" xfId="4848" xr:uid="{00000000-0005-0000-0000-000069420000}"/>
    <cellStyle name="Millares 6 4 2 2" xfId="4849" xr:uid="{00000000-0005-0000-0000-00006A420000}"/>
    <cellStyle name="Millares 6 4 2 2 2" xfId="4850" xr:uid="{00000000-0005-0000-0000-00006B420000}"/>
    <cellStyle name="Millares 6 4 2 2 2 2" xfId="8445" xr:uid="{00000000-0005-0000-0000-00006C420000}"/>
    <cellStyle name="Millares 6 4 2 2 2 2 2" xfId="15235" xr:uid="{00000000-0005-0000-0000-00006D420000}"/>
    <cellStyle name="Millares 6 4 2 2 2 2 2 2" xfId="28803" xr:uid="{00000000-0005-0000-0000-00006E420000}"/>
    <cellStyle name="Millares 6 4 2 2 2 2 2 2 2" xfId="55936" xr:uid="{00000000-0005-0000-0000-00006F420000}"/>
    <cellStyle name="Millares 6 4 2 2 2 2 2 3" xfId="42374" xr:uid="{00000000-0005-0000-0000-000070420000}"/>
    <cellStyle name="Millares 6 4 2 2 2 2 3" xfId="22022" xr:uid="{00000000-0005-0000-0000-000071420000}"/>
    <cellStyle name="Millares 6 4 2 2 2 2 3 2" xfId="49155" xr:uid="{00000000-0005-0000-0000-000072420000}"/>
    <cellStyle name="Millares 6 4 2 2 2 2 4" xfId="35593" xr:uid="{00000000-0005-0000-0000-000073420000}"/>
    <cellStyle name="Millares 6 4 2 2 2 3" xfId="11846" xr:uid="{00000000-0005-0000-0000-000074420000}"/>
    <cellStyle name="Millares 6 4 2 2 2 3 2" xfId="25414" xr:uid="{00000000-0005-0000-0000-000075420000}"/>
    <cellStyle name="Millares 6 4 2 2 2 3 2 2" xfId="52547" xr:uid="{00000000-0005-0000-0000-000076420000}"/>
    <cellStyle name="Millares 6 4 2 2 2 3 3" xfId="38985" xr:uid="{00000000-0005-0000-0000-000077420000}"/>
    <cellStyle name="Millares 6 4 2 2 2 4" xfId="18633" xr:uid="{00000000-0005-0000-0000-000078420000}"/>
    <cellStyle name="Millares 6 4 2 2 2 4 2" xfId="45766" xr:uid="{00000000-0005-0000-0000-000079420000}"/>
    <cellStyle name="Millares 6 4 2 2 2 5" xfId="32204" xr:uid="{00000000-0005-0000-0000-00007A420000}"/>
    <cellStyle name="Millares 6 4 2 2 3" xfId="4851" xr:uid="{00000000-0005-0000-0000-00007B420000}"/>
    <cellStyle name="Millares 6 4 2 2 3 2" xfId="8446" xr:uid="{00000000-0005-0000-0000-00007C420000}"/>
    <cellStyle name="Millares 6 4 2 2 3 2 2" xfId="15236" xr:uid="{00000000-0005-0000-0000-00007D420000}"/>
    <cellStyle name="Millares 6 4 2 2 3 2 2 2" xfId="28804" xr:uid="{00000000-0005-0000-0000-00007E420000}"/>
    <cellStyle name="Millares 6 4 2 2 3 2 2 2 2" xfId="55937" xr:uid="{00000000-0005-0000-0000-00007F420000}"/>
    <cellStyle name="Millares 6 4 2 2 3 2 2 3" xfId="42375" xr:uid="{00000000-0005-0000-0000-000080420000}"/>
    <cellStyle name="Millares 6 4 2 2 3 2 3" xfId="22023" xr:uid="{00000000-0005-0000-0000-000081420000}"/>
    <cellStyle name="Millares 6 4 2 2 3 2 3 2" xfId="49156" xr:uid="{00000000-0005-0000-0000-000082420000}"/>
    <cellStyle name="Millares 6 4 2 2 3 2 4" xfId="35594" xr:uid="{00000000-0005-0000-0000-000083420000}"/>
    <cellStyle name="Millares 6 4 2 2 3 3" xfId="11847" xr:uid="{00000000-0005-0000-0000-000084420000}"/>
    <cellStyle name="Millares 6 4 2 2 3 3 2" xfId="25415" xr:uid="{00000000-0005-0000-0000-000085420000}"/>
    <cellStyle name="Millares 6 4 2 2 3 3 2 2" xfId="52548" xr:uid="{00000000-0005-0000-0000-000086420000}"/>
    <cellStyle name="Millares 6 4 2 2 3 3 3" xfId="38986" xr:uid="{00000000-0005-0000-0000-000087420000}"/>
    <cellStyle name="Millares 6 4 2 2 3 4" xfId="18634" xr:uid="{00000000-0005-0000-0000-000088420000}"/>
    <cellStyle name="Millares 6 4 2 2 3 4 2" xfId="45767" xr:uid="{00000000-0005-0000-0000-000089420000}"/>
    <cellStyle name="Millares 6 4 2 2 3 5" xfId="32205" xr:uid="{00000000-0005-0000-0000-00008A420000}"/>
    <cellStyle name="Millares 6 4 2 2 4" xfId="8444" xr:uid="{00000000-0005-0000-0000-00008B420000}"/>
    <cellStyle name="Millares 6 4 2 2 4 2" xfId="15234" xr:uid="{00000000-0005-0000-0000-00008C420000}"/>
    <cellStyle name="Millares 6 4 2 2 4 2 2" xfId="28802" xr:uid="{00000000-0005-0000-0000-00008D420000}"/>
    <cellStyle name="Millares 6 4 2 2 4 2 2 2" xfId="55935" xr:uid="{00000000-0005-0000-0000-00008E420000}"/>
    <cellStyle name="Millares 6 4 2 2 4 2 3" xfId="42373" xr:uid="{00000000-0005-0000-0000-00008F420000}"/>
    <cellStyle name="Millares 6 4 2 2 4 3" xfId="22021" xr:uid="{00000000-0005-0000-0000-000090420000}"/>
    <cellStyle name="Millares 6 4 2 2 4 3 2" xfId="49154" xr:uid="{00000000-0005-0000-0000-000091420000}"/>
    <cellStyle name="Millares 6 4 2 2 4 4" xfId="35592" xr:uid="{00000000-0005-0000-0000-000092420000}"/>
    <cellStyle name="Millares 6 4 2 2 5" xfId="11845" xr:uid="{00000000-0005-0000-0000-000093420000}"/>
    <cellStyle name="Millares 6 4 2 2 5 2" xfId="25413" xr:uid="{00000000-0005-0000-0000-000094420000}"/>
    <cellStyle name="Millares 6 4 2 2 5 2 2" xfId="52546" xr:uid="{00000000-0005-0000-0000-000095420000}"/>
    <cellStyle name="Millares 6 4 2 2 5 3" xfId="38984" xr:uid="{00000000-0005-0000-0000-000096420000}"/>
    <cellStyle name="Millares 6 4 2 2 6" xfId="18632" xr:uid="{00000000-0005-0000-0000-000097420000}"/>
    <cellStyle name="Millares 6 4 2 2 6 2" xfId="45765" xr:uid="{00000000-0005-0000-0000-000098420000}"/>
    <cellStyle name="Millares 6 4 2 2 7" xfId="32203" xr:uid="{00000000-0005-0000-0000-000099420000}"/>
    <cellStyle name="Millares 6 4 2 3" xfId="4852" xr:uid="{00000000-0005-0000-0000-00009A420000}"/>
    <cellStyle name="Millares 6 4 2 3 2" xfId="4853" xr:uid="{00000000-0005-0000-0000-00009B420000}"/>
    <cellStyle name="Millares 6 4 2 3 2 2" xfId="8448" xr:uid="{00000000-0005-0000-0000-00009C420000}"/>
    <cellStyle name="Millares 6 4 2 3 2 2 2" xfId="15238" xr:uid="{00000000-0005-0000-0000-00009D420000}"/>
    <cellStyle name="Millares 6 4 2 3 2 2 2 2" xfId="28806" xr:uid="{00000000-0005-0000-0000-00009E420000}"/>
    <cellStyle name="Millares 6 4 2 3 2 2 2 2 2" xfId="55939" xr:uid="{00000000-0005-0000-0000-00009F420000}"/>
    <cellStyle name="Millares 6 4 2 3 2 2 2 3" xfId="42377" xr:uid="{00000000-0005-0000-0000-0000A0420000}"/>
    <cellStyle name="Millares 6 4 2 3 2 2 3" xfId="22025" xr:uid="{00000000-0005-0000-0000-0000A1420000}"/>
    <cellStyle name="Millares 6 4 2 3 2 2 3 2" xfId="49158" xr:uid="{00000000-0005-0000-0000-0000A2420000}"/>
    <cellStyle name="Millares 6 4 2 3 2 2 4" xfId="35596" xr:uid="{00000000-0005-0000-0000-0000A3420000}"/>
    <cellStyle name="Millares 6 4 2 3 2 3" xfId="11849" xr:uid="{00000000-0005-0000-0000-0000A4420000}"/>
    <cellStyle name="Millares 6 4 2 3 2 3 2" xfId="25417" xr:uid="{00000000-0005-0000-0000-0000A5420000}"/>
    <cellStyle name="Millares 6 4 2 3 2 3 2 2" xfId="52550" xr:uid="{00000000-0005-0000-0000-0000A6420000}"/>
    <cellStyle name="Millares 6 4 2 3 2 3 3" xfId="38988" xr:uid="{00000000-0005-0000-0000-0000A7420000}"/>
    <cellStyle name="Millares 6 4 2 3 2 4" xfId="18636" xr:uid="{00000000-0005-0000-0000-0000A8420000}"/>
    <cellStyle name="Millares 6 4 2 3 2 4 2" xfId="45769" xr:uid="{00000000-0005-0000-0000-0000A9420000}"/>
    <cellStyle name="Millares 6 4 2 3 2 5" xfId="32207" xr:uid="{00000000-0005-0000-0000-0000AA420000}"/>
    <cellStyle name="Millares 6 4 2 3 3" xfId="8447" xr:uid="{00000000-0005-0000-0000-0000AB420000}"/>
    <cellStyle name="Millares 6 4 2 3 3 2" xfId="15237" xr:uid="{00000000-0005-0000-0000-0000AC420000}"/>
    <cellStyle name="Millares 6 4 2 3 3 2 2" xfId="28805" xr:uid="{00000000-0005-0000-0000-0000AD420000}"/>
    <cellStyle name="Millares 6 4 2 3 3 2 2 2" xfId="55938" xr:uid="{00000000-0005-0000-0000-0000AE420000}"/>
    <cellStyle name="Millares 6 4 2 3 3 2 3" xfId="42376" xr:uid="{00000000-0005-0000-0000-0000AF420000}"/>
    <cellStyle name="Millares 6 4 2 3 3 3" xfId="22024" xr:uid="{00000000-0005-0000-0000-0000B0420000}"/>
    <cellStyle name="Millares 6 4 2 3 3 3 2" xfId="49157" xr:uid="{00000000-0005-0000-0000-0000B1420000}"/>
    <cellStyle name="Millares 6 4 2 3 3 4" xfId="35595" xr:uid="{00000000-0005-0000-0000-0000B2420000}"/>
    <cellStyle name="Millares 6 4 2 3 4" xfId="11848" xr:uid="{00000000-0005-0000-0000-0000B3420000}"/>
    <cellStyle name="Millares 6 4 2 3 4 2" xfId="25416" xr:uid="{00000000-0005-0000-0000-0000B4420000}"/>
    <cellStyle name="Millares 6 4 2 3 4 2 2" xfId="52549" xr:uid="{00000000-0005-0000-0000-0000B5420000}"/>
    <cellStyle name="Millares 6 4 2 3 4 3" xfId="38987" xr:uid="{00000000-0005-0000-0000-0000B6420000}"/>
    <cellStyle name="Millares 6 4 2 3 5" xfId="18635" xr:uid="{00000000-0005-0000-0000-0000B7420000}"/>
    <cellStyle name="Millares 6 4 2 3 5 2" xfId="45768" xr:uid="{00000000-0005-0000-0000-0000B8420000}"/>
    <cellStyle name="Millares 6 4 2 3 6" xfId="32206" xr:uid="{00000000-0005-0000-0000-0000B9420000}"/>
    <cellStyle name="Millares 6 4 2 4" xfId="4854" xr:uid="{00000000-0005-0000-0000-0000BA420000}"/>
    <cellStyle name="Millares 6 4 2 4 2" xfId="8449" xr:uid="{00000000-0005-0000-0000-0000BB420000}"/>
    <cellStyle name="Millares 6 4 2 4 2 2" xfId="15239" xr:uid="{00000000-0005-0000-0000-0000BC420000}"/>
    <cellStyle name="Millares 6 4 2 4 2 2 2" xfId="28807" xr:uid="{00000000-0005-0000-0000-0000BD420000}"/>
    <cellStyle name="Millares 6 4 2 4 2 2 2 2" xfId="55940" xr:uid="{00000000-0005-0000-0000-0000BE420000}"/>
    <cellStyle name="Millares 6 4 2 4 2 2 3" xfId="42378" xr:uid="{00000000-0005-0000-0000-0000BF420000}"/>
    <cellStyle name="Millares 6 4 2 4 2 3" xfId="22026" xr:uid="{00000000-0005-0000-0000-0000C0420000}"/>
    <cellStyle name="Millares 6 4 2 4 2 3 2" xfId="49159" xr:uid="{00000000-0005-0000-0000-0000C1420000}"/>
    <cellStyle name="Millares 6 4 2 4 2 4" xfId="35597" xr:uid="{00000000-0005-0000-0000-0000C2420000}"/>
    <cellStyle name="Millares 6 4 2 4 3" xfId="11850" xr:uid="{00000000-0005-0000-0000-0000C3420000}"/>
    <cellStyle name="Millares 6 4 2 4 3 2" xfId="25418" xr:uid="{00000000-0005-0000-0000-0000C4420000}"/>
    <cellStyle name="Millares 6 4 2 4 3 2 2" xfId="52551" xr:uid="{00000000-0005-0000-0000-0000C5420000}"/>
    <cellStyle name="Millares 6 4 2 4 3 3" xfId="38989" xr:uid="{00000000-0005-0000-0000-0000C6420000}"/>
    <cellStyle name="Millares 6 4 2 4 4" xfId="18637" xr:uid="{00000000-0005-0000-0000-0000C7420000}"/>
    <cellStyle name="Millares 6 4 2 4 4 2" xfId="45770" xr:uid="{00000000-0005-0000-0000-0000C8420000}"/>
    <cellStyle name="Millares 6 4 2 4 5" xfId="32208" xr:uid="{00000000-0005-0000-0000-0000C9420000}"/>
    <cellStyle name="Millares 6 4 2 5" xfId="4855" xr:uid="{00000000-0005-0000-0000-0000CA420000}"/>
    <cellStyle name="Millares 6 4 2 5 2" xfId="8450" xr:uid="{00000000-0005-0000-0000-0000CB420000}"/>
    <cellStyle name="Millares 6 4 2 5 2 2" xfId="15240" xr:uid="{00000000-0005-0000-0000-0000CC420000}"/>
    <cellStyle name="Millares 6 4 2 5 2 2 2" xfId="28808" xr:uid="{00000000-0005-0000-0000-0000CD420000}"/>
    <cellStyle name="Millares 6 4 2 5 2 2 2 2" xfId="55941" xr:uid="{00000000-0005-0000-0000-0000CE420000}"/>
    <cellStyle name="Millares 6 4 2 5 2 2 3" xfId="42379" xr:uid="{00000000-0005-0000-0000-0000CF420000}"/>
    <cellStyle name="Millares 6 4 2 5 2 3" xfId="22027" xr:uid="{00000000-0005-0000-0000-0000D0420000}"/>
    <cellStyle name="Millares 6 4 2 5 2 3 2" xfId="49160" xr:uid="{00000000-0005-0000-0000-0000D1420000}"/>
    <cellStyle name="Millares 6 4 2 5 2 4" xfId="35598" xr:uid="{00000000-0005-0000-0000-0000D2420000}"/>
    <cellStyle name="Millares 6 4 2 5 3" xfId="11851" xr:uid="{00000000-0005-0000-0000-0000D3420000}"/>
    <cellStyle name="Millares 6 4 2 5 3 2" xfId="25419" xr:uid="{00000000-0005-0000-0000-0000D4420000}"/>
    <cellStyle name="Millares 6 4 2 5 3 2 2" xfId="52552" xr:uid="{00000000-0005-0000-0000-0000D5420000}"/>
    <cellStyle name="Millares 6 4 2 5 3 3" xfId="38990" xr:uid="{00000000-0005-0000-0000-0000D6420000}"/>
    <cellStyle name="Millares 6 4 2 5 4" xfId="18638" xr:uid="{00000000-0005-0000-0000-0000D7420000}"/>
    <cellStyle name="Millares 6 4 2 5 4 2" xfId="45771" xr:uid="{00000000-0005-0000-0000-0000D8420000}"/>
    <cellStyle name="Millares 6 4 2 5 5" xfId="32209" xr:uid="{00000000-0005-0000-0000-0000D9420000}"/>
    <cellStyle name="Millares 6 4 2 6" xfId="8443" xr:uid="{00000000-0005-0000-0000-0000DA420000}"/>
    <cellStyle name="Millares 6 4 2 6 2" xfId="15233" xr:uid="{00000000-0005-0000-0000-0000DB420000}"/>
    <cellStyle name="Millares 6 4 2 6 2 2" xfId="28801" xr:uid="{00000000-0005-0000-0000-0000DC420000}"/>
    <cellStyle name="Millares 6 4 2 6 2 2 2" xfId="55934" xr:uid="{00000000-0005-0000-0000-0000DD420000}"/>
    <cellStyle name="Millares 6 4 2 6 2 3" xfId="42372" xr:uid="{00000000-0005-0000-0000-0000DE420000}"/>
    <cellStyle name="Millares 6 4 2 6 3" xfId="22020" xr:uid="{00000000-0005-0000-0000-0000DF420000}"/>
    <cellStyle name="Millares 6 4 2 6 3 2" xfId="49153" xr:uid="{00000000-0005-0000-0000-0000E0420000}"/>
    <cellStyle name="Millares 6 4 2 6 4" xfId="35591" xr:uid="{00000000-0005-0000-0000-0000E1420000}"/>
    <cellStyle name="Millares 6 4 2 7" xfId="11844" xr:uid="{00000000-0005-0000-0000-0000E2420000}"/>
    <cellStyle name="Millares 6 4 2 7 2" xfId="25412" xr:uid="{00000000-0005-0000-0000-0000E3420000}"/>
    <cellStyle name="Millares 6 4 2 7 2 2" xfId="52545" xr:uid="{00000000-0005-0000-0000-0000E4420000}"/>
    <cellStyle name="Millares 6 4 2 7 3" xfId="38983" xr:uid="{00000000-0005-0000-0000-0000E5420000}"/>
    <cellStyle name="Millares 6 4 2 8" xfId="18631" xr:uid="{00000000-0005-0000-0000-0000E6420000}"/>
    <cellStyle name="Millares 6 4 2 8 2" xfId="45764" xr:uid="{00000000-0005-0000-0000-0000E7420000}"/>
    <cellStyle name="Millares 6 4 2 9" xfId="32202" xr:uid="{00000000-0005-0000-0000-0000E8420000}"/>
    <cellStyle name="Millares 6 4 3" xfId="4856" xr:uid="{00000000-0005-0000-0000-0000E9420000}"/>
    <cellStyle name="Millares 6 4 3 2" xfId="4857" xr:uid="{00000000-0005-0000-0000-0000EA420000}"/>
    <cellStyle name="Millares 6 4 3 2 2" xfId="8452" xr:uid="{00000000-0005-0000-0000-0000EB420000}"/>
    <cellStyle name="Millares 6 4 3 2 2 2" xfId="15242" xr:uid="{00000000-0005-0000-0000-0000EC420000}"/>
    <cellStyle name="Millares 6 4 3 2 2 2 2" xfId="28810" xr:uid="{00000000-0005-0000-0000-0000ED420000}"/>
    <cellStyle name="Millares 6 4 3 2 2 2 2 2" xfId="55943" xr:uid="{00000000-0005-0000-0000-0000EE420000}"/>
    <cellStyle name="Millares 6 4 3 2 2 2 3" xfId="42381" xr:uid="{00000000-0005-0000-0000-0000EF420000}"/>
    <cellStyle name="Millares 6 4 3 2 2 3" xfId="22029" xr:uid="{00000000-0005-0000-0000-0000F0420000}"/>
    <cellStyle name="Millares 6 4 3 2 2 3 2" xfId="49162" xr:uid="{00000000-0005-0000-0000-0000F1420000}"/>
    <cellStyle name="Millares 6 4 3 2 2 4" xfId="35600" xr:uid="{00000000-0005-0000-0000-0000F2420000}"/>
    <cellStyle name="Millares 6 4 3 2 3" xfId="11853" xr:uid="{00000000-0005-0000-0000-0000F3420000}"/>
    <cellStyle name="Millares 6 4 3 2 3 2" xfId="25421" xr:uid="{00000000-0005-0000-0000-0000F4420000}"/>
    <cellStyle name="Millares 6 4 3 2 3 2 2" xfId="52554" xr:uid="{00000000-0005-0000-0000-0000F5420000}"/>
    <cellStyle name="Millares 6 4 3 2 3 3" xfId="38992" xr:uid="{00000000-0005-0000-0000-0000F6420000}"/>
    <cellStyle name="Millares 6 4 3 2 4" xfId="18640" xr:uid="{00000000-0005-0000-0000-0000F7420000}"/>
    <cellStyle name="Millares 6 4 3 2 4 2" xfId="45773" xr:uid="{00000000-0005-0000-0000-0000F8420000}"/>
    <cellStyle name="Millares 6 4 3 2 5" xfId="32211" xr:uid="{00000000-0005-0000-0000-0000F9420000}"/>
    <cellStyle name="Millares 6 4 3 3" xfId="4858" xr:uid="{00000000-0005-0000-0000-0000FA420000}"/>
    <cellStyle name="Millares 6 4 3 3 2" xfId="8453" xr:uid="{00000000-0005-0000-0000-0000FB420000}"/>
    <cellStyle name="Millares 6 4 3 3 2 2" xfId="15243" xr:uid="{00000000-0005-0000-0000-0000FC420000}"/>
    <cellStyle name="Millares 6 4 3 3 2 2 2" xfId="28811" xr:uid="{00000000-0005-0000-0000-0000FD420000}"/>
    <cellStyle name="Millares 6 4 3 3 2 2 2 2" xfId="55944" xr:uid="{00000000-0005-0000-0000-0000FE420000}"/>
    <cellStyle name="Millares 6 4 3 3 2 2 3" xfId="42382" xr:uid="{00000000-0005-0000-0000-0000FF420000}"/>
    <cellStyle name="Millares 6 4 3 3 2 3" xfId="22030" xr:uid="{00000000-0005-0000-0000-000000430000}"/>
    <cellStyle name="Millares 6 4 3 3 2 3 2" xfId="49163" xr:uid="{00000000-0005-0000-0000-000001430000}"/>
    <cellStyle name="Millares 6 4 3 3 2 4" xfId="35601" xr:uid="{00000000-0005-0000-0000-000002430000}"/>
    <cellStyle name="Millares 6 4 3 3 3" xfId="11854" xr:uid="{00000000-0005-0000-0000-000003430000}"/>
    <cellStyle name="Millares 6 4 3 3 3 2" xfId="25422" xr:uid="{00000000-0005-0000-0000-000004430000}"/>
    <cellStyle name="Millares 6 4 3 3 3 2 2" xfId="52555" xr:uid="{00000000-0005-0000-0000-000005430000}"/>
    <cellStyle name="Millares 6 4 3 3 3 3" xfId="38993" xr:uid="{00000000-0005-0000-0000-000006430000}"/>
    <cellStyle name="Millares 6 4 3 3 4" xfId="18641" xr:uid="{00000000-0005-0000-0000-000007430000}"/>
    <cellStyle name="Millares 6 4 3 3 4 2" xfId="45774" xr:uid="{00000000-0005-0000-0000-000008430000}"/>
    <cellStyle name="Millares 6 4 3 3 5" xfId="32212" xr:uid="{00000000-0005-0000-0000-000009430000}"/>
    <cellStyle name="Millares 6 4 3 4" xfId="8451" xr:uid="{00000000-0005-0000-0000-00000A430000}"/>
    <cellStyle name="Millares 6 4 3 4 2" xfId="15241" xr:uid="{00000000-0005-0000-0000-00000B430000}"/>
    <cellStyle name="Millares 6 4 3 4 2 2" xfId="28809" xr:uid="{00000000-0005-0000-0000-00000C430000}"/>
    <cellStyle name="Millares 6 4 3 4 2 2 2" xfId="55942" xr:uid="{00000000-0005-0000-0000-00000D430000}"/>
    <cellStyle name="Millares 6 4 3 4 2 3" xfId="42380" xr:uid="{00000000-0005-0000-0000-00000E430000}"/>
    <cellStyle name="Millares 6 4 3 4 3" xfId="22028" xr:uid="{00000000-0005-0000-0000-00000F430000}"/>
    <cellStyle name="Millares 6 4 3 4 3 2" xfId="49161" xr:uid="{00000000-0005-0000-0000-000010430000}"/>
    <cellStyle name="Millares 6 4 3 4 4" xfId="35599" xr:uid="{00000000-0005-0000-0000-000011430000}"/>
    <cellStyle name="Millares 6 4 3 5" xfId="11852" xr:uid="{00000000-0005-0000-0000-000012430000}"/>
    <cellStyle name="Millares 6 4 3 5 2" xfId="25420" xr:uid="{00000000-0005-0000-0000-000013430000}"/>
    <cellStyle name="Millares 6 4 3 5 2 2" xfId="52553" xr:uid="{00000000-0005-0000-0000-000014430000}"/>
    <cellStyle name="Millares 6 4 3 5 3" xfId="38991" xr:uid="{00000000-0005-0000-0000-000015430000}"/>
    <cellStyle name="Millares 6 4 3 6" xfId="18639" xr:uid="{00000000-0005-0000-0000-000016430000}"/>
    <cellStyle name="Millares 6 4 3 6 2" xfId="45772" xr:uid="{00000000-0005-0000-0000-000017430000}"/>
    <cellStyle name="Millares 6 4 3 7" xfId="32210" xr:uid="{00000000-0005-0000-0000-000018430000}"/>
    <cellStyle name="Millares 6 4 4" xfId="4859" xr:uid="{00000000-0005-0000-0000-000019430000}"/>
    <cellStyle name="Millares 6 4 4 2" xfId="4860" xr:uid="{00000000-0005-0000-0000-00001A430000}"/>
    <cellStyle name="Millares 6 4 4 2 2" xfId="8455" xr:uid="{00000000-0005-0000-0000-00001B430000}"/>
    <cellStyle name="Millares 6 4 4 2 2 2" xfId="15245" xr:uid="{00000000-0005-0000-0000-00001C430000}"/>
    <cellStyle name="Millares 6 4 4 2 2 2 2" xfId="28813" xr:uid="{00000000-0005-0000-0000-00001D430000}"/>
    <cellStyle name="Millares 6 4 4 2 2 2 2 2" xfId="55946" xr:uid="{00000000-0005-0000-0000-00001E430000}"/>
    <cellStyle name="Millares 6 4 4 2 2 2 3" xfId="42384" xr:uid="{00000000-0005-0000-0000-00001F430000}"/>
    <cellStyle name="Millares 6 4 4 2 2 3" xfId="22032" xr:uid="{00000000-0005-0000-0000-000020430000}"/>
    <cellStyle name="Millares 6 4 4 2 2 3 2" xfId="49165" xr:uid="{00000000-0005-0000-0000-000021430000}"/>
    <cellStyle name="Millares 6 4 4 2 2 4" xfId="35603" xr:uid="{00000000-0005-0000-0000-000022430000}"/>
    <cellStyle name="Millares 6 4 4 2 3" xfId="11856" xr:uid="{00000000-0005-0000-0000-000023430000}"/>
    <cellStyle name="Millares 6 4 4 2 3 2" xfId="25424" xr:uid="{00000000-0005-0000-0000-000024430000}"/>
    <cellStyle name="Millares 6 4 4 2 3 2 2" xfId="52557" xr:uid="{00000000-0005-0000-0000-000025430000}"/>
    <cellStyle name="Millares 6 4 4 2 3 3" xfId="38995" xr:uid="{00000000-0005-0000-0000-000026430000}"/>
    <cellStyle name="Millares 6 4 4 2 4" xfId="18643" xr:uid="{00000000-0005-0000-0000-000027430000}"/>
    <cellStyle name="Millares 6 4 4 2 4 2" xfId="45776" xr:uid="{00000000-0005-0000-0000-000028430000}"/>
    <cellStyle name="Millares 6 4 4 2 5" xfId="32214" xr:uid="{00000000-0005-0000-0000-000029430000}"/>
    <cellStyle name="Millares 6 4 4 3" xfId="8454" xr:uid="{00000000-0005-0000-0000-00002A430000}"/>
    <cellStyle name="Millares 6 4 4 3 2" xfId="15244" xr:uid="{00000000-0005-0000-0000-00002B430000}"/>
    <cellStyle name="Millares 6 4 4 3 2 2" xfId="28812" xr:uid="{00000000-0005-0000-0000-00002C430000}"/>
    <cellStyle name="Millares 6 4 4 3 2 2 2" xfId="55945" xr:uid="{00000000-0005-0000-0000-00002D430000}"/>
    <cellStyle name="Millares 6 4 4 3 2 3" xfId="42383" xr:uid="{00000000-0005-0000-0000-00002E430000}"/>
    <cellStyle name="Millares 6 4 4 3 3" xfId="22031" xr:uid="{00000000-0005-0000-0000-00002F430000}"/>
    <cellStyle name="Millares 6 4 4 3 3 2" xfId="49164" xr:uid="{00000000-0005-0000-0000-000030430000}"/>
    <cellStyle name="Millares 6 4 4 3 4" xfId="35602" xr:uid="{00000000-0005-0000-0000-000031430000}"/>
    <cellStyle name="Millares 6 4 4 4" xfId="11855" xr:uid="{00000000-0005-0000-0000-000032430000}"/>
    <cellStyle name="Millares 6 4 4 4 2" xfId="25423" xr:uid="{00000000-0005-0000-0000-000033430000}"/>
    <cellStyle name="Millares 6 4 4 4 2 2" xfId="52556" xr:uid="{00000000-0005-0000-0000-000034430000}"/>
    <cellStyle name="Millares 6 4 4 4 3" xfId="38994" xr:uid="{00000000-0005-0000-0000-000035430000}"/>
    <cellStyle name="Millares 6 4 4 5" xfId="18642" xr:uid="{00000000-0005-0000-0000-000036430000}"/>
    <cellStyle name="Millares 6 4 4 5 2" xfId="45775" xr:uid="{00000000-0005-0000-0000-000037430000}"/>
    <cellStyle name="Millares 6 4 4 6" xfId="32213" xr:uid="{00000000-0005-0000-0000-000038430000}"/>
    <cellStyle name="Millares 6 4 5" xfId="4861" xr:uid="{00000000-0005-0000-0000-000039430000}"/>
    <cellStyle name="Millares 6 4 5 2" xfId="8456" xr:uid="{00000000-0005-0000-0000-00003A430000}"/>
    <cellStyle name="Millares 6 4 5 2 2" xfId="15246" xr:uid="{00000000-0005-0000-0000-00003B430000}"/>
    <cellStyle name="Millares 6 4 5 2 2 2" xfId="28814" xr:uid="{00000000-0005-0000-0000-00003C430000}"/>
    <cellStyle name="Millares 6 4 5 2 2 2 2" xfId="55947" xr:uid="{00000000-0005-0000-0000-00003D430000}"/>
    <cellStyle name="Millares 6 4 5 2 2 3" xfId="42385" xr:uid="{00000000-0005-0000-0000-00003E430000}"/>
    <cellStyle name="Millares 6 4 5 2 3" xfId="22033" xr:uid="{00000000-0005-0000-0000-00003F430000}"/>
    <cellStyle name="Millares 6 4 5 2 3 2" xfId="49166" xr:uid="{00000000-0005-0000-0000-000040430000}"/>
    <cellStyle name="Millares 6 4 5 2 4" xfId="35604" xr:uid="{00000000-0005-0000-0000-000041430000}"/>
    <cellStyle name="Millares 6 4 5 3" xfId="11857" xr:uid="{00000000-0005-0000-0000-000042430000}"/>
    <cellStyle name="Millares 6 4 5 3 2" xfId="25425" xr:uid="{00000000-0005-0000-0000-000043430000}"/>
    <cellStyle name="Millares 6 4 5 3 2 2" xfId="52558" xr:uid="{00000000-0005-0000-0000-000044430000}"/>
    <cellStyle name="Millares 6 4 5 3 3" xfId="38996" xr:uid="{00000000-0005-0000-0000-000045430000}"/>
    <cellStyle name="Millares 6 4 5 4" xfId="18644" xr:uid="{00000000-0005-0000-0000-000046430000}"/>
    <cellStyle name="Millares 6 4 5 4 2" xfId="45777" xr:uid="{00000000-0005-0000-0000-000047430000}"/>
    <cellStyle name="Millares 6 4 5 5" xfId="32215" xr:uid="{00000000-0005-0000-0000-000048430000}"/>
    <cellStyle name="Millares 6 4 6" xfId="4862" xr:uid="{00000000-0005-0000-0000-000049430000}"/>
    <cellStyle name="Millares 6 4 6 2" xfId="8457" xr:uid="{00000000-0005-0000-0000-00004A430000}"/>
    <cellStyle name="Millares 6 4 6 2 2" xfId="15247" xr:uid="{00000000-0005-0000-0000-00004B430000}"/>
    <cellStyle name="Millares 6 4 6 2 2 2" xfId="28815" xr:uid="{00000000-0005-0000-0000-00004C430000}"/>
    <cellStyle name="Millares 6 4 6 2 2 2 2" xfId="55948" xr:uid="{00000000-0005-0000-0000-00004D430000}"/>
    <cellStyle name="Millares 6 4 6 2 2 3" xfId="42386" xr:uid="{00000000-0005-0000-0000-00004E430000}"/>
    <cellStyle name="Millares 6 4 6 2 3" xfId="22034" xr:uid="{00000000-0005-0000-0000-00004F430000}"/>
    <cellStyle name="Millares 6 4 6 2 3 2" xfId="49167" xr:uid="{00000000-0005-0000-0000-000050430000}"/>
    <cellStyle name="Millares 6 4 6 2 4" xfId="35605" xr:uid="{00000000-0005-0000-0000-000051430000}"/>
    <cellStyle name="Millares 6 4 6 3" xfId="11858" xr:uid="{00000000-0005-0000-0000-000052430000}"/>
    <cellStyle name="Millares 6 4 6 3 2" xfId="25426" xr:uid="{00000000-0005-0000-0000-000053430000}"/>
    <cellStyle name="Millares 6 4 6 3 2 2" xfId="52559" xr:uid="{00000000-0005-0000-0000-000054430000}"/>
    <cellStyle name="Millares 6 4 6 3 3" xfId="38997" xr:uid="{00000000-0005-0000-0000-000055430000}"/>
    <cellStyle name="Millares 6 4 6 4" xfId="18645" xr:uid="{00000000-0005-0000-0000-000056430000}"/>
    <cellStyle name="Millares 6 4 6 4 2" xfId="45778" xr:uid="{00000000-0005-0000-0000-000057430000}"/>
    <cellStyle name="Millares 6 4 6 5" xfId="32216" xr:uid="{00000000-0005-0000-0000-000058430000}"/>
    <cellStyle name="Millares 6 4 7" xfId="8442" xr:uid="{00000000-0005-0000-0000-000059430000}"/>
    <cellStyle name="Millares 6 4 7 2" xfId="15232" xr:uid="{00000000-0005-0000-0000-00005A430000}"/>
    <cellStyle name="Millares 6 4 7 2 2" xfId="28800" xr:uid="{00000000-0005-0000-0000-00005B430000}"/>
    <cellStyle name="Millares 6 4 7 2 2 2" xfId="55933" xr:uid="{00000000-0005-0000-0000-00005C430000}"/>
    <cellStyle name="Millares 6 4 7 2 3" xfId="42371" xr:uid="{00000000-0005-0000-0000-00005D430000}"/>
    <cellStyle name="Millares 6 4 7 3" xfId="22019" xr:uid="{00000000-0005-0000-0000-00005E430000}"/>
    <cellStyle name="Millares 6 4 7 3 2" xfId="49152" xr:uid="{00000000-0005-0000-0000-00005F430000}"/>
    <cellStyle name="Millares 6 4 7 4" xfId="35590" xr:uid="{00000000-0005-0000-0000-000060430000}"/>
    <cellStyle name="Millares 6 4 8" xfId="11843" xr:uid="{00000000-0005-0000-0000-000061430000}"/>
    <cellStyle name="Millares 6 4 8 2" xfId="25411" xr:uid="{00000000-0005-0000-0000-000062430000}"/>
    <cellStyle name="Millares 6 4 8 2 2" xfId="52544" xr:uid="{00000000-0005-0000-0000-000063430000}"/>
    <cellStyle name="Millares 6 4 8 3" xfId="38982" xr:uid="{00000000-0005-0000-0000-000064430000}"/>
    <cellStyle name="Millares 6 4 9" xfId="18630" xr:uid="{00000000-0005-0000-0000-000065430000}"/>
    <cellStyle name="Millares 6 4 9 2" xfId="45763" xr:uid="{00000000-0005-0000-0000-000066430000}"/>
    <cellStyle name="Millares 6 5" xfId="4863" xr:uid="{00000000-0005-0000-0000-000067430000}"/>
    <cellStyle name="Millares 6 5 2" xfId="4864" xr:uid="{00000000-0005-0000-0000-000068430000}"/>
    <cellStyle name="Millares 6 5 2 2" xfId="4865" xr:uid="{00000000-0005-0000-0000-000069430000}"/>
    <cellStyle name="Millares 6 5 2 2 2" xfId="8460" xr:uid="{00000000-0005-0000-0000-00006A430000}"/>
    <cellStyle name="Millares 6 5 2 2 2 2" xfId="15250" xr:uid="{00000000-0005-0000-0000-00006B430000}"/>
    <cellStyle name="Millares 6 5 2 2 2 2 2" xfId="28818" xr:uid="{00000000-0005-0000-0000-00006C430000}"/>
    <cellStyle name="Millares 6 5 2 2 2 2 2 2" xfId="55951" xr:uid="{00000000-0005-0000-0000-00006D430000}"/>
    <cellStyle name="Millares 6 5 2 2 2 2 3" xfId="42389" xr:uid="{00000000-0005-0000-0000-00006E430000}"/>
    <cellStyle name="Millares 6 5 2 2 2 3" xfId="22037" xr:uid="{00000000-0005-0000-0000-00006F430000}"/>
    <cellStyle name="Millares 6 5 2 2 2 3 2" xfId="49170" xr:uid="{00000000-0005-0000-0000-000070430000}"/>
    <cellStyle name="Millares 6 5 2 2 2 4" xfId="35608" xr:uid="{00000000-0005-0000-0000-000071430000}"/>
    <cellStyle name="Millares 6 5 2 2 3" xfId="11861" xr:uid="{00000000-0005-0000-0000-000072430000}"/>
    <cellStyle name="Millares 6 5 2 2 3 2" xfId="25429" xr:uid="{00000000-0005-0000-0000-000073430000}"/>
    <cellStyle name="Millares 6 5 2 2 3 2 2" xfId="52562" xr:uid="{00000000-0005-0000-0000-000074430000}"/>
    <cellStyle name="Millares 6 5 2 2 3 3" xfId="39000" xr:uid="{00000000-0005-0000-0000-000075430000}"/>
    <cellStyle name="Millares 6 5 2 2 4" xfId="18648" xr:uid="{00000000-0005-0000-0000-000076430000}"/>
    <cellStyle name="Millares 6 5 2 2 4 2" xfId="45781" xr:uid="{00000000-0005-0000-0000-000077430000}"/>
    <cellStyle name="Millares 6 5 2 2 5" xfId="32219" xr:uid="{00000000-0005-0000-0000-000078430000}"/>
    <cellStyle name="Millares 6 5 2 3" xfId="4866" xr:uid="{00000000-0005-0000-0000-000079430000}"/>
    <cellStyle name="Millares 6 5 2 3 2" xfId="8461" xr:uid="{00000000-0005-0000-0000-00007A430000}"/>
    <cellStyle name="Millares 6 5 2 3 2 2" xfId="15251" xr:uid="{00000000-0005-0000-0000-00007B430000}"/>
    <cellStyle name="Millares 6 5 2 3 2 2 2" xfId="28819" xr:uid="{00000000-0005-0000-0000-00007C430000}"/>
    <cellStyle name="Millares 6 5 2 3 2 2 2 2" xfId="55952" xr:uid="{00000000-0005-0000-0000-00007D430000}"/>
    <cellStyle name="Millares 6 5 2 3 2 2 3" xfId="42390" xr:uid="{00000000-0005-0000-0000-00007E430000}"/>
    <cellStyle name="Millares 6 5 2 3 2 3" xfId="22038" xr:uid="{00000000-0005-0000-0000-00007F430000}"/>
    <cellStyle name="Millares 6 5 2 3 2 3 2" xfId="49171" xr:uid="{00000000-0005-0000-0000-000080430000}"/>
    <cellStyle name="Millares 6 5 2 3 2 4" xfId="35609" xr:uid="{00000000-0005-0000-0000-000081430000}"/>
    <cellStyle name="Millares 6 5 2 3 3" xfId="11862" xr:uid="{00000000-0005-0000-0000-000082430000}"/>
    <cellStyle name="Millares 6 5 2 3 3 2" xfId="25430" xr:uid="{00000000-0005-0000-0000-000083430000}"/>
    <cellStyle name="Millares 6 5 2 3 3 2 2" xfId="52563" xr:uid="{00000000-0005-0000-0000-000084430000}"/>
    <cellStyle name="Millares 6 5 2 3 3 3" xfId="39001" xr:uid="{00000000-0005-0000-0000-000085430000}"/>
    <cellStyle name="Millares 6 5 2 3 4" xfId="18649" xr:uid="{00000000-0005-0000-0000-000086430000}"/>
    <cellStyle name="Millares 6 5 2 3 4 2" xfId="45782" xr:uid="{00000000-0005-0000-0000-000087430000}"/>
    <cellStyle name="Millares 6 5 2 3 5" xfId="32220" xr:uid="{00000000-0005-0000-0000-000088430000}"/>
    <cellStyle name="Millares 6 5 2 4" xfId="8459" xr:uid="{00000000-0005-0000-0000-000089430000}"/>
    <cellStyle name="Millares 6 5 2 4 2" xfId="15249" xr:uid="{00000000-0005-0000-0000-00008A430000}"/>
    <cellStyle name="Millares 6 5 2 4 2 2" xfId="28817" xr:uid="{00000000-0005-0000-0000-00008B430000}"/>
    <cellStyle name="Millares 6 5 2 4 2 2 2" xfId="55950" xr:uid="{00000000-0005-0000-0000-00008C430000}"/>
    <cellStyle name="Millares 6 5 2 4 2 3" xfId="42388" xr:uid="{00000000-0005-0000-0000-00008D430000}"/>
    <cellStyle name="Millares 6 5 2 4 3" xfId="22036" xr:uid="{00000000-0005-0000-0000-00008E430000}"/>
    <cellStyle name="Millares 6 5 2 4 3 2" xfId="49169" xr:uid="{00000000-0005-0000-0000-00008F430000}"/>
    <cellStyle name="Millares 6 5 2 4 4" xfId="35607" xr:uid="{00000000-0005-0000-0000-000090430000}"/>
    <cellStyle name="Millares 6 5 2 5" xfId="11860" xr:uid="{00000000-0005-0000-0000-000091430000}"/>
    <cellStyle name="Millares 6 5 2 5 2" xfId="25428" xr:uid="{00000000-0005-0000-0000-000092430000}"/>
    <cellStyle name="Millares 6 5 2 5 2 2" xfId="52561" xr:uid="{00000000-0005-0000-0000-000093430000}"/>
    <cellStyle name="Millares 6 5 2 5 3" xfId="38999" xr:uid="{00000000-0005-0000-0000-000094430000}"/>
    <cellStyle name="Millares 6 5 2 6" xfId="18647" xr:uid="{00000000-0005-0000-0000-000095430000}"/>
    <cellStyle name="Millares 6 5 2 6 2" xfId="45780" xr:uid="{00000000-0005-0000-0000-000096430000}"/>
    <cellStyle name="Millares 6 5 2 7" xfId="32218" xr:uid="{00000000-0005-0000-0000-000097430000}"/>
    <cellStyle name="Millares 6 5 3" xfId="4867" xr:uid="{00000000-0005-0000-0000-000098430000}"/>
    <cellStyle name="Millares 6 5 3 2" xfId="4868" xr:uid="{00000000-0005-0000-0000-000099430000}"/>
    <cellStyle name="Millares 6 5 3 2 2" xfId="8463" xr:uid="{00000000-0005-0000-0000-00009A430000}"/>
    <cellStyle name="Millares 6 5 3 2 2 2" xfId="15253" xr:uid="{00000000-0005-0000-0000-00009B430000}"/>
    <cellStyle name="Millares 6 5 3 2 2 2 2" xfId="28821" xr:uid="{00000000-0005-0000-0000-00009C430000}"/>
    <cellStyle name="Millares 6 5 3 2 2 2 2 2" xfId="55954" xr:uid="{00000000-0005-0000-0000-00009D430000}"/>
    <cellStyle name="Millares 6 5 3 2 2 2 3" xfId="42392" xr:uid="{00000000-0005-0000-0000-00009E430000}"/>
    <cellStyle name="Millares 6 5 3 2 2 3" xfId="22040" xr:uid="{00000000-0005-0000-0000-00009F430000}"/>
    <cellStyle name="Millares 6 5 3 2 2 3 2" xfId="49173" xr:uid="{00000000-0005-0000-0000-0000A0430000}"/>
    <cellStyle name="Millares 6 5 3 2 2 4" xfId="35611" xr:uid="{00000000-0005-0000-0000-0000A1430000}"/>
    <cellStyle name="Millares 6 5 3 2 3" xfId="11864" xr:uid="{00000000-0005-0000-0000-0000A2430000}"/>
    <cellStyle name="Millares 6 5 3 2 3 2" xfId="25432" xr:uid="{00000000-0005-0000-0000-0000A3430000}"/>
    <cellStyle name="Millares 6 5 3 2 3 2 2" xfId="52565" xr:uid="{00000000-0005-0000-0000-0000A4430000}"/>
    <cellStyle name="Millares 6 5 3 2 3 3" xfId="39003" xr:uid="{00000000-0005-0000-0000-0000A5430000}"/>
    <cellStyle name="Millares 6 5 3 2 4" xfId="18651" xr:uid="{00000000-0005-0000-0000-0000A6430000}"/>
    <cellStyle name="Millares 6 5 3 2 4 2" xfId="45784" xr:uid="{00000000-0005-0000-0000-0000A7430000}"/>
    <cellStyle name="Millares 6 5 3 2 5" xfId="32222" xr:uid="{00000000-0005-0000-0000-0000A8430000}"/>
    <cellStyle name="Millares 6 5 3 3" xfId="8462" xr:uid="{00000000-0005-0000-0000-0000A9430000}"/>
    <cellStyle name="Millares 6 5 3 3 2" xfId="15252" xr:uid="{00000000-0005-0000-0000-0000AA430000}"/>
    <cellStyle name="Millares 6 5 3 3 2 2" xfId="28820" xr:uid="{00000000-0005-0000-0000-0000AB430000}"/>
    <cellStyle name="Millares 6 5 3 3 2 2 2" xfId="55953" xr:uid="{00000000-0005-0000-0000-0000AC430000}"/>
    <cellStyle name="Millares 6 5 3 3 2 3" xfId="42391" xr:uid="{00000000-0005-0000-0000-0000AD430000}"/>
    <cellStyle name="Millares 6 5 3 3 3" xfId="22039" xr:uid="{00000000-0005-0000-0000-0000AE430000}"/>
    <cellStyle name="Millares 6 5 3 3 3 2" xfId="49172" xr:uid="{00000000-0005-0000-0000-0000AF430000}"/>
    <cellStyle name="Millares 6 5 3 3 4" xfId="35610" xr:uid="{00000000-0005-0000-0000-0000B0430000}"/>
    <cellStyle name="Millares 6 5 3 4" xfId="11863" xr:uid="{00000000-0005-0000-0000-0000B1430000}"/>
    <cellStyle name="Millares 6 5 3 4 2" xfId="25431" xr:uid="{00000000-0005-0000-0000-0000B2430000}"/>
    <cellStyle name="Millares 6 5 3 4 2 2" xfId="52564" xr:uid="{00000000-0005-0000-0000-0000B3430000}"/>
    <cellStyle name="Millares 6 5 3 4 3" xfId="39002" xr:uid="{00000000-0005-0000-0000-0000B4430000}"/>
    <cellStyle name="Millares 6 5 3 5" xfId="18650" xr:uid="{00000000-0005-0000-0000-0000B5430000}"/>
    <cellStyle name="Millares 6 5 3 5 2" xfId="45783" xr:uid="{00000000-0005-0000-0000-0000B6430000}"/>
    <cellStyle name="Millares 6 5 3 6" xfId="32221" xr:uid="{00000000-0005-0000-0000-0000B7430000}"/>
    <cellStyle name="Millares 6 5 4" xfId="4869" xr:uid="{00000000-0005-0000-0000-0000B8430000}"/>
    <cellStyle name="Millares 6 5 4 2" xfId="8464" xr:uid="{00000000-0005-0000-0000-0000B9430000}"/>
    <cellStyle name="Millares 6 5 4 2 2" xfId="15254" xr:uid="{00000000-0005-0000-0000-0000BA430000}"/>
    <cellStyle name="Millares 6 5 4 2 2 2" xfId="28822" xr:uid="{00000000-0005-0000-0000-0000BB430000}"/>
    <cellStyle name="Millares 6 5 4 2 2 2 2" xfId="55955" xr:uid="{00000000-0005-0000-0000-0000BC430000}"/>
    <cellStyle name="Millares 6 5 4 2 2 3" xfId="42393" xr:uid="{00000000-0005-0000-0000-0000BD430000}"/>
    <cellStyle name="Millares 6 5 4 2 3" xfId="22041" xr:uid="{00000000-0005-0000-0000-0000BE430000}"/>
    <cellStyle name="Millares 6 5 4 2 3 2" xfId="49174" xr:uid="{00000000-0005-0000-0000-0000BF430000}"/>
    <cellStyle name="Millares 6 5 4 2 4" xfId="35612" xr:uid="{00000000-0005-0000-0000-0000C0430000}"/>
    <cellStyle name="Millares 6 5 4 3" xfId="11865" xr:uid="{00000000-0005-0000-0000-0000C1430000}"/>
    <cellStyle name="Millares 6 5 4 3 2" xfId="25433" xr:uid="{00000000-0005-0000-0000-0000C2430000}"/>
    <cellStyle name="Millares 6 5 4 3 2 2" xfId="52566" xr:uid="{00000000-0005-0000-0000-0000C3430000}"/>
    <cellStyle name="Millares 6 5 4 3 3" xfId="39004" xr:uid="{00000000-0005-0000-0000-0000C4430000}"/>
    <cellStyle name="Millares 6 5 4 4" xfId="18652" xr:uid="{00000000-0005-0000-0000-0000C5430000}"/>
    <cellStyle name="Millares 6 5 4 4 2" xfId="45785" xr:uid="{00000000-0005-0000-0000-0000C6430000}"/>
    <cellStyle name="Millares 6 5 4 5" xfId="32223" xr:uid="{00000000-0005-0000-0000-0000C7430000}"/>
    <cellStyle name="Millares 6 5 5" xfId="4870" xr:uid="{00000000-0005-0000-0000-0000C8430000}"/>
    <cellStyle name="Millares 6 5 5 2" xfId="8465" xr:uid="{00000000-0005-0000-0000-0000C9430000}"/>
    <cellStyle name="Millares 6 5 5 2 2" xfId="15255" xr:uid="{00000000-0005-0000-0000-0000CA430000}"/>
    <cellStyle name="Millares 6 5 5 2 2 2" xfId="28823" xr:uid="{00000000-0005-0000-0000-0000CB430000}"/>
    <cellStyle name="Millares 6 5 5 2 2 2 2" xfId="55956" xr:uid="{00000000-0005-0000-0000-0000CC430000}"/>
    <cellStyle name="Millares 6 5 5 2 2 3" xfId="42394" xr:uid="{00000000-0005-0000-0000-0000CD430000}"/>
    <cellStyle name="Millares 6 5 5 2 3" xfId="22042" xr:uid="{00000000-0005-0000-0000-0000CE430000}"/>
    <cellStyle name="Millares 6 5 5 2 3 2" xfId="49175" xr:uid="{00000000-0005-0000-0000-0000CF430000}"/>
    <cellStyle name="Millares 6 5 5 2 4" xfId="35613" xr:uid="{00000000-0005-0000-0000-0000D0430000}"/>
    <cellStyle name="Millares 6 5 5 3" xfId="11866" xr:uid="{00000000-0005-0000-0000-0000D1430000}"/>
    <cellStyle name="Millares 6 5 5 3 2" xfId="25434" xr:uid="{00000000-0005-0000-0000-0000D2430000}"/>
    <cellStyle name="Millares 6 5 5 3 2 2" xfId="52567" xr:uid="{00000000-0005-0000-0000-0000D3430000}"/>
    <cellStyle name="Millares 6 5 5 3 3" xfId="39005" xr:uid="{00000000-0005-0000-0000-0000D4430000}"/>
    <cellStyle name="Millares 6 5 5 4" xfId="18653" xr:uid="{00000000-0005-0000-0000-0000D5430000}"/>
    <cellStyle name="Millares 6 5 5 4 2" xfId="45786" xr:uid="{00000000-0005-0000-0000-0000D6430000}"/>
    <cellStyle name="Millares 6 5 5 5" xfId="32224" xr:uid="{00000000-0005-0000-0000-0000D7430000}"/>
    <cellStyle name="Millares 6 5 6" xfId="8458" xr:uid="{00000000-0005-0000-0000-0000D8430000}"/>
    <cellStyle name="Millares 6 5 6 2" xfId="15248" xr:uid="{00000000-0005-0000-0000-0000D9430000}"/>
    <cellStyle name="Millares 6 5 6 2 2" xfId="28816" xr:uid="{00000000-0005-0000-0000-0000DA430000}"/>
    <cellStyle name="Millares 6 5 6 2 2 2" xfId="55949" xr:uid="{00000000-0005-0000-0000-0000DB430000}"/>
    <cellStyle name="Millares 6 5 6 2 3" xfId="42387" xr:uid="{00000000-0005-0000-0000-0000DC430000}"/>
    <cellStyle name="Millares 6 5 6 3" xfId="22035" xr:uid="{00000000-0005-0000-0000-0000DD430000}"/>
    <cellStyle name="Millares 6 5 6 3 2" xfId="49168" xr:uid="{00000000-0005-0000-0000-0000DE430000}"/>
    <cellStyle name="Millares 6 5 6 4" xfId="35606" xr:uid="{00000000-0005-0000-0000-0000DF430000}"/>
    <cellStyle name="Millares 6 5 7" xfId="11859" xr:uid="{00000000-0005-0000-0000-0000E0430000}"/>
    <cellStyle name="Millares 6 5 7 2" xfId="25427" xr:uid="{00000000-0005-0000-0000-0000E1430000}"/>
    <cellStyle name="Millares 6 5 7 2 2" xfId="52560" xr:uid="{00000000-0005-0000-0000-0000E2430000}"/>
    <cellStyle name="Millares 6 5 7 3" xfId="38998" xr:uid="{00000000-0005-0000-0000-0000E3430000}"/>
    <cellStyle name="Millares 6 5 8" xfId="18646" xr:uid="{00000000-0005-0000-0000-0000E4430000}"/>
    <cellStyle name="Millares 6 5 8 2" xfId="45779" xr:uid="{00000000-0005-0000-0000-0000E5430000}"/>
    <cellStyle name="Millares 6 5 9" xfId="32217" xr:uid="{00000000-0005-0000-0000-0000E6430000}"/>
    <cellStyle name="Millares 6 6" xfId="4871" xr:uid="{00000000-0005-0000-0000-0000E7430000}"/>
    <cellStyle name="Millares 6 6 2" xfId="4872" xr:uid="{00000000-0005-0000-0000-0000E8430000}"/>
    <cellStyle name="Millares 6 6 2 2" xfId="4873" xr:uid="{00000000-0005-0000-0000-0000E9430000}"/>
    <cellStyle name="Millares 6 6 2 2 2" xfId="8468" xr:uid="{00000000-0005-0000-0000-0000EA430000}"/>
    <cellStyle name="Millares 6 6 2 2 2 2" xfId="15258" xr:uid="{00000000-0005-0000-0000-0000EB430000}"/>
    <cellStyle name="Millares 6 6 2 2 2 2 2" xfId="28826" xr:uid="{00000000-0005-0000-0000-0000EC430000}"/>
    <cellStyle name="Millares 6 6 2 2 2 2 2 2" xfId="55959" xr:uid="{00000000-0005-0000-0000-0000ED430000}"/>
    <cellStyle name="Millares 6 6 2 2 2 2 3" xfId="42397" xr:uid="{00000000-0005-0000-0000-0000EE430000}"/>
    <cellStyle name="Millares 6 6 2 2 2 3" xfId="22045" xr:uid="{00000000-0005-0000-0000-0000EF430000}"/>
    <cellStyle name="Millares 6 6 2 2 2 3 2" xfId="49178" xr:uid="{00000000-0005-0000-0000-0000F0430000}"/>
    <cellStyle name="Millares 6 6 2 2 2 4" xfId="35616" xr:uid="{00000000-0005-0000-0000-0000F1430000}"/>
    <cellStyle name="Millares 6 6 2 2 3" xfId="11869" xr:uid="{00000000-0005-0000-0000-0000F2430000}"/>
    <cellStyle name="Millares 6 6 2 2 3 2" xfId="25437" xr:uid="{00000000-0005-0000-0000-0000F3430000}"/>
    <cellStyle name="Millares 6 6 2 2 3 2 2" xfId="52570" xr:uid="{00000000-0005-0000-0000-0000F4430000}"/>
    <cellStyle name="Millares 6 6 2 2 3 3" xfId="39008" xr:uid="{00000000-0005-0000-0000-0000F5430000}"/>
    <cellStyle name="Millares 6 6 2 2 4" xfId="18656" xr:uid="{00000000-0005-0000-0000-0000F6430000}"/>
    <cellStyle name="Millares 6 6 2 2 4 2" xfId="45789" xr:uid="{00000000-0005-0000-0000-0000F7430000}"/>
    <cellStyle name="Millares 6 6 2 2 5" xfId="32227" xr:uid="{00000000-0005-0000-0000-0000F8430000}"/>
    <cellStyle name="Millares 6 6 2 3" xfId="4874" xr:uid="{00000000-0005-0000-0000-0000F9430000}"/>
    <cellStyle name="Millares 6 6 2 3 2" xfId="8469" xr:uid="{00000000-0005-0000-0000-0000FA430000}"/>
    <cellStyle name="Millares 6 6 2 3 2 2" xfId="15259" xr:uid="{00000000-0005-0000-0000-0000FB430000}"/>
    <cellStyle name="Millares 6 6 2 3 2 2 2" xfId="28827" xr:uid="{00000000-0005-0000-0000-0000FC430000}"/>
    <cellStyle name="Millares 6 6 2 3 2 2 2 2" xfId="55960" xr:uid="{00000000-0005-0000-0000-0000FD430000}"/>
    <cellStyle name="Millares 6 6 2 3 2 2 3" xfId="42398" xr:uid="{00000000-0005-0000-0000-0000FE430000}"/>
    <cellStyle name="Millares 6 6 2 3 2 3" xfId="22046" xr:uid="{00000000-0005-0000-0000-0000FF430000}"/>
    <cellStyle name="Millares 6 6 2 3 2 3 2" xfId="49179" xr:uid="{00000000-0005-0000-0000-000000440000}"/>
    <cellStyle name="Millares 6 6 2 3 2 4" xfId="35617" xr:uid="{00000000-0005-0000-0000-000001440000}"/>
    <cellStyle name="Millares 6 6 2 3 3" xfId="11870" xr:uid="{00000000-0005-0000-0000-000002440000}"/>
    <cellStyle name="Millares 6 6 2 3 3 2" xfId="25438" xr:uid="{00000000-0005-0000-0000-000003440000}"/>
    <cellStyle name="Millares 6 6 2 3 3 2 2" xfId="52571" xr:uid="{00000000-0005-0000-0000-000004440000}"/>
    <cellStyle name="Millares 6 6 2 3 3 3" xfId="39009" xr:uid="{00000000-0005-0000-0000-000005440000}"/>
    <cellStyle name="Millares 6 6 2 3 4" xfId="18657" xr:uid="{00000000-0005-0000-0000-000006440000}"/>
    <cellStyle name="Millares 6 6 2 3 4 2" xfId="45790" xr:uid="{00000000-0005-0000-0000-000007440000}"/>
    <cellStyle name="Millares 6 6 2 3 5" xfId="32228" xr:uid="{00000000-0005-0000-0000-000008440000}"/>
    <cellStyle name="Millares 6 6 2 4" xfId="8467" xr:uid="{00000000-0005-0000-0000-000009440000}"/>
    <cellStyle name="Millares 6 6 2 4 2" xfId="15257" xr:uid="{00000000-0005-0000-0000-00000A440000}"/>
    <cellStyle name="Millares 6 6 2 4 2 2" xfId="28825" xr:uid="{00000000-0005-0000-0000-00000B440000}"/>
    <cellStyle name="Millares 6 6 2 4 2 2 2" xfId="55958" xr:uid="{00000000-0005-0000-0000-00000C440000}"/>
    <cellStyle name="Millares 6 6 2 4 2 3" xfId="42396" xr:uid="{00000000-0005-0000-0000-00000D440000}"/>
    <cellStyle name="Millares 6 6 2 4 3" xfId="22044" xr:uid="{00000000-0005-0000-0000-00000E440000}"/>
    <cellStyle name="Millares 6 6 2 4 3 2" xfId="49177" xr:uid="{00000000-0005-0000-0000-00000F440000}"/>
    <cellStyle name="Millares 6 6 2 4 4" xfId="35615" xr:uid="{00000000-0005-0000-0000-000010440000}"/>
    <cellStyle name="Millares 6 6 2 5" xfId="11868" xr:uid="{00000000-0005-0000-0000-000011440000}"/>
    <cellStyle name="Millares 6 6 2 5 2" xfId="25436" xr:uid="{00000000-0005-0000-0000-000012440000}"/>
    <cellStyle name="Millares 6 6 2 5 2 2" xfId="52569" xr:uid="{00000000-0005-0000-0000-000013440000}"/>
    <cellStyle name="Millares 6 6 2 5 3" xfId="39007" xr:uid="{00000000-0005-0000-0000-000014440000}"/>
    <cellStyle name="Millares 6 6 2 6" xfId="18655" xr:uid="{00000000-0005-0000-0000-000015440000}"/>
    <cellStyle name="Millares 6 6 2 6 2" xfId="45788" xr:uid="{00000000-0005-0000-0000-000016440000}"/>
    <cellStyle name="Millares 6 6 2 7" xfId="32226" xr:uid="{00000000-0005-0000-0000-000017440000}"/>
    <cellStyle name="Millares 6 6 3" xfId="4875" xr:uid="{00000000-0005-0000-0000-000018440000}"/>
    <cellStyle name="Millares 6 6 3 2" xfId="8470" xr:uid="{00000000-0005-0000-0000-000019440000}"/>
    <cellStyle name="Millares 6 6 3 2 2" xfId="15260" xr:uid="{00000000-0005-0000-0000-00001A440000}"/>
    <cellStyle name="Millares 6 6 3 2 2 2" xfId="28828" xr:uid="{00000000-0005-0000-0000-00001B440000}"/>
    <cellStyle name="Millares 6 6 3 2 2 2 2" xfId="55961" xr:uid="{00000000-0005-0000-0000-00001C440000}"/>
    <cellStyle name="Millares 6 6 3 2 2 3" xfId="42399" xr:uid="{00000000-0005-0000-0000-00001D440000}"/>
    <cellStyle name="Millares 6 6 3 2 3" xfId="22047" xr:uid="{00000000-0005-0000-0000-00001E440000}"/>
    <cellStyle name="Millares 6 6 3 2 3 2" xfId="49180" xr:uid="{00000000-0005-0000-0000-00001F440000}"/>
    <cellStyle name="Millares 6 6 3 2 4" xfId="35618" xr:uid="{00000000-0005-0000-0000-000020440000}"/>
    <cellStyle name="Millares 6 6 3 3" xfId="11871" xr:uid="{00000000-0005-0000-0000-000021440000}"/>
    <cellStyle name="Millares 6 6 3 3 2" xfId="25439" xr:uid="{00000000-0005-0000-0000-000022440000}"/>
    <cellStyle name="Millares 6 6 3 3 2 2" xfId="52572" xr:uid="{00000000-0005-0000-0000-000023440000}"/>
    <cellStyle name="Millares 6 6 3 3 3" xfId="39010" xr:uid="{00000000-0005-0000-0000-000024440000}"/>
    <cellStyle name="Millares 6 6 3 4" xfId="18658" xr:uid="{00000000-0005-0000-0000-000025440000}"/>
    <cellStyle name="Millares 6 6 3 4 2" xfId="45791" xr:uid="{00000000-0005-0000-0000-000026440000}"/>
    <cellStyle name="Millares 6 6 3 5" xfId="32229" xr:uid="{00000000-0005-0000-0000-000027440000}"/>
    <cellStyle name="Millares 6 6 4" xfId="4876" xr:uid="{00000000-0005-0000-0000-000028440000}"/>
    <cellStyle name="Millares 6 6 4 2" xfId="8471" xr:uid="{00000000-0005-0000-0000-000029440000}"/>
    <cellStyle name="Millares 6 6 4 2 2" xfId="15261" xr:uid="{00000000-0005-0000-0000-00002A440000}"/>
    <cellStyle name="Millares 6 6 4 2 2 2" xfId="28829" xr:uid="{00000000-0005-0000-0000-00002B440000}"/>
    <cellStyle name="Millares 6 6 4 2 2 2 2" xfId="55962" xr:uid="{00000000-0005-0000-0000-00002C440000}"/>
    <cellStyle name="Millares 6 6 4 2 2 3" xfId="42400" xr:uid="{00000000-0005-0000-0000-00002D440000}"/>
    <cellStyle name="Millares 6 6 4 2 3" xfId="22048" xr:uid="{00000000-0005-0000-0000-00002E440000}"/>
    <cellStyle name="Millares 6 6 4 2 3 2" xfId="49181" xr:uid="{00000000-0005-0000-0000-00002F440000}"/>
    <cellStyle name="Millares 6 6 4 2 4" xfId="35619" xr:uid="{00000000-0005-0000-0000-000030440000}"/>
    <cellStyle name="Millares 6 6 4 3" xfId="11872" xr:uid="{00000000-0005-0000-0000-000031440000}"/>
    <cellStyle name="Millares 6 6 4 3 2" xfId="25440" xr:uid="{00000000-0005-0000-0000-000032440000}"/>
    <cellStyle name="Millares 6 6 4 3 2 2" xfId="52573" xr:uid="{00000000-0005-0000-0000-000033440000}"/>
    <cellStyle name="Millares 6 6 4 3 3" xfId="39011" xr:uid="{00000000-0005-0000-0000-000034440000}"/>
    <cellStyle name="Millares 6 6 4 4" xfId="18659" xr:uid="{00000000-0005-0000-0000-000035440000}"/>
    <cellStyle name="Millares 6 6 4 4 2" xfId="45792" xr:uid="{00000000-0005-0000-0000-000036440000}"/>
    <cellStyle name="Millares 6 6 4 5" xfId="32230" xr:uid="{00000000-0005-0000-0000-000037440000}"/>
    <cellStyle name="Millares 6 6 5" xfId="8466" xr:uid="{00000000-0005-0000-0000-000038440000}"/>
    <cellStyle name="Millares 6 6 5 2" xfId="15256" xr:uid="{00000000-0005-0000-0000-000039440000}"/>
    <cellStyle name="Millares 6 6 5 2 2" xfId="28824" xr:uid="{00000000-0005-0000-0000-00003A440000}"/>
    <cellStyle name="Millares 6 6 5 2 2 2" xfId="55957" xr:uid="{00000000-0005-0000-0000-00003B440000}"/>
    <cellStyle name="Millares 6 6 5 2 3" xfId="42395" xr:uid="{00000000-0005-0000-0000-00003C440000}"/>
    <cellStyle name="Millares 6 6 5 3" xfId="22043" xr:uid="{00000000-0005-0000-0000-00003D440000}"/>
    <cellStyle name="Millares 6 6 5 3 2" xfId="49176" xr:uid="{00000000-0005-0000-0000-00003E440000}"/>
    <cellStyle name="Millares 6 6 5 4" xfId="35614" xr:uid="{00000000-0005-0000-0000-00003F440000}"/>
    <cellStyle name="Millares 6 6 6" xfId="11867" xr:uid="{00000000-0005-0000-0000-000040440000}"/>
    <cellStyle name="Millares 6 6 6 2" xfId="25435" xr:uid="{00000000-0005-0000-0000-000041440000}"/>
    <cellStyle name="Millares 6 6 6 2 2" xfId="52568" xr:uid="{00000000-0005-0000-0000-000042440000}"/>
    <cellStyle name="Millares 6 6 6 3" xfId="39006" xr:uid="{00000000-0005-0000-0000-000043440000}"/>
    <cellStyle name="Millares 6 6 7" xfId="18654" xr:uid="{00000000-0005-0000-0000-000044440000}"/>
    <cellStyle name="Millares 6 6 7 2" xfId="45787" xr:uid="{00000000-0005-0000-0000-000045440000}"/>
    <cellStyle name="Millares 6 6 8" xfId="32225" xr:uid="{00000000-0005-0000-0000-000046440000}"/>
    <cellStyle name="Millares 6 7" xfId="4877" xr:uid="{00000000-0005-0000-0000-000047440000}"/>
    <cellStyle name="Millares 6 7 2" xfId="4878" xr:uid="{00000000-0005-0000-0000-000048440000}"/>
    <cellStyle name="Millares 6 7 2 2" xfId="4879" xr:uid="{00000000-0005-0000-0000-000049440000}"/>
    <cellStyle name="Millares 6 7 2 2 2" xfId="8474" xr:uid="{00000000-0005-0000-0000-00004A440000}"/>
    <cellStyle name="Millares 6 7 2 2 2 2" xfId="15264" xr:uid="{00000000-0005-0000-0000-00004B440000}"/>
    <cellStyle name="Millares 6 7 2 2 2 2 2" xfId="28832" xr:uid="{00000000-0005-0000-0000-00004C440000}"/>
    <cellStyle name="Millares 6 7 2 2 2 2 2 2" xfId="55965" xr:uid="{00000000-0005-0000-0000-00004D440000}"/>
    <cellStyle name="Millares 6 7 2 2 2 2 3" xfId="42403" xr:uid="{00000000-0005-0000-0000-00004E440000}"/>
    <cellStyle name="Millares 6 7 2 2 2 3" xfId="22051" xr:uid="{00000000-0005-0000-0000-00004F440000}"/>
    <cellStyle name="Millares 6 7 2 2 2 3 2" xfId="49184" xr:uid="{00000000-0005-0000-0000-000050440000}"/>
    <cellStyle name="Millares 6 7 2 2 2 4" xfId="35622" xr:uid="{00000000-0005-0000-0000-000051440000}"/>
    <cellStyle name="Millares 6 7 2 2 3" xfId="11875" xr:uid="{00000000-0005-0000-0000-000052440000}"/>
    <cellStyle name="Millares 6 7 2 2 3 2" xfId="25443" xr:uid="{00000000-0005-0000-0000-000053440000}"/>
    <cellStyle name="Millares 6 7 2 2 3 2 2" xfId="52576" xr:uid="{00000000-0005-0000-0000-000054440000}"/>
    <cellStyle name="Millares 6 7 2 2 3 3" xfId="39014" xr:uid="{00000000-0005-0000-0000-000055440000}"/>
    <cellStyle name="Millares 6 7 2 2 4" xfId="18662" xr:uid="{00000000-0005-0000-0000-000056440000}"/>
    <cellStyle name="Millares 6 7 2 2 4 2" xfId="45795" xr:uid="{00000000-0005-0000-0000-000057440000}"/>
    <cellStyle name="Millares 6 7 2 2 5" xfId="32233" xr:uid="{00000000-0005-0000-0000-000058440000}"/>
    <cellStyle name="Millares 6 7 2 3" xfId="4880" xr:uid="{00000000-0005-0000-0000-000059440000}"/>
    <cellStyle name="Millares 6 7 2 3 2" xfId="8475" xr:uid="{00000000-0005-0000-0000-00005A440000}"/>
    <cellStyle name="Millares 6 7 2 3 2 2" xfId="15265" xr:uid="{00000000-0005-0000-0000-00005B440000}"/>
    <cellStyle name="Millares 6 7 2 3 2 2 2" xfId="28833" xr:uid="{00000000-0005-0000-0000-00005C440000}"/>
    <cellStyle name="Millares 6 7 2 3 2 2 2 2" xfId="55966" xr:uid="{00000000-0005-0000-0000-00005D440000}"/>
    <cellStyle name="Millares 6 7 2 3 2 2 3" xfId="42404" xr:uid="{00000000-0005-0000-0000-00005E440000}"/>
    <cellStyle name="Millares 6 7 2 3 2 3" xfId="22052" xr:uid="{00000000-0005-0000-0000-00005F440000}"/>
    <cellStyle name="Millares 6 7 2 3 2 3 2" xfId="49185" xr:uid="{00000000-0005-0000-0000-000060440000}"/>
    <cellStyle name="Millares 6 7 2 3 2 4" xfId="35623" xr:uid="{00000000-0005-0000-0000-000061440000}"/>
    <cellStyle name="Millares 6 7 2 3 3" xfId="11876" xr:uid="{00000000-0005-0000-0000-000062440000}"/>
    <cellStyle name="Millares 6 7 2 3 3 2" xfId="25444" xr:uid="{00000000-0005-0000-0000-000063440000}"/>
    <cellStyle name="Millares 6 7 2 3 3 2 2" xfId="52577" xr:uid="{00000000-0005-0000-0000-000064440000}"/>
    <cellStyle name="Millares 6 7 2 3 3 3" xfId="39015" xr:uid="{00000000-0005-0000-0000-000065440000}"/>
    <cellStyle name="Millares 6 7 2 3 4" xfId="18663" xr:uid="{00000000-0005-0000-0000-000066440000}"/>
    <cellStyle name="Millares 6 7 2 3 4 2" xfId="45796" xr:uid="{00000000-0005-0000-0000-000067440000}"/>
    <cellStyle name="Millares 6 7 2 3 5" xfId="32234" xr:uid="{00000000-0005-0000-0000-000068440000}"/>
    <cellStyle name="Millares 6 7 2 4" xfId="8473" xr:uid="{00000000-0005-0000-0000-000069440000}"/>
    <cellStyle name="Millares 6 7 2 4 2" xfId="15263" xr:uid="{00000000-0005-0000-0000-00006A440000}"/>
    <cellStyle name="Millares 6 7 2 4 2 2" xfId="28831" xr:uid="{00000000-0005-0000-0000-00006B440000}"/>
    <cellStyle name="Millares 6 7 2 4 2 2 2" xfId="55964" xr:uid="{00000000-0005-0000-0000-00006C440000}"/>
    <cellStyle name="Millares 6 7 2 4 2 3" xfId="42402" xr:uid="{00000000-0005-0000-0000-00006D440000}"/>
    <cellStyle name="Millares 6 7 2 4 3" xfId="22050" xr:uid="{00000000-0005-0000-0000-00006E440000}"/>
    <cellStyle name="Millares 6 7 2 4 3 2" xfId="49183" xr:uid="{00000000-0005-0000-0000-00006F440000}"/>
    <cellStyle name="Millares 6 7 2 4 4" xfId="35621" xr:uid="{00000000-0005-0000-0000-000070440000}"/>
    <cellStyle name="Millares 6 7 2 5" xfId="11874" xr:uid="{00000000-0005-0000-0000-000071440000}"/>
    <cellStyle name="Millares 6 7 2 5 2" xfId="25442" xr:uid="{00000000-0005-0000-0000-000072440000}"/>
    <cellStyle name="Millares 6 7 2 5 2 2" xfId="52575" xr:uid="{00000000-0005-0000-0000-000073440000}"/>
    <cellStyle name="Millares 6 7 2 5 3" xfId="39013" xr:uid="{00000000-0005-0000-0000-000074440000}"/>
    <cellStyle name="Millares 6 7 2 6" xfId="18661" xr:uid="{00000000-0005-0000-0000-000075440000}"/>
    <cellStyle name="Millares 6 7 2 6 2" xfId="45794" xr:uid="{00000000-0005-0000-0000-000076440000}"/>
    <cellStyle name="Millares 6 7 2 7" xfId="32232" xr:uid="{00000000-0005-0000-0000-000077440000}"/>
    <cellStyle name="Millares 6 7 3" xfId="4881" xr:uid="{00000000-0005-0000-0000-000078440000}"/>
    <cellStyle name="Millares 6 7 3 2" xfId="8476" xr:uid="{00000000-0005-0000-0000-000079440000}"/>
    <cellStyle name="Millares 6 7 3 2 2" xfId="15266" xr:uid="{00000000-0005-0000-0000-00007A440000}"/>
    <cellStyle name="Millares 6 7 3 2 2 2" xfId="28834" xr:uid="{00000000-0005-0000-0000-00007B440000}"/>
    <cellStyle name="Millares 6 7 3 2 2 2 2" xfId="55967" xr:uid="{00000000-0005-0000-0000-00007C440000}"/>
    <cellStyle name="Millares 6 7 3 2 2 3" xfId="42405" xr:uid="{00000000-0005-0000-0000-00007D440000}"/>
    <cellStyle name="Millares 6 7 3 2 3" xfId="22053" xr:uid="{00000000-0005-0000-0000-00007E440000}"/>
    <cellStyle name="Millares 6 7 3 2 3 2" xfId="49186" xr:uid="{00000000-0005-0000-0000-00007F440000}"/>
    <cellStyle name="Millares 6 7 3 2 4" xfId="35624" xr:uid="{00000000-0005-0000-0000-000080440000}"/>
    <cellStyle name="Millares 6 7 3 3" xfId="11877" xr:uid="{00000000-0005-0000-0000-000081440000}"/>
    <cellStyle name="Millares 6 7 3 3 2" xfId="25445" xr:uid="{00000000-0005-0000-0000-000082440000}"/>
    <cellStyle name="Millares 6 7 3 3 2 2" xfId="52578" xr:uid="{00000000-0005-0000-0000-000083440000}"/>
    <cellStyle name="Millares 6 7 3 3 3" xfId="39016" xr:uid="{00000000-0005-0000-0000-000084440000}"/>
    <cellStyle name="Millares 6 7 3 4" xfId="18664" xr:uid="{00000000-0005-0000-0000-000085440000}"/>
    <cellStyle name="Millares 6 7 3 4 2" xfId="45797" xr:uid="{00000000-0005-0000-0000-000086440000}"/>
    <cellStyle name="Millares 6 7 3 5" xfId="32235" xr:uid="{00000000-0005-0000-0000-000087440000}"/>
    <cellStyle name="Millares 6 7 4" xfId="4882" xr:uid="{00000000-0005-0000-0000-000088440000}"/>
    <cellStyle name="Millares 6 7 4 2" xfId="8477" xr:uid="{00000000-0005-0000-0000-000089440000}"/>
    <cellStyle name="Millares 6 7 4 2 2" xfId="15267" xr:uid="{00000000-0005-0000-0000-00008A440000}"/>
    <cellStyle name="Millares 6 7 4 2 2 2" xfId="28835" xr:uid="{00000000-0005-0000-0000-00008B440000}"/>
    <cellStyle name="Millares 6 7 4 2 2 2 2" xfId="55968" xr:uid="{00000000-0005-0000-0000-00008C440000}"/>
    <cellStyle name="Millares 6 7 4 2 2 3" xfId="42406" xr:uid="{00000000-0005-0000-0000-00008D440000}"/>
    <cellStyle name="Millares 6 7 4 2 3" xfId="22054" xr:uid="{00000000-0005-0000-0000-00008E440000}"/>
    <cellStyle name="Millares 6 7 4 2 3 2" xfId="49187" xr:uid="{00000000-0005-0000-0000-00008F440000}"/>
    <cellStyle name="Millares 6 7 4 2 4" xfId="35625" xr:uid="{00000000-0005-0000-0000-000090440000}"/>
    <cellStyle name="Millares 6 7 4 3" xfId="11878" xr:uid="{00000000-0005-0000-0000-000091440000}"/>
    <cellStyle name="Millares 6 7 4 3 2" xfId="25446" xr:uid="{00000000-0005-0000-0000-000092440000}"/>
    <cellStyle name="Millares 6 7 4 3 2 2" xfId="52579" xr:uid="{00000000-0005-0000-0000-000093440000}"/>
    <cellStyle name="Millares 6 7 4 3 3" xfId="39017" xr:uid="{00000000-0005-0000-0000-000094440000}"/>
    <cellStyle name="Millares 6 7 4 4" xfId="18665" xr:uid="{00000000-0005-0000-0000-000095440000}"/>
    <cellStyle name="Millares 6 7 4 4 2" xfId="45798" xr:uid="{00000000-0005-0000-0000-000096440000}"/>
    <cellStyle name="Millares 6 7 4 5" xfId="32236" xr:uid="{00000000-0005-0000-0000-000097440000}"/>
    <cellStyle name="Millares 6 7 5" xfId="8472" xr:uid="{00000000-0005-0000-0000-000098440000}"/>
    <cellStyle name="Millares 6 7 5 2" xfId="15262" xr:uid="{00000000-0005-0000-0000-000099440000}"/>
    <cellStyle name="Millares 6 7 5 2 2" xfId="28830" xr:uid="{00000000-0005-0000-0000-00009A440000}"/>
    <cellStyle name="Millares 6 7 5 2 2 2" xfId="55963" xr:uid="{00000000-0005-0000-0000-00009B440000}"/>
    <cellStyle name="Millares 6 7 5 2 3" xfId="42401" xr:uid="{00000000-0005-0000-0000-00009C440000}"/>
    <cellStyle name="Millares 6 7 5 3" xfId="22049" xr:uid="{00000000-0005-0000-0000-00009D440000}"/>
    <cellStyle name="Millares 6 7 5 3 2" xfId="49182" xr:uid="{00000000-0005-0000-0000-00009E440000}"/>
    <cellStyle name="Millares 6 7 5 4" xfId="35620" xr:uid="{00000000-0005-0000-0000-00009F440000}"/>
    <cellStyle name="Millares 6 7 6" xfId="11873" xr:uid="{00000000-0005-0000-0000-0000A0440000}"/>
    <cellStyle name="Millares 6 7 6 2" xfId="25441" xr:uid="{00000000-0005-0000-0000-0000A1440000}"/>
    <cellStyle name="Millares 6 7 6 2 2" xfId="52574" xr:uid="{00000000-0005-0000-0000-0000A2440000}"/>
    <cellStyle name="Millares 6 7 6 3" xfId="39012" xr:uid="{00000000-0005-0000-0000-0000A3440000}"/>
    <cellStyle name="Millares 6 7 7" xfId="18660" xr:uid="{00000000-0005-0000-0000-0000A4440000}"/>
    <cellStyle name="Millares 6 7 7 2" xfId="45793" xr:uid="{00000000-0005-0000-0000-0000A5440000}"/>
    <cellStyle name="Millares 6 7 8" xfId="32231" xr:uid="{00000000-0005-0000-0000-0000A6440000}"/>
    <cellStyle name="Millares 6 8" xfId="4883" xr:uid="{00000000-0005-0000-0000-0000A7440000}"/>
    <cellStyle name="Millares 6 8 2" xfId="4884" xr:uid="{00000000-0005-0000-0000-0000A8440000}"/>
    <cellStyle name="Millares 6 8 2 2" xfId="8479" xr:uid="{00000000-0005-0000-0000-0000A9440000}"/>
    <cellStyle name="Millares 6 8 2 2 2" xfId="15269" xr:uid="{00000000-0005-0000-0000-0000AA440000}"/>
    <cellStyle name="Millares 6 8 2 2 2 2" xfId="28837" xr:uid="{00000000-0005-0000-0000-0000AB440000}"/>
    <cellStyle name="Millares 6 8 2 2 2 2 2" xfId="55970" xr:uid="{00000000-0005-0000-0000-0000AC440000}"/>
    <cellStyle name="Millares 6 8 2 2 2 3" xfId="42408" xr:uid="{00000000-0005-0000-0000-0000AD440000}"/>
    <cellStyle name="Millares 6 8 2 2 3" xfId="22056" xr:uid="{00000000-0005-0000-0000-0000AE440000}"/>
    <cellStyle name="Millares 6 8 2 2 3 2" xfId="49189" xr:uid="{00000000-0005-0000-0000-0000AF440000}"/>
    <cellStyle name="Millares 6 8 2 2 4" xfId="35627" xr:uid="{00000000-0005-0000-0000-0000B0440000}"/>
    <cellStyle name="Millares 6 8 2 3" xfId="11880" xr:uid="{00000000-0005-0000-0000-0000B1440000}"/>
    <cellStyle name="Millares 6 8 2 3 2" xfId="25448" xr:uid="{00000000-0005-0000-0000-0000B2440000}"/>
    <cellStyle name="Millares 6 8 2 3 2 2" xfId="52581" xr:uid="{00000000-0005-0000-0000-0000B3440000}"/>
    <cellStyle name="Millares 6 8 2 3 3" xfId="39019" xr:uid="{00000000-0005-0000-0000-0000B4440000}"/>
    <cellStyle name="Millares 6 8 2 4" xfId="18667" xr:uid="{00000000-0005-0000-0000-0000B5440000}"/>
    <cellStyle name="Millares 6 8 2 4 2" xfId="45800" xr:uid="{00000000-0005-0000-0000-0000B6440000}"/>
    <cellStyle name="Millares 6 8 2 5" xfId="32238" xr:uid="{00000000-0005-0000-0000-0000B7440000}"/>
    <cellStyle name="Millares 6 8 3" xfId="8478" xr:uid="{00000000-0005-0000-0000-0000B8440000}"/>
    <cellStyle name="Millares 6 8 3 2" xfId="15268" xr:uid="{00000000-0005-0000-0000-0000B9440000}"/>
    <cellStyle name="Millares 6 8 3 2 2" xfId="28836" xr:uid="{00000000-0005-0000-0000-0000BA440000}"/>
    <cellStyle name="Millares 6 8 3 2 2 2" xfId="55969" xr:uid="{00000000-0005-0000-0000-0000BB440000}"/>
    <cellStyle name="Millares 6 8 3 2 3" xfId="42407" xr:uid="{00000000-0005-0000-0000-0000BC440000}"/>
    <cellStyle name="Millares 6 8 3 3" xfId="22055" xr:uid="{00000000-0005-0000-0000-0000BD440000}"/>
    <cellStyle name="Millares 6 8 3 3 2" xfId="49188" xr:uid="{00000000-0005-0000-0000-0000BE440000}"/>
    <cellStyle name="Millares 6 8 3 4" xfId="35626" xr:uid="{00000000-0005-0000-0000-0000BF440000}"/>
    <cellStyle name="Millares 6 8 4" xfId="11879" xr:uid="{00000000-0005-0000-0000-0000C0440000}"/>
    <cellStyle name="Millares 6 8 4 2" xfId="25447" xr:uid="{00000000-0005-0000-0000-0000C1440000}"/>
    <cellStyle name="Millares 6 8 4 2 2" xfId="52580" xr:uid="{00000000-0005-0000-0000-0000C2440000}"/>
    <cellStyle name="Millares 6 8 4 3" xfId="39018" xr:uid="{00000000-0005-0000-0000-0000C3440000}"/>
    <cellStyle name="Millares 6 8 5" xfId="18666" xr:uid="{00000000-0005-0000-0000-0000C4440000}"/>
    <cellStyle name="Millares 6 8 5 2" xfId="45799" xr:uid="{00000000-0005-0000-0000-0000C5440000}"/>
    <cellStyle name="Millares 6 8 6" xfId="32237" xr:uid="{00000000-0005-0000-0000-0000C6440000}"/>
    <cellStyle name="Millares 6 9" xfId="4885" xr:uid="{00000000-0005-0000-0000-0000C7440000}"/>
    <cellStyle name="Millares 6 9 2" xfId="8480" xr:uid="{00000000-0005-0000-0000-0000C8440000}"/>
    <cellStyle name="Millares 6 9 2 2" xfId="15270" xr:uid="{00000000-0005-0000-0000-0000C9440000}"/>
    <cellStyle name="Millares 6 9 2 2 2" xfId="28838" xr:uid="{00000000-0005-0000-0000-0000CA440000}"/>
    <cellStyle name="Millares 6 9 2 2 2 2" xfId="55971" xr:uid="{00000000-0005-0000-0000-0000CB440000}"/>
    <cellStyle name="Millares 6 9 2 2 3" xfId="42409" xr:uid="{00000000-0005-0000-0000-0000CC440000}"/>
    <cellStyle name="Millares 6 9 2 3" xfId="22057" xr:uid="{00000000-0005-0000-0000-0000CD440000}"/>
    <cellStyle name="Millares 6 9 2 3 2" xfId="49190" xr:uid="{00000000-0005-0000-0000-0000CE440000}"/>
    <cellStyle name="Millares 6 9 2 4" xfId="35628" xr:uid="{00000000-0005-0000-0000-0000CF440000}"/>
    <cellStyle name="Millares 6 9 3" xfId="11881" xr:uid="{00000000-0005-0000-0000-0000D0440000}"/>
    <cellStyle name="Millares 6 9 3 2" xfId="25449" xr:uid="{00000000-0005-0000-0000-0000D1440000}"/>
    <cellStyle name="Millares 6 9 3 2 2" xfId="52582" xr:uid="{00000000-0005-0000-0000-0000D2440000}"/>
    <cellStyle name="Millares 6 9 3 3" xfId="39020" xr:uid="{00000000-0005-0000-0000-0000D3440000}"/>
    <cellStyle name="Millares 6 9 4" xfId="18668" xr:uid="{00000000-0005-0000-0000-0000D4440000}"/>
    <cellStyle name="Millares 6 9 4 2" xfId="45801" xr:uid="{00000000-0005-0000-0000-0000D5440000}"/>
    <cellStyle name="Millares 6 9 5" xfId="32239" xr:uid="{00000000-0005-0000-0000-0000D6440000}"/>
    <cellStyle name="Millares 7" xfId="176" xr:uid="{00000000-0005-0000-0000-0000D7440000}"/>
    <cellStyle name="Millares 7 2" xfId="186" xr:uid="{00000000-0005-0000-0000-0000D8440000}"/>
    <cellStyle name="Millares 7 2 2" xfId="4886" xr:uid="{00000000-0005-0000-0000-0000D9440000}"/>
    <cellStyle name="Millares 7 2 2 2" xfId="4887" xr:uid="{00000000-0005-0000-0000-0000DA440000}"/>
    <cellStyle name="Millares 7 2 2 2 2" xfId="4888" xr:uid="{00000000-0005-0000-0000-0000DB440000}"/>
    <cellStyle name="Millares 7 2 2 2 2 2" xfId="8483" xr:uid="{00000000-0005-0000-0000-0000DC440000}"/>
    <cellStyle name="Millares 7 2 2 2 2 2 2" xfId="15273" xr:uid="{00000000-0005-0000-0000-0000DD440000}"/>
    <cellStyle name="Millares 7 2 2 2 2 2 2 2" xfId="28841" xr:uid="{00000000-0005-0000-0000-0000DE440000}"/>
    <cellStyle name="Millares 7 2 2 2 2 2 2 2 2" xfId="55974" xr:uid="{00000000-0005-0000-0000-0000DF440000}"/>
    <cellStyle name="Millares 7 2 2 2 2 2 2 3" xfId="42412" xr:uid="{00000000-0005-0000-0000-0000E0440000}"/>
    <cellStyle name="Millares 7 2 2 2 2 2 3" xfId="22060" xr:uid="{00000000-0005-0000-0000-0000E1440000}"/>
    <cellStyle name="Millares 7 2 2 2 2 2 3 2" xfId="49193" xr:uid="{00000000-0005-0000-0000-0000E2440000}"/>
    <cellStyle name="Millares 7 2 2 2 2 2 4" xfId="35631" xr:uid="{00000000-0005-0000-0000-0000E3440000}"/>
    <cellStyle name="Millares 7 2 2 2 2 3" xfId="11884" xr:uid="{00000000-0005-0000-0000-0000E4440000}"/>
    <cellStyle name="Millares 7 2 2 2 2 3 2" xfId="25452" xr:uid="{00000000-0005-0000-0000-0000E5440000}"/>
    <cellStyle name="Millares 7 2 2 2 2 3 2 2" xfId="52585" xr:uid="{00000000-0005-0000-0000-0000E6440000}"/>
    <cellStyle name="Millares 7 2 2 2 2 3 3" xfId="39023" xr:uid="{00000000-0005-0000-0000-0000E7440000}"/>
    <cellStyle name="Millares 7 2 2 2 2 4" xfId="18671" xr:uid="{00000000-0005-0000-0000-0000E8440000}"/>
    <cellStyle name="Millares 7 2 2 2 2 4 2" xfId="45804" xr:uid="{00000000-0005-0000-0000-0000E9440000}"/>
    <cellStyle name="Millares 7 2 2 2 2 5" xfId="32242" xr:uid="{00000000-0005-0000-0000-0000EA440000}"/>
    <cellStyle name="Millares 7 2 2 2 3" xfId="4889" xr:uid="{00000000-0005-0000-0000-0000EB440000}"/>
    <cellStyle name="Millares 7 2 2 2 3 2" xfId="8484" xr:uid="{00000000-0005-0000-0000-0000EC440000}"/>
    <cellStyle name="Millares 7 2 2 2 3 2 2" xfId="15274" xr:uid="{00000000-0005-0000-0000-0000ED440000}"/>
    <cellStyle name="Millares 7 2 2 2 3 2 2 2" xfId="28842" xr:uid="{00000000-0005-0000-0000-0000EE440000}"/>
    <cellStyle name="Millares 7 2 2 2 3 2 2 2 2" xfId="55975" xr:uid="{00000000-0005-0000-0000-0000EF440000}"/>
    <cellStyle name="Millares 7 2 2 2 3 2 2 3" xfId="42413" xr:uid="{00000000-0005-0000-0000-0000F0440000}"/>
    <cellStyle name="Millares 7 2 2 2 3 2 3" xfId="22061" xr:uid="{00000000-0005-0000-0000-0000F1440000}"/>
    <cellStyle name="Millares 7 2 2 2 3 2 3 2" xfId="49194" xr:uid="{00000000-0005-0000-0000-0000F2440000}"/>
    <cellStyle name="Millares 7 2 2 2 3 2 4" xfId="35632" xr:uid="{00000000-0005-0000-0000-0000F3440000}"/>
    <cellStyle name="Millares 7 2 2 2 3 3" xfId="11885" xr:uid="{00000000-0005-0000-0000-0000F4440000}"/>
    <cellStyle name="Millares 7 2 2 2 3 3 2" xfId="25453" xr:uid="{00000000-0005-0000-0000-0000F5440000}"/>
    <cellStyle name="Millares 7 2 2 2 3 3 2 2" xfId="52586" xr:uid="{00000000-0005-0000-0000-0000F6440000}"/>
    <cellStyle name="Millares 7 2 2 2 3 3 3" xfId="39024" xr:uid="{00000000-0005-0000-0000-0000F7440000}"/>
    <cellStyle name="Millares 7 2 2 2 3 4" xfId="18672" xr:uid="{00000000-0005-0000-0000-0000F8440000}"/>
    <cellStyle name="Millares 7 2 2 2 3 4 2" xfId="45805" xr:uid="{00000000-0005-0000-0000-0000F9440000}"/>
    <cellStyle name="Millares 7 2 2 2 3 5" xfId="32243" xr:uid="{00000000-0005-0000-0000-0000FA440000}"/>
    <cellStyle name="Millares 7 2 2 2 4" xfId="8482" xr:uid="{00000000-0005-0000-0000-0000FB440000}"/>
    <cellStyle name="Millares 7 2 2 2 4 2" xfId="15272" xr:uid="{00000000-0005-0000-0000-0000FC440000}"/>
    <cellStyle name="Millares 7 2 2 2 4 2 2" xfId="28840" xr:uid="{00000000-0005-0000-0000-0000FD440000}"/>
    <cellStyle name="Millares 7 2 2 2 4 2 2 2" xfId="55973" xr:uid="{00000000-0005-0000-0000-0000FE440000}"/>
    <cellStyle name="Millares 7 2 2 2 4 2 3" xfId="42411" xr:uid="{00000000-0005-0000-0000-0000FF440000}"/>
    <cellStyle name="Millares 7 2 2 2 4 3" xfId="22059" xr:uid="{00000000-0005-0000-0000-000000450000}"/>
    <cellStyle name="Millares 7 2 2 2 4 3 2" xfId="49192" xr:uid="{00000000-0005-0000-0000-000001450000}"/>
    <cellStyle name="Millares 7 2 2 2 4 4" xfId="35630" xr:uid="{00000000-0005-0000-0000-000002450000}"/>
    <cellStyle name="Millares 7 2 2 2 5" xfId="11883" xr:uid="{00000000-0005-0000-0000-000003450000}"/>
    <cellStyle name="Millares 7 2 2 2 5 2" xfId="25451" xr:uid="{00000000-0005-0000-0000-000004450000}"/>
    <cellStyle name="Millares 7 2 2 2 5 2 2" xfId="52584" xr:uid="{00000000-0005-0000-0000-000005450000}"/>
    <cellStyle name="Millares 7 2 2 2 5 3" xfId="39022" xr:uid="{00000000-0005-0000-0000-000006450000}"/>
    <cellStyle name="Millares 7 2 2 2 6" xfId="18670" xr:uid="{00000000-0005-0000-0000-000007450000}"/>
    <cellStyle name="Millares 7 2 2 2 6 2" xfId="45803" xr:uid="{00000000-0005-0000-0000-000008450000}"/>
    <cellStyle name="Millares 7 2 2 2 7" xfId="32241" xr:uid="{00000000-0005-0000-0000-000009450000}"/>
    <cellStyle name="Millares 7 2 2 3" xfId="4890" xr:uid="{00000000-0005-0000-0000-00000A450000}"/>
    <cellStyle name="Millares 7 2 2 3 2" xfId="4891" xr:uid="{00000000-0005-0000-0000-00000B450000}"/>
    <cellStyle name="Millares 7 2 2 3 2 2" xfId="8486" xr:uid="{00000000-0005-0000-0000-00000C450000}"/>
    <cellStyle name="Millares 7 2 2 3 2 2 2" xfId="15276" xr:uid="{00000000-0005-0000-0000-00000D450000}"/>
    <cellStyle name="Millares 7 2 2 3 2 2 2 2" xfId="28844" xr:uid="{00000000-0005-0000-0000-00000E450000}"/>
    <cellStyle name="Millares 7 2 2 3 2 2 2 2 2" xfId="55977" xr:uid="{00000000-0005-0000-0000-00000F450000}"/>
    <cellStyle name="Millares 7 2 2 3 2 2 2 3" xfId="42415" xr:uid="{00000000-0005-0000-0000-000010450000}"/>
    <cellStyle name="Millares 7 2 2 3 2 2 3" xfId="22063" xr:uid="{00000000-0005-0000-0000-000011450000}"/>
    <cellStyle name="Millares 7 2 2 3 2 2 3 2" xfId="49196" xr:uid="{00000000-0005-0000-0000-000012450000}"/>
    <cellStyle name="Millares 7 2 2 3 2 2 4" xfId="35634" xr:uid="{00000000-0005-0000-0000-000013450000}"/>
    <cellStyle name="Millares 7 2 2 3 2 3" xfId="11887" xr:uid="{00000000-0005-0000-0000-000014450000}"/>
    <cellStyle name="Millares 7 2 2 3 2 3 2" xfId="25455" xr:uid="{00000000-0005-0000-0000-000015450000}"/>
    <cellStyle name="Millares 7 2 2 3 2 3 2 2" xfId="52588" xr:uid="{00000000-0005-0000-0000-000016450000}"/>
    <cellStyle name="Millares 7 2 2 3 2 3 3" xfId="39026" xr:uid="{00000000-0005-0000-0000-000017450000}"/>
    <cellStyle name="Millares 7 2 2 3 2 4" xfId="18674" xr:uid="{00000000-0005-0000-0000-000018450000}"/>
    <cellStyle name="Millares 7 2 2 3 2 4 2" xfId="45807" xr:uid="{00000000-0005-0000-0000-000019450000}"/>
    <cellStyle name="Millares 7 2 2 3 2 5" xfId="32245" xr:uid="{00000000-0005-0000-0000-00001A450000}"/>
    <cellStyle name="Millares 7 2 2 3 3" xfId="8485" xr:uid="{00000000-0005-0000-0000-00001B450000}"/>
    <cellStyle name="Millares 7 2 2 3 3 2" xfId="15275" xr:uid="{00000000-0005-0000-0000-00001C450000}"/>
    <cellStyle name="Millares 7 2 2 3 3 2 2" xfId="28843" xr:uid="{00000000-0005-0000-0000-00001D450000}"/>
    <cellStyle name="Millares 7 2 2 3 3 2 2 2" xfId="55976" xr:uid="{00000000-0005-0000-0000-00001E450000}"/>
    <cellStyle name="Millares 7 2 2 3 3 2 3" xfId="42414" xr:uid="{00000000-0005-0000-0000-00001F450000}"/>
    <cellStyle name="Millares 7 2 2 3 3 3" xfId="22062" xr:uid="{00000000-0005-0000-0000-000020450000}"/>
    <cellStyle name="Millares 7 2 2 3 3 3 2" xfId="49195" xr:uid="{00000000-0005-0000-0000-000021450000}"/>
    <cellStyle name="Millares 7 2 2 3 3 4" xfId="35633" xr:uid="{00000000-0005-0000-0000-000022450000}"/>
    <cellStyle name="Millares 7 2 2 3 4" xfId="11886" xr:uid="{00000000-0005-0000-0000-000023450000}"/>
    <cellStyle name="Millares 7 2 2 3 4 2" xfId="25454" xr:uid="{00000000-0005-0000-0000-000024450000}"/>
    <cellStyle name="Millares 7 2 2 3 4 2 2" xfId="52587" xr:uid="{00000000-0005-0000-0000-000025450000}"/>
    <cellStyle name="Millares 7 2 2 3 4 3" xfId="39025" xr:uid="{00000000-0005-0000-0000-000026450000}"/>
    <cellStyle name="Millares 7 2 2 3 5" xfId="18673" xr:uid="{00000000-0005-0000-0000-000027450000}"/>
    <cellStyle name="Millares 7 2 2 3 5 2" xfId="45806" xr:uid="{00000000-0005-0000-0000-000028450000}"/>
    <cellStyle name="Millares 7 2 2 3 6" xfId="32244" xr:uid="{00000000-0005-0000-0000-000029450000}"/>
    <cellStyle name="Millares 7 2 2 4" xfId="4892" xr:uid="{00000000-0005-0000-0000-00002A450000}"/>
    <cellStyle name="Millares 7 2 2 4 2" xfId="8487" xr:uid="{00000000-0005-0000-0000-00002B450000}"/>
    <cellStyle name="Millares 7 2 2 4 2 2" xfId="15277" xr:uid="{00000000-0005-0000-0000-00002C450000}"/>
    <cellStyle name="Millares 7 2 2 4 2 2 2" xfId="28845" xr:uid="{00000000-0005-0000-0000-00002D450000}"/>
    <cellStyle name="Millares 7 2 2 4 2 2 2 2" xfId="55978" xr:uid="{00000000-0005-0000-0000-00002E450000}"/>
    <cellStyle name="Millares 7 2 2 4 2 2 3" xfId="42416" xr:uid="{00000000-0005-0000-0000-00002F450000}"/>
    <cellStyle name="Millares 7 2 2 4 2 3" xfId="22064" xr:uid="{00000000-0005-0000-0000-000030450000}"/>
    <cellStyle name="Millares 7 2 2 4 2 3 2" xfId="49197" xr:uid="{00000000-0005-0000-0000-000031450000}"/>
    <cellStyle name="Millares 7 2 2 4 2 4" xfId="35635" xr:uid="{00000000-0005-0000-0000-000032450000}"/>
    <cellStyle name="Millares 7 2 2 4 3" xfId="11888" xr:uid="{00000000-0005-0000-0000-000033450000}"/>
    <cellStyle name="Millares 7 2 2 4 3 2" xfId="25456" xr:uid="{00000000-0005-0000-0000-000034450000}"/>
    <cellStyle name="Millares 7 2 2 4 3 2 2" xfId="52589" xr:uid="{00000000-0005-0000-0000-000035450000}"/>
    <cellStyle name="Millares 7 2 2 4 3 3" xfId="39027" xr:uid="{00000000-0005-0000-0000-000036450000}"/>
    <cellStyle name="Millares 7 2 2 4 4" xfId="18675" xr:uid="{00000000-0005-0000-0000-000037450000}"/>
    <cellStyle name="Millares 7 2 2 4 4 2" xfId="45808" xr:uid="{00000000-0005-0000-0000-000038450000}"/>
    <cellStyle name="Millares 7 2 2 4 5" xfId="32246" xr:uid="{00000000-0005-0000-0000-000039450000}"/>
    <cellStyle name="Millares 7 2 2 5" xfId="4893" xr:uid="{00000000-0005-0000-0000-00003A450000}"/>
    <cellStyle name="Millares 7 2 2 5 2" xfId="8488" xr:uid="{00000000-0005-0000-0000-00003B450000}"/>
    <cellStyle name="Millares 7 2 2 5 2 2" xfId="15278" xr:uid="{00000000-0005-0000-0000-00003C450000}"/>
    <cellStyle name="Millares 7 2 2 5 2 2 2" xfId="28846" xr:uid="{00000000-0005-0000-0000-00003D450000}"/>
    <cellStyle name="Millares 7 2 2 5 2 2 2 2" xfId="55979" xr:uid="{00000000-0005-0000-0000-00003E450000}"/>
    <cellStyle name="Millares 7 2 2 5 2 2 3" xfId="42417" xr:uid="{00000000-0005-0000-0000-00003F450000}"/>
    <cellStyle name="Millares 7 2 2 5 2 3" xfId="22065" xr:uid="{00000000-0005-0000-0000-000040450000}"/>
    <cellStyle name="Millares 7 2 2 5 2 3 2" xfId="49198" xr:uid="{00000000-0005-0000-0000-000041450000}"/>
    <cellStyle name="Millares 7 2 2 5 2 4" xfId="35636" xr:uid="{00000000-0005-0000-0000-000042450000}"/>
    <cellStyle name="Millares 7 2 2 5 3" xfId="11889" xr:uid="{00000000-0005-0000-0000-000043450000}"/>
    <cellStyle name="Millares 7 2 2 5 3 2" xfId="25457" xr:uid="{00000000-0005-0000-0000-000044450000}"/>
    <cellStyle name="Millares 7 2 2 5 3 2 2" xfId="52590" xr:uid="{00000000-0005-0000-0000-000045450000}"/>
    <cellStyle name="Millares 7 2 2 5 3 3" xfId="39028" xr:uid="{00000000-0005-0000-0000-000046450000}"/>
    <cellStyle name="Millares 7 2 2 5 4" xfId="18676" xr:uid="{00000000-0005-0000-0000-000047450000}"/>
    <cellStyle name="Millares 7 2 2 5 4 2" xfId="45809" xr:uid="{00000000-0005-0000-0000-000048450000}"/>
    <cellStyle name="Millares 7 2 2 5 5" xfId="32247" xr:uid="{00000000-0005-0000-0000-000049450000}"/>
    <cellStyle name="Millares 7 2 2 6" xfId="8481" xr:uid="{00000000-0005-0000-0000-00004A450000}"/>
    <cellStyle name="Millares 7 2 2 6 2" xfId="15271" xr:uid="{00000000-0005-0000-0000-00004B450000}"/>
    <cellStyle name="Millares 7 2 2 6 2 2" xfId="28839" xr:uid="{00000000-0005-0000-0000-00004C450000}"/>
    <cellStyle name="Millares 7 2 2 6 2 2 2" xfId="55972" xr:uid="{00000000-0005-0000-0000-00004D450000}"/>
    <cellStyle name="Millares 7 2 2 6 2 3" xfId="42410" xr:uid="{00000000-0005-0000-0000-00004E450000}"/>
    <cellStyle name="Millares 7 2 2 6 3" xfId="22058" xr:uid="{00000000-0005-0000-0000-00004F450000}"/>
    <cellStyle name="Millares 7 2 2 6 3 2" xfId="49191" xr:uid="{00000000-0005-0000-0000-000050450000}"/>
    <cellStyle name="Millares 7 2 2 6 4" xfId="35629" xr:uid="{00000000-0005-0000-0000-000051450000}"/>
    <cellStyle name="Millares 7 2 2 7" xfId="11882" xr:uid="{00000000-0005-0000-0000-000052450000}"/>
    <cellStyle name="Millares 7 2 2 7 2" xfId="25450" xr:uid="{00000000-0005-0000-0000-000053450000}"/>
    <cellStyle name="Millares 7 2 2 7 2 2" xfId="52583" xr:uid="{00000000-0005-0000-0000-000054450000}"/>
    <cellStyle name="Millares 7 2 2 7 3" xfId="39021" xr:uid="{00000000-0005-0000-0000-000055450000}"/>
    <cellStyle name="Millares 7 2 2 8" xfId="18669" xr:uid="{00000000-0005-0000-0000-000056450000}"/>
    <cellStyle name="Millares 7 2 2 8 2" xfId="45802" xr:uid="{00000000-0005-0000-0000-000057450000}"/>
    <cellStyle name="Millares 7 2 2 9" xfId="32240" xr:uid="{00000000-0005-0000-0000-000058450000}"/>
    <cellStyle name="Millares 7 2 3" xfId="4894" xr:uid="{00000000-0005-0000-0000-000059450000}"/>
    <cellStyle name="Millares 7 2 3 2" xfId="4895" xr:uid="{00000000-0005-0000-0000-00005A450000}"/>
    <cellStyle name="Millares 7 2 3 2 2" xfId="8490" xr:uid="{00000000-0005-0000-0000-00005B450000}"/>
    <cellStyle name="Millares 7 2 3 2 2 2" xfId="15280" xr:uid="{00000000-0005-0000-0000-00005C450000}"/>
    <cellStyle name="Millares 7 2 3 2 2 2 2" xfId="28848" xr:uid="{00000000-0005-0000-0000-00005D450000}"/>
    <cellStyle name="Millares 7 2 3 2 2 2 2 2" xfId="55981" xr:uid="{00000000-0005-0000-0000-00005E450000}"/>
    <cellStyle name="Millares 7 2 3 2 2 2 3" xfId="42419" xr:uid="{00000000-0005-0000-0000-00005F450000}"/>
    <cellStyle name="Millares 7 2 3 2 2 3" xfId="22067" xr:uid="{00000000-0005-0000-0000-000060450000}"/>
    <cellStyle name="Millares 7 2 3 2 2 3 2" xfId="49200" xr:uid="{00000000-0005-0000-0000-000061450000}"/>
    <cellStyle name="Millares 7 2 3 2 2 4" xfId="35638" xr:uid="{00000000-0005-0000-0000-000062450000}"/>
    <cellStyle name="Millares 7 2 3 2 3" xfId="11891" xr:uid="{00000000-0005-0000-0000-000063450000}"/>
    <cellStyle name="Millares 7 2 3 2 3 2" xfId="25459" xr:uid="{00000000-0005-0000-0000-000064450000}"/>
    <cellStyle name="Millares 7 2 3 2 3 2 2" xfId="52592" xr:uid="{00000000-0005-0000-0000-000065450000}"/>
    <cellStyle name="Millares 7 2 3 2 3 3" xfId="39030" xr:uid="{00000000-0005-0000-0000-000066450000}"/>
    <cellStyle name="Millares 7 2 3 2 4" xfId="18678" xr:uid="{00000000-0005-0000-0000-000067450000}"/>
    <cellStyle name="Millares 7 2 3 2 4 2" xfId="45811" xr:uid="{00000000-0005-0000-0000-000068450000}"/>
    <cellStyle name="Millares 7 2 3 2 5" xfId="32249" xr:uid="{00000000-0005-0000-0000-000069450000}"/>
    <cellStyle name="Millares 7 2 3 3" xfId="4896" xr:uid="{00000000-0005-0000-0000-00006A450000}"/>
    <cellStyle name="Millares 7 2 3 3 2" xfId="8491" xr:uid="{00000000-0005-0000-0000-00006B450000}"/>
    <cellStyle name="Millares 7 2 3 3 2 2" xfId="15281" xr:uid="{00000000-0005-0000-0000-00006C450000}"/>
    <cellStyle name="Millares 7 2 3 3 2 2 2" xfId="28849" xr:uid="{00000000-0005-0000-0000-00006D450000}"/>
    <cellStyle name="Millares 7 2 3 3 2 2 2 2" xfId="55982" xr:uid="{00000000-0005-0000-0000-00006E450000}"/>
    <cellStyle name="Millares 7 2 3 3 2 2 3" xfId="42420" xr:uid="{00000000-0005-0000-0000-00006F450000}"/>
    <cellStyle name="Millares 7 2 3 3 2 3" xfId="22068" xr:uid="{00000000-0005-0000-0000-000070450000}"/>
    <cellStyle name="Millares 7 2 3 3 2 3 2" xfId="49201" xr:uid="{00000000-0005-0000-0000-000071450000}"/>
    <cellStyle name="Millares 7 2 3 3 2 4" xfId="35639" xr:uid="{00000000-0005-0000-0000-000072450000}"/>
    <cellStyle name="Millares 7 2 3 3 3" xfId="11892" xr:uid="{00000000-0005-0000-0000-000073450000}"/>
    <cellStyle name="Millares 7 2 3 3 3 2" xfId="25460" xr:uid="{00000000-0005-0000-0000-000074450000}"/>
    <cellStyle name="Millares 7 2 3 3 3 2 2" xfId="52593" xr:uid="{00000000-0005-0000-0000-000075450000}"/>
    <cellStyle name="Millares 7 2 3 3 3 3" xfId="39031" xr:uid="{00000000-0005-0000-0000-000076450000}"/>
    <cellStyle name="Millares 7 2 3 3 4" xfId="18679" xr:uid="{00000000-0005-0000-0000-000077450000}"/>
    <cellStyle name="Millares 7 2 3 3 4 2" xfId="45812" xr:uid="{00000000-0005-0000-0000-000078450000}"/>
    <cellStyle name="Millares 7 2 3 3 5" xfId="32250" xr:uid="{00000000-0005-0000-0000-000079450000}"/>
    <cellStyle name="Millares 7 2 3 4" xfId="8489" xr:uid="{00000000-0005-0000-0000-00007A450000}"/>
    <cellStyle name="Millares 7 2 3 4 2" xfId="15279" xr:uid="{00000000-0005-0000-0000-00007B450000}"/>
    <cellStyle name="Millares 7 2 3 4 2 2" xfId="28847" xr:uid="{00000000-0005-0000-0000-00007C450000}"/>
    <cellStyle name="Millares 7 2 3 4 2 2 2" xfId="55980" xr:uid="{00000000-0005-0000-0000-00007D450000}"/>
    <cellStyle name="Millares 7 2 3 4 2 3" xfId="42418" xr:uid="{00000000-0005-0000-0000-00007E450000}"/>
    <cellStyle name="Millares 7 2 3 4 3" xfId="22066" xr:uid="{00000000-0005-0000-0000-00007F450000}"/>
    <cellStyle name="Millares 7 2 3 4 3 2" xfId="49199" xr:uid="{00000000-0005-0000-0000-000080450000}"/>
    <cellStyle name="Millares 7 2 3 4 4" xfId="35637" xr:uid="{00000000-0005-0000-0000-000081450000}"/>
    <cellStyle name="Millares 7 2 3 5" xfId="11890" xr:uid="{00000000-0005-0000-0000-000082450000}"/>
    <cellStyle name="Millares 7 2 3 5 2" xfId="25458" xr:uid="{00000000-0005-0000-0000-000083450000}"/>
    <cellStyle name="Millares 7 2 3 5 2 2" xfId="52591" xr:uid="{00000000-0005-0000-0000-000084450000}"/>
    <cellStyle name="Millares 7 2 3 5 3" xfId="39029" xr:uid="{00000000-0005-0000-0000-000085450000}"/>
    <cellStyle name="Millares 7 2 3 6" xfId="18677" xr:uid="{00000000-0005-0000-0000-000086450000}"/>
    <cellStyle name="Millares 7 2 3 6 2" xfId="45810" xr:uid="{00000000-0005-0000-0000-000087450000}"/>
    <cellStyle name="Millares 7 2 3 7" xfId="32248" xr:uid="{00000000-0005-0000-0000-000088450000}"/>
    <cellStyle name="Millares 7 2 4" xfId="4897" xr:uid="{00000000-0005-0000-0000-000089450000}"/>
    <cellStyle name="Millares 7 2 4 2" xfId="4898" xr:uid="{00000000-0005-0000-0000-00008A450000}"/>
    <cellStyle name="Millares 7 2 4 2 2" xfId="8493" xr:uid="{00000000-0005-0000-0000-00008B450000}"/>
    <cellStyle name="Millares 7 2 4 2 2 2" xfId="15283" xr:uid="{00000000-0005-0000-0000-00008C450000}"/>
    <cellStyle name="Millares 7 2 4 2 2 2 2" xfId="28851" xr:uid="{00000000-0005-0000-0000-00008D450000}"/>
    <cellStyle name="Millares 7 2 4 2 2 2 2 2" xfId="55984" xr:uid="{00000000-0005-0000-0000-00008E450000}"/>
    <cellStyle name="Millares 7 2 4 2 2 2 3" xfId="42422" xr:uid="{00000000-0005-0000-0000-00008F450000}"/>
    <cellStyle name="Millares 7 2 4 2 2 3" xfId="22070" xr:uid="{00000000-0005-0000-0000-000090450000}"/>
    <cellStyle name="Millares 7 2 4 2 2 3 2" xfId="49203" xr:uid="{00000000-0005-0000-0000-000091450000}"/>
    <cellStyle name="Millares 7 2 4 2 2 4" xfId="35641" xr:uid="{00000000-0005-0000-0000-000092450000}"/>
    <cellStyle name="Millares 7 2 4 2 3" xfId="11894" xr:uid="{00000000-0005-0000-0000-000093450000}"/>
    <cellStyle name="Millares 7 2 4 2 3 2" xfId="25462" xr:uid="{00000000-0005-0000-0000-000094450000}"/>
    <cellStyle name="Millares 7 2 4 2 3 2 2" xfId="52595" xr:uid="{00000000-0005-0000-0000-000095450000}"/>
    <cellStyle name="Millares 7 2 4 2 3 3" xfId="39033" xr:uid="{00000000-0005-0000-0000-000096450000}"/>
    <cellStyle name="Millares 7 2 4 2 4" xfId="18681" xr:uid="{00000000-0005-0000-0000-000097450000}"/>
    <cellStyle name="Millares 7 2 4 2 4 2" xfId="45814" xr:uid="{00000000-0005-0000-0000-000098450000}"/>
    <cellStyle name="Millares 7 2 4 2 5" xfId="32252" xr:uid="{00000000-0005-0000-0000-000099450000}"/>
    <cellStyle name="Millares 7 2 4 3" xfId="8492" xr:uid="{00000000-0005-0000-0000-00009A450000}"/>
    <cellStyle name="Millares 7 2 4 3 2" xfId="15282" xr:uid="{00000000-0005-0000-0000-00009B450000}"/>
    <cellStyle name="Millares 7 2 4 3 2 2" xfId="28850" xr:uid="{00000000-0005-0000-0000-00009C450000}"/>
    <cellStyle name="Millares 7 2 4 3 2 2 2" xfId="55983" xr:uid="{00000000-0005-0000-0000-00009D450000}"/>
    <cellStyle name="Millares 7 2 4 3 2 3" xfId="42421" xr:uid="{00000000-0005-0000-0000-00009E450000}"/>
    <cellStyle name="Millares 7 2 4 3 3" xfId="22069" xr:uid="{00000000-0005-0000-0000-00009F450000}"/>
    <cellStyle name="Millares 7 2 4 3 3 2" xfId="49202" xr:uid="{00000000-0005-0000-0000-0000A0450000}"/>
    <cellStyle name="Millares 7 2 4 3 4" xfId="35640" xr:uid="{00000000-0005-0000-0000-0000A1450000}"/>
    <cellStyle name="Millares 7 2 4 4" xfId="11893" xr:uid="{00000000-0005-0000-0000-0000A2450000}"/>
    <cellStyle name="Millares 7 2 4 4 2" xfId="25461" xr:uid="{00000000-0005-0000-0000-0000A3450000}"/>
    <cellStyle name="Millares 7 2 4 4 2 2" xfId="52594" xr:uid="{00000000-0005-0000-0000-0000A4450000}"/>
    <cellStyle name="Millares 7 2 4 4 3" xfId="39032" xr:uid="{00000000-0005-0000-0000-0000A5450000}"/>
    <cellStyle name="Millares 7 2 4 5" xfId="18680" xr:uid="{00000000-0005-0000-0000-0000A6450000}"/>
    <cellStyle name="Millares 7 2 4 5 2" xfId="45813" xr:uid="{00000000-0005-0000-0000-0000A7450000}"/>
    <cellStyle name="Millares 7 2 4 6" xfId="32251" xr:uid="{00000000-0005-0000-0000-0000A8450000}"/>
    <cellStyle name="Millares 7 2 5" xfId="4899" xr:uid="{00000000-0005-0000-0000-0000A9450000}"/>
    <cellStyle name="Millares 7 2 5 2" xfId="8494" xr:uid="{00000000-0005-0000-0000-0000AA450000}"/>
    <cellStyle name="Millares 7 2 5 2 2" xfId="15284" xr:uid="{00000000-0005-0000-0000-0000AB450000}"/>
    <cellStyle name="Millares 7 2 5 2 2 2" xfId="28852" xr:uid="{00000000-0005-0000-0000-0000AC450000}"/>
    <cellStyle name="Millares 7 2 5 2 2 2 2" xfId="55985" xr:uid="{00000000-0005-0000-0000-0000AD450000}"/>
    <cellStyle name="Millares 7 2 5 2 2 3" xfId="42423" xr:uid="{00000000-0005-0000-0000-0000AE450000}"/>
    <cellStyle name="Millares 7 2 5 2 3" xfId="22071" xr:uid="{00000000-0005-0000-0000-0000AF450000}"/>
    <cellStyle name="Millares 7 2 5 2 3 2" xfId="49204" xr:uid="{00000000-0005-0000-0000-0000B0450000}"/>
    <cellStyle name="Millares 7 2 5 2 4" xfId="35642" xr:uid="{00000000-0005-0000-0000-0000B1450000}"/>
    <cellStyle name="Millares 7 2 5 3" xfId="11895" xr:uid="{00000000-0005-0000-0000-0000B2450000}"/>
    <cellStyle name="Millares 7 2 5 3 2" xfId="25463" xr:uid="{00000000-0005-0000-0000-0000B3450000}"/>
    <cellStyle name="Millares 7 2 5 3 2 2" xfId="52596" xr:uid="{00000000-0005-0000-0000-0000B4450000}"/>
    <cellStyle name="Millares 7 2 5 3 3" xfId="39034" xr:uid="{00000000-0005-0000-0000-0000B5450000}"/>
    <cellStyle name="Millares 7 2 5 4" xfId="18682" xr:uid="{00000000-0005-0000-0000-0000B6450000}"/>
    <cellStyle name="Millares 7 2 5 4 2" xfId="45815" xr:uid="{00000000-0005-0000-0000-0000B7450000}"/>
    <cellStyle name="Millares 7 2 5 5" xfId="32253" xr:uid="{00000000-0005-0000-0000-0000B8450000}"/>
    <cellStyle name="Millares 7 2 6" xfId="4900" xr:uid="{00000000-0005-0000-0000-0000B9450000}"/>
    <cellStyle name="Millares 7 2 6 2" xfId="8495" xr:uid="{00000000-0005-0000-0000-0000BA450000}"/>
    <cellStyle name="Millares 7 2 6 2 2" xfId="15285" xr:uid="{00000000-0005-0000-0000-0000BB450000}"/>
    <cellStyle name="Millares 7 2 6 2 2 2" xfId="28853" xr:uid="{00000000-0005-0000-0000-0000BC450000}"/>
    <cellStyle name="Millares 7 2 6 2 2 2 2" xfId="55986" xr:uid="{00000000-0005-0000-0000-0000BD450000}"/>
    <cellStyle name="Millares 7 2 6 2 2 3" xfId="42424" xr:uid="{00000000-0005-0000-0000-0000BE450000}"/>
    <cellStyle name="Millares 7 2 6 2 3" xfId="22072" xr:uid="{00000000-0005-0000-0000-0000BF450000}"/>
    <cellStyle name="Millares 7 2 6 2 3 2" xfId="49205" xr:uid="{00000000-0005-0000-0000-0000C0450000}"/>
    <cellStyle name="Millares 7 2 6 2 4" xfId="35643" xr:uid="{00000000-0005-0000-0000-0000C1450000}"/>
    <cellStyle name="Millares 7 2 6 3" xfId="11896" xr:uid="{00000000-0005-0000-0000-0000C2450000}"/>
    <cellStyle name="Millares 7 2 6 3 2" xfId="25464" xr:uid="{00000000-0005-0000-0000-0000C3450000}"/>
    <cellStyle name="Millares 7 2 6 3 2 2" xfId="52597" xr:uid="{00000000-0005-0000-0000-0000C4450000}"/>
    <cellStyle name="Millares 7 2 6 3 3" xfId="39035" xr:uid="{00000000-0005-0000-0000-0000C5450000}"/>
    <cellStyle name="Millares 7 2 6 4" xfId="18683" xr:uid="{00000000-0005-0000-0000-0000C6450000}"/>
    <cellStyle name="Millares 7 2 6 4 2" xfId="45816" xr:uid="{00000000-0005-0000-0000-0000C7450000}"/>
    <cellStyle name="Millares 7 2 6 5" xfId="32254" xr:uid="{00000000-0005-0000-0000-0000C8450000}"/>
    <cellStyle name="Millares 7 3" xfId="4901" xr:uid="{00000000-0005-0000-0000-0000C9450000}"/>
    <cellStyle name="Millares 7 3 2" xfId="4902" xr:uid="{00000000-0005-0000-0000-0000CA450000}"/>
    <cellStyle name="Millares 7 3 2 2" xfId="4903" xr:uid="{00000000-0005-0000-0000-0000CB450000}"/>
    <cellStyle name="Millares 7 3 2 2 2" xfId="8498" xr:uid="{00000000-0005-0000-0000-0000CC450000}"/>
    <cellStyle name="Millares 7 3 2 2 2 2" xfId="15288" xr:uid="{00000000-0005-0000-0000-0000CD450000}"/>
    <cellStyle name="Millares 7 3 2 2 2 2 2" xfId="28856" xr:uid="{00000000-0005-0000-0000-0000CE450000}"/>
    <cellStyle name="Millares 7 3 2 2 2 2 2 2" xfId="55989" xr:uid="{00000000-0005-0000-0000-0000CF450000}"/>
    <cellStyle name="Millares 7 3 2 2 2 2 3" xfId="42427" xr:uid="{00000000-0005-0000-0000-0000D0450000}"/>
    <cellStyle name="Millares 7 3 2 2 2 3" xfId="22075" xr:uid="{00000000-0005-0000-0000-0000D1450000}"/>
    <cellStyle name="Millares 7 3 2 2 2 3 2" xfId="49208" xr:uid="{00000000-0005-0000-0000-0000D2450000}"/>
    <cellStyle name="Millares 7 3 2 2 2 4" xfId="35646" xr:uid="{00000000-0005-0000-0000-0000D3450000}"/>
    <cellStyle name="Millares 7 3 2 2 3" xfId="11899" xr:uid="{00000000-0005-0000-0000-0000D4450000}"/>
    <cellStyle name="Millares 7 3 2 2 3 2" xfId="25467" xr:uid="{00000000-0005-0000-0000-0000D5450000}"/>
    <cellStyle name="Millares 7 3 2 2 3 2 2" xfId="52600" xr:uid="{00000000-0005-0000-0000-0000D6450000}"/>
    <cellStyle name="Millares 7 3 2 2 3 3" xfId="39038" xr:uid="{00000000-0005-0000-0000-0000D7450000}"/>
    <cellStyle name="Millares 7 3 2 2 4" xfId="18686" xr:uid="{00000000-0005-0000-0000-0000D8450000}"/>
    <cellStyle name="Millares 7 3 2 2 4 2" xfId="45819" xr:uid="{00000000-0005-0000-0000-0000D9450000}"/>
    <cellStyle name="Millares 7 3 2 2 5" xfId="32257" xr:uid="{00000000-0005-0000-0000-0000DA450000}"/>
    <cellStyle name="Millares 7 3 2 3" xfId="4904" xr:uid="{00000000-0005-0000-0000-0000DB450000}"/>
    <cellStyle name="Millares 7 3 2 3 2" xfId="8499" xr:uid="{00000000-0005-0000-0000-0000DC450000}"/>
    <cellStyle name="Millares 7 3 2 3 2 2" xfId="15289" xr:uid="{00000000-0005-0000-0000-0000DD450000}"/>
    <cellStyle name="Millares 7 3 2 3 2 2 2" xfId="28857" xr:uid="{00000000-0005-0000-0000-0000DE450000}"/>
    <cellStyle name="Millares 7 3 2 3 2 2 2 2" xfId="55990" xr:uid="{00000000-0005-0000-0000-0000DF450000}"/>
    <cellStyle name="Millares 7 3 2 3 2 2 3" xfId="42428" xr:uid="{00000000-0005-0000-0000-0000E0450000}"/>
    <cellStyle name="Millares 7 3 2 3 2 3" xfId="22076" xr:uid="{00000000-0005-0000-0000-0000E1450000}"/>
    <cellStyle name="Millares 7 3 2 3 2 3 2" xfId="49209" xr:uid="{00000000-0005-0000-0000-0000E2450000}"/>
    <cellStyle name="Millares 7 3 2 3 2 4" xfId="35647" xr:uid="{00000000-0005-0000-0000-0000E3450000}"/>
    <cellStyle name="Millares 7 3 2 3 3" xfId="11900" xr:uid="{00000000-0005-0000-0000-0000E4450000}"/>
    <cellStyle name="Millares 7 3 2 3 3 2" xfId="25468" xr:uid="{00000000-0005-0000-0000-0000E5450000}"/>
    <cellStyle name="Millares 7 3 2 3 3 2 2" xfId="52601" xr:uid="{00000000-0005-0000-0000-0000E6450000}"/>
    <cellStyle name="Millares 7 3 2 3 3 3" xfId="39039" xr:uid="{00000000-0005-0000-0000-0000E7450000}"/>
    <cellStyle name="Millares 7 3 2 3 4" xfId="18687" xr:uid="{00000000-0005-0000-0000-0000E8450000}"/>
    <cellStyle name="Millares 7 3 2 3 4 2" xfId="45820" xr:uid="{00000000-0005-0000-0000-0000E9450000}"/>
    <cellStyle name="Millares 7 3 2 3 5" xfId="32258" xr:uid="{00000000-0005-0000-0000-0000EA450000}"/>
    <cellStyle name="Millares 7 3 2 4" xfId="8497" xr:uid="{00000000-0005-0000-0000-0000EB450000}"/>
    <cellStyle name="Millares 7 3 2 4 2" xfId="15287" xr:uid="{00000000-0005-0000-0000-0000EC450000}"/>
    <cellStyle name="Millares 7 3 2 4 2 2" xfId="28855" xr:uid="{00000000-0005-0000-0000-0000ED450000}"/>
    <cellStyle name="Millares 7 3 2 4 2 2 2" xfId="55988" xr:uid="{00000000-0005-0000-0000-0000EE450000}"/>
    <cellStyle name="Millares 7 3 2 4 2 3" xfId="42426" xr:uid="{00000000-0005-0000-0000-0000EF450000}"/>
    <cellStyle name="Millares 7 3 2 4 3" xfId="22074" xr:uid="{00000000-0005-0000-0000-0000F0450000}"/>
    <cellStyle name="Millares 7 3 2 4 3 2" xfId="49207" xr:uid="{00000000-0005-0000-0000-0000F1450000}"/>
    <cellStyle name="Millares 7 3 2 4 4" xfId="35645" xr:uid="{00000000-0005-0000-0000-0000F2450000}"/>
    <cellStyle name="Millares 7 3 2 5" xfId="11898" xr:uid="{00000000-0005-0000-0000-0000F3450000}"/>
    <cellStyle name="Millares 7 3 2 5 2" xfId="25466" xr:uid="{00000000-0005-0000-0000-0000F4450000}"/>
    <cellStyle name="Millares 7 3 2 5 2 2" xfId="52599" xr:uid="{00000000-0005-0000-0000-0000F5450000}"/>
    <cellStyle name="Millares 7 3 2 5 3" xfId="39037" xr:uid="{00000000-0005-0000-0000-0000F6450000}"/>
    <cellStyle name="Millares 7 3 2 6" xfId="18685" xr:uid="{00000000-0005-0000-0000-0000F7450000}"/>
    <cellStyle name="Millares 7 3 2 6 2" xfId="45818" xr:uid="{00000000-0005-0000-0000-0000F8450000}"/>
    <cellStyle name="Millares 7 3 2 7" xfId="32256" xr:uid="{00000000-0005-0000-0000-0000F9450000}"/>
    <cellStyle name="Millares 7 3 3" xfId="4905" xr:uid="{00000000-0005-0000-0000-0000FA450000}"/>
    <cellStyle name="Millares 7 3 3 2" xfId="4906" xr:uid="{00000000-0005-0000-0000-0000FB450000}"/>
    <cellStyle name="Millares 7 3 3 2 2" xfId="8501" xr:uid="{00000000-0005-0000-0000-0000FC450000}"/>
    <cellStyle name="Millares 7 3 3 2 2 2" xfId="15291" xr:uid="{00000000-0005-0000-0000-0000FD450000}"/>
    <cellStyle name="Millares 7 3 3 2 2 2 2" xfId="28859" xr:uid="{00000000-0005-0000-0000-0000FE450000}"/>
    <cellStyle name="Millares 7 3 3 2 2 2 2 2" xfId="55992" xr:uid="{00000000-0005-0000-0000-0000FF450000}"/>
    <cellStyle name="Millares 7 3 3 2 2 2 3" xfId="42430" xr:uid="{00000000-0005-0000-0000-000000460000}"/>
    <cellStyle name="Millares 7 3 3 2 2 3" xfId="22078" xr:uid="{00000000-0005-0000-0000-000001460000}"/>
    <cellStyle name="Millares 7 3 3 2 2 3 2" xfId="49211" xr:uid="{00000000-0005-0000-0000-000002460000}"/>
    <cellStyle name="Millares 7 3 3 2 2 4" xfId="35649" xr:uid="{00000000-0005-0000-0000-000003460000}"/>
    <cellStyle name="Millares 7 3 3 2 3" xfId="11902" xr:uid="{00000000-0005-0000-0000-000004460000}"/>
    <cellStyle name="Millares 7 3 3 2 3 2" xfId="25470" xr:uid="{00000000-0005-0000-0000-000005460000}"/>
    <cellStyle name="Millares 7 3 3 2 3 2 2" xfId="52603" xr:uid="{00000000-0005-0000-0000-000006460000}"/>
    <cellStyle name="Millares 7 3 3 2 3 3" xfId="39041" xr:uid="{00000000-0005-0000-0000-000007460000}"/>
    <cellStyle name="Millares 7 3 3 2 4" xfId="18689" xr:uid="{00000000-0005-0000-0000-000008460000}"/>
    <cellStyle name="Millares 7 3 3 2 4 2" xfId="45822" xr:uid="{00000000-0005-0000-0000-000009460000}"/>
    <cellStyle name="Millares 7 3 3 2 5" xfId="32260" xr:uid="{00000000-0005-0000-0000-00000A460000}"/>
    <cellStyle name="Millares 7 3 3 3" xfId="8500" xr:uid="{00000000-0005-0000-0000-00000B460000}"/>
    <cellStyle name="Millares 7 3 3 3 2" xfId="15290" xr:uid="{00000000-0005-0000-0000-00000C460000}"/>
    <cellStyle name="Millares 7 3 3 3 2 2" xfId="28858" xr:uid="{00000000-0005-0000-0000-00000D460000}"/>
    <cellStyle name="Millares 7 3 3 3 2 2 2" xfId="55991" xr:uid="{00000000-0005-0000-0000-00000E460000}"/>
    <cellStyle name="Millares 7 3 3 3 2 3" xfId="42429" xr:uid="{00000000-0005-0000-0000-00000F460000}"/>
    <cellStyle name="Millares 7 3 3 3 3" xfId="22077" xr:uid="{00000000-0005-0000-0000-000010460000}"/>
    <cellStyle name="Millares 7 3 3 3 3 2" xfId="49210" xr:uid="{00000000-0005-0000-0000-000011460000}"/>
    <cellStyle name="Millares 7 3 3 3 4" xfId="35648" xr:uid="{00000000-0005-0000-0000-000012460000}"/>
    <cellStyle name="Millares 7 3 3 4" xfId="11901" xr:uid="{00000000-0005-0000-0000-000013460000}"/>
    <cellStyle name="Millares 7 3 3 4 2" xfId="25469" xr:uid="{00000000-0005-0000-0000-000014460000}"/>
    <cellStyle name="Millares 7 3 3 4 2 2" xfId="52602" xr:uid="{00000000-0005-0000-0000-000015460000}"/>
    <cellStyle name="Millares 7 3 3 4 3" xfId="39040" xr:uid="{00000000-0005-0000-0000-000016460000}"/>
    <cellStyle name="Millares 7 3 3 5" xfId="18688" xr:uid="{00000000-0005-0000-0000-000017460000}"/>
    <cellStyle name="Millares 7 3 3 5 2" xfId="45821" xr:uid="{00000000-0005-0000-0000-000018460000}"/>
    <cellStyle name="Millares 7 3 3 6" xfId="32259" xr:uid="{00000000-0005-0000-0000-000019460000}"/>
    <cellStyle name="Millares 7 3 4" xfId="4907" xr:uid="{00000000-0005-0000-0000-00001A460000}"/>
    <cellStyle name="Millares 7 3 4 2" xfId="8502" xr:uid="{00000000-0005-0000-0000-00001B460000}"/>
    <cellStyle name="Millares 7 3 4 2 2" xfId="15292" xr:uid="{00000000-0005-0000-0000-00001C460000}"/>
    <cellStyle name="Millares 7 3 4 2 2 2" xfId="28860" xr:uid="{00000000-0005-0000-0000-00001D460000}"/>
    <cellStyle name="Millares 7 3 4 2 2 2 2" xfId="55993" xr:uid="{00000000-0005-0000-0000-00001E460000}"/>
    <cellStyle name="Millares 7 3 4 2 2 3" xfId="42431" xr:uid="{00000000-0005-0000-0000-00001F460000}"/>
    <cellStyle name="Millares 7 3 4 2 3" xfId="22079" xr:uid="{00000000-0005-0000-0000-000020460000}"/>
    <cellStyle name="Millares 7 3 4 2 3 2" xfId="49212" xr:uid="{00000000-0005-0000-0000-000021460000}"/>
    <cellStyle name="Millares 7 3 4 2 4" xfId="35650" xr:uid="{00000000-0005-0000-0000-000022460000}"/>
    <cellStyle name="Millares 7 3 4 3" xfId="11903" xr:uid="{00000000-0005-0000-0000-000023460000}"/>
    <cellStyle name="Millares 7 3 4 3 2" xfId="25471" xr:uid="{00000000-0005-0000-0000-000024460000}"/>
    <cellStyle name="Millares 7 3 4 3 2 2" xfId="52604" xr:uid="{00000000-0005-0000-0000-000025460000}"/>
    <cellStyle name="Millares 7 3 4 3 3" xfId="39042" xr:uid="{00000000-0005-0000-0000-000026460000}"/>
    <cellStyle name="Millares 7 3 4 4" xfId="18690" xr:uid="{00000000-0005-0000-0000-000027460000}"/>
    <cellStyle name="Millares 7 3 4 4 2" xfId="45823" xr:uid="{00000000-0005-0000-0000-000028460000}"/>
    <cellStyle name="Millares 7 3 4 5" xfId="32261" xr:uid="{00000000-0005-0000-0000-000029460000}"/>
    <cellStyle name="Millares 7 3 5" xfId="4908" xr:uid="{00000000-0005-0000-0000-00002A460000}"/>
    <cellStyle name="Millares 7 3 5 2" xfId="8503" xr:uid="{00000000-0005-0000-0000-00002B460000}"/>
    <cellStyle name="Millares 7 3 5 2 2" xfId="15293" xr:uid="{00000000-0005-0000-0000-00002C460000}"/>
    <cellStyle name="Millares 7 3 5 2 2 2" xfId="28861" xr:uid="{00000000-0005-0000-0000-00002D460000}"/>
    <cellStyle name="Millares 7 3 5 2 2 2 2" xfId="55994" xr:uid="{00000000-0005-0000-0000-00002E460000}"/>
    <cellStyle name="Millares 7 3 5 2 2 3" xfId="42432" xr:uid="{00000000-0005-0000-0000-00002F460000}"/>
    <cellStyle name="Millares 7 3 5 2 3" xfId="22080" xr:uid="{00000000-0005-0000-0000-000030460000}"/>
    <cellStyle name="Millares 7 3 5 2 3 2" xfId="49213" xr:uid="{00000000-0005-0000-0000-000031460000}"/>
    <cellStyle name="Millares 7 3 5 2 4" xfId="35651" xr:uid="{00000000-0005-0000-0000-000032460000}"/>
    <cellStyle name="Millares 7 3 5 3" xfId="11904" xr:uid="{00000000-0005-0000-0000-000033460000}"/>
    <cellStyle name="Millares 7 3 5 3 2" xfId="25472" xr:uid="{00000000-0005-0000-0000-000034460000}"/>
    <cellStyle name="Millares 7 3 5 3 2 2" xfId="52605" xr:uid="{00000000-0005-0000-0000-000035460000}"/>
    <cellStyle name="Millares 7 3 5 3 3" xfId="39043" xr:uid="{00000000-0005-0000-0000-000036460000}"/>
    <cellStyle name="Millares 7 3 5 4" xfId="18691" xr:uid="{00000000-0005-0000-0000-000037460000}"/>
    <cellStyle name="Millares 7 3 5 4 2" xfId="45824" xr:uid="{00000000-0005-0000-0000-000038460000}"/>
    <cellStyle name="Millares 7 3 5 5" xfId="32262" xr:uid="{00000000-0005-0000-0000-000039460000}"/>
    <cellStyle name="Millares 7 3 6" xfId="8496" xr:uid="{00000000-0005-0000-0000-00003A460000}"/>
    <cellStyle name="Millares 7 3 6 2" xfId="15286" xr:uid="{00000000-0005-0000-0000-00003B460000}"/>
    <cellStyle name="Millares 7 3 6 2 2" xfId="28854" xr:uid="{00000000-0005-0000-0000-00003C460000}"/>
    <cellStyle name="Millares 7 3 6 2 2 2" xfId="55987" xr:uid="{00000000-0005-0000-0000-00003D460000}"/>
    <cellStyle name="Millares 7 3 6 2 3" xfId="42425" xr:uid="{00000000-0005-0000-0000-00003E460000}"/>
    <cellStyle name="Millares 7 3 6 3" xfId="22073" xr:uid="{00000000-0005-0000-0000-00003F460000}"/>
    <cellStyle name="Millares 7 3 6 3 2" xfId="49206" xr:uid="{00000000-0005-0000-0000-000040460000}"/>
    <cellStyle name="Millares 7 3 6 4" xfId="35644" xr:uid="{00000000-0005-0000-0000-000041460000}"/>
    <cellStyle name="Millares 7 3 7" xfId="11897" xr:uid="{00000000-0005-0000-0000-000042460000}"/>
    <cellStyle name="Millares 7 3 7 2" xfId="25465" xr:uid="{00000000-0005-0000-0000-000043460000}"/>
    <cellStyle name="Millares 7 3 7 2 2" xfId="52598" xr:uid="{00000000-0005-0000-0000-000044460000}"/>
    <cellStyle name="Millares 7 3 7 3" xfId="39036" xr:uid="{00000000-0005-0000-0000-000045460000}"/>
    <cellStyle name="Millares 7 3 8" xfId="18684" xr:uid="{00000000-0005-0000-0000-000046460000}"/>
    <cellStyle name="Millares 7 3 8 2" xfId="45817" xr:uid="{00000000-0005-0000-0000-000047460000}"/>
    <cellStyle name="Millares 7 3 9" xfId="32255" xr:uid="{00000000-0005-0000-0000-000048460000}"/>
    <cellStyle name="Millares 7 4" xfId="4909" xr:uid="{00000000-0005-0000-0000-000049460000}"/>
    <cellStyle name="Millares 7 4 2" xfId="4910" xr:uid="{00000000-0005-0000-0000-00004A460000}"/>
    <cellStyle name="Millares 7 4 2 2" xfId="4911" xr:uid="{00000000-0005-0000-0000-00004B460000}"/>
    <cellStyle name="Millares 7 4 2 2 2" xfId="8506" xr:uid="{00000000-0005-0000-0000-00004C460000}"/>
    <cellStyle name="Millares 7 4 2 2 2 2" xfId="15296" xr:uid="{00000000-0005-0000-0000-00004D460000}"/>
    <cellStyle name="Millares 7 4 2 2 2 2 2" xfId="28864" xr:uid="{00000000-0005-0000-0000-00004E460000}"/>
    <cellStyle name="Millares 7 4 2 2 2 2 2 2" xfId="55997" xr:uid="{00000000-0005-0000-0000-00004F460000}"/>
    <cellStyle name="Millares 7 4 2 2 2 2 3" xfId="42435" xr:uid="{00000000-0005-0000-0000-000050460000}"/>
    <cellStyle name="Millares 7 4 2 2 2 3" xfId="22083" xr:uid="{00000000-0005-0000-0000-000051460000}"/>
    <cellStyle name="Millares 7 4 2 2 2 3 2" xfId="49216" xr:uid="{00000000-0005-0000-0000-000052460000}"/>
    <cellStyle name="Millares 7 4 2 2 2 4" xfId="35654" xr:uid="{00000000-0005-0000-0000-000053460000}"/>
    <cellStyle name="Millares 7 4 2 2 3" xfId="11907" xr:uid="{00000000-0005-0000-0000-000054460000}"/>
    <cellStyle name="Millares 7 4 2 2 3 2" xfId="25475" xr:uid="{00000000-0005-0000-0000-000055460000}"/>
    <cellStyle name="Millares 7 4 2 2 3 2 2" xfId="52608" xr:uid="{00000000-0005-0000-0000-000056460000}"/>
    <cellStyle name="Millares 7 4 2 2 3 3" xfId="39046" xr:uid="{00000000-0005-0000-0000-000057460000}"/>
    <cellStyle name="Millares 7 4 2 2 4" xfId="18694" xr:uid="{00000000-0005-0000-0000-000058460000}"/>
    <cellStyle name="Millares 7 4 2 2 4 2" xfId="45827" xr:uid="{00000000-0005-0000-0000-000059460000}"/>
    <cellStyle name="Millares 7 4 2 2 5" xfId="32265" xr:uid="{00000000-0005-0000-0000-00005A460000}"/>
    <cellStyle name="Millares 7 4 2 3" xfId="4912" xr:uid="{00000000-0005-0000-0000-00005B460000}"/>
    <cellStyle name="Millares 7 4 2 3 2" xfId="8507" xr:uid="{00000000-0005-0000-0000-00005C460000}"/>
    <cellStyle name="Millares 7 4 2 3 2 2" xfId="15297" xr:uid="{00000000-0005-0000-0000-00005D460000}"/>
    <cellStyle name="Millares 7 4 2 3 2 2 2" xfId="28865" xr:uid="{00000000-0005-0000-0000-00005E460000}"/>
    <cellStyle name="Millares 7 4 2 3 2 2 2 2" xfId="55998" xr:uid="{00000000-0005-0000-0000-00005F460000}"/>
    <cellStyle name="Millares 7 4 2 3 2 2 3" xfId="42436" xr:uid="{00000000-0005-0000-0000-000060460000}"/>
    <cellStyle name="Millares 7 4 2 3 2 3" xfId="22084" xr:uid="{00000000-0005-0000-0000-000061460000}"/>
    <cellStyle name="Millares 7 4 2 3 2 3 2" xfId="49217" xr:uid="{00000000-0005-0000-0000-000062460000}"/>
    <cellStyle name="Millares 7 4 2 3 2 4" xfId="35655" xr:uid="{00000000-0005-0000-0000-000063460000}"/>
    <cellStyle name="Millares 7 4 2 3 3" xfId="11908" xr:uid="{00000000-0005-0000-0000-000064460000}"/>
    <cellStyle name="Millares 7 4 2 3 3 2" xfId="25476" xr:uid="{00000000-0005-0000-0000-000065460000}"/>
    <cellStyle name="Millares 7 4 2 3 3 2 2" xfId="52609" xr:uid="{00000000-0005-0000-0000-000066460000}"/>
    <cellStyle name="Millares 7 4 2 3 3 3" xfId="39047" xr:uid="{00000000-0005-0000-0000-000067460000}"/>
    <cellStyle name="Millares 7 4 2 3 4" xfId="18695" xr:uid="{00000000-0005-0000-0000-000068460000}"/>
    <cellStyle name="Millares 7 4 2 3 4 2" xfId="45828" xr:uid="{00000000-0005-0000-0000-000069460000}"/>
    <cellStyle name="Millares 7 4 2 3 5" xfId="32266" xr:uid="{00000000-0005-0000-0000-00006A460000}"/>
    <cellStyle name="Millares 7 4 2 4" xfId="8505" xr:uid="{00000000-0005-0000-0000-00006B460000}"/>
    <cellStyle name="Millares 7 4 2 4 2" xfId="15295" xr:uid="{00000000-0005-0000-0000-00006C460000}"/>
    <cellStyle name="Millares 7 4 2 4 2 2" xfId="28863" xr:uid="{00000000-0005-0000-0000-00006D460000}"/>
    <cellStyle name="Millares 7 4 2 4 2 2 2" xfId="55996" xr:uid="{00000000-0005-0000-0000-00006E460000}"/>
    <cellStyle name="Millares 7 4 2 4 2 3" xfId="42434" xr:uid="{00000000-0005-0000-0000-00006F460000}"/>
    <cellStyle name="Millares 7 4 2 4 3" xfId="22082" xr:uid="{00000000-0005-0000-0000-000070460000}"/>
    <cellStyle name="Millares 7 4 2 4 3 2" xfId="49215" xr:uid="{00000000-0005-0000-0000-000071460000}"/>
    <cellStyle name="Millares 7 4 2 4 4" xfId="35653" xr:uid="{00000000-0005-0000-0000-000072460000}"/>
    <cellStyle name="Millares 7 4 2 5" xfId="11906" xr:uid="{00000000-0005-0000-0000-000073460000}"/>
    <cellStyle name="Millares 7 4 2 5 2" xfId="25474" xr:uid="{00000000-0005-0000-0000-000074460000}"/>
    <cellStyle name="Millares 7 4 2 5 2 2" xfId="52607" xr:uid="{00000000-0005-0000-0000-000075460000}"/>
    <cellStyle name="Millares 7 4 2 5 3" xfId="39045" xr:uid="{00000000-0005-0000-0000-000076460000}"/>
    <cellStyle name="Millares 7 4 2 6" xfId="18693" xr:uid="{00000000-0005-0000-0000-000077460000}"/>
    <cellStyle name="Millares 7 4 2 6 2" xfId="45826" xr:uid="{00000000-0005-0000-0000-000078460000}"/>
    <cellStyle name="Millares 7 4 2 7" xfId="32264" xr:uid="{00000000-0005-0000-0000-000079460000}"/>
    <cellStyle name="Millares 7 4 3" xfId="4913" xr:uid="{00000000-0005-0000-0000-00007A460000}"/>
    <cellStyle name="Millares 7 4 3 2" xfId="8508" xr:uid="{00000000-0005-0000-0000-00007B460000}"/>
    <cellStyle name="Millares 7 4 3 2 2" xfId="15298" xr:uid="{00000000-0005-0000-0000-00007C460000}"/>
    <cellStyle name="Millares 7 4 3 2 2 2" xfId="28866" xr:uid="{00000000-0005-0000-0000-00007D460000}"/>
    <cellStyle name="Millares 7 4 3 2 2 2 2" xfId="55999" xr:uid="{00000000-0005-0000-0000-00007E460000}"/>
    <cellStyle name="Millares 7 4 3 2 2 3" xfId="42437" xr:uid="{00000000-0005-0000-0000-00007F460000}"/>
    <cellStyle name="Millares 7 4 3 2 3" xfId="22085" xr:uid="{00000000-0005-0000-0000-000080460000}"/>
    <cellStyle name="Millares 7 4 3 2 3 2" xfId="49218" xr:uid="{00000000-0005-0000-0000-000081460000}"/>
    <cellStyle name="Millares 7 4 3 2 4" xfId="35656" xr:uid="{00000000-0005-0000-0000-000082460000}"/>
    <cellStyle name="Millares 7 4 3 3" xfId="11909" xr:uid="{00000000-0005-0000-0000-000083460000}"/>
    <cellStyle name="Millares 7 4 3 3 2" xfId="25477" xr:uid="{00000000-0005-0000-0000-000084460000}"/>
    <cellStyle name="Millares 7 4 3 3 2 2" xfId="52610" xr:uid="{00000000-0005-0000-0000-000085460000}"/>
    <cellStyle name="Millares 7 4 3 3 3" xfId="39048" xr:uid="{00000000-0005-0000-0000-000086460000}"/>
    <cellStyle name="Millares 7 4 3 4" xfId="18696" xr:uid="{00000000-0005-0000-0000-000087460000}"/>
    <cellStyle name="Millares 7 4 3 4 2" xfId="45829" xr:uid="{00000000-0005-0000-0000-000088460000}"/>
    <cellStyle name="Millares 7 4 3 5" xfId="32267" xr:uid="{00000000-0005-0000-0000-000089460000}"/>
    <cellStyle name="Millares 7 4 4" xfId="4914" xr:uid="{00000000-0005-0000-0000-00008A460000}"/>
    <cellStyle name="Millares 7 4 4 2" xfId="8509" xr:uid="{00000000-0005-0000-0000-00008B460000}"/>
    <cellStyle name="Millares 7 4 4 2 2" xfId="15299" xr:uid="{00000000-0005-0000-0000-00008C460000}"/>
    <cellStyle name="Millares 7 4 4 2 2 2" xfId="28867" xr:uid="{00000000-0005-0000-0000-00008D460000}"/>
    <cellStyle name="Millares 7 4 4 2 2 2 2" xfId="56000" xr:uid="{00000000-0005-0000-0000-00008E460000}"/>
    <cellStyle name="Millares 7 4 4 2 2 3" xfId="42438" xr:uid="{00000000-0005-0000-0000-00008F460000}"/>
    <cellStyle name="Millares 7 4 4 2 3" xfId="22086" xr:uid="{00000000-0005-0000-0000-000090460000}"/>
    <cellStyle name="Millares 7 4 4 2 3 2" xfId="49219" xr:uid="{00000000-0005-0000-0000-000091460000}"/>
    <cellStyle name="Millares 7 4 4 2 4" xfId="35657" xr:uid="{00000000-0005-0000-0000-000092460000}"/>
    <cellStyle name="Millares 7 4 4 3" xfId="11910" xr:uid="{00000000-0005-0000-0000-000093460000}"/>
    <cellStyle name="Millares 7 4 4 3 2" xfId="25478" xr:uid="{00000000-0005-0000-0000-000094460000}"/>
    <cellStyle name="Millares 7 4 4 3 2 2" xfId="52611" xr:uid="{00000000-0005-0000-0000-000095460000}"/>
    <cellStyle name="Millares 7 4 4 3 3" xfId="39049" xr:uid="{00000000-0005-0000-0000-000096460000}"/>
    <cellStyle name="Millares 7 4 4 4" xfId="18697" xr:uid="{00000000-0005-0000-0000-000097460000}"/>
    <cellStyle name="Millares 7 4 4 4 2" xfId="45830" xr:uid="{00000000-0005-0000-0000-000098460000}"/>
    <cellStyle name="Millares 7 4 4 5" xfId="32268" xr:uid="{00000000-0005-0000-0000-000099460000}"/>
    <cellStyle name="Millares 7 4 5" xfId="8504" xr:uid="{00000000-0005-0000-0000-00009A460000}"/>
    <cellStyle name="Millares 7 4 5 2" xfId="15294" xr:uid="{00000000-0005-0000-0000-00009B460000}"/>
    <cellStyle name="Millares 7 4 5 2 2" xfId="28862" xr:uid="{00000000-0005-0000-0000-00009C460000}"/>
    <cellStyle name="Millares 7 4 5 2 2 2" xfId="55995" xr:uid="{00000000-0005-0000-0000-00009D460000}"/>
    <cellStyle name="Millares 7 4 5 2 3" xfId="42433" xr:uid="{00000000-0005-0000-0000-00009E460000}"/>
    <cellStyle name="Millares 7 4 5 3" xfId="22081" xr:uid="{00000000-0005-0000-0000-00009F460000}"/>
    <cellStyle name="Millares 7 4 5 3 2" xfId="49214" xr:uid="{00000000-0005-0000-0000-0000A0460000}"/>
    <cellStyle name="Millares 7 4 5 4" xfId="35652" xr:uid="{00000000-0005-0000-0000-0000A1460000}"/>
    <cellStyle name="Millares 7 4 6" xfId="11905" xr:uid="{00000000-0005-0000-0000-0000A2460000}"/>
    <cellStyle name="Millares 7 4 6 2" xfId="25473" xr:uid="{00000000-0005-0000-0000-0000A3460000}"/>
    <cellStyle name="Millares 7 4 6 2 2" xfId="52606" xr:uid="{00000000-0005-0000-0000-0000A4460000}"/>
    <cellStyle name="Millares 7 4 6 3" xfId="39044" xr:uid="{00000000-0005-0000-0000-0000A5460000}"/>
    <cellStyle name="Millares 7 4 7" xfId="18692" xr:uid="{00000000-0005-0000-0000-0000A6460000}"/>
    <cellStyle name="Millares 7 4 7 2" xfId="45825" xr:uid="{00000000-0005-0000-0000-0000A7460000}"/>
    <cellStyle name="Millares 7 4 8" xfId="32263" xr:uid="{00000000-0005-0000-0000-0000A8460000}"/>
    <cellStyle name="Millares 7 5" xfId="4915" xr:uid="{00000000-0005-0000-0000-0000A9460000}"/>
    <cellStyle name="Millares 7 5 2" xfId="4916" xr:uid="{00000000-0005-0000-0000-0000AA460000}"/>
    <cellStyle name="Millares 7 5 2 2" xfId="8511" xr:uid="{00000000-0005-0000-0000-0000AB460000}"/>
    <cellStyle name="Millares 7 5 2 2 2" xfId="15301" xr:uid="{00000000-0005-0000-0000-0000AC460000}"/>
    <cellStyle name="Millares 7 5 2 2 2 2" xfId="28869" xr:uid="{00000000-0005-0000-0000-0000AD460000}"/>
    <cellStyle name="Millares 7 5 2 2 2 2 2" xfId="56002" xr:uid="{00000000-0005-0000-0000-0000AE460000}"/>
    <cellStyle name="Millares 7 5 2 2 2 3" xfId="42440" xr:uid="{00000000-0005-0000-0000-0000AF460000}"/>
    <cellStyle name="Millares 7 5 2 2 3" xfId="22088" xr:uid="{00000000-0005-0000-0000-0000B0460000}"/>
    <cellStyle name="Millares 7 5 2 2 3 2" xfId="49221" xr:uid="{00000000-0005-0000-0000-0000B1460000}"/>
    <cellStyle name="Millares 7 5 2 2 4" xfId="35659" xr:uid="{00000000-0005-0000-0000-0000B2460000}"/>
    <cellStyle name="Millares 7 5 2 3" xfId="11912" xr:uid="{00000000-0005-0000-0000-0000B3460000}"/>
    <cellStyle name="Millares 7 5 2 3 2" xfId="25480" xr:uid="{00000000-0005-0000-0000-0000B4460000}"/>
    <cellStyle name="Millares 7 5 2 3 2 2" xfId="52613" xr:uid="{00000000-0005-0000-0000-0000B5460000}"/>
    <cellStyle name="Millares 7 5 2 3 3" xfId="39051" xr:uid="{00000000-0005-0000-0000-0000B6460000}"/>
    <cellStyle name="Millares 7 5 2 4" xfId="18699" xr:uid="{00000000-0005-0000-0000-0000B7460000}"/>
    <cellStyle name="Millares 7 5 2 4 2" xfId="45832" xr:uid="{00000000-0005-0000-0000-0000B8460000}"/>
    <cellStyle name="Millares 7 5 2 5" xfId="32270" xr:uid="{00000000-0005-0000-0000-0000B9460000}"/>
    <cellStyle name="Millares 7 5 3" xfId="4917" xr:uid="{00000000-0005-0000-0000-0000BA460000}"/>
    <cellStyle name="Millares 7 5 3 2" xfId="8512" xr:uid="{00000000-0005-0000-0000-0000BB460000}"/>
    <cellStyle name="Millares 7 5 3 2 2" xfId="15302" xr:uid="{00000000-0005-0000-0000-0000BC460000}"/>
    <cellStyle name="Millares 7 5 3 2 2 2" xfId="28870" xr:uid="{00000000-0005-0000-0000-0000BD460000}"/>
    <cellStyle name="Millares 7 5 3 2 2 2 2" xfId="56003" xr:uid="{00000000-0005-0000-0000-0000BE460000}"/>
    <cellStyle name="Millares 7 5 3 2 2 3" xfId="42441" xr:uid="{00000000-0005-0000-0000-0000BF460000}"/>
    <cellStyle name="Millares 7 5 3 2 3" xfId="22089" xr:uid="{00000000-0005-0000-0000-0000C0460000}"/>
    <cellStyle name="Millares 7 5 3 2 3 2" xfId="49222" xr:uid="{00000000-0005-0000-0000-0000C1460000}"/>
    <cellStyle name="Millares 7 5 3 2 4" xfId="35660" xr:uid="{00000000-0005-0000-0000-0000C2460000}"/>
    <cellStyle name="Millares 7 5 3 3" xfId="11913" xr:uid="{00000000-0005-0000-0000-0000C3460000}"/>
    <cellStyle name="Millares 7 5 3 3 2" xfId="25481" xr:uid="{00000000-0005-0000-0000-0000C4460000}"/>
    <cellStyle name="Millares 7 5 3 3 2 2" xfId="52614" xr:uid="{00000000-0005-0000-0000-0000C5460000}"/>
    <cellStyle name="Millares 7 5 3 3 3" xfId="39052" xr:uid="{00000000-0005-0000-0000-0000C6460000}"/>
    <cellStyle name="Millares 7 5 3 4" xfId="18700" xr:uid="{00000000-0005-0000-0000-0000C7460000}"/>
    <cellStyle name="Millares 7 5 3 4 2" xfId="45833" xr:uid="{00000000-0005-0000-0000-0000C8460000}"/>
    <cellStyle name="Millares 7 5 3 5" xfId="32271" xr:uid="{00000000-0005-0000-0000-0000C9460000}"/>
    <cellStyle name="Millares 7 5 4" xfId="8510" xr:uid="{00000000-0005-0000-0000-0000CA460000}"/>
    <cellStyle name="Millares 7 5 4 2" xfId="15300" xr:uid="{00000000-0005-0000-0000-0000CB460000}"/>
    <cellStyle name="Millares 7 5 4 2 2" xfId="28868" xr:uid="{00000000-0005-0000-0000-0000CC460000}"/>
    <cellStyle name="Millares 7 5 4 2 2 2" xfId="56001" xr:uid="{00000000-0005-0000-0000-0000CD460000}"/>
    <cellStyle name="Millares 7 5 4 2 3" xfId="42439" xr:uid="{00000000-0005-0000-0000-0000CE460000}"/>
    <cellStyle name="Millares 7 5 4 3" xfId="22087" xr:uid="{00000000-0005-0000-0000-0000CF460000}"/>
    <cellStyle name="Millares 7 5 4 3 2" xfId="49220" xr:uid="{00000000-0005-0000-0000-0000D0460000}"/>
    <cellStyle name="Millares 7 5 4 4" xfId="35658" xr:uid="{00000000-0005-0000-0000-0000D1460000}"/>
    <cellStyle name="Millares 7 5 5" xfId="11911" xr:uid="{00000000-0005-0000-0000-0000D2460000}"/>
    <cellStyle name="Millares 7 5 5 2" xfId="25479" xr:uid="{00000000-0005-0000-0000-0000D3460000}"/>
    <cellStyle name="Millares 7 5 5 2 2" xfId="52612" xr:uid="{00000000-0005-0000-0000-0000D4460000}"/>
    <cellStyle name="Millares 7 5 5 3" xfId="39050" xr:uid="{00000000-0005-0000-0000-0000D5460000}"/>
    <cellStyle name="Millares 7 5 6" xfId="18698" xr:uid="{00000000-0005-0000-0000-0000D6460000}"/>
    <cellStyle name="Millares 7 5 6 2" xfId="45831" xr:uid="{00000000-0005-0000-0000-0000D7460000}"/>
    <cellStyle name="Millares 7 5 7" xfId="32269" xr:uid="{00000000-0005-0000-0000-0000D8460000}"/>
    <cellStyle name="Millares 7 6" xfId="4918" xr:uid="{00000000-0005-0000-0000-0000D9460000}"/>
    <cellStyle name="Millares 7 6 2" xfId="4919" xr:uid="{00000000-0005-0000-0000-0000DA460000}"/>
    <cellStyle name="Millares 7 6 2 2" xfId="8514" xr:uid="{00000000-0005-0000-0000-0000DB460000}"/>
    <cellStyle name="Millares 7 6 2 2 2" xfId="15304" xr:uid="{00000000-0005-0000-0000-0000DC460000}"/>
    <cellStyle name="Millares 7 6 2 2 2 2" xfId="28872" xr:uid="{00000000-0005-0000-0000-0000DD460000}"/>
    <cellStyle name="Millares 7 6 2 2 2 2 2" xfId="56005" xr:uid="{00000000-0005-0000-0000-0000DE460000}"/>
    <cellStyle name="Millares 7 6 2 2 2 3" xfId="42443" xr:uid="{00000000-0005-0000-0000-0000DF460000}"/>
    <cellStyle name="Millares 7 6 2 2 3" xfId="22091" xr:uid="{00000000-0005-0000-0000-0000E0460000}"/>
    <cellStyle name="Millares 7 6 2 2 3 2" xfId="49224" xr:uid="{00000000-0005-0000-0000-0000E1460000}"/>
    <cellStyle name="Millares 7 6 2 2 4" xfId="35662" xr:uid="{00000000-0005-0000-0000-0000E2460000}"/>
    <cellStyle name="Millares 7 6 2 3" xfId="11915" xr:uid="{00000000-0005-0000-0000-0000E3460000}"/>
    <cellStyle name="Millares 7 6 2 3 2" xfId="25483" xr:uid="{00000000-0005-0000-0000-0000E4460000}"/>
    <cellStyle name="Millares 7 6 2 3 2 2" xfId="52616" xr:uid="{00000000-0005-0000-0000-0000E5460000}"/>
    <cellStyle name="Millares 7 6 2 3 3" xfId="39054" xr:uid="{00000000-0005-0000-0000-0000E6460000}"/>
    <cellStyle name="Millares 7 6 2 4" xfId="18702" xr:uid="{00000000-0005-0000-0000-0000E7460000}"/>
    <cellStyle name="Millares 7 6 2 4 2" xfId="45835" xr:uid="{00000000-0005-0000-0000-0000E8460000}"/>
    <cellStyle name="Millares 7 6 2 5" xfId="32273" xr:uid="{00000000-0005-0000-0000-0000E9460000}"/>
    <cellStyle name="Millares 7 6 3" xfId="4920" xr:uid="{00000000-0005-0000-0000-0000EA460000}"/>
    <cellStyle name="Millares 7 6 3 2" xfId="8515" xr:uid="{00000000-0005-0000-0000-0000EB460000}"/>
    <cellStyle name="Millares 7 6 3 2 2" xfId="15305" xr:uid="{00000000-0005-0000-0000-0000EC460000}"/>
    <cellStyle name="Millares 7 6 3 2 2 2" xfId="28873" xr:uid="{00000000-0005-0000-0000-0000ED460000}"/>
    <cellStyle name="Millares 7 6 3 2 2 2 2" xfId="56006" xr:uid="{00000000-0005-0000-0000-0000EE460000}"/>
    <cellStyle name="Millares 7 6 3 2 2 3" xfId="42444" xr:uid="{00000000-0005-0000-0000-0000EF460000}"/>
    <cellStyle name="Millares 7 6 3 2 3" xfId="22092" xr:uid="{00000000-0005-0000-0000-0000F0460000}"/>
    <cellStyle name="Millares 7 6 3 2 3 2" xfId="49225" xr:uid="{00000000-0005-0000-0000-0000F1460000}"/>
    <cellStyle name="Millares 7 6 3 2 4" xfId="35663" xr:uid="{00000000-0005-0000-0000-0000F2460000}"/>
    <cellStyle name="Millares 7 6 3 3" xfId="11916" xr:uid="{00000000-0005-0000-0000-0000F3460000}"/>
    <cellStyle name="Millares 7 6 3 3 2" xfId="25484" xr:uid="{00000000-0005-0000-0000-0000F4460000}"/>
    <cellStyle name="Millares 7 6 3 3 2 2" xfId="52617" xr:uid="{00000000-0005-0000-0000-0000F5460000}"/>
    <cellStyle name="Millares 7 6 3 3 3" xfId="39055" xr:uid="{00000000-0005-0000-0000-0000F6460000}"/>
    <cellStyle name="Millares 7 6 3 4" xfId="18703" xr:uid="{00000000-0005-0000-0000-0000F7460000}"/>
    <cellStyle name="Millares 7 6 3 4 2" xfId="45836" xr:uid="{00000000-0005-0000-0000-0000F8460000}"/>
    <cellStyle name="Millares 7 6 3 5" xfId="32274" xr:uid="{00000000-0005-0000-0000-0000F9460000}"/>
    <cellStyle name="Millares 7 6 4" xfId="8513" xr:uid="{00000000-0005-0000-0000-0000FA460000}"/>
    <cellStyle name="Millares 7 6 4 2" xfId="15303" xr:uid="{00000000-0005-0000-0000-0000FB460000}"/>
    <cellStyle name="Millares 7 6 4 2 2" xfId="28871" xr:uid="{00000000-0005-0000-0000-0000FC460000}"/>
    <cellStyle name="Millares 7 6 4 2 2 2" xfId="56004" xr:uid="{00000000-0005-0000-0000-0000FD460000}"/>
    <cellStyle name="Millares 7 6 4 2 3" xfId="42442" xr:uid="{00000000-0005-0000-0000-0000FE460000}"/>
    <cellStyle name="Millares 7 6 4 3" xfId="22090" xr:uid="{00000000-0005-0000-0000-0000FF460000}"/>
    <cellStyle name="Millares 7 6 4 3 2" xfId="49223" xr:uid="{00000000-0005-0000-0000-000000470000}"/>
    <cellStyle name="Millares 7 6 4 4" xfId="35661" xr:uid="{00000000-0005-0000-0000-000001470000}"/>
    <cellStyle name="Millares 7 6 5" xfId="11914" xr:uid="{00000000-0005-0000-0000-000002470000}"/>
    <cellStyle name="Millares 7 6 5 2" xfId="25482" xr:uid="{00000000-0005-0000-0000-000003470000}"/>
    <cellStyle name="Millares 7 6 5 2 2" xfId="52615" xr:uid="{00000000-0005-0000-0000-000004470000}"/>
    <cellStyle name="Millares 7 6 5 3" xfId="39053" xr:uid="{00000000-0005-0000-0000-000005470000}"/>
    <cellStyle name="Millares 7 6 6" xfId="18701" xr:uid="{00000000-0005-0000-0000-000006470000}"/>
    <cellStyle name="Millares 7 6 6 2" xfId="45834" xr:uid="{00000000-0005-0000-0000-000007470000}"/>
    <cellStyle name="Millares 7 6 7" xfId="32272" xr:uid="{00000000-0005-0000-0000-000008470000}"/>
    <cellStyle name="Millares 7 7" xfId="4921" xr:uid="{00000000-0005-0000-0000-000009470000}"/>
    <cellStyle name="Millares 7 7 2" xfId="8516" xr:uid="{00000000-0005-0000-0000-00000A470000}"/>
    <cellStyle name="Millares 7 7 2 2" xfId="15306" xr:uid="{00000000-0005-0000-0000-00000B470000}"/>
    <cellStyle name="Millares 7 7 2 2 2" xfId="28874" xr:uid="{00000000-0005-0000-0000-00000C470000}"/>
    <cellStyle name="Millares 7 7 2 2 2 2" xfId="56007" xr:uid="{00000000-0005-0000-0000-00000D470000}"/>
    <cellStyle name="Millares 7 7 2 2 3" xfId="42445" xr:uid="{00000000-0005-0000-0000-00000E470000}"/>
    <cellStyle name="Millares 7 7 2 3" xfId="22093" xr:uid="{00000000-0005-0000-0000-00000F470000}"/>
    <cellStyle name="Millares 7 7 2 3 2" xfId="49226" xr:uid="{00000000-0005-0000-0000-000010470000}"/>
    <cellStyle name="Millares 7 7 2 4" xfId="35664" xr:uid="{00000000-0005-0000-0000-000011470000}"/>
    <cellStyle name="Millares 7 7 3" xfId="11917" xr:uid="{00000000-0005-0000-0000-000012470000}"/>
    <cellStyle name="Millares 7 7 3 2" xfId="25485" xr:uid="{00000000-0005-0000-0000-000013470000}"/>
    <cellStyle name="Millares 7 7 3 2 2" xfId="52618" xr:uid="{00000000-0005-0000-0000-000014470000}"/>
    <cellStyle name="Millares 7 7 3 3" xfId="39056" xr:uid="{00000000-0005-0000-0000-000015470000}"/>
    <cellStyle name="Millares 7 7 4" xfId="18704" xr:uid="{00000000-0005-0000-0000-000016470000}"/>
    <cellStyle name="Millares 7 7 4 2" xfId="45837" xr:uid="{00000000-0005-0000-0000-000017470000}"/>
    <cellStyle name="Millares 7 7 5" xfId="32275" xr:uid="{00000000-0005-0000-0000-000018470000}"/>
    <cellStyle name="Millares 7 8" xfId="4922" xr:uid="{00000000-0005-0000-0000-000019470000}"/>
    <cellStyle name="Millares 7 8 2" xfId="8517" xr:uid="{00000000-0005-0000-0000-00001A470000}"/>
    <cellStyle name="Millares 7 8 2 2" xfId="15307" xr:uid="{00000000-0005-0000-0000-00001B470000}"/>
    <cellStyle name="Millares 7 8 2 2 2" xfId="28875" xr:uid="{00000000-0005-0000-0000-00001C470000}"/>
    <cellStyle name="Millares 7 8 2 2 2 2" xfId="56008" xr:uid="{00000000-0005-0000-0000-00001D470000}"/>
    <cellStyle name="Millares 7 8 2 2 3" xfId="42446" xr:uid="{00000000-0005-0000-0000-00001E470000}"/>
    <cellStyle name="Millares 7 8 2 3" xfId="22094" xr:uid="{00000000-0005-0000-0000-00001F470000}"/>
    <cellStyle name="Millares 7 8 2 3 2" xfId="49227" xr:uid="{00000000-0005-0000-0000-000020470000}"/>
    <cellStyle name="Millares 7 8 2 4" xfId="35665" xr:uid="{00000000-0005-0000-0000-000021470000}"/>
    <cellStyle name="Millares 7 8 3" xfId="11918" xr:uid="{00000000-0005-0000-0000-000022470000}"/>
    <cellStyle name="Millares 7 8 3 2" xfId="25486" xr:uid="{00000000-0005-0000-0000-000023470000}"/>
    <cellStyle name="Millares 7 8 3 2 2" xfId="52619" xr:uid="{00000000-0005-0000-0000-000024470000}"/>
    <cellStyle name="Millares 7 8 3 3" xfId="39057" xr:uid="{00000000-0005-0000-0000-000025470000}"/>
    <cellStyle name="Millares 7 8 4" xfId="18705" xr:uid="{00000000-0005-0000-0000-000026470000}"/>
    <cellStyle name="Millares 7 8 4 2" xfId="45838" xr:uid="{00000000-0005-0000-0000-000027470000}"/>
    <cellStyle name="Millares 7 8 5" xfId="32276" xr:uid="{00000000-0005-0000-0000-000028470000}"/>
    <cellStyle name="Millares 8" xfId="2478" xr:uid="{00000000-0005-0000-0000-000029470000}"/>
    <cellStyle name="Millares 8 2" xfId="4923" xr:uid="{00000000-0005-0000-0000-00002A470000}"/>
    <cellStyle name="Millares 8 2 2" xfId="4924" xr:uid="{00000000-0005-0000-0000-00002B470000}"/>
    <cellStyle name="Millares 8 2 2 2" xfId="4925" xr:uid="{00000000-0005-0000-0000-00002C470000}"/>
    <cellStyle name="Millares 8 2 2 2 2" xfId="8520" xr:uid="{00000000-0005-0000-0000-00002D470000}"/>
    <cellStyle name="Millares 8 2 2 2 2 2" xfId="15310" xr:uid="{00000000-0005-0000-0000-00002E470000}"/>
    <cellStyle name="Millares 8 2 2 2 2 2 2" xfId="28878" xr:uid="{00000000-0005-0000-0000-00002F470000}"/>
    <cellStyle name="Millares 8 2 2 2 2 2 2 2" xfId="56011" xr:uid="{00000000-0005-0000-0000-000030470000}"/>
    <cellStyle name="Millares 8 2 2 2 2 2 3" xfId="42449" xr:uid="{00000000-0005-0000-0000-000031470000}"/>
    <cellStyle name="Millares 8 2 2 2 2 3" xfId="22097" xr:uid="{00000000-0005-0000-0000-000032470000}"/>
    <cellStyle name="Millares 8 2 2 2 2 3 2" xfId="49230" xr:uid="{00000000-0005-0000-0000-000033470000}"/>
    <cellStyle name="Millares 8 2 2 2 2 4" xfId="35668" xr:uid="{00000000-0005-0000-0000-000034470000}"/>
    <cellStyle name="Millares 8 2 2 2 3" xfId="11921" xr:uid="{00000000-0005-0000-0000-000035470000}"/>
    <cellStyle name="Millares 8 2 2 2 3 2" xfId="25489" xr:uid="{00000000-0005-0000-0000-000036470000}"/>
    <cellStyle name="Millares 8 2 2 2 3 2 2" xfId="52622" xr:uid="{00000000-0005-0000-0000-000037470000}"/>
    <cellStyle name="Millares 8 2 2 2 3 3" xfId="39060" xr:uid="{00000000-0005-0000-0000-000038470000}"/>
    <cellStyle name="Millares 8 2 2 2 4" xfId="18708" xr:uid="{00000000-0005-0000-0000-000039470000}"/>
    <cellStyle name="Millares 8 2 2 2 4 2" xfId="45841" xr:uid="{00000000-0005-0000-0000-00003A470000}"/>
    <cellStyle name="Millares 8 2 2 2 5" xfId="32279" xr:uid="{00000000-0005-0000-0000-00003B470000}"/>
    <cellStyle name="Millares 8 2 2 3" xfId="4926" xr:uid="{00000000-0005-0000-0000-00003C470000}"/>
    <cellStyle name="Millares 8 2 2 3 2" xfId="8521" xr:uid="{00000000-0005-0000-0000-00003D470000}"/>
    <cellStyle name="Millares 8 2 2 3 2 2" xfId="15311" xr:uid="{00000000-0005-0000-0000-00003E470000}"/>
    <cellStyle name="Millares 8 2 2 3 2 2 2" xfId="28879" xr:uid="{00000000-0005-0000-0000-00003F470000}"/>
    <cellStyle name="Millares 8 2 2 3 2 2 2 2" xfId="56012" xr:uid="{00000000-0005-0000-0000-000040470000}"/>
    <cellStyle name="Millares 8 2 2 3 2 2 3" xfId="42450" xr:uid="{00000000-0005-0000-0000-000041470000}"/>
    <cellStyle name="Millares 8 2 2 3 2 3" xfId="22098" xr:uid="{00000000-0005-0000-0000-000042470000}"/>
    <cellStyle name="Millares 8 2 2 3 2 3 2" xfId="49231" xr:uid="{00000000-0005-0000-0000-000043470000}"/>
    <cellStyle name="Millares 8 2 2 3 2 4" xfId="35669" xr:uid="{00000000-0005-0000-0000-000044470000}"/>
    <cellStyle name="Millares 8 2 2 3 3" xfId="11922" xr:uid="{00000000-0005-0000-0000-000045470000}"/>
    <cellStyle name="Millares 8 2 2 3 3 2" xfId="25490" xr:uid="{00000000-0005-0000-0000-000046470000}"/>
    <cellStyle name="Millares 8 2 2 3 3 2 2" xfId="52623" xr:uid="{00000000-0005-0000-0000-000047470000}"/>
    <cellStyle name="Millares 8 2 2 3 3 3" xfId="39061" xr:uid="{00000000-0005-0000-0000-000048470000}"/>
    <cellStyle name="Millares 8 2 2 3 4" xfId="18709" xr:uid="{00000000-0005-0000-0000-000049470000}"/>
    <cellStyle name="Millares 8 2 2 3 4 2" xfId="45842" xr:uid="{00000000-0005-0000-0000-00004A470000}"/>
    <cellStyle name="Millares 8 2 2 3 5" xfId="32280" xr:uid="{00000000-0005-0000-0000-00004B470000}"/>
    <cellStyle name="Millares 8 2 2 4" xfId="8519" xr:uid="{00000000-0005-0000-0000-00004C470000}"/>
    <cellStyle name="Millares 8 2 2 4 2" xfId="15309" xr:uid="{00000000-0005-0000-0000-00004D470000}"/>
    <cellStyle name="Millares 8 2 2 4 2 2" xfId="28877" xr:uid="{00000000-0005-0000-0000-00004E470000}"/>
    <cellStyle name="Millares 8 2 2 4 2 2 2" xfId="56010" xr:uid="{00000000-0005-0000-0000-00004F470000}"/>
    <cellStyle name="Millares 8 2 2 4 2 3" xfId="42448" xr:uid="{00000000-0005-0000-0000-000050470000}"/>
    <cellStyle name="Millares 8 2 2 4 3" xfId="22096" xr:uid="{00000000-0005-0000-0000-000051470000}"/>
    <cellStyle name="Millares 8 2 2 4 3 2" xfId="49229" xr:uid="{00000000-0005-0000-0000-000052470000}"/>
    <cellStyle name="Millares 8 2 2 4 4" xfId="35667" xr:uid="{00000000-0005-0000-0000-000053470000}"/>
    <cellStyle name="Millares 8 2 2 5" xfId="11920" xr:uid="{00000000-0005-0000-0000-000054470000}"/>
    <cellStyle name="Millares 8 2 2 5 2" xfId="25488" xr:uid="{00000000-0005-0000-0000-000055470000}"/>
    <cellStyle name="Millares 8 2 2 5 2 2" xfId="52621" xr:uid="{00000000-0005-0000-0000-000056470000}"/>
    <cellStyle name="Millares 8 2 2 5 3" xfId="39059" xr:uid="{00000000-0005-0000-0000-000057470000}"/>
    <cellStyle name="Millares 8 2 2 6" xfId="18707" xr:uid="{00000000-0005-0000-0000-000058470000}"/>
    <cellStyle name="Millares 8 2 2 6 2" xfId="45840" xr:uid="{00000000-0005-0000-0000-000059470000}"/>
    <cellStyle name="Millares 8 2 2 7" xfId="32278" xr:uid="{00000000-0005-0000-0000-00005A470000}"/>
    <cellStyle name="Millares 8 2 3" xfId="4927" xr:uid="{00000000-0005-0000-0000-00005B470000}"/>
    <cellStyle name="Millares 8 2 3 2" xfId="4928" xr:uid="{00000000-0005-0000-0000-00005C470000}"/>
    <cellStyle name="Millares 8 2 3 2 2" xfId="8523" xr:uid="{00000000-0005-0000-0000-00005D470000}"/>
    <cellStyle name="Millares 8 2 3 2 2 2" xfId="15313" xr:uid="{00000000-0005-0000-0000-00005E470000}"/>
    <cellStyle name="Millares 8 2 3 2 2 2 2" xfId="28881" xr:uid="{00000000-0005-0000-0000-00005F470000}"/>
    <cellStyle name="Millares 8 2 3 2 2 2 2 2" xfId="56014" xr:uid="{00000000-0005-0000-0000-000060470000}"/>
    <cellStyle name="Millares 8 2 3 2 2 2 3" xfId="42452" xr:uid="{00000000-0005-0000-0000-000061470000}"/>
    <cellStyle name="Millares 8 2 3 2 2 3" xfId="22100" xr:uid="{00000000-0005-0000-0000-000062470000}"/>
    <cellStyle name="Millares 8 2 3 2 2 3 2" xfId="49233" xr:uid="{00000000-0005-0000-0000-000063470000}"/>
    <cellStyle name="Millares 8 2 3 2 2 4" xfId="35671" xr:uid="{00000000-0005-0000-0000-000064470000}"/>
    <cellStyle name="Millares 8 2 3 2 3" xfId="11924" xr:uid="{00000000-0005-0000-0000-000065470000}"/>
    <cellStyle name="Millares 8 2 3 2 3 2" xfId="25492" xr:uid="{00000000-0005-0000-0000-000066470000}"/>
    <cellStyle name="Millares 8 2 3 2 3 2 2" xfId="52625" xr:uid="{00000000-0005-0000-0000-000067470000}"/>
    <cellStyle name="Millares 8 2 3 2 3 3" xfId="39063" xr:uid="{00000000-0005-0000-0000-000068470000}"/>
    <cellStyle name="Millares 8 2 3 2 4" xfId="18711" xr:uid="{00000000-0005-0000-0000-000069470000}"/>
    <cellStyle name="Millares 8 2 3 2 4 2" xfId="45844" xr:uid="{00000000-0005-0000-0000-00006A470000}"/>
    <cellStyle name="Millares 8 2 3 2 5" xfId="32282" xr:uid="{00000000-0005-0000-0000-00006B470000}"/>
    <cellStyle name="Millares 8 2 3 3" xfId="8522" xr:uid="{00000000-0005-0000-0000-00006C470000}"/>
    <cellStyle name="Millares 8 2 3 3 2" xfId="15312" xr:uid="{00000000-0005-0000-0000-00006D470000}"/>
    <cellStyle name="Millares 8 2 3 3 2 2" xfId="28880" xr:uid="{00000000-0005-0000-0000-00006E470000}"/>
    <cellStyle name="Millares 8 2 3 3 2 2 2" xfId="56013" xr:uid="{00000000-0005-0000-0000-00006F470000}"/>
    <cellStyle name="Millares 8 2 3 3 2 3" xfId="42451" xr:uid="{00000000-0005-0000-0000-000070470000}"/>
    <cellStyle name="Millares 8 2 3 3 3" xfId="22099" xr:uid="{00000000-0005-0000-0000-000071470000}"/>
    <cellStyle name="Millares 8 2 3 3 3 2" xfId="49232" xr:uid="{00000000-0005-0000-0000-000072470000}"/>
    <cellStyle name="Millares 8 2 3 3 4" xfId="35670" xr:uid="{00000000-0005-0000-0000-000073470000}"/>
    <cellStyle name="Millares 8 2 3 4" xfId="11923" xr:uid="{00000000-0005-0000-0000-000074470000}"/>
    <cellStyle name="Millares 8 2 3 4 2" xfId="25491" xr:uid="{00000000-0005-0000-0000-000075470000}"/>
    <cellStyle name="Millares 8 2 3 4 2 2" xfId="52624" xr:uid="{00000000-0005-0000-0000-000076470000}"/>
    <cellStyle name="Millares 8 2 3 4 3" xfId="39062" xr:uid="{00000000-0005-0000-0000-000077470000}"/>
    <cellStyle name="Millares 8 2 3 5" xfId="18710" xr:uid="{00000000-0005-0000-0000-000078470000}"/>
    <cellStyle name="Millares 8 2 3 5 2" xfId="45843" xr:uid="{00000000-0005-0000-0000-000079470000}"/>
    <cellStyle name="Millares 8 2 3 6" xfId="32281" xr:uid="{00000000-0005-0000-0000-00007A470000}"/>
    <cellStyle name="Millares 8 2 4" xfId="4929" xr:uid="{00000000-0005-0000-0000-00007B470000}"/>
    <cellStyle name="Millares 8 2 4 2" xfId="8524" xr:uid="{00000000-0005-0000-0000-00007C470000}"/>
    <cellStyle name="Millares 8 2 4 2 2" xfId="15314" xr:uid="{00000000-0005-0000-0000-00007D470000}"/>
    <cellStyle name="Millares 8 2 4 2 2 2" xfId="28882" xr:uid="{00000000-0005-0000-0000-00007E470000}"/>
    <cellStyle name="Millares 8 2 4 2 2 2 2" xfId="56015" xr:uid="{00000000-0005-0000-0000-00007F470000}"/>
    <cellStyle name="Millares 8 2 4 2 2 3" xfId="42453" xr:uid="{00000000-0005-0000-0000-000080470000}"/>
    <cellStyle name="Millares 8 2 4 2 3" xfId="22101" xr:uid="{00000000-0005-0000-0000-000081470000}"/>
    <cellStyle name="Millares 8 2 4 2 3 2" xfId="49234" xr:uid="{00000000-0005-0000-0000-000082470000}"/>
    <cellStyle name="Millares 8 2 4 2 4" xfId="35672" xr:uid="{00000000-0005-0000-0000-000083470000}"/>
    <cellStyle name="Millares 8 2 4 3" xfId="11925" xr:uid="{00000000-0005-0000-0000-000084470000}"/>
    <cellStyle name="Millares 8 2 4 3 2" xfId="25493" xr:uid="{00000000-0005-0000-0000-000085470000}"/>
    <cellStyle name="Millares 8 2 4 3 2 2" xfId="52626" xr:uid="{00000000-0005-0000-0000-000086470000}"/>
    <cellStyle name="Millares 8 2 4 3 3" xfId="39064" xr:uid="{00000000-0005-0000-0000-000087470000}"/>
    <cellStyle name="Millares 8 2 4 4" xfId="18712" xr:uid="{00000000-0005-0000-0000-000088470000}"/>
    <cellStyle name="Millares 8 2 4 4 2" xfId="45845" xr:uid="{00000000-0005-0000-0000-000089470000}"/>
    <cellStyle name="Millares 8 2 4 5" xfId="32283" xr:uid="{00000000-0005-0000-0000-00008A470000}"/>
    <cellStyle name="Millares 8 2 5" xfId="4930" xr:uid="{00000000-0005-0000-0000-00008B470000}"/>
    <cellStyle name="Millares 8 2 5 2" xfId="8525" xr:uid="{00000000-0005-0000-0000-00008C470000}"/>
    <cellStyle name="Millares 8 2 5 2 2" xfId="15315" xr:uid="{00000000-0005-0000-0000-00008D470000}"/>
    <cellStyle name="Millares 8 2 5 2 2 2" xfId="28883" xr:uid="{00000000-0005-0000-0000-00008E470000}"/>
    <cellStyle name="Millares 8 2 5 2 2 2 2" xfId="56016" xr:uid="{00000000-0005-0000-0000-00008F470000}"/>
    <cellStyle name="Millares 8 2 5 2 2 3" xfId="42454" xr:uid="{00000000-0005-0000-0000-000090470000}"/>
    <cellStyle name="Millares 8 2 5 2 3" xfId="22102" xr:uid="{00000000-0005-0000-0000-000091470000}"/>
    <cellStyle name="Millares 8 2 5 2 3 2" xfId="49235" xr:uid="{00000000-0005-0000-0000-000092470000}"/>
    <cellStyle name="Millares 8 2 5 2 4" xfId="35673" xr:uid="{00000000-0005-0000-0000-000093470000}"/>
    <cellStyle name="Millares 8 2 5 3" xfId="11926" xr:uid="{00000000-0005-0000-0000-000094470000}"/>
    <cellStyle name="Millares 8 2 5 3 2" xfId="25494" xr:uid="{00000000-0005-0000-0000-000095470000}"/>
    <cellStyle name="Millares 8 2 5 3 2 2" xfId="52627" xr:uid="{00000000-0005-0000-0000-000096470000}"/>
    <cellStyle name="Millares 8 2 5 3 3" xfId="39065" xr:uid="{00000000-0005-0000-0000-000097470000}"/>
    <cellStyle name="Millares 8 2 5 4" xfId="18713" xr:uid="{00000000-0005-0000-0000-000098470000}"/>
    <cellStyle name="Millares 8 2 5 4 2" xfId="45846" xr:uid="{00000000-0005-0000-0000-000099470000}"/>
    <cellStyle name="Millares 8 2 5 5" xfId="32284" xr:uid="{00000000-0005-0000-0000-00009A470000}"/>
    <cellStyle name="Millares 8 2 6" xfId="8518" xr:uid="{00000000-0005-0000-0000-00009B470000}"/>
    <cellStyle name="Millares 8 2 6 2" xfId="15308" xr:uid="{00000000-0005-0000-0000-00009C470000}"/>
    <cellStyle name="Millares 8 2 6 2 2" xfId="28876" xr:uid="{00000000-0005-0000-0000-00009D470000}"/>
    <cellStyle name="Millares 8 2 6 2 2 2" xfId="56009" xr:uid="{00000000-0005-0000-0000-00009E470000}"/>
    <cellStyle name="Millares 8 2 6 2 3" xfId="42447" xr:uid="{00000000-0005-0000-0000-00009F470000}"/>
    <cellStyle name="Millares 8 2 6 3" xfId="22095" xr:uid="{00000000-0005-0000-0000-0000A0470000}"/>
    <cellStyle name="Millares 8 2 6 3 2" xfId="49228" xr:uid="{00000000-0005-0000-0000-0000A1470000}"/>
    <cellStyle name="Millares 8 2 6 4" xfId="35666" xr:uid="{00000000-0005-0000-0000-0000A2470000}"/>
    <cellStyle name="Millares 8 2 7" xfId="11919" xr:uid="{00000000-0005-0000-0000-0000A3470000}"/>
    <cellStyle name="Millares 8 2 7 2" xfId="25487" xr:uid="{00000000-0005-0000-0000-0000A4470000}"/>
    <cellStyle name="Millares 8 2 7 2 2" xfId="52620" xr:uid="{00000000-0005-0000-0000-0000A5470000}"/>
    <cellStyle name="Millares 8 2 7 3" xfId="39058" xr:uid="{00000000-0005-0000-0000-0000A6470000}"/>
    <cellStyle name="Millares 8 2 8" xfId="18706" xr:uid="{00000000-0005-0000-0000-0000A7470000}"/>
    <cellStyle name="Millares 8 2 8 2" xfId="45839" xr:uid="{00000000-0005-0000-0000-0000A8470000}"/>
    <cellStyle name="Millares 8 2 9" xfId="32277" xr:uid="{00000000-0005-0000-0000-0000A9470000}"/>
    <cellStyle name="Millares 8 3" xfId="4931" xr:uid="{00000000-0005-0000-0000-0000AA470000}"/>
    <cellStyle name="Millares 8 3 2" xfId="4932" xr:uid="{00000000-0005-0000-0000-0000AB470000}"/>
    <cellStyle name="Millares 8 3 2 2" xfId="8527" xr:uid="{00000000-0005-0000-0000-0000AC470000}"/>
    <cellStyle name="Millares 8 3 2 2 2" xfId="15317" xr:uid="{00000000-0005-0000-0000-0000AD470000}"/>
    <cellStyle name="Millares 8 3 2 2 2 2" xfId="28885" xr:uid="{00000000-0005-0000-0000-0000AE470000}"/>
    <cellStyle name="Millares 8 3 2 2 2 2 2" xfId="56018" xr:uid="{00000000-0005-0000-0000-0000AF470000}"/>
    <cellStyle name="Millares 8 3 2 2 2 3" xfId="42456" xr:uid="{00000000-0005-0000-0000-0000B0470000}"/>
    <cellStyle name="Millares 8 3 2 2 3" xfId="22104" xr:uid="{00000000-0005-0000-0000-0000B1470000}"/>
    <cellStyle name="Millares 8 3 2 2 3 2" xfId="49237" xr:uid="{00000000-0005-0000-0000-0000B2470000}"/>
    <cellStyle name="Millares 8 3 2 2 4" xfId="35675" xr:uid="{00000000-0005-0000-0000-0000B3470000}"/>
    <cellStyle name="Millares 8 3 2 3" xfId="11928" xr:uid="{00000000-0005-0000-0000-0000B4470000}"/>
    <cellStyle name="Millares 8 3 2 3 2" xfId="25496" xr:uid="{00000000-0005-0000-0000-0000B5470000}"/>
    <cellStyle name="Millares 8 3 2 3 2 2" xfId="52629" xr:uid="{00000000-0005-0000-0000-0000B6470000}"/>
    <cellStyle name="Millares 8 3 2 3 3" xfId="39067" xr:uid="{00000000-0005-0000-0000-0000B7470000}"/>
    <cellStyle name="Millares 8 3 2 4" xfId="18715" xr:uid="{00000000-0005-0000-0000-0000B8470000}"/>
    <cellStyle name="Millares 8 3 2 4 2" xfId="45848" xr:uid="{00000000-0005-0000-0000-0000B9470000}"/>
    <cellStyle name="Millares 8 3 2 5" xfId="32286" xr:uid="{00000000-0005-0000-0000-0000BA470000}"/>
    <cellStyle name="Millares 8 3 3" xfId="4933" xr:uid="{00000000-0005-0000-0000-0000BB470000}"/>
    <cellStyle name="Millares 8 3 3 2" xfId="8528" xr:uid="{00000000-0005-0000-0000-0000BC470000}"/>
    <cellStyle name="Millares 8 3 3 2 2" xfId="15318" xr:uid="{00000000-0005-0000-0000-0000BD470000}"/>
    <cellStyle name="Millares 8 3 3 2 2 2" xfId="28886" xr:uid="{00000000-0005-0000-0000-0000BE470000}"/>
    <cellStyle name="Millares 8 3 3 2 2 2 2" xfId="56019" xr:uid="{00000000-0005-0000-0000-0000BF470000}"/>
    <cellStyle name="Millares 8 3 3 2 2 3" xfId="42457" xr:uid="{00000000-0005-0000-0000-0000C0470000}"/>
    <cellStyle name="Millares 8 3 3 2 3" xfId="22105" xr:uid="{00000000-0005-0000-0000-0000C1470000}"/>
    <cellStyle name="Millares 8 3 3 2 3 2" xfId="49238" xr:uid="{00000000-0005-0000-0000-0000C2470000}"/>
    <cellStyle name="Millares 8 3 3 2 4" xfId="35676" xr:uid="{00000000-0005-0000-0000-0000C3470000}"/>
    <cellStyle name="Millares 8 3 3 3" xfId="11929" xr:uid="{00000000-0005-0000-0000-0000C4470000}"/>
    <cellStyle name="Millares 8 3 3 3 2" xfId="25497" xr:uid="{00000000-0005-0000-0000-0000C5470000}"/>
    <cellStyle name="Millares 8 3 3 3 2 2" xfId="52630" xr:uid="{00000000-0005-0000-0000-0000C6470000}"/>
    <cellStyle name="Millares 8 3 3 3 3" xfId="39068" xr:uid="{00000000-0005-0000-0000-0000C7470000}"/>
    <cellStyle name="Millares 8 3 3 4" xfId="18716" xr:uid="{00000000-0005-0000-0000-0000C8470000}"/>
    <cellStyle name="Millares 8 3 3 4 2" xfId="45849" xr:uid="{00000000-0005-0000-0000-0000C9470000}"/>
    <cellStyle name="Millares 8 3 3 5" xfId="32287" xr:uid="{00000000-0005-0000-0000-0000CA470000}"/>
    <cellStyle name="Millares 8 3 4" xfId="8526" xr:uid="{00000000-0005-0000-0000-0000CB470000}"/>
    <cellStyle name="Millares 8 3 4 2" xfId="15316" xr:uid="{00000000-0005-0000-0000-0000CC470000}"/>
    <cellStyle name="Millares 8 3 4 2 2" xfId="28884" xr:uid="{00000000-0005-0000-0000-0000CD470000}"/>
    <cellStyle name="Millares 8 3 4 2 2 2" xfId="56017" xr:uid="{00000000-0005-0000-0000-0000CE470000}"/>
    <cellStyle name="Millares 8 3 4 2 3" xfId="42455" xr:uid="{00000000-0005-0000-0000-0000CF470000}"/>
    <cellStyle name="Millares 8 3 4 3" xfId="22103" xr:uid="{00000000-0005-0000-0000-0000D0470000}"/>
    <cellStyle name="Millares 8 3 4 3 2" xfId="49236" xr:uid="{00000000-0005-0000-0000-0000D1470000}"/>
    <cellStyle name="Millares 8 3 4 4" xfId="35674" xr:uid="{00000000-0005-0000-0000-0000D2470000}"/>
    <cellStyle name="Millares 8 3 5" xfId="11927" xr:uid="{00000000-0005-0000-0000-0000D3470000}"/>
    <cellStyle name="Millares 8 3 5 2" xfId="25495" xr:uid="{00000000-0005-0000-0000-0000D4470000}"/>
    <cellStyle name="Millares 8 3 5 2 2" xfId="52628" xr:uid="{00000000-0005-0000-0000-0000D5470000}"/>
    <cellStyle name="Millares 8 3 5 3" xfId="39066" xr:uid="{00000000-0005-0000-0000-0000D6470000}"/>
    <cellStyle name="Millares 8 3 6" xfId="18714" xr:uid="{00000000-0005-0000-0000-0000D7470000}"/>
    <cellStyle name="Millares 8 3 6 2" xfId="45847" xr:uid="{00000000-0005-0000-0000-0000D8470000}"/>
    <cellStyle name="Millares 8 3 7" xfId="32285" xr:uid="{00000000-0005-0000-0000-0000D9470000}"/>
    <cellStyle name="Millares 8 4" xfId="4934" xr:uid="{00000000-0005-0000-0000-0000DA470000}"/>
    <cellStyle name="Millares 8 4 2" xfId="4935" xr:uid="{00000000-0005-0000-0000-0000DB470000}"/>
    <cellStyle name="Millares 8 4 2 2" xfId="8530" xr:uid="{00000000-0005-0000-0000-0000DC470000}"/>
    <cellStyle name="Millares 8 4 2 2 2" xfId="15320" xr:uid="{00000000-0005-0000-0000-0000DD470000}"/>
    <cellStyle name="Millares 8 4 2 2 2 2" xfId="28888" xr:uid="{00000000-0005-0000-0000-0000DE470000}"/>
    <cellStyle name="Millares 8 4 2 2 2 2 2" xfId="56021" xr:uid="{00000000-0005-0000-0000-0000DF470000}"/>
    <cellStyle name="Millares 8 4 2 2 2 3" xfId="42459" xr:uid="{00000000-0005-0000-0000-0000E0470000}"/>
    <cellStyle name="Millares 8 4 2 2 3" xfId="22107" xr:uid="{00000000-0005-0000-0000-0000E1470000}"/>
    <cellStyle name="Millares 8 4 2 2 3 2" xfId="49240" xr:uid="{00000000-0005-0000-0000-0000E2470000}"/>
    <cellStyle name="Millares 8 4 2 2 4" xfId="35678" xr:uid="{00000000-0005-0000-0000-0000E3470000}"/>
    <cellStyle name="Millares 8 4 2 3" xfId="11931" xr:uid="{00000000-0005-0000-0000-0000E4470000}"/>
    <cellStyle name="Millares 8 4 2 3 2" xfId="25499" xr:uid="{00000000-0005-0000-0000-0000E5470000}"/>
    <cellStyle name="Millares 8 4 2 3 2 2" xfId="52632" xr:uid="{00000000-0005-0000-0000-0000E6470000}"/>
    <cellStyle name="Millares 8 4 2 3 3" xfId="39070" xr:uid="{00000000-0005-0000-0000-0000E7470000}"/>
    <cellStyle name="Millares 8 4 2 4" xfId="18718" xr:uid="{00000000-0005-0000-0000-0000E8470000}"/>
    <cellStyle name="Millares 8 4 2 4 2" xfId="45851" xr:uid="{00000000-0005-0000-0000-0000E9470000}"/>
    <cellStyle name="Millares 8 4 2 5" xfId="32289" xr:uid="{00000000-0005-0000-0000-0000EA470000}"/>
    <cellStyle name="Millares 8 4 3" xfId="8529" xr:uid="{00000000-0005-0000-0000-0000EB470000}"/>
    <cellStyle name="Millares 8 4 3 2" xfId="15319" xr:uid="{00000000-0005-0000-0000-0000EC470000}"/>
    <cellStyle name="Millares 8 4 3 2 2" xfId="28887" xr:uid="{00000000-0005-0000-0000-0000ED470000}"/>
    <cellStyle name="Millares 8 4 3 2 2 2" xfId="56020" xr:uid="{00000000-0005-0000-0000-0000EE470000}"/>
    <cellStyle name="Millares 8 4 3 2 3" xfId="42458" xr:uid="{00000000-0005-0000-0000-0000EF470000}"/>
    <cellStyle name="Millares 8 4 3 3" xfId="22106" xr:uid="{00000000-0005-0000-0000-0000F0470000}"/>
    <cellStyle name="Millares 8 4 3 3 2" xfId="49239" xr:uid="{00000000-0005-0000-0000-0000F1470000}"/>
    <cellStyle name="Millares 8 4 3 4" xfId="35677" xr:uid="{00000000-0005-0000-0000-0000F2470000}"/>
    <cellStyle name="Millares 8 4 4" xfId="11930" xr:uid="{00000000-0005-0000-0000-0000F3470000}"/>
    <cellStyle name="Millares 8 4 4 2" xfId="25498" xr:uid="{00000000-0005-0000-0000-0000F4470000}"/>
    <cellStyle name="Millares 8 4 4 2 2" xfId="52631" xr:uid="{00000000-0005-0000-0000-0000F5470000}"/>
    <cellStyle name="Millares 8 4 4 3" xfId="39069" xr:uid="{00000000-0005-0000-0000-0000F6470000}"/>
    <cellStyle name="Millares 8 4 5" xfId="18717" xr:uid="{00000000-0005-0000-0000-0000F7470000}"/>
    <cellStyle name="Millares 8 4 5 2" xfId="45850" xr:uid="{00000000-0005-0000-0000-0000F8470000}"/>
    <cellStyle name="Millares 8 4 6" xfId="32288" xr:uid="{00000000-0005-0000-0000-0000F9470000}"/>
    <cellStyle name="Millares 8 5" xfId="4936" xr:uid="{00000000-0005-0000-0000-0000FA470000}"/>
    <cellStyle name="Millares 8 5 2" xfId="8531" xr:uid="{00000000-0005-0000-0000-0000FB470000}"/>
    <cellStyle name="Millares 8 5 2 2" xfId="15321" xr:uid="{00000000-0005-0000-0000-0000FC470000}"/>
    <cellStyle name="Millares 8 5 2 2 2" xfId="28889" xr:uid="{00000000-0005-0000-0000-0000FD470000}"/>
    <cellStyle name="Millares 8 5 2 2 2 2" xfId="56022" xr:uid="{00000000-0005-0000-0000-0000FE470000}"/>
    <cellStyle name="Millares 8 5 2 2 3" xfId="42460" xr:uid="{00000000-0005-0000-0000-0000FF470000}"/>
    <cellStyle name="Millares 8 5 2 3" xfId="22108" xr:uid="{00000000-0005-0000-0000-000000480000}"/>
    <cellStyle name="Millares 8 5 2 3 2" xfId="49241" xr:uid="{00000000-0005-0000-0000-000001480000}"/>
    <cellStyle name="Millares 8 5 2 4" xfId="35679" xr:uid="{00000000-0005-0000-0000-000002480000}"/>
    <cellStyle name="Millares 8 5 3" xfId="11932" xr:uid="{00000000-0005-0000-0000-000003480000}"/>
    <cellStyle name="Millares 8 5 3 2" xfId="25500" xr:uid="{00000000-0005-0000-0000-000004480000}"/>
    <cellStyle name="Millares 8 5 3 2 2" xfId="52633" xr:uid="{00000000-0005-0000-0000-000005480000}"/>
    <cellStyle name="Millares 8 5 3 3" xfId="39071" xr:uid="{00000000-0005-0000-0000-000006480000}"/>
    <cellStyle name="Millares 8 5 4" xfId="18719" xr:uid="{00000000-0005-0000-0000-000007480000}"/>
    <cellStyle name="Millares 8 5 4 2" xfId="45852" xr:uid="{00000000-0005-0000-0000-000008480000}"/>
    <cellStyle name="Millares 8 5 5" xfId="32290" xr:uid="{00000000-0005-0000-0000-000009480000}"/>
    <cellStyle name="Millares 8 6" xfId="4937" xr:uid="{00000000-0005-0000-0000-00000A480000}"/>
    <cellStyle name="Millares 8 6 2" xfId="8532" xr:uid="{00000000-0005-0000-0000-00000B480000}"/>
    <cellStyle name="Millares 8 6 2 2" xfId="15322" xr:uid="{00000000-0005-0000-0000-00000C480000}"/>
    <cellStyle name="Millares 8 6 2 2 2" xfId="28890" xr:uid="{00000000-0005-0000-0000-00000D480000}"/>
    <cellStyle name="Millares 8 6 2 2 2 2" xfId="56023" xr:uid="{00000000-0005-0000-0000-00000E480000}"/>
    <cellStyle name="Millares 8 6 2 2 3" xfId="42461" xr:uid="{00000000-0005-0000-0000-00000F480000}"/>
    <cellStyle name="Millares 8 6 2 3" xfId="22109" xr:uid="{00000000-0005-0000-0000-000010480000}"/>
    <cellStyle name="Millares 8 6 2 3 2" xfId="49242" xr:uid="{00000000-0005-0000-0000-000011480000}"/>
    <cellStyle name="Millares 8 6 2 4" xfId="35680" xr:uid="{00000000-0005-0000-0000-000012480000}"/>
    <cellStyle name="Millares 8 6 3" xfId="11933" xr:uid="{00000000-0005-0000-0000-000013480000}"/>
    <cellStyle name="Millares 8 6 3 2" xfId="25501" xr:uid="{00000000-0005-0000-0000-000014480000}"/>
    <cellStyle name="Millares 8 6 3 2 2" xfId="52634" xr:uid="{00000000-0005-0000-0000-000015480000}"/>
    <cellStyle name="Millares 8 6 3 3" xfId="39072" xr:uid="{00000000-0005-0000-0000-000016480000}"/>
    <cellStyle name="Millares 8 6 4" xfId="18720" xr:uid="{00000000-0005-0000-0000-000017480000}"/>
    <cellStyle name="Millares 8 6 4 2" xfId="45853" xr:uid="{00000000-0005-0000-0000-000018480000}"/>
    <cellStyle name="Millares 8 6 5" xfId="32291" xr:uid="{00000000-0005-0000-0000-000019480000}"/>
    <cellStyle name="Millares 8 7" xfId="58349" xr:uid="{00000000-0005-0000-0000-00001A480000}"/>
    <cellStyle name="Millares 9" xfId="2479" xr:uid="{00000000-0005-0000-0000-00001B480000}"/>
    <cellStyle name="Millares 9 2" xfId="10852" xr:uid="{00000000-0005-0000-0000-00001C480000}"/>
    <cellStyle name="Millares 91" xfId="2480" xr:uid="{00000000-0005-0000-0000-00001D480000}"/>
    <cellStyle name="Millares 92" xfId="7392" xr:uid="{00000000-0005-0000-0000-00001E480000}"/>
    <cellStyle name="Moneda 2" xfId="2481" xr:uid="{00000000-0005-0000-0000-00001F480000}"/>
    <cellStyle name="Moneda 2 10" xfId="2482" xr:uid="{00000000-0005-0000-0000-000020480000}"/>
    <cellStyle name="Moneda 2 2" xfId="4938" xr:uid="{00000000-0005-0000-0000-000021480000}"/>
    <cellStyle name="Moneda 2 2 2" xfId="4939" xr:uid="{00000000-0005-0000-0000-000022480000}"/>
    <cellStyle name="Moneda 2 2 3" xfId="4940" xr:uid="{00000000-0005-0000-0000-000023480000}"/>
    <cellStyle name="Moneda 2 2 4" xfId="4941" xr:uid="{00000000-0005-0000-0000-000024480000}"/>
    <cellStyle name="Moneda 2 2 4 2" xfId="4942" xr:uid="{00000000-0005-0000-0000-000025480000}"/>
    <cellStyle name="Moneda 2 2 4 3" xfId="4943" xr:uid="{00000000-0005-0000-0000-000026480000}"/>
    <cellStyle name="Moneda 2 3" xfId="4944" xr:uid="{00000000-0005-0000-0000-000027480000}"/>
    <cellStyle name="Moneda 2 3 2" xfId="4945" xr:uid="{00000000-0005-0000-0000-000028480000}"/>
    <cellStyle name="Moneda 2 3 3" xfId="4946" xr:uid="{00000000-0005-0000-0000-000029480000}"/>
    <cellStyle name="Moneda 2 3 4" xfId="4947" xr:uid="{00000000-0005-0000-0000-00002A480000}"/>
    <cellStyle name="Moneda 2 3 4 2" xfId="4948" xr:uid="{00000000-0005-0000-0000-00002B480000}"/>
    <cellStyle name="Moneda 2 4" xfId="4949" xr:uid="{00000000-0005-0000-0000-00002C480000}"/>
    <cellStyle name="Moneda 2 5" xfId="4950" xr:uid="{00000000-0005-0000-0000-00002D480000}"/>
    <cellStyle name="Moneda 2 5 2" xfId="4951" xr:uid="{00000000-0005-0000-0000-00002E480000}"/>
    <cellStyle name="Moneda 2 6" xfId="4952" xr:uid="{00000000-0005-0000-0000-00002F480000}"/>
    <cellStyle name="Moneda 2 7" xfId="4953" xr:uid="{00000000-0005-0000-0000-000030480000}"/>
    <cellStyle name="Moneda 2 8" xfId="4954" xr:uid="{00000000-0005-0000-0000-000031480000}"/>
    <cellStyle name="Moneda 2 9" xfId="4955" xr:uid="{00000000-0005-0000-0000-000032480000}"/>
    <cellStyle name="Moneda 3" xfId="2483" xr:uid="{00000000-0005-0000-0000-000033480000}"/>
    <cellStyle name="Moneda 3 2" xfId="4956" xr:uid="{00000000-0005-0000-0000-000034480000}"/>
    <cellStyle name="Moneda 3 2 10" xfId="2484" xr:uid="{00000000-0005-0000-0000-000035480000}"/>
    <cellStyle name="Moneda 4" xfId="2485" xr:uid="{00000000-0005-0000-0000-000036480000}"/>
    <cellStyle name="Moneda 5" xfId="7393" xr:uid="{00000000-0005-0000-0000-000037480000}"/>
    <cellStyle name="Moneda 6" xfId="58382" xr:uid="{70ACD79A-FB23-4B8C-B436-18051925DAA1}"/>
    <cellStyle name="moneda(" xfId="2486" xr:uid="{00000000-0005-0000-0000-000038480000}"/>
    <cellStyle name="Moneda0" xfId="67" xr:uid="{00000000-0005-0000-0000-000039480000}"/>
    <cellStyle name="Moneda0 2" xfId="148" xr:uid="{00000000-0005-0000-0000-00003A480000}"/>
    <cellStyle name="Moneda0 2 2" xfId="149" xr:uid="{00000000-0005-0000-0000-00003B480000}"/>
    <cellStyle name="Moneda0 3" xfId="150" xr:uid="{00000000-0005-0000-0000-00003C480000}"/>
    <cellStyle name="Monetario" xfId="2487" xr:uid="{00000000-0005-0000-0000-00003D480000}"/>
    <cellStyle name="MONETARIO 10" xfId="4957" xr:uid="{00000000-0005-0000-0000-00003E480000}"/>
    <cellStyle name="Monetario 11" xfId="4958" xr:uid="{00000000-0005-0000-0000-00003F480000}"/>
    <cellStyle name="Monetario 12" xfId="4959" xr:uid="{00000000-0005-0000-0000-000040480000}"/>
    <cellStyle name="Monetario 2" xfId="4960" xr:uid="{00000000-0005-0000-0000-000041480000}"/>
    <cellStyle name="MONETARIO 3" xfId="4961" xr:uid="{00000000-0005-0000-0000-000042480000}"/>
    <cellStyle name="MONETARIO 4" xfId="4962" xr:uid="{00000000-0005-0000-0000-000043480000}"/>
    <cellStyle name="MONETARIO 5" xfId="4963" xr:uid="{00000000-0005-0000-0000-000044480000}"/>
    <cellStyle name="MONETARIO 6" xfId="4964" xr:uid="{00000000-0005-0000-0000-000045480000}"/>
    <cellStyle name="MONETARIO 7" xfId="4965" xr:uid="{00000000-0005-0000-0000-000046480000}"/>
    <cellStyle name="MONETARIO 8" xfId="4966" xr:uid="{00000000-0005-0000-0000-000047480000}"/>
    <cellStyle name="MONETARIO 9" xfId="4967" xr:uid="{00000000-0005-0000-0000-000048480000}"/>
    <cellStyle name="Monetario0" xfId="2488" xr:uid="{00000000-0005-0000-0000-000049480000}"/>
    <cellStyle name="Neutral 10" xfId="2489" xr:uid="{00000000-0005-0000-0000-00004A480000}"/>
    <cellStyle name="Neutral 11" xfId="2490" xr:uid="{00000000-0005-0000-0000-00004B480000}"/>
    <cellStyle name="Neutral 12" xfId="2491" xr:uid="{00000000-0005-0000-0000-00004C480000}"/>
    <cellStyle name="Neutral 13" xfId="2492" xr:uid="{00000000-0005-0000-0000-00004D480000}"/>
    <cellStyle name="Neutral 14" xfId="2493" xr:uid="{00000000-0005-0000-0000-00004E480000}"/>
    <cellStyle name="Neutral 15" xfId="2494" xr:uid="{00000000-0005-0000-0000-00004F480000}"/>
    <cellStyle name="Neutral 16" xfId="2495" xr:uid="{00000000-0005-0000-0000-000050480000}"/>
    <cellStyle name="Neutral 17" xfId="2496" xr:uid="{00000000-0005-0000-0000-000051480000}"/>
    <cellStyle name="Neutral 18" xfId="2497" xr:uid="{00000000-0005-0000-0000-000052480000}"/>
    <cellStyle name="Neutral 19" xfId="2498" xr:uid="{00000000-0005-0000-0000-000053480000}"/>
    <cellStyle name="Neutral 2" xfId="151" xr:uid="{00000000-0005-0000-0000-000054480000}"/>
    <cellStyle name="Neutral 2 2" xfId="2499" xr:uid="{00000000-0005-0000-0000-000055480000}"/>
    <cellStyle name="Neutral 2 3" xfId="2500" xr:uid="{00000000-0005-0000-0000-000056480000}"/>
    <cellStyle name="Neutral 2 4" xfId="2501" xr:uid="{00000000-0005-0000-0000-000057480000}"/>
    <cellStyle name="Neutral 2 5" xfId="2502" xr:uid="{00000000-0005-0000-0000-000058480000}"/>
    <cellStyle name="Neutral 20" xfId="2503" xr:uid="{00000000-0005-0000-0000-000059480000}"/>
    <cellStyle name="Neutral 21" xfId="2504" xr:uid="{00000000-0005-0000-0000-00005A480000}"/>
    <cellStyle name="Neutral 22" xfId="2505" xr:uid="{00000000-0005-0000-0000-00005B480000}"/>
    <cellStyle name="Neutral 23" xfId="2506" xr:uid="{00000000-0005-0000-0000-00005C480000}"/>
    <cellStyle name="Neutral 24" xfId="2507" xr:uid="{00000000-0005-0000-0000-00005D480000}"/>
    <cellStyle name="Neutral 25" xfId="2508" xr:uid="{00000000-0005-0000-0000-00005E480000}"/>
    <cellStyle name="Neutral 26" xfId="2509" xr:uid="{00000000-0005-0000-0000-00005F480000}"/>
    <cellStyle name="Neutral 27" xfId="2510" xr:uid="{00000000-0005-0000-0000-000060480000}"/>
    <cellStyle name="Neutral 28" xfId="2511" xr:uid="{00000000-0005-0000-0000-000061480000}"/>
    <cellStyle name="Neutral 29" xfId="2512" xr:uid="{00000000-0005-0000-0000-000062480000}"/>
    <cellStyle name="Neutral 3" xfId="2513" xr:uid="{00000000-0005-0000-0000-000063480000}"/>
    <cellStyle name="Neutral 30" xfId="2514" xr:uid="{00000000-0005-0000-0000-000064480000}"/>
    <cellStyle name="Neutral 31" xfId="2515" xr:uid="{00000000-0005-0000-0000-000065480000}"/>
    <cellStyle name="Neutral 32" xfId="2516" xr:uid="{00000000-0005-0000-0000-000066480000}"/>
    <cellStyle name="Neutral 33" xfId="2517" xr:uid="{00000000-0005-0000-0000-000067480000}"/>
    <cellStyle name="Neutral 34" xfId="2518" xr:uid="{00000000-0005-0000-0000-000068480000}"/>
    <cellStyle name="Neutral 35" xfId="2519" xr:uid="{00000000-0005-0000-0000-000069480000}"/>
    <cellStyle name="Neutral 36" xfId="2520" xr:uid="{00000000-0005-0000-0000-00006A480000}"/>
    <cellStyle name="Neutral 37" xfId="2521" xr:uid="{00000000-0005-0000-0000-00006B480000}"/>
    <cellStyle name="Neutral 38" xfId="2522" xr:uid="{00000000-0005-0000-0000-00006C480000}"/>
    <cellStyle name="Neutral 39" xfId="2523" xr:uid="{00000000-0005-0000-0000-00006D480000}"/>
    <cellStyle name="Neutral 4" xfId="2524" xr:uid="{00000000-0005-0000-0000-00006E480000}"/>
    <cellStyle name="Neutral 40" xfId="2525" xr:uid="{00000000-0005-0000-0000-00006F480000}"/>
    <cellStyle name="Neutral 41" xfId="2526" xr:uid="{00000000-0005-0000-0000-000070480000}"/>
    <cellStyle name="Neutral 42" xfId="2527" xr:uid="{00000000-0005-0000-0000-000071480000}"/>
    <cellStyle name="Neutral 43" xfId="2528" xr:uid="{00000000-0005-0000-0000-000072480000}"/>
    <cellStyle name="Neutral 44" xfId="2529" xr:uid="{00000000-0005-0000-0000-000073480000}"/>
    <cellStyle name="Neutral 45" xfId="2530" xr:uid="{00000000-0005-0000-0000-000074480000}"/>
    <cellStyle name="Neutral 46" xfId="2531" xr:uid="{00000000-0005-0000-0000-000075480000}"/>
    <cellStyle name="Neutral 47" xfId="2532" xr:uid="{00000000-0005-0000-0000-000076480000}"/>
    <cellStyle name="Neutral 48" xfId="2533" xr:uid="{00000000-0005-0000-0000-000077480000}"/>
    <cellStyle name="Neutral 49" xfId="2534" xr:uid="{00000000-0005-0000-0000-000078480000}"/>
    <cellStyle name="Neutral 5" xfId="2535" xr:uid="{00000000-0005-0000-0000-000079480000}"/>
    <cellStyle name="Neutral 50" xfId="2536" xr:uid="{00000000-0005-0000-0000-00007A480000}"/>
    <cellStyle name="Neutral 51" xfId="2537" xr:uid="{00000000-0005-0000-0000-00007B480000}"/>
    <cellStyle name="Neutral 52" xfId="2538" xr:uid="{00000000-0005-0000-0000-00007C480000}"/>
    <cellStyle name="Neutral 53" xfId="2539" xr:uid="{00000000-0005-0000-0000-00007D480000}"/>
    <cellStyle name="Neutral 54" xfId="2540" xr:uid="{00000000-0005-0000-0000-00007E480000}"/>
    <cellStyle name="Neutral 55" xfId="2541" xr:uid="{00000000-0005-0000-0000-00007F480000}"/>
    <cellStyle name="Neutral 56" xfId="2542" xr:uid="{00000000-0005-0000-0000-000080480000}"/>
    <cellStyle name="Neutral 57" xfId="2543" xr:uid="{00000000-0005-0000-0000-000081480000}"/>
    <cellStyle name="Neutral 58" xfId="2544" xr:uid="{00000000-0005-0000-0000-000082480000}"/>
    <cellStyle name="Neutral 59" xfId="2545" xr:uid="{00000000-0005-0000-0000-000083480000}"/>
    <cellStyle name="Neutral 6" xfId="2546" xr:uid="{00000000-0005-0000-0000-000084480000}"/>
    <cellStyle name="Neutral 60" xfId="2547" xr:uid="{00000000-0005-0000-0000-000085480000}"/>
    <cellStyle name="Neutral 61" xfId="2548" xr:uid="{00000000-0005-0000-0000-000086480000}"/>
    <cellStyle name="Neutral 62" xfId="2549" xr:uid="{00000000-0005-0000-0000-000087480000}"/>
    <cellStyle name="Neutral 63" xfId="2550" xr:uid="{00000000-0005-0000-0000-000088480000}"/>
    <cellStyle name="Neutral 64" xfId="2551" xr:uid="{00000000-0005-0000-0000-000089480000}"/>
    <cellStyle name="Neutral 65" xfId="2552" xr:uid="{00000000-0005-0000-0000-00008A480000}"/>
    <cellStyle name="Neutral 66" xfId="2553" xr:uid="{00000000-0005-0000-0000-00008B480000}"/>
    <cellStyle name="Neutral 67" xfId="2554" xr:uid="{00000000-0005-0000-0000-00008C480000}"/>
    <cellStyle name="Neutral 7" xfId="2555" xr:uid="{00000000-0005-0000-0000-00008D480000}"/>
    <cellStyle name="Neutral 8" xfId="2556" xr:uid="{00000000-0005-0000-0000-00008E480000}"/>
    <cellStyle name="Neutral 9" xfId="2557" xr:uid="{00000000-0005-0000-0000-00008F480000}"/>
    <cellStyle name="No-definido" xfId="58363" xr:uid="{00000000-0005-0000-0000-000090480000}"/>
    <cellStyle name="Normal" xfId="0" builtinId="0"/>
    <cellStyle name="Normal 10" xfId="2558" xr:uid="{00000000-0005-0000-0000-000092480000}"/>
    <cellStyle name="Normal 10 10" xfId="4968" xr:uid="{00000000-0005-0000-0000-000093480000}"/>
    <cellStyle name="Normal 10 10 2" xfId="58384" xr:uid="{0B4748B7-0F00-49B1-B24F-AF48C7F0E3F8}"/>
    <cellStyle name="Normal 10 11" xfId="4969" xr:uid="{00000000-0005-0000-0000-000094480000}"/>
    <cellStyle name="Normal 10 11 2" xfId="4970" xr:uid="{00000000-0005-0000-0000-000095480000}"/>
    <cellStyle name="Normal 10 11 2 2" xfId="8534" xr:uid="{00000000-0005-0000-0000-000096480000}"/>
    <cellStyle name="Normal 10 11 2 2 2" xfId="15324" xr:uid="{00000000-0005-0000-0000-000097480000}"/>
    <cellStyle name="Normal 10 11 2 2 2 2" xfId="28892" xr:uid="{00000000-0005-0000-0000-000098480000}"/>
    <cellStyle name="Normal 10 11 2 2 2 2 2" xfId="56025" xr:uid="{00000000-0005-0000-0000-000099480000}"/>
    <cellStyle name="Normal 10 11 2 2 2 3" xfId="42463" xr:uid="{00000000-0005-0000-0000-00009A480000}"/>
    <cellStyle name="Normal 10 11 2 2 3" xfId="22111" xr:uid="{00000000-0005-0000-0000-00009B480000}"/>
    <cellStyle name="Normal 10 11 2 2 3 2" xfId="49244" xr:uid="{00000000-0005-0000-0000-00009C480000}"/>
    <cellStyle name="Normal 10 11 2 2 4" xfId="35682" xr:uid="{00000000-0005-0000-0000-00009D480000}"/>
    <cellStyle name="Normal 10 11 2 3" xfId="11935" xr:uid="{00000000-0005-0000-0000-00009E480000}"/>
    <cellStyle name="Normal 10 11 2 3 2" xfId="25503" xr:uid="{00000000-0005-0000-0000-00009F480000}"/>
    <cellStyle name="Normal 10 11 2 3 2 2" xfId="52636" xr:uid="{00000000-0005-0000-0000-0000A0480000}"/>
    <cellStyle name="Normal 10 11 2 3 3" xfId="39074" xr:uid="{00000000-0005-0000-0000-0000A1480000}"/>
    <cellStyle name="Normal 10 11 2 4" xfId="18722" xr:uid="{00000000-0005-0000-0000-0000A2480000}"/>
    <cellStyle name="Normal 10 11 2 4 2" xfId="45855" xr:uid="{00000000-0005-0000-0000-0000A3480000}"/>
    <cellStyle name="Normal 10 11 2 5" xfId="32293" xr:uid="{00000000-0005-0000-0000-0000A4480000}"/>
    <cellStyle name="Normal 10 11 3" xfId="4971" xr:uid="{00000000-0005-0000-0000-0000A5480000}"/>
    <cellStyle name="Normal 10 11 3 2" xfId="8535" xr:uid="{00000000-0005-0000-0000-0000A6480000}"/>
    <cellStyle name="Normal 10 11 3 2 2" xfId="15325" xr:uid="{00000000-0005-0000-0000-0000A7480000}"/>
    <cellStyle name="Normal 10 11 3 2 2 2" xfId="28893" xr:uid="{00000000-0005-0000-0000-0000A8480000}"/>
    <cellStyle name="Normal 10 11 3 2 2 2 2" xfId="56026" xr:uid="{00000000-0005-0000-0000-0000A9480000}"/>
    <cellStyle name="Normal 10 11 3 2 2 3" xfId="42464" xr:uid="{00000000-0005-0000-0000-0000AA480000}"/>
    <cellStyle name="Normal 10 11 3 2 3" xfId="22112" xr:uid="{00000000-0005-0000-0000-0000AB480000}"/>
    <cellStyle name="Normal 10 11 3 2 3 2" xfId="49245" xr:uid="{00000000-0005-0000-0000-0000AC480000}"/>
    <cellStyle name="Normal 10 11 3 2 4" xfId="35683" xr:uid="{00000000-0005-0000-0000-0000AD480000}"/>
    <cellStyle name="Normal 10 11 3 3" xfId="11936" xr:uid="{00000000-0005-0000-0000-0000AE480000}"/>
    <cellStyle name="Normal 10 11 3 3 2" xfId="25504" xr:uid="{00000000-0005-0000-0000-0000AF480000}"/>
    <cellStyle name="Normal 10 11 3 3 2 2" xfId="52637" xr:uid="{00000000-0005-0000-0000-0000B0480000}"/>
    <cellStyle name="Normal 10 11 3 3 3" xfId="39075" xr:uid="{00000000-0005-0000-0000-0000B1480000}"/>
    <cellStyle name="Normal 10 11 3 4" xfId="18723" xr:uid="{00000000-0005-0000-0000-0000B2480000}"/>
    <cellStyle name="Normal 10 11 3 4 2" xfId="45856" xr:uid="{00000000-0005-0000-0000-0000B3480000}"/>
    <cellStyle name="Normal 10 11 3 5" xfId="32294" xr:uid="{00000000-0005-0000-0000-0000B4480000}"/>
    <cellStyle name="Normal 10 11 4" xfId="8533" xr:uid="{00000000-0005-0000-0000-0000B5480000}"/>
    <cellStyle name="Normal 10 11 4 2" xfId="15323" xr:uid="{00000000-0005-0000-0000-0000B6480000}"/>
    <cellStyle name="Normal 10 11 4 2 2" xfId="28891" xr:uid="{00000000-0005-0000-0000-0000B7480000}"/>
    <cellStyle name="Normal 10 11 4 2 2 2" xfId="56024" xr:uid="{00000000-0005-0000-0000-0000B8480000}"/>
    <cellStyle name="Normal 10 11 4 2 3" xfId="42462" xr:uid="{00000000-0005-0000-0000-0000B9480000}"/>
    <cellStyle name="Normal 10 11 4 3" xfId="22110" xr:uid="{00000000-0005-0000-0000-0000BA480000}"/>
    <cellStyle name="Normal 10 11 4 3 2" xfId="49243" xr:uid="{00000000-0005-0000-0000-0000BB480000}"/>
    <cellStyle name="Normal 10 11 4 4" xfId="35681" xr:uid="{00000000-0005-0000-0000-0000BC480000}"/>
    <cellStyle name="Normal 10 11 5" xfId="11934" xr:uid="{00000000-0005-0000-0000-0000BD480000}"/>
    <cellStyle name="Normal 10 11 5 2" xfId="25502" xr:uid="{00000000-0005-0000-0000-0000BE480000}"/>
    <cellStyle name="Normal 10 11 5 2 2" xfId="52635" xr:uid="{00000000-0005-0000-0000-0000BF480000}"/>
    <cellStyle name="Normal 10 11 5 3" xfId="39073" xr:uid="{00000000-0005-0000-0000-0000C0480000}"/>
    <cellStyle name="Normal 10 11 6" xfId="18721" xr:uid="{00000000-0005-0000-0000-0000C1480000}"/>
    <cellStyle name="Normal 10 11 6 2" xfId="45854" xr:uid="{00000000-0005-0000-0000-0000C2480000}"/>
    <cellStyle name="Normal 10 11 7" xfId="32292" xr:uid="{00000000-0005-0000-0000-0000C3480000}"/>
    <cellStyle name="Normal 10 12" xfId="4972" xr:uid="{00000000-0005-0000-0000-0000C4480000}"/>
    <cellStyle name="Normal 10 12 2" xfId="8536" xr:uid="{00000000-0005-0000-0000-0000C5480000}"/>
    <cellStyle name="Normal 10 12 2 2" xfId="15326" xr:uid="{00000000-0005-0000-0000-0000C6480000}"/>
    <cellStyle name="Normal 10 12 2 2 2" xfId="28894" xr:uid="{00000000-0005-0000-0000-0000C7480000}"/>
    <cellStyle name="Normal 10 12 2 2 2 2" xfId="56027" xr:uid="{00000000-0005-0000-0000-0000C8480000}"/>
    <cellStyle name="Normal 10 12 2 2 3" xfId="42465" xr:uid="{00000000-0005-0000-0000-0000C9480000}"/>
    <cellStyle name="Normal 10 12 2 3" xfId="22113" xr:uid="{00000000-0005-0000-0000-0000CA480000}"/>
    <cellStyle name="Normal 10 12 2 3 2" xfId="49246" xr:uid="{00000000-0005-0000-0000-0000CB480000}"/>
    <cellStyle name="Normal 10 12 2 4" xfId="35684" xr:uid="{00000000-0005-0000-0000-0000CC480000}"/>
    <cellStyle name="Normal 10 12 3" xfId="11937" xr:uid="{00000000-0005-0000-0000-0000CD480000}"/>
    <cellStyle name="Normal 10 12 3 2" xfId="25505" xr:uid="{00000000-0005-0000-0000-0000CE480000}"/>
    <cellStyle name="Normal 10 12 3 2 2" xfId="52638" xr:uid="{00000000-0005-0000-0000-0000CF480000}"/>
    <cellStyle name="Normal 10 12 3 3" xfId="39076" xr:uid="{00000000-0005-0000-0000-0000D0480000}"/>
    <cellStyle name="Normal 10 12 4" xfId="18724" xr:uid="{00000000-0005-0000-0000-0000D1480000}"/>
    <cellStyle name="Normal 10 12 4 2" xfId="45857" xr:uid="{00000000-0005-0000-0000-0000D2480000}"/>
    <cellStyle name="Normal 10 12 5" xfId="32295" xr:uid="{00000000-0005-0000-0000-0000D3480000}"/>
    <cellStyle name="Normal 10 2" xfId="4973" xr:uid="{00000000-0005-0000-0000-0000D4480000}"/>
    <cellStyle name="Normal 10 2 10" xfId="4974" xr:uid="{00000000-0005-0000-0000-0000D5480000}"/>
    <cellStyle name="Normal 10 2 10 2" xfId="4975" xr:uid="{00000000-0005-0000-0000-0000D6480000}"/>
    <cellStyle name="Normal 10 2 10 2 2" xfId="8538" xr:uid="{00000000-0005-0000-0000-0000D7480000}"/>
    <cellStyle name="Normal 10 2 10 2 2 2" xfId="15328" xr:uid="{00000000-0005-0000-0000-0000D8480000}"/>
    <cellStyle name="Normal 10 2 10 2 2 2 2" xfId="28896" xr:uid="{00000000-0005-0000-0000-0000D9480000}"/>
    <cellStyle name="Normal 10 2 10 2 2 2 2 2" xfId="56029" xr:uid="{00000000-0005-0000-0000-0000DA480000}"/>
    <cellStyle name="Normal 10 2 10 2 2 2 3" xfId="42467" xr:uid="{00000000-0005-0000-0000-0000DB480000}"/>
    <cellStyle name="Normal 10 2 10 2 2 3" xfId="22115" xr:uid="{00000000-0005-0000-0000-0000DC480000}"/>
    <cellStyle name="Normal 10 2 10 2 2 3 2" xfId="49248" xr:uid="{00000000-0005-0000-0000-0000DD480000}"/>
    <cellStyle name="Normal 10 2 10 2 2 4" xfId="35686" xr:uid="{00000000-0005-0000-0000-0000DE480000}"/>
    <cellStyle name="Normal 10 2 10 2 3" xfId="11939" xr:uid="{00000000-0005-0000-0000-0000DF480000}"/>
    <cellStyle name="Normal 10 2 10 2 3 2" xfId="25507" xr:uid="{00000000-0005-0000-0000-0000E0480000}"/>
    <cellStyle name="Normal 10 2 10 2 3 2 2" xfId="52640" xr:uid="{00000000-0005-0000-0000-0000E1480000}"/>
    <cellStyle name="Normal 10 2 10 2 3 3" xfId="39078" xr:uid="{00000000-0005-0000-0000-0000E2480000}"/>
    <cellStyle name="Normal 10 2 10 2 4" xfId="18726" xr:uid="{00000000-0005-0000-0000-0000E3480000}"/>
    <cellStyle name="Normal 10 2 10 2 4 2" xfId="45859" xr:uid="{00000000-0005-0000-0000-0000E4480000}"/>
    <cellStyle name="Normal 10 2 10 2 5" xfId="32297" xr:uid="{00000000-0005-0000-0000-0000E5480000}"/>
    <cellStyle name="Normal 10 2 10 3" xfId="4976" xr:uid="{00000000-0005-0000-0000-0000E6480000}"/>
    <cellStyle name="Normal 10 2 10 3 2" xfId="8539" xr:uid="{00000000-0005-0000-0000-0000E7480000}"/>
    <cellStyle name="Normal 10 2 10 3 2 2" xfId="15329" xr:uid="{00000000-0005-0000-0000-0000E8480000}"/>
    <cellStyle name="Normal 10 2 10 3 2 2 2" xfId="28897" xr:uid="{00000000-0005-0000-0000-0000E9480000}"/>
    <cellStyle name="Normal 10 2 10 3 2 2 2 2" xfId="56030" xr:uid="{00000000-0005-0000-0000-0000EA480000}"/>
    <cellStyle name="Normal 10 2 10 3 2 2 3" xfId="42468" xr:uid="{00000000-0005-0000-0000-0000EB480000}"/>
    <cellStyle name="Normal 10 2 10 3 2 3" xfId="22116" xr:uid="{00000000-0005-0000-0000-0000EC480000}"/>
    <cellStyle name="Normal 10 2 10 3 2 3 2" xfId="49249" xr:uid="{00000000-0005-0000-0000-0000ED480000}"/>
    <cellStyle name="Normal 10 2 10 3 2 4" xfId="35687" xr:uid="{00000000-0005-0000-0000-0000EE480000}"/>
    <cellStyle name="Normal 10 2 10 3 3" xfId="11940" xr:uid="{00000000-0005-0000-0000-0000EF480000}"/>
    <cellStyle name="Normal 10 2 10 3 3 2" xfId="25508" xr:uid="{00000000-0005-0000-0000-0000F0480000}"/>
    <cellStyle name="Normal 10 2 10 3 3 2 2" xfId="52641" xr:uid="{00000000-0005-0000-0000-0000F1480000}"/>
    <cellStyle name="Normal 10 2 10 3 3 3" xfId="39079" xr:uid="{00000000-0005-0000-0000-0000F2480000}"/>
    <cellStyle name="Normal 10 2 10 3 4" xfId="18727" xr:uid="{00000000-0005-0000-0000-0000F3480000}"/>
    <cellStyle name="Normal 10 2 10 3 4 2" xfId="45860" xr:uid="{00000000-0005-0000-0000-0000F4480000}"/>
    <cellStyle name="Normal 10 2 10 3 5" xfId="32298" xr:uid="{00000000-0005-0000-0000-0000F5480000}"/>
    <cellStyle name="Normal 10 2 10 4" xfId="8537" xr:uid="{00000000-0005-0000-0000-0000F6480000}"/>
    <cellStyle name="Normal 10 2 10 4 2" xfId="15327" xr:uid="{00000000-0005-0000-0000-0000F7480000}"/>
    <cellStyle name="Normal 10 2 10 4 2 2" xfId="28895" xr:uid="{00000000-0005-0000-0000-0000F8480000}"/>
    <cellStyle name="Normal 10 2 10 4 2 2 2" xfId="56028" xr:uid="{00000000-0005-0000-0000-0000F9480000}"/>
    <cellStyle name="Normal 10 2 10 4 2 3" xfId="42466" xr:uid="{00000000-0005-0000-0000-0000FA480000}"/>
    <cellStyle name="Normal 10 2 10 4 3" xfId="22114" xr:uid="{00000000-0005-0000-0000-0000FB480000}"/>
    <cellStyle name="Normal 10 2 10 4 3 2" xfId="49247" xr:uid="{00000000-0005-0000-0000-0000FC480000}"/>
    <cellStyle name="Normal 10 2 10 4 4" xfId="35685" xr:uid="{00000000-0005-0000-0000-0000FD480000}"/>
    <cellStyle name="Normal 10 2 10 5" xfId="11938" xr:uid="{00000000-0005-0000-0000-0000FE480000}"/>
    <cellStyle name="Normal 10 2 10 5 2" xfId="25506" xr:uid="{00000000-0005-0000-0000-0000FF480000}"/>
    <cellStyle name="Normal 10 2 10 5 2 2" xfId="52639" xr:uid="{00000000-0005-0000-0000-000000490000}"/>
    <cellStyle name="Normal 10 2 10 5 3" xfId="39077" xr:uid="{00000000-0005-0000-0000-000001490000}"/>
    <cellStyle name="Normal 10 2 10 6" xfId="18725" xr:uid="{00000000-0005-0000-0000-000002490000}"/>
    <cellStyle name="Normal 10 2 10 6 2" xfId="45858" xr:uid="{00000000-0005-0000-0000-000003490000}"/>
    <cellStyle name="Normal 10 2 10 7" xfId="32296" xr:uid="{00000000-0005-0000-0000-000004490000}"/>
    <cellStyle name="Normal 10 2 11" xfId="4977" xr:uid="{00000000-0005-0000-0000-000005490000}"/>
    <cellStyle name="Normal 10 2 11 2" xfId="8540" xr:uid="{00000000-0005-0000-0000-000006490000}"/>
    <cellStyle name="Normal 10 2 11 2 2" xfId="15330" xr:uid="{00000000-0005-0000-0000-000007490000}"/>
    <cellStyle name="Normal 10 2 11 2 2 2" xfId="28898" xr:uid="{00000000-0005-0000-0000-000008490000}"/>
    <cellStyle name="Normal 10 2 11 2 2 2 2" xfId="56031" xr:uid="{00000000-0005-0000-0000-000009490000}"/>
    <cellStyle name="Normal 10 2 11 2 2 3" xfId="42469" xr:uid="{00000000-0005-0000-0000-00000A490000}"/>
    <cellStyle name="Normal 10 2 11 2 3" xfId="22117" xr:uid="{00000000-0005-0000-0000-00000B490000}"/>
    <cellStyle name="Normal 10 2 11 2 3 2" xfId="49250" xr:uid="{00000000-0005-0000-0000-00000C490000}"/>
    <cellStyle name="Normal 10 2 11 2 4" xfId="35688" xr:uid="{00000000-0005-0000-0000-00000D490000}"/>
    <cellStyle name="Normal 10 2 11 3" xfId="11941" xr:uid="{00000000-0005-0000-0000-00000E490000}"/>
    <cellStyle name="Normal 10 2 11 3 2" xfId="25509" xr:uid="{00000000-0005-0000-0000-00000F490000}"/>
    <cellStyle name="Normal 10 2 11 3 2 2" xfId="52642" xr:uid="{00000000-0005-0000-0000-000010490000}"/>
    <cellStyle name="Normal 10 2 11 3 3" xfId="39080" xr:uid="{00000000-0005-0000-0000-000011490000}"/>
    <cellStyle name="Normal 10 2 11 4" xfId="18728" xr:uid="{00000000-0005-0000-0000-000012490000}"/>
    <cellStyle name="Normal 10 2 11 4 2" xfId="45861" xr:uid="{00000000-0005-0000-0000-000013490000}"/>
    <cellStyle name="Normal 10 2 11 5" xfId="32299" xr:uid="{00000000-0005-0000-0000-000014490000}"/>
    <cellStyle name="Normal 10 2 12" xfId="4978" xr:uid="{00000000-0005-0000-0000-000015490000}"/>
    <cellStyle name="Normal 10 2 12 2" xfId="8541" xr:uid="{00000000-0005-0000-0000-000016490000}"/>
    <cellStyle name="Normal 10 2 12 2 2" xfId="15331" xr:uid="{00000000-0005-0000-0000-000017490000}"/>
    <cellStyle name="Normal 10 2 12 2 2 2" xfId="28899" xr:uid="{00000000-0005-0000-0000-000018490000}"/>
    <cellStyle name="Normal 10 2 12 2 2 2 2" xfId="56032" xr:uid="{00000000-0005-0000-0000-000019490000}"/>
    <cellStyle name="Normal 10 2 12 2 2 3" xfId="42470" xr:uid="{00000000-0005-0000-0000-00001A490000}"/>
    <cellStyle name="Normal 10 2 12 2 3" xfId="22118" xr:uid="{00000000-0005-0000-0000-00001B490000}"/>
    <cellStyle name="Normal 10 2 12 2 3 2" xfId="49251" xr:uid="{00000000-0005-0000-0000-00001C490000}"/>
    <cellStyle name="Normal 10 2 12 2 4" xfId="35689" xr:uid="{00000000-0005-0000-0000-00001D490000}"/>
    <cellStyle name="Normal 10 2 12 3" xfId="11942" xr:uid="{00000000-0005-0000-0000-00001E490000}"/>
    <cellStyle name="Normal 10 2 12 3 2" xfId="25510" xr:uid="{00000000-0005-0000-0000-00001F490000}"/>
    <cellStyle name="Normal 10 2 12 3 2 2" xfId="52643" xr:uid="{00000000-0005-0000-0000-000020490000}"/>
    <cellStyle name="Normal 10 2 12 3 3" xfId="39081" xr:uid="{00000000-0005-0000-0000-000021490000}"/>
    <cellStyle name="Normal 10 2 12 4" xfId="18729" xr:uid="{00000000-0005-0000-0000-000022490000}"/>
    <cellStyle name="Normal 10 2 12 4 2" xfId="45862" xr:uid="{00000000-0005-0000-0000-000023490000}"/>
    <cellStyle name="Normal 10 2 12 5" xfId="32300" xr:uid="{00000000-0005-0000-0000-000024490000}"/>
    <cellStyle name="Normal 10 2 2" xfId="4979" xr:uid="{00000000-0005-0000-0000-000025490000}"/>
    <cellStyle name="Normal 10 2 2 10" xfId="4980" xr:uid="{00000000-0005-0000-0000-000026490000}"/>
    <cellStyle name="Normal 10 2 2 10 2" xfId="8542" xr:uid="{00000000-0005-0000-0000-000027490000}"/>
    <cellStyle name="Normal 10 2 2 10 2 2" xfId="15332" xr:uid="{00000000-0005-0000-0000-000028490000}"/>
    <cellStyle name="Normal 10 2 2 10 2 2 2" xfId="28900" xr:uid="{00000000-0005-0000-0000-000029490000}"/>
    <cellStyle name="Normal 10 2 2 10 2 2 2 2" xfId="56033" xr:uid="{00000000-0005-0000-0000-00002A490000}"/>
    <cellStyle name="Normal 10 2 2 10 2 2 3" xfId="42471" xr:uid="{00000000-0005-0000-0000-00002B490000}"/>
    <cellStyle name="Normal 10 2 2 10 2 3" xfId="22119" xr:uid="{00000000-0005-0000-0000-00002C490000}"/>
    <cellStyle name="Normal 10 2 2 10 2 3 2" xfId="49252" xr:uid="{00000000-0005-0000-0000-00002D490000}"/>
    <cellStyle name="Normal 10 2 2 10 2 4" xfId="35690" xr:uid="{00000000-0005-0000-0000-00002E490000}"/>
    <cellStyle name="Normal 10 2 2 10 3" xfId="11943" xr:uid="{00000000-0005-0000-0000-00002F490000}"/>
    <cellStyle name="Normal 10 2 2 10 3 2" xfId="25511" xr:uid="{00000000-0005-0000-0000-000030490000}"/>
    <cellStyle name="Normal 10 2 2 10 3 2 2" xfId="52644" xr:uid="{00000000-0005-0000-0000-000031490000}"/>
    <cellStyle name="Normal 10 2 2 10 3 3" xfId="39082" xr:uid="{00000000-0005-0000-0000-000032490000}"/>
    <cellStyle name="Normal 10 2 2 10 4" xfId="18730" xr:uid="{00000000-0005-0000-0000-000033490000}"/>
    <cellStyle name="Normal 10 2 2 10 4 2" xfId="45863" xr:uid="{00000000-0005-0000-0000-000034490000}"/>
    <cellStyle name="Normal 10 2 2 10 5" xfId="32301" xr:uid="{00000000-0005-0000-0000-000035490000}"/>
    <cellStyle name="Normal 10 2 2 2" xfId="4981" xr:uid="{00000000-0005-0000-0000-000036490000}"/>
    <cellStyle name="Normal 10 2 2 2 10" xfId="11944" xr:uid="{00000000-0005-0000-0000-000037490000}"/>
    <cellStyle name="Normal 10 2 2 2 10 2" xfId="25512" xr:uid="{00000000-0005-0000-0000-000038490000}"/>
    <cellStyle name="Normal 10 2 2 2 10 2 2" xfId="52645" xr:uid="{00000000-0005-0000-0000-000039490000}"/>
    <cellStyle name="Normal 10 2 2 2 10 3" xfId="39083" xr:uid="{00000000-0005-0000-0000-00003A490000}"/>
    <cellStyle name="Normal 10 2 2 2 11" xfId="18731" xr:uid="{00000000-0005-0000-0000-00003B490000}"/>
    <cellStyle name="Normal 10 2 2 2 11 2" xfId="45864" xr:uid="{00000000-0005-0000-0000-00003C490000}"/>
    <cellStyle name="Normal 10 2 2 2 12" xfId="32302" xr:uid="{00000000-0005-0000-0000-00003D490000}"/>
    <cellStyle name="Normal 10 2 2 2 2" xfId="4982" xr:uid="{00000000-0005-0000-0000-00003E490000}"/>
    <cellStyle name="Normal 10 2 2 2 2 10" xfId="32303" xr:uid="{00000000-0005-0000-0000-00003F490000}"/>
    <cellStyle name="Normal 10 2 2 2 2 2" xfId="4983" xr:uid="{00000000-0005-0000-0000-000040490000}"/>
    <cellStyle name="Normal 10 2 2 2 2 2 2" xfId="4984" xr:uid="{00000000-0005-0000-0000-000041490000}"/>
    <cellStyle name="Normal 10 2 2 2 2 2 2 2" xfId="4985" xr:uid="{00000000-0005-0000-0000-000042490000}"/>
    <cellStyle name="Normal 10 2 2 2 2 2 2 2 2" xfId="8547" xr:uid="{00000000-0005-0000-0000-000043490000}"/>
    <cellStyle name="Normal 10 2 2 2 2 2 2 2 2 2" xfId="15337" xr:uid="{00000000-0005-0000-0000-000044490000}"/>
    <cellStyle name="Normal 10 2 2 2 2 2 2 2 2 2 2" xfId="28905" xr:uid="{00000000-0005-0000-0000-000045490000}"/>
    <cellStyle name="Normal 10 2 2 2 2 2 2 2 2 2 2 2" xfId="56038" xr:uid="{00000000-0005-0000-0000-000046490000}"/>
    <cellStyle name="Normal 10 2 2 2 2 2 2 2 2 2 3" xfId="42476" xr:uid="{00000000-0005-0000-0000-000047490000}"/>
    <cellStyle name="Normal 10 2 2 2 2 2 2 2 2 3" xfId="22124" xr:uid="{00000000-0005-0000-0000-000048490000}"/>
    <cellStyle name="Normal 10 2 2 2 2 2 2 2 2 3 2" xfId="49257" xr:uid="{00000000-0005-0000-0000-000049490000}"/>
    <cellStyle name="Normal 10 2 2 2 2 2 2 2 2 4" xfId="35695" xr:uid="{00000000-0005-0000-0000-00004A490000}"/>
    <cellStyle name="Normal 10 2 2 2 2 2 2 2 3" xfId="11948" xr:uid="{00000000-0005-0000-0000-00004B490000}"/>
    <cellStyle name="Normal 10 2 2 2 2 2 2 2 3 2" xfId="25516" xr:uid="{00000000-0005-0000-0000-00004C490000}"/>
    <cellStyle name="Normal 10 2 2 2 2 2 2 2 3 2 2" xfId="52649" xr:uid="{00000000-0005-0000-0000-00004D490000}"/>
    <cellStyle name="Normal 10 2 2 2 2 2 2 2 3 3" xfId="39087" xr:uid="{00000000-0005-0000-0000-00004E490000}"/>
    <cellStyle name="Normal 10 2 2 2 2 2 2 2 4" xfId="18735" xr:uid="{00000000-0005-0000-0000-00004F490000}"/>
    <cellStyle name="Normal 10 2 2 2 2 2 2 2 4 2" xfId="45868" xr:uid="{00000000-0005-0000-0000-000050490000}"/>
    <cellStyle name="Normal 10 2 2 2 2 2 2 2 5" xfId="32306" xr:uid="{00000000-0005-0000-0000-000051490000}"/>
    <cellStyle name="Normal 10 2 2 2 2 2 2 3" xfId="4986" xr:uid="{00000000-0005-0000-0000-000052490000}"/>
    <cellStyle name="Normal 10 2 2 2 2 2 2 3 2" xfId="8548" xr:uid="{00000000-0005-0000-0000-000053490000}"/>
    <cellStyle name="Normal 10 2 2 2 2 2 2 3 2 2" xfId="15338" xr:uid="{00000000-0005-0000-0000-000054490000}"/>
    <cellStyle name="Normal 10 2 2 2 2 2 2 3 2 2 2" xfId="28906" xr:uid="{00000000-0005-0000-0000-000055490000}"/>
    <cellStyle name="Normal 10 2 2 2 2 2 2 3 2 2 2 2" xfId="56039" xr:uid="{00000000-0005-0000-0000-000056490000}"/>
    <cellStyle name="Normal 10 2 2 2 2 2 2 3 2 2 3" xfId="42477" xr:uid="{00000000-0005-0000-0000-000057490000}"/>
    <cellStyle name="Normal 10 2 2 2 2 2 2 3 2 3" xfId="22125" xr:uid="{00000000-0005-0000-0000-000058490000}"/>
    <cellStyle name="Normal 10 2 2 2 2 2 2 3 2 3 2" xfId="49258" xr:uid="{00000000-0005-0000-0000-000059490000}"/>
    <cellStyle name="Normal 10 2 2 2 2 2 2 3 2 4" xfId="35696" xr:uid="{00000000-0005-0000-0000-00005A490000}"/>
    <cellStyle name="Normal 10 2 2 2 2 2 2 3 3" xfId="11949" xr:uid="{00000000-0005-0000-0000-00005B490000}"/>
    <cellStyle name="Normal 10 2 2 2 2 2 2 3 3 2" xfId="25517" xr:uid="{00000000-0005-0000-0000-00005C490000}"/>
    <cellStyle name="Normal 10 2 2 2 2 2 2 3 3 2 2" xfId="52650" xr:uid="{00000000-0005-0000-0000-00005D490000}"/>
    <cellStyle name="Normal 10 2 2 2 2 2 2 3 3 3" xfId="39088" xr:uid="{00000000-0005-0000-0000-00005E490000}"/>
    <cellStyle name="Normal 10 2 2 2 2 2 2 3 4" xfId="18736" xr:uid="{00000000-0005-0000-0000-00005F490000}"/>
    <cellStyle name="Normal 10 2 2 2 2 2 2 3 4 2" xfId="45869" xr:uid="{00000000-0005-0000-0000-000060490000}"/>
    <cellStyle name="Normal 10 2 2 2 2 2 2 3 5" xfId="32307" xr:uid="{00000000-0005-0000-0000-000061490000}"/>
    <cellStyle name="Normal 10 2 2 2 2 2 2 4" xfId="8546" xr:uid="{00000000-0005-0000-0000-000062490000}"/>
    <cellStyle name="Normal 10 2 2 2 2 2 2 4 2" xfId="15336" xr:uid="{00000000-0005-0000-0000-000063490000}"/>
    <cellStyle name="Normal 10 2 2 2 2 2 2 4 2 2" xfId="28904" xr:uid="{00000000-0005-0000-0000-000064490000}"/>
    <cellStyle name="Normal 10 2 2 2 2 2 2 4 2 2 2" xfId="56037" xr:uid="{00000000-0005-0000-0000-000065490000}"/>
    <cellStyle name="Normal 10 2 2 2 2 2 2 4 2 3" xfId="42475" xr:uid="{00000000-0005-0000-0000-000066490000}"/>
    <cellStyle name="Normal 10 2 2 2 2 2 2 4 3" xfId="22123" xr:uid="{00000000-0005-0000-0000-000067490000}"/>
    <cellStyle name="Normal 10 2 2 2 2 2 2 4 3 2" xfId="49256" xr:uid="{00000000-0005-0000-0000-000068490000}"/>
    <cellStyle name="Normal 10 2 2 2 2 2 2 4 4" xfId="35694" xr:uid="{00000000-0005-0000-0000-000069490000}"/>
    <cellStyle name="Normal 10 2 2 2 2 2 2 5" xfId="11947" xr:uid="{00000000-0005-0000-0000-00006A490000}"/>
    <cellStyle name="Normal 10 2 2 2 2 2 2 5 2" xfId="25515" xr:uid="{00000000-0005-0000-0000-00006B490000}"/>
    <cellStyle name="Normal 10 2 2 2 2 2 2 5 2 2" xfId="52648" xr:uid="{00000000-0005-0000-0000-00006C490000}"/>
    <cellStyle name="Normal 10 2 2 2 2 2 2 5 3" xfId="39086" xr:uid="{00000000-0005-0000-0000-00006D490000}"/>
    <cellStyle name="Normal 10 2 2 2 2 2 2 6" xfId="18734" xr:uid="{00000000-0005-0000-0000-00006E490000}"/>
    <cellStyle name="Normal 10 2 2 2 2 2 2 6 2" xfId="45867" xr:uid="{00000000-0005-0000-0000-00006F490000}"/>
    <cellStyle name="Normal 10 2 2 2 2 2 2 7" xfId="32305" xr:uid="{00000000-0005-0000-0000-000070490000}"/>
    <cellStyle name="Normal 10 2 2 2 2 2 3" xfId="4987" xr:uid="{00000000-0005-0000-0000-000071490000}"/>
    <cellStyle name="Normal 10 2 2 2 2 2 3 2" xfId="4988" xr:uid="{00000000-0005-0000-0000-000072490000}"/>
    <cellStyle name="Normal 10 2 2 2 2 2 3 2 2" xfId="8550" xr:uid="{00000000-0005-0000-0000-000073490000}"/>
    <cellStyle name="Normal 10 2 2 2 2 2 3 2 2 2" xfId="15340" xr:uid="{00000000-0005-0000-0000-000074490000}"/>
    <cellStyle name="Normal 10 2 2 2 2 2 3 2 2 2 2" xfId="28908" xr:uid="{00000000-0005-0000-0000-000075490000}"/>
    <cellStyle name="Normal 10 2 2 2 2 2 3 2 2 2 2 2" xfId="56041" xr:uid="{00000000-0005-0000-0000-000076490000}"/>
    <cellStyle name="Normal 10 2 2 2 2 2 3 2 2 2 3" xfId="42479" xr:uid="{00000000-0005-0000-0000-000077490000}"/>
    <cellStyle name="Normal 10 2 2 2 2 2 3 2 2 3" xfId="22127" xr:uid="{00000000-0005-0000-0000-000078490000}"/>
    <cellStyle name="Normal 10 2 2 2 2 2 3 2 2 3 2" xfId="49260" xr:uid="{00000000-0005-0000-0000-000079490000}"/>
    <cellStyle name="Normal 10 2 2 2 2 2 3 2 2 4" xfId="35698" xr:uid="{00000000-0005-0000-0000-00007A490000}"/>
    <cellStyle name="Normal 10 2 2 2 2 2 3 2 3" xfId="11951" xr:uid="{00000000-0005-0000-0000-00007B490000}"/>
    <cellStyle name="Normal 10 2 2 2 2 2 3 2 3 2" xfId="25519" xr:uid="{00000000-0005-0000-0000-00007C490000}"/>
    <cellStyle name="Normal 10 2 2 2 2 2 3 2 3 2 2" xfId="52652" xr:uid="{00000000-0005-0000-0000-00007D490000}"/>
    <cellStyle name="Normal 10 2 2 2 2 2 3 2 3 3" xfId="39090" xr:uid="{00000000-0005-0000-0000-00007E490000}"/>
    <cellStyle name="Normal 10 2 2 2 2 2 3 2 4" xfId="18738" xr:uid="{00000000-0005-0000-0000-00007F490000}"/>
    <cellStyle name="Normal 10 2 2 2 2 2 3 2 4 2" xfId="45871" xr:uid="{00000000-0005-0000-0000-000080490000}"/>
    <cellStyle name="Normal 10 2 2 2 2 2 3 2 5" xfId="32309" xr:uid="{00000000-0005-0000-0000-000081490000}"/>
    <cellStyle name="Normal 10 2 2 2 2 2 3 3" xfId="8549" xr:uid="{00000000-0005-0000-0000-000082490000}"/>
    <cellStyle name="Normal 10 2 2 2 2 2 3 3 2" xfId="15339" xr:uid="{00000000-0005-0000-0000-000083490000}"/>
    <cellStyle name="Normal 10 2 2 2 2 2 3 3 2 2" xfId="28907" xr:uid="{00000000-0005-0000-0000-000084490000}"/>
    <cellStyle name="Normal 10 2 2 2 2 2 3 3 2 2 2" xfId="56040" xr:uid="{00000000-0005-0000-0000-000085490000}"/>
    <cellStyle name="Normal 10 2 2 2 2 2 3 3 2 3" xfId="42478" xr:uid="{00000000-0005-0000-0000-000086490000}"/>
    <cellStyle name="Normal 10 2 2 2 2 2 3 3 3" xfId="22126" xr:uid="{00000000-0005-0000-0000-000087490000}"/>
    <cellStyle name="Normal 10 2 2 2 2 2 3 3 3 2" xfId="49259" xr:uid="{00000000-0005-0000-0000-000088490000}"/>
    <cellStyle name="Normal 10 2 2 2 2 2 3 3 4" xfId="35697" xr:uid="{00000000-0005-0000-0000-000089490000}"/>
    <cellStyle name="Normal 10 2 2 2 2 2 3 4" xfId="11950" xr:uid="{00000000-0005-0000-0000-00008A490000}"/>
    <cellStyle name="Normal 10 2 2 2 2 2 3 4 2" xfId="25518" xr:uid="{00000000-0005-0000-0000-00008B490000}"/>
    <cellStyle name="Normal 10 2 2 2 2 2 3 4 2 2" xfId="52651" xr:uid="{00000000-0005-0000-0000-00008C490000}"/>
    <cellStyle name="Normal 10 2 2 2 2 2 3 4 3" xfId="39089" xr:uid="{00000000-0005-0000-0000-00008D490000}"/>
    <cellStyle name="Normal 10 2 2 2 2 2 3 5" xfId="18737" xr:uid="{00000000-0005-0000-0000-00008E490000}"/>
    <cellStyle name="Normal 10 2 2 2 2 2 3 5 2" xfId="45870" xr:uid="{00000000-0005-0000-0000-00008F490000}"/>
    <cellStyle name="Normal 10 2 2 2 2 2 3 6" xfId="32308" xr:uid="{00000000-0005-0000-0000-000090490000}"/>
    <cellStyle name="Normal 10 2 2 2 2 2 4" xfId="4989" xr:uid="{00000000-0005-0000-0000-000091490000}"/>
    <cellStyle name="Normal 10 2 2 2 2 2 4 2" xfId="8551" xr:uid="{00000000-0005-0000-0000-000092490000}"/>
    <cellStyle name="Normal 10 2 2 2 2 2 4 2 2" xfId="15341" xr:uid="{00000000-0005-0000-0000-000093490000}"/>
    <cellStyle name="Normal 10 2 2 2 2 2 4 2 2 2" xfId="28909" xr:uid="{00000000-0005-0000-0000-000094490000}"/>
    <cellStyle name="Normal 10 2 2 2 2 2 4 2 2 2 2" xfId="56042" xr:uid="{00000000-0005-0000-0000-000095490000}"/>
    <cellStyle name="Normal 10 2 2 2 2 2 4 2 2 3" xfId="42480" xr:uid="{00000000-0005-0000-0000-000096490000}"/>
    <cellStyle name="Normal 10 2 2 2 2 2 4 2 3" xfId="22128" xr:uid="{00000000-0005-0000-0000-000097490000}"/>
    <cellStyle name="Normal 10 2 2 2 2 2 4 2 3 2" xfId="49261" xr:uid="{00000000-0005-0000-0000-000098490000}"/>
    <cellStyle name="Normal 10 2 2 2 2 2 4 2 4" xfId="35699" xr:uid="{00000000-0005-0000-0000-000099490000}"/>
    <cellStyle name="Normal 10 2 2 2 2 2 4 3" xfId="11952" xr:uid="{00000000-0005-0000-0000-00009A490000}"/>
    <cellStyle name="Normal 10 2 2 2 2 2 4 3 2" xfId="25520" xr:uid="{00000000-0005-0000-0000-00009B490000}"/>
    <cellStyle name="Normal 10 2 2 2 2 2 4 3 2 2" xfId="52653" xr:uid="{00000000-0005-0000-0000-00009C490000}"/>
    <cellStyle name="Normal 10 2 2 2 2 2 4 3 3" xfId="39091" xr:uid="{00000000-0005-0000-0000-00009D490000}"/>
    <cellStyle name="Normal 10 2 2 2 2 2 4 4" xfId="18739" xr:uid="{00000000-0005-0000-0000-00009E490000}"/>
    <cellStyle name="Normal 10 2 2 2 2 2 4 4 2" xfId="45872" xr:uid="{00000000-0005-0000-0000-00009F490000}"/>
    <cellStyle name="Normal 10 2 2 2 2 2 4 5" xfId="32310" xr:uid="{00000000-0005-0000-0000-0000A0490000}"/>
    <cellStyle name="Normal 10 2 2 2 2 2 5" xfId="4990" xr:uid="{00000000-0005-0000-0000-0000A1490000}"/>
    <cellStyle name="Normal 10 2 2 2 2 2 5 2" xfId="8552" xr:uid="{00000000-0005-0000-0000-0000A2490000}"/>
    <cellStyle name="Normal 10 2 2 2 2 2 5 2 2" xfId="15342" xr:uid="{00000000-0005-0000-0000-0000A3490000}"/>
    <cellStyle name="Normal 10 2 2 2 2 2 5 2 2 2" xfId="28910" xr:uid="{00000000-0005-0000-0000-0000A4490000}"/>
    <cellStyle name="Normal 10 2 2 2 2 2 5 2 2 2 2" xfId="56043" xr:uid="{00000000-0005-0000-0000-0000A5490000}"/>
    <cellStyle name="Normal 10 2 2 2 2 2 5 2 2 3" xfId="42481" xr:uid="{00000000-0005-0000-0000-0000A6490000}"/>
    <cellStyle name="Normal 10 2 2 2 2 2 5 2 3" xfId="22129" xr:uid="{00000000-0005-0000-0000-0000A7490000}"/>
    <cellStyle name="Normal 10 2 2 2 2 2 5 2 3 2" xfId="49262" xr:uid="{00000000-0005-0000-0000-0000A8490000}"/>
    <cellStyle name="Normal 10 2 2 2 2 2 5 2 4" xfId="35700" xr:uid="{00000000-0005-0000-0000-0000A9490000}"/>
    <cellStyle name="Normal 10 2 2 2 2 2 5 3" xfId="11953" xr:uid="{00000000-0005-0000-0000-0000AA490000}"/>
    <cellStyle name="Normal 10 2 2 2 2 2 5 3 2" xfId="25521" xr:uid="{00000000-0005-0000-0000-0000AB490000}"/>
    <cellStyle name="Normal 10 2 2 2 2 2 5 3 2 2" xfId="52654" xr:uid="{00000000-0005-0000-0000-0000AC490000}"/>
    <cellStyle name="Normal 10 2 2 2 2 2 5 3 3" xfId="39092" xr:uid="{00000000-0005-0000-0000-0000AD490000}"/>
    <cellStyle name="Normal 10 2 2 2 2 2 5 4" xfId="18740" xr:uid="{00000000-0005-0000-0000-0000AE490000}"/>
    <cellStyle name="Normal 10 2 2 2 2 2 5 4 2" xfId="45873" xr:uid="{00000000-0005-0000-0000-0000AF490000}"/>
    <cellStyle name="Normal 10 2 2 2 2 2 5 5" xfId="32311" xr:uid="{00000000-0005-0000-0000-0000B0490000}"/>
    <cellStyle name="Normal 10 2 2 2 2 2 6" xfId="8545" xr:uid="{00000000-0005-0000-0000-0000B1490000}"/>
    <cellStyle name="Normal 10 2 2 2 2 2 6 2" xfId="15335" xr:uid="{00000000-0005-0000-0000-0000B2490000}"/>
    <cellStyle name="Normal 10 2 2 2 2 2 6 2 2" xfId="28903" xr:uid="{00000000-0005-0000-0000-0000B3490000}"/>
    <cellStyle name="Normal 10 2 2 2 2 2 6 2 2 2" xfId="56036" xr:uid="{00000000-0005-0000-0000-0000B4490000}"/>
    <cellStyle name="Normal 10 2 2 2 2 2 6 2 3" xfId="42474" xr:uid="{00000000-0005-0000-0000-0000B5490000}"/>
    <cellStyle name="Normal 10 2 2 2 2 2 6 3" xfId="22122" xr:uid="{00000000-0005-0000-0000-0000B6490000}"/>
    <cellStyle name="Normal 10 2 2 2 2 2 6 3 2" xfId="49255" xr:uid="{00000000-0005-0000-0000-0000B7490000}"/>
    <cellStyle name="Normal 10 2 2 2 2 2 6 4" xfId="35693" xr:uid="{00000000-0005-0000-0000-0000B8490000}"/>
    <cellStyle name="Normal 10 2 2 2 2 2 7" xfId="11946" xr:uid="{00000000-0005-0000-0000-0000B9490000}"/>
    <cellStyle name="Normal 10 2 2 2 2 2 7 2" xfId="25514" xr:uid="{00000000-0005-0000-0000-0000BA490000}"/>
    <cellStyle name="Normal 10 2 2 2 2 2 7 2 2" xfId="52647" xr:uid="{00000000-0005-0000-0000-0000BB490000}"/>
    <cellStyle name="Normal 10 2 2 2 2 2 7 3" xfId="39085" xr:uid="{00000000-0005-0000-0000-0000BC490000}"/>
    <cellStyle name="Normal 10 2 2 2 2 2 8" xfId="18733" xr:uid="{00000000-0005-0000-0000-0000BD490000}"/>
    <cellStyle name="Normal 10 2 2 2 2 2 8 2" xfId="45866" xr:uid="{00000000-0005-0000-0000-0000BE490000}"/>
    <cellStyle name="Normal 10 2 2 2 2 2 9" xfId="32304" xr:uid="{00000000-0005-0000-0000-0000BF490000}"/>
    <cellStyle name="Normal 10 2 2 2 2 3" xfId="4991" xr:uid="{00000000-0005-0000-0000-0000C0490000}"/>
    <cellStyle name="Normal 10 2 2 2 2 3 2" xfId="4992" xr:uid="{00000000-0005-0000-0000-0000C1490000}"/>
    <cellStyle name="Normal 10 2 2 2 2 3 2 2" xfId="8554" xr:uid="{00000000-0005-0000-0000-0000C2490000}"/>
    <cellStyle name="Normal 10 2 2 2 2 3 2 2 2" xfId="15344" xr:uid="{00000000-0005-0000-0000-0000C3490000}"/>
    <cellStyle name="Normal 10 2 2 2 2 3 2 2 2 2" xfId="28912" xr:uid="{00000000-0005-0000-0000-0000C4490000}"/>
    <cellStyle name="Normal 10 2 2 2 2 3 2 2 2 2 2" xfId="56045" xr:uid="{00000000-0005-0000-0000-0000C5490000}"/>
    <cellStyle name="Normal 10 2 2 2 2 3 2 2 2 3" xfId="42483" xr:uid="{00000000-0005-0000-0000-0000C6490000}"/>
    <cellStyle name="Normal 10 2 2 2 2 3 2 2 3" xfId="22131" xr:uid="{00000000-0005-0000-0000-0000C7490000}"/>
    <cellStyle name="Normal 10 2 2 2 2 3 2 2 3 2" xfId="49264" xr:uid="{00000000-0005-0000-0000-0000C8490000}"/>
    <cellStyle name="Normal 10 2 2 2 2 3 2 2 4" xfId="35702" xr:uid="{00000000-0005-0000-0000-0000C9490000}"/>
    <cellStyle name="Normal 10 2 2 2 2 3 2 3" xfId="11955" xr:uid="{00000000-0005-0000-0000-0000CA490000}"/>
    <cellStyle name="Normal 10 2 2 2 2 3 2 3 2" xfId="25523" xr:uid="{00000000-0005-0000-0000-0000CB490000}"/>
    <cellStyle name="Normal 10 2 2 2 2 3 2 3 2 2" xfId="52656" xr:uid="{00000000-0005-0000-0000-0000CC490000}"/>
    <cellStyle name="Normal 10 2 2 2 2 3 2 3 3" xfId="39094" xr:uid="{00000000-0005-0000-0000-0000CD490000}"/>
    <cellStyle name="Normal 10 2 2 2 2 3 2 4" xfId="18742" xr:uid="{00000000-0005-0000-0000-0000CE490000}"/>
    <cellStyle name="Normal 10 2 2 2 2 3 2 4 2" xfId="45875" xr:uid="{00000000-0005-0000-0000-0000CF490000}"/>
    <cellStyle name="Normal 10 2 2 2 2 3 2 5" xfId="32313" xr:uid="{00000000-0005-0000-0000-0000D0490000}"/>
    <cellStyle name="Normal 10 2 2 2 2 3 3" xfId="4993" xr:uid="{00000000-0005-0000-0000-0000D1490000}"/>
    <cellStyle name="Normal 10 2 2 2 2 3 3 2" xfId="8555" xr:uid="{00000000-0005-0000-0000-0000D2490000}"/>
    <cellStyle name="Normal 10 2 2 2 2 3 3 2 2" xfId="15345" xr:uid="{00000000-0005-0000-0000-0000D3490000}"/>
    <cellStyle name="Normal 10 2 2 2 2 3 3 2 2 2" xfId="28913" xr:uid="{00000000-0005-0000-0000-0000D4490000}"/>
    <cellStyle name="Normal 10 2 2 2 2 3 3 2 2 2 2" xfId="56046" xr:uid="{00000000-0005-0000-0000-0000D5490000}"/>
    <cellStyle name="Normal 10 2 2 2 2 3 3 2 2 3" xfId="42484" xr:uid="{00000000-0005-0000-0000-0000D6490000}"/>
    <cellStyle name="Normal 10 2 2 2 2 3 3 2 3" xfId="22132" xr:uid="{00000000-0005-0000-0000-0000D7490000}"/>
    <cellStyle name="Normal 10 2 2 2 2 3 3 2 3 2" xfId="49265" xr:uid="{00000000-0005-0000-0000-0000D8490000}"/>
    <cellStyle name="Normal 10 2 2 2 2 3 3 2 4" xfId="35703" xr:uid="{00000000-0005-0000-0000-0000D9490000}"/>
    <cellStyle name="Normal 10 2 2 2 2 3 3 3" xfId="11956" xr:uid="{00000000-0005-0000-0000-0000DA490000}"/>
    <cellStyle name="Normal 10 2 2 2 2 3 3 3 2" xfId="25524" xr:uid="{00000000-0005-0000-0000-0000DB490000}"/>
    <cellStyle name="Normal 10 2 2 2 2 3 3 3 2 2" xfId="52657" xr:uid="{00000000-0005-0000-0000-0000DC490000}"/>
    <cellStyle name="Normal 10 2 2 2 2 3 3 3 3" xfId="39095" xr:uid="{00000000-0005-0000-0000-0000DD490000}"/>
    <cellStyle name="Normal 10 2 2 2 2 3 3 4" xfId="18743" xr:uid="{00000000-0005-0000-0000-0000DE490000}"/>
    <cellStyle name="Normal 10 2 2 2 2 3 3 4 2" xfId="45876" xr:uid="{00000000-0005-0000-0000-0000DF490000}"/>
    <cellStyle name="Normal 10 2 2 2 2 3 3 5" xfId="32314" xr:uid="{00000000-0005-0000-0000-0000E0490000}"/>
    <cellStyle name="Normal 10 2 2 2 2 3 4" xfId="8553" xr:uid="{00000000-0005-0000-0000-0000E1490000}"/>
    <cellStyle name="Normal 10 2 2 2 2 3 4 2" xfId="15343" xr:uid="{00000000-0005-0000-0000-0000E2490000}"/>
    <cellStyle name="Normal 10 2 2 2 2 3 4 2 2" xfId="28911" xr:uid="{00000000-0005-0000-0000-0000E3490000}"/>
    <cellStyle name="Normal 10 2 2 2 2 3 4 2 2 2" xfId="56044" xr:uid="{00000000-0005-0000-0000-0000E4490000}"/>
    <cellStyle name="Normal 10 2 2 2 2 3 4 2 3" xfId="42482" xr:uid="{00000000-0005-0000-0000-0000E5490000}"/>
    <cellStyle name="Normal 10 2 2 2 2 3 4 3" xfId="22130" xr:uid="{00000000-0005-0000-0000-0000E6490000}"/>
    <cellStyle name="Normal 10 2 2 2 2 3 4 3 2" xfId="49263" xr:uid="{00000000-0005-0000-0000-0000E7490000}"/>
    <cellStyle name="Normal 10 2 2 2 2 3 4 4" xfId="35701" xr:uid="{00000000-0005-0000-0000-0000E8490000}"/>
    <cellStyle name="Normal 10 2 2 2 2 3 5" xfId="11954" xr:uid="{00000000-0005-0000-0000-0000E9490000}"/>
    <cellStyle name="Normal 10 2 2 2 2 3 5 2" xfId="25522" xr:uid="{00000000-0005-0000-0000-0000EA490000}"/>
    <cellStyle name="Normal 10 2 2 2 2 3 5 2 2" xfId="52655" xr:uid="{00000000-0005-0000-0000-0000EB490000}"/>
    <cellStyle name="Normal 10 2 2 2 2 3 5 3" xfId="39093" xr:uid="{00000000-0005-0000-0000-0000EC490000}"/>
    <cellStyle name="Normal 10 2 2 2 2 3 6" xfId="18741" xr:uid="{00000000-0005-0000-0000-0000ED490000}"/>
    <cellStyle name="Normal 10 2 2 2 2 3 6 2" xfId="45874" xr:uid="{00000000-0005-0000-0000-0000EE490000}"/>
    <cellStyle name="Normal 10 2 2 2 2 3 7" xfId="32312" xr:uid="{00000000-0005-0000-0000-0000EF490000}"/>
    <cellStyle name="Normal 10 2 2 2 2 4" xfId="4994" xr:uid="{00000000-0005-0000-0000-0000F0490000}"/>
    <cellStyle name="Normal 10 2 2 2 2 4 2" xfId="4995" xr:uid="{00000000-0005-0000-0000-0000F1490000}"/>
    <cellStyle name="Normal 10 2 2 2 2 4 2 2" xfId="8557" xr:uid="{00000000-0005-0000-0000-0000F2490000}"/>
    <cellStyle name="Normal 10 2 2 2 2 4 2 2 2" xfId="15347" xr:uid="{00000000-0005-0000-0000-0000F3490000}"/>
    <cellStyle name="Normal 10 2 2 2 2 4 2 2 2 2" xfId="28915" xr:uid="{00000000-0005-0000-0000-0000F4490000}"/>
    <cellStyle name="Normal 10 2 2 2 2 4 2 2 2 2 2" xfId="56048" xr:uid="{00000000-0005-0000-0000-0000F5490000}"/>
    <cellStyle name="Normal 10 2 2 2 2 4 2 2 2 3" xfId="42486" xr:uid="{00000000-0005-0000-0000-0000F6490000}"/>
    <cellStyle name="Normal 10 2 2 2 2 4 2 2 3" xfId="22134" xr:uid="{00000000-0005-0000-0000-0000F7490000}"/>
    <cellStyle name="Normal 10 2 2 2 2 4 2 2 3 2" xfId="49267" xr:uid="{00000000-0005-0000-0000-0000F8490000}"/>
    <cellStyle name="Normal 10 2 2 2 2 4 2 2 4" xfId="35705" xr:uid="{00000000-0005-0000-0000-0000F9490000}"/>
    <cellStyle name="Normal 10 2 2 2 2 4 2 3" xfId="11958" xr:uid="{00000000-0005-0000-0000-0000FA490000}"/>
    <cellStyle name="Normal 10 2 2 2 2 4 2 3 2" xfId="25526" xr:uid="{00000000-0005-0000-0000-0000FB490000}"/>
    <cellStyle name="Normal 10 2 2 2 2 4 2 3 2 2" xfId="52659" xr:uid="{00000000-0005-0000-0000-0000FC490000}"/>
    <cellStyle name="Normal 10 2 2 2 2 4 2 3 3" xfId="39097" xr:uid="{00000000-0005-0000-0000-0000FD490000}"/>
    <cellStyle name="Normal 10 2 2 2 2 4 2 4" xfId="18745" xr:uid="{00000000-0005-0000-0000-0000FE490000}"/>
    <cellStyle name="Normal 10 2 2 2 2 4 2 4 2" xfId="45878" xr:uid="{00000000-0005-0000-0000-0000FF490000}"/>
    <cellStyle name="Normal 10 2 2 2 2 4 2 5" xfId="32316" xr:uid="{00000000-0005-0000-0000-0000004A0000}"/>
    <cellStyle name="Normal 10 2 2 2 2 4 3" xfId="8556" xr:uid="{00000000-0005-0000-0000-0000014A0000}"/>
    <cellStyle name="Normal 10 2 2 2 2 4 3 2" xfId="15346" xr:uid="{00000000-0005-0000-0000-0000024A0000}"/>
    <cellStyle name="Normal 10 2 2 2 2 4 3 2 2" xfId="28914" xr:uid="{00000000-0005-0000-0000-0000034A0000}"/>
    <cellStyle name="Normal 10 2 2 2 2 4 3 2 2 2" xfId="56047" xr:uid="{00000000-0005-0000-0000-0000044A0000}"/>
    <cellStyle name="Normal 10 2 2 2 2 4 3 2 3" xfId="42485" xr:uid="{00000000-0005-0000-0000-0000054A0000}"/>
    <cellStyle name="Normal 10 2 2 2 2 4 3 3" xfId="22133" xr:uid="{00000000-0005-0000-0000-0000064A0000}"/>
    <cellStyle name="Normal 10 2 2 2 2 4 3 3 2" xfId="49266" xr:uid="{00000000-0005-0000-0000-0000074A0000}"/>
    <cellStyle name="Normal 10 2 2 2 2 4 3 4" xfId="35704" xr:uid="{00000000-0005-0000-0000-0000084A0000}"/>
    <cellStyle name="Normal 10 2 2 2 2 4 4" xfId="11957" xr:uid="{00000000-0005-0000-0000-0000094A0000}"/>
    <cellStyle name="Normal 10 2 2 2 2 4 4 2" xfId="25525" xr:uid="{00000000-0005-0000-0000-00000A4A0000}"/>
    <cellStyle name="Normal 10 2 2 2 2 4 4 2 2" xfId="52658" xr:uid="{00000000-0005-0000-0000-00000B4A0000}"/>
    <cellStyle name="Normal 10 2 2 2 2 4 4 3" xfId="39096" xr:uid="{00000000-0005-0000-0000-00000C4A0000}"/>
    <cellStyle name="Normal 10 2 2 2 2 4 5" xfId="18744" xr:uid="{00000000-0005-0000-0000-00000D4A0000}"/>
    <cellStyle name="Normal 10 2 2 2 2 4 5 2" xfId="45877" xr:uid="{00000000-0005-0000-0000-00000E4A0000}"/>
    <cellStyle name="Normal 10 2 2 2 2 4 6" xfId="32315" xr:uid="{00000000-0005-0000-0000-00000F4A0000}"/>
    <cellStyle name="Normal 10 2 2 2 2 5" xfId="4996" xr:uid="{00000000-0005-0000-0000-0000104A0000}"/>
    <cellStyle name="Normal 10 2 2 2 2 5 2" xfId="8558" xr:uid="{00000000-0005-0000-0000-0000114A0000}"/>
    <cellStyle name="Normal 10 2 2 2 2 5 2 2" xfId="15348" xr:uid="{00000000-0005-0000-0000-0000124A0000}"/>
    <cellStyle name="Normal 10 2 2 2 2 5 2 2 2" xfId="28916" xr:uid="{00000000-0005-0000-0000-0000134A0000}"/>
    <cellStyle name="Normal 10 2 2 2 2 5 2 2 2 2" xfId="56049" xr:uid="{00000000-0005-0000-0000-0000144A0000}"/>
    <cellStyle name="Normal 10 2 2 2 2 5 2 2 3" xfId="42487" xr:uid="{00000000-0005-0000-0000-0000154A0000}"/>
    <cellStyle name="Normal 10 2 2 2 2 5 2 3" xfId="22135" xr:uid="{00000000-0005-0000-0000-0000164A0000}"/>
    <cellStyle name="Normal 10 2 2 2 2 5 2 3 2" xfId="49268" xr:uid="{00000000-0005-0000-0000-0000174A0000}"/>
    <cellStyle name="Normal 10 2 2 2 2 5 2 4" xfId="35706" xr:uid="{00000000-0005-0000-0000-0000184A0000}"/>
    <cellStyle name="Normal 10 2 2 2 2 5 3" xfId="11959" xr:uid="{00000000-0005-0000-0000-0000194A0000}"/>
    <cellStyle name="Normal 10 2 2 2 2 5 3 2" xfId="25527" xr:uid="{00000000-0005-0000-0000-00001A4A0000}"/>
    <cellStyle name="Normal 10 2 2 2 2 5 3 2 2" xfId="52660" xr:uid="{00000000-0005-0000-0000-00001B4A0000}"/>
    <cellStyle name="Normal 10 2 2 2 2 5 3 3" xfId="39098" xr:uid="{00000000-0005-0000-0000-00001C4A0000}"/>
    <cellStyle name="Normal 10 2 2 2 2 5 4" xfId="18746" xr:uid="{00000000-0005-0000-0000-00001D4A0000}"/>
    <cellStyle name="Normal 10 2 2 2 2 5 4 2" xfId="45879" xr:uid="{00000000-0005-0000-0000-00001E4A0000}"/>
    <cellStyle name="Normal 10 2 2 2 2 5 5" xfId="32317" xr:uid="{00000000-0005-0000-0000-00001F4A0000}"/>
    <cellStyle name="Normal 10 2 2 2 2 6" xfId="4997" xr:uid="{00000000-0005-0000-0000-0000204A0000}"/>
    <cellStyle name="Normal 10 2 2 2 2 6 2" xfId="8559" xr:uid="{00000000-0005-0000-0000-0000214A0000}"/>
    <cellStyle name="Normal 10 2 2 2 2 6 2 2" xfId="15349" xr:uid="{00000000-0005-0000-0000-0000224A0000}"/>
    <cellStyle name="Normal 10 2 2 2 2 6 2 2 2" xfId="28917" xr:uid="{00000000-0005-0000-0000-0000234A0000}"/>
    <cellStyle name="Normal 10 2 2 2 2 6 2 2 2 2" xfId="56050" xr:uid="{00000000-0005-0000-0000-0000244A0000}"/>
    <cellStyle name="Normal 10 2 2 2 2 6 2 2 3" xfId="42488" xr:uid="{00000000-0005-0000-0000-0000254A0000}"/>
    <cellStyle name="Normal 10 2 2 2 2 6 2 3" xfId="22136" xr:uid="{00000000-0005-0000-0000-0000264A0000}"/>
    <cellStyle name="Normal 10 2 2 2 2 6 2 3 2" xfId="49269" xr:uid="{00000000-0005-0000-0000-0000274A0000}"/>
    <cellStyle name="Normal 10 2 2 2 2 6 2 4" xfId="35707" xr:uid="{00000000-0005-0000-0000-0000284A0000}"/>
    <cellStyle name="Normal 10 2 2 2 2 6 3" xfId="11960" xr:uid="{00000000-0005-0000-0000-0000294A0000}"/>
    <cellStyle name="Normal 10 2 2 2 2 6 3 2" xfId="25528" xr:uid="{00000000-0005-0000-0000-00002A4A0000}"/>
    <cellStyle name="Normal 10 2 2 2 2 6 3 2 2" xfId="52661" xr:uid="{00000000-0005-0000-0000-00002B4A0000}"/>
    <cellStyle name="Normal 10 2 2 2 2 6 3 3" xfId="39099" xr:uid="{00000000-0005-0000-0000-00002C4A0000}"/>
    <cellStyle name="Normal 10 2 2 2 2 6 4" xfId="18747" xr:uid="{00000000-0005-0000-0000-00002D4A0000}"/>
    <cellStyle name="Normal 10 2 2 2 2 6 4 2" xfId="45880" xr:uid="{00000000-0005-0000-0000-00002E4A0000}"/>
    <cellStyle name="Normal 10 2 2 2 2 6 5" xfId="32318" xr:uid="{00000000-0005-0000-0000-00002F4A0000}"/>
    <cellStyle name="Normal 10 2 2 2 2 7" xfId="8544" xr:uid="{00000000-0005-0000-0000-0000304A0000}"/>
    <cellStyle name="Normal 10 2 2 2 2 7 2" xfId="15334" xr:uid="{00000000-0005-0000-0000-0000314A0000}"/>
    <cellStyle name="Normal 10 2 2 2 2 7 2 2" xfId="28902" xr:uid="{00000000-0005-0000-0000-0000324A0000}"/>
    <cellStyle name="Normal 10 2 2 2 2 7 2 2 2" xfId="56035" xr:uid="{00000000-0005-0000-0000-0000334A0000}"/>
    <cellStyle name="Normal 10 2 2 2 2 7 2 3" xfId="42473" xr:uid="{00000000-0005-0000-0000-0000344A0000}"/>
    <cellStyle name="Normal 10 2 2 2 2 7 3" xfId="22121" xr:uid="{00000000-0005-0000-0000-0000354A0000}"/>
    <cellStyle name="Normal 10 2 2 2 2 7 3 2" xfId="49254" xr:uid="{00000000-0005-0000-0000-0000364A0000}"/>
    <cellStyle name="Normal 10 2 2 2 2 7 4" xfId="35692" xr:uid="{00000000-0005-0000-0000-0000374A0000}"/>
    <cellStyle name="Normal 10 2 2 2 2 8" xfId="11945" xr:uid="{00000000-0005-0000-0000-0000384A0000}"/>
    <cellStyle name="Normal 10 2 2 2 2 8 2" xfId="25513" xr:uid="{00000000-0005-0000-0000-0000394A0000}"/>
    <cellStyle name="Normal 10 2 2 2 2 8 2 2" xfId="52646" xr:uid="{00000000-0005-0000-0000-00003A4A0000}"/>
    <cellStyle name="Normal 10 2 2 2 2 8 3" xfId="39084" xr:uid="{00000000-0005-0000-0000-00003B4A0000}"/>
    <cellStyle name="Normal 10 2 2 2 2 9" xfId="18732" xr:uid="{00000000-0005-0000-0000-00003C4A0000}"/>
    <cellStyle name="Normal 10 2 2 2 2 9 2" xfId="45865" xr:uid="{00000000-0005-0000-0000-00003D4A0000}"/>
    <cellStyle name="Normal 10 2 2 2 3" xfId="4998" xr:uid="{00000000-0005-0000-0000-00003E4A0000}"/>
    <cellStyle name="Normal 10 2 2 2 3 2" xfId="4999" xr:uid="{00000000-0005-0000-0000-00003F4A0000}"/>
    <cellStyle name="Normal 10 2 2 2 3 2 2" xfId="5000" xr:uid="{00000000-0005-0000-0000-0000404A0000}"/>
    <cellStyle name="Normal 10 2 2 2 3 2 2 2" xfId="8562" xr:uid="{00000000-0005-0000-0000-0000414A0000}"/>
    <cellStyle name="Normal 10 2 2 2 3 2 2 2 2" xfId="15352" xr:uid="{00000000-0005-0000-0000-0000424A0000}"/>
    <cellStyle name="Normal 10 2 2 2 3 2 2 2 2 2" xfId="28920" xr:uid="{00000000-0005-0000-0000-0000434A0000}"/>
    <cellStyle name="Normal 10 2 2 2 3 2 2 2 2 2 2" xfId="56053" xr:uid="{00000000-0005-0000-0000-0000444A0000}"/>
    <cellStyle name="Normal 10 2 2 2 3 2 2 2 2 3" xfId="42491" xr:uid="{00000000-0005-0000-0000-0000454A0000}"/>
    <cellStyle name="Normal 10 2 2 2 3 2 2 2 3" xfId="22139" xr:uid="{00000000-0005-0000-0000-0000464A0000}"/>
    <cellStyle name="Normal 10 2 2 2 3 2 2 2 3 2" xfId="49272" xr:uid="{00000000-0005-0000-0000-0000474A0000}"/>
    <cellStyle name="Normal 10 2 2 2 3 2 2 2 4" xfId="35710" xr:uid="{00000000-0005-0000-0000-0000484A0000}"/>
    <cellStyle name="Normal 10 2 2 2 3 2 2 3" xfId="11963" xr:uid="{00000000-0005-0000-0000-0000494A0000}"/>
    <cellStyle name="Normal 10 2 2 2 3 2 2 3 2" xfId="25531" xr:uid="{00000000-0005-0000-0000-00004A4A0000}"/>
    <cellStyle name="Normal 10 2 2 2 3 2 2 3 2 2" xfId="52664" xr:uid="{00000000-0005-0000-0000-00004B4A0000}"/>
    <cellStyle name="Normal 10 2 2 2 3 2 2 3 3" xfId="39102" xr:uid="{00000000-0005-0000-0000-00004C4A0000}"/>
    <cellStyle name="Normal 10 2 2 2 3 2 2 4" xfId="18750" xr:uid="{00000000-0005-0000-0000-00004D4A0000}"/>
    <cellStyle name="Normal 10 2 2 2 3 2 2 4 2" xfId="45883" xr:uid="{00000000-0005-0000-0000-00004E4A0000}"/>
    <cellStyle name="Normal 10 2 2 2 3 2 2 5" xfId="32321" xr:uid="{00000000-0005-0000-0000-00004F4A0000}"/>
    <cellStyle name="Normal 10 2 2 2 3 2 3" xfId="5001" xr:uid="{00000000-0005-0000-0000-0000504A0000}"/>
    <cellStyle name="Normal 10 2 2 2 3 2 3 2" xfId="8563" xr:uid="{00000000-0005-0000-0000-0000514A0000}"/>
    <cellStyle name="Normal 10 2 2 2 3 2 3 2 2" xfId="15353" xr:uid="{00000000-0005-0000-0000-0000524A0000}"/>
    <cellStyle name="Normal 10 2 2 2 3 2 3 2 2 2" xfId="28921" xr:uid="{00000000-0005-0000-0000-0000534A0000}"/>
    <cellStyle name="Normal 10 2 2 2 3 2 3 2 2 2 2" xfId="56054" xr:uid="{00000000-0005-0000-0000-0000544A0000}"/>
    <cellStyle name="Normal 10 2 2 2 3 2 3 2 2 3" xfId="42492" xr:uid="{00000000-0005-0000-0000-0000554A0000}"/>
    <cellStyle name="Normal 10 2 2 2 3 2 3 2 3" xfId="22140" xr:uid="{00000000-0005-0000-0000-0000564A0000}"/>
    <cellStyle name="Normal 10 2 2 2 3 2 3 2 3 2" xfId="49273" xr:uid="{00000000-0005-0000-0000-0000574A0000}"/>
    <cellStyle name="Normal 10 2 2 2 3 2 3 2 4" xfId="35711" xr:uid="{00000000-0005-0000-0000-0000584A0000}"/>
    <cellStyle name="Normal 10 2 2 2 3 2 3 3" xfId="11964" xr:uid="{00000000-0005-0000-0000-0000594A0000}"/>
    <cellStyle name="Normal 10 2 2 2 3 2 3 3 2" xfId="25532" xr:uid="{00000000-0005-0000-0000-00005A4A0000}"/>
    <cellStyle name="Normal 10 2 2 2 3 2 3 3 2 2" xfId="52665" xr:uid="{00000000-0005-0000-0000-00005B4A0000}"/>
    <cellStyle name="Normal 10 2 2 2 3 2 3 3 3" xfId="39103" xr:uid="{00000000-0005-0000-0000-00005C4A0000}"/>
    <cellStyle name="Normal 10 2 2 2 3 2 3 4" xfId="18751" xr:uid="{00000000-0005-0000-0000-00005D4A0000}"/>
    <cellStyle name="Normal 10 2 2 2 3 2 3 4 2" xfId="45884" xr:uid="{00000000-0005-0000-0000-00005E4A0000}"/>
    <cellStyle name="Normal 10 2 2 2 3 2 3 5" xfId="32322" xr:uid="{00000000-0005-0000-0000-00005F4A0000}"/>
    <cellStyle name="Normal 10 2 2 2 3 2 4" xfId="8561" xr:uid="{00000000-0005-0000-0000-0000604A0000}"/>
    <cellStyle name="Normal 10 2 2 2 3 2 4 2" xfId="15351" xr:uid="{00000000-0005-0000-0000-0000614A0000}"/>
    <cellStyle name="Normal 10 2 2 2 3 2 4 2 2" xfId="28919" xr:uid="{00000000-0005-0000-0000-0000624A0000}"/>
    <cellStyle name="Normal 10 2 2 2 3 2 4 2 2 2" xfId="56052" xr:uid="{00000000-0005-0000-0000-0000634A0000}"/>
    <cellStyle name="Normal 10 2 2 2 3 2 4 2 3" xfId="42490" xr:uid="{00000000-0005-0000-0000-0000644A0000}"/>
    <cellStyle name="Normal 10 2 2 2 3 2 4 3" xfId="22138" xr:uid="{00000000-0005-0000-0000-0000654A0000}"/>
    <cellStyle name="Normal 10 2 2 2 3 2 4 3 2" xfId="49271" xr:uid="{00000000-0005-0000-0000-0000664A0000}"/>
    <cellStyle name="Normal 10 2 2 2 3 2 4 4" xfId="35709" xr:uid="{00000000-0005-0000-0000-0000674A0000}"/>
    <cellStyle name="Normal 10 2 2 2 3 2 5" xfId="11962" xr:uid="{00000000-0005-0000-0000-0000684A0000}"/>
    <cellStyle name="Normal 10 2 2 2 3 2 5 2" xfId="25530" xr:uid="{00000000-0005-0000-0000-0000694A0000}"/>
    <cellStyle name="Normal 10 2 2 2 3 2 5 2 2" xfId="52663" xr:uid="{00000000-0005-0000-0000-00006A4A0000}"/>
    <cellStyle name="Normal 10 2 2 2 3 2 5 3" xfId="39101" xr:uid="{00000000-0005-0000-0000-00006B4A0000}"/>
    <cellStyle name="Normal 10 2 2 2 3 2 6" xfId="18749" xr:uid="{00000000-0005-0000-0000-00006C4A0000}"/>
    <cellStyle name="Normal 10 2 2 2 3 2 6 2" xfId="45882" xr:uid="{00000000-0005-0000-0000-00006D4A0000}"/>
    <cellStyle name="Normal 10 2 2 2 3 2 7" xfId="32320" xr:uid="{00000000-0005-0000-0000-00006E4A0000}"/>
    <cellStyle name="Normal 10 2 2 2 3 3" xfId="5002" xr:uid="{00000000-0005-0000-0000-00006F4A0000}"/>
    <cellStyle name="Normal 10 2 2 2 3 3 2" xfId="5003" xr:uid="{00000000-0005-0000-0000-0000704A0000}"/>
    <cellStyle name="Normal 10 2 2 2 3 3 2 2" xfId="8565" xr:uid="{00000000-0005-0000-0000-0000714A0000}"/>
    <cellStyle name="Normal 10 2 2 2 3 3 2 2 2" xfId="15355" xr:uid="{00000000-0005-0000-0000-0000724A0000}"/>
    <cellStyle name="Normal 10 2 2 2 3 3 2 2 2 2" xfId="28923" xr:uid="{00000000-0005-0000-0000-0000734A0000}"/>
    <cellStyle name="Normal 10 2 2 2 3 3 2 2 2 2 2" xfId="56056" xr:uid="{00000000-0005-0000-0000-0000744A0000}"/>
    <cellStyle name="Normal 10 2 2 2 3 3 2 2 2 3" xfId="42494" xr:uid="{00000000-0005-0000-0000-0000754A0000}"/>
    <cellStyle name="Normal 10 2 2 2 3 3 2 2 3" xfId="22142" xr:uid="{00000000-0005-0000-0000-0000764A0000}"/>
    <cellStyle name="Normal 10 2 2 2 3 3 2 2 3 2" xfId="49275" xr:uid="{00000000-0005-0000-0000-0000774A0000}"/>
    <cellStyle name="Normal 10 2 2 2 3 3 2 2 4" xfId="35713" xr:uid="{00000000-0005-0000-0000-0000784A0000}"/>
    <cellStyle name="Normal 10 2 2 2 3 3 2 3" xfId="11966" xr:uid="{00000000-0005-0000-0000-0000794A0000}"/>
    <cellStyle name="Normal 10 2 2 2 3 3 2 3 2" xfId="25534" xr:uid="{00000000-0005-0000-0000-00007A4A0000}"/>
    <cellStyle name="Normal 10 2 2 2 3 3 2 3 2 2" xfId="52667" xr:uid="{00000000-0005-0000-0000-00007B4A0000}"/>
    <cellStyle name="Normal 10 2 2 2 3 3 2 3 3" xfId="39105" xr:uid="{00000000-0005-0000-0000-00007C4A0000}"/>
    <cellStyle name="Normal 10 2 2 2 3 3 2 4" xfId="18753" xr:uid="{00000000-0005-0000-0000-00007D4A0000}"/>
    <cellStyle name="Normal 10 2 2 2 3 3 2 4 2" xfId="45886" xr:uid="{00000000-0005-0000-0000-00007E4A0000}"/>
    <cellStyle name="Normal 10 2 2 2 3 3 2 5" xfId="32324" xr:uid="{00000000-0005-0000-0000-00007F4A0000}"/>
    <cellStyle name="Normal 10 2 2 2 3 3 3" xfId="8564" xr:uid="{00000000-0005-0000-0000-0000804A0000}"/>
    <cellStyle name="Normal 10 2 2 2 3 3 3 2" xfId="15354" xr:uid="{00000000-0005-0000-0000-0000814A0000}"/>
    <cellStyle name="Normal 10 2 2 2 3 3 3 2 2" xfId="28922" xr:uid="{00000000-0005-0000-0000-0000824A0000}"/>
    <cellStyle name="Normal 10 2 2 2 3 3 3 2 2 2" xfId="56055" xr:uid="{00000000-0005-0000-0000-0000834A0000}"/>
    <cellStyle name="Normal 10 2 2 2 3 3 3 2 3" xfId="42493" xr:uid="{00000000-0005-0000-0000-0000844A0000}"/>
    <cellStyle name="Normal 10 2 2 2 3 3 3 3" xfId="22141" xr:uid="{00000000-0005-0000-0000-0000854A0000}"/>
    <cellStyle name="Normal 10 2 2 2 3 3 3 3 2" xfId="49274" xr:uid="{00000000-0005-0000-0000-0000864A0000}"/>
    <cellStyle name="Normal 10 2 2 2 3 3 3 4" xfId="35712" xr:uid="{00000000-0005-0000-0000-0000874A0000}"/>
    <cellStyle name="Normal 10 2 2 2 3 3 4" xfId="11965" xr:uid="{00000000-0005-0000-0000-0000884A0000}"/>
    <cellStyle name="Normal 10 2 2 2 3 3 4 2" xfId="25533" xr:uid="{00000000-0005-0000-0000-0000894A0000}"/>
    <cellStyle name="Normal 10 2 2 2 3 3 4 2 2" xfId="52666" xr:uid="{00000000-0005-0000-0000-00008A4A0000}"/>
    <cellStyle name="Normal 10 2 2 2 3 3 4 3" xfId="39104" xr:uid="{00000000-0005-0000-0000-00008B4A0000}"/>
    <cellStyle name="Normal 10 2 2 2 3 3 5" xfId="18752" xr:uid="{00000000-0005-0000-0000-00008C4A0000}"/>
    <cellStyle name="Normal 10 2 2 2 3 3 5 2" xfId="45885" xr:uid="{00000000-0005-0000-0000-00008D4A0000}"/>
    <cellStyle name="Normal 10 2 2 2 3 3 6" xfId="32323" xr:uid="{00000000-0005-0000-0000-00008E4A0000}"/>
    <cellStyle name="Normal 10 2 2 2 3 4" xfId="5004" xr:uid="{00000000-0005-0000-0000-00008F4A0000}"/>
    <cellStyle name="Normal 10 2 2 2 3 4 2" xfId="8566" xr:uid="{00000000-0005-0000-0000-0000904A0000}"/>
    <cellStyle name="Normal 10 2 2 2 3 4 2 2" xfId="15356" xr:uid="{00000000-0005-0000-0000-0000914A0000}"/>
    <cellStyle name="Normal 10 2 2 2 3 4 2 2 2" xfId="28924" xr:uid="{00000000-0005-0000-0000-0000924A0000}"/>
    <cellStyle name="Normal 10 2 2 2 3 4 2 2 2 2" xfId="56057" xr:uid="{00000000-0005-0000-0000-0000934A0000}"/>
    <cellStyle name="Normal 10 2 2 2 3 4 2 2 3" xfId="42495" xr:uid="{00000000-0005-0000-0000-0000944A0000}"/>
    <cellStyle name="Normal 10 2 2 2 3 4 2 3" xfId="22143" xr:uid="{00000000-0005-0000-0000-0000954A0000}"/>
    <cellStyle name="Normal 10 2 2 2 3 4 2 3 2" xfId="49276" xr:uid="{00000000-0005-0000-0000-0000964A0000}"/>
    <cellStyle name="Normal 10 2 2 2 3 4 2 4" xfId="35714" xr:uid="{00000000-0005-0000-0000-0000974A0000}"/>
    <cellStyle name="Normal 10 2 2 2 3 4 3" xfId="11967" xr:uid="{00000000-0005-0000-0000-0000984A0000}"/>
    <cellStyle name="Normal 10 2 2 2 3 4 3 2" xfId="25535" xr:uid="{00000000-0005-0000-0000-0000994A0000}"/>
    <cellStyle name="Normal 10 2 2 2 3 4 3 2 2" xfId="52668" xr:uid="{00000000-0005-0000-0000-00009A4A0000}"/>
    <cellStyle name="Normal 10 2 2 2 3 4 3 3" xfId="39106" xr:uid="{00000000-0005-0000-0000-00009B4A0000}"/>
    <cellStyle name="Normal 10 2 2 2 3 4 4" xfId="18754" xr:uid="{00000000-0005-0000-0000-00009C4A0000}"/>
    <cellStyle name="Normal 10 2 2 2 3 4 4 2" xfId="45887" xr:uid="{00000000-0005-0000-0000-00009D4A0000}"/>
    <cellStyle name="Normal 10 2 2 2 3 4 5" xfId="32325" xr:uid="{00000000-0005-0000-0000-00009E4A0000}"/>
    <cellStyle name="Normal 10 2 2 2 3 5" xfId="5005" xr:uid="{00000000-0005-0000-0000-00009F4A0000}"/>
    <cellStyle name="Normal 10 2 2 2 3 5 2" xfId="8567" xr:uid="{00000000-0005-0000-0000-0000A04A0000}"/>
    <cellStyle name="Normal 10 2 2 2 3 5 2 2" xfId="15357" xr:uid="{00000000-0005-0000-0000-0000A14A0000}"/>
    <cellStyle name="Normal 10 2 2 2 3 5 2 2 2" xfId="28925" xr:uid="{00000000-0005-0000-0000-0000A24A0000}"/>
    <cellStyle name="Normal 10 2 2 2 3 5 2 2 2 2" xfId="56058" xr:uid="{00000000-0005-0000-0000-0000A34A0000}"/>
    <cellStyle name="Normal 10 2 2 2 3 5 2 2 3" xfId="42496" xr:uid="{00000000-0005-0000-0000-0000A44A0000}"/>
    <cellStyle name="Normal 10 2 2 2 3 5 2 3" xfId="22144" xr:uid="{00000000-0005-0000-0000-0000A54A0000}"/>
    <cellStyle name="Normal 10 2 2 2 3 5 2 3 2" xfId="49277" xr:uid="{00000000-0005-0000-0000-0000A64A0000}"/>
    <cellStyle name="Normal 10 2 2 2 3 5 2 4" xfId="35715" xr:uid="{00000000-0005-0000-0000-0000A74A0000}"/>
    <cellStyle name="Normal 10 2 2 2 3 5 3" xfId="11968" xr:uid="{00000000-0005-0000-0000-0000A84A0000}"/>
    <cellStyle name="Normal 10 2 2 2 3 5 3 2" xfId="25536" xr:uid="{00000000-0005-0000-0000-0000A94A0000}"/>
    <cellStyle name="Normal 10 2 2 2 3 5 3 2 2" xfId="52669" xr:uid="{00000000-0005-0000-0000-0000AA4A0000}"/>
    <cellStyle name="Normal 10 2 2 2 3 5 3 3" xfId="39107" xr:uid="{00000000-0005-0000-0000-0000AB4A0000}"/>
    <cellStyle name="Normal 10 2 2 2 3 5 4" xfId="18755" xr:uid="{00000000-0005-0000-0000-0000AC4A0000}"/>
    <cellStyle name="Normal 10 2 2 2 3 5 4 2" xfId="45888" xr:uid="{00000000-0005-0000-0000-0000AD4A0000}"/>
    <cellStyle name="Normal 10 2 2 2 3 5 5" xfId="32326" xr:uid="{00000000-0005-0000-0000-0000AE4A0000}"/>
    <cellStyle name="Normal 10 2 2 2 3 6" xfId="8560" xr:uid="{00000000-0005-0000-0000-0000AF4A0000}"/>
    <cellStyle name="Normal 10 2 2 2 3 6 2" xfId="15350" xr:uid="{00000000-0005-0000-0000-0000B04A0000}"/>
    <cellStyle name="Normal 10 2 2 2 3 6 2 2" xfId="28918" xr:uid="{00000000-0005-0000-0000-0000B14A0000}"/>
    <cellStyle name="Normal 10 2 2 2 3 6 2 2 2" xfId="56051" xr:uid="{00000000-0005-0000-0000-0000B24A0000}"/>
    <cellStyle name="Normal 10 2 2 2 3 6 2 3" xfId="42489" xr:uid="{00000000-0005-0000-0000-0000B34A0000}"/>
    <cellStyle name="Normal 10 2 2 2 3 6 3" xfId="22137" xr:uid="{00000000-0005-0000-0000-0000B44A0000}"/>
    <cellStyle name="Normal 10 2 2 2 3 6 3 2" xfId="49270" xr:uid="{00000000-0005-0000-0000-0000B54A0000}"/>
    <cellStyle name="Normal 10 2 2 2 3 6 4" xfId="35708" xr:uid="{00000000-0005-0000-0000-0000B64A0000}"/>
    <cellStyle name="Normal 10 2 2 2 3 7" xfId="11961" xr:uid="{00000000-0005-0000-0000-0000B74A0000}"/>
    <cellStyle name="Normal 10 2 2 2 3 7 2" xfId="25529" xr:uid="{00000000-0005-0000-0000-0000B84A0000}"/>
    <cellStyle name="Normal 10 2 2 2 3 7 2 2" xfId="52662" xr:uid="{00000000-0005-0000-0000-0000B94A0000}"/>
    <cellStyle name="Normal 10 2 2 2 3 7 3" xfId="39100" xr:uid="{00000000-0005-0000-0000-0000BA4A0000}"/>
    <cellStyle name="Normal 10 2 2 2 3 8" xfId="18748" xr:uid="{00000000-0005-0000-0000-0000BB4A0000}"/>
    <cellStyle name="Normal 10 2 2 2 3 8 2" xfId="45881" xr:uid="{00000000-0005-0000-0000-0000BC4A0000}"/>
    <cellStyle name="Normal 10 2 2 2 3 9" xfId="32319" xr:uid="{00000000-0005-0000-0000-0000BD4A0000}"/>
    <cellStyle name="Normal 10 2 2 2 4" xfId="5006" xr:uid="{00000000-0005-0000-0000-0000BE4A0000}"/>
    <cellStyle name="Normal 10 2 2 2 4 2" xfId="5007" xr:uid="{00000000-0005-0000-0000-0000BF4A0000}"/>
    <cellStyle name="Normal 10 2 2 2 4 2 2" xfId="5008" xr:uid="{00000000-0005-0000-0000-0000C04A0000}"/>
    <cellStyle name="Normal 10 2 2 2 4 2 2 2" xfId="8570" xr:uid="{00000000-0005-0000-0000-0000C14A0000}"/>
    <cellStyle name="Normal 10 2 2 2 4 2 2 2 2" xfId="15360" xr:uid="{00000000-0005-0000-0000-0000C24A0000}"/>
    <cellStyle name="Normal 10 2 2 2 4 2 2 2 2 2" xfId="28928" xr:uid="{00000000-0005-0000-0000-0000C34A0000}"/>
    <cellStyle name="Normal 10 2 2 2 4 2 2 2 2 2 2" xfId="56061" xr:uid="{00000000-0005-0000-0000-0000C44A0000}"/>
    <cellStyle name="Normal 10 2 2 2 4 2 2 2 2 3" xfId="42499" xr:uid="{00000000-0005-0000-0000-0000C54A0000}"/>
    <cellStyle name="Normal 10 2 2 2 4 2 2 2 3" xfId="22147" xr:uid="{00000000-0005-0000-0000-0000C64A0000}"/>
    <cellStyle name="Normal 10 2 2 2 4 2 2 2 3 2" xfId="49280" xr:uid="{00000000-0005-0000-0000-0000C74A0000}"/>
    <cellStyle name="Normal 10 2 2 2 4 2 2 2 4" xfId="35718" xr:uid="{00000000-0005-0000-0000-0000C84A0000}"/>
    <cellStyle name="Normal 10 2 2 2 4 2 2 3" xfId="11971" xr:uid="{00000000-0005-0000-0000-0000C94A0000}"/>
    <cellStyle name="Normal 10 2 2 2 4 2 2 3 2" xfId="25539" xr:uid="{00000000-0005-0000-0000-0000CA4A0000}"/>
    <cellStyle name="Normal 10 2 2 2 4 2 2 3 2 2" xfId="52672" xr:uid="{00000000-0005-0000-0000-0000CB4A0000}"/>
    <cellStyle name="Normal 10 2 2 2 4 2 2 3 3" xfId="39110" xr:uid="{00000000-0005-0000-0000-0000CC4A0000}"/>
    <cellStyle name="Normal 10 2 2 2 4 2 2 4" xfId="18758" xr:uid="{00000000-0005-0000-0000-0000CD4A0000}"/>
    <cellStyle name="Normal 10 2 2 2 4 2 2 4 2" xfId="45891" xr:uid="{00000000-0005-0000-0000-0000CE4A0000}"/>
    <cellStyle name="Normal 10 2 2 2 4 2 2 5" xfId="32329" xr:uid="{00000000-0005-0000-0000-0000CF4A0000}"/>
    <cellStyle name="Normal 10 2 2 2 4 2 3" xfId="5009" xr:uid="{00000000-0005-0000-0000-0000D04A0000}"/>
    <cellStyle name="Normal 10 2 2 2 4 2 3 2" xfId="8571" xr:uid="{00000000-0005-0000-0000-0000D14A0000}"/>
    <cellStyle name="Normal 10 2 2 2 4 2 3 2 2" xfId="15361" xr:uid="{00000000-0005-0000-0000-0000D24A0000}"/>
    <cellStyle name="Normal 10 2 2 2 4 2 3 2 2 2" xfId="28929" xr:uid="{00000000-0005-0000-0000-0000D34A0000}"/>
    <cellStyle name="Normal 10 2 2 2 4 2 3 2 2 2 2" xfId="56062" xr:uid="{00000000-0005-0000-0000-0000D44A0000}"/>
    <cellStyle name="Normal 10 2 2 2 4 2 3 2 2 3" xfId="42500" xr:uid="{00000000-0005-0000-0000-0000D54A0000}"/>
    <cellStyle name="Normal 10 2 2 2 4 2 3 2 3" xfId="22148" xr:uid="{00000000-0005-0000-0000-0000D64A0000}"/>
    <cellStyle name="Normal 10 2 2 2 4 2 3 2 3 2" xfId="49281" xr:uid="{00000000-0005-0000-0000-0000D74A0000}"/>
    <cellStyle name="Normal 10 2 2 2 4 2 3 2 4" xfId="35719" xr:uid="{00000000-0005-0000-0000-0000D84A0000}"/>
    <cellStyle name="Normal 10 2 2 2 4 2 3 3" xfId="11972" xr:uid="{00000000-0005-0000-0000-0000D94A0000}"/>
    <cellStyle name="Normal 10 2 2 2 4 2 3 3 2" xfId="25540" xr:uid="{00000000-0005-0000-0000-0000DA4A0000}"/>
    <cellStyle name="Normal 10 2 2 2 4 2 3 3 2 2" xfId="52673" xr:uid="{00000000-0005-0000-0000-0000DB4A0000}"/>
    <cellStyle name="Normal 10 2 2 2 4 2 3 3 3" xfId="39111" xr:uid="{00000000-0005-0000-0000-0000DC4A0000}"/>
    <cellStyle name="Normal 10 2 2 2 4 2 3 4" xfId="18759" xr:uid="{00000000-0005-0000-0000-0000DD4A0000}"/>
    <cellStyle name="Normal 10 2 2 2 4 2 3 4 2" xfId="45892" xr:uid="{00000000-0005-0000-0000-0000DE4A0000}"/>
    <cellStyle name="Normal 10 2 2 2 4 2 3 5" xfId="32330" xr:uid="{00000000-0005-0000-0000-0000DF4A0000}"/>
    <cellStyle name="Normal 10 2 2 2 4 2 4" xfId="8569" xr:uid="{00000000-0005-0000-0000-0000E04A0000}"/>
    <cellStyle name="Normal 10 2 2 2 4 2 4 2" xfId="15359" xr:uid="{00000000-0005-0000-0000-0000E14A0000}"/>
    <cellStyle name="Normal 10 2 2 2 4 2 4 2 2" xfId="28927" xr:uid="{00000000-0005-0000-0000-0000E24A0000}"/>
    <cellStyle name="Normal 10 2 2 2 4 2 4 2 2 2" xfId="56060" xr:uid="{00000000-0005-0000-0000-0000E34A0000}"/>
    <cellStyle name="Normal 10 2 2 2 4 2 4 2 3" xfId="42498" xr:uid="{00000000-0005-0000-0000-0000E44A0000}"/>
    <cellStyle name="Normal 10 2 2 2 4 2 4 3" xfId="22146" xr:uid="{00000000-0005-0000-0000-0000E54A0000}"/>
    <cellStyle name="Normal 10 2 2 2 4 2 4 3 2" xfId="49279" xr:uid="{00000000-0005-0000-0000-0000E64A0000}"/>
    <cellStyle name="Normal 10 2 2 2 4 2 4 4" xfId="35717" xr:uid="{00000000-0005-0000-0000-0000E74A0000}"/>
    <cellStyle name="Normal 10 2 2 2 4 2 5" xfId="11970" xr:uid="{00000000-0005-0000-0000-0000E84A0000}"/>
    <cellStyle name="Normal 10 2 2 2 4 2 5 2" xfId="25538" xr:uid="{00000000-0005-0000-0000-0000E94A0000}"/>
    <cellStyle name="Normal 10 2 2 2 4 2 5 2 2" xfId="52671" xr:uid="{00000000-0005-0000-0000-0000EA4A0000}"/>
    <cellStyle name="Normal 10 2 2 2 4 2 5 3" xfId="39109" xr:uid="{00000000-0005-0000-0000-0000EB4A0000}"/>
    <cellStyle name="Normal 10 2 2 2 4 2 6" xfId="18757" xr:uid="{00000000-0005-0000-0000-0000EC4A0000}"/>
    <cellStyle name="Normal 10 2 2 2 4 2 6 2" xfId="45890" xr:uid="{00000000-0005-0000-0000-0000ED4A0000}"/>
    <cellStyle name="Normal 10 2 2 2 4 2 7" xfId="32328" xr:uid="{00000000-0005-0000-0000-0000EE4A0000}"/>
    <cellStyle name="Normal 10 2 2 2 4 3" xfId="5010" xr:uid="{00000000-0005-0000-0000-0000EF4A0000}"/>
    <cellStyle name="Normal 10 2 2 2 4 3 2" xfId="8572" xr:uid="{00000000-0005-0000-0000-0000F04A0000}"/>
    <cellStyle name="Normal 10 2 2 2 4 3 2 2" xfId="15362" xr:uid="{00000000-0005-0000-0000-0000F14A0000}"/>
    <cellStyle name="Normal 10 2 2 2 4 3 2 2 2" xfId="28930" xr:uid="{00000000-0005-0000-0000-0000F24A0000}"/>
    <cellStyle name="Normal 10 2 2 2 4 3 2 2 2 2" xfId="56063" xr:uid="{00000000-0005-0000-0000-0000F34A0000}"/>
    <cellStyle name="Normal 10 2 2 2 4 3 2 2 3" xfId="42501" xr:uid="{00000000-0005-0000-0000-0000F44A0000}"/>
    <cellStyle name="Normal 10 2 2 2 4 3 2 3" xfId="22149" xr:uid="{00000000-0005-0000-0000-0000F54A0000}"/>
    <cellStyle name="Normal 10 2 2 2 4 3 2 3 2" xfId="49282" xr:uid="{00000000-0005-0000-0000-0000F64A0000}"/>
    <cellStyle name="Normal 10 2 2 2 4 3 2 4" xfId="35720" xr:uid="{00000000-0005-0000-0000-0000F74A0000}"/>
    <cellStyle name="Normal 10 2 2 2 4 3 3" xfId="11973" xr:uid="{00000000-0005-0000-0000-0000F84A0000}"/>
    <cellStyle name="Normal 10 2 2 2 4 3 3 2" xfId="25541" xr:uid="{00000000-0005-0000-0000-0000F94A0000}"/>
    <cellStyle name="Normal 10 2 2 2 4 3 3 2 2" xfId="52674" xr:uid="{00000000-0005-0000-0000-0000FA4A0000}"/>
    <cellStyle name="Normal 10 2 2 2 4 3 3 3" xfId="39112" xr:uid="{00000000-0005-0000-0000-0000FB4A0000}"/>
    <cellStyle name="Normal 10 2 2 2 4 3 4" xfId="18760" xr:uid="{00000000-0005-0000-0000-0000FC4A0000}"/>
    <cellStyle name="Normal 10 2 2 2 4 3 4 2" xfId="45893" xr:uid="{00000000-0005-0000-0000-0000FD4A0000}"/>
    <cellStyle name="Normal 10 2 2 2 4 3 5" xfId="32331" xr:uid="{00000000-0005-0000-0000-0000FE4A0000}"/>
    <cellStyle name="Normal 10 2 2 2 4 4" xfId="5011" xr:uid="{00000000-0005-0000-0000-0000FF4A0000}"/>
    <cellStyle name="Normal 10 2 2 2 4 4 2" xfId="8573" xr:uid="{00000000-0005-0000-0000-0000004B0000}"/>
    <cellStyle name="Normal 10 2 2 2 4 4 2 2" xfId="15363" xr:uid="{00000000-0005-0000-0000-0000014B0000}"/>
    <cellStyle name="Normal 10 2 2 2 4 4 2 2 2" xfId="28931" xr:uid="{00000000-0005-0000-0000-0000024B0000}"/>
    <cellStyle name="Normal 10 2 2 2 4 4 2 2 2 2" xfId="56064" xr:uid="{00000000-0005-0000-0000-0000034B0000}"/>
    <cellStyle name="Normal 10 2 2 2 4 4 2 2 3" xfId="42502" xr:uid="{00000000-0005-0000-0000-0000044B0000}"/>
    <cellStyle name="Normal 10 2 2 2 4 4 2 3" xfId="22150" xr:uid="{00000000-0005-0000-0000-0000054B0000}"/>
    <cellStyle name="Normal 10 2 2 2 4 4 2 3 2" xfId="49283" xr:uid="{00000000-0005-0000-0000-0000064B0000}"/>
    <cellStyle name="Normal 10 2 2 2 4 4 2 4" xfId="35721" xr:uid="{00000000-0005-0000-0000-0000074B0000}"/>
    <cellStyle name="Normal 10 2 2 2 4 4 3" xfId="11974" xr:uid="{00000000-0005-0000-0000-0000084B0000}"/>
    <cellStyle name="Normal 10 2 2 2 4 4 3 2" xfId="25542" xr:uid="{00000000-0005-0000-0000-0000094B0000}"/>
    <cellStyle name="Normal 10 2 2 2 4 4 3 2 2" xfId="52675" xr:uid="{00000000-0005-0000-0000-00000A4B0000}"/>
    <cellStyle name="Normal 10 2 2 2 4 4 3 3" xfId="39113" xr:uid="{00000000-0005-0000-0000-00000B4B0000}"/>
    <cellStyle name="Normal 10 2 2 2 4 4 4" xfId="18761" xr:uid="{00000000-0005-0000-0000-00000C4B0000}"/>
    <cellStyle name="Normal 10 2 2 2 4 4 4 2" xfId="45894" xr:uid="{00000000-0005-0000-0000-00000D4B0000}"/>
    <cellStyle name="Normal 10 2 2 2 4 4 5" xfId="32332" xr:uid="{00000000-0005-0000-0000-00000E4B0000}"/>
    <cellStyle name="Normal 10 2 2 2 4 5" xfId="8568" xr:uid="{00000000-0005-0000-0000-00000F4B0000}"/>
    <cellStyle name="Normal 10 2 2 2 4 5 2" xfId="15358" xr:uid="{00000000-0005-0000-0000-0000104B0000}"/>
    <cellStyle name="Normal 10 2 2 2 4 5 2 2" xfId="28926" xr:uid="{00000000-0005-0000-0000-0000114B0000}"/>
    <cellStyle name="Normal 10 2 2 2 4 5 2 2 2" xfId="56059" xr:uid="{00000000-0005-0000-0000-0000124B0000}"/>
    <cellStyle name="Normal 10 2 2 2 4 5 2 3" xfId="42497" xr:uid="{00000000-0005-0000-0000-0000134B0000}"/>
    <cellStyle name="Normal 10 2 2 2 4 5 3" xfId="22145" xr:uid="{00000000-0005-0000-0000-0000144B0000}"/>
    <cellStyle name="Normal 10 2 2 2 4 5 3 2" xfId="49278" xr:uid="{00000000-0005-0000-0000-0000154B0000}"/>
    <cellStyle name="Normal 10 2 2 2 4 5 4" xfId="35716" xr:uid="{00000000-0005-0000-0000-0000164B0000}"/>
    <cellStyle name="Normal 10 2 2 2 4 6" xfId="11969" xr:uid="{00000000-0005-0000-0000-0000174B0000}"/>
    <cellStyle name="Normal 10 2 2 2 4 6 2" xfId="25537" xr:uid="{00000000-0005-0000-0000-0000184B0000}"/>
    <cellStyle name="Normal 10 2 2 2 4 6 2 2" xfId="52670" xr:uid="{00000000-0005-0000-0000-0000194B0000}"/>
    <cellStyle name="Normal 10 2 2 2 4 6 3" xfId="39108" xr:uid="{00000000-0005-0000-0000-00001A4B0000}"/>
    <cellStyle name="Normal 10 2 2 2 4 7" xfId="18756" xr:uid="{00000000-0005-0000-0000-00001B4B0000}"/>
    <cellStyle name="Normal 10 2 2 2 4 7 2" xfId="45889" xr:uid="{00000000-0005-0000-0000-00001C4B0000}"/>
    <cellStyle name="Normal 10 2 2 2 4 8" xfId="32327" xr:uid="{00000000-0005-0000-0000-00001D4B0000}"/>
    <cellStyle name="Normal 10 2 2 2 5" xfId="5012" xr:uid="{00000000-0005-0000-0000-00001E4B0000}"/>
    <cellStyle name="Normal 10 2 2 2 5 2" xfId="5013" xr:uid="{00000000-0005-0000-0000-00001F4B0000}"/>
    <cellStyle name="Normal 10 2 2 2 5 2 2" xfId="8575" xr:uid="{00000000-0005-0000-0000-0000204B0000}"/>
    <cellStyle name="Normal 10 2 2 2 5 2 2 2" xfId="15365" xr:uid="{00000000-0005-0000-0000-0000214B0000}"/>
    <cellStyle name="Normal 10 2 2 2 5 2 2 2 2" xfId="28933" xr:uid="{00000000-0005-0000-0000-0000224B0000}"/>
    <cellStyle name="Normal 10 2 2 2 5 2 2 2 2 2" xfId="56066" xr:uid="{00000000-0005-0000-0000-0000234B0000}"/>
    <cellStyle name="Normal 10 2 2 2 5 2 2 2 3" xfId="42504" xr:uid="{00000000-0005-0000-0000-0000244B0000}"/>
    <cellStyle name="Normal 10 2 2 2 5 2 2 3" xfId="22152" xr:uid="{00000000-0005-0000-0000-0000254B0000}"/>
    <cellStyle name="Normal 10 2 2 2 5 2 2 3 2" xfId="49285" xr:uid="{00000000-0005-0000-0000-0000264B0000}"/>
    <cellStyle name="Normal 10 2 2 2 5 2 2 4" xfId="35723" xr:uid="{00000000-0005-0000-0000-0000274B0000}"/>
    <cellStyle name="Normal 10 2 2 2 5 2 3" xfId="11976" xr:uid="{00000000-0005-0000-0000-0000284B0000}"/>
    <cellStyle name="Normal 10 2 2 2 5 2 3 2" xfId="25544" xr:uid="{00000000-0005-0000-0000-0000294B0000}"/>
    <cellStyle name="Normal 10 2 2 2 5 2 3 2 2" xfId="52677" xr:uid="{00000000-0005-0000-0000-00002A4B0000}"/>
    <cellStyle name="Normal 10 2 2 2 5 2 3 3" xfId="39115" xr:uid="{00000000-0005-0000-0000-00002B4B0000}"/>
    <cellStyle name="Normal 10 2 2 2 5 2 4" xfId="18763" xr:uid="{00000000-0005-0000-0000-00002C4B0000}"/>
    <cellStyle name="Normal 10 2 2 2 5 2 4 2" xfId="45896" xr:uid="{00000000-0005-0000-0000-00002D4B0000}"/>
    <cellStyle name="Normal 10 2 2 2 5 2 5" xfId="32334" xr:uid="{00000000-0005-0000-0000-00002E4B0000}"/>
    <cellStyle name="Normal 10 2 2 2 5 3" xfId="5014" xr:uid="{00000000-0005-0000-0000-00002F4B0000}"/>
    <cellStyle name="Normal 10 2 2 2 5 3 2" xfId="8576" xr:uid="{00000000-0005-0000-0000-0000304B0000}"/>
    <cellStyle name="Normal 10 2 2 2 5 3 2 2" xfId="15366" xr:uid="{00000000-0005-0000-0000-0000314B0000}"/>
    <cellStyle name="Normal 10 2 2 2 5 3 2 2 2" xfId="28934" xr:uid="{00000000-0005-0000-0000-0000324B0000}"/>
    <cellStyle name="Normal 10 2 2 2 5 3 2 2 2 2" xfId="56067" xr:uid="{00000000-0005-0000-0000-0000334B0000}"/>
    <cellStyle name="Normal 10 2 2 2 5 3 2 2 3" xfId="42505" xr:uid="{00000000-0005-0000-0000-0000344B0000}"/>
    <cellStyle name="Normal 10 2 2 2 5 3 2 3" xfId="22153" xr:uid="{00000000-0005-0000-0000-0000354B0000}"/>
    <cellStyle name="Normal 10 2 2 2 5 3 2 3 2" xfId="49286" xr:uid="{00000000-0005-0000-0000-0000364B0000}"/>
    <cellStyle name="Normal 10 2 2 2 5 3 2 4" xfId="35724" xr:uid="{00000000-0005-0000-0000-0000374B0000}"/>
    <cellStyle name="Normal 10 2 2 2 5 3 3" xfId="11977" xr:uid="{00000000-0005-0000-0000-0000384B0000}"/>
    <cellStyle name="Normal 10 2 2 2 5 3 3 2" xfId="25545" xr:uid="{00000000-0005-0000-0000-0000394B0000}"/>
    <cellStyle name="Normal 10 2 2 2 5 3 3 2 2" xfId="52678" xr:uid="{00000000-0005-0000-0000-00003A4B0000}"/>
    <cellStyle name="Normal 10 2 2 2 5 3 3 3" xfId="39116" xr:uid="{00000000-0005-0000-0000-00003B4B0000}"/>
    <cellStyle name="Normal 10 2 2 2 5 3 4" xfId="18764" xr:uid="{00000000-0005-0000-0000-00003C4B0000}"/>
    <cellStyle name="Normal 10 2 2 2 5 3 4 2" xfId="45897" xr:uid="{00000000-0005-0000-0000-00003D4B0000}"/>
    <cellStyle name="Normal 10 2 2 2 5 3 5" xfId="32335" xr:uid="{00000000-0005-0000-0000-00003E4B0000}"/>
    <cellStyle name="Normal 10 2 2 2 5 4" xfId="8574" xr:uid="{00000000-0005-0000-0000-00003F4B0000}"/>
    <cellStyle name="Normal 10 2 2 2 5 4 2" xfId="15364" xr:uid="{00000000-0005-0000-0000-0000404B0000}"/>
    <cellStyle name="Normal 10 2 2 2 5 4 2 2" xfId="28932" xr:uid="{00000000-0005-0000-0000-0000414B0000}"/>
    <cellStyle name="Normal 10 2 2 2 5 4 2 2 2" xfId="56065" xr:uid="{00000000-0005-0000-0000-0000424B0000}"/>
    <cellStyle name="Normal 10 2 2 2 5 4 2 3" xfId="42503" xr:uid="{00000000-0005-0000-0000-0000434B0000}"/>
    <cellStyle name="Normal 10 2 2 2 5 4 3" xfId="22151" xr:uid="{00000000-0005-0000-0000-0000444B0000}"/>
    <cellStyle name="Normal 10 2 2 2 5 4 3 2" xfId="49284" xr:uid="{00000000-0005-0000-0000-0000454B0000}"/>
    <cellStyle name="Normal 10 2 2 2 5 4 4" xfId="35722" xr:uid="{00000000-0005-0000-0000-0000464B0000}"/>
    <cellStyle name="Normal 10 2 2 2 5 5" xfId="11975" xr:uid="{00000000-0005-0000-0000-0000474B0000}"/>
    <cellStyle name="Normal 10 2 2 2 5 5 2" xfId="25543" xr:uid="{00000000-0005-0000-0000-0000484B0000}"/>
    <cellStyle name="Normal 10 2 2 2 5 5 2 2" xfId="52676" xr:uid="{00000000-0005-0000-0000-0000494B0000}"/>
    <cellStyle name="Normal 10 2 2 2 5 5 3" xfId="39114" xr:uid="{00000000-0005-0000-0000-00004A4B0000}"/>
    <cellStyle name="Normal 10 2 2 2 5 6" xfId="18762" xr:uid="{00000000-0005-0000-0000-00004B4B0000}"/>
    <cellStyle name="Normal 10 2 2 2 5 6 2" xfId="45895" xr:uid="{00000000-0005-0000-0000-00004C4B0000}"/>
    <cellStyle name="Normal 10 2 2 2 5 7" xfId="32333" xr:uid="{00000000-0005-0000-0000-00004D4B0000}"/>
    <cellStyle name="Normal 10 2 2 2 6" xfId="5015" xr:uid="{00000000-0005-0000-0000-00004E4B0000}"/>
    <cellStyle name="Normal 10 2 2 2 6 2" xfId="5016" xr:uid="{00000000-0005-0000-0000-00004F4B0000}"/>
    <cellStyle name="Normal 10 2 2 2 6 2 2" xfId="8578" xr:uid="{00000000-0005-0000-0000-0000504B0000}"/>
    <cellStyle name="Normal 10 2 2 2 6 2 2 2" xfId="15368" xr:uid="{00000000-0005-0000-0000-0000514B0000}"/>
    <cellStyle name="Normal 10 2 2 2 6 2 2 2 2" xfId="28936" xr:uid="{00000000-0005-0000-0000-0000524B0000}"/>
    <cellStyle name="Normal 10 2 2 2 6 2 2 2 2 2" xfId="56069" xr:uid="{00000000-0005-0000-0000-0000534B0000}"/>
    <cellStyle name="Normal 10 2 2 2 6 2 2 2 3" xfId="42507" xr:uid="{00000000-0005-0000-0000-0000544B0000}"/>
    <cellStyle name="Normal 10 2 2 2 6 2 2 3" xfId="22155" xr:uid="{00000000-0005-0000-0000-0000554B0000}"/>
    <cellStyle name="Normal 10 2 2 2 6 2 2 3 2" xfId="49288" xr:uid="{00000000-0005-0000-0000-0000564B0000}"/>
    <cellStyle name="Normal 10 2 2 2 6 2 2 4" xfId="35726" xr:uid="{00000000-0005-0000-0000-0000574B0000}"/>
    <cellStyle name="Normal 10 2 2 2 6 2 3" xfId="11979" xr:uid="{00000000-0005-0000-0000-0000584B0000}"/>
    <cellStyle name="Normal 10 2 2 2 6 2 3 2" xfId="25547" xr:uid="{00000000-0005-0000-0000-0000594B0000}"/>
    <cellStyle name="Normal 10 2 2 2 6 2 3 2 2" xfId="52680" xr:uid="{00000000-0005-0000-0000-00005A4B0000}"/>
    <cellStyle name="Normal 10 2 2 2 6 2 3 3" xfId="39118" xr:uid="{00000000-0005-0000-0000-00005B4B0000}"/>
    <cellStyle name="Normal 10 2 2 2 6 2 4" xfId="18766" xr:uid="{00000000-0005-0000-0000-00005C4B0000}"/>
    <cellStyle name="Normal 10 2 2 2 6 2 4 2" xfId="45899" xr:uid="{00000000-0005-0000-0000-00005D4B0000}"/>
    <cellStyle name="Normal 10 2 2 2 6 2 5" xfId="32337" xr:uid="{00000000-0005-0000-0000-00005E4B0000}"/>
    <cellStyle name="Normal 10 2 2 2 6 3" xfId="5017" xr:uid="{00000000-0005-0000-0000-00005F4B0000}"/>
    <cellStyle name="Normal 10 2 2 2 6 3 2" xfId="8579" xr:uid="{00000000-0005-0000-0000-0000604B0000}"/>
    <cellStyle name="Normal 10 2 2 2 6 3 2 2" xfId="15369" xr:uid="{00000000-0005-0000-0000-0000614B0000}"/>
    <cellStyle name="Normal 10 2 2 2 6 3 2 2 2" xfId="28937" xr:uid="{00000000-0005-0000-0000-0000624B0000}"/>
    <cellStyle name="Normal 10 2 2 2 6 3 2 2 2 2" xfId="56070" xr:uid="{00000000-0005-0000-0000-0000634B0000}"/>
    <cellStyle name="Normal 10 2 2 2 6 3 2 2 3" xfId="42508" xr:uid="{00000000-0005-0000-0000-0000644B0000}"/>
    <cellStyle name="Normal 10 2 2 2 6 3 2 3" xfId="22156" xr:uid="{00000000-0005-0000-0000-0000654B0000}"/>
    <cellStyle name="Normal 10 2 2 2 6 3 2 3 2" xfId="49289" xr:uid="{00000000-0005-0000-0000-0000664B0000}"/>
    <cellStyle name="Normal 10 2 2 2 6 3 2 4" xfId="35727" xr:uid="{00000000-0005-0000-0000-0000674B0000}"/>
    <cellStyle name="Normal 10 2 2 2 6 3 3" xfId="11980" xr:uid="{00000000-0005-0000-0000-0000684B0000}"/>
    <cellStyle name="Normal 10 2 2 2 6 3 3 2" xfId="25548" xr:uid="{00000000-0005-0000-0000-0000694B0000}"/>
    <cellStyle name="Normal 10 2 2 2 6 3 3 2 2" xfId="52681" xr:uid="{00000000-0005-0000-0000-00006A4B0000}"/>
    <cellStyle name="Normal 10 2 2 2 6 3 3 3" xfId="39119" xr:uid="{00000000-0005-0000-0000-00006B4B0000}"/>
    <cellStyle name="Normal 10 2 2 2 6 3 4" xfId="18767" xr:uid="{00000000-0005-0000-0000-00006C4B0000}"/>
    <cellStyle name="Normal 10 2 2 2 6 3 4 2" xfId="45900" xr:uid="{00000000-0005-0000-0000-00006D4B0000}"/>
    <cellStyle name="Normal 10 2 2 2 6 3 5" xfId="32338" xr:uid="{00000000-0005-0000-0000-00006E4B0000}"/>
    <cellStyle name="Normal 10 2 2 2 6 4" xfId="8577" xr:uid="{00000000-0005-0000-0000-00006F4B0000}"/>
    <cellStyle name="Normal 10 2 2 2 6 4 2" xfId="15367" xr:uid="{00000000-0005-0000-0000-0000704B0000}"/>
    <cellStyle name="Normal 10 2 2 2 6 4 2 2" xfId="28935" xr:uid="{00000000-0005-0000-0000-0000714B0000}"/>
    <cellStyle name="Normal 10 2 2 2 6 4 2 2 2" xfId="56068" xr:uid="{00000000-0005-0000-0000-0000724B0000}"/>
    <cellStyle name="Normal 10 2 2 2 6 4 2 3" xfId="42506" xr:uid="{00000000-0005-0000-0000-0000734B0000}"/>
    <cellStyle name="Normal 10 2 2 2 6 4 3" xfId="22154" xr:uid="{00000000-0005-0000-0000-0000744B0000}"/>
    <cellStyle name="Normal 10 2 2 2 6 4 3 2" xfId="49287" xr:uid="{00000000-0005-0000-0000-0000754B0000}"/>
    <cellStyle name="Normal 10 2 2 2 6 4 4" xfId="35725" xr:uid="{00000000-0005-0000-0000-0000764B0000}"/>
    <cellStyle name="Normal 10 2 2 2 6 5" xfId="11978" xr:uid="{00000000-0005-0000-0000-0000774B0000}"/>
    <cellStyle name="Normal 10 2 2 2 6 5 2" xfId="25546" xr:uid="{00000000-0005-0000-0000-0000784B0000}"/>
    <cellStyle name="Normal 10 2 2 2 6 5 2 2" xfId="52679" xr:uid="{00000000-0005-0000-0000-0000794B0000}"/>
    <cellStyle name="Normal 10 2 2 2 6 5 3" xfId="39117" xr:uid="{00000000-0005-0000-0000-00007A4B0000}"/>
    <cellStyle name="Normal 10 2 2 2 6 6" xfId="18765" xr:uid="{00000000-0005-0000-0000-00007B4B0000}"/>
    <cellStyle name="Normal 10 2 2 2 6 6 2" xfId="45898" xr:uid="{00000000-0005-0000-0000-00007C4B0000}"/>
    <cellStyle name="Normal 10 2 2 2 6 7" xfId="32336" xr:uid="{00000000-0005-0000-0000-00007D4B0000}"/>
    <cellStyle name="Normal 10 2 2 2 7" xfId="5018" xr:uid="{00000000-0005-0000-0000-00007E4B0000}"/>
    <cellStyle name="Normal 10 2 2 2 7 2" xfId="8580" xr:uid="{00000000-0005-0000-0000-00007F4B0000}"/>
    <cellStyle name="Normal 10 2 2 2 7 2 2" xfId="15370" xr:uid="{00000000-0005-0000-0000-0000804B0000}"/>
    <cellStyle name="Normal 10 2 2 2 7 2 2 2" xfId="28938" xr:uid="{00000000-0005-0000-0000-0000814B0000}"/>
    <cellStyle name="Normal 10 2 2 2 7 2 2 2 2" xfId="56071" xr:uid="{00000000-0005-0000-0000-0000824B0000}"/>
    <cellStyle name="Normal 10 2 2 2 7 2 2 3" xfId="42509" xr:uid="{00000000-0005-0000-0000-0000834B0000}"/>
    <cellStyle name="Normal 10 2 2 2 7 2 3" xfId="22157" xr:uid="{00000000-0005-0000-0000-0000844B0000}"/>
    <cellStyle name="Normal 10 2 2 2 7 2 3 2" xfId="49290" xr:uid="{00000000-0005-0000-0000-0000854B0000}"/>
    <cellStyle name="Normal 10 2 2 2 7 2 4" xfId="35728" xr:uid="{00000000-0005-0000-0000-0000864B0000}"/>
    <cellStyle name="Normal 10 2 2 2 7 3" xfId="11981" xr:uid="{00000000-0005-0000-0000-0000874B0000}"/>
    <cellStyle name="Normal 10 2 2 2 7 3 2" xfId="25549" xr:uid="{00000000-0005-0000-0000-0000884B0000}"/>
    <cellStyle name="Normal 10 2 2 2 7 3 2 2" xfId="52682" xr:uid="{00000000-0005-0000-0000-0000894B0000}"/>
    <cellStyle name="Normal 10 2 2 2 7 3 3" xfId="39120" xr:uid="{00000000-0005-0000-0000-00008A4B0000}"/>
    <cellStyle name="Normal 10 2 2 2 7 4" xfId="18768" xr:uid="{00000000-0005-0000-0000-00008B4B0000}"/>
    <cellStyle name="Normal 10 2 2 2 7 4 2" xfId="45901" xr:uid="{00000000-0005-0000-0000-00008C4B0000}"/>
    <cellStyle name="Normal 10 2 2 2 7 5" xfId="32339" xr:uid="{00000000-0005-0000-0000-00008D4B0000}"/>
    <cellStyle name="Normal 10 2 2 2 8" xfId="5019" xr:uid="{00000000-0005-0000-0000-00008E4B0000}"/>
    <cellStyle name="Normal 10 2 2 2 8 2" xfId="8581" xr:uid="{00000000-0005-0000-0000-00008F4B0000}"/>
    <cellStyle name="Normal 10 2 2 2 8 2 2" xfId="15371" xr:uid="{00000000-0005-0000-0000-0000904B0000}"/>
    <cellStyle name="Normal 10 2 2 2 8 2 2 2" xfId="28939" xr:uid="{00000000-0005-0000-0000-0000914B0000}"/>
    <cellStyle name="Normal 10 2 2 2 8 2 2 2 2" xfId="56072" xr:uid="{00000000-0005-0000-0000-0000924B0000}"/>
    <cellStyle name="Normal 10 2 2 2 8 2 2 3" xfId="42510" xr:uid="{00000000-0005-0000-0000-0000934B0000}"/>
    <cellStyle name="Normal 10 2 2 2 8 2 3" xfId="22158" xr:uid="{00000000-0005-0000-0000-0000944B0000}"/>
    <cellStyle name="Normal 10 2 2 2 8 2 3 2" xfId="49291" xr:uid="{00000000-0005-0000-0000-0000954B0000}"/>
    <cellStyle name="Normal 10 2 2 2 8 2 4" xfId="35729" xr:uid="{00000000-0005-0000-0000-0000964B0000}"/>
    <cellStyle name="Normal 10 2 2 2 8 3" xfId="11982" xr:uid="{00000000-0005-0000-0000-0000974B0000}"/>
    <cellStyle name="Normal 10 2 2 2 8 3 2" xfId="25550" xr:uid="{00000000-0005-0000-0000-0000984B0000}"/>
    <cellStyle name="Normal 10 2 2 2 8 3 2 2" xfId="52683" xr:uid="{00000000-0005-0000-0000-0000994B0000}"/>
    <cellStyle name="Normal 10 2 2 2 8 3 3" xfId="39121" xr:uid="{00000000-0005-0000-0000-00009A4B0000}"/>
    <cellStyle name="Normal 10 2 2 2 8 4" xfId="18769" xr:uid="{00000000-0005-0000-0000-00009B4B0000}"/>
    <cellStyle name="Normal 10 2 2 2 8 4 2" xfId="45902" xr:uid="{00000000-0005-0000-0000-00009C4B0000}"/>
    <cellStyle name="Normal 10 2 2 2 8 5" xfId="32340" xr:uid="{00000000-0005-0000-0000-00009D4B0000}"/>
    <cellStyle name="Normal 10 2 2 2 9" xfId="8543" xr:uid="{00000000-0005-0000-0000-00009E4B0000}"/>
    <cellStyle name="Normal 10 2 2 2 9 2" xfId="15333" xr:uid="{00000000-0005-0000-0000-00009F4B0000}"/>
    <cellStyle name="Normal 10 2 2 2 9 2 2" xfId="28901" xr:uid="{00000000-0005-0000-0000-0000A04B0000}"/>
    <cellStyle name="Normal 10 2 2 2 9 2 2 2" xfId="56034" xr:uid="{00000000-0005-0000-0000-0000A14B0000}"/>
    <cellStyle name="Normal 10 2 2 2 9 2 3" xfId="42472" xr:uid="{00000000-0005-0000-0000-0000A24B0000}"/>
    <cellStyle name="Normal 10 2 2 2 9 3" xfId="22120" xr:uid="{00000000-0005-0000-0000-0000A34B0000}"/>
    <cellStyle name="Normal 10 2 2 2 9 3 2" xfId="49253" xr:uid="{00000000-0005-0000-0000-0000A44B0000}"/>
    <cellStyle name="Normal 10 2 2 2 9 4" xfId="35691" xr:uid="{00000000-0005-0000-0000-0000A54B0000}"/>
    <cellStyle name="Normal 10 2 2 3" xfId="5020" xr:uid="{00000000-0005-0000-0000-0000A64B0000}"/>
    <cellStyle name="Normal 10 2 2 3 10" xfId="32341" xr:uid="{00000000-0005-0000-0000-0000A74B0000}"/>
    <cellStyle name="Normal 10 2 2 3 2" xfId="5021" xr:uid="{00000000-0005-0000-0000-0000A84B0000}"/>
    <cellStyle name="Normal 10 2 2 3 2 2" xfId="5022" xr:uid="{00000000-0005-0000-0000-0000A94B0000}"/>
    <cellStyle name="Normal 10 2 2 3 2 2 2" xfId="5023" xr:uid="{00000000-0005-0000-0000-0000AA4B0000}"/>
    <cellStyle name="Normal 10 2 2 3 2 2 2 2" xfId="8585" xr:uid="{00000000-0005-0000-0000-0000AB4B0000}"/>
    <cellStyle name="Normal 10 2 2 3 2 2 2 2 2" xfId="15375" xr:uid="{00000000-0005-0000-0000-0000AC4B0000}"/>
    <cellStyle name="Normal 10 2 2 3 2 2 2 2 2 2" xfId="28943" xr:uid="{00000000-0005-0000-0000-0000AD4B0000}"/>
    <cellStyle name="Normal 10 2 2 3 2 2 2 2 2 2 2" xfId="56076" xr:uid="{00000000-0005-0000-0000-0000AE4B0000}"/>
    <cellStyle name="Normal 10 2 2 3 2 2 2 2 2 3" xfId="42514" xr:uid="{00000000-0005-0000-0000-0000AF4B0000}"/>
    <cellStyle name="Normal 10 2 2 3 2 2 2 2 3" xfId="22162" xr:uid="{00000000-0005-0000-0000-0000B04B0000}"/>
    <cellStyle name="Normal 10 2 2 3 2 2 2 2 3 2" xfId="49295" xr:uid="{00000000-0005-0000-0000-0000B14B0000}"/>
    <cellStyle name="Normal 10 2 2 3 2 2 2 2 4" xfId="35733" xr:uid="{00000000-0005-0000-0000-0000B24B0000}"/>
    <cellStyle name="Normal 10 2 2 3 2 2 2 3" xfId="11986" xr:uid="{00000000-0005-0000-0000-0000B34B0000}"/>
    <cellStyle name="Normal 10 2 2 3 2 2 2 3 2" xfId="25554" xr:uid="{00000000-0005-0000-0000-0000B44B0000}"/>
    <cellStyle name="Normal 10 2 2 3 2 2 2 3 2 2" xfId="52687" xr:uid="{00000000-0005-0000-0000-0000B54B0000}"/>
    <cellStyle name="Normal 10 2 2 3 2 2 2 3 3" xfId="39125" xr:uid="{00000000-0005-0000-0000-0000B64B0000}"/>
    <cellStyle name="Normal 10 2 2 3 2 2 2 4" xfId="18773" xr:uid="{00000000-0005-0000-0000-0000B74B0000}"/>
    <cellStyle name="Normal 10 2 2 3 2 2 2 4 2" xfId="45906" xr:uid="{00000000-0005-0000-0000-0000B84B0000}"/>
    <cellStyle name="Normal 10 2 2 3 2 2 2 5" xfId="32344" xr:uid="{00000000-0005-0000-0000-0000B94B0000}"/>
    <cellStyle name="Normal 10 2 2 3 2 2 3" xfId="5024" xr:uid="{00000000-0005-0000-0000-0000BA4B0000}"/>
    <cellStyle name="Normal 10 2 2 3 2 2 3 2" xfId="8586" xr:uid="{00000000-0005-0000-0000-0000BB4B0000}"/>
    <cellStyle name="Normal 10 2 2 3 2 2 3 2 2" xfId="15376" xr:uid="{00000000-0005-0000-0000-0000BC4B0000}"/>
    <cellStyle name="Normal 10 2 2 3 2 2 3 2 2 2" xfId="28944" xr:uid="{00000000-0005-0000-0000-0000BD4B0000}"/>
    <cellStyle name="Normal 10 2 2 3 2 2 3 2 2 2 2" xfId="56077" xr:uid="{00000000-0005-0000-0000-0000BE4B0000}"/>
    <cellStyle name="Normal 10 2 2 3 2 2 3 2 2 3" xfId="42515" xr:uid="{00000000-0005-0000-0000-0000BF4B0000}"/>
    <cellStyle name="Normal 10 2 2 3 2 2 3 2 3" xfId="22163" xr:uid="{00000000-0005-0000-0000-0000C04B0000}"/>
    <cellStyle name="Normal 10 2 2 3 2 2 3 2 3 2" xfId="49296" xr:uid="{00000000-0005-0000-0000-0000C14B0000}"/>
    <cellStyle name="Normal 10 2 2 3 2 2 3 2 4" xfId="35734" xr:uid="{00000000-0005-0000-0000-0000C24B0000}"/>
    <cellStyle name="Normal 10 2 2 3 2 2 3 3" xfId="11987" xr:uid="{00000000-0005-0000-0000-0000C34B0000}"/>
    <cellStyle name="Normal 10 2 2 3 2 2 3 3 2" xfId="25555" xr:uid="{00000000-0005-0000-0000-0000C44B0000}"/>
    <cellStyle name="Normal 10 2 2 3 2 2 3 3 2 2" xfId="52688" xr:uid="{00000000-0005-0000-0000-0000C54B0000}"/>
    <cellStyle name="Normal 10 2 2 3 2 2 3 3 3" xfId="39126" xr:uid="{00000000-0005-0000-0000-0000C64B0000}"/>
    <cellStyle name="Normal 10 2 2 3 2 2 3 4" xfId="18774" xr:uid="{00000000-0005-0000-0000-0000C74B0000}"/>
    <cellStyle name="Normal 10 2 2 3 2 2 3 4 2" xfId="45907" xr:uid="{00000000-0005-0000-0000-0000C84B0000}"/>
    <cellStyle name="Normal 10 2 2 3 2 2 3 5" xfId="32345" xr:uid="{00000000-0005-0000-0000-0000C94B0000}"/>
    <cellStyle name="Normal 10 2 2 3 2 2 4" xfId="8584" xr:uid="{00000000-0005-0000-0000-0000CA4B0000}"/>
    <cellStyle name="Normal 10 2 2 3 2 2 4 2" xfId="15374" xr:uid="{00000000-0005-0000-0000-0000CB4B0000}"/>
    <cellStyle name="Normal 10 2 2 3 2 2 4 2 2" xfId="28942" xr:uid="{00000000-0005-0000-0000-0000CC4B0000}"/>
    <cellStyle name="Normal 10 2 2 3 2 2 4 2 2 2" xfId="56075" xr:uid="{00000000-0005-0000-0000-0000CD4B0000}"/>
    <cellStyle name="Normal 10 2 2 3 2 2 4 2 3" xfId="42513" xr:uid="{00000000-0005-0000-0000-0000CE4B0000}"/>
    <cellStyle name="Normal 10 2 2 3 2 2 4 3" xfId="22161" xr:uid="{00000000-0005-0000-0000-0000CF4B0000}"/>
    <cellStyle name="Normal 10 2 2 3 2 2 4 3 2" xfId="49294" xr:uid="{00000000-0005-0000-0000-0000D04B0000}"/>
    <cellStyle name="Normal 10 2 2 3 2 2 4 4" xfId="35732" xr:uid="{00000000-0005-0000-0000-0000D14B0000}"/>
    <cellStyle name="Normal 10 2 2 3 2 2 5" xfId="11985" xr:uid="{00000000-0005-0000-0000-0000D24B0000}"/>
    <cellStyle name="Normal 10 2 2 3 2 2 5 2" xfId="25553" xr:uid="{00000000-0005-0000-0000-0000D34B0000}"/>
    <cellStyle name="Normal 10 2 2 3 2 2 5 2 2" xfId="52686" xr:uid="{00000000-0005-0000-0000-0000D44B0000}"/>
    <cellStyle name="Normal 10 2 2 3 2 2 5 3" xfId="39124" xr:uid="{00000000-0005-0000-0000-0000D54B0000}"/>
    <cellStyle name="Normal 10 2 2 3 2 2 6" xfId="18772" xr:uid="{00000000-0005-0000-0000-0000D64B0000}"/>
    <cellStyle name="Normal 10 2 2 3 2 2 6 2" xfId="45905" xr:uid="{00000000-0005-0000-0000-0000D74B0000}"/>
    <cellStyle name="Normal 10 2 2 3 2 2 7" xfId="32343" xr:uid="{00000000-0005-0000-0000-0000D84B0000}"/>
    <cellStyle name="Normal 10 2 2 3 2 3" xfId="5025" xr:uid="{00000000-0005-0000-0000-0000D94B0000}"/>
    <cellStyle name="Normal 10 2 2 3 2 3 2" xfId="5026" xr:uid="{00000000-0005-0000-0000-0000DA4B0000}"/>
    <cellStyle name="Normal 10 2 2 3 2 3 2 2" xfId="8588" xr:uid="{00000000-0005-0000-0000-0000DB4B0000}"/>
    <cellStyle name="Normal 10 2 2 3 2 3 2 2 2" xfId="15378" xr:uid="{00000000-0005-0000-0000-0000DC4B0000}"/>
    <cellStyle name="Normal 10 2 2 3 2 3 2 2 2 2" xfId="28946" xr:uid="{00000000-0005-0000-0000-0000DD4B0000}"/>
    <cellStyle name="Normal 10 2 2 3 2 3 2 2 2 2 2" xfId="56079" xr:uid="{00000000-0005-0000-0000-0000DE4B0000}"/>
    <cellStyle name="Normal 10 2 2 3 2 3 2 2 2 3" xfId="42517" xr:uid="{00000000-0005-0000-0000-0000DF4B0000}"/>
    <cellStyle name="Normal 10 2 2 3 2 3 2 2 3" xfId="22165" xr:uid="{00000000-0005-0000-0000-0000E04B0000}"/>
    <cellStyle name="Normal 10 2 2 3 2 3 2 2 3 2" xfId="49298" xr:uid="{00000000-0005-0000-0000-0000E14B0000}"/>
    <cellStyle name="Normal 10 2 2 3 2 3 2 2 4" xfId="35736" xr:uid="{00000000-0005-0000-0000-0000E24B0000}"/>
    <cellStyle name="Normal 10 2 2 3 2 3 2 3" xfId="11989" xr:uid="{00000000-0005-0000-0000-0000E34B0000}"/>
    <cellStyle name="Normal 10 2 2 3 2 3 2 3 2" xfId="25557" xr:uid="{00000000-0005-0000-0000-0000E44B0000}"/>
    <cellStyle name="Normal 10 2 2 3 2 3 2 3 2 2" xfId="52690" xr:uid="{00000000-0005-0000-0000-0000E54B0000}"/>
    <cellStyle name="Normal 10 2 2 3 2 3 2 3 3" xfId="39128" xr:uid="{00000000-0005-0000-0000-0000E64B0000}"/>
    <cellStyle name="Normal 10 2 2 3 2 3 2 4" xfId="18776" xr:uid="{00000000-0005-0000-0000-0000E74B0000}"/>
    <cellStyle name="Normal 10 2 2 3 2 3 2 4 2" xfId="45909" xr:uid="{00000000-0005-0000-0000-0000E84B0000}"/>
    <cellStyle name="Normal 10 2 2 3 2 3 2 5" xfId="32347" xr:uid="{00000000-0005-0000-0000-0000E94B0000}"/>
    <cellStyle name="Normal 10 2 2 3 2 3 3" xfId="8587" xr:uid="{00000000-0005-0000-0000-0000EA4B0000}"/>
    <cellStyle name="Normal 10 2 2 3 2 3 3 2" xfId="15377" xr:uid="{00000000-0005-0000-0000-0000EB4B0000}"/>
    <cellStyle name="Normal 10 2 2 3 2 3 3 2 2" xfId="28945" xr:uid="{00000000-0005-0000-0000-0000EC4B0000}"/>
    <cellStyle name="Normal 10 2 2 3 2 3 3 2 2 2" xfId="56078" xr:uid="{00000000-0005-0000-0000-0000ED4B0000}"/>
    <cellStyle name="Normal 10 2 2 3 2 3 3 2 3" xfId="42516" xr:uid="{00000000-0005-0000-0000-0000EE4B0000}"/>
    <cellStyle name="Normal 10 2 2 3 2 3 3 3" xfId="22164" xr:uid="{00000000-0005-0000-0000-0000EF4B0000}"/>
    <cellStyle name="Normal 10 2 2 3 2 3 3 3 2" xfId="49297" xr:uid="{00000000-0005-0000-0000-0000F04B0000}"/>
    <cellStyle name="Normal 10 2 2 3 2 3 3 4" xfId="35735" xr:uid="{00000000-0005-0000-0000-0000F14B0000}"/>
    <cellStyle name="Normal 10 2 2 3 2 3 4" xfId="11988" xr:uid="{00000000-0005-0000-0000-0000F24B0000}"/>
    <cellStyle name="Normal 10 2 2 3 2 3 4 2" xfId="25556" xr:uid="{00000000-0005-0000-0000-0000F34B0000}"/>
    <cellStyle name="Normal 10 2 2 3 2 3 4 2 2" xfId="52689" xr:uid="{00000000-0005-0000-0000-0000F44B0000}"/>
    <cellStyle name="Normal 10 2 2 3 2 3 4 3" xfId="39127" xr:uid="{00000000-0005-0000-0000-0000F54B0000}"/>
    <cellStyle name="Normal 10 2 2 3 2 3 5" xfId="18775" xr:uid="{00000000-0005-0000-0000-0000F64B0000}"/>
    <cellStyle name="Normal 10 2 2 3 2 3 5 2" xfId="45908" xr:uid="{00000000-0005-0000-0000-0000F74B0000}"/>
    <cellStyle name="Normal 10 2 2 3 2 3 6" xfId="32346" xr:uid="{00000000-0005-0000-0000-0000F84B0000}"/>
    <cellStyle name="Normal 10 2 2 3 2 4" xfId="5027" xr:uid="{00000000-0005-0000-0000-0000F94B0000}"/>
    <cellStyle name="Normal 10 2 2 3 2 4 2" xfId="8589" xr:uid="{00000000-0005-0000-0000-0000FA4B0000}"/>
    <cellStyle name="Normal 10 2 2 3 2 4 2 2" xfId="15379" xr:uid="{00000000-0005-0000-0000-0000FB4B0000}"/>
    <cellStyle name="Normal 10 2 2 3 2 4 2 2 2" xfId="28947" xr:uid="{00000000-0005-0000-0000-0000FC4B0000}"/>
    <cellStyle name="Normal 10 2 2 3 2 4 2 2 2 2" xfId="56080" xr:uid="{00000000-0005-0000-0000-0000FD4B0000}"/>
    <cellStyle name="Normal 10 2 2 3 2 4 2 2 3" xfId="42518" xr:uid="{00000000-0005-0000-0000-0000FE4B0000}"/>
    <cellStyle name="Normal 10 2 2 3 2 4 2 3" xfId="22166" xr:uid="{00000000-0005-0000-0000-0000FF4B0000}"/>
    <cellStyle name="Normal 10 2 2 3 2 4 2 3 2" xfId="49299" xr:uid="{00000000-0005-0000-0000-0000004C0000}"/>
    <cellStyle name="Normal 10 2 2 3 2 4 2 4" xfId="35737" xr:uid="{00000000-0005-0000-0000-0000014C0000}"/>
    <cellStyle name="Normal 10 2 2 3 2 4 3" xfId="11990" xr:uid="{00000000-0005-0000-0000-0000024C0000}"/>
    <cellStyle name="Normal 10 2 2 3 2 4 3 2" xfId="25558" xr:uid="{00000000-0005-0000-0000-0000034C0000}"/>
    <cellStyle name="Normal 10 2 2 3 2 4 3 2 2" xfId="52691" xr:uid="{00000000-0005-0000-0000-0000044C0000}"/>
    <cellStyle name="Normal 10 2 2 3 2 4 3 3" xfId="39129" xr:uid="{00000000-0005-0000-0000-0000054C0000}"/>
    <cellStyle name="Normal 10 2 2 3 2 4 4" xfId="18777" xr:uid="{00000000-0005-0000-0000-0000064C0000}"/>
    <cellStyle name="Normal 10 2 2 3 2 4 4 2" xfId="45910" xr:uid="{00000000-0005-0000-0000-0000074C0000}"/>
    <cellStyle name="Normal 10 2 2 3 2 4 5" xfId="32348" xr:uid="{00000000-0005-0000-0000-0000084C0000}"/>
    <cellStyle name="Normal 10 2 2 3 2 5" xfId="5028" xr:uid="{00000000-0005-0000-0000-0000094C0000}"/>
    <cellStyle name="Normal 10 2 2 3 2 5 2" xfId="8590" xr:uid="{00000000-0005-0000-0000-00000A4C0000}"/>
    <cellStyle name="Normal 10 2 2 3 2 5 2 2" xfId="15380" xr:uid="{00000000-0005-0000-0000-00000B4C0000}"/>
    <cellStyle name="Normal 10 2 2 3 2 5 2 2 2" xfId="28948" xr:uid="{00000000-0005-0000-0000-00000C4C0000}"/>
    <cellStyle name="Normal 10 2 2 3 2 5 2 2 2 2" xfId="56081" xr:uid="{00000000-0005-0000-0000-00000D4C0000}"/>
    <cellStyle name="Normal 10 2 2 3 2 5 2 2 3" xfId="42519" xr:uid="{00000000-0005-0000-0000-00000E4C0000}"/>
    <cellStyle name="Normal 10 2 2 3 2 5 2 3" xfId="22167" xr:uid="{00000000-0005-0000-0000-00000F4C0000}"/>
    <cellStyle name="Normal 10 2 2 3 2 5 2 3 2" xfId="49300" xr:uid="{00000000-0005-0000-0000-0000104C0000}"/>
    <cellStyle name="Normal 10 2 2 3 2 5 2 4" xfId="35738" xr:uid="{00000000-0005-0000-0000-0000114C0000}"/>
    <cellStyle name="Normal 10 2 2 3 2 5 3" xfId="11991" xr:uid="{00000000-0005-0000-0000-0000124C0000}"/>
    <cellStyle name="Normal 10 2 2 3 2 5 3 2" xfId="25559" xr:uid="{00000000-0005-0000-0000-0000134C0000}"/>
    <cellStyle name="Normal 10 2 2 3 2 5 3 2 2" xfId="52692" xr:uid="{00000000-0005-0000-0000-0000144C0000}"/>
    <cellStyle name="Normal 10 2 2 3 2 5 3 3" xfId="39130" xr:uid="{00000000-0005-0000-0000-0000154C0000}"/>
    <cellStyle name="Normal 10 2 2 3 2 5 4" xfId="18778" xr:uid="{00000000-0005-0000-0000-0000164C0000}"/>
    <cellStyle name="Normal 10 2 2 3 2 5 4 2" xfId="45911" xr:uid="{00000000-0005-0000-0000-0000174C0000}"/>
    <cellStyle name="Normal 10 2 2 3 2 5 5" xfId="32349" xr:uid="{00000000-0005-0000-0000-0000184C0000}"/>
    <cellStyle name="Normal 10 2 2 3 2 6" xfId="8583" xr:uid="{00000000-0005-0000-0000-0000194C0000}"/>
    <cellStyle name="Normal 10 2 2 3 2 6 2" xfId="15373" xr:uid="{00000000-0005-0000-0000-00001A4C0000}"/>
    <cellStyle name="Normal 10 2 2 3 2 6 2 2" xfId="28941" xr:uid="{00000000-0005-0000-0000-00001B4C0000}"/>
    <cellStyle name="Normal 10 2 2 3 2 6 2 2 2" xfId="56074" xr:uid="{00000000-0005-0000-0000-00001C4C0000}"/>
    <cellStyle name="Normal 10 2 2 3 2 6 2 3" xfId="42512" xr:uid="{00000000-0005-0000-0000-00001D4C0000}"/>
    <cellStyle name="Normal 10 2 2 3 2 6 3" xfId="22160" xr:uid="{00000000-0005-0000-0000-00001E4C0000}"/>
    <cellStyle name="Normal 10 2 2 3 2 6 3 2" xfId="49293" xr:uid="{00000000-0005-0000-0000-00001F4C0000}"/>
    <cellStyle name="Normal 10 2 2 3 2 6 4" xfId="35731" xr:uid="{00000000-0005-0000-0000-0000204C0000}"/>
    <cellStyle name="Normal 10 2 2 3 2 7" xfId="11984" xr:uid="{00000000-0005-0000-0000-0000214C0000}"/>
    <cellStyle name="Normal 10 2 2 3 2 7 2" xfId="25552" xr:uid="{00000000-0005-0000-0000-0000224C0000}"/>
    <cellStyle name="Normal 10 2 2 3 2 7 2 2" xfId="52685" xr:uid="{00000000-0005-0000-0000-0000234C0000}"/>
    <cellStyle name="Normal 10 2 2 3 2 7 3" xfId="39123" xr:uid="{00000000-0005-0000-0000-0000244C0000}"/>
    <cellStyle name="Normal 10 2 2 3 2 8" xfId="18771" xr:uid="{00000000-0005-0000-0000-0000254C0000}"/>
    <cellStyle name="Normal 10 2 2 3 2 8 2" xfId="45904" xr:uid="{00000000-0005-0000-0000-0000264C0000}"/>
    <cellStyle name="Normal 10 2 2 3 2 9" xfId="32342" xr:uid="{00000000-0005-0000-0000-0000274C0000}"/>
    <cellStyle name="Normal 10 2 2 3 3" xfId="5029" xr:uid="{00000000-0005-0000-0000-0000284C0000}"/>
    <cellStyle name="Normal 10 2 2 3 3 2" xfId="5030" xr:uid="{00000000-0005-0000-0000-0000294C0000}"/>
    <cellStyle name="Normal 10 2 2 3 3 2 2" xfId="8592" xr:uid="{00000000-0005-0000-0000-00002A4C0000}"/>
    <cellStyle name="Normal 10 2 2 3 3 2 2 2" xfId="15382" xr:uid="{00000000-0005-0000-0000-00002B4C0000}"/>
    <cellStyle name="Normal 10 2 2 3 3 2 2 2 2" xfId="28950" xr:uid="{00000000-0005-0000-0000-00002C4C0000}"/>
    <cellStyle name="Normal 10 2 2 3 3 2 2 2 2 2" xfId="56083" xr:uid="{00000000-0005-0000-0000-00002D4C0000}"/>
    <cellStyle name="Normal 10 2 2 3 3 2 2 2 3" xfId="42521" xr:uid="{00000000-0005-0000-0000-00002E4C0000}"/>
    <cellStyle name="Normal 10 2 2 3 3 2 2 3" xfId="22169" xr:uid="{00000000-0005-0000-0000-00002F4C0000}"/>
    <cellStyle name="Normal 10 2 2 3 3 2 2 3 2" xfId="49302" xr:uid="{00000000-0005-0000-0000-0000304C0000}"/>
    <cellStyle name="Normal 10 2 2 3 3 2 2 4" xfId="35740" xr:uid="{00000000-0005-0000-0000-0000314C0000}"/>
    <cellStyle name="Normal 10 2 2 3 3 2 3" xfId="11993" xr:uid="{00000000-0005-0000-0000-0000324C0000}"/>
    <cellStyle name="Normal 10 2 2 3 3 2 3 2" xfId="25561" xr:uid="{00000000-0005-0000-0000-0000334C0000}"/>
    <cellStyle name="Normal 10 2 2 3 3 2 3 2 2" xfId="52694" xr:uid="{00000000-0005-0000-0000-0000344C0000}"/>
    <cellStyle name="Normal 10 2 2 3 3 2 3 3" xfId="39132" xr:uid="{00000000-0005-0000-0000-0000354C0000}"/>
    <cellStyle name="Normal 10 2 2 3 3 2 4" xfId="18780" xr:uid="{00000000-0005-0000-0000-0000364C0000}"/>
    <cellStyle name="Normal 10 2 2 3 3 2 4 2" xfId="45913" xr:uid="{00000000-0005-0000-0000-0000374C0000}"/>
    <cellStyle name="Normal 10 2 2 3 3 2 5" xfId="32351" xr:uid="{00000000-0005-0000-0000-0000384C0000}"/>
    <cellStyle name="Normal 10 2 2 3 3 3" xfId="5031" xr:uid="{00000000-0005-0000-0000-0000394C0000}"/>
    <cellStyle name="Normal 10 2 2 3 3 3 2" xfId="8593" xr:uid="{00000000-0005-0000-0000-00003A4C0000}"/>
    <cellStyle name="Normal 10 2 2 3 3 3 2 2" xfId="15383" xr:uid="{00000000-0005-0000-0000-00003B4C0000}"/>
    <cellStyle name="Normal 10 2 2 3 3 3 2 2 2" xfId="28951" xr:uid="{00000000-0005-0000-0000-00003C4C0000}"/>
    <cellStyle name="Normal 10 2 2 3 3 3 2 2 2 2" xfId="56084" xr:uid="{00000000-0005-0000-0000-00003D4C0000}"/>
    <cellStyle name="Normal 10 2 2 3 3 3 2 2 3" xfId="42522" xr:uid="{00000000-0005-0000-0000-00003E4C0000}"/>
    <cellStyle name="Normal 10 2 2 3 3 3 2 3" xfId="22170" xr:uid="{00000000-0005-0000-0000-00003F4C0000}"/>
    <cellStyle name="Normal 10 2 2 3 3 3 2 3 2" xfId="49303" xr:uid="{00000000-0005-0000-0000-0000404C0000}"/>
    <cellStyle name="Normal 10 2 2 3 3 3 2 4" xfId="35741" xr:uid="{00000000-0005-0000-0000-0000414C0000}"/>
    <cellStyle name="Normal 10 2 2 3 3 3 3" xfId="11994" xr:uid="{00000000-0005-0000-0000-0000424C0000}"/>
    <cellStyle name="Normal 10 2 2 3 3 3 3 2" xfId="25562" xr:uid="{00000000-0005-0000-0000-0000434C0000}"/>
    <cellStyle name="Normal 10 2 2 3 3 3 3 2 2" xfId="52695" xr:uid="{00000000-0005-0000-0000-0000444C0000}"/>
    <cellStyle name="Normal 10 2 2 3 3 3 3 3" xfId="39133" xr:uid="{00000000-0005-0000-0000-0000454C0000}"/>
    <cellStyle name="Normal 10 2 2 3 3 3 4" xfId="18781" xr:uid="{00000000-0005-0000-0000-0000464C0000}"/>
    <cellStyle name="Normal 10 2 2 3 3 3 4 2" xfId="45914" xr:uid="{00000000-0005-0000-0000-0000474C0000}"/>
    <cellStyle name="Normal 10 2 2 3 3 3 5" xfId="32352" xr:uid="{00000000-0005-0000-0000-0000484C0000}"/>
    <cellStyle name="Normal 10 2 2 3 3 4" xfId="8591" xr:uid="{00000000-0005-0000-0000-0000494C0000}"/>
    <cellStyle name="Normal 10 2 2 3 3 4 2" xfId="15381" xr:uid="{00000000-0005-0000-0000-00004A4C0000}"/>
    <cellStyle name="Normal 10 2 2 3 3 4 2 2" xfId="28949" xr:uid="{00000000-0005-0000-0000-00004B4C0000}"/>
    <cellStyle name="Normal 10 2 2 3 3 4 2 2 2" xfId="56082" xr:uid="{00000000-0005-0000-0000-00004C4C0000}"/>
    <cellStyle name="Normal 10 2 2 3 3 4 2 3" xfId="42520" xr:uid="{00000000-0005-0000-0000-00004D4C0000}"/>
    <cellStyle name="Normal 10 2 2 3 3 4 3" xfId="22168" xr:uid="{00000000-0005-0000-0000-00004E4C0000}"/>
    <cellStyle name="Normal 10 2 2 3 3 4 3 2" xfId="49301" xr:uid="{00000000-0005-0000-0000-00004F4C0000}"/>
    <cellStyle name="Normal 10 2 2 3 3 4 4" xfId="35739" xr:uid="{00000000-0005-0000-0000-0000504C0000}"/>
    <cellStyle name="Normal 10 2 2 3 3 5" xfId="11992" xr:uid="{00000000-0005-0000-0000-0000514C0000}"/>
    <cellStyle name="Normal 10 2 2 3 3 5 2" xfId="25560" xr:uid="{00000000-0005-0000-0000-0000524C0000}"/>
    <cellStyle name="Normal 10 2 2 3 3 5 2 2" xfId="52693" xr:uid="{00000000-0005-0000-0000-0000534C0000}"/>
    <cellStyle name="Normal 10 2 2 3 3 5 3" xfId="39131" xr:uid="{00000000-0005-0000-0000-0000544C0000}"/>
    <cellStyle name="Normal 10 2 2 3 3 6" xfId="18779" xr:uid="{00000000-0005-0000-0000-0000554C0000}"/>
    <cellStyle name="Normal 10 2 2 3 3 6 2" xfId="45912" xr:uid="{00000000-0005-0000-0000-0000564C0000}"/>
    <cellStyle name="Normal 10 2 2 3 3 7" xfId="32350" xr:uid="{00000000-0005-0000-0000-0000574C0000}"/>
    <cellStyle name="Normal 10 2 2 3 4" xfId="5032" xr:uid="{00000000-0005-0000-0000-0000584C0000}"/>
    <cellStyle name="Normal 10 2 2 3 4 2" xfId="5033" xr:uid="{00000000-0005-0000-0000-0000594C0000}"/>
    <cellStyle name="Normal 10 2 2 3 4 2 2" xfId="8595" xr:uid="{00000000-0005-0000-0000-00005A4C0000}"/>
    <cellStyle name="Normal 10 2 2 3 4 2 2 2" xfId="15385" xr:uid="{00000000-0005-0000-0000-00005B4C0000}"/>
    <cellStyle name="Normal 10 2 2 3 4 2 2 2 2" xfId="28953" xr:uid="{00000000-0005-0000-0000-00005C4C0000}"/>
    <cellStyle name="Normal 10 2 2 3 4 2 2 2 2 2" xfId="56086" xr:uid="{00000000-0005-0000-0000-00005D4C0000}"/>
    <cellStyle name="Normal 10 2 2 3 4 2 2 2 3" xfId="42524" xr:uid="{00000000-0005-0000-0000-00005E4C0000}"/>
    <cellStyle name="Normal 10 2 2 3 4 2 2 3" xfId="22172" xr:uid="{00000000-0005-0000-0000-00005F4C0000}"/>
    <cellStyle name="Normal 10 2 2 3 4 2 2 3 2" xfId="49305" xr:uid="{00000000-0005-0000-0000-0000604C0000}"/>
    <cellStyle name="Normal 10 2 2 3 4 2 2 4" xfId="35743" xr:uid="{00000000-0005-0000-0000-0000614C0000}"/>
    <cellStyle name="Normal 10 2 2 3 4 2 3" xfId="11996" xr:uid="{00000000-0005-0000-0000-0000624C0000}"/>
    <cellStyle name="Normal 10 2 2 3 4 2 3 2" xfId="25564" xr:uid="{00000000-0005-0000-0000-0000634C0000}"/>
    <cellStyle name="Normal 10 2 2 3 4 2 3 2 2" xfId="52697" xr:uid="{00000000-0005-0000-0000-0000644C0000}"/>
    <cellStyle name="Normal 10 2 2 3 4 2 3 3" xfId="39135" xr:uid="{00000000-0005-0000-0000-0000654C0000}"/>
    <cellStyle name="Normal 10 2 2 3 4 2 4" xfId="18783" xr:uid="{00000000-0005-0000-0000-0000664C0000}"/>
    <cellStyle name="Normal 10 2 2 3 4 2 4 2" xfId="45916" xr:uid="{00000000-0005-0000-0000-0000674C0000}"/>
    <cellStyle name="Normal 10 2 2 3 4 2 5" xfId="32354" xr:uid="{00000000-0005-0000-0000-0000684C0000}"/>
    <cellStyle name="Normal 10 2 2 3 4 3" xfId="8594" xr:uid="{00000000-0005-0000-0000-0000694C0000}"/>
    <cellStyle name="Normal 10 2 2 3 4 3 2" xfId="15384" xr:uid="{00000000-0005-0000-0000-00006A4C0000}"/>
    <cellStyle name="Normal 10 2 2 3 4 3 2 2" xfId="28952" xr:uid="{00000000-0005-0000-0000-00006B4C0000}"/>
    <cellStyle name="Normal 10 2 2 3 4 3 2 2 2" xfId="56085" xr:uid="{00000000-0005-0000-0000-00006C4C0000}"/>
    <cellStyle name="Normal 10 2 2 3 4 3 2 3" xfId="42523" xr:uid="{00000000-0005-0000-0000-00006D4C0000}"/>
    <cellStyle name="Normal 10 2 2 3 4 3 3" xfId="22171" xr:uid="{00000000-0005-0000-0000-00006E4C0000}"/>
    <cellStyle name="Normal 10 2 2 3 4 3 3 2" xfId="49304" xr:uid="{00000000-0005-0000-0000-00006F4C0000}"/>
    <cellStyle name="Normal 10 2 2 3 4 3 4" xfId="35742" xr:uid="{00000000-0005-0000-0000-0000704C0000}"/>
    <cellStyle name="Normal 10 2 2 3 4 4" xfId="11995" xr:uid="{00000000-0005-0000-0000-0000714C0000}"/>
    <cellStyle name="Normal 10 2 2 3 4 4 2" xfId="25563" xr:uid="{00000000-0005-0000-0000-0000724C0000}"/>
    <cellStyle name="Normal 10 2 2 3 4 4 2 2" xfId="52696" xr:uid="{00000000-0005-0000-0000-0000734C0000}"/>
    <cellStyle name="Normal 10 2 2 3 4 4 3" xfId="39134" xr:uid="{00000000-0005-0000-0000-0000744C0000}"/>
    <cellStyle name="Normal 10 2 2 3 4 5" xfId="18782" xr:uid="{00000000-0005-0000-0000-0000754C0000}"/>
    <cellStyle name="Normal 10 2 2 3 4 5 2" xfId="45915" xr:uid="{00000000-0005-0000-0000-0000764C0000}"/>
    <cellStyle name="Normal 10 2 2 3 4 6" xfId="32353" xr:uid="{00000000-0005-0000-0000-0000774C0000}"/>
    <cellStyle name="Normal 10 2 2 3 5" xfId="5034" xr:uid="{00000000-0005-0000-0000-0000784C0000}"/>
    <cellStyle name="Normal 10 2 2 3 5 2" xfId="8596" xr:uid="{00000000-0005-0000-0000-0000794C0000}"/>
    <cellStyle name="Normal 10 2 2 3 5 2 2" xfId="15386" xr:uid="{00000000-0005-0000-0000-00007A4C0000}"/>
    <cellStyle name="Normal 10 2 2 3 5 2 2 2" xfId="28954" xr:uid="{00000000-0005-0000-0000-00007B4C0000}"/>
    <cellStyle name="Normal 10 2 2 3 5 2 2 2 2" xfId="56087" xr:uid="{00000000-0005-0000-0000-00007C4C0000}"/>
    <cellStyle name="Normal 10 2 2 3 5 2 2 3" xfId="42525" xr:uid="{00000000-0005-0000-0000-00007D4C0000}"/>
    <cellStyle name="Normal 10 2 2 3 5 2 3" xfId="22173" xr:uid="{00000000-0005-0000-0000-00007E4C0000}"/>
    <cellStyle name="Normal 10 2 2 3 5 2 3 2" xfId="49306" xr:uid="{00000000-0005-0000-0000-00007F4C0000}"/>
    <cellStyle name="Normal 10 2 2 3 5 2 4" xfId="35744" xr:uid="{00000000-0005-0000-0000-0000804C0000}"/>
    <cellStyle name="Normal 10 2 2 3 5 3" xfId="11997" xr:uid="{00000000-0005-0000-0000-0000814C0000}"/>
    <cellStyle name="Normal 10 2 2 3 5 3 2" xfId="25565" xr:uid="{00000000-0005-0000-0000-0000824C0000}"/>
    <cellStyle name="Normal 10 2 2 3 5 3 2 2" xfId="52698" xr:uid="{00000000-0005-0000-0000-0000834C0000}"/>
    <cellStyle name="Normal 10 2 2 3 5 3 3" xfId="39136" xr:uid="{00000000-0005-0000-0000-0000844C0000}"/>
    <cellStyle name="Normal 10 2 2 3 5 4" xfId="18784" xr:uid="{00000000-0005-0000-0000-0000854C0000}"/>
    <cellStyle name="Normal 10 2 2 3 5 4 2" xfId="45917" xr:uid="{00000000-0005-0000-0000-0000864C0000}"/>
    <cellStyle name="Normal 10 2 2 3 5 5" xfId="32355" xr:uid="{00000000-0005-0000-0000-0000874C0000}"/>
    <cellStyle name="Normal 10 2 2 3 6" xfId="5035" xr:uid="{00000000-0005-0000-0000-0000884C0000}"/>
    <cellStyle name="Normal 10 2 2 3 6 2" xfId="8597" xr:uid="{00000000-0005-0000-0000-0000894C0000}"/>
    <cellStyle name="Normal 10 2 2 3 6 2 2" xfId="15387" xr:uid="{00000000-0005-0000-0000-00008A4C0000}"/>
    <cellStyle name="Normal 10 2 2 3 6 2 2 2" xfId="28955" xr:uid="{00000000-0005-0000-0000-00008B4C0000}"/>
    <cellStyle name="Normal 10 2 2 3 6 2 2 2 2" xfId="56088" xr:uid="{00000000-0005-0000-0000-00008C4C0000}"/>
    <cellStyle name="Normal 10 2 2 3 6 2 2 3" xfId="42526" xr:uid="{00000000-0005-0000-0000-00008D4C0000}"/>
    <cellStyle name="Normal 10 2 2 3 6 2 3" xfId="22174" xr:uid="{00000000-0005-0000-0000-00008E4C0000}"/>
    <cellStyle name="Normal 10 2 2 3 6 2 3 2" xfId="49307" xr:uid="{00000000-0005-0000-0000-00008F4C0000}"/>
    <cellStyle name="Normal 10 2 2 3 6 2 4" xfId="35745" xr:uid="{00000000-0005-0000-0000-0000904C0000}"/>
    <cellStyle name="Normal 10 2 2 3 6 3" xfId="11998" xr:uid="{00000000-0005-0000-0000-0000914C0000}"/>
    <cellStyle name="Normal 10 2 2 3 6 3 2" xfId="25566" xr:uid="{00000000-0005-0000-0000-0000924C0000}"/>
    <cellStyle name="Normal 10 2 2 3 6 3 2 2" xfId="52699" xr:uid="{00000000-0005-0000-0000-0000934C0000}"/>
    <cellStyle name="Normal 10 2 2 3 6 3 3" xfId="39137" xr:uid="{00000000-0005-0000-0000-0000944C0000}"/>
    <cellStyle name="Normal 10 2 2 3 6 4" xfId="18785" xr:uid="{00000000-0005-0000-0000-0000954C0000}"/>
    <cellStyle name="Normal 10 2 2 3 6 4 2" xfId="45918" xr:uid="{00000000-0005-0000-0000-0000964C0000}"/>
    <cellStyle name="Normal 10 2 2 3 6 5" xfId="32356" xr:uid="{00000000-0005-0000-0000-0000974C0000}"/>
    <cellStyle name="Normal 10 2 2 3 7" xfId="8582" xr:uid="{00000000-0005-0000-0000-0000984C0000}"/>
    <cellStyle name="Normal 10 2 2 3 7 2" xfId="15372" xr:uid="{00000000-0005-0000-0000-0000994C0000}"/>
    <cellStyle name="Normal 10 2 2 3 7 2 2" xfId="28940" xr:uid="{00000000-0005-0000-0000-00009A4C0000}"/>
    <cellStyle name="Normal 10 2 2 3 7 2 2 2" xfId="56073" xr:uid="{00000000-0005-0000-0000-00009B4C0000}"/>
    <cellStyle name="Normal 10 2 2 3 7 2 3" xfId="42511" xr:uid="{00000000-0005-0000-0000-00009C4C0000}"/>
    <cellStyle name="Normal 10 2 2 3 7 3" xfId="22159" xr:uid="{00000000-0005-0000-0000-00009D4C0000}"/>
    <cellStyle name="Normal 10 2 2 3 7 3 2" xfId="49292" xr:uid="{00000000-0005-0000-0000-00009E4C0000}"/>
    <cellStyle name="Normal 10 2 2 3 7 4" xfId="35730" xr:uid="{00000000-0005-0000-0000-00009F4C0000}"/>
    <cellStyle name="Normal 10 2 2 3 8" xfId="11983" xr:uid="{00000000-0005-0000-0000-0000A04C0000}"/>
    <cellStyle name="Normal 10 2 2 3 8 2" xfId="25551" xr:uid="{00000000-0005-0000-0000-0000A14C0000}"/>
    <cellStyle name="Normal 10 2 2 3 8 2 2" xfId="52684" xr:uid="{00000000-0005-0000-0000-0000A24C0000}"/>
    <cellStyle name="Normal 10 2 2 3 8 3" xfId="39122" xr:uid="{00000000-0005-0000-0000-0000A34C0000}"/>
    <cellStyle name="Normal 10 2 2 3 9" xfId="18770" xr:uid="{00000000-0005-0000-0000-0000A44C0000}"/>
    <cellStyle name="Normal 10 2 2 3 9 2" xfId="45903" xr:uid="{00000000-0005-0000-0000-0000A54C0000}"/>
    <cellStyle name="Normal 10 2 2 4" xfId="5036" xr:uid="{00000000-0005-0000-0000-0000A64C0000}"/>
    <cellStyle name="Normal 10 2 2 4 2" xfId="5037" xr:uid="{00000000-0005-0000-0000-0000A74C0000}"/>
    <cellStyle name="Normal 10 2 2 4 2 2" xfId="5038" xr:uid="{00000000-0005-0000-0000-0000A84C0000}"/>
    <cellStyle name="Normal 10 2 2 4 2 2 2" xfId="8600" xr:uid="{00000000-0005-0000-0000-0000A94C0000}"/>
    <cellStyle name="Normal 10 2 2 4 2 2 2 2" xfId="15390" xr:uid="{00000000-0005-0000-0000-0000AA4C0000}"/>
    <cellStyle name="Normal 10 2 2 4 2 2 2 2 2" xfId="28958" xr:uid="{00000000-0005-0000-0000-0000AB4C0000}"/>
    <cellStyle name="Normal 10 2 2 4 2 2 2 2 2 2" xfId="56091" xr:uid="{00000000-0005-0000-0000-0000AC4C0000}"/>
    <cellStyle name="Normal 10 2 2 4 2 2 2 2 3" xfId="42529" xr:uid="{00000000-0005-0000-0000-0000AD4C0000}"/>
    <cellStyle name="Normal 10 2 2 4 2 2 2 3" xfId="22177" xr:uid="{00000000-0005-0000-0000-0000AE4C0000}"/>
    <cellStyle name="Normal 10 2 2 4 2 2 2 3 2" xfId="49310" xr:uid="{00000000-0005-0000-0000-0000AF4C0000}"/>
    <cellStyle name="Normal 10 2 2 4 2 2 2 4" xfId="35748" xr:uid="{00000000-0005-0000-0000-0000B04C0000}"/>
    <cellStyle name="Normal 10 2 2 4 2 2 3" xfId="12001" xr:uid="{00000000-0005-0000-0000-0000B14C0000}"/>
    <cellStyle name="Normal 10 2 2 4 2 2 3 2" xfId="25569" xr:uid="{00000000-0005-0000-0000-0000B24C0000}"/>
    <cellStyle name="Normal 10 2 2 4 2 2 3 2 2" xfId="52702" xr:uid="{00000000-0005-0000-0000-0000B34C0000}"/>
    <cellStyle name="Normal 10 2 2 4 2 2 3 3" xfId="39140" xr:uid="{00000000-0005-0000-0000-0000B44C0000}"/>
    <cellStyle name="Normal 10 2 2 4 2 2 4" xfId="18788" xr:uid="{00000000-0005-0000-0000-0000B54C0000}"/>
    <cellStyle name="Normal 10 2 2 4 2 2 4 2" xfId="45921" xr:uid="{00000000-0005-0000-0000-0000B64C0000}"/>
    <cellStyle name="Normal 10 2 2 4 2 2 5" xfId="32359" xr:uid="{00000000-0005-0000-0000-0000B74C0000}"/>
    <cellStyle name="Normal 10 2 2 4 2 3" xfId="5039" xr:uid="{00000000-0005-0000-0000-0000B84C0000}"/>
    <cellStyle name="Normal 10 2 2 4 2 3 2" xfId="8601" xr:uid="{00000000-0005-0000-0000-0000B94C0000}"/>
    <cellStyle name="Normal 10 2 2 4 2 3 2 2" xfId="15391" xr:uid="{00000000-0005-0000-0000-0000BA4C0000}"/>
    <cellStyle name="Normal 10 2 2 4 2 3 2 2 2" xfId="28959" xr:uid="{00000000-0005-0000-0000-0000BB4C0000}"/>
    <cellStyle name="Normal 10 2 2 4 2 3 2 2 2 2" xfId="56092" xr:uid="{00000000-0005-0000-0000-0000BC4C0000}"/>
    <cellStyle name="Normal 10 2 2 4 2 3 2 2 3" xfId="42530" xr:uid="{00000000-0005-0000-0000-0000BD4C0000}"/>
    <cellStyle name="Normal 10 2 2 4 2 3 2 3" xfId="22178" xr:uid="{00000000-0005-0000-0000-0000BE4C0000}"/>
    <cellStyle name="Normal 10 2 2 4 2 3 2 3 2" xfId="49311" xr:uid="{00000000-0005-0000-0000-0000BF4C0000}"/>
    <cellStyle name="Normal 10 2 2 4 2 3 2 4" xfId="35749" xr:uid="{00000000-0005-0000-0000-0000C04C0000}"/>
    <cellStyle name="Normal 10 2 2 4 2 3 3" xfId="12002" xr:uid="{00000000-0005-0000-0000-0000C14C0000}"/>
    <cellStyle name="Normal 10 2 2 4 2 3 3 2" xfId="25570" xr:uid="{00000000-0005-0000-0000-0000C24C0000}"/>
    <cellStyle name="Normal 10 2 2 4 2 3 3 2 2" xfId="52703" xr:uid="{00000000-0005-0000-0000-0000C34C0000}"/>
    <cellStyle name="Normal 10 2 2 4 2 3 3 3" xfId="39141" xr:uid="{00000000-0005-0000-0000-0000C44C0000}"/>
    <cellStyle name="Normal 10 2 2 4 2 3 4" xfId="18789" xr:uid="{00000000-0005-0000-0000-0000C54C0000}"/>
    <cellStyle name="Normal 10 2 2 4 2 3 4 2" xfId="45922" xr:uid="{00000000-0005-0000-0000-0000C64C0000}"/>
    <cellStyle name="Normal 10 2 2 4 2 3 5" xfId="32360" xr:uid="{00000000-0005-0000-0000-0000C74C0000}"/>
    <cellStyle name="Normal 10 2 2 4 2 4" xfId="8599" xr:uid="{00000000-0005-0000-0000-0000C84C0000}"/>
    <cellStyle name="Normal 10 2 2 4 2 4 2" xfId="15389" xr:uid="{00000000-0005-0000-0000-0000C94C0000}"/>
    <cellStyle name="Normal 10 2 2 4 2 4 2 2" xfId="28957" xr:uid="{00000000-0005-0000-0000-0000CA4C0000}"/>
    <cellStyle name="Normal 10 2 2 4 2 4 2 2 2" xfId="56090" xr:uid="{00000000-0005-0000-0000-0000CB4C0000}"/>
    <cellStyle name="Normal 10 2 2 4 2 4 2 3" xfId="42528" xr:uid="{00000000-0005-0000-0000-0000CC4C0000}"/>
    <cellStyle name="Normal 10 2 2 4 2 4 3" xfId="22176" xr:uid="{00000000-0005-0000-0000-0000CD4C0000}"/>
    <cellStyle name="Normal 10 2 2 4 2 4 3 2" xfId="49309" xr:uid="{00000000-0005-0000-0000-0000CE4C0000}"/>
    <cellStyle name="Normal 10 2 2 4 2 4 4" xfId="35747" xr:uid="{00000000-0005-0000-0000-0000CF4C0000}"/>
    <cellStyle name="Normal 10 2 2 4 2 5" xfId="12000" xr:uid="{00000000-0005-0000-0000-0000D04C0000}"/>
    <cellStyle name="Normal 10 2 2 4 2 5 2" xfId="25568" xr:uid="{00000000-0005-0000-0000-0000D14C0000}"/>
    <cellStyle name="Normal 10 2 2 4 2 5 2 2" xfId="52701" xr:uid="{00000000-0005-0000-0000-0000D24C0000}"/>
    <cellStyle name="Normal 10 2 2 4 2 5 3" xfId="39139" xr:uid="{00000000-0005-0000-0000-0000D34C0000}"/>
    <cellStyle name="Normal 10 2 2 4 2 6" xfId="18787" xr:uid="{00000000-0005-0000-0000-0000D44C0000}"/>
    <cellStyle name="Normal 10 2 2 4 2 6 2" xfId="45920" xr:uid="{00000000-0005-0000-0000-0000D54C0000}"/>
    <cellStyle name="Normal 10 2 2 4 2 7" xfId="32358" xr:uid="{00000000-0005-0000-0000-0000D64C0000}"/>
    <cellStyle name="Normal 10 2 2 4 3" xfId="5040" xr:uid="{00000000-0005-0000-0000-0000D74C0000}"/>
    <cellStyle name="Normal 10 2 2 4 3 2" xfId="5041" xr:uid="{00000000-0005-0000-0000-0000D84C0000}"/>
    <cellStyle name="Normal 10 2 2 4 3 2 2" xfId="8603" xr:uid="{00000000-0005-0000-0000-0000D94C0000}"/>
    <cellStyle name="Normal 10 2 2 4 3 2 2 2" xfId="15393" xr:uid="{00000000-0005-0000-0000-0000DA4C0000}"/>
    <cellStyle name="Normal 10 2 2 4 3 2 2 2 2" xfId="28961" xr:uid="{00000000-0005-0000-0000-0000DB4C0000}"/>
    <cellStyle name="Normal 10 2 2 4 3 2 2 2 2 2" xfId="56094" xr:uid="{00000000-0005-0000-0000-0000DC4C0000}"/>
    <cellStyle name="Normal 10 2 2 4 3 2 2 2 3" xfId="42532" xr:uid="{00000000-0005-0000-0000-0000DD4C0000}"/>
    <cellStyle name="Normal 10 2 2 4 3 2 2 3" xfId="22180" xr:uid="{00000000-0005-0000-0000-0000DE4C0000}"/>
    <cellStyle name="Normal 10 2 2 4 3 2 2 3 2" xfId="49313" xr:uid="{00000000-0005-0000-0000-0000DF4C0000}"/>
    <cellStyle name="Normal 10 2 2 4 3 2 2 4" xfId="35751" xr:uid="{00000000-0005-0000-0000-0000E04C0000}"/>
    <cellStyle name="Normal 10 2 2 4 3 2 3" xfId="12004" xr:uid="{00000000-0005-0000-0000-0000E14C0000}"/>
    <cellStyle name="Normal 10 2 2 4 3 2 3 2" xfId="25572" xr:uid="{00000000-0005-0000-0000-0000E24C0000}"/>
    <cellStyle name="Normal 10 2 2 4 3 2 3 2 2" xfId="52705" xr:uid="{00000000-0005-0000-0000-0000E34C0000}"/>
    <cellStyle name="Normal 10 2 2 4 3 2 3 3" xfId="39143" xr:uid="{00000000-0005-0000-0000-0000E44C0000}"/>
    <cellStyle name="Normal 10 2 2 4 3 2 4" xfId="18791" xr:uid="{00000000-0005-0000-0000-0000E54C0000}"/>
    <cellStyle name="Normal 10 2 2 4 3 2 4 2" xfId="45924" xr:uid="{00000000-0005-0000-0000-0000E64C0000}"/>
    <cellStyle name="Normal 10 2 2 4 3 2 5" xfId="32362" xr:uid="{00000000-0005-0000-0000-0000E74C0000}"/>
    <cellStyle name="Normal 10 2 2 4 3 3" xfId="8602" xr:uid="{00000000-0005-0000-0000-0000E84C0000}"/>
    <cellStyle name="Normal 10 2 2 4 3 3 2" xfId="15392" xr:uid="{00000000-0005-0000-0000-0000E94C0000}"/>
    <cellStyle name="Normal 10 2 2 4 3 3 2 2" xfId="28960" xr:uid="{00000000-0005-0000-0000-0000EA4C0000}"/>
    <cellStyle name="Normal 10 2 2 4 3 3 2 2 2" xfId="56093" xr:uid="{00000000-0005-0000-0000-0000EB4C0000}"/>
    <cellStyle name="Normal 10 2 2 4 3 3 2 3" xfId="42531" xr:uid="{00000000-0005-0000-0000-0000EC4C0000}"/>
    <cellStyle name="Normal 10 2 2 4 3 3 3" xfId="22179" xr:uid="{00000000-0005-0000-0000-0000ED4C0000}"/>
    <cellStyle name="Normal 10 2 2 4 3 3 3 2" xfId="49312" xr:uid="{00000000-0005-0000-0000-0000EE4C0000}"/>
    <cellStyle name="Normal 10 2 2 4 3 3 4" xfId="35750" xr:uid="{00000000-0005-0000-0000-0000EF4C0000}"/>
    <cellStyle name="Normal 10 2 2 4 3 4" xfId="12003" xr:uid="{00000000-0005-0000-0000-0000F04C0000}"/>
    <cellStyle name="Normal 10 2 2 4 3 4 2" xfId="25571" xr:uid="{00000000-0005-0000-0000-0000F14C0000}"/>
    <cellStyle name="Normal 10 2 2 4 3 4 2 2" xfId="52704" xr:uid="{00000000-0005-0000-0000-0000F24C0000}"/>
    <cellStyle name="Normal 10 2 2 4 3 4 3" xfId="39142" xr:uid="{00000000-0005-0000-0000-0000F34C0000}"/>
    <cellStyle name="Normal 10 2 2 4 3 5" xfId="18790" xr:uid="{00000000-0005-0000-0000-0000F44C0000}"/>
    <cellStyle name="Normal 10 2 2 4 3 5 2" xfId="45923" xr:uid="{00000000-0005-0000-0000-0000F54C0000}"/>
    <cellStyle name="Normal 10 2 2 4 3 6" xfId="32361" xr:uid="{00000000-0005-0000-0000-0000F64C0000}"/>
    <cellStyle name="Normal 10 2 2 4 4" xfId="5042" xr:uid="{00000000-0005-0000-0000-0000F74C0000}"/>
    <cellStyle name="Normal 10 2 2 4 4 2" xfId="8604" xr:uid="{00000000-0005-0000-0000-0000F84C0000}"/>
    <cellStyle name="Normal 10 2 2 4 4 2 2" xfId="15394" xr:uid="{00000000-0005-0000-0000-0000F94C0000}"/>
    <cellStyle name="Normal 10 2 2 4 4 2 2 2" xfId="28962" xr:uid="{00000000-0005-0000-0000-0000FA4C0000}"/>
    <cellStyle name="Normal 10 2 2 4 4 2 2 2 2" xfId="56095" xr:uid="{00000000-0005-0000-0000-0000FB4C0000}"/>
    <cellStyle name="Normal 10 2 2 4 4 2 2 3" xfId="42533" xr:uid="{00000000-0005-0000-0000-0000FC4C0000}"/>
    <cellStyle name="Normal 10 2 2 4 4 2 3" xfId="22181" xr:uid="{00000000-0005-0000-0000-0000FD4C0000}"/>
    <cellStyle name="Normal 10 2 2 4 4 2 3 2" xfId="49314" xr:uid="{00000000-0005-0000-0000-0000FE4C0000}"/>
    <cellStyle name="Normal 10 2 2 4 4 2 4" xfId="35752" xr:uid="{00000000-0005-0000-0000-0000FF4C0000}"/>
    <cellStyle name="Normal 10 2 2 4 4 3" xfId="12005" xr:uid="{00000000-0005-0000-0000-0000004D0000}"/>
    <cellStyle name="Normal 10 2 2 4 4 3 2" xfId="25573" xr:uid="{00000000-0005-0000-0000-0000014D0000}"/>
    <cellStyle name="Normal 10 2 2 4 4 3 2 2" xfId="52706" xr:uid="{00000000-0005-0000-0000-0000024D0000}"/>
    <cellStyle name="Normal 10 2 2 4 4 3 3" xfId="39144" xr:uid="{00000000-0005-0000-0000-0000034D0000}"/>
    <cellStyle name="Normal 10 2 2 4 4 4" xfId="18792" xr:uid="{00000000-0005-0000-0000-0000044D0000}"/>
    <cellStyle name="Normal 10 2 2 4 4 4 2" xfId="45925" xr:uid="{00000000-0005-0000-0000-0000054D0000}"/>
    <cellStyle name="Normal 10 2 2 4 4 5" xfId="32363" xr:uid="{00000000-0005-0000-0000-0000064D0000}"/>
    <cellStyle name="Normal 10 2 2 4 5" xfId="5043" xr:uid="{00000000-0005-0000-0000-0000074D0000}"/>
    <cellStyle name="Normal 10 2 2 4 5 2" xfId="8605" xr:uid="{00000000-0005-0000-0000-0000084D0000}"/>
    <cellStyle name="Normal 10 2 2 4 5 2 2" xfId="15395" xr:uid="{00000000-0005-0000-0000-0000094D0000}"/>
    <cellStyle name="Normal 10 2 2 4 5 2 2 2" xfId="28963" xr:uid="{00000000-0005-0000-0000-00000A4D0000}"/>
    <cellStyle name="Normal 10 2 2 4 5 2 2 2 2" xfId="56096" xr:uid="{00000000-0005-0000-0000-00000B4D0000}"/>
    <cellStyle name="Normal 10 2 2 4 5 2 2 3" xfId="42534" xr:uid="{00000000-0005-0000-0000-00000C4D0000}"/>
    <cellStyle name="Normal 10 2 2 4 5 2 3" xfId="22182" xr:uid="{00000000-0005-0000-0000-00000D4D0000}"/>
    <cellStyle name="Normal 10 2 2 4 5 2 3 2" xfId="49315" xr:uid="{00000000-0005-0000-0000-00000E4D0000}"/>
    <cellStyle name="Normal 10 2 2 4 5 2 4" xfId="35753" xr:uid="{00000000-0005-0000-0000-00000F4D0000}"/>
    <cellStyle name="Normal 10 2 2 4 5 3" xfId="12006" xr:uid="{00000000-0005-0000-0000-0000104D0000}"/>
    <cellStyle name="Normal 10 2 2 4 5 3 2" xfId="25574" xr:uid="{00000000-0005-0000-0000-0000114D0000}"/>
    <cellStyle name="Normal 10 2 2 4 5 3 2 2" xfId="52707" xr:uid="{00000000-0005-0000-0000-0000124D0000}"/>
    <cellStyle name="Normal 10 2 2 4 5 3 3" xfId="39145" xr:uid="{00000000-0005-0000-0000-0000134D0000}"/>
    <cellStyle name="Normal 10 2 2 4 5 4" xfId="18793" xr:uid="{00000000-0005-0000-0000-0000144D0000}"/>
    <cellStyle name="Normal 10 2 2 4 5 4 2" xfId="45926" xr:uid="{00000000-0005-0000-0000-0000154D0000}"/>
    <cellStyle name="Normal 10 2 2 4 5 5" xfId="32364" xr:uid="{00000000-0005-0000-0000-0000164D0000}"/>
    <cellStyle name="Normal 10 2 2 4 6" xfId="8598" xr:uid="{00000000-0005-0000-0000-0000174D0000}"/>
    <cellStyle name="Normal 10 2 2 4 6 2" xfId="15388" xr:uid="{00000000-0005-0000-0000-0000184D0000}"/>
    <cellStyle name="Normal 10 2 2 4 6 2 2" xfId="28956" xr:uid="{00000000-0005-0000-0000-0000194D0000}"/>
    <cellStyle name="Normal 10 2 2 4 6 2 2 2" xfId="56089" xr:uid="{00000000-0005-0000-0000-00001A4D0000}"/>
    <cellStyle name="Normal 10 2 2 4 6 2 3" xfId="42527" xr:uid="{00000000-0005-0000-0000-00001B4D0000}"/>
    <cellStyle name="Normal 10 2 2 4 6 3" xfId="22175" xr:uid="{00000000-0005-0000-0000-00001C4D0000}"/>
    <cellStyle name="Normal 10 2 2 4 6 3 2" xfId="49308" xr:uid="{00000000-0005-0000-0000-00001D4D0000}"/>
    <cellStyle name="Normal 10 2 2 4 6 4" xfId="35746" xr:uid="{00000000-0005-0000-0000-00001E4D0000}"/>
    <cellStyle name="Normal 10 2 2 4 7" xfId="11999" xr:uid="{00000000-0005-0000-0000-00001F4D0000}"/>
    <cellStyle name="Normal 10 2 2 4 7 2" xfId="25567" xr:uid="{00000000-0005-0000-0000-0000204D0000}"/>
    <cellStyle name="Normal 10 2 2 4 7 2 2" xfId="52700" xr:uid="{00000000-0005-0000-0000-0000214D0000}"/>
    <cellStyle name="Normal 10 2 2 4 7 3" xfId="39138" xr:uid="{00000000-0005-0000-0000-0000224D0000}"/>
    <cellStyle name="Normal 10 2 2 4 8" xfId="18786" xr:uid="{00000000-0005-0000-0000-0000234D0000}"/>
    <cellStyle name="Normal 10 2 2 4 8 2" xfId="45919" xr:uid="{00000000-0005-0000-0000-0000244D0000}"/>
    <cellStyle name="Normal 10 2 2 4 9" xfId="32357" xr:uid="{00000000-0005-0000-0000-0000254D0000}"/>
    <cellStyle name="Normal 10 2 2 5" xfId="5044" xr:uid="{00000000-0005-0000-0000-0000264D0000}"/>
    <cellStyle name="Normal 10 2 2 5 2" xfId="5045" xr:uid="{00000000-0005-0000-0000-0000274D0000}"/>
    <cellStyle name="Normal 10 2 2 5 2 2" xfId="5046" xr:uid="{00000000-0005-0000-0000-0000284D0000}"/>
    <cellStyle name="Normal 10 2 2 5 2 2 2" xfId="8608" xr:uid="{00000000-0005-0000-0000-0000294D0000}"/>
    <cellStyle name="Normal 10 2 2 5 2 2 2 2" xfId="15398" xr:uid="{00000000-0005-0000-0000-00002A4D0000}"/>
    <cellStyle name="Normal 10 2 2 5 2 2 2 2 2" xfId="28966" xr:uid="{00000000-0005-0000-0000-00002B4D0000}"/>
    <cellStyle name="Normal 10 2 2 5 2 2 2 2 2 2" xfId="56099" xr:uid="{00000000-0005-0000-0000-00002C4D0000}"/>
    <cellStyle name="Normal 10 2 2 5 2 2 2 2 3" xfId="42537" xr:uid="{00000000-0005-0000-0000-00002D4D0000}"/>
    <cellStyle name="Normal 10 2 2 5 2 2 2 3" xfId="22185" xr:uid="{00000000-0005-0000-0000-00002E4D0000}"/>
    <cellStyle name="Normal 10 2 2 5 2 2 2 3 2" xfId="49318" xr:uid="{00000000-0005-0000-0000-00002F4D0000}"/>
    <cellStyle name="Normal 10 2 2 5 2 2 2 4" xfId="35756" xr:uid="{00000000-0005-0000-0000-0000304D0000}"/>
    <cellStyle name="Normal 10 2 2 5 2 2 3" xfId="12009" xr:uid="{00000000-0005-0000-0000-0000314D0000}"/>
    <cellStyle name="Normal 10 2 2 5 2 2 3 2" xfId="25577" xr:uid="{00000000-0005-0000-0000-0000324D0000}"/>
    <cellStyle name="Normal 10 2 2 5 2 2 3 2 2" xfId="52710" xr:uid="{00000000-0005-0000-0000-0000334D0000}"/>
    <cellStyle name="Normal 10 2 2 5 2 2 3 3" xfId="39148" xr:uid="{00000000-0005-0000-0000-0000344D0000}"/>
    <cellStyle name="Normal 10 2 2 5 2 2 4" xfId="18796" xr:uid="{00000000-0005-0000-0000-0000354D0000}"/>
    <cellStyle name="Normal 10 2 2 5 2 2 4 2" xfId="45929" xr:uid="{00000000-0005-0000-0000-0000364D0000}"/>
    <cellStyle name="Normal 10 2 2 5 2 2 5" xfId="32367" xr:uid="{00000000-0005-0000-0000-0000374D0000}"/>
    <cellStyle name="Normal 10 2 2 5 2 3" xfId="5047" xr:uid="{00000000-0005-0000-0000-0000384D0000}"/>
    <cellStyle name="Normal 10 2 2 5 2 3 2" xfId="8609" xr:uid="{00000000-0005-0000-0000-0000394D0000}"/>
    <cellStyle name="Normal 10 2 2 5 2 3 2 2" xfId="15399" xr:uid="{00000000-0005-0000-0000-00003A4D0000}"/>
    <cellStyle name="Normal 10 2 2 5 2 3 2 2 2" xfId="28967" xr:uid="{00000000-0005-0000-0000-00003B4D0000}"/>
    <cellStyle name="Normal 10 2 2 5 2 3 2 2 2 2" xfId="56100" xr:uid="{00000000-0005-0000-0000-00003C4D0000}"/>
    <cellStyle name="Normal 10 2 2 5 2 3 2 2 3" xfId="42538" xr:uid="{00000000-0005-0000-0000-00003D4D0000}"/>
    <cellStyle name="Normal 10 2 2 5 2 3 2 3" xfId="22186" xr:uid="{00000000-0005-0000-0000-00003E4D0000}"/>
    <cellStyle name="Normal 10 2 2 5 2 3 2 3 2" xfId="49319" xr:uid="{00000000-0005-0000-0000-00003F4D0000}"/>
    <cellStyle name="Normal 10 2 2 5 2 3 2 4" xfId="35757" xr:uid="{00000000-0005-0000-0000-0000404D0000}"/>
    <cellStyle name="Normal 10 2 2 5 2 3 3" xfId="12010" xr:uid="{00000000-0005-0000-0000-0000414D0000}"/>
    <cellStyle name="Normal 10 2 2 5 2 3 3 2" xfId="25578" xr:uid="{00000000-0005-0000-0000-0000424D0000}"/>
    <cellStyle name="Normal 10 2 2 5 2 3 3 2 2" xfId="52711" xr:uid="{00000000-0005-0000-0000-0000434D0000}"/>
    <cellStyle name="Normal 10 2 2 5 2 3 3 3" xfId="39149" xr:uid="{00000000-0005-0000-0000-0000444D0000}"/>
    <cellStyle name="Normal 10 2 2 5 2 3 4" xfId="18797" xr:uid="{00000000-0005-0000-0000-0000454D0000}"/>
    <cellStyle name="Normal 10 2 2 5 2 3 4 2" xfId="45930" xr:uid="{00000000-0005-0000-0000-0000464D0000}"/>
    <cellStyle name="Normal 10 2 2 5 2 3 5" xfId="32368" xr:uid="{00000000-0005-0000-0000-0000474D0000}"/>
    <cellStyle name="Normal 10 2 2 5 2 4" xfId="8607" xr:uid="{00000000-0005-0000-0000-0000484D0000}"/>
    <cellStyle name="Normal 10 2 2 5 2 4 2" xfId="15397" xr:uid="{00000000-0005-0000-0000-0000494D0000}"/>
    <cellStyle name="Normal 10 2 2 5 2 4 2 2" xfId="28965" xr:uid="{00000000-0005-0000-0000-00004A4D0000}"/>
    <cellStyle name="Normal 10 2 2 5 2 4 2 2 2" xfId="56098" xr:uid="{00000000-0005-0000-0000-00004B4D0000}"/>
    <cellStyle name="Normal 10 2 2 5 2 4 2 3" xfId="42536" xr:uid="{00000000-0005-0000-0000-00004C4D0000}"/>
    <cellStyle name="Normal 10 2 2 5 2 4 3" xfId="22184" xr:uid="{00000000-0005-0000-0000-00004D4D0000}"/>
    <cellStyle name="Normal 10 2 2 5 2 4 3 2" xfId="49317" xr:uid="{00000000-0005-0000-0000-00004E4D0000}"/>
    <cellStyle name="Normal 10 2 2 5 2 4 4" xfId="35755" xr:uid="{00000000-0005-0000-0000-00004F4D0000}"/>
    <cellStyle name="Normal 10 2 2 5 2 5" xfId="12008" xr:uid="{00000000-0005-0000-0000-0000504D0000}"/>
    <cellStyle name="Normal 10 2 2 5 2 5 2" xfId="25576" xr:uid="{00000000-0005-0000-0000-0000514D0000}"/>
    <cellStyle name="Normal 10 2 2 5 2 5 2 2" xfId="52709" xr:uid="{00000000-0005-0000-0000-0000524D0000}"/>
    <cellStyle name="Normal 10 2 2 5 2 5 3" xfId="39147" xr:uid="{00000000-0005-0000-0000-0000534D0000}"/>
    <cellStyle name="Normal 10 2 2 5 2 6" xfId="18795" xr:uid="{00000000-0005-0000-0000-0000544D0000}"/>
    <cellStyle name="Normal 10 2 2 5 2 6 2" xfId="45928" xr:uid="{00000000-0005-0000-0000-0000554D0000}"/>
    <cellStyle name="Normal 10 2 2 5 2 7" xfId="32366" xr:uid="{00000000-0005-0000-0000-0000564D0000}"/>
    <cellStyle name="Normal 10 2 2 5 3" xfId="5048" xr:uid="{00000000-0005-0000-0000-0000574D0000}"/>
    <cellStyle name="Normal 10 2 2 5 3 2" xfId="8610" xr:uid="{00000000-0005-0000-0000-0000584D0000}"/>
    <cellStyle name="Normal 10 2 2 5 3 2 2" xfId="15400" xr:uid="{00000000-0005-0000-0000-0000594D0000}"/>
    <cellStyle name="Normal 10 2 2 5 3 2 2 2" xfId="28968" xr:uid="{00000000-0005-0000-0000-00005A4D0000}"/>
    <cellStyle name="Normal 10 2 2 5 3 2 2 2 2" xfId="56101" xr:uid="{00000000-0005-0000-0000-00005B4D0000}"/>
    <cellStyle name="Normal 10 2 2 5 3 2 2 3" xfId="42539" xr:uid="{00000000-0005-0000-0000-00005C4D0000}"/>
    <cellStyle name="Normal 10 2 2 5 3 2 3" xfId="22187" xr:uid="{00000000-0005-0000-0000-00005D4D0000}"/>
    <cellStyle name="Normal 10 2 2 5 3 2 3 2" xfId="49320" xr:uid="{00000000-0005-0000-0000-00005E4D0000}"/>
    <cellStyle name="Normal 10 2 2 5 3 2 4" xfId="35758" xr:uid="{00000000-0005-0000-0000-00005F4D0000}"/>
    <cellStyle name="Normal 10 2 2 5 3 3" xfId="12011" xr:uid="{00000000-0005-0000-0000-0000604D0000}"/>
    <cellStyle name="Normal 10 2 2 5 3 3 2" xfId="25579" xr:uid="{00000000-0005-0000-0000-0000614D0000}"/>
    <cellStyle name="Normal 10 2 2 5 3 3 2 2" xfId="52712" xr:uid="{00000000-0005-0000-0000-0000624D0000}"/>
    <cellStyle name="Normal 10 2 2 5 3 3 3" xfId="39150" xr:uid="{00000000-0005-0000-0000-0000634D0000}"/>
    <cellStyle name="Normal 10 2 2 5 3 4" xfId="18798" xr:uid="{00000000-0005-0000-0000-0000644D0000}"/>
    <cellStyle name="Normal 10 2 2 5 3 4 2" xfId="45931" xr:uid="{00000000-0005-0000-0000-0000654D0000}"/>
    <cellStyle name="Normal 10 2 2 5 3 5" xfId="32369" xr:uid="{00000000-0005-0000-0000-0000664D0000}"/>
    <cellStyle name="Normal 10 2 2 5 4" xfId="5049" xr:uid="{00000000-0005-0000-0000-0000674D0000}"/>
    <cellStyle name="Normal 10 2 2 5 4 2" xfId="8611" xr:uid="{00000000-0005-0000-0000-0000684D0000}"/>
    <cellStyle name="Normal 10 2 2 5 4 2 2" xfId="15401" xr:uid="{00000000-0005-0000-0000-0000694D0000}"/>
    <cellStyle name="Normal 10 2 2 5 4 2 2 2" xfId="28969" xr:uid="{00000000-0005-0000-0000-00006A4D0000}"/>
    <cellStyle name="Normal 10 2 2 5 4 2 2 2 2" xfId="56102" xr:uid="{00000000-0005-0000-0000-00006B4D0000}"/>
    <cellStyle name="Normal 10 2 2 5 4 2 2 3" xfId="42540" xr:uid="{00000000-0005-0000-0000-00006C4D0000}"/>
    <cellStyle name="Normal 10 2 2 5 4 2 3" xfId="22188" xr:uid="{00000000-0005-0000-0000-00006D4D0000}"/>
    <cellStyle name="Normal 10 2 2 5 4 2 3 2" xfId="49321" xr:uid="{00000000-0005-0000-0000-00006E4D0000}"/>
    <cellStyle name="Normal 10 2 2 5 4 2 4" xfId="35759" xr:uid="{00000000-0005-0000-0000-00006F4D0000}"/>
    <cellStyle name="Normal 10 2 2 5 4 3" xfId="12012" xr:uid="{00000000-0005-0000-0000-0000704D0000}"/>
    <cellStyle name="Normal 10 2 2 5 4 3 2" xfId="25580" xr:uid="{00000000-0005-0000-0000-0000714D0000}"/>
    <cellStyle name="Normal 10 2 2 5 4 3 2 2" xfId="52713" xr:uid="{00000000-0005-0000-0000-0000724D0000}"/>
    <cellStyle name="Normal 10 2 2 5 4 3 3" xfId="39151" xr:uid="{00000000-0005-0000-0000-0000734D0000}"/>
    <cellStyle name="Normal 10 2 2 5 4 4" xfId="18799" xr:uid="{00000000-0005-0000-0000-0000744D0000}"/>
    <cellStyle name="Normal 10 2 2 5 4 4 2" xfId="45932" xr:uid="{00000000-0005-0000-0000-0000754D0000}"/>
    <cellStyle name="Normal 10 2 2 5 4 5" xfId="32370" xr:uid="{00000000-0005-0000-0000-0000764D0000}"/>
    <cellStyle name="Normal 10 2 2 5 5" xfId="8606" xr:uid="{00000000-0005-0000-0000-0000774D0000}"/>
    <cellStyle name="Normal 10 2 2 5 5 2" xfId="15396" xr:uid="{00000000-0005-0000-0000-0000784D0000}"/>
    <cellStyle name="Normal 10 2 2 5 5 2 2" xfId="28964" xr:uid="{00000000-0005-0000-0000-0000794D0000}"/>
    <cellStyle name="Normal 10 2 2 5 5 2 2 2" xfId="56097" xr:uid="{00000000-0005-0000-0000-00007A4D0000}"/>
    <cellStyle name="Normal 10 2 2 5 5 2 3" xfId="42535" xr:uid="{00000000-0005-0000-0000-00007B4D0000}"/>
    <cellStyle name="Normal 10 2 2 5 5 3" xfId="22183" xr:uid="{00000000-0005-0000-0000-00007C4D0000}"/>
    <cellStyle name="Normal 10 2 2 5 5 3 2" xfId="49316" xr:uid="{00000000-0005-0000-0000-00007D4D0000}"/>
    <cellStyle name="Normal 10 2 2 5 5 4" xfId="35754" xr:uid="{00000000-0005-0000-0000-00007E4D0000}"/>
    <cellStyle name="Normal 10 2 2 5 6" xfId="12007" xr:uid="{00000000-0005-0000-0000-00007F4D0000}"/>
    <cellStyle name="Normal 10 2 2 5 6 2" xfId="25575" xr:uid="{00000000-0005-0000-0000-0000804D0000}"/>
    <cellStyle name="Normal 10 2 2 5 6 2 2" xfId="52708" xr:uid="{00000000-0005-0000-0000-0000814D0000}"/>
    <cellStyle name="Normal 10 2 2 5 6 3" xfId="39146" xr:uid="{00000000-0005-0000-0000-0000824D0000}"/>
    <cellStyle name="Normal 10 2 2 5 7" xfId="18794" xr:uid="{00000000-0005-0000-0000-0000834D0000}"/>
    <cellStyle name="Normal 10 2 2 5 7 2" xfId="45927" xr:uid="{00000000-0005-0000-0000-0000844D0000}"/>
    <cellStyle name="Normal 10 2 2 5 8" xfId="32365" xr:uid="{00000000-0005-0000-0000-0000854D0000}"/>
    <cellStyle name="Normal 10 2 2 6" xfId="5050" xr:uid="{00000000-0005-0000-0000-0000864D0000}"/>
    <cellStyle name="Normal 10 2 2 6 2" xfId="5051" xr:uid="{00000000-0005-0000-0000-0000874D0000}"/>
    <cellStyle name="Normal 10 2 2 6 2 2" xfId="5052" xr:uid="{00000000-0005-0000-0000-0000884D0000}"/>
    <cellStyle name="Normal 10 2 2 6 2 2 2" xfId="8614" xr:uid="{00000000-0005-0000-0000-0000894D0000}"/>
    <cellStyle name="Normal 10 2 2 6 2 2 2 2" xfId="15404" xr:uid="{00000000-0005-0000-0000-00008A4D0000}"/>
    <cellStyle name="Normal 10 2 2 6 2 2 2 2 2" xfId="28972" xr:uid="{00000000-0005-0000-0000-00008B4D0000}"/>
    <cellStyle name="Normal 10 2 2 6 2 2 2 2 2 2" xfId="56105" xr:uid="{00000000-0005-0000-0000-00008C4D0000}"/>
    <cellStyle name="Normal 10 2 2 6 2 2 2 2 3" xfId="42543" xr:uid="{00000000-0005-0000-0000-00008D4D0000}"/>
    <cellStyle name="Normal 10 2 2 6 2 2 2 3" xfId="22191" xr:uid="{00000000-0005-0000-0000-00008E4D0000}"/>
    <cellStyle name="Normal 10 2 2 6 2 2 2 3 2" xfId="49324" xr:uid="{00000000-0005-0000-0000-00008F4D0000}"/>
    <cellStyle name="Normal 10 2 2 6 2 2 2 4" xfId="35762" xr:uid="{00000000-0005-0000-0000-0000904D0000}"/>
    <cellStyle name="Normal 10 2 2 6 2 2 3" xfId="12015" xr:uid="{00000000-0005-0000-0000-0000914D0000}"/>
    <cellStyle name="Normal 10 2 2 6 2 2 3 2" xfId="25583" xr:uid="{00000000-0005-0000-0000-0000924D0000}"/>
    <cellStyle name="Normal 10 2 2 6 2 2 3 2 2" xfId="52716" xr:uid="{00000000-0005-0000-0000-0000934D0000}"/>
    <cellStyle name="Normal 10 2 2 6 2 2 3 3" xfId="39154" xr:uid="{00000000-0005-0000-0000-0000944D0000}"/>
    <cellStyle name="Normal 10 2 2 6 2 2 4" xfId="18802" xr:uid="{00000000-0005-0000-0000-0000954D0000}"/>
    <cellStyle name="Normal 10 2 2 6 2 2 4 2" xfId="45935" xr:uid="{00000000-0005-0000-0000-0000964D0000}"/>
    <cellStyle name="Normal 10 2 2 6 2 2 5" xfId="32373" xr:uid="{00000000-0005-0000-0000-0000974D0000}"/>
    <cellStyle name="Normal 10 2 2 6 2 3" xfId="5053" xr:uid="{00000000-0005-0000-0000-0000984D0000}"/>
    <cellStyle name="Normal 10 2 2 6 2 3 2" xfId="8615" xr:uid="{00000000-0005-0000-0000-0000994D0000}"/>
    <cellStyle name="Normal 10 2 2 6 2 3 2 2" xfId="15405" xr:uid="{00000000-0005-0000-0000-00009A4D0000}"/>
    <cellStyle name="Normal 10 2 2 6 2 3 2 2 2" xfId="28973" xr:uid="{00000000-0005-0000-0000-00009B4D0000}"/>
    <cellStyle name="Normal 10 2 2 6 2 3 2 2 2 2" xfId="56106" xr:uid="{00000000-0005-0000-0000-00009C4D0000}"/>
    <cellStyle name="Normal 10 2 2 6 2 3 2 2 3" xfId="42544" xr:uid="{00000000-0005-0000-0000-00009D4D0000}"/>
    <cellStyle name="Normal 10 2 2 6 2 3 2 3" xfId="22192" xr:uid="{00000000-0005-0000-0000-00009E4D0000}"/>
    <cellStyle name="Normal 10 2 2 6 2 3 2 3 2" xfId="49325" xr:uid="{00000000-0005-0000-0000-00009F4D0000}"/>
    <cellStyle name="Normal 10 2 2 6 2 3 2 4" xfId="35763" xr:uid="{00000000-0005-0000-0000-0000A04D0000}"/>
    <cellStyle name="Normal 10 2 2 6 2 3 3" xfId="12016" xr:uid="{00000000-0005-0000-0000-0000A14D0000}"/>
    <cellStyle name="Normal 10 2 2 6 2 3 3 2" xfId="25584" xr:uid="{00000000-0005-0000-0000-0000A24D0000}"/>
    <cellStyle name="Normal 10 2 2 6 2 3 3 2 2" xfId="52717" xr:uid="{00000000-0005-0000-0000-0000A34D0000}"/>
    <cellStyle name="Normal 10 2 2 6 2 3 3 3" xfId="39155" xr:uid="{00000000-0005-0000-0000-0000A44D0000}"/>
    <cellStyle name="Normal 10 2 2 6 2 3 4" xfId="18803" xr:uid="{00000000-0005-0000-0000-0000A54D0000}"/>
    <cellStyle name="Normal 10 2 2 6 2 3 4 2" xfId="45936" xr:uid="{00000000-0005-0000-0000-0000A64D0000}"/>
    <cellStyle name="Normal 10 2 2 6 2 3 5" xfId="32374" xr:uid="{00000000-0005-0000-0000-0000A74D0000}"/>
    <cellStyle name="Normal 10 2 2 6 2 4" xfId="8613" xr:uid="{00000000-0005-0000-0000-0000A84D0000}"/>
    <cellStyle name="Normal 10 2 2 6 2 4 2" xfId="15403" xr:uid="{00000000-0005-0000-0000-0000A94D0000}"/>
    <cellStyle name="Normal 10 2 2 6 2 4 2 2" xfId="28971" xr:uid="{00000000-0005-0000-0000-0000AA4D0000}"/>
    <cellStyle name="Normal 10 2 2 6 2 4 2 2 2" xfId="56104" xr:uid="{00000000-0005-0000-0000-0000AB4D0000}"/>
    <cellStyle name="Normal 10 2 2 6 2 4 2 3" xfId="42542" xr:uid="{00000000-0005-0000-0000-0000AC4D0000}"/>
    <cellStyle name="Normal 10 2 2 6 2 4 3" xfId="22190" xr:uid="{00000000-0005-0000-0000-0000AD4D0000}"/>
    <cellStyle name="Normal 10 2 2 6 2 4 3 2" xfId="49323" xr:uid="{00000000-0005-0000-0000-0000AE4D0000}"/>
    <cellStyle name="Normal 10 2 2 6 2 4 4" xfId="35761" xr:uid="{00000000-0005-0000-0000-0000AF4D0000}"/>
    <cellStyle name="Normal 10 2 2 6 2 5" xfId="12014" xr:uid="{00000000-0005-0000-0000-0000B04D0000}"/>
    <cellStyle name="Normal 10 2 2 6 2 5 2" xfId="25582" xr:uid="{00000000-0005-0000-0000-0000B14D0000}"/>
    <cellStyle name="Normal 10 2 2 6 2 5 2 2" xfId="52715" xr:uid="{00000000-0005-0000-0000-0000B24D0000}"/>
    <cellStyle name="Normal 10 2 2 6 2 5 3" xfId="39153" xr:uid="{00000000-0005-0000-0000-0000B34D0000}"/>
    <cellStyle name="Normal 10 2 2 6 2 6" xfId="18801" xr:uid="{00000000-0005-0000-0000-0000B44D0000}"/>
    <cellStyle name="Normal 10 2 2 6 2 6 2" xfId="45934" xr:uid="{00000000-0005-0000-0000-0000B54D0000}"/>
    <cellStyle name="Normal 10 2 2 6 2 7" xfId="32372" xr:uid="{00000000-0005-0000-0000-0000B64D0000}"/>
    <cellStyle name="Normal 10 2 2 6 3" xfId="5054" xr:uid="{00000000-0005-0000-0000-0000B74D0000}"/>
    <cellStyle name="Normal 10 2 2 6 3 2" xfId="8616" xr:uid="{00000000-0005-0000-0000-0000B84D0000}"/>
    <cellStyle name="Normal 10 2 2 6 3 2 2" xfId="15406" xr:uid="{00000000-0005-0000-0000-0000B94D0000}"/>
    <cellStyle name="Normal 10 2 2 6 3 2 2 2" xfId="28974" xr:uid="{00000000-0005-0000-0000-0000BA4D0000}"/>
    <cellStyle name="Normal 10 2 2 6 3 2 2 2 2" xfId="56107" xr:uid="{00000000-0005-0000-0000-0000BB4D0000}"/>
    <cellStyle name="Normal 10 2 2 6 3 2 2 3" xfId="42545" xr:uid="{00000000-0005-0000-0000-0000BC4D0000}"/>
    <cellStyle name="Normal 10 2 2 6 3 2 3" xfId="22193" xr:uid="{00000000-0005-0000-0000-0000BD4D0000}"/>
    <cellStyle name="Normal 10 2 2 6 3 2 3 2" xfId="49326" xr:uid="{00000000-0005-0000-0000-0000BE4D0000}"/>
    <cellStyle name="Normal 10 2 2 6 3 2 4" xfId="35764" xr:uid="{00000000-0005-0000-0000-0000BF4D0000}"/>
    <cellStyle name="Normal 10 2 2 6 3 3" xfId="12017" xr:uid="{00000000-0005-0000-0000-0000C04D0000}"/>
    <cellStyle name="Normal 10 2 2 6 3 3 2" xfId="25585" xr:uid="{00000000-0005-0000-0000-0000C14D0000}"/>
    <cellStyle name="Normal 10 2 2 6 3 3 2 2" xfId="52718" xr:uid="{00000000-0005-0000-0000-0000C24D0000}"/>
    <cellStyle name="Normal 10 2 2 6 3 3 3" xfId="39156" xr:uid="{00000000-0005-0000-0000-0000C34D0000}"/>
    <cellStyle name="Normal 10 2 2 6 3 4" xfId="18804" xr:uid="{00000000-0005-0000-0000-0000C44D0000}"/>
    <cellStyle name="Normal 10 2 2 6 3 4 2" xfId="45937" xr:uid="{00000000-0005-0000-0000-0000C54D0000}"/>
    <cellStyle name="Normal 10 2 2 6 3 5" xfId="32375" xr:uid="{00000000-0005-0000-0000-0000C64D0000}"/>
    <cellStyle name="Normal 10 2 2 6 4" xfId="5055" xr:uid="{00000000-0005-0000-0000-0000C74D0000}"/>
    <cellStyle name="Normal 10 2 2 6 4 2" xfId="8617" xr:uid="{00000000-0005-0000-0000-0000C84D0000}"/>
    <cellStyle name="Normal 10 2 2 6 4 2 2" xfId="15407" xr:uid="{00000000-0005-0000-0000-0000C94D0000}"/>
    <cellStyle name="Normal 10 2 2 6 4 2 2 2" xfId="28975" xr:uid="{00000000-0005-0000-0000-0000CA4D0000}"/>
    <cellStyle name="Normal 10 2 2 6 4 2 2 2 2" xfId="56108" xr:uid="{00000000-0005-0000-0000-0000CB4D0000}"/>
    <cellStyle name="Normal 10 2 2 6 4 2 2 3" xfId="42546" xr:uid="{00000000-0005-0000-0000-0000CC4D0000}"/>
    <cellStyle name="Normal 10 2 2 6 4 2 3" xfId="22194" xr:uid="{00000000-0005-0000-0000-0000CD4D0000}"/>
    <cellStyle name="Normal 10 2 2 6 4 2 3 2" xfId="49327" xr:uid="{00000000-0005-0000-0000-0000CE4D0000}"/>
    <cellStyle name="Normal 10 2 2 6 4 2 4" xfId="35765" xr:uid="{00000000-0005-0000-0000-0000CF4D0000}"/>
    <cellStyle name="Normal 10 2 2 6 4 3" xfId="12018" xr:uid="{00000000-0005-0000-0000-0000D04D0000}"/>
    <cellStyle name="Normal 10 2 2 6 4 3 2" xfId="25586" xr:uid="{00000000-0005-0000-0000-0000D14D0000}"/>
    <cellStyle name="Normal 10 2 2 6 4 3 2 2" xfId="52719" xr:uid="{00000000-0005-0000-0000-0000D24D0000}"/>
    <cellStyle name="Normal 10 2 2 6 4 3 3" xfId="39157" xr:uid="{00000000-0005-0000-0000-0000D34D0000}"/>
    <cellStyle name="Normal 10 2 2 6 4 4" xfId="18805" xr:uid="{00000000-0005-0000-0000-0000D44D0000}"/>
    <cellStyle name="Normal 10 2 2 6 4 4 2" xfId="45938" xr:uid="{00000000-0005-0000-0000-0000D54D0000}"/>
    <cellStyle name="Normal 10 2 2 6 4 5" xfId="32376" xr:uid="{00000000-0005-0000-0000-0000D64D0000}"/>
    <cellStyle name="Normal 10 2 2 6 5" xfId="8612" xr:uid="{00000000-0005-0000-0000-0000D74D0000}"/>
    <cellStyle name="Normal 10 2 2 6 5 2" xfId="15402" xr:uid="{00000000-0005-0000-0000-0000D84D0000}"/>
    <cellStyle name="Normal 10 2 2 6 5 2 2" xfId="28970" xr:uid="{00000000-0005-0000-0000-0000D94D0000}"/>
    <cellStyle name="Normal 10 2 2 6 5 2 2 2" xfId="56103" xr:uid="{00000000-0005-0000-0000-0000DA4D0000}"/>
    <cellStyle name="Normal 10 2 2 6 5 2 3" xfId="42541" xr:uid="{00000000-0005-0000-0000-0000DB4D0000}"/>
    <cellStyle name="Normal 10 2 2 6 5 3" xfId="22189" xr:uid="{00000000-0005-0000-0000-0000DC4D0000}"/>
    <cellStyle name="Normal 10 2 2 6 5 3 2" xfId="49322" xr:uid="{00000000-0005-0000-0000-0000DD4D0000}"/>
    <cellStyle name="Normal 10 2 2 6 5 4" xfId="35760" xr:uid="{00000000-0005-0000-0000-0000DE4D0000}"/>
    <cellStyle name="Normal 10 2 2 6 6" xfId="12013" xr:uid="{00000000-0005-0000-0000-0000DF4D0000}"/>
    <cellStyle name="Normal 10 2 2 6 6 2" xfId="25581" xr:uid="{00000000-0005-0000-0000-0000E04D0000}"/>
    <cellStyle name="Normal 10 2 2 6 6 2 2" xfId="52714" xr:uid="{00000000-0005-0000-0000-0000E14D0000}"/>
    <cellStyle name="Normal 10 2 2 6 6 3" xfId="39152" xr:uid="{00000000-0005-0000-0000-0000E24D0000}"/>
    <cellStyle name="Normal 10 2 2 6 7" xfId="18800" xr:uid="{00000000-0005-0000-0000-0000E34D0000}"/>
    <cellStyle name="Normal 10 2 2 6 7 2" xfId="45933" xr:uid="{00000000-0005-0000-0000-0000E44D0000}"/>
    <cellStyle name="Normal 10 2 2 6 8" xfId="32371" xr:uid="{00000000-0005-0000-0000-0000E54D0000}"/>
    <cellStyle name="Normal 10 2 2 7" xfId="5056" xr:uid="{00000000-0005-0000-0000-0000E64D0000}"/>
    <cellStyle name="Normal 10 2 2 7 2" xfId="5057" xr:uid="{00000000-0005-0000-0000-0000E74D0000}"/>
    <cellStyle name="Normal 10 2 2 7 2 2" xfId="8619" xr:uid="{00000000-0005-0000-0000-0000E84D0000}"/>
    <cellStyle name="Normal 10 2 2 7 2 2 2" xfId="15409" xr:uid="{00000000-0005-0000-0000-0000E94D0000}"/>
    <cellStyle name="Normal 10 2 2 7 2 2 2 2" xfId="28977" xr:uid="{00000000-0005-0000-0000-0000EA4D0000}"/>
    <cellStyle name="Normal 10 2 2 7 2 2 2 2 2" xfId="56110" xr:uid="{00000000-0005-0000-0000-0000EB4D0000}"/>
    <cellStyle name="Normal 10 2 2 7 2 2 2 3" xfId="42548" xr:uid="{00000000-0005-0000-0000-0000EC4D0000}"/>
    <cellStyle name="Normal 10 2 2 7 2 2 3" xfId="22196" xr:uid="{00000000-0005-0000-0000-0000ED4D0000}"/>
    <cellStyle name="Normal 10 2 2 7 2 2 3 2" xfId="49329" xr:uid="{00000000-0005-0000-0000-0000EE4D0000}"/>
    <cellStyle name="Normal 10 2 2 7 2 2 4" xfId="35767" xr:uid="{00000000-0005-0000-0000-0000EF4D0000}"/>
    <cellStyle name="Normal 10 2 2 7 2 3" xfId="12020" xr:uid="{00000000-0005-0000-0000-0000F04D0000}"/>
    <cellStyle name="Normal 10 2 2 7 2 3 2" xfId="25588" xr:uid="{00000000-0005-0000-0000-0000F14D0000}"/>
    <cellStyle name="Normal 10 2 2 7 2 3 2 2" xfId="52721" xr:uid="{00000000-0005-0000-0000-0000F24D0000}"/>
    <cellStyle name="Normal 10 2 2 7 2 3 3" xfId="39159" xr:uid="{00000000-0005-0000-0000-0000F34D0000}"/>
    <cellStyle name="Normal 10 2 2 7 2 4" xfId="18807" xr:uid="{00000000-0005-0000-0000-0000F44D0000}"/>
    <cellStyle name="Normal 10 2 2 7 2 4 2" xfId="45940" xr:uid="{00000000-0005-0000-0000-0000F54D0000}"/>
    <cellStyle name="Normal 10 2 2 7 2 5" xfId="32378" xr:uid="{00000000-0005-0000-0000-0000F64D0000}"/>
    <cellStyle name="Normal 10 2 2 7 3" xfId="5058" xr:uid="{00000000-0005-0000-0000-0000F74D0000}"/>
    <cellStyle name="Normal 10 2 2 7 3 2" xfId="8620" xr:uid="{00000000-0005-0000-0000-0000F84D0000}"/>
    <cellStyle name="Normal 10 2 2 7 3 2 2" xfId="15410" xr:uid="{00000000-0005-0000-0000-0000F94D0000}"/>
    <cellStyle name="Normal 10 2 2 7 3 2 2 2" xfId="28978" xr:uid="{00000000-0005-0000-0000-0000FA4D0000}"/>
    <cellStyle name="Normal 10 2 2 7 3 2 2 2 2" xfId="56111" xr:uid="{00000000-0005-0000-0000-0000FB4D0000}"/>
    <cellStyle name="Normal 10 2 2 7 3 2 2 3" xfId="42549" xr:uid="{00000000-0005-0000-0000-0000FC4D0000}"/>
    <cellStyle name="Normal 10 2 2 7 3 2 3" xfId="22197" xr:uid="{00000000-0005-0000-0000-0000FD4D0000}"/>
    <cellStyle name="Normal 10 2 2 7 3 2 3 2" xfId="49330" xr:uid="{00000000-0005-0000-0000-0000FE4D0000}"/>
    <cellStyle name="Normal 10 2 2 7 3 2 4" xfId="35768" xr:uid="{00000000-0005-0000-0000-0000FF4D0000}"/>
    <cellStyle name="Normal 10 2 2 7 3 3" xfId="12021" xr:uid="{00000000-0005-0000-0000-0000004E0000}"/>
    <cellStyle name="Normal 10 2 2 7 3 3 2" xfId="25589" xr:uid="{00000000-0005-0000-0000-0000014E0000}"/>
    <cellStyle name="Normal 10 2 2 7 3 3 2 2" xfId="52722" xr:uid="{00000000-0005-0000-0000-0000024E0000}"/>
    <cellStyle name="Normal 10 2 2 7 3 3 3" xfId="39160" xr:uid="{00000000-0005-0000-0000-0000034E0000}"/>
    <cellStyle name="Normal 10 2 2 7 3 4" xfId="18808" xr:uid="{00000000-0005-0000-0000-0000044E0000}"/>
    <cellStyle name="Normal 10 2 2 7 3 4 2" xfId="45941" xr:uid="{00000000-0005-0000-0000-0000054E0000}"/>
    <cellStyle name="Normal 10 2 2 7 3 5" xfId="32379" xr:uid="{00000000-0005-0000-0000-0000064E0000}"/>
    <cellStyle name="Normal 10 2 2 7 4" xfId="8618" xr:uid="{00000000-0005-0000-0000-0000074E0000}"/>
    <cellStyle name="Normal 10 2 2 7 4 2" xfId="15408" xr:uid="{00000000-0005-0000-0000-0000084E0000}"/>
    <cellStyle name="Normal 10 2 2 7 4 2 2" xfId="28976" xr:uid="{00000000-0005-0000-0000-0000094E0000}"/>
    <cellStyle name="Normal 10 2 2 7 4 2 2 2" xfId="56109" xr:uid="{00000000-0005-0000-0000-00000A4E0000}"/>
    <cellStyle name="Normal 10 2 2 7 4 2 3" xfId="42547" xr:uid="{00000000-0005-0000-0000-00000B4E0000}"/>
    <cellStyle name="Normal 10 2 2 7 4 3" xfId="22195" xr:uid="{00000000-0005-0000-0000-00000C4E0000}"/>
    <cellStyle name="Normal 10 2 2 7 4 3 2" xfId="49328" xr:uid="{00000000-0005-0000-0000-00000D4E0000}"/>
    <cellStyle name="Normal 10 2 2 7 4 4" xfId="35766" xr:uid="{00000000-0005-0000-0000-00000E4E0000}"/>
    <cellStyle name="Normal 10 2 2 7 5" xfId="12019" xr:uid="{00000000-0005-0000-0000-00000F4E0000}"/>
    <cellStyle name="Normal 10 2 2 7 5 2" xfId="25587" xr:uid="{00000000-0005-0000-0000-0000104E0000}"/>
    <cellStyle name="Normal 10 2 2 7 5 2 2" xfId="52720" xr:uid="{00000000-0005-0000-0000-0000114E0000}"/>
    <cellStyle name="Normal 10 2 2 7 5 3" xfId="39158" xr:uid="{00000000-0005-0000-0000-0000124E0000}"/>
    <cellStyle name="Normal 10 2 2 7 6" xfId="18806" xr:uid="{00000000-0005-0000-0000-0000134E0000}"/>
    <cellStyle name="Normal 10 2 2 7 6 2" xfId="45939" xr:uid="{00000000-0005-0000-0000-0000144E0000}"/>
    <cellStyle name="Normal 10 2 2 7 7" xfId="32377" xr:uid="{00000000-0005-0000-0000-0000154E0000}"/>
    <cellStyle name="Normal 10 2 2 8" xfId="5059" xr:uid="{00000000-0005-0000-0000-0000164E0000}"/>
    <cellStyle name="Normal 10 2 2 8 2" xfId="5060" xr:uid="{00000000-0005-0000-0000-0000174E0000}"/>
    <cellStyle name="Normal 10 2 2 8 2 2" xfId="8622" xr:uid="{00000000-0005-0000-0000-0000184E0000}"/>
    <cellStyle name="Normal 10 2 2 8 2 2 2" xfId="15412" xr:uid="{00000000-0005-0000-0000-0000194E0000}"/>
    <cellStyle name="Normal 10 2 2 8 2 2 2 2" xfId="28980" xr:uid="{00000000-0005-0000-0000-00001A4E0000}"/>
    <cellStyle name="Normal 10 2 2 8 2 2 2 2 2" xfId="56113" xr:uid="{00000000-0005-0000-0000-00001B4E0000}"/>
    <cellStyle name="Normal 10 2 2 8 2 2 2 3" xfId="42551" xr:uid="{00000000-0005-0000-0000-00001C4E0000}"/>
    <cellStyle name="Normal 10 2 2 8 2 2 3" xfId="22199" xr:uid="{00000000-0005-0000-0000-00001D4E0000}"/>
    <cellStyle name="Normal 10 2 2 8 2 2 3 2" xfId="49332" xr:uid="{00000000-0005-0000-0000-00001E4E0000}"/>
    <cellStyle name="Normal 10 2 2 8 2 2 4" xfId="35770" xr:uid="{00000000-0005-0000-0000-00001F4E0000}"/>
    <cellStyle name="Normal 10 2 2 8 2 3" xfId="12023" xr:uid="{00000000-0005-0000-0000-0000204E0000}"/>
    <cellStyle name="Normal 10 2 2 8 2 3 2" xfId="25591" xr:uid="{00000000-0005-0000-0000-0000214E0000}"/>
    <cellStyle name="Normal 10 2 2 8 2 3 2 2" xfId="52724" xr:uid="{00000000-0005-0000-0000-0000224E0000}"/>
    <cellStyle name="Normal 10 2 2 8 2 3 3" xfId="39162" xr:uid="{00000000-0005-0000-0000-0000234E0000}"/>
    <cellStyle name="Normal 10 2 2 8 2 4" xfId="18810" xr:uid="{00000000-0005-0000-0000-0000244E0000}"/>
    <cellStyle name="Normal 10 2 2 8 2 4 2" xfId="45943" xr:uid="{00000000-0005-0000-0000-0000254E0000}"/>
    <cellStyle name="Normal 10 2 2 8 2 5" xfId="32381" xr:uid="{00000000-0005-0000-0000-0000264E0000}"/>
    <cellStyle name="Normal 10 2 2 8 3" xfId="5061" xr:uid="{00000000-0005-0000-0000-0000274E0000}"/>
    <cellStyle name="Normal 10 2 2 8 3 2" xfId="8623" xr:uid="{00000000-0005-0000-0000-0000284E0000}"/>
    <cellStyle name="Normal 10 2 2 8 3 2 2" xfId="15413" xr:uid="{00000000-0005-0000-0000-0000294E0000}"/>
    <cellStyle name="Normal 10 2 2 8 3 2 2 2" xfId="28981" xr:uid="{00000000-0005-0000-0000-00002A4E0000}"/>
    <cellStyle name="Normal 10 2 2 8 3 2 2 2 2" xfId="56114" xr:uid="{00000000-0005-0000-0000-00002B4E0000}"/>
    <cellStyle name="Normal 10 2 2 8 3 2 2 3" xfId="42552" xr:uid="{00000000-0005-0000-0000-00002C4E0000}"/>
    <cellStyle name="Normal 10 2 2 8 3 2 3" xfId="22200" xr:uid="{00000000-0005-0000-0000-00002D4E0000}"/>
    <cellStyle name="Normal 10 2 2 8 3 2 3 2" xfId="49333" xr:uid="{00000000-0005-0000-0000-00002E4E0000}"/>
    <cellStyle name="Normal 10 2 2 8 3 2 4" xfId="35771" xr:uid="{00000000-0005-0000-0000-00002F4E0000}"/>
    <cellStyle name="Normal 10 2 2 8 3 3" xfId="12024" xr:uid="{00000000-0005-0000-0000-0000304E0000}"/>
    <cellStyle name="Normal 10 2 2 8 3 3 2" xfId="25592" xr:uid="{00000000-0005-0000-0000-0000314E0000}"/>
    <cellStyle name="Normal 10 2 2 8 3 3 2 2" xfId="52725" xr:uid="{00000000-0005-0000-0000-0000324E0000}"/>
    <cellStyle name="Normal 10 2 2 8 3 3 3" xfId="39163" xr:uid="{00000000-0005-0000-0000-0000334E0000}"/>
    <cellStyle name="Normal 10 2 2 8 3 4" xfId="18811" xr:uid="{00000000-0005-0000-0000-0000344E0000}"/>
    <cellStyle name="Normal 10 2 2 8 3 4 2" xfId="45944" xr:uid="{00000000-0005-0000-0000-0000354E0000}"/>
    <cellStyle name="Normal 10 2 2 8 3 5" xfId="32382" xr:uid="{00000000-0005-0000-0000-0000364E0000}"/>
    <cellStyle name="Normal 10 2 2 8 4" xfId="8621" xr:uid="{00000000-0005-0000-0000-0000374E0000}"/>
    <cellStyle name="Normal 10 2 2 8 4 2" xfId="15411" xr:uid="{00000000-0005-0000-0000-0000384E0000}"/>
    <cellStyle name="Normal 10 2 2 8 4 2 2" xfId="28979" xr:uid="{00000000-0005-0000-0000-0000394E0000}"/>
    <cellStyle name="Normal 10 2 2 8 4 2 2 2" xfId="56112" xr:uid="{00000000-0005-0000-0000-00003A4E0000}"/>
    <cellStyle name="Normal 10 2 2 8 4 2 3" xfId="42550" xr:uid="{00000000-0005-0000-0000-00003B4E0000}"/>
    <cellStyle name="Normal 10 2 2 8 4 3" xfId="22198" xr:uid="{00000000-0005-0000-0000-00003C4E0000}"/>
    <cellStyle name="Normal 10 2 2 8 4 3 2" xfId="49331" xr:uid="{00000000-0005-0000-0000-00003D4E0000}"/>
    <cellStyle name="Normal 10 2 2 8 4 4" xfId="35769" xr:uid="{00000000-0005-0000-0000-00003E4E0000}"/>
    <cellStyle name="Normal 10 2 2 8 5" xfId="12022" xr:uid="{00000000-0005-0000-0000-00003F4E0000}"/>
    <cellStyle name="Normal 10 2 2 8 5 2" xfId="25590" xr:uid="{00000000-0005-0000-0000-0000404E0000}"/>
    <cellStyle name="Normal 10 2 2 8 5 2 2" xfId="52723" xr:uid="{00000000-0005-0000-0000-0000414E0000}"/>
    <cellStyle name="Normal 10 2 2 8 5 3" xfId="39161" xr:uid="{00000000-0005-0000-0000-0000424E0000}"/>
    <cellStyle name="Normal 10 2 2 8 6" xfId="18809" xr:uid="{00000000-0005-0000-0000-0000434E0000}"/>
    <cellStyle name="Normal 10 2 2 8 6 2" xfId="45942" xr:uid="{00000000-0005-0000-0000-0000444E0000}"/>
    <cellStyle name="Normal 10 2 2 8 7" xfId="32380" xr:uid="{00000000-0005-0000-0000-0000454E0000}"/>
    <cellStyle name="Normal 10 2 2 9" xfId="5062" xr:uid="{00000000-0005-0000-0000-0000464E0000}"/>
    <cellStyle name="Normal 10 2 2 9 2" xfId="8624" xr:uid="{00000000-0005-0000-0000-0000474E0000}"/>
    <cellStyle name="Normal 10 2 2 9 2 2" xfId="15414" xr:uid="{00000000-0005-0000-0000-0000484E0000}"/>
    <cellStyle name="Normal 10 2 2 9 2 2 2" xfId="28982" xr:uid="{00000000-0005-0000-0000-0000494E0000}"/>
    <cellStyle name="Normal 10 2 2 9 2 2 2 2" xfId="56115" xr:uid="{00000000-0005-0000-0000-00004A4E0000}"/>
    <cellStyle name="Normal 10 2 2 9 2 2 3" xfId="42553" xr:uid="{00000000-0005-0000-0000-00004B4E0000}"/>
    <cellStyle name="Normal 10 2 2 9 2 3" xfId="22201" xr:uid="{00000000-0005-0000-0000-00004C4E0000}"/>
    <cellStyle name="Normal 10 2 2 9 2 3 2" xfId="49334" xr:uid="{00000000-0005-0000-0000-00004D4E0000}"/>
    <cellStyle name="Normal 10 2 2 9 2 4" xfId="35772" xr:uid="{00000000-0005-0000-0000-00004E4E0000}"/>
    <cellStyle name="Normal 10 2 2 9 3" xfId="12025" xr:uid="{00000000-0005-0000-0000-00004F4E0000}"/>
    <cellStyle name="Normal 10 2 2 9 3 2" xfId="25593" xr:uid="{00000000-0005-0000-0000-0000504E0000}"/>
    <cellStyle name="Normal 10 2 2 9 3 2 2" xfId="52726" xr:uid="{00000000-0005-0000-0000-0000514E0000}"/>
    <cellStyle name="Normal 10 2 2 9 3 3" xfId="39164" xr:uid="{00000000-0005-0000-0000-0000524E0000}"/>
    <cellStyle name="Normal 10 2 2 9 4" xfId="18812" xr:uid="{00000000-0005-0000-0000-0000534E0000}"/>
    <cellStyle name="Normal 10 2 2 9 4 2" xfId="45945" xr:uid="{00000000-0005-0000-0000-0000544E0000}"/>
    <cellStyle name="Normal 10 2 2 9 5" xfId="32383" xr:uid="{00000000-0005-0000-0000-0000554E0000}"/>
    <cellStyle name="Normal 10 2 3" xfId="5063" xr:uid="{00000000-0005-0000-0000-0000564E0000}"/>
    <cellStyle name="Normal 10 2 4" xfId="5064" xr:uid="{00000000-0005-0000-0000-0000574E0000}"/>
    <cellStyle name="Normal 10 2 4 10" xfId="8625" xr:uid="{00000000-0005-0000-0000-0000584E0000}"/>
    <cellStyle name="Normal 10 2 4 10 2" xfId="15415" xr:uid="{00000000-0005-0000-0000-0000594E0000}"/>
    <cellStyle name="Normal 10 2 4 10 2 2" xfId="28983" xr:uid="{00000000-0005-0000-0000-00005A4E0000}"/>
    <cellStyle name="Normal 10 2 4 10 2 2 2" xfId="56116" xr:uid="{00000000-0005-0000-0000-00005B4E0000}"/>
    <cellStyle name="Normal 10 2 4 10 2 3" xfId="42554" xr:uid="{00000000-0005-0000-0000-00005C4E0000}"/>
    <cellStyle name="Normal 10 2 4 10 3" xfId="22202" xr:uid="{00000000-0005-0000-0000-00005D4E0000}"/>
    <cellStyle name="Normal 10 2 4 10 3 2" xfId="49335" xr:uid="{00000000-0005-0000-0000-00005E4E0000}"/>
    <cellStyle name="Normal 10 2 4 10 4" xfId="35773" xr:uid="{00000000-0005-0000-0000-00005F4E0000}"/>
    <cellStyle name="Normal 10 2 4 11" xfId="12026" xr:uid="{00000000-0005-0000-0000-0000604E0000}"/>
    <cellStyle name="Normal 10 2 4 11 2" xfId="25594" xr:uid="{00000000-0005-0000-0000-0000614E0000}"/>
    <cellStyle name="Normal 10 2 4 11 2 2" xfId="52727" xr:uid="{00000000-0005-0000-0000-0000624E0000}"/>
    <cellStyle name="Normal 10 2 4 11 3" xfId="39165" xr:uid="{00000000-0005-0000-0000-0000634E0000}"/>
    <cellStyle name="Normal 10 2 4 12" xfId="18813" xr:uid="{00000000-0005-0000-0000-0000644E0000}"/>
    <cellStyle name="Normal 10 2 4 12 2" xfId="45946" xr:uid="{00000000-0005-0000-0000-0000654E0000}"/>
    <cellStyle name="Normal 10 2 4 13" xfId="32384" xr:uid="{00000000-0005-0000-0000-0000664E0000}"/>
    <cellStyle name="Normal 10 2 4 2" xfId="5065" xr:uid="{00000000-0005-0000-0000-0000674E0000}"/>
    <cellStyle name="Normal 10 2 4 2 10" xfId="32385" xr:uid="{00000000-0005-0000-0000-0000684E0000}"/>
    <cellStyle name="Normal 10 2 4 2 2" xfId="5066" xr:uid="{00000000-0005-0000-0000-0000694E0000}"/>
    <cellStyle name="Normal 10 2 4 2 2 2" xfId="5067" xr:uid="{00000000-0005-0000-0000-00006A4E0000}"/>
    <cellStyle name="Normal 10 2 4 2 2 2 2" xfId="5068" xr:uid="{00000000-0005-0000-0000-00006B4E0000}"/>
    <cellStyle name="Normal 10 2 4 2 2 2 2 2" xfId="8629" xr:uid="{00000000-0005-0000-0000-00006C4E0000}"/>
    <cellStyle name="Normal 10 2 4 2 2 2 2 2 2" xfId="15419" xr:uid="{00000000-0005-0000-0000-00006D4E0000}"/>
    <cellStyle name="Normal 10 2 4 2 2 2 2 2 2 2" xfId="28987" xr:uid="{00000000-0005-0000-0000-00006E4E0000}"/>
    <cellStyle name="Normal 10 2 4 2 2 2 2 2 2 2 2" xfId="56120" xr:uid="{00000000-0005-0000-0000-00006F4E0000}"/>
    <cellStyle name="Normal 10 2 4 2 2 2 2 2 2 3" xfId="42558" xr:uid="{00000000-0005-0000-0000-0000704E0000}"/>
    <cellStyle name="Normal 10 2 4 2 2 2 2 2 3" xfId="22206" xr:uid="{00000000-0005-0000-0000-0000714E0000}"/>
    <cellStyle name="Normal 10 2 4 2 2 2 2 2 3 2" xfId="49339" xr:uid="{00000000-0005-0000-0000-0000724E0000}"/>
    <cellStyle name="Normal 10 2 4 2 2 2 2 2 4" xfId="35777" xr:uid="{00000000-0005-0000-0000-0000734E0000}"/>
    <cellStyle name="Normal 10 2 4 2 2 2 2 3" xfId="12030" xr:uid="{00000000-0005-0000-0000-0000744E0000}"/>
    <cellStyle name="Normal 10 2 4 2 2 2 2 3 2" xfId="25598" xr:uid="{00000000-0005-0000-0000-0000754E0000}"/>
    <cellStyle name="Normal 10 2 4 2 2 2 2 3 2 2" xfId="52731" xr:uid="{00000000-0005-0000-0000-0000764E0000}"/>
    <cellStyle name="Normal 10 2 4 2 2 2 2 3 3" xfId="39169" xr:uid="{00000000-0005-0000-0000-0000774E0000}"/>
    <cellStyle name="Normal 10 2 4 2 2 2 2 4" xfId="18817" xr:uid="{00000000-0005-0000-0000-0000784E0000}"/>
    <cellStyle name="Normal 10 2 4 2 2 2 2 4 2" xfId="45950" xr:uid="{00000000-0005-0000-0000-0000794E0000}"/>
    <cellStyle name="Normal 10 2 4 2 2 2 2 5" xfId="32388" xr:uid="{00000000-0005-0000-0000-00007A4E0000}"/>
    <cellStyle name="Normal 10 2 4 2 2 2 3" xfId="5069" xr:uid="{00000000-0005-0000-0000-00007B4E0000}"/>
    <cellStyle name="Normal 10 2 4 2 2 2 3 2" xfId="8630" xr:uid="{00000000-0005-0000-0000-00007C4E0000}"/>
    <cellStyle name="Normal 10 2 4 2 2 2 3 2 2" xfId="15420" xr:uid="{00000000-0005-0000-0000-00007D4E0000}"/>
    <cellStyle name="Normal 10 2 4 2 2 2 3 2 2 2" xfId="28988" xr:uid="{00000000-0005-0000-0000-00007E4E0000}"/>
    <cellStyle name="Normal 10 2 4 2 2 2 3 2 2 2 2" xfId="56121" xr:uid="{00000000-0005-0000-0000-00007F4E0000}"/>
    <cellStyle name="Normal 10 2 4 2 2 2 3 2 2 3" xfId="42559" xr:uid="{00000000-0005-0000-0000-0000804E0000}"/>
    <cellStyle name="Normal 10 2 4 2 2 2 3 2 3" xfId="22207" xr:uid="{00000000-0005-0000-0000-0000814E0000}"/>
    <cellStyle name="Normal 10 2 4 2 2 2 3 2 3 2" xfId="49340" xr:uid="{00000000-0005-0000-0000-0000824E0000}"/>
    <cellStyle name="Normal 10 2 4 2 2 2 3 2 4" xfId="35778" xr:uid="{00000000-0005-0000-0000-0000834E0000}"/>
    <cellStyle name="Normal 10 2 4 2 2 2 3 3" xfId="12031" xr:uid="{00000000-0005-0000-0000-0000844E0000}"/>
    <cellStyle name="Normal 10 2 4 2 2 2 3 3 2" xfId="25599" xr:uid="{00000000-0005-0000-0000-0000854E0000}"/>
    <cellStyle name="Normal 10 2 4 2 2 2 3 3 2 2" xfId="52732" xr:uid="{00000000-0005-0000-0000-0000864E0000}"/>
    <cellStyle name="Normal 10 2 4 2 2 2 3 3 3" xfId="39170" xr:uid="{00000000-0005-0000-0000-0000874E0000}"/>
    <cellStyle name="Normal 10 2 4 2 2 2 3 4" xfId="18818" xr:uid="{00000000-0005-0000-0000-0000884E0000}"/>
    <cellStyle name="Normal 10 2 4 2 2 2 3 4 2" xfId="45951" xr:uid="{00000000-0005-0000-0000-0000894E0000}"/>
    <cellStyle name="Normal 10 2 4 2 2 2 3 5" xfId="32389" xr:uid="{00000000-0005-0000-0000-00008A4E0000}"/>
    <cellStyle name="Normal 10 2 4 2 2 2 4" xfId="8628" xr:uid="{00000000-0005-0000-0000-00008B4E0000}"/>
    <cellStyle name="Normal 10 2 4 2 2 2 4 2" xfId="15418" xr:uid="{00000000-0005-0000-0000-00008C4E0000}"/>
    <cellStyle name="Normal 10 2 4 2 2 2 4 2 2" xfId="28986" xr:uid="{00000000-0005-0000-0000-00008D4E0000}"/>
    <cellStyle name="Normal 10 2 4 2 2 2 4 2 2 2" xfId="56119" xr:uid="{00000000-0005-0000-0000-00008E4E0000}"/>
    <cellStyle name="Normal 10 2 4 2 2 2 4 2 3" xfId="42557" xr:uid="{00000000-0005-0000-0000-00008F4E0000}"/>
    <cellStyle name="Normal 10 2 4 2 2 2 4 3" xfId="22205" xr:uid="{00000000-0005-0000-0000-0000904E0000}"/>
    <cellStyle name="Normal 10 2 4 2 2 2 4 3 2" xfId="49338" xr:uid="{00000000-0005-0000-0000-0000914E0000}"/>
    <cellStyle name="Normal 10 2 4 2 2 2 4 4" xfId="35776" xr:uid="{00000000-0005-0000-0000-0000924E0000}"/>
    <cellStyle name="Normal 10 2 4 2 2 2 5" xfId="12029" xr:uid="{00000000-0005-0000-0000-0000934E0000}"/>
    <cellStyle name="Normal 10 2 4 2 2 2 5 2" xfId="25597" xr:uid="{00000000-0005-0000-0000-0000944E0000}"/>
    <cellStyle name="Normal 10 2 4 2 2 2 5 2 2" xfId="52730" xr:uid="{00000000-0005-0000-0000-0000954E0000}"/>
    <cellStyle name="Normal 10 2 4 2 2 2 5 3" xfId="39168" xr:uid="{00000000-0005-0000-0000-0000964E0000}"/>
    <cellStyle name="Normal 10 2 4 2 2 2 6" xfId="18816" xr:uid="{00000000-0005-0000-0000-0000974E0000}"/>
    <cellStyle name="Normal 10 2 4 2 2 2 6 2" xfId="45949" xr:uid="{00000000-0005-0000-0000-0000984E0000}"/>
    <cellStyle name="Normal 10 2 4 2 2 2 7" xfId="32387" xr:uid="{00000000-0005-0000-0000-0000994E0000}"/>
    <cellStyle name="Normal 10 2 4 2 2 3" xfId="5070" xr:uid="{00000000-0005-0000-0000-00009A4E0000}"/>
    <cellStyle name="Normal 10 2 4 2 2 3 2" xfId="5071" xr:uid="{00000000-0005-0000-0000-00009B4E0000}"/>
    <cellStyle name="Normal 10 2 4 2 2 3 2 2" xfId="8632" xr:uid="{00000000-0005-0000-0000-00009C4E0000}"/>
    <cellStyle name="Normal 10 2 4 2 2 3 2 2 2" xfId="15422" xr:uid="{00000000-0005-0000-0000-00009D4E0000}"/>
    <cellStyle name="Normal 10 2 4 2 2 3 2 2 2 2" xfId="28990" xr:uid="{00000000-0005-0000-0000-00009E4E0000}"/>
    <cellStyle name="Normal 10 2 4 2 2 3 2 2 2 2 2" xfId="56123" xr:uid="{00000000-0005-0000-0000-00009F4E0000}"/>
    <cellStyle name="Normal 10 2 4 2 2 3 2 2 2 3" xfId="42561" xr:uid="{00000000-0005-0000-0000-0000A04E0000}"/>
    <cellStyle name="Normal 10 2 4 2 2 3 2 2 3" xfId="22209" xr:uid="{00000000-0005-0000-0000-0000A14E0000}"/>
    <cellStyle name="Normal 10 2 4 2 2 3 2 2 3 2" xfId="49342" xr:uid="{00000000-0005-0000-0000-0000A24E0000}"/>
    <cellStyle name="Normal 10 2 4 2 2 3 2 2 4" xfId="35780" xr:uid="{00000000-0005-0000-0000-0000A34E0000}"/>
    <cellStyle name="Normal 10 2 4 2 2 3 2 3" xfId="12033" xr:uid="{00000000-0005-0000-0000-0000A44E0000}"/>
    <cellStyle name="Normal 10 2 4 2 2 3 2 3 2" xfId="25601" xr:uid="{00000000-0005-0000-0000-0000A54E0000}"/>
    <cellStyle name="Normal 10 2 4 2 2 3 2 3 2 2" xfId="52734" xr:uid="{00000000-0005-0000-0000-0000A64E0000}"/>
    <cellStyle name="Normal 10 2 4 2 2 3 2 3 3" xfId="39172" xr:uid="{00000000-0005-0000-0000-0000A74E0000}"/>
    <cellStyle name="Normal 10 2 4 2 2 3 2 4" xfId="18820" xr:uid="{00000000-0005-0000-0000-0000A84E0000}"/>
    <cellStyle name="Normal 10 2 4 2 2 3 2 4 2" xfId="45953" xr:uid="{00000000-0005-0000-0000-0000A94E0000}"/>
    <cellStyle name="Normal 10 2 4 2 2 3 2 5" xfId="32391" xr:uid="{00000000-0005-0000-0000-0000AA4E0000}"/>
    <cellStyle name="Normal 10 2 4 2 2 3 3" xfId="8631" xr:uid="{00000000-0005-0000-0000-0000AB4E0000}"/>
    <cellStyle name="Normal 10 2 4 2 2 3 3 2" xfId="15421" xr:uid="{00000000-0005-0000-0000-0000AC4E0000}"/>
    <cellStyle name="Normal 10 2 4 2 2 3 3 2 2" xfId="28989" xr:uid="{00000000-0005-0000-0000-0000AD4E0000}"/>
    <cellStyle name="Normal 10 2 4 2 2 3 3 2 2 2" xfId="56122" xr:uid="{00000000-0005-0000-0000-0000AE4E0000}"/>
    <cellStyle name="Normal 10 2 4 2 2 3 3 2 3" xfId="42560" xr:uid="{00000000-0005-0000-0000-0000AF4E0000}"/>
    <cellStyle name="Normal 10 2 4 2 2 3 3 3" xfId="22208" xr:uid="{00000000-0005-0000-0000-0000B04E0000}"/>
    <cellStyle name="Normal 10 2 4 2 2 3 3 3 2" xfId="49341" xr:uid="{00000000-0005-0000-0000-0000B14E0000}"/>
    <cellStyle name="Normal 10 2 4 2 2 3 3 4" xfId="35779" xr:uid="{00000000-0005-0000-0000-0000B24E0000}"/>
    <cellStyle name="Normal 10 2 4 2 2 3 4" xfId="12032" xr:uid="{00000000-0005-0000-0000-0000B34E0000}"/>
    <cellStyle name="Normal 10 2 4 2 2 3 4 2" xfId="25600" xr:uid="{00000000-0005-0000-0000-0000B44E0000}"/>
    <cellStyle name="Normal 10 2 4 2 2 3 4 2 2" xfId="52733" xr:uid="{00000000-0005-0000-0000-0000B54E0000}"/>
    <cellStyle name="Normal 10 2 4 2 2 3 4 3" xfId="39171" xr:uid="{00000000-0005-0000-0000-0000B64E0000}"/>
    <cellStyle name="Normal 10 2 4 2 2 3 5" xfId="18819" xr:uid="{00000000-0005-0000-0000-0000B74E0000}"/>
    <cellStyle name="Normal 10 2 4 2 2 3 5 2" xfId="45952" xr:uid="{00000000-0005-0000-0000-0000B84E0000}"/>
    <cellStyle name="Normal 10 2 4 2 2 3 6" xfId="32390" xr:uid="{00000000-0005-0000-0000-0000B94E0000}"/>
    <cellStyle name="Normal 10 2 4 2 2 4" xfId="5072" xr:uid="{00000000-0005-0000-0000-0000BA4E0000}"/>
    <cellStyle name="Normal 10 2 4 2 2 4 2" xfId="8633" xr:uid="{00000000-0005-0000-0000-0000BB4E0000}"/>
    <cellStyle name="Normal 10 2 4 2 2 4 2 2" xfId="15423" xr:uid="{00000000-0005-0000-0000-0000BC4E0000}"/>
    <cellStyle name="Normal 10 2 4 2 2 4 2 2 2" xfId="28991" xr:uid="{00000000-0005-0000-0000-0000BD4E0000}"/>
    <cellStyle name="Normal 10 2 4 2 2 4 2 2 2 2" xfId="56124" xr:uid="{00000000-0005-0000-0000-0000BE4E0000}"/>
    <cellStyle name="Normal 10 2 4 2 2 4 2 2 3" xfId="42562" xr:uid="{00000000-0005-0000-0000-0000BF4E0000}"/>
    <cellStyle name="Normal 10 2 4 2 2 4 2 3" xfId="22210" xr:uid="{00000000-0005-0000-0000-0000C04E0000}"/>
    <cellStyle name="Normal 10 2 4 2 2 4 2 3 2" xfId="49343" xr:uid="{00000000-0005-0000-0000-0000C14E0000}"/>
    <cellStyle name="Normal 10 2 4 2 2 4 2 4" xfId="35781" xr:uid="{00000000-0005-0000-0000-0000C24E0000}"/>
    <cellStyle name="Normal 10 2 4 2 2 4 3" xfId="12034" xr:uid="{00000000-0005-0000-0000-0000C34E0000}"/>
    <cellStyle name="Normal 10 2 4 2 2 4 3 2" xfId="25602" xr:uid="{00000000-0005-0000-0000-0000C44E0000}"/>
    <cellStyle name="Normal 10 2 4 2 2 4 3 2 2" xfId="52735" xr:uid="{00000000-0005-0000-0000-0000C54E0000}"/>
    <cellStyle name="Normal 10 2 4 2 2 4 3 3" xfId="39173" xr:uid="{00000000-0005-0000-0000-0000C64E0000}"/>
    <cellStyle name="Normal 10 2 4 2 2 4 4" xfId="18821" xr:uid="{00000000-0005-0000-0000-0000C74E0000}"/>
    <cellStyle name="Normal 10 2 4 2 2 4 4 2" xfId="45954" xr:uid="{00000000-0005-0000-0000-0000C84E0000}"/>
    <cellStyle name="Normal 10 2 4 2 2 4 5" xfId="32392" xr:uid="{00000000-0005-0000-0000-0000C94E0000}"/>
    <cellStyle name="Normal 10 2 4 2 2 5" xfId="5073" xr:uid="{00000000-0005-0000-0000-0000CA4E0000}"/>
    <cellStyle name="Normal 10 2 4 2 2 5 2" xfId="8634" xr:uid="{00000000-0005-0000-0000-0000CB4E0000}"/>
    <cellStyle name="Normal 10 2 4 2 2 5 2 2" xfId="15424" xr:uid="{00000000-0005-0000-0000-0000CC4E0000}"/>
    <cellStyle name="Normal 10 2 4 2 2 5 2 2 2" xfId="28992" xr:uid="{00000000-0005-0000-0000-0000CD4E0000}"/>
    <cellStyle name="Normal 10 2 4 2 2 5 2 2 2 2" xfId="56125" xr:uid="{00000000-0005-0000-0000-0000CE4E0000}"/>
    <cellStyle name="Normal 10 2 4 2 2 5 2 2 3" xfId="42563" xr:uid="{00000000-0005-0000-0000-0000CF4E0000}"/>
    <cellStyle name="Normal 10 2 4 2 2 5 2 3" xfId="22211" xr:uid="{00000000-0005-0000-0000-0000D04E0000}"/>
    <cellStyle name="Normal 10 2 4 2 2 5 2 3 2" xfId="49344" xr:uid="{00000000-0005-0000-0000-0000D14E0000}"/>
    <cellStyle name="Normal 10 2 4 2 2 5 2 4" xfId="35782" xr:uid="{00000000-0005-0000-0000-0000D24E0000}"/>
    <cellStyle name="Normal 10 2 4 2 2 5 3" xfId="12035" xr:uid="{00000000-0005-0000-0000-0000D34E0000}"/>
    <cellStyle name="Normal 10 2 4 2 2 5 3 2" xfId="25603" xr:uid="{00000000-0005-0000-0000-0000D44E0000}"/>
    <cellStyle name="Normal 10 2 4 2 2 5 3 2 2" xfId="52736" xr:uid="{00000000-0005-0000-0000-0000D54E0000}"/>
    <cellStyle name="Normal 10 2 4 2 2 5 3 3" xfId="39174" xr:uid="{00000000-0005-0000-0000-0000D64E0000}"/>
    <cellStyle name="Normal 10 2 4 2 2 5 4" xfId="18822" xr:uid="{00000000-0005-0000-0000-0000D74E0000}"/>
    <cellStyle name="Normal 10 2 4 2 2 5 4 2" xfId="45955" xr:uid="{00000000-0005-0000-0000-0000D84E0000}"/>
    <cellStyle name="Normal 10 2 4 2 2 5 5" xfId="32393" xr:uid="{00000000-0005-0000-0000-0000D94E0000}"/>
    <cellStyle name="Normal 10 2 4 2 2 6" xfId="8627" xr:uid="{00000000-0005-0000-0000-0000DA4E0000}"/>
    <cellStyle name="Normal 10 2 4 2 2 6 2" xfId="15417" xr:uid="{00000000-0005-0000-0000-0000DB4E0000}"/>
    <cellStyle name="Normal 10 2 4 2 2 6 2 2" xfId="28985" xr:uid="{00000000-0005-0000-0000-0000DC4E0000}"/>
    <cellStyle name="Normal 10 2 4 2 2 6 2 2 2" xfId="56118" xr:uid="{00000000-0005-0000-0000-0000DD4E0000}"/>
    <cellStyle name="Normal 10 2 4 2 2 6 2 3" xfId="42556" xr:uid="{00000000-0005-0000-0000-0000DE4E0000}"/>
    <cellStyle name="Normal 10 2 4 2 2 6 3" xfId="22204" xr:uid="{00000000-0005-0000-0000-0000DF4E0000}"/>
    <cellStyle name="Normal 10 2 4 2 2 6 3 2" xfId="49337" xr:uid="{00000000-0005-0000-0000-0000E04E0000}"/>
    <cellStyle name="Normal 10 2 4 2 2 6 4" xfId="35775" xr:uid="{00000000-0005-0000-0000-0000E14E0000}"/>
    <cellStyle name="Normal 10 2 4 2 2 7" xfId="12028" xr:uid="{00000000-0005-0000-0000-0000E24E0000}"/>
    <cellStyle name="Normal 10 2 4 2 2 7 2" xfId="25596" xr:uid="{00000000-0005-0000-0000-0000E34E0000}"/>
    <cellStyle name="Normal 10 2 4 2 2 7 2 2" xfId="52729" xr:uid="{00000000-0005-0000-0000-0000E44E0000}"/>
    <cellStyle name="Normal 10 2 4 2 2 7 3" xfId="39167" xr:uid="{00000000-0005-0000-0000-0000E54E0000}"/>
    <cellStyle name="Normal 10 2 4 2 2 8" xfId="18815" xr:uid="{00000000-0005-0000-0000-0000E64E0000}"/>
    <cellStyle name="Normal 10 2 4 2 2 8 2" xfId="45948" xr:uid="{00000000-0005-0000-0000-0000E74E0000}"/>
    <cellStyle name="Normal 10 2 4 2 2 9" xfId="32386" xr:uid="{00000000-0005-0000-0000-0000E84E0000}"/>
    <cellStyle name="Normal 10 2 4 2 3" xfId="5074" xr:uid="{00000000-0005-0000-0000-0000E94E0000}"/>
    <cellStyle name="Normal 10 2 4 2 3 2" xfId="5075" xr:uid="{00000000-0005-0000-0000-0000EA4E0000}"/>
    <cellStyle name="Normal 10 2 4 2 3 2 2" xfId="8636" xr:uid="{00000000-0005-0000-0000-0000EB4E0000}"/>
    <cellStyle name="Normal 10 2 4 2 3 2 2 2" xfId="15426" xr:uid="{00000000-0005-0000-0000-0000EC4E0000}"/>
    <cellStyle name="Normal 10 2 4 2 3 2 2 2 2" xfId="28994" xr:uid="{00000000-0005-0000-0000-0000ED4E0000}"/>
    <cellStyle name="Normal 10 2 4 2 3 2 2 2 2 2" xfId="56127" xr:uid="{00000000-0005-0000-0000-0000EE4E0000}"/>
    <cellStyle name="Normal 10 2 4 2 3 2 2 2 3" xfId="42565" xr:uid="{00000000-0005-0000-0000-0000EF4E0000}"/>
    <cellStyle name="Normal 10 2 4 2 3 2 2 3" xfId="22213" xr:uid="{00000000-0005-0000-0000-0000F04E0000}"/>
    <cellStyle name="Normal 10 2 4 2 3 2 2 3 2" xfId="49346" xr:uid="{00000000-0005-0000-0000-0000F14E0000}"/>
    <cellStyle name="Normal 10 2 4 2 3 2 2 4" xfId="35784" xr:uid="{00000000-0005-0000-0000-0000F24E0000}"/>
    <cellStyle name="Normal 10 2 4 2 3 2 3" xfId="12037" xr:uid="{00000000-0005-0000-0000-0000F34E0000}"/>
    <cellStyle name="Normal 10 2 4 2 3 2 3 2" xfId="25605" xr:uid="{00000000-0005-0000-0000-0000F44E0000}"/>
    <cellStyle name="Normal 10 2 4 2 3 2 3 2 2" xfId="52738" xr:uid="{00000000-0005-0000-0000-0000F54E0000}"/>
    <cellStyle name="Normal 10 2 4 2 3 2 3 3" xfId="39176" xr:uid="{00000000-0005-0000-0000-0000F64E0000}"/>
    <cellStyle name="Normal 10 2 4 2 3 2 4" xfId="18824" xr:uid="{00000000-0005-0000-0000-0000F74E0000}"/>
    <cellStyle name="Normal 10 2 4 2 3 2 4 2" xfId="45957" xr:uid="{00000000-0005-0000-0000-0000F84E0000}"/>
    <cellStyle name="Normal 10 2 4 2 3 2 5" xfId="32395" xr:uid="{00000000-0005-0000-0000-0000F94E0000}"/>
    <cellStyle name="Normal 10 2 4 2 3 3" xfId="5076" xr:uid="{00000000-0005-0000-0000-0000FA4E0000}"/>
    <cellStyle name="Normal 10 2 4 2 3 3 2" xfId="8637" xr:uid="{00000000-0005-0000-0000-0000FB4E0000}"/>
    <cellStyle name="Normal 10 2 4 2 3 3 2 2" xfId="15427" xr:uid="{00000000-0005-0000-0000-0000FC4E0000}"/>
    <cellStyle name="Normal 10 2 4 2 3 3 2 2 2" xfId="28995" xr:uid="{00000000-0005-0000-0000-0000FD4E0000}"/>
    <cellStyle name="Normal 10 2 4 2 3 3 2 2 2 2" xfId="56128" xr:uid="{00000000-0005-0000-0000-0000FE4E0000}"/>
    <cellStyle name="Normal 10 2 4 2 3 3 2 2 3" xfId="42566" xr:uid="{00000000-0005-0000-0000-0000FF4E0000}"/>
    <cellStyle name="Normal 10 2 4 2 3 3 2 3" xfId="22214" xr:uid="{00000000-0005-0000-0000-0000004F0000}"/>
    <cellStyle name="Normal 10 2 4 2 3 3 2 3 2" xfId="49347" xr:uid="{00000000-0005-0000-0000-0000014F0000}"/>
    <cellStyle name="Normal 10 2 4 2 3 3 2 4" xfId="35785" xr:uid="{00000000-0005-0000-0000-0000024F0000}"/>
    <cellStyle name="Normal 10 2 4 2 3 3 3" xfId="12038" xr:uid="{00000000-0005-0000-0000-0000034F0000}"/>
    <cellStyle name="Normal 10 2 4 2 3 3 3 2" xfId="25606" xr:uid="{00000000-0005-0000-0000-0000044F0000}"/>
    <cellStyle name="Normal 10 2 4 2 3 3 3 2 2" xfId="52739" xr:uid="{00000000-0005-0000-0000-0000054F0000}"/>
    <cellStyle name="Normal 10 2 4 2 3 3 3 3" xfId="39177" xr:uid="{00000000-0005-0000-0000-0000064F0000}"/>
    <cellStyle name="Normal 10 2 4 2 3 3 4" xfId="18825" xr:uid="{00000000-0005-0000-0000-0000074F0000}"/>
    <cellStyle name="Normal 10 2 4 2 3 3 4 2" xfId="45958" xr:uid="{00000000-0005-0000-0000-0000084F0000}"/>
    <cellStyle name="Normal 10 2 4 2 3 3 5" xfId="32396" xr:uid="{00000000-0005-0000-0000-0000094F0000}"/>
    <cellStyle name="Normal 10 2 4 2 3 4" xfId="8635" xr:uid="{00000000-0005-0000-0000-00000A4F0000}"/>
    <cellStyle name="Normal 10 2 4 2 3 4 2" xfId="15425" xr:uid="{00000000-0005-0000-0000-00000B4F0000}"/>
    <cellStyle name="Normal 10 2 4 2 3 4 2 2" xfId="28993" xr:uid="{00000000-0005-0000-0000-00000C4F0000}"/>
    <cellStyle name="Normal 10 2 4 2 3 4 2 2 2" xfId="56126" xr:uid="{00000000-0005-0000-0000-00000D4F0000}"/>
    <cellStyle name="Normal 10 2 4 2 3 4 2 3" xfId="42564" xr:uid="{00000000-0005-0000-0000-00000E4F0000}"/>
    <cellStyle name="Normal 10 2 4 2 3 4 3" xfId="22212" xr:uid="{00000000-0005-0000-0000-00000F4F0000}"/>
    <cellStyle name="Normal 10 2 4 2 3 4 3 2" xfId="49345" xr:uid="{00000000-0005-0000-0000-0000104F0000}"/>
    <cellStyle name="Normal 10 2 4 2 3 4 4" xfId="35783" xr:uid="{00000000-0005-0000-0000-0000114F0000}"/>
    <cellStyle name="Normal 10 2 4 2 3 5" xfId="12036" xr:uid="{00000000-0005-0000-0000-0000124F0000}"/>
    <cellStyle name="Normal 10 2 4 2 3 5 2" xfId="25604" xr:uid="{00000000-0005-0000-0000-0000134F0000}"/>
    <cellStyle name="Normal 10 2 4 2 3 5 2 2" xfId="52737" xr:uid="{00000000-0005-0000-0000-0000144F0000}"/>
    <cellStyle name="Normal 10 2 4 2 3 5 3" xfId="39175" xr:uid="{00000000-0005-0000-0000-0000154F0000}"/>
    <cellStyle name="Normal 10 2 4 2 3 6" xfId="18823" xr:uid="{00000000-0005-0000-0000-0000164F0000}"/>
    <cellStyle name="Normal 10 2 4 2 3 6 2" xfId="45956" xr:uid="{00000000-0005-0000-0000-0000174F0000}"/>
    <cellStyle name="Normal 10 2 4 2 3 7" xfId="32394" xr:uid="{00000000-0005-0000-0000-0000184F0000}"/>
    <cellStyle name="Normal 10 2 4 2 4" xfId="5077" xr:uid="{00000000-0005-0000-0000-0000194F0000}"/>
    <cellStyle name="Normal 10 2 4 2 4 2" xfId="5078" xr:uid="{00000000-0005-0000-0000-00001A4F0000}"/>
    <cellStyle name="Normal 10 2 4 2 4 2 2" xfId="8639" xr:uid="{00000000-0005-0000-0000-00001B4F0000}"/>
    <cellStyle name="Normal 10 2 4 2 4 2 2 2" xfId="15429" xr:uid="{00000000-0005-0000-0000-00001C4F0000}"/>
    <cellStyle name="Normal 10 2 4 2 4 2 2 2 2" xfId="28997" xr:uid="{00000000-0005-0000-0000-00001D4F0000}"/>
    <cellStyle name="Normal 10 2 4 2 4 2 2 2 2 2" xfId="56130" xr:uid="{00000000-0005-0000-0000-00001E4F0000}"/>
    <cellStyle name="Normal 10 2 4 2 4 2 2 2 3" xfId="42568" xr:uid="{00000000-0005-0000-0000-00001F4F0000}"/>
    <cellStyle name="Normal 10 2 4 2 4 2 2 3" xfId="22216" xr:uid="{00000000-0005-0000-0000-0000204F0000}"/>
    <cellStyle name="Normal 10 2 4 2 4 2 2 3 2" xfId="49349" xr:uid="{00000000-0005-0000-0000-0000214F0000}"/>
    <cellStyle name="Normal 10 2 4 2 4 2 2 4" xfId="35787" xr:uid="{00000000-0005-0000-0000-0000224F0000}"/>
    <cellStyle name="Normal 10 2 4 2 4 2 3" xfId="12040" xr:uid="{00000000-0005-0000-0000-0000234F0000}"/>
    <cellStyle name="Normal 10 2 4 2 4 2 3 2" xfId="25608" xr:uid="{00000000-0005-0000-0000-0000244F0000}"/>
    <cellStyle name="Normal 10 2 4 2 4 2 3 2 2" xfId="52741" xr:uid="{00000000-0005-0000-0000-0000254F0000}"/>
    <cellStyle name="Normal 10 2 4 2 4 2 3 3" xfId="39179" xr:uid="{00000000-0005-0000-0000-0000264F0000}"/>
    <cellStyle name="Normal 10 2 4 2 4 2 4" xfId="18827" xr:uid="{00000000-0005-0000-0000-0000274F0000}"/>
    <cellStyle name="Normal 10 2 4 2 4 2 4 2" xfId="45960" xr:uid="{00000000-0005-0000-0000-0000284F0000}"/>
    <cellStyle name="Normal 10 2 4 2 4 2 5" xfId="32398" xr:uid="{00000000-0005-0000-0000-0000294F0000}"/>
    <cellStyle name="Normal 10 2 4 2 4 3" xfId="8638" xr:uid="{00000000-0005-0000-0000-00002A4F0000}"/>
    <cellStyle name="Normal 10 2 4 2 4 3 2" xfId="15428" xr:uid="{00000000-0005-0000-0000-00002B4F0000}"/>
    <cellStyle name="Normal 10 2 4 2 4 3 2 2" xfId="28996" xr:uid="{00000000-0005-0000-0000-00002C4F0000}"/>
    <cellStyle name="Normal 10 2 4 2 4 3 2 2 2" xfId="56129" xr:uid="{00000000-0005-0000-0000-00002D4F0000}"/>
    <cellStyle name="Normal 10 2 4 2 4 3 2 3" xfId="42567" xr:uid="{00000000-0005-0000-0000-00002E4F0000}"/>
    <cellStyle name="Normal 10 2 4 2 4 3 3" xfId="22215" xr:uid="{00000000-0005-0000-0000-00002F4F0000}"/>
    <cellStyle name="Normal 10 2 4 2 4 3 3 2" xfId="49348" xr:uid="{00000000-0005-0000-0000-0000304F0000}"/>
    <cellStyle name="Normal 10 2 4 2 4 3 4" xfId="35786" xr:uid="{00000000-0005-0000-0000-0000314F0000}"/>
    <cellStyle name="Normal 10 2 4 2 4 4" xfId="12039" xr:uid="{00000000-0005-0000-0000-0000324F0000}"/>
    <cellStyle name="Normal 10 2 4 2 4 4 2" xfId="25607" xr:uid="{00000000-0005-0000-0000-0000334F0000}"/>
    <cellStyle name="Normal 10 2 4 2 4 4 2 2" xfId="52740" xr:uid="{00000000-0005-0000-0000-0000344F0000}"/>
    <cellStyle name="Normal 10 2 4 2 4 4 3" xfId="39178" xr:uid="{00000000-0005-0000-0000-0000354F0000}"/>
    <cellStyle name="Normal 10 2 4 2 4 5" xfId="18826" xr:uid="{00000000-0005-0000-0000-0000364F0000}"/>
    <cellStyle name="Normal 10 2 4 2 4 5 2" xfId="45959" xr:uid="{00000000-0005-0000-0000-0000374F0000}"/>
    <cellStyle name="Normal 10 2 4 2 4 6" xfId="32397" xr:uid="{00000000-0005-0000-0000-0000384F0000}"/>
    <cellStyle name="Normal 10 2 4 2 5" xfId="5079" xr:uid="{00000000-0005-0000-0000-0000394F0000}"/>
    <cellStyle name="Normal 10 2 4 2 5 2" xfId="8640" xr:uid="{00000000-0005-0000-0000-00003A4F0000}"/>
    <cellStyle name="Normal 10 2 4 2 5 2 2" xfId="15430" xr:uid="{00000000-0005-0000-0000-00003B4F0000}"/>
    <cellStyle name="Normal 10 2 4 2 5 2 2 2" xfId="28998" xr:uid="{00000000-0005-0000-0000-00003C4F0000}"/>
    <cellStyle name="Normal 10 2 4 2 5 2 2 2 2" xfId="56131" xr:uid="{00000000-0005-0000-0000-00003D4F0000}"/>
    <cellStyle name="Normal 10 2 4 2 5 2 2 3" xfId="42569" xr:uid="{00000000-0005-0000-0000-00003E4F0000}"/>
    <cellStyle name="Normal 10 2 4 2 5 2 3" xfId="22217" xr:uid="{00000000-0005-0000-0000-00003F4F0000}"/>
    <cellStyle name="Normal 10 2 4 2 5 2 3 2" xfId="49350" xr:uid="{00000000-0005-0000-0000-0000404F0000}"/>
    <cellStyle name="Normal 10 2 4 2 5 2 4" xfId="35788" xr:uid="{00000000-0005-0000-0000-0000414F0000}"/>
    <cellStyle name="Normal 10 2 4 2 5 3" xfId="12041" xr:uid="{00000000-0005-0000-0000-0000424F0000}"/>
    <cellStyle name="Normal 10 2 4 2 5 3 2" xfId="25609" xr:uid="{00000000-0005-0000-0000-0000434F0000}"/>
    <cellStyle name="Normal 10 2 4 2 5 3 2 2" xfId="52742" xr:uid="{00000000-0005-0000-0000-0000444F0000}"/>
    <cellStyle name="Normal 10 2 4 2 5 3 3" xfId="39180" xr:uid="{00000000-0005-0000-0000-0000454F0000}"/>
    <cellStyle name="Normal 10 2 4 2 5 4" xfId="18828" xr:uid="{00000000-0005-0000-0000-0000464F0000}"/>
    <cellStyle name="Normal 10 2 4 2 5 4 2" xfId="45961" xr:uid="{00000000-0005-0000-0000-0000474F0000}"/>
    <cellStyle name="Normal 10 2 4 2 5 5" xfId="32399" xr:uid="{00000000-0005-0000-0000-0000484F0000}"/>
    <cellStyle name="Normal 10 2 4 2 6" xfId="5080" xr:uid="{00000000-0005-0000-0000-0000494F0000}"/>
    <cellStyle name="Normal 10 2 4 2 6 2" xfId="8641" xr:uid="{00000000-0005-0000-0000-00004A4F0000}"/>
    <cellStyle name="Normal 10 2 4 2 6 2 2" xfId="15431" xr:uid="{00000000-0005-0000-0000-00004B4F0000}"/>
    <cellStyle name="Normal 10 2 4 2 6 2 2 2" xfId="28999" xr:uid="{00000000-0005-0000-0000-00004C4F0000}"/>
    <cellStyle name="Normal 10 2 4 2 6 2 2 2 2" xfId="56132" xr:uid="{00000000-0005-0000-0000-00004D4F0000}"/>
    <cellStyle name="Normal 10 2 4 2 6 2 2 3" xfId="42570" xr:uid="{00000000-0005-0000-0000-00004E4F0000}"/>
    <cellStyle name="Normal 10 2 4 2 6 2 3" xfId="22218" xr:uid="{00000000-0005-0000-0000-00004F4F0000}"/>
    <cellStyle name="Normal 10 2 4 2 6 2 3 2" xfId="49351" xr:uid="{00000000-0005-0000-0000-0000504F0000}"/>
    <cellStyle name="Normal 10 2 4 2 6 2 4" xfId="35789" xr:uid="{00000000-0005-0000-0000-0000514F0000}"/>
    <cellStyle name="Normal 10 2 4 2 6 3" xfId="12042" xr:uid="{00000000-0005-0000-0000-0000524F0000}"/>
    <cellStyle name="Normal 10 2 4 2 6 3 2" xfId="25610" xr:uid="{00000000-0005-0000-0000-0000534F0000}"/>
    <cellStyle name="Normal 10 2 4 2 6 3 2 2" xfId="52743" xr:uid="{00000000-0005-0000-0000-0000544F0000}"/>
    <cellStyle name="Normal 10 2 4 2 6 3 3" xfId="39181" xr:uid="{00000000-0005-0000-0000-0000554F0000}"/>
    <cellStyle name="Normal 10 2 4 2 6 4" xfId="18829" xr:uid="{00000000-0005-0000-0000-0000564F0000}"/>
    <cellStyle name="Normal 10 2 4 2 6 4 2" xfId="45962" xr:uid="{00000000-0005-0000-0000-0000574F0000}"/>
    <cellStyle name="Normal 10 2 4 2 6 5" xfId="32400" xr:uid="{00000000-0005-0000-0000-0000584F0000}"/>
    <cellStyle name="Normal 10 2 4 2 7" xfId="8626" xr:uid="{00000000-0005-0000-0000-0000594F0000}"/>
    <cellStyle name="Normal 10 2 4 2 7 2" xfId="15416" xr:uid="{00000000-0005-0000-0000-00005A4F0000}"/>
    <cellStyle name="Normal 10 2 4 2 7 2 2" xfId="28984" xr:uid="{00000000-0005-0000-0000-00005B4F0000}"/>
    <cellStyle name="Normal 10 2 4 2 7 2 2 2" xfId="56117" xr:uid="{00000000-0005-0000-0000-00005C4F0000}"/>
    <cellStyle name="Normal 10 2 4 2 7 2 3" xfId="42555" xr:uid="{00000000-0005-0000-0000-00005D4F0000}"/>
    <cellStyle name="Normal 10 2 4 2 7 3" xfId="22203" xr:uid="{00000000-0005-0000-0000-00005E4F0000}"/>
    <cellStyle name="Normal 10 2 4 2 7 3 2" xfId="49336" xr:uid="{00000000-0005-0000-0000-00005F4F0000}"/>
    <cellStyle name="Normal 10 2 4 2 7 4" xfId="35774" xr:uid="{00000000-0005-0000-0000-0000604F0000}"/>
    <cellStyle name="Normal 10 2 4 2 8" xfId="12027" xr:uid="{00000000-0005-0000-0000-0000614F0000}"/>
    <cellStyle name="Normal 10 2 4 2 8 2" xfId="25595" xr:uid="{00000000-0005-0000-0000-0000624F0000}"/>
    <cellStyle name="Normal 10 2 4 2 8 2 2" xfId="52728" xr:uid="{00000000-0005-0000-0000-0000634F0000}"/>
    <cellStyle name="Normal 10 2 4 2 8 3" xfId="39166" xr:uid="{00000000-0005-0000-0000-0000644F0000}"/>
    <cellStyle name="Normal 10 2 4 2 9" xfId="18814" xr:uid="{00000000-0005-0000-0000-0000654F0000}"/>
    <cellStyle name="Normal 10 2 4 2 9 2" xfId="45947" xr:uid="{00000000-0005-0000-0000-0000664F0000}"/>
    <cellStyle name="Normal 10 2 4 3" xfId="5081" xr:uid="{00000000-0005-0000-0000-0000674F0000}"/>
    <cellStyle name="Normal 10 2 4 3 2" xfId="5082" xr:uid="{00000000-0005-0000-0000-0000684F0000}"/>
    <cellStyle name="Normal 10 2 4 3 2 2" xfId="5083" xr:uid="{00000000-0005-0000-0000-0000694F0000}"/>
    <cellStyle name="Normal 10 2 4 3 2 2 2" xfId="8644" xr:uid="{00000000-0005-0000-0000-00006A4F0000}"/>
    <cellStyle name="Normal 10 2 4 3 2 2 2 2" xfId="15434" xr:uid="{00000000-0005-0000-0000-00006B4F0000}"/>
    <cellStyle name="Normal 10 2 4 3 2 2 2 2 2" xfId="29002" xr:uid="{00000000-0005-0000-0000-00006C4F0000}"/>
    <cellStyle name="Normal 10 2 4 3 2 2 2 2 2 2" xfId="56135" xr:uid="{00000000-0005-0000-0000-00006D4F0000}"/>
    <cellStyle name="Normal 10 2 4 3 2 2 2 2 3" xfId="42573" xr:uid="{00000000-0005-0000-0000-00006E4F0000}"/>
    <cellStyle name="Normal 10 2 4 3 2 2 2 3" xfId="22221" xr:uid="{00000000-0005-0000-0000-00006F4F0000}"/>
    <cellStyle name="Normal 10 2 4 3 2 2 2 3 2" xfId="49354" xr:uid="{00000000-0005-0000-0000-0000704F0000}"/>
    <cellStyle name="Normal 10 2 4 3 2 2 2 4" xfId="35792" xr:uid="{00000000-0005-0000-0000-0000714F0000}"/>
    <cellStyle name="Normal 10 2 4 3 2 2 3" xfId="12045" xr:uid="{00000000-0005-0000-0000-0000724F0000}"/>
    <cellStyle name="Normal 10 2 4 3 2 2 3 2" xfId="25613" xr:uid="{00000000-0005-0000-0000-0000734F0000}"/>
    <cellStyle name="Normal 10 2 4 3 2 2 3 2 2" xfId="52746" xr:uid="{00000000-0005-0000-0000-0000744F0000}"/>
    <cellStyle name="Normal 10 2 4 3 2 2 3 3" xfId="39184" xr:uid="{00000000-0005-0000-0000-0000754F0000}"/>
    <cellStyle name="Normal 10 2 4 3 2 2 4" xfId="18832" xr:uid="{00000000-0005-0000-0000-0000764F0000}"/>
    <cellStyle name="Normal 10 2 4 3 2 2 4 2" xfId="45965" xr:uid="{00000000-0005-0000-0000-0000774F0000}"/>
    <cellStyle name="Normal 10 2 4 3 2 2 5" xfId="32403" xr:uid="{00000000-0005-0000-0000-0000784F0000}"/>
    <cellStyle name="Normal 10 2 4 3 2 3" xfId="5084" xr:uid="{00000000-0005-0000-0000-0000794F0000}"/>
    <cellStyle name="Normal 10 2 4 3 2 3 2" xfId="8645" xr:uid="{00000000-0005-0000-0000-00007A4F0000}"/>
    <cellStyle name="Normal 10 2 4 3 2 3 2 2" xfId="15435" xr:uid="{00000000-0005-0000-0000-00007B4F0000}"/>
    <cellStyle name="Normal 10 2 4 3 2 3 2 2 2" xfId="29003" xr:uid="{00000000-0005-0000-0000-00007C4F0000}"/>
    <cellStyle name="Normal 10 2 4 3 2 3 2 2 2 2" xfId="56136" xr:uid="{00000000-0005-0000-0000-00007D4F0000}"/>
    <cellStyle name="Normal 10 2 4 3 2 3 2 2 3" xfId="42574" xr:uid="{00000000-0005-0000-0000-00007E4F0000}"/>
    <cellStyle name="Normal 10 2 4 3 2 3 2 3" xfId="22222" xr:uid="{00000000-0005-0000-0000-00007F4F0000}"/>
    <cellStyle name="Normal 10 2 4 3 2 3 2 3 2" xfId="49355" xr:uid="{00000000-0005-0000-0000-0000804F0000}"/>
    <cellStyle name="Normal 10 2 4 3 2 3 2 4" xfId="35793" xr:uid="{00000000-0005-0000-0000-0000814F0000}"/>
    <cellStyle name="Normal 10 2 4 3 2 3 3" xfId="12046" xr:uid="{00000000-0005-0000-0000-0000824F0000}"/>
    <cellStyle name="Normal 10 2 4 3 2 3 3 2" xfId="25614" xr:uid="{00000000-0005-0000-0000-0000834F0000}"/>
    <cellStyle name="Normal 10 2 4 3 2 3 3 2 2" xfId="52747" xr:uid="{00000000-0005-0000-0000-0000844F0000}"/>
    <cellStyle name="Normal 10 2 4 3 2 3 3 3" xfId="39185" xr:uid="{00000000-0005-0000-0000-0000854F0000}"/>
    <cellStyle name="Normal 10 2 4 3 2 3 4" xfId="18833" xr:uid="{00000000-0005-0000-0000-0000864F0000}"/>
    <cellStyle name="Normal 10 2 4 3 2 3 4 2" xfId="45966" xr:uid="{00000000-0005-0000-0000-0000874F0000}"/>
    <cellStyle name="Normal 10 2 4 3 2 3 5" xfId="32404" xr:uid="{00000000-0005-0000-0000-0000884F0000}"/>
    <cellStyle name="Normal 10 2 4 3 2 4" xfId="8643" xr:uid="{00000000-0005-0000-0000-0000894F0000}"/>
    <cellStyle name="Normal 10 2 4 3 2 4 2" xfId="15433" xr:uid="{00000000-0005-0000-0000-00008A4F0000}"/>
    <cellStyle name="Normal 10 2 4 3 2 4 2 2" xfId="29001" xr:uid="{00000000-0005-0000-0000-00008B4F0000}"/>
    <cellStyle name="Normal 10 2 4 3 2 4 2 2 2" xfId="56134" xr:uid="{00000000-0005-0000-0000-00008C4F0000}"/>
    <cellStyle name="Normal 10 2 4 3 2 4 2 3" xfId="42572" xr:uid="{00000000-0005-0000-0000-00008D4F0000}"/>
    <cellStyle name="Normal 10 2 4 3 2 4 3" xfId="22220" xr:uid="{00000000-0005-0000-0000-00008E4F0000}"/>
    <cellStyle name="Normal 10 2 4 3 2 4 3 2" xfId="49353" xr:uid="{00000000-0005-0000-0000-00008F4F0000}"/>
    <cellStyle name="Normal 10 2 4 3 2 4 4" xfId="35791" xr:uid="{00000000-0005-0000-0000-0000904F0000}"/>
    <cellStyle name="Normal 10 2 4 3 2 5" xfId="12044" xr:uid="{00000000-0005-0000-0000-0000914F0000}"/>
    <cellStyle name="Normal 10 2 4 3 2 5 2" xfId="25612" xr:uid="{00000000-0005-0000-0000-0000924F0000}"/>
    <cellStyle name="Normal 10 2 4 3 2 5 2 2" xfId="52745" xr:uid="{00000000-0005-0000-0000-0000934F0000}"/>
    <cellStyle name="Normal 10 2 4 3 2 5 3" xfId="39183" xr:uid="{00000000-0005-0000-0000-0000944F0000}"/>
    <cellStyle name="Normal 10 2 4 3 2 6" xfId="18831" xr:uid="{00000000-0005-0000-0000-0000954F0000}"/>
    <cellStyle name="Normal 10 2 4 3 2 6 2" xfId="45964" xr:uid="{00000000-0005-0000-0000-0000964F0000}"/>
    <cellStyle name="Normal 10 2 4 3 2 7" xfId="32402" xr:uid="{00000000-0005-0000-0000-0000974F0000}"/>
    <cellStyle name="Normal 10 2 4 3 3" xfId="5085" xr:uid="{00000000-0005-0000-0000-0000984F0000}"/>
    <cellStyle name="Normal 10 2 4 3 3 2" xfId="5086" xr:uid="{00000000-0005-0000-0000-0000994F0000}"/>
    <cellStyle name="Normal 10 2 4 3 3 2 2" xfId="8647" xr:uid="{00000000-0005-0000-0000-00009A4F0000}"/>
    <cellStyle name="Normal 10 2 4 3 3 2 2 2" xfId="15437" xr:uid="{00000000-0005-0000-0000-00009B4F0000}"/>
    <cellStyle name="Normal 10 2 4 3 3 2 2 2 2" xfId="29005" xr:uid="{00000000-0005-0000-0000-00009C4F0000}"/>
    <cellStyle name="Normal 10 2 4 3 3 2 2 2 2 2" xfId="56138" xr:uid="{00000000-0005-0000-0000-00009D4F0000}"/>
    <cellStyle name="Normal 10 2 4 3 3 2 2 2 3" xfId="42576" xr:uid="{00000000-0005-0000-0000-00009E4F0000}"/>
    <cellStyle name="Normal 10 2 4 3 3 2 2 3" xfId="22224" xr:uid="{00000000-0005-0000-0000-00009F4F0000}"/>
    <cellStyle name="Normal 10 2 4 3 3 2 2 3 2" xfId="49357" xr:uid="{00000000-0005-0000-0000-0000A04F0000}"/>
    <cellStyle name="Normal 10 2 4 3 3 2 2 4" xfId="35795" xr:uid="{00000000-0005-0000-0000-0000A14F0000}"/>
    <cellStyle name="Normal 10 2 4 3 3 2 3" xfId="12048" xr:uid="{00000000-0005-0000-0000-0000A24F0000}"/>
    <cellStyle name="Normal 10 2 4 3 3 2 3 2" xfId="25616" xr:uid="{00000000-0005-0000-0000-0000A34F0000}"/>
    <cellStyle name="Normal 10 2 4 3 3 2 3 2 2" xfId="52749" xr:uid="{00000000-0005-0000-0000-0000A44F0000}"/>
    <cellStyle name="Normal 10 2 4 3 3 2 3 3" xfId="39187" xr:uid="{00000000-0005-0000-0000-0000A54F0000}"/>
    <cellStyle name="Normal 10 2 4 3 3 2 4" xfId="18835" xr:uid="{00000000-0005-0000-0000-0000A64F0000}"/>
    <cellStyle name="Normal 10 2 4 3 3 2 4 2" xfId="45968" xr:uid="{00000000-0005-0000-0000-0000A74F0000}"/>
    <cellStyle name="Normal 10 2 4 3 3 2 5" xfId="32406" xr:uid="{00000000-0005-0000-0000-0000A84F0000}"/>
    <cellStyle name="Normal 10 2 4 3 3 3" xfId="8646" xr:uid="{00000000-0005-0000-0000-0000A94F0000}"/>
    <cellStyle name="Normal 10 2 4 3 3 3 2" xfId="15436" xr:uid="{00000000-0005-0000-0000-0000AA4F0000}"/>
    <cellStyle name="Normal 10 2 4 3 3 3 2 2" xfId="29004" xr:uid="{00000000-0005-0000-0000-0000AB4F0000}"/>
    <cellStyle name="Normal 10 2 4 3 3 3 2 2 2" xfId="56137" xr:uid="{00000000-0005-0000-0000-0000AC4F0000}"/>
    <cellStyle name="Normal 10 2 4 3 3 3 2 3" xfId="42575" xr:uid="{00000000-0005-0000-0000-0000AD4F0000}"/>
    <cellStyle name="Normal 10 2 4 3 3 3 3" xfId="22223" xr:uid="{00000000-0005-0000-0000-0000AE4F0000}"/>
    <cellStyle name="Normal 10 2 4 3 3 3 3 2" xfId="49356" xr:uid="{00000000-0005-0000-0000-0000AF4F0000}"/>
    <cellStyle name="Normal 10 2 4 3 3 3 4" xfId="35794" xr:uid="{00000000-0005-0000-0000-0000B04F0000}"/>
    <cellStyle name="Normal 10 2 4 3 3 4" xfId="12047" xr:uid="{00000000-0005-0000-0000-0000B14F0000}"/>
    <cellStyle name="Normal 10 2 4 3 3 4 2" xfId="25615" xr:uid="{00000000-0005-0000-0000-0000B24F0000}"/>
    <cellStyle name="Normal 10 2 4 3 3 4 2 2" xfId="52748" xr:uid="{00000000-0005-0000-0000-0000B34F0000}"/>
    <cellStyle name="Normal 10 2 4 3 3 4 3" xfId="39186" xr:uid="{00000000-0005-0000-0000-0000B44F0000}"/>
    <cellStyle name="Normal 10 2 4 3 3 5" xfId="18834" xr:uid="{00000000-0005-0000-0000-0000B54F0000}"/>
    <cellStyle name="Normal 10 2 4 3 3 5 2" xfId="45967" xr:uid="{00000000-0005-0000-0000-0000B64F0000}"/>
    <cellStyle name="Normal 10 2 4 3 3 6" xfId="32405" xr:uid="{00000000-0005-0000-0000-0000B74F0000}"/>
    <cellStyle name="Normal 10 2 4 3 4" xfId="5087" xr:uid="{00000000-0005-0000-0000-0000B84F0000}"/>
    <cellStyle name="Normal 10 2 4 3 4 2" xfId="8648" xr:uid="{00000000-0005-0000-0000-0000B94F0000}"/>
    <cellStyle name="Normal 10 2 4 3 4 2 2" xfId="15438" xr:uid="{00000000-0005-0000-0000-0000BA4F0000}"/>
    <cellStyle name="Normal 10 2 4 3 4 2 2 2" xfId="29006" xr:uid="{00000000-0005-0000-0000-0000BB4F0000}"/>
    <cellStyle name="Normal 10 2 4 3 4 2 2 2 2" xfId="56139" xr:uid="{00000000-0005-0000-0000-0000BC4F0000}"/>
    <cellStyle name="Normal 10 2 4 3 4 2 2 3" xfId="42577" xr:uid="{00000000-0005-0000-0000-0000BD4F0000}"/>
    <cellStyle name="Normal 10 2 4 3 4 2 3" xfId="22225" xr:uid="{00000000-0005-0000-0000-0000BE4F0000}"/>
    <cellStyle name="Normal 10 2 4 3 4 2 3 2" xfId="49358" xr:uid="{00000000-0005-0000-0000-0000BF4F0000}"/>
    <cellStyle name="Normal 10 2 4 3 4 2 4" xfId="35796" xr:uid="{00000000-0005-0000-0000-0000C04F0000}"/>
    <cellStyle name="Normal 10 2 4 3 4 3" xfId="12049" xr:uid="{00000000-0005-0000-0000-0000C14F0000}"/>
    <cellStyle name="Normal 10 2 4 3 4 3 2" xfId="25617" xr:uid="{00000000-0005-0000-0000-0000C24F0000}"/>
    <cellStyle name="Normal 10 2 4 3 4 3 2 2" xfId="52750" xr:uid="{00000000-0005-0000-0000-0000C34F0000}"/>
    <cellStyle name="Normal 10 2 4 3 4 3 3" xfId="39188" xr:uid="{00000000-0005-0000-0000-0000C44F0000}"/>
    <cellStyle name="Normal 10 2 4 3 4 4" xfId="18836" xr:uid="{00000000-0005-0000-0000-0000C54F0000}"/>
    <cellStyle name="Normal 10 2 4 3 4 4 2" xfId="45969" xr:uid="{00000000-0005-0000-0000-0000C64F0000}"/>
    <cellStyle name="Normal 10 2 4 3 4 5" xfId="32407" xr:uid="{00000000-0005-0000-0000-0000C74F0000}"/>
    <cellStyle name="Normal 10 2 4 3 5" xfId="5088" xr:uid="{00000000-0005-0000-0000-0000C84F0000}"/>
    <cellStyle name="Normal 10 2 4 3 5 2" xfId="8649" xr:uid="{00000000-0005-0000-0000-0000C94F0000}"/>
    <cellStyle name="Normal 10 2 4 3 5 2 2" xfId="15439" xr:uid="{00000000-0005-0000-0000-0000CA4F0000}"/>
    <cellStyle name="Normal 10 2 4 3 5 2 2 2" xfId="29007" xr:uid="{00000000-0005-0000-0000-0000CB4F0000}"/>
    <cellStyle name="Normal 10 2 4 3 5 2 2 2 2" xfId="56140" xr:uid="{00000000-0005-0000-0000-0000CC4F0000}"/>
    <cellStyle name="Normal 10 2 4 3 5 2 2 3" xfId="42578" xr:uid="{00000000-0005-0000-0000-0000CD4F0000}"/>
    <cellStyle name="Normal 10 2 4 3 5 2 3" xfId="22226" xr:uid="{00000000-0005-0000-0000-0000CE4F0000}"/>
    <cellStyle name="Normal 10 2 4 3 5 2 3 2" xfId="49359" xr:uid="{00000000-0005-0000-0000-0000CF4F0000}"/>
    <cellStyle name="Normal 10 2 4 3 5 2 4" xfId="35797" xr:uid="{00000000-0005-0000-0000-0000D04F0000}"/>
    <cellStyle name="Normal 10 2 4 3 5 3" xfId="12050" xr:uid="{00000000-0005-0000-0000-0000D14F0000}"/>
    <cellStyle name="Normal 10 2 4 3 5 3 2" xfId="25618" xr:uid="{00000000-0005-0000-0000-0000D24F0000}"/>
    <cellStyle name="Normal 10 2 4 3 5 3 2 2" xfId="52751" xr:uid="{00000000-0005-0000-0000-0000D34F0000}"/>
    <cellStyle name="Normal 10 2 4 3 5 3 3" xfId="39189" xr:uid="{00000000-0005-0000-0000-0000D44F0000}"/>
    <cellStyle name="Normal 10 2 4 3 5 4" xfId="18837" xr:uid="{00000000-0005-0000-0000-0000D54F0000}"/>
    <cellStyle name="Normal 10 2 4 3 5 4 2" xfId="45970" xr:uid="{00000000-0005-0000-0000-0000D64F0000}"/>
    <cellStyle name="Normal 10 2 4 3 5 5" xfId="32408" xr:uid="{00000000-0005-0000-0000-0000D74F0000}"/>
    <cellStyle name="Normal 10 2 4 3 6" xfId="8642" xr:uid="{00000000-0005-0000-0000-0000D84F0000}"/>
    <cellStyle name="Normal 10 2 4 3 6 2" xfId="15432" xr:uid="{00000000-0005-0000-0000-0000D94F0000}"/>
    <cellStyle name="Normal 10 2 4 3 6 2 2" xfId="29000" xr:uid="{00000000-0005-0000-0000-0000DA4F0000}"/>
    <cellStyle name="Normal 10 2 4 3 6 2 2 2" xfId="56133" xr:uid="{00000000-0005-0000-0000-0000DB4F0000}"/>
    <cellStyle name="Normal 10 2 4 3 6 2 3" xfId="42571" xr:uid="{00000000-0005-0000-0000-0000DC4F0000}"/>
    <cellStyle name="Normal 10 2 4 3 6 3" xfId="22219" xr:uid="{00000000-0005-0000-0000-0000DD4F0000}"/>
    <cellStyle name="Normal 10 2 4 3 6 3 2" xfId="49352" xr:uid="{00000000-0005-0000-0000-0000DE4F0000}"/>
    <cellStyle name="Normal 10 2 4 3 6 4" xfId="35790" xr:uid="{00000000-0005-0000-0000-0000DF4F0000}"/>
    <cellStyle name="Normal 10 2 4 3 7" xfId="12043" xr:uid="{00000000-0005-0000-0000-0000E04F0000}"/>
    <cellStyle name="Normal 10 2 4 3 7 2" xfId="25611" xr:uid="{00000000-0005-0000-0000-0000E14F0000}"/>
    <cellStyle name="Normal 10 2 4 3 7 2 2" xfId="52744" xr:uid="{00000000-0005-0000-0000-0000E24F0000}"/>
    <cellStyle name="Normal 10 2 4 3 7 3" xfId="39182" xr:uid="{00000000-0005-0000-0000-0000E34F0000}"/>
    <cellStyle name="Normal 10 2 4 3 8" xfId="18830" xr:uid="{00000000-0005-0000-0000-0000E44F0000}"/>
    <cellStyle name="Normal 10 2 4 3 8 2" xfId="45963" xr:uid="{00000000-0005-0000-0000-0000E54F0000}"/>
    <cellStyle name="Normal 10 2 4 3 9" xfId="32401" xr:uid="{00000000-0005-0000-0000-0000E64F0000}"/>
    <cellStyle name="Normal 10 2 4 4" xfId="5089" xr:uid="{00000000-0005-0000-0000-0000E74F0000}"/>
    <cellStyle name="Normal 10 2 4 4 2" xfId="5090" xr:uid="{00000000-0005-0000-0000-0000E84F0000}"/>
    <cellStyle name="Normal 10 2 4 4 2 2" xfId="5091" xr:uid="{00000000-0005-0000-0000-0000E94F0000}"/>
    <cellStyle name="Normal 10 2 4 4 2 2 2" xfId="8652" xr:uid="{00000000-0005-0000-0000-0000EA4F0000}"/>
    <cellStyle name="Normal 10 2 4 4 2 2 2 2" xfId="15442" xr:uid="{00000000-0005-0000-0000-0000EB4F0000}"/>
    <cellStyle name="Normal 10 2 4 4 2 2 2 2 2" xfId="29010" xr:uid="{00000000-0005-0000-0000-0000EC4F0000}"/>
    <cellStyle name="Normal 10 2 4 4 2 2 2 2 2 2" xfId="56143" xr:uid="{00000000-0005-0000-0000-0000ED4F0000}"/>
    <cellStyle name="Normal 10 2 4 4 2 2 2 2 3" xfId="42581" xr:uid="{00000000-0005-0000-0000-0000EE4F0000}"/>
    <cellStyle name="Normal 10 2 4 4 2 2 2 3" xfId="22229" xr:uid="{00000000-0005-0000-0000-0000EF4F0000}"/>
    <cellStyle name="Normal 10 2 4 4 2 2 2 3 2" xfId="49362" xr:uid="{00000000-0005-0000-0000-0000F04F0000}"/>
    <cellStyle name="Normal 10 2 4 4 2 2 2 4" xfId="35800" xr:uid="{00000000-0005-0000-0000-0000F14F0000}"/>
    <cellStyle name="Normal 10 2 4 4 2 2 3" xfId="12053" xr:uid="{00000000-0005-0000-0000-0000F24F0000}"/>
    <cellStyle name="Normal 10 2 4 4 2 2 3 2" xfId="25621" xr:uid="{00000000-0005-0000-0000-0000F34F0000}"/>
    <cellStyle name="Normal 10 2 4 4 2 2 3 2 2" xfId="52754" xr:uid="{00000000-0005-0000-0000-0000F44F0000}"/>
    <cellStyle name="Normal 10 2 4 4 2 2 3 3" xfId="39192" xr:uid="{00000000-0005-0000-0000-0000F54F0000}"/>
    <cellStyle name="Normal 10 2 4 4 2 2 4" xfId="18840" xr:uid="{00000000-0005-0000-0000-0000F64F0000}"/>
    <cellStyle name="Normal 10 2 4 4 2 2 4 2" xfId="45973" xr:uid="{00000000-0005-0000-0000-0000F74F0000}"/>
    <cellStyle name="Normal 10 2 4 4 2 2 5" xfId="32411" xr:uid="{00000000-0005-0000-0000-0000F84F0000}"/>
    <cellStyle name="Normal 10 2 4 4 2 3" xfId="5092" xr:uid="{00000000-0005-0000-0000-0000F94F0000}"/>
    <cellStyle name="Normal 10 2 4 4 2 3 2" xfId="8653" xr:uid="{00000000-0005-0000-0000-0000FA4F0000}"/>
    <cellStyle name="Normal 10 2 4 4 2 3 2 2" xfId="15443" xr:uid="{00000000-0005-0000-0000-0000FB4F0000}"/>
    <cellStyle name="Normal 10 2 4 4 2 3 2 2 2" xfId="29011" xr:uid="{00000000-0005-0000-0000-0000FC4F0000}"/>
    <cellStyle name="Normal 10 2 4 4 2 3 2 2 2 2" xfId="56144" xr:uid="{00000000-0005-0000-0000-0000FD4F0000}"/>
    <cellStyle name="Normal 10 2 4 4 2 3 2 2 3" xfId="42582" xr:uid="{00000000-0005-0000-0000-0000FE4F0000}"/>
    <cellStyle name="Normal 10 2 4 4 2 3 2 3" xfId="22230" xr:uid="{00000000-0005-0000-0000-0000FF4F0000}"/>
    <cellStyle name="Normal 10 2 4 4 2 3 2 3 2" xfId="49363" xr:uid="{00000000-0005-0000-0000-000000500000}"/>
    <cellStyle name="Normal 10 2 4 4 2 3 2 4" xfId="35801" xr:uid="{00000000-0005-0000-0000-000001500000}"/>
    <cellStyle name="Normal 10 2 4 4 2 3 3" xfId="12054" xr:uid="{00000000-0005-0000-0000-000002500000}"/>
    <cellStyle name="Normal 10 2 4 4 2 3 3 2" xfId="25622" xr:uid="{00000000-0005-0000-0000-000003500000}"/>
    <cellStyle name="Normal 10 2 4 4 2 3 3 2 2" xfId="52755" xr:uid="{00000000-0005-0000-0000-000004500000}"/>
    <cellStyle name="Normal 10 2 4 4 2 3 3 3" xfId="39193" xr:uid="{00000000-0005-0000-0000-000005500000}"/>
    <cellStyle name="Normal 10 2 4 4 2 3 4" xfId="18841" xr:uid="{00000000-0005-0000-0000-000006500000}"/>
    <cellStyle name="Normal 10 2 4 4 2 3 4 2" xfId="45974" xr:uid="{00000000-0005-0000-0000-000007500000}"/>
    <cellStyle name="Normal 10 2 4 4 2 3 5" xfId="32412" xr:uid="{00000000-0005-0000-0000-000008500000}"/>
    <cellStyle name="Normal 10 2 4 4 2 4" xfId="8651" xr:uid="{00000000-0005-0000-0000-000009500000}"/>
    <cellStyle name="Normal 10 2 4 4 2 4 2" xfId="15441" xr:uid="{00000000-0005-0000-0000-00000A500000}"/>
    <cellStyle name="Normal 10 2 4 4 2 4 2 2" xfId="29009" xr:uid="{00000000-0005-0000-0000-00000B500000}"/>
    <cellStyle name="Normal 10 2 4 4 2 4 2 2 2" xfId="56142" xr:uid="{00000000-0005-0000-0000-00000C500000}"/>
    <cellStyle name="Normal 10 2 4 4 2 4 2 3" xfId="42580" xr:uid="{00000000-0005-0000-0000-00000D500000}"/>
    <cellStyle name="Normal 10 2 4 4 2 4 3" xfId="22228" xr:uid="{00000000-0005-0000-0000-00000E500000}"/>
    <cellStyle name="Normal 10 2 4 4 2 4 3 2" xfId="49361" xr:uid="{00000000-0005-0000-0000-00000F500000}"/>
    <cellStyle name="Normal 10 2 4 4 2 4 4" xfId="35799" xr:uid="{00000000-0005-0000-0000-000010500000}"/>
    <cellStyle name="Normal 10 2 4 4 2 5" xfId="12052" xr:uid="{00000000-0005-0000-0000-000011500000}"/>
    <cellStyle name="Normal 10 2 4 4 2 5 2" xfId="25620" xr:uid="{00000000-0005-0000-0000-000012500000}"/>
    <cellStyle name="Normal 10 2 4 4 2 5 2 2" xfId="52753" xr:uid="{00000000-0005-0000-0000-000013500000}"/>
    <cellStyle name="Normal 10 2 4 4 2 5 3" xfId="39191" xr:uid="{00000000-0005-0000-0000-000014500000}"/>
    <cellStyle name="Normal 10 2 4 4 2 6" xfId="18839" xr:uid="{00000000-0005-0000-0000-000015500000}"/>
    <cellStyle name="Normal 10 2 4 4 2 6 2" xfId="45972" xr:uid="{00000000-0005-0000-0000-000016500000}"/>
    <cellStyle name="Normal 10 2 4 4 2 7" xfId="32410" xr:uid="{00000000-0005-0000-0000-000017500000}"/>
    <cellStyle name="Normal 10 2 4 4 3" xfId="5093" xr:uid="{00000000-0005-0000-0000-000018500000}"/>
    <cellStyle name="Normal 10 2 4 4 3 2" xfId="8654" xr:uid="{00000000-0005-0000-0000-000019500000}"/>
    <cellStyle name="Normal 10 2 4 4 3 2 2" xfId="15444" xr:uid="{00000000-0005-0000-0000-00001A500000}"/>
    <cellStyle name="Normal 10 2 4 4 3 2 2 2" xfId="29012" xr:uid="{00000000-0005-0000-0000-00001B500000}"/>
    <cellStyle name="Normal 10 2 4 4 3 2 2 2 2" xfId="56145" xr:uid="{00000000-0005-0000-0000-00001C500000}"/>
    <cellStyle name="Normal 10 2 4 4 3 2 2 3" xfId="42583" xr:uid="{00000000-0005-0000-0000-00001D500000}"/>
    <cellStyle name="Normal 10 2 4 4 3 2 3" xfId="22231" xr:uid="{00000000-0005-0000-0000-00001E500000}"/>
    <cellStyle name="Normal 10 2 4 4 3 2 3 2" xfId="49364" xr:uid="{00000000-0005-0000-0000-00001F500000}"/>
    <cellStyle name="Normal 10 2 4 4 3 2 4" xfId="35802" xr:uid="{00000000-0005-0000-0000-000020500000}"/>
    <cellStyle name="Normal 10 2 4 4 3 3" xfId="12055" xr:uid="{00000000-0005-0000-0000-000021500000}"/>
    <cellStyle name="Normal 10 2 4 4 3 3 2" xfId="25623" xr:uid="{00000000-0005-0000-0000-000022500000}"/>
    <cellStyle name="Normal 10 2 4 4 3 3 2 2" xfId="52756" xr:uid="{00000000-0005-0000-0000-000023500000}"/>
    <cellStyle name="Normal 10 2 4 4 3 3 3" xfId="39194" xr:uid="{00000000-0005-0000-0000-000024500000}"/>
    <cellStyle name="Normal 10 2 4 4 3 4" xfId="18842" xr:uid="{00000000-0005-0000-0000-000025500000}"/>
    <cellStyle name="Normal 10 2 4 4 3 4 2" xfId="45975" xr:uid="{00000000-0005-0000-0000-000026500000}"/>
    <cellStyle name="Normal 10 2 4 4 3 5" xfId="32413" xr:uid="{00000000-0005-0000-0000-000027500000}"/>
    <cellStyle name="Normal 10 2 4 4 4" xfId="5094" xr:uid="{00000000-0005-0000-0000-000028500000}"/>
    <cellStyle name="Normal 10 2 4 4 4 2" xfId="8655" xr:uid="{00000000-0005-0000-0000-000029500000}"/>
    <cellStyle name="Normal 10 2 4 4 4 2 2" xfId="15445" xr:uid="{00000000-0005-0000-0000-00002A500000}"/>
    <cellStyle name="Normal 10 2 4 4 4 2 2 2" xfId="29013" xr:uid="{00000000-0005-0000-0000-00002B500000}"/>
    <cellStyle name="Normal 10 2 4 4 4 2 2 2 2" xfId="56146" xr:uid="{00000000-0005-0000-0000-00002C500000}"/>
    <cellStyle name="Normal 10 2 4 4 4 2 2 3" xfId="42584" xr:uid="{00000000-0005-0000-0000-00002D500000}"/>
    <cellStyle name="Normal 10 2 4 4 4 2 3" xfId="22232" xr:uid="{00000000-0005-0000-0000-00002E500000}"/>
    <cellStyle name="Normal 10 2 4 4 4 2 3 2" xfId="49365" xr:uid="{00000000-0005-0000-0000-00002F500000}"/>
    <cellStyle name="Normal 10 2 4 4 4 2 4" xfId="35803" xr:uid="{00000000-0005-0000-0000-000030500000}"/>
    <cellStyle name="Normal 10 2 4 4 4 3" xfId="12056" xr:uid="{00000000-0005-0000-0000-000031500000}"/>
    <cellStyle name="Normal 10 2 4 4 4 3 2" xfId="25624" xr:uid="{00000000-0005-0000-0000-000032500000}"/>
    <cellStyle name="Normal 10 2 4 4 4 3 2 2" xfId="52757" xr:uid="{00000000-0005-0000-0000-000033500000}"/>
    <cellStyle name="Normal 10 2 4 4 4 3 3" xfId="39195" xr:uid="{00000000-0005-0000-0000-000034500000}"/>
    <cellStyle name="Normal 10 2 4 4 4 4" xfId="18843" xr:uid="{00000000-0005-0000-0000-000035500000}"/>
    <cellStyle name="Normal 10 2 4 4 4 4 2" xfId="45976" xr:uid="{00000000-0005-0000-0000-000036500000}"/>
    <cellStyle name="Normal 10 2 4 4 4 5" xfId="32414" xr:uid="{00000000-0005-0000-0000-000037500000}"/>
    <cellStyle name="Normal 10 2 4 4 5" xfId="8650" xr:uid="{00000000-0005-0000-0000-000038500000}"/>
    <cellStyle name="Normal 10 2 4 4 5 2" xfId="15440" xr:uid="{00000000-0005-0000-0000-000039500000}"/>
    <cellStyle name="Normal 10 2 4 4 5 2 2" xfId="29008" xr:uid="{00000000-0005-0000-0000-00003A500000}"/>
    <cellStyle name="Normal 10 2 4 4 5 2 2 2" xfId="56141" xr:uid="{00000000-0005-0000-0000-00003B500000}"/>
    <cellStyle name="Normal 10 2 4 4 5 2 3" xfId="42579" xr:uid="{00000000-0005-0000-0000-00003C500000}"/>
    <cellStyle name="Normal 10 2 4 4 5 3" xfId="22227" xr:uid="{00000000-0005-0000-0000-00003D500000}"/>
    <cellStyle name="Normal 10 2 4 4 5 3 2" xfId="49360" xr:uid="{00000000-0005-0000-0000-00003E500000}"/>
    <cellStyle name="Normal 10 2 4 4 5 4" xfId="35798" xr:uid="{00000000-0005-0000-0000-00003F500000}"/>
    <cellStyle name="Normal 10 2 4 4 6" xfId="12051" xr:uid="{00000000-0005-0000-0000-000040500000}"/>
    <cellStyle name="Normal 10 2 4 4 6 2" xfId="25619" xr:uid="{00000000-0005-0000-0000-000041500000}"/>
    <cellStyle name="Normal 10 2 4 4 6 2 2" xfId="52752" xr:uid="{00000000-0005-0000-0000-000042500000}"/>
    <cellStyle name="Normal 10 2 4 4 6 3" xfId="39190" xr:uid="{00000000-0005-0000-0000-000043500000}"/>
    <cellStyle name="Normal 10 2 4 4 7" xfId="18838" xr:uid="{00000000-0005-0000-0000-000044500000}"/>
    <cellStyle name="Normal 10 2 4 4 7 2" xfId="45971" xr:uid="{00000000-0005-0000-0000-000045500000}"/>
    <cellStyle name="Normal 10 2 4 4 8" xfId="32409" xr:uid="{00000000-0005-0000-0000-000046500000}"/>
    <cellStyle name="Normal 10 2 4 5" xfId="5095" xr:uid="{00000000-0005-0000-0000-000047500000}"/>
    <cellStyle name="Normal 10 2 4 5 2" xfId="5096" xr:uid="{00000000-0005-0000-0000-000048500000}"/>
    <cellStyle name="Normal 10 2 4 5 2 2" xfId="5097" xr:uid="{00000000-0005-0000-0000-000049500000}"/>
    <cellStyle name="Normal 10 2 4 5 2 2 2" xfId="8658" xr:uid="{00000000-0005-0000-0000-00004A500000}"/>
    <cellStyle name="Normal 10 2 4 5 2 2 2 2" xfId="15448" xr:uid="{00000000-0005-0000-0000-00004B500000}"/>
    <cellStyle name="Normal 10 2 4 5 2 2 2 2 2" xfId="29016" xr:uid="{00000000-0005-0000-0000-00004C500000}"/>
    <cellStyle name="Normal 10 2 4 5 2 2 2 2 2 2" xfId="56149" xr:uid="{00000000-0005-0000-0000-00004D500000}"/>
    <cellStyle name="Normal 10 2 4 5 2 2 2 2 3" xfId="42587" xr:uid="{00000000-0005-0000-0000-00004E500000}"/>
    <cellStyle name="Normal 10 2 4 5 2 2 2 3" xfId="22235" xr:uid="{00000000-0005-0000-0000-00004F500000}"/>
    <cellStyle name="Normal 10 2 4 5 2 2 2 3 2" xfId="49368" xr:uid="{00000000-0005-0000-0000-000050500000}"/>
    <cellStyle name="Normal 10 2 4 5 2 2 2 4" xfId="35806" xr:uid="{00000000-0005-0000-0000-000051500000}"/>
    <cellStyle name="Normal 10 2 4 5 2 2 3" xfId="12059" xr:uid="{00000000-0005-0000-0000-000052500000}"/>
    <cellStyle name="Normal 10 2 4 5 2 2 3 2" xfId="25627" xr:uid="{00000000-0005-0000-0000-000053500000}"/>
    <cellStyle name="Normal 10 2 4 5 2 2 3 2 2" xfId="52760" xr:uid="{00000000-0005-0000-0000-000054500000}"/>
    <cellStyle name="Normal 10 2 4 5 2 2 3 3" xfId="39198" xr:uid="{00000000-0005-0000-0000-000055500000}"/>
    <cellStyle name="Normal 10 2 4 5 2 2 4" xfId="18846" xr:uid="{00000000-0005-0000-0000-000056500000}"/>
    <cellStyle name="Normal 10 2 4 5 2 2 4 2" xfId="45979" xr:uid="{00000000-0005-0000-0000-000057500000}"/>
    <cellStyle name="Normal 10 2 4 5 2 2 5" xfId="32417" xr:uid="{00000000-0005-0000-0000-000058500000}"/>
    <cellStyle name="Normal 10 2 4 5 2 3" xfId="5098" xr:uid="{00000000-0005-0000-0000-000059500000}"/>
    <cellStyle name="Normal 10 2 4 5 2 3 2" xfId="8659" xr:uid="{00000000-0005-0000-0000-00005A500000}"/>
    <cellStyle name="Normal 10 2 4 5 2 3 2 2" xfId="15449" xr:uid="{00000000-0005-0000-0000-00005B500000}"/>
    <cellStyle name="Normal 10 2 4 5 2 3 2 2 2" xfId="29017" xr:uid="{00000000-0005-0000-0000-00005C500000}"/>
    <cellStyle name="Normal 10 2 4 5 2 3 2 2 2 2" xfId="56150" xr:uid="{00000000-0005-0000-0000-00005D500000}"/>
    <cellStyle name="Normal 10 2 4 5 2 3 2 2 3" xfId="42588" xr:uid="{00000000-0005-0000-0000-00005E500000}"/>
    <cellStyle name="Normal 10 2 4 5 2 3 2 3" xfId="22236" xr:uid="{00000000-0005-0000-0000-00005F500000}"/>
    <cellStyle name="Normal 10 2 4 5 2 3 2 3 2" xfId="49369" xr:uid="{00000000-0005-0000-0000-000060500000}"/>
    <cellStyle name="Normal 10 2 4 5 2 3 2 4" xfId="35807" xr:uid="{00000000-0005-0000-0000-000061500000}"/>
    <cellStyle name="Normal 10 2 4 5 2 3 3" xfId="12060" xr:uid="{00000000-0005-0000-0000-000062500000}"/>
    <cellStyle name="Normal 10 2 4 5 2 3 3 2" xfId="25628" xr:uid="{00000000-0005-0000-0000-000063500000}"/>
    <cellStyle name="Normal 10 2 4 5 2 3 3 2 2" xfId="52761" xr:uid="{00000000-0005-0000-0000-000064500000}"/>
    <cellStyle name="Normal 10 2 4 5 2 3 3 3" xfId="39199" xr:uid="{00000000-0005-0000-0000-000065500000}"/>
    <cellStyle name="Normal 10 2 4 5 2 3 4" xfId="18847" xr:uid="{00000000-0005-0000-0000-000066500000}"/>
    <cellStyle name="Normal 10 2 4 5 2 3 4 2" xfId="45980" xr:uid="{00000000-0005-0000-0000-000067500000}"/>
    <cellStyle name="Normal 10 2 4 5 2 3 5" xfId="32418" xr:uid="{00000000-0005-0000-0000-000068500000}"/>
    <cellStyle name="Normal 10 2 4 5 2 4" xfId="8657" xr:uid="{00000000-0005-0000-0000-000069500000}"/>
    <cellStyle name="Normal 10 2 4 5 2 4 2" xfId="15447" xr:uid="{00000000-0005-0000-0000-00006A500000}"/>
    <cellStyle name="Normal 10 2 4 5 2 4 2 2" xfId="29015" xr:uid="{00000000-0005-0000-0000-00006B500000}"/>
    <cellStyle name="Normal 10 2 4 5 2 4 2 2 2" xfId="56148" xr:uid="{00000000-0005-0000-0000-00006C500000}"/>
    <cellStyle name="Normal 10 2 4 5 2 4 2 3" xfId="42586" xr:uid="{00000000-0005-0000-0000-00006D500000}"/>
    <cellStyle name="Normal 10 2 4 5 2 4 3" xfId="22234" xr:uid="{00000000-0005-0000-0000-00006E500000}"/>
    <cellStyle name="Normal 10 2 4 5 2 4 3 2" xfId="49367" xr:uid="{00000000-0005-0000-0000-00006F500000}"/>
    <cellStyle name="Normal 10 2 4 5 2 4 4" xfId="35805" xr:uid="{00000000-0005-0000-0000-000070500000}"/>
    <cellStyle name="Normal 10 2 4 5 2 5" xfId="12058" xr:uid="{00000000-0005-0000-0000-000071500000}"/>
    <cellStyle name="Normal 10 2 4 5 2 5 2" xfId="25626" xr:uid="{00000000-0005-0000-0000-000072500000}"/>
    <cellStyle name="Normal 10 2 4 5 2 5 2 2" xfId="52759" xr:uid="{00000000-0005-0000-0000-000073500000}"/>
    <cellStyle name="Normal 10 2 4 5 2 5 3" xfId="39197" xr:uid="{00000000-0005-0000-0000-000074500000}"/>
    <cellStyle name="Normal 10 2 4 5 2 6" xfId="18845" xr:uid="{00000000-0005-0000-0000-000075500000}"/>
    <cellStyle name="Normal 10 2 4 5 2 6 2" xfId="45978" xr:uid="{00000000-0005-0000-0000-000076500000}"/>
    <cellStyle name="Normal 10 2 4 5 2 7" xfId="32416" xr:uid="{00000000-0005-0000-0000-000077500000}"/>
    <cellStyle name="Normal 10 2 4 5 3" xfId="5099" xr:uid="{00000000-0005-0000-0000-000078500000}"/>
    <cellStyle name="Normal 10 2 4 5 3 2" xfId="8660" xr:uid="{00000000-0005-0000-0000-000079500000}"/>
    <cellStyle name="Normal 10 2 4 5 3 2 2" xfId="15450" xr:uid="{00000000-0005-0000-0000-00007A500000}"/>
    <cellStyle name="Normal 10 2 4 5 3 2 2 2" xfId="29018" xr:uid="{00000000-0005-0000-0000-00007B500000}"/>
    <cellStyle name="Normal 10 2 4 5 3 2 2 2 2" xfId="56151" xr:uid="{00000000-0005-0000-0000-00007C500000}"/>
    <cellStyle name="Normal 10 2 4 5 3 2 2 3" xfId="42589" xr:uid="{00000000-0005-0000-0000-00007D500000}"/>
    <cellStyle name="Normal 10 2 4 5 3 2 3" xfId="22237" xr:uid="{00000000-0005-0000-0000-00007E500000}"/>
    <cellStyle name="Normal 10 2 4 5 3 2 3 2" xfId="49370" xr:uid="{00000000-0005-0000-0000-00007F500000}"/>
    <cellStyle name="Normal 10 2 4 5 3 2 4" xfId="35808" xr:uid="{00000000-0005-0000-0000-000080500000}"/>
    <cellStyle name="Normal 10 2 4 5 3 3" xfId="12061" xr:uid="{00000000-0005-0000-0000-000081500000}"/>
    <cellStyle name="Normal 10 2 4 5 3 3 2" xfId="25629" xr:uid="{00000000-0005-0000-0000-000082500000}"/>
    <cellStyle name="Normal 10 2 4 5 3 3 2 2" xfId="52762" xr:uid="{00000000-0005-0000-0000-000083500000}"/>
    <cellStyle name="Normal 10 2 4 5 3 3 3" xfId="39200" xr:uid="{00000000-0005-0000-0000-000084500000}"/>
    <cellStyle name="Normal 10 2 4 5 3 4" xfId="18848" xr:uid="{00000000-0005-0000-0000-000085500000}"/>
    <cellStyle name="Normal 10 2 4 5 3 4 2" xfId="45981" xr:uid="{00000000-0005-0000-0000-000086500000}"/>
    <cellStyle name="Normal 10 2 4 5 3 5" xfId="32419" xr:uid="{00000000-0005-0000-0000-000087500000}"/>
    <cellStyle name="Normal 10 2 4 5 4" xfId="5100" xr:uid="{00000000-0005-0000-0000-000088500000}"/>
    <cellStyle name="Normal 10 2 4 5 4 2" xfId="8661" xr:uid="{00000000-0005-0000-0000-000089500000}"/>
    <cellStyle name="Normal 10 2 4 5 4 2 2" xfId="15451" xr:uid="{00000000-0005-0000-0000-00008A500000}"/>
    <cellStyle name="Normal 10 2 4 5 4 2 2 2" xfId="29019" xr:uid="{00000000-0005-0000-0000-00008B500000}"/>
    <cellStyle name="Normal 10 2 4 5 4 2 2 2 2" xfId="56152" xr:uid="{00000000-0005-0000-0000-00008C500000}"/>
    <cellStyle name="Normal 10 2 4 5 4 2 2 3" xfId="42590" xr:uid="{00000000-0005-0000-0000-00008D500000}"/>
    <cellStyle name="Normal 10 2 4 5 4 2 3" xfId="22238" xr:uid="{00000000-0005-0000-0000-00008E500000}"/>
    <cellStyle name="Normal 10 2 4 5 4 2 3 2" xfId="49371" xr:uid="{00000000-0005-0000-0000-00008F500000}"/>
    <cellStyle name="Normal 10 2 4 5 4 2 4" xfId="35809" xr:uid="{00000000-0005-0000-0000-000090500000}"/>
    <cellStyle name="Normal 10 2 4 5 4 3" xfId="12062" xr:uid="{00000000-0005-0000-0000-000091500000}"/>
    <cellStyle name="Normal 10 2 4 5 4 3 2" xfId="25630" xr:uid="{00000000-0005-0000-0000-000092500000}"/>
    <cellStyle name="Normal 10 2 4 5 4 3 2 2" xfId="52763" xr:uid="{00000000-0005-0000-0000-000093500000}"/>
    <cellStyle name="Normal 10 2 4 5 4 3 3" xfId="39201" xr:uid="{00000000-0005-0000-0000-000094500000}"/>
    <cellStyle name="Normal 10 2 4 5 4 4" xfId="18849" xr:uid="{00000000-0005-0000-0000-000095500000}"/>
    <cellStyle name="Normal 10 2 4 5 4 4 2" xfId="45982" xr:uid="{00000000-0005-0000-0000-000096500000}"/>
    <cellStyle name="Normal 10 2 4 5 4 5" xfId="32420" xr:uid="{00000000-0005-0000-0000-000097500000}"/>
    <cellStyle name="Normal 10 2 4 5 5" xfId="8656" xr:uid="{00000000-0005-0000-0000-000098500000}"/>
    <cellStyle name="Normal 10 2 4 5 5 2" xfId="15446" xr:uid="{00000000-0005-0000-0000-000099500000}"/>
    <cellStyle name="Normal 10 2 4 5 5 2 2" xfId="29014" xr:uid="{00000000-0005-0000-0000-00009A500000}"/>
    <cellStyle name="Normal 10 2 4 5 5 2 2 2" xfId="56147" xr:uid="{00000000-0005-0000-0000-00009B500000}"/>
    <cellStyle name="Normal 10 2 4 5 5 2 3" xfId="42585" xr:uid="{00000000-0005-0000-0000-00009C500000}"/>
    <cellStyle name="Normal 10 2 4 5 5 3" xfId="22233" xr:uid="{00000000-0005-0000-0000-00009D500000}"/>
    <cellStyle name="Normal 10 2 4 5 5 3 2" xfId="49366" xr:uid="{00000000-0005-0000-0000-00009E500000}"/>
    <cellStyle name="Normal 10 2 4 5 5 4" xfId="35804" xr:uid="{00000000-0005-0000-0000-00009F500000}"/>
    <cellStyle name="Normal 10 2 4 5 6" xfId="12057" xr:uid="{00000000-0005-0000-0000-0000A0500000}"/>
    <cellStyle name="Normal 10 2 4 5 6 2" xfId="25625" xr:uid="{00000000-0005-0000-0000-0000A1500000}"/>
    <cellStyle name="Normal 10 2 4 5 6 2 2" xfId="52758" xr:uid="{00000000-0005-0000-0000-0000A2500000}"/>
    <cellStyle name="Normal 10 2 4 5 6 3" xfId="39196" xr:uid="{00000000-0005-0000-0000-0000A3500000}"/>
    <cellStyle name="Normal 10 2 4 5 7" xfId="18844" xr:uid="{00000000-0005-0000-0000-0000A4500000}"/>
    <cellStyle name="Normal 10 2 4 5 7 2" xfId="45977" xr:uid="{00000000-0005-0000-0000-0000A5500000}"/>
    <cellStyle name="Normal 10 2 4 5 8" xfId="32415" xr:uid="{00000000-0005-0000-0000-0000A6500000}"/>
    <cellStyle name="Normal 10 2 4 6" xfId="5101" xr:uid="{00000000-0005-0000-0000-0000A7500000}"/>
    <cellStyle name="Normal 10 2 4 6 2" xfId="5102" xr:uid="{00000000-0005-0000-0000-0000A8500000}"/>
    <cellStyle name="Normal 10 2 4 6 2 2" xfId="8663" xr:uid="{00000000-0005-0000-0000-0000A9500000}"/>
    <cellStyle name="Normal 10 2 4 6 2 2 2" xfId="15453" xr:uid="{00000000-0005-0000-0000-0000AA500000}"/>
    <cellStyle name="Normal 10 2 4 6 2 2 2 2" xfId="29021" xr:uid="{00000000-0005-0000-0000-0000AB500000}"/>
    <cellStyle name="Normal 10 2 4 6 2 2 2 2 2" xfId="56154" xr:uid="{00000000-0005-0000-0000-0000AC500000}"/>
    <cellStyle name="Normal 10 2 4 6 2 2 2 3" xfId="42592" xr:uid="{00000000-0005-0000-0000-0000AD500000}"/>
    <cellStyle name="Normal 10 2 4 6 2 2 3" xfId="22240" xr:uid="{00000000-0005-0000-0000-0000AE500000}"/>
    <cellStyle name="Normal 10 2 4 6 2 2 3 2" xfId="49373" xr:uid="{00000000-0005-0000-0000-0000AF500000}"/>
    <cellStyle name="Normal 10 2 4 6 2 2 4" xfId="35811" xr:uid="{00000000-0005-0000-0000-0000B0500000}"/>
    <cellStyle name="Normal 10 2 4 6 2 3" xfId="12064" xr:uid="{00000000-0005-0000-0000-0000B1500000}"/>
    <cellStyle name="Normal 10 2 4 6 2 3 2" xfId="25632" xr:uid="{00000000-0005-0000-0000-0000B2500000}"/>
    <cellStyle name="Normal 10 2 4 6 2 3 2 2" xfId="52765" xr:uid="{00000000-0005-0000-0000-0000B3500000}"/>
    <cellStyle name="Normal 10 2 4 6 2 3 3" xfId="39203" xr:uid="{00000000-0005-0000-0000-0000B4500000}"/>
    <cellStyle name="Normal 10 2 4 6 2 4" xfId="18851" xr:uid="{00000000-0005-0000-0000-0000B5500000}"/>
    <cellStyle name="Normal 10 2 4 6 2 4 2" xfId="45984" xr:uid="{00000000-0005-0000-0000-0000B6500000}"/>
    <cellStyle name="Normal 10 2 4 6 2 5" xfId="32422" xr:uid="{00000000-0005-0000-0000-0000B7500000}"/>
    <cellStyle name="Normal 10 2 4 6 3" xfId="5103" xr:uid="{00000000-0005-0000-0000-0000B8500000}"/>
    <cellStyle name="Normal 10 2 4 6 3 2" xfId="8664" xr:uid="{00000000-0005-0000-0000-0000B9500000}"/>
    <cellStyle name="Normal 10 2 4 6 3 2 2" xfId="15454" xr:uid="{00000000-0005-0000-0000-0000BA500000}"/>
    <cellStyle name="Normal 10 2 4 6 3 2 2 2" xfId="29022" xr:uid="{00000000-0005-0000-0000-0000BB500000}"/>
    <cellStyle name="Normal 10 2 4 6 3 2 2 2 2" xfId="56155" xr:uid="{00000000-0005-0000-0000-0000BC500000}"/>
    <cellStyle name="Normal 10 2 4 6 3 2 2 3" xfId="42593" xr:uid="{00000000-0005-0000-0000-0000BD500000}"/>
    <cellStyle name="Normal 10 2 4 6 3 2 3" xfId="22241" xr:uid="{00000000-0005-0000-0000-0000BE500000}"/>
    <cellStyle name="Normal 10 2 4 6 3 2 3 2" xfId="49374" xr:uid="{00000000-0005-0000-0000-0000BF500000}"/>
    <cellStyle name="Normal 10 2 4 6 3 2 4" xfId="35812" xr:uid="{00000000-0005-0000-0000-0000C0500000}"/>
    <cellStyle name="Normal 10 2 4 6 3 3" xfId="12065" xr:uid="{00000000-0005-0000-0000-0000C1500000}"/>
    <cellStyle name="Normal 10 2 4 6 3 3 2" xfId="25633" xr:uid="{00000000-0005-0000-0000-0000C2500000}"/>
    <cellStyle name="Normal 10 2 4 6 3 3 2 2" xfId="52766" xr:uid="{00000000-0005-0000-0000-0000C3500000}"/>
    <cellStyle name="Normal 10 2 4 6 3 3 3" xfId="39204" xr:uid="{00000000-0005-0000-0000-0000C4500000}"/>
    <cellStyle name="Normal 10 2 4 6 3 4" xfId="18852" xr:uid="{00000000-0005-0000-0000-0000C5500000}"/>
    <cellStyle name="Normal 10 2 4 6 3 4 2" xfId="45985" xr:uid="{00000000-0005-0000-0000-0000C6500000}"/>
    <cellStyle name="Normal 10 2 4 6 3 5" xfId="32423" xr:uid="{00000000-0005-0000-0000-0000C7500000}"/>
    <cellStyle name="Normal 10 2 4 6 4" xfId="8662" xr:uid="{00000000-0005-0000-0000-0000C8500000}"/>
    <cellStyle name="Normal 10 2 4 6 4 2" xfId="15452" xr:uid="{00000000-0005-0000-0000-0000C9500000}"/>
    <cellStyle name="Normal 10 2 4 6 4 2 2" xfId="29020" xr:uid="{00000000-0005-0000-0000-0000CA500000}"/>
    <cellStyle name="Normal 10 2 4 6 4 2 2 2" xfId="56153" xr:uid="{00000000-0005-0000-0000-0000CB500000}"/>
    <cellStyle name="Normal 10 2 4 6 4 2 3" xfId="42591" xr:uid="{00000000-0005-0000-0000-0000CC500000}"/>
    <cellStyle name="Normal 10 2 4 6 4 3" xfId="22239" xr:uid="{00000000-0005-0000-0000-0000CD500000}"/>
    <cellStyle name="Normal 10 2 4 6 4 3 2" xfId="49372" xr:uid="{00000000-0005-0000-0000-0000CE500000}"/>
    <cellStyle name="Normal 10 2 4 6 4 4" xfId="35810" xr:uid="{00000000-0005-0000-0000-0000CF500000}"/>
    <cellStyle name="Normal 10 2 4 6 5" xfId="12063" xr:uid="{00000000-0005-0000-0000-0000D0500000}"/>
    <cellStyle name="Normal 10 2 4 6 5 2" xfId="25631" xr:uid="{00000000-0005-0000-0000-0000D1500000}"/>
    <cellStyle name="Normal 10 2 4 6 5 2 2" xfId="52764" xr:uid="{00000000-0005-0000-0000-0000D2500000}"/>
    <cellStyle name="Normal 10 2 4 6 5 3" xfId="39202" xr:uid="{00000000-0005-0000-0000-0000D3500000}"/>
    <cellStyle name="Normal 10 2 4 6 6" xfId="18850" xr:uid="{00000000-0005-0000-0000-0000D4500000}"/>
    <cellStyle name="Normal 10 2 4 6 6 2" xfId="45983" xr:uid="{00000000-0005-0000-0000-0000D5500000}"/>
    <cellStyle name="Normal 10 2 4 6 7" xfId="32421" xr:uid="{00000000-0005-0000-0000-0000D6500000}"/>
    <cellStyle name="Normal 10 2 4 7" xfId="5104" xr:uid="{00000000-0005-0000-0000-0000D7500000}"/>
    <cellStyle name="Normal 10 2 4 7 2" xfId="5105" xr:uid="{00000000-0005-0000-0000-0000D8500000}"/>
    <cellStyle name="Normal 10 2 4 7 2 2" xfId="8666" xr:uid="{00000000-0005-0000-0000-0000D9500000}"/>
    <cellStyle name="Normal 10 2 4 7 2 2 2" xfId="15456" xr:uid="{00000000-0005-0000-0000-0000DA500000}"/>
    <cellStyle name="Normal 10 2 4 7 2 2 2 2" xfId="29024" xr:uid="{00000000-0005-0000-0000-0000DB500000}"/>
    <cellStyle name="Normal 10 2 4 7 2 2 2 2 2" xfId="56157" xr:uid="{00000000-0005-0000-0000-0000DC500000}"/>
    <cellStyle name="Normal 10 2 4 7 2 2 2 3" xfId="42595" xr:uid="{00000000-0005-0000-0000-0000DD500000}"/>
    <cellStyle name="Normal 10 2 4 7 2 2 3" xfId="22243" xr:uid="{00000000-0005-0000-0000-0000DE500000}"/>
    <cellStyle name="Normal 10 2 4 7 2 2 3 2" xfId="49376" xr:uid="{00000000-0005-0000-0000-0000DF500000}"/>
    <cellStyle name="Normal 10 2 4 7 2 2 4" xfId="35814" xr:uid="{00000000-0005-0000-0000-0000E0500000}"/>
    <cellStyle name="Normal 10 2 4 7 2 3" xfId="12067" xr:uid="{00000000-0005-0000-0000-0000E1500000}"/>
    <cellStyle name="Normal 10 2 4 7 2 3 2" xfId="25635" xr:uid="{00000000-0005-0000-0000-0000E2500000}"/>
    <cellStyle name="Normal 10 2 4 7 2 3 2 2" xfId="52768" xr:uid="{00000000-0005-0000-0000-0000E3500000}"/>
    <cellStyle name="Normal 10 2 4 7 2 3 3" xfId="39206" xr:uid="{00000000-0005-0000-0000-0000E4500000}"/>
    <cellStyle name="Normal 10 2 4 7 2 4" xfId="18854" xr:uid="{00000000-0005-0000-0000-0000E5500000}"/>
    <cellStyle name="Normal 10 2 4 7 2 4 2" xfId="45987" xr:uid="{00000000-0005-0000-0000-0000E6500000}"/>
    <cellStyle name="Normal 10 2 4 7 2 5" xfId="32425" xr:uid="{00000000-0005-0000-0000-0000E7500000}"/>
    <cellStyle name="Normal 10 2 4 7 3" xfId="5106" xr:uid="{00000000-0005-0000-0000-0000E8500000}"/>
    <cellStyle name="Normal 10 2 4 7 3 2" xfId="8667" xr:uid="{00000000-0005-0000-0000-0000E9500000}"/>
    <cellStyle name="Normal 10 2 4 7 3 2 2" xfId="15457" xr:uid="{00000000-0005-0000-0000-0000EA500000}"/>
    <cellStyle name="Normal 10 2 4 7 3 2 2 2" xfId="29025" xr:uid="{00000000-0005-0000-0000-0000EB500000}"/>
    <cellStyle name="Normal 10 2 4 7 3 2 2 2 2" xfId="56158" xr:uid="{00000000-0005-0000-0000-0000EC500000}"/>
    <cellStyle name="Normal 10 2 4 7 3 2 2 3" xfId="42596" xr:uid="{00000000-0005-0000-0000-0000ED500000}"/>
    <cellStyle name="Normal 10 2 4 7 3 2 3" xfId="22244" xr:uid="{00000000-0005-0000-0000-0000EE500000}"/>
    <cellStyle name="Normal 10 2 4 7 3 2 3 2" xfId="49377" xr:uid="{00000000-0005-0000-0000-0000EF500000}"/>
    <cellStyle name="Normal 10 2 4 7 3 2 4" xfId="35815" xr:uid="{00000000-0005-0000-0000-0000F0500000}"/>
    <cellStyle name="Normal 10 2 4 7 3 3" xfId="12068" xr:uid="{00000000-0005-0000-0000-0000F1500000}"/>
    <cellStyle name="Normal 10 2 4 7 3 3 2" xfId="25636" xr:uid="{00000000-0005-0000-0000-0000F2500000}"/>
    <cellStyle name="Normal 10 2 4 7 3 3 2 2" xfId="52769" xr:uid="{00000000-0005-0000-0000-0000F3500000}"/>
    <cellStyle name="Normal 10 2 4 7 3 3 3" xfId="39207" xr:uid="{00000000-0005-0000-0000-0000F4500000}"/>
    <cellStyle name="Normal 10 2 4 7 3 4" xfId="18855" xr:uid="{00000000-0005-0000-0000-0000F5500000}"/>
    <cellStyle name="Normal 10 2 4 7 3 4 2" xfId="45988" xr:uid="{00000000-0005-0000-0000-0000F6500000}"/>
    <cellStyle name="Normal 10 2 4 7 3 5" xfId="32426" xr:uid="{00000000-0005-0000-0000-0000F7500000}"/>
    <cellStyle name="Normal 10 2 4 7 4" xfId="8665" xr:uid="{00000000-0005-0000-0000-0000F8500000}"/>
    <cellStyle name="Normal 10 2 4 7 4 2" xfId="15455" xr:uid="{00000000-0005-0000-0000-0000F9500000}"/>
    <cellStyle name="Normal 10 2 4 7 4 2 2" xfId="29023" xr:uid="{00000000-0005-0000-0000-0000FA500000}"/>
    <cellStyle name="Normal 10 2 4 7 4 2 2 2" xfId="56156" xr:uid="{00000000-0005-0000-0000-0000FB500000}"/>
    <cellStyle name="Normal 10 2 4 7 4 2 3" xfId="42594" xr:uid="{00000000-0005-0000-0000-0000FC500000}"/>
    <cellStyle name="Normal 10 2 4 7 4 3" xfId="22242" xr:uid="{00000000-0005-0000-0000-0000FD500000}"/>
    <cellStyle name="Normal 10 2 4 7 4 3 2" xfId="49375" xr:uid="{00000000-0005-0000-0000-0000FE500000}"/>
    <cellStyle name="Normal 10 2 4 7 4 4" xfId="35813" xr:uid="{00000000-0005-0000-0000-0000FF500000}"/>
    <cellStyle name="Normal 10 2 4 7 5" xfId="12066" xr:uid="{00000000-0005-0000-0000-000000510000}"/>
    <cellStyle name="Normal 10 2 4 7 5 2" xfId="25634" xr:uid="{00000000-0005-0000-0000-000001510000}"/>
    <cellStyle name="Normal 10 2 4 7 5 2 2" xfId="52767" xr:uid="{00000000-0005-0000-0000-000002510000}"/>
    <cellStyle name="Normal 10 2 4 7 5 3" xfId="39205" xr:uid="{00000000-0005-0000-0000-000003510000}"/>
    <cellStyle name="Normal 10 2 4 7 6" xfId="18853" xr:uid="{00000000-0005-0000-0000-000004510000}"/>
    <cellStyle name="Normal 10 2 4 7 6 2" xfId="45986" xr:uid="{00000000-0005-0000-0000-000005510000}"/>
    <cellStyle name="Normal 10 2 4 7 7" xfId="32424" xr:uid="{00000000-0005-0000-0000-000006510000}"/>
    <cellStyle name="Normal 10 2 4 8" xfId="5107" xr:uid="{00000000-0005-0000-0000-000007510000}"/>
    <cellStyle name="Normal 10 2 4 8 2" xfId="8668" xr:uid="{00000000-0005-0000-0000-000008510000}"/>
    <cellStyle name="Normal 10 2 4 8 2 2" xfId="15458" xr:uid="{00000000-0005-0000-0000-000009510000}"/>
    <cellStyle name="Normal 10 2 4 8 2 2 2" xfId="29026" xr:uid="{00000000-0005-0000-0000-00000A510000}"/>
    <cellStyle name="Normal 10 2 4 8 2 2 2 2" xfId="56159" xr:uid="{00000000-0005-0000-0000-00000B510000}"/>
    <cellStyle name="Normal 10 2 4 8 2 2 3" xfId="42597" xr:uid="{00000000-0005-0000-0000-00000C510000}"/>
    <cellStyle name="Normal 10 2 4 8 2 3" xfId="22245" xr:uid="{00000000-0005-0000-0000-00000D510000}"/>
    <cellStyle name="Normal 10 2 4 8 2 3 2" xfId="49378" xr:uid="{00000000-0005-0000-0000-00000E510000}"/>
    <cellStyle name="Normal 10 2 4 8 2 4" xfId="35816" xr:uid="{00000000-0005-0000-0000-00000F510000}"/>
    <cellStyle name="Normal 10 2 4 8 3" xfId="12069" xr:uid="{00000000-0005-0000-0000-000010510000}"/>
    <cellStyle name="Normal 10 2 4 8 3 2" xfId="25637" xr:uid="{00000000-0005-0000-0000-000011510000}"/>
    <cellStyle name="Normal 10 2 4 8 3 2 2" xfId="52770" xr:uid="{00000000-0005-0000-0000-000012510000}"/>
    <cellStyle name="Normal 10 2 4 8 3 3" xfId="39208" xr:uid="{00000000-0005-0000-0000-000013510000}"/>
    <cellStyle name="Normal 10 2 4 8 4" xfId="18856" xr:uid="{00000000-0005-0000-0000-000014510000}"/>
    <cellStyle name="Normal 10 2 4 8 4 2" xfId="45989" xr:uid="{00000000-0005-0000-0000-000015510000}"/>
    <cellStyle name="Normal 10 2 4 8 5" xfId="32427" xr:uid="{00000000-0005-0000-0000-000016510000}"/>
    <cellStyle name="Normal 10 2 4 9" xfId="5108" xr:uid="{00000000-0005-0000-0000-000017510000}"/>
    <cellStyle name="Normal 10 2 4 9 2" xfId="8669" xr:uid="{00000000-0005-0000-0000-000018510000}"/>
    <cellStyle name="Normal 10 2 4 9 2 2" xfId="15459" xr:uid="{00000000-0005-0000-0000-000019510000}"/>
    <cellStyle name="Normal 10 2 4 9 2 2 2" xfId="29027" xr:uid="{00000000-0005-0000-0000-00001A510000}"/>
    <cellStyle name="Normal 10 2 4 9 2 2 2 2" xfId="56160" xr:uid="{00000000-0005-0000-0000-00001B510000}"/>
    <cellStyle name="Normal 10 2 4 9 2 2 3" xfId="42598" xr:uid="{00000000-0005-0000-0000-00001C510000}"/>
    <cellStyle name="Normal 10 2 4 9 2 3" xfId="22246" xr:uid="{00000000-0005-0000-0000-00001D510000}"/>
    <cellStyle name="Normal 10 2 4 9 2 3 2" xfId="49379" xr:uid="{00000000-0005-0000-0000-00001E510000}"/>
    <cellStyle name="Normal 10 2 4 9 2 4" xfId="35817" xr:uid="{00000000-0005-0000-0000-00001F510000}"/>
    <cellStyle name="Normal 10 2 4 9 3" xfId="12070" xr:uid="{00000000-0005-0000-0000-000020510000}"/>
    <cellStyle name="Normal 10 2 4 9 3 2" xfId="25638" xr:uid="{00000000-0005-0000-0000-000021510000}"/>
    <cellStyle name="Normal 10 2 4 9 3 2 2" xfId="52771" xr:uid="{00000000-0005-0000-0000-000022510000}"/>
    <cellStyle name="Normal 10 2 4 9 3 3" xfId="39209" xr:uid="{00000000-0005-0000-0000-000023510000}"/>
    <cellStyle name="Normal 10 2 4 9 4" xfId="18857" xr:uid="{00000000-0005-0000-0000-000024510000}"/>
    <cellStyle name="Normal 10 2 4 9 4 2" xfId="45990" xr:uid="{00000000-0005-0000-0000-000025510000}"/>
    <cellStyle name="Normal 10 2 4 9 5" xfId="32428" xr:uid="{00000000-0005-0000-0000-000026510000}"/>
    <cellStyle name="Normal 10 2 5" xfId="5109" xr:uid="{00000000-0005-0000-0000-000027510000}"/>
    <cellStyle name="Normal 10 2 5 10" xfId="32429" xr:uid="{00000000-0005-0000-0000-000028510000}"/>
    <cellStyle name="Normal 10 2 5 2" xfId="5110" xr:uid="{00000000-0005-0000-0000-000029510000}"/>
    <cellStyle name="Normal 10 2 5 2 2" xfId="5111" xr:uid="{00000000-0005-0000-0000-00002A510000}"/>
    <cellStyle name="Normal 10 2 5 2 2 2" xfId="5112" xr:uid="{00000000-0005-0000-0000-00002B510000}"/>
    <cellStyle name="Normal 10 2 5 2 2 2 2" xfId="8673" xr:uid="{00000000-0005-0000-0000-00002C510000}"/>
    <cellStyle name="Normal 10 2 5 2 2 2 2 2" xfId="15463" xr:uid="{00000000-0005-0000-0000-00002D510000}"/>
    <cellStyle name="Normal 10 2 5 2 2 2 2 2 2" xfId="29031" xr:uid="{00000000-0005-0000-0000-00002E510000}"/>
    <cellStyle name="Normal 10 2 5 2 2 2 2 2 2 2" xfId="56164" xr:uid="{00000000-0005-0000-0000-00002F510000}"/>
    <cellStyle name="Normal 10 2 5 2 2 2 2 2 3" xfId="42602" xr:uid="{00000000-0005-0000-0000-000030510000}"/>
    <cellStyle name="Normal 10 2 5 2 2 2 2 3" xfId="22250" xr:uid="{00000000-0005-0000-0000-000031510000}"/>
    <cellStyle name="Normal 10 2 5 2 2 2 2 3 2" xfId="49383" xr:uid="{00000000-0005-0000-0000-000032510000}"/>
    <cellStyle name="Normal 10 2 5 2 2 2 2 4" xfId="35821" xr:uid="{00000000-0005-0000-0000-000033510000}"/>
    <cellStyle name="Normal 10 2 5 2 2 2 3" xfId="12074" xr:uid="{00000000-0005-0000-0000-000034510000}"/>
    <cellStyle name="Normal 10 2 5 2 2 2 3 2" xfId="25642" xr:uid="{00000000-0005-0000-0000-000035510000}"/>
    <cellStyle name="Normal 10 2 5 2 2 2 3 2 2" xfId="52775" xr:uid="{00000000-0005-0000-0000-000036510000}"/>
    <cellStyle name="Normal 10 2 5 2 2 2 3 3" xfId="39213" xr:uid="{00000000-0005-0000-0000-000037510000}"/>
    <cellStyle name="Normal 10 2 5 2 2 2 4" xfId="18861" xr:uid="{00000000-0005-0000-0000-000038510000}"/>
    <cellStyle name="Normal 10 2 5 2 2 2 4 2" xfId="45994" xr:uid="{00000000-0005-0000-0000-000039510000}"/>
    <cellStyle name="Normal 10 2 5 2 2 2 5" xfId="32432" xr:uid="{00000000-0005-0000-0000-00003A510000}"/>
    <cellStyle name="Normal 10 2 5 2 2 3" xfId="5113" xr:uid="{00000000-0005-0000-0000-00003B510000}"/>
    <cellStyle name="Normal 10 2 5 2 2 3 2" xfId="8674" xr:uid="{00000000-0005-0000-0000-00003C510000}"/>
    <cellStyle name="Normal 10 2 5 2 2 3 2 2" xfId="15464" xr:uid="{00000000-0005-0000-0000-00003D510000}"/>
    <cellStyle name="Normal 10 2 5 2 2 3 2 2 2" xfId="29032" xr:uid="{00000000-0005-0000-0000-00003E510000}"/>
    <cellStyle name="Normal 10 2 5 2 2 3 2 2 2 2" xfId="56165" xr:uid="{00000000-0005-0000-0000-00003F510000}"/>
    <cellStyle name="Normal 10 2 5 2 2 3 2 2 3" xfId="42603" xr:uid="{00000000-0005-0000-0000-000040510000}"/>
    <cellStyle name="Normal 10 2 5 2 2 3 2 3" xfId="22251" xr:uid="{00000000-0005-0000-0000-000041510000}"/>
    <cellStyle name="Normal 10 2 5 2 2 3 2 3 2" xfId="49384" xr:uid="{00000000-0005-0000-0000-000042510000}"/>
    <cellStyle name="Normal 10 2 5 2 2 3 2 4" xfId="35822" xr:uid="{00000000-0005-0000-0000-000043510000}"/>
    <cellStyle name="Normal 10 2 5 2 2 3 3" xfId="12075" xr:uid="{00000000-0005-0000-0000-000044510000}"/>
    <cellStyle name="Normal 10 2 5 2 2 3 3 2" xfId="25643" xr:uid="{00000000-0005-0000-0000-000045510000}"/>
    <cellStyle name="Normal 10 2 5 2 2 3 3 2 2" xfId="52776" xr:uid="{00000000-0005-0000-0000-000046510000}"/>
    <cellStyle name="Normal 10 2 5 2 2 3 3 3" xfId="39214" xr:uid="{00000000-0005-0000-0000-000047510000}"/>
    <cellStyle name="Normal 10 2 5 2 2 3 4" xfId="18862" xr:uid="{00000000-0005-0000-0000-000048510000}"/>
    <cellStyle name="Normal 10 2 5 2 2 3 4 2" xfId="45995" xr:uid="{00000000-0005-0000-0000-000049510000}"/>
    <cellStyle name="Normal 10 2 5 2 2 3 5" xfId="32433" xr:uid="{00000000-0005-0000-0000-00004A510000}"/>
    <cellStyle name="Normal 10 2 5 2 2 4" xfId="8672" xr:uid="{00000000-0005-0000-0000-00004B510000}"/>
    <cellStyle name="Normal 10 2 5 2 2 4 2" xfId="15462" xr:uid="{00000000-0005-0000-0000-00004C510000}"/>
    <cellStyle name="Normal 10 2 5 2 2 4 2 2" xfId="29030" xr:uid="{00000000-0005-0000-0000-00004D510000}"/>
    <cellStyle name="Normal 10 2 5 2 2 4 2 2 2" xfId="56163" xr:uid="{00000000-0005-0000-0000-00004E510000}"/>
    <cellStyle name="Normal 10 2 5 2 2 4 2 3" xfId="42601" xr:uid="{00000000-0005-0000-0000-00004F510000}"/>
    <cellStyle name="Normal 10 2 5 2 2 4 3" xfId="22249" xr:uid="{00000000-0005-0000-0000-000050510000}"/>
    <cellStyle name="Normal 10 2 5 2 2 4 3 2" xfId="49382" xr:uid="{00000000-0005-0000-0000-000051510000}"/>
    <cellStyle name="Normal 10 2 5 2 2 4 4" xfId="35820" xr:uid="{00000000-0005-0000-0000-000052510000}"/>
    <cellStyle name="Normal 10 2 5 2 2 5" xfId="12073" xr:uid="{00000000-0005-0000-0000-000053510000}"/>
    <cellStyle name="Normal 10 2 5 2 2 5 2" xfId="25641" xr:uid="{00000000-0005-0000-0000-000054510000}"/>
    <cellStyle name="Normal 10 2 5 2 2 5 2 2" xfId="52774" xr:uid="{00000000-0005-0000-0000-000055510000}"/>
    <cellStyle name="Normal 10 2 5 2 2 5 3" xfId="39212" xr:uid="{00000000-0005-0000-0000-000056510000}"/>
    <cellStyle name="Normal 10 2 5 2 2 6" xfId="18860" xr:uid="{00000000-0005-0000-0000-000057510000}"/>
    <cellStyle name="Normal 10 2 5 2 2 6 2" xfId="45993" xr:uid="{00000000-0005-0000-0000-000058510000}"/>
    <cellStyle name="Normal 10 2 5 2 2 7" xfId="32431" xr:uid="{00000000-0005-0000-0000-000059510000}"/>
    <cellStyle name="Normal 10 2 5 2 3" xfId="5114" xr:uid="{00000000-0005-0000-0000-00005A510000}"/>
    <cellStyle name="Normal 10 2 5 2 3 2" xfId="5115" xr:uid="{00000000-0005-0000-0000-00005B510000}"/>
    <cellStyle name="Normal 10 2 5 2 3 2 2" xfId="8676" xr:uid="{00000000-0005-0000-0000-00005C510000}"/>
    <cellStyle name="Normal 10 2 5 2 3 2 2 2" xfId="15466" xr:uid="{00000000-0005-0000-0000-00005D510000}"/>
    <cellStyle name="Normal 10 2 5 2 3 2 2 2 2" xfId="29034" xr:uid="{00000000-0005-0000-0000-00005E510000}"/>
    <cellStyle name="Normal 10 2 5 2 3 2 2 2 2 2" xfId="56167" xr:uid="{00000000-0005-0000-0000-00005F510000}"/>
    <cellStyle name="Normal 10 2 5 2 3 2 2 2 3" xfId="42605" xr:uid="{00000000-0005-0000-0000-000060510000}"/>
    <cellStyle name="Normal 10 2 5 2 3 2 2 3" xfId="22253" xr:uid="{00000000-0005-0000-0000-000061510000}"/>
    <cellStyle name="Normal 10 2 5 2 3 2 2 3 2" xfId="49386" xr:uid="{00000000-0005-0000-0000-000062510000}"/>
    <cellStyle name="Normal 10 2 5 2 3 2 2 4" xfId="35824" xr:uid="{00000000-0005-0000-0000-000063510000}"/>
    <cellStyle name="Normal 10 2 5 2 3 2 3" xfId="12077" xr:uid="{00000000-0005-0000-0000-000064510000}"/>
    <cellStyle name="Normal 10 2 5 2 3 2 3 2" xfId="25645" xr:uid="{00000000-0005-0000-0000-000065510000}"/>
    <cellStyle name="Normal 10 2 5 2 3 2 3 2 2" xfId="52778" xr:uid="{00000000-0005-0000-0000-000066510000}"/>
    <cellStyle name="Normal 10 2 5 2 3 2 3 3" xfId="39216" xr:uid="{00000000-0005-0000-0000-000067510000}"/>
    <cellStyle name="Normal 10 2 5 2 3 2 4" xfId="18864" xr:uid="{00000000-0005-0000-0000-000068510000}"/>
    <cellStyle name="Normal 10 2 5 2 3 2 4 2" xfId="45997" xr:uid="{00000000-0005-0000-0000-000069510000}"/>
    <cellStyle name="Normal 10 2 5 2 3 2 5" xfId="32435" xr:uid="{00000000-0005-0000-0000-00006A510000}"/>
    <cellStyle name="Normal 10 2 5 2 3 3" xfId="8675" xr:uid="{00000000-0005-0000-0000-00006B510000}"/>
    <cellStyle name="Normal 10 2 5 2 3 3 2" xfId="15465" xr:uid="{00000000-0005-0000-0000-00006C510000}"/>
    <cellStyle name="Normal 10 2 5 2 3 3 2 2" xfId="29033" xr:uid="{00000000-0005-0000-0000-00006D510000}"/>
    <cellStyle name="Normal 10 2 5 2 3 3 2 2 2" xfId="56166" xr:uid="{00000000-0005-0000-0000-00006E510000}"/>
    <cellStyle name="Normal 10 2 5 2 3 3 2 3" xfId="42604" xr:uid="{00000000-0005-0000-0000-00006F510000}"/>
    <cellStyle name="Normal 10 2 5 2 3 3 3" xfId="22252" xr:uid="{00000000-0005-0000-0000-000070510000}"/>
    <cellStyle name="Normal 10 2 5 2 3 3 3 2" xfId="49385" xr:uid="{00000000-0005-0000-0000-000071510000}"/>
    <cellStyle name="Normal 10 2 5 2 3 3 4" xfId="35823" xr:uid="{00000000-0005-0000-0000-000072510000}"/>
    <cellStyle name="Normal 10 2 5 2 3 4" xfId="12076" xr:uid="{00000000-0005-0000-0000-000073510000}"/>
    <cellStyle name="Normal 10 2 5 2 3 4 2" xfId="25644" xr:uid="{00000000-0005-0000-0000-000074510000}"/>
    <cellStyle name="Normal 10 2 5 2 3 4 2 2" xfId="52777" xr:uid="{00000000-0005-0000-0000-000075510000}"/>
    <cellStyle name="Normal 10 2 5 2 3 4 3" xfId="39215" xr:uid="{00000000-0005-0000-0000-000076510000}"/>
    <cellStyle name="Normal 10 2 5 2 3 5" xfId="18863" xr:uid="{00000000-0005-0000-0000-000077510000}"/>
    <cellStyle name="Normal 10 2 5 2 3 5 2" xfId="45996" xr:uid="{00000000-0005-0000-0000-000078510000}"/>
    <cellStyle name="Normal 10 2 5 2 3 6" xfId="32434" xr:uid="{00000000-0005-0000-0000-000079510000}"/>
    <cellStyle name="Normal 10 2 5 2 4" xfId="5116" xr:uid="{00000000-0005-0000-0000-00007A510000}"/>
    <cellStyle name="Normal 10 2 5 2 4 2" xfId="8677" xr:uid="{00000000-0005-0000-0000-00007B510000}"/>
    <cellStyle name="Normal 10 2 5 2 4 2 2" xfId="15467" xr:uid="{00000000-0005-0000-0000-00007C510000}"/>
    <cellStyle name="Normal 10 2 5 2 4 2 2 2" xfId="29035" xr:uid="{00000000-0005-0000-0000-00007D510000}"/>
    <cellStyle name="Normal 10 2 5 2 4 2 2 2 2" xfId="56168" xr:uid="{00000000-0005-0000-0000-00007E510000}"/>
    <cellStyle name="Normal 10 2 5 2 4 2 2 3" xfId="42606" xr:uid="{00000000-0005-0000-0000-00007F510000}"/>
    <cellStyle name="Normal 10 2 5 2 4 2 3" xfId="22254" xr:uid="{00000000-0005-0000-0000-000080510000}"/>
    <cellStyle name="Normal 10 2 5 2 4 2 3 2" xfId="49387" xr:uid="{00000000-0005-0000-0000-000081510000}"/>
    <cellStyle name="Normal 10 2 5 2 4 2 4" xfId="35825" xr:uid="{00000000-0005-0000-0000-000082510000}"/>
    <cellStyle name="Normal 10 2 5 2 4 3" xfId="12078" xr:uid="{00000000-0005-0000-0000-000083510000}"/>
    <cellStyle name="Normal 10 2 5 2 4 3 2" xfId="25646" xr:uid="{00000000-0005-0000-0000-000084510000}"/>
    <cellStyle name="Normal 10 2 5 2 4 3 2 2" xfId="52779" xr:uid="{00000000-0005-0000-0000-000085510000}"/>
    <cellStyle name="Normal 10 2 5 2 4 3 3" xfId="39217" xr:uid="{00000000-0005-0000-0000-000086510000}"/>
    <cellStyle name="Normal 10 2 5 2 4 4" xfId="18865" xr:uid="{00000000-0005-0000-0000-000087510000}"/>
    <cellStyle name="Normal 10 2 5 2 4 4 2" xfId="45998" xr:uid="{00000000-0005-0000-0000-000088510000}"/>
    <cellStyle name="Normal 10 2 5 2 4 5" xfId="32436" xr:uid="{00000000-0005-0000-0000-000089510000}"/>
    <cellStyle name="Normal 10 2 5 2 5" xfId="5117" xr:uid="{00000000-0005-0000-0000-00008A510000}"/>
    <cellStyle name="Normal 10 2 5 2 5 2" xfId="8678" xr:uid="{00000000-0005-0000-0000-00008B510000}"/>
    <cellStyle name="Normal 10 2 5 2 5 2 2" xfId="15468" xr:uid="{00000000-0005-0000-0000-00008C510000}"/>
    <cellStyle name="Normal 10 2 5 2 5 2 2 2" xfId="29036" xr:uid="{00000000-0005-0000-0000-00008D510000}"/>
    <cellStyle name="Normal 10 2 5 2 5 2 2 2 2" xfId="56169" xr:uid="{00000000-0005-0000-0000-00008E510000}"/>
    <cellStyle name="Normal 10 2 5 2 5 2 2 3" xfId="42607" xr:uid="{00000000-0005-0000-0000-00008F510000}"/>
    <cellStyle name="Normal 10 2 5 2 5 2 3" xfId="22255" xr:uid="{00000000-0005-0000-0000-000090510000}"/>
    <cellStyle name="Normal 10 2 5 2 5 2 3 2" xfId="49388" xr:uid="{00000000-0005-0000-0000-000091510000}"/>
    <cellStyle name="Normal 10 2 5 2 5 2 4" xfId="35826" xr:uid="{00000000-0005-0000-0000-000092510000}"/>
    <cellStyle name="Normal 10 2 5 2 5 3" xfId="12079" xr:uid="{00000000-0005-0000-0000-000093510000}"/>
    <cellStyle name="Normal 10 2 5 2 5 3 2" xfId="25647" xr:uid="{00000000-0005-0000-0000-000094510000}"/>
    <cellStyle name="Normal 10 2 5 2 5 3 2 2" xfId="52780" xr:uid="{00000000-0005-0000-0000-000095510000}"/>
    <cellStyle name="Normal 10 2 5 2 5 3 3" xfId="39218" xr:uid="{00000000-0005-0000-0000-000096510000}"/>
    <cellStyle name="Normal 10 2 5 2 5 4" xfId="18866" xr:uid="{00000000-0005-0000-0000-000097510000}"/>
    <cellStyle name="Normal 10 2 5 2 5 4 2" xfId="45999" xr:uid="{00000000-0005-0000-0000-000098510000}"/>
    <cellStyle name="Normal 10 2 5 2 5 5" xfId="32437" xr:uid="{00000000-0005-0000-0000-000099510000}"/>
    <cellStyle name="Normal 10 2 5 2 6" xfId="8671" xr:uid="{00000000-0005-0000-0000-00009A510000}"/>
    <cellStyle name="Normal 10 2 5 2 6 2" xfId="15461" xr:uid="{00000000-0005-0000-0000-00009B510000}"/>
    <cellStyle name="Normal 10 2 5 2 6 2 2" xfId="29029" xr:uid="{00000000-0005-0000-0000-00009C510000}"/>
    <cellStyle name="Normal 10 2 5 2 6 2 2 2" xfId="56162" xr:uid="{00000000-0005-0000-0000-00009D510000}"/>
    <cellStyle name="Normal 10 2 5 2 6 2 3" xfId="42600" xr:uid="{00000000-0005-0000-0000-00009E510000}"/>
    <cellStyle name="Normal 10 2 5 2 6 3" xfId="22248" xr:uid="{00000000-0005-0000-0000-00009F510000}"/>
    <cellStyle name="Normal 10 2 5 2 6 3 2" xfId="49381" xr:uid="{00000000-0005-0000-0000-0000A0510000}"/>
    <cellStyle name="Normal 10 2 5 2 6 4" xfId="35819" xr:uid="{00000000-0005-0000-0000-0000A1510000}"/>
    <cellStyle name="Normal 10 2 5 2 7" xfId="12072" xr:uid="{00000000-0005-0000-0000-0000A2510000}"/>
    <cellStyle name="Normal 10 2 5 2 7 2" xfId="25640" xr:uid="{00000000-0005-0000-0000-0000A3510000}"/>
    <cellStyle name="Normal 10 2 5 2 7 2 2" xfId="52773" xr:uid="{00000000-0005-0000-0000-0000A4510000}"/>
    <cellStyle name="Normal 10 2 5 2 7 3" xfId="39211" xr:uid="{00000000-0005-0000-0000-0000A5510000}"/>
    <cellStyle name="Normal 10 2 5 2 8" xfId="18859" xr:uid="{00000000-0005-0000-0000-0000A6510000}"/>
    <cellStyle name="Normal 10 2 5 2 8 2" xfId="45992" xr:uid="{00000000-0005-0000-0000-0000A7510000}"/>
    <cellStyle name="Normal 10 2 5 2 9" xfId="32430" xr:uid="{00000000-0005-0000-0000-0000A8510000}"/>
    <cellStyle name="Normal 10 2 5 3" xfId="5118" xr:uid="{00000000-0005-0000-0000-0000A9510000}"/>
    <cellStyle name="Normal 10 2 5 3 2" xfId="5119" xr:uid="{00000000-0005-0000-0000-0000AA510000}"/>
    <cellStyle name="Normal 10 2 5 3 2 2" xfId="8680" xr:uid="{00000000-0005-0000-0000-0000AB510000}"/>
    <cellStyle name="Normal 10 2 5 3 2 2 2" xfId="15470" xr:uid="{00000000-0005-0000-0000-0000AC510000}"/>
    <cellStyle name="Normal 10 2 5 3 2 2 2 2" xfId="29038" xr:uid="{00000000-0005-0000-0000-0000AD510000}"/>
    <cellStyle name="Normal 10 2 5 3 2 2 2 2 2" xfId="56171" xr:uid="{00000000-0005-0000-0000-0000AE510000}"/>
    <cellStyle name="Normal 10 2 5 3 2 2 2 3" xfId="42609" xr:uid="{00000000-0005-0000-0000-0000AF510000}"/>
    <cellStyle name="Normal 10 2 5 3 2 2 3" xfId="22257" xr:uid="{00000000-0005-0000-0000-0000B0510000}"/>
    <cellStyle name="Normal 10 2 5 3 2 2 3 2" xfId="49390" xr:uid="{00000000-0005-0000-0000-0000B1510000}"/>
    <cellStyle name="Normal 10 2 5 3 2 2 4" xfId="35828" xr:uid="{00000000-0005-0000-0000-0000B2510000}"/>
    <cellStyle name="Normal 10 2 5 3 2 3" xfId="12081" xr:uid="{00000000-0005-0000-0000-0000B3510000}"/>
    <cellStyle name="Normal 10 2 5 3 2 3 2" xfId="25649" xr:uid="{00000000-0005-0000-0000-0000B4510000}"/>
    <cellStyle name="Normal 10 2 5 3 2 3 2 2" xfId="52782" xr:uid="{00000000-0005-0000-0000-0000B5510000}"/>
    <cellStyle name="Normal 10 2 5 3 2 3 3" xfId="39220" xr:uid="{00000000-0005-0000-0000-0000B6510000}"/>
    <cellStyle name="Normal 10 2 5 3 2 4" xfId="18868" xr:uid="{00000000-0005-0000-0000-0000B7510000}"/>
    <cellStyle name="Normal 10 2 5 3 2 4 2" xfId="46001" xr:uid="{00000000-0005-0000-0000-0000B8510000}"/>
    <cellStyle name="Normal 10 2 5 3 2 5" xfId="32439" xr:uid="{00000000-0005-0000-0000-0000B9510000}"/>
    <cellStyle name="Normal 10 2 5 3 3" xfId="5120" xr:uid="{00000000-0005-0000-0000-0000BA510000}"/>
    <cellStyle name="Normal 10 2 5 3 3 2" xfId="8681" xr:uid="{00000000-0005-0000-0000-0000BB510000}"/>
    <cellStyle name="Normal 10 2 5 3 3 2 2" xfId="15471" xr:uid="{00000000-0005-0000-0000-0000BC510000}"/>
    <cellStyle name="Normal 10 2 5 3 3 2 2 2" xfId="29039" xr:uid="{00000000-0005-0000-0000-0000BD510000}"/>
    <cellStyle name="Normal 10 2 5 3 3 2 2 2 2" xfId="56172" xr:uid="{00000000-0005-0000-0000-0000BE510000}"/>
    <cellStyle name="Normal 10 2 5 3 3 2 2 3" xfId="42610" xr:uid="{00000000-0005-0000-0000-0000BF510000}"/>
    <cellStyle name="Normal 10 2 5 3 3 2 3" xfId="22258" xr:uid="{00000000-0005-0000-0000-0000C0510000}"/>
    <cellStyle name="Normal 10 2 5 3 3 2 3 2" xfId="49391" xr:uid="{00000000-0005-0000-0000-0000C1510000}"/>
    <cellStyle name="Normal 10 2 5 3 3 2 4" xfId="35829" xr:uid="{00000000-0005-0000-0000-0000C2510000}"/>
    <cellStyle name="Normal 10 2 5 3 3 3" xfId="12082" xr:uid="{00000000-0005-0000-0000-0000C3510000}"/>
    <cellStyle name="Normal 10 2 5 3 3 3 2" xfId="25650" xr:uid="{00000000-0005-0000-0000-0000C4510000}"/>
    <cellStyle name="Normal 10 2 5 3 3 3 2 2" xfId="52783" xr:uid="{00000000-0005-0000-0000-0000C5510000}"/>
    <cellStyle name="Normal 10 2 5 3 3 3 3" xfId="39221" xr:uid="{00000000-0005-0000-0000-0000C6510000}"/>
    <cellStyle name="Normal 10 2 5 3 3 4" xfId="18869" xr:uid="{00000000-0005-0000-0000-0000C7510000}"/>
    <cellStyle name="Normal 10 2 5 3 3 4 2" xfId="46002" xr:uid="{00000000-0005-0000-0000-0000C8510000}"/>
    <cellStyle name="Normal 10 2 5 3 3 5" xfId="32440" xr:uid="{00000000-0005-0000-0000-0000C9510000}"/>
    <cellStyle name="Normal 10 2 5 3 4" xfId="8679" xr:uid="{00000000-0005-0000-0000-0000CA510000}"/>
    <cellStyle name="Normal 10 2 5 3 4 2" xfId="15469" xr:uid="{00000000-0005-0000-0000-0000CB510000}"/>
    <cellStyle name="Normal 10 2 5 3 4 2 2" xfId="29037" xr:uid="{00000000-0005-0000-0000-0000CC510000}"/>
    <cellStyle name="Normal 10 2 5 3 4 2 2 2" xfId="56170" xr:uid="{00000000-0005-0000-0000-0000CD510000}"/>
    <cellStyle name="Normal 10 2 5 3 4 2 3" xfId="42608" xr:uid="{00000000-0005-0000-0000-0000CE510000}"/>
    <cellStyle name="Normal 10 2 5 3 4 3" xfId="22256" xr:uid="{00000000-0005-0000-0000-0000CF510000}"/>
    <cellStyle name="Normal 10 2 5 3 4 3 2" xfId="49389" xr:uid="{00000000-0005-0000-0000-0000D0510000}"/>
    <cellStyle name="Normal 10 2 5 3 4 4" xfId="35827" xr:uid="{00000000-0005-0000-0000-0000D1510000}"/>
    <cellStyle name="Normal 10 2 5 3 5" xfId="12080" xr:uid="{00000000-0005-0000-0000-0000D2510000}"/>
    <cellStyle name="Normal 10 2 5 3 5 2" xfId="25648" xr:uid="{00000000-0005-0000-0000-0000D3510000}"/>
    <cellStyle name="Normal 10 2 5 3 5 2 2" xfId="52781" xr:uid="{00000000-0005-0000-0000-0000D4510000}"/>
    <cellStyle name="Normal 10 2 5 3 5 3" xfId="39219" xr:uid="{00000000-0005-0000-0000-0000D5510000}"/>
    <cellStyle name="Normal 10 2 5 3 6" xfId="18867" xr:uid="{00000000-0005-0000-0000-0000D6510000}"/>
    <cellStyle name="Normal 10 2 5 3 6 2" xfId="46000" xr:uid="{00000000-0005-0000-0000-0000D7510000}"/>
    <cellStyle name="Normal 10 2 5 3 7" xfId="32438" xr:uid="{00000000-0005-0000-0000-0000D8510000}"/>
    <cellStyle name="Normal 10 2 5 4" xfId="5121" xr:uid="{00000000-0005-0000-0000-0000D9510000}"/>
    <cellStyle name="Normal 10 2 5 4 2" xfId="5122" xr:uid="{00000000-0005-0000-0000-0000DA510000}"/>
    <cellStyle name="Normal 10 2 5 4 2 2" xfId="8683" xr:uid="{00000000-0005-0000-0000-0000DB510000}"/>
    <cellStyle name="Normal 10 2 5 4 2 2 2" xfId="15473" xr:uid="{00000000-0005-0000-0000-0000DC510000}"/>
    <cellStyle name="Normal 10 2 5 4 2 2 2 2" xfId="29041" xr:uid="{00000000-0005-0000-0000-0000DD510000}"/>
    <cellStyle name="Normal 10 2 5 4 2 2 2 2 2" xfId="56174" xr:uid="{00000000-0005-0000-0000-0000DE510000}"/>
    <cellStyle name="Normal 10 2 5 4 2 2 2 3" xfId="42612" xr:uid="{00000000-0005-0000-0000-0000DF510000}"/>
    <cellStyle name="Normal 10 2 5 4 2 2 3" xfId="22260" xr:uid="{00000000-0005-0000-0000-0000E0510000}"/>
    <cellStyle name="Normal 10 2 5 4 2 2 3 2" xfId="49393" xr:uid="{00000000-0005-0000-0000-0000E1510000}"/>
    <cellStyle name="Normal 10 2 5 4 2 2 4" xfId="35831" xr:uid="{00000000-0005-0000-0000-0000E2510000}"/>
    <cellStyle name="Normal 10 2 5 4 2 3" xfId="12084" xr:uid="{00000000-0005-0000-0000-0000E3510000}"/>
    <cellStyle name="Normal 10 2 5 4 2 3 2" xfId="25652" xr:uid="{00000000-0005-0000-0000-0000E4510000}"/>
    <cellStyle name="Normal 10 2 5 4 2 3 2 2" xfId="52785" xr:uid="{00000000-0005-0000-0000-0000E5510000}"/>
    <cellStyle name="Normal 10 2 5 4 2 3 3" xfId="39223" xr:uid="{00000000-0005-0000-0000-0000E6510000}"/>
    <cellStyle name="Normal 10 2 5 4 2 4" xfId="18871" xr:uid="{00000000-0005-0000-0000-0000E7510000}"/>
    <cellStyle name="Normal 10 2 5 4 2 4 2" xfId="46004" xr:uid="{00000000-0005-0000-0000-0000E8510000}"/>
    <cellStyle name="Normal 10 2 5 4 2 5" xfId="32442" xr:uid="{00000000-0005-0000-0000-0000E9510000}"/>
    <cellStyle name="Normal 10 2 5 4 3" xfId="8682" xr:uid="{00000000-0005-0000-0000-0000EA510000}"/>
    <cellStyle name="Normal 10 2 5 4 3 2" xfId="15472" xr:uid="{00000000-0005-0000-0000-0000EB510000}"/>
    <cellStyle name="Normal 10 2 5 4 3 2 2" xfId="29040" xr:uid="{00000000-0005-0000-0000-0000EC510000}"/>
    <cellStyle name="Normal 10 2 5 4 3 2 2 2" xfId="56173" xr:uid="{00000000-0005-0000-0000-0000ED510000}"/>
    <cellStyle name="Normal 10 2 5 4 3 2 3" xfId="42611" xr:uid="{00000000-0005-0000-0000-0000EE510000}"/>
    <cellStyle name="Normal 10 2 5 4 3 3" xfId="22259" xr:uid="{00000000-0005-0000-0000-0000EF510000}"/>
    <cellStyle name="Normal 10 2 5 4 3 3 2" xfId="49392" xr:uid="{00000000-0005-0000-0000-0000F0510000}"/>
    <cellStyle name="Normal 10 2 5 4 3 4" xfId="35830" xr:uid="{00000000-0005-0000-0000-0000F1510000}"/>
    <cellStyle name="Normal 10 2 5 4 4" xfId="12083" xr:uid="{00000000-0005-0000-0000-0000F2510000}"/>
    <cellStyle name="Normal 10 2 5 4 4 2" xfId="25651" xr:uid="{00000000-0005-0000-0000-0000F3510000}"/>
    <cellStyle name="Normal 10 2 5 4 4 2 2" xfId="52784" xr:uid="{00000000-0005-0000-0000-0000F4510000}"/>
    <cellStyle name="Normal 10 2 5 4 4 3" xfId="39222" xr:uid="{00000000-0005-0000-0000-0000F5510000}"/>
    <cellStyle name="Normal 10 2 5 4 5" xfId="18870" xr:uid="{00000000-0005-0000-0000-0000F6510000}"/>
    <cellStyle name="Normal 10 2 5 4 5 2" xfId="46003" xr:uid="{00000000-0005-0000-0000-0000F7510000}"/>
    <cellStyle name="Normal 10 2 5 4 6" xfId="32441" xr:uid="{00000000-0005-0000-0000-0000F8510000}"/>
    <cellStyle name="Normal 10 2 5 5" xfId="5123" xr:uid="{00000000-0005-0000-0000-0000F9510000}"/>
    <cellStyle name="Normal 10 2 5 5 2" xfId="8684" xr:uid="{00000000-0005-0000-0000-0000FA510000}"/>
    <cellStyle name="Normal 10 2 5 5 2 2" xfId="15474" xr:uid="{00000000-0005-0000-0000-0000FB510000}"/>
    <cellStyle name="Normal 10 2 5 5 2 2 2" xfId="29042" xr:uid="{00000000-0005-0000-0000-0000FC510000}"/>
    <cellStyle name="Normal 10 2 5 5 2 2 2 2" xfId="56175" xr:uid="{00000000-0005-0000-0000-0000FD510000}"/>
    <cellStyle name="Normal 10 2 5 5 2 2 3" xfId="42613" xr:uid="{00000000-0005-0000-0000-0000FE510000}"/>
    <cellStyle name="Normal 10 2 5 5 2 3" xfId="22261" xr:uid="{00000000-0005-0000-0000-0000FF510000}"/>
    <cellStyle name="Normal 10 2 5 5 2 3 2" xfId="49394" xr:uid="{00000000-0005-0000-0000-000000520000}"/>
    <cellStyle name="Normal 10 2 5 5 2 4" xfId="35832" xr:uid="{00000000-0005-0000-0000-000001520000}"/>
    <cellStyle name="Normal 10 2 5 5 3" xfId="12085" xr:uid="{00000000-0005-0000-0000-000002520000}"/>
    <cellStyle name="Normal 10 2 5 5 3 2" xfId="25653" xr:uid="{00000000-0005-0000-0000-000003520000}"/>
    <cellStyle name="Normal 10 2 5 5 3 2 2" xfId="52786" xr:uid="{00000000-0005-0000-0000-000004520000}"/>
    <cellStyle name="Normal 10 2 5 5 3 3" xfId="39224" xr:uid="{00000000-0005-0000-0000-000005520000}"/>
    <cellStyle name="Normal 10 2 5 5 4" xfId="18872" xr:uid="{00000000-0005-0000-0000-000006520000}"/>
    <cellStyle name="Normal 10 2 5 5 4 2" xfId="46005" xr:uid="{00000000-0005-0000-0000-000007520000}"/>
    <cellStyle name="Normal 10 2 5 5 5" xfId="32443" xr:uid="{00000000-0005-0000-0000-000008520000}"/>
    <cellStyle name="Normal 10 2 5 6" xfId="5124" xr:uid="{00000000-0005-0000-0000-000009520000}"/>
    <cellStyle name="Normal 10 2 5 6 2" xfId="8685" xr:uid="{00000000-0005-0000-0000-00000A520000}"/>
    <cellStyle name="Normal 10 2 5 6 2 2" xfId="15475" xr:uid="{00000000-0005-0000-0000-00000B520000}"/>
    <cellStyle name="Normal 10 2 5 6 2 2 2" xfId="29043" xr:uid="{00000000-0005-0000-0000-00000C520000}"/>
    <cellStyle name="Normal 10 2 5 6 2 2 2 2" xfId="56176" xr:uid="{00000000-0005-0000-0000-00000D520000}"/>
    <cellStyle name="Normal 10 2 5 6 2 2 3" xfId="42614" xr:uid="{00000000-0005-0000-0000-00000E520000}"/>
    <cellStyle name="Normal 10 2 5 6 2 3" xfId="22262" xr:uid="{00000000-0005-0000-0000-00000F520000}"/>
    <cellStyle name="Normal 10 2 5 6 2 3 2" xfId="49395" xr:uid="{00000000-0005-0000-0000-000010520000}"/>
    <cellStyle name="Normal 10 2 5 6 2 4" xfId="35833" xr:uid="{00000000-0005-0000-0000-000011520000}"/>
    <cellStyle name="Normal 10 2 5 6 3" xfId="12086" xr:uid="{00000000-0005-0000-0000-000012520000}"/>
    <cellStyle name="Normal 10 2 5 6 3 2" xfId="25654" xr:uid="{00000000-0005-0000-0000-000013520000}"/>
    <cellStyle name="Normal 10 2 5 6 3 2 2" xfId="52787" xr:uid="{00000000-0005-0000-0000-000014520000}"/>
    <cellStyle name="Normal 10 2 5 6 3 3" xfId="39225" xr:uid="{00000000-0005-0000-0000-000015520000}"/>
    <cellStyle name="Normal 10 2 5 6 4" xfId="18873" xr:uid="{00000000-0005-0000-0000-000016520000}"/>
    <cellStyle name="Normal 10 2 5 6 4 2" xfId="46006" xr:uid="{00000000-0005-0000-0000-000017520000}"/>
    <cellStyle name="Normal 10 2 5 6 5" xfId="32444" xr:uid="{00000000-0005-0000-0000-000018520000}"/>
    <cellStyle name="Normal 10 2 5 7" xfId="8670" xr:uid="{00000000-0005-0000-0000-000019520000}"/>
    <cellStyle name="Normal 10 2 5 7 2" xfId="15460" xr:uid="{00000000-0005-0000-0000-00001A520000}"/>
    <cellStyle name="Normal 10 2 5 7 2 2" xfId="29028" xr:uid="{00000000-0005-0000-0000-00001B520000}"/>
    <cellStyle name="Normal 10 2 5 7 2 2 2" xfId="56161" xr:uid="{00000000-0005-0000-0000-00001C520000}"/>
    <cellStyle name="Normal 10 2 5 7 2 3" xfId="42599" xr:uid="{00000000-0005-0000-0000-00001D520000}"/>
    <cellStyle name="Normal 10 2 5 7 3" xfId="22247" xr:uid="{00000000-0005-0000-0000-00001E520000}"/>
    <cellStyle name="Normal 10 2 5 7 3 2" xfId="49380" xr:uid="{00000000-0005-0000-0000-00001F520000}"/>
    <cellStyle name="Normal 10 2 5 7 4" xfId="35818" xr:uid="{00000000-0005-0000-0000-000020520000}"/>
    <cellStyle name="Normal 10 2 5 8" xfId="12071" xr:uid="{00000000-0005-0000-0000-000021520000}"/>
    <cellStyle name="Normal 10 2 5 8 2" xfId="25639" xr:uid="{00000000-0005-0000-0000-000022520000}"/>
    <cellStyle name="Normal 10 2 5 8 2 2" xfId="52772" xr:uid="{00000000-0005-0000-0000-000023520000}"/>
    <cellStyle name="Normal 10 2 5 8 3" xfId="39210" xr:uid="{00000000-0005-0000-0000-000024520000}"/>
    <cellStyle name="Normal 10 2 5 9" xfId="18858" xr:uid="{00000000-0005-0000-0000-000025520000}"/>
    <cellStyle name="Normal 10 2 5 9 2" xfId="45991" xr:uid="{00000000-0005-0000-0000-000026520000}"/>
    <cellStyle name="Normal 10 2 6" xfId="5125" xr:uid="{00000000-0005-0000-0000-000027520000}"/>
    <cellStyle name="Normal 10 2 6 2" xfId="5126" xr:uid="{00000000-0005-0000-0000-000028520000}"/>
    <cellStyle name="Normal 10 2 6 2 2" xfId="5127" xr:uid="{00000000-0005-0000-0000-000029520000}"/>
    <cellStyle name="Normal 10 2 6 2 2 2" xfId="8688" xr:uid="{00000000-0005-0000-0000-00002A520000}"/>
    <cellStyle name="Normal 10 2 6 2 2 2 2" xfId="15478" xr:uid="{00000000-0005-0000-0000-00002B520000}"/>
    <cellStyle name="Normal 10 2 6 2 2 2 2 2" xfId="29046" xr:uid="{00000000-0005-0000-0000-00002C520000}"/>
    <cellStyle name="Normal 10 2 6 2 2 2 2 2 2" xfId="56179" xr:uid="{00000000-0005-0000-0000-00002D520000}"/>
    <cellStyle name="Normal 10 2 6 2 2 2 2 3" xfId="42617" xr:uid="{00000000-0005-0000-0000-00002E520000}"/>
    <cellStyle name="Normal 10 2 6 2 2 2 3" xfId="22265" xr:uid="{00000000-0005-0000-0000-00002F520000}"/>
    <cellStyle name="Normal 10 2 6 2 2 2 3 2" xfId="49398" xr:uid="{00000000-0005-0000-0000-000030520000}"/>
    <cellStyle name="Normal 10 2 6 2 2 2 4" xfId="35836" xr:uid="{00000000-0005-0000-0000-000031520000}"/>
    <cellStyle name="Normal 10 2 6 2 2 3" xfId="12089" xr:uid="{00000000-0005-0000-0000-000032520000}"/>
    <cellStyle name="Normal 10 2 6 2 2 3 2" xfId="25657" xr:uid="{00000000-0005-0000-0000-000033520000}"/>
    <cellStyle name="Normal 10 2 6 2 2 3 2 2" xfId="52790" xr:uid="{00000000-0005-0000-0000-000034520000}"/>
    <cellStyle name="Normal 10 2 6 2 2 3 3" xfId="39228" xr:uid="{00000000-0005-0000-0000-000035520000}"/>
    <cellStyle name="Normal 10 2 6 2 2 4" xfId="18876" xr:uid="{00000000-0005-0000-0000-000036520000}"/>
    <cellStyle name="Normal 10 2 6 2 2 4 2" xfId="46009" xr:uid="{00000000-0005-0000-0000-000037520000}"/>
    <cellStyle name="Normal 10 2 6 2 2 5" xfId="32447" xr:uid="{00000000-0005-0000-0000-000038520000}"/>
    <cellStyle name="Normal 10 2 6 2 3" xfId="5128" xr:uid="{00000000-0005-0000-0000-000039520000}"/>
    <cellStyle name="Normal 10 2 6 2 3 2" xfId="8689" xr:uid="{00000000-0005-0000-0000-00003A520000}"/>
    <cellStyle name="Normal 10 2 6 2 3 2 2" xfId="15479" xr:uid="{00000000-0005-0000-0000-00003B520000}"/>
    <cellStyle name="Normal 10 2 6 2 3 2 2 2" xfId="29047" xr:uid="{00000000-0005-0000-0000-00003C520000}"/>
    <cellStyle name="Normal 10 2 6 2 3 2 2 2 2" xfId="56180" xr:uid="{00000000-0005-0000-0000-00003D520000}"/>
    <cellStyle name="Normal 10 2 6 2 3 2 2 3" xfId="42618" xr:uid="{00000000-0005-0000-0000-00003E520000}"/>
    <cellStyle name="Normal 10 2 6 2 3 2 3" xfId="22266" xr:uid="{00000000-0005-0000-0000-00003F520000}"/>
    <cellStyle name="Normal 10 2 6 2 3 2 3 2" xfId="49399" xr:uid="{00000000-0005-0000-0000-000040520000}"/>
    <cellStyle name="Normal 10 2 6 2 3 2 4" xfId="35837" xr:uid="{00000000-0005-0000-0000-000041520000}"/>
    <cellStyle name="Normal 10 2 6 2 3 3" xfId="12090" xr:uid="{00000000-0005-0000-0000-000042520000}"/>
    <cellStyle name="Normal 10 2 6 2 3 3 2" xfId="25658" xr:uid="{00000000-0005-0000-0000-000043520000}"/>
    <cellStyle name="Normal 10 2 6 2 3 3 2 2" xfId="52791" xr:uid="{00000000-0005-0000-0000-000044520000}"/>
    <cellStyle name="Normal 10 2 6 2 3 3 3" xfId="39229" xr:uid="{00000000-0005-0000-0000-000045520000}"/>
    <cellStyle name="Normal 10 2 6 2 3 4" xfId="18877" xr:uid="{00000000-0005-0000-0000-000046520000}"/>
    <cellStyle name="Normal 10 2 6 2 3 4 2" xfId="46010" xr:uid="{00000000-0005-0000-0000-000047520000}"/>
    <cellStyle name="Normal 10 2 6 2 3 5" xfId="32448" xr:uid="{00000000-0005-0000-0000-000048520000}"/>
    <cellStyle name="Normal 10 2 6 2 4" xfId="8687" xr:uid="{00000000-0005-0000-0000-000049520000}"/>
    <cellStyle name="Normal 10 2 6 2 4 2" xfId="15477" xr:uid="{00000000-0005-0000-0000-00004A520000}"/>
    <cellStyle name="Normal 10 2 6 2 4 2 2" xfId="29045" xr:uid="{00000000-0005-0000-0000-00004B520000}"/>
    <cellStyle name="Normal 10 2 6 2 4 2 2 2" xfId="56178" xr:uid="{00000000-0005-0000-0000-00004C520000}"/>
    <cellStyle name="Normal 10 2 6 2 4 2 3" xfId="42616" xr:uid="{00000000-0005-0000-0000-00004D520000}"/>
    <cellStyle name="Normal 10 2 6 2 4 3" xfId="22264" xr:uid="{00000000-0005-0000-0000-00004E520000}"/>
    <cellStyle name="Normal 10 2 6 2 4 3 2" xfId="49397" xr:uid="{00000000-0005-0000-0000-00004F520000}"/>
    <cellStyle name="Normal 10 2 6 2 4 4" xfId="35835" xr:uid="{00000000-0005-0000-0000-000050520000}"/>
    <cellStyle name="Normal 10 2 6 2 5" xfId="12088" xr:uid="{00000000-0005-0000-0000-000051520000}"/>
    <cellStyle name="Normal 10 2 6 2 5 2" xfId="25656" xr:uid="{00000000-0005-0000-0000-000052520000}"/>
    <cellStyle name="Normal 10 2 6 2 5 2 2" xfId="52789" xr:uid="{00000000-0005-0000-0000-000053520000}"/>
    <cellStyle name="Normal 10 2 6 2 5 3" xfId="39227" xr:uid="{00000000-0005-0000-0000-000054520000}"/>
    <cellStyle name="Normal 10 2 6 2 6" xfId="18875" xr:uid="{00000000-0005-0000-0000-000055520000}"/>
    <cellStyle name="Normal 10 2 6 2 6 2" xfId="46008" xr:uid="{00000000-0005-0000-0000-000056520000}"/>
    <cellStyle name="Normal 10 2 6 2 7" xfId="32446" xr:uid="{00000000-0005-0000-0000-000057520000}"/>
    <cellStyle name="Normal 10 2 6 3" xfId="5129" xr:uid="{00000000-0005-0000-0000-000058520000}"/>
    <cellStyle name="Normal 10 2 6 3 2" xfId="5130" xr:uid="{00000000-0005-0000-0000-000059520000}"/>
    <cellStyle name="Normal 10 2 6 3 2 2" xfId="8691" xr:uid="{00000000-0005-0000-0000-00005A520000}"/>
    <cellStyle name="Normal 10 2 6 3 2 2 2" xfId="15481" xr:uid="{00000000-0005-0000-0000-00005B520000}"/>
    <cellStyle name="Normal 10 2 6 3 2 2 2 2" xfId="29049" xr:uid="{00000000-0005-0000-0000-00005C520000}"/>
    <cellStyle name="Normal 10 2 6 3 2 2 2 2 2" xfId="56182" xr:uid="{00000000-0005-0000-0000-00005D520000}"/>
    <cellStyle name="Normal 10 2 6 3 2 2 2 3" xfId="42620" xr:uid="{00000000-0005-0000-0000-00005E520000}"/>
    <cellStyle name="Normal 10 2 6 3 2 2 3" xfId="22268" xr:uid="{00000000-0005-0000-0000-00005F520000}"/>
    <cellStyle name="Normal 10 2 6 3 2 2 3 2" xfId="49401" xr:uid="{00000000-0005-0000-0000-000060520000}"/>
    <cellStyle name="Normal 10 2 6 3 2 2 4" xfId="35839" xr:uid="{00000000-0005-0000-0000-000061520000}"/>
    <cellStyle name="Normal 10 2 6 3 2 3" xfId="12092" xr:uid="{00000000-0005-0000-0000-000062520000}"/>
    <cellStyle name="Normal 10 2 6 3 2 3 2" xfId="25660" xr:uid="{00000000-0005-0000-0000-000063520000}"/>
    <cellStyle name="Normal 10 2 6 3 2 3 2 2" xfId="52793" xr:uid="{00000000-0005-0000-0000-000064520000}"/>
    <cellStyle name="Normal 10 2 6 3 2 3 3" xfId="39231" xr:uid="{00000000-0005-0000-0000-000065520000}"/>
    <cellStyle name="Normal 10 2 6 3 2 4" xfId="18879" xr:uid="{00000000-0005-0000-0000-000066520000}"/>
    <cellStyle name="Normal 10 2 6 3 2 4 2" xfId="46012" xr:uid="{00000000-0005-0000-0000-000067520000}"/>
    <cellStyle name="Normal 10 2 6 3 2 5" xfId="32450" xr:uid="{00000000-0005-0000-0000-000068520000}"/>
    <cellStyle name="Normal 10 2 6 3 3" xfId="8690" xr:uid="{00000000-0005-0000-0000-000069520000}"/>
    <cellStyle name="Normal 10 2 6 3 3 2" xfId="15480" xr:uid="{00000000-0005-0000-0000-00006A520000}"/>
    <cellStyle name="Normal 10 2 6 3 3 2 2" xfId="29048" xr:uid="{00000000-0005-0000-0000-00006B520000}"/>
    <cellStyle name="Normal 10 2 6 3 3 2 2 2" xfId="56181" xr:uid="{00000000-0005-0000-0000-00006C520000}"/>
    <cellStyle name="Normal 10 2 6 3 3 2 3" xfId="42619" xr:uid="{00000000-0005-0000-0000-00006D520000}"/>
    <cellStyle name="Normal 10 2 6 3 3 3" xfId="22267" xr:uid="{00000000-0005-0000-0000-00006E520000}"/>
    <cellStyle name="Normal 10 2 6 3 3 3 2" xfId="49400" xr:uid="{00000000-0005-0000-0000-00006F520000}"/>
    <cellStyle name="Normal 10 2 6 3 3 4" xfId="35838" xr:uid="{00000000-0005-0000-0000-000070520000}"/>
    <cellStyle name="Normal 10 2 6 3 4" xfId="12091" xr:uid="{00000000-0005-0000-0000-000071520000}"/>
    <cellStyle name="Normal 10 2 6 3 4 2" xfId="25659" xr:uid="{00000000-0005-0000-0000-000072520000}"/>
    <cellStyle name="Normal 10 2 6 3 4 2 2" xfId="52792" xr:uid="{00000000-0005-0000-0000-000073520000}"/>
    <cellStyle name="Normal 10 2 6 3 4 3" xfId="39230" xr:uid="{00000000-0005-0000-0000-000074520000}"/>
    <cellStyle name="Normal 10 2 6 3 5" xfId="18878" xr:uid="{00000000-0005-0000-0000-000075520000}"/>
    <cellStyle name="Normal 10 2 6 3 5 2" xfId="46011" xr:uid="{00000000-0005-0000-0000-000076520000}"/>
    <cellStyle name="Normal 10 2 6 3 6" xfId="32449" xr:uid="{00000000-0005-0000-0000-000077520000}"/>
    <cellStyle name="Normal 10 2 6 4" xfId="5131" xr:uid="{00000000-0005-0000-0000-000078520000}"/>
    <cellStyle name="Normal 10 2 6 4 2" xfId="8692" xr:uid="{00000000-0005-0000-0000-000079520000}"/>
    <cellStyle name="Normal 10 2 6 4 2 2" xfId="15482" xr:uid="{00000000-0005-0000-0000-00007A520000}"/>
    <cellStyle name="Normal 10 2 6 4 2 2 2" xfId="29050" xr:uid="{00000000-0005-0000-0000-00007B520000}"/>
    <cellStyle name="Normal 10 2 6 4 2 2 2 2" xfId="56183" xr:uid="{00000000-0005-0000-0000-00007C520000}"/>
    <cellStyle name="Normal 10 2 6 4 2 2 3" xfId="42621" xr:uid="{00000000-0005-0000-0000-00007D520000}"/>
    <cellStyle name="Normal 10 2 6 4 2 3" xfId="22269" xr:uid="{00000000-0005-0000-0000-00007E520000}"/>
    <cellStyle name="Normal 10 2 6 4 2 3 2" xfId="49402" xr:uid="{00000000-0005-0000-0000-00007F520000}"/>
    <cellStyle name="Normal 10 2 6 4 2 4" xfId="35840" xr:uid="{00000000-0005-0000-0000-000080520000}"/>
    <cellStyle name="Normal 10 2 6 4 3" xfId="12093" xr:uid="{00000000-0005-0000-0000-000081520000}"/>
    <cellStyle name="Normal 10 2 6 4 3 2" xfId="25661" xr:uid="{00000000-0005-0000-0000-000082520000}"/>
    <cellStyle name="Normal 10 2 6 4 3 2 2" xfId="52794" xr:uid="{00000000-0005-0000-0000-000083520000}"/>
    <cellStyle name="Normal 10 2 6 4 3 3" xfId="39232" xr:uid="{00000000-0005-0000-0000-000084520000}"/>
    <cellStyle name="Normal 10 2 6 4 4" xfId="18880" xr:uid="{00000000-0005-0000-0000-000085520000}"/>
    <cellStyle name="Normal 10 2 6 4 4 2" xfId="46013" xr:uid="{00000000-0005-0000-0000-000086520000}"/>
    <cellStyle name="Normal 10 2 6 4 5" xfId="32451" xr:uid="{00000000-0005-0000-0000-000087520000}"/>
    <cellStyle name="Normal 10 2 6 5" xfId="5132" xr:uid="{00000000-0005-0000-0000-000088520000}"/>
    <cellStyle name="Normal 10 2 6 5 2" xfId="8693" xr:uid="{00000000-0005-0000-0000-000089520000}"/>
    <cellStyle name="Normal 10 2 6 5 2 2" xfId="15483" xr:uid="{00000000-0005-0000-0000-00008A520000}"/>
    <cellStyle name="Normal 10 2 6 5 2 2 2" xfId="29051" xr:uid="{00000000-0005-0000-0000-00008B520000}"/>
    <cellStyle name="Normal 10 2 6 5 2 2 2 2" xfId="56184" xr:uid="{00000000-0005-0000-0000-00008C520000}"/>
    <cellStyle name="Normal 10 2 6 5 2 2 3" xfId="42622" xr:uid="{00000000-0005-0000-0000-00008D520000}"/>
    <cellStyle name="Normal 10 2 6 5 2 3" xfId="22270" xr:uid="{00000000-0005-0000-0000-00008E520000}"/>
    <cellStyle name="Normal 10 2 6 5 2 3 2" xfId="49403" xr:uid="{00000000-0005-0000-0000-00008F520000}"/>
    <cellStyle name="Normal 10 2 6 5 2 4" xfId="35841" xr:uid="{00000000-0005-0000-0000-000090520000}"/>
    <cellStyle name="Normal 10 2 6 5 3" xfId="12094" xr:uid="{00000000-0005-0000-0000-000091520000}"/>
    <cellStyle name="Normal 10 2 6 5 3 2" xfId="25662" xr:uid="{00000000-0005-0000-0000-000092520000}"/>
    <cellStyle name="Normal 10 2 6 5 3 2 2" xfId="52795" xr:uid="{00000000-0005-0000-0000-000093520000}"/>
    <cellStyle name="Normal 10 2 6 5 3 3" xfId="39233" xr:uid="{00000000-0005-0000-0000-000094520000}"/>
    <cellStyle name="Normal 10 2 6 5 4" xfId="18881" xr:uid="{00000000-0005-0000-0000-000095520000}"/>
    <cellStyle name="Normal 10 2 6 5 4 2" xfId="46014" xr:uid="{00000000-0005-0000-0000-000096520000}"/>
    <cellStyle name="Normal 10 2 6 5 5" xfId="32452" xr:uid="{00000000-0005-0000-0000-000097520000}"/>
    <cellStyle name="Normal 10 2 6 6" xfId="8686" xr:uid="{00000000-0005-0000-0000-000098520000}"/>
    <cellStyle name="Normal 10 2 6 6 2" xfId="15476" xr:uid="{00000000-0005-0000-0000-000099520000}"/>
    <cellStyle name="Normal 10 2 6 6 2 2" xfId="29044" xr:uid="{00000000-0005-0000-0000-00009A520000}"/>
    <cellStyle name="Normal 10 2 6 6 2 2 2" xfId="56177" xr:uid="{00000000-0005-0000-0000-00009B520000}"/>
    <cellStyle name="Normal 10 2 6 6 2 3" xfId="42615" xr:uid="{00000000-0005-0000-0000-00009C520000}"/>
    <cellStyle name="Normal 10 2 6 6 3" xfId="22263" xr:uid="{00000000-0005-0000-0000-00009D520000}"/>
    <cellStyle name="Normal 10 2 6 6 3 2" xfId="49396" xr:uid="{00000000-0005-0000-0000-00009E520000}"/>
    <cellStyle name="Normal 10 2 6 6 4" xfId="35834" xr:uid="{00000000-0005-0000-0000-00009F520000}"/>
    <cellStyle name="Normal 10 2 6 7" xfId="12087" xr:uid="{00000000-0005-0000-0000-0000A0520000}"/>
    <cellStyle name="Normal 10 2 6 7 2" xfId="25655" xr:uid="{00000000-0005-0000-0000-0000A1520000}"/>
    <cellStyle name="Normal 10 2 6 7 2 2" xfId="52788" xr:uid="{00000000-0005-0000-0000-0000A2520000}"/>
    <cellStyle name="Normal 10 2 6 7 3" xfId="39226" xr:uid="{00000000-0005-0000-0000-0000A3520000}"/>
    <cellStyle name="Normal 10 2 6 8" xfId="18874" xr:uid="{00000000-0005-0000-0000-0000A4520000}"/>
    <cellStyle name="Normal 10 2 6 8 2" xfId="46007" xr:uid="{00000000-0005-0000-0000-0000A5520000}"/>
    <cellStyle name="Normal 10 2 6 9" xfId="32445" xr:uid="{00000000-0005-0000-0000-0000A6520000}"/>
    <cellStyle name="Normal 10 2 7" xfId="5133" xr:uid="{00000000-0005-0000-0000-0000A7520000}"/>
    <cellStyle name="Normal 10 2 7 2" xfId="5134" xr:uid="{00000000-0005-0000-0000-0000A8520000}"/>
    <cellStyle name="Normal 10 2 7 2 2" xfId="5135" xr:uid="{00000000-0005-0000-0000-0000A9520000}"/>
    <cellStyle name="Normal 10 2 7 2 2 2" xfId="8696" xr:uid="{00000000-0005-0000-0000-0000AA520000}"/>
    <cellStyle name="Normal 10 2 7 2 2 2 2" xfId="15486" xr:uid="{00000000-0005-0000-0000-0000AB520000}"/>
    <cellStyle name="Normal 10 2 7 2 2 2 2 2" xfId="29054" xr:uid="{00000000-0005-0000-0000-0000AC520000}"/>
    <cellStyle name="Normal 10 2 7 2 2 2 2 2 2" xfId="56187" xr:uid="{00000000-0005-0000-0000-0000AD520000}"/>
    <cellStyle name="Normal 10 2 7 2 2 2 2 3" xfId="42625" xr:uid="{00000000-0005-0000-0000-0000AE520000}"/>
    <cellStyle name="Normal 10 2 7 2 2 2 3" xfId="22273" xr:uid="{00000000-0005-0000-0000-0000AF520000}"/>
    <cellStyle name="Normal 10 2 7 2 2 2 3 2" xfId="49406" xr:uid="{00000000-0005-0000-0000-0000B0520000}"/>
    <cellStyle name="Normal 10 2 7 2 2 2 4" xfId="35844" xr:uid="{00000000-0005-0000-0000-0000B1520000}"/>
    <cellStyle name="Normal 10 2 7 2 2 3" xfId="12097" xr:uid="{00000000-0005-0000-0000-0000B2520000}"/>
    <cellStyle name="Normal 10 2 7 2 2 3 2" xfId="25665" xr:uid="{00000000-0005-0000-0000-0000B3520000}"/>
    <cellStyle name="Normal 10 2 7 2 2 3 2 2" xfId="52798" xr:uid="{00000000-0005-0000-0000-0000B4520000}"/>
    <cellStyle name="Normal 10 2 7 2 2 3 3" xfId="39236" xr:uid="{00000000-0005-0000-0000-0000B5520000}"/>
    <cellStyle name="Normal 10 2 7 2 2 4" xfId="18884" xr:uid="{00000000-0005-0000-0000-0000B6520000}"/>
    <cellStyle name="Normal 10 2 7 2 2 4 2" xfId="46017" xr:uid="{00000000-0005-0000-0000-0000B7520000}"/>
    <cellStyle name="Normal 10 2 7 2 2 5" xfId="32455" xr:uid="{00000000-0005-0000-0000-0000B8520000}"/>
    <cellStyle name="Normal 10 2 7 2 3" xfId="5136" xr:uid="{00000000-0005-0000-0000-0000B9520000}"/>
    <cellStyle name="Normal 10 2 7 2 3 2" xfId="8697" xr:uid="{00000000-0005-0000-0000-0000BA520000}"/>
    <cellStyle name="Normal 10 2 7 2 3 2 2" xfId="15487" xr:uid="{00000000-0005-0000-0000-0000BB520000}"/>
    <cellStyle name="Normal 10 2 7 2 3 2 2 2" xfId="29055" xr:uid="{00000000-0005-0000-0000-0000BC520000}"/>
    <cellStyle name="Normal 10 2 7 2 3 2 2 2 2" xfId="56188" xr:uid="{00000000-0005-0000-0000-0000BD520000}"/>
    <cellStyle name="Normal 10 2 7 2 3 2 2 3" xfId="42626" xr:uid="{00000000-0005-0000-0000-0000BE520000}"/>
    <cellStyle name="Normal 10 2 7 2 3 2 3" xfId="22274" xr:uid="{00000000-0005-0000-0000-0000BF520000}"/>
    <cellStyle name="Normal 10 2 7 2 3 2 3 2" xfId="49407" xr:uid="{00000000-0005-0000-0000-0000C0520000}"/>
    <cellStyle name="Normal 10 2 7 2 3 2 4" xfId="35845" xr:uid="{00000000-0005-0000-0000-0000C1520000}"/>
    <cellStyle name="Normal 10 2 7 2 3 3" xfId="12098" xr:uid="{00000000-0005-0000-0000-0000C2520000}"/>
    <cellStyle name="Normal 10 2 7 2 3 3 2" xfId="25666" xr:uid="{00000000-0005-0000-0000-0000C3520000}"/>
    <cellStyle name="Normal 10 2 7 2 3 3 2 2" xfId="52799" xr:uid="{00000000-0005-0000-0000-0000C4520000}"/>
    <cellStyle name="Normal 10 2 7 2 3 3 3" xfId="39237" xr:uid="{00000000-0005-0000-0000-0000C5520000}"/>
    <cellStyle name="Normal 10 2 7 2 3 4" xfId="18885" xr:uid="{00000000-0005-0000-0000-0000C6520000}"/>
    <cellStyle name="Normal 10 2 7 2 3 4 2" xfId="46018" xr:uid="{00000000-0005-0000-0000-0000C7520000}"/>
    <cellStyle name="Normal 10 2 7 2 3 5" xfId="32456" xr:uid="{00000000-0005-0000-0000-0000C8520000}"/>
    <cellStyle name="Normal 10 2 7 2 4" xfId="8695" xr:uid="{00000000-0005-0000-0000-0000C9520000}"/>
    <cellStyle name="Normal 10 2 7 2 4 2" xfId="15485" xr:uid="{00000000-0005-0000-0000-0000CA520000}"/>
    <cellStyle name="Normal 10 2 7 2 4 2 2" xfId="29053" xr:uid="{00000000-0005-0000-0000-0000CB520000}"/>
    <cellStyle name="Normal 10 2 7 2 4 2 2 2" xfId="56186" xr:uid="{00000000-0005-0000-0000-0000CC520000}"/>
    <cellStyle name="Normal 10 2 7 2 4 2 3" xfId="42624" xr:uid="{00000000-0005-0000-0000-0000CD520000}"/>
    <cellStyle name="Normal 10 2 7 2 4 3" xfId="22272" xr:uid="{00000000-0005-0000-0000-0000CE520000}"/>
    <cellStyle name="Normal 10 2 7 2 4 3 2" xfId="49405" xr:uid="{00000000-0005-0000-0000-0000CF520000}"/>
    <cellStyle name="Normal 10 2 7 2 4 4" xfId="35843" xr:uid="{00000000-0005-0000-0000-0000D0520000}"/>
    <cellStyle name="Normal 10 2 7 2 5" xfId="12096" xr:uid="{00000000-0005-0000-0000-0000D1520000}"/>
    <cellStyle name="Normal 10 2 7 2 5 2" xfId="25664" xr:uid="{00000000-0005-0000-0000-0000D2520000}"/>
    <cellStyle name="Normal 10 2 7 2 5 2 2" xfId="52797" xr:uid="{00000000-0005-0000-0000-0000D3520000}"/>
    <cellStyle name="Normal 10 2 7 2 5 3" xfId="39235" xr:uid="{00000000-0005-0000-0000-0000D4520000}"/>
    <cellStyle name="Normal 10 2 7 2 6" xfId="18883" xr:uid="{00000000-0005-0000-0000-0000D5520000}"/>
    <cellStyle name="Normal 10 2 7 2 6 2" xfId="46016" xr:uid="{00000000-0005-0000-0000-0000D6520000}"/>
    <cellStyle name="Normal 10 2 7 2 7" xfId="32454" xr:uid="{00000000-0005-0000-0000-0000D7520000}"/>
    <cellStyle name="Normal 10 2 7 3" xfId="5137" xr:uid="{00000000-0005-0000-0000-0000D8520000}"/>
    <cellStyle name="Normal 10 2 7 3 2" xfId="8698" xr:uid="{00000000-0005-0000-0000-0000D9520000}"/>
    <cellStyle name="Normal 10 2 7 3 2 2" xfId="15488" xr:uid="{00000000-0005-0000-0000-0000DA520000}"/>
    <cellStyle name="Normal 10 2 7 3 2 2 2" xfId="29056" xr:uid="{00000000-0005-0000-0000-0000DB520000}"/>
    <cellStyle name="Normal 10 2 7 3 2 2 2 2" xfId="56189" xr:uid="{00000000-0005-0000-0000-0000DC520000}"/>
    <cellStyle name="Normal 10 2 7 3 2 2 3" xfId="42627" xr:uid="{00000000-0005-0000-0000-0000DD520000}"/>
    <cellStyle name="Normal 10 2 7 3 2 3" xfId="22275" xr:uid="{00000000-0005-0000-0000-0000DE520000}"/>
    <cellStyle name="Normal 10 2 7 3 2 3 2" xfId="49408" xr:uid="{00000000-0005-0000-0000-0000DF520000}"/>
    <cellStyle name="Normal 10 2 7 3 2 4" xfId="35846" xr:uid="{00000000-0005-0000-0000-0000E0520000}"/>
    <cellStyle name="Normal 10 2 7 3 3" xfId="12099" xr:uid="{00000000-0005-0000-0000-0000E1520000}"/>
    <cellStyle name="Normal 10 2 7 3 3 2" xfId="25667" xr:uid="{00000000-0005-0000-0000-0000E2520000}"/>
    <cellStyle name="Normal 10 2 7 3 3 2 2" xfId="52800" xr:uid="{00000000-0005-0000-0000-0000E3520000}"/>
    <cellStyle name="Normal 10 2 7 3 3 3" xfId="39238" xr:uid="{00000000-0005-0000-0000-0000E4520000}"/>
    <cellStyle name="Normal 10 2 7 3 4" xfId="18886" xr:uid="{00000000-0005-0000-0000-0000E5520000}"/>
    <cellStyle name="Normal 10 2 7 3 4 2" xfId="46019" xr:uid="{00000000-0005-0000-0000-0000E6520000}"/>
    <cellStyle name="Normal 10 2 7 3 5" xfId="32457" xr:uid="{00000000-0005-0000-0000-0000E7520000}"/>
    <cellStyle name="Normal 10 2 7 4" xfId="5138" xr:uid="{00000000-0005-0000-0000-0000E8520000}"/>
    <cellStyle name="Normal 10 2 7 4 2" xfId="8699" xr:uid="{00000000-0005-0000-0000-0000E9520000}"/>
    <cellStyle name="Normal 10 2 7 4 2 2" xfId="15489" xr:uid="{00000000-0005-0000-0000-0000EA520000}"/>
    <cellStyle name="Normal 10 2 7 4 2 2 2" xfId="29057" xr:uid="{00000000-0005-0000-0000-0000EB520000}"/>
    <cellStyle name="Normal 10 2 7 4 2 2 2 2" xfId="56190" xr:uid="{00000000-0005-0000-0000-0000EC520000}"/>
    <cellStyle name="Normal 10 2 7 4 2 2 3" xfId="42628" xr:uid="{00000000-0005-0000-0000-0000ED520000}"/>
    <cellStyle name="Normal 10 2 7 4 2 3" xfId="22276" xr:uid="{00000000-0005-0000-0000-0000EE520000}"/>
    <cellStyle name="Normal 10 2 7 4 2 3 2" xfId="49409" xr:uid="{00000000-0005-0000-0000-0000EF520000}"/>
    <cellStyle name="Normal 10 2 7 4 2 4" xfId="35847" xr:uid="{00000000-0005-0000-0000-0000F0520000}"/>
    <cellStyle name="Normal 10 2 7 4 3" xfId="12100" xr:uid="{00000000-0005-0000-0000-0000F1520000}"/>
    <cellStyle name="Normal 10 2 7 4 3 2" xfId="25668" xr:uid="{00000000-0005-0000-0000-0000F2520000}"/>
    <cellStyle name="Normal 10 2 7 4 3 2 2" xfId="52801" xr:uid="{00000000-0005-0000-0000-0000F3520000}"/>
    <cellStyle name="Normal 10 2 7 4 3 3" xfId="39239" xr:uid="{00000000-0005-0000-0000-0000F4520000}"/>
    <cellStyle name="Normal 10 2 7 4 4" xfId="18887" xr:uid="{00000000-0005-0000-0000-0000F5520000}"/>
    <cellStyle name="Normal 10 2 7 4 4 2" xfId="46020" xr:uid="{00000000-0005-0000-0000-0000F6520000}"/>
    <cellStyle name="Normal 10 2 7 4 5" xfId="32458" xr:uid="{00000000-0005-0000-0000-0000F7520000}"/>
    <cellStyle name="Normal 10 2 7 5" xfId="8694" xr:uid="{00000000-0005-0000-0000-0000F8520000}"/>
    <cellStyle name="Normal 10 2 7 5 2" xfId="15484" xr:uid="{00000000-0005-0000-0000-0000F9520000}"/>
    <cellStyle name="Normal 10 2 7 5 2 2" xfId="29052" xr:uid="{00000000-0005-0000-0000-0000FA520000}"/>
    <cellStyle name="Normal 10 2 7 5 2 2 2" xfId="56185" xr:uid="{00000000-0005-0000-0000-0000FB520000}"/>
    <cellStyle name="Normal 10 2 7 5 2 3" xfId="42623" xr:uid="{00000000-0005-0000-0000-0000FC520000}"/>
    <cellStyle name="Normal 10 2 7 5 3" xfId="22271" xr:uid="{00000000-0005-0000-0000-0000FD520000}"/>
    <cellStyle name="Normal 10 2 7 5 3 2" xfId="49404" xr:uid="{00000000-0005-0000-0000-0000FE520000}"/>
    <cellStyle name="Normal 10 2 7 5 4" xfId="35842" xr:uid="{00000000-0005-0000-0000-0000FF520000}"/>
    <cellStyle name="Normal 10 2 7 6" xfId="12095" xr:uid="{00000000-0005-0000-0000-000000530000}"/>
    <cellStyle name="Normal 10 2 7 6 2" xfId="25663" xr:uid="{00000000-0005-0000-0000-000001530000}"/>
    <cellStyle name="Normal 10 2 7 6 2 2" xfId="52796" xr:uid="{00000000-0005-0000-0000-000002530000}"/>
    <cellStyle name="Normal 10 2 7 6 3" xfId="39234" xr:uid="{00000000-0005-0000-0000-000003530000}"/>
    <cellStyle name="Normal 10 2 7 7" xfId="18882" xr:uid="{00000000-0005-0000-0000-000004530000}"/>
    <cellStyle name="Normal 10 2 7 7 2" xfId="46015" xr:uid="{00000000-0005-0000-0000-000005530000}"/>
    <cellStyle name="Normal 10 2 7 8" xfId="32453" xr:uid="{00000000-0005-0000-0000-000006530000}"/>
    <cellStyle name="Normal 10 2 8" xfId="5139" xr:uid="{00000000-0005-0000-0000-000007530000}"/>
    <cellStyle name="Normal 10 2 8 2" xfId="5140" xr:uid="{00000000-0005-0000-0000-000008530000}"/>
    <cellStyle name="Normal 10 2 8 2 2" xfId="5141" xr:uid="{00000000-0005-0000-0000-000009530000}"/>
    <cellStyle name="Normal 10 2 8 2 2 2" xfId="8702" xr:uid="{00000000-0005-0000-0000-00000A530000}"/>
    <cellStyle name="Normal 10 2 8 2 2 2 2" xfId="15492" xr:uid="{00000000-0005-0000-0000-00000B530000}"/>
    <cellStyle name="Normal 10 2 8 2 2 2 2 2" xfId="29060" xr:uid="{00000000-0005-0000-0000-00000C530000}"/>
    <cellStyle name="Normal 10 2 8 2 2 2 2 2 2" xfId="56193" xr:uid="{00000000-0005-0000-0000-00000D530000}"/>
    <cellStyle name="Normal 10 2 8 2 2 2 2 3" xfId="42631" xr:uid="{00000000-0005-0000-0000-00000E530000}"/>
    <cellStyle name="Normal 10 2 8 2 2 2 3" xfId="22279" xr:uid="{00000000-0005-0000-0000-00000F530000}"/>
    <cellStyle name="Normal 10 2 8 2 2 2 3 2" xfId="49412" xr:uid="{00000000-0005-0000-0000-000010530000}"/>
    <cellStyle name="Normal 10 2 8 2 2 2 4" xfId="35850" xr:uid="{00000000-0005-0000-0000-000011530000}"/>
    <cellStyle name="Normal 10 2 8 2 2 3" xfId="12103" xr:uid="{00000000-0005-0000-0000-000012530000}"/>
    <cellStyle name="Normal 10 2 8 2 2 3 2" xfId="25671" xr:uid="{00000000-0005-0000-0000-000013530000}"/>
    <cellStyle name="Normal 10 2 8 2 2 3 2 2" xfId="52804" xr:uid="{00000000-0005-0000-0000-000014530000}"/>
    <cellStyle name="Normal 10 2 8 2 2 3 3" xfId="39242" xr:uid="{00000000-0005-0000-0000-000015530000}"/>
    <cellStyle name="Normal 10 2 8 2 2 4" xfId="18890" xr:uid="{00000000-0005-0000-0000-000016530000}"/>
    <cellStyle name="Normal 10 2 8 2 2 4 2" xfId="46023" xr:uid="{00000000-0005-0000-0000-000017530000}"/>
    <cellStyle name="Normal 10 2 8 2 2 5" xfId="32461" xr:uid="{00000000-0005-0000-0000-000018530000}"/>
    <cellStyle name="Normal 10 2 8 2 3" xfId="5142" xr:uid="{00000000-0005-0000-0000-000019530000}"/>
    <cellStyle name="Normal 10 2 8 2 3 2" xfId="8703" xr:uid="{00000000-0005-0000-0000-00001A530000}"/>
    <cellStyle name="Normal 10 2 8 2 3 2 2" xfId="15493" xr:uid="{00000000-0005-0000-0000-00001B530000}"/>
    <cellStyle name="Normal 10 2 8 2 3 2 2 2" xfId="29061" xr:uid="{00000000-0005-0000-0000-00001C530000}"/>
    <cellStyle name="Normal 10 2 8 2 3 2 2 2 2" xfId="56194" xr:uid="{00000000-0005-0000-0000-00001D530000}"/>
    <cellStyle name="Normal 10 2 8 2 3 2 2 3" xfId="42632" xr:uid="{00000000-0005-0000-0000-00001E530000}"/>
    <cellStyle name="Normal 10 2 8 2 3 2 3" xfId="22280" xr:uid="{00000000-0005-0000-0000-00001F530000}"/>
    <cellStyle name="Normal 10 2 8 2 3 2 3 2" xfId="49413" xr:uid="{00000000-0005-0000-0000-000020530000}"/>
    <cellStyle name="Normal 10 2 8 2 3 2 4" xfId="35851" xr:uid="{00000000-0005-0000-0000-000021530000}"/>
    <cellStyle name="Normal 10 2 8 2 3 3" xfId="12104" xr:uid="{00000000-0005-0000-0000-000022530000}"/>
    <cellStyle name="Normal 10 2 8 2 3 3 2" xfId="25672" xr:uid="{00000000-0005-0000-0000-000023530000}"/>
    <cellStyle name="Normal 10 2 8 2 3 3 2 2" xfId="52805" xr:uid="{00000000-0005-0000-0000-000024530000}"/>
    <cellStyle name="Normal 10 2 8 2 3 3 3" xfId="39243" xr:uid="{00000000-0005-0000-0000-000025530000}"/>
    <cellStyle name="Normal 10 2 8 2 3 4" xfId="18891" xr:uid="{00000000-0005-0000-0000-000026530000}"/>
    <cellStyle name="Normal 10 2 8 2 3 4 2" xfId="46024" xr:uid="{00000000-0005-0000-0000-000027530000}"/>
    <cellStyle name="Normal 10 2 8 2 3 5" xfId="32462" xr:uid="{00000000-0005-0000-0000-000028530000}"/>
    <cellStyle name="Normal 10 2 8 2 4" xfId="8701" xr:uid="{00000000-0005-0000-0000-000029530000}"/>
    <cellStyle name="Normal 10 2 8 2 4 2" xfId="15491" xr:uid="{00000000-0005-0000-0000-00002A530000}"/>
    <cellStyle name="Normal 10 2 8 2 4 2 2" xfId="29059" xr:uid="{00000000-0005-0000-0000-00002B530000}"/>
    <cellStyle name="Normal 10 2 8 2 4 2 2 2" xfId="56192" xr:uid="{00000000-0005-0000-0000-00002C530000}"/>
    <cellStyle name="Normal 10 2 8 2 4 2 3" xfId="42630" xr:uid="{00000000-0005-0000-0000-00002D530000}"/>
    <cellStyle name="Normal 10 2 8 2 4 3" xfId="22278" xr:uid="{00000000-0005-0000-0000-00002E530000}"/>
    <cellStyle name="Normal 10 2 8 2 4 3 2" xfId="49411" xr:uid="{00000000-0005-0000-0000-00002F530000}"/>
    <cellStyle name="Normal 10 2 8 2 4 4" xfId="35849" xr:uid="{00000000-0005-0000-0000-000030530000}"/>
    <cellStyle name="Normal 10 2 8 2 5" xfId="12102" xr:uid="{00000000-0005-0000-0000-000031530000}"/>
    <cellStyle name="Normal 10 2 8 2 5 2" xfId="25670" xr:uid="{00000000-0005-0000-0000-000032530000}"/>
    <cellStyle name="Normal 10 2 8 2 5 2 2" xfId="52803" xr:uid="{00000000-0005-0000-0000-000033530000}"/>
    <cellStyle name="Normal 10 2 8 2 5 3" xfId="39241" xr:uid="{00000000-0005-0000-0000-000034530000}"/>
    <cellStyle name="Normal 10 2 8 2 6" xfId="18889" xr:uid="{00000000-0005-0000-0000-000035530000}"/>
    <cellStyle name="Normal 10 2 8 2 6 2" xfId="46022" xr:uid="{00000000-0005-0000-0000-000036530000}"/>
    <cellStyle name="Normal 10 2 8 2 7" xfId="32460" xr:uid="{00000000-0005-0000-0000-000037530000}"/>
    <cellStyle name="Normal 10 2 8 3" xfId="5143" xr:uid="{00000000-0005-0000-0000-000038530000}"/>
    <cellStyle name="Normal 10 2 8 3 2" xfId="8704" xr:uid="{00000000-0005-0000-0000-000039530000}"/>
    <cellStyle name="Normal 10 2 8 3 2 2" xfId="15494" xr:uid="{00000000-0005-0000-0000-00003A530000}"/>
    <cellStyle name="Normal 10 2 8 3 2 2 2" xfId="29062" xr:uid="{00000000-0005-0000-0000-00003B530000}"/>
    <cellStyle name="Normal 10 2 8 3 2 2 2 2" xfId="56195" xr:uid="{00000000-0005-0000-0000-00003C530000}"/>
    <cellStyle name="Normal 10 2 8 3 2 2 3" xfId="42633" xr:uid="{00000000-0005-0000-0000-00003D530000}"/>
    <cellStyle name="Normal 10 2 8 3 2 3" xfId="22281" xr:uid="{00000000-0005-0000-0000-00003E530000}"/>
    <cellStyle name="Normal 10 2 8 3 2 3 2" xfId="49414" xr:uid="{00000000-0005-0000-0000-00003F530000}"/>
    <cellStyle name="Normal 10 2 8 3 2 4" xfId="35852" xr:uid="{00000000-0005-0000-0000-000040530000}"/>
    <cellStyle name="Normal 10 2 8 3 3" xfId="12105" xr:uid="{00000000-0005-0000-0000-000041530000}"/>
    <cellStyle name="Normal 10 2 8 3 3 2" xfId="25673" xr:uid="{00000000-0005-0000-0000-000042530000}"/>
    <cellStyle name="Normal 10 2 8 3 3 2 2" xfId="52806" xr:uid="{00000000-0005-0000-0000-000043530000}"/>
    <cellStyle name="Normal 10 2 8 3 3 3" xfId="39244" xr:uid="{00000000-0005-0000-0000-000044530000}"/>
    <cellStyle name="Normal 10 2 8 3 4" xfId="18892" xr:uid="{00000000-0005-0000-0000-000045530000}"/>
    <cellStyle name="Normal 10 2 8 3 4 2" xfId="46025" xr:uid="{00000000-0005-0000-0000-000046530000}"/>
    <cellStyle name="Normal 10 2 8 3 5" xfId="32463" xr:uid="{00000000-0005-0000-0000-000047530000}"/>
    <cellStyle name="Normal 10 2 8 4" xfId="5144" xr:uid="{00000000-0005-0000-0000-000048530000}"/>
    <cellStyle name="Normal 10 2 8 4 2" xfId="8705" xr:uid="{00000000-0005-0000-0000-000049530000}"/>
    <cellStyle name="Normal 10 2 8 4 2 2" xfId="15495" xr:uid="{00000000-0005-0000-0000-00004A530000}"/>
    <cellStyle name="Normal 10 2 8 4 2 2 2" xfId="29063" xr:uid="{00000000-0005-0000-0000-00004B530000}"/>
    <cellStyle name="Normal 10 2 8 4 2 2 2 2" xfId="56196" xr:uid="{00000000-0005-0000-0000-00004C530000}"/>
    <cellStyle name="Normal 10 2 8 4 2 2 3" xfId="42634" xr:uid="{00000000-0005-0000-0000-00004D530000}"/>
    <cellStyle name="Normal 10 2 8 4 2 3" xfId="22282" xr:uid="{00000000-0005-0000-0000-00004E530000}"/>
    <cellStyle name="Normal 10 2 8 4 2 3 2" xfId="49415" xr:uid="{00000000-0005-0000-0000-00004F530000}"/>
    <cellStyle name="Normal 10 2 8 4 2 4" xfId="35853" xr:uid="{00000000-0005-0000-0000-000050530000}"/>
    <cellStyle name="Normal 10 2 8 4 3" xfId="12106" xr:uid="{00000000-0005-0000-0000-000051530000}"/>
    <cellStyle name="Normal 10 2 8 4 3 2" xfId="25674" xr:uid="{00000000-0005-0000-0000-000052530000}"/>
    <cellStyle name="Normal 10 2 8 4 3 2 2" xfId="52807" xr:uid="{00000000-0005-0000-0000-000053530000}"/>
    <cellStyle name="Normal 10 2 8 4 3 3" xfId="39245" xr:uid="{00000000-0005-0000-0000-000054530000}"/>
    <cellStyle name="Normal 10 2 8 4 4" xfId="18893" xr:uid="{00000000-0005-0000-0000-000055530000}"/>
    <cellStyle name="Normal 10 2 8 4 4 2" xfId="46026" xr:uid="{00000000-0005-0000-0000-000056530000}"/>
    <cellStyle name="Normal 10 2 8 4 5" xfId="32464" xr:uid="{00000000-0005-0000-0000-000057530000}"/>
    <cellStyle name="Normal 10 2 8 5" xfId="8700" xr:uid="{00000000-0005-0000-0000-000058530000}"/>
    <cellStyle name="Normal 10 2 8 5 2" xfId="15490" xr:uid="{00000000-0005-0000-0000-000059530000}"/>
    <cellStyle name="Normal 10 2 8 5 2 2" xfId="29058" xr:uid="{00000000-0005-0000-0000-00005A530000}"/>
    <cellStyle name="Normal 10 2 8 5 2 2 2" xfId="56191" xr:uid="{00000000-0005-0000-0000-00005B530000}"/>
    <cellStyle name="Normal 10 2 8 5 2 3" xfId="42629" xr:uid="{00000000-0005-0000-0000-00005C530000}"/>
    <cellStyle name="Normal 10 2 8 5 3" xfId="22277" xr:uid="{00000000-0005-0000-0000-00005D530000}"/>
    <cellStyle name="Normal 10 2 8 5 3 2" xfId="49410" xr:uid="{00000000-0005-0000-0000-00005E530000}"/>
    <cellStyle name="Normal 10 2 8 5 4" xfId="35848" xr:uid="{00000000-0005-0000-0000-00005F530000}"/>
    <cellStyle name="Normal 10 2 8 6" xfId="12101" xr:uid="{00000000-0005-0000-0000-000060530000}"/>
    <cellStyle name="Normal 10 2 8 6 2" xfId="25669" xr:uid="{00000000-0005-0000-0000-000061530000}"/>
    <cellStyle name="Normal 10 2 8 6 2 2" xfId="52802" xr:uid="{00000000-0005-0000-0000-000062530000}"/>
    <cellStyle name="Normal 10 2 8 6 3" xfId="39240" xr:uid="{00000000-0005-0000-0000-000063530000}"/>
    <cellStyle name="Normal 10 2 8 7" xfId="18888" xr:uid="{00000000-0005-0000-0000-000064530000}"/>
    <cellStyle name="Normal 10 2 8 7 2" xfId="46021" xr:uid="{00000000-0005-0000-0000-000065530000}"/>
    <cellStyle name="Normal 10 2 8 8" xfId="32459" xr:uid="{00000000-0005-0000-0000-000066530000}"/>
    <cellStyle name="Normal 10 2 9" xfId="5145" xr:uid="{00000000-0005-0000-0000-000067530000}"/>
    <cellStyle name="Normal 10 2 9 2" xfId="5146" xr:uid="{00000000-0005-0000-0000-000068530000}"/>
    <cellStyle name="Normal 10 2 9 2 2" xfId="8707" xr:uid="{00000000-0005-0000-0000-000069530000}"/>
    <cellStyle name="Normal 10 2 9 2 2 2" xfId="15497" xr:uid="{00000000-0005-0000-0000-00006A530000}"/>
    <cellStyle name="Normal 10 2 9 2 2 2 2" xfId="29065" xr:uid="{00000000-0005-0000-0000-00006B530000}"/>
    <cellStyle name="Normal 10 2 9 2 2 2 2 2" xfId="56198" xr:uid="{00000000-0005-0000-0000-00006C530000}"/>
    <cellStyle name="Normal 10 2 9 2 2 2 3" xfId="42636" xr:uid="{00000000-0005-0000-0000-00006D530000}"/>
    <cellStyle name="Normal 10 2 9 2 2 3" xfId="22284" xr:uid="{00000000-0005-0000-0000-00006E530000}"/>
    <cellStyle name="Normal 10 2 9 2 2 3 2" xfId="49417" xr:uid="{00000000-0005-0000-0000-00006F530000}"/>
    <cellStyle name="Normal 10 2 9 2 2 4" xfId="35855" xr:uid="{00000000-0005-0000-0000-000070530000}"/>
    <cellStyle name="Normal 10 2 9 2 3" xfId="12108" xr:uid="{00000000-0005-0000-0000-000071530000}"/>
    <cellStyle name="Normal 10 2 9 2 3 2" xfId="25676" xr:uid="{00000000-0005-0000-0000-000072530000}"/>
    <cellStyle name="Normal 10 2 9 2 3 2 2" xfId="52809" xr:uid="{00000000-0005-0000-0000-000073530000}"/>
    <cellStyle name="Normal 10 2 9 2 3 3" xfId="39247" xr:uid="{00000000-0005-0000-0000-000074530000}"/>
    <cellStyle name="Normal 10 2 9 2 4" xfId="18895" xr:uid="{00000000-0005-0000-0000-000075530000}"/>
    <cellStyle name="Normal 10 2 9 2 4 2" xfId="46028" xr:uid="{00000000-0005-0000-0000-000076530000}"/>
    <cellStyle name="Normal 10 2 9 2 5" xfId="32466" xr:uid="{00000000-0005-0000-0000-000077530000}"/>
    <cellStyle name="Normal 10 2 9 3" xfId="5147" xr:uid="{00000000-0005-0000-0000-000078530000}"/>
    <cellStyle name="Normal 10 2 9 3 2" xfId="8708" xr:uid="{00000000-0005-0000-0000-000079530000}"/>
    <cellStyle name="Normal 10 2 9 3 2 2" xfId="15498" xr:uid="{00000000-0005-0000-0000-00007A530000}"/>
    <cellStyle name="Normal 10 2 9 3 2 2 2" xfId="29066" xr:uid="{00000000-0005-0000-0000-00007B530000}"/>
    <cellStyle name="Normal 10 2 9 3 2 2 2 2" xfId="56199" xr:uid="{00000000-0005-0000-0000-00007C530000}"/>
    <cellStyle name="Normal 10 2 9 3 2 2 3" xfId="42637" xr:uid="{00000000-0005-0000-0000-00007D530000}"/>
    <cellStyle name="Normal 10 2 9 3 2 3" xfId="22285" xr:uid="{00000000-0005-0000-0000-00007E530000}"/>
    <cellStyle name="Normal 10 2 9 3 2 3 2" xfId="49418" xr:uid="{00000000-0005-0000-0000-00007F530000}"/>
    <cellStyle name="Normal 10 2 9 3 2 4" xfId="35856" xr:uid="{00000000-0005-0000-0000-000080530000}"/>
    <cellStyle name="Normal 10 2 9 3 3" xfId="12109" xr:uid="{00000000-0005-0000-0000-000081530000}"/>
    <cellStyle name="Normal 10 2 9 3 3 2" xfId="25677" xr:uid="{00000000-0005-0000-0000-000082530000}"/>
    <cellStyle name="Normal 10 2 9 3 3 2 2" xfId="52810" xr:uid="{00000000-0005-0000-0000-000083530000}"/>
    <cellStyle name="Normal 10 2 9 3 3 3" xfId="39248" xr:uid="{00000000-0005-0000-0000-000084530000}"/>
    <cellStyle name="Normal 10 2 9 3 4" xfId="18896" xr:uid="{00000000-0005-0000-0000-000085530000}"/>
    <cellStyle name="Normal 10 2 9 3 4 2" xfId="46029" xr:uid="{00000000-0005-0000-0000-000086530000}"/>
    <cellStyle name="Normal 10 2 9 3 5" xfId="32467" xr:uid="{00000000-0005-0000-0000-000087530000}"/>
    <cellStyle name="Normal 10 2 9 4" xfId="8706" xr:uid="{00000000-0005-0000-0000-000088530000}"/>
    <cellStyle name="Normal 10 2 9 4 2" xfId="15496" xr:uid="{00000000-0005-0000-0000-000089530000}"/>
    <cellStyle name="Normal 10 2 9 4 2 2" xfId="29064" xr:uid="{00000000-0005-0000-0000-00008A530000}"/>
    <cellStyle name="Normal 10 2 9 4 2 2 2" xfId="56197" xr:uid="{00000000-0005-0000-0000-00008B530000}"/>
    <cellStyle name="Normal 10 2 9 4 2 3" xfId="42635" xr:uid="{00000000-0005-0000-0000-00008C530000}"/>
    <cellStyle name="Normal 10 2 9 4 3" xfId="22283" xr:uid="{00000000-0005-0000-0000-00008D530000}"/>
    <cellStyle name="Normal 10 2 9 4 3 2" xfId="49416" xr:uid="{00000000-0005-0000-0000-00008E530000}"/>
    <cellStyle name="Normal 10 2 9 4 4" xfId="35854" xr:uid="{00000000-0005-0000-0000-00008F530000}"/>
    <cellStyle name="Normal 10 2 9 5" xfId="12107" xr:uid="{00000000-0005-0000-0000-000090530000}"/>
    <cellStyle name="Normal 10 2 9 5 2" xfId="25675" xr:uid="{00000000-0005-0000-0000-000091530000}"/>
    <cellStyle name="Normal 10 2 9 5 2 2" xfId="52808" xr:uid="{00000000-0005-0000-0000-000092530000}"/>
    <cellStyle name="Normal 10 2 9 5 3" xfId="39246" xr:uid="{00000000-0005-0000-0000-000093530000}"/>
    <cellStyle name="Normal 10 2 9 6" xfId="18894" xr:uid="{00000000-0005-0000-0000-000094530000}"/>
    <cellStyle name="Normal 10 2 9 6 2" xfId="46027" xr:uid="{00000000-0005-0000-0000-000095530000}"/>
    <cellStyle name="Normal 10 2 9 7" xfId="32465" xr:uid="{00000000-0005-0000-0000-000096530000}"/>
    <cellStyle name="Normal 10 2_ACU OCIVIL" xfId="5148" xr:uid="{00000000-0005-0000-0000-000097530000}"/>
    <cellStyle name="Normal 10 3" xfId="5149" xr:uid="{00000000-0005-0000-0000-000098530000}"/>
    <cellStyle name="Normal 10 3 2" xfId="5150" xr:uid="{00000000-0005-0000-0000-000099530000}"/>
    <cellStyle name="Normal 10 3 2 2" xfId="5151" xr:uid="{00000000-0005-0000-0000-00009A530000}"/>
    <cellStyle name="Normal 10 4" xfId="5152" xr:uid="{00000000-0005-0000-0000-00009B530000}"/>
    <cellStyle name="Normal 10 5" xfId="27" xr:uid="{00000000-0005-0000-0000-00009C530000}"/>
    <cellStyle name="Normal 10 5 2" xfId="5153" xr:uid="{00000000-0005-0000-0000-00009D530000}"/>
    <cellStyle name="Normal 10 6" xfId="5154" xr:uid="{00000000-0005-0000-0000-00009E530000}"/>
    <cellStyle name="Normal 10 7" xfId="5155" xr:uid="{00000000-0005-0000-0000-00009F530000}"/>
    <cellStyle name="Normal 10 8" xfId="5156" xr:uid="{00000000-0005-0000-0000-0000A0530000}"/>
    <cellStyle name="Normal 10 9" xfId="5157" xr:uid="{00000000-0005-0000-0000-0000A1530000}"/>
    <cellStyle name="Normal 11" xfId="20" xr:uid="{00000000-0005-0000-0000-0000A2530000}"/>
    <cellStyle name="Normal 11 10" xfId="5158" xr:uid="{00000000-0005-0000-0000-0000A3530000}"/>
    <cellStyle name="Normal 11 10 2" xfId="8709" xr:uid="{00000000-0005-0000-0000-0000A4530000}"/>
    <cellStyle name="Normal 11 10 2 2" xfId="15499" xr:uid="{00000000-0005-0000-0000-0000A5530000}"/>
    <cellStyle name="Normal 11 10 2 2 2" xfId="29067" xr:uid="{00000000-0005-0000-0000-0000A6530000}"/>
    <cellStyle name="Normal 11 10 2 2 2 2" xfId="56200" xr:uid="{00000000-0005-0000-0000-0000A7530000}"/>
    <cellStyle name="Normal 11 10 2 2 3" xfId="42638" xr:uid="{00000000-0005-0000-0000-0000A8530000}"/>
    <cellStyle name="Normal 11 10 2 3" xfId="22286" xr:uid="{00000000-0005-0000-0000-0000A9530000}"/>
    <cellStyle name="Normal 11 10 2 3 2" xfId="49419" xr:uid="{00000000-0005-0000-0000-0000AA530000}"/>
    <cellStyle name="Normal 11 10 2 4" xfId="35857" xr:uid="{00000000-0005-0000-0000-0000AB530000}"/>
    <cellStyle name="Normal 11 10 3" xfId="12110" xr:uid="{00000000-0005-0000-0000-0000AC530000}"/>
    <cellStyle name="Normal 11 10 3 2" xfId="25678" xr:uid="{00000000-0005-0000-0000-0000AD530000}"/>
    <cellStyle name="Normal 11 10 3 2 2" xfId="52811" xr:uid="{00000000-0005-0000-0000-0000AE530000}"/>
    <cellStyle name="Normal 11 10 3 3" xfId="39249" xr:uid="{00000000-0005-0000-0000-0000AF530000}"/>
    <cellStyle name="Normal 11 10 4" xfId="18897" xr:uid="{00000000-0005-0000-0000-0000B0530000}"/>
    <cellStyle name="Normal 11 10 4 2" xfId="46030" xr:uid="{00000000-0005-0000-0000-0000B1530000}"/>
    <cellStyle name="Normal 11 10 5" xfId="32468" xr:uid="{00000000-0005-0000-0000-0000B2530000}"/>
    <cellStyle name="Normal 11 11" xfId="5159" xr:uid="{00000000-0005-0000-0000-0000B3530000}"/>
    <cellStyle name="Normal 11 11 2" xfId="8710" xr:uid="{00000000-0005-0000-0000-0000B4530000}"/>
    <cellStyle name="Normal 11 11 2 2" xfId="15500" xr:uid="{00000000-0005-0000-0000-0000B5530000}"/>
    <cellStyle name="Normal 11 11 2 2 2" xfId="29068" xr:uid="{00000000-0005-0000-0000-0000B6530000}"/>
    <cellStyle name="Normal 11 11 2 2 2 2" xfId="56201" xr:uid="{00000000-0005-0000-0000-0000B7530000}"/>
    <cellStyle name="Normal 11 11 2 2 3" xfId="42639" xr:uid="{00000000-0005-0000-0000-0000B8530000}"/>
    <cellStyle name="Normal 11 11 2 3" xfId="22287" xr:uid="{00000000-0005-0000-0000-0000B9530000}"/>
    <cellStyle name="Normal 11 11 2 3 2" xfId="49420" xr:uid="{00000000-0005-0000-0000-0000BA530000}"/>
    <cellStyle name="Normal 11 11 2 4" xfId="35858" xr:uid="{00000000-0005-0000-0000-0000BB530000}"/>
    <cellStyle name="Normal 11 11 3" xfId="12111" xr:uid="{00000000-0005-0000-0000-0000BC530000}"/>
    <cellStyle name="Normal 11 11 3 2" xfId="25679" xr:uid="{00000000-0005-0000-0000-0000BD530000}"/>
    <cellStyle name="Normal 11 11 3 2 2" xfId="52812" xr:uid="{00000000-0005-0000-0000-0000BE530000}"/>
    <cellStyle name="Normal 11 11 3 3" xfId="39250" xr:uid="{00000000-0005-0000-0000-0000BF530000}"/>
    <cellStyle name="Normal 11 11 4" xfId="18898" xr:uid="{00000000-0005-0000-0000-0000C0530000}"/>
    <cellStyle name="Normal 11 11 4 2" xfId="46031" xr:uid="{00000000-0005-0000-0000-0000C1530000}"/>
    <cellStyle name="Normal 11 11 5" xfId="32469" xr:uid="{00000000-0005-0000-0000-0000C2530000}"/>
    <cellStyle name="Normal 11 12" xfId="2559" xr:uid="{00000000-0005-0000-0000-0000C3530000}"/>
    <cellStyle name="Normal 11 2" xfId="2560" xr:uid="{00000000-0005-0000-0000-0000C4530000}"/>
    <cellStyle name="Normal 11 2 10" xfId="5160" xr:uid="{00000000-0005-0000-0000-0000C5530000}"/>
    <cellStyle name="Normal 11 2 10 2" xfId="8711" xr:uid="{00000000-0005-0000-0000-0000C6530000}"/>
    <cellStyle name="Normal 11 2 10 2 2" xfId="15501" xr:uid="{00000000-0005-0000-0000-0000C7530000}"/>
    <cellStyle name="Normal 11 2 10 2 2 2" xfId="29069" xr:uid="{00000000-0005-0000-0000-0000C8530000}"/>
    <cellStyle name="Normal 11 2 10 2 2 2 2" xfId="56202" xr:uid="{00000000-0005-0000-0000-0000C9530000}"/>
    <cellStyle name="Normal 11 2 10 2 2 3" xfId="42640" xr:uid="{00000000-0005-0000-0000-0000CA530000}"/>
    <cellStyle name="Normal 11 2 10 2 3" xfId="22288" xr:uid="{00000000-0005-0000-0000-0000CB530000}"/>
    <cellStyle name="Normal 11 2 10 2 3 2" xfId="49421" xr:uid="{00000000-0005-0000-0000-0000CC530000}"/>
    <cellStyle name="Normal 11 2 10 2 4" xfId="35859" xr:uid="{00000000-0005-0000-0000-0000CD530000}"/>
    <cellStyle name="Normal 11 2 10 3" xfId="12112" xr:uid="{00000000-0005-0000-0000-0000CE530000}"/>
    <cellStyle name="Normal 11 2 10 3 2" xfId="25680" xr:uid="{00000000-0005-0000-0000-0000CF530000}"/>
    <cellStyle name="Normal 11 2 10 3 2 2" xfId="52813" xr:uid="{00000000-0005-0000-0000-0000D0530000}"/>
    <cellStyle name="Normal 11 2 10 3 3" xfId="39251" xr:uid="{00000000-0005-0000-0000-0000D1530000}"/>
    <cellStyle name="Normal 11 2 10 4" xfId="18899" xr:uid="{00000000-0005-0000-0000-0000D2530000}"/>
    <cellStyle name="Normal 11 2 10 4 2" xfId="46032" xr:uid="{00000000-0005-0000-0000-0000D3530000}"/>
    <cellStyle name="Normal 11 2 10 5" xfId="32470" xr:uid="{00000000-0005-0000-0000-0000D4530000}"/>
    <cellStyle name="Normal 11 2 2" xfId="2561" xr:uid="{00000000-0005-0000-0000-0000D5530000}"/>
    <cellStyle name="Normal 11 2 2 2" xfId="5161" xr:uid="{00000000-0005-0000-0000-0000D6530000}"/>
    <cellStyle name="Normal 11 2 2 2 10" xfId="32471" xr:uid="{00000000-0005-0000-0000-0000D7530000}"/>
    <cellStyle name="Normal 11 2 2 2 2" xfId="5162" xr:uid="{00000000-0005-0000-0000-0000D8530000}"/>
    <cellStyle name="Normal 11 2 2 2 2 2" xfId="5163" xr:uid="{00000000-0005-0000-0000-0000D9530000}"/>
    <cellStyle name="Normal 11 2 2 2 2 2 2" xfId="5164" xr:uid="{00000000-0005-0000-0000-0000DA530000}"/>
    <cellStyle name="Normal 11 2 2 2 2 2 2 2" xfId="8715" xr:uid="{00000000-0005-0000-0000-0000DB530000}"/>
    <cellStyle name="Normal 11 2 2 2 2 2 2 2 2" xfId="15505" xr:uid="{00000000-0005-0000-0000-0000DC530000}"/>
    <cellStyle name="Normal 11 2 2 2 2 2 2 2 2 2" xfId="29073" xr:uid="{00000000-0005-0000-0000-0000DD530000}"/>
    <cellStyle name="Normal 11 2 2 2 2 2 2 2 2 2 2" xfId="56206" xr:uid="{00000000-0005-0000-0000-0000DE530000}"/>
    <cellStyle name="Normal 11 2 2 2 2 2 2 2 2 3" xfId="42644" xr:uid="{00000000-0005-0000-0000-0000DF530000}"/>
    <cellStyle name="Normal 11 2 2 2 2 2 2 2 3" xfId="22292" xr:uid="{00000000-0005-0000-0000-0000E0530000}"/>
    <cellStyle name="Normal 11 2 2 2 2 2 2 2 3 2" xfId="49425" xr:uid="{00000000-0005-0000-0000-0000E1530000}"/>
    <cellStyle name="Normal 11 2 2 2 2 2 2 2 4" xfId="35863" xr:uid="{00000000-0005-0000-0000-0000E2530000}"/>
    <cellStyle name="Normal 11 2 2 2 2 2 2 3" xfId="12116" xr:uid="{00000000-0005-0000-0000-0000E3530000}"/>
    <cellStyle name="Normal 11 2 2 2 2 2 2 3 2" xfId="25684" xr:uid="{00000000-0005-0000-0000-0000E4530000}"/>
    <cellStyle name="Normal 11 2 2 2 2 2 2 3 2 2" xfId="52817" xr:uid="{00000000-0005-0000-0000-0000E5530000}"/>
    <cellStyle name="Normal 11 2 2 2 2 2 2 3 3" xfId="39255" xr:uid="{00000000-0005-0000-0000-0000E6530000}"/>
    <cellStyle name="Normal 11 2 2 2 2 2 2 4" xfId="18903" xr:uid="{00000000-0005-0000-0000-0000E7530000}"/>
    <cellStyle name="Normal 11 2 2 2 2 2 2 4 2" xfId="46036" xr:uid="{00000000-0005-0000-0000-0000E8530000}"/>
    <cellStyle name="Normal 11 2 2 2 2 2 2 5" xfId="32474" xr:uid="{00000000-0005-0000-0000-0000E9530000}"/>
    <cellStyle name="Normal 11 2 2 2 2 2 3" xfId="5165" xr:uid="{00000000-0005-0000-0000-0000EA530000}"/>
    <cellStyle name="Normal 11 2 2 2 2 2 3 2" xfId="8716" xr:uid="{00000000-0005-0000-0000-0000EB530000}"/>
    <cellStyle name="Normal 11 2 2 2 2 2 3 2 2" xfId="15506" xr:uid="{00000000-0005-0000-0000-0000EC530000}"/>
    <cellStyle name="Normal 11 2 2 2 2 2 3 2 2 2" xfId="29074" xr:uid="{00000000-0005-0000-0000-0000ED530000}"/>
    <cellStyle name="Normal 11 2 2 2 2 2 3 2 2 2 2" xfId="56207" xr:uid="{00000000-0005-0000-0000-0000EE530000}"/>
    <cellStyle name="Normal 11 2 2 2 2 2 3 2 2 3" xfId="42645" xr:uid="{00000000-0005-0000-0000-0000EF530000}"/>
    <cellStyle name="Normal 11 2 2 2 2 2 3 2 3" xfId="22293" xr:uid="{00000000-0005-0000-0000-0000F0530000}"/>
    <cellStyle name="Normal 11 2 2 2 2 2 3 2 3 2" xfId="49426" xr:uid="{00000000-0005-0000-0000-0000F1530000}"/>
    <cellStyle name="Normal 11 2 2 2 2 2 3 2 4" xfId="35864" xr:uid="{00000000-0005-0000-0000-0000F2530000}"/>
    <cellStyle name="Normal 11 2 2 2 2 2 3 3" xfId="12117" xr:uid="{00000000-0005-0000-0000-0000F3530000}"/>
    <cellStyle name="Normal 11 2 2 2 2 2 3 3 2" xfId="25685" xr:uid="{00000000-0005-0000-0000-0000F4530000}"/>
    <cellStyle name="Normal 11 2 2 2 2 2 3 3 2 2" xfId="52818" xr:uid="{00000000-0005-0000-0000-0000F5530000}"/>
    <cellStyle name="Normal 11 2 2 2 2 2 3 3 3" xfId="39256" xr:uid="{00000000-0005-0000-0000-0000F6530000}"/>
    <cellStyle name="Normal 11 2 2 2 2 2 3 4" xfId="18904" xr:uid="{00000000-0005-0000-0000-0000F7530000}"/>
    <cellStyle name="Normal 11 2 2 2 2 2 3 4 2" xfId="46037" xr:uid="{00000000-0005-0000-0000-0000F8530000}"/>
    <cellStyle name="Normal 11 2 2 2 2 2 3 5" xfId="32475" xr:uid="{00000000-0005-0000-0000-0000F9530000}"/>
    <cellStyle name="Normal 11 2 2 2 2 2 4" xfId="8714" xr:uid="{00000000-0005-0000-0000-0000FA530000}"/>
    <cellStyle name="Normal 11 2 2 2 2 2 4 2" xfId="15504" xr:uid="{00000000-0005-0000-0000-0000FB530000}"/>
    <cellStyle name="Normal 11 2 2 2 2 2 4 2 2" xfId="29072" xr:uid="{00000000-0005-0000-0000-0000FC530000}"/>
    <cellStyle name="Normal 11 2 2 2 2 2 4 2 2 2" xfId="56205" xr:uid="{00000000-0005-0000-0000-0000FD530000}"/>
    <cellStyle name="Normal 11 2 2 2 2 2 4 2 3" xfId="42643" xr:uid="{00000000-0005-0000-0000-0000FE530000}"/>
    <cellStyle name="Normal 11 2 2 2 2 2 4 3" xfId="22291" xr:uid="{00000000-0005-0000-0000-0000FF530000}"/>
    <cellStyle name="Normal 11 2 2 2 2 2 4 3 2" xfId="49424" xr:uid="{00000000-0005-0000-0000-000000540000}"/>
    <cellStyle name="Normal 11 2 2 2 2 2 4 4" xfId="35862" xr:uid="{00000000-0005-0000-0000-000001540000}"/>
    <cellStyle name="Normal 11 2 2 2 2 2 5" xfId="12115" xr:uid="{00000000-0005-0000-0000-000002540000}"/>
    <cellStyle name="Normal 11 2 2 2 2 2 5 2" xfId="25683" xr:uid="{00000000-0005-0000-0000-000003540000}"/>
    <cellStyle name="Normal 11 2 2 2 2 2 5 2 2" xfId="52816" xr:uid="{00000000-0005-0000-0000-000004540000}"/>
    <cellStyle name="Normal 11 2 2 2 2 2 5 3" xfId="39254" xr:uid="{00000000-0005-0000-0000-000005540000}"/>
    <cellStyle name="Normal 11 2 2 2 2 2 6" xfId="18902" xr:uid="{00000000-0005-0000-0000-000006540000}"/>
    <cellStyle name="Normal 11 2 2 2 2 2 6 2" xfId="46035" xr:uid="{00000000-0005-0000-0000-000007540000}"/>
    <cellStyle name="Normal 11 2 2 2 2 2 7" xfId="32473" xr:uid="{00000000-0005-0000-0000-000008540000}"/>
    <cellStyle name="Normal 11 2 2 2 2 3" xfId="5166" xr:uid="{00000000-0005-0000-0000-000009540000}"/>
    <cellStyle name="Normal 11 2 2 2 2 3 2" xfId="5167" xr:uid="{00000000-0005-0000-0000-00000A540000}"/>
    <cellStyle name="Normal 11 2 2 2 2 3 2 2" xfId="8718" xr:uid="{00000000-0005-0000-0000-00000B540000}"/>
    <cellStyle name="Normal 11 2 2 2 2 3 2 2 2" xfId="15508" xr:uid="{00000000-0005-0000-0000-00000C540000}"/>
    <cellStyle name="Normal 11 2 2 2 2 3 2 2 2 2" xfId="29076" xr:uid="{00000000-0005-0000-0000-00000D540000}"/>
    <cellStyle name="Normal 11 2 2 2 2 3 2 2 2 2 2" xfId="56209" xr:uid="{00000000-0005-0000-0000-00000E540000}"/>
    <cellStyle name="Normal 11 2 2 2 2 3 2 2 2 3" xfId="42647" xr:uid="{00000000-0005-0000-0000-00000F540000}"/>
    <cellStyle name="Normal 11 2 2 2 2 3 2 2 3" xfId="22295" xr:uid="{00000000-0005-0000-0000-000010540000}"/>
    <cellStyle name="Normal 11 2 2 2 2 3 2 2 3 2" xfId="49428" xr:uid="{00000000-0005-0000-0000-000011540000}"/>
    <cellStyle name="Normal 11 2 2 2 2 3 2 2 4" xfId="35866" xr:uid="{00000000-0005-0000-0000-000012540000}"/>
    <cellStyle name="Normal 11 2 2 2 2 3 2 3" xfId="12119" xr:uid="{00000000-0005-0000-0000-000013540000}"/>
    <cellStyle name="Normal 11 2 2 2 2 3 2 3 2" xfId="25687" xr:uid="{00000000-0005-0000-0000-000014540000}"/>
    <cellStyle name="Normal 11 2 2 2 2 3 2 3 2 2" xfId="52820" xr:uid="{00000000-0005-0000-0000-000015540000}"/>
    <cellStyle name="Normal 11 2 2 2 2 3 2 3 3" xfId="39258" xr:uid="{00000000-0005-0000-0000-000016540000}"/>
    <cellStyle name="Normal 11 2 2 2 2 3 2 4" xfId="18906" xr:uid="{00000000-0005-0000-0000-000017540000}"/>
    <cellStyle name="Normal 11 2 2 2 2 3 2 4 2" xfId="46039" xr:uid="{00000000-0005-0000-0000-000018540000}"/>
    <cellStyle name="Normal 11 2 2 2 2 3 2 5" xfId="32477" xr:uid="{00000000-0005-0000-0000-000019540000}"/>
    <cellStyle name="Normal 11 2 2 2 2 3 3" xfId="8717" xr:uid="{00000000-0005-0000-0000-00001A540000}"/>
    <cellStyle name="Normal 11 2 2 2 2 3 3 2" xfId="15507" xr:uid="{00000000-0005-0000-0000-00001B540000}"/>
    <cellStyle name="Normal 11 2 2 2 2 3 3 2 2" xfId="29075" xr:uid="{00000000-0005-0000-0000-00001C540000}"/>
    <cellStyle name="Normal 11 2 2 2 2 3 3 2 2 2" xfId="56208" xr:uid="{00000000-0005-0000-0000-00001D540000}"/>
    <cellStyle name="Normal 11 2 2 2 2 3 3 2 3" xfId="42646" xr:uid="{00000000-0005-0000-0000-00001E540000}"/>
    <cellStyle name="Normal 11 2 2 2 2 3 3 3" xfId="22294" xr:uid="{00000000-0005-0000-0000-00001F540000}"/>
    <cellStyle name="Normal 11 2 2 2 2 3 3 3 2" xfId="49427" xr:uid="{00000000-0005-0000-0000-000020540000}"/>
    <cellStyle name="Normal 11 2 2 2 2 3 3 4" xfId="35865" xr:uid="{00000000-0005-0000-0000-000021540000}"/>
    <cellStyle name="Normal 11 2 2 2 2 3 4" xfId="12118" xr:uid="{00000000-0005-0000-0000-000022540000}"/>
    <cellStyle name="Normal 11 2 2 2 2 3 4 2" xfId="25686" xr:uid="{00000000-0005-0000-0000-000023540000}"/>
    <cellStyle name="Normal 11 2 2 2 2 3 4 2 2" xfId="52819" xr:uid="{00000000-0005-0000-0000-000024540000}"/>
    <cellStyle name="Normal 11 2 2 2 2 3 4 3" xfId="39257" xr:uid="{00000000-0005-0000-0000-000025540000}"/>
    <cellStyle name="Normal 11 2 2 2 2 3 5" xfId="18905" xr:uid="{00000000-0005-0000-0000-000026540000}"/>
    <cellStyle name="Normal 11 2 2 2 2 3 5 2" xfId="46038" xr:uid="{00000000-0005-0000-0000-000027540000}"/>
    <cellStyle name="Normal 11 2 2 2 2 3 6" xfId="32476" xr:uid="{00000000-0005-0000-0000-000028540000}"/>
    <cellStyle name="Normal 11 2 2 2 2 4" xfId="5168" xr:uid="{00000000-0005-0000-0000-000029540000}"/>
    <cellStyle name="Normal 11 2 2 2 2 4 2" xfId="8719" xr:uid="{00000000-0005-0000-0000-00002A540000}"/>
    <cellStyle name="Normal 11 2 2 2 2 4 2 2" xfId="15509" xr:uid="{00000000-0005-0000-0000-00002B540000}"/>
    <cellStyle name="Normal 11 2 2 2 2 4 2 2 2" xfId="29077" xr:uid="{00000000-0005-0000-0000-00002C540000}"/>
    <cellStyle name="Normal 11 2 2 2 2 4 2 2 2 2" xfId="56210" xr:uid="{00000000-0005-0000-0000-00002D540000}"/>
    <cellStyle name="Normal 11 2 2 2 2 4 2 2 3" xfId="42648" xr:uid="{00000000-0005-0000-0000-00002E540000}"/>
    <cellStyle name="Normal 11 2 2 2 2 4 2 3" xfId="22296" xr:uid="{00000000-0005-0000-0000-00002F540000}"/>
    <cellStyle name="Normal 11 2 2 2 2 4 2 3 2" xfId="49429" xr:uid="{00000000-0005-0000-0000-000030540000}"/>
    <cellStyle name="Normal 11 2 2 2 2 4 2 4" xfId="35867" xr:uid="{00000000-0005-0000-0000-000031540000}"/>
    <cellStyle name="Normal 11 2 2 2 2 4 3" xfId="12120" xr:uid="{00000000-0005-0000-0000-000032540000}"/>
    <cellStyle name="Normal 11 2 2 2 2 4 3 2" xfId="25688" xr:uid="{00000000-0005-0000-0000-000033540000}"/>
    <cellStyle name="Normal 11 2 2 2 2 4 3 2 2" xfId="52821" xr:uid="{00000000-0005-0000-0000-000034540000}"/>
    <cellStyle name="Normal 11 2 2 2 2 4 3 3" xfId="39259" xr:uid="{00000000-0005-0000-0000-000035540000}"/>
    <cellStyle name="Normal 11 2 2 2 2 4 4" xfId="18907" xr:uid="{00000000-0005-0000-0000-000036540000}"/>
    <cellStyle name="Normal 11 2 2 2 2 4 4 2" xfId="46040" xr:uid="{00000000-0005-0000-0000-000037540000}"/>
    <cellStyle name="Normal 11 2 2 2 2 4 5" xfId="32478" xr:uid="{00000000-0005-0000-0000-000038540000}"/>
    <cellStyle name="Normal 11 2 2 2 2 5" xfId="5169" xr:uid="{00000000-0005-0000-0000-000039540000}"/>
    <cellStyle name="Normal 11 2 2 2 2 5 2" xfId="8720" xr:uid="{00000000-0005-0000-0000-00003A540000}"/>
    <cellStyle name="Normal 11 2 2 2 2 5 2 2" xfId="15510" xr:uid="{00000000-0005-0000-0000-00003B540000}"/>
    <cellStyle name="Normal 11 2 2 2 2 5 2 2 2" xfId="29078" xr:uid="{00000000-0005-0000-0000-00003C540000}"/>
    <cellStyle name="Normal 11 2 2 2 2 5 2 2 2 2" xfId="56211" xr:uid="{00000000-0005-0000-0000-00003D540000}"/>
    <cellStyle name="Normal 11 2 2 2 2 5 2 2 3" xfId="42649" xr:uid="{00000000-0005-0000-0000-00003E540000}"/>
    <cellStyle name="Normal 11 2 2 2 2 5 2 3" xfId="22297" xr:uid="{00000000-0005-0000-0000-00003F540000}"/>
    <cellStyle name="Normal 11 2 2 2 2 5 2 3 2" xfId="49430" xr:uid="{00000000-0005-0000-0000-000040540000}"/>
    <cellStyle name="Normal 11 2 2 2 2 5 2 4" xfId="35868" xr:uid="{00000000-0005-0000-0000-000041540000}"/>
    <cellStyle name="Normal 11 2 2 2 2 5 3" xfId="12121" xr:uid="{00000000-0005-0000-0000-000042540000}"/>
    <cellStyle name="Normal 11 2 2 2 2 5 3 2" xfId="25689" xr:uid="{00000000-0005-0000-0000-000043540000}"/>
    <cellStyle name="Normal 11 2 2 2 2 5 3 2 2" xfId="52822" xr:uid="{00000000-0005-0000-0000-000044540000}"/>
    <cellStyle name="Normal 11 2 2 2 2 5 3 3" xfId="39260" xr:uid="{00000000-0005-0000-0000-000045540000}"/>
    <cellStyle name="Normal 11 2 2 2 2 5 4" xfId="18908" xr:uid="{00000000-0005-0000-0000-000046540000}"/>
    <cellStyle name="Normal 11 2 2 2 2 5 4 2" xfId="46041" xr:uid="{00000000-0005-0000-0000-000047540000}"/>
    <cellStyle name="Normal 11 2 2 2 2 5 5" xfId="32479" xr:uid="{00000000-0005-0000-0000-000048540000}"/>
    <cellStyle name="Normal 11 2 2 2 2 6" xfId="8713" xr:uid="{00000000-0005-0000-0000-000049540000}"/>
    <cellStyle name="Normal 11 2 2 2 2 6 2" xfId="15503" xr:uid="{00000000-0005-0000-0000-00004A540000}"/>
    <cellStyle name="Normal 11 2 2 2 2 6 2 2" xfId="29071" xr:uid="{00000000-0005-0000-0000-00004B540000}"/>
    <cellStyle name="Normal 11 2 2 2 2 6 2 2 2" xfId="56204" xr:uid="{00000000-0005-0000-0000-00004C540000}"/>
    <cellStyle name="Normal 11 2 2 2 2 6 2 3" xfId="42642" xr:uid="{00000000-0005-0000-0000-00004D540000}"/>
    <cellStyle name="Normal 11 2 2 2 2 6 3" xfId="22290" xr:uid="{00000000-0005-0000-0000-00004E540000}"/>
    <cellStyle name="Normal 11 2 2 2 2 6 3 2" xfId="49423" xr:uid="{00000000-0005-0000-0000-00004F540000}"/>
    <cellStyle name="Normal 11 2 2 2 2 6 4" xfId="35861" xr:uid="{00000000-0005-0000-0000-000050540000}"/>
    <cellStyle name="Normal 11 2 2 2 2 7" xfId="12114" xr:uid="{00000000-0005-0000-0000-000051540000}"/>
    <cellStyle name="Normal 11 2 2 2 2 7 2" xfId="25682" xr:uid="{00000000-0005-0000-0000-000052540000}"/>
    <cellStyle name="Normal 11 2 2 2 2 7 2 2" xfId="52815" xr:uid="{00000000-0005-0000-0000-000053540000}"/>
    <cellStyle name="Normal 11 2 2 2 2 7 3" xfId="39253" xr:uid="{00000000-0005-0000-0000-000054540000}"/>
    <cellStyle name="Normal 11 2 2 2 2 8" xfId="18901" xr:uid="{00000000-0005-0000-0000-000055540000}"/>
    <cellStyle name="Normal 11 2 2 2 2 8 2" xfId="46034" xr:uid="{00000000-0005-0000-0000-000056540000}"/>
    <cellStyle name="Normal 11 2 2 2 2 9" xfId="32472" xr:uid="{00000000-0005-0000-0000-000057540000}"/>
    <cellStyle name="Normal 11 2 2 2 3" xfId="5170" xr:uid="{00000000-0005-0000-0000-000058540000}"/>
    <cellStyle name="Normal 11 2 2 2 3 2" xfId="5171" xr:uid="{00000000-0005-0000-0000-000059540000}"/>
    <cellStyle name="Normal 11 2 2 2 3 2 2" xfId="8722" xr:uid="{00000000-0005-0000-0000-00005A540000}"/>
    <cellStyle name="Normal 11 2 2 2 3 2 2 2" xfId="15512" xr:uid="{00000000-0005-0000-0000-00005B540000}"/>
    <cellStyle name="Normal 11 2 2 2 3 2 2 2 2" xfId="29080" xr:uid="{00000000-0005-0000-0000-00005C540000}"/>
    <cellStyle name="Normal 11 2 2 2 3 2 2 2 2 2" xfId="56213" xr:uid="{00000000-0005-0000-0000-00005D540000}"/>
    <cellStyle name="Normal 11 2 2 2 3 2 2 2 3" xfId="42651" xr:uid="{00000000-0005-0000-0000-00005E540000}"/>
    <cellStyle name="Normal 11 2 2 2 3 2 2 3" xfId="22299" xr:uid="{00000000-0005-0000-0000-00005F540000}"/>
    <cellStyle name="Normal 11 2 2 2 3 2 2 3 2" xfId="49432" xr:uid="{00000000-0005-0000-0000-000060540000}"/>
    <cellStyle name="Normal 11 2 2 2 3 2 2 4" xfId="35870" xr:uid="{00000000-0005-0000-0000-000061540000}"/>
    <cellStyle name="Normal 11 2 2 2 3 2 3" xfId="12123" xr:uid="{00000000-0005-0000-0000-000062540000}"/>
    <cellStyle name="Normal 11 2 2 2 3 2 3 2" xfId="25691" xr:uid="{00000000-0005-0000-0000-000063540000}"/>
    <cellStyle name="Normal 11 2 2 2 3 2 3 2 2" xfId="52824" xr:uid="{00000000-0005-0000-0000-000064540000}"/>
    <cellStyle name="Normal 11 2 2 2 3 2 3 3" xfId="39262" xr:uid="{00000000-0005-0000-0000-000065540000}"/>
    <cellStyle name="Normal 11 2 2 2 3 2 4" xfId="18910" xr:uid="{00000000-0005-0000-0000-000066540000}"/>
    <cellStyle name="Normal 11 2 2 2 3 2 4 2" xfId="46043" xr:uid="{00000000-0005-0000-0000-000067540000}"/>
    <cellStyle name="Normal 11 2 2 2 3 2 5" xfId="32481" xr:uid="{00000000-0005-0000-0000-000068540000}"/>
    <cellStyle name="Normal 11 2 2 2 3 3" xfId="5172" xr:uid="{00000000-0005-0000-0000-000069540000}"/>
    <cellStyle name="Normal 11 2 2 2 3 3 2" xfId="8723" xr:uid="{00000000-0005-0000-0000-00006A540000}"/>
    <cellStyle name="Normal 11 2 2 2 3 3 2 2" xfId="15513" xr:uid="{00000000-0005-0000-0000-00006B540000}"/>
    <cellStyle name="Normal 11 2 2 2 3 3 2 2 2" xfId="29081" xr:uid="{00000000-0005-0000-0000-00006C540000}"/>
    <cellStyle name="Normal 11 2 2 2 3 3 2 2 2 2" xfId="56214" xr:uid="{00000000-0005-0000-0000-00006D540000}"/>
    <cellStyle name="Normal 11 2 2 2 3 3 2 2 3" xfId="42652" xr:uid="{00000000-0005-0000-0000-00006E540000}"/>
    <cellStyle name="Normal 11 2 2 2 3 3 2 3" xfId="22300" xr:uid="{00000000-0005-0000-0000-00006F540000}"/>
    <cellStyle name="Normal 11 2 2 2 3 3 2 3 2" xfId="49433" xr:uid="{00000000-0005-0000-0000-000070540000}"/>
    <cellStyle name="Normal 11 2 2 2 3 3 2 4" xfId="35871" xr:uid="{00000000-0005-0000-0000-000071540000}"/>
    <cellStyle name="Normal 11 2 2 2 3 3 3" xfId="12124" xr:uid="{00000000-0005-0000-0000-000072540000}"/>
    <cellStyle name="Normal 11 2 2 2 3 3 3 2" xfId="25692" xr:uid="{00000000-0005-0000-0000-000073540000}"/>
    <cellStyle name="Normal 11 2 2 2 3 3 3 2 2" xfId="52825" xr:uid="{00000000-0005-0000-0000-000074540000}"/>
    <cellStyle name="Normal 11 2 2 2 3 3 3 3" xfId="39263" xr:uid="{00000000-0005-0000-0000-000075540000}"/>
    <cellStyle name="Normal 11 2 2 2 3 3 4" xfId="18911" xr:uid="{00000000-0005-0000-0000-000076540000}"/>
    <cellStyle name="Normal 11 2 2 2 3 3 4 2" xfId="46044" xr:uid="{00000000-0005-0000-0000-000077540000}"/>
    <cellStyle name="Normal 11 2 2 2 3 3 5" xfId="32482" xr:uid="{00000000-0005-0000-0000-000078540000}"/>
    <cellStyle name="Normal 11 2 2 2 3 4" xfId="8721" xr:uid="{00000000-0005-0000-0000-000079540000}"/>
    <cellStyle name="Normal 11 2 2 2 3 4 2" xfId="15511" xr:uid="{00000000-0005-0000-0000-00007A540000}"/>
    <cellStyle name="Normal 11 2 2 2 3 4 2 2" xfId="29079" xr:uid="{00000000-0005-0000-0000-00007B540000}"/>
    <cellStyle name="Normal 11 2 2 2 3 4 2 2 2" xfId="56212" xr:uid="{00000000-0005-0000-0000-00007C540000}"/>
    <cellStyle name="Normal 11 2 2 2 3 4 2 3" xfId="42650" xr:uid="{00000000-0005-0000-0000-00007D540000}"/>
    <cellStyle name="Normal 11 2 2 2 3 4 3" xfId="22298" xr:uid="{00000000-0005-0000-0000-00007E540000}"/>
    <cellStyle name="Normal 11 2 2 2 3 4 3 2" xfId="49431" xr:uid="{00000000-0005-0000-0000-00007F540000}"/>
    <cellStyle name="Normal 11 2 2 2 3 4 4" xfId="35869" xr:uid="{00000000-0005-0000-0000-000080540000}"/>
    <cellStyle name="Normal 11 2 2 2 3 5" xfId="12122" xr:uid="{00000000-0005-0000-0000-000081540000}"/>
    <cellStyle name="Normal 11 2 2 2 3 5 2" xfId="25690" xr:uid="{00000000-0005-0000-0000-000082540000}"/>
    <cellStyle name="Normal 11 2 2 2 3 5 2 2" xfId="52823" xr:uid="{00000000-0005-0000-0000-000083540000}"/>
    <cellStyle name="Normal 11 2 2 2 3 5 3" xfId="39261" xr:uid="{00000000-0005-0000-0000-000084540000}"/>
    <cellStyle name="Normal 11 2 2 2 3 6" xfId="18909" xr:uid="{00000000-0005-0000-0000-000085540000}"/>
    <cellStyle name="Normal 11 2 2 2 3 6 2" xfId="46042" xr:uid="{00000000-0005-0000-0000-000086540000}"/>
    <cellStyle name="Normal 11 2 2 2 3 7" xfId="32480" xr:uid="{00000000-0005-0000-0000-000087540000}"/>
    <cellStyle name="Normal 11 2 2 2 4" xfId="5173" xr:uid="{00000000-0005-0000-0000-000088540000}"/>
    <cellStyle name="Normal 11 2 2 2 4 2" xfId="5174" xr:uid="{00000000-0005-0000-0000-000089540000}"/>
    <cellStyle name="Normal 11 2 2 2 4 2 2" xfId="8725" xr:uid="{00000000-0005-0000-0000-00008A540000}"/>
    <cellStyle name="Normal 11 2 2 2 4 2 2 2" xfId="15515" xr:uid="{00000000-0005-0000-0000-00008B540000}"/>
    <cellStyle name="Normal 11 2 2 2 4 2 2 2 2" xfId="29083" xr:uid="{00000000-0005-0000-0000-00008C540000}"/>
    <cellStyle name="Normal 11 2 2 2 4 2 2 2 2 2" xfId="56216" xr:uid="{00000000-0005-0000-0000-00008D540000}"/>
    <cellStyle name="Normal 11 2 2 2 4 2 2 2 3" xfId="42654" xr:uid="{00000000-0005-0000-0000-00008E540000}"/>
    <cellStyle name="Normal 11 2 2 2 4 2 2 3" xfId="22302" xr:uid="{00000000-0005-0000-0000-00008F540000}"/>
    <cellStyle name="Normal 11 2 2 2 4 2 2 3 2" xfId="49435" xr:uid="{00000000-0005-0000-0000-000090540000}"/>
    <cellStyle name="Normal 11 2 2 2 4 2 2 4" xfId="35873" xr:uid="{00000000-0005-0000-0000-000091540000}"/>
    <cellStyle name="Normal 11 2 2 2 4 2 3" xfId="12126" xr:uid="{00000000-0005-0000-0000-000092540000}"/>
    <cellStyle name="Normal 11 2 2 2 4 2 3 2" xfId="25694" xr:uid="{00000000-0005-0000-0000-000093540000}"/>
    <cellStyle name="Normal 11 2 2 2 4 2 3 2 2" xfId="52827" xr:uid="{00000000-0005-0000-0000-000094540000}"/>
    <cellStyle name="Normal 11 2 2 2 4 2 3 3" xfId="39265" xr:uid="{00000000-0005-0000-0000-000095540000}"/>
    <cellStyle name="Normal 11 2 2 2 4 2 4" xfId="18913" xr:uid="{00000000-0005-0000-0000-000096540000}"/>
    <cellStyle name="Normal 11 2 2 2 4 2 4 2" xfId="46046" xr:uid="{00000000-0005-0000-0000-000097540000}"/>
    <cellStyle name="Normal 11 2 2 2 4 2 5" xfId="32484" xr:uid="{00000000-0005-0000-0000-000098540000}"/>
    <cellStyle name="Normal 11 2 2 2 4 3" xfId="8724" xr:uid="{00000000-0005-0000-0000-000099540000}"/>
    <cellStyle name="Normal 11 2 2 2 4 3 2" xfId="15514" xr:uid="{00000000-0005-0000-0000-00009A540000}"/>
    <cellStyle name="Normal 11 2 2 2 4 3 2 2" xfId="29082" xr:uid="{00000000-0005-0000-0000-00009B540000}"/>
    <cellStyle name="Normal 11 2 2 2 4 3 2 2 2" xfId="56215" xr:uid="{00000000-0005-0000-0000-00009C540000}"/>
    <cellStyle name="Normal 11 2 2 2 4 3 2 3" xfId="42653" xr:uid="{00000000-0005-0000-0000-00009D540000}"/>
    <cellStyle name="Normal 11 2 2 2 4 3 3" xfId="22301" xr:uid="{00000000-0005-0000-0000-00009E540000}"/>
    <cellStyle name="Normal 11 2 2 2 4 3 3 2" xfId="49434" xr:uid="{00000000-0005-0000-0000-00009F540000}"/>
    <cellStyle name="Normal 11 2 2 2 4 3 4" xfId="35872" xr:uid="{00000000-0005-0000-0000-0000A0540000}"/>
    <cellStyle name="Normal 11 2 2 2 4 4" xfId="12125" xr:uid="{00000000-0005-0000-0000-0000A1540000}"/>
    <cellStyle name="Normal 11 2 2 2 4 4 2" xfId="25693" xr:uid="{00000000-0005-0000-0000-0000A2540000}"/>
    <cellStyle name="Normal 11 2 2 2 4 4 2 2" xfId="52826" xr:uid="{00000000-0005-0000-0000-0000A3540000}"/>
    <cellStyle name="Normal 11 2 2 2 4 4 3" xfId="39264" xr:uid="{00000000-0005-0000-0000-0000A4540000}"/>
    <cellStyle name="Normal 11 2 2 2 4 5" xfId="18912" xr:uid="{00000000-0005-0000-0000-0000A5540000}"/>
    <cellStyle name="Normal 11 2 2 2 4 5 2" xfId="46045" xr:uid="{00000000-0005-0000-0000-0000A6540000}"/>
    <cellStyle name="Normal 11 2 2 2 4 6" xfId="32483" xr:uid="{00000000-0005-0000-0000-0000A7540000}"/>
    <cellStyle name="Normal 11 2 2 2 5" xfId="5175" xr:uid="{00000000-0005-0000-0000-0000A8540000}"/>
    <cellStyle name="Normal 11 2 2 2 5 2" xfId="8726" xr:uid="{00000000-0005-0000-0000-0000A9540000}"/>
    <cellStyle name="Normal 11 2 2 2 5 2 2" xfId="15516" xr:uid="{00000000-0005-0000-0000-0000AA540000}"/>
    <cellStyle name="Normal 11 2 2 2 5 2 2 2" xfId="29084" xr:uid="{00000000-0005-0000-0000-0000AB540000}"/>
    <cellStyle name="Normal 11 2 2 2 5 2 2 2 2" xfId="56217" xr:uid="{00000000-0005-0000-0000-0000AC540000}"/>
    <cellStyle name="Normal 11 2 2 2 5 2 2 3" xfId="42655" xr:uid="{00000000-0005-0000-0000-0000AD540000}"/>
    <cellStyle name="Normal 11 2 2 2 5 2 3" xfId="22303" xr:uid="{00000000-0005-0000-0000-0000AE540000}"/>
    <cellStyle name="Normal 11 2 2 2 5 2 3 2" xfId="49436" xr:uid="{00000000-0005-0000-0000-0000AF540000}"/>
    <cellStyle name="Normal 11 2 2 2 5 2 4" xfId="35874" xr:uid="{00000000-0005-0000-0000-0000B0540000}"/>
    <cellStyle name="Normal 11 2 2 2 5 3" xfId="12127" xr:uid="{00000000-0005-0000-0000-0000B1540000}"/>
    <cellStyle name="Normal 11 2 2 2 5 3 2" xfId="25695" xr:uid="{00000000-0005-0000-0000-0000B2540000}"/>
    <cellStyle name="Normal 11 2 2 2 5 3 2 2" xfId="52828" xr:uid="{00000000-0005-0000-0000-0000B3540000}"/>
    <cellStyle name="Normal 11 2 2 2 5 3 3" xfId="39266" xr:uid="{00000000-0005-0000-0000-0000B4540000}"/>
    <cellStyle name="Normal 11 2 2 2 5 4" xfId="18914" xr:uid="{00000000-0005-0000-0000-0000B5540000}"/>
    <cellStyle name="Normal 11 2 2 2 5 4 2" xfId="46047" xr:uid="{00000000-0005-0000-0000-0000B6540000}"/>
    <cellStyle name="Normal 11 2 2 2 5 5" xfId="32485" xr:uid="{00000000-0005-0000-0000-0000B7540000}"/>
    <cellStyle name="Normal 11 2 2 2 6" xfId="5176" xr:uid="{00000000-0005-0000-0000-0000B8540000}"/>
    <cellStyle name="Normal 11 2 2 2 6 2" xfId="8727" xr:uid="{00000000-0005-0000-0000-0000B9540000}"/>
    <cellStyle name="Normal 11 2 2 2 6 2 2" xfId="15517" xr:uid="{00000000-0005-0000-0000-0000BA540000}"/>
    <cellStyle name="Normal 11 2 2 2 6 2 2 2" xfId="29085" xr:uid="{00000000-0005-0000-0000-0000BB540000}"/>
    <cellStyle name="Normal 11 2 2 2 6 2 2 2 2" xfId="56218" xr:uid="{00000000-0005-0000-0000-0000BC540000}"/>
    <cellStyle name="Normal 11 2 2 2 6 2 2 3" xfId="42656" xr:uid="{00000000-0005-0000-0000-0000BD540000}"/>
    <cellStyle name="Normal 11 2 2 2 6 2 3" xfId="22304" xr:uid="{00000000-0005-0000-0000-0000BE540000}"/>
    <cellStyle name="Normal 11 2 2 2 6 2 3 2" xfId="49437" xr:uid="{00000000-0005-0000-0000-0000BF540000}"/>
    <cellStyle name="Normal 11 2 2 2 6 2 4" xfId="35875" xr:uid="{00000000-0005-0000-0000-0000C0540000}"/>
    <cellStyle name="Normal 11 2 2 2 6 3" xfId="12128" xr:uid="{00000000-0005-0000-0000-0000C1540000}"/>
    <cellStyle name="Normal 11 2 2 2 6 3 2" xfId="25696" xr:uid="{00000000-0005-0000-0000-0000C2540000}"/>
    <cellStyle name="Normal 11 2 2 2 6 3 2 2" xfId="52829" xr:uid="{00000000-0005-0000-0000-0000C3540000}"/>
    <cellStyle name="Normal 11 2 2 2 6 3 3" xfId="39267" xr:uid="{00000000-0005-0000-0000-0000C4540000}"/>
    <cellStyle name="Normal 11 2 2 2 6 4" xfId="18915" xr:uid="{00000000-0005-0000-0000-0000C5540000}"/>
    <cellStyle name="Normal 11 2 2 2 6 4 2" xfId="46048" xr:uid="{00000000-0005-0000-0000-0000C6540000}"/>
    <cellStyle name="Normal 11 2 2 2 6 5" xfId="32486" xr:uid="{00000000-0005-0000-0000-0000C7540000}"/>
    <cellStyle name="Normal 11 2 2 2 7" xfId="8712" xr:uid="{00000000-0005-0000-0000-0000C8540000}"/>
    <cellStyle name="Normal 11 2 2 2 7 2" xfId="15502" xr:uid="{00000000-0005-0000-0000-0000C9540000}"/>
    <cellStyle name="Normal 11 2 2 2 7 2 2" xfId="29070" xr:uid="{00000000-0005-0000-0000-0000CA540000}"/>
    <cellStyle name="Normal 11 2 2 2 7 2 2 2" xfId="56203" xr:uid="{00000000-0005-0000-0000-0000CB540000}"/>
    <cellStyle name="Normal 11 2 2 2 7 2 3" xfId="42641" xr:uid="{00000000-0005-0000-0000-0000CC540000}"/>
    <cellStyle name="Normal 11 2 2 2 7 3" xfId="22289" xr:uid="{00000000-0005-0000-0000-0000CD540000}"/>
    <cellStyle name="Normal 11 2 2 2 7 3 2" xfId="49422" xr:uid="{00000000-0005-0000-0000-0000CE540000}"/>
    <cellStyle name="Normal 11 2 2 2 7 4" xfId="35860" xr:uid="{00000000-0005-0000-0000-0000CF540000}"/>
    <cellStyle name="Normal 11 2 2 2 8" xfId="12113" xr:uid="{00000000-0005-0000-0000-0000D0540000}"/>
    <cellStyle name="Normal 11 2 2 2 8 2" xfId="25681" xr:uid="{00000000-0005-0000-0000-0000D1540000}"/>
    <cellStyle name="Normal 11 2 2 2 8 2 2" xfId="52814" xr:uid="{00000000-0005-0000-0000-0000D2540000}"/>
    <cellStyle name="Normal 11 2 2 2 8 3" xfId="39252" xr:uid="{00000000-0005-0000-0000-0000D3540000}"/>
    <cellStyle name="Normal 11 2 2 2 9" xfId="18900" xr:uid="{00000000-0005-0000-0000-0000D4540000}"/>
    <cellStyle name="Normal 11 2 2 2 9 2" xfId="46033" xr:uid="{00000000-0005-0000-0000-0000D5540000}"/>
    <cellStyle name="Normal 11 2 2 3" xfId="5177" xr:uid="{00000000-0005-0000-0000-0000D6540000}"/>
    <cellStyle name="Normal 11 2 2 3 2" xfId="5178" xr:uid="{00000000-0005-0000-0000-0000D7540000}"/>
    <cellStyle name="Normal 11 2 2 3 2 2" xfId="5179" xr:uid="{00000000-0005-0000-0000-0000D8540000}"/>
    <cellStyle name="Normal 11 2 2 3 2 2 2" xfId="8730" xr:uid="{00000000-0005-0000-0000-0000D9540000}"/>
    <cellStyle name="Normal 11 2 2 3 2 2 2 2" xfId="15520" xr:uid="{00000000-0005-0000-0000-0000DA540000}"/>
    <cellStyle name="Normal 11 2 2 3 2 2 2 2 2" xfId="29088" xr:uid="{00000000-0005-0000-0000-0000DB540000}"/>
    <cellStyle name="Normal 11 2 2 3 2 2 2 2 2 2" xfId="56221" xr:uid="{00000000-0005-0000-0000-0000DC540000}"/>
    <cellStyle name="Normal 11 2 2 3 2 2 2 2 3" xfId="42659" xr:uid="{00000000-0005-0000-0000-0000DD540000}"/>
    <cellStyle name="Normal 11 2 2 3 2 2 2 3" xfId="22307" xr:uid="{00000000-0005-0000-0000-0000DE540000}"/>
    <cellStyle name="Normal 11 2 2 3 2 2 2 3 2" xfId="49440" xr:uid="{00000000-0005-0000-0000-0000DF540000}"/>
    <cellStyle name="Normal 11 2 2 3 2 2 2 4" xfId="35878" xr:uid="{00000000-0005-0000-0000-0000E0540000}"/>
    <cellStyle name="Normal 11 2 2 3 2 2 3" xfId="12131" xr:uid="{00000000-0005-0000-0000-0000E1540000}"/>
    <cellStyle name="Normal 11 2 2 3 2 2 3 2" xfId="25699" xr:uid="{00000000-0005-0000-0000-0000E2540000}"/>
    <cellStyle name="Normal 11 2 2 3 2 2 3 2 2" xfId="52832" xr:uid="{00000000-0005-0000-0000-0000E3540000}"/>
    <cellStyle name="Normal 11 2 2 3 2 2 3 3" xfId="39270" xr:uid="{00000000-0005-0000-0000-0000E4540000}"/>
    <cellStyle name="Normal 11 2 2 3 2 2 4" xfId="18918" xr:uid="{00000000-0005-0000-0000-0000E5540000}"/>
    <cellStyle name="Normal 11 2 2 3 2 2 4 2" xfId="46051" xr:uid="{00000000-0005-0000-0000-0000E6540000}"/>
    <cellStyle name="Normal 11 2 2 3 2 2 5" xfId="32489" xr:uid="{00000000-0005-0000-0000-0000E7540000}"/>
    <cellStyle name="Normal 11 2 2 3 2 3" xfId="5180" xr:uid="{00000000-0005-0000-0000-0000E8540000}"/>
    <cellStyle name="Normal 11 2 2 3 2 3 2" xfId="8731" xr:uid="{00000000-0005-0000-0000-0000E9540000}"/>
    <cellStyle name="Normal 11 2 2 3 2 3 2 2" xfId="15521" xr:uid="{00000000-0005-0000-0000-0000EA540000}"/>
    <cellStyle name="Normal 11 2 2 3 2 3 2 2 2" xfId="29089" xr:uid="{00000000-0005-0000-0000-0000EB540000}"/>
    <cellStyle name="Normal 11 2 2 3 2 3 2 2 2 2" xfId="56222" xr:uid="{00000000-0005-0000-0000-0000EC540000}"/>
    <cellStyle name="Normal 11 2 2 3 2 3 2 2 3" xfId="42660" xr:uid="{00000000-0005-0000-0000-0000ED540000}"/>
    <cellStyle name="Normal 11 2 2 3 2 3 2 3" xfId="22308" xr:uid="{00000000-0005-0000-0000-0000EE540000}"/>
    <cellStyle name="Normal 11 2 2 3 2 3 2 3 2" xfId="49441" xr:uid="{00000000-0005-0000-0000-0000EF540000}"/>
    <cellStyle name="Normal 11 2 2 3 2 3 2 4" xfId="35879" xr:uid="{00000000-0005-0000-0000-0000F0540000}"/>
    <cellStyle name="Normal 11 2 2 3 2 3 3" xfId="12132" xr:uid="{00000000-0005-0000-0000-0000F1540000}"/>
    <cellStyle name="Normal 11 2 2 3 2 3 3 2" xfId="25700" xr:uid="{00000000-0005-0000-0000-0000F2540000}"/>
    <cellStyle name="Normal 11 2 2 3 2 3 3 2 2" xfId="52833" xr:uid="{00000000-0005-0000-0000-0000F3540000}"/>
    <cellStyle name="Normal 11 2 2 3 2 3 3 3" xfId="39271" xr:uid="{00000000-0005-0000-0000-0000F4540000}"/>
    <cellStyle name="Normal 11 2 2 3 2 3 4" xfId="18919" xr:uid="{00000000-0005-0000-0000-0000F5540000}"/>
    <cellStyle name="Normal 11 2 2 3 2 3 4 2" xfId="46052" xr:uid="{00000000-0005-0000-0000-0000F6540000}"/>
    <cellStyle name="Normal 11 2 2 3 2 3 5" xfId="32490" xr:uid="{00000000-0005-0000-0000-0000F7540000}"/>
    <cellStyle name="Normal 11 2 2 3 2 4" xfId="8729" xr:uid="{00000000-0005-0000-0000-0000F8540000}"/>
    <cellStyle name="Normal 11 2 2 3 2 4 2" xfId="15519" xr:uid="{00000000-0005-0000-0000-0000F9540000}"/>
    <cellStyle name="Normal 11 2 2 3 2 4 2 2" xfId="29087" xr:uid="{00000000-0005-0000-0000-0000FA540000}"/>
    <cellStyle name="Normal 11 2 2 3 2 4 2 2 2" xfId="56220" xr:uid="{00000000-0005-0000-0000-0000FB540000}"/>
    <cellStyle name="Normal 11 2 2 3 2 4 2 3" xfId="42658" xr:uid="{00000000-0005-0000-0000-0000FC540000}"/>
    <cellStyle name="Normal 11 2 2 3 2 4 3" xfId="22306" xr:uid="{00000000-0005-0000-0000-0000FD540000}"/>
    <cellStyle name="Normal 11 2 2 3 2 4 3 2" xfId="49439" xr:uid="{00000000-0005-0000-0000-0000FE540000}"/>
    <cellStyle name="Normal 11 2 2 3 2 4 4" xfId="35877" xr:uid="{00000000-0005-0000-0000-0000FF540000}"/>
    <cellStyle name="Normal 11 2 2 3 2 5" xfId="12130" xr:uid="{00000000-0005-0000-0000-000000550000}"/>
    <cellStyle name="Normal 11 2 2 3 2 5 2" xfId="25698" xr:uid="{00000000-0005-0000-0000-000001550000}"/>
    <cellStyle name="Normal 11 2 2 3 2 5 2 2" xfId="52831" xr:uid="{00000000-0005-0000-0000-000002550000}"/>
    <cellStyle name="Normal 11 2 2 3 2 5 3" xfId="39269" xr:uid="{00000000-0005-0000-0000-000003550000}"/>
    <cellStyle name="Normal 11 2 2 3 2 6" xfId="18917" xr:uid="{00000000-0005-0000-0000-000004550000}"/>
    <cellStyle name="Normal 11 2 2 3 2 6 2" xfId="46050" xr:uid="{00000000-0005-0000-0000-000005550000}"/>
    <cellStyle name="Normal 11 2 2 3 2 7" xfId="32488" xr:uid="{00000000-0005-0000-0000-000006550000}"/>
    <cellStyle name="Normal 11 2 2 3 3" xfId="5181" xr:uid="{00000000-0005-0000-0000-000007550000}"/>
    <cellStyle name="Normal 11 2 2 3 3 2" xfId="5182" xr:uid="{00000000-0005-0000-0000-000008550000}"/>
    <cellStyle name="Normal 11 2 2 3 3 2 2" xfId="8733" xr:uid="{00000000-0005-0000-0000-000009550000}"/>
    <cellStyle name="Normal 11 2 2 3 3 2 2 2" xfId="15523" xr:uid="{00000000-0005-0000-0000-00000A550000}"/>
    <cellStyle name="Normal 11 2 2 3 3 2 2 2 2" xfId="29091" xr:uid="{00000000-0005-0000-0000-00000B550000}"/>
    <cellStyle name="Normal 11 2 2 3 3 2 2 2 2 2" xfId="56224" xr:uid="{00000000-0005-0000-0000-00000C550000}"/>
    <cellStyle name="Normal 11 2 2 3 3 2 2 2 3" xfId="42662" xr:uid="{00000000-0005-0000-0000-00000D550000}"/>
    <cellStyle name="Normal 11 2 2 3 3 2 2 3" xfId="22310" xr:uid="{00000000-0005-0000-0000-00000E550000}"/>
    <cellStyle name="Normal 11 2 2 3 3 2 2 3 2" xfId="49443" xr:uid="{00000000-0005-0000-0000-00000F550000}"/>
    <cellStyle name="Normal 11 2 2 3 3 2 2 4" xfId="35881" xr:uid="{00000000-0005-0000-0000-000010550000}"/>
    <cellStyle name="Normal 11 2 2 3 3 2 3" xfId="12134" xr:uid="{00000000-0005-0000-0000-000011550000}"/>
    <cellStyle name="Normal 11 2 2 3 3 2 3 2" xfId="25702" xr:uid="{00000000-0005-0000-0000-000012550000}"/>
    <cellStyle name="Normal 11 2 2 3 3 2 3 2 2" xfId="52835" xr:uid="{00000000-0005-0000-0000-000013550000}"/>
    <cellStyle name="Normal 11 2 2 3 3 2 3 3" xfId="39273" xr:uid="{00000000-0005-0000-0000-000014550000}"/>
    <cellStyle name="Normal 11 2 2 3 3 2 4" xfId="18921" xr:uid="{00000000-0005-0000-0000-000015550000}"/>
    <cellStyle name="Normal 11 2 2 3 3 2 4 2" xfId="46054" xr:uid="{00000000-0005-0000-0000-000016550000}"/>
    <cellStyle name="Normal 11 2 2 3 3 2 5" xfId="32492" xr:uid="{00000000-0005-0000-0000-000017550000}"/>
    <cellStyle name="Normal 11 2 2 3 3 3" xfId="8732" xr:uid="{00000000-0005-0000-0000-000018550000}"/>
    <cellStyle name="Normal 11 2 2 3 3 3 2" xfId="15522" xr:uid="{00000000-0005-0000-0000-000019550000}"/>
    <cellStyle name="Normal 11 2 2 3 3 3 2 2" xfId="29090" xr:uid="{00000000-0005-0000-0000-00001A550000}"/>
    <cellStyle name="Normal 11 2 2 3 3 3 2 2 2" xfId="56223" xr:uid="{00000000-0005-0000-0000-00001B550000}"/>
    <cellStyle name="Normal 11 2 2 3 3 3 2 3" xfId="42661" xr:uid="{00000000-0005-0000-0000-00001C550000}"/>
    <cellStyle name="Normal 11 2 2 3 3 3 3" xfId="22309" xr:uid="{00000000-0005-0000-0000-00001D550000}"/>
    <cellStyle name="Normal 11 2 2 3 3 3 3 2" xfId="49442" xr:uid="{00000000-0005-0000-0000-00001E550000}"/>
    <cellStyle name="Normal 11 2 2 3 3 3 4" xfId="35880" xr:uid="{00000000-0005-0000-0000-00001F550000}"/>
    <cellStyle name="Normal 11 2 2 3 3 4" xfId="12133" xr:uid="{00000000-0005-0000-0000-000020550000}"/>
    <cellStyle name="Normal 11 2 2 3 3 4 2" xfId="25701" xr:uid="{00000000-0005-0000-0000-000021550000}"/>
    <cellStyle name="Normal 11 2 2 3 3 4 2 2" xfId="52834" xr:uid="{00000000-0005-0000-0000-000022550000}"/>
    <cellStyle name="Normal 11 2 2 3 3 4 3" xfId="39272" xr:uid="{00000000-0005-0000-0000-000023550000}"/>
    <cellStyle name="Normal 11 2 2 3 3 5" xfId="18920" xr:uid="{00000000-0005-0000-0000-000024550000}"/>
    <cellStyle name="Normal 11 2 2 3 3 5 2" xfId="46053" xr:uid="{00000000-0005-0000-0000-000025550000}"/>
    <cellStyle name="Normal 11 2 2 3 3 6" xfId="32491" xr:uid="{00000000-0005-0000-0000-000026550000}"/>
    <cellStyle name="Normal 11 2 2 3 4" xfId="5183" xr:uid="{00000000-0005-0000-0000-000027550000}"/>
    <cellStyle name="Normal 11 2 2 3 4 2" xfId="8734" xr:uid="{00000000-0005-0000-0000-000028550000}"/>
    <cellStyle name="Normal 11 2 2 3 4 2 2" xfId="15524" xr:uid="{00000000-0005-0000-0000-000029550000}"/>
    <cellStyle name="Normal 11 2 2 3 4 2 2 2" xfId="29092" xr:uid="{00000000-0005-0000-0000-00002A550000}"/>
    <cellStyle name="Normal 11 2 2 3 4 2 2 2 2" xfId="56225" xr:uid="{00000000-0005-0000-0000-00002B550000}"/>
    <cellStyle name="Normal 11 2 2 3 4 2 2 3" xfId="42663" xr:uid="{00000000-0005-0000-0000-00002C550000}"/>
    <cellStyle name="Normal 11 2 2 3 4 2 3" xfId="22311" xr:uid="{00000000-0005-0000-0000-00002D550000}"/>
    <cellStyle name="Normal 11 2 2 3 4 2 3 2" xfId="49444" xr:uid="{00000000-0005-0000-0000-00002E550000}"/>
    <cellStyle name="Normal 11 2 2 3 4 2 4" xfId="35882" xr:uid="{00000000-0005-0000-0000-00002F550000}"/>
    <cellStyle name="Normal 11 2 2 3 4 3" xfId="12135" xr:uid="{00000000-0005-0000-0000-000030550000}"/>
    <cellStyle name="Normal 11 2 2 3 4 3 2" xfId="25703" xr:uid="{00000000-0005-0000-0000-000031550000}"/>
    <cellStyle name="Normal 11 2 2 3 4 3 2 2" xfId="52836" xr:uid="{00000000-0005-0000-0000-000032550000}"/>
    <cellStyle name="Normal 11 2 2 3 4 3 3" xfId="39274" xr:uid="{00000000-0005-0000-0000-000033550000}"/>
    <cellStyle name="Normal 11 2 2 3 4 4" xfId="18922" xr:uid="{00000000-0005-0000-0000-000034550000}"/>
    <cellStyle name="Normal 11 2 2 3 4 4 2" xfId="46055" xr:uid="{00000000-0005-0000-0000-000035550000}"/>
    <cellStyle name="Normal 11 2 2 3 4 5" xfId="32493" xr:uid="{00000000-0005-0000-0000-000036550000}"/>
    <cellStyle name="Normal 11 2 2 3 5" xfId="5184" xr:uid="{00000000-0005-0000-0000-000037550000}"/>
    <cellStyle name="Normal 11 2 2 3 5 2" xfId="8735" xr:uid="{00000000-0005-0000-0000-000038550000}"/>
    <cellStyle name="Normal 11 2 2 3 5 2 2" xfId="15525" xr:uid="{00000000-0005-0000-0000-000039550000}"/>
    <cellStyle name="Normal 11 2 2 3 5 2 2 2" xfId="29093" xr:uid="{00000000-0005-0000-0000-00003A550000}"/>
    <cellStyle name="Normal 11 2 2 3 5 2 2 2 2" xfId="56226" xr:uid="{00000000-0005-0000-0000-00003B550000}"/>
    <cellStyle name="Normal 11 2 2 3 5 2 2 3" xfId="42664" xr:uid="{00000000-0005-0000-0000-00003C550000}"/>
    <cellStyle name="Normal 11 2 2 3 5 2 3" xfId="22312" xr:uid="{00000000-0005-0000-0000-00003D550000}"/>
    <cellStyle name="Normal 11 2 2 3 5 2 3 2" xfId="49445" xr:uid="{00000000-0005-0000-0000-00003E550000}"/>
    <cellStyle name="Normal 11 2 2 3 5 2 4" xfId="35883" xr:uid="{00000000-0005-0000-0000-00003F550000}"/>
    <cellStyle name="Normal 11 2 2 3 5 3" xfId="12136" xr:uid="{00000000-0005-0000-0000-000040550000}"/>
    <cellStyle name="Normal 11 2 2 3 5 3 2" xfId="25704" xr:uid="{00000000-0005-0000-0000-000041550000}"/>
    <cellStyle name="Normal 11 2 2 3 5 3 2 2" xfId="52837" xr:uid="{00000000-0005-0000-0000-000042550000}"/>
    <cellStyle name="Normal 11 2 2 3 5 3 3" xfId="39275" xr:uid="{00000000-0005-0000-0000-000043550000}"/>
    <cellStyle name="Normal 11 2 2 3 5 4" xfId="18923" xr:uid="{00000000-0005-0000-0000-000044550000}"/>
    <cellStyle name="Normal 11 2 2 3 5 4 2" xfId="46056" xr:uid="{00000000-0005-0000-0000-000045550000}"/>
    <cellStyle name="Normal 11 2 2 3 5 5" xfId="32494" xr:uid="{00000000-0005-0000-0000-000046550000}"/>
    <cellStyle name="Normal 11 2 2 3 6" xfId="8728" xr:uid="{00000000-0005-0000-0000-000047550000}"/>
    <cellStyle name="Normal 11 2 2 3 6 2" xfId="15518" xr:uid="{00000000-0005-0000-0000-000048550000}"/>
    <cellStyle name="Normal 11 2 2 3 6 2 2" xfId="29086" xr:uid="{00000000-0005-0000-0000-000049550000}"/>
    <cellStyle name="Normal 11 2 2 3 6 2 2 2" xfId="56219" xr:uid="{00000000-0005-0000-0000-00004A550000}"/>
    <cellStyle name="Normal 11 2 2 3 6 2 3" xfId="42657" xr:uid="{00000000-0005-0000-0000-00004B550000}"/>
    <cellStyle name="Normal 11 2 2 3 6 3" xfId="22305" xr:uid="{00000000-0005-0000-0000-00004C550000}"/>
    <cellStyle name="Normal 11 2 2 3 6 3 2" xfId="49438" xr:uid="{00000000-0005-0000-0000-00004D550000}"/>
    <cellStyle name="Normal 11 2 2 3 6 4" xfId="35876" xr:uid="{00000000-0005-0000-0000-00004E550000}"/>
    <cellStyle name="Normal 11 2 2 3 7" xfId="12129" xr:uid="{00000000-0005-0000-0000-00004F550000}"/>
    <cellStyle name="Normal 11 2 2 3 7 2" xfId="25697" xr:uid="{00000000-0005-0000-0000-000050550000}"/>
    <cellStyle name="Normal 11 2 2 3 7 2 2" xfId="52830" xr:uid="{00000000-0005-0000-0000-000051550000}"/>
    <cellStyle name="Normal 11 2 2 3 7 3" xfId="39268" xr:uid="{00000000-0005-0000-0000-000052550000}"/>
    <cellStyle name="Normal 11 2 2 3 8" xfId="18916" xr:uid="{00000000-0005-0000-0000-000053550000}"/>
    <cellStyle name="Normal 11 2 2 3 8 2" xfId="46049" xr:uid="{00000000-0005-0000-0000-000054550000}"/>
    <cellStyle name="Normal 11 2 2 3 9" xfId="32487" xr:uid="{00000000-0005-0000-0000-000055550000}"/>
    <cellStyle name="Normal 11 2 2 4" xfId="5185" xr:uid="{00000000-0005-0000-0000-000056550000}"/>
    <cellStyle name="Normal 11 2 2 4 2" xfId="5186" xr:uid="{00000000-0005-0000-0000-000057550000}"/>
    <cellStyle name="Normal 11 2 2 4 2 2" xfId="5187" xr:uid="{00000000-0005-0000-0000-000058550000}"/>
    <cellStyle name="Normal 11 2 2 4 2 2 2" xfId="8738" xr:uid="{00000000-0005-0000-0000-000059550000}"/>
    <cellStyle name="Normal 11 2 2 4 2 2 2 2" xfId="15528" xr:uid="{00000000-0005-0000-0000-00005A550000}"/>
    <cellStyle name="Normal 11 2 2 4 2 2 2 2 2" xfId="29096" xr:uid="{00000000-0005-0000-0000-00005B550000}"/>
    <cellStyle name="Normal 11 2 2 4 2 2 2 2 2 2" xfId="56229" xr:uid="{00000000-0005-0000-0000-00005C550000}"/>
    <cellStyle name="Normal 11 2 2 4 2 2 2 2 3" xfId="42667" xr:uid="{00000000-0005-0000-0000-00005D550000}"/>
    <cellStyle name="Normal 11 2 2 4 2 2 2 3" xfId="22315" xr:uid="{00000000-0005-0000-0000-00005E550000}"/>
    <cellStyle name="Normal 11 2 2 4 2 2 2 3 2" xfId="49448" xr:uid="{00000000-0005-0000-0000-00005F550000}"/>
    <cellStyle name="Normal 11 2 2 4 2 2 2 4" xfId="35886" xr:uid="{00000000-0005-0000-0000-000060550000}"/>
    <cellStyle name="Normal 11 2 2 4 2 2 3" xfId="12139" xr:uid="{00000000-0005-0000-0000-000061550000}"/>
    <cellStyle name="Normal 11 2 2 4 2 2 3 2" xfId="25707" xr:uid="{00000000-0005-0000-0000-000062550000}"/>
    <cellStyle name="Normal 11 2 2 4 2 2 3 2 2" xfId="52840" xr:uid="{00000000-0005-0000-0000-000063550000}"/>
    <cellStyle name="Normal 11 2 2 4 2 2 3 3" xfId="39278" xr:uid="{00000000-0005-0000-0000-000064550000}"/>
    <cellStyle name="Normal 11 2 2 4 2 2 4" xfId="18926" xr:uid="{00000000-0005-0000-0000-000065550000}"/>
    <cellStyle name="Normal 11 2 2 4 2 2 4 2" xfId="46059" xr:uid="{00000000-0005-0000-0000-000066550000}"/>
    <cellStyle name="Normal 11 2 2 4 2 2 5" xfId="32497" xr:uid="{00000000-0005-0000-0000-000067550000}"/>
    <cellStyle name="Normal 11 2 2 4 2 3" xfId="5188" xr:uid="{00000000-0005-0000-0000-000068550000}"/>
    <cellStyle name="Normal 11 2 2 4 2 3 2" xfId="8739" xr:uid="{00000000-0005-0000-0000-000069550000}"/>
    <cellStyle name="Normal 11 2 2 4 2 3 2 2" xfId="15529" xr:uid="{00000000-0005-0000-0000-00006A550000}"/>
    <cellStyle name="Normal 11 2 2 4 2 3 2 2 2" xfId="29097" xr:uid="{00000000-0005-0000-0000-00006B550000}"/>
    <cellStyle name="Normal 11 2 2 4 2 3 2 2 2 2" xfId="56230" xr:uid="{00000000-0005-0000-0000-00006C550000}"/>
    <cellStyle name="Normal 11 2 2 4 2 3 2 2 3" xfId="42668" xr:uid="{00000000-0005-0000-0000-00006D550000}"/>
    <cellStyle name="Normal 11 2 2 4 2 3 2 3" xfId="22316" xr:uid="{00000000-0005-0000-0000-00006E550000}"/>
    <cellStyle name="Normal 11 2 2 4 2 3 2 3 2" xfId="49449" xr:uid="{00000000-0005-0000-0000-00006F550000}"/>
    <cellStyle name="Normal 11 2 2 4 2 3 2 4" xfId="35887" xr:uid="{00000000-0005-0000-0000-000070550000}"/>
    <cellStyle name="Normal 11 2 2 4 2 3 3" xfId="12140" xr:uid="{00000000-0005-0000-0000-000071550000}"/>
    <cellStyle name="Normal 11 2 2 4 2 3 3 2" xfId="25708" xr:uid="{00000000-0005-0000-0000-000072550000}"/>
    <cellStyle name="Normal 11 2 2 4 2 3 3 2 2" xfId="52841" xr:uid="{00000000-0005-0000-0000-000073550000}"/>
    <cellStyle name="Normal 11 2 2 4 2 3 3 3" xfId="39279" xr:uid="{00000000-0005-0000-0000-000074550000}"/>
    <cellStyle name="Normal 11 2 2 4 2 3 4" xfId="18927" xr:uid="{00000000-0005-0000-0000-000075550000}"/>
    <cellStyle name="Normal 11 2 2 4 2 3 4 2" xfId="46060" xr:uid="{00000000-0005-0000-0000-000076550000}"/>
    <cellStyle name="Normal 11 2 2 4 2 3 5" xfId="32498" xr:uid="{00000000-0005-0000-0000-000077550000}"/>
    <cellStyle name="Normal 11 2 2 4 2 4" xfId="8737" xr:uid="{00000000-0005-0000-0000-000078550000}"/>
    <cellStyle name="Normal 11 2 2 4 2 4 2" xfId="15527" xr:uid="{00000000-0005-0000-0000-000079550000}"/>
    <cellStyle name="Normal 11 2 2 4 2 4 2 2" xfId="29095" xr:uid="{00000000-0005-0000-0000-00007A550000}"/>
    <cellStyle name="Normal 11 2 2 4 2 4 2 2 2" xfId="56228" xr:uid="{00000000-0005-0000-0000-00007B550000}"/>
    <cellStyle name="Normal 11 2 2 4 2 4 2 3" xfId="42666" xr:uid="{00000000-0005-0000-0000-00007C550000}"/>
    <cellStyle name="Normal 11 2 2 4 2 4 3" xfId="22314" xr:uid="{00000000-0005-0000-0000-00007D550000}"/>
    <cellStyle name="Normal 11 2 2 4 2 4 3 2" xfId="49447" xr:uid="{00000000-0005-0000-0000-00007E550000}"/>
    <cellStyle name="Normal 11 2 2 4 2 4 4" xfId="35885" xr:uid="{00000000-0005-0000-0000-00007F550000}"/>
    <cellStyle name="Normal 11 2 2 4 2 5" xfId="12138" xr:uid="{00000000-0005-0000-0000-000080550000}"/>
    <cellStyle name="Normal 11 2 2 4 2 5 2" xfId="25706" xr:uid="{00000000-0005-0000-0000-000081550000}"/>
    <cellStyle name="Normal 11 2 2 4 2 5 2 2" xfId="52839" xr:uid="{00000000-0005-0000-0000-000082550000}"/>
    <cellStyle name="Normal 11 2 2 4 2 5 3" xfId="39277" xr:uid="{00000000-0005-0000-0000-000083550000}"/>
    <cellStyle name="Normal 11 2 2 4 2 6" xfId="18925" xr:uid="{00000000-0005-0000-0000-000084550000}"/>
    <cellStyle name="Normal 11 2 2 4 2 6 2" xfId="46058" xr:uid="{00000000-0005-0000-0000-000085550000}"/>
    <cellStyle name="Normal 11 2 2 4 2 7" xfId="32496" xr:uid="{00000000-0005-0000-0000-000086550000}"/>
    <cellStyle name="Normal 11 2 2 4 3" xfId="5189" xr:uid="{00000000-0005-0000-0000-000087550000}"/>
    <cellStyle name="Normal 11 2 2 4 3 2" xfId="8740" xr:uid="{00000000-0005-0000-0000-000088550000}"/>
    <cellStyle name="Normal 11 2 2 4 3 2 2" xfId="15530" xr:uid="{00000000-0005-0000-0000-000089550000}"/>
    <cellStyle name="Normal 11 2 2 4 3 2 2 2" xfId="29098" xr:uid="{00000000-0005-0000-0000-00008A550000}"/>
    <cellStyle name="Normal 11 2 2 4 3 2 2 2 2" xfId="56231" xr:uid="{00000000-0005-0000-0000-00008B550000}"/>
    <cellStyle name="Normal 11 2 2 4 3 2 2 3" xfId="42669" xr:uid="{00000000-0005-0000-0000-00008C550000}"/>
    <cellStyle name="Normal 11 2 2 4 3 2 3" xfId="22317" xr:uid="{00000000-0005-0000-0000-00008D550000}"/>
    <cellStyle name="Normal 11 2 2 4 3 2 3 2" xfId="49450" xr:uid="{00000000-0005-0000-0000-00008E550000}"/>
    <cellStyle name="Normal 11 2 2 4 3 2 4" xfId="35888" xr:uid="{00000000-0005-0000-0000-00008F550000}"/>
    <cellStyle name="Normal 11 2 2 4 3 3" xfId="12141" xr:uid="{00000000-0005-0000-0000-000090550000}"/>
    <cellStyle name="Normal 11 2 2 4 3 3 2" xfId="25709" xr:uid="{00000000-0005-0000-0000-000091550000}"/>
    <cellStyle name="Normal 11 2 2 4 3 3 2 2" xfId="52842" xr:uid="{00000000-0005-0000-0000-000092550000}"/>
    <cellStyle name="Normal 11 2 2 4 3 3 3" xfId="39280" xr:uid="{00000000-0005-0000-0000-000093550000}"/>
    <cellStyle name="Normal 11 2 2 4 3 4" xfId="18928" xr:uid="{00000000-0005-0000-0000-000094550000}"/>
    <cellStyle name="Normal 11 2 2 4 3 4 2" xfId="46061" xr:uid="{00000000-0005-0000-0000-000095550000}"/>
    <cellStyle name="Normal 11 2 2 4 3 5" xfId="32499" xr:uid="{00000000-0005-0000-0000-000096550000}"/>
    <cellStyle name="Normal 11 2 2 4 4" xfId="5190" xr:uid="{00000000-0005-0000-0000-000097550000}"/>
    <cellStyle name="Normal 11 2 2 4 4 2" xfId="8741" xr:uid="{00000000-0005-0000-0000-000098550000}"/>
    <cellStyle name="Normal 11 2 2 4 4 2 2" xfId="15531" xr:uid="{00000000-0005-0000-0000-000099550000}"/>
    <cellStyle name="Normal 11 2 2 4 4 2 2 2" xfId="29099" xr:uid="{00000000-0005-0000-0000-00009A550000}"/>
    <cellStyle name="Normal 11 2 2 4 4 2 2 2 2" xfId="56232" xr:uid="{00000000-0005-0000-0000-00009B550000}"/>
    <cellStyle name="Normal 11 2 2 4 4 2 2 3" xfId="42670" xr:uid="{00000000-0005-0000-0000-00009C550000}"/>
    <cellStyle name="Normal 11 2 2 4 4 2 3" xfId="22318" xr:uid="{00000000-0005-0000-0000-00009D550000}"/>
    <cellStyle name="Normal 11 2 2 4 4 2 3 2" xfId="49451" xr:uid="{00000000-0005-0000-0000-00009E550000}"/>
    <cellStyle name="Normal 11 2 2 4 4 2 4" xfId="35889" xr:uid="{00000000-0005-0000-0000-00009F550000}"/>
    <cellStyle name="Normal 11 2 2 4 4 3" xfId="12142" xr:uid="{00000000-0005-0000-0000-0000A0550000}"/>
    <cellStyle name="Normal 11 2 2 4 4 3 2" xfId="25710" xr:uid="{00000000-0005-0000-0000-0000A1550000}"/>
    <cellStyle name="Normal 11 2 2 4 4 3 2 2" xfId="52843" xr:uid="{00000000-0005-0000-0000-0000A2550000}"/>
    <cellStyle name="Normal 11 2 2 4 4 3 3" xfId="39281" xr:uid="{00000000-0005-0000-0000-0000A3550000}"/>
    <cellStyle name="Normal 11 2 2 4 4 4" xfId="18929" xr:uid="{00000000-0005-0000-0000-0000A4550000}"/>
    <cellStyle name="Normal 11 2 2 4 4 4 2" xfId="46062" xr:uid="{00000000-0005-0000-0000-0000A5550000}"/>
    <cellStyle name="Normal 11 2 2 4 4 5" xfId="32500" xr:uid="{00000000-0005-0000-0000-0000A6550000}"/>
    <cellStyle name="Normal 11 2 2 4 5" xfId="8736" xr:uid="{00000000-0005-0000-0000-0000A7550000}"/>
    <cellStyle name="Normal 11 2 2 4 5 2" xfId="15526" xr:uid="{00000000-0005-0000-0000-0000A8550000}"/>
    <cellStyle name="Normal 11 2 2 4 5 2 2" xfId="29094" xr:uid="{00000000-0005-0000-0000-0000A9550000}"/>
    <cellStyle name="Normal 11 2 2 4 5 2 2 2" xfId="56227" xr:uid="{00000000-0005-0000-0000-0000AA550000}"/>
    <cellStyle name="Normal 11 2 2 4 5 2 3" xfId="42665" xr:uid="{00000000-0005-0000-0000-0000AB550000}"/>
    <cellStyle name="Normal 11 2 2 4 5 3" xfId="22313" xr:uid="{00000000-0005-0000-0000-0000AC550000}"/>
    <cellStyle name="Normal 11 2 2 4 5 3 2" xfId="49446" xr:uid="{00000000-0005-0000-0000-0000AD550000}"/>
    <cellStyle name="Normal 11 2 2 4 5 4" xfId="35884" xr:uid="{00000000-0005-0000-0000-0000AE550000}"/>
    <cellStyle name="Normal 11 2 2 4 6" xfId="12137" xr:uid="{00000000-0005-0000-0000-0000AF550000}"/>
    <cellStyle name="Normal 11 2 2 4 6 2" xfId="25705" xr:uid="{00000000-0005-0000-0000-0000B0550000}"/>
    <cellStyle name="Normal 11 2 2 4 6 2 2" xfId="52838" xr:uid="{00000000-0005-0000-0000-0000B1550000}"/>
    <cellStyle name="Normal 11 2 2 4 6 3" xfId="39276" xr:uid="{00000000-0005-0000-0000-0000B2550000}"/>
    <cellStyle name="Normal 11 2 2 4 7" xfId="18924" xr:uid="{00000000-0005-0000-0000-0000B3550000}"/>
    <cellStyle name="Normal 11 2 2 4 7 2" xfId="46057" xr:uid="{00000000-0005-0000-0000-0000B4550000}"/>
    <cellStyle name="Normal 11 2 2 4 8" xfId="32495" xr:uid="{00000000-0005-0000-0000-0000B5550000}"/>
    <cellStyle name="Normal 11 2 2 5" xfId="5191" xr:uid="{00000000-0005-0000-0000-0000B6550000}"/>
    <cellStyle name="Normal 11 2 2 5 2" xfId="5192" xr:uid="{00000000-0005-0000-0000-0000B7550000}"/>
    <cellStyle name="Normal 11 2 2 5 2 2" xfId="8743" xr:uid="{00000000-0005-0000-0000-0000B8550000}"/>
    <cellStyle name="Normal 11 2 2 5 2 2 2" xfId="15533" xr:uid="{00000000-0005-0000-0000-0000B9550000}"/>
    <cellStyle name="Normal 11 2 2 5 2 2 2 2" xfId="29101" xr:uid="{00000000-0005-0000-0000-0000BA550000}"/>
    <cellStyle name="Normal 11 2 2 5 2 2 2 2 2" xfId="56234" xr:uid="{00000000-0005-0000-0000-0000BB550000}"/>
    <cellStyle name="Normal 11 2 2 5 2 2 2 3" xfId="42672" xr:uid="{00000000-0005-0000-0000-0000BC550000}"/>
    <cellStyle name="Normal 11 2 2 5 2 2 3" xfId="22320" xr:uid="{00000000-0005-0000-0000-0000BD550000}"/>
    <cellStyle name="Normal 11 2 2 5 2 2 3 2" xfId="49453" xr:uid="{00000000-0005-0000-0000-0000BE550000}"/>
    <cellStyle name="Normal 11 2 2 5 2 2 4" xfId="35891" xr:uid="{00000000-0005-0000-0000-0000BF550000}"/>
    <cellStyle name="Normal 11 2 2 5 2 3" xfId="12144" xr:uid="{00000000-0005-0000-0000-0000C0550000}"/>
    <cellStyle name="Normal 11 2 2 5 2 3 2" xfId="25712" xr:uid="{00000000-0005-0000-0000-0000C1550000}"/>
    <cellStyle name="Normal 11 2 2 5 2 3 2 2" xfId="52845" xr:uid="{00000000-0005-0000-0000-0000C2550000}"/>
    <cellStyle name="Normal 11 2 2 5 2 3 3" xfId="39283" xr:uid="{00000000-0005-0000-0000-0000C3550000}"/>
    <cellStyle name="Normal 11 2 2 5 2 4" xfId="18931" xr:uid="{00000000-0005-0000-0000-0000C4550000}"/>
    <cellStyle name="Normal 11 2 2 5 2 4 2" xfId="46064" xr:uid="{00000000-0005-0000-0000-0000C5550000}"/>
    <cellStyle name="Normal 11 2 2 5 2 5" xfId="32502" xr:uid="{00000000-0005-0000-0000-0000C6550000}"/>
    <cellStyle name="Normal 11 2 2 5 3" xfId="5193" xr:uid="{00000000-0005-0000-0000-0000C7550000}"/>
    <cellStyle name="Normal 11 2 2 5 3 2" xfId="8744" xr:uid="{00000000-0005-0000-0000-0000C8550000}"/>
    <cellStyle name="Normal 11 2 2 5 3 2 2" xfId="15534" xr:uid="{00000000-0005-0000-0000-0000C9550000}"/>
    <cellStyle name="Normal 11 2 2 5 3 2 2 2" xfId="29102" xr:uid="{00000000-0005-0000-0000-0000CA550000}"/>
    <cellStyle name="Normal 11 2 2 5 3 2 2 2 2" xfId="56235" xr:uid="{00000000-0005-0000-0000-0000CB550000}"/>
    <cellStyle name="Normal 11 2 2 5 3 2 2 3" xfId="42673" xr:uid="{00000000-0005-0000-0000-0000CC550000}"/>
    <cellStyle name="Normal 11 2 2 5 3 2 3" xfId="22321" xr:uid="{00000000-0005-0000-0000-0000CD550000}"/>
    <cellStyle name="Normal 11 2 2 5 3 2 3 2" xfId="49454" xr:uid="{00000000-0005-0000-0000-0000CE550000}"/>
    <cellStyle name="Normal 11 2 2 5 3 2 4" xfId="35892" xr:uid="{00000000-0005-0000-0000-0000CF550000}"/>
    <cellStyle name="Normal 11 2 2 5 3 3" xfId="12145" xr:uid="{00000000-0005-0000-0000-0000D0550000}"/>
    <cellStyle name="Normal 11 2 2 5 3 3 2" xfId="25713" xr:uid="{00000000-0005-0000-0000-0000D1550000}"/>
    <cellStyle name="Normal 11 2 2 5 3 3 2 2" xfId="52846" xr:uid="{00000000-0005-0000-0000-0000D2550000}"/>
    <cellStyle name="Normal 11 2 2 5 3 3 3" xfId="39284" xr:uid="{00000000-0005-0000-0000-0000D3550000}"/>
    <cellStyle name="Normal 11 2 2 5 3 4" xfId="18932" xr:uid="{00000000-0005-0000-0000-0000D4550000}"/>
    <cellStyle name="Normal 11 2 2 5 3 4 2" xfId="46065" xr:uid="{00000000-0005-0000-0000-0000D5550000}"/>
    <cellStyle name="Normal 11 2 2 5 3 5" xfId="32503" xr:uid="{00000000-0005-0000-0000-0000D6550000}"/>
    <cellStyle name="Normal 11 2 2 5 4" xfId="8742" xr:uid="{00000000-0005-0000-0000-0000D7550000}"/>
    <cellStyle name="Normal 11 2 2 5 4 2" xfId="15532" xr:uid="{00000000-0005-0000-0000-0000D8550000}"/>
    <cellStyle name="Normal 11 2 2 5 4 2 2" xfId="29100" xr:uid="{00000000-0005-0000-0000-0000D9550000}"/>
    <cellStyle name="Normal 11 2 2 5 4 2 2 2" xfId="56233" xr:uid="{00000000-0005-0000-0000-0000DA550000}"/>
    <cellStyle name="Normal 11 2 2 5 4 2 3" xfId="42671" xr:uid="{00000000-0005-0000-0000-0000DB550000}"/>
    <cellStyle name="Normal 11 2 2 5 4 3" xfId="22319" xr:uid="{00000000-0005-0000-0000-0000DC550000}"/>
    <cellStyle name="Normal 11 2 2 5 4 3 2" xfId="49452" xr:uid="{00000000-0005-0000-0000-0000DD550000}"/>
    <cellStyle name="Normal 11 2 2 5 4 4" xfId="35890" xr:uid="{00000000-0005-0000-0000-0000DE550000}"/>
    <cellStyle name="Normal 11 2 2 5 5" xfId="12143" xr:uid="{00000000-0005-0000-0000-0000DF550000}"/>
    <cellStyle name="Normal 11 2 2 5 5 2" xfId="25711" xr:uid="{00000000-0005-0000-0000-0000E0550000}"/>
    <cellStyle name="Normal 11 2 2 5 5 2 2" xfId="52844" xr:uid="{00000000-0005-0000-0000-0000E1550000}"/>
    <cellStyle name="Normal 11 2 2 5 5 3" xfId="39282" xr:uid="{00000000-0005-0000-0000-0000E2550000}"/>
    <cellStyle name="Normal 11 2 2 5 6" xfId="18930" xr:uid="{00000000-0005-0000-0000-0000E3550000}"/>
    <cellStyle name="Normal 11 2 2 5 6 2" xfId="46063" xr:uid="{00000000-0005-0000-0000-0000E4550000}"/>
    <cellStyle name="Normal 11 2 2 5 7" xfId="32501" xr:uid="{00000000-0005-0000-0000-0000E5550000}"/>
    <cellStyle name="Normal 11 2 2 6" xfId="5194" xr:uid="{00000000-0005-0000-0000-0000E6550000}"/>
    <cellStyle name="Normal 11 2 2 6 2" xfId="5195" xr:uid="{00000000-0005-0000-0000-0000E7550000}"/>
    <cellStyle name="Normal 11 2 2 6 2 2" xfId="8746" xr:uid="{00000000-0005-0000-0000-0000E8550000}"/>
    <cellStyle name="Normal 11 2 2 6 2 2 2" xfId="15536" xr:uid="{00000000-0005-0000-0000-0000E9550000}"/>
    <cellStyle name="Normal 11 2 2 6 2 2 2 2" xfId="29104" xr:uid="{00000000-0005-0000-0000-0000EA550000}"/>
    <cellStyle name="Normal 11 2 2 6 2 2 2 2 2" xfId="56237" xr:uid="{00000000-0005-0000-0000-0000EB550000}"/>
    <cellStyle name="Normal 11 2 2 6 2 2 2 3" xfId="42675" xr:uid="{00000000-0005-0000-0000-0000EC550000}"/>
    <cellStyle name="Normal 11 2 2 6 2 2 3" xfId="22323" xr:uid="{00000000-0005-0000-0000-0000ED550000}"/>
    <cellStyle name="Normal 11 2 2 6 2 2 3 2" xfId="49456" xr:uid="{00000000-0005-0000-0000-0000EE550000}"/>
    <cellStyle name="Normal 11 2 2 6 2 2 4" xfId="35894" xr:uid="{00000000-0005-0000-0000-0000EF550000}"/>
    <cellStyle name="Normal 11 2 2 6 2 3" xfId="12147" xr:uid="{00000000-0005-0000-0000-0000F0550000}"/>
    <cellStyle name="Normal 11 2 2 6 2 3 2" xfId="25715" xr:uid="{00000000-0005-0000-0000-0000F1550000}"/>
    <cellStyle name="Normal 11 2 2 6 2 3 2 2" xfId="52848" xr:uid="{00000000-0005-0000-0000-0000F2550000}"/>
    <cellStyle name="Normal 11 2 2 6 2 3 3" xfId="39286" xr:uid="{00000000-0005-0000-0000-0000F3550000}"/>
    <cellStyle name="Normal 11 2 2 6 2 4" xfId="18934" xr:uid="{00000000-0005-0000-0000-0000F4550000}"/>
    <cellStyle name="Normal 11 2 2 6 2 4 2" xfId="46067" xr:uid="{00000000-0005-0000-0000-0000F5550000}"/>
    <cellStyle name="Normal 11 2 2 6 2 5" xfId="32505" xr:uid="{00000000-0005-0000-0000-0000F6550000}"/>
    <cellStyle name="Normal 11 2 2 6 3" xfId="5196" xr:uid="{00000000-0005-0000-0000-0000F7550000}"/>
    <cellStyle name="Normal 11 2 2 6 3 2" xfId="8747" xr:uid="{00000000-0005-0000-0000-0000F8550000}"/>
    <cellStyle name="Normal 11 2 2 6 3 2 2" xfId="15537" xr:uid="{00000000-0005-0000-0000-0000F9550000}"/>
    <cellStyle name="Normal 11 2 2 6 3 2 2 2" xfId="29105" xr:uid="{00000000-0005-0000-0000-0000FA550000}"/>
    <cellStyle name="Normal 11 2 2 6 3 2 2 2 2" xfId="56238" xr:uid="{00000000-0005-0000-0000-0000FB550000}"/>
    <cellStyle name="Normal 11 2 2 6 3 2 2 3" xfId="42676" xr:uid="{00000000-0005-0000-0000-0000FC550000}"/>
    <cellStyle name="Normal 11 2 2 6 3 2 3" xfId="22324" xr:uid="{00000000-0005-0000-0000-0000FD550000}"/>
    <cellStyle name="Normal 11 2 2 6 3 2 3 2" xfId="49457" xr:uid="{00000000-0005-0000-0000-0000FE550000}"/>
    <cellStyle name="Normal 11 2 2 6 3 2 4" xfId="35895" xr:uid="{00000000-0005-0000-0000-0000FF550000}"/>
    <cellStyle name="Normal 11 2 2 6 3 3" xfId="12148" xr:uid="{00000000-0005-0000-0000-000000560000}"/>
    <cellStyle name="Normal 11 2 2 6 3 3 2" xfId="25716" xr:uid="{00000000-0005-0000-0000-000001560000}"/>
    <cellStyle name="Normal 11 2 2 6 3 3 2 2" xfId="52849" xr:uid="{00000000-0005-0000-0000-000002560000}"/>
    <cellStyle name="Normal 11 2 2 6 3 3 3" xfId="39287" xr:uid="{00000000-0005-0000-0000-000003560000}"/>
    <cellStyle name="Normal 11 2 2 6 3 4" xfId="18935" xr:uid="{00000000-0005-0000-0000-000004560000}"/>
    <cellStyle name="Normal 11 2 2 6 3 4 2" xfId="46068" xr:uid="{00000000-0005-0000-0000-000005560000}"/>
    <cellStyle name="Normal 11 2 2 6 3 5" xfId="32506" xr:uid="{00000000-0005-0000-0000-000006560000}"/>
    <cellStyle name="Normal 11 2 2 6 4" xfId="8745" xr:uid="{00000000-0005-0000-0000-000007560000}"/>
    <cellStyle name="Normal 11 2 2 6 4 2" xfId="15535" xr:uid="{00000000-0005-0000-0000-000008560000}"/>
    <cellStyle name="Normal 11 2 2 6 4 2 2" xfId="29103" xr:uid="{00000000-0005-0000-0000-000009560000}"/>
    <cellStyle name="Normal 11 2 2 6 4 2 2 2" xfId="56236" xr:uid="{00000000-0005-0000-0000-00000A560000}"/>
    <cellStyle name="Normal 11 2 2 6 4 2 3" xfId="42674" xr:uid="{00000000-0005-0000-0000-00000B560000}"/>
    <cellStyle name="Normal 11 2 2 6 4 3" xfId="22322" xr:uid="{00000000-0005-0000-0000-00000C560000}"/>
    <cellStyle name="Normal 11 2 2 6 4 3 2" xfId="49455" xr:uid="{00000000-0005-0000-0000-00000D560000}"/>
    <cellStyle name="Normal 11 2 2 6 4 4" xfId="35893" xr:uid="{00000000-0005-0000-0000-00000E560000}"/>
    <cellStyle name="Normal 11 2 2 6 5" xfId="12146" xr:uid="{00000000-0005-0000-0000-00000F560000}"/>
    <cellStyle name="Normal 11 2 2 6 5 2" xfId="25714" xr:uid="{00000000-0005-0000-0000-000010560000}"/>
    <cellStyle name="Normal 11 2 2 6 5 2 2" xfId="52847" xr:uid="{00000000-0005-0000-0000-000011560000}"/>
    <cellStyle name="Normal 11 2 2 6 5 3" xfId="39285" xr:uid="{00000000-0005-0000-0000-000012560000}"/>
    <cellStyle name="Normal 11 2 2 6 6" xfId="18933" xr:uid="{00000000-0005-0000-0000-000013560000}"/>
    <cellStyle name="Normal 11 2 2 6 6 2" xfId="46066" xr:uid="{00000000-0005-0000-0000-000014560000}"/>
    <cellStyle name="Normal 11 2 2 6 7" xfId="32504" xr:uid="{00000000-0005-0000-0000-000015560000}"/>
    <cellStyle name="Normal 11 2 2 7" xfId="5197" xr:uid="{00000000-0005-0000-0000-000016560000}"/>
    <cellStyle name="Normal 11 2 2 7 2" xfId="8748" xr:uid="{00000000-0005-0000-0000-000017560000}"/>
    <cellStyle name="Normal 11 2 2 7 2 2" xfId="15538" xr:uid="{00000000-0005-0000-0000-000018560000}"/>
    <cellStyle name="Normal 11 2 2 7 2 2 2" xfId="29106" xr:uid="{00000000-0005-0000-0000-000019560000}"/>
    <cellStyle name="Normal 11 2 2 7 2 2 2 2" xfId="56239" xr:uid="{00000000-0005-0000-0000-00001A560000}"/>
    <cellStyle name="Normal 11 2 2 7 2 2 3" xfId="42677" xr:uid="{00000000-0005-0000-0000-00001B560000}"/>
    <cellStyle name="Normal 11 2 2 7 2 3" xfId="22325" xr:uid="{00000000-0005-0000-0000-00001C560000}"/>
    <cellStyle name="Normal 11 2 2 7 2 3 2" xfId="49458" xr:uid="{00000000-0005-0000-0000-00001D560000}"/>
    <cellStyle name="Normal 11 2 2 7 2 4" xfId="35896" xr:uid="{00000000-0005-0000-0000-00001E560000}"/>
    <cellStyle name="Normal 11 2 2 7 3" xfId="12149" xr:uid="{00000000-0005-0000-0000-00001F560000}"/>
    <cellStyle name="Normal 11 2 2 7 3 2" xfId="25717" xr:uid="{00000000-0005-0000-0000-000020560000}"/>
    <cellStyle name="Normal 11 2 2 7 3 2 2" xfId="52850" xr:uid="{00000000-0005-0000-0000-000021560000}"/>
    <cellStyle name="Normal 11 2 2 7 3 3" xfId="39288" xr:uid="{00000000-0005-0000-0000-000022560000}"/>
    <cellStyle name="Normal 11 2 2 7 4" xfId="18936" xr:uid="{00000000-0005-0000-0000-000023560000}"/>
    <cellStyle name="Normal 11 2 2 7 4 2" xfId="46069" xr:uid="{00000000-0005-0000-0000-000024560000}"/>
    <cellStyle name="Normal 11 2 2 7 5" xfId="32507" xr:uid="{00000000-0005-0000-0000-000025560000}"/>
    <cellStyle name="Normal 11 2 2 8" xfId="5198" xr:uid="{00000000-0005-0000-0000-000026560000}"/>
    <cellStyle name="Normal 11 2 2 8 2" xfId="8749" xr:uid="{00000000-0005-0000-0000-000027560000}"/>
    <cellStyle name="Normal 11 2 2 8 2 2" xfId="15539" xr:uid="{00000000-0005-0000-0000-000028560000}"/>
    <cellStyle name="Normal 11 2 2 8 2 2 2" xfId="29107" xr:uid="{00000000-0005-0000-0000-000029560000}"/>
    <cellStyle name="Normal 11 2 2 8 2 2 2 2" xfId="56240" xr:uid="{00000000-0005-0000-0000-00002A560000}"/>
    <cellStyle name="Normal 11 2 2 8 2 2 3" xfId="42678" xr:uid="{00000000-0005-0000-0000-00002B560000}"/>
    <cellStyle name="Normal 11 2 2 8 2 3" xfId="22326" xr:uid="{00000000-0005-0000-0000-00002C560000}"/>
    <cellStyle name="Normal 11 2 2 8 2 3 2" xfId="49459" xr:uid="{00000000-0005-0000-0000-00002D560000}"/>
    <cellStyle name="Normal 11 2 2 8 2 4" xfId="35897" xr:uid="{00000000-0005-0000-0000-00002E560000}"/>
    <cellStyle name="Normal 11 2 2 8 3" xfId="12150" xr:uid="{00000000-0005-0000-0000-00002F560000}"/>
    <cellStyle name="Normal 11 2 2 8 3 2" xfId="25718" xr:uid="{00000000-0005-0000-0000-000030560000}"/>
    <cellStyle name="Normal 11 2 2 8 3 2 2" xfId="52851" xr:uid="{00000000-0005-0000-0000-000031560000}"/>
    <cellStyle name="Normal 11 2 2 8 3 3" xfId="39289" xr:uid="{00000000-0005-0000-0000-000032560000}"/>
    <cellStyle name="Normal 11 2 2 8 4" xfId="18937" xr:uid="{00000000-0005-0000-0000-000033560000}"/>
    <cellStyle name="Normal 11 2 2 8 4 2" xfId="46070" xr:uid="{00000000-0005-0000-0000-000034560000}"/>
    <cellStyle name="Normal 11 2 2 8 5" xfId="32508" xr:uid="{00000000-0005-0000-0000-000035560000}"/>
    <cellStyle name="Normal 11 2 3" xfId="5199" xr:uid="{00000000-0005-0000-0000-000036560000}"/>
    <cellStyle name="Normal 11 2 3 10" xfId="32509" xr:uid="{00000000-0005-0000-0000-000037560000}"/>
    <cellStyle name="Normal 11 2 3 2" xfId="5200" xr:uid="{00000000-0005-0000-0000-000038560000}"/>
    <cellStyle name="Normal 11 2 3 2 2" xfId="5201" xr:uid="{00000000-0005-0000-0000-000039560000}"/>
    <cellStyle name="Normal 11 2 3 2 2 2" xfId="5202" xr:uid="{00000000-0005-0000-0000-00003A560000}"/>
    <cellStyle name="Normal 11 2 3 2 2 2 2" xfId="8753" xr:uid="{00000000-0005-0000-0000-00003B560000}"/>
    <cellStyle name="Normal 11 2 3 2 2 2 2 2" xfId="15543" xr:uid="{00000000-0005-0000-0000-00003C560000}"/>
    <cellStyle name="Normal 11 2 3 2 2 2 2 2 2" xfId="29111" xr:uid="{00000000-0005-0000-0000-00003D560000}"/>
    <cellStyle name="Normal 11 2 3 2 2 2 2 2 2 2" xfId="56244" xr:uid="{00000000-0005-0000-0000-00003E560000}"/>
    <cellStyle name="Normal 11 2 3 2 2 2 2 2 3" xfId="42682" xr:uid="{00000000-0005-0000-0000-00003F560000}"/>
    <cellStyle name="Normal 11 2 3 2 2 2 2 3" xfId="22330" xr:uid="{00000000-0005-0000-0000-000040560000}"/>
    <cellStyle name="Normal 11 2 3 2 2 2 2 3 2" xfId="49463" xr:uid="{00000000-0005-0000-0000-000041560000}"/>
    <cellStyle name="Normal 11 2 3 2 2 2 2 4" xfId="35901" xr:uid="{00000000-0005-0000-0000-000042560000}"/>
    <cellStyle name="Normal 11 2 3 2 2 2 3" xfId="12154" xr:uid="{00000000-0005-0000-0000-000043560000}"/>
    <cellStyle name="Normal 11 2 3 2 2 2 3 2" xfId="25722" xr:uid="{00000000-0005-0000-0000-000044560000}"/>
    <cellStyle name="Normal 11 2 3 2 2 2 3 2 2" xfId="52855" xr:uid="{00000000-0005-0000-0000-000045560000}"/>
    <cellStyle name="Normal 11 2 3 2 2 2 3 3" xfId="39293" xr:uid="{00000000-0005-0000-0000-000046560000}"/>
    <cellStyle name="Normal 11 2 3 2 2 2 4" xfId="18941" xr:uid="{00000000-0005-0000-0000-000047560000}"/>
    <cellStyle name="Normal 11 2 3 2 2 2 4 2" xfId="46074" xr:uid="{00000000-0005-0000-0000-000048560000}"/>
    <cellStyle name="Normal 11 2 3 2 2 2 5" xfId="32512" xr:uid="{00000000-0005-0000-0000-000049560000}"/>
    <cellStyle name="Normal 11 2 3 2 2 3" xfId="5203" xr:uid="{00000000-0005-0000-0000-00004A560000}"/>
    <cellStyle name="Normal 11 2 3 2 2 3 2" xfId="8754" xr:uid="{00000000-0005-0000-0000-00004B560000}"/>
    <cellStyle name="Normal 11 2 3 2 2 3 2 2" xfId="15544" xr:uid="{00000000-0005-0000-0000-00004C560000}"/>
    <cellStyle name="Normal 11 2 3 2 2 3 2 2 2" xfId="29112" xr:uid="{00000000-0005-0000-0000-00004D560000}"/>
    <cellStyle name="Normal 11 2 3 2 2 3 2 2 2 2" xfId="56245" xr:uid="{00000000-0005-0000-0000-00004E560000}"/>
    <cellStyle name="Normal 11 2 3 2 2 3 2 2 3" xfId="42683" xr:uid="{00000000-0005-0000-0000-00004F560000}"/>
    <cellStyle name="Normal 11 2 3 2 2 3 2 3" xfId="22331" xr:uid="{00000000-0005-0000-0000-000050560000}"/>
    <cellStyle name="Normal 11 2 3 2 2 3 2 3 2" xfId="49464" xr:uid="{00000000-0005-0000-0000-000051560000}"/>
    <cellStyle name="Normal 11 2 3 2 2 3 2 4" xfId="35902" xr:uid="{00000000-0005-0000-0000-000052560000}"/>
    <cellStyle name="Normal 11 2 3 2 2 3 3" xfId="12155" xr:uid="{00000000-0005-0000-0000-000053560000}"/>
    <cellStyle name="Normal 11 2 3 2 2 3 3 2" xfId="25723" xr:uid="{00000000-0005-0000-0000-000054560000}"/>
    <cellStyle name="Normal 11 2 3 2 2 3 3 2 2" xfId="52856" xr:uid="{00000000-0005-0000-0000-000055560000}"/>
    <cellStyle name="Normal 11 2 3 2 2 3 3 3" xfId="39294" xr:uid="{00000000-0005-0000-0000-000056560000}"/>
    <cellStyle name="Normal 11 2 3 2 2 3 4" xfId="18942" xr:uid="{00000000-0005-0000-0000-000057560000}"/>
    <cellStyle name="Normal 11 2 3 2 2 3 4 2" xfId="46075" xr:uid="{00000000-0005-0000-0000-000058560000}"/>
    <cellStyle name="Normal 11 2 3 2 2 3 5" xfId="32513" xr:uid="{00000000-0005-0000-0000-000059560000}"/>
    <cellStyle name="Normal 11 2 3 2 2 4" xfId="8752" xr:uid="{00000000-0005-0000-0000-00005A560000}"/>
    <cellStyle name="Normal 11 2 3 2 2 4 2" xfId="15542" xr:uid="{00000000-0005-0000-0000-00005B560000}"/>
    <cellStyle name="Normal 11 2 3 2 2 4 2 2" xfId="29110" xr:uid="{00000000-0005-0000-0000-00005C560000}"/>
    <cellStyle name="Normal 11 2 3 2 2 4 2 2 2" xfId="56243" xr:uid="{00000000-0005-0000-0000-00005D560000}"/>
    <cellStyle name="Normal 11 2 3 2 2 4 2 3" xfId="42681" xr:uid="{00000000-0005-0000-0000-00005E560000}"/>
    <cellStyle name="Normal 11 2 3 2 2 4 3" xfId="22329" xr:uid="{00000000-0005-0000-0000-00005F560000}"/>
    <cellStyle name="Normal 11 2 3 2 2 4 3 2" xfId="49462" xr:uid="{00000000-0005-0000-0000-000060560000}"/>
    <cellStyle name="Normal 11 2 3 2 2 4 4" xfId="35900" xr:uid="{00000000-0005-0000-0000-000061560000}"/>
    <cellStyle name="Normal 11 2 3 2 2 5" xfId="12153" xr:uid="{00000000-0005-0000-0000-000062560000}"/>
    <cellStyle name="Normal 11 2 3 2 2 5 2" xfId="25721" xr:uid="{00000000-0005-0000-0000-000063560000}"/>
    <cellStyle name="Normal 11 2 3 2 2 5 2 2" xfId="52854" xr:uid="{00000000-0005-0000-0000-000064560000}"/>
    <cellStyle name="Normal 11 2 3 2 2 5 3" xfId="39292" xr:uid="{00000000-0005-0000-0000-000065560000}"/>
    <cellStyle name="Normal 11 2 3 2 2 6" xfId="18940" xr:uid="{00000000-0005-0000-0000-000066560000}"/>
    <cellStyle name="Normal 11 2 3 2 2 6 2" xfId="46073" xr:uid="{00000000-0005-0000-0000-000067560000}"/>
    <cellStyle name="Normal 11 2 3 2 2 7" xfId="32511" xr:uid="{00000000-0005-0000-0000-000068560000}"/>
    <cellStyle name="Normal 11 2 3 2 3" xfId="5204" xr:uid="{00000000-0005-0000-0000-000069560000}"/>
    <cellStyle name="Normal 11 2 3 2 3 2" xfId="5205" xr:uid="{00000000-0005-0000-0000-00006A560000}"/>
    <cellStyle name="Normal 11 2 3 2 3 2 2" xfId="8756" xr:uid="{00000000-0005-0000-0000-00006B560000}"/>
    <cellStyle name="Normal 11 2 3 2 3 2 2 2" xfId="15546" xr:uid="{00000000-0005-0000-0000-00006C560000}"/>
    <cellStyle name="Normal 11 2 3 2 3 2 2 2 2" xfId="29114" xr:uid="{00000000-0005-0000-0000-00006D560000}"/>
    <cellStyle name="Normal 11 2 3 2 3 2 2 2 2 2" xfId="56247" xr:uid="{00000000-0005-0000-0000-00006E560000}"/>
    <cellStyle name="Normal 11 2 3 2 3 2 2 2 3" xfId="42685" xr:uid="{00000000-0005-0000-0000-00006F560000}"/>
    <cellStyle name="Normal 11 2 3 2 3 2 2 3" xfId="22333" xr:uid="{00000000-0005-0000-0000-000070560000}"/>
    <cellStyle name="Normal 11 2 3 2 3 2 2 3 2" xfId="49466" xr:uid="{00000000-0005-0000-0000-000071560000}"/>
    <cellStyle name="Normal 11 2 3 2 3 2 2 4" xfId="35904" xr:uid="{00000000-0005-0000-0000-000072560000}"/>
    <cellStyle name="Normal 11 2 3 2 3 2 3" xfId="12157" xr:uid="{00000000-0005-0000-0000-000073560000}"/>
    <cellStyle name="Normal 11 2 3 2 3 2 3 2" xfId="25725" xr:uid="{00000000-0005-0000-0000-000074560000}"/>
    <cellStyle name="Normal 11 2 3 2 3 2 3 2 2" xfId="52858" xr:uid="{00000000-0005-0000-0000-000075560000}"/>
    <cellStyle name="Normal 11 2 3 2 3 2 3 3" xfId="39296" xr:uid="{00000000-0005-0000-0000-000076560000}"/>
    <cellStyle name="Normal 11 2 3 2 3 2 4" xfId="18944" xr:uid="{00000000-0005-0000-0000-000077560000}"/>
    <cellStyle name="Normal 11 2 3 2 3 2 4 2" xfId="46077" xr:uid="{00000000-0005-0000-0000-000078560000}"/>
    <cellStyle name="Normal 11 2 3 2 3 2 5" xfId="32515" xr:uid="{00000000-0005-0000-0000-000079560000}"/>
    <cellStyle name="Normal 11 2 3 2 3 3" xfId="8755" xr:uid="{00000000-0005-0000-0000-00007A560000}"/>
    <cellStyle name="Normal 11 2 3 2 3 3 2" xfId="15545" xr:uid="{00000000-0005-0000-0000-00007B560000}"/>
    <cellStyle name="Normal 11 2 3 2 3 3 2 2" xfId="29113" xr:uid="{00000000-0005-0000-0000-00007C560000}"/>
    <cellStyle name="Normal 11 2 3 2 3 3 2 2 2" xfId="56246" xr:uid="{00000000-0005-0000-0000-00007D560000}"/>
    <cellStyle name="Normal 11 2 3 2 3 3 2 3" xfId="42684" xr:uid="{00000000-0005-0000-0000-00007E560000}"/>
    <cellStyle name="Normal 11 2 3 2 3 3 3" xfId="22332" xr:uid="{00000000-0005-0000-0000-00007F560000}"/>
    <cellStyle name="Normal 11 2 3 2 3 3 3 2" xfId="49465" xr:uid="{00000000-0005-0000-0000-000080560000}"/>
    <cellStyle name="Normal 11 2 3 2 3 3 4" xfId="35903" xr:uid="{00000000-0005-0000-0000-000081560000}"/>
    <cellStyle name="Normal 11 2 3 2 3 4" xfId="12156" xr:uid="{00000000-0005-0000-0000-000082560000}"/>
    <cellStyle name="Normal 11 2 3 2 3 4 2" xfId="25724" xr:uid="{00000000-0005-0000-0000-000083560000}"/>
    <cellStyle name="Normal 11 2 3 2 3 4 2 2" xfId="52857" xr:uid="{00000000-0005-0000-0000-000084560000}"/>
    <cellStyle name="Normal 11 2 3 2 3 4 3" xfId="39295" xr:uid="{00000000-0005-0000-0000-000085560000}"/>
    <cellStyle name="Normal 11 2 3 2 3 5" xfId="18943" xr:uid="{00000000-0005-0000-0000-000086560000}"/>
    <cellStyle name="Normal 11 2 3 2 3 5 2" xfId="46076" xr:uid="{00000000-0005-0000-0000-000087560000}"/>
    <cellStyle name="Normal 11 2 3 2 3 6" xfId="32514" xr:uid="{00000000-0005-0000-0000-000088560000}"/>
    <cellStyle name="Normal 11 2 3 2 4" xfId="5206" xr:uid="{00000000-0005-0000-0000-000089560000}"/>
    <cellStyle name="Normal 11 2 3 2 4 2" xfId="8757" xr:uid="{00000000-0005-0000-0000-00008A560000}"/>
    <cellStyle name="Normal 11 2 3 2 4 2 2" xfId="15547" xr:uid="{00000000-0005-0000-0000-00008B560000}"/>
    <cellStyle name="Normal 11 2 3 2 4 2 2 2" xfId="29115" xr:uid="{00000000-0005-0000-0000-00008C560000}"/>
    <cellStyle name="Normal 11 2 3 2 4 2 2 2 2" xfId="56248" xr:uid="{00000000-0005-0000-0000-00008D560000}"/>
    <cellStyle name="Normal 11 2 3 2 4 2 2 3" xfId="42686" xr:uid="{00000000-0005-0000-0000-00008E560000}"/>
    <cellStyle name="Normal 11 2 3 2 4 2 3" xfId="22334" xr:uid="{00000000-0005-0000-0000-00008F560000}"/>
    <cellStyle name="Normal 11 2 3 2 4 2 3 2" xfId="49467" xr:uid="{00000000-0005-0000-0000-000090560000}"/>
    <cellStyle name="Normal 11 2 3 2 4 2 4" xfId="35905" xr:uid="{00000000-0005-0000-0000-000091560000}"/>
    <cellStyle name="Normal 11 2 3 2 4 3" xfId="12158" xr:uid="{00000000-0005-0000-0000-000092560000}"/>
    <cellStyle name="Normal 11 2 3 2 4 3 2" xfId="25726" xr:uid="{00000000-0005-0000-0000-000093560000}"/>
    <cellStyle name="Normal 11 2 3 2 4 3 2 2" xfId="52859" xr:uid="{00000000-0005-0000-0000-000094560000}"/>
    <cellStyle name="Normal 11 2 3 2 4 3 3" xfId="39297" xr:uid="{00000000-0005-0000-0000-000095560000}"/>
    <cellStyle name="Normal 11 2 3 2 4 4" xfId="18945" xr:uid="{00000000-0005-0000-0000-000096560000}"/>
    <cellStyle name="Normal 11 2 3 2 4 4 2" xfId="46078" xr:uid="{00000000-0005-0000-0000-000097560000}"/>
    <cellStyle name="Normal 11 2 3 2 4 5" xfId="32516" xr:uid="{00000000-0005-0000-0000-000098560000}"/>
    <cellStyle name="Normal 11 2 3 2 5" xfId="5207" xr:uid="{00000000-0005-0000-0000-000099560000}"/>
    <cellStyle name="Normal 11 2 3 2 5 2" xfId="8758" xr:uid="{00000000-0005-0000-0000-00009A560000}"/>
    <cellStyle name="Normal 11 2 3 2 5 2 2" xfId="15548" xr:uid="{00000000-0005-0000-0000-00009B560000}"/>
    <cellStyle name="Normal 11 2 3 2 5 2 2 2" xfId="29116" xr:uid="{00000000-0005-0000-0000-00009C560000}"/>
    <cellStyle name="Normal 11 2 3 2 5 2 2 2 2" xfId="56249" xr:uid="{00000000-0005-0000-0000-00009D560000}"/>
    <cellStyle name="Normal 11 2 3 2 5 2 2 3" xfId="42687" xr:uid="{00000000-0005-0000-0000-00009E560000}"/>
    <cellStyle name="Normal 11 2 3 2 5 2 3" xfId="22335" xr:uid="{00000000-0005-0000-0000-00009F560000}"/>
    <cellStyle name="Normal 11 2 3 2 5 2 3 2" xfId="49468" xr:uid="{00000000-0005-0000-0000-0000A0560000}"/>
    <cellStyle name="Normal 11 2 3 2 5 2 4" xfId="35906" xr:uid="{00000000-0005-0000-0000-0000A1560000}"/>
    <cellStyle name="Normal 11 2 3 2 5 3" xfId="12159" xr:uid="{00000000-0005-0000-0000-0000A2560000}"/>
    <cellStyle name="Normal 11 2 3 2 5 3 2" xfId="25727" xr:uid="{00000000-0005-0000-0000-0000A3560000}"/>
    <cellStyle name="Normal 11 2 3 2 5 3 2 2" xfId="52860" xr:uid="{00000000-0005-0000-0000-0000A4560000}"/>
    <cellStyle name="Normal 11 2 3 2 5 3 3" xfId="39298" xr:uid="{00000000-0005-0000-0000-0000A5560000}"/>
    <cellStyle name="Normal 11 2 3 2 5 4" xfId="18946" xr:uid="{00000000-0005-0000-0000-0000A6560000}"/>
    <cellStyle name="Normal 11 2 3 2 5 4 2" xfId="46079" xr:uid="{00000000-0005-0000-0000-0000A7560000}"/>
    <cellStyle name="Normal 11 2 3 2 5 5" xfId="32517" xr:uid="{00000000-0005-0000-0000-0000A8560000}"/>
    <cellStyle name="Normal 11 2 3 2 6" xfId="8751" xr:uid="{00000000-0005-0000-0000-0000A9560000}"/>
    <cellStyle name="Normal 11 2 3 2 6 2" xfId="15541" xr:uid="{00000000-0005-0000-0000-0000AA560000}"/>
    <cellStyle name="Normal 11 2 3 2 6 2 2" xfId="29109" xr:uid="{00000000-0005-0000-0000-0000AB560000}"/>
    <cellStyle name="Normal 11 2 3 2 6 2 2 2" xfId="56242" xr:uid="{00000000-0005-0000-0000-0000AC560000}"/>
    <cellStyle name="Normal 11 2 3 2 6 2 3" xfId="42680" xr:uid="{00000000-0005-0000-0000-0000AD560000}"/>
    <cellStyle name="Normal 11 2 3 2 6 3" xfId="22328" xr:uid="{00000000-0005-0000-0000-0000AE560000}"/>
    <cellStyle name="Normal 11 2 3 2 6 3 2" xfId="49461" xr:uid="{00000000-0005-0000-0000-0000AF560000}"/>
    <cellStyle name="Normal 11 2 3 2 6 4" xfId="35899" xr:uid="{00000000-0005-0000-0000-0000B0560000}"/>
    <cellStyle name="Normal 11 2 3 2 7" xfId="12152" xr:uid="{00000000-0005-0000-0000-0000B1560000}"/>
    <cellStyle name="Normal 11 2 3 2 7 2" xfId="25720" xr:uid="{00000000-0005-0000-0000-0000B2560000}"/>
    <cellStyle name="Normal 11 2 3 2 7 2 2" xfId="52853" xr:uid="{00000000-0005-0000-0000-0000B3560000}"/>
    <cellStyle name="Normal 11 2 3 2 7 3" xfId="39291" xr:uid="{00000000-0005-0000-0000-0000B4560000}"/>
    <cellStyle name="Normal 11 2 3 2 8" xfId="18939" xr:uid="{00000000-0005-0000-0000-0000B5560000}"/>
    <cellStyle name="Normal 11 2 3 2 8 2" xfId="46072" xr:uid="{00000000-0005-0000-0000-0000B6560000}"/>
    <cellStyle name="Normal 11 2 3 2 9" xfId="32510" xr:uid="{00000000-0005-0000-0000-0000B7560000}"/>
    <cellStyle name="Normal 11 2 3 3" xfId="5208" xr:uid="{00000000-0005-0000-0000-0000B8560000}"/>
    <cellStyle name="Normal 11 2 3 3 2" xfId="5209" xr:uid="{00000000-0005-0000-0000-0000B9560000}"/>
    <cellStyle name="Normal 11 2 3 3 2 2" xfId="8760" xr:uid="{00000000-0005-0000-0000-0000BA560000}"/>
    <cellStyle name="Normal 11 2 3 3 2 2 2" xfId="15550" xr:uid="{00000000-0005-0000-0000-0000BB560000}"/>
    <cellStyle name="Normal 11 2 3 3 2 2 2 2" xfId="29118" xr:uid="{00000000-0005-0000-0000-0000BC560000}"/>
    <cellStyle name="Normal 11 2 3 3 2 2 2 2 2" xfId="56251" xr:uid="{00000000-0005-0000-0000-0000BD560000}"/>
    <cellStyle name="Normal 11 2 3 3 2 2 2 3" xfId="42689" xr:uid="{00000000-0005-0000-0000-0000BE560000}"/>
    <cellStyle name="Normal 11 2 3 3 2 2 3" xfId="22337" xr:uid="{00000000-0005-0000-0000-0000BF560000}"/>
    <cellStyle name="Normal 11 2 3 3 2 2 3 2" xfId="49470" xr:uid="{00000000-0005-0000-0000-0000C0560000}"/>
    <cellStyle name="Normal 11 2 3 3 2 2 4" xfId="35908" xr:uid="{00000000-0005-0000-0000-0000C1560000}"/>
    <cellStyle name="Normal 11 2 3 3 2 3" xfId="12161" xr:uid="{00000000-0005-0000-0000-0000C2560000}"/>
    <cellStyle name="Normal 11 2 3 3 2 3 2" xfId="25729" xr:uid="{00000000-0005-0000-0000-0000C3560000}"/>
    <cellStyle name="Normal 11 2 3 3 2 3 2 2" xfId="52862" xr:uid="{00000000-0005-0000-0000-0000C4560000}"/>
    <cellStyle name="Normal 11 2 3 3 2 3 3" xfId="39300" xr:uid="{00000000-0005-0000-0000-0000C5560000}"/>
    <cellStyle name="Normal 11 2 3 3 2 4" xfId="18948" xr:uid="{00000000-0005-0000-0000-0000C6560000}"/>
    <cellStyle name="Normal 11 2 3 3 2 4 2" xfId="46081" xr:uid="{00000000-0005-0000-0000-0000C7560000}"/>
    <cellStyle name="Normal 11 2 3 3 2 5" xfId="32519" xr:uid="{00000000-0005-0000-0000-0000C8560000}"/>
    <cellStyle name="Normal 11 2 3 3 3" xfId="5210" xr:uid="{00000000-0005-0000-0000-0000C9560000}"/>
    <cellStyle name="Normal 11 2 3 3 3 2" xfId="8761" xr:uid="{00000000-0005-0000-0000-0000CA560000}"/>
    <cellStyle name="Normal 11 2 3 3 3 2 2" xfId="15551" xr:uid="{00000000-0005-0000-0000-0000CB560000}"/>
    <cellStyle name="Normal 11 2 3 3 3 2 2 2" xfId="29119" xr:uid="{00000000-0005-0000-0000-0000CC560000}"/>
    <cellStyle name="Normal 11 2 3 3 3 2 2 2 2" xfId="56252" xr:uid="{00000000-0005-0000-0000-0000CD560000}"/>
    <cellStyle name="Normal 11 2 3 3 3 2 2 3" xfId="42690" xr:uid="{00000000-0005-0000-0000-0000CE560000}"/>
    <cellStyle name="Normal 11 2 3 3 3 2 3" xfId="22338" xr:uid="{00000000-0005-0000-0000-0000CF560000}"/>
    <cellStyle name="Normal 11 2 3 3 3 2 3 2" xfId="49471" xr:uid="{00000000-0005-0000-0000-0000D0560000}"/>
    <cellStyle name="Normal 11 2 3 3 3 2 4" xfId="35909" xr:uid="{00000000-0005-0000-0000-0000D1560000}"/>
    <cellStyle name="Normal 11 2 3 3 3 3" xfId="12162" xr:uid="{00000000-0005-0000-0000-0000D2560000}"/>
    <cellStyle name="Normal 11 2 3 3 3 3 2" xfId="25730" xr:uid="{00000000-0005-0000-0000-0000D3560000}"/>
    <cellStyle name="Normal 11 2 3 3 3 3 2 2" xfId="52863" xr:uid="{00000000-0005-0000-0000-0000D4560000}"/>
    <cellStyle name="Normal 11 2 3 3 3 3 3" xfId="39301" xr:uid="{00000000-0005-0000-0000-0000D5560000}"/>
    <cellStyle name="Normal 11 2 3 3 3 4" xfId="18949" xr:uid="{00000000-0005-0000-0000-0000D6560000}"/>
    <cellStyle name="Normal 11 2 3 3 3 4 2" xfId="46082" xr:uid="{00000000-0005-0000-0000-0000D7560000}"/>
    <cellStyle name="Normal 11 2 3 3 3 5" xfId="32520" xr:uid="{00000000-0005-0000-0000-0000D8560000}"/>
    <cellStyle name="Normal 11 2 3 3 4" xfId="8759" xr:uid="{00000000-0005-0000-0000-0000D9560000}"/>
    <cellStyle name="Normal 11 2 3 3 4 2" xfId="15549" xr:uid="{00000000-0005-0000-0000-0000DA560000}"/>
    <cellStyle name="Normal 11 2 3 3 4 2 2" xfId="29117" xr:uid="{00000000-0005-0000-0000-0000DB560000}"/>
    <cellStyle name="Normal 11 2 3 3 4 2 2 2" xfId="56250" xr:uid="{00000000-0005-0000-0000-0000DC560000}"/>
    <cellStyle name="Normal 11 2 3 3 4 2 3" xfId="42688" xr:uid="{00000000-0005-0000-0000-0000DD560000}"/>
    <cellStyle name="Normal 11 2 3 3 4 3" xfId="22336" xr:uid="{00000000-0005-0000-0000-0000DE560000}"/>
    <cellStyle name="Normal 11 2 3 3 4 3 2" xfId="49469" xr:uid="{00000000-0005-0000-0000-0000DF560000}"/>
    <cellStyle name="Normal 11 2 3 3 4 4" xfId="35907" xr:uid="{00000000-0005-0000-0000-0000E0560000}"/>
    <cellStyle name="Normal 11 2 3 3 5" xfId="12160" xr:uid="{00000000-0005-0000-0000-0000E1560000}"/>
    <cellStyle name="Normal 11 2 3 3 5 2" xfId="25728" xr:uid="{00000000-0005-0000-0000-0000E2560000}"/>
    <cellStyle name="Normal 11 2 3 3 5 2 2" xfId="52861" xr:uid="{00000000-0005-0000-0000-0000E3560000}"/>
    <cellStyle name="Normal 11 2 3 3 5 3" xfId="39299" xr:uid="{00000000-0005-0000-0000-0000E4560000}"/>
    <cellStyle name="Normal 11 2 3 3 6" xfId="18947" xr:uid="{00000000-0005-0000-0000-0000E5560000}"/>
    <cellStyle name="Normal 11 2 3 3 6 2" xfId="46080" xr:uid="{00000000-0005-0000-0000-0000E6560000}"/>
    <cellStyle name="Normal 11 2 3 3 7" xfId="32518" xr:uid="{00000000-0005-0000-0000-0000E7560000}"/>
    <cellStyle name="Normal 11 2 3 4" xfId="5211" xr:uid="{00000000-0005-0000-0000-0000E8560000}"/>
    <cellStyle name="Normal 11 2 3 4 2" xfId="5212" xr:uid="{00000000-0005-0000-0000-0000E9560000}"/>
    <cellStyle name="Normal 11 2 3 4 2 2" xfId="8763" xr:uid="{00000000-0005-0000-0000-0000EA560000}"/>
    <cellStyle name="Normal 11 2 3 4 2 2 2" xfId="15553" xr:uid="{00000000-0005-0000-0000-0000EB560000}"/>
    <cellStyle name="Normal 11 2 3 4 2 2 2 2" xfId="29121" xr:uid="{00000000-0005-0000-0000-0000EC560000}"/>
    <cellStyle name="Normal 11 2 3 4 2 2 2 2 2" xfId="56254" xr:uid="{00000000-0005-0000-0000-0000ED560000}"/>
    <cellStyle name="Normal 11 2 3 4 2 2 2 3" xfId="42692" xr:uid="{00000000-0005-0000-0000-0000EE560000}"/>
    <cellStyle name="Normal 11 2 3 4 2 2 3" xfId="22340" xr:uid="{00000000-0005-0000-0000-0000EF560000}"/>
    <cellStyle name="Normal 11 2 3 4 2 2 3 2" xfId="49473" xr:uid="{00000000-0005-0000-0000-0000F0560000}"/>
    <cellStyle name="Normal 11 2 3 4 2 2 4" xfId="35911" xr:uid="{00000000-0005-0000-0000-0000F1560000}"/>
    <cellStyle name="Normal 11 2 3 4 2 3" xfId="12164" xr:uid="{00000000-0005-0000-0000-0000F2560000}"/>
    <cellStyle name="Normal 11 2 3 4 2 3 2" xfId="25732" xr:uid="{00000000-0005-0000-0000-0000F3560000}"/>
    <cellStyle name="Normal 11 2 3 4 2 3 2 2" xfId="52865" xr:uid="{00000000-0005-0000-0000-0000F4560000}"/>
    <cellStyle name="Normal 11 2 3 4 2 3 3" xfId="39303" xr:uid="{00000000-0005-0000-0000-0000F5560000}"/>
    <cellStyle name="Normal 11 2 3 4 2 4" xfId="18951" xr:uid="{00000000-0005-0000-0000-0000F6560000}"/>
    <cellStyle name="Normal 11 2 3 4 2 4 2" xfId="46084" xr:uid="{00000000-0005-0000-0000-0000F7560000}"/>
    <cellStyle name="Normal 11 2 3 4 2 5" xfId="32522" xr:uid="{00000000-0005-0000-0000-0000F8560000}"/>
    <cellStyle name="Normal 11 2 3 4 3" xfId="8762" xr:uid="{00000000-0005-0000-0000-0000F9560000}"/>
    <cellStyle name="Normal 11 2 3 4 3 2" xfId="15552" xr:uid="{00000000-0005-0000-0000-0000FA560000}"/>
    <cellStyle name="Normal 11 2 3 4 3 2 2" xfId="29120" xr:uid="{00000000-0005-0000-0000-0000FB560000}"/>
    <cellStyle name="Normal 11 2 3 4 3 2 2 2" xfId="56253" xr:uid="{00000000-0005-0000-0000-0000FC560000}"/>
    <cellStyle name="Normal 11 2 3 4 3 2 3" xfId="42691" xr:uid="{00000000-0005-0000-0000-0000FD560000}"/>
    <cellStyle name="Normal 11 2 3 4 3 3" xfId="22339" xr:uid="{00000000-0005-0000-0000-0000FE560000}"/>
    <cellStyle name="Normal 11 2 3 4 3 3 2" xfId="49472" xr:uid="{00000000-0005-0000-0000-0000FF560000}"/>
    <cellStyle name="Normal 11 2 3 4 3 4" xfId="35910" xr:uid="{00000000-0005-0000-0000-000000570000}"/>
    <cellStyle name="Normal 11 2 3 4 4" xfId="12163" xr:uid="{00000000-0005-0000-0000-000001570000}"/>
    <cellStyle name="Normal 11 2 3 4 4 2" xfId="25731" xr:uid="{00000000-0005-0000-0000-000002570000}"/>
    <cellStyle name="Normal 11 2 3 4 4 2 2" xfId="52864" xr:uid="{00000000-0005-0000-0000-000003570000}"/>
    <cellStyle name="Normal 11 2 3 4 4 3" xfId="39302" xr:uid="{00000000-0005-0000-0000-000004570000}"/>
    <cellStyle name="Normal 11 2 3 4 5" xfId="18950" xr:uid="{00000000-0005-0000-0000-000005570000}"/>
    <cellStyle name="Normal 11 2 3 4 5 2" xfId="46083" xr:uid="{00000000-0005-0000-0000-000006570000}"/>
    <cellStyle name="Normal 11 2 3 4 6" xfId="32521" xr:uid="{00000000-0005-0000-0000-000007570000}"/>
    <cellStyle name="Normal 11 2 3 5" xfId="5213" xr:uid="{00000000-0005-0000-0000-000008570000}"/>
    <cellStyle name="Normal 11 2 3 5 2" xfId="8764" xr:uid="{00000000-0005-0000-0000-000009570000}"/>
    <cellStyle name="Normal 11 2 3 5 2 2" xfId="15554" xr:uid="{00000000-0005-0000-0000-00000A570000}"/>
    <cellStyle name="Normal 11 2 3 5 2 2 2" xfId="29122" xr:uid="{00000000-0005-0000-0000-00000B570000}"/>
    <cellStyle name="Normal 11 2 3 5 2 2 2 2" xfId="56255" xr:uid="{00000000-0005-0000-0000-00000C570000}"/>
    <cellStyle name="Normal 11 2 3 5 2 2 3" xfId="42693" xr:uid="{00000000-0005-0000-0000-00000D570000}"/>
    <cellStyle name="Normal 11 2 3 5 2 3" xfId="22341" xr:uid="{00000000-0005-0000-0000-00000E570000}"/>
    <cellStyle name="Normal 11 2 3 5 2 3 2" xfId="49474" xr:uid="{00000000-0005-0000-0000-00000F570000}"/>
    <cellStyle name="Normal 11 2 3 5 2 4" xfId="35912" xr:uid="{00000000-0005-0000-0000-000010570000}"/>
    <cellStyle name="Normal 11 2 3 5 3" xfId="12165" xr:uid="{00000000-0005-0000-0000-000011570000}"/>
    <cellStyle name="Normal 11 2 3 5 3 2" xfId="25733" xr:uid="{00000000-0005-0000-0000-000012570000}"/>
    <cellStyle name="Normal 11 2 3 5 3 2 2" xfId="52866" xr:uid="{00000000-0005-0000-0000-000013570000}"/>
    <cellStyle name="Normal 11 2 3 5 3 3" xfId="39304" xr:uid="{00000000-0005-0000-0000-000014570000}"/>
    <cellStyle name="Normal 11 2 3 5 4" xfId="18952" xr:uid="{00000000-0005-0000-0000-000015570000}"/>
    <cellStyle name="Normal 11 2 3 5 4 2" xfId="46085" xr:uid="{00000000-0005-0000-0000-000016570000}"/>
    <cellStyle name="Normal 11 2 3 5 5" xfId="32523" xr:uid="{00000000-0005-0000-0000-000017570000}"/>
    <cellStyle name="Normal 11 2 3 6" xfId="5214" xr:uid="{00000000-0005-0000-0000-000018570000}"/>
    <cellStyle name="Normal 11 2 3 6 2" xfId="8765" xr:uid="{00000000-0005-0000-0000-000019570000}"/>
    <cellStyle name="Normal 11 2 3 6 2 2" xfId="15555" xr:uid="{00000000-0005-0000-0000-00001A570000}"/>
    <cellStyle name="Normal 11 2 3 6 2 2 2" xfId="29123" xr:uid="{00000000-0005-0000-0000-00001B570000}"/>
    <cellStyle name="Normal 11 2 3 6 2 2 2 2" xfId="56256" xr:uid="{00000000-0005-0000-0000-00001C570000}"/>
    <cellStyle name="Normal 11 2 3 6 2 2 3" xfId="42694" xr:uid="{00000000-0005-0000-0000-00001D570000}"/>
    <cellStyle name="Normal 11 2 3 6 2 3" xfId="22342" xr:uid="{00000000-0005-0000-0000-00001E570000}"/>
    <cellStyle name="Normal 11 2 3 6 2 3 2" xfId="49475" xr:uid="{00000000-0005-0000-0000-00001F570000}"/>
    <cellStyle name="Normal 11 2 3 6 2 4" xfId="35913" xr:uid="{00000000-0005-0000-0000-000020570000}"/>
    <cellStyle name="Normal 11 2 3 6 3" xfId="12166" xr:uid="{00000000-0005-0000-0000-000021570000}"/>
    <cellStyle name="Normal 11 2 3 6 3 2" xfId="25734" xr:uid="{00000000-0005-0000-0000-000022570000}"/>
    <cellStyle name="Normal 11 2 3 6 3 2 2" xfId="52867" xr:uid="{00000000-0005-0000-0000-000023570000}"/>
    <cellStyle name="Normal 11 2 3 6 3 3" xfId="39305" xr:uid="{00000000-0005-0000-0000-000024570000}"/>
    <cellStyle name="Normal 11 2 3 6 4" xfId="18953" xr:uid="{00000000-0005-0000-0000-000025570000}"/>
    <cellStyle name="Normal 11 2 3 6 4 2" xfId="46086" xr:uid="{00000000-0005-0000-0000-000026570000}"/>
    <cellStyle name="Normal 11 2 3 6 5" xfId="32524" xr:uid="{00000000-0005-0000-0000-000027570000}"/>
    <cellStyle name="Normal 11 2 3 7" xfId="8750" xr:uid="{00000000-0005-0000-0000-000028570000}"/>
    <cellStyle name="Normal 11 2 3 7 2" xfId="15540" xr:uid="{00000000-0005-0000-0000-000029570000}"/>
    <cellStyle name="Normal 11 2 3 7 2 2" xfId="29108" xr:uid="{00000000-0005-0000-0000-00002A570000}"/>
    <cellStyle name="Normal 11 2 3 7 2 2 2" xfId="56241" xr:uid="{00000000-0005-0000-0000-00002B570000}"/>
    <cellStyle name="Normal 11 2 3 7 2 3" xfId="42679" xr:uid="{00000000-0005-0000-0000-00002C570000}"/>
    <cellStyle name="Normal 11 2 3 7 3" xfId="22327" xr:uid="{00000000-0005-0000-0000-00002D570000}"/>
    <cellStyle name="Normal 11 2 3 7 3 2" xfId="49460" xr:uid="{00000000-0005-0000-0000-00002E570000}"/>
    <cellStyle name="Normal 11 2 3 7 4" xfId="35898" xr:uid="{00000000-0005-0000-0000-00002F570000}"/>
    <cellStyle name="Normal 11 2 3 8" xfId="12151" xr:uid="{00000000-0005-0000-0000-000030570000}"/>
    <cellStyle name="Normal 11 2 3 8 2" xfId="25719" xr:uid="{00000000-0005-0000-0000-000031570000}"/>
    <cellStyle name="Normal 11 2 3 8 2 2" xfId="52852" xr:uid="{00000000-0005-0000-0000-000032570000}"/>
    <cellStyle name="Normal 11 2 3 8 3" xfId="39290" xr:uid="{00000000-0005-0000-0000-000033570000}"/>
    <cellStyle name="Normal 11 2 3 9" xfId="18938" xr:uid="{00000000-0005-0000-0000-000034570000}"/>
    <cellStyle name="Normal 11 2 3 9 2" xfId="46071" xr:uid="{00000000-0005-0000-0000-000035570000}"/>
    <cellStyle name="Normal 11 2 4" xfId="5215" xr:uid="{00000000-0005-0000-0000-000036570000}"/>
    <cellStyle name="Normal 11 2 4 2" xfId="5216" xr:uid="{00000000-0005-0000-0000-000037570000}"/>
    <cellStyle name="Normal 11 2 4 2 2" xfId="5217" xr:uid="{00000000-0005-0000-0000-000038570000}"/>
    <cellStyle name="Normal 11 2 4 2 2 2" xfId="8768" xr:uid="{00000000-0005-0000-0000-000039570000}"/>
    <cellStyle name="Normal 11 2 4 2 2 2 2" xfId="15558" xr:uid="{00000000-0005-0000-0000-00003A570000}"/>
    <cellStyle name="Normal 11 2 4 2 2 2 2 2" xfId="29126" xr:uid="{00000000-0005-0000-0000-00003B570000}"/>
    <cellStyle name="Normal 11 2 4 2 2 2 2 2 2" xfId="56259" xr:uid="{00000000-0005-0000-0000-00003C570000}"/>
    <cellStyle name="Normal 11 2 4 2 2 2 2 3" xfId="42697" xr:uid="{00000000-0005-0000-0000-00003D570000}"/>
    <cellStyle name="Normal 11 2 4 2 2 2 3" xfId="22345" xr:uid="{00000000-0005-0000-0000-00003E570000}"/>
    <cellStyle name="Normal 11 2 4 2 2 2 3 2" xfId="49478" xr:uid="{00000000-0005-0000-0000-00003F570000}"/>
    <cellStyle name="Normal 11 2 4 2 2 2 4" xfId="35916" xr:uid="{00000000-0005-0000-0000-000040570000}"/>
    <cellStyle name="Normal 11 2 4 2 2 3" xfId="12169" xr:uid="{00000000-0005-0000-0000-000041570000}"/>
    <cellStyle name="Normal 11 2 4 2 2 3 2" xfId="25737" xr:uid="{00000000-0005-0000-0000-000042570000}"/>
    <cellStyle name="Normal 11 2 4 2 2 3 2 2" xfId="52870" xr:uid="{00000000-0005-0000-0000-000043570000}"/>
    <cellStyle name="Normal 11 2 4 2 2 3 3" xfId="39308" xr:uid="{00000000-0005-0000-0000-000044570000}"/>
    <cellStyle name="Normal 11 2 4 2 2 4" xfId="18956" xr:uid="{00000000-0005-0000-0000-000045570000}"/>
    <cellStyle name="Normal 11 2 4 2 2 4 2" xfId="46089" xr:uid="{00000000-0005-0000-0000-000046570000}"/>
    <cellStyle name="Normal 11 2 4 2 2 5" xfId="32527" xr:uid="{00000000-0005-0000-0000-000047570000}"/>
    <cellStyle name="Normal 11 2 4 2 3" xfId="5218" xr:uid="{00000000-0005-0000-0000-000048570000}"/>
    <cellStyle name="Normal 11 2 4 2 3 2" xfId="8769" xr:uid="{00000000-0005-0000-0000-000049570000}"/>
    <cellStyle name="Normal 11 2 4 2 3 2 2" xfId="15559" xr:uid="{00000000-0005-0000-0000-00004A570000}"/>
    <cellStyle name="Normal 11 2 4 2 3 2 2 2" xfId="29127" xr:uid="{00000000-0005-0000-0000-00004B570000}"/>
    <cellStyle name="Normal 11 2 4 2 3 2 2 2 2" xfId="56260" xr:uid="{00000000-0005-0000-0000-00004C570000}"/>
    <cellStyle name="Normal 11 2 4 2 3 2 2 3" xfId="42698" xr:uid="{00000000-0005-0000-0000-00004D570000}"/>
    <cellStyle name="Normal 11 2 4 2 3 2 3" xfId="22346" xr:uid="{00000000-0005-0000-0000-00004E570000}"/>
    <cellStyle name="Normal 11 2 4 2 3 2 3 2" xfId="49479" xr:uid="{00000000-0005-0000-0000-00004F570000}"/>
    <cellStyle name="Normal 11 2 4 2 3 2 4" xfId="35917" xr:uid="{00000000-0005-0000-0000-000050570000}"/>
    <cellStyle name="Normal 11 2 4 2 3 3" xfId="12170" xr:uid="{00000000-0005-0000-0000-000051570000}"/>
    <cellStyle name="Normal 11 2 4 2 3 3 2" xfId="25738" xr:uid="{00000000-0005-0000-0000-000052570000}"/>
    <cellStyle name="Normal 11 2 4 2 3 3 2 2" xfId="52871" xr:uid="{00000000-0005-0000-0000-000053570000}"/>
    <cellStyle name="Normal 11 2 4 2 3 3 3" xfId="39309" xr:uid="{00000000-0005-0000-0000-000054570000}"/>
    <cellStyle name="Normal 11 2 4 2 3 4" xfId="18957" xr:uid="{00000000-0005-0000-0000-000055570000}"/>
    <cellStyle name="Normal 11 2 4 2 3 4 2" xfId="46090" xr:uid="{00000000-0005-0000-0000-000056570000}"/>
    <cellStyle name="Normal 11 2 4 2 3 5" xfId="32528" xr:uid="{00000000-0005-0000-0000-000057570000}"/>
    <cellStyle name="Normal 11 2 4 2 4" xfId="8767" xr:uid="{00000000-0005-0000-0000-000058570000}"/>
    <cellStyle name="Normal 11 2 4 2 4 2" xfId="15557" xr:uid="{00000000-0005-0000-0000-000059570000}"/>
    <cellStyle name="Normal 11 2 4 2 4 2 2" xfId="29125" xr:uid="{00000000-0005-0000-0000-00005A570000}"/>
    <cellStyle name="Normal 11 2 4 2 4 2 2 2" xfId="56258" xr:uid="{00000000-0005-0000-0000-00005B570000}"/>
    <cellStyle name="Normal 11 2 4 2 4 2 3" xfId="42696" xr:uid="{00000000-0005-0000-0000-00005C570000}"/>
    <cellStyle name="Normal 11 2 4 2 4 3" xfId="22344" xr:uid="{00000000-0005-0000-0000-00005D570000}"/>
    <cellStyle name="Normal 11 2 4 2 4 3 2" xfId="49477" xr:uid="{00000000-0005-0000-0000-00005E570000}"/>
    <cellStyle name="Normal 11 2 4 2 4 4" xfId="35915" xr:uid="{00000000-0005-0000-0000-00005F570000}"/>
    <cellStyle name="Normal 11 2 4 2 5" xfId="12168" xr:uid="{00000000-0005-0000-0000-000060570000}"/>
    <cellStyle name="Normal 11 2 4 2 5 2" xfId="25736" xr:uid="{00000000-0005-0000-0000-000061570000}"/>
    <cellStyle name="Normal 11 2 4 2 5 2 2" xfId="52869" xr:uid="{00000000-0005-0000-0000-000062570000}"/>
    <cellStyle name="Normal 11 2 4 2 5 3" xfId="39307" xr:uid="{00000000-0005-0000-0000-000063570000}"/>
    <cellStyle name="Normal 11 2 4 2 6" xfId="18955" xr:uid="{00000000-0005-0000-0000-000064570000}"/>
    <cellStyle name="Normal 11 2 4 2 6 2" xfId="46088" xr:uid="{00000000-0005-0000-0000-000065570000}"/>
    <cellStyle name="Normal 11 2 4 2 7" xfId="32526" xr:uid="{00000000-0005-0000-0000-000066570000}"/>
    <cellStyle name="Normal 11 2 4 3" xfId="5219" xr:uid="{00000000-0005-0000-0000-000067570000}"/>
    <cellStyle name="Normal 11 2 4 3 2" xfId="5220" xr:uid="{00000000-0005-0000-0000-000068570000}"/>
    <cellStyle name="Normal 11 2 4 3 2 2" xfId="8771" xr:uid="{00000000-0005-0000-0000-000069570000}"/>
    <cellStyle name="Normal 11 2 4 3 2 2 2" xfId="15561" xr:uid="{00000000-0005-0000-0000-00006A570000}"/>
    <cellStyle name="Normal 11 2 4 3 2 2 2 2" xfId="29129" xr:uid="{00000000-0005-0000-0000-00006B570000}"/>
    <cellStyle name="Normal 11 2 4 3 2 2 2 2 2" xfId="56262" xr:uid="{00000000-0005-0000-0000-00006C570000}"/>
    <cellStyle name="Normal 11 2 4 3 2 2 2 3" xfId="42700" xr:uid="{00000000-0005-0000-0000-00006D570000}"/>
    <cellStyle name="Normal 11 2 4 3 2 2 3" xfId="22348" xr:uid="{00000000-0005-0000-0000-00006E570000}"/>
    <cellStyle name="Normal 11 2 4 3 2 2 3 2" xfId="49481" xr:uid="{00000000-0005-0000-0000-00006F570000}"/>
    <cellStyle name="Normal 11 2 4 3 2 2 4" xfId="35919" xr:uid="{00000000-0005-0000-0000-000070570000}"/>
    <cellStyle name="Normal 11 2 4 3 2 3" xfId="12172" xr:uid="{00000000-0005-0000-0000-000071570000}"/>
    <cellStyle name="Normal 11 2 4 3 2 3 2" xfId="25740" xr:uid="{00000000-0005-0000-0000-000072570000}"/>
    <cellStyle name="Normal 11 2 4 3 2 3 2 2" xfId="52873" xr:uid="{00000000-0005-0000-0000-000073570000}"/>
    <cellStyle name="Normal 11 2 4 3 2 3 3" xfId="39311" xr:uid="{00000000-0005-0000-0000-000074570000}"/>
    <cellStyle name="Normal 11 2 4 3 2 4" xfId="18959" xr:uid="{00000000-0005-0000-0000-000075570000}"/>
    <cellStyle name="Normal 11 2 4 3 2 4 2" xfId="46092" xr:uid="{00000000-0005-0000-0000-000076570000}"/>
    <cellStyle name="Normal 11 2 4 3 2 5" xfId="32530" xr:uid="{00000000-0005-0000-0000-000077570000}"/>
    <cellStyle name="Normal 11 2 4 3 3" xfId="8770" xr:uid="{00000000-0005-0000-0000-000078570000}"/>
    <cellStyle name="Normal 11 2 4 3 3 2" xfId="15560" xr:uid="{00000000-0005-0000-0000-000079570000}"/>
    <cellStyle name="Normal 11 2 4 3 3 2 2" xfId="29128" xr:uid="{00000000-0005-0000-0000-00007A570000}"/>
    <cellStyle name="Normal 11 2 4 3 3 2 2 2" xfId="56261" xr:uid="{00000000-0005-0000-0000-00007B570000}"/>
    <cellStyle name="Normal 11 2 4 3 3 2 3" xfId="42699" xr:uid="{00000000-0005-0000-0000-00007C570000}"/>
    <cellStyle name="Normal 11 2 4 3 3 3" xfId="22347" xr:uid="{00000000-0005-0000-0000-00007D570000}"/>
    <cellStyle name="Normal 11 2 4 3 3 3 2" xfId="49480" xr:uid="{00000000-0005-0000-0000-00007E570000}"/>
    <cellStyle name="Normal 11 2 4 3 3 4" xfId="35918" xr:uid="{00000000-0005-0000-0000-00007F570000}"/>
    <cellStyle name="Normal 11 2 4 3 4" xfId="12171" xr:uid="{00000000-0005-0000-0000-000080570000}"/>
    <cellStyle name="Normal 11 2 4 3 4 2" xfId="25739" xr:uid="{00000000-0005-0000-0000-000081570000}"/>
    <cellStyle name="Normal 11 2 4 3 4 2 2" xfId="52872" xr:uid="{00000000-0005-0000-0000-000082570000}"/>
    <cellStyle name="Normal 11 2 4 3 4 3" xfId="39310" xr:uid="{00000000-0005-0000-0000-000083570000}"/>
    <cellStyle name="Normal 11 2 4 3 5" xfId="18958" xr:uid="{00000000-0005-0000-0000-000084570000}"/>
    <cellStyle name="Normal 11 2 4 3 5 2" xfId="46091" xr:uid="{00000000-0005-0000-0000-000085570000}"/>
    <cellStyle name="Normal 11 2 4 3 6" xfId="32529" xr:uid="{00000000-0005-0000-0000-000086570000}"/>
    <cellStyle name="Normal 11 2 4 4" xfId="5221" xr:uid="{00000000-0005-0000-0000-000087570000}"/>
    <cellStyle name="Normal 11 2 4 4 2" xfId="8772" xr:uid="{00000000-0005-0000-0000-000088570000}"/>
    <cellStyle name="Normal 11 2 4 4 2 2" xfId="15562" xr:uid="{00000000-0005-0000-0000-000089570000}"/>
    <cellStyle name="Normal 11 2 4 4 2 2 2" xfId="29130" xr:uid="{00000000-0005-0000-0000-00008A570000}"/>
    <cellStyle name="Normal 11 2 4 4 2 2 2 2" xfId="56263" xr:uid="{00000000-0005-0000-0000-00008B570000}"/>
    <cellStyle name="Normal 11 2 4 4 2 2 3" xfId="42701" xr:uid="{00000000-0005-0000-0000-00008C570000}"/>
    <cellStyle name="Normal 11 2 4 4 2 3" xfId="22349" xr:uid="{00000000-0005-0000-0000-00008D570000}"/>
    <cellStyle name="Normal 11 2 4 4 2 3 2" xfId="49482" xr:uid="{00000000-0005-0000-0000-00008E570000}"/>
    <cellStyle name="Normal 11 2 4 4 2 4" xfId="35920" xr:uid="{00000000-0005-0000-0000-00008F570000}"/>
    <cellStyle name="Normal 11 2 4 4 3" xfId="12173" xr:uid="{00000000-0005-0000-0000-000090570000}"/>
    <cellStyle name="Normal 11 2 4 4 3 2" xfId="25741" xr:uid="{00000000-0005-0000-0000-000091570000}"/>
    <cellStyle name="Normal 11 2 4 4 3 2 2" xfId="52874" xr:uid="{00000000-0005-0000-0000-000092570000}"/>
    <cellStyle name="Normal 11 2 4 4 3 3" xfId="39312" xr:uid="{00000000-0005-0000-0000-000093570000}"/>
    <cellStyle name="Normal 11 2 4 4 4" xfId="18960" xr:uid="{00000000-0005-0000-0000-000094570000}"/>
    <cellStyle name="Normal 11 2 4 4 4 2" xfId="46093" xr:uid="{00000000-0005-0000-0000-000095570000}"/>
    <cellStyle name="Normal 11 2 4 4 5" xfId="32531" xr:uid="{00000000-0005-0000-0000-000096570000}"/>
    <cellStyle name="Normal 11 2 4 5" xfId="5222" xr:uid="{00000000-0005-0000-0000-000097570000}"/>
    <cellStyle name="Normal 11 2 4 5 2" xfId="8773" xr:uid="{00000000-0005-0000-0000-000098570000}"/>
    <cellStyle name="Normal 11 2 4 5 2 2" xfId="15563" xr:uid="{00000000-0005-0000-0000-000099570000}"/>
    <cellStyle name="Normal 11 2 4 5 2 2 2" xfId="29131" xr:uid="{00000000-0005-0000-0000-00009A570000}"/>
    <cellStyle name="Normal 11 2 4 5 2 2 2 2" xfId="56264" xr:uid="{00000000-0005-0000-0000-00009B570000}"/>
    <cellStyle name="Normal 11 2 4 5 2 2 3" xfId="42702" xr:uid="{00000000-0005-0000-0000-00009C570000}"/>
    <cellStyle name="Normal 11 2 4 5 2 3" xfId="22350" xr:uid="{00000000-0005-0000-0000-00009D570000}"/>
    <cellStyle name="Normal 11 2 4 5 2 3 2" xfId="49483" xr:uid="{00000000-0005-0000-0000-00009E570000}"/>
    <cellStyle name="Normal 11 2 4 5 2 4" xfId="35921" xr:uid="{00000000-0005-0000-0000-00009F570000}"/>
    <cellStyle name="Normal 11 2 4 5 3" xfId="12174" xr:uid="{00000000-0005-0000-0000-0000A0570000}"/>
    <cellStyle name="Normal 11 2 4 5 3 2" xfId="25742" xr:uid="{00000000-0005-0000-0000-0000A1570000}"/>
    <cellStyle name="Normal 11 2 4 5 3 2 2" xfId="52875" xr:uid="{00000000-0005-0000-0000-0000A2570000}"/>
    <cellStyle name="Normal 11 2 4 5 3 3" xfId="39313" xr:uid="{00000000-0005-0000-0000-0000A3570000}"/>
    <cellStyle name="Normal 11 2 4 5 4" xfId="18961" xr:uid="{00000000-0005-0000-0000-0000A4570000}"/>
    <cellStyle name="Normal 11 2 4 5 4 2" xfId="46094" xr:uid="{00000000-0005-0000-0000-0000A5570000}"/>
    <cellStyle name="Normal 11 2 4 5 5" xfId="32532" xr:uid="{00000000-0005-0000-0000-0000A6570000}"/>
    <cellStyle name="Normal 11 2 4 6" xfId="8766" xr:uid="{00000000-0005-0000-0000-0000A7570000}"/>
    <cellStyle name="Normal 11 2 4 6 2" xfId="15556" xr:uid="{00000000-0005-0000-0000-0000A8570000}"/>
    <cellStyle name="Normal 11 2 4 6 2 2" xfId="29124" xr:uid="{00000000-0005-0000-0000-0000A9570000}"/>
    <cellStyle name="Normal 11 2 4 6 2 2 2" xfId="56257" xr:uid="{00000000-0005-0000-0000-0000AA570000}"/>
    <cellStyle name="Normal 11 2 4 6 2 3" xfId="42695" xr:uid="{00000000-0005-0000-0000-0000AB570000}"/>
    <cellStyle name="Normal 11 2 4 6 3" xfId="22343" xr:uid="{00000000-0005-0000-0000-0000AC570000}"/>
    <cellStyle name="Normal 11 2 4 6 3 2" xfId="49476" xr:uid="{00000000-0005-0000-0000-0000AD570000}"/>
    <cellStyle name="Normal 11 2 4 6 4" xfId="35914" xr:uid="{00000000-0005-0000-0000-0000AE570000}"/>
    <cellStyle name="Normal 11 2 4 7" xfId="12167" xr:uid="{00000000-0005-0000-0000-0000AF570000}"/>
    <cellStyle name="Normal 11 2 4 7 2" xfId="25735" xr:uid="{00000000-0005-0000-0000-0000B0570000}"/>
    <cellStyle name="Normal 11 2 4 7 2 2" xfId="52868" xr:uid="{00000000-0005-0000-0000-0000B1570000}"/>
    <cellStyle name="Normal 11 2 4 7 3" xfId="39306" xr:uid="{00000000-0005-0000-0000-0000B2570000}"/>
    <cellStyle name="Normal 11 2 4 8" xfId="18954" xr:uid="{00000000-0005-0000-0000-0000B3570000}"/>
    <cellStyle name="Normal 11 2 4 8 2" xfId="46087" xr:uid="{00000000-0005-0000-0000-0000B4570000}"/>
    <cellStyle name="Normal 11 2 4 9" xfId="32525" xr:uid="{00000000-0005-0000-0000-0000B5570000}"/>
    <cellStyle name="Normal 11 2 5" xfId="5223" xr:uid="{00000000-0005-0000-0000-0000B6570000}"/>
    <cellStyle name="Normal 11 2 5 2" xfId="5224" xr:uid="{00000000-0005-0000-0000-0000B7570000}"/>
    <cellStyle name="Normal 11 2 5 2 2" xfId="5225" xr:uid="{00000000-0005-0000-0000-0000B8570000}"/>
    <cellStyle name="Normal 11 2 5 2 2 2" xfId="8776" xr:uid="{00000000-0005-0000-0000-0000B9570000}"/>
    <cellStyle name="Normal 11 2 5 2 2 2 2" xfId="15566" xr:uid="{00000000-0005-0000-0000-0000BA570000}"/>
    <cellStyle name="Normal 11 2 5 2 2 2 2 2" xfId="29134" xr:uid="{00000000-0005-0000-0000-0000BB570000}"/>
    <cellStyle name="Normal 11 2 5 2 2 2 2 2 2" xfId="56267" xr:uid="{00000000-0005-0000-0000-0000BC570000}"/>
    <cellStyle name="Normal 11 2 5 2 2 2 2 3" xfId="42705" xr:uid="{00000000-0005-0000-0000-0000BD570000}"/>
    <cellStyle name="Normal 11 2 5 2 2 2 3" xfId="22353" xr:uid="{00000000-0005-0000-0000-0000BE570000}"/>
    <cellStyle name="Normal 11 2 5 2 2 2 3 2" xfId="49486" xr:uid="{00000000-0005-0000-0000-0000BF570000}"/>
    <cellStyle name="Normal 11 2 5 2 2 2 4" xfId="35924" xr:uid="{00000000-0005-0000-0000-0000C0570000}"/>
    <cellStyle name="Normal 11 2 5 2 2 3" xfId="12177" xr:uid="{00000000-0005-0000-0000-0000C1570000}"/>
    <cellStyle name="Normal 11 2 5 2 2 3 2" xfId="25745" xr:uid="{00000000-0005-0000-0000-0000C2570000}"/>
    <cellStyle name="Normal 11 2 5 2 2 3 2 2" xfId="52878" xr:uid="{00000000-0005-0000-0000-0000C3570000}"/>
    <cellStyle name="Normal 11 2 5 2 2 3 3" xfId="39316" xr:uid="{00000000-0005-0000-0000-0000C4570000}"/>
    <cellStyle name="Normal 11 2 5 2 2 4" xfId="18964" xr:uid="{00000000-0005-0000-0000-0000C5570000}"/>
    <cellStyle name="Normal 11 2 5 2 2 4 2" xfId="46097" xr:uid="{00000000-0005-0000-0000-0000C6570000}"/>
    <cellStyle name="Normal 11 2 5 2 2 5" xfId="32535" xr:uid="{00000000-0005-0000-0000-0000C7570000}"/>
    <cellStyle name="Normal 11 2 5 2 3" xfId="5226" xr:uid="{00000000-0005-0000-0000-0000C8570000}"/>
    <cellStyle name="Normal 11 2 5 2 3 2" xfId="8777" xr:uid="{00000000-0005-0000-0000-0000C9570000}"/>
    <cellStyle name="Normal 11 2 5 2 3 2 2" xfId="15567" xr:uid="{00000000-0005-0000-0000-0000CA570000}"/>
    <cellStyle name="Normal 11 2 5 2 3 2 2 2" xfId="29135" xr:uid="{00000000-0005-0000-0000-0000CB570000}"/>
    <cellStyle name="Normal 11 2 5 2 3 2 2 2 2" xfId="56268" xr:uid="{00000000-0005-0000-0000-0000CC570000}"/>
    <cellStyle name="Normal 11 2 5 2 3 2 2 3" xfId="42706" xr:uid="{00000000-0005-0000-0000-0000CD570000}"/>
    <cellStyle name="Normal 11 2 5 2 3 2 3" xfId="22354" xr:uid="{00000000-0005-0000-0000-0000CE570000}"/>
    <cellStyle name="Normal 11 2 5 2 3 2 3 2" xfId="49487" xr:uid="{00000000-0005-0000-0000-0000CF570000}"/>
    <cellStyle name="Normal 11 2 5 2 3 2 4" xfId="35925" xr:uid="{00000000-0005-0000-0000-0000D0570000}"/>
    <cellStyle name="Normal 11 2 5 2 3 3" xfId="12178" xr:uid="{00000000-0005-0000-0000-0000D1570000}"/>
    <cellStyle name="Normal 11 2 5 2 3 3 2" xfId="25746" xr:uid="{00000000-0005-0000-0000-0000D2570000}"/>
    <cellStyle name="Normal 11 2 5 2 3 3 2 2" xfId="52879" xr:uid="{00000000-0005-0000-0000-0000D3570000}"/>
    <cellStyle name="Normal 11 2 5 2 3 3 3" xfId="39317" xr:uid="{00000000-0005-0000-0000-0000D4570000}"/>
    <cellStyle name="Normal 11 2 5 2 3 4" xfId="18965" xr:uid="{00000000-0005-0000-0000-0000D5570000}"/>
    <cellStyle name="Normal 11 2 5 2 3 4 2" xfId="46098" xr:uid="{00000000-0005-0000-0000-0000D6570000}"/>
    <cellStyle name="Normal 11 2 5 2 3 5" xfId="32536" xr:uid="{00000000-0005-0000-0000-0000D7570000}"/>
    <cellStyle name="Normal 11 2 5 2 4" xfId="8775" xr:uid="{00000000-0005-0000-0000-0000D8570000}"/>
    <cellStyle name="Normal 11 2 5 2 4 2" xfId="15565" xr:uid="{00000000-0005-0000-0000-0000D9570000}"/>
    <cellStyle name="Normal 11 2 5 2 4 2 2" xfId="29133" xr:uid="{00000000-0005-0000-0000-0000DA570000}"/>
    <cellStyle name="Normal 11 2 5 2 4 2 2 2" xfId="56266" xr:uid="{00000000-0005-0000-0000-0000DB570000}"/>
    <cellStyle name="Normal 11 2 5 2 4 2 3" xfId="42704" xr:uid="{00000000-0005-0000-0000-0000DC570000}"/>
    <cellStyle name="Normal 11 2 5 2 4 3" xfId="22352" xr:uid="{00000000-0005-0000-0000-0000DD570000}"/>
    <cellStyle name="Normal 11 2 5 2 4 3 2" xfId="49485" xr:uid="{00000000-0005-0000-0000-0000DE570000}"/>
    <cellStyle name="Normal 11 2 5 2 4 4" xfId="35923" xr:uid="{00000000-0005-0000-0000-0000DF570000}"/>
    <cellStyle name="Normal 11 2 5 2 5" xfId="12176" xr:uid="{00000000-0005-0000-0000-0000E0570000}"/>
    <cellStyle name="Normal 11 2 5 2 5 2" xfId="25744" xr:uid="{00000000-0005-0000-0000-0000E1570000}"/>
    <cellStyle name="Normal 11 2 5 2 5 2 2" xfId="52877" xr:uid="{00000000-0005-0000-0000-0000E2570000}"/>
    <cellStyle name="Normal 11 2 5 2 5 3" xfId="39315" xr:uid="{00000000-0005-0000-0000-0000E3570000}"/>
    <cellStyle name="Normal 11 2 5 2 6" xfId="18963" xr:uid="{00000000-0005-0000-0000-0000E4570000}"/>
    <cellStyle name="Normal 11 2 5 2 6 2" xfId="46096" xr:uid="{00000000-0005-0000-0000-0000E5570000}"/>
    <cellStyle name="Normal 11 2 5 2 7" xfId="32534" xr:uid="{00000000-0005-0000-0000-0000E6570000}"/>
    <cellStyle name="Normal 11 2 5 3" xfId="5227" xr:uid="{00000000-0005-0000-0000-0000E7570000}"/>
    <cellStyle name="Normal 11 2 5 3 2" xfId="8778" xr:uid="{00000000-0005-0000-0000-0000E8570000}"/>
    <cellStyle name="Normal 11 2 5 3 2 2" xfId="15568" xr:uid="{00000000-0005-0000-0000-0000E9570000}"/>
    <cellStyle name="Normal 11 2 5 3 2 2 2" xfId="29136" xr:uid="{00000000-0005-0000-0000-0000EA570000}"/>
    <cellStyle name="Normal 11 2 5 3 2 2 2 2" xfId="56269" xr:uid="{00000000-0005-0000-0000-0000EB570000}"/>
    <cellStyle name="Normal 11 2 5 3 2 2 3" xfId="42707" xr:uid="{00000000-0005-0000-0000-0000EC570000}"/>
    <cellStyle name="Normal 11 2 5 3 2 3" xfId="22355" xr:uid="{00000000-0005-0000-0000-0000ED570000}"/>
    <cellStyle name="Normal 11 2 5 3 2 3 2" xfId="49488" xr:uid="{00000000-0005-0000-0000-0000EE570000}"/>
    <cellStyle name="Normal 11 2 5 3 2 4" xfId="35926" xr:uid="{00000000-0005-0000-0000-0000EF570000}"/>
    <cellStyle name="Normal 11 2 5 3 3" xfId="12179" xr:uid="{00000000-0005-0000-0000-0000F0570000}"/>
    <cellStyle name="Normal 11 2 5 3 3 2" xfId="25747" xr:uid="{00000000-0005-0000-0000-0000F1570000}"/>
    <cellStyle name="Normal 11 2 5 3 3 2 2" xfId="52880" xr:uid="{00000000-0005-0000-0000-0000F2570000}"/>
    <cellStyle name="Normal 11 2 5 3 3 3" xfId="39318" xr:uid="{00000000-0005-0000-0000-0000F3570000}"/>
    <cellStyle name="Normal 11 2 5 3 4" xfId="18966" xr:uid="{00000000-0005-0000-0000-0000F4570000}"/>
    <cellStyle name="Normal 11 2 5 3 4 2" xfId="46099" xr:uid="{00000000-0005-0000-0000-0000F5570000}"/>
    <cellStyle name="Normal 11 2 5 3 5" xfId="32537" xr:uid="{00000000-0005-0000-0000-0000F6570000}"/>
    <cellStyle name="Normal 11 2 5 4" xfId="5228" xr:uid="{00000000-0005-0000-0000-0000F7570000}"/>
    <cellStyle name="Normal 11 2 5 4 2" xfId="8779" xr:uid="{00000000-0005-0000-0000-0000F8570000}"/>
    <cellStyle name="Normal 11 2 5 4 2 2" xfId="15569" xr:uid="{00000000-0005-0000-0000-0000F9570000}"/>
    <cellStyle name="Normal 11 2 5 4 2 2 2" xfId="29137" xr:uid="{00000000-0005-0000-0000-0000FA570000}"/>
    <cellStyle name="Normal 11 2 5 4 2 2 2 2" xfId="56270" xr:uid="{00000000-0005-0000-0000-0000FB570000}"/>
    <cellStyle name="Normal 11 2 5 4 2 2 3" xfId="42708" xr:uid="{00000000-0005-0000-0000-0000FC570000}"/>
    <cellStyle name="Normal 11 2 5 4 2 3" xfId="22356" xr:uid="{00000000-0005-0000-0000-0000FD570000}"/>
    <cellStyle name="Normal 11 2 5 4 2 3 2" xfId="49489" xr:uid="{00000000-0005-0000-0000-0000FE570000}"/>
    <cellStyle name="Normal 11 2 5 4 2 4" xfId="35927" xr:uid="{00000000-0005-0000-0000-0000FF570000}"/>
    <cellStyle name="Normal 11 2 5 4 3" xfId="12180" xr:uid="{00000000-0005-0000-0000-000000580000}"/>
    <cellStyle name="Normal 11 2 5 4 3 2" xfId="25748" xr:uid="{00000000-0005-0000-0000-000001580000}"/>
    <cellStyle name="Normal 11 2 5 4 3 2 2" xfId="52881" xr:uid="{00000000-0005-0000-0000-000002580000}"/>
    <cellStyle name="Normal 11 2 5 4 3 3" xfId="39319" xr:uid="{00000000-0005-0000-0000-000003580000}"/>
    <cellStyle name="Normal 11 2 5 4 4" xfId="18967" xr:uid="{00000000-0005-0000-0000-000004580000}"/>
    <cellStyle name="Normal 11 2 5 4 4 2" xfId="46100" xr:uid="{00000000-0005-0000-0000-000005580000}"/>
    <cellStyle name="Normal 11 2 5 4 5" xfId="32538" xr:uid="{00000000-0005-0000-0000-000006580000}"/>
    <cellStyle name="Normal 11 2 5 5" xfId="8774" xr:uid="{00000000-0005-0000-0000-000007580000}"/>
    <cellStyle name="Normal 11 2 5 5 2" xfId="15564" xr:uid="{00000000-0005-0000-0000-000008580000}"/>
    <cellStyle name="Normal 11 2 5 5 2 2" xfId="29132" xr:uid="{00000000-0005-0000-0000-000009580000}"/>
    <cellStyle name="Normal 11 2 5 5 2 2 2" xfId="56265" xr:uid="{00000000-0005-0000-0000-00000A580000}"/>
    <cellStyle name="Normal 11 2 5 5 2 3" xfId="42703" xr:uid="{00000000-0005-0000-0000-00000B580000}"/>
    <cellStyle name="Normal 11 2 5 5 3" xfId="22351" xr:uid="{00000000-0005-0000-0000-00000C580000}"/>
    <cellStyle name="Normal 11 2 5 5 3 2" xfId="49484" xr:uid="{00000000-0005-0000-0000-00000D580000}"/>
    <cellStyle name="Normal 11 2 5 5 4" xfId="35922" xr:uid="{00000000-0005-0000-0000-00000E580000}"/>
    <cellStyle name="Normal 11 2 5 6" xfId="12175" xr:uid="{00000000-0005-0000-0000-00000F580000}"/>
    <cellStyle name="Normal 11 2 5 6 2" xfId="25743" xr:uid="{00000000-0005-0000-0000-000010580000}"/>
    <cellStyle name="Normal 11 2 5 6 2 2" xfId="52876" xr:uid="{00000000-0005-0000-0000-000011580000}"/>
    <cellStyle name="Normal 11 2 5 6 3" xfId="39314" xr:uid="{00000000-0005-0000-0000-000012580000}"/>
    <cellStyle name="Normal 11 2 5 7" xfId="18962" xr:uid="{00000000-0005-0000-0000-000013580000}"/>
    <cellStyle name="Normal 11 2 5 7 2" xfId="46095" xr:uid="{00000000-0005-0000-0000-000014580000}"/>
    <cellStyle name="Normal 11 2 5 8" xfId="32533" xr:uid="{00000000-0005-0000-0000-000015580000}"/>
    <cellStyle name="Normal 11 2 6" xfId="5229" xr:uid="{00000000-0005-0000-0000-000016580000}"/>
    <cellStyle name="Normal 11 2 6 2" xfId="5230" xr:uid="{00000000-0005-0000-0000-000017580000}"/>
    <cellStyle name="Normal 11 2 6 2 2" xfId="5231" xr:uid="{00000000-0005-0000-0000-000018580000}"/>
    <cellStyle name="Normal 11 2 6 2 2 2" xfId="8782" xr:uid="{00000000-0005-0000-0000-000019580000}"/>
    <cellStyle name="Normal 11 2 6 2 2 2 2" xfId="15572" xr:uid="{00000000-0005-0000-0000-00001A580000}"/>
    <cellStyle name="Normal 11 2 6 2 2 2 2 2" xfId="29140" xr:uid="{00000000-0005-0000-0000-00001B580000}"/>
    <cellStyle name="Normal 11 2 6 2 2 2 2 2 2" xfId="56273" xr:uid="{00000000-0005-0000-0000-00001C580000}"/>
    <cellStyle name="Normal 11 2 6 2 2 2 2 3" xfId="42711" xr:uid="{00000000-0005-0000-0000-00001D580000}"/>
    <cellStyle name="Normal 11 2 6 2 2 2 3" xfId="22359" xr:uid="{00000000-0005-0000-0000-00001E580000}"/>
    <cellStyle name="Normal 11 2 6 2 2 2 3 2" xfId="49492" xr:uid="{00000000-0005-0000-0000-00001F580000}"/>
    <cellStyle name="Normal 11 2 6 2 2 2 4" xfId="35930" xr:uid="{00000000-0005-0000-0000-000020580000}"/>
    <cellStyle name="Normal 11 2 6 2 2 3" xfId="12183" xr:uid="{00000000-0005-0000-0000-000021580000}"/>
    <cellStyle name="Normal 11 2 6 2 2 3 2" xfId="25751" xr:uid="{00000000-0005-0000-0000-000022580000}"/>
    <cellStyle name="Normal 11 2 6 2 2 3 2 2" xfId="52884" xr:uid="{00000000-0005-0000-0000-000023580000}"/>
    <cellStyle name="Normal 11 2 6 2 2 3 3" xfId="39322" xr:uid="{00000000-0005-0000-0000-000024580000}"/>
    <cellStyle name="Normal 11 2 6 2 2 4" xfId="18970" xr:uid="{00000000-0005-0000-0000-000025580000}"/>
    <cellStyle name="Normal 11 2 6 2 2 4 2" xfId="46103" xr:uid="{00000000-0005-0000-0000-000026580000}"/>
    <cellStyle name="Normal 11 2 6 2 2 5" xfId="32541" xr:uid="{00000000-0005-0000-0000-000027580000}"/>
    <cellStyle name="Normal 11 2 6 2 3" xfId="5232" xr:uid="{00000000-0005-0000-0000-000028580000}"/>
    <cellStyle name="Normal 11 2 6 2 3 2" xfId="8783" xr:uid="{00000000-0005-0000-0000-000029580000}"/>
    <cellStyle name="Normal 11 2 6 2 3 2 2" xfId="15573" xr:uid="{00000000-0005-0000-0000-00002A580000}"/>
    <cellStyle name="Normal 11 2 6 2 3 2 2 2" xfId="29141" xr:uid="{00000000-0005-0000-0000-00002B580000}"/>
    <cellStyle name="Normal 11 2 6 2 3 2 2 2 2" xfId="56274" xr:uid="{00000000-0005-0000-0000-00002C580000}"/>
    <cellStyle name="Normal 11 2 6 2 3 2 2 3" xfId="42712" xr:uid="{00000000-0005-0000-0000-00002D580000}"/>
    <cellStyle name="Normal 11 2 6 2 3 2 3" xfId="22360" xr:uid="{00000000-0005-0000-0000-00002E580000}"/>
    <cellStyle name="Normal 11 2 6 2 3 2 3 2" xfId="49493" xr:uid="{00000000-0005-0000-0000-00002F580000}"/>
    <cellStyle name="Normal 11 2 6 2 3 2 4" xfId="35931" xr:uid="{00000000-0005-0000-0000-000030580000}"/>
    <cellStyle name="Normal 11 2 6 2 3 3" xfId="12184" xr:uid="{00000000-0005-0000-0000-000031580000}"/>
    <cellStyle name="Normal 11 2 6 2 3 3 2" xfId="25752" xr:uid="{00000000-0005-0000-0000-000032580000}"/>
    <cellStyle name="Normal 11 2 6 2 3 3 2 2" xfId="52885" xr:uid="{00000000-0005-0000-0000-000033580000}"/>
    <cellStyle name="Normal 11 2 6 2 3 3 3" xfId="39323" xr:uid="{00000000-0005-0000-0000-000034580000}"/>
    <cellStyle name="Normal 11 2 6 2 3 4" xfId="18971" xr:uid="{00000000-0005-0000-0000-000035580000}"/>
    <cellStyle name="Normal 11 2 6 2 3 4 2" xfId="46104" xr:uid="{00000000-0005-0000-0000-000036580000}"/>
    <cellStyle name="Normal 11 2 6 2 3 5" xfId="32542" xr:uid="{00000000-0005-0000-0000-000037580000}"/>
    <cellStyle name="Normal 11 2 6 2 4" xfId="8781" xr:uid="{00000000-0005-0000-0000-000038580000}"/>
    <cellStyle name="Normal 11 2 6 2 4 2" xfId="15571" xr:uid="{00000000-0005-0000-0000-000039580000}"/>
    <cellStyle name="Normal 11 2 6 2 4 2 2" xfId="29139" xr:uid="{00000000-0005-0000-0000-00003A580000}"/>
    <cellStyle name="Normal 11 2 6 2 4 2 2 2" xfId="56272" xr:uid="{00000000-0005-0000-0000-00003B580000}"/>
    <cellStyle name="Normal 11 2 6 2 4 2 3" xfId="42710" xr:uid="{00000000-0005-0000-0000-00003C580000}"/>
    <cellStyle name="Normal 11 2 6 2 4 3" xfId="22358" xr:uid="{00000000-0005-0000-0000-00003D580000}"/>
    <cellStyle name="Normal 11 2 6 2 4 3 2" xfId="49491" xr:uid="{00000000-0005-0000-0000-00003E580000}"/>
    <cellStyle name="Normal 11 2 6 2 4 4" xfId="35929" xr:uid="{00000000-0005-0000-0000-00003F580000}"/>
    <cellStyle name="Normal 11 2 6 2 5" xfId="12182" xr:uid="{00000000-0005-0000-0000-000040580000}"/>
    <cellStyle name="Normal 11 2 6 2 5 2" xfId="25750" xr:uid="{00000000-0005-0000-0000-000041580000}"/>
    <cellStyle name="Normal 11 2 6 2 5 2 2" xfId="52883" xr:uid="{00000000-0005-0000-0000-000042580000}"/>
    <cellStyle name="Normal 11 2 6 2 5 3" xfId="39321" xr:uid="{00000000-0005-0000-0000-000043580000}"/>
    <cellStyle name="Normal 11 2 6 2 6" xfId="18969" xr:uid="{00000000-0005-0000-0000-000044580000}"/>
    <cellStyle name="Normal 11 2 6 2 6 2" xfId="46102" xr:uid="{00000000-0005-0000-0000-000045580000}"/>
    <cellStyle name="Normal 11 2 6 2 7" xfId="32540" xr:uid="{00000000-0005-0000-0000-000046580000}"/>
    <cellStyle name="Normal 11 2 6 3" xfId="5233" xr:uid="{00000000-0005-0000-0000-000047580000}"/>
    <cellStyle name="Normal 11 2 6 3 2" xfId="8784" xr:uid="{00000000-0005-0000-0000-000048580000}"/>
    <cellStyle name="Normal 11 2 6 3 2 2" xfId="15574" xr:uid="{00000000-0005-0000-0000-000049580000}"/>
    <cellStyle name="Normal 11 2 6 3 2 2 2" xfId="29142" xr:uid="{00000000-0005-0000-0000-00004A580000}"/>
    <cellStyle name="Normal 11 2 6 3 2 2 2 2" xfId="56275" xr:uid="{00000000-0005-0000-0000-00004B580000}"/>
    <cellStyle name="Normal 11 2 6 3 2 2 3" xfId="42713" xr:uid="{00000000-0005-0000-0000-00004C580000}"/>
    <cellStyle name="Normal 11 2 6 3 2 3" xfId="22361" xr:uid="{00000000-0005-0000-0000-00004D580000}"/>
    <cellStyle name="Normal 11 2 6 3 2 3 2" xfId="49494" xr:uid="{00000000-0005-0000-0000-00004E580000}"/>
    <cellStyle name="Normal 11 2 6 3 2 4" xfId="35932" xr:uid="{00000000-0005-0000-0000-00004F580000}"/>
    <cellStyle name="Normal 11 2 6 3 3" xfId="12185" xr:uid="{00000000-0005-0000-0000-000050580000}"/>
    <cellStyle name="Normal 11 2 6 3 3 2" xfId="25753" xr:uid="{00000000-0005-0000-0000-000051580000}"/>
    <cellStyle name="Normal 11 2 6 3 3 2 2" xfId="52886" xr:uid="{00000000-0005-0000-0000-000052580000}"/>
    <cellStyle name="Normal 11 2 6 3 3 3" xfId="39324" xr:uid="{00000000-0005-0000-0000-000053580000}"/>
    <cellStyle name="Normal 11 2 6 3 4" xfId="18972" xr:uid="{00000000-0005-0000-0000-000054580000}"/>
    <cellStyle name="Normal 11 2 6 3 4 2" xfId="46105" xr:uid="{00000000-0005-0000-0000-000055580000}"/>
    <cellStyle name="Normal 11 2 6 3 5" xfId="32543" xr:uid="{00000000-0005-0000-0000-000056580000}"/>
    <cellStyle name="Normal 11 2 6 4" xfId="5234" xr:uid="{00000000-0005-0000-0000-000057580000}"/>
    <cellStyle name="Normal 11 2 6 4 2" xfId="8785" xr:uid="{00000000-0005-0000-0000-000058580000}"/>
    <cellStyle name="Normal 11 2 6 4 2 2" xfId="15575" xr:uid="{00000000-0005-0000-0000-000059580000}"/>
    <cellStyle name="Normal 11 2 6 4 2 2 2" xfId="29143" xr:uid="{00000000-0005-0000-0000-00005A580000}"/>
    <cellStyle name="Normal 11 2 6 4 2 2 2 2" xfId="56276" xr:uid="{00000000-0005-0000-0000-00005B580000}"/>
    <cellStyle name="Normal 11 2 6 4 2 2 3" xfId="42714" xr:uid="{00000000-0005-0000-0000-00005C580000}"/>
    <cellStyle name="Normal 11 2 6 4 2 3" xfId="22362" xr:uid="{00000000-0005-0000-0000-00005D580000}"/>
    <cellStyle name="Normal 11 2 6 4 2 3 2" xfId="49495" xr:uid="{00000000-0005-0000-0000-00005E580000}"/>
    <cellStyle name="Normal 11 2 6 4 2 4" xfId="35933" xr:uid="{00000000-0005-0000-0000-00005F580000}"/>
    <cellStyle name="Normal 11 2 6 4 3" xfId="12186" xr:uid="{00000000-0005-0000-0000-000060580000}"/>
    <cellStyle name="Normal 11 2 6 4 3 2" xfId="25754" xr:uid="{00000000-0005-0000-0000-000061580000}"/>
    <cellStyle name="Normal 11 2 6 4 3 2 2" xfId="52887" xr:uid="{00000000-0005-0000-0000-000062580000}"/>
    <cellStyle name="Normal 11 2 6 4 3 3" xfId="39325" xr:uid="{00000000-0005-0000-0000-000063580000}"/>
    <cellStyle name="Normal 11 2 6 4 4" xfId="18973" xr:uid="{00000000-0005-0000-0000-000064580000}"/>
    <cellStyle name="Normal 11 2 6 4 4 2" xfId="46106" xr:uid="{00000000-0005-0000-0000-000065580000}"/>
    <cellStyle name="Normal 11 2 6 4 5" xfId="32544" xr:uid="{00000000-0005-0000-0000-000066580000}"/>
    <cellStyle name="Normal 11 2 6 5" xfId="8780" xr:uid="{00000000-0005-0000-0000-000067580000}"/>
    <cellStyle name="Normal 11 2 6 5 2" xfId="15570" xr:uid="{00000000-0005-0000-0000-000068580000}"/>
    <cellStyle name="Normal 11 2 6 5 2 2" xfId="29138" xr:uid="{00000000-0005-0000-0000-000069580000}"/>
    <cellStyle name="Normal 11 2 6 5 2 2 2" xfId="56271" xr:uid="{00000000-0005-0000-0000-00006A580000}"/>
    <cellStyle name="Normal 11 2 6 5 2 3" xfId="42709" xr:uid="{00000000-0005-0000-0000-00006B580000}"/>
    <cellStyle name="Normal 11 2 6 5 3" xfId="22357" xr:uid="{00000000-0005-0000-0000-00006C580000}"/>
    <cellStyle name="Normal 11 2 6 5 3 2" xfId="49490" xr:uid="{00000000-0005-0000-0000-00006D580000}"/>
    <cellStyle name="Normal 11 2 6 5 4" xfId="35928" xr:uid="{00000000-0005-0000-0000-00006E580000}"/>
    <cellStyle name="Normal 11 2 6 6" xfId="12181" xr:uid="{00000000-0005-0000-0000-00006F580000}"/>
    <cellStyle name="Normal 11 2 6 6 2" xfId="25749" xr:uid="{00000000-0005-0000-0000-000070580000}"/>
    <cellStyle name="Normal 11 2 6 6 2 2" xfId="52882" xr:uid="{00000000-0005-0000-0000-000071580000}"/>
    <cellStyle name="Normal 11 2 6 6 3" xfId="39320" xr:uid="{00000000-0005-0000-0000-000072580000}"/>
    <cellStyle name="Normal 11 2 6 7" xfId="18968" xr:uid="{00000000-0005-0000-0000-000073580000}"/>
    <cellStyle name="Normal 11 2 6 7 2" xfId="46101" xr:uid="{00000000-0005-0000-0000-000074580000}"/>
    <cellStyle name="Normal 11 2 6 8" xfId="32539" xr:uid="{00000000-0005-0000-0000-000075580000}"/>
    <cellStyle name="Normal 11 2 7" xfId="5235" xr:uid="{00000000-0005-0000-0000-000076580000}"/>
    <cellStyle name="Normal 11 2 7 2" xfId="5236" xr:uid="{00000000-0005-0000-0000-000077580000}"/>
    <cellStyle name="Normal 11 2 7 2 2" xfId="8787" xr:uid="{00000000-0005-0000-0000-000078580000}"/>
    <cellStyle name="Normal 11 2 7 2 2 2" xfId="15577" xr:uid="{00000000-0005-0000-0000-000079580000}"/>
    <cellStyle name="Normal 11 2 7 2 2 2 2" xfId="29145" xr:uid="{00000000-0005-0000-0000-00007A580000}"/>
    <cellStyle name="Normal 11 2 7 2 2 2 2 2" xfId="56278" xr:uid="{00000000-0005-0000-0000-00007B580000}"/>
    <cellStyle name="Normal 11 2 7 2 2 2 3" xfId="42716" xr:uid="{00000000-0005-0000-0000-00007C580000}"/>
    <cellStyle name="Normal 11 2 7 2 2 3" xfId="22364" xr:uid="{00000000-0005-0000-0000-00007D580000}"/>
    <cellStyle name="Normal 11 2 7 2 2 3 2" xfId="49497" xr:uid="{00000000-0005-0000-0000-00007E580000}"/>
    <cellStyle name="Normal 11 2 7 2 2 4" xfId="35935" xr:uid="{00000000-0005-0000-0000-00007F580000}"/>
    <cellStyle name="Normal 11 2 7 2 3" xfId="12188" xr:uid="{00000000-0005-0000-0000-000080580000}"/>
    <cellStyle name="Normal 11 2 7 2 3 2" xfId="25756" xr:uid="{00000000-0005-0000-0000-000081580000}"/>
    <cellStyle name="Normal 11 2 7 2 3 2 2" xfId="52889" xr:uid="{00000000-0005-0000-0000-000082580000}"/>
    <cellStyle name="Normal 11 2 7 2 3 3" xfId="39327" xr:uid="{00000000-0005-0000-0000-000083580000}"/>
    <cellStyle name="Normal 11 2 7 2 4" xfId="18975" xr:uid="{00000000-0005-0000-0000-000084580000}"/>
    <cellStyle name="Normal 11 2 7 2 4 2" xfId="46108" xr:uid="{00000000-0005-0000-0000-000085580000}"/>
    <cellStyle name="Normal 11 2 7 2 5" xfId="32546" xr:uid="{00000000-0005-0000-0000-000086580000}"/>
    <cellStyle name="Normal 11 2 7 3" xfId="5237" xr:uid="{00000000-0005-0000-0000-000087580000}"/>
    <cellStyle name="Normal 11 2 7 3 2" xfId="8788" xr:uid="{00000000-0005-0000-0000-000088580000}"/>
    <cellStyle name="Normal 11 2 7 3 2 2" xfId="15578" xr:uid="{00000000-0005-0000-0000-000089580000}"/>
    <cellStyle name="Normal 11 2 7 3 2 2 2" xfId="29146" xr:uid="{00000000-0005-0000-0000-00008A580000}"/>
    <cellStyle name="Normal 11 2 7 3 2 2 2 2" xfId="56279" xr:uid="{00000000-0005-0000-0000-00008B580000}"/>
    <cellStyle name="Normal 11 2 7 3 2 2 3" xfId="42717" xr:uid="{00000000-0005-0000-0000-00008C580000}"/>
    <cellStyle name="Normal 11 2 7 3 2 3" xfId="22365" xr:uid="{00000000-0005-0000-0000-00008D580000}"/>
    <cellStyle name="Normal 11 2 7 3 2 3 2" xfId="49498" xr:uid="{00000000-0005-0000-0000-00008E580000}"/>
    <cellStyle name="Normal 11 2 7 3 2 4" xfId="35936" xr:uid="{00000000-0005-0000-0000-00008F580000}"/>
    <cellStyle name="Normal 11 2 7 3 3" xfId="12189" xr:uid="{00000000-0005-0000-0000-000090580000}"/>
    <cellStyle name="Normal 11 2 7 3 3 2" xfId="25757" xr:uid="{00000000-0005-0000-0000-000091580000}"/>
    <cellStyle name="Normal 11 2 7 3 3 2 2" xfId="52890" xr:uid="{00000000-0005-0000-0000-000092580000}"/>
    <cellStyle name="Normal 11 2 7 3 3 3" xfId="39328" xr:uid="{00000000-0005-0000-0000-000093580000}"/>
    <cellStyle name="Normal 11 2 7 3 4" xfId="18976" xr:uid="{00000000-0005-0000-0000-000094580000}"/>
    <cellStyle name="Normal 11 2 7 3 4 2" xfId="46109" xr:uid="{00000000-0005-0000-0000-000095580000}"/>
    <cellStyle name="Normal 11 2 7 3 5" xfId="32547" xr:uid="{00000000-0005-0000-0000-000096580000}"/>
    <cellStyle name="Normal 11 2 7 4" xfId="8786" xr:uid="{00000000-0005-0000-0000-000097580000}"/>
    <cellStyle name="Normal 11 2 7 4 2" xfId="15576" xr:uid="{00000000-0005-0000-0000-000098580000}"/>
    <cellStyle name="Normal 11 2 7 4 2 2" xfId="29144" xr:uid="{00000000-0005-0000-0000-000099580000}"/>
    <cellStyle name="Normal 11 2 7 4 2 2 2" xfId="56277" xr:uid="{00000000-0005-0000-0000-00009A580000}"/>
    <cellStyle name="Normal 11 2 7 4 2 3" xfId="42715" xr:uid="{00000000-0005-0000-0000-00009B580000}"/>
    <cellStyle name="Normal 11 2 7 4 3" xfId="22363" xr:uid="{00000000-0005-0000-0000-00009C580000}"/>
    <cellStyle name="Normal 11 2 7 4 3 2" xfId="49496" xr:uid="{00000000-0005-0000-0000-00009D580000}"/>
    <cellStyle name="Normal 11 2 7 4 4" xfId="35934" xr:uid="{00000000-0005-0000-0000-00009E580000}"/>
    <cellStyle name="Normal 11 2 7 5" xfId="12187" xr:uid="{00000000-0005-0000-0000-00009F580000}"/>
    <cellStyle name="Normal 11 2 7 5 2" xfId="25755" xr:uid="{00000000-0005-0000-0000-0000A0580000}"/>
    <cellStyle name="Normal 11 2 7 5 2 2" xfId="52888" xr:uid="{00000000-0005-0000-0000-0000A1580000}"/>
    <cellStyle name="Normal 11 2 7 5 3" xfId="39326" xr:uid="{00000000-0005-0000-0000-0000A2580000}"/>
    <cellStyle name="Normal 11 2 7 6" xfId="18974" xr:uid="{00000000-0005-0000-0000-0000A3580000}"/>
    <cellStyle name="Normal 11 2 7 6 2" xfId="46107" xr:uid="{00000000-0005-0000-0000-0000A4580000}"/>
    <cellStyle name="Normal 11 2 7 7" xfId="32545" xr:uid="{00000000-0005-0000-0000-0000A5580000}"/>
    <cellStyle name="Normal 11 2 8" xfId="5238" xr:uid="{00000000-0005-0000-0000-0000A6580000}"/>
    <cellStyle name="Normal 11 2 8 2" xfId="5239" xr:uid="{00000000-0005-0000-0000-0000A7580000}"/>
    <cellStyle name="Normal 11 2 8 2 2" xfId="8790" xr:uid="{00000000-0005-0000-0000-0000A8580000}"/>
    <cellStyle name="Normal 11 2 8 2 2 2" xfId="15580" xr:uid="{00000000-0005-0000-0000-0000A9580000}"/>
    <cellStyle name="Normal 11 2 8 2 2 2 2" xfId="29148" xr:uid="{00000000-0005-0000-0000-0000AA580000}"/>
    <cellStyle name="Normal 11 2 8 2 2 2 2 2" xfId="56281" xr:uid="{00000000-0005-0000-0000-0000AB580000}"/>
    <cellStyle name="Normal 11 2 8 2 2 2 3" xfId="42719" xr:uid="{00000000-0005-0000-0000-0000AC580000}"/>
    <cellStyle name="Normal 11 2 8 2 2 3" xfId="22367" xr:uid="{00000000-0005-0000-0000-0000AD580000}"/>
    <cellStyle name="Normal 11 2 8 2 2 3 2" xfId="49500" xr:uid="{00000000-0005-0000-0000-0000AE580000}"/>
    <cellStyle name="Normal 11 2 8 2 2 4" xfId="35938" xr:uid="{00000000-0005-0000-0000-0000AF580000}"/>
    <cellStyle name="Normal 11 2 8 2 3" xfId="12191" xr:uid="{00000000-0005-0000-0000-0000B0580000}"/>
    <cellStyle name="Normal 11 2 8 2 3 2" xfId="25759" xr:uid="{00000000-0005-0000-0000-0000B1580000}"/>
    <cellStyle name="Normal 11 2 8 2 3 2 2" xfId="52892" xr:uid="{00000000-0005-0000-0000-0000B2580000}"/>
    <cellStyle name="Normal 11 2 8 2 3 3" xfId="39330" xr:uid="{00000000-0005-0000-0000-0000B3580000}"/>
    <cellStyle name="Normal 11 2 8 2 4" xfId="18978" xr:uid="{00000000-0005-0000-0000-0000B4580000}"/>
    <cellStyle name="Normal 11 2 8 2 4 2" xfId="46111" xr:uid="{00000000-0005-0000-0000-0000B5580000}"/>
    <cellStyle name="Normal 11 2 8 2 5" xfId="32549" xr:uid="{00000000-0005-0000-0000-0000B6580000}"/>
    <cellStyle name="Normal 11 2 8 3" xfId="5240" xr:uid="{00000000-0005-0000-0000-0000B7580000}"/>
    <cellStyle name="Normal 11 2 8 3 2" xfId="8791" xr:uid="{00000000-0005-0000-0000-0000B8580000}"/>
    <cellStyle name="Normal 11 2 8 3 2 2" xfId="15581" xr:uid="{00000000-0005-0000-0000-0000B9580000}"/>
    <cellStyle name="Normal 11 2 8 3 2 2 2" xfId="29149" xr:uid="{00000000-0005-0000-0000-0000BA580000}"/>
    <cellStyle name="Normal 11 2 8 3 2 2 2 2" xfId="56282" xr:uid="{00000000-0005-0000-0000-0000BB580000}"/>
    <cellStyle name="Normal 11 2 8 3 2 2 3" xfId="42720" xr:uid="{00000000-0005-0000-0000-0000BC580000}"/>
    <cellStyle name="Normal 11 2 8 3 2 3" xfId="22368" xr:uid="{00000000-0005-0000-0000-0000BD580000}"/>
    <cellStyle name="Normal 11 2 8 3 2 3 2" xfId="49501" xr:uid="{00000000-0005-0000-0000-0000BE580000}"/>
    <cellStyle name="Normal 11 2 8 3 2 4" xfId="35939" xr:uid="{00000000-0005-0000-0000-0000BF580000}"/>
    <cellStyle name="Normal 11 2 8 3 3" xfId="12192" xr:uid="{00000000-0005-0000-0000-0000C0580000}"/>
    <cellStyle name="Normal 11 2 8 3 3 2" xfId="25760" xr:uid="{00000000-0005-0000-0000-0000C1580000}"/>
    <cellStyle name="Normal 11 2 8 3 3 2 2" xfId="52893" xr:uid="{00000000-0005-0000-0000-0000C2580000}"/>
    <cellStyle name="Normal 11 2 8 3 3 3" xfId="39331" xr:uid="{00000000-0005-0000-0000-0000C3580000}"/>
    <cellStyle name="Normal 11 2 8 3 4" xfId="18979" xr:uid="{00000000-0005-0000-0000-0000C4580000}"/>
    <cellStyle name="Normal 11 2 8 3 4 2" xfId="46112" xr:uid="{00000000-0005-0000-0000-0000C5580000}"/>
    <cellStyle name="Normal 11 2 8 3 5" xfId="32550" xr:uid="{00000000-0005-0000-0000-0000C6580000}"/>
    <cellStyle name="Normal 11 2 8 4" xfId="8789" xr:uid="{00000000-0005-0000-0000-0000C7580000}"/>
    <cellStyle name="Normal 11 2 8 4 2" xfId="15579" xr:uid="{00000000-0005-0000-0000-0000C8580000}"/>
    <cellStyle name="Normal 11 2 8 4 2 2" xfId="29147" xr:uid="{00000000-0005-0000-0000-0000C9580000}"/>
    <cellStyle name="Normal 11 2 8 4 2 2 2" xfId="56280" xr:uid="{00000000-0005-0000-0000-0000CA580000}"/>
    <cellStyle name="Normal 11 2 8 4 2 3" xfId="42718" xr:uid="{00000000-0005-0000-0000-0000CB580000}"/>
    <cellStyle name="Normal 11 2 8 4 3" xfId="22366" xr:uid="{00000000-0005-0000-0000-0000CC580000}"/>
    <cellStyle name="Normal 11 2 8 4 3 2" xfId="49499" xr:uid="{00000000-0005-0000-0000-0000CD580000}"/>
    <cellStyle name="Normal 11 2 8 4 4" xfId="35937" xr:uid="{00000000-0005-0000-0000-0000CE580000}"/>
    <cellStyle name="Normal 11 2 8 5" xfId="12190" xr:uid="{00000000-0005-0000-0000-0000CF580000}"/>
    <cellStyle name="Normal 11 2 8 5 2" xfId="25758" xr:uid="{00000000-0005-0000-0000-0000D0580000}"/>
    <cellStyle name="Normal 11 2 8 5 2 2" xfId="52891" xr:uid="{00000000-0005-0000-0000-0000D1580000}"/>
    <cellStyle name="Normal 11 2 8 5 3" xfId="39329" xr:uid="{00000000-0005-0000-0000-0000D2580000}"/>
    <cellStyle name="Normal 11 2 8 6" xfId="18977" xr:uid="{00000000-0005-0000-0000-0000D3580000}"/>
    <cellStyle name="Normal 11 2 8 6 2" xfId="46110" xr:uid="{00000000-0005-0000-0000-0000D4580000}"/>
    <cellStyle name="Normal 11 2 8 7" xfId="32548" xr:uid="{00000000-0005-0000-0000-0000D5580000}"/>
    <cellStyle name="Normal 11 2 9" xfId="5241" xr:uid="{00000000-0005-0000-0000-0000D6580000}"/>
    <cellStyle name="Normal 11 2 9 2" xfId="8792" xr:uid="{00000000-0005-0000-0000-0000D7580000}"/>
    <cellStyle name="Normal 11 2 9 2 2" xfId="15582" xr:uid="{00000000-0005-0000-0000-0000D8580000}"/>
    <cellStyle name="Normal 11 2 9 2 2 2" xfId="29150" xr:uid="{00000000-0005-0000-0000-0000D9580000}"/>
    <cellStyle name="Normal 11 2 9 2 2 2 2" xfId="56283" xr:uid="{00000000-0005-0000-0000-0000DA580000}"/>
    <cellStyle name="Normal 11 2 9 2 2 3" xfId="42721" xr:uid="{00000000-0005-0000-0000-0000DB580000}"/>
    <cellStyle name="Normal 11 2 9 2 3" xfId="22369" xr:uid="{00000000-0005-0000-0000-0000DC580000}"/>
    <cellStyle name="Normal 11 2 9 2 3 2" xfId="49502" xr:uid="{00000000-0005-0000-0000-0000DD580000}"/>
    <cellStyle name="Normal 11 2 9 2 4" xfId="35940" xr:uid="{00000000-0005-0000-0000-0000DE580000}"/>
    <cellStyle name="Normal 11 2 9 3" xfId="12193" xr:uid="{00000000-0005-0000-0000-0000DF580000}"/>
    <cellStyle name="Normal 11 2 9 3 2" xfId="25761" xr:uid="{00000000-0005-0000-0000-0000E0580000}"/>
    <cellStyle name="Normal 11 2 9 3 2 2" xfId="52894" xr:uid="{00000000-0005-0000-0000-0000E1580000}"/>
    <cellStyle name="Normal 11 2 9 3 3" xfId="39332" xr:uid="{00000000-0005-0000-0000-0000E2580000}"/>
    <cellStyle name="Normal 11 2 9 4" xfId="18980" xr:uid="{00000000-0005-0000-0000-0000E3580000}"/>
    <cellStyle name="Normal 11 2 9 4 2" xfId="46113" xr:uid="{00000000-0005-0000-0000-0000E4580000}"/>
    <cellStyle name="Normal 11 2 9 5" xfId="32551" xr:uid="{00000000-0005-0000-0000-0000E5580000}"/>
    <cellStyle name="Normal 11 3" xfId="5242" xr:uid="{00000000-0005-0000-0000-0000E6580000}"/>
    <cellStyle name="Normal 11 4" xfId="5243" xr:uid="{00000000-0005-0000-0000-0000E7580000}"/>
    <cellStyle name="Normal 11 4 10" xfId="8793" xr:uid="{00000000-0005-0000-0000-0000E8580000}"/>
    <cellStyle name="Normal 11 4 10 2" xfId="15583" xr:uid="{00000000-0005-0000-0000-0000E9580000}"/>
    <cellStyle name="Normal 11 4 10 2 2" xfId="29151" xr:uid="{00000000-0005-0000-0000-0000EA580000}"/>
    <cellStyle name="Normal 11 4 10 2 2 2" xfId="56284" xr:uid="{00000000-0005-0000-0000-0000EB580000}"/>
    <cellStyle name="Normal 11 4 10 2 3" xfId="42722" xr:uid="{00000000-0005-0000-0000-0000EC580000}"/>
    <cellStyle name="Normal 11 4 10 3" xfId="22370" xr:uid="{00000000-0005-0000-0000-0000ED580000}"/>
    <cellStyle name="Normal 11 4 10 3 2" xfId="49503" xr:uid="{00000000-0005-0000-0000-0000EE580000}"/>
    <cellStyle name="Normal 11 4 10 4" xfId="35941" xr:uid="{00000000-0005-0000-0000-0000EF580000}"/>
    <cellStyle name="Normal 11 4 11" xfId="12194" xr:uid="{00000000-0005-0000-0000-0000F0580000}"/>
    <cellStyle name="Normal 11 4 11 2" xfId="25762" xr:uid="{00000000-0005-0000-0000-0000F1580000}"/>
    <cellStyle name="Normal 11 4 11 2 2" xfId="52895" xr:uid="{00000000-0005-0000-0000-0000F2580000}"/>
    <cellStyle name="Normal 11 4 11 3" xfId="39333" xr:uid="{00000000-0005-0000-0000-0000F3580000}"/>
    <cellStyle name="Normal 11 4 12" xfId="18981" xr:uid="{00000000-0005-0000-0000-0000F4580000}"/>
    <cellStyle name="Normal 11 4 12 2" xfId="46114" xr:uid="{00000000-0005-0000-0000-0000F5580000}"/>
    <cellStyle name="Normal 11 4 13" xfId="32552" xr:uid="{00000000-0005-0000-0000-0000F6580000}"/>
    <cellStyle name="Normal 11 4 2" xfId="5244" xr:uid="{00000000-0005-0000-0000-0000F7580000}"/>
    <cellStyle name="Normal 11 4 2 10" xfId="32553" xr:uid="{00000000-0005-0000-0000-0000F8580000}"/>
    <cellStyle name="Normal 11 4 2 2" xfId="5245" xr:uid="{00000000-0005-0000-0000-0000F9580000}"/>
    <cellStyle name="Normal 11 4 2 2 2" xfId="5246" xr:uid="{00000000-0005-0000-0000-0000FA580000}"/>
    <cellStyle name="Normal 11 4 2 2 2 2" xfId="5247" xr:uid="{00000000-0005-0000-0000-0000FB580000}"/>
    <cellStyle name="Normal 11 4 2 2 2 2 2" xfId="8797" xr:uid="{00000000-0005-0000-0000-0000FC580000}"/>
    <cellStyle name="Normal 11 4 2 2 2 2 2 2" xfId="15587" xr:uid="{00000000-0005-0000-0000-0000FD580000}"/>
    <cellStyle name="Normal 11 4 2 2 2 2 2 2 2" xfId="29155" xr:uid="{00000000-0005-0000-0000-0000FE580000}"/>
    <cellStyle name="Normal 11 4 2 2 2 2 2 2 2 2" xfId="56288" xr:uid="{00000000-0005-0000-0000-0000FF580000}"/>
    <cellStyle name="Normal 11 4 2 2 2 2 2 2 3" xfId="42726" xr:uid="{00000000-0005-0000-0000-000000590000}"/>
    <cellStyle name="Normal 11 4 2 2 2 2 2 3" xfId="22374" xr:uid="{00000000-0005-0000-0000-000001590000}"/>
    <cellStyle name="Normal 11 4 2 2 2 2 2 3 2" xfId="49507" xr:uid="{00000000-0005-0000-0000-000002590000}"/>
    <cellStyle name="Normal 11 4 2 2 2 2 2 4" xfId="35945" xr:uid="{00000000-0005-0000-0000-000003590000}"/>
    <cellStyle name="Normal 11 4 2 2 2 2 3" xfId="12198" xr:uid="{00000000-0005-0000-0000-000004590000}"/>
    <cellStyle name="Normal 11 4 2 2 2 2 3 2" xfId="25766" xr:uid="{00000000-0005-0000-0000-000005590000}"/>
    <cellStyle name="Normal 11 4 2 2 2 2 3 2 2" xfId="52899" xr:uid="{00000000-0005-0000-0000-000006590000}"/>
    <cellStyle name="Normal 11 4 2 2 2 2 3 3" xfId="39337" xr:uid="{00000000-0005-0000-0000-000007590000}"/>
    <cellStyle name="Normal 11 4 2 2 2 2 4" xfId="18985" xr:uid="{00000000-0005-0000-0000-000008590000}"/>
    <cellStyle name="Normal 11 4 2 2 2 2 4 2" xfId="46118" xr:uid="{00000000-0005-0000-0000-000009590000}"/>
    <cellStyle name="Normal 11 4 2 2 2 2 5" xfId="32556" xr:uid="{00000000-0005-0000-0000-00000A590000}"/>
    <cellStyle name="Normal 11 4 2 2 2 3" xfId="5248" xr:uid="{00000000-0005-0000-0000-00000B590000}"/>
    <cellStyle name="Normal 11 4 2 2 2 3 2" xfId="8798" xr:uid="{00000000-0005-0000-0000-00000C590000}"/>
    <cellStyle name="Normal 11 4 2 2 2 3 2 2" xfId="15588" xr:uid="{00000000-0005-0000-0000-00000D590000}"/>
    <cellStyle name="Normal 11 4 2 2 2 3 2 2 2" xfId="29156" xr:uid="{00000000-0005-0000-0000-00000E590000}"/>
    <cellStyle name="Normal 11 4 2 2 2 3 2 2 2 2" xfId="56289" xr:uid="{00000000-0005-0000-0000-00000F590000}"/>
    <cellStyle name="Normal 11 4 2 2 2 3 2 2 3" xfId="42727" xr:uid="{00000000-0005-0000-0000-000010590000}"/>
    <cellStyle name="Normal 11 4 2 2 2 3 2 3" xfId="22375" xr:uid="{00000000-0005-0000-0000-000011590000}"/>
    <cellStyle name="Normal 11 4 2 2 2 3 2 3 2" xfId="49508" xr:uid="{00000000-0005-0000-0000-000012590000}"/>
    <cellStyle name="Normal 11 4 2 2 2 3 2 4" xfId="35946" xr:uid="{00000000-0005-0000-0000-000013590000}"/>
    <cellStyle name="Normal 11 4 2 2 2 3 3" xfId="12199" xr:uid="{00000000-0005-0000-0000-000014590000}"/>
    <cellStyle name="Normal 11 4 2 2 2 3 3 2" xfId="25767" xr:uid="{00000000-0005-0000-0000-000015590000}"/>
    <cellStyle name="Normal 11 4 2 2 2 3 3 2 2" xfId="52900" xr:uid="{00000000-0005-0000-0000-000016590000}"/>
    <cellStyle name="Normal 11 4 2 2 2 3 3 3" xfId="39338" xr:uid="{00000000-0005-0000-0000-000017590000}"/>
    <cellStyle name="Normal 11 4 2 2 2 3 4" xfId="18986" xr:uid="{00000000-0005-0000-0000-000018590000}"/>
    <cellStyle name="Normal 11 4 2 2 2 3 4 2" xfId="46119" xr:uid="{00000000-0005-0000-0000-000019590000}"/>
    <cellStyle name="Normal 11 4 2 2 2 3 5" xfId="32557" xr:uid="{00000000-0005-0000-0000-00001A590000}"/>
    <cellStyle name="Normal 11 4 2 2 2 4" xfId="8796" xr:uid="{00000000-0005-0000-0000-00001B590000}"/>
    <cellStyle name="Normal 11 4 2 2 2 4 2" xfId="15586" xr:uid="{00000000-0005-0000-0000-00001C590000}"/>
    <cellStyle name="Normal 11 4 2 2 2 4 2 2" xfId="29154" xr:uid="{00000000-0005-0000-0000-00001D590000}"/>
    <cellStyle name="Normal 11 4 2 2 2 4 2 2 2" xfId="56287" xr:uid="{00000000-0005-0000-0000-00001E590000}"/>
    <cellStyle name="Normal 11 4 2 2 2 4 2 3" xfId="42725" xr:uid="{00000000-0005-0000-0000-00001F590000}"/>
    <cellStyle name="Normal 11 4 2 2 2 4 3" xfId="22373" xr:uid="{00000000-0005-0000-0000-000020590000}"/>
    <cellStyle name="Normal 11 4 2 2 2 4 3 2" xfId="49506" xr:uid="{00000000-0005-0000-0000-000021590000}"/>
    <cellStyle name="Normal 11 4 2 2 2 4 4" xfId="35944" xr:uid="{00000000-0005-0000-0000-000022590000}"/>
    <cellStyle name="Normal 11 4 2 2 2 5" xfId="12197" xr:uid="{00000000-0005-0000-0000-000023590000}"/>
    <cellStyle name="Normal 11 4 2 2 2 5 2" xfId="25765" xr:uid="{00000000-0005-0000-0000-000024590000}"/>
    <cellStyle name="Normal 11 4 2 2 2 5 2 2" xfId="52898" xr:uid="{00000000-0005-0000-0000-000025590000}"/>
    <cellStyle name="Normal 11 4 2 2 2 5 3" xfId="39336" xr:uid="{00000000-0005-0000-0000-000026590000}"/>
    <cellStyle name="Normal 11 4 2 2 2 6" xfId="18984" xr:uid="{00000000-0005-0000-0000-000027590000}"/>
    <cellStyle name="Normal 11 4 2 2 2 6 2" xfId="46117" xr:uid="{00000000-0005-0000-0000-000028590000}"/>
    <cellStyle name="Normal 11 4 2 2 2 7" xfId="32555" xr:uid="{00000000-0005-0000-0000-000029590000}"/>
    <cellStyle name="Normal 11 4 2 2 3" xfId="5249" xr:uid="{00000000-0005-0000-0000-00002A590000}"/>
    <cellStyle name="Normal 11 4 2 2 3 2" xfId="5250" xr:uid="{00000000-0005-0000-0000-00002B590000}"/>
    <cellStyle name="Normal 11 4 2 2 3 2 2" xfId="8800" xr:uid="{00000000-0005-0000-0000-00002C590000}"/>
    <cellStyle name="Normal 11 4 2 2 3 2 2 2" xfId="15590" xr:uid="{00000000-0005-0000-0000-00002D590000}"/>
    <cellStyle name="Normal 11 4 2 2 3 2 2 2 2" xfId="29158" xr:uid="{00000000-0005-0000-0000-00002E590000}"/>
    <cellStyle name="Normal 11 4 2 2 3 2 2 2 2 2" xfId="56291" xr:uid="{00000000-0005-0000-0000-00002F590000}"/>
    <cellStyle name="Normal 11 4 2 2 3 2 2 2 3" xfId="42729" xr:uid="{00000000-0005-0000-0000-000030590000}"/>
    <cellStyle name="Normal 11 4 2 2 3 2 2 3" xfId="22377" xr:uid="{00000000-0005-0000-0000-000031590000}"/>
    <cellStyle name="Normal 11 4 2 2 3 2 2 3 2" xfId="49510" xr:uid="{00000000-0005-0000-0000-000032590000}"/>
    <cellStyle name="Normal 11 4 2 2 3 2 2 4" xfId="35948" xr:uid="{00000000-0005-0000-0000-000033590000}"/>
    <cellStyle name="Normal 11 4 2 2 3 2 3" xfId="12201" xr:uid="{00000000-0005-0000-0000-000034590000}"/>
    <cellStyle name="Normal 11 4 2 2 3 2 3 2" xfId="25769" xr:uid="{00000000-0005-0000-0000-000035590000}"/>
    <cellStyle name="Normal 11 4 2 2 3 2 3 2 2" xfId="52902" xr:uid="{00000000-0005-0000-0000-000036590000}"/>
    <cellStyle name="Normal 11 4 2 2 3 2 3 3" xfId="39340" xr:uid="{00000000-0005-0000-0000-000037590000}"/>
    <cellStyle name="Normal 11 4 2 2 3 2 4" xfId="18988" xr:uid="{00000000-0005-0000-0000-000038590000}"/>
    <cellStyle name="Normal 11 4 2 2 3 2 4 2" xfId="46121" xr:uid="{00000000-0005-0000-0000-000039590000}"/>
    <cellStyle name="Normal 11 4 2 2 3 2 5" xfId="32559" xr:uid="{00000000-0005-0000-0000-00003A590000}"/>
    <cellStyle name="Normal 11 4 2 2 3 3" xfId="8799" xr:uid="{00000000-0005-0000-0000-00003B590000}"/>
    <cellStyle name="Normal 11 4 2 2 3 3 2" xfId="15589" xr:uid="{00000000-0005-0000-0000-00003C590000}"/>
    <cellStyle name="Normal 11 4 2 2 3 3 2 2" xfId="29157" xr:uid="{00000000-0005-0000-0000-00003D590000}"/>
    <cellStyle name="Normal 11 4 2 2 3 3 2 2 2" xfId="56290" xr:uid="{00000000-0005-0000-0000-00003E590000}"/>
    <cellStyle name="Normal 11 4 2 2 3 3 2 3" xfId="42728" xr:uid="{00000000-0005-0000-0000-00003F590000}"/>
    <cellStyle name="Normal 11 4 2 2 3 3 3" xfId="22376" xr:uid="{00000000-0005-0000-0000-000040590000}"/>
    <cellStyle name="Normal 11 4 2 2 3 3 3 2" xfId="49509" xr:uid="{00000000-0005-0000-0000-000041590000}"/>
    <cellStyle name="Normal 11 4 2 2 3 3 4" xfId="35947" xr:uid="{00000000-0005-0000-0000-000042590000}"/>
    <cellStyle name="Normal 11 4 2 2 3 4" xfId="12200" xr:uid="{00000000-0005-0000-0000-000043590000}"/>
    <cellStyle name="Normal 11 4 2 2 3 4 2" xfId="25768" xr:uid="{00000000-0005-0000-0000-000044590000}"/>
    <cellStyle name="Normal 11 4 2 2 3 4 2 2" xfId="52901" xr:uid="{00000000-0005-0000-0000-000045590000}"/>
    <cellStyle name="Normal 11 4 2 2 3 4 3" xfId="39339" xr:uid="{00000000-0005-0000-0000-000046590000}"/>
    <cellStyle name="Normal 11 4 2 2 3 5" xfId="18987" xr:uid="{00000000-0005-0000-0000-000047590000}"/>
    <cellStyle name="Normal 11 4 2 2 3 5 2" xfId="46120" xr:uid="{00000000-0005-0000-0000-000048590000}"/>
    <cellStyle name="Normal 11 4 2 2 3 6" xfId="32558" xr:uid="{00000000-0005-0000-0000-000049590000}"/>
    <cellStyle name="Normal 11 4 2 2 4" xfId="5251" xr:uid="{00000000-0005-0000-0000-00004A590000}"/>
    <cellStyle name="Normal 11 4 2 2 4 2" xfId="8801" xr:uid="{00000000-0005-0000-0000-00004B590000}"/>
    <cellStyle name="Normal 11 4 2 2 4 2 2" xfId="15591" xr:uid="{00000000-0005-0000-0000-00004C590000}"/>
    <cellStyle name="Normal 11 4 2 2 4 2 2 2" xfId="29159" xr:uid="{00000000-0005-0000-0000-00004D590000}"/>
    <cellStyle name="Normal 11 4 2 2 4 2 2 2 2" xfId="56292" xr:uid="{00000000-0005-0000-0000-00004E590000}"/>
    <cellStyle name="Normal 11 4 2 2 4 2 2 3" xfId="42730" xr:uid="{00000000-0005-0000-0000-00004F590000}"/>
    <cellStyle name="Normal 11 4 2 2 4 2 3" xfId="22378" xr:uid="{00000000-0005-0000-0000-000050590000}"/>
    <cellStyle name="Normal 11 4 2 2 4 2 3 2" xfId="49511" xr:uid="{00000000-0005-0000-0000-000051590000}"/>
    <cellStyle name="Normal 11 4 2 2 4 2 4" xfId="35949" xr:uid="{00000000-0005-0000-0000-000052590000}"/>
    <cellStyle name="Normal 11 4 2 2 4 3" xfId="12202" xr:uid="{00000000-0005-0000-0000-000053590000}"/>
    <cellStyle name="Normal 11 4 2 2 4 3 2" xfId="25770" xr:uid="{00000000-0005-0000-0000-000054590000}"/>
    <cellStyle name="Normal 11 4 2 2 4 3 2 2" xfId="52903" xr:uid="{00000000-0005-0000-0000-000055590000}"/>
    <cellStyle name="Normal 11 4 2 2 4 3 3" xfId="39341" xr:uid="{00000000-0005-0000-0000-000056590000}"/>
    <cellStyle name="Normal 11 4 2 2 4 4" xfId="18989" xr:uid="{00000000-0005-0000-0000-000057590000}"/>
    <cellStyle name="Normal 11 4 2 2 4 4 2" xfId="46122" xr:uid="{00000000-0005-0000-0000-000058590000}"/>
    <cellStyle name="Normal 11 4 2 2 4 5" xfId="32560" xr:uid="{00000000-0005-0000-0000-000059590000}"/>
    <cellStyle name="Normal 11 4 2 2 5" xfId="5252" xr:uid="{00000000-0005-0000-0000-00005A590000}"/>
    <cellStyle name="Normal 11 4 2 2 5 2" xfId="8802" xr:uid="{00000000-0005-0000-0000-00005B590000}"/>
    <cellStyle name="Normal 11 4 2 2 5 2 2" xfId="15592" xr:uid="{00000000-0005-0000-0000-00005C590000}"/>
    <cellStyle name="Normal 11 4 2 2 5 2 2 2" xfId="29160" xr:uid="{00000000-0005-0000-0000-00005D590000}"/>
    <cellStyle name="Normal 11 4 2 2 5 2 2 2 2" xfId="56293" xr:uid="{00000000-0005-0000-0000-00005E590000}"/>
    <cellStyle name="Normal 11 4 2 2 5 2 2 3" xfId="42731" xr:uid="{00000000-0005-0000-0000-00005F590000}"/>
    <cellStyle name="Normal 11 4 2 2 5 2 3" xfId="22379" xr:uid="{00000000-0005-0000-0000-000060590000}"/>
    <cellStyle name="Normal 11 4 2 2 5 2 3 2" xfId="49512" xr:uid="{00000000-0005-0000-0000-000061590000}"/>
    <cellStyle name="Normal 11 4 2 2 5 2 4" xfId="35950" xr:uid="{00000000-0005-0000-0000-000062590000}"/>
    <cellStyle name="Normal 11 4 2 2 5 3" xfId="12203" xr:uid="{00000000-0005-0000-0000-000063590000}"/>
    <cellStyle name="Normal 11 4 2 2 5 3 2" xfId="25771" xr:uid="{00000000-0005-0000-0000-000064590000}"/>
    <cellStyle name="Normal 11 4 2 2 5 3 2 2" xfId="52904" xr:uid="{00000000-0005-0000-0000-000065590000}"/>
    <cellStyle name="Normal 11 4 2 2 5 3 3" xfId="39342" xr:uid="{00000000-0005-0000-0000-000066590000}"/>
    <cellStyle name="Normal 11 4 2 2 5 4" xfId="18990" xr:uid="{00000000-0005-0000-0000-000067590000}"/>
    <cellStyle name="Normal 11 4 2 2 5 4 2" xfId="46123" xr:uid="{00000000-0005-0000-0000-000068590000}"/>
    <cellStyle name="Normal 11 4 2 2 5 5" xfId="32561" xr:uid="{00000000-0005-0000-0000-000069590000}"/>
    <cellStyle name="Normal 11 4 2 2 6" xfId="8795" xr:uid="{00000000-0005-0000-0000-00006A590000}"/>
    <cellStyle name="Normal 11 4 2 2 6 2" xfId="15585" xr:uid="{00000000-0005-0000-0000-00006B590000}"/>
    <cellStyle name="Normal 11 4 2 2 6 2 2" xfId="29153" xr:uid="{00000000-0005-0000-0000-00006C590000}"/>
    <cellStyle name="Normal 11 4 2 2 6 2 2 2" xfId="56286" xr:uid="{00000000-0005-0000-0000-00006D590000}"/>
    <cellStyle name="Normal 11 4 2 2 6 2 3" xfId="42724" xr:uid="{00000000-0005-0000-0000-00006E590000}"/>
    <cellStyle name="Normal 11 4 2 2 6 3" xfId="22372" xr:uid="{00000000-0005-0000-0000-00006F590000}"/>
    <cellStyle name="Normal 11 4 2 2 6 3 2" xfId="49505" xr:uid="{00000000-0005-0000-0000-000070590000}"/>
    <cellStyle name="Normal 11 4 2 2 6 4" xfId="35943" xr:uid="{00000000-0005-0000-0000-000071590000}"/>
    <cellStyle name="Normal 11 4 2 2 7" xfId="12196" xr:uid="{00000000-0005-0000-0000-000072590000}"/>
    <cellStyle name="Normal 11 4 2 2 7 2" xfId="25764" xr:uid="{00000000-0005-0000-0000-000073590000}"/>
    <cellStyle name="Normal 11 4 2 2 7 2 2" xfId="52897" xr:uid="{00000000-0005-0000-0000-000074590000}"/>
    <cellStyle name="Normal 11 4 2 2 7 3" xfId="39335" xr:uid="{00000000-0005-0000-0000-000075590000}"/>
    <cellStyle name="Normal 11 4 2 2 8" xfId="18983" xr:uid="{00000000-0005-0000-0000-000076590000}"/>
    <cellStyle name="Normal 11 4 2 2 8 2" xfId="46116" xr:uid="{00000000-0005-0000-0000-000077590000}"/>
    <cellStyle name="Normal 11 4 2 2 9" xfId="32554" xr:uid="{00000000-0005-0000-0000-000078590000}"/>
    <cellStyle name="Normal 11 4 2 3" xfId="5253" xr:uid="{00000000-0005-0000-0000-000079590000}"/>
    <cellStyle name="Normal 11 4 2 3 2" xfId="5254" xr:uid="{00000000-0005-0000-0000-00007A590000}"/>
    <cellStyle name="Normal 11 4 2 3 2 2" xfId="8804" xr:uid="{00000000-0005-0000-0000-00007B590000}"/>
    <cellStyle name="Normal 11 4 2 3 2 2 2" xfId="15594" xr:uid="{00000000-0005-0000-0000-00007C590000}"/>
    <cellStyle name="Normal 11 4 2 3 2 2 2 2" xfId="29162" xr:uid="{00000000-0005-0000-0000-00007D590000}"/>
    <cellStyle name="Normal 11 4 2 3 2 2 2 2 2" xfId="56295" xr:uid="{00000000-0005-0000-0000-00007E590000}"/>
    <cellStyle name="Normal 11 4 2 3 2 2 2 3" xfId="42733" xr:uid="{00000000-0005-0000-0000-00007F590000}"/>
    <cellStyle name="Normal 11 4 2 3 2 2 3" xfId="22381" xr:uid="{00000000-0005-0000-0000-000080590000}"/>
    <cellStyle name="Normal 11 4 2 3 2 2 3 2" xfId="49514" xr:uid="{00000000-0005-0000-0000-000081590000}"/>
    <cellStyle name="Normal 11 4 2 3 2 2 4" xfId="35952" xr:uid="{00000000-0005-0000-0000-000082590000}"/>
    <cellStyle name="Normal 11 4 2 3 2 3" xfId="12205" xr:uid="{00000000-0005-0000-0000-000083590000}"/>
    <cellStyle name="Normal 11 4 2 3 2 3 2" xfId="25773" xr:uid="{00000000-0005-0000-0000-000084590000}"/>
    <cellStyle name="Normal 11 4 2 3 2 3 2 2" xfId="52906" xr:uid="{00000000-0005-0000-0000-000085590000}"/>
    <cellStyle name="Normal 11 4 2 3 2 3 3" xfId="39344" xr:uid="{00000000-0005-0000-0000-000086590000}"/>
    <cellStyle name="Normal 11 4 2 3 2 4" xfId="18992" xr:uid="{00000000-0005-0000-0000-000087590000}"/>
    <cellStyle name="Normal 11 4 2 3 2 4 2" xfId="46125" xr:uid="{00000000-0005-0000-0000-000088590000}"/>
    <cellStyle name="Normal 11 4 2 3 2 5" xfId="32563" xr:uid="{00000000-0005-0000-0000-000089590000}"/>
    <cellStyle name="Normal 11 4 2 3 3" xfId="5255" xr:uid="{00000000-0005-0000-0000-00008A590000}"/>
    <cellStyle name="Normal 11 4 2 3 3 2" xfId="8805" xr:uid="{00000000-0005-0000-0000-00008B590000}"/>
    <cellStyle name="Normal 11 4 2 3 3 2 2" xfId="15595" xr:uid="{00000000-0005-0000-0000-00008C590000}"/>
    <cellStyle name="Normal 11 4 2 3 3 2 2 2" xfId="29163" xr:uid="{00000000-0005-0000-0000-00008D590000}"/>
    <cellStyle name="Normal 11 4 2 3 3 2 2 2 2" xfId="56296" xr:uid="{00000000-0005-0000-0000-00008E590000}"/>
    <cellStyle name="Normal 11 4 2 3 3 2 2 3" xfId="42734" xr:uid="{00000000-0005-0000-0000-00008F590000}"/>
    <cellStyle name="Normal 11 4 2 3 3 2 3" xfId="22382" xr:uid="{00000000-0005-0000-0000-000090590000}"/>
    <cellStyle name="Normal 11 4 2 3 3 2 3 2" xfId="49515" xr:uid="{00000000-0005-0000-0000-000091590000}"/>
    <cellStyle name="Normal 11 4 2 3 3 2 4" xfId="35953" xr:uid="{00000000-0005-0000-0000-000092590000}"/>
    <cellStyle name="Normal 11 4 2 3 3 3" xfId="12206" xr:uid="{00000000-0005-0000-0000-000093590000}"/>
    <cellStyle name="Normal 11 4 2 3 3 3 2" xfId="25774" xr:uid="{00000000-0005-0000-0000-000094590000}"/>
    <cellStyle name="Normal 11 4 2 3 3 3 2 2" xfId="52907" xr:uid="{00000000-0005-0000-0000-000095590000}"/>
    <cellStyle name="Normal 11 4 2 3 3 3 3" xfId="39345" xr:uid="{00000000-0005-0000-0000-000096590000}"/>
    <cellStyle name="Normal 11 4 2 3 3 4" xfId="18993" xr:uid="{00000000-0005-0000-0000-000097590000}"/>
    <cellStyle name="Normal 11 4 2 3 3 4 2" xfId="46126" xr:uid="{00000000-0005-0000-0000-000098590000}"/>
    <cellStyle name="Normal 11 4 2 3 3 5" xfId="32564" xr:uid="{00000000-0005-0000-0000-000099590000}"/>
    <cellStyle name="Normal 11 4 2 3 4" xfId="8803" xr:uid="{00000000-0005-0000-0000-00009A590000}"/>
    <cellStyle name="Normal 11 4 2 3 4 2" xfId="15593" xr:uid="{00000000-0005-0000-0000-00009B590000}"/>
    <cellStyle name="Normal 11 4 2 3 4 2 2" xfId="29161" xr:uid="{00000000-0005-0000-0000-00009C590000}"/>
    <cellStyle name="Normal 11 4 2 3 4 2 2 2" xfId="56294" xr:uid="{00000000-0005-0000-0000-00009D590000}"/>
    <cellStyle name="Normal 11 4 2 3 4 2 3" xfId="42732" xr:uid="{00000000-0005-0000-0000-00009E590000}"/>
    <cellStyle name="Normal 11 4 2 3 4 3" xfId="22380" xr:uid="{00000000-0005-0000-0000-00009F590000}"/>
    <cellStyle name="Normal 11 4 2 3 4 3 2" xfId="49513" xr:uid="{00000000-0005-0000-0000-0000A0590000}"/>
    <cellStyle name="Normal 11 4 2 3 4 4" xfId="35951" xr:uid="{00000000-0005-0000-0000-0000A1590000}"/>
    <cellStyle name="Normal 11 4 2 3 5" xfId="12204" xr:uid="{00000000-0005-0000-0000-0000A2590000}"/>
    <cellStyle name="Normal 11 4 2 3 5 2" xfId="25772" xr:uid="{00000000-0005-0000-0000-0000A3590000}"/>
    <cellStyle name="Normal 11 4 2 3 5 2 2" xfId="52905" xr:uid="{00000000-0005-0000-0000-0000A4590000}"/>
    <cellStyle name="Normal 11 4 2 3 5 3" xfId="39343" xr:uid="{00000000-0005-0000-0000-0000A5590000}"/>
    <cellStyle name="Normal 11 4 2 3 6" xfId="18991" xr:uid="{00000000-0005-0000-0000-0000A6590000}"/>
    <cellStyle name="Normal 11 4 2 3 6 2" xfId="46124" xr:uid="{00000000-0005-0000-0000-0000A7590000}"/>
    <cellStyle name="Normal 11 4 2 3 7" xfId="32562" xr:uid="{00000000-0005-0000-0000-0000A8590000}"/>
    <cellStyle name="Normal 11 4 2 4" xfId="5256" xr:uid="{00000000-0005-0000-0000-0000A9590000}"/>
    <cellStyle name="Normal 11 4 2 4 2" xfId="5257" xr:uid="{00000000-0005-0000-0000-0000AA590000}"/>
    <cellStyle name="Normal 11 4 2 4 2 2" xfId="8807" xr:uid="{00000000-0005-0000-0000-0000AB590000}"/>
    <cellStyle name="Normal 11 4 2 4 2 2 2" xfId="15597" xr:uid="{00000000-0005-0000-0000-0000AC590000}"/>
    <cellStyle name="Normal 11 4 2 4 2 2 2 2" xfId="29165" xr:uid="{00000000-0005-0000-0000-0000AD590000}"/>
    <cellStyle name="Normal 11 4 2 4 2 2 2 2 2" xfId="56298" xr:uid="{00000000-0005-0000-0000-0000AE590000}"/>
    <cellStyle name="Normal 11 4 2 4 2 2 2 3" xfId="42736" xr:uid="{00000000-0005-0000-0000-0000AF590000}"/>
    <cellStyle name="Normal 11 4 2 4 2 2 3" xfId="22384" xr:uid="{00000000-0005-0000-0000-0000B0590000}"/>
    <cellStyle name="Normal 11 4 2 4 2 2 3 2" xfId="49517" xr:uid="{00000000-0005-0000-0000-0000B1590000}"/>
    <cellStyle name="Normal 11 4 2 4 2 2 4" xfId="35955" xr:uid="{00000000-0005-0000-0000-0000B2590000}"/>
    <cellStyle name="Normal 11 4 2 4 2 3" xfId="12208" xr:uid="{00000000-0005-0000-0000-0000B3590000}"/>
    <cellStyle name="Normal 11 4 2 4 2 3 2" xfId="25776" xr:uid="{00000000-0005-0000-0000-0000B4590000}"/>
    <cellStyle name="Normal 11 4 2 4 2 3 2 2" xfId="52909" xr:uid="{00000000-0005-0000-0000-0000B5590000}"/>
    <cellStyle name="Normal 11 4 2 4 2 3 3" xfId="39347" xr:uid="{00000000-0005-0000-0000-0000B6590000}"/>
    <cellStyle name="Normal 11 4 2 4 2 4" xfId="18995" xr:uid="{00000000-0005-0000-0000-0000B7590000}"/>
    <cellStyle name="Normal 11 4 2 4 2 4 2" xfId="46128" xr:uid="{00000000-0005-0000-0000-0000B8590000}"/>
    <cellStyle name="Normal 11 4 2 4 2 5" xfId="32566" xr:uid="{00000000-0005-0000-0000-0000B9590000}"/>
    <cellStyle name="Normal 11 4 2 4 3" xfId="8806" xr:uid="{00000000-0005-0000-0000-0000BA590000}"/>
    <cellStyle name="Normal 11 4 2 4 3 2" xfId="15596" xr:uid="{00000000-0005-0000-0000-0000BB590000}"/>
    <cellStyle name="Normal 11 4 2 4 3 2 2" xfId="29164" xr:uid="{00000000-0005-0000-0000-0000BC590000}"/>
    <cellStyle name="Normal 11 4 2 4 3 2 2 2" xfId="56297" xr:uid="{00000000-0005-0000-0000-0000BD590000}"/>
    <cellStyle name="Normal 11 4 2 4 3 2 3" xfId="42735" xr:uid="{00000000-0005-0000-0000-0000BE590000}"/>
    <cellStyle name="Normal 11 4 2 4 3 3" xfId="22383" xr:uid="{00000000-0005-0000-0000-0000BF590000}"/>
    <cellStyle name="Normal 11 4 2 4 3 3 2" xfId="49516" xr:uid="{00000000-0005-0000-0000-0000C0590000}"/>
    <cellStyle name="Normal 11 4 2 4 3 4" xfId="35954" xr:uid="{00000000-0005-0000-0000-0000C1590000}"/>
    <cellStyle name="Normal 11 4 2 4 4" xfId="12207" xr:uid="{00000000-0005-0000-0000-0000C2590000}"/>
    <cellStyle name="Normal 11 4 2 4 4 2" xfId="25775" xr:uid="{00000000-0005-0000-0000-0000C3590000}"/>
    <cellStyle name="Normal 11 4 2 4 4 2 2" xfId="52908" xr:uid="{00000000-0005-0000-0000-0000C4590000}"/>
    <cellStyle name="Normal 11 4 2 4 4 3" xfId="39346" xr:uid="{00000000-0005-0000-0000-0000C5590000}"/>
    <cellStyle name="Normal 11 4 2 4 5" xfId="18994" xr:uid="{00000000-0005-0000-0000-0000C6590000}"/>
    <cellStyle name="Normal 11 4 2 4 5 2" xfId="46127" xr:uid="{00000000-0005-0000-0000-0000C7590000}"/>
    <cellStyle name="Normal 11 4 2 4 6" xfId="32565" xr:uid="{00000000-0005-0000-0000-0000C8590000}"/>
    <cellStyle name="Normal 11 4 2 5" xfId="5258" xr:uid="{00000000-0005-0000-0000-0000C9590000}"/>
    <cellStyle name="Normal 11 4 2 5 2" xfId="8808" xr:uid="{00000000-0005-0000-0000-0000CA590000}"/>
    <cellStyle name="Normal 11 4 2 5 2 2" xfId="15598" xr:uid="{00000000-0005-0000-0000-0000CB590000}"/>
    <cellStyle name="Normal 11 4 2 5 2 2 2" xfId="29166" xr:uid="{00000000-0005-0000-0000-0000CC590000}"/>
    <cellStyle name="Normal 11 4 2 5 2 2 2 2" xfId="56299" xr:uid="{00000000-0005-0000-0000-0000CD590000}"/>
    <cellStyle name="Normal 11 4 2 5 2 2 3" xfId="42737" xr:uid="{00000000-0005-0000-0000-0000CE590000}"/>
    <cellStyle name="Normal 11 4 2 5 2 3" xfId="22385" xr:uid="{00000000-0005-0000-0000-0000CF590000}"/>
    <cellStyle name="Normal 11 4 2 5 2 3 2" xfId="49518" xr:uid="{00000000-0005-0000-0000-0000D0590000}"/>
    <cellStyle name="Normal 11 4 2 5 2 4" xfId="35956" xr:uid="{00000000-0005-0000-0000-0000D1590000}"/>
    <cellStyle name="Normal 11 4 2 5 3" xfId="12209" xr:uid="{00000000-0005-0000-0000-0000D2590000}"/>
    <cellStyle name="Normal 11 4 2 5 3 2" xfId="25777" xr:uid="{00000000-0005-0000-0000-0000D3590000}"/>
    <cellStyle name="Normal 11 4 2 5 3 2 2" xfId="52910" xr:uid="{00000000-0005-0000-0000-0000D4590000}"/>
    <cellStyle name="Normal 11 4 2 5 3 3" xfId="39348" xr:uid="{00000000-0005-0000-0000-0000D5590000}"/>
    <cellStyle name="Normal 11 4 2 5 4" xfId="18996" xr:uid="{00000000-0005-0000-0000-0000D6590000}"/>
    <cellStyle name="Normal 11 4 2 5 4 2" xfId="46129" xr:uid="{00000000-0005-0000-0000-0000D7590000}"/>
    <cellStyle name="Normal 11 4 2 5 5" xfId="32567" xr:uid="{00000000-0005-0000-0000-0000D8590000}"/>
    <cellStyle name="Normal 11 4 2 6" xfId="5259" xr:uid="{00000000-0005-0000-0000-0000D9590000}"/>
    <cellStyle name="Normal 11 4 2 6 2" xfId="8809" xr:uid="{00000000-0005-0000-0000-0000DA590000}"/>
    <cellStyle name="Normal 11 4 2 6 2 2" xfId="15599" xr:uid="{00000000-0005-0000-0000-0000DB590000}"/>
    <cellStyle name="Normal 11 4 2 6 2 2 2" xfId="29167" xr:uid="{00000000-0005-0000-0000-0000DC590000}"/>
    <cellStyle name="Normal 11 4 2 6 2 2 2 2" xfId="56300" xr:uid="{00000000-0005-0000-0000-0000DD590000}"/>
    <cellStyle name="Normal 11 4 2 6 2 2 3" xfId="42738" xr:uid="{00000000-0005-0000-0000-0000DE590000}"/>
    <cellStyle name="Normal 11 4 2 6 2 3" xfId="22386" xr:uid="{00000000-0005-0000-0000-0000DF590000}"/>
    <cellStyle name="Normal 11 4 2 6 2 3 2" xfId="49519" xr:uid="{00000000-0005-0000-0000-0000E0590000}"/>
    <cellStyle name="Normal 11 4 2 6 2 4" xfId="35957" xr:uid="{00000000-0005-0000-0000-0000E1590000}"/>
    <cellStyle name="Normal 11 4 2 6 3" xfId="12210" xr:uid="{00000000-0005-0000-0000-0000E2590000}"/>
    <cellStyle name="Normal 11 4 2 6 3 2" xfId="25778" xr:uid="{00000000-0005-0000-0000-0000E3590000}"/>
    <cellStyle name="Normal 11 4 2 6 3 2 2" xfId="52911" xr:uid="{00000000-0005-0000-0000-0000E4590000}"/>
    <cellStyle name="Normal 11 4 2 6 3 3" xfId="39349" xr:uid="{00000000-0005-0000-0000-0000E5590000}"/>
    <cellStyle name="Normal 11 4 2 6 4" xfId="18997" xr:uid="{00000000-0005-0000-0000-0000E6590000}"/>
    <cellStyle name="Normal 11 4 2 6 4 2" xfId="46130" xr:uid="{00000000-0005-0000-0000-0000E7590000}"/>
    <cellStyle name="Normal 11 4 2 6 5" xfId="32568" xr:uid="{00000000-0005-0000-0000-0000E8590000}"/>
    <cellStyle name="Normal 11 4 2 7" xfId="8794" xr:uid="{00000000-0005-0000-0000-0000E9590000}"/>
    <cellStyle name="Normal 11 4 2 7 2" xfId="15584" xr:uid="{00000000-0005-0000-0000-0000EA590000}"/>
    <cellStyle name="Normal 11 4 2 7 2 2" xfId="29152" xr:uid="{00000000-0005-0000-0000-0000EB590000}"/>
    <cellStyle name="Normal 11 4 2 7 2 2 2" xfId="56285" xr:uid="{00000000-0005-0000-0000-0000EC590000}"/>
    <cellStyle name="Normal 11 4 2 7 2 3" xfId="42723" xr:uid="{00000000-0005-0000-0000-0000ED590000}"/>
    <cellStyle name="Normal 11 4 2 7 3" xfId="22371" xr:uid="{00000000-0005-0000-0000-0000EE590000}"/>
    <cellStyle name="Normal 11 4 2 7 3 2" xfId="49504" xr:uid="{00000000-0005-0000-0000-0000EF590000}"/>
    <cellStyle name="Normal 11 4 2 7 4" xfId="35942" xr:uid="{00000000-0005-0000-0000-0000F0590000}"/>
    <cellStyle name="Normal 11 4 2 8" xfId="12195" xr:uid="{00000000-0005-0000-0000-0000F1590000}"/>
    <cellStyle name="Normal 11 4 2 8 2" xfId="25763" xr:uid="{00000000-0005-0000-0000-0000F2590000}"/>
    <cellStyle name="Normal 11 4 2 8 2 2" xfId="52896" xr:uid="{00000000-0005-0000-0000-0000F3590000}"/>
    <cellStyle name="Normal 11 4 2 8 3" xfId="39334" xr:uid="{00000000-0005-0000-0000-0000F4590000}"/>
    <cellStyle name="Normal 11 4 2 9" xfId="18982" xr:uid="{00000000-0005-0000-0000-0000F5590000}"/>
    <cellStyle name="Normal 11 4 2 9 2" xfId="46115" xr:uid="{00000000-0005-0000-0000-0000F6590000}"/>
    <cellStyle name="Normal 11 4 3" xfId="5260" xr:uid="{00000000-0005-0000-0000-0000F7590000}"/>
    <cellStyle name="Normal 11 4 3 2" xfId="5261" xr:uid="{00000000-0005-0000-0000-0000F8590000}"/>
    <cellStyle name="Normal 11 4 3 2 2" xfId="5262" xr:uid="{00000000-0005-0000-0000-0000F9590000}"/>
    <cellStyle name="Normal 11 4 3 2 2 2" xfId="8812" xr:uid="{00000000-0005-0000-0000-0000FA590000}"/>
    <cellStyle name="Normal 11 4 3 2 2 2 2" xfId="15602" xr:uid="{00000000-0005-0000-0000-0000FB590000}"/>
    <cellStyle name="Normal 11 4 3 2 2 2 2 2" xfId="29170" xr:uid="{00000000-0005-0000-0000-0000FC590000}"/>
    <cellStyle name="Normal 11 4 3 2 2 2 2 2 2" xfId="56303" xr:uid="{00000000-0005-0000-0000-0000FD590000}"/>
    <cellStyle name="Normal 11 4 3 2 2 2 2 3" xfId="42741" xr:uid="{00000000-0005-0000-0000-0000FE590000}"/>
    <cellStyle name="Normal 11 4 3 2 2 2 3" xfId="22389" xr:uid="{00000000-0005-0000-0000-0000FF590000}"/>
    <cellStyle name="Normal 11 4 3 2 2 2 3 2" xfId="49522" xr:uid="{00000000-0005-0000-0000-0000005A0000}"/>
    <cellStyle name="Normal 11 4 3 2 2 2 4" xfId="35960" xr:uid="{00000000-0005-0000-0000-0000015A0000}"/>
    <cellStyle name="Normal 11 4 3 2 2 3" xfId="12213" xr:uid="{00000000-0005-0000-0000-0000025A0000}"/>
    <cellStyle name="Normal 11 4 3 2 2 3 2" xfId="25781" xr:uid="{00000000-0005-0000-0000-0000035A0000}"/>
    <cellStyle name="Normal 11 4 3 2 2 3 2 2" xfId="52914" xr:uid="{00000000-0005-0000-0000-0000045A0000}"/>
    <cellStyle name="Normal 11 4 3 2 2 3 3" xfId="39352" xr:uid="{00000000-0005-0000-0000-0000055A0000}"/>
    <cellStyle name="Normal 11 4 3 2 2 4" xfId="19000" xr:uid="{00000000-0005-0000-0000-0000065A0000}"/>
    <cellStyle name="Normal 11 4 3 2 2 4 2" xfId="46133" xr:uid="{00000000-0005-0000-0000-0000075A0000}"/>
    <cellStyle name="Normal 11 4 3 2 2 5" xfId="32571" xr:uid="{00000000-0005-0000-0000-0000085A0000}"/>
    <cellStyle name="Normal 11 4 3 2 3" xfId="5263" xr:uid="{00000000-0005-0000-0000-0000095A0000}"/>
    <cellStyle name="Normal 11 4 3 2 3 2" xfId="8813" xr:uid="{00000000-0005-0000-0000-00000A5A0000}"/>
    <cellStyle name="Normal 11 4 3 2 3 2 2" xfId="15603" xr:uid="{00000000-0005-0000-0000-00000B5A0000}"/>
    <cellStyle name="Normal 11 4 3 2 3 2 2 2" xfId="29171" xr:uid="{00000000-0005-0000-0000-00000C5A0000}"/>
    <cellStyle name="Normal 11 4 3 2 3 2 2 2 2" xfId="56304" xr:uid="{00000000-0005-0000-0000-00000D5A0000}"/>
    <cellStyle name="Normal 11 4 3 2 3 2 2 3" xfId="42742" xr:uid="{00000000-0005-0000-0000-00000E5A0000}"/>
    <cellStyle name="Normal 11 4 3 2 3 2 3" xfId="22390" xr:uid="{00000000-0005-0000-0000-00000F5A0000}"/>
    <cellStyle name="Normal 11 4 3 2 3 2 3 2" xfId="49523" xr:uid="{00000000-0005-0000-0000-0000105A0000}"/>
    <cellStyle name="Normal 11 4 3 2 3 2 4" xfId="35961" xr:uid="{00000000-0005-0000-0000-0000115A0000}"/>
    <cellStyle name="Normal 11 4 3 2 3 3" xfId="12214" xr:uid="{00000000-0005-0000-0000-0000125A0000}"/>
    <cellStyle name="Normal 11 4 3 2 3 3 2" xfId="25782" xr:uid="{00000000-0005-0000-0000-0000135A0000}"/>
    <cellStyle name="Normal 11 4 3 2 3 3 2 2" xfId="52915" xr:uid="{00000000-0005-0000-0000-0000145A0000}"/>
    <cellStyle name="Normal 11 4 3 2 3 3 3" xfId="39353" xr:uid="{00000000-0005-0000-0000-0000155A0000}"/>
    <cellStyle name="Normal 11 4 3 2 3 4" xfId="19001" xr:uid="{00000000-0005-0000-0000-0000165A0000}"/>
    <cellStyle name="Normal 11 4 3 2 3 4 2" xfId="46134" xr:uid="{00000000-0005-0000-0000-0000175A0000}"/>
    <cellStyle name="Normal 11 4 3 2 3 5" xfId="32572" xr:uid="{00000000-0005-0000-0000-0000185A0000}"/>
    <cellStyle name="Normal 11 4 3 2 4" xfId="8811" xr:uid="{00000000-0005-0000-0000-0000195A0000}"/>
    <cellStyle name="Normal 11 4 3 2 4 2" xfId="15601" xr:uid="{00000000-0005-0000-0000-00001A5A0000}"/>
    <cellStyle name="Normal 11 4 3 2 4 2 2" xfId="29169" xr:uid="{00000000-0005-0000-0000-00001B5A0000}"/>
    <cellStyle name="Normal 11 4 3 2 4 2 2 2" xfId="56302" xr:uid="{00000000-0005-0000-0000-00001C5A0000}"/>
    <cellStyle name="Normal 11 4 3 2 4 2 3" xfId="42740" xr:uid="{00000000-0005-0000-0000-00001D5A0000}"/>
    <cellStyle name="Normal 11 4 3 2 4 3" xfId="22388" xr:uid="{00000000-0005-0000-0000-00001E5A0000}"/>
    <cellStyle name="Normal 11 4 3 2 4 3 2" xfId="49521" xr:uid="{00000000-0005-0000-0000-00001F5A0000}"/>
    <cellStyle name="Normal 11 4 3 2 4 4" xfId="35959" xr:uid="{00000000-0005-0000-0000-0000205A0000}"/>
    <cellStyle name="Normal 11 4 3 2 5" xfId="12212" xr:uid="{00000000-0005-0000-0000-0000215A0000}"/>
    <cellStyle name="Normal 11 4 3 2 5 2" xfId="25780" xr:uid="{00000000-0005-0000-0000-0000225A0000}"/>
    <cellStyle name="Normal 11 4 3 2 5 2 2" xfId="52913" xr:uid="{00000000-0005-0000-0000-0000235A0000}"/>
    <cellStyle name="Normal 11 4 3 2 5 3" xfId="39351" xr:uid="{00000000-0005-0000-0000-0000245A0000}"/>
    <cellStyle name="Normal 11 4 3 2 6" xfId="18999" xr:uid="{00000000-0005-0000-0000-0000255A0000}"/>
    <cellStyle name="Normal 11 4 3 2 6 2" xfId="46132" xr:uid="{00000000-0005-0000-0000-0000265A0000}"/>
    <cellStyle name="Normal 11 4 3 2 7" xfId="32570" xr:uid="{00000000-0005-0000-0000-0000275A0000}"/>
    <cellStyle name="Normal 11 4 3 3" xfId="5264" xr:uid="{00000000-0005-0000-0000-0000285A0000}"/>
    <cellStyle name="Normal 11 4 3 3 2" xfId="5265" xr:uid="{00000000-0005-0000-0000-0000295A0000}"/>
    <cellStyle name="Normal 11 4 3 3 2 2" xfId="8815" xr:uid="{00000000-0005-0000-0000-00002A5A0000}"/>
    <cellStyle name="Normal 11 4 3 3 2 2 2" xfId="15605" xr:uid="{00000000-0005-0000-0000-00002B5A0000}"/>
    <cellStyle name="Normal 11 4 3 3 2 2 2 2" xfId="29173" xr:uid="{00000000-0005-0000-0000-00002C5A0000}"/>
    <cellStyle name="Normal 11 4 3 3 2 2 2 2 2" xfId="56306" xr:uid="{00000000-0005-0000-0000-00002D5A0000}"/>
    <cellStyle name="Normal 11 4 3 3 2 2 2 3" xfId="42744" xr:uid="{00000000-0005-0000-0000-00002E5A0000}"/>
    <cellStyle name="Normal 11 4 3 3 2 2 3" xfId="22392" xr:uid="{00000000-0005-0000-0000-00002F5A0000}"/>
    <cellStyle name="Normal 11 4 3 3 2 2 3 2" xfId="49525" xr:uid="{00000000-0005-0000-0000-0000305A0000}"/>
    <cellStyle name="Normal 11 4 3 3 2 2 4" xfId="35963" xr:uid="{00000000-0005-0000-0000-0000315A0000}"/>
    <cellStyle name="Normal 11 4 3 3 2 3" xfId="12216" xr:uid="{00000000-0005-0000-0000-0000325A0000}"/>
    <cellStyle name="Normal 11 4 3 3 2 3 2" xfId="25784" xr:uid="{00000000-0005-0000-0000-0000335A0000}"/>
    <cellStyle name="Normal 11 4 3 3 2 3 2 2" xfId="52917" xr:uid="{00000000-0005-0000-0000-0000345A0000}"/>
    <cellStyle name="Normal 11 4 3 3 2 3 3" xfId="39355" xr:uid="{00000000-0005-0000-0000-0000355A0000}"/>
    <cellStyle name="Normal 11 4 3 3 2 4" xfId="19003" xr:uid="{00000000-0005-0000-0000-0000365A0000}"/>
    <cellStyle name="Normal 11 4 3 3 2 4 2" xfId="46136" xr:uid="{00000000-0005-0000-0000-0000375A0000}"/>
    <cellStyle name="Normal 11 4 3 3 2 5" xfId="32574" xr:uid="{00000000-0005-0000-0000-0000385A0000}"/>
    <cellStyle name="Normal 11 4 3 3 3" xfId="8814" xr:uid="{00000000-0005-0000-0000-0000395A0000}"/>
    <cellStyle name="Normal 11 4 3 3 3 2" xfId="15604" xr:uid="{00000000-0005-0000-0000-00003A5A0000}"/>
    <cellStyle name="Normal 11 4 3 3 3 2 2" xfId="29172" xr:uid="{00000000-0005-0000-0000-00003B5A0000}"/>
    <cellStyle name="Normal 11 4 3 3 3 2 2 2" xfId="56305" xr:uid="{00000000-0005-0000-0000-00003C5A0000}"/>
    <cellStyle name="Normal 11 4 3 3 3 2 3" xfId="42743" xr:uid="{00000000-0005-0000-0000-00003D5A0000}"/>
    <cellStyle name="Normal 11 4 3 3 3 3" xfId="22391" xr:uid="{00000000-0005-0000-0000-00003E5A0000}"/>
    <cellStyle name="Normal 11 4 3 3 3 3 2" xfId="49524" xr:uid="{00000000-0005-0000-0000-00003F5A0000}"/>
    <cellStyle name="Normal 11 4 3 3 3 4" xfId="35962" xr:uid="{00000000-0005-0000-0000-0000405A0000}"/>
    <cellStyle name="Normal 11 4 3 3 4" xfId="12215" xr:uid="{00000000-0005-0000-0000-0000415A0000}"/>
    <cellStyle name="Normal 11 4 3 3 4 2" xfId="25783" xr:uid="{00000000-0005-0000-0000-0000425A0000}"/>
    <cellStyle name="Normal 11 4 3 3 4 2 2" xfId="52916" xr:uid="{00000000-0005-0000-0000-0000435A0000}"/>
    <cellStyle name="Normal 11 4 3 3 4 3" xfId="39354" xr:uid="{00000000-0005-0000-0000-0000445A0000}"/>
    <cellStyle name="Normal 11 4 3 3 5" xfId="19002" xr:uid="{00000000-0005-0000-0000-0000455A0000}"/>
    <cellStyle name="Normal 11 4 3 3 5 2" xfId="46135" xr:uid="{00000000-0005-0000-0000-0000465A0000}"/>
    <cellStyle name="Normal 11 4 3 3 6" xfId="32573" xr:uid="{00000000-0005-0000-0000-0000475A0000}"/>
    <cellStyle name="Normal 11 4 3 4" xfId="5266" xr:uid="{00000000-0005-0000-0000-0000485A0000}"/>
    <cellStyle name="Normal 11 4 3 4 2" xfId="8816" xr:uid="{00000000-0005-0000-0000-0000495A0000}"/>
    <cellStyle name="Normal 11 4 3 4 2 2" xfId="15606" xr:uid="{00000000-0005-0000-0000-00004A5A0000}"/>
    <cellStyle name="Normal 11 4 3 4 2 2 2" xfId="29174" xr:uid="{00000000-0005-0000-0000-00004B5A0000}"/>
    <cellStyle name="Normal 11 4 3 4 2 2 2 2" xfId="56307" xr:uid="{00000000-0005-0000-0000-00004C5A0000}"/>
    <cellStyle name="Normal 11 4 3 4 2 2 3" xfId="42745" xr:uid="{00000000-0005-0000-0000-00004D5A0000}"/>
    <cellStyle name="Normal 11 4 3 4 2 3" xfId="22393" xr:uid="{00000000-0005-0000-0000-00004E5A0000}"/>
    <cellStyle name="Normal 11 4 3 4 2 3 2" xfId="49526" xr:uid="{00000000-0005-0000-0000-00004F5A0000}"/>
    <cellStyle name="Normal 11 4 3 4 2 4" xfId="35964" xr:uid="{00000000-0005-0000-0000-0000505A0000}"/>
    <cellStyle name="Normal 11 4 3 4 3" xfId="12217" xr:uid="{00000000-0005-0000-0000-0000515A0000}"/>
    <cellStyle name="Normal 11 4 3 4 3 2" xfId="25785" xr:uid="{00000000-0005-0000-0000-0000525A0000}"/>
    <cellStyle name="Normal 11 4 3 4 3 2 2" xfId="52918" xr:uid="{00000000-0005-0000-0000-0000535A0000}"/>
    <cellStyle name="Normal 11 4 3 4 3 3" xfId="39356" xr:uid="{00000000-0005-0000-0000-0000545A0000}"/>
    <cellStyle name="Normal 11 4 3 4 4" xfId="19004" xr:uid="{00000000-0005-0000-0000-0000555A0000}"/>
    <cellStyle name="Normal 11 4 3 4 4 2" xfId="46137" xr:uid="{00000000-0005-0000-0000-0000565A0000}"/>
    <cellStyle name="Normal 11 4 3 4 5" xfId="32575" xr:uid="{00000000-0005-0000-0000-0000575A0000}"/>
    <cellStyle name="Normal 11 4 3 5" xfId="5267" xr:uid="{00000000-0005-0000-0000-0000585A0000}"/>
    <cellStyle name="Normal 11 4 3 5 2" xfId="8817" xr:uid="{00000000-0005-0000-0000-0000595A0000}"/>
    <cellStyle name="Normal 11 4 3 5 2 2" xfId="15607" xr:uid="{00000000-0005-0000-0000-00005A5A0000}"/>
    <cellStyle name="Normal 11 4 3 5 2 2 2" xfId="29175" xr:uid="{00000000-0005-0000-0000-00005B5A0000}"/>
    <cellStyle name="Normal 11 4 3 5 2 2 2 2" xfId="56308" xr:uid="{00000000-0005-0000-0000-00005C5A0000}"/>
    <cellStyle name="Normal 11 4 3 5 2 2 3" xfId="42746" xr:uid="{00000000-0005-0000-0000-00005D5A0000}"/>
    <cellStyle name="Normal 11 4 3 5 2 3" xfId="22394" xr:uid="{00000000-0005-0000-0000-00005E5A0000}"/>
    <cellStyle name="Normal 11 4 3 5 2 3 2" xfId="49527" xr:uid="{00000000-0005-0000-0000-00005F5A0000}"/>
    <cellStyle name="Normal 11 4 3 5 2 4" xfId="35965" xr:uid="{00000000-0005-0000-0000-0000605A0000}"/>
    <cellStyle name="Normal 11 4 3 5 3" xfId="12218" xr:uid="{00000000-0005-0000-0000-0000615A0000}"/>
    <cellStyle name="Normal 11 4 3 5 3 2" xfId="25786" xr:uid="{00000000-0005-0000-0000-0000625A0000}"/>
    <cellStyle name="Normal 11 4 3 5 3 2 2" xfId="52919" xr:uid="{00000000-0005-0000-0000-0000635A0000}"/>
    <cellStyle name="Normal 11 4 3 5 3 3" xfId="39357" xr:uid="{00000000-0005-0000-0000-0000645A0000}"/>
    <cellStyle name="Normal 11 4 3 5 4" xfId="19005" xr:uid="{00000000-0005-0000-0000-0000655A0000}"/>
    <cellStyle name="Normal 11 4 3 5 4 2" xfId="46138" xr:uid="{00000000-0005-0000-0000-0000665A0000}"/>
    <cellStyle name="Normal 11 4 3 5 5" xfId="32576" xr:uid="{00000000-0005-0000-0000-0000675A0000}"/>
    <cellStyle name="Normal 11 4 3 6" xfId="8810" xr:uid="{00000000-0005-0000-0000-0000685A0000}"/>
    <cellStyle name="Normal 11 4 3 6 2" xfId="15600" xr:uid="{00000000-0005-0000-0000-0000695A0000}"/>
    <cellStyle name="Normal 11 4 3 6 2 2" xfId="29168" xr:uid="{00000000-0005-0000-0000-00006A5A0000}"/>
    <cellStyle name="Normal 11 4 3 6 2 2 2" xfId="56301" xr:uid="{00000000-0005-0000-0000-00006B5A0000}"/>
    <cellStyle name="Normal 11 4 3 6 2 3" xfId="42739" xr:uid="{00000000-0005-0000-0000-00006C5A0000}"/>
    <cellStyle name="Normal 11 4 3 6 3" xfId="22387" xr:uid="{00000000-0005-0000-0000-00006D5A0000}"/>
    <cellStyle name="Normal 11 4 3 6 3 2" xfId="49520" xr:uid="{00000000-0005-0000-0000-00006E5A0000}"/>
    <cellStyle name="Normal 11 4 3 6 4" xfId="35958" xr:uid="{00000000-0005-0000-0000-00006F5A0000}"/>
    <cellStyle name="Normal 11 4 3 7" xfId="12211" xr:uid="{00000000-0005-0000-0000-0000705A0000}"/>
    <cellStyle name="Normal 11 4 3 7 2" xfId="25779" xr:uid="{00000000-0005-0000-0000-0000715A0000}"/>
    <cellStyle name="Normal 11 4 3 7 2 2" xfId="52912" xr:uid="{00000000-0005-0000-0000-0000725A0000}"/>
    <cellStyle name="Normal 11 4 3 7 3" xfId="39350" xr:uid="{00000000-0005-0000-0000-0000735A0000}"/>
    <cellStyle name="Normal 11 4 3 8" xfId="18998" xr:uid="{00000000-0005-0000-0000-0000745A0000}"/>
    <cellStyle name="Normal 11 4 3 8 2" xfId="46131" xr:uid="{00000000-0005-0000-0000-0000755A0000}"/>
    <cellStyle name="Normal 11 4 3 9" xfId="32569" xr:uid="{00000000-0005-0000-0000-0000765A0000}"/>
    <cellStyle name="Normal 11 4 4" xfId="5268" xr:uid="{00000000-0005-0000-0000-0000775A0000}"/>
    <cellStyle name="Normal 11 4 4 2" xfId="5269" xr:uid="{00000000-0005-0000-0000-0000785A0000}"/>
    <cellStyle name="Normal 11 4 4 2 2" xfId="5270" xr:uid="{00000000-0005-0000-0000-0000795A0000}"/>
    <cellStyle name="Normal 11 4 4 2 2 2" xfId="8820" xr:uid="{00000000-0005-0000-0000-00007A5A0000}"/>
    <cellStyle name="Normal 11 4 4 2 2 2 2" xfId="15610" xr:uid="{00000000-0005-0000-0000-00007B5A0000}"/>
    <cellStyle name="Normal 11 4 4 2 2 2 2 2" xfId="29178" xr:uid="{00000000-0005-0000-0000-00007C5A0000}"/>
    <cellStyle name="Normal 11 4 4 2 2 2 2 2 2" xfId="56311" xr:uid="{00000000-0005-0000-0000-00007D5A0000}"/>
    <cellStyle name="Normal 11 4 4 2 2 2 2 3" xfId="42749" xr:uid="{00000000-0005-0000-0000-00007E5A0000}"/>
    <cellStyle name="Normal 11 4 4 2 2 2 3" xfId="22397" xr:uid="{00000000-0005-0000-0000-00007F5A0000}"/>
    <cellStyle name="Normal 11 4 4 2 2 2 3 2" xfId="49530" xr:uid="{00000000-0005-0000-0000-0000805A0000}"/>
    <cellStyle name="Normal 11 4 4 2 2 2 4" xfId="35968" xr:uid="{00000000-0005-0000-0000-0000815A0000}"/>
    <cellStyle name="Normal 11 4 4 2 2 3" xfId="12221" xr:uid="{00000000-0005-0000-0000-0000825A0000}"/>
    <cellStyle name="Normal 11 4 4 2 2 3 2" xfId="25789" xr:uid="{00000000-0005-0000-0000-0000835A0000}"/>
    <cellStyle name="Normal 11 4 4 2 2 3 2 2" xfId="52922" xr:uid="{00000000-0005-0000-0000-0000845A0000}"/>
    <cellStyle name="Normal 11 4 4 2 2 3 3" xfId="39360" xr:uid="{00000000-0005-0000-0000-0000855A0000}"/>
    <cellStyle name="Normal 11 4 4 2 2 4" xfId="19008" xr:uid="{00000000-0005-0000-0000-0000865A0000}"/>
    <cellStyle name="Normal 11 4 4 2 2 4 2" xfId="46141" xr:uid="{00000000-0005-0000-0000-0000875A0000}"/>
    <cellStyle name="Normal 11 4 4 2 2 5" xfId="32579" xr:uid="{00000000-0005-0000-0000-0000885A0000}"/>
    <cellStyle name="Normal 11 4 4 2 3" xfId="5271" xr:uid="{00000000-0005-0000-0000-0000895A0000}"/>
    <cellStyle name="Normal 11 4 4 2 3 2" xfId="8821" xr:uid="{00000000-0005-0000-0000-00008A5A0000}"/>
    <cellStyle name="Normal 11 4 4 2 3 2 2" xfId="15611" xr:uid="{00000000-0005-0000-0000-00008B5A0000}"/>
    <cellStyle name="Normal 11 4 4 2 3 2 2 2" xfId="29179" xr:uid="{00000000-0005-0000-0000-00008C5A0000}"/>
    <cellStyle name="Normal 11 4 4 2 3 2 2 2 2" xfId="56312" xr:uid="{00000000-0005-0000-0000-00008D5A0000}"/>
    <cellStyle name="Normal 11 4 4 2 3 2 2 3" xfId="42750" xr:uid="{00000000-0005-0000-0000-00008E5A0000}"/>
    <cellStyle name="Normal 11 4 4 2 3 2 3" xfId="22398" xr:uid="{00000000-0005-0000-0000-00008F5A0000}"/>
    <cellStyle name="Normal 11 4 4 2 3 2 3 2" xfId="49531" xr:uid="{00000000-0005-0000-0000-0000905A0000}"/>
    <cellStyle name="Normal 11 4 4 2 3 2 4" xfId="35969" xr:uid="{00000000-0005-0000-0000-0000915A0000}"/>
    <cellStyle name="Normal 11 4 4 2 3 3" xfId="12222" xr:uid="{00000000-0005-0000-0000-0000925A0000}"/>
    <cellStyle name="Normal 11 4 4 2 3 3 2" xfId="25790" xr:uid="{00000000-0005-0000-0000-0000935A0000}"/>
    <cellStyle name="Normal 11 4 4 2 3 3 2 2" xfId="52923" xr:uid="{00000000-0005-0000-0000-0000945A0000}"/>
    <cellStyle name="Normal 11 4 4 2 3 3 3" xfId="39361" xr:uid="{00000000-0005-0000-0000-0000955A0000}"/>
    <cellStyle name="Normal 11 4 4 2 3 4" xfId="19009" xr:uid="{00000000-0005-0000-0000-0000965A0000}"/>
    <cellStyle name="Normal 11 4 4 2 3 4 2" xfId="46142" xr:uid="{00000000-0005-0000-0000-0000975A0000}"/>
    <cellStyle name="Normal 11 4 4 2 3 5" xfId="32580" xr:uid="{00000000-0005-0000-0000-0000985A0000}"/>
    <cellStyle name="Normal 11 4 4 2 4" xfId="8819" xr:uid="{00000000-0005-0000-0000-0000995A0000}"/>
    <cellStyle name="Normal 11 4 4 2 4 2" xfId="15609" xr:uid="{00000000-0005-0000-0000-00009A5A0000}"/>
    <cellStyle name="Normal 11 4 4 2 4 2 2" xfId="29177" xr:uid="{00000000-0005-0000-0000-00009B5A0000}"/>
    <cellStyle name="Normal 11 4 4 2 4 2 2 2" xfId="56310" xr:uid="{00000000-0005-0000-0000-00009C5A0000}"/>
    <cellStyle name="Normal 11 4 4 2 4 2 3" xfId="42748" xr:uid="{00000000-0005-0000-0000-00009D5A0000}"/>
    <cellStyle name="Normal 11 4 4 2 4 3" xfId="22396" xr:uid="{00000000-0005-0000-0000-00009E5A0000}"/>
    <cellStyle name="Normal 11 4 4 2 4 3 2" xfId="49529" xr:uid="{00000000-0005-0000-0000-00009F5A0000}"/>
    <cellStyle name="Normal 11 4 4 2 4 4" xfId="35967" xr:uid="{00000000-0005-0000-0000-0000A05A0000}"/>
    <cellStyle name="Normal 11 4 4 2 5" xfId="12220" xr:uid="{00000000-0005-0000-0000-0000A15A0000}"/>
    <cellStyle name="Normal 11 4 4 2 5 2" xfId="25788" xr:uid="{00000000-0005-0000-0000-0000A25A0000}"/>
    <cellStyle name="Normal 11 4 4 2 5 2 2" xfId="52921" xr:uid="{00000000-0005-0000-0000-0000A35A0000}"/>
    <cellStyle name="Normal 11 4 4 2 5 3" xfId="39359" xr:uid="{00000000-0005-0000-0000-0000A45A0000}"/>
    <cellStyle name="Normal 11 4 4 2 6" xfId="19007" xr:uid="{00000000-0005-0000-0000-0000A55A0000}"/>
    <cellStyle name="Normal 11 4 4 2 6 2" xfId="46140" xr:uid="{00000000-0005-0000-0000-0000A65A0000}"/>
    <cellStyle name="Normal 11 4 4 2 7" xfId="32578" xr:uid="{00000000-0005-0000-0000-0000A75A0000}"/>
    <cellStyle name="Normal 11 4 4 3" xfId="5272" xr:uid="{00000000-0005-0000-0000-0000A85A0000}"/>
    <cellStyle name="Normal 11 4 4 3 2" xfId="8822" xr:uid="{00000000-0005-0000-0000-0000A95A0000}"/>
    <cellStyle name="Normal 11 4 4 3 2 2" xfId="15612" xr:uid="{00000000-0005-0000-0000-0000AA5A0000}"/>
    <cellStyle name="Normal 11 4 4 3 2 2 2" xfId="29180" xr:uid="{00000000-0005-0000-0000-0000AB5A0000}"/>
    <cellStyle name="Normal 11 4 4 3 2 2 2 2" xfId="56313" xr:uid="{00000000-0005-0000-0000-0000AC5A0000}"/>
    <cellStyle name="Normal 11 4 4 3 2 2 3" xfId="42751" xr:uid="{00000000-0005-0000-0000-0000AD5A0000}"/>
    <cellStyle name="Normal 11 4 4 3 2 3" xfId="22399" xr:uid="{00000000-0005-0000-0000-0000AE5A0000}"/>
    <cellStyle name="Normal 11 4 4 3 2 3 2" xfId="49532" xr:uid="{00000000-0005-0000-0000-0000AF5A0000}"/>
    <cellStyle name="Normal 11 4 4 3 2 4" xfId="35970" xr:uid="{00000000-0005-0000-0000-0000B05A0000}"/>
    <cellStyle name="Normal 11 4 4 3 3" xfId="12223" xr:uid="{00000000-0005-0000-0000-0000B15A0000}"/>
    <cellStyle name="Normal 11 4 4 3 3 2" xfId="25791" xr:uid="{00000000-0005-0000-0000-0000B25A0000}"/>
    <cellStyle name="Normal 11 4 4 3 3 2 2" xfId="52924" xr:uid="{00000000-0005-0000-0000-0000B35A0000}"/>
    <cellStyle name="Normal 11 4 4 3 3 3" xfId="39362" xr:uid="{00000000-0005-0000-0000-0000B45A0000}"/>
    <cellStyle name="Normal 11 4 4 3 4" xfId="19010" xr:uid="{00000000-0005-0000-0000-0000B55A0000}"/>
    <cellStyle name="Normal 11 4 4 3 4 2" xfId="46143" xr:uid="{00000000-0005-0000-0000-0000B65A0000}"/>
    <cellStyle name="Normal 11 4 4 3 5" xfId="32581" xr:uid="{00000000-0005-0000-0000-0000B75A0000}"/>
    <cellStyle name="Normal 11 4 4 4" xfId="5273" xr:uid="{00000000-0005-0000-0000-0000B85A0000}"/>
    <cellStyle name="Normal 11 4 4 4 2" xfId="8823" xr:uid="{00000000-0005-0000-0000-0000B95A0000}"/>
    <cellStyle name="Normal 11 4 4 4 2 2" xfId="15613" xr:uid="{00000000-0005-0000-0000-0000BA5A0000}"/>
    <cellStyle name="Normal 11 4 4 4 2 2 2" xfId="29181" xr:uid="{00000000-0005-0000-0000-0000BB5A0000}"/>
    <cellStyle name="Normal 11 4 4 4 2 2 2 2" xfId="56314" xr:uid="{00000000-0005-0000-0000-0000BC5A0000}"/>
    <cellStyle name="Normal 11 4 4 4 2 2 3" xfId="42752" xr:uid="{00000000-0005-0000-0000-0000BD5A0000}"/>
    <cellStyle name="Normal 11 4 4 4 2 3" xfId="22400" xr:uid="{00000000-0005-0000-0000-0000BE5A0000}"/>
    <cellStyle name="Normal 11 4 4 4 2 3 2" xfId="49533" xr:uid="{00000000-0005-0000-0000-0000BF5A0000}"/>
    <cellStyle name="Normal 11 4 4 4 2 4" xfId="35971" xr:uid="{00000000-0005-0000-0000-0000C05A0000}"/>
    <cellStyle name="Normal 11 4 4 4 3" xfId="12224" xr:uid="{00000000-0005-0000-0000-0000C15A0000}"/>
    <cellStyle name="Normal 11 4 4 4 3 2" xfId="25792" xr:uid="{00000000-0005-0000-0000-0000C25A0000}"/>
    <cellStyle name="Normal 11 4 4 4 3 2 2" xfId="52925" xr:uid="{00000000-0005-0000-0000-0000C35A0000}"/>
    <cellStyle name="Normal 11 4 4 4 3 3" xfId="39363" xr:uid="{00000000-0005-0000-0000-0000C45A0000}"/>
    <cellStyle name="Normal 11 4 4 4 4" xfId="19011" xr:uid="{00000000-0005-0000-0000-0000C55A0000}"/>
    <cellStyle name="Normal 11 4 4 4 4 2" xfId="46144" xr:uid="{00000000-0005-0000-0000-0000C65A0000}"/>
    <cellStyle name="Normal 11 4 4 4 5" xfId="32582" xr:uid="{00000000-0005-0000-0000-0000C75A0000}"/>
    <cellStyle name="Normal 11 4 4 5" xfId="8818" xr:uid="{00000000-0005-0000-0000-0000C85A0000}"/>
    <cellStyle name="Normal 11 4 4 5 2" xfId="15608" xr:uid="{00000000-0005-0000-0000-0000C95A0000}"/>
    <cellStyle name="Normal 11 4 4 5 2 2" xfId="29176" xr:uid="{00000000-0005-0000-0000-0000CA5A0000}"/>
    <cellStyle name="Normal 11 4 4 5 2 2 2" xfId="56309" xr:uid="{00000000-0005-0000-0000-0000CB5A0000}"/>
    <cellStyle name="Normal 11 4 4 5 2 3" xfId="42747" xr:uid="{00000000-0005-0000-0000-0000CC5A0000}"/>
    <cellStyle name="Normal 11 4 4 5 3" xfId="22395" xr:uid="{00000000-0005-0000-0000-0000CD5A0000}"/>
    <cellStyle name="Normal 11 4 4 5 3 2" xfId="49528" xr:uid="{00000000-0005-0000-0000-0000CE5A0000}"/>
    <cellStyle name="Normal 11 4 4 5 4" xfId="35966" xr:uid="{00000000-0005-0000-0000-0000CF5A0000}"/>
    <cellStyle name="Normal 11 4 4 6" xfId="12219" xr:uid="{00000000-0005-0000-0000-0000D05A0000}"/>
    <cellStyle name="Normal 11 4 4 6 2" xfId="25787" xr:uid="{00000000-0005-0000-0000-0000D15A0000}"/>
    <cellStyle name="Normal 11 4 4 6 2 2" xfId="52920" xr:uid="{00000000-0005-0000-0000-0000D25A0000}"/>
    <cellStyle name="Normal 11 4 4 6 3" xfId="39358" xr:uid="{00000000-0005-0000-0000-0000D35A0000}"/>
    <cellStyle name="Normal 11 4 4 7" xfId="19006" xr:uid="{00000000-0005-0000-0000-0000D45A0000}"/>
    <cellStyle name="Normal 11 4 4 7 2" xfId="46139" xr:uid="{00000000-0005-0000-0000-0000D55A0000}"/>
    <cellStyle name="Normal 11 4 4 8" xfId="32577" xr:uid="{00000000-0005-0000-0000-0000D65A0000}"/>
    <cellStyle name="Normal 11 4 5" xfId="5274" xr:uid="{00000000-0005-0000-0000-0000D75A0000}"/>
    <cellStyle name="Normal 11 4 5 2" xfId="5275" xr:uid="{00000000-0005-0000-0000-0000D85A0000}"/>
    <cellStyle name="Normal 11 4 5 2 2" xfId="5276" xr:uid="{00000000-0005-0000-0000-0000D95A0000}"/>
    <cellStyle name="Normal 11 4 5 2 2 2" xfId="8826" xr:uid="{00000000-0005-0000-0000-0000DA5A0000}"/>
    <cellStyle name="Normal 11 4 5 2 2 2 2" xfId="15616" xr:uid="{00000000-0005-0000-0000-0000DB5A0000}"/>
    <cellStyle name="Normal 11 4 5 2 2 2 2 2" xfId="29184" xr:uid="{00000000-0005-0000-0000-0000DC5A0000}"/>
    <cellStyle name="Normal 11 4 5 2 2 2 2 2 2" xfId="56317" xr:uid="{00000000-0005-0000-0000-0000DD5A0000}"/>
    <cellStyle name="Normal 11 4 5 2 2 2 2 3" xfId="42755" xr:uid="{00000000-0005-0000-0000-0000DE5A0000}"/>
    <cellStyle name="Normal 11 4 5 2 2 2 3" xfId="22403" xr:uid="{00000000-0005-0000-0000-0000DF5A0000}"/>
    <cellStyle name="Normal 11 4 5 2 2 2 3 2" xfId="49536" xr:uid="{00000000-0005-0000-0000-0000E05A0000}"/>
    <cellStyle name="Normal 11 4 5 2 2 2 4" xfId="35974" xr:uid="{00000000-0005-0000-0000-0000E15A0000}"/>
    <cellStyle name="Normal 11 4 5 2 2 3" xfId="12227" xr:uid="{00000000-0005-0000-0000-0000E25A0000}"/>
    <cellStyle name="Normal 11 4 5 2 2 3 2" xfId="25795" xr:uid="{00000000-0005-0000-0000-0000E35A0000}"/>
    <cellStyle name="Normal 11 4 5 2 2 3 2 2" xfId="52928" xr:uid="{00000000-0005-0000-0000-0000E45A0000}"/>
    <cellStyle name="Normal 11 4 5 2 2 3 3" xfId="39366" xr:uid="{00000000-0005-0000-0000-0000E55A0000}"/>
    <cellStyle name="Normal 11 4 5 2 2 4" xfId="19014" xr:uid="{00000000-0005-0000-0000-0000E65A0000}"/>
    <cellStyle name="Normal 11 4 5 2 2 4 2" xfId="46147" xr:uid="{00000000-0005-0000-0000-0000E75A0000}"/>
    <cellStyle name="Normal 11 4 5 2 2 5" xfId="32585" xr:uid="{00000000-0005-0000-0000-0000E85A0000}"/>
    <cellStyle name="Normal 11 4 5 2 3" xfId="5277" xr:uid="{00000000-0005-0000-0000-0000E95A0000}"/>
    <cellStyle name="Normal 11 4 5 2 3 2" xfId="8827" xr:uid="{00000000-0005-0000-0000-0000EA5A0000}"/>
    <cellStyle name="Normal 11 4 5 2 3 2 2" xfId="15617" xr:uid="{00000000-0005-0000-0000-0000EB5A0000}"/>
    <cellStyle name="Normal 11 4 5 2 3 2 2 2" xfId="29185" xr:uid="{00000000-0005-0000-0000-0000EC5A0000}"/>
    <cellStyle name="Normal 11 4 5 2 3 2 2 2 2" xfId="56318" xr:uid="{00000000-0005-0000-0000-0000ED5A0000}"/>
    <cellStyle name="Normal 11 4 5 2 3 2 2 3" xfId="42756" xr:uid="{00000000-0005-0000-0000-0000EE5A0000}"/>
    <cellStyle name="Normal 11 4 5 2 3 2 3" xfId="22404" xr:uid="{00000000-0005-0000-0000-0000EF5A0000}"/>
    <cellStyle name="Normal 11 4 5 2 3 2 3 2" xfId="49537" xr:uid="{00000000-0005-0000-0000-0000F05A0000}"/>
    <cellStyle name="Normal 11 4 5 2 3 2 4" xfId="35975" xr:uid="{00000000-0005-0000-0000-0000F15A0000}"/>
    <cellStyle name="Normal 11 4 5 2 3 3" xfId="12228" xr:uid="{00000000-0005-0000-0000-0000F25A0000}"/>
    <cellStyle name="Normal 11 4 5 2 3 3 2" xfId="25796" xr:uid="{00000000-0005-0000-0000-0000F35A0000}"/>
    <cellStyle name="Normal 11 4 5 2 3 3 2 2" xfId="52929" xr:uid="{00000000-0005-0000-0000-0000F45A0000}"/>
    <cellStyle name="Normal 11 4 5 2 3 3 3" xfId="39367" xr:uid="{00000000-0005-0000-0000-0000F55A0000}"/>
    <cellStyle name="Normal 11 4 5 2 3 4" xfId="19015" xr:uid="{00000000-0005-0000-0000-0000F65A0000}"/>
    <cellStyle name="Normal 11 4 5 2 3 4 2" xfId="46148" xr:uid="{00000000-0005-0000-0000-0000F75A0000}"/>
    <cellStyle name="Normal 11 4 5 2 3 5" xfId="32586" xr:uid="{00000000-0005-0000-0000-0000F85A0000}"/>
    <cellStyle name="Normal 11 4 5 2 4" xfId="8825" xr:uid="{00000000-0005-0000-0000-0000F95A0000}"/>
    <cellStyle name="Normal 11 4 5 2 4 2" xfId="15615" xr:uid="{00000000-0005-0000-0000-0000FA5A0000}"/>
    <cellStyle name="Normal 11 4 5 2 4 2 2" xfId="29183" xr:uid="{00000000-0005-0000-0000-0000FB5A0000}"/>
    <cellStyle name="Normal 11 4 5 2 4 2 2 2" xfId="56316" xr:uid="{00000000-0005-0000-0000-0000FC5A0000}"/>
    <cellStyle name="Normal 11 4 5 2 4 2 3" xfId="42754" xr:uid="{00000000-0005-0000-0000-0000FD5A0000}"/>
    <cellStyle name="Normal 11 4 5 2 4 3" xfId="22402" xr:uid="{00000000-0005-0000-0000-0000FE5A0000}"/>
    <cellStyle name="Normal 11 4 5 2 4 3 2" xfId="49535" xr:uid="{00000000-0005-0000-0000-0000FF5A0000}"/>
    <cellStyle name="Normal 11 4 5 2 4 4" xfId="35973" xr:uid="{00000000-0005-0000-0000-0000005B0000}"/>
    <cellStyle name="Normal 11 4 5 2 5" xfId="12226" xr:uid="{00000000-0005-0000-0000-0000015B0000}"/>
    <cellStyle name="Normal 11 4 5 2 5 2" xfId="25794" xr:uid="{00000000-0005-0000-0000-0000025B0000}"/>
    <cellStyle name="Normal 11 4 5 2 5 2 2" xfId="52927" xr:uid="{00000000-0005-0000-0000-0000035B0000}"/>
    <cellStyle name="Normal 11 4 5 2 5 3" xfId="39365" xr:uid="{00000000-0005-0000-0000-0000045B0000}"/>
    <cellStyle name="Normal 11 4 5 2 6" xfId="19013" xr:uid="{00000000-0005-0000-0000-0000055B0000}"/>
    <cellStyle name="Normal 11 4 5 2 6 2" xfId="46146" xr:uid="{00000000-0005-0000-0000-0000065B0000}"/>
    <cellStyle name="Normal 11 4 5 2 7" xfId="32584" xr:uid="{00000000-0005-0000-0000-0000075B0000}"/>
    <cellStyle name="Normal 11 4 5 3" xfId="5278" xr:uid="{00000000-0005-0000-0000-0000085B0000}"/>
    <cellStyle name="Normal 11 4 5 3 2" xfId="8828" xr:uid="{00000000-0005-0000-0000-0000095B0000}"/>
    <cellStyle name="Normal 11 4 5 3 2 2" xfId="15618" xr:uid="{00000000-0005-0000-0000-00000A5B0000}"/>
    <cellStyle name="Normal 11 4 5 3 2 2 2" xfId="29186" xr:uid="{00000000-0005-0000-0000-00000B5B0000}"/>
    <cellStyle name="Normal 11 4 5 3 2 2 2 2" xfId="56319" xr:uid="{00000000-0005-0000-0000-00000C5B0000}"/>
    <cellStyle name="Normal 11 4 5 3 2 2 3" xfId="42757" xr:uid="{00000000-0005-0000-0000-00000D5B0000}"/>
    <cellStyle name="Normal 11 4 5 3 2 3" xfId="22405" xr:uid="{00000000-0005-0000-0000-00000E5B0000}"/>
    <cellStyle name="Normal 11 4 5 3 2 3 2" xfId="49538" xr:uid="{00000000-0005-0000-0000-00000F5B0000}"/>
    <cellStyle name="Normal 11 4 5 3 2 4" xfId="35976" xr:uid="{00000000-0005-0000-0000-0000105B0000}"/>
    <cellStyle name="Normal 11 4 5 3 3" xfId="12229" xr:uid="{00000000-0005-0000-0000-0000115B0000}"/>
    <cellStyle name="Normal 11 4 5 3 3 2" xfId="25797" xr:uid="{00000000-0005-0000-0000-0000125B0000}"/>
    <cellStyle name="Normal 11 4 5 3 3 2 2" xfId="52930" xr:uid="{00000000-0005-0000-0000-0000135B0000}"/>
    <cellStyle name="Normal 11 4 5 3 3 3" xfId="39368" xr:uid="{00000000-0005-0000-0000-0000145B0000}"/>
    <cellStyle name="Normal 11 4 5 3 4" xfId="19016" xr:uid="{00000000-0005-0000-0000-0000155B0000}"/>
    <cellStyle name="Normal 11 4 5 3 4 2" xfId="46149" xr:uid="{00000000-0005-0000-0000-0000165B0000}"/>
    <cellStyle name="Normal 11 4 5 3 5" xfId="32587" xr:uid="{00000000-0005-0000-0000-0000175B0000}"/>
    <cellStyle name="Normal 11 4 5 4" xfId="5279" xr:uid="{00000000-0005-0000-0000-0000185B0000}"/>
    <cellStyle name="Normal 11 4 5 4 2" xfId="8829" xr:uid="{00000000-0005-0000-0000-0000195B0000}"/>
    <cellStyle name="Normal 11 4 5 4 2 2" xfId="15619" xr:uid="{00000000-0005-0000-0000-00001A5B0000}"/>
    <cellStyle name="Normal 11 4 5 4 2 2 2" xfId="29187" xr:uid="{00000000-0005-0000-0000-00001B5B0000}"/>
    <cellStyle name="Normal 11 4 5 4 2 2 2 2" xfId="56320" xr:uid="{00000000-0005-0000-0000-00001C5B0000}"/>
    <cellStyle name="Normal 11 4 5 4 2 2 3" xfId="42758" xr:uid="{00000000-0005-0000-0000-00001D5B0000}"/>
    <cellStyle name="Normal 11 4 5 4 2 3" xfId="22406" xr:uid="{00000000-0005-0000-0000-00001E5B0000}"/>
    <cellStyle name="Normal 11 4 5 4 2 3 2" xfId="49539" xr:uid="{00000000-0005-0000-0000-00001F5B0000}"/>
    <cellStyle name="Normal 11 4 5 4 2 4" xfId="35977" xr:uid="{00000000-0005-0000-0000-0000205B0000}"/>
    <cellStyle name="Normal 11 4 5 4 3" xfId="12230" xr:uid="{00000000-0005-0000-0000-0000215B0000}"/>
    <cellStyle name="Normal 11 4 5 4 3 2" xfId="25798" xr:uid="{00000000-0005-0000-0000-0000225B0000}"/>
    <cellStyle name="Normal 11 4 5 4 3 2 2" xfId="52931" xr:uid="{00000000-0005-0000-0000-0000235B0000}"/>
    <cellStyle name="Normal 11 4 5 4 3 3" xfId="39369" xr:uid="{00000000-0005-0000-0000-0000245B0000}"/>
    <cellStyle name="Normal 11 4 5 4 4" xfId="19017" xr:uid="{00000000-0005-0000-0000-0000255B0000}"/>
    <cellStyle name="Normal 11 4 5 4 4 2" xfId="46150" xr:uid="{00000000-0005-0000-0000-0000265B0000}"/>
    <cellStyle name="Normal 11 4 5 4 5" xfId="32588" xr:uid="{00000000-0005-0000-0000-0000275B0000}"/>
    <cellStyle name="Normal 11 4 5 5" xfId="8824" xr:uid="{00000000-0005-0000-0000-0000285B0000}"/>
    <cellStyle name="Normal 11 4 5 5 2" xfId="15614" xr:uid="{00000000-0005-0000-0000-0000295B0000}"/>
    <cellStyle name="Normal 11 4 5 5 2 2" xfId="29182" xr:uid="{00000000-0005-0000-0000-00002A5B0000}"/>
    <cellStyle name="Normal 11 4 5 5 2 2 2" xfId="56315" xr:uid="{00000000-0005-0000-0000-00002B5B0000}"/>
    <cellStyle name="Normal 11 4 5 5 2 3" xfId="42753" xr:uid="{00000000-0005-0000-0000-00002C5B0000}"/>
    <cellStyle name="Normal 11 4 5 5 3" xfId="22401" xr:uid="{00000000-0005-0000-0000-00002D5B0000}"/>
    <cellStyle name="Normal 11 4 5 5 3 2" xfId="49534" xr:uid="{00000000-0005-0000-0000-00002E5B0000}"/>
    <cellStyle name="Normal 11 4 5 5 4" xfId="35972" xr:uid="{00000000-0005-0000-0000-00002F5B0000}"/>
    <cellStyle name="Normal 11 4 5 6" xfId="12225" xr:uid="{00000000-0005-0000-0000-0000305B0000}"/>
    <cellStyle name="Normal 11 4 5 6 2" xfId="25793" xr:uid="{00000000-0005-0000-0000-0000315B0000}"/>
    <cellStyle name="Normal 11 4 5 6 2 2" xfId="52926" xr:uid="{00000000-0005-0000-0000-0000325B0000}"/>
    <cellStyle name="Normal 11 4 5 6 3" xfId="39364" xr:uid="{00000000-0005-0000-0000-0000335B0000}"/>
    <cellStyle name="Normal 11 4 5 7" xfId="19012" xr:uid="{00000000-0005-0000-0000-0000345B0000}"/>
    <cellStyle name="Normal 11 4 5 7 2" xfId="46145" xr:uid="{00000000-0005-0000-0000-0000355B0000}"/>
    <cellStyle name="Normal 11 4 5 8" xfId="32583" xr:uid="{00000000-0005-0000-0000-0000365B0000}"/>
    <cellStyle name="Normal 11 4 6" xfId="5280" xr:uid="{00000000-0005-0000-0000-0000375B0000}"/>
    <cellStyle name="Normal 11 4 6 2" xfId="5281" xr:uid="{00000000-0005-0000-0000-0000385B0000}"/>
    <cellStyle name="Normal 11 4 6 2 2" xfId="8831" xr:uid="{00000000-0005-0000-0000-0000395B0000}"/>
    <cellStyle name="Normal 11 4 6 2 2 2" xfId="15621" xr:uid="{00000000-0005-0000-0000-00003A5B0000}"/>
    <cellStyle name="Normal 11 4 6 2 2 2 2" xfId="29189" xr:uid="{00000000-0005-0000-0000-00003B5B0000}"/>
    <cellStyle name="Normal 11 4 6 2 2 2 2 2" xfId="56322" xr:uid="{00000000-0005-0000-0000-00003C5B0000}"/>
    <cellStyle name="Normal 11 4 6 2 2 2 3" xfId="42760" xr:uid="{00000000-0005-0000-0000-00003D5B0000}"/>
    <cellStyle name="Normal 11 4 6 2 2 3" xfId="22408" xr:uid="{00000000-0005-0000-0000-00003E5B0000}"/>
    <cellStyle name="Normal 11 4 6 2 2 3 2" xfId="49541" xr:uid="{00000000-0005-0000-0000-00003F5B0000}"/>
    <cellStyle name="Normal 11 4 6 2 2 4" xfId="35979" xr:uid="{00000000-0005-0000-0000-0000405B0000}"/>
    <cellStyle name="Normal 11 4 6 2 3" xfId="12232" xr:uid="{00000000-0005-0000-0000-0000415B0000}"/>
    <cellStyle name="Normal 11 4 6 2 3 2" xfId="25800" xr:uid="{00000000-0005-0000-0000-0000425B0000}"/>
    <cellStyle name="Normal 11 4 6 2 3 2 2" xfId="52933" xr:uid="{00000000-0005-0000-0000-0000435B0000}"/>
    <cellStyle name="Normal 11 4 6 2 3 3" xfId="39371" xr:uid="{00000000-0005-0000-0000-0000445B0000}"/>
    <cellStyle name="Normal 11 4 6 2 4" xfId="19019" xr:uid="{00000000-0005-0000-0000-0000455B0000}"/>
    <cellStyle name="Normal 11 4 6 2 4 2" xfId="46152" xr:uid="{00000000-0005-0000-0000-0000465B0000}"/>
    <cellStyle name="Normal 11 4 6 2 5" xfId="32590" xr:uid="{00000000-0005-0000-0000-0000475B0000}"/>
    <cellStyle name="Normal 11 4 6 3" xfId="5282" xr:uid="{00000000-0005-0000-0000-0000485B0000}"/>
    <cellStyle name="Normal 11 4 6 3 2" xfId="8832" xr:uid="{00000000-0005-0000-0000-0000495B0000}"/>
    <cellStyle name="Normal 11 4 6 3 2 2" xfId="15622" xr:uid="{00000000-0005-0000-0000-00004A5B0000}"/>
    <cellStyle name="Normal 11 4 6 3 2 2 2" xfId="29190" xr:uid="{00000000-0005-0000-0000-00004B5B0000}"/>
    <cellStyle name="Normal 11 4 6 3 2 2 2 2" xfId="56323" xr:uid="{00000000-0005-0000-0000-00004C5B0000}"/>
    <cellStyle name="Normal 11 4 6 3 2 2 3" xfId="42761" xr:uid="{00000000-0005-0000-0000-00004D5B0000}"/>
    <cellStyle name="Normal 11 4 6 3 2 3" xfId="22409" xr:uid="{00000000-0005-0000-0000-00004E5B0000}"/>
    <cellStyle name="Normal 11 4 6 3 2 3 2" xfId="49542" xr:uid="{00000000-0005-0000-0000-00004F5B0000}"/>
    <cellStyle name="Normal 11 4 6 3 2 4" xfId="35980" xr:uid="{00000000-0005-0000-0000-0000505B0000}"/>
    <cellStyle name="Normal 11 4 6 3 3" xfId="12233" xr:uid="{00000000-0005-0000-0000-0000515B0000}"/>
    <cellStyle name="Normal 11 4 6 3 3 2" xfId="25801" xr:uid="{00000000-0005-0000-0000-0000525B0000}"/>
    <cellStyle name="Normal 11 4 6 3 3 2 2" xfId="52934" xr:uid="{00000000-0005-0000-0000-0000535B0000}"/>
    <cellStyle name="Normal 11 4 6 3 3 3" xfId="39372" xr:uid="{00000000-0005-0000-0000-0000545B0000}"/>
    <cellStyle name="Normal 11 4 6 3 4" xfId="19020" xr:uid="{00000000-0005-0000-0000-0000555B0000}"/>
    <cellStyle name="Normal 11 4 6 3 4 2" xfId="46153" xr:uid="{00000000-0005-0000-0000-0000565B0000}"/>
    <cellStyle name="Normal 11 4 6 3 5" xfId="32591" xr:uid="{00000000-0005-0000-0000-0000575B0000}"/>
    <cellStyle name="Normal 11 4 6 4" xfId="8830" xr:uid="{00000000-0005-0000-0000-0000585B0000}"/>
    <cellStyle name="Normal 11 4 6 4 2" xfId="15620" xr:uid="{00000000-0005-0000-0000-0000595B0000}"/>
    <cellStyle name="Normal 11 4 6 4 2 2" xfId="29188" xr:uid="{00000000-0005-0000-0000-00005A5B0000}"/>
    <cellStyle name="Normal 11 4 6 4 2 2 2" xfId="56321" xr:uid="{00000000-0005-0000-0000-00005B5B0000}"/>
    <cellStyle name="Normal 11 4 6 4 2 3" xfId="42759" xr:uid="{00000000-0005-0000-0000-00005C5B0000}"/>
    <cellStyle name="Normal 11 4 6 4 3" xfId="22407" xr:uid="{00000000-0005-0000-0000-00005D5B0000}"/>
    <cellStyle name="Normal 11 4 6 4 3 2" xfId="49540" xr:uid="{00000000-0005-0000-0000-00005E5B0000}"/>
    <cellStyle name="Normal 11 4 6 4 4" xfId="35978" xr:uid="{00000000-0005-0000-0000-00005F5B0000}"/>
    <cellStyle name="Normal 11 4 6 5" xfId="12231" xr:uid="{00000000-0005-0000-0000-0000605B0000}"/>
    <cellStyle name="Normal 11 4 6 5 2" xfId="25799" xr:uid="{00000000-0005-0000-0000-0000615B0000}"/>
    <cellStyle name="Normal 11 4 6 5 2 2" xfId="52932" xr:uid="{00000000-0005-0000-0000-0000625B0000}"/>
    <cellStyle name="Normal 11 4 6 5 3" xfId="39370" xr:uid="{00000000-0005-0000-0000-0000635B0000}"/>
    <cellStyle name="Normal 11 4 6 6" xfId="19018" xr:uid="{00000000-0005-0000-0000-0000645B0000}"/>
    <cellStyle name="Normal 11 4 6 6 2" xfId="46151" xr:uid="{00000000-0005-0000-0000-0000655B0000}"/>
    <cellStyle name="Normal 11 4 6 7" xfId="32589" xr:uid="{00000000-0005-0000-0000-0000665B0000}"/>
    <cellStyle name="Normal 11 4 7" xfId="5283" xr:uid="{00000000-0005-0000-0000-0000675B0000}"/>
    <cellStyle name="Normal 11 4 7 2" xfId="5284" xr:uid="{00000000-0005-0000-0000-0000685B0000}"/>
    <cellStyle name="Normal 11 4 7 2 2" xfId="8834" xr:uid="{00000000-0005-0000-0000-0000695B0000}"/>
    <cellStyle name="Normal 11 4 7 2 2 2" xfId="15624" xr:uid="{00000000-0005-0000-0000-00006A5B0000}"/>
    <cellStyle name="Normal 11 4 7 2 2 2 2" xfId="29192" xr:uid="{00000000-0005-0000-0000-00006B5B0000}"/>
    <cellStyle name="Normal 11 4 7 2 2 2 2 2" xfId="56325" xr:uid="{00000000-0005-0000-0000-00006C5B0000}"/>
    <cellStyle name="Normal 11 4 7 2 2 2 3" xfId="42763" xr:uid="{00000000-0005-0000-0000-00006D5B0000}"/>
    <cellStyle name="Normal 11 4 7 2 2 3" xfId="22411" xr:uid="{00000000-0005-0000-0000-00006E5B0000}"/>
    <cellStyle name="Normal 11 4 7 2 2 3 2" xfId="49544" xr:uid="{00000000-0005-0000-0000-00006F5B0000}"/>
    <cellStyle name="Normal 11 4 7 2 2 4" xfId="35982" xr:uid="{00000000-0005-0000-0000-0000705B0000}"/>
    <cellStyle name="Normal 11 4 7 2 3" xfId="12235" xr:uid="{00000000-0005-0000-0000-0000715B0000}"/>
    <cellStyle name="Normal 11 4 7 2 3 2" xfId="25803" xr:uid="{00000000-0005-0000-0000-0000725B0000}"/>
    <cellStyle name="Normal 11 4 7 2 3 2 2" xfId="52936" xr:uid="{00000000-0005-0000-0000-0000735B0000}"/>
    <cellStyle name="Normal 11 4 7 2 3 3" xfId="39374" xr:uid="{00000000-0005-0000-0000-0000745B0000}"/>
    <cellStyle name="Normal 11 4 7 2 4" xfId="19022" xr:uid="{00000000-0005-0000-0000-0000755B0000}"/>
    <cellStyle name="Normal 11 4 7 2 4 2" xfId="46155" xr:uid="{00000000-0005-0000-0000-0000765B0000}"/>
    <cellStyle name="Normal 11 4 7 2 5" xfId="32593" xr:uid="{00000000-0005-0000-0000-0000775B0000}"/>
    <cellStyle name="Normal 11 4 7 3" xfId="5285" xr:uid="{00000000-0005-0000-0000-0000785B0000}"/>
    <cellStyle name="Normal 11 4 7 3 2" xfId="8835" xr:uid="{00000000-0005-0000-0000-0000795B0000}"/>
    <cellStyle name="Normal 11 4 7 3 2 2" xfId="15625" xr:uid="{00000000-0005-0000-0000-00007A5B0000}"/>
    <cellStyle name="Normal 11 4 7 3 2 2 2" xfId="29193" xr:uid="{00000000-0005-0000-0000-00007B5B0000}"/>
    <cellStyle name="Normal 11 4 7 3 2 2 2 2" xfId="56326" xr:uid="{00000000-0005-0000-0000-00007C5B0000}"/>
    <cellStyle name="Normal 11 4 7 3 2 2 3" xfId="42764" xr:uid="{00000000-0005-0000-0000-00007D5B0000}"/>
    <cellStyle name="Normal 11 4 7 3 2 3" xfId="22412" xr:uid="{00000000-0005-0000-0000-00007E5B0000}"/>
    <cellStyle name="Normal 11 4 7 3 2 3 2" xfId="49545" xr:uid="{00000000-0005-0000-0000-00007F5B0000}"/>
    <cellStyle name="Normal 11 4 7 3 2 4" xfId="35983" xr:uid="{00000000-0005-0000-0000-0000805B0000}"/>
    <cellStyle name="Normal 11 4 7 3 3" xfId="12236" xr:uid="{00000000-0005-0000-0000-0000815B0000}"/>
    <cellStyle name="Normal 11 4 7 3 3 2" xfId="25804" xr:uid="{00000000-0005-0000-0000-0000825B0000}"/>
    <cellStyle name="Normal 11 4 7 3 3 2 2" xfId="52937" xr:uid="{00000000-0005-0000-0000-0000835B0000}"/>
    <cellStyle name="Normal 11 4 7 3 3 3" xfId="39375" xr:uid="{00000000-0005-0000-0000-0000845B0000}"/>
    <cellStyle name="Normal 11 4 7 3 4" xfId="19023" xr:uid="{00000000-0005-0000-0000-0000855B0000}"/>
    <cellStyle name="Normal 11 4 7 3 4 2" xfId="46156" xr:uid="{00000000-0005-0000-0000-0000865B0000}"/>
    <cellStyle name="Normal 11 4 7 3 5" xfId="32594" xr:uid="{00000000-0005-0000-0000-0000875B0000}"/>
    <cellStyle name="Normal 11 4 7 4" xfId="8833" xr:uid="{00000000-0005-0000-0000-0000885B0000}"/>
    <cellStyle name="Normal 11 4 7 4 2" xfId="15623" xr:uid="{00000000-0005-0000-0000-0000895B0000}"/>
    <cellStyle name="Normal 11 4 7 4 2 2" xfId="29191" xr:uid="{00000000-0005-0000-0000-00008A5B0000}"/>
    <cellStyle name="Normal 11 4 7 4 2 2 2" xfId="56324" xr:uid="{00000000-0005-0000-0000-00008B5B0000}"/>
    <cellStyle name="Normal 11 4 7 4 2 3" xfId="42762" xr:uid="{00000000-0005-0000-0000-00008C5B0000}"/>
    <cellStyle name="Normal 11 4 7 4 3" xfId="22410" xr:uid="{00000000-0005-0000-0000-00008D5B0000}"/>
    <cellStyle name="Normal 11 4 7 4 3 2" xfId="49543" xr:uid="{00000000-0005-0000-0000-00008E5B0000}"/>
    <cellStyle name="Normal 11 4 7 4 4" xfId="35981" xr:uid="{00000000-0005-0000-0000-00008F5B0000}"/>
    <cellStyle name="Normal 11 4 7 5" xfId="12234" xr:uid="{00000000-0005-0000-0000-0000905B0000}"/>
    <cellStyle name="Normal 11 4 7 5 2" xfId="25802" xr:uid="{00000000-0005-0000-0000-0000915B0000}"/>
    <cellStyle name="Normal 11 4 7 5 2 2" xfId="52935" xr:uid="{00000000-0005-0000-0000-0000925B0000}"/>
    <cellStyle name="Normal 11 4 7 5 3" xfId="39373" xr:uid="{00000000-0005-0000-0000-0000935B0000}"/>
    <cellStyle name="Normal 11 4 7 6" xfId="19021" xr:uid="{00000000-0005-0000-0000-0000945B0000}"/>
    <cellStyle name="Normal 11 4 7 6 2" xfId="46154" xr:uid="{00000000-0005-0000-0000-0000955B0000}"/>
    <cellStyle name="Normal 11 4 7 7" xfId="32592" xr:uid="{00000000-0005-0000-0000-0000965B0000}"/>
    <cellStyle name="Normal 11 4 8" xfId="5286" xr:uid="{00000000-0005-0000-0000-0000975B0000}"/>
    <cellStyle name="Normal 11 4 8 2" xfId="8836" xr:uid="{00000000-0005-0000-0000-0000985B0000}"/>
    <cellStyle name="Normal 11 4 8 2 2" xfId="15626" xr:uid="{00000000-0005-0000-0000-0000995B0000}"/>
    <cellStyle name="Normal 11 4 8 2 2 2" xfId="29194" xr:uid="{00000000-0005-0000-0000-00009A5B0000}"/>
    <cellStyle name="Normal 11 4 8 2 2 2 2" xfId="56327" xr:uid="{00000000-0005-0000-0000-00009B5B0000}"/>
    <cellStyle name="Normal 11 4 8 2 2 3" xfId="42765" xr:uid="{00000000-0005-0000-0000-00009C5B0000}"/>
    <cellStyle name="Normal 11 4 8 2 3" xfId="22413" xr:uid="{00000000-0005-0000-0000-00009D5B0000}"/>
    <cellStyle name="Normal 11 4 8 2 3 2" xfId="49546" xr:uid="{00000000-0005-0000-0000-00009E5B0000}"/>
    <cellStyle name="Normal 11 4 8 2 4" xfId="35984" xr:uid="{00000000-0005-0000-0000-00009F5B0000}"/>
    <cellStyle name="Normal 11 4 8 3" xfId="12237" xr:uid="{00000000-0005-0000-0000-0000A05B0000}"/>
    <cellStyle name="Normal 11 4 8 3 2" xfId="25805" xr:uid="{00000000-0005-0000-0000-0000A15B0000}"/>
    <cellStyle name="Normal 11 4 8 3 2 2" xfId="52938" xr:uid="{00000000-0005-0000-0000-0000A25B0000}"/>
    <cellStyle name="Normal 11 4 8 3 3" xfId="39376" xr:uid="{00000000-0005-0000-0000-0000A35B0000}"/>
    <cellStyle name="Normal 11 4 8 4" xfId="19024" xr:uid="{00000000-0005-0000-0000-0000A45B0000}"/>
    <cellStyle name="Normal 11 4 8 4 2" xfId="46157" xr:uid="{00000000-0005-0000-0000-0000A55B0000}"/>
    <cellStyle name="Normal 11 4 8 5" xfId="32595" xr:uid="{00000000-0005-0000-0000-0000A65B0000}"/>
    <cellStyle name="Normal 11 4 9" xfId="5287" xr:uid="{00000000-0005-0000-0000-0000A75B0000}"/>
    <cellStyle name="Normal 11 4 9 2" xfId="8837" xr:uid="{00000000-0005-0000-0000-0000A85B0000}"/>
    <cellStyle name="Normal 11 4 9 2 2" xfId="15627" xr:uid="{00000000-0005-0000-0000-0000A95B0000}"/>
    <cellStyle name="Normal 11 4 9 2 2 2" xfId="29195" xr:uid="{00000000-0005-0000-0000-0000AA5B0000}"/>
    <cellStyle name="Normal 11 4 9 2 2 2 2" xfId="56328" xr:uid="{00000000-0005-0000-0000-0000AB5B0000}"/>
    <cellStyle name="Normal 11 4 9 2 2 3" xfId="42766" xr:uid="{00000000-0005-0000-0000-0000AC5B0000}"/>
    <cellStyle name="Normal 11 4 9 2 3" xfId="22414" xr:uid="{00000000-0005-0000-0000-0000AD5B0000}"/>
    <cellStyle name="Normal 11 4 9 2 3 2" xfId="49547" xr:uid="{00000000-0005-0000-0000-0000AE5B0000}"/>
    <cellStyle name="Normal 11 4 9 2 4" xfId="35985" xr:uid="{00000000-0005-0000-0000-0000AF5B0000}"/>
    <cellStyle name="Normal 11 4 9 3" xfId="12238" xr:uid="{00000000-0005-0000-0000-0000B05B0000}"/>
    <cellStyle name="Normal 11 4 9 3 2" xfId="25806" xr:uid="{00000000-0005-0000-0000-0000B15B0000}"/>
    <cellStyle name="Normal 11 4 9 3 2 2" xfId="52939" xr:uid="{00000000-0005-0000-0000-0000B25B0000}"/>
    <cellStyle name="Normal 11 4 9 3 3" xfId="39377" xr:uid="{00000000-0005-0000-0000-0000B35B0000}"/>
    <cellStyle name="Normal 11 4 9 4" xfId="19025" xr:uid="{00000000-0005-0000-0000-0000B45B0000}"/>
    <cellStyle name="Normal 11 4 9 4 2" xfId="46158" xr:uid="{00000000-0005-0000-0000-0000B55B0000}"/>
    <cellStyle name="Normal 11 4 9 5" xfId="32596" xr:uid="{00000000-0005-0000-0000-0000B65B0000}"/>
    <cellStyle name="Normal 11 5" xfId="5288" xr:uid="{00000000-0005-0000-0000-0000B75B0000}"/>
    <cellStyle name="Normal 11 5 10" xfId="32597" xr:uid="{00000000-0005-0000-0000-0000B85B0000}"/>
    <cellStyle name="Normal 11 5 2" xfId="5289" xr:uid="{00000000-0005-0000-0000-0000B95B0000}"/>
    <cellStyle name="Normal 11 5 2 2" xfId="5290" xr:uid="{00000000-0005-0000-0000-0000BA5B0000}"/>
    <cellStyle name="Normal 11 5 2 2 2" xfId="5291" xr:uid="{00000000-0005-0000-0000-0000BB5B0000}"/>
    <cellStyle name="Normal 11 5 2 2 2 2" xfId="8841" xr:uid="{00000000-0005-0000-0000-0000BC5B0000}"/>
    <cellStyle name="Normal 11 5 2 2 2 2 2" xfId="15631" xr:uid="{00000000-0005-0000-0000-0000BD5B0000}"/>
    <cellStyle name="Normal 11 5 2 2 2 2 2 2" xfId="29199" xr:uid="{00000000-0005-0000-0000-0000BE5B0000}"/>
    <cellStyle name="Normal 11 5 2 2 2 2 2 2 2" xfId="56332" xr:uid="{00000000-0005-0000-0000-0000BF5B0000}"/>
    <cellStyle name="Normal 11 5 2 2 2 2 2 3" xfId="42770" xr:uid="{00000000-0005-0000-0000-0000C05B0000}"/>
    <cellStyle name="Normal 11 5 2 2 2 2 3" xfId="22418" xr:uid="{00000000-0005-0000-0000-0000C15B0000}"/>
    <cellStyle name="Normal 11 5 2 2 2 2 3 2" xfId="49551" xr:uid="{00000000-0005-0000-0000-0000C25B0000}"/>
    <cellStyle name="Normal 11 5 2 2 2 2 4" xfId="35989" xr:uid="{00000000-0005-0000-0000-0000C35B0000}"/>
    <cellStyle name="Normal 11 5 2 2 2 3" xfId="12242" xr:uid="{00000000-0005-0000-0000-0000C45B0000}"/>
    <cellStyle name="Normal 11 5 2 2 2 3 2" xfId="25810" xr:uid="{00000000-0005-0000-0000-0000C55B0000}"/>
    <cellStyle name="Normal 11 5 2 2 2 3 2 2" xfId="52943" xr:uid="{00000000-0005-0000-0000-0000C65B0000}"/>
    <cellStyle name="Normal 11 5 2 2 2 3 3" xfId="39381" xr:uid="{00000000-0005-0000-0000-0000C75B0000}"/>
    <cellStyle name="Normal 11 5 2 2 2 4" xfId="19029" xr:uid="{00000000-0005-0000-0000-0000C85B0000}"/>
    <cellStyle name="Normal 11 5 2 2 2 4 2" xfId="46162" xr:uid="{00000000-0005-0000-0000-0000C95B0000}"/>
    <cellStyle name="Normal 11 5 2 2 2 5" xfId="32600" xr:uid="{00000000-0005-0000-0000-0000CA5B0000}"/>
    <cellStyle name="Normal 11 5 2 2 3" xfId="5292" xr:uid="{00000000-0005-0000-0000-0000CB5B0000}"/>
    <cellStyle name="Normal 11 5 2 2 3 2" xfId="8842" xr:uid="{00000000-0005-0000-0000-0000CC5B0000}"/>
    <cellStyle name="Normal 11 5 2 2 3 2 2" xfId="15632" xr:uid="{00000000-0005-0000-0000-0000CD5B0000}"/>
    <cellStyle name="Normal 11 5 2 2 3 2 2 2" xfId="29200" xr:uid="{00000000-0005-0000-0000-0000CE5B0000}"/>
    <cellStyle name="Normal 11 5 2 2 3 2 2 2 2" xfId="56333" xr:uid="{00000000-0005-0000-0000-0000CF5B0000}"/>
    <cellStyle name="Normal 11 5 2 2 3 2 2 3" xfId="42771" xr:uid="{00000000-0005-0000-0000-0000D05B0000}"/>
    <cellStyle name="Normal 11 5 2 2 3 2 3" xfId="22419" xr:uid="{00000000-0005-0000-0000-0000D15B0000}"/>
    <cellStyle name="Normal 11 5 2 2 3 2 3 2" xfId="49552" xr:uid="{00000000-0005-0000-0000-0000D25B0000}"/>
    <cellStyle name="Normal 11 5 2 2 3 2 4" xfId="35990" xr:uid="{00000000-0005-0000-0000-0000D35B0000}"/>
    <cellStyle name="Normal 11 5 2 2 3 3" xfId="12243" xr:uid="{00000000-0005-0000-0000-0000D45B0000}"/>
    <cellStyle name="Normal 11 5 2 2 3 3 2" xfId="25811" xr:uid="{00000000-0005-0000-0000-0000D55B0000}"/>
    <cellStyle name="Normal 11 5 2 2 3 3 2 2" xfId="52944" xr:uid="{00000000-0005-0000-0000-0000D65B0000}"/>
    <cellStyle name="Normal 11 5 2 2 3 3 3" xfId="39382" xr:uid="{00000000-0005-0000-0000-0000D75B0000}"/>
    <cellStyle name="Normal 11 5 2 2 3 4" xfId="19030" xr:uid="{00000000-0005-0000-0000-0000D85B0000}"/>
    <cellStyle name="Normal 11 5 2 2 3 4 2" xfId="46163" xr:uid="{00000000-0005-0000-0000-0000D95B0000}"/>
    <cellStyle name="Normal 11 5 2 2 3 5" xfId="32601" xr:uid="{00000000-0005-0000-0000-0000DA5B0000}"/>
    <cellStyle name="Normal 11 5 2 2 4" xfId="8840" xr:uid="{00000000-0005-0000-0000-0000DB5B0000}"/>
    <cellStyle name="Normal 11 5 2 2 4 2" xfId="15630" xr:uid="{00000000-0005-0000-0000-0000DC5B0000}"/>
    <cellStyle name="Normal 11 5 2 2 4 2 2" xfId="29198" xr:uid="{00000000-0005-0000-0000-0000DD5B0000}"/>
    <cellStyle name="Normal 11 5 2 2 4 2 2 2" xfId="56331" xr:uid="{00000000-0005-0000-0000-0000DE5B0000}"/>
    <cellStyle name="Normal 11 5 2 2 4 2 3" xfId="42769" xr:uid="{00000000-0005-0000-0000-0000DF5B0000}"/>
    <cellStyle name="Normal 11 5 2 2 4 3" xfId="22417" xr:uid="{00000000-0005-0000-0000-0000E05B0000}"/>
    <cellStyle name="Normal 11 5 2 2 4 3 2" xfId="49550" xr:uid="{00000000-0005-0000-0000-0000E15B0000}"/>
    <cellStyle name="Normal 11 5 2 2 4 4" xfId="35988" xr:uid="{00000000-0005-0000-0000-0000E25B0000}"/>
    <cellStyle name="Normal 11 5 2 2 5" xfId="12241" xr:uid="{00000000-0005-0000-0000-0000E35B0000}"/>
    <cellStyle name="Normal 11 5 2 2 5 2" xfId="25809" xr:uid="{00000000-0005-0000-0000-0000E45B0000}"/>
    <cellStyle name="Normal 11 5 2 2 5 2 2" xfId="52942" xr:uid="{00000000-0005-0000-0000-0000E55B0000}"/>
    <cellStyle name="Normal 11 5 2 2 5 3" xfId="39380" xr:uid="{00000000-0005-0000-0000-0000E65B0000}"/>
    <cellStyle name="Normal 11 5 2 2 6" xfId="19028" xr:uid="{00000000-0005-0000-0000-0000E75B0000}"/>
    <cellStyle name="Normal 11 5 2 2 6 2" xfId="46161" xr:uid="{00000000-0005-0000-0000-0000E85B0000}"/>
    <cellStyle name="Normal 11 5 2 2 7" xfId="32599" xr:uid="{00000000-0005-0000-0000-0000E95B0000}"/>
    <cellStyle name="Normal 11 5 2 3" xfId="5293" xr:uid="{00000000-0005-0000-0000-0000EA5B0000}"/>
    <cellStyle name="Normal 11 5 2 3 2" xfId="5294" xr:uid="{00000000-0005-0000-0000-0000EB5B0000}"/>
    <cellStyle name="Normal 11 5 2 3 2 2" xfId="8844" xr:uid="{00000000-0005-0000-0000-0000EC5B0000}"/>
    <cellStyle name="Normal 11 5 2 3 2 2 2" xfId="15634" xr:uid="{00000000-0005-0000-0000-0000ED5B0000}"/>
    <cellStyle name="Normal 11 5 2 3 2 2 2 2" xfId="29202" xr:uid="{00000000-0005-0000-0000-0000EE5B0000}"/>
    <cellStyle name="Normal 11 5 2 3 2 2 2 2 2" xfId="56335" xr:uid="{00000000-0005-0000-0000-0000EF5B0000}"/>
    <cellStyle name="Normal 11 5 2 3 2 2 2 3" xfId="42773" xr:uid="{00000000-0005-0000-0000-0000F05B0000}"/>
    <cellStyle name="Normal 11 5 2 3 2 2 3" xfId="22421" xr:uid="{00000000-0005-0000-0000-0000F15B0000}"/>
    <cellStyle name="Normal 11 5 2 3 2 2 3 2" xfId="49554" xr:uid="{00000000-0005-0000-0000-0000F25B0000}"/>
    <cellStyle name="Normal 11 5 2 3 2 2 4" xfId="35992" xr:uid="{00000000-0005-0000-0000-0000F35B0000}"/>
    <cellStyle name="Normal 11 5 2 3 2 3" xfId="12245" xr:uid="{00000000-0005-0000-0000-0000F45B0000}"/>
    <cellStyle name="Normal 11 5 2 3 2 3 2" xfId="25813" xr:uid="{00000000-0005-0000-0000-0000F55B0000}"/>
    <cellStyle name="Normal 11 5 2 3 2 3 2 2" xfId="52946" xr:uid="{00000000-0005-0000-0000-0000F65B0000}"/>
    <cellStyle name="Normal 11 5 2 3 2 3 3" xfId="39384" xr:uid="{00000000-0005-0000-0000-0000F75B0000}"/>
    <cellStyle name="Normal 11 5 2 3 2 4" xfId="19032" xr:uid="{00000000-0005-0000-0000-0000F85B0000}"/>
    <cellStyle name="Normal 11 5 2 3 2 4 2" xfId="46165" xr:uid="{00000000-0005-0000-0000-0000F95B0000}"/>
    <cellStyle name="Normal 11 5 2 3 2 5" xfId="32603" xr:uid="{00000000-0005-0000-0000-0000FA5B0000}"/>
    <cellStyle name="Normal 11 5 2 3 3" xfId="8843" xr:uid="{00000000-0005-0000-0000-0000FB5B0000}"/>
    <cellStyle name="Normal 11 5 2 3 3 2" xfId="15633" xr:uid="{00000000-0005-0000-0000-0000FC5B0000}"/>
    <cellStyle name="Normal 11 5 2 3 3 2 2" xfId="29201" xr:uid="{00000000-0005-0000-0000-0000FD5B0000}"/>
    <cellStyle name="Normal 11 5 2 3 3 2 2 2" xfId="56334" xr:uid="{00000000-0005-0000-0000-0000FE5B0000}"/>
    <cellStyle name="Normal 11 5 2 3 3 2 3" xfId="42772" xr:uid="{00000000-0005-0000-0000-0000FF5B0000}"/>
    <cellStyle name="Normal 11 5 2 3 3 3" xfId="22420" xr:uid="{00000000-0005-0000-0000-0000005C0000}"/>
    <cellStyle name="Normal 11 5 2 3 3 3 2" xfId="49553" xr:uid="{00000000-0005-0000-0000-0000015C0000}"/>
    <cellStyle name="Normal 11 5 2 3 3 4" xfId="35991" xr:uid="{00000000-0005-0000-0000-0000025C0000}"/>
    <cellStyle name="Normal 11 5 2 3 4" xfId="12244" xr:uid="{00000000-0005-0000-0000-0000035C0000}"/>
    <cellStyle name="Normal 11 5 2 3 4 2" xfId="25812" xr:uid="{00000000-0005-0000-0000-0000045C0000}"/>
    <cellStyle name="Normal 11 5 2 3 4 2 2" xfId="52945" xr:uid="{00000000-0005-0000-0000-0000055C0000}"/>
    <cellStyle name="Normal 11 5 2 3 4 3" xfId="39383" xr:uid="{00000000-0005-0000-0000-0000065C0000}"/>
    <cellStyle name="Normal 11 5 2 3 5" xfId="19031" xr:uid="{00000000-0005-0000-0000-0000075C0000}"/>
    <cellStyle name="Normal 11 5 2 3 5 2" xfId="46164" xr:uid="{00000000-0005-0000-0000-0000085C0000}"/>
    <cellStyle name="Normal 11 5 2 3 6" xfId="32602" xr:uid="{00000000-0005-0000-0000-0000095C0000}"/>
    <cellStyle name="Normal 11 5 2 4" xfId="5295" xr:uid="{00000000-0005-0000-0000-00000A5C0000}"/>
    <cellStyle name="Normal 11 5 2 4 2" xfId="8845" xr:uid="{00000000-0005-0000-0000-00000B5C0000}"/>
    <cellStyle name="Normal 11 5 2 4 2 2" xfId="15635" xr:uid="{00000000-0005-0000-0000-00000C5C0000}"/>
    <cellStyle name="Normal 11 5 2 4 2 2 2" xfId="29203" xr:uid="{00000000-0005-0000-0000-00000D5C0000}"/>
    <cellStyle name="Normal 11 5 2 4 2 2 2 2" xfId="56336" xr:uid="{00000000-0005-0000-0000-00000E5C0000}"/>
    <cellStyle name="Normal 11 5 2 4 2 2 3" xfId="42774" xr:uid="{00000000-0005-0000-0000-00000F5C0000}"/>
    <cellStyle name="Normal 11 5 2 4 2 3" xfId="22422" xr:uid="{00000000-0005-0000-0000-0000105C0000}"/>
    <cellStyle name="Normal 11 5 2 4 2 3 2" xfId="49555" xr:uid="{00000000-0005-0000-0000-0000115C0000}"/>
    <cellStyle name="Normal 11 5 2 4 2 4" xfId="35993" xr:uid="{00000000-0005-0000-0000-0000125C0000}"/>
    <cellStyle name="Normal 11 5 2 4 3" xfId="12246" xr:uid="{00000000-0005-0000-0000-0000135C0000}"/>
    <cellStyle name="Normal 11 5 2 4 3 2" xfId="25814" xr:uid="{00000000-0005-0000-0000-0000145C0000}"/>
    <cellStyle name="Normal 11 5 2 4 3 2 2" xfId="52947" xr:uid="{00000000-0005-0000-0000-0000155C0000}"/>
    <cellStyle name="Normal 11 5 2 4 3 3" xfId="39385" xr:uid="{00000000-0005-0000-0000-0000165C0000}"/>
    <cellStyle name="Normal 11 5 2 4 4" xfId="19033" xr:uid="{00000000-0005-0000-0000-0000175C0000}"/>
    <cellStyle name="Normal 11 5 2 4 4 2" xfId="46166" xr:uid="{00000000-0005-0000-0000-0000185C0000}"/>
    <cellStyle name="Normal 11 5 2 4 5" xfId="32604" xr:uid="{00000000-0005-0000-0000-0000195C0000}"/>
    <cellStyle name="Normal 11 5 2 5" xfId="5296" xr:uid="{00000000-0005-0000-0000-00001A5C0000}"/>
    <cellStyle name="Normal 11 5 2 5 2" xfId="8846" xr:uid="{00000000-0005-0000-0000-00001B5C0000}"/>
    <cellStyle name="Normal 11 5 2 5 2 2" xfId="15636" xr:uid="{00000000-0005-0000-0000-00001C5C0000}"/>
    <cellStyle name="Normal 11 5 2 5 2 2 2" xfId="29204" xr:uid="{00000000-0005-0000-0000-00001D5C0000}"/>
    <cellStyle name="Normal 11 5 2 5 2 2 2 2" xfId="56337" xr:uid="{00000000-0005-0000-0000-00001E5C0000}"/>
    <cellStyle name="Normal 11 5 2 5 2 2 3" xfId="42775" xr:uid="{00000000-0005-0000-0000-00001F5C0000}"/>
    <cellStyle name="Normal 11 5 2 5 2 3" xfId="22423" xr:uid="{00000000-0005-0000-0000-0000205C0000}"/>
    <cellStyle name="Normal 11 5 2 5 2 3 2" xfId="49556" xr:uid="{00000000-0005-0000-0000-0000215C0000}"/>
    <cellStyle name="Normal 11 5 2 5 2 4" xfId="35994" xr:uid="{00000000-0005-0000-0000-0000225C0000}"/>
    <cellStyle name="Normal 11 5 2 5 3" xfId="12247" xr:uid="{00000000-0005-0000-0000-0000235C0000}"/>
    <cellStyle name="Normal 11 5 2 5 3 2" xfId="25815" xr:uid="{00000000-0005-0000-0000-0000245C0000}"/>
    <cellStyle name="Normal 11 5 2 5 3 2 2" xfId="52948" xr:uid="{00000000-0005-0000-0000-0000255C0000}"/>
    <cellStyle name="Normal 11 5 2 5 3 3" xfId="39386" xr:uid="{00000000-0005-0000-0000-0000265C0000}"/>
    <cellStyle name="Normal 11 5 2 5 4" xfId="19034" xr:uid="{00000000-0005-0000-0000-0000275C0000}"/>
    <cellStyle name="Normal 11 5 2 5 4 2" xfId="46167" xr:uid="{00000000-0005-0000-0000-0000285C0000}"/>
    <cellStyle name="Normal 11 5 2 5 5" xfId="32605" xr:uid="{00000000-0005-0000-0000-0000295C0000}"/>
    <cellStyle name="Normal 11 5 2 6" xfId="8839" xr:uid="{00000000-0005-0000-0000-00002A5C0000}"/>
    <cellStyle name="Normal 11 5 2 6 2" xfId="15629" xr:uid="{00000000-0005-0000-0000-00002B5C0000}"/>
    <cellStyle name="Normal 11 5 2 6 2 2" xfId="29197" xr:uid="{00000000-0005-0000-0000-00002C5C0000}"/>
    <cellStyle name="Normal 11 5 2 6 2 2 2" xfId="56330" xr:uid="{00000000-0005-0000-0000-00002D5C0000}"/>
    <cellStyle name="Normal 11 5 2 6 2 3" xfId="42768" xr:uid="{00000000-0005-0000-0000-00002E5C0000}"/>
    <cellStyle name="Normal 11 5 2 6 3" xfId="22416" xr:uid="{00000000-0005-0000-0000-00002F5C0000}"/>
    <cellStyle name="Normal 11 5 2 6 3 2" xfId="49549" xr:uid="{00000000-0005-0000-0000-0000305C0000}"/>
    <cellStyle name="Normal 11 5 2 6 4" xfId="35987" xr:uid="{00000000-0005-0000-0000-0000315C0000}"/>
    <cellStyle name="Normal 11 5 2 7" xfId="12240" xr:uid="{00000000-0005-0000-0000-0000325C0000}"/>
    <cellStyle name="Normal 11 5 2 7 2" xfId="25808" xr:uid="{00000000-0005-0000-0000-0000335C0000}"/>
    <cellStyle name="Normal 11 5 2 7 2 2" xfId="52941" xr:uid="{00000000-0005-0000-0000-0000345C0000}"/>
    <cellStyle name="Normal 11 5 2 7 3" xfId="39379" xr:uid="{00000000-0005-0000-0000-0000355C0000}"/>
    <cellStyle name="Normal 11 5 2 8" xfId="19027" xr:uid="{00000000-0005-0000-0000-0000365C0000}"/>
    <cellStyle name="Normal 11 5 2 8 2" xfId="46160" xr:uid="{00000000-0005-0000-0000-0000375C0000}"/>
    <cellStyle name="Normal 11 5 2 9" xfId="32598" xr:uid="{00000000-0005-0000-0000-0000385C0000}"/>
    <cellStyle name="Normal 11 5 3" xfId="5297" xr:uid="{00000000-0005-0000-0000-0000395C0000}"/>
    <cellStyle name="Normal 11 5 3 2" xfId="5298" xr:uid="{00000000-0005-0000-0000-00003A5C0000}"/>
    <cellStyle name="Normal 11 5 3 2 2" xfId="8848" xr:uid="{00000000-0005-0000-0000-00003B5C0000}"/>
    <cellStyle name="Normal 11 5 3 2 2 2" xfId="15638" xr:uid="{00000000-0005-0000-0000-00003C5C0000}"/>
    <cellStyle name="Normal 11 5 3 2 2 2 2" xfId="29206" xr:uid="{00000000-0005-0000-0000-00003D5C0000}"/>
    <cellStyle name="Normal 11 5 3 2 2 2 2 2" xfId="56339" xr:uid="{00000000-0005-0000-0000-00003E5C0000}"/>
    <cellStyle name="Normal 11 5 3 2 2 2 3" xfId="42777" xr:uid="{00000000-0005-0000-0000-00003F5C0000}"/>
    <cellStyle name="Normal 11 5 3 2 2 3" xfId="22425" xr:uid="{00000000-0005-0000-0000-0000405C0000}"/>
    <cellStyle name="Normal 11 5 3 2 2 3 2" xfId="49558" xr:uid="{00000000-0005-0000-0000-0000415C0000}"/>
    <cellStyle name="Normal 11 5 3 2 2 4" xfId="35996" xr:uid="{00000000-0005-0000-0000-0000425C0000}"/>
    <cellStyle name="Normal 11 5 3 2 3" xfId="12249" xr:uid="{00000000-0005-0000-0000-0000435C0000}"/>
    <cellStyle name="Normal 11 5 3 2 3 2" xfId="25817" xr:uid="{00000000-0005-0000-0000-0000445C0000}"/>
    <cellStyle name="Normal 11 5 3 2 3 2 2" xfId="52950" xr:uid="{00000000-0005-0000-0000-0000455C0000}"/>
    <cellStyle name="Normal 11 5 3 2 3 3" xfId="39388" xr:uid="{00000000-0005-0000-0000-0000465C0000}"/>
    <cellStyle name="Normal 11 5 3 2 4" xfId="19036" xr:uid="{00000000-0005-0000-0000-0000475C0000}"/>
    <cellStyle name="Normal 11 5 3 2 4 2" xfId="46169" xr:uid="{00000000-0005-0000-0000-0000485C0000}"/>
    <cellStyle name="Normal 11 5 3 2 5" xfId="32607" xr:uid="{00000000-0005-0000-0000-0000495C0000}"/>
    <cellStyle name="Normal 11 5 3 3" xfId="5299" xr:uid="{00000000-0005-0000-0000-00004A5C0000}"/>
    <cellStyle name="Normal 11 5 3 3 2" xfId="8849" xr:uid="{00000000-0005-0000-0000-00004B5C0000}"/>
    <cellStyle name="Normal 11 5 3 3 2 2" xfId="15639" xr:uid="{00000000-0005-0000-0000-00004C5C0000}"/>
    <cellStyle name="Normal 11 5 3 3 2 2 2" xfId="29207" xr:uid="{00000000-0005-0000-0000-00004D5C0000}"/>
    <cellStyle name="Normal 11 5 3 3 2 2 2 2" xfId="56340" xr:uid="{00000000-0005-0000-0000-00004E5C0000}"/>
    <cellStyle name="Normal 11 5 3 3 2 2 3" xfId="42778" xr:uid="{00000000-0005-0000-0000-00004F5C0000}"/>
    <cellStyle name="Normal 11 5 3 3 2 3" xfId="22426" xr:uid="{00000000-0005-0000-0000-0000505C0000}"/>
    <cellStyle name="Normal 11 5 3 3 2 3 2" xfId="49559" xr:uid="{00000000-0005-0000-0000-0000515C0000}"/>
    <cellStyle name="Normal 11 5 3 3 2 4" xfId="35997" xr:uid="{00000000-0005-0000-0000-0000525C0000}"/>
    <cellStyle name="Normal 11 5 3 3 3" xfId="12250" xr:uid="{00000000-0005-0000-0000-0000535C0000}"/>
    <cellStyle name="Normal 11 5 3 3 3 2" xfId="25818" xr:uid="{00000000-0005-0000-0000-0000545C0000}"/>
    <cellStyle name="Normal 11 5 3 3 3 2 2" xfId="52951" xr:uid="{00000000-0005-0000-0000-0000555C0000}"/>
    <cellStyle name="Normal 11 5 3 3 3 3" xfId="39389" xr:uid="{00000000-0005-0000-0000-0000565C0000}"/>
    <cellStyle name="Normal 11 5 3 3 4" xfId="19037" xr:uid="{00000000-0005-0000-0000-0000575C0000}"/>
    <cellStyle name="Normal 11 5 3 3 4 2" xfId="46170" xr:uid="{00000000-0005-0000-0000-0000585C0000}"/>
    <cellStyle name="Normal 11 5 3 3 5" xfId="32608" xr:uid="{00000000-0005-0000-0000-0000595C0000}"/>
    <cellStyle name="Normal 11 5 3 4" xfId="8847" xr:uid="{00000000-0005-0000-0000-00005A5C0000}"/>
    <cellStyle name="Normal 11 5 3 4 2" xfId="15637" xr:uid="{00000000-0005-0000-0000-00005B5C0000}"/>
    <cellStyle name="Normal 11 5 3 4 2 2" xfId="29205" xr:uid="{00000000-0005-0000-0000-00005C5C0000}"/>
    <cellStyle name="Normal 11 5 3 4 2 2 2" xfId="56338" xr:uid="{00000000-0005-0000-0000-00005D5C0000}"/>
    <cellStyle name="Normal 11 5 3 4 2 3" xfId="42776" xr:uid="{00000000-0005-0000-0000-00005E5C0000}"/>
    <cellStyle name="Normal 11 5 3 4 3" xfId="22424" xr:uid="{00000000-0005-0000-0000-00005F5C0000}"/>
    <cellStyle name="Normal 11 5 3 4 3 2" xfId="49557" xr:uid="{00000000-0005-0000-0000-0000605C0000}"/>
    <cellStyle name="Normal 11 5 3 4 4" xfId="35995" xr:uid="{00000000-0005-0000-0000-0000615C0000}"/>
    <cellStyle name="Normal 11 5 3 5" xfId="12248" xr:uid="{00000000-0005-0000-0000-0000625C0000}"/>
    <cellStyle name="Normal 11 5 3 5 2" xfId="25816" xr:uid="{00000000-0005-0000-0000-0000635C0000}"/>
    <cellStyle name="Normal 11 5 3 5 2 2" xfId="52949" xr:uid="{00000000-0005-0000-0000-0000645C0000}"/>
    <cellStyle name="Normal 11 5 3 5 3" xfId="39387" xr:uid="{00000000-0005-0000-0000-0000655C0000}"/>
    <cellStyle name="Normal 11 5 3 6" xfId="19035" xr:uid="{00000000-0005-0000-0000-0000665C0000}"/>
    <cellStyle name="Normal 11 5 3 6 2" xfId="46168" xr:uid="{00000000-0005-0000-0000-0000675C0000}"/>
    <cellStyle name="Normal 11 5 3 7" xfId="32606" xr:uid="{00000000-0005-0000-0000-0000685C0000}"/>
    <cellStyle name="Normal 11 5 4" xfId="5300" xr:uid="{00000000-0005-0000-0000-0000695C0000}"/>
    <cellStyle name="Normal 11 5 4 2" xfId="5301" xr:uid="{00000000-0005-0000-0000-00006A5C0000}"/>
    <cellStyle name="Normal 11 5 4 2 2" xfId="8851" xr:uid="{00000000-0005-0000-0000-00006B5C0000}"/>
    <cellStyle name="Normal 11 5 4 2 2 2" xfId="15641" xr:uid="{00000000-0005-0000-0000-00006C5C0000}"/>
    <cellStyle name="Normal 11 5 4 2 2 2 2" xfId="29209" xr:uid="{00000000-0005-0000-0000-00006D5C0000}"/>
    <cellStyle name="Normal 11 5 4 2 2 2 2 2" xfId="56342" xr:uid="{00000000-0005-0000-0000-00006E5C0000}"/>
    <cellStyle name="Normal 11 5 4 2 2 2 3" xfId="42780" xr:uid="{00000000-0005-0000-0000-00006F5C0000}"/>
    <cellStyle name="Normal 11 5 4 2 2 3" xfId="22428" xr:uid="{00000000-0005-0000-0000-0000705C0000}"/>
    <cellStyle name="Normal 11 5 4 2 2 3 2" xfId="49561" xr:uid="{00000000-0005-0000-0000-0000715C0000}"/>
    <cellStyle name="Normal 11 5 4 2 2 4" xfId="35999" xr:uid="{00000000-0005-0000-0000-0000725C0000}"/>
    <cellStyle name="Normal 11 5 4 2 3" xfId="12252" xr:uid="{00000000-0005-0000-0000-0000735C0000}"/>
    <cellStyle name="Normal 11 5 4 2 3 2" xfId="25820" xr:uid="{00000000-0005-0000-0000-0000745C0000}"/>
    <cellStyle name="Normal 11 5 4 2 3 2 2" xfId="52953" xr:uid="{00000000-0005-0000-0000-0000755C0000}"/>
    <cellStyle name="Normal 11 5 4 2 3 3" xfId="39391" xr:uid="{00000000-0005-0000-0000-0000765C0000}"/>
    <cellStyle name="Normal 11 5 4 2 4" xfId="19039" xr:uid="{00000000-0005-0000-0000-0000775C0000}"/>
    <cellStyle name="Normal 11 5 4 2 4 2" xfId="46172" xr:uid="{00000000-0005-0000-0000-0000785C0000}"/>
    <cellStyle name="Normal 11 5 4 2 5" xfId="32610" xr:uid="{00000000-0005-0000-0000-0000795C0000}"/>
    <cellStyle name="Normal 11 5 4 3" xfId="8850" xr:uid="{00000000-0005-0000-0000-00007A5C0000}"/>
    <cellStyle name="Normal 11 5 4 3 2" xfId="15640" xr:uid="{00000000-0005-0000-0000-00007B5C0000}"/>
    <cellStyle name="Normal 11 5 4 3 2 2" xfId="29208" xr:uid="{00000000-0005-0000-0000-00007C5C0000}"/>
    <cellStyle name="Normal 11 5 4 3 2 2 2" xfId="56341" xr:uid="{00000000-0005-0000-0000-00007D5C0000}"/>
    <cellStyle name="Normal 11 5 4 3 2 3" xfId="42779" xr:uid="{00000000-0005-0000-0000-00007E5C0000}"/>
    <cellStyle name="Normal 11 5 4 3 3" xfId="22427" xr:uid="{00000000-0005-0000-0000-00007F5C0000}"/>
    <cellStyle name="Normal 11 5 4 3 3 2" xfId="49560" xr:uid="{00000000-0005-0000-0000-0000805C0000}"/>
    <cellStyle name="Normal 11 5 4 3 4" xfId="35998" xr:uid="{00000000-0005-0000-0000-0000815C0000}"/>
    <cellStyle name="Normal 11 5 4 4" xfId="12251" xr:uid="{00000000-0005-0000-0000-0000825C0000}"/>
    <cellStyle name="Normal 11 5 4 4 2" xfId="25819" xr:uid="{00000000-0005-0000-0000-0000835C0000}"/>
    <cellStyle name="Normal 11 5 4 4 2 2" xfId="52952" xr:uid="{00000000-0005-0000-0000-0000845C0000}"/>
    <cellStyle name="Normal 11 5 4 4 3" xfId="39390" xr:uid="{00000000-0005-0000-0000-0000855C0000}"/>
    <cellStyle name="Normal 11 5 4 5" xfId="19038" xr:uid="{00000000-0005-0000-0000-0000865C0000}"/>
    <cellStyle name="Normal 11 5 4 5 2" xfId="46171" xr:uid="{00000000-0005-0000-0000-0000875C0000}"/>
    <cellStyle name="Normal 11 5 4 6" xfId="32609" xr:uid="{00000000-0005-0000-0000-0000885C0000}"/>
    <cellStyle name="Normal 11 5 5" xfId="5302" xr:uid="{00000000-0005-0000-0000-0000895C0000}"/>
    <cellStyle name="Normal 11 5 5 2" xfId="8852" xr:uid="{00000000-0005-0000-0000-00008A5C0000}"/>
    <cellStyle name="Normal 11 5 5 2 2" xfId="15642" xr:uid="{00000000-0005-0000-0000-00008B5C0000}"/>
    <cellStyle name="Normal 11 5 5 2 2 2" xfId="29210" xr:uid="{00000000-0005-0000-0000-00008C5C0000}"/>
    <cellStyle name="Normal 11 5 5 2 2 2 2" xfId="56343" xr:uid="{00000000-0005-0000-0000-00008D5C0000}"/>
    <cellStyle name="Normal 11 5 5 2 2 3" xfId="42781" xr:uid="{00000000-0005-0000-0000-00008E5C0000}"/>
    <cellStyle name="Normal 11 5 5 2 3" xfId="22429" xr:uid="{00000000-0005-0000-0000-00008F5C0000}"/>
    <cellStyle name="Normal 11 5 5 2 3 2" xfId="49562" xr:uid="{00000000-0005-0000-0000-0000905C0000}"/>
    <cellStyle name="Normal 11 5 5 2 4" xfId="36000" xr:uid="{00000000-0005-0000-0000-0000915C0000}"/>
    <cellStyle name="Normal 11 5 5 3" xfId="12253" xr:uid="{00000000-0005-0000-0000-0000925C0000}"/>
    <cellStyle name="Normal 11 5 5 3 2" xfId="25821" xr:uid="{00000000-0005-0000-0000-0000935C0000}"/>
    <cellStyle name="Normal 11 5 5 3 2 2" xfId="52954" xr:uid="{00000000-0005-0000-0000-0000945C0000}"/>
    <cellStyle name="Normal 11 5 5 3 3" xfId="39392" xr:uid="{00000000-0005-0000-0000-0000955C0000}"/>
    <cellStyle name="Normal 11 5 5 4" xfId="19040" xr:uid="{00000000-0005-0000-0000-0000965C0000}"/>
    <cellStyle name="Normal 11 5 5 4 2" xfId="46173" xr:uid="{00000000-0005-0000-0000-0000975C0000}"/>
    <cellStyle name="Normal 11 5 5 5" xfId="32611" xr:uid="{00000000-0005-0000-0000-0000985C0000}"/>
    <cellStyle name="Normal 11 5 6" xfId="5303" xr:uid="{00000000-0005-0000-0000-0000995C0000}"/>
    <cellStyle name="Normal 11 5 6 2" xfId="8853" xr:uid="{00000000-0005-0000-0000-00009A5C0000}"/>
    <cellStyle name="Normal 11 5 6 2 2" xfId="15643" xr:uid="{00000000-0005-0000-0000-00009B5C0000}"/>
    <cellStyle name="Normal 11 5 6 2 2 2" xfId="29211" xr:uid="{00000000-0005-0000-0000-00009C5C0000}"/>
    <cellStyle name="Normal 11 5 6 2 2 2 2" xfId="56344" xr:uid="{00000000-0005-0000-0000-00009D5C0000}"/>
    <cellStyle name="Normal 11 5 6 2 2 3" xfId="42782" xr:uid="{00000000-0005-0000-0000-00009E5C0000}"/>
    <cellStyle name="Normal 11 5 6 2 3" xfId="22430" xr:uid="{00000000-0005-0000-0000-00009F5C0000}"/>
    <cellStyle name="Normal 11 5 6 2 3 2" xfId="49563" xr:uid="{00000000-0005-0000-0000-0000A05C0000}"/>
    <cellStyle name="Normal 11 5 6 2 4" xfId="36001" xr:uid="{00000000-0005-0000-0000-0000A15C0000}"/>
    <cellStyle name="Normal 11 5 6 3" xfId="12254" xr:uid="{00000000-0005-0000-0000-0000A25C0000}"/>
    <cellStyle name="Normal 11 5 6 3 2" xfId="25822" xr:uid="{00000000-0005-0000-0000-0000A35C0000}"/>
    <cellStyle name="Normal 11 5 6 3 2 2" xfId="52955" xr:uid="{00000000-0005-0000-0000-0000A45C0000}"/>
    <cellStyle name="Normal 11 5 6 3 3" xfId="39393" xr:uid="{00000000-0005-0000-0000-0000A55C0000}"/>
    <cellStyle name="Normal 11 5 6 4" xfId="19041" xr:uid="{00000000-0005-0000-0000-0000A65C0000}"/>
    <cellStyle name="Normal 11 5 6 4 2" xfId="46174" xr:uid="{00000000-0005-0000-0000-0000A75C0000}"/>
    <cellStyle name="Normal 11 5 6 5" xfId="32612" xr:uid="{00000000-0005-0000-0000-0000A85C0000}"/>
    <cellStyle name="Normal 11 5 7" xfId="8838" xr:uid="{00000000-0005-0000-0000-0000A95C0000}"/>
    <cellStyle name="Normal 11 5 7 2" xfId="15628" xr:uid="{00000000-0005-0000-0000-0000AA5C0000}"/>
    <cellStyle name="Normal 11 5 7 2 2" xfId="29196" xr:uid="{00000000-0005-0000-0000-0000AB5C0000}"/>
    <cellStyle name="Normal 11 5 7 2 2 2" xfId="56329" xr:uid="{00000000-0005-0000-0000-0000AC5C0000}"/>
    <cellStyle name="Normal 11 5 7 2 3" xfId="42767" xr:uid="{00000000-0005-0000-0000-0000AD5C0000}"/>
    <cellStyle name="Normal 11 5 7 3" xfId="22415" xr:uid="{00000000-0005-0000-0000-0000AE5C0000}"/>
    <cellStyle name="Normal 11 5 7 3 2" xfId="49548" xr:uid="{00000000-0005-0000-0000-0000AF5C0000}"/>
    <cellStyle name="Normal 11 5 7 4" xfId="35986" xr:uid="{00000000-0005-0000-0000-0000B05C0000}"/>
    <cellStyle name="Normal 11 5 8" xfId="12239" xr:uid="{00000000-0005-0000-0000-0000B15C0000}"/>
    <cellStyle name="Normal 11 5 8 2" xfId="25807" xr:uid="{00000000-0005-0000-0000-0000B25C0000}"/>
    <cellStyle name="Normal 11 5 8 2 2" xfId="52940" xr:uid="{00000000-0005-0000-0000-0000B35C0000}"/>
    <cellStyle name="Normal 11 5 8 3" xfId="39378" xr:uid="{00000000-0005-0000-0000-0000B45C0000}"/>
    <cellStyle name="Normal 11 5 9" xfId="19026" xr:uid="{00000000-0005-0000-0000-0000B55C0000}"/>
    <cellStyle name="Normal 11 5 9 2" xfId="46159" xr:uid="{00000000-0005-0000-0000-0000B65C0000}"/>
    <cellStyle name="Normal 11 6" xfId="5304" xr:uid="{00000000-0005-0000-0000-0000B75C0000}"/>
    <cellStyle name="Normal 11 6 2" xfId="5305" xr:uid="{00000000-0005-0000-0000-0000B85C0000}"/>
    <cellStyle name="Normal 11 6 2 2" xfId="5306" xr:uid="{00000000-0005-0000-0000-0000B95C0000}"/>
    <cellStyle name="Normal 11 6 2 2 2" xfId="8856" xr:uid="{00000000-0005-0000-0000-0000BA5C0000}"/>
    <cellStyle name="Normal 11 6 2 2 2 2" xfId="15646" xr:uid="{00000000-0005-0000-0000-0000BB5C0000}"/>
    <cellStyle name="Normal 11 6 2 2 2 2 2" xfId="29214" xr:uid="{00000000-0005-0000-0000-0000BC5C0000}"/>
    <cellStyle name="Normal 11 6 2 2 2 2 2 2" xfId="56347" xr:uid="{00000000-0005-0000-0000-0000BD5C0000}"/>
    <cellStyle name="Normal 11 6 2 2 2 2 3" xfId="42785" xr:uid="{00000000-0005-0000-0000-0000BE5C0000}"/>
    <cellStyle name="Normal 11 6 2 2 2 3" xfId="22433" xr:uid="{00000000-0005-0000-0000-0000BF5C0000}"/>
    <cellStyle name="Normal 11 6 2 2 2 3 2" xfId="49566" xr:uid="{00000000-0005-0000-0000-0000C05C0000}"/>
    <cellStyle name="Normal 11 6 2 2 2 4" xfId="36004" xr:uid="{00000000-0005-0000-0000-0000C15C0000}"/>
    <cellStyle name="Normal 11 6 2 2 3" xfId="12257" xr:uid="{00000000-0005-0000-0000-0000C25C0000}"/>
    <cellStyle name="Normal 11 6 2 2 3 2" xfId="25825" xr:uid="{00000000-0005-0000-0000-0000C35C0000}"/>
    <cellStyle name="Normal 11 6 2 2 3 2 2" xfId="52958" xr:uid="{00000000-0005-0000-0000-0000C45C0000}"/>
    <cellStyle name="Normal 11 6 2 2 3 3" xfId="39396" xr:uid="{00000000-0005-0000-0000-0000C55C0000}"/>
    <cellStyle name="Normal 11 6 2 2 4" xfId="19044" xr:uid="{00000000-0005-0000-0000-0000C65C0000}"/>
    <cellStyle name="Normal 11 6 2 2 4 2" xfId="46177" xr:uid="{00000000-0005-0000-0000-0000C75C0000}"/>
    <cellStyle name="Normal 11 6 2 2 5" xfId="32615" xr:uid="{00000000-0005-0000-0000-0000C85C0000}"/>
    <cellStyle name="Normal 11 6 2 3" xfId="5307" xr:uid="{00000000-0005-0000-0000-0000C95C0000}"/>
    <cellStyle name="Normal 11 6 2 3 2" xfId="8857" xr:uid="{00000000-0005-0000-0000-0000CA5C0000}"/>
    <cellStyle name="Normal 11 6 2 3 2 2" xfId="15647" xr:uid="{00000000-0005-0000-0000-0000CB5C0000}"/>
    <cellStyle name="Normal 11 6 2 3 2 2 2" xfId="29215" xr:uid="{00000000-0005-0000-0000-0000CC5C0000}"/>
    <cellStyle name="Normal 11 6 2 3 2 2 2 2" xfId="56348" xr:uid="{00000000-0005-0000-0000-0000CD5C0000}"/>
    <cellStyle name="Normal 11 6 2 3 2 2 3" xfId="42786" xr:uid="{00000000-0005-0000-0000-0000CE5C0000}"/>
    <cellStyle name="Normal 11 6 2 3 2 3" xfId="22434" xr:uid="{00000000-0005-0000-0000-0000CF5C0000}"/>
    <cellStyle name="Normal 11 6 2 3 2 3 2" xfId="49567" xr:uid="{00000000-0005-0000-0000-0000D05C0000}"/>
    <cellStyle name="Normal 11 6 2 3 2 4" xfId="36005" xr:uid="{00000000-0005-0000-0000-0000D15C0000}"/>
    <cellStyle name="Normal 11 6 2 3 3" xfId="12258" xr:uid="{00000000-0005-0000-0000-0000D25C0000}"/>
    <cellStyle name="Normal 11 6 2 3 3 2" xfId="25826" xr:uid="{00000000-0005-0000-0000-0000D35C0000}"/>
    <cellStyle name="Normal 11 6 2 3 3 2 2" xfId="52959" xr:uid="{00000000-0005-0000-0000-0000D45C0000}"/>
    <cellStyle name="Normal 11 6 2 3 3 3" xfId="39397" xr:uid="{00000000-0005-0000-0000-0000D55C0000}"/>
    <cellStyle name="Normal 11 6 2 3 4" xfId="19045" xr:uid="{00000000-0005-0000-0000-0000D65C0000}"/>
    <cellStyle name="Normal 11 6 2 3 4 2" xfId="46178" xr:uid="{00000000-0005-0000-0000-0000D75C0000}"/>
    <cellStyle name="Normal 11 6 2 3 5" xfId="32616" xr:uid="{00000000-0005-0000-0000-0000D85C0000}"/>
    <cellStyle name="Normal 11 6 2 4" xfId="8855" xr:uid="{00000000-0005-0000-0000-0000D95C0000}"/>
    <cellStyle name="Normal 11 6 2 4 2" xfId="15645" xr:uid="{00000000-0005-0000-0000-0000DA5C0000}"/>
    <cellStyle name="Normal 11 6 2 4 2 2" xfId="29213" xr:uid="{00000000-0005-0000-0000-0000DB5C0000}"/>
    <cellStyle name="Normal 11 6 2 4 2 2 2" xfId="56346" xr:uid="{00000000-0005-0000-0000-0000DC5C0000}"/>
    <cellStyle name="Normal 11 6 2 4 2 3" xfId="42784" xr:uid="{00000000-0005-0000-0000-0000DD5C0000}"/>
    <cellStyle name="Normal 11 6 2 4 3" xfId="22432" xr:uid="{00000000-0005-0000-0000-0000DE5C0000}"/>
    <cellStyle name="Normal 11 6 2 4 3 2" xfId="49565" xr:uid="{00000000-0005-0000-0000-0000DF5C0000}"/>
    <cellStyle name="Normal 11 6 2 4 4" xfId="36003" xr:uid="{00000000-0005-0000-0000-0000E05C0000}"/>
    <cellStyle name="Normal 11 6 2 5" xfId="12256" xr:uid="{00000000-0005-0000-0000-0000E15C0000}"/>
    <cellStyle name="Normal 11 6 2 5 2" xfId="25824" xr:uid="{00000000-0005-0000-0000-0000E25C0000}"/>
    <cellStyle name="Normal 11 6 2 5 2 2" xfId="52957" xr:uid="{00000000-0005-0000-0000-0000E35C0000}"/>
    <cellStyle name="Normal 11 6 2 5 3" xfId="39395" xr:uid="{00000000-0005-0000-0000-0000E45C0000}"/>
    <cellStyle name="Normal 11 6 2 6" xfId="19043" xr:uid="{00000000-0005-0000-0000-0000E55C0000}"/>
    <cellStyle name="Normal 11 6 2 6 2" xfId="46176" xr:uid="{00000000-0005-0000-0000-0000E65C0000}"/>
    <cellStyle name="Normal 11 6 2 7" xfId="32614" xr:uid="{00000000-0005-0000-0000-0000E75C0000}"/>
    <cellStyle name="Normal 11 6 3" xfId="5308" xr:uid="{00000000-0005-0000-0000-0000E85C0000}"/>
    <cellStyle name="Normal 11 6 3 2" xfId="5309" xr:uid="{00000000-0005-0000-0000-0000E95C0000}"/>
    <cellStyle name="Normal 11 6 3 2 2" xfId="8859" xr:uid="{00000000-0005-0000-0000-0000EA5C0000}"/>
    <cellStyle name="Normal 11 6 3 2 2 2" xfId="15649" xr:uid="{00000000-0005-0000-0000-0000EB5C0000}"/>
    <cellStyle name="Normal 11 6 3 2 2 2 2" xfId="29217" xr:uid="{00000000-0005-0000-0000-0000EC5C0000}"/>
    <cellStyle name="Normal 11 6 3 2 2 2 2 2" xfId="56350" xr:uid="{00000000-0005-0000-0000-0000ED5C0000}"/>
    <cellStyle name="Normal 11 6 3 2 2 2 3" xfId="42788" xr:uid="{00000000-0005-0000-0000-0000EE5C0000}"/>
    <cellStyle name="Normal 11 6 3 2 2 3" xfId="22436" xr:uid="{00000000-0005-0000-0000-0000EF5C0000}"/>
    <cellStyle name="Normal 11 6 3 2 2 3 2" xfId="49569" xr:uid="{00000000-0005-0000-0000-0000F05C0000}"/>
    <cellStyle name="Normal 11 6 3 2 2 4" xfId="36007" xr:uid="{00000000-0005-0000-0000-0000F15C0000}"/>
    <cellStyle name="Normal 11 6 3 2 3" xfId="12260" xr:uid="{00000000-0005-0000-0000-0000F25C0000}"/>
    <cellStyle name="Normal 11 6 3 2 3 2" xfId="25828" xr:uid="{00000000-0005-0000-0000-0000F35C0000}"/>
    <cellStyle name="Normal 11 6 3 2 3 2 2" xfId="52961" xr:uid="{00000000-0005-0000-0000-0000F45C0000}"/>
    <cellStyle name="Normal 11 6 3 2 3 3" xfId="39399" xr:uid="{00000000-0005-0000-0000-0000F55C0000}"/>
    <cellStyle name="Normal 11 6 3 2 4" xfId="19047" xr:uid="{00000000-0005-0000-0000-0000F65C0000}"/>
    <cellStyle name="Normal 11 6 3 2 4 2" xfId="46180" xr:uid="{00000000-0005-0000-0000-0000F75C0000}"/>
    <cellStyle name="Normal 11 6 3 2 5" xfId="32618" xr:uid="{00000000-0005-0000-0000-0000F85C0000}"/>
    <cellStyle name="Normal 11 6 3 3" xfId="8858" xr:uid="{00000000-0005-0000-0000-0000F95C0000}"/>
    <cellStyle name="Normal 11 6 3 3 2" xfId="15648" xr:uid="{00000000-0005-0000-0000-0000FA5C0000}"/>
    <cellStyle name="Normal 11 6 3 3 2 2" xfId="29216" xr:uid="{00000000-0005-0000-0000-0000FB5C0000}"/>
    <cellStyle name="Normal 11 6 3 3 2 2 2" xfId="56349" xr:uid="{00000000-0005-0000-0000-0000FC5C0000}"/>
    <cellStyle name="Normal 11 6 3 3 2 3" xfId="42787" xr:uid="{00000000-0005-0000-0000-0000FD5C0000}"/>
    <cellStyle name="Normal 11 6 3 3 3" xfId="22435" xr:uid="{00000000-0005-0000-0000-0000FE5C0000}"/>
    <cellStyle name="Normal 11 6 3 3 3 2" xfId="49568" xr:uid="{00000000-0005-0000-0000-0000FF5C0000}"/>
    <cellStyle name="Normal 11 6 3 3 4" xfId="36006" xr:uid="{00000000-0005-0000-0000-0000005D0000}"/>
    <cellStyle name="Normal 11 6 3 4" xfId="12259" xr:uid="{00000000-0005-0000-0000-0000015D0000}"/>
    <cellStyle name="Normal 11 6 3 4 2" xfId="25827" xr:uid="{00000000-0005-0000-0000-0000025D0000}"/>
    <cellStyle name="Normal 11 6 3 4 2 2" xfId="52960" xr:uid="{00000000-0005-0000-0000-0000035D0000}"/>
    <cellStyle name="Normal 11 6 3 4 3" xfId="39398" xr:uid="{00000000-0005-0000-0000-0000045D0000}"/>
    <cellStyle name="Normal 11 6 3 5" xfId="19046" xr:uid="{00000000-0005-0000-0000-0000055D0000}"/>
    <cellStyle name="Normal 11 6 3 5 2" xfId="46179" xr:uid="{00000000-0005-0000-0000-0000065D0000}"/>
    <cellStyle name="Normal 11 6 3 6" xfId="32617" xr:uid="{00000000-0005-0000-0000-0000075D0000}"/>
    <cellStyle name="Normal 11 6 4" xfId="5310" xr:uid="{00000000-0005-0000-0000-0000085D0000}"/>
    <cellStyle name="Normal 11 6 4 2" xfId="8860" xr:uid="{00000000-0005-0000-0000-0000095D0000}"/>
    <cellStyle name="Normal 11 6 4 2 2" xfId="15650" xr:uid="{00000000-0005-0000-0000-00000A5D0000}"/>
    <cellStyle name="Normal 11 6 4 2 2 2" xfId="29218" xr:uid="{00000000-0005-0000-0000-00000B5D0000}"/>
    <cellStyle name="Normal 11 6 4 2 2 2 2" xfId="56351" xr:uid="{00000000-0005-0000-0000-00000C5D0000}"/>
    <cellStyle name="Normal 11 6 4 2 2 3" xfId="42789" xr:uid="{00000000-0005-0000-0000-00000D5D0000}"/>
    <cellStyle name="Normal 11 6 4 2 3" xfId="22437" xr:uid="{00000000-0005-0000-0000-00000E5D0000}"/>
    <cellStyle name="Normal 11 6 4 2 3 2" xfId="49570" xr:uid="{00000000-0005-0000-0000-00000F5D0000}"/>
    <cellStyle name="Normal 11 6 4 2 4" xfId="36008" xr:uid="{00000000-0005-0000-0000-0000105D0000}"/>
    <cellStyle name="Normal 11 6 4 3" xfId="12261" xr:uid="{00000000-0005-0000-0000-0000115D0000}"/>
    <cellStyle name="Normal 11 6 4 3 2" xfId="25829" xr:uid="{00000000-0005-0000-0000-0000125D0000}"/>
    <cellStyle name="Normal 11 6 4 3 2 2" xfId="52962" xr:uid="{00000000-0005-0000-0000-0000135D0000}"/>
    <cellStyle name="Normal 11 6 4 3 3" xfId="39400" xr:uid="{00000000-0005-0000-0000-0000145D0000}"/>
    <cellStyle name="Normal 11 6 4 4" xfId="19048" xr:uid="{00000000-0005-0000-0000-0000155D0000}"/>
    <cellStyle name="Normal 11 6 4 4 2" xfId="46181" xr:uid="{00000000-0005-0000-0000-0000165D0000}"/>
    <cellStyle name="Normal 11 6 4 5" xfId="32619" xr:uid="{00000000-0005-0000-0000-0000175D0000}"/>
    <cellStyle name="Normal 11 6 5" xfId="5311" xr:uid="{00000000-0005-0000-0000-0000185D0000}"/>
    <cellStyle name="Normal 11 6 5 2" xfId="8861" xr:uid="{00000000-0005-0000-0000-0000195D0000}"/>
    <cellStyle name="Normal 11 6 5 2 2" xfId="15651" xr:uid="{00000000-0005-0000-0000-00001A5D0000}"/>
    <cellStyle name="Normal 11 6 5 2 2 2" xfId="29219" xr:uid="{00000000-0005-0000-0000-00001B5D0000}"/>
    <cellStyle name="Normal 11 6 5 2 2 2 2" xfId="56352" xr:uid="{00000000-0005-0000-0000-00001C5D0000}"/>
    <cellStyle name="Normal 11 6 5 2 2 3" xfId="42790" xr:uid="{00000000-0005-0000-0000-00001D5D0000}"/>
    <cellStyle name="Normal 11 6 5 2 3" xfId="22438" xr:uid="{00000000-0005-0000-0000-00001E5D0000}"/>
    <cellStyle name="Normal 11 6 5 2 3 2" xfId="49571" xr:uid="{00000000-0005-0000-0000-00001F5D0000}"/>
    <cellStyle name="Normal 11 6 5 2 4" xfId="36009" xr:uid="{00000000-0005-0000-0000-0000205D0000}"/>
    <cellStyle name="Normal 11 6 5 3" xfId="12262" xr:uid="{00000000-0005-0000-0000-0000215D0000}"/>
    <cellStyle name="Normal 11 6 5 3 2" xfId="25830" xr:uid="{00000000-0005-0000-0000-0000225D0000}"/>
    <cellStyle name="Normal 11 6 5 3 2 2" xfId="52963" xr:uid="{00000000-0005-0000-0000-0000235D0000}"/>
    <cellStyle name="Normal 11 6 5 3 3" xfId="39401" xr:uid="{00000000-0005-0000-0000-0000245D0000}"/>
    <cellStyle name="Normal 11 6 5 4" xfId="19049" xr:uid="{00000000-0005-0000-0000-0000255D0000}"/>
    <cellStyle name="Normal 11 6 5 4 2" xfId="46182" xr:uid="{00000000-0005-0000-0000-0000265D0000}"/>
    <cellStyle name="Normal 11 6 5 5" xfId="32620" xr:uid="{00000000-0005-0000-0000-0000275D0000}"/>
    <cellStyle name="Normal 11 6 6" xfId="8854" xr:uid="{00000000-0005-0000-0000-0000285D0000}"/>
    <cellStyle name="Normal 11 6 6 2" xfId="15644" xr:uid="{00000000-0005-0000-0000-0000295D0000}"/>
    <cellStyle name="Normal 11 6 6 2 2" xfId="29212" xr:uid="{00000000-0005-0000-0000-00002A5D0000}"/>
    <cellStyle name="Normal 11 6 6 2 2 2" xfId="56345" xr:uid="{00000000-0005-0000-0000-00002B5D0000}"/>
    <cellStyle name="Normal 11 6 6 2 3" xfId="42783" xr:uid="{00000000-0005-0000-0000-00002C5D0000}"/>
    <cellStyle name="Normal 11 6 6 3" xfId="22431" xr:uid="{00000000-0005-0000-0000-00002D5D0000}"/>
    <cellStyle name="Normal 11 6 6 3 2" xfId="49564" xr:uid="{00000000-0005-0000-0000-00002E5D0000}"/>
    <cellStyle name="Normal 11 6 6 4" xfId="36002" xr:uid="{00000000-0005-0000-0000-00002F5D0000}"/>
    <cellStyle name="Normal 11 6 7" xfId="12255" xr:uid="{00000000-0005-0000-0000-0000305D0000}"/>
    <cellStyle name="Normal 11 6 7 2" xfId="25823" xr:uid="{00000000-0005-0000-0000-0000315D0000}"/>
    <cellStyle name="Normal 11 6 7 2 2" xfId="52956" xr:uid="{00000000-0005-0000-0000-0000325D0000}"/>
    <cellStyle name="Normal 11 6 7 3" xfId="39394" xr:uid="{00000000-0005-0000-0000-0000335D0000}"/>
    <cellStyle name="Normal 11 6 8" xfId="19042" xr:uid="{00000000-0005-0000-0000-0000345D0000}"/>
    <cellStyle name="Normal 11 6 8 2" xfId="46175" xr:uid="{00000000-0005-0000-0000-0000355D0000}"/>
    <cellStyle name="Normal 11 6 9" xfId="32613" xr:uid="{00000000-0005-0000-0000-0000365D0000}"/>
    <cellStyle name="Normal 11 7" xfId="5312" xr:uid="{00000000-0005-0000-0000-0000375D0000}"/>
    <cellStyle name="Normal 11 7 2" xfId="5313" xr:uid="{00000000-0005-0000-0000-0000385D0000}"/>
    <cellStyle name="Normal 11 7 2 2" xfId="5314" xr:uid="{00000000-0005-0000-0000-0000395D0000}"/>
    <cellStyle name="Normal 11 7 2 2 2" xfId="8864" xr:uid="{00000000-0005-0000-0000-00003A5D0000}"/>
    <cellStyle name="Normal 11 7 2 2 2 2" xfId="15654" xr:uid="{00000000-0005-0000-0000-00003B5D0000}"/>
    <cellStyle name="Normal 11 7 2 2 2 2 2" xfId="29222" xr:uid="{00000000-0005-0000-0000-00003C5D0000}"/>
    <cellStyle name="Normal 11 7 2 2 2 2 2 2" xfId="56355" xr:uid="{00000000-0005-0000-0000-00003D5D0000}"/>
    <cellStyle name="Normal 11 7 2 2 2 2 3" xfId="42793" xr:uid="{00000000-0005-0000-0000-00003E5D0000}"/>
    <cellStyle name="Normal 11 7 2 2 2 3" xfId="22441" xr:uid="{00000000-0005-0000-0000-00003F5D0000}"/>
    <cellStyle name="Normal 11 7 2 2 2 3 2" xfId="49574" xr:uid="{00000000-0005-0000-0000-0000405D0000}"/>
    <cellStyle name="Normal 11 7 2 2 2 4" xfId="36012" xr:uid="{00000000-0005-0000-0000-0000415D0000}"/>
    <cellStyle name="Normal 11 7 2 2 3" xfId="12265" xr:uid="{00000000-0005-0000-0000-0000425D0000}"/>
    <cellStyle name="Normal 11 7 2 2 3 2" xfId="25833" xr:uid="{00000000-0005-0000-0000-0000435D0000}"/>
    <cellStyle name="Normal 11 7 2 2 3 2 2" xfId="52966" xr:uid="{00000000-0005-0000-0000-0000445D0000}"/>
    <cellStyle name="Normal 11 7 2 2 3 3" xfId="39404" xr:uid="{00000000-0005-0000-0000-0000455D0000}"/>
    <cellStyle name="Normal 11 7 2 2 4" xfId="19052" xr:uid="{00000000-0005-0000-0000-0000465D0000}"/>
    <cellStyle name="Normal 11 7 2 2 4 2" xfId="46185" xr:uid="{00000000-0005-0000-0000-0000475D0000}"/>
    <cellStyle name="Normal 11 7 2 2 5" xfId="32623" xr:uid="{00000000-0005-0000-0000-0000485D0000}"/>
    <cellStyle name="Normal 11 7 2 3" xfId="5315" xr:uid="{00000000-0005-0000-0000-0000495D0000}"/>
    <cellStyle name="Normal 11 7 2 3 2" xfId="8865" xr:uid="{00000000-0005-0000-0000-00004A5D0000}"/>
    <cellStyle name="Normal 11 7 2 3 2 2" xfId="15655" xr:uid="{00000000-0005-0000-0000-00004B5D0000}"/>
    <cellStyle name="Normal 11 7 2 3 2 2 2" xfId="29223" xr:uid="{00000000-0005-0000-0000-00004C5D0000}"/>
    <cellStyle name="Normal 11 7 2 3 2 2 2 2" xfId="56356" xr:uid="{00000000-0005-0000-0000-00004D5D0000}"/>
    <cellStyle name="Normal 11 7 2 3 2 2 3" xfId="42794" xr:uid="{00000000-0005-0000-0000-00004E5D0000}"/>
    <cellStyle name="Normal 11 7 2 3 2 3" xfId="22442" xr:uid="{00000000-0005-0000-0000-00004F5D0000}"/>
    <cellStyle name="Normal 11 7 2 3 2 3 2" xfId="49575" xr:uid="{00000000-0005-0000-0000-0000505D0000}"/>
    <cellStyle name="Normal 11 7 2 3 2 4" xfId="36013" xr:uid="{00000000-0005-0000-0000-0000515D0000}"/>
    <cellStyle name="Normal 11 7 2 3 3" xfId="12266" xr:uid="{00000000-0005-0000-0000-0000525D0000}"/>
    <cellStyle name="Normal 11 7 2 3 3 2" xfId="25834" xr:uid="{00000000-0005-0000-0000-0000535D0000}"/>
    <cellStyle name="Normal 11 7 2 3 3 2 2" xfId="52967" xr:uid="{00000000-0005-0000-0000-0000545D0000}"/>
    <cellStyle name="Normal 11 7 2 3 3 3" xfId="39405" xr:uid="{00000000-0005-0000-0000-0000555D0000}"/>
    <cellStyle name="Normal 11 7 2 3 4" xfId="19053" xr:uid="{00000000-0005-0000-0000-0000565D0000}"/>
    <cellStyle name="Normal 11 7 2 3 4 2" xfId="46186" xr:uid="{00000000-0005-0000-0000-0000575D0000}"/>
    <cellStyle name="Normal 11 7 2 3 5" xfId="32624" xr:uid="{00000000-0005-0000-0000-0000585D0000}"/>
    <cellStyle name="Normal 11 7 2 4" xfId="8863" xr:uid="{00000000-0005-0000-0000-0000595D0000}"/>
    <cellStyle name="Normal 11 7 2 4 2" xfId="15653" xr:uid="{00000000-0005-0000-0000-00005A5D0000}"/>
    <cellStyle name="Normal 11 7 2 4 2 2" xfId="29221" xr:uid="{00000000-0005-0000-0000-00005B5D0000}"/>
    <cellStyle name="Normal 11 7 2 4 2 2 2" xfId="56354" xr:uid="{00000000-0005-0000-0000-00005C5D0000}"/>
    <cellStyle name="Normal 11 7 2 4 2 3" xfId="42792" xr:uid="{00000000-0005-0000-0000-00005D5D0000}"/>
    <cellStyle name="Normal 11 7 2 4 3" xfId="22440" xr:uid="{00000000-0005-0000-0000-00005E5D0000}"/>
    <cellStyle name="Normal 11 7 2 4 3 2" xfId="49573" xr:uid="{00000000-0005-0000-0000-00005F5D0000}"/>
    <cellStyle name="Normal 11 7 2 4 4" xfId="36011" xr:uid="{00000000-0005-0000-0000-0000605D0000}"/>
    <cellStyle name="Normal 11 7 2 5" xfId="12264" xr:uid="{00000000-0005-0000-0000-0000615D0000}"/>
    <cellStyle name="Normal 11 7 2 5 2" xfId="25832" xr:uid="{00000000-0005-0000-0000-0000625D0000}"/>
    <cellStyle name="Normal 11 7 2 5 2 2" xfId="52965" xr:uid="{00000000-0005-0000-0000-0000635D0000}"/>
    <cellStyle name="Normal 11 7 2 5 3" xfId="39403" xr:uid="{00000000-0005-0000-0000-0000645D0000}"/>
    <cellStyle name="Normal 11 7 2 6" xfId="19051" xr:uid="{00000000-0005-0000-0000-0000655D0000}"/>
    <cellStyle name="Normal 11 7 2 6 2" xfId="46184" xr:uid="{00000000-0005-0000-0000-0000665D0000}"/>
    <cellStyle name="Normal 11 7 2 7" xfId="32622" xr:uid="{00000000-0005-0000-0000-0000675D0000}"/>
    <cellStyle name="Normal 11 7 3" xfId="5316" xr:uid="{00000000-0005-0000-0000-0000685D0000}"/>
    <cellStyle name="Normal 11 7 3 2" xfId="8866" xr:uid="{00000000-0005-0000-0000-0000695D0000}"/>
    <cellStyle name="Normal 11 7 3 2 2" xfId="15656" xr:uid="{00000000-0005-0000-0000-00006A5D0000}"/>
    <cellStyle name="Normal 11 7 3 2 2 2" xfId="29224" xr:uid="{00000000-0005-0000-0000-00006B5D0000}"/>
    <cellStyle name="Normal 11 7 3 2 2 2 2" xfId="56357" xr:uid="{00000000-0005-0000-0000-00006C5D0000}"/>
    <cellStyle name="Normal 11 7 3 2 2 3" xfId="42795" xr:uid="{00000000-0005-0000-0000-00006D5D0000}"/>
    <cellStyle name="Normal 11 7 3 2 3" xfId="22443" xr:uid="{00000000-0005-0000-0000-00006E5D0000}"/>
    <cellStyle name="Normal 11 7 3 2 3 2" xfId="49576" xr:uid="{00000000-0005-0000-0000-00006F5D0000}"/>
    <cellStyle name="Normal 11 7 3 2 4" xfId="36014" xr:uid="{00000000-0005-0000-0000-0000705D0000}"/>
    <cellStyle name="Normal 11 7 3 3" xfId="12267" xr:uid="{00000000-0005-0000-0000-0000715D0000}"/>
    <cellStyle name="Normal 11 7 3 3 2" xfId="25835" xr:uid="{00000000-0005-0000-0000-0000725D0000}"/>
    <cellStyle name="Normal 11 7 3 3 2 2" xfId="52968" xr:uid="{00000000-0005-0000-0000-0000735D0000}"/>
    <cellStyle name="Normal 11 7 3 3 3" xfId="39406" xr:uid="{00000000-0005-0000-0000-0000745D0000}"/>
    <cellStyle name="Normal 11 7 3 4" xfId="19054" xr:uid="{00000000-0005-0000-0000-0000755D0000}"/>
    <cellStyle name="Normal 11 7 3 4 2" xfId="46187" xr:uid="{00000000-0005-0000-0000-0000765D0000}"/>
    <cellStyle name="Normal 11 7 3 5" xfId="32625" xr:uid="{00000000-0005-0000-0000-0000775D0000}"/>
    <cellStyle name="Normal 11 7 4" xfId="5317" xr:uid="{00000000-0005-0000-0000-0000785D0000}"/>
    <cellStyle name="Normal 11 7 4 2" xfId="8867" xr:uid="{00000000-0005-0000-0000-0000795D0000}"/>
    <cellStyle name="Normal 11 7 4 2 2" xfId="15657" xr:uid="{00000000-0005-0000-0000-00007A5D0000}"/>
    <cellStyle name="Normal 11 7 4 2 2 2" xfId="29225" xr:uid="{00000000-0005-0000-0000-00007B5D0000}"/>
    <cellStyle name="Normal 11 7 4 2 2 2 2" xfId="56358" xr:uid="{00000000-0005-0000-0000-00007C5D0000}"/>
    <cellStyle name="Normal 11 7 4 2 2 3" xfId="42796" xr:uid="{00000000-0005-0000-0000-00007D5D0000}"/>
    <cellStyle name="Normal 11 7 4 2 3" xfId="22444" xr:uid="{00000000-0005-0000-0000-00007E5D0000}"/>
    <cellStyle name="Normal 11 7 4 2 3 2" xfId="49577" xr:uid="{00000000-0005-0000-0000-00007F5D0000}"/>
    <cellStyle name="Normal 11 7 4 2 4" xfId="36015" xr:uid="{00000000-0005-0000-0000-0000805D0000}"/>
    <cellStyle name="Normal 11 7 4 3" xfId="12268" xr:uid="{00000000-0005-0000-0000-0000815D0000}"/>
    <cellStyle name="Normal 11 7 4 3 2" xfId="25836" xr:uid="{00000000-0005-0000-0000-0000825D0000}"/>
    <cellStyle name="Normal 11 7 4 3 2 2" xfId="52969" xr:uid="{00000000-0005-0000-0000-0000835D0000}"/>
    <cellStyle name="Normal 11 7 4 3 3" xfId="39407" xr:uid="{00000000-0005-0000-0000-0000845D0000}"/>
    <cellStyle name="Normal 11 7 4 4" xfId="19055" xr:uid="{00000000-0005-0000-0000-0000855D0000}"/>
    <cellStyle name="Normal 11 7 4 4 2" xfId="46188" xr:uid="{00000000-0005-0000-0000-0000865D0000}"/>
    <cellStyle name="Normal 11 7 4 5" xfId="32626" xr:uid="{00000000-0005-0000-0000-0000875D0000}"/>
    <cellStyle name="Normal 11 7 5" xfId="8862" xr:uid="{00000000-0005-0000-0000-0000885D0000}"/>
    <cellStyle name="Normal 11 7 5 2" xfId="15652" xr:uid="{00000000-0005-0000-0000-0000895D0000}"/>
    <cellStyle name="Normal 11 7 5 2 2" xfId="29220" xr:uid="{00000000-0005-0000-0000-00008A5D0000}"/>
    <cellStyle name="Normal 11 7 5 2 2 2" xfId="56353" xr:uid="{00000000-0005-0000-0000-00008B5D0000}"/>
    <cellStyle name="Normal 11 7 5 2 3" xfId="42791" xr:uid="{00000000-0005-0000-0000-00008C5D0000}"/>
    <cellStyle name="Normal 11 7 5 3" xfId="22439" xr:uid="{00000000-0005-0000-0000-00008D5D0000}"/>
    <cellStyle name="Normal 11 7 5 3 2" xfId="49572" xr:uid="{00000000-0005-0000-0000-00008E5D0000}"/>
    <cellStyle name="Normal 11 7 5 4" xfId="36010" xr:uid="{00000000-0005-0000-0000-00008F5D0000}"/>
    <cellStyle name="Normal 11 7 6" xfId="12263" xr:uid="{00000000-0005-0000-0000-0000905D0000}"/>
    <cellStyle name="Normal 11 7 6 2" xfId="25831" xr:uid="{00000000-0005-0000-0000-0000915D0000}"/>
    <cellStyle name="Normal 11 7 6 2 2" xfId="52964" xr:uid="{00000000-0005-0000-0000-0000925D0000}"/>
    <cellStyle name="Normal 11 7 6 3" xfId="39402" xr:uid="{00000000-0005-0000-0000-0000935D0000}"/>
    <cellStyle name="Normal 11 7 7" xfId="19050" xr:uid="{00000000-0005-0000-0000-0000945D0000}"/>
    <cellStyle name="Normal 11 7 7 2" xfId="46183" xr:uid="{00000000-0005-0000-0000-0000955D0000}"/>
    <cellStyle name="Normal 11 7 8" xfId="32621" xr:uid="{00000000-0005-0000-0000-0000965D0000}"/>
    <cellStyle name="Normal 11 8" xfId="5318" xr:uid="{00000000-0005-0000-0000-0000975D0000}"/>
    <cellStyle name="Normal 11 8 2" xfId="5319" xr:uid="{00000000-0005-0000-0000-0000985D0000}"/>
    <cellStyle name="Normal 11 8 2 2" xfId="5320" xr:uid="{00000000-0005-0000-0000-0000995D0000}"/>
    <cellStyle name="Normal 11 8 2 2 2" xfId="8870" xr:uid="{00000000-0005-0000-0000-00009A5D0000}"/>
    <cellStyle name="Normal 11 8 2 2 2 2" xfId="15660" xr:uid="{00000000-0005-0000-0000-00009B5D0000}"/>
    <cellStyle name="Normal 11 8 2 2 2 2 2" xfId="29228" xr:uid="{00000000-0005-0000-0000-00009C5D0000}"/>
    <cellStyle name="Normal 11 8 2 2 2 2 2 2" xfId="56361" xr:uid="{00000000-0005-0000-0000-00009D5D0000}"/>
    <cellStyle name="Normal 11 8 2 2 2 2 3" xfId="42799" xr:uid="{00000000-0005-0000-0000-00009E5D0000}"/>
    <cellStyle name="Normal 11 8 2 2 2 3" xfId="22447" xr:uid="{00000000-0005-0000-0000-00009F5D0000}"/>
    <cellStyle name="Normal 11 8 2 2 2 3 2" xfId="49580" xr:uid="{00000000-0005-0000-0000-0000A05D0000}"/>
    <cellStyle name="Normal 11 8 2 2 2 4" xfId="36018" xr:uid="{00000000-0005-0000-0000-0000A15D0000}"/>
    <cellStyle name="Normal 11 8 2 2 3" xfId="12271" xr:uid="{00000000-0005-0000-0000-0000A25D0000}"/>
    <cellStyle name="Normal 11 8 2 2 3 2" xfId="25839" xr:uid="{00000000-0005-0000-0000-0000A35D0000}"/>
    <cellStyle name="Normal 11 8 2 2 3 2 2" xfId="52972" xr:uid="{00000000-0005-0000-0000-0000A45D0000}"/>
    <cellStyle name="Normal 11 8 2 2 3 3" xfId="39410" xr:uid="{00000000-0005-0000-0000-0000A55D0000}"/>
    <cellStyle name="Normal 11 8 2 2 4" xfId="19058" xr:uid="{00000000-0005-0000-0000-0000A65D0000}"/>
    <cellStyle name="Normal 11 8 2 2 4 2" xfId="46191" xr:uid="{00000000-0005-0000-0000-0000A75D0000}"/>
    <cellStyle name="Normal 11 8 2 2 5" xfId="32629" xr:uid="{00000000-0005-0000-0000-0000A85D0000}"/>
    <cellStyle name="Normal 11 8 2 3" xfId="5321" xr:uid="{00000000-0005-0000-0000-0000A95D0000}"/>
    <cellStyle name="Normal 11 8 2 3 2" xfId="8871" xr:uid="{00000000-0005-0000-0000-0000AA5D0000}"/>
    <cellStyle name="Normal 11 8 2 3 2 2" xfId="15661" xr:uid="{00000000-0005-0000-0000-0000AB5D0000}"/>
    <cellStyle name="Normal 11 8 2 3 2 2 2" xfId="29229" xr:uid="{00000000-0005-0000-0000-0000AC5D0000}"/>
    <cellStyle name="Normal 11 8 2 3 2 2 2 2" xfId="56362" xr:uid="{00000000-0005-0000-0000-0000AD5D0000}"/>
    <cellStyle name="Normal 11 8 2 3 2 2 3" xfId="42800" xr:uid="{00000000-0005-0000-0000-0000AE5D0000}"/>
    <cellStyle name="Normal 11 8 2 3 2 3" xfId="22448" xr:uid="{00000000-0005-0000-0000-0000AF5D0000}"/>
    <cellStyle name="Normal 11 8 2 3 2 3 2" xfId="49581" xr:uid="{00000000-0005-0000-0000-0000B05D0000}"/>
    <cellStyle name="Normal 11 8 2 3 2 4" xfId="36019" xr:uid="{00000000-0005-0000-0000-0000B15D0000}"/>
    <cellStyle name="Normal 11 8 2 3 3" xfId="12272" xr:uid="{00000000-0005-0000-0000-0000B25D0000}"/>
    <cellStyle name="Normal 11 8 2 3 3 2" xfId="25840" xr:uid="{00000000-0005-0000-0000-0000B35D0000}"/>
    <cellStyle name="Normal 11 8 2 3 3 2 2" xfId="52973" xr:uid="{00000000-0005-0000-0000-0000B45D0000}"/>
    <cellStyle name="Normal 11 8 2 3 3 3" xfId="39411" xr:uid="{00000000-0005-0000-0000-0000B55D0000}"/>
    <cellStyle name="Normal 11 8 2 3 4" xfId="19059" xr:uid="{00000000-0005-0000-0000-0000B65D0000}"/>
    <cellStyle name="Normal 11 8 2 3 4 2" xfId="46192" xr:uid="{00000000-0005-0000-0000-0000B75D0000}"/>
    <cellStyle name="Normal 11 8 2 3 5" xfId="32630" xr:uid="{00000000-0005-0000-0000-0000B85D0000}"/>
    <cellStyle name="Normal 11 8 2 4" xfId="8869" xr:uid="{00000000-0005-0000-0000-0000B95D0000}"/>
    <cellStyle name="Normal 11 8 2 4 2" xfId="15659" xr:uid="{00000000-0005-0000-0000-0000BA5D0000}"/>
    <cellStyle name="Normal 11 8 2 4 2 2" xfId="29227" xr:uid="{00000000-0005-0000-0000-0000BB5D0000}"/>
    <cellStyle name="Normal 11 8 2 4 2 2 2" xfId="56360" xr:uid="{00000000-0005-0000-0000-0000BC5D0000}"/>
    <cellStyle name="Normal 11 8 2 4 2 3" xfId="42798" xr:uid="{00000000-0005-0000-0000-0000BD5D0000}"/>
    <cellStyle name="Normal 11 8 2 4 3" xfId="22446" xr:uid="{00000000-0005-0000-0000-0000BE5D0000}"/>
    <cellStyle name="Normal 11 8 2 4 3 2" xfId="49579" xr:uid="{00000000-0005-0000-0000-0000BF5D0000}"/>
    <cellStyle name="Normal 11 8 2 4 4" xfId="36017" xr:uid="{00000000-0005-0000-0000-0000C05D0000}"/>
    <cellStyle name="Normal 11 8 2 5" xfId="12270" xr:uid="{00000000-0005-0000-0000-0000C15D0000}"/>
    <cellStyle name="Normal 11 8 2 5 2" xfId="25838" xr:uid="{00000000-0005-0000-0000-0000C25D0000}"/>
    <cellStyle name="Normal 11 8 2 5 2 2" xfId="52971" xr:uid="{00000000-0005-0000-0000-0000C35D0000}"/>
    <cellStyle name="Normal 11 8 2 5 3" xfId="39409" xr:uid="{00000000-0005-0000-0000-0000C45D0000}"/>
    <cellStyle name="Normal 11 8 2 6" xfId="19057" xr:uid="{00000000-0005-0000-0000-0000C55D0000}"/>
    <cellStyle name="Normal 11 8 2 6 2" xfId="46190" xr:uid="{00000000-0005-0000-0000-0000C65D0000}"/>
    <cellStyle name="Normal 11 8 2 7" xfId="32628" xr:uid="{00000000-0005-0000-0000-0000C75D0000}"/>
    <cellStyle name="Normal 11 8 3" xfId="5322" xr:uid="{00000000-0005-0000-0000-0000C85D0000}"/>
    <cellStyle name="Normal 11 8 3 2" xfId="8872" xr:uid="{00000000-0005-0000-0000-0000C95D0000}"/>
    <cellStyle name="Normal 11 8 3 2 2" xfId="15662" xr:uid="{00000000-0005-0000-0000-0000CA5D0000}"/>
    <cellStyle name="Normal 11 8 3 2 2 2" xfId="29230" xr:uid="{00000000-0005-0000-0000-0000CB5D0000}"/>
    <cellStyle name="Normal 11 8 3 2 2 2 2" xfId="56363" xr:uid="{00000000-0005-0000-0000-0000CC5D0000}"/>
    <cellStyle name="Normal 11 8 3 2 2 3" xfId="42801" xr:uid="{00000000-0005-0000-0000-0000CD5D0000}"/>
    <cellStyle name="Normal 11 8 3 2 3" xfId="22449" xr:uid="{00000000-0005-0000-0000-0000CE5D0000}"/>
    <cellStyle name="Normal 11 8 3 2 3 2" xfId="49582" xr:uid="{00000000-0005-0000-0000-0000CF5D0000}"/>
    <cellStyle name="Normal 11 8 3 2 4" xfId="36020" xr:uid="{00000000-0005-0000-0000-0000D05D0000}"/>
    <cellStyle name="Normal 11 8 3 3" xfId="12273" xr:uid="{00000000-0005-0000-0000-0000D15D0000}"/>
    <cellStyle name="Normal 11 8 3 3 2" xfId="25841" xr:uid="{00000000-0005-0000-0000-0000D25D0000}"/>
    <cellStyle name="Normal 11 8 3 3 2 2" xfId="52974" xr:uid="{00000000-0005-0000-0000-0000D35D0000}"/>
    <cellStyle name="Normal 11 8 3 3 3" xfId="39412" xr:uid="{00000000-0005-0000-0000-0000D45D0000}"/>
    <cellStyle name="Normal 11 8 3 4" xfId="19060" xr:uid="{00000000-0005-0000-0000-0000D55D0000}"/>
    <cellStyle name="Normal 11 8 3 4 2" xfId="46193" xr:uid="{00000000-0005-0000-0000-0000D65D0000}"/>
    <cellStyle name="Normal 11 8 3 5" xfId="32631" xr:uid="{00000000-0005-0000-0000-0000D75D0000}"/>
    <cellStyle name="Normal 11 8 4" xfId="5323" xr:uid="{00000000-0005-0000-0000-0000D85D0000}"/>
    <cellStyle name="Normal 11 8 4 2" xfId="8873" xr:uid="{00000000-0005-0000-0000-0000D95D0000}"/>
    <cellStyle name="Normal 11 8 4 2 2" xfId="15663" xr:uid="{00000000-0005-0000-0000-0000DA5D0000}"/>
    <cellStyle name="Normal 11 8 4 2 2 2" xfId="29231" xr:uid="{00000000-0005-0000-0000-0000DB5D0000}"/>
    <cellStyle name="Normal 11 8 4 2 2 2 2" xfId="56364" xr:uid="{00000000-0005-0000-0000-0000DC5D0000}"/>
    <cellStyle name="Normal 11 8 4 2 2 3" xfId="42802" xr:uid="{00000000-0005-0000-0000-0000DD5D0000}"/>
    <cellStyle name="Normal 11 8 4 2 3" xfId="22450" xr:uid="{00000000-0005-0000-0000-0000DE5D0000}"/>
    <cellStyle name="Normal 11 8 4 2 3 2" xfId="49583" xr:uid="{00000000-0005-0000-0000-0000DF5D0000}"/>
    <cellStyle name="Normal 11 8 4 2 4" xfId="36021" xr:uid="{00000000-0005-0000-0000-0000E05D0000}"/>
    <cellStyle name="Normal 11 8 4 3" xfId="12274" xr:uid="{00000000-0005-0000-0000-0000E15D0000}"/>
    <cellStyle name="Normal 11 8 4 3 2" xfId="25842" xr:uid="{00000000-0005-0000-0000-0000E25D0000}"/>
    <cellStyle name="Normal 11 8 4 3 2 2" xfId="52975" xr:uid="{00000000-0005-0000-0000-0000E35D0000}"/>
    <cellStyle name="Normal 11 8 4 3 3" xfId="39413" xr:uid="{00000000-0005-0000-0000-0000E45D0000}"/>
    <cellStyle name="Normal 11 8 4 4" xfId="19061" xr:uid="{00000000-0005-0000-0000-0000E55D0000}"/>
    <cellStyle name="Normal 11 8 4 4 2" xfId="46194" xr:uid="{00000000-0005-0000-0000-0000E65D0000}"/>
    <cellStyle name="Normal 11 8 4 5" xfId="32632" xr:uid="{00000000-0005-0000-0000-0000E75D0000}"/>
    <cellStyle name="Normal 11 8 5" xfId="8868" xr:uid="{00000000-0005-0000-0000-0000E85D0000}"/>
    <cellStyle name="Normal 11 8 5 2" xfId="15658" xr:uid="{00000000-0005-0000-0000-0000E95D0000}"/>
    <cellStyle name="Normal 11 8 5 2 2" xfId="29226" xr:uid="{00000000-0005-0000-0000-0000EA5D0000}"/>
    <cellStyle name="Normal 11 8 5 2 2 2" xfId="56359" xr:uid="{00000000-0005-0000-0000-0000EB5D0000}"/>
    <cellStyle name="Normal 11 8 5 2 3" xfId="42797" xr:uid="{00000000-0005-0000-0000-0000EC5D0000}"/>
    <cellStyle name="Normal 11 8 5 3" xfId="22445" xr:uid="{00000000-0005-0000-0000-0000ED5D0000}"/>
    <cellStyle name="Normal 11 8 5 3 2" xfId="49578" xr:uid="{00000000-0005-0000-0000-0000EE5D0000}"/>
    <cellStyle name="Normal 11 8 5 4" xfId="36016" xr:uid="{00000000-0005-0000-0000-0000EF5D0000}"/>
    <cellStyle name="Normal 11 8 6" xfId="12269" xr:uid="{00000000-0005-0000-0000-0000F05D0000}"/>
    <cellStyle name="Normal 11 8 6 2" xfId="25837" xr:uid="{00000000-0005-0000-0000-0000F15D0000}"/>
    <cellStyle name="Normal 11 8 6 2 2" xfId="52970" xr:uid="{00000000-0005-0000-0000-0000F25D0000}"/>
    <cellStyle name="Normal 11 8 6 3" xfId="39408" xr:uid="{00000000-0005-0000-0000-0000F35D0000}"/>
    <cellStyle name="Normal 11 8 7" xfId="19056" xr:uid="{00000000-0005-0000-0000-0000F45D0000}"/>
    <cellStyle name="Normal 11 8 7 2" xfId="46189" xr:uid="{00000000-0005-0000-0000-0000F55D0000}"/>
    <cellStyle name="Normal 11 8 8" xfId="32627" xr:uid="{00000000-0005-0000-0000-0000F65D0000}"/>
    <cellStyle name="Normal 11 9" xfId="5324" xr:uid="{00000000-0005-0000-0000-0000F75D0000}"/>
    <cellStyle name="Normal 11 9 2" xfId="5325" xr:uid="{00000000-0005-0000-0000-0000F85D0000}"/>
    <cellStyle name="Normal 11 9 2 2" xfId="8875" xr:uid="{00000000-0005-0000-0000-0000F95D0000}"/>
    <cellStyle name="Normal 11 9 2 2 2" xfId="15665" xr:uid="{00000000-0005-0000-0000-0000FA5D0000}"/>
    <cellStyle name="Normal 11 9 2 2 2 2" xfId="29233" xr:uid="{00000000-0005-0000-0000-0000FB5D0000}"/>
    <cellStyle name="Normal 11 9 2 2 2 2 2" xfId="56366" xr:uid="{00000000-0005-0000-0000-0000FC5D0000}"/>
    <cellStyle name="Normal 11 9 2 2 2 3" xfId="42804" xr:uid="{00000000-0005-0000-0000-0000FD5D0000}"/>
    <cellStyle name="Normal 11 9 2 2 3" xfId="22452" xr:uid="{00000000-0005-0000-0000-0000FE5D0000}"/>
    <cellStyle name="Normal 11 9 2 2 3 2" xfId="49585" xr:uid="{00000000-0005-0000-0000-0000FF5D0000}"/>
    <cellStyle name="Normal 11 9 2 2 4" xfId="36023" xr:uid="{00000000-0005-0000-0000-0000005E0000}"/>
    <cellStyle name="Normal 11 9 2 3" xfId="12276" xr:uid="{00000000-0005-0000-0000-0000015E0000}"/>
    <cellStyle name="Normal 11 9 2 3 2" xfId="25844" xr:uid="{00000000-0005-0000-0000-0000025E0000}"/>
    <cellStyle name="Normal 11 9 2 3 2 2" xfId="52977" xr:uid="{00000000-0005-0000-0000-0000035E0000}"/>
    <cellStyle name="Normal 11 9 2 3 3" xfId="39415" xr:uid="{00000000-0005-0000-0000-0000045E0000}"/>
    <cellStyle name="Normal 11 9 2 4" xfId="19063" xr:uid="{00000000-0005-0000-0000-0000055E0000}"/>
    <cellStyle name="Normal 11 9 2 4 2" xfId="46196" xr:uid="{00000000-0005-0000-0000-0000065E0000}"/>
    <cellStyle name="Normal 11 9 2 5" xfId="32634" xr:uid="{00000000-0005-0000-0000-0000075E0000}"/>
    <cellStyle name="Normal 11 9 3" xfId="8874" xr:uid="{00000000-0005-0000-0000-0000085E0000}"/>
    <cellStyle name="Normal 11 9 3 2" xfId="15664" xr:uid="{00000000-0005-0000-0000-0000095E0000}"/>
    <cellStyle name="Normal 11 9 3 2 2" xfId="29232" xr:uid="{00000000-0005-0000-0000-00000A5E0000}"/>
    <cellStyle name="Normal 11 9 3 2 2 2" xfId="56365" xr:uid="{00000000-0005-0000-0000-00000B5E0000}"/>
    <cellStyle name="Normal 11 9 3 2 3" xfId="42803" xr:uid="{00000000-0005-0000-0000-00000C5E0000}"/>
    <cellStyle name="Normal 11 9 3 3" xfId="22451" xr:uid="{00000000-0005-0000-0000-00000D5E0000}"/>
    <cellStyle name="Normal 11 9 3 3 2" xfId="49584" xr:uid="{00000000-0005-0000-0000-00000E5E0000}"/>
    <cellStyle name="Normal 11 9 3 4" xfId="36022" xr:uid="{00000000-0005-0000-0000-00000F5E0000}"/>
    <cellStyle name="Normal 11 9 4" xfId="12275" xr:uid="{00000000-0005-0000-0000-0000105E0000}"/>
    <cellStyle name="Normal 11 9 4 2" xfId="25843" xr:uid="{00000000-0005-0000-0000-0000115E0000}"/>
    <cellStyle name="Normal 11 9 4 2 2" xfId="52976" xr:uid="{00000000-0005-0000-0000-0000125E0000}"/>
    <cellStyle name="Normal 11 9 4 3" xfId="39414" xr:uid="{00000000-0005-0000-0000-0000135E0000}"/>
    <cellStyle name="Normal 11 9 5" xfId="19062" xr:uid="{00000000-0005-0000-0000-0000145E0000}"/>
    <cellStyle name="Normal 11 9 5 2" xfId="46195" xr:uid="{00000000-0005-0000-0000-0000155E0000}"/>
    <cellStyle name="Normal 11 9 6" xfId="32633" xr:uid="{00000000-0005-0000-0000-0000165E0000}"/>
    <cellStyle name="Normal 111" xfId="7307" xr:uid="{00000000-0005-0000-0000-0000175E0000}"/>
    <cellStyle name="Normal 12" xfId="2562" xr:uid="{00000000-0005-0000-0000-0000185E0000}"/>
    <cellStyle name="Normal 12 10" xfId="5326" xr:uid="{00000000-0005-0000-0000-0000195E0000}"/>
    <cellStyle name="Normal 12 10 2" xfId="8876" xr:uid="{00000000-0005-0000-0000-00001A5E0000}"/>
    <cellStyle name="Normal 12 10 2 2" xfId="15666" xr:uid="{00000000-0005-0000-0000-00001B5E0000}"/>
    <cellStyle name="Normal 12 10 2 2 2" xfId="29234" xr:uid="{00000000-0005-0000-0000-00001C5E0000}"/>
    <cellStyle name="Normal 12 10 2 2 2 2" xfId="56367" xr:uid="{00000000-0005-0000-0000-00001D5E0000}"/>
    <cellStyle name="Normal 12 10 2 2 3" xfId="42805" xr:uid="{00000000-0005-0000-0000-00001E5E0000}"/>
    <cellStyle name="Normal 12 10 2 3" xfId="22453" xr:uid="{00000000-0005-0000-0000-00001F5E0000}"/>
    <cellStyle name="Normal 12 10 2 3 2" xfId="49586" xr:uid="{00000000-0005-0000-0000-0000205E0000}"/>
    <cellStyle name="Normal 12 10 2 4" xfId="36024" xr:uid="{00000000-0005-0000-0000-0000215E0000}"/>
    <cellStyle name="Normal 12 10 3" xfId="12277" xr:uid="{00000000-0005-0000-0000-0000225E0000}"/>
    <cellStyle name="Normal 12 10 3 2" xfId="25845" xr:uid="{00000000-0005-0000-0000-0000235E0000}"/>
    <cellStyle name="Normal 12 10 3 2 2" xfId="52978" xr:uid="{00000000-0005-0000-0000-0000245E0000}"/>
    <cellStyle name="Normal 12 10 3 3" xfId="39416" xr:uid="{00000000-0005-0000-0000-0000255E0000}"/>
    <cellStyle name="Normal 12 10 4" xfId="19064" xr:uid="{00000000-0005-0000-0000-0000265E0000}"/>
    <cellStyle name="Normal 12 10 4 2" xfId="46197" xr:uid="{00000000-0005-0000-0000-0000275E0000}"/>
    <cellStyle name="Normal 12 10 5" xfId="32635" xr:uid="{00000000-0005-0000-0000-0000285E0000}"/>
    <cellStyle name="Normal 12 11" xfId="5327" xr:uid="{00000000-0005-0000-0000-0000295E0000}"/>
    <cellStyle name="Normal 12 11 2" xfId="8877" xr:uid="{00000000-0005-0000-0000-00002A5E0000}"/>
    <cellStyle name="Normal 12 11 2 2" xfId="15667" xr:uid="{00000000-0005-0000-0000-00002B5E0000}"/>
    <cellStyle name="Normal 12 11 2 2 2" xfId="29235" xr:uid="{00000000-0005-0000-0000-00002C5E0000}"/>
    <cellStyle name="Normal 12 11 2 2 2 2" xfId="56368" xr:uid="{00000000-0005-0000-0000-00002D5E0000}"/>
    <cellStyle name="Normal 12 11 2 2 3" xfId="42806" xr:uid="{00000000-0005-0000-0000-00002E5E0000}"/>
    <cellStyle name="Normal 12 11 2 3" xfId="22454" xr:uid="{00000000-0005-0000-0000-00002F5E0000}"/>
    <cellStyle name="Normal 12 11 2 3 2" xfId="49587" xr:uid="{00000000-0005-0000-0000-0000305E0000}"/>
    <cellStyle name="Normal 12 11 2 4" xfId="36025" xr:uid="{00000000-0005-0000-0000-0000315E0000}"/>
    <cellStyle name="Normal 12 11 3" xfId="12278" xr:uid="{00000000-0005-0000-0000-0000325E0000}"/>
    <cellStyle name="Normal 12 11 3 2" xfId="25846" xr:uid="{00000000-0005-0000-0000-0000335E0000}"/>
    <cellStyle name="Normal 12 11 3 2 2" xfId="52979" xr:uid="{00000000-0005-0000-0000-0000345E0000}"/>
    <cellStyle name="Normal 12 11 3 3" xfId="39417" xr:uid="{00000000-0005-0000-0000-0000355E0000}"/>
    <cellStyle name="Normal 12 11 4" xfId="19065" xr:uid="{00000000-0005-0000-0000-0000365E0000}"/>
    <cellStyle name="Normal 12 11 4 2" xfId="46198" xr:uid="{00000000-0005-0000-0000-0000375E0000}"/>
    <cellStyle name="Normal 12 11 5" xfId="32636" xr:uid="{00000000-0005-0000-0000-0000385E0000}"/>
    <cellStyle name="Normal 12 12" xfId="7300" xr:uid="{00000000-0005-0000-0000-0000395E0000}"/>
    <cellStyle name="Normal 12 2" xfId="5328" xr:uid="{00000000-0005-0000-0000-00003A5E0000}"/>
    <cellStyle name="Normal 12 3" xfId="5329" xr:uid="{00000000-0005-0000-0000-00003B5E0000}"/>
    <cellStyle name="Normal 12 3 10" xfId="8878" xr:uid="{00000000-0005-0000-0000-00003C5E0000}"/>
    <cellStyle name="Normal 12 3 10 2" xfId="15668" xr:uid="{00000000-0005-0000-0000-00003D5E0000}"/>
    <cellStyle name="Normal 12 3 10 2 2" xfId="29236" xr:uid="{00000000-0005-0000-0000-00003E5E0000}"/>
    <cellStyle name="Normal 12 3 10 2 2 2" xfId="56369" xr:uid="{00000000-0005-0000-0000-00003F5E0000}"/>
    <cellStyle name="Normal 12 3 10 2 3" xfId="42807" xr:uid="{00000000-0005-0000-0000-0000405E0000}"/>
    <cellStyle name="Normal 12 3 10 3" xfId="22455" xr:uid="{00000000-0005-0000-0000-0000415E0000}"/>
    <cellStyle name="Normal 12 3 10 3 2" xfId="49588" xr:uid="{00000000-0005-0000-0000-0000425E0000}"/>
    <cellStyle name="Normal 12 3 10 4" xfId="36026" xr:uid="{00000000-0005-0000-0000-0000435E0000}"/>
    <cellStyle name="Normal 12 3 11" xfId="12279" xr:uid="{00000000-0005-0000-0000-0000445E0000}"/>
    <cellStyle name="Normal 12 3 11 2" xfId="25847" xr:uid="{00000000-0005-0000-0000-0000455E0000}"/>
    <cellStyle name="Normal 12 3 11 2 2" xfId="52980" xr:uid="{00000000-0005-0000-0000-0000465E0000}"/>
    <cellStyle name="Normal 12 3 11 3" xfId="39418" xr:uid="{00000000-0005-0000-0000-0000475E0000}"/>
    <cellStyle name="Normal 12 3 12" xfId="19066" xr:uid="{00000000-0005-0000-0000-0000485E0000}"/>
    <cellStyle name="Normal 12 3 12 2" xfId="46199" xr:uid="{00000000-0005-0000-0000-0000495E0000}"/>
    <cellStyle name="Normal 12 3 13" xfId="32637" xr:uid="{00000000-0005-0000-0000-00004A5E0000}"/>
    <cellStyle name="Normal 12 3 2" xfId="5330" xr:uid="{00000000-0005-0000-0000-00004B5E0000}"/>
    <cellStyle name="Normal 12 3 2 10" xfId="32638" xr:uid="{00000000-0005-0000-0000-00004C5E0000}"/>
    <cellStyle name="Normal 12 3 2 2" xfId="5331" xr:uid="{00000000-0005-0000-0000-00004D5E0000}"/>
    <cellStyle name="Normal 12 3 2 2 2" xfId="5332" xr:uid="{00000000-0005-0000-0000-00004E5E0000}"/>
    <cellStyle name="Normal 12 3 2 2 2 2" xfId="5333" xr:uid="{00000000-0005-0000-0000-00004F5E0000}"/>
    <cellStyle name="Normal 12 3 2 2 2 2 2" xfId="8882" xr:uid="{00000000-0005-0000-0000-0000505E0000}"/>
    <cellStyle name="Normal 12 3 2 2 2 2 2 2" xfId="15672" xr:uid="{00000000-0005-0000-0000-0000515E0000}"/>
    <cellStyle name="Normal 12 3 2 2 2 2 2 2 2" xfId="29240" xr:uid="{00000000-0005-0000-0000-0000525E0000}"/>
    <cellStyle name="Normal 12 3 2 2 2 2 2 2 2 2" xfId="56373" xr:uid="{00000000-0005-0000-0000-0000535E0000}"/>
    <cellStyle name="Normal 12 3 2 2 2 2 2 2 3" xfId="42811" xr:uid="{00000000-0005-0000-0000-0000545E0000}"/>
    <cellStyle name="Normal 12 3 2 2 2 2 2 3" xfId="22459" xr:uid="{00000000-0005-0000-0000-0000555E0000}"/>
    <cellStyle name="Normal 12 3 2 2 2 2 2 3 2" xfId="49592" xr:uid="{00000000-0005-0000-0000-0000565E0000}"/>
    <cellStyle name="Normal 12 3 2 2 2 2 2 4" xfId="36030" xr:uid="{00000000-0005-0000-0000-0000575E0000}"/>
    <cellStyle name="Normal 12 3 2 2 2 2 3" xfId="12283" xr:uid="{00000000-0005-0000-0000-0000585E0000}"/>
    <cellStyle name="Normal 12 3 2 2 2 2 3 2" xfId="25851" xr:uid="{00000000-0005-0000-0000-0000595E0000}"/>
    <cellStyle name="Normal 12 3 2 2 2 2 3 2 2" xfId="52984" xr:uid="{00000000-0005-0000-0000-00005A5E0000}"/>
    <cellStyle name="Normal 12 3 2 2 2 2 3 3" xfId="39422" xr:uid="{00000000-0005-0000-0000-00005B5E0000}"/>
    <cellStyle name="Normal 12 3 2 2 2 2 4" xfId="19070" xr:uid="{00000000-0005-0000-0000-00005C5E0000}"/>
    <cellStyle name="Normal 12 3 2 2 2 2 4 2" xfId="46203" xr:uid="{00000000-0005-0000-0000-00005D5E0000}"/>
    <cellStyle name="Normal 12 3 2 2 2 2 5" xfId="32641" xr:uid="{00000000-0005-0000-0000-00005E5E0000}"/>
    <cellStyle name="Normal 12 3 2 2 2 3" xfId="5334" xr:uid="{00000000-0005-0000-0000-00005F5E0000}"/>
    <cellStyle name="Normal 12 3 2 2 2 3 2" xfId="8883" xr:uid="{00000000-0005-0000-0000-0000605E0000}"/>
    <cellStyle name="Normal 12 3 2 2 2 3 2 2" xfId="15673" xr:uid="{00000000-0005-0000-0000-0000615E0000}"/>
    <cellStyle name="Normal 12 3 2 2 2 3 2 2 2" xfId="29241" xr:uid="{00000000-0005-0000-0000-0000625E0000}"/>
    <cellStyle name="Normal 12 3 2 2 2 3 2 2 2 2" xfId="56374" xr:uid="{00000000-0005-0000-0000-0000635E0000}"/>
    <cellStyle name="Normal 12 3 2 2 2 3 2 2 3" xfId="42812" xr:uid="{00000000-0005-0000-0000-0000645E0000}"/>
    <cellStyle name="Normal 12 3 2 2 2 3 2 3" xfId="22460" xr:uid="{00000000-0005-0000-0000-0000655E0000}"/>
    <cellStyle name="Normal 12 3 2 2 2 3 2 3 2" xfId="49593" xr:uid="{00000000-0005-0000-0000-0000665E0000}"/>
    <cellStyle name="Normal 12 3 2 2 2 3 2 4" xfId="36031" xr:uid="{00000000-0005-0000-0000-0000675E0000}"/>
    <cellStyle name="Normal 12 3 2 2 2 3 3" xfId="12284" xr:uid="{00000000-0005-0000-0000-0000685E0000}"/>
    <cellStyle name="Normal 12 3 2 2 2 3 3 2" xfId="25852" xr:uid="{00000000-0005-0000-0000-0000695E0000}"/>
    <cellStyle name="Normal 12 3 2 2 2 3 3 2 2" xfId="52985" xr:uid="{00000000-0005-0000-0000-00006A5E0000}"/>
    <cellStyle name="Normal 12 3 2 2 2 3 3 3" xfId="39423" xr:uid="{00000000-0005-0000-0000-00006B5E0000}"/>
    <cellStyle name="Normal 12 3 2 2 2 3 4" xfId="19071" xr:uid="{00000000-0005-0000-0000-00006C5E0000}"/>
    <cellStyle name="Normal 12 3 2 2 2 3 4 2" xfId="46204" xr:uid="{00000000-0005-0000-0000-00006D5E0000}"/>
    <cellStyle name="Normal 12 3 2 2 2 3 5" xfId="32642" xr:uid="{00000000-0005-0000-0000-00006E5E0000}"/>
    <cellStyle name="Normal 12 3 2 2 2 4" xfId="8881" xr:uid="{00000000-0005-0000-0000-00006F5E0000}"/>
    <cellStyle name="Normal 12 3 2 2 2 4 2" xfId="15671" xr:uid="{00000000-0005-0000-0000-0000705E0000}"/>
    <cellStyle name="Normal 12 3 2 2 2 4 2 2" xfId="29239" xr:uid="{00000000-0005-0000-0000-0000715E0000}"/>
    <cellStyle name="Normal 12 3 2 2 2 4 2 2 2" xfId="56372" xr:uid="{00000000-0005-0000-0000-0000725E0000}"/>
    <cellStyle name="Normal 12 3 2 2 2 4 2 3" xfId="42810" xr:uid="{00000000-0005-0000-0000-0000735E0000}"/>
    <cellStyle name="Normal 12 3 2 2 2 4 3" xfId="22458" xr:uid="{00000000-0005-0000-0000-0000745E0000}"/>
    <cellStyle name="Normal 12 3 2 2 2 4 3 2" xfId="49591" xr:uid="{00000000-0005-0000-0000-0000755E0000}"/>
    <cellStyle name="Normal 12 3 2 2 2 4 4" xfId="36029" xr:uid="{00000000-0005-0000-0000-0000765E0000}"/>
    <cellStyle name="Normal 12 3 2 2 2 5" xfId="12282" xr:uid="{00000000-0005-0000-0000-0000775E0000}"/>
    <cellStyle name="Normal 12 3 2 2 2 5 2" xfId="25850" xr:uid="{00000000-0005-0000-0000-0000785E0000}"/>
    <cellStyle name="Normal 12 3 2 2 2 5 2 2" xfId="52983" xr:uid="{00000000-0005-0000-0000-0000795E0000}"/>
    <cellStyle name="Normal 12 3 2 2 2 5 3" xfId="39421" xr:uid="{00000000-0005-0000-0000-00007A5E0000}"/>
    <cellStyle name="Normal 12 3 2 2 2 6" xfId="19069" xr:uid="{00000000-0005-0000-0000-00007B5E0000}"/>
    <cellStyle name="Normal 12 3 2 2 2 6 2" xfId="46202" xr:uid="{00000000-0005-0000-0000-00007C5E0000}"/>
    <cellStyle name="Normal 12 3 2 2 2 7" xfId="32640" xr:uid="{00000000-0005-0000-0000-00007D5E0000}"/>
    <cellStyle name="Normal 12 3 2 2 3" xfId="5335" xr:uid="{00000000-0005-0000-0000-00007E5E0000}"/>
    <cellStyle name="Normal 12 3 2 2 3 2" xfId="5336" xr:uid="{00000000-0005-0000-0000-00007F5E0000}"/>
    <cellStyle name="Normal 12 3 2 2 3 2 2" xfId="8885" xr:uid="{00000000-0005-0000-0000-0000805E0000}"/>
    <cellStyle name="Normal 12 3 2 2 3 2 2 2" xfId="15675" xr:uid="{00000000-0005-0000-0000-0000815E0000}"/>
    <cellStyle name="Normal 12 3 2 2 3 2 2 2 2" xfId="29243" xr:uid="{00000000-0005-0000-0000-0000825E0000}"/>
    <cellStyle name="Normal 12 3 2 2 3 2 2 2 2 2" xfId="56376" xr:uid="{00000000-0005-0000-0000-0000835E0000}"/>
    <cellStyle name="Normal 12 3 2 2 3 2 2 2 3" xfId="42814" xr:uid="{00000000-0005-0000-0000-0000845E0000}"/>
    <cellStyle name="Normal 12 3 2 2 3 2 2 3" xfId="22462" xr:uid="{00000000-0005-0000-0000-0000855E0000}"/>
    <cellStyle name="Normal 12 3 2 2 3 2 2 3 2" xfId="49595" xr:uid="{00000000-0005-0000-0000-0000865E0000}"/>
    <cellStyle name="Normal 12 3 2 2 3 2 2 4" xfId="36033" xr:uid="{00000000-0005-0000-0000-0000875E0000}"/>
    <cellStyle name="Normal 12 3 2 2 3 2 3" xfId="12286" xr:uid="{00000000-0005-0000-0000-0000885E0000}"/>
    <cellStyle name="Normal 12 3 2 2 3 2 3 2" xfId="25854" xr:uid="{00000000-0005-0000-0000-0000895E0000}"/>
    <cellStyle name="Normal 12 3 2 2 3 2 3 2 2" xfId="52987" xr:uid="{00000000-0005-0000-0000-00008A5E0000}"/>
    <cellStyle name="Normal 12 3 2 2 3 2 3 3" xfId="39425" xr:uid="{00000000-0005-0000-0000-00008B5E0000}"/>
    <cellStyle name="Normal 12 3 2 2 3 2 4" xfId="19073" xr:uid="{00000000-0005-0000-0000-00008C5E0000}"/>
    <cellStyle name="Normal 12 3 2 2 3 2 4 2" xfId="46206" xr:uid="{00000000-0005-0000-0000-00008D5E0000}"/>
    <cellStyle name="Normal 12 3 2 2 3 2 5" xfId="32644" xr:uid="{00000000-0005-0000-0000-00008E5E0000}"/>
    <cellStyle name="Normal 12 3 2 2 3 3" xfId="8884" xr:uid="{00000000-0005-0000-0000-00008F5E0000}"/>
    <cellStyle name="Normal 12 3 2 2 3 3 2" xfId="15674" xr:uid="{00000000-0005-0000-0000-0000905E0000}"/>
    <cellStyle name="Normal 12 3 2 2 3 3 2 2" xfId="29242" xr:uid="{00000000-0005-0000-0000-0000915E0000}"/>
    <cellStyle name="Normal 12 3 2 2 3 3 2 2 2" xfId="56375" xr:uid="{00000000-0005-0000-0000-0000925E0000}"/>
    <cellStyle name="Normal 12 3 2 2 3 3 2 3" xfId="42813" xr:uid="{00000000-0005-0000-0000-0000935E0000}"/>
    <cellStyle name="Normal 12 3 2 2 3 3 3" xfId="22461" xr:uid="{00000000-0005-0000-0000-0000945E0000}"/>
    <cellStyle name="Normal 12 3 2 2 3 3 3 2" xfId="49594" xr:uid="{00000000-0005-0000-0000-0000955E0000}"/>
    <cellStyle name="Normal 12 3 2 2 3 3 4" xfId="36032" xr:uid="{00000000-0005-0000-0000-0000965E0000}"/>
    <cellStyle name="Normal 12 3 2 2 3 4" xfId="12285" xr:uid="{00000000-0005-0000-0000-0000975E0000}"/>
    <cellStyle name="Normal 12 3 2 2 3 4 2" xfId="25853" xr:uid="{00000000-0005-0000-0000-0000985E0000}"/>
    <cellStyle name="Normal 12 3 2 2 3 4 2 2" xfId="52986" xr:uid="{00000000-0005-0000-0000-0000995E0000}"/>
    <cellStyle name="Normal 12 3 2 2 3 4 3" xfId="39424" xr:uid="{00000000-0005-0000-0000-00009A5E0000}"/>
    <cellStyle name="Normal 12 3 2 2 3 5" xfId="19072" xr:uid="{00000000-0005-0000-0000-00009B5E0000}"/>
    <cellStyle name="Normal 12 3 2 2 3 5 2" xfId="46205" xr:uid="{00000000-0005-0000-0000-00009C5E0000}"/>
    <cellStyle name="Normal 12 3 2 2 3 6" xfId="32643" xr:uid="{00000000-0005-0000-0000-00009D5E0000}"/>
    <cellStyle name="Normal 12 3 2 2 4" xfId="5337" xr:uid="{00000000-0005-0000-0000-00009E5E0000}"/>
    <cellStyle name="Normal 12 3 2 2 4 2" xfId="8886" xr:uid="{00000000-0005-0000-0000-00009F5E0000}"/>
    <cellStyle name="Normal 12 3 2 2 4 2 2" xfId="15676" xr:uid="{00000000-0005-0000-0000-0000A05E0000}"/>
    <cellStyle name="Normal 12 3 2 2 4 2 2 2" xfId="29244" xr:uid="{00000000-0005-0000-0000-0000A15E0000}"/>
    <cellStyle name="Normal 12 3 2 2 4 2 2 2 2" xfId="56377" xr:uid="{00000000-0005-0000-0000-0000A25E0000}"/>
    <cellStyle name="Normal 12 3 2 2 4 2 2 3" xfId="42815" xr:uid="{00000000-0005-0000-0000-0000A35E0000}"/>
    <cellStyle name="Normal 12 3 2 2 4 2 3" xfId="22463" xr:uid="{00000000-0005-0000-0000-0000A45E0000}"/>
    <cellStyle name="Normal 12 3 2 2 4 2 3 2" xfId="49596" xr:uid="{00000000-0005-0000-0000-0000A55E0000}"/>
    <cellStyle name="Normal 12 3 2 2 4 2 4" xfId="36034" xr:uid="{00000000-0005-0000-0000-0000A65E0000}"/>
    <cellStyle name="Normal 12 3 2 2 4 3" xfId="12287" xr:uid="{00000000-0005-0000-0000-0000A75E0000}"/>
    <cellStyle name="Normal 12 3 2 2 4 3 2" xfId="25855" xr:uid="{00000000-0005-0000-0000-0000A85E0000}"/>
    <cellStyle name="Normal 12 3 2 2 4 3 2 2" xfId="52988" xr:uid="{00000000-0005-0000-0000-0000A95E0000}"/>
    <cellStyle name="Normal 12 3 2 2 4 3 3" xfId="39426" xr:uid="{00000000-0005-0000-0000-0000AA5E0000}"/>
    <cellStyle name="Normal 12 3 2 2 4 4" xfId="19074" xr:uid="{00000000-0005-0000-0000-0000AB5E0000}"/>
    <cellStyle name="Normal 12 3 2 2 4 4 2" xfId="46207" xr:uid="{00000000-0005-0000-0000-0000AC5E0000}"/>
    <cellStyle name="Normal 12 3 2 2 4 5" xfId="32645" xr:uid="{00000000-0005-0000-0000-0000AD5E0000}"/>
    <cellStyle name="Normal 12 3 2 2 5" xfId="5338" xr:uid="{00000000-0005-0000-0000-0000AE5E0000}"/>
    <cellStyle name="Normal 12 3 2 2 5 2" xfId="8887" xr:uid="{00000000-0005-0000-0000-0000AF5E0000}"/>
    <cellStyle name="Normal 12 3 2 2 5 2 2" xfId="15677" xr:uid="{00000000-0005-0000-0000-0000B05E0000}"/>
    <cellStyle name="Normal 12 3 2 2 5 2 2 2" xfId="29245" xr:uid="{00000000-0005-0000-0000-0000B15E0000}"/>
    <cellStyle name="Normal 12 3 2 2 5 2 2 2 2" xfId="56378" xr:uid="{00000000-0005-0000-0000-0000B25E0000}"/>
    <cellStyle name="Normal 12 3 2 2 5 2 2 3" xfId="42816" xr:uid="{00000000-0005-0000-0000-0000B35E0000}"/>
    <cellStyle name="Normal 12 3 2 2 5 2 3" xfId="22464" xr:uid="{00000000-0005-0000-0000-0000B45E0000}"/>
    <cellStyle name="Normal 12 3 2 2 5 2 3 2" xfId="49597" xr:uid="{00000000-0005-0000-0000-0000B55E0000}"/>
    <cellStyle name="Normal 12 3 2 2 5 2 4" xfId="36035" xr:uid="{00000000-0005-0000-0000-0000B65E0000}"/>
    <cellStyle name="Normal 12 3 2 2 5 3" xfId="12288" xr:uid="{00000000-0005-0000-0000-0000B75E0000}"/>
    <cellStyle name="Normal 12 3 2 2 5 3 2" xfId="25856" xr:uid="{00000000-0005-0000-0000-0000B85E0000}"/>
    <cellStyle name="Normal 12 3 2 2 5 3 2 2" xfId="52989" xr:uid="{00000000-0005-0000-0000-0000B95E0000}"/>
    <cellStyle name="Normal 12 3 2 2 5 3 3" xfId="39427" xr:uid="{00000000-0005-0000-0000-0000BA5E0000}"/>
    <cellStyle name="Normal 12 3 2 2 5 4" xfId="19075" xr:uid="{00000000-0005-0000-0000-0000BB5E0000}"/>
    <cellStyle name="Normal 12 3 2 2 5 4 2" xfId="46208" xr:uid="{00000000-0005-0000-0000-0000BC5E0000}"/>
    <cellStyle name="Normal 12 3 2 2 5 5" xfId="32646" xr:uid="{00000000-0005-0000-0000-0000BD5E0000}"/>
    <cellStyle name="Normal 12 3 2 2 6" xfId="8880" xr:uid="{00000000-0005-0000-0000-0000BE5E0000}"/>
    <cellStyle name="Normal 12 3 2 2 6 2" xfId="15670" xr:uid="{00000000-0005-0000-0000-0000BF5E0000}"/>
    <cellStyle name="Normal 12 3 2 2 6 2 2" xfId="29238" xr:uid="{00000000-0005-0000-0000-0000C05E0000}"/>
    <cellStyle name="Normal 12 3 2 2 6 2 2 2" xfId="56371" xr:uid="{00000000-0005-0000-0000-0000C15E0000}"/>
    <cellStyle name="Normal 12 3 2 2 6 2 3" xfId="42809" xr:uid="{00000000-0005-0000-0000-0000C25E0000}"/>
    <cellStyle name="Normal 12 3 2 2 6 3" xfId="22457" xr:uid="{00000000-0005-0000-0000-0000C35E0000}"/>
    <cellStyle name="Normal 12 3 2 2 6 3 2" xfId="49590" xr:uid="{00000000-0005-0000-0000-0000C45E0000}"/>
    <cellStyle name="Normal 12 3 2 2 6 4" xfId="36028" xr:uid="{00000000-0005-0000-0000-0000C55E0000}"/>
    <cellStyle name="Normal 12 3 2 2 7" xfId="12281" xr:uid="{00000000-0005-0000-0000-0000C65E0000}"/>
    <cellStyle name="Normal 12 3 2 2 7 2" xfId="25849" xr:uid="{00000000-0005-0000-0000-0000C75E0000}"/>
    <cellStyle name="Normal 12 3 2 2 7 2 2" xfId="52982" xr:uid="{00000000-0005-0000-0000-0000C85E0000}"/>
    <cellStyle name="Normal 12 3 2 2 7 3" xfId="39420" xr:uid="{00000000-0005-0000-0000-0000C95E0000}"/>
    <cellStyle name="Normal 12 3 2 2 8" xfId="19068" xr:uid="{00000000-0005-0000-0000-0000CA5E0000}"/>
    <cellStyle name="Normal 12 3 2 2 8 2" xfId="46201" xr:uid="{00000000-0005-0000-0000-0000CB5E0000}"/>
    <cellStyle name="Normal 12 3 2 2 9" xfId="32639" xr:uid="{00000000-0005-0000-0000-0000CC5E0000}"/>
    <cellStyle name="Normal 12 3 2 3" xfId="5339" xr:uid="{00000000-0005-0000-0000-0000CD5E0000}"/>
    <cellStyle name="Normal 12 3 2 3 2" xfId="5340" xr:uid="{00000000-0005-0000-0000-0000CE5E0000}"/>
    <cellStyle name="Normal 12 3 2 3 2 2" xfId="8889" xr:uid="{00000000-0005-0000-0000-0000CF5E0000}"/>
    <cellStyle name="Normal 12 3 2 3 2 2 2" xfId="15679" xr:uid="{00000000-0005-0000-0000-0000D05E0000}"/>
    <cellStyle name="Normal 12 3 2 3 2 2 2 2" xfId="29247" xr:uid="{00000000-0005-0000-0000-0000D15E0000}"/>
    <cellStyle name="Normal 12 3 2 3 2 2 2 2 2" xfId="56380" xr:uid="{00000000-0005-0000-0000-0000D25E0000}"/>
    <cellStyle name="Normal 12 3 2 3 2 2 2 3" xfId="42818" xr:uid="{00000000-0005-0000-0000-0000D35E0000}"/>
    <cellStyle name="Normal 12 3 2 3 2 2 3" xfId="22466" xr:uid="{00000000-0005-0000-0000-0000D45E0000}"/>
    <cellStyle name="Normal 12 3 2 3 2 2 3 2" xfId="49599" xr:uid="{00000000-0005-0000-0000-0000D55E0000}"/>
    <cellStyle name="Normal 12 3 2 3 2 2 4" xfId="36037" xr:uid="{00000000-0005-0000-0000-0000D65E0000}"/>
    <cellStyle name="Normal 12 3 2 3 2 3" xfId="12290" xr:uid="{00000000-0005-0000-0000-0000D75E0000}"/>
    <cellStyle name="Normal 12 3 2 3 2 3 2" xfId="25858" xr:uid="{00000000-0005-0000-0000-0000D85E0000}"/>
    <cellStyle name="Normal 12 3 2 3 2 3 2 2" xfId="52991" xr:uid="{00000000-0005-0000-0000-0000D95E0000}"/>
    <cellStyle name="Normal 12 3 2 3 2 3 3" xfId="39429" xr:uid="{00000000-0005-0000-0000-0000DA5E0000}"/>
    <cellStyle name="Normal 12 3 2 3 2 4" xfId="19077" xr:uid="{00000000-0005-0000-0000-0000DB5E0000}"/>
    <cellStyle name="Normal 12 3 2 3 2 4 2" xfId="46210" xr:uid="{00000000-0005-0000-0000-0000DC5E0000}"/>
    <cellStyle name="Normal 12 3 2 3 2 5" xfId="32648" xr:uid="{00000000-0005-0000-0000-0000DD5E0000}"/>
    <cellStyle name="Normal 12 3 2 3 3" xfId="5341" xr:uid="{00000000-0005-0000-0000-0000DE5E0000}"/>
    <cellStyle name="Normal 12 3 2 3 3 2" xfId="8890" xr:uid="{00000000-0005-0000-0000-0000DF5E0000}"/>
    <cellStyle name="Normal 12 3 2 3 3 2 2" xfId="15680" xr:uid="{00000000-0005-0000-0000-0000E05E0000}"/>
    <cellStyle name="Normal 12 3 2 3 3 2 2 2" xfId="29248" xr:uid="{00000000-0005-0000-0000-0000E15E0000}"/>
    <cellStyle name="Normal 12 3 2 3 3 2 2 2 2" xfId="56381" xr:uid="{00000000-0005-0000-0000-0000E25E0000}"/>
    <cellStyle name="Normal 12 3 2 3 3 2 2 3" xfId="42819" xr:uid="{00000000-0005-0000-0000-0000E35E0000}"/>
    <cellStyle name="Normal 12 3 2 3 3 2 3" xfId="22467" xr:uid="{00000000-0005-0000-0000-0000E45E0000}"/>
    <cellStyle name="Normal 12 3 2 3 3 2 3 2" xfId="49600" xr:uid="{00000000-0005-0000-0000-0000E55E0000}"/>
    <cellStyle name="Normal 12 3 2 3 3 2 4" xfId="36038" xr:uid="{00000000-0005-0000-0000-0000E65E0000}"/>
    <cellStyle name="Normal 12 3 2 3 3 3" xfId="12291" xr:uid="{00000000-0005-0000-0000-0000E75E0000}"/>
    <cellStyle name="Normal 12 3 2 3 3 3 2" xfId="25859" xr:uid="{00000000-0005-0000-0000-0000E85E0000}"/>
    <cellStyle name="Normal 12 3 2 3 3 3 2 2" xfId="52992" xr:uid="{00000000-0005-0000-0000-0000E95E0000}"/>
    <cellStyle name="Normal 12 3 2 3 3 3 3" xfId="39430" xr:uid="{00000000-0005-0000-0000-0000EA5E0000}"/>
    <cellStyle name="Normal 12 3 2 3 3 4" xfId="19078" xr:uid="{00000000-0005-0000-0000-0000EB5E0000}"/>
    <cellStyle name="Normal 12 3 2 3 3 4 2" xfId="46211" xr:uid="{00000000-0005-0000-0000-0000EC5E0000}"/>
    <cellStyle name="Normal 12 3 2 3 3 5" xfId="32649" xr:uid="{00000000-0005-0000-0000-0000ED5E0000}"/>
    <cellStyle name="Normal 12 3 2 3 4" xfId="8888" xr:uid="{00000000-0005-0000-0000-0000EE5E0000}"/>
    <cellStyle name="Normal 12 3 2 3 4 2" xfId="15678" xr:uid="{00000000-0005-0000-0000-0000EF5E0000}"/>
    <cellStyle name="Normal 12 3 2 3 4 2 2" xfId="29246" xr:uid="{00000000-0005-0000-0000-0000F05E0000}"/>
    <cellStyle name="Normal 12 3 2 3 4 2 2 2" xfId="56379" xr:uid="{00000000-0005-0000-0000-0000F15E0000}"/>
    <cellStyle name="Normal 12 3 2 3 4 2 3" xfId="42817" xr:uid="{00000000-0005-0000-0000-0000F25E0000}"/>
    <cellStyle name="Normal 12 3 2 3 4 3" xfId="22465" xr:uid="{00000000-0005-0000-0000-0000F35E0000}"/>
    <cellStyle name="Normal 12 3 2 3 4 3 2" xfId="49598" xr:uid="{00000000-0005-0000-0000-0000F45E0000}"/>
    <cellStyle name="Normal 12 3 2 3 4 4" xfId="36036" xr:uid="{00000000-0005-0000-0000-0000F55E0000}"/>
    <cellStyle name="Normal 12 3 2 3 5" xfId="12289" xr:uid="{00000000-0005-0000-0000-0000F65E0000}"/>
    <cellStyle name="Normal 12 3 2 3 5 2" xfId="25857" xr:uid="{00000000-0005-0000-0000-0000F75E0000}"/>
    <cellStyle name="Normal 12 3 2 3 5 2 2" xfId="52990" xr:uid="{00000000-0005-0000-0000-0000F85E0000}"/>
    <cellStyle name="Normal 12 3 2 3 5 3" xfId="39428" xr:uid="{00000000-0005-0000-0000-0000F95E0000}"/>
    <cellStyle name="Normal 12 3 2 3 6" xfId="19076" xr:uid="{00000000-0005-0000-0000-0000FA5E0000}"/>
    <cellStyle name="Normal 12 3 2 3 6 2" xfId="46209" xr:uid="{00000000-0005-0000-0000-0000FB5E0000}"/>
    <cellStyle name="Normal 12 3 2 3 7" xfId="32647" xr:uid="{00000000-0005-0000-0000-0000FC5E0000}"/>
    <cellStyle name="Normal 12 3 2 4" xfId="5342" xr:uid="{00000000-0005-0000-0000-0000FD5E0000}"/>
    <cellStyle name="Normal 12 3 2 4 2" xfId="5343" xr:uid="{00000000-0005-0000-0000-0000FE5E0000}"/>
    <cellStyle name="Normal 12 3 2 4 2 2" xfId="8892" xr:uid="{00000000-0005-0000-0000-0000FF5E0000}"/>
    <cellStyle name="Normal 12 3 2 4 2 2 2" xfId="15682" xr:uid="{00000000-0005-0000-0000-0000005F0000}"/>
    <cellStyle name="Normal 12 3 2 4 2 2 2 2" xfId="29250" xr:uid="{00000000-0005-0000-0000-0000015F0000}"/>
    <cellStyle name="Normal 12 3 2 4 2 2 2 2 2" xfId="56383" xr:uid="{00000000-0005-0000-0000-0000025F0000}"/>
    <cellStyle name="Normal 12 3 2 4 2 2 2 3" xfId="42821" xr:uid="{00000000-0005-0000-0000-0000035F0000}"/>
    <cellStyle name="Normal 12 3 2 4 2 2 3" xfId="22469" xr:uid="{00000000-0005-0000-0000-0000045F0000}"/>
    <cellStyle name="Normal 12 3 2 4 2 2 3 2" xfId="49602" xr:uid="{00000000-0005-0000-0000-0000055F0000}"/>
    <cellStyle name="Normal 12 3 2 4 2 2 4" xfId="36040" xr:uid="{00000000-0005-0000-0000-0000065F0000}"/>
    <cellStyle name="Normal 12 3 2 4 2 3" xfId="12293" xr:uid="{00000000-0005-0000-0000-0000075F0000}"/>
    <cellStyle name="Normal 12 3 2 4 2 3 2" xfId="25861" xr:uid="{00000000-0005-0000-0000-0000085F0000}"/>
    <cellStyle name="Normal 12 3 2 4 2 3 2 2" xfId="52994" xr:uid="{00000000-0005-0000-0000-0000095F0000}"/>
    <cellStyle name="Normal 12 3 2 4 2 3 3" xfId="39432" xr:uid="{00000000-0005-0000-0000-00000A5F0000}"/>
    <cellStyle name="Normal 12 3 2 4 2 4" xfId="19080" xr:uid="{00000000-0005-0000-0000-00000B5F0000}"/>
    <cellStyle name="Normal 12 3 2 4 2 4 2" xfId="46213" xr:uid="{00000000-0005-0000-0000-00000C5F0000}"/>
    <cellStyle name="Normal 12 3 2 4 2 5" xfId="32651" xr:uid="{00000000-0005-0000-0000-00000D5F0000}"/>
    <cellStyle name="Normal 12 3 2 4 3" xfId="8891" xr:uid="{00000000-0005-0000-0000-00000E5F0000}"/>
    <cellStyle name="Normal 12 3 2 4 3 2" xfId="15681" xr:uid="{00000000-0005-0000-0000-00000F5F0000}"/>
    <cellStyle name="Normal 12 3 2 4 3 2 2" xfId="29249" xr:uid="{00000000-0005-0000-0000-0000105F0000}"/>
    <cellStyle name="Normal 12 3 2 4 3 2 2 2" xfId="56382" xr:uid="{00000000-0005-0000-0000-0000115F0000}"/>
    <cellStyle name="Normal 12 3 2 4 3 2 3" xfId="42820" xr:uid="{00000000-0005-0000-0000-0000125F0000}"/>
    <cellStyle name="Normal 12 3 2 4 3 3" xfId="22468" xr:uid="{00000000-0005-0000-0000-0000135F0000}"/>
    <cellStyle name="Normal 12 3 2 4 3 3 2" xfId="49601" xr:uid="{00000000-0005-0000-0000-0000145F0000}"/>
    <cellStyle name="Normal 12 3 2 4 3 4" xfId="36039" xr:uid="{00000000-0005-0000-0000-0000155F0000}"/>
    <cellStyle name="Normal 12 3 2 4 4" xfId="12292" xr:uid="{00000000-0005-0000-0000-0000165F0000}"/>
    <cellStyle name="Normal 12 3 2 4 4 2" xfId="25860" xr:uid="{00000000-0005-0000-0000-0000175F0000}"/>
    <cellStyle name="Normal 12 3 2 4 4 2 2" xfId="52993" xr:uid="{00000000-0005-0000-0000-0000185F0000}"/>
    <cellStyle name="Normal 12 3 2 4 4 3" xfId="39431" xr:uid="{00000000-0005-0000-0000-0000195F0000}"/>
    <cellStyle name="Normal 12 3 2 4 5" xfId="19079" xr:uid="{00000000-0005-0000-0000-00001A5F0000}"/>
    <cellStyle name="Normal 12 3 2 4 5 2" xfId="46212" xr:uid="{00000000-0005-0000-0000-00001B5F0000}"/>
    <cellStyle name="Normal 12 3 2 4 6" xfId="32650" xr:uid="{00000000-0005-0000-0000-00001C5F0000}"/>
    <cellStyle name="Normal 12 3 2 5" xfId="5344" xr:uid="{00000000-0005-0000-0000-00001D5F0000}"/>
    <cellStyle name="Normal 12 3 2 5 2" xfId="8893" xr:uid="{00000000-0005-0000-0000-00001E5F0000}"/>
    <cellStyle name="Normal 12 3 2 5 2 2" xfId="15683" xr:uid="{00000000-0005-0000-0000-00001F5F0000}"/>
    <cellStyle name="Normal 12 3 2 5 2 2 2" xfId="29251" xr:uid="{00000000-0005-0000-0000-0000205F0000}"/>
    <cellStyle name="Normal 12 3 2 5 2 2 2 2" xfId="56384" xr:uid="{00000000-0005-0000-0000-0000215F0000}"/>
    <cellStyle name="Normal 12 3 2 5 2 2 3" xfId="42822" xr:uid="{00000000-0005-0000-0000-0000225F0000}"/>
    <cellStyle name="Normal 12 3 2 5 2 3" xfId="22470" xr:uid="{00000000-0005-0000-0000-0000235F0000}"/>
    <cellStyle name="Normal 12 3 2 5 2 3 2" xfId="49603" xr:uid="{00000000-0005-0000-0000-0000245F0000}"/>
    <cellStyle name="Normal 12 3 2 5 2 4" xfId="36041" xr:uid="{00000000-0005-0000-0000-0000255F0000}"/>
    <cellStyle name="Normal 12 3 2 5 3" xfId="12294" xr:uid="{00000000-0005-0000-0000-0000265F0000}"/>
    <cellStyle name="Normal 12 3 2 5 3 2" xfId="25862" xr:uid="{00000000-0005-0000-0000-0000275F0000}"/>
    <cellStyle name="Normal 12 3 2 5 3 2 2" xfId="52995" xr:uid="{00000000-0005-0000-0000-0000285F0000}"/>
    <cellStyle name="Normal 12 3 2 5 3 3" xfId="39433" xr:uid="{00000000-0005-0000-0000-0000295F0000}"/>
    <cellStyle name="Normal 12 3 2 5 4" xfId="19081" xr:uid="{00000000-0005-0000-0000-00002A5F0000}"/>
    <cellStyle name="Normal 12 3 2 5 4 2" xfId="46214" xr:uid="{00000000-0005-0000-0000-00002B5F0000}"/>
    <cellStyle name="Normal 12 3 2 5 5" xfId="32652" xr:uid="{00000000-0005-0000-0000-00002C5F0000}"/>
    <cellStyle name="Normal 12 3 2 6" xfId="5345" xr:uid="{00000000-0005-0000-0000-00002D5F0000}"/>
    <cellStyle name="Normal 12 3 2 6 2" xfId="8894" xr:uid="{00000000-0005-0000-0000-00002E5F0000}"/>
    <cellStyle name="Normal 12 3 2 6 2 2" xfId="15684" xr:uid="{00000000-0005-0000-0000-00002F5F0000}"/>
    <cellStyle name="Normal 12 3 2 6 2 2 2" xfId="29252" xr:uid="{00000000-0005-0000-0000-0000305F0000}"/>
    <cellStyle name="Normal 12 3 2 6 2 2 2 2" xfId="56385" xr:uid="{00000000-0005-0000-0000-0000315F0000}"/>
    <cellStyle name="Normal 12 3 2 6 2 2 3" xfId="42823" xr:uid="{00000000-0005-0000-0000-0000325F0000}"/>
    <cellStyle name="Normal 12 3 2 6 2 3" xfId="22471" xr:uid="{00000000-0005-0000-0000-0000335F0000}"/>
    <cellStyle name="Normal 12 3 2 6 2 3 2" xfId="49604" xr:uid="{00000000-0005-0000-0000-0000345F0000}"/>
    <cellStyle name="Normal 12 3 2 6 2 4" xfId="36042" xr:uid="{00000000-0005-0000-0000-0000355F0000}"/>
    <cellStyle name="Normal 12 3 2 6 3" xfId="12295" xr:uid="{00000000-0005-0000-0000-0000365F0000}"/>
    <cellStyle name="Normal 12 3 2 6 3 2" xfId="25863" xr:uid="{00000000-0005-0000-0000-0000375F0000}"/>
    <cellStyle name="Normal 12 3 2 6 3 2 2" xfId="52996" xr:uid="{00000000-0005-0000-0000-0000385F0000}"/>
    <cellStyle name="Normal 12 3 2 6 3 3" xfId="39434" xr:uid="{00000000-0005-0000-0000-0000395F0000}"/>
    <cellStyle name="Normal 12 3 2 6 4" xfId="19082" xr:uid="{00000000-0005-0000-0000-00003A5F0000}"/>
    <cellStyle name="Normal 12 3 2 6 4 2" xfId="46215" xr:uid="{00000000-0005-0000-0000-00003B5F0000}"/>
    <cellStyle name="Normal 12 3 2 6 5" xfId="32653" xr:uid="{00000000-0005-0000-0000-00003C5F0000}"/>
    <cellStyle name="Normal 12 3 2 7" xfId="8879" xr:uid="{00000000-0005-0000-0000-00003D5F0000}"/>
    <cellStyle name="Normal 12 3 2 7 2" xfId="15669" xr:uid="{00000000-0005-0000-0000-00003E5F0000}"/>
    <cellStyle name="Normal 12 3 2 7 2 2" xfId="29237" xr:uid="{00000000-0005-0000-0000-00003F5F0000}"/>
    <cellStyle name="Normal 12 3 2 7 2 2 2" xfId="56370" xr:uid="{00000000-0005-0000-0000-0000405F0000}"/>
    <cellStyle name="Normal 12 3 2 7 2 3" xfId="42808" xr:uid="{00000000-0005-0000-0000-0000415F0000}"/>
    <cellStyle name="Normal 12 3 2 7 3" xfId="22456" xr:uid="{00000000-0005-0000-0000-0000425F0000}"/>
    <cellStyle name="Normal 12 3 2 7 3 2" xfId="49589" xr:uid="{00000000-0005-0000-0000-0000435F0000}"/>
    <cellStyle name="Normal 12 3 2 7 4" xfId="36027" xr:uid="{00000000-0005-0000-0000-0000445F0000}"/>
    <cellStyle name="Normal 12 3 2 8" xfId="12280" xr:uid="{00000000-0005-0000-0000-0000455F0000}"/>
    <cellStyle name="Normal 12 3 2 8 2" xfId="25848" xr:uid="{00000000-0005-0000-0000-0000465F0000}"/>
    <cellStyle name="Normal 12 3 2 8 2 2" xfId="52981" xr:uid="{00000000-0005-0000-0000-0000475F0000}"/>
    <cellStyle name="Normal 12 3 2 8 3" xfId="39419" xr:uid="{00000000-0005-0000-0000-0000485F0000}"/>
    <cellStyle name="Normal 12 3 2 9" xfId="19067" xr:uid="{00000000-0005-0000-0000-0000495F0000}"/>
    <cellStyle name="Normal 12 3 2 9 2" xfId="46200" xr:uid="{00000000-0005-0000-0000-00004A5F0000}"/>
    <cellStyle name="Normal 12 3 3" xfId="5346" xr:uid="{00000000-0005-0000-0000-00004B5F0000}"/>
    <cellStyle name="Normal 12 3 3 2" xfId="5347" xr:uid="{00000000-0005-0000-0000-00004C5F0000}"/>
    <cellStyle name="Normal 12 3 3 2 2" xfId="5348" xr:uid="{00000000-0005-0000-0000-00004D5F0000}"/>
    <cellStyle name="Normal 12 3 3 2 2 2" xfId="8897" xr:uid="{00000000-0005-0000-0000-00004E5F0000}"/>
    <cellStyle name="Normal 12 3 3 2 2 2 2" xfId="15687" xr:uid="{00000000-0005-0000-0000-00004F5F0000}"/>
    <cellStyle name="Normal 12 3 3 2 2 2 2 2" xfId="29255" xr:uid="{00000000-0005-0000-0000-0000505F0000}"/>
    <cellStyle name="Normal 12 3 3 2 2 2 2 2 2" xfId="56388" xr:uid="{00000000-0005-0000-0000-0000515F0000}"/>
    <cellStyle name="Normal 12 3 3 2 2 2 2 3" xfId="42826" xr:uid="{00000000-0005-0000-0000-0000525F0000}"/>
    <cellStyle name="Normal 12 3 3 2 2 2 3" xfId="22474" xr:uid="{00000000-0005-0000-0000-0000535F0000}"/>
    <cellStyle name="Normal 12 3 3 2 2 2 3 2" xfId="49607" xr:uid="{00000000-0005-0000-0000-0000545F0000}"/>
    <cellStyle name="Normal 12 3 3 2 2 2 4" xfId="36045" xr:uid="{00000000-0005-0000-0000-0000555F0000}"/>
    <cellStyle name="Normal 12 3 3 2 2 3" xfId="12298" xr:uid="{00000000-0005-0000-0000-0000565F0000}"/>
    <cellStyle name="Normal 12 3 3 2 2 3 2" xfId="25866" xr:uid="{00000000-0005-0000-0000-0000575F0000}"/>
    <cellStyle name="Normal 12 3 3 2 2 3 2 2" xfId="52999" xr:uid="{00000000-0005-0000-0000-0000585F0000}"/>
    <cellStyle name="Normal 12 3 3 2 2 3 3" xfId="39437" xr:uid="{00000000-0005-0000-0000-0000595F0000}"/>
    <cellStyle name="Normal 12 3 3 2 2 4" xfId="19085" xr:uid="{00000000-0005-0000-0000-00005A5F0000}"/>
    <cellStyle name="Normal 12 3 3 2 2 4 2" xfId="46218" xr:uid="{00000000-0005-0000-0000-00005B5F0000}"/>
    <cellStyle name="Normal 12 3 3 2 2 5" xfId="32656" xr:uid="{00000000-0005-0000-0000-00005C5F0000}"/>
    <cellStyle name="Normal 12 3 3 2 3" xfId="5349" xr:uid="{00000000-0005-0000-0000-00005D5F0000}"/>
    <cellStyle name="Normal 12 3 3 2 3 2" xfId="8898" xr:uid="{00000000-0005-0000-0000-00005E5F0000}"/>
    <cellStyle name="Normal 12 3 3 2 3 2 2" xfId="15688" xr:uid="{00000000-0005-0000-0000-00005F5F0000}"/>
    <cellStyle name="Normal 12 3 3 2 3 2 2 2" xfId="29256" xr:uid="{00000000-0005-0000-0000-0000605F0000}"/>
    <cellStyle name="Normal 12 3 3 2 3 2 2 2 2" xfId="56389" xr:uid="{00000000-0005-0000-0000-0000615F0000}"/>
    <cellStyle name="Normal 12 3 3 2 3 2 2 3" xfId="42827" xr:uid="{00000000-0005-0000-0000-0000625F0000}"/>
    <cellStyle name="Normal 12 3 3 2 3 2 3" xfId="22475" xr:uid="{00000000-0005-0000-0000-0000635F0000}"/>
    <cellStyle name="Normal 12 3 3 2 3 2 3 2" xfId="49608" xr:uid="{00000000-0005-0000-0000-0000645F0000}"/>
    <cellStyle name="Normal 12 3 3 2 3 2 4" xfId="36046" xr:uid="{00000000-0005-0000-0000-0000655F0000}"/>
    <cellStyle name="Normal 12 3 3 2 3 3" xfId="12299" xr:uid="{00000000-0005-0000-0000-0000665F0000}"/>
    <cellStyle name="Normal 12 3 3 2 3 3 2" xfId="25867" xr:uid="{00000000-0005-0000-0000-0000675F0000}"/>
    <cellStyle name="Normal 12 3 3 2 3 3 2 2" xfId="53000" xr:uid="{00000000-0005-0000-0000-0000685F0000}"/>
    <cellStyle name="Normal 12 3 3 2 3 3 3" xfId="39438" xr:uid="{00000000-0005-0000-0000-0000695F0000}"/>
    <cellStyle name="Normal 12 3 3 2 3 4" xfId="19086" xr:uid="{00000000-0005-0000-0000-00006A5F0000}"/>
    <cellStyle name="Normal 12 3 3 2 3 4 2" xfId="46219" xr:uid="{00000000-0005-0000-0000-00006B5F0000}"/>
    <cellStyle name="Normal 12 3 3 2 3 5" xfId="32657" xr:uid="{00000000-0005-0000-0000-00006C5F0000}"/>
    <cellStyle name="Normal 12 3 3 2 4" xfId="8896" xr:uid="{00000000-0005-0000-0000-00006D5F0000}"/>
    <cellStyle name="Normal 12 3 3 2 4 2" xfId="15686" xr:uid="{00000000-0005-0000-0000-00006E5F0000}"/>
    <cellStyle name="Normal 12 3 3 2 4 2 2" xfId="29254" xr:uid="{00000000-0005-0000-0000-00006F5F0000}"/>
    <cellStyle name="Normal 12 3 3 2 4 2 2 2" xfId="56387" xr:uid="{00000000-0005-0000-0000-0000705F0000}"/>
    <cellStyle name="Normal 12 3 3 2 4 2 3" xfId="42825" xr:uid="{00000000-0005-0000-0000-0000715F0000}"/>
    <cellStyle name="Normal 12 3 3 2 4 3" xfId="22473" xr:uid="{00000000-0005-0000-0000-0000725F0000}"/>
    <cellStyle name="Normal 12 3 3 2 4 3 2" xfId="49606" xr:uid="{00000000-0005-0000-0000-0000735F0000}"/>
    <cellStyle name="Normal 12 3 3 2 4 4" xfId="36044" xr:uid="{00000000-0005-0000-0000-0000745F0000}"/>
    <cellStyle name="Normal 12 3 3 2 5" xfId="12297" xr:uid="{00000000-0005-0000-0000-0000755F0000}"/>
    <cellStyle name="Normal 12 3 3 2 5 2" xfId="25865" xr:uid="{00000000-0005-0000-0000-0000765F0000}"/>
    <cellStyle name="Normal 12 3 3 2 5 2 2" xfId="52998" xr:uid="{00000000-0005-0000-0000-0000775F0000}"/>
    <cellStyle name="Normal 12 3 3 2 5 3" xfId="39436" xr:uid="{00000000-0005-0000-0000-0000785F0000}"/>
    <cellStyle name="Normal 12 3 3 2 6" xfId="19084" xr:uid="{00000000-0005-0000-0000-0000795F0000}"/>
    <cellStyle name="Normal 12 3 3 2 6 2" xfId="46217" xr:uid="{00000000-0005-0000-0000-00007A5F0000}"/>
    <cellStyle name="Normal 12 3 3 2 7" xfId="32655" xr:uid="{00000000-0005-0000-0000-00007B5F0000}"/>
    <cellStyle name="Normal 12 3 3 3" xfId="5350" xr:uid="{00000000-0005-0000-0000-00007C5F0000}"/>
    <cellStyle name="Normal 12 3 3 3 2" xfId="5351" xr:uid="{00000000-0005-0000-0000-00007D5F0000}"/>
    <cellStyle name="Normal 12 3 3 3 2 2" xfId="8900" xr:uid="{00000000-0005-0000-0000-00007E5F0000}"/>
    <cellStyle name="Normal 12 3 3 3 2 2 2" xfId="15690" xr:uid="{00000000-0005-0000-0000-00007F5F0000}"/>
    <cellStyle name="Normal 12 3 3 3 2 2 2 2" xfId="29258" xr:uid="{00000000-0005-0000-0000-0000805F0000}"/>
    <cellStyle name="Normal 12 3 3 3 2 2 2 2 2" xfId="56391" xr:uid="{00000000-0005-0000-0000-0000815F0000}"/>
    <cellStyle name="Normal 12 3 3 3 2 2 2 3" xfId="42829" xr:uid="{00000000-0005-0000-0000-0000825F0000}"/>
    <cellStyle name="Normal 12 3 3 3 2 2 3" xfId="22477" xr:uid="{00000000-0005-0000-0000-0000835F0000}"/>
    <cellStyle name="Normal 12 3 3 3 2 2 3 2" xfId="49610" xr:uid="{00000000-0005-0000-0000-0000845F0000}"/>
    <cellStyle name="Normal 12 3 3 3 2 2 4" xfId="36048" xr:uid="{00000000-0005-0000-0000-0000855F0000}"/>
    <cellStyle name="Normal 12 3 3 3 2 3" xfId="12301" xr:uid="{00000000-0005-0000-0000-0000865F0000}"/>
    <cellStyle name="Normal 12 3 3 3 2 3 2" xfId="25869" xr:uid="{00000000-0005-0000-0000-0000875F0000}"/>
    <cellStyle name="Normal 12 3 3 3 2 3 2 2" xfId="53002" xr:uid="{00000000-0005-0000-0000-0000885F0000}"/>
    <cellStyle name="Normal 12 3 3 3 2 3 3" xfId="39440" xr:uid="{00000000-0005-0000-0000-0000895F0000}"/>
    <cellStyle name="Normal 12 3 3 3 2 4" xfId="19088" xr:uid="{00000000-0005-0000-0000-00008A5F0000}"/>
    <cellStyle name="Normal 12 3 3 3 2 4 2" xfId="46221" xr:uid="{00000000-0005-0000-0000-00008B5F0000}"/>
    <cellStyle name="Normal 12 3 3 3 2 5" xfId="32659" xr:uid="{00000000-0005-0000-0000-00008C5F0000}"/>
    <cellStyle name="Normal 12 3 3 3 3" xfId="8899" xr:uid="{00000000-0005-0000-0000-00008D5F0000}"/>
    <cellStyle name="Normal 12 3 3 3 3 2" xfId="15689" xr:uid="{00000000-0005-0000-0000-00008E5F0000}"/>
    <cellStyle name="Normal 12 3 3 3 3 2 2" xfId="29257" xr:uid="{00000000-0005-0000-0000-00008F5F0000}"/>
    <cellStyle name="Normal 12 3 3 3 3 2 2 2" xfId="56390" xr:uid="{00000000-0005-0000-0000-0000905F0000}"/>
    <cellStyle name="Normal 12 3 3 3 3 2 3" xfId="42828" xr:uid="{00000000-0005-0000-0000-0000915F0000}"/>
    <cellStyle name="Normal 12 3 3 3 3 3" xfId="22476" xr:uid="{00000000-0005-0000-0000-0000925F0000}"/>
    <cellStyle name="Normal 12 3 3 3 3 3 2" xfId="49609" xr:uid="{00000000-0005-0000-0000-0000935F0000}"/>
    <cellStyle name="Normal 12 3 3 3 3 4" xfId="36047" xr:uid="{00000000-0005-0000-0000-0000945F0000}"/>
    <cellStyle name="Normal 12 3 3 3 4" xfId="12300" xr:uid="{00000000-0005-0000-0000-0000955F0000}"/>
    <cellStyle name="Normal 12 3 3 3 4 2" xfId="25868" xr:uid="{00000000-0005-0000-0000-0000965F0000}"/>
    <cellStyle name="Normal 12 3 3 3 4 2 2" xfId="53001" xr:uid="{00000000-0005-0000-0000-0000975F0000}"/>
    <cellStyle name="Normal 12 3 3 3 4 3" xfId="39439" xr:uid="{00000000-0005-0000-0000-0000985F0000}"/>
    <cellStyle name="Normal 12 3 3 3 5" xfId="19087" xr:uid="{00000000-0005-0000-0000-0000995F0000}"/>
    <cellStyle name="Normal 12 3 3 3 5 2" xfId="46220" xr:uid="{00000000-0005-0000-0000-00009A5F0000}"/>
    <cellStyle name="Normal 12 3 3 3 6" xfId="32658" xr:uid="{00000000-0005-0000-0000-00009B5F0000}"/>
    <cellStyle name="Normal 12 3 3 4" xfId="5352" xr:uid="{00000000-0005-0000-0000-00009C5F0000}"/>
    <cellStyle name="Normal 12 3 3 4 2" xfId="8901" xr:uid="{00000000-0005-0000-0000-00009D5F0000}"/>
    <cellStyle name="Normal 12 3 3 4 2 2" xfId="15691" xr:uid="{00000000-0005-0000-0000-00009E5F0000}"/>
    <cellStyle name="Normal 12 3 3 4 2 2 2" xfId="29259" xr:uid="{00000000-0005-0000-0000-00009F5F0000}"/>
    <cellStyle name="Normal 12 3 3 4 2 2 2 2" xfId="56392" xr:uid="{00000000-0005-0000-0000-0000A05F0000}"/>
    <cellStyle name="Normal 12 3 3 4 2 2 3" xfId="42830" xr:uid="{00000000-0005-0000-0000-0000A15F0000}"/>
    <cellStyle name="Normal 12 3 3 4 2 3" xfId="22478" xr:uid="{00000000-0005-0000-0000-0000A25F0000}"/>
    <cellStyle name="Normal 12 3 3 4 2 3 2" xfId="49611" xr:uid="{00000000-0005-0000-0000-0000A35F0000}"/>
    <cellStyle name="Normal 12 3 3 4 2 4" xfId="36049" xr:uid="{00000000-0005-0000-0000-0000A45F0000}"/>
    <cellStyle name="Normal 12 3 3 4 3" xfId="12302" xr:uid="{00000000-0005-0000-0000-0000A55F0000}"/>
    <cellStyle name="Normal 12 3 3 4 3 2" xfId="25870" xr:uid="{00000000-0005-0000-0000-0000A65F0000}"/>
    <cellStyle name="Normal 12 3 3 4 3 2 2" xfId="53003" xr:uid="{00000000-0005-0000-0000-0000A75F0000}"/>
    <cellStyle name="Normal 12 3 3 4 3 3" xfId="39441" xr:uid="{00000000-0005-0000-0000-0000A85F0000}"/>
    <cellStyle name="Normal 12 3 3 4 4" xfId="19089" xr:uid="{00000000-0005-0000-0000-0000A95F0000}"/>
    <cellStyle name="Normal 12 3 3 4 4 2" xfId="46222" xr:uid="{00000000-0005-0000-0000-0000AA5F0000}"/>
    <cellStyle name="Normal 12 3 3 4 5" xfId="32660" xr:uid="{00000000-0005-0000-0000-0000AB5F0000}"/>
    <cellStyle name="Normal 12 3 3 5" xfId="5353" xr:uid="{00000000-0005-0000-0000-0000AC5F0000}"/>
    <cellStyle name="Normal 12 3 3 5 2" xfId="8902" xr:uid="{00000000-0005-0000-0000-0000AD5F0000}"/>
    <cellStyle name="Normal 12 3 3 5 2 2" xfId="15692" xr:uid="{00000000-0005-0000-0000-0000AE5F0000}"/>
    <cellStyle name="Normal 12 3 3 5 2 2 2" xfId="29260" xr:uid="{00000000-0005-0000-0000-0000AF5F0000}"/>
    <cellStyle name="Normal 12 3 3 5 2 2 2 2" xfId="56393" xr:uid="{00000000-0005-0000-0000-0000B05F0000}"/>
    <cellStyle name="Normal 12 3 3 5 2 2 3" xfId="42831" xr:uid="{00000000-0005-0000-0000-0000B15F0000}"/>
    <cellStyle name="Normal 12 3 3 5 2 3" xfId="22479" xr:uid="{00000000-0005-0000-0000-0000B25F0000}"/>
    <cellStyle name="Normal 12 3 3 5 2 3 2" xfId="49612" xr:uid="{00000000-0005-0000-0000-0000B35F0000}"/>
    <cellStyle name="Normal 12 3 3 5 2 4" xfId="36050" xr:uid="{00000000-0005-0000-0000-0000B45F0000}"/>
    <cellStyle name="Normal 12 3 3 5 3" xfId="12303" xr:uid="{00000000-0005-0000-0000-0000B55F0000}"/>
    <cellStyle name="Normal 12 3 3 5 3 2" xfId="25871" xr:uid="{00000000-0005-0000-0000-0000B65F0000}"/>
    <cellStyle name="Normal 12 3 3 5 3 2 2" xfId="53004" xr:uid="{00000000-0005-0000-0000-0000B75F0000}"/>
    <cellStyle name="Normal 12 3 3 5 3 3" xfId="39442" xr:uid="{00000000-0005-0000-0000-0000B85F0000}"/>
    <cellStyle name="Normal 12 3 3 5 4" xfId="19090" xr:uid="{00000000-0005-0000-0000-0000B95F0000}"/>
    <cellStyle name="Normal 12 3 3 5 4 2" xfId="46223" xr:uid="{00000000-0005-0000-0000-0000BA5F0000}"/>
    <cellStyle name="Normal 12 3 3 5 5" xfId="32661" xr:uid="{00000000-0005-0000-0000-0000BB5F0000}"/>
    <cellStyle name="Normal 12 3 3 6" xfId="8895" xr:uid="{00000000-0005-0000-0000-0000BC5F0000}"/>
    <cellStyle name="Normal 12 3 3 6 2" xfId="15685" xr:uid="{00000000-0005-0000-0000-0000BD5F0000}"/>
    <cellStyle name="Normal 12 3 3 6 2 2" xfId="29253" xr:uid="{00000000-0005-0000-0000-0000BE5F0000}"/>
    <cellStyle name="Normal 12 3 3 6 2 2 2" xfId="56386" xr:uid="{00000000-0005-0000-0000-0000BF5F0000}"/>
    <cellStyle name="Normal 12 3 3 6 2 3" xfId="42824" xr:uid="{00000000-0005-0000-0000-0000C05F0000}"/>
    <cellStyle name="Normal 12 3 3 6 3" xfId="22472" xr:uid="{00000000-0005-0000-0000-0000C15F0000}"/>
    <cellStyle name="Normal 12 3 3 6 3 2" xfId="49605" xr:uid="{00000000-0005-0000-0000-0000C25F0000}"/>
    <cellStyle name="Normal 12 3 3 6 4" xfId="36043" xr:uid="{00000000-0005-0000-0000-0000C35F0000}"/>
    <cellStyle name="Normal 12 3 3 7" xfId="12296" xr:uid="{00000000-0005-0000-0000-0000C45F0000}"/>
    <cellStyle name="Normal 12 3 3 7 2" xfId="25864" xr:uid="{00000000-0005-0000-0000-0000C55F0000}"/>
    <cellStyle name="Normal 12 3 3 7 2 2" xfId="52997" xr:uid="{00000000-0005-0000-0000-0000C65F0000}"/>
    <cellStyle name="Normal 12 3 3 7 3" xfId="39435" xr:uid="{00000000-0005-0000-0000-0000C75F0000}"/>
    <cellStyle name="Normal 12 3 3 8" xfId="19083" xr:uid="{00000000-0005-0000-0000-0000C85F0000}"/>
    <cellStyle name="Normal 12 3 3 8 2" xfId="46216" xr:uid="{00000000-0005-0000-0000-0000C95F0000}"/>
    <cellStyle name="Normal 12 3 3 9" xfId="32654" xr:uid="{00000000-0005-0000-0000-0000CA5F0000}"/>
    <cellStyle name="Normal 12 3 4" xfId="5354" xr:uid="{00000000-0005-0000-0000-0000CB5F0000}"/>
    <cellStyle name="Normal 12 3 4 2" xfId="5355" xr:uid="{00000000-0005-0000-0000-0000CC5F0000}"/>
    <cellStyle name="Normal 12 3 4 2 2" xfId="5356" xr:uid="{00000000-0005-0000-0000-0000CD5F0000}"/>
    <cellStyle name="Normal 12 3 4 2 2 2" xfId="8905" xr:uid="{00000000-0005-0000-0000-0000CE5F0000}"/>
    <cellStyle name="Normal 12 3 4 2 2 2 2" xfId="15695" xr:uid="{00000000-0005-0000-0000-0000CF5F0000}"/>
    <cellStyle name="Normal 12 3 4 2 2 2 2 2" xfId="29263" xr:uid="{00000000-0005-0000-0000-0000D05F0000}"/>
    <cellStyle name="Normal 12 3 4 2 2 2 2 2 2" xfId="56396" xr:uid="{00000000-0005-0000-0000-0000D15F0000}"/>
    <cellStyle name="Normal 12 3 4 2 2 2 2 3" xfId="42834" xr:uid="{00000000-0005-0000-0000-0000D25F0000}"/>
    <cellStyle name="Normal 12 3 4 2 2 2 3" xfId="22482" xr:uid="{00000000-0005-0000-0000-0000D35F0000}"/>
    <cellStyle name="Normal 12 3 4 2 2 2 3 2" xfId="49615" xr:uid="{00000000-0005-0000-0000-0000D45F0000}"/>
    <cellStyle name="Normal 12 3 4 2 2 2 4" xfId="36053" xr:uid="{00000000-0005-0000-0000-0000D55F0000}"/>
    <cellStyle name="Normal 12 3 4 2 2 3" xfId="12306" xr:uid="{00000000-0005-0000-0000-0000D65F0000}"/>
    <cellStyle name="Normal 12 3 4 2 2 3 2" xfId="25874" xr:uid="{00000000-0005-0000-0000-0000D75F0000}"/>
    <cellStyle name="Normal 12 3 4 2 2 3 2 2" xfId="53007" xr:uid="{00000000-0005-0000-0000-0000D85F0000}"/>
    <cellStyle name="Normal 12 3 4 2 2 3 3" xfId="39445" xr:uid="{00000000-0005-0000-0000-0000D95F0000}"/>
    <cellStyle name="Normal 12 3 4 2 2 4" xfId="19093" xr:uid="{00000000-0005-0000-0000-0000DA5F0000}"/>
    <cellStyle name="Normal 12 3 4 2 2 4 2" xfId="46226" xr:uid="{00000000-0005-0000-0000-0000DB5F0000}"/>
    <cellStyle name="Normal 12 3 4 2 2 5" xfId="32664" xr:uid="{00000000-0005-0000-0000-0000DC5F0000}"/>
    <cellStyle name="Normal 12 3 4 2 3" xfId="5357" xr:uid="{00000000-0005-0000-0000-0000DD5F0000}"/>
    <cellStyle name="Normal 12 3 4 2 3 2" xfId="8906" xr:uid="{00000000-0005-0000-0000-0000DE5F0000}"/>
    <cellStyle name="Normal 12 3 4 2 3 2 2" xfId="15696" xr:uid="{00000000-0005-0000-0000-0000DF5F0000}"/>
    <cellStyle name="Normal 12 3 4 2 3 2 2 2" xfId="29264" xr:uid="{00000000-0005-0000-0000-0000E05F0000}"/>
    <cellStyle name="Normal 12 3 4 2 3 2 2 2 2" xfId="56397" xr:uid="{00000000-0005-0000-0000-0000E15F0000}"/>
    <cellStyle name="Normal 12 3 4 2 3 2 2 3" xfId="42835" xr:uid="{00000000-0005-0000-0000-0000E25F0000}"/>
    <cellStyle name="Normal 12 3 4 2 3 2 3" xfId="22483" xr:uid="{00000000-0005-0000-0000-0000E35F0000}"/>
    <cellStyle name="Normal 12 3 4 2 3 2 3 2" xfId="49616" xr:uid="{00000000-0005-0000-0000-0000E45F0000}"/>
    <cellStyle name="Normal 12 3 4 2 3 2 4" xfId="36054" xr:uid="{00000000-0005-0000-0000-0000E55F0000}"/>
    <cellStyle name="Normal 12 3 4 2 3 3" xfId="12307" xr:uid="{00000000-0005-0000-0000-0000E65F0000}"/>
    <cellStyle name="Normal 12 3 4 2 3 3 2" xfId="25875" xr:uid="{00000000-0005-0000-0000-0000E75F0000}"/>
    <cellStyle name="Normal 12 3 4 2 3 3 2 2" xfId="53008" xr:uid="{00000000-0005-0000-0000-0000E85F0000}"/>
    <cellStyle name="Normal 12 3 4 2 3 3 3" xfId="39446" xr:uid="{00000000-0005-0000-0000-0000E95F0000}"/>
    <cellStyle name="Normal 12 3 4 2 3 4" xfId="19094" xr:uid="{00000000-0005-0000-0000-0000EA5F0000}"/>
    <cellStyle name="Normal 12 3 4 2 3 4 2" xfId="46227" xr:uid="{00000000-0005-0000-0000-0000EB5F0000}"/>
    <cellStyle name="Normal 12 3 4 2 3 5" xfId="32665" xr:uid="{00000000-0005-0000-0000-0000EC5F0000}"/>
    <cellStyle name="Normal 12 3 4 2 4" xfId="8904" xr:uid="{00000000-0005-0000-0000-0000ED5F0000}"/>
    <cellStyle name="Normal 12 3 4 2 4 2" xfId="15694" xr:uid="{00000000-0005-0000-0000-0000EE5F0000}"/>
    <cellStyle name="Normal 12 3 4 2 4 2 2" xfId="29262" xr:uid="{00000000-0005-0000-0000-0000EF5F0000}"/>
    <cellStyle name="Normal 12 3 4 2 4 2 2 2" xfId="56395" xr:uid="{00000000-0005-0000-0000-0000F05F0000}"/>
    <cellStyle name="Normal 12 3 4 2 4 2 3" xfId="42833" xr:uid="{00000000-0005-0000-0000-0000F15F0000}"/>
    <cellStyle name="Normal 12 3 4 2 4 3" xfId="22481" xr:uid="{00000000-0005-0000-0000-0000F25F0000}"/>
    <cellStyle name="Normal 12 3 4 2 4 3 2" xfId="49614" xr:uid="{00000000-0005-0000-0000-0000F35F0000}"/>
    <cellStyle name="Normal 12 3 4 2 4 4" xfId="36052" xr:uid="{00000000-0005-0000-0000-0000F45F0000}"/>
    <cellStyle name="Normal 12 3 4 2 5" xfId="12305" xr:uid="{00000000-0005-0000-0000-0000F55F0000}"/>
    <cellStyle name="Normal 12 3 4 2 5 2" xfId="25873" xr:uid="{00000000-0005-0000-0000-0000F65F0000}"/>
    <cellStyle name="Normal 12 3 4 2 5 2 2" xfId="53006" xr:uid="{00000000-0005-0000-0000-0000F75F0000}"/>
    <cellStyle name="Normal 12 3 4 2 5 3" xfId="39444" xr:uid="{00000000-0005-0000-0000-0000F85F0000}"/>
    <cellStyle name="Normal 12 3 4 2 6" xfId="19092" xr:uid="{00000000-0005-0000-0000-0000F95F0000}"/>
    <cellStyle name="Normal 12 3 4 2 6 2" xfId="46225" xr:uid="{00000000-0005-0000-0000-0000FA5F0000}"/>
    <cellStyle name="Normal 12 3 4 2 7" xfId="32663" xr:uid="{00000000-0005-0000-0000-0000FB5F0000}"/>
    <cellStyle name="Normal 12 3 4 3" xfId="5358" xr:uid="{00000000-0005-0000-0000-0000FC5F0000}"/>
    <cellStyle name="Normal 12 3 4 3 2" xfId="8907" xr:uid="{00000000-0005-0000-0000-0000FD5F0000}"/>
    <cellStyle name="Normal 12 3 4 3 2 2" xfId="15697" xr:uid="{00000000-0005-0000-0000-0000FE5F0000}"/>
    <cellStyle name="Normal 12 3 4 3 2 2 2" xfId="29265" xr:uid="{00000000-0005-0000-0000-0000FF5F0000}"/>
    <cellStyle name="Normal 12 3 4 3 2 2 2 2" xfId="56398" xr:uid="{00000000-0005-0000-0000-000000600000}"/>
    <cellStyle name="Normal 12 3 4 3 2 2 3" xfId="42836" xr:uid="{00000000-0005-0000-0000-000001600000}"/>
    <cellStyle name="Normal 12 3 4 3 2 3" xfId="22484" xr:uid="{00000000-0005-0000-0000-000002600000}"/>
    <cellStyle name="Normal 12 3 4 3 2 3 2" xfId="49617" xr:uid="{00000000-0005-0000-0000-000003600000}"/>
    <cellStyle name="Normal 12 3 4 3 2 4" xfId="36055" xr:uid="{00000000-0005-0000-0000-000004600000}"/>
    <cellStyle name="Normal 12 3 4 3 3" xfId="12308" xr:uid="{00000000-0005-0000-0000-000005600000}"/>
    <cellStyle name="Normal 12 3 4 3 3 2" xfId="25876" xr:uid="{00000000-0005-0000-0000-000006600000}"/>
    <cellStyle name="Normal 12 3 4 3 3 2 2" xfId="53009" xr:uid="{00000000-0005-0000-0000-000007600000}"/>
    <cellStyle name="Normal 12 3 4 3 3 3" xfId="39447" xr:uid="{00000000-0005-0000-0000-000008600000}"/>
    <cellStyle name="Normal 12 3 4 3 4" xfId="19095" xr:uid="{00000000-0005-0000-0000-000009600000}"/>
    <cellStyle name="Normal 12 3 4 3 4 2" xfId="46228" xr:uid="{00000000-0005-0000-0000-00000A600000}"/>
    <cellStyle name="Normal 12 3 4 3 5" xfId="32666" xr:uid="{00000000-0005-0000-0000-00000B600000}"/>
    <cellStyle name="Normal 12 3 4 4" xfId="5359" xr:uid="{00000000-0005-0000-0000-00000C600000}"/>
    <cellStyle name="Normal 12 3 4 4 2" xfId="8908" xr:uid="{00000000-0005-0000-0000-00000D600000}"/>
    <cellStyle name="Normal 12 3 4 4 2 2" xfId="15698" xr:uid="{00000000-0005-0000-0000-00000E600000}"/>
    <cellStyle name="Normal 12 3 4 4 2 2 2" xfId="29266" xr:uid="{00000000-0005-0000-0000-00000F600000}"/>
    <cellStyle name="Normal 12 3 4 4 2 2 2 2" xfId="56399" xr:uid="{00000000-0005-0000-0000-000010600000}"/>
    <cellStyle name="Normal 12 3 4 4 2 2 3" xfId="42837" xr:uid="{00000000-0005-0000-0000-000011600000}"/>
    <cellStyle name="Normal 12 3 4 4 2 3" xfId="22485" xr:uid="{00000000-0005-0000-0000-000012600000}"/>
    <cellStyle name="Normal 12 3 4 4 2 3 2" xfId="49618" xr:uid="{00000000-0005-0000-0000-000013600000}"/>
    <cellStyle name="Normal 12 3 4 4 2 4" xfId="36056" xr:uid="{00000000-0005-0000-0000-000014600000}"/>
    <cellStyle name="Normal 12 3 4 4 3" xfId="12309" xr:uid="{00000000-0005-0000-0000-000015600000}"/>
    <cellStyle name="Normal 12 3 4 4 3 2" xfId="25877" xr:uid="{00000000-0005-0000-0000-000016600000}"/>
    <cellStyle name="Normal 12 3 4 4 3 2 2" xfId="53010" xr:uid="{00000000-0005-0000-0000-000017600000}"/>
    <cellStyle name="Normal 12 3 4 4 3 3" xfId="39448" xr:uid="{00000000-0005-0000-0000-000018600000}"/>
    <cellStyle name="Normal 12 3 4 4 4" xfId="19096" xr:uid="{00000000-0005-0000-0000-000019600000}"/>
    <cellStyle name="Normal 12 3 4 4 4 2" xfId="46229" xr:uid="{00000000-0005-0000-0000-00001A600000}"/>
    <cellStyle name="Normal 12 3 4 4 5" xfId="32667" xr:uid="{00000000-0005-0000-0000-00001B600000}"/>
    <cellStyle name="Normal 12 3 4 5" xfId="8903" xr:uid="{00000000-0005-0000-0000-00001C600000}"/>
    <cellStyle name="Normal 12 3 4 5 2" xfId="15693" xr:uid="{00000000-0005-0000-0000-00001D600000}"/>
    <cellStyle name="Normal 12 3 4 5 2 2" xfId="29261" xr:uid="{00000000-0005-0000-0000-00001E600000}"/>
    <cellStyle name="Normal 12 3 4 5 2 2 2" xfId="56394" xr:uid="{00000000-0005-0000-0000-00001F600000}"/>
    <cellStyle name="Normal 12 3 4 5 2 3" xfId="42832" xr:uid="{00000000-0005-0000-0000-000020600000}"/>
    <cellStyle name="Normal 12 3 4 5 3" xfId="22480" xr:uid="{00000000-0005-0000-0000-000021600000}"/>
    <cellStyle name="Normal 12 3 4 5 3 2" xfId="49613" xr:uid="{00000000-0005-0000-0000-000022600000}"/>
    <cellStyle name="Normal 12 3 4 5 4" xfId="36051" xr:uid="{00000000-0005-0000-0000-000023600000}"/>
    <cellStyle name="Normal 12 3 4 6" xfId="12304" xr:uid="{00000000-0005-0000-0000-000024600000}"/>
    <cellStyle name="Normal 12 3 4 6 2" xfId="25872" xr:uid="{00000000-0005-0000-0000-000025600000}"/>
    <cellStyle name="Normal 12 3 4 6 2 2" xfId="53005" xr:uid="{00000000-0005-0000-0000-000026600000}"/>
    <cellStyle name="Normal 12 3 4 6 3" xfId="39443" xr:uid="{00000000-0005-0000-0000-000027600000}"/>
    <cellStyle name="Normal 12 3 4 7" xfId="19091" xr:uid="{00000000-0005-0000-0000-000028600000}"/>
    <cellStyle name="Normal 12 3 4 7 2" xfId="46224" xr:uid="{00000000-0005-0000-0000-000029600000}"/>
    <cellStyle name="Normal 12 3 4 8" xfId="32662" xr:uid="{00000000-0005-0000-0000-00002A600000}"/>
    <cellStyle name="Normal 12 3 5" xfId="5360" xr:uid="{00000000-0005-0000-0000-00002B600000}"/>
    <cellStyle name="Normal 12 3 5 2" xfId="5361" xr:uid="{00000000-0005-0000-0000-00002C600000}"/>
    <cellStyle name="Normal 12 3 5 2 2" xfId="5362" xr:uid="{00000000-0005-0000-0000-00002D600000}"/>
    <cellStyle name="Normal 12 3 5 2 2 2" xfId="8911" xr:uid="{00000000-0005-0000-0000-00002E600000}"/>
    <cellStyle name="Normal 12 3 5 2 2 2 2" xfId="15701" xr:uid="{00000000-0005-0000-0000-00002F600000}"/>
    <cellStyle name="Normal 12 3 5 2 2 2 2 2" xfId="29269" xr:uid="{00000000-0005-0000-0000-000030600000}"/>
    <cellStyle name="Normal 12 3 5 2 2 2 2 2 2" xfId="56402" xr:uid="{00000000-0005-0000-0000-000031600000}"/>
    <cellStyle name="Normal 12 3 5 2 2 2 2 3" xfId="42840" xr:uid="{00000000-0005-0000-0000-000032600000}"/>
    <cellStyle name="Normal 12 3 5 2 2 2 3" xfId="22488" xr:uid="{00000000-0005-0000-0000-000033600000}"/>
    <cellStyle name="Normal 12 3 5 2 2 2 3 2" xfId="49621" xr:uid="{00000000-0005-0000-0000-000034600000}"/>
    <cellStyle name="Normal 12 3 5 2 2 2 4" xfId="36059" xr:uid="{00000000-0005-0000-0000-000035600000}"/>
    <cellStyle name="Normal 12 3 5 2 2 3" xfId="12312" xr:uid="{00000000-0005-0000-0000-000036600000}"/>
    <cellStyle name="Normal 12 3 5 2 2 3 2" xfId="25880" xr:uid="{00000000-0005-0000-0000-000037600000}"/>
    <cellStyle name="Normal 12 3 5 2 2 3 2 2" xfId="53013" xr:uid="{00000000-0005-0000-0000-000038600000}"/>
    <cellStyle name="Normal 12 3 5 2 2 3 3" xfId="39451" xr:uid="{00000000-0005-0000-0000-000039600000}"/>
    <cellStyle name="Normal 12 3 5 2 2 4" xfId="19099" xr:uid="{00000000-0005-0000-0000-00003A600000}"/>
    <cellStyle name="Normal 12 3 5 2 2 4 2" xfId="46232" xr:uid="{00000000-0005-0000-0000-00003B600000}"/>
    <cellStyle name="Normal 12 3 5 2 2 5" xfId="32670" xr:uid="{00000000-0005-0000-0000-00003C600000}"/>
    <cellStyle name="Normal 12 3 5 2 3" xfId="5363" xr:uid="{00000000-0005-0000-0000-00003D600000}"/>
    <cellStyle name="Normal 12 3 5 2 3 2" xfId="8912" xr:uid="{00000000-0005-0000-0000-00003E600000}"/>
    <cellStyle name="Normal 12 3 5 2 3 2 2" xfId="15702" xr:uid="{00000000-0005-0000-0000-00003F600000}"/>
    <cellStyle name="Normal 12 3 5 2 3 2 2 2" xfId="29270" xr:uid="{00000000-0005-0000-0000-000040600000}"/>
    <cellStyle name="Normal 12 3 5 2 3 2 2 2 2" xfId="56403" xr:uid="{00000000-0005-0000-0000-000041600000}"/>
    <cellStyle name="Normal 12 3 5 2 3 2 2 3" xfId="42841" xr:uid="{00000000-0005-0000-0000-000042600000}"/>
    <cellStyle name="Normal 12 3 5 2 3 2 3" xfId="22489" xr:uid="{00000000-0005-0000-0000-000043600000}"/>
    <cellStyle name="Normal 12 3 5 2 3 2 3 2" xfId="49622" xr:uid="{00000000-0005-0000-0000-000044600000}"/>
    <cellStyle name="Normal 12 3 5 2 3 2 4" xfId="36060" xr:uid="{00000000-0005-0000-0000-000045600000}"/>
    <cellStyle name="Normal 12 3 5 2 3 3" xfId="12313" xr:uid="{00000000-0005-0000-0000-000046600000}"/>
    <cellStyle name="Normal 12 3 5 2 3 3 2" xfId="25881" xr:uid="{00000000-0005-0000-0000-000047600000}"/>
    <cellStyle name="Normal 12 3 5 2 3 3 2 2" xfId="53014" xr:uid="{00000000-0005-0000-0000-000048600000}"/>
    <cellStyle name="Normal 12 3 5 2 3 3 3" xfId="39452" xr:uid="{00000000-0005-0000-0000-000049600000}"/>
    <cellStyle name="Normal 12 3 5 2 3 4" xfId="19100" xr:uid="{00000000-0005-0000-0000-00004A600000}"/>
    <cellStyle name="Normal 12 3 5 2 3 4 2" xfId="46233" xr:uid="{00000000-0005-0000-0000-00004B600000}"/>
    <cellStyle name="Normal 12 3 5 2 3 5" xfId="32671" xr:uid="{00000000-0005-0000-0000-00004C600000}"/>
    <cellStyle name="Normal 12 3 5 2 4" xfId="8910" xr:uid="{00000000-0005-0000-0000-00004D600000}"/>
    <cellStyle name="Normal 12 3 5 2 4 2" xfId="15700" xr:uid="{00000000-0005-0000-0000-00004E600000}"/>
    <cellStyle name="Normal 12 3 5 2 4 2 2" xfId="29268" xr:uid="{00000000-0005-0000-0000-00004F600000}"/>
    <cellStyle name="Normal 12 3 5 2 4 2 2 2" xfId="56401" xr:uid="{00000000-0005-0000-0000-000050600000}"/>
    <cellStyle name="Normal 12 3 5 2 4 2 3" xfId="42839" xr:uid="{00000000-0005-0000-0000-000051600000}"/>
    <cellStyle name="Normal 12 3 5 2 4 3" xfId="22487" xr:uid="{00000000-0005-0000-0000-000052600000}"/>
    <cellStyle name="Normal 12 3 5 2 4 3 2" xfId="49620" xr:uid="{00000000-0005-0000-0000-000053600000}"/>
    <cellStyle name="Normal 12 3 5 2 4 4" xfId="36058" xr:uid="{00000000-0005-0000-0000-000054600000}"/>
    <cellStyle name="Normal 12 3 5 2 5" xfId="12311" xr:uid="{00000000-0005-0000-0000-000055600000}"/>
    <cellStyle name="Normal 12 3 5 2 5 2" xfId="25879" xr:uid="{00000000-0005-0000-0000-000056600000}"/>
    <cellStyle name="Normal 12 3 5 2 5 2 2" xfId="53012" xr:uid="{00000000-0005-0000-0000-000057600000}"/>
    <cellStyle name="Normal 12 3 5 2 5 3" xfId="39450" xr:uid="{00000000-0005-0000-0000-000058600000}"/>
    <cellStyle name="Normal 12 3 5 2 6" xfId="19098" xr:uid="{00000000-0005-0000-0000-000059600000}"/>
    <cellStyle name="Normal 12 3 5 2 6 2" xfId="46231" xr:uid="{00000000-0005-0000-0000-00005A600000}"/>
    <cellStyle name="Normal 12 3 5 2 7" xfId="32669" xr:uid="{00000000-0005-0000-0000-00005B600000}"/>
    <cellStyle name="Normal 12 3 5 3" xfId="5364" xr:uid="{00000000-0005-0000-0000-00005C600000}"/>
    <cellStyle name="Normal 12 3 5 3 2" xfId="8913" xr:uid="{00000000-0005-0000-0000-00005D600000}"/>
    <cellStyle name="Normal 12 3 5 3 2 2" xfId="15703" xr:uid="{00000000-0005-0000-0000-00005E600000}"/>
    <cellStyle name="Normal 12 3 5 3 2 2 2" xfId="29271" xr:uid="{00000000-0005-0000-0000-00005F600000}"/>
    <cellStyle name="Normal 12 3 5 3 2 2 2 2" xfId="56404" xr:uid="{00000000-0005-0000-0000-000060600000}"/>
    <cellStyle name="Normal 12 3 5 3 2 2 3" xfId="42842" xr:uid="{00000000-0005-0000-0000-000061600000}"/>
    <cellStyle name="Normal 12 3 5 3 2 3" xfId="22490" xr:uid="{00000000-0005-0000-0000-000062600000}"/>
    <cellStyle name="Normal 12 3 5 3 2 3 2" xfId="49623" xr:uid="{00000000-0005-0000-0000-000063600000}"/>
    <cellStyle name="Normal 12 3 5 3 2 4" xfId="36061" xr:uid="{00000000-0005-0000-0000-000064600000}"/>
    <cellStyle name="Normal 12 3 5 3 3" xfId="12314" xr:uid="{00000000-0005-0000-0000-000065600000}"/>
    <cellStyle name="Normal 12 3 5 3 3 2" xfId="25882" xr:uid="{00000000-0005-0000-0000-000066600000}"/>
    <cellStyle name="Normal 12 3 5 3 3 2 2" xfId="53015" xr:uid="{00000000-0005-0000-0000-000067600000}"/>
    <cellStyle name="Normal 12 3 5 3 3 3" xfId="39453" xr:uid="{00000000-0005-0000-0000-000068600000}"/>
    <cellStyle name="Normal 12 3 5 3 4" xfId="19101" xr:uid="{00000000-0005-0000-0000-000069600000}"/>
    <cellStyle name="Normal 12 3 5 3 4 2" xfId="46234" xr:uid="{00000000-0005-0000-0000-00006A600000}"/>
    <cellStyle name="Normal 12 3 5 3 5" xfId="32672" xr:uid="{00000000-0005-0000-0000-00006B600000}"/>
    <cellStyle name="Normal 12 3 5 4" xfId="5365" xr:uid="{00000000-0005-0000-0000-00006C600000}"/>
    <cellStyle name="Normal 12 3 5 4 2" xfId="8914" xr:uid="{00000000-0005-0000-0000-00006D600000}"/>
    <cellStyle name="Normal 12 3 5 4 2 2" xfId="15704" xr:uid="{00000000-0005-0000-0000-00006E600000}"/>
    <cellStyle name="Normal 12 3 5 4 2 2 2" xfId="29272" xr:uid="{00000000-0005-0000-0000-00006F600000}"/>
    <cellStyle name="Normal 12 3 5 4 2 2 2 2" xfId="56405" xr:uid="{00000000-0005-0000-0000-000070600000}"/>
    <cellStyle name="Normal 12 3 5 4 2 2 3" xfId="42843" xr:uid="{00000000-0005-0000-0000-000071600000}"/>
    <cellStyle name="Normal 12 3 5 4 2 3" xfId="22491" xr:uid="{00000000-0005-0000-0000-000072600000}"/>
    <cellStyle name="Normal 12 3 5 4 2 3 2" xfId="49624" xr:uid="{00000000-0005-0000-0000-000073600000}"/>
    <cellStyle name="Normal 12 3 5 4 2 4" xfId="36062" xr:uid="{00000000-0005-0000-0000-000074600000}"/>
    <cellStyle name="Normal 12 3 5 4 3" xfId="12315" xr:uid="{00000000-0005-0000-0000-000075600000}"/>
    <cellStyle name="Normal 12 3 5 4 3 2" xfId="25883" xr:uid="{00000000-0005-0000-0000-000076600000}"/>
    <cellStyle name="Normal 12 3 5 4 3 2 2" xfId="53016" xr:uid="{00000000-0005-0000-0000-000077600000}"/>
    <cellStyle name="Normal 12 3 5 4 3 3" xfId="39454" xr:uid="{00000000-0005-0000-0000-000078600000}"/>
    <cellStyle name="Normal 12 3 5 4 4" xfId="19102" xr:uid="{00000000-0005-0000-0000-000079600000}"/>
    <cellStyle name="Normal 12 3 5 4 4 2" xfId="46235" xr:uid="{00000000-0005-0000-0000-00007A600000}"/>
    <cellStyle name="Normal 12 3 5 4 5" xfId="32673" xr:uid="{00000000-0005-0000-0000-00007B600000}"/>
    <cellStyle name="Normal 12 3 5 5" xfId="8909" xr:uid="{00000000-0005-0000-0000-00007C600000}"/>
    <cellStyle name="Normal 12 3 5 5 2" xfId="15699" xr:uid="{00000000-0005-0000-0000-00007D600000}"/>
    <cellStyle name="Normal 12 3 5 5 2 2" xfId="29267" xr:uid="{00000000-0005-0000-0000-00007E600000}"/>
    <cellStyle name="Normal 12 3 5 5 2 2 2" xfId="56400" xr:uid="{00000000-0005-0000-0000-00007F600000}"/>
    <cellStyle name="Normal 12 3 5 5 2 3" xfId="42838" xr:uid="{00000000-0005-0000-0000-000080600000}"/>
    <cellStyle name="Normal 12 3 5 5 3" xfId="22486" xr:uid="{00000000-0005-0000-0000-000081600000}"/>
    <cellStyle name="Normal 12 3 5 5 3 2" xfId="49619" xr:uid="{00000000-0005-0000-0000-000082600000}"/>
    <cellStyle name="Normal 12 3 5 5 4" xfId="36057" xr:uid="{00000000-0005-0000-0000-000083600000}"/>
    <cellStyle name="Normal 12 3 5 6" xfId="12310" xr:uid="{00000000-0005-0000-0000-000084600000}"/>
    <cellStyle name="Normal 12 3 5 6 2" xfId="25878" xr:uid="{00000000-0005-0000-0000-000085600000}"/>
    <cellStyle name="Normal 12 3 5 6 2 2" xfId="53011" xr:uid="{00000000-0005-0000-0000-000086600000}"/>
    <cellStyle name="Normal 12 3 5 6 3" xfId="39449" xr:uid="{00000000-0005-0000-0000-000087600000}"/>
    <cellStyle name="Normal 12 3 5 7" xfId="19097" xr:uid="{00000000-0005-0000-0000-000088600000}"/>
    <cellStyle name="Normal 12 3 5 7 2" xfId="46230" xr:uid="{00000000-0005-0000-0000-000089600000}"/>
    <cellStyle name="Normal 12 3 5 8" xfId="32668" xr:uid="{00000000-0005-0000-0000-00008A600000}"/>
    <cellStyle name="Normal 12 3 6" xfId="5366" xr:uid="{00000000-0005-0000-0000-00008B600000}"/>
    <cellStyle name="Normal 12 3 6 2" xfId="5367" xr:uid="{00000000-0005-0000-0000-00008C600000}"/>
    <cellStyle name="Normal 12 3 6 2 2" xfId="8916" xr:uid="{00000000-0005-0000-0000-00008D600000}"/>
    <cellStyle name="Normal 12 3 6 2 2 2" xfId="15706" xr:uid="{00000000-0005-0000-0000-00008E600000}"/>
    <cellStyle name="Normal 12 3 6 2 2 2 2" xfId="29274" xr:uid="{00000000-0005-0000-0000-00008F600000}"/>
    <cellStyle name="Normal 12 3 6 2 2 2 2 2" xfId="56407" xr:uid="{00000000-0005-0000-0000-000090600000}"/>
    <cellStyle name="Normal 12 3 6 2 2 2 3" xfId="42845" xr:uid="{00000000-0005-0000-0000-000091600000}"/>
    <cellStyle name="Normal 12 3 6 2 2 3" xfId="22493" xr:uid="{00000000-0005-0000-0000-000092600000}"/>
    <cellStyle name="Normal 12 3 6 2 2 3 2" xfId="49626" xr:uid="{00000000-0005-0000-0000-000093600000}"/>
    <cellStyle name="Normal 12 3 6 2 2 4" xfId="36064" xr:uid="{00000000-0005-0000-0000-000094600000}"/>
    <cellStyle name="Normal 12 3 6 2 3" xfId="12317" xr:uid="{00000000-0005-0000-0000-000095600000}"/>
    <cellStyle name="Normal 12 3 6 2 3 2" xfId="25885" xr:uid="{00000000-0005-0000-0000-000096600000}"/>
    <cellStyle name="Normal 12 3 6 2 3 2 2" xfId="53018" xr:uid="{00000000-0005-0000-0000-000097600000}"/>
    <cellStyle name="Normal 12 3 6 2 3 3" xfId="39456" xr:uid="{00000000-0005-0000-0000-000098600000}"/>
    <cellStyle name="Normal 12 3 6 2 4" xfId="19104" xr:uid="{00000000-0005-0000-0000-000099600000}"/>
    <cellStyle name="Normal 12 3 6 2 4 2" xfId="46237" xr:uid="{00000000-0005-0000-0000-00009A600000}"/>
    <cellStyle name="Normal 12 3 6 2 5" xfId="32675" xr:uid="{00000000-0005-0000-0000-00009B600000}"/>
    <cellStyle name="Normal 12 3 6 3" xfId="5368" xr:uid="{00000000-0005-0000-0000-00009C600000}"/>
    <cellStyle name="Normal 12 3 6 3 2" xfId="8917" xr:uid="{00000000-0005-0000-0000-00009D600000}"/>
    <cellStyle name="Normal 12 3 6 3 2 2" xfId="15707" xr:uid="{00000000-0005-0000-0000-00009E600000}"/>
    <cellStyle name="Normal 12 3 6 3 2 2 2" xfId="29275" xr:uid="{00000000-0005-0000-0000-00009F600000}"/>
    <cellStyle name="Normal 12 3 6 3 2 2 2 2" xfId="56408" xr:uid="{00000000-0005-0000-0000-0000A0600000}"/>
    <cellStyle name="Normal 12 3 6 3 2 2 3" xfId="42846" xr:uid="{00000000-0005-0000-0000-0000A1600000}"/>
    <cellStyle name="Normal 12 3 6 3 2 3" xfId="22494" xr:uid="{00000000-0005-0000-0000-0000A2600000}"/>
    <cellStyle name="Normal 12 3 6 3 2 3 2" xfId="49627" xr:uid="{00000000-0005-0000-0000-0000A3600000}"/>
    <cellStyle name="Normal 12 3 6 3 2 4" xfId="36065" xr:uid="{00000000-0005-0000-0000-0000A4600000}"/>
    <cellStyle name="Normal 12 3 6 3 3" xfId="12318" xr:uid="{00000000-0005-0000-0000-0000A5600000}"/>
    <cellStyle name="Normal 12 3 6 3 3 2" xfId="25886" xr:uid="{00000000-0005-0000-0000-0000A6600000}"/>
    <cellStyle name="Normal 12 3 6 3 3 2 2" xfId="53019" xr:uid="{00000000-0005-0000-0000-0000A7600000}"/>
    <cellStyle name="Normal 12 3 6 3 3 3" xfId="39457" xr:uid="{00000000-0005-0000-0000-0000A8600000}"/>
    <cellStyle name="Normal 12 3 6 3 4" xfId="19105" xr:uid="{00000000-0005-0000-0000-0000A9600000}"/>
    <cellStyle name="Normal 12 3 6 3 4 2" xfId="46238" xr:uid="{00000000-0005-0000-0000-0000AA600000}"/>
    <cellStyle name="Normal 12 3 6 3 5" xfId="32676" xr:uid="{00000000-0005-0000-0000-0000AB600000}"/>
    <cellStyle name="Normal 12 3 6 4" xfId="8915" xr:uid="{00000000-0005-0000-0000-0000AC600000}"/>
    <cellStyle name="Normal 12 3 6 4 2" xfId="15705" xr:uid="{00000000-0005-0000-0000-0000AD600000}"/>
    <cellStyle name="Normal 12 3 6 4 2 2" xfId="29273" xr:uid="{00000000-0005-0000-0000-0000AE600000}"/>
    <cellStyle name="Normal 12 3 6 4 2 2 2" xfId="56406" xr:uid="{00000000-0005-0000-0000-0000AF600000}"/>
    <cellStyle name="Normal 12 3 6 4 2 3" xfId="42844" xr:uid="{00000000-0005-0000-0000-0000B0600000}"/>
    <cellStyle name="Normal 12 3 6 4 3" xfId="22492" xr:uid="{00000000-0005-0000-0000-0000B1600000}"/>
    <cellStyle name="Normal 12 3 6 4 3 2" xfId="49625" xr:uid="{00000000-0005-0000-0000-0000B2600000}"/>
    <cellStyle name="Normal 12 3 6 4 4" xfId="36063" xr:uid="{00000000-0005-0000-0000-0000B3600000}"/>
    <cellStyle name="Normal 12 3 6 5" xfId="12316" xr:uid="{00000000-0005-0000-0000-0000B4600000}"/>
    <cellStyle name="Normal 12 3 6 5 2" xfId="25884" xr:uid="{00000000-0005-0000-0000-0000B5600000}"/>
    <cellStyle name="Normal 12 3 6 5 2 2" xfId="53017" xr:uid="{00000000-0005-0000-0000-0000B6600000}"/>
    <cellStyle name="Normal 12 3 6 5 3" xfId="39455" xr:uid="{00000000-0005-0000-0000-0000B7600000}"/>
    <cellStyle name="Normal 12 3 6 6" xfId="19103" xr:uid="{00000000-0005-0000-0000-0000B8600000}"/>
    <cellStyle name="Normal 12 3 6 6 2" xfId="46236" xr:uid="{00000000-0005-0000-0000-0000B9600000}"/>
    <cellStyle name="Normal 12 3 6 7" xfId="32674" xr:uid="{00000000-0005-0000-0000-0000BA600000}"/>
    <cellStyle name="Normal 12 3 7" xfId="5369" xr:uid="{00000000-0005-0000-0000-0000BB600000}"/>
    <cellStyle name="Normal 12 3 7 2" xfId="5370" xr:uid="{00000000-0005-0000-0000-0000BC600000}"/>
    <cellStyle name="Normal 12 3 7 2 2" xfId="8919" xr:uid="{00000000-0005-0000-0000-0000BD600000}"/>
    <cellStyle name="Normal 12 3 7 2 2 2" xfId="15709" xr:uid="{00000000-0005-0000-0000-0000BE600000}"/>
    <cellStyle name="Normal 12 3 7 2 2 2 2" xfId="29277" xr:uid="{00000000-0005-0000-0000-0000BF600000}"/>
    <cellStyle name="Normal 12 3 7 2 2 2 2 2" xfId="56410" xr:uid="{00000000-0005-0000-0000-0000C0600000}"/>
    <cellStyle name="Normal 12 3 7 2 2 2 3" xfId="42848" xr:uid="{00000000-0005-0000-0000-0000C1600000}"/>
    <cellStyle name="Normal 12 3 7 2 2 3" xfId="22496" xr:uid="{00000000-0005-0000-0000-0000C2600000}"/>
    <cellStyle name="Normal 12 3 7 2 2 3 2" xfId="49629" xr:uid="{00000000-0005-0000-0000-0000C3600000}"/>
    <cellStyle name="Normal 12 3 7 2 2 4" xfId="36067" xr:uid="{00000000-0005-0000-0000-0000C4600000}"/>
    <cellStyle name="Normal 12 3 7 2 3" xfId="12320" xr:uid="{00000000-0005-0000-0000-0000C5600000}"/>
    <cellStyle name="Normal 12 3 7 2 3 2" xfId="25888" xr:uid="{00000000-0005-0000-0000-0000C6600000}"/>
    <cellStyle name="Normal 12 3 7 2 3 2 2" xfId="53021" xr:uid="{00000000-0005-0000-0000-0000C7600000}"/>
    <cellStyle name="Normal 12 3 7 2 3 3" xfId="39459" xr:uid="{00000000-0005-0000-0000-0000C8600000}"/>
    <cellStyle name="Normal 12 3 7 2 4" xfId="19107" xr:uid="{00000000-0005-0000-0000-0000C9600000}"/>
    <cellStyle name="Normal 12 3 7 2 4 2" xfId="46240" xr:uid="{00000000-0005-0000-0000-0000CA600000}"/>
    <cellStyle name="Normal 12 3 7 2 5" xfId="32678" xr:uid="{00000000-0005-0000-0000-0000CB600000}"/>
    <cellStyle name="Normal 12 3 7 3" xfId="5371" xr:uid="{00000000-0005-0000-0000-0000CC600000}"/>
    <cellStyle name="Normal 12 3 7 3 2" xfId="8920" xr:uid="{00000000-0005-0000-0000-0000CD600000}"/>
    <cellStyle name="Normal 12 3 7 3 2 2" xfId="15710" xr:uid="{00000000-0005-0000-0000-0000CE600000}"/>
    <cellStyle name="Normal 12 3 7 3 2 2 2" xfId="29278" xr:uid="{00000000-0005-0000-0000-0000CF600000}"/>
    <cellStyle name="Normal 12 3 7 3 2 2 2 2" xfId="56411" xr:uid="{00000000-0005-0000-0000-0000D0600000}"/>
    <cellStyle name="Normal 12 3 7 3 2 2 3" xfId="42849" xr:uid="{00000000-0005-0000-0000-0000D1600000}"/>
    <cellStyle name="Normal 12 3 7 3 2 3" xfId="22497" xr:uid="{00000000-0005-0000-0000-0000D2600000}"/>
    <cellStyle name="Normal 12 3 7 3 2 3 2" xfId="49630" xr:uid="{00000000-0005-0000-0000-0000D3600000}"/>
    <cellStyle name="Normal 12 3 7 3 2 4" xfId="36068" xr:uid="{00000000-0005-0000-0000-0000D4600000}"/>
    <cellStyle name="Normal 12 3 7 3 3" xfId="12321" xr:uid="{00000000-0005-0000-0000-0000D5600000}"/>
    <cellStyle name="Normal 12 3 7 3 3 2" xfId="25889" xr:uid="{00000000-0005-0000-0000-0000D6600000}"/>
    <cellStyle name="Normal 12 3 7 3 3 2 2" xfId="53022" xr:uid="{00000000-0005-0000-0000-0000D7600000}"/>
    <cellStyle name="Normal 12 3 7 3 3 3" xfId="39460" xr:uid="{00000000-0005-0000-0000-0000D8600000}"/>
    <cellStyle name="Normal 12 3 7 3 4" xfId="19108" xr:uid="{00000000-0005-0000-0000-0000D9600000}"/>
    <cellStyle name="Normal 12 3 7 3 4 2" xfId="46241" xr:uid="{00000000-0005-0000-0000-0000DA600000}"/>
    <cellStyle name="Normal 12 3 7 3 5" xfId="32679" xr:uid="{00000000-0005-0000-0000-0000DB600000}"/>
    <cellStyle name="Normal 12 3 7 4" xfId="8918" xr:uid="{00000000-0005-0000-0000-0000DC600000}"/>
    <cellStyle name="Normal 12 3 7 4 2" xfId="15708" xr:uid="{00000000-0005-0000-0000-0000DD600000}"/>
    <cellStyle name="Normal 12 3 7 4 2 2" xfId="29276" xr:uid="{00000000-0005-0000-0000-0000DE600000}"/>
    <cellStyle name="Normal 12 3 7 4 2 2 2" xfId="56409" xr:uid="{00000000-0005-0000-0000-0000DF600000}"/>
    <cellStyle name="Normal 12 3 7 4 2 3" xfId="42847" xr:uid="{00000000-0005-0000-0000-0000E0600000}"/>
    <cellStyle name="Normal 12 3 7 4 3" xfId="22495" xr:uid="{00000000-0005-0000-0000-0000E1600000}"/>
    <cellStyle name="Normal 12 3 7 4 3 2" xfId="49628" xr:uid="{00000000-0005-0000-0000-0000E2600000}"/>
    <cellStyle name="Normal 12 3 7 4 4" xfId="36066" xr:uid="{00000000-0005-0000-0000-0000E3600000}"/>
    <cellStyle name="Normal 12 3 7 5" xfId="12319" xr:uid="{00000000-0005-0000-0000-0000E4600000}"/>
    <cellStyle name="Normal 12 3 7 5 2" xfId="25887" xr:uid="{00000000-0005-0000-0000-0000E5600000}"/>
    <cellStyle name="Normal 12 3 7 5 2 2" xfId="53020" xr:uid="{00000000-0005-0000-0000-0000E6600000}"/>
    <cellStyle name="Normal 12 3 7 5 3" xfId="39458" xr:uid="{00000000-0005-0000-0000-0000E7600000}"/>
    <cellStyle name="Normal 12 3 7 6" xfId="19106" xr:uid="{00000000-0005-0000-0000-0000E8600000}"/>
    <cellStyle name="Normal 12 3 7 6 2" xfId="46239" xr:uid="{00000000-0005-0000-0000-0000E9600000}"/>
    <cellStyle name="Normal 12 3 7 7" xfId="32677" xr:uid="{00000000-0005-0000-0000-0000EA600000}"/>
    <cellStyle name="Normal 12 3 8" xfId="5372" xr:uid="{00000000-0005-0000-0000-0000EB600000}"/>
    <cellStyle name="Normal 12 3 8 2" xfId="8921" xr:uid="{00000000-0005-0000-0000-0000EC600000}"/>
    <cellStyle name="Normal 12 3 8 2 2" xfId="15711" xr:uid="{00000000-0005-0000-0000-0000ED600000}"/>
    <cellStyle name="Normal 12 3 8 2 2 2" xfId="29279" xr:uid="{00000000-0005-0000-0000-0000EE600000}"/>
    <cellStyle name="Normal 12 3 8 2 2 2 2" xfId="56412" xr:uid="{00000000-0005-0000-0000-0000EF600000}"/>
    <cellStyle name="Normal 12 3 8 2 2 3" xfId="42850" xr:uid="{00000000-0005-0000-0000-0000F0600000}"/>
    <cellStyle name="Normal 12 3 8 2 3" xfId="22498" xr:uid="{00000000-0005-0000-0000-0000F1600000}"/>
    <cellStyle name="Normal 12 3 8 2 3 2" xfId="49631" xr:uid="{00000000-0005-0000-0000-0000F2600000}"/>
    <cellStyle name="Normal 12 3 8 2 4" xfId="36069" xr:uid="{00000000-0005-0000-0000-0000F3600000}"/>
    <cellStyle name="Normal 12 3 8 3" xfId="12322" xr:uid="{00000000-0005-0000-0000-0000F4600000}"/>
    <cellStyle name="Normal 12 3 8 3 2" xfId="25890" xr:uid="{00000000-0005-0000-0000-0000F5600000}"/>
    <cellStyle name="Normal 12 3 8 3 2 2" xfId="53023" xr:uid="{00000000-0005-0000-0000-0000F6600000}"/>
    <cellStyle name="Normal 12 3 8 3 3" xfId="39461" xr:uid="{00000000-0005-0000-0000-0000F7600000}"/>
    <cellStyle name="Normal 12 3 8 4" xfId="19109" xr:uid="{00000000-0005-0000-0000-0000F8600000}"/>
    <cellStyle name="Normal 12 3 8 4 2" xfId="46242" xr:uid="{00000000-0005-0000-0000-0000F9600000}"/>
    <cellStyle name="Normal 12 3 8 5" xfId="32680" xr:uid="{00000000-0005-0000-0000-0000FA600000}"/>
    <cellStyle name="Normal 12 3 9" xfId="5373" xr:uid="{00000000-0005-0000-0000-0000FB600000}"/>
    <cellStyle name="Normal 12 3 9 2" xfId="8922" xr:uid="{00000000-0005-0000-0000-0000FC600000}"/>
    <cellStyle name="Normal 12 3 9 2 2" xfId="15712" xr:uid="{00000000-0005-0000-0000-0000FD600000}"/>
    <cellStyle name="Normal 12 3 9 2 2 2" xfId="29280" xr:uid="{00000000-0005-0000-0000-0000FE600000}"/>
    <cellStyle name="Normal 12 3 9 2 2 2 2" xfId="56413" xr:uid="{00000000-0005-0000-0000-0000FF600000}"/>
    <cellStyle name="Normal 12 3 9 2 2 3" xfId="42851" xr:uid="{00000000-0005-0000-0000-000000610000}"/>
    <cellStyle name="Normal 12 3 9 2 3" xfId="22499" xr:uid="{00000000-0005-0000-0000-000001610000}"/>
    <cellStyle name="Normal 12 3 9 2 3 2" xfId="49632" xr:uid="{00000000-0005-0000-0000-000002610000}"/>
    <cellStyle name="Normal 12 3 9 2 4" xfId="36070" xr:uid="{00000000-0005-0000-0000-000003610000}"/>
    <cellStyle name="Normal 12 3 9 3" xfId="12323" xr:uid="{00000000-0005-0000-0000-000004610000}"/>
    <cellStyle name="Normal 12 3 9 3 2" xfId="25891" xr:uid="{00000000-0005-0000-0000-000005610000}"/>
    <cellStyle name="Normal 12 3 9 3 2 2" xfId="53024" xr:uid="{00000000-0005-0000-0000-000006610000}"/>
    <cellStyle name="Normal 12 3 9 3 3" xfId="39462" xr:uid="{00000000-0005-0000-0000-000007610000}"/>
    <cellStyle name="Normal 12 3 9 4" xfId="19110" xr:uid="{00000000-0005-0000-0000-000008610000}"/>
    <cellStyle name="Normal 12 3 9 4 2" xfId="46243" xr:uid="{00000000-0005-0000-0000-000009610000}"/>
    <cellStyle name="Normal 12 3 9 5" xfId="32681" xr:uid="{00000000-0005-0000-0000-00000A610000}"/>
    <cellStyle name="Normal 12 4" xfId="5374" xr:uid="{00000000-0005-0000-0000-00000B610000}"/>
    <cellStyle name="Normal 12 4 10" xfId="8923" xr:uid="{00000000-0005-0000-0000-00000C610000}"/>
    <cellStyle name="Normal 12 4 10 2" xfId="15713" xr:uid="{00000000-0005-0000-0000-00000D610000}"/>
    <cellStyle name="Normal 12 4 10 2 2" xfId="29281" xr:uid="{00000000-0005-0000-0000-00000E610000}"/>
    <cellStyle name="Normal 12 4 10 2 2 2" xfId="56414" xr:uid="{00000000-0005-0000-0000-00000F610000}"/>
    <cellStyle name="Normal 12 4 10 2 3" xfId="42852" xr:uid="{00000000-0005-0000-0000-000010610000}"/>
    <cellStyle name="Normal 12 4 10 3" xfId="22500" xr:uid="{00000000-0005-0000-0000-000011610000}"/>
    <cellStyle name="Normal 12 4 10 3 2" xfId="49633" xr:uid="{00000000-0005-0000-0000-000012610000}"/>
    <cellStyle name="Normal 12 4 10 4" xfId="36071" xr:uid="{00000000-0005-0000-0000-000013610000}"/>
    <cellStyle name="Normal 12 4 11" xfId="12324" xr:uid="{00000000-0005-0000-0000-000014610000}"/>
    <cellStyle name="Normal 12 4 11 2" xfId="25892" xr:uid="{00000000-0005-0000-0000-000015610000}"/>
    <cellStyle name="Normal 12 4 11 2 2" xfId="53025" xr:uid="{00000000-0005-0000-0000-000016610000}"/>
    <cellStyle name="Normal 12 4 11 3" xfId="39463" xr:uid="{00000000-0005-0000-0000-000017610000}"/>
    <cellStyle name="Normal 12 4 12" xfId="19111" xr:uid="{00000000-0005-0000-0000-000018610000}"/>
    <cellStyle name="Normal 12 4 12 2" xfId="46244" xr:uid="{00000000-0005-0000-0000-000019610000}"/>
    <cellStyle name="Normal 12 4 13" xfId="32682" xr:uid="{00000000-0005-0000-0000-00001A610000}"/>
    <cellStyle name="Normal 12 4 2" xfId="5375" xr:uid="{00000000-0005-0000-0000-00001B610000}"/>
    <cellStyle name="Normal 12 4 2 10" xfId="32683" xr:uid="{00000000-0005-0000-0000-00001C610000}"/>
    <cellStyle name="Normal 12 4 2 2" xfId="5376" xr:uid="{00000000-0005-0000-0000-00001D610000}"/>
    <cellStyle name="Normal 12 4 2 2 2" xfId="5377" xr:uid="{00000000-0005-0000-0000-00001E610000}"/>
    <cellStyle name="Normal 12 4 2 2 2 2" xfId="5378" xr:uid="{00000000-0005-0000-0000-00001F610000}"/>
    <cellStyle name="Normal 12 4 2 2 2 2 2" xfId="8927" xr:uid="{00000000-0005-0000-0000-000020610000}"/>
    <cellStyle name="Normal 12 4 2 2 2 2 2 2" xfId="15717" xr:uid="{00000000-0005-0000-0000-000021610000}"/>
    <cellStyle name="Normal 12 4 2 2 2 2 2 2 2" xfId="29285" xr:uid="{00000000-0005-0000-0000-000022610000}"/>
    <cellStyle name="Normal 12 4 2 2 2 2 2 2 2 2" xfId="56418" xr:uid="{00000000-0005-0000-0000-000023610000}"/>
    <cellStyle name="Normal 12 4 2 2 2 2 2 2 3" xfId="42856" xr:uid="{00000000-0005-0000-0000-000024610000}"/>
    <cellStyle name="Normal 12 4 2 2 2 2 2 3" xfId="22504" xr:uid="{00000000-0005-0000-0000-000025610000}"/>
    <cellStyle name="Normal 12 4 2 2 2 2 2 3 2" xfId="49637" xr:uid="{00000000-0005-0000-0000-000026610000}"/>
    <cellStyle name="Normal 12 4 2 2 2 2 2 4" xfId="36075" xr:uid="{00000000-0005-0000-0000-000027610000}"/>
    <cellStyle name="Normal 12 4 2 2 2 2 3" xfId="12328" xr:uid="{00000000-0005-0000-0000-000028610000}"/>
    <cellStyle name="Normal 12 4 2 2 2 2 3 2" xfId="25896" xr:uid="{00000000-0005-0000-0000-000029610000}"/>
    <cellStyle name="Normal 12 4 2 2 2 2 3 2 2" xfId="53029" xr:uid="{00000000-0005-0000-0000-00002A610000}"/>
    <cellStyle name="Normal 12 4 2 2 2 2 3 3" xfId="39467" xr:uid="{00000000-0005-0000-0000-00002B610000}"/>
    <cellStyle name="Normal 12 4 2 2 2 2 4" xfId="19115" xr:uid="{00000000-0005-0000-0000-00002C610000}"/>
    <cellStyle name="Normal 12 4 2 2 2 2 4 2" xfId="46248" xr:uid="{00000000-0005-0000-0000-00002D610000}"/>
    <cellStyle name="Normal 12 4 2 2 2 2 5" xfId="32686" xr:uid="{00000000-0005-0000-0000-00002E610000}"/>
    <cellStyle name="Normal 12 4 2 2 2 3" xfId="5379" xr:uid="{00000000-0005-0000-0000-00002F610000}"/>
    <cellStyle name="Normal 12 4 2 2 2 3 2" xfId="8928" xr:uid="{00000000-0005-0000-0000-000030610000}"/>
    <cellStyle name="Normal 12 4 2 2 2 3 2 2" xfId="15718" xr:uid="{00000000-0005-0000-0000-000031610000}"/>
    <cellStyle name="Normal 12 4 2 2 2 3 2 2 2" xfId="29286" xr:uid="{00000000-0005-0000-0000-000032610000}"/>
    <cellStyle name="Normal 12 4 2 2 2 3 2 2 2 2" xfId="56419" xr:uid="{00000000-0005-0000-0000-000033610000}"/>
    <cellStyle name="Normal 12 4 2 2 2 3 2 2 3" xfId="42857" xr:uid="{00000000-0005-0000-0000-000034610000}"/>
    <cellStyle name="Normal 12 4 2 2 2 3 2 3" xfId="22505" xr:uid="{00000000-0005-0000-0000-000035610000}"/>
    <cellStyle name="Normal 12 4 2 2 2 3 2 3 2" xfId="49638" xr:uid="{00000000-0005-0000-0000-000036610000}"/>
    <cellStyle name="Normal 12 4 2 2 2 3 2 4" xfId="36076" xr:uid="{00000000-0005-0000-0000-000037610000}"/>
    <cellStyle name="Normal 12 4 2 2 2 3 3" xfId="12329" xr:uid="{00000000-0005-0000-0000-000038610000}"/>
    <cellStyle name="Normal 12 4 2 2 2 3 3 2" xfId="25897" xr:uid="{00000000-0005-0000-0000-000039610000}"/>
    <cellStyle name="Normal 12 4 2 2 2 3 3 2 2" xfId="53030" xr:uid="{00000000-0005-0000-0000-00003A610000}"/>
    <cellStyle name="Normal 12 4 2 2 2 3 3 3" xfId="39468" xr:uid="{00000000-0005-0000-0000-00003B610000}"/>
    <cellStyle name="Normal 12 4 2 2 2 3 4" xfId="19116" xr:uid="{00000000-0005-0000-0000-00003C610000}"/>
    <cellStyle name="Normal 12 4 2 2 2 3 4 2" xfId="46249" xr:uid="{00000000-0005-0000-0000-00003D610000}"/>
    <cellStyle name="Normal 12 4 2 2 2 3 5" xfId="32687" xr:uid="{00000000-0005-0000-0000-00003E610000}"/>
    <cellStyle name="Normal 12 4 2 2 2 4" xfId="8926" xr:uid="{00000000-0005-0000-0000-00003F610000}"/>
    <cellStyle name="Normal 12 4 2 2 2 4 2" xfId="15716" xr:uid="{00000000-0005-0000-0000-000040610000}"/>
    <cellStyle name="Normal 12 4 2 2 2 4 2 2" xfId="29284" xr:uid="{00000000-0005-0000-0000-000041610000}"/>
    <cellStyle name="Normal 12 4 2 2 2 4 2 2 2" xfId="56417" xr:uid="{00000000-0005-0000-0000-000042610000}"/>
    <cellStyle name="Normal 12 4 2 2 2 4 2 3" xfId="42855" xr:uid="{00000000-0005-0000-0000-000043610000}"/>
    <cellStyle name="Normal 12 4 2 2 2 4 3" xfId="22503" xr:uid="{00000000-0005-0000-0000-000044610000}"/>
    <cellStyle name="Normal 12 4 2 2 2 4 3 2" xfId="49636" xr:uid="{00000000-0005-0000-0000-000045610000}"/>
    <cellStyle name="Normal 12 4 2 2 2 4 4" xfId="36074" xr:uid="{00000000-0005-0000-0000-000046610000}"/>
    <cellStyle name="Normal 12 4 2 2 2 5" xfId="12327" xr:uid="{00000000-0005-0000-0000-000047610000}"/>
    <cellStyle name="Normal 12 4 2 2 2 5 2" xfId="25895" xr:uid="{00000000-0005-0000-0000-000048610000}"/>
    <cellStyle name="Normal 12 4 2 2 2 5 2 2" xfId="53028" xr:uid="{00000000-0005-0000-0000-000049610000}"/>
    <cellStyle name="Normal 12 4 2 2 2 5 3" xfId="39466" xr:uid="{00000000-0005-0000-0000-00004A610000}"/>
    <cellStyle name="Normal 12 4 2 2 2 6" xfId="19114" xr:uid="{00000000-0005-0000-0000-00004B610000}"/>
    <cellStyle name="Normal 12 4 2 2 2 6 2" xfId="46247" xr:uid="{00000000-0005-0000-0000-00004C610000}"/>
    <cellStyle name="Normal 12 4 2 2 2 7" xfId="32685" xr:uid="{00000000-0005-0000-0000-00004D610000}"/>
    <cellStyle name="Normal 12 4 2 2 3" xfId="5380" xr:uid="{00000000-0005-0000-0000-00004E610000}"/>
    <cellStyle name="Normal 12 4 2 2 3 2" xfId="5381" xr:uid="{00000000-0005-0000-0000-00004F610000}"/>
    <cellStyle name="Normal 12 4 2 2 3 2 2" xfId="8930" xr:uid="{00000000-0005-0000-0000-000050610000}"/>
    <cellStyle name="Normal 12 4 2 2 3 2 2 2" xfId="15720" xr:uid="{00000000-0005-0000-0000-000051610000}"/>
    <cellStyle name="Normal 12 4 2 2 3 2 2 2 2" xfId="29288" xr:uid="{00000000-0005-0000-0000-000052610000}"/>
    <cellStyle name="Normal 12 4 2 2 3 2 2 2 2 2" xfId="56421" xr:uid="{00000000-0005-0000-0000-000053610000}"/>
    <cellStyle name="Normal 12 4 2 2 3 2 2 2 3" xfId="42859" xr:uid="{00000000-0005-0000-0000-000054610000}"/>
    <cellStyle name="Normal 12 4 2 2 3 2 2 3" xfId="22507" xr:uid="{00000000-0005-0000-0000-000055610000}"/>
    <cellStyle name="Normal 12 4 2 2 3 2 2 3 2" xfId="49640" xr:uid="{00000000-0005-0000-0000-000056610000}"/>
    <cellStyle name="Normal 12 4 2 2 3 2 2 4" xfId="36078" xr:uid="{00000000-0005-0000-0000-000057610000}"/>
    <cellStyle name="Normal 12 4 2 2 3 2 3" xfId="12331" xr:uid="{00000000-0005-0000-0000-000058610000}"/>
    <cellStyle name="Normal 12 4 2 2 3 2 3 2" xfId="25899" xr:uid="{00000000-0005-0000-0000-000059610000}"/>
    <cellStyle name="Normal 12 4 2 2 3 2 3 2 2" xfId="53032" xr:uid="{00000000-0005-0000-0000-00005A610000}"/>
    <cellStyle name="Normal 12 4 2 2 3 2 3 3" xfId="39470" xr:uid="{00000000-0005-0000-0000-00005B610000}"/>
    <cellStyle name="Normal 12 4 2 2 3 2 4" xfId="19118" xr:uid="{00000000-0005-0000-0000-00005C610000}"/>
    <cellStyle name="Normal 12 4 2 2 3 2 4 2" xfId="46251" xr:uid="{00000000-0005-0000-0000-00005D610000}"/>
    <cellStyle name="Normal 12 4 2 2 3 2 5" xfId="32689" xr:uid="{00000000-0005-0000-0000-00005E610000}"/>
    <cellStyle name="Normal 12 4 2 2 3 3" xfId="8929" xr:uid="{00000000-0005-0000-0000-00005F610000}"/>
    <cellStyle name="Normal 12 4 2 2 3 3 2" xfId="15719" xr:uid="{00000000-0005-0000-0000-000060610000}"/>
    <cellStyle name="Normal 12 4 2 2 3 3 2 2" xfId="29287" xr:uid="{00000000-0005-0000-0000-000061610000}"/>
    <cellStyle name="Normal 12 4 2 2 3 3 2 2 2" xfId="56420" xr:uid="{00000000-0005-0000-0000-000062610000}"/>
    <cellStyle name="Normal 12 4 2 2 3 3 2 3" xfId="42858" xr:uid="{00000000-0005-0000-0000-000063610000}"/>
    <cellStyle name="Normal 12 4 2 2 3 3 3" xfId="22506" xr:uid="{00000000-0005-0000-0000-000064610000}"/>
    <cellStyle name="Normal 12 4 2 2 3 3 3 2" xfId="49639" xr:uid="{00000000-0005-0000-0000-000065610000}"/>
    <cellStyle name="Normal 12 4 2 2 3 3 4" xfId="36077" xr:uid="{00000000-0005-0000-0000-000066610000}"/>
    <cellStyle name="Normal 12 4 2 2 3 4" xfId="12330" xr:uid="{00000000-0005-0000-0000-000067610000}"/>
    <cellStyle name="Normal 12 4 2 2 3 4 2" xfId="25898" xr:uid="{00000000-0005-0000-0000-000068610000}"/>
    <cellStyle name="Normal 12 4 2 2 3 4 2 2" xfId="53031" xr:uid="{00000000-0005-0000-0000-000069610000}"/>
    <cellStyle name="Normal 12 4 2 2 3 4 3" xfId="39469" xr:uid="{00000000-0005-0000-0000-00006A610000}"/>
    <cellStyle name="Normal 12 4 2 2 3 5" xfId="19117" xr:uid="{00000000-0005-0000-0000-00006B610000}"/>
    <cellStyle name="Normal 12 4 2 2 3 5 2" xfId="46250" xr:uid="{00000000-0005-0000-0000-00006C610000}"/>
    <cellStyle name="Normal 12 4 2 2 3 6" xfId="32688" xr:uid="{00000000-0005-0000-0000-00006D610000}"/>
    <cellStyle name="Normal 12 4 2 2 4" xfId="5382" xr:uid="{00000000-0005-0000-0000-00006E610000}"/>
    <cellStyle name="Normal 12 4 2 2 4 2" xfId="8931" xr:uid="{00000000-0005-0000-0000-00006F610000}"/>
    <cellStyle name="Normal 12 4 2 2 4 2 2" xfId="15721" xr:uid="{00000000-0005-0000-0000-000070610000}"/>
    <cellStyle name="Normal 12 4 2 2 4 2 2 2" xfId="29289" xr:uid="{00000000-0005-0000-0000-000071610000}"/>
    <cellStyle name="Normal 12 4 2 2 4 2 2 2 2" xfId="56422" xr:uid="{00000000-0005-0000-0000-000072610000}"/>
    <cellStyle name="Normal 12 4 2 2 4 2 2 3" xfId="42860" xr:uid="{00000000-0005-0000-0000-000073610000}"/>
    <cellStyle name="Normal 12 4 2 2 4 2 3" xfId="22508" xr:uid="{00000000-0005-0000-0000-000074610000}"/>
    <cellStyle name="Normal 12 4 2 2 4 2 3 2" xfId="49641" xr:uid="{00000000-0005-0000-0000-000075610000}"/>
    <cellStyle name="Normal 12 4 2 2 4 2 4" xfId="36079" xr:uid="{00000000-0005-0000-0000-000076610000}"/>
    <cellStyle name="Normal 12 4 2 2 4 3" xfId="12332" xr:uid="{00000000-0005-0000-0000-000077610000}"/>
    <cellStyle name="Normal 12 4 2 2 4 3 2" xfId="25900" xr:uid="{00000000-0005-0000-0000-000078610000}"/>
    <cellStyle name="Normal 12 4 2 2 4 3 2 2" xfId="53033" xr:uid="{00000000-0005-0000-0000-000079610000}"/>
    <cellStyle name="Normal 12 4 2 2 4 3 3" xfId="39471" xr:uid="{00000000-0005-0000-0000-00007A610000}"/>
    <cellStyle name="Normal 12 4 2 2 4 4" xfId="19119" xr:uid="{00000000-0005-0000-0000-00007B610000}"/>
    <cellStyle name="Normal 12 4 2 2 4 4 2" xfId="46252" xr:uid="{00000000-0005-0000-0000-00007C610000}"/>
    <cellStyle name="Normal 12 4 2 2 4 5" xfId="32690" xr:uid="{00000000-0005-0000-0000-00007D610000}"/>
    <cellStyle name="Normal 12 4 2 2 5" xfId="5383" xr:uid="{00000000-0005-0000-0000-00007E610000}"/>
    <cellStyle name="Normal 12 4 2 2 5 2" xfId="8932" xr:uid="{00000000-0005-0000-0000-00007F610000}"/>
    <cellStyle name="Normal 12 4 2 2 5 2 2" xfId="15722" xr:uid="{00000000-0005-0000-0000-000080610000}"/>
    <cellStyle name="Normal 12 4 2 2 5 2 2 2" xfId="29290" xr:uid="{00000000-0005-0000-0000-000081610000}"/>
    <cellStyle name="Normal 12 4 2 2 5 2 2 2 2" xfId="56423" xr:uid="{00000000-0005-0000-0000-000082610000}"/>
    <cellStyle name="Normal 12 4 2 2 5 2 2 3" xfId="42861" xr:uid="{00000000-0005-0000-0000-000083610000}"/>
    <cellStyle name="Normal 12 4 2 2 5 2 3" xfId="22509" xr:uid="{00000000-0005-0000-0000-000084610000}"/>
    <cellStyle name="Normal 12 4 2 2 5 2 3 2" xfId="49642" xr:uid="{00000000-0005-0000-0000-000085610000}"/>
    <cellStyle name="Normal 12 4 2 2 5 2 4" xfId="36080" xr:uid="{00000000-0005-0000-0000-000086610000}"/>
    <cellStyle name="Normal 12 4 2 2 5 3" xfId="12333" xr:uid="{00000000-0005-0000-0000-000087610000}"/>
    <cellStyle name="Normal 12 4 2 2 5 3 2" xfId="25901" xr:uid="{00000000-0005-0000-0000-000088610000}"/>
    <cellStyle name="Normal 12 4 2 2 5 3 2 2" xfId="53034" xr:uid="{00000000-0005-0000-0000-000089610000}"/>
    <cellStyle name="Normal 12 4 2 2 5 3 3" xfId="39472" xr:uid="{00000000-0005-0000-0000-00008A610000}"/>
    <cellStyle name="Normal 12 4 2 2 5 4" xfId="19120" xr:uid="{00000000-0005-0000-0000-00008B610000}"/>
    <cellStyle name="Normal 12 4 2 2 5 4 2" xfId="46253" xr:uid="{00000000-0005-0000-0000-00008C610000}"/>
    <cellStyle name="Normal 12 4 2 2 5 5" xfId="32691" xr:uid="{00000000-0005-0000-0000-00008D610000}"/>
    <cellStyle name="Normal 12 4 2 2 6" xfId="8925" xr:uid="{00000000-0005-0000-0000-00008E610000}"/>
    <cellStyle name="Normal 12 4 2 2 6 2" xfId="15715" xr:uid="{00000000-0005-0000-0000-00008F610000}"/>
    <cellStyle name="Normal 12 4 2 2 6 2 2" xfId="29283" xr:uid="{00000000-0005-0000-0000-000090610000}"/>
    <cellStyle name="Normal 12 4 2 2 6 2 2 2" xfId="56416" xr:uid="{00000000-0005-0000-0000-000091610000}"/>
    <cellStyle name="Normal 12 4 2 2 6 2 3" xfId="42854" xr:uid="{00000000-0005-0000-0000-000092610000}"/>
    <cellStyle name="Normal 12 4 2 2 6 3" xfId="22502" xr:uid="{00000000-0005-0000-0000-000093610000}"/>
    <cellStyle name="Normal 12 4 2 2 6 3 2" xfId="49635" xr:uid="{00000000-0005-0000-0000-000094610000}"/>
    <cellStyle name="Normal 12 4 2 2 6 4" xfId="36073" xr:uid="{00000000-0005-0000-0000-000095610000}"/>
    <cellStyle name="Normal 12 4 2 2 7" xfId="12326" xr:uid="{00000000-0005-0000-0000-000096610000}"/>
    <cellStyle name="Normal 12 4 2 2 7 2" xfId="25894" xr:uid="{00000000-0005-0000-0000-000097610000}"/>
    <cellStyle name="Normal 12 4 2 2 7 2 2" xfId="53027" xr:uid="{00000000-0005-0000-0000-000098610000}"/>
    <cellStyle name="Normal 12 4 2 2 7 3" xfId="39465" xr:uid="{00000000-0005-0000-0000-000099610000}"/>
    <cellStyle name="Normal 12 4 2 2 8" xfId="19113" xr:uid="{00000000-0005-0000-0000-00009A610000}"/>
    <cellStyle name="Normal 12 4 2 2 8 2" xfId="46246" xr:uid="{00000000-0005-0000-0000-00009B610000}"/>
    <cellStyle name="Normal 12 4 2 2 9" xfId="32684" xr:uid="{00000000-0005-0000-0000-00009C610000}"/>
    <cellStyle name="Normal 12 4 2 3" xfId="5384" xr:uid="{00000000-0005-0000-0000-00009D610000}"/>
    <cellStyle name="Normal 12 4 2 3 2" xfId="5385" xr:uid="{00000000-0005-0000-0000-00009E610000}"/>
    <cellStyle name="Normal 12 4 2 3 2 2" xfId="8934" xr:uid="{00000000-0005-0000-0000-00009F610000}"/>
    <cellStyle name="Normal 12 4 2 3 2 2 2" xfId="15724" xr:uid="{00000000-0005-0000-0000-0000A0610000}"/>
    <cellStyle name="Normal 12 4 2 3 2 2 2 2" xfId="29292" xr:uid="{00000000-0005-0000-0000-0000A1610000}"/>
    <cellStyle name="Normal 12 4 2 3 2 2 2 2 2" xfId="56425" xr:uid="{00000000-0005-0000-0000-0000A2610000}"/>
    <cellStyle name="Normal 12 4 2 3 2 2 2 3" xfId="42863" xr:uid="{00000000-0005-0000-0000-0000A3610000}"/>
    <cellStyle name="Normal 12 4 2 3 2 2 3" xfId="22511" xr:uid="{00000000-0005-0000-0000-0000A4610000}"/>
    <cellStyle name="Normal 12 4 2 3 2 2 3 2" xfId="49644" xr:uid="{00000000-0005-0000-0000-0000A5610000}"/>
    <cellStyle name="Normal 12 4 2 3 2 2 4" xfId="36082" xr:uid="{00000000-0005-0000-0000-0000A6610000}"/>
    <cellStyle name="Normal 12 4 2 3 2 3" xfId="12335" xr:uid="{00000000-0005-0000-0000-0000A7610000}"/>
    <cellStyle name="Normal 12 4 2 3 2 3 2" xfId="25903" xr:uid="{00000000-0005-0000-0000-0000A8610000}"/>
    <cellStyle name="Normal 12 4 2 3 2 3 2 2" xfId="53036" xr:uid="{00000000-0005-0000-0000-0000A9610000}"/>
    <cellStyle name="Normal 12 4 2 3 2 3 3" xfId="39474" xr:uid="{00000000-0005-0000-0000-0000AA610000}"/>
    <cellStyle name="Normal 12 4 2 3 2 4" xfId="19122" xr:uid="{00000000-0005-0000-0000-0000AB610000}"/>
    <cellStyle name="Normal 12 4 2 3 2 4 2" xfId="46255" xr:uid="{00000000-0005-0000-0000-0000AC610000}"/>
    <cellStyle name="Normal 12 4 2 3 2 5" xfId="32693" xr:uid="{00000000-0005-0000-0000-0000AD610000}"/>
    <cellStyle name="Normal 12 4 2 3 3" xfId="5386" xr:uid="{00000000-0005-0000-0000-0000AE610000}"/>
    <cellStyle name="Normal 12 4 2 3 3 2" xfId="8935" xr:uid="{00000000-0005-0000-0000-0000AF610000}"/>
    <cellStyle name="Normal 12 4 2 3 3 2 2" xfId="15725" xr:uid="{00000000-0005-0000-0000-0000B0610000}"/>
    <cellStyle name="Normal 12 4 2 3 3 2 2 2" xfId="29293" xr:uid="{00000000-0005-0000-0000-0000B1610000}"/>
    <cellStyle name="Normal 12 4 2 3 3 2 2 2 2" xfId="56426" xr:uid="{00000000-0005-0000-0000-0000B2610000}"/>
    <cellStyle name="Normal 12 4 2 3 3 2 2 3" xfId="42864" xr:uid="{00000000-0005-0000-0000-0000B3610000}"/>
    <cellStyle name="Normal 12 4 2 3 3 2 3" xfId="22512" xr:uid="{00000000-0005-0000-0000-0000B4610000}"/>
    <cellStyle name="Normal 12 4 2 3 3 2 3 2" xfId="49645" xr:uid="{00000000-0005-0000-0000-0000B5610000}"/>
    <cellStyle name="Normal 12 4 2 3 3 2 4" xfId="36083" xr:uid="{00000000-0005-0000-0000-0000B6610000}"/>
    <cellStyle name="Normal 12 4 2 3 3 3" xfId="12336" xr:uid="{00000000-0005-0000-0000-0000B7610000}"/>
    <cellStyle name="Normal 12 4 2 3 3 3 2" xfId="25904" xr:uid="{00000000-0005-0000-0000-0000B8610000}"/>
    <cellStyle name="Normal 12 4 2 3 3 3 2 2" xfId="53037" xr:uid="{00000000-0005-0000-0000-0000B9610000}"/>
    <cellStyle name="Normal 12 4 2 3 3 3 3" xfId="39475" xr:uid="{00000000-0005-0000-0000-0000BA610000}"/>
    <cellStyle name="Normal 12 4 2 3 3 4" xfId="19123" xr:uid="{00000000-0005-0000-0000-0000BB610000}"/>
    <cellStyle name="Normal 12 4 2 3 3 4 2" xfId="46256" xr:uid="{00000000-0005-0000-0000-0000BC610000}"/>
    <cellStyle name="Normal 12 4 2 3 3 5" xfId="32694" xr:uid="{00000000-0005-0000-0000-0000BD610000}"/>
    <cellStyle name="Normal 12 4 2 3 4" xfId="8933" xr:uid="{00000000-0005-0000-0000-0000BE610000}"/>
    <cellStyle name="Normal 12 4 2 3 4 2" xfId="15723" xr:uid="{00000000-0005-0000-0000-0000BF610000}"/>
    <cellStyle name="Normal 12 4 2 3 4 2 2" xfId="29291" xr:uid="{00000000-0005-0000-0000-0000C0610000}"/>
    <cellStyle name="Normal 12 4 2 3 4 2 2 2" xfId="56424" xr:uid="{00000000-0005-0000-0000-0000C1610000}"/>
    <cellStyle name="Normal 12 4 2 3 4 2 3" xfId="42862" xr:uid="{00000000-0005-0000-0000-0000C2610000}"/>
    <cellStyle name="Normal 12 4 2 3 4 3" xfId="22510" xr:uid="{00000000-0005-0000-0000-0000C3610000}"/>
    <cellStyle name="Normal 12 4 2 3 4 3 2" xfId="49643" xr:uid="{00000000-0005-0000-0000-0000C4610000}"/>
    <cellStyle name="Normal 12 4 2 3 4 4" xfId="36081" xr:uid="{00000000-0005-0000-0000-0000C5610000}"/>
    <cellStyle name="Normal 12 4 2 3 5" xfId="12334" xr:uid="{00000000-0005-0000-0000-0000C6610000}"/>
    <cellStyle name="Normal 12 4 2 3 5 2" xfId="25902" xr:uid="{00000000-0005-0000-0000-0000C7610000}"/>
    <cellStyle name="Normal 12 4 2 3 5 2 2" xfId="53035" xr:uid="{00000000-0005-0000-0000-0000C8610000}"/>
    <cellStyle name="Normal 12 4 2 3 5 3" xfId="39473" xr:uid="{00000000-0005-0000-0000-0000C9610000}"/>
    <cellStyle name="Normal 12 4 2 3 6" xfId="19121" xr:uid="{00000000-0005-0000-0000-0000CA610000}"/>
    <cellStyle name="Normal 12 4 2 3 6 2" xfId="46254" xr:uid="{00000000-0005-0000-0000-0000CB610000}"/>
    <cellStyle name="Normal 12 4 2 3 7" xfId="32692" xr:uid="{00000000-0005-0000-0000-0000CC610000}"/>
    <cellStyle name="Normal 12 4 2 4" xfId="5387" xr:uid="{00000000-0005-0000-0000-0000CD610000}"/>
    <cellStyle name="Normal 12 4 2 4 2" xfId="5388" xr:uid="{00000000-0005-0000-0000-0000CE610000}"/>
    <cellStyle name="Normal 12 4 2 4 2 2" xfId="8937" xr:uid="{00000000-0005-0000-0000-0000CF610000}"/>
    <cellStyle name="Normal 12 4 2 4 2 2 2" xfId="15727" xr:uid="{00000000-0005-0000-0000-0000D0610000}"/>
    <cellStyle name="Normal 12 4 2 4 2 2 2 2" xfId="29295" xr:uid="{00000000-0005-0000-0000-0000D1610000}"/>
    <cellStyle name="Normal 12 4 2 4 2 2 2 2 2" xfId="56428" xr:uid="{00000000-0005-0000-0000-0000D2610000}"/>
    <cellStyle name="Normal 12 4 2 4 2 2 2 3" xfId="42866" xr:uid="{00000000-0005-0000-0000-0000D3610000}"/>
    <cellStyle name="Normal 12 4 2 4 2 2 3" xfId="22514" xr:uid="{00000000-0005-0000-0000-0000D4610000}"/>
    <cellStyle name="Normal 12 4 2 4 2 2 3 2" xfId="49647" xr:uid="{00000000-0005-0000-0000-0000D5610000}"/>
    <cellStyle name="Normal 12 4 2 4 2 2 4" xfId="36085" xr:uid="{00000000-0005-0000-0000-0000D6610000}"/>
    <cellStyle name="Normal 12 4 2 4 2 3" xfId="12338" xr:uid="{00000000-0005-0000-0000-0000D7610000}"/>
    <cellStyle name="Normal 12 4 2 4 2 3 2" xfId="25906" xr:uid="{00000000-0005-0000-0000-0000D8610000}"/>
    <cellStyle name="Normal 12 4 2 4 2 3 2 2" xfId="53039" xr:uid="{00000000-0005-0000-0000-0000D9610000}"/>
    <cellStyle name="Normal 12 4 2 4 2 3 3" xfId="39477" xr:uid="{00000000-0005-0000-0000-0000DA610000}"/>
    <cellStyle name="Normal 12 4 2 4 2 4" xfId="19125" xr:uid="{00000000-0005-0000-0000-0000DB610000}"/>
    <cellStyle name="Normal 12 4 2 4 2 4 2" xfId="46258" xr:uid="{00000000-0005-0000-0000-0000DC610000}"/>
    <cellStyle name="Normal 12 4 2 4 2 5" xfId="32696" xr:uid="{00000000-0005-0000-0000-0000DD610000}"/>
    <cellStyle name="Normal 12 4 2 4 3" xfId="8936" xr:uid="{00000000-0005-0000-0000-0000DE610000}"/>
    <cellStyle name="Normal 12 4 2 4 3 2" xfId="15726" xr:uid="{00000000-0005-0000-0000-0000DF610000}"/>
    <cellStyle name="Normal 12 4 2 4 3 2 2" xfId="29294" xr:uid="{00000000-0005-0000-0000-0000E0610000}"/>
    <cellStyle name="Normal 12 4 2 4 3 2 2 2" xfId="56427" xr:uid="{00000000-0005-0000-0000-0000E1610000}"/>
    <cellStyle name="Normal 12 4 2 4 3 2 3" xfId="42865" xr:uid="{00000000-0005-0000-0000-0000E2610000}"/>
    <cellStyle name="Normal 12 4 2 4 3 3" xfId="22513" xr:uid="{00000000-0005-0000-0000-0000E3610000}"/>
    <cellStyle name="Normal 12 4 2 4 3 3 2" xfId="49646" xr:uid="{00000000-0005-0000-0000-0000E4610000}"/>
    <cellStyle name="Normal 12 4 2 4 3 4" xfId="36084" xr:uid="{00000000-0005-0000-0000-0000E5610000}"/>
    <cellStyle name="Normal 12 4 2 4 4" xfId="12337" xr:uid="{00000000-0005-0000-0000-0000E6610000}"/>
    <cellStyle name="Normal 12 4 2 4 4 2" xfId="25905" xr:uid="{00000000-0005-0000-0000-0000E7610000}"/>
    <cellStyle name="Normal 12 4 2 4 4 2 2" xfId="53038" xr:uid="{00000000-0005-0000-0000-0000E8610000}"/>
    <cellStyle name="Normal 12 4 2 4 4 3" xfId="39476" xr:uid="{00000000-0005-0000-0000-0000E9610000}"/>
    <cellStyle name="Normal 12 4 2 4 5" xfId="19124" xr:uid="{00000000-0005-0000-0000-0000EA610000}"/>
    <cellStyle name="Normal 12 4 2 4 5 2" xfId="46257" xr:uid="{00000000-0005-0000-0000-0000EB610000}"/>
    <cellStyle name="Normal 12 4 2 4 6" xfId="32695" xr:uid="{00000000-0005-0000-0000-0000EC610000}"/>
    <cellStyle name="Normal 12 4 2 5" xfId="5389" xr:uid="{00000000-0005-0000-0000-0000ED610000}"/>
    <cellStyle name="Normal 12 4 2 5 2" xfId="8938" xr:uid="{00000000-0005-0000-0000-0000EE610000}"/>
    <cellStyle name="Normal 12 4 2 5 2 2" xfId="15728" xr:uid="{00000000-0005-0000-0000-0000EF610000}"/>
    <cellStyle name="Normal 12 4 2 5 2 2 2" xfId="29296" xr:uid="{00000000-0005-0000-0000-0000F0610000}"/>
    <cellStyle name="Normal 12 4 2 5 2 2 2 2" xfId="56429" xr:uid="{00000000-0005-0000-0000-0000F1610000}"/>
    <cellStyle name="Normal 12 4 2 5 2 2 3" xfId="42867" xr:uid="{00000000-0005-0000-0000-0000F2610000}"/>
    <cellStyle name="Normal 12 4 2 5 2 3" xfId="22515" xr:uid="{00000000-0005-0000-0000-0000F3610000}"/>
    <cellStyle name="Normal 12 4 2 5 2 3 2" xfId="49648" xr:uid="{00000000-0005-0000-0000-0000F4610000}"/>
    <cellStyle name="Normal 12 4 2 5 2 4" xfId="36086" xr:uid="{00000000-0005-0000-0000-0000F5610000}"/>
    <cellStyle name="Normal 12 4 2 5 3" xfId="12339" xr:uid="{00000000-0005-0000-0000-0000F6610000}"/>
    <cellStyle name="Normal 12 4 2 5 3 2" xfId="25907" xr:uid="{00000000-0005-0000-0000-0000F7610000}"/>
    <cellStyle name="Normal 12 4 2 5 3 2 2" xfId="53040" xr:uid="{00000000-0005-0000-0000-0000F8610000}"/>
    <cellStyle name="Normal 12 4 2 5 3 3" xfId="39478" xr:uid="{00000000-0005-0000-0000-0000F9610000}"/>
    <cellStyle name="Normal 12 4 2 5 4" xfId="19126" xr:uid="{00000000-0005-0000-0000-0000FA610000}"/>
    <cellStyle name="Normal 12 4 2 5 4 2" xfId="46259" xr:uid="{00000000-0005-0000-0000-0000FB610000}"/>
    <cellStyle name="Normal 12 4 2 5 5" xfId="32697" xr:uid="{00000000-0005-0000-0000-0000FC610000}"/>
    <cellStyle name="Normal 12 4 2 6" xfId="5390" xr:uid="{00000000-0005-0000-0000-0000FD610000}"/>
    <cellStyle name="Normal 12 4 2 6 2" xfId="8939" xr:uid="{00000000-0005-0000-0000-0000FE610000}"/>
    <cellStyle name="Normal 12 4 2 6 2 2" xfId="15729" xr:uid="{00000000-0005-0000-0000-0000FF610000}"/>
    <cellStyle name="Normal 12 4 2 6 2 2 2" xfId="29297" xr:uid="{00000000-0005-0000-0000-000000620000}"/>
    <cellStyle name="Normal 12 4 2 6 2 2 2 2" xfId="56430" xr:uid="{00000000-0005-0000-0000-000001620000}"/>
    <cellStyle name="Normal 12 4 2 6 2 2 3" xfId="42868" xr:uid="{00000000-0005-0000-0000-000002620000}"/>
    <cellStyle name="Normal 12 4 2 6 2 3" xfId="22516" xr:uid="{00000000-0005-0000-0000-000003620000}"/>
    <cellStyle name="Normal 12 4 2 6 2 3 2" xfId="49649" xr:uid="{00000000-0005-0000-0000-000004620000}"/>
    <cellStyle name="Normal 12 4 2 6 2 4" xfId="36087" xr:uid="{00000000-0005-0000-0000-000005620000}"/>
    <cellStyle name="Normal 12 4 2 6 3" xfId="12340" xr:uid="{00000000-0005-0000-0000-000006620000}"/>
    <cellStyle name="Normal 12 4 2 6 3 2" xfId="25908" xr:uid="{00000000-0005-0000-0000-000007620000}"/>
    <cellStyle name="Normal 12 4 2 6 3 2 2" xfId="53041" xr:uid="{00000000-0005-0000-0000-000008620000}"/>
    <cellStyle name="Normal 12 4 2 6 3 3" xfId="39479" xr:uid="{00000000-0005-0000-0000-000009620000}"/>
    <cellStyle name="Normal 12 4 2 6 4" xfId="19127" xr:uid="{00000000-0005-0000-0000-00000A620000}"/>
    <cellStyle name="Normal 12 4 2 6 4 2" xfId="46260" xr:uid="{00000000-0005-0000-0000-00000B620000}"/>
    <cellStyle name="Normal 12 4 2 6 5" xfId="32698" xr:uid="{00000000-0005-0000-0000-00000C620000}"/>
    <cellStyle name="Normal 12 4 2 7" xfId="8924" xr:uid="{00000000-0005-0000-0000-00000D620000}"/>
    <cellStyle name="Normal 12 4 2 7 2" xfId="15714" xr:uid="{00000000-0005-0000-0000-00000E620000}"/>
    <cellStyle name="Normal 12 4 2 7 2 2" xfId="29282" xr:uid="{00000000-0005-0000-0000-00000F620000}"/>
    <cellStyle name="Normal 12 4 2 7 2 2 2" xfId="56415" xr:uid="{00000000-0005-0000-0000-000010620000}"/>
    <cellStyle name="Normal 12 4 2 7 2 3" xfId="42853" xr:uid="{00000000-0005-0000-0000-000011620000}"/>
    <cellStyle name="Normal 12 4 2 7 3" xfId="22501" xr:uid="{00000000-0005-0000-0000-000012620000}"/>
    <cellStyle name="Normal 12 4 2 7 3 2" xfId="49634" xr:uid="{00000000-0005-0000-0000-000013620000}"/>
    <cellStyle name="Normal 12 4 2 7 4" xfId="36072" xr:uid="{00000000-0005-0000-0000-000014620000}"/>
    <cellStyle name="Normal 12 4 2 8" xfId="12325" xr:uid="{00000000-0005-0000-0000-000015620000}"/>
    <cellStyle name="Normal 12 4 2 8 2" xfId="25893" xr:uid="{00000000-0005-0000-0000-000016620000}"/>
    <cellStyle name="Normal 12 4 2 8 2 2" xfId="53026" xr:uid="{00000000-0005-0000-0000-000017620000}"/>
    <cellStyle name="Normal 12 4 2 8 3" xfId="39464" xr:uid="{00000000-0005-0000-0000-000018620000}"/>
    <cellStyle name="Normal 12 4 2 9" xfId="19112" xr:uid="{00000000-0005-0000-0000-000019620000}"/>
    <cellStyle name="Normal 12 4 2 9 2" xfId="46245" xr:uid="{00000000-0005-0000-0000-00001A620000}"/>
    <cellStyle name="Normal 12 4 3" xfId="5391" xr:uid="{00000000-0005-0000-0000-00001B620000}"/>
    <cellStyle name="Normal 12 4 3 2" xfId="5392" xr:uid="{00000000-0005-0000-0000-00001C620000}"/>
    <cellStyle name="Normal 12 4 3 2 2" xfId="5393" xr:uid="{00000000-0005-0000-0000-00001D620000}"/>
    <cellStyle name="Normal 12 4 3 2 2 2" xfId="8942" xr:uid="{00000000-0005-0000-0000-00001E620000}"/>
    <cellStyle name="Normal 12 4 3 2 2 2 2" xfId="15732" xr:uid="{00000000-0005-0000-0000-00001F620000}"/>
    <cellStyle name="Normal 12 4 3 2 2 2 2 2" xfId="29300" xr:uid="{00000000-0005-0000-0000-000020620000}"/>
    <cellStyle name="Normal 12 4 3 2 2 2 2 2 2" xfId="56433" xr:uid="{00000000-0005-0000-0000-000021620000}"/>
    <cellStyle name="Normal 12 4 3 2 2 2 2 3" xfId="42871" xr:uid="{00000000-0005-0000-0000-000022620000}"/>
    <cellStyle name="Normal 12 4 3 2 2 2 3" xfId="22519" xr:uid="{00000000-0005-0000-0000-000023620000}"/>
    <cellStyle name="Normal 12 4 3 2 2 2 3 2" xfId="49652" xr:uid="{00000000-0005-0000-0000-000024620000}"/>
    <cellStyle name="Normal 12 4 3 2 2 2 4" xfId="36090" xr:uid="{00000000-0005-0000-0000-000025620000}"/>
    <cellStyle name="Normal 12 4 3 2 2 3" xfId="12343" xr:uid="{00000000-0005-0000-0000-000026620000}"/>
    <cellStyle name="Normal 12 4 3 2 2 3 2" xfId="25911" xr:uid="{00000000-0005-0000-0000-000027620000}"/>
    <cellStyle name="Normal 12 4 3 2 2 3 2 2" xfId="53044" xr:uid="{00000000-0005-0000-0000-000028620000}"/>
    <cellStyle name="Normal 12 4 3 2 2 3 3" xfId="39482" xr:uid="{00000000-0005-0000-0000-000029620000}"/>
    <cellStyle name="Normal 12 4 3 2 2 4" xfId="19130" xr:uid="{00000000-0005-0000-0000-00002A620000}"/>
    <cellStyle name="Normal 12 4 3 2 2 4 2" xfId="46263" xr:uid="{00000000-0005-0000-0000-00002B620000}"/>
    <cellStyle name="Normal 12 4 3 2 2 5" xfId="32701" xr:uid="{00000000-0005-0000-0000-00002C620000}"/>
    <cellStyle name="Normal 12 4 3 2 3" xfId="5394" xr:uid="{00000000-0005-0000-0000-00002D620000}"/>
    <cellStyle name="Normal 12 4 3 2 3 2" xfId="8943" xr:uid="{00000000-0005-0000-0000-00002E620000}"/>
    <cellStyle name="Normal 12 4 3 2 3 2 2" xfId="15733" xr:uid="{00000000-0005-0000-0000-00002F620000}"/>
    <cellStyle name="Normal 12 4 3 2 3 2 2 2" xfId="29301" xr:uid="{00000000-0005-0000-0000-000030620000}"/>
    <cellStyle name="Normal 12 4 3 2 3 2 2 2 2" xfId="56434" xr:uid="{00000000-0005-0000-0000-000031620000}"/>
    <cellStyle name="Normal 12 4 3 2 3 2 2 3" xfId="42872" xr:uid="{00000000-0005-0000-0000-000032620000}"/>
    <cellStyle name="Normal 12 4 3 2 3 2 3" xfId="22520" xr:uid="{00000000-0005-0000-0000-000033620000}"/>
    <cellStyle name="Normal 12 4 3 2 3 2 3 2" xfId="49653" xr:uid="{00000000-0005-0000-0000-000034620000}"/>
    <cellStyle name="Normal 12 4 3 2 3 2 4" xfId="36091" xr:uid="{00000000-0005-0000-0000-000035620000}"/>
    <cellStyle name="Normal 12 4 3 2 3 3" xfId="12344" xr:uid="{00000000-0005-0000-0000-000036620000}"/>
    <cellStyle name="Normal 12 4 3 2 3 3 2" xfId="25912" xr:uid="{00000000-0005-0000-0000-000037620000}"/>
    <cellStyle name="Normal 12 4 3 2 3 3 2 2" xfId="53045" xr:uid="{00000000-0005-0000-0000-000038620000}"/>
    <cellStyle name="Normal 12 4 3 2 3 3 3" xfId="39483" xr:uid="{00000000-0005-0000-0000-000039620000}"/>
    <cellStyle name="Normal 12 4 3 2 3 4" xfId="19131" xr:uid="{00000000-0005-0000-0000-00003A620000}"/>
    <cellStyle name="Normal 12 4 3 2 3 4 2" xfId="46264" xr:uid="{00000000-0005-0000-0000-00003B620000}"/>
    <cellStyle name="Normal 12 4 3 2 3 5" xfId="32702" xr:uid="{00000000-0005-0000-0000-00003C620000}"/>
    <cellStyle name="Normal 12 4 3 2 4" xfId="8941" xr:uid="{00000000-0005-0000-0000-00003D620000}"/>
    <cellStyle name="Normal 12 4 3 2 4 2" xfId="15731" xr:uid="{00000000-0005-0000-0000-00003E620000}"/>
    <cellStyle name="Normal 12 4 3 2 4 2 2" xfId="29299" xr:uid="{00000000-0005-0000-0000-00003F620000}"/>
    <cellStyle name="Normal 12 4 3 2 4 2 2 2" xfId="56432" xr:uid="{00000000-0005-0000-0000-000040620000}"/>
    <cellStyle name="Normal 12 4 3 2 4 2 3" xfId="42870" xr:uid="{00000000-0005-0000-0000-000041620000}"/>
    <cellStyle name="Normal 12 4 3 2 4 3" xfId="22518" xr:uid="{00000000-0005-0000-0000-000042620000}"/>
    <cellStyle name="Normal 12 4 3 2 4 3 2" xfId="49651" xr:uid="{00000000-0005-0000-0000-000043620000}"/>
    <cellStyle name="Normal 12 4 3 2 4 4" xfId="36089" xr:uid="{00000000-0005-0000-0000-000044620000}"/>
    <cellStyle name="Normal 12 4 3 2 5" xfId="12342" xr:uid="{00000000-0005-0000-0000-000045620000}"/>
    <cellStyle name="Normal 12 4 3 2 5 2" xfId="25910" xr:uid="{00000000-0005-0000-0000-000046620000}"/>
    <cellStyle name="Normal 12 4 3 2 5 2 2" xfId="53043" xr:uid="{00000000-0005-0000-0000-000047620000}"/>
    <cellStyle name="Normal 12 4 3 2 5 3" xfId="39481" xr:uid="{00000000-0005-0000-0000-000048620000}"/>
    <cellStyle name="Normal 12 4 3 2 6" xfId="19129" xr:uid="{00000000-0005-0000-0000-000049620000}"/>
    <cellStyle name="Normal 12 4 3 2 6 2" xfId="46262" xr:uid="{00000000-0005-0000-0000-00004A620000}"/>
    <cellStyle name="Normal 12 4 3 2 7" xfId="32700" xr:uid="{00000000-0005-0000-0000-00004B620000}"/>
    <cellStyle name="Normal 12 4 3 3" xfId="5395" xr:uid="{00000000-0005-0000-0000-00004C620000}"/>
    <cellStyle name="Normal 12 4 3 3 2" xfId="5396" xr:uid="{00000000-0005-0000-0000-00004D620000}"/>
    <cellStyle name="Normal 12 4 3 3 2 2" xfId="8945" xr:uid="{00000000-0005-0000-0000-00004E620000}"/>
    <cellStyle name="Normal 12 4 3 3 2 2 2" xfId="15735" xr:uid="{00000000-0005-0000-0000-00004F620000}"/>
    <cellStyle name="Normal 12 4 3 3 2 2 2 2" xfId="29303" xr:uid="{00000000-0005-0000-0000-000050620000}"/>
    <cellStyle name="Normal 12 4 3 3 2 2 2 2 2" xfId="56436" xr:uid="{00000000-0005-0000-0000-000051620000}"/>
    <cellStyle name="Normal 12 4 3 3 2 2 2 3" xfId="42874" xr:uid="{00000000-0005-0000-0000-000052620000}"/>
    <cellStyle name="Normal 12 4 3 3 2 2 3" xfId="22522" xr:uid="{00000000-0005-0000-0000-000053620000}"/>
    <cellStyle name="Normal 12 4 3 3 2 2 3 2" xfId="49655" xr:uid="{00000000-0005-0000-0000-000054620000}"/>
    <cellStyle name="Normal 12 4 3 3 2 2 4" xfId="36093" xr:uid="{00000000-0005-0000-0000-000055620000}"/>
    <cellStyle name="Normal 12 4 3 3 2 3" xfId="12346" xr:uid="{00000000-0005-0000-0000-000056620000}"/>
    <cellStyle name="Normal 12 4 3 3 2 3 2" xfId="25914" xr:uid="{00000000-0005-0000-0000-000057620000}"/>
    <cellStyle name="Normal 12 4 3 3 2 3 2 2" xfId="53047" xr:uid="{00000000-0005-0000-0000-000058620000}"/>
    <cellStyle name="Normal 12 4 3 3 2 3 3" xfId="39485" xr:uid="{00000000-0005-0000-0000-000059620000}"/>
    <cellStyle name="Normal 12 4 3 3 2 4" xfId="19133" xr:uid="{00000000-0005-0000-0000-00005A620000}"/>
    <cellStyle name="Normal 12 4 3 3 2 4 2" xfId="46266" xr:uid="{00000000-0005-0000-0000-00005B620000}"/>
    <cellStyle name="Normal 12 4 3 3 2 5" xfId="32704" xr:uid="{00000000-0005-0000-0000-00005C620000}"/>
    <cellStyle name="Normal 12 4 3 3 3" xfId="8944" xr:uid="{00000000-0005-0000-0000-00005D620000}"/>
    <cellStyle name="Normal 12 4 3 3 3 2" xfId="15734" xr:uid="{00000000-0005-0000-0000-00005E620000}"/>
    <cellStyle name="Normal 12 4 3 3 3 2 2" xfId="29302" xr:uid="{00000000-0005-0000-0000-00005F620000}"/>
    <cellStyle name="Normal 12 4 3 3 3 2 2 2" xfId="56435" xr:uid="{00000000-0005-0000-0000-000060620000}"/>
    <cellStyle name="Normal 12 4 3 3 3 2 3" xfId="42873" xr:uid="{00000000-0005-0000-0000-000061620000}"/>
    <cellStyle name="Normal 12 4 3 3 3 3" xfId="22521" xr:uid="{00000000-0005-0000-0000-000062620000}"/>
    <cellStyle name="Normal 12 4 3 3 3 3 2" xfId="49654" xr:uid="{00000000-0005-0000-0000-000063620000}"/>
    <cellStyle name="Normal 12 4 3 3 3 4" xfId="36092" xr:uid="{00000000-0005-0000-0000-000064620000}"/>
    <cellStyle name="Normal 12 4 3 3 4" xfId="12345" xr:uid="{00000000-0005-0000-0000-000065620000}"/>
    <cellStyle name="Normal 12 4 3 3 4 2" xfId="25913" xr:uid="{00000000-0005-0000-0000-000066620000}"/>
    <cellStyle name="Normal 12 4 3 3 4 2 2" xfId="53046" xr:uid="{00000000-0005-0000-0000-000067620000}"/>
    <cellStyle name="Normal 12 4 3 3 4 3" xfId="39484" xr:uid="{00000000-0005-0000-0000-000068620000}"/>
    <cellStyle name="Normal 12 4 3 3 5" xfId="19132" xr:uid="{00000000-0005-0000-0000-000069620000}"/>
    <cellStyle name="Normal 12 4 3 3 5 2" xfId="46265" xr:uid="{00000000-0005-0000-0000-00006A620000}"/>
    <cellStyle name="Normal 12 4 3 3 6" xfId="32703" xr:uid="{00000000-0005-0000-0000-00006B620000}"/>
    <cellStyle name="Normal 12 4 3 4" xfId="5397" xr:uid="{00000000-0005-0000-0000-00006C620000}"/>
    <cellStyle name="Normal 12 4 3 4 2" xfId="8946" xr:uid="{00000000-0005-0000-0000-00006D620000}"/>
    <cellStyle name="Normal 12 4 3 4 2 2" xfId="15736" xr:uid="{00000000-0005-0000-0000-00006E620000}"/>
    <cellStyle name="Normal 12 4 3 4 2 2 2" xfId="29304" xr:uid="{00000000-0005-0000-0000-00006F620000}"/>
    <cellStyle name="Normal 12 4 3 4 2 2 2 2" xfId="56437" xr:uid="{00000000-0005-0000-0000-000070620000}"/>
    <cellStyle name="Normal 12 4 3 4 2 2 3" xfId="42875" xr:uid="{00000000-0005-0000-0000-000071620000}"/>
    <cellStyle name="Normal 12 4 3 4 2 3" xfId="22523" xr:uid="{00000000-0005-0000-0000-000072620000}"/>
    <cellStyle name="Normal 12 4 3 4 2 3 2" xfId="49656" xr:uid="{00000000-0005-0000-0000-000073620000}"/>
    <cellStyle name="Normal 12 4 3 4 2 4" xfId="36094" xr:uid="{00000000-0005-0000-0000-000074620000}"/>
    <cellStyle name="Normal 12 4 3 4 3" xfId="12347" xr:uid="{00000000-0005-0000-0000-000075620000}"/>
    <cellStyle name="Normal 12 4 3 4 3 2" xfId="25915" xr:uid="{00000000-0005-0000-0000-000076620000}"/>
    <cellStyle name="Normal 12 4 3 4 3 2 2" xfId="53048" xr:uid="{00000000-0005-0000-0000-000077620000}"/>
    <cellStyle name="Normal 12 4 3 4 3 3" xfId="39486" xr:uid="{00000000-0005-0000-0000-000078620000}"/>
    <cellStyle name="Normal 12 4 3 4 4" xfId="19134" xr:uid="{00000000-0005-0000-0000-000079620000}"/>
    <cellStyle name="Normal 12 4 3 4 4 2" xfId="46267" xr:uid="{00000000-0005-0000-0000-00007A620000}"/>
    <cellStyle name="Normal 12 4 3 4 5" xfId="32705" xr:uid="{00000000-0005-0000-0000-00007B620000}"/>
    <cellStyle name="Normal 12 4 3 5" xfId="5398" xr:uid="{00000000-0005-0000-0000-00007C620000}"/>
    <cellStyle name="Normal 12 4 3 5 2" xfId="8947" xr:uid="{00000000-0005-0000-0000-00007D620000}"/>
    <cellStyle name="Normal 12 4 3 5 2 2" xfId="15737" xr:uid="{00000000-0005-0000-0000-00007E620000}"/>
    <cellStyle name="Normal 12 4 3 5 2 2 2" xfId="29305" xr:uid="{00000000-0005-0000-0000-00007F620000}"/>
    <cellStyle name="Normal 12 4 3 5 2 2 2 2" xfId="56438" xr:uid="{00000000-0005-0000-0000-000080620000}"/>
    <cellStyle name="Normal 12 4 3 5 2 2 3" xfId="42876" xr:uid="{00000000-0005-0000-0000-000081620000}"/>
    <cellStyle name="Normal 12 4 3 5 2 3" xfId="22524" xr:uid="{00000000-0005-0000-0000-000082620000}"/>
    <cellStyle name="Normal 12 4 3 5 2 3 2" xfId="49657" xr:uid="{00000000-0005-0000-0000-000083620000}"/>
    <cellStyle name="Normal 12 4 3 5 2 4" xfId="36095" xr:uid="{00000000-0005-0000-0000-000084620000}"/>
    <cellStyle name="Normal 12 4 3 5 3" xfId="12348" xr:uid="{00000000-0005-0000-0000-000085620000}"/>
    <cellStyle name="Normal 12 4 3 5 3 2" xfId="25916" xr:uid="{00000000-0005-0000-0000-000086620000}"/>
    <cellStyle name="Normal 12 4 3 5 3 2 2" xfId="53049" xr:uid="{00000000-0005-0000-0000-000087620000}"/>
    <cellStyle name="Normal 12 4 3 5 3 3" xfId="39487" xr:uid="{00000000-0005-0000-0000-000088620000}"/>
    <cellStyle name="Normal 12 4 3 5 4" xfId="19135" xr:uid="{00000000-0005-0000-0000-000089620000}"/>
    <cellStyle name="Normal 12 4 3 5 4 2" xfId="46268" xr:uid="{00000000-0005-0000-0000-00008A620000}"/>
    <cellStyle name="Normal 12 4 3 5 5" xfId="32706" xr:uid="{00000000-0005-0000-0000-00008B620000}"/>
    <cellStyle name="Normal 12 4 3 6" xfId="8940" xr:uid="{00000000-0005-0000-0000-00008C620000}"/>
    <cellStyle name="Normal 12 4 3 6 2" xfId="15730" xr:uid="{00000000-0005-0000-0000-00008D620000}"/>
    <cellStyle name="Normal 12 4 3 6 2 2" xfId="29298" xr:uid="{00000000-0005-0000-0000-00008E620000}"/>
    <cellStyle name="Normal 12 4 3 6 2 2 2" xfId="56431" xr:uid="{00000000-0005-0000-0000-00008F620000}"/>
    <cellStyle name="Normal 12 4 3 6 2 3" xfId="42869" xr:uid="{00000000-0005-0000-0000-000090620000}"/>
    <cellStyle name="Normal 12 4 3 6 3" xfId="22517" xr:uid="{00000000-0005-0000-0000-000091620000}"/>
    <cellStyle name="Normal 12 4 3 6 3 2" xfId="49650" xr:uid="{00000000-0005-0000-0000-000092620000}"/>
    <cellStyle name="Normal 12 4 3 6 4" xfId="36088" xr:uid="{00000000-0005-0000-0000-000093620000}"/>
    <cellStyle name="Normal 12 4 3 7" xfId="12341" xr:uid="{00000000-0005-0000-0000-000094620000}"/>
    <cellStyle name="Normal 12 4 3 7 2" xfId="25909" xr:uid="{00000000-0005-0000-0000-000095620000}"/>
    <cellStyle name="Normal 12 4 3 7 2 2" xfId="53042" xr:uid="{00000000-0005-0000-0000-000096620000}"/>
    <cellStyle name="Normal 12 4 3 7 3" xfId="39480" xr:uid="{00000000-0005-0000-0000-000097620000}"/>
    <cellStyle name="Normal 12 4 3 8" xfId="19128" xr:uid="{00000000-0005-0000-0000-000098620000}"/>
    <cellStyle name="Normal 12 4 3 8 2" xfId="46261" xr:uid="{00000000-0005-0000-0000-000099620000}"/>
    <cellStyle name="Normal 12 4 3 9" xfId="32699" xr:uid="{00000000-0005-0000-0000-00009A620000}"/>
    <cellStyle name="Normal 12 4 4" xfId="5399" xr:uid="{00000000-0005-0000-0000-00009B620000}"/>
    <cellStyle name="Normal 12 4 4 2" xfId="5400" xr:uid="{00000000-0005-0000-0000-00009C620000}"/>
    <cellStyle name="Normal 12 4 4 2 2" xfId="5401" xr:uid="{00000000-0005-0000-0000-00009D620000}"/>
    <cellStyle name="Normal 12 4 4 2 2 2" xfId="8950" xr:uid="{00000000-0005-0000-0000-00009E620000}"/>
    <cellStyle name="Normal 12 4 4 2 2 2 2" xfId="15740" xr:uid="{00000000-0005-0000-0000-00009F620000}"/>
    <cellStyle name="Normal 12 4 4 2 2 2 2 2" xfId="29308" xr:uid="{00000000-0005-0000-0000-0000A0620000}"/>
    <cellStyle name="Normal 12 4 4 2 2 2 2 2 2" xfId="56441" xr:uid="{00000000-0005-0000-0000-0000A1620000}"/>
    <cellStyle name="Normal 12 4 4 2 2 2 2 3" xfId="42879" xr:uid="{00000000-0005-0000-0000-0000A2620000}"/>
    <cellStyle name="Normal 12 4 4 2 2 2 3" xfId="22527" xr:uid="{00000000-0005-0000-0000-0000A3620000}"/>
    <cellStyle name="Normal 12 4 4 2 2 2 3 2" xfId="49660" xr:uid="{00000000-0005-0000-0000-0000A4620000}"/>
    <cellStyle name="Normal 12 4 4 2 2 2 4" xfId="36098" xr:uid="{00000000-0005-0000-0000-0000A5620000}"/>
    <cellStyle name="Normal 12 4 4 2 2 3" xfId="12351" xr:uid="{00000000-0005-0000-0000-0000A6620000}"/>
    <cellStyle name="Normal 12 4 4 2 2 3 2" xfId="25919" xr:uid="{00000000-0005-0000-0000-0000A7620000}"/>
    <cellStyle name="Normal 12 4 4 2 2 3 2 2" xfId="53052" xr:uid="{00000000-0005-0000-0000-0000A8620000}"/>
    <cellStyle name="Normal 12 4 4 2 2 3 3" xfId="39490" xr:uid="{00000000-0005-0000-0000-0000A9620000}"/>
    <cellStyle name="Normal 12 4 4 2 2 4" xfId="19138" xr:uid="{00000000-0005-0000-0000-0000AA620000}"/>
    <cellStyle name="Normal 12 4 4 2 2 4 2" xfId="46271" xr:uid="{00000000-0005-0000-0000-0000AB620000}"/>
    <cellStyle name="Normal 12 4 4 2 2 5" xfId="32709" xr:uid="{00000000-0005-0000-0000-0000AC620000}"/>
    <cellStyle name="Normal 12 4 4 2 3" xfId="5402" xr:uid="{00000000-0005-0000-0000-0000AD620000}"/>
    <cellStyle name="Normal 12 4 4 2 3 2" xfId="8951" xr:uid="{00000000-0005-0000-0000-0000AE620000}"/>
    <cellStyle name="Normal 12 4 4 2 3 2 2" xfId="15741" xr:uid="{00000000-0005-0000-0000-0000AF620000}"/>
    <cellStyle name="Normal 12 4 4 2 3 2 2 2" xfId="29309" xr:uid="{00000000-0005-0000-0000-0000B0620000}"/>
    <cellStyle name="Normal 12 4 4 2 3 2 2 2 2" xfId="56442" xr:uid="{00000000-0005-0000-0000-0000B1620000}"/>
    <cellStyle name="Normal 12 4 4 2 3 2 2 3" xfId="42880" xr:uid="{00000000-0005-0000-0000-0000B2620000}"/>
    <cellStyle name="Normal 12 4 4 2 3 2 3" xfId="22528" xr:uid="{00000000-0005-0000-0000-0000B3620000}"/>
    <cellStyle name="Normal 12 4 4 2 3 2 3 2" xfId="49661" xr:uid="{00000000-0005-0000-0000-0000B4620000}"/>
    <cellStyle name="Normal 12 4 4 2 3 2 4" xfId="36099" xr:uid="{00000000-0005-0000-0000-0000B5620000}"/>
    <cellStyle name="Normal 12 4 4 2 3 3" xfId="12352" xr:uid="{00000000-0005-0000-0000-0000B6620000}"/>
    <cellStyle name="Normal 12 4 4 2 3 3 2" xfId="25920" xr:uid="{00000000-0005-0000-0000-0000B7620000}"/>
    <cellStyle name="Normal 12 4 4 2 3 3 2 2" xfId="53053" xr:uid="{00000000-0005-0000-0000-0000B8620000}"/>
    <cellStyle name="Normal 12 4 4 2 3 3 3" xfId="39491" xr:uid="{00000000-0005-0000-0000-0000B9620000}"/>
    <cellStyle name="Normal 12 4 4 2 3 4" xfId="19139" xr:uid="{00000000-0005-0000-0000-0000BA620000}"/>
    <cellStyle name="Normal 12 4 4 2 3 4 2" xfId="46272" xr:uid="{00000000-0005-0000-0000-0000BB620000}"/>
    <cellStyle name="Normal 12 4 4 2 3 5" xfId="32710" xr:uid="{00000000-0005-0000-0000-0000BC620000}"/>
    <cellStyle name="Normal 12 4 4 2 4" xfId="8949" xr:uid="{00000000-0005-0000-0000-0000BD620000}"/>
    <cellStyle name="Normal 12 4 4 2 4 2" xfId="15739" xr:uid="{00000000-0005-0000-0000-0000BE620000}"/>
    <cellStyle name="Normal 12 4 4 2 4 2 2" xfId="29307" xr:uid="{00000000-0005-0000-0000-0000BF620000}"/>
    <cellStyle name="Normal 12 4 4 2 4 2 2 2" xfId="56440" xr:uid="{00000000-0005-0000-0000-0000C0620000}"/>
    <cellStyle name="Normal 12 4 4 2 4 2 3" xfId="42878" xr:uid="{00000000-0005-0000-0000-0000C1620000}"/>
    <cellStyle name="Normal 12 4 4 2 4 3" xfId="22526" xr:uid="{00000000-0005-0000-0000-0000C2620000}"/>
    <cellStyle name="Normal 12 4 4 2 4 3 2" xfId="49659" xr:uid="{00000000-0005-0000-0000-0000C3620000}"/>
    <cellStyle name="Normal 12 4 4 2 4 4" xfId="36097" xr:uid="{00000000-0005-0000-0000-0000C4620000}"/>
    <cellStyle name="Normal 12 4 4 2 5" xfId="12350" xr:uid="{00000000-0005-0000-0000-0000C5620000}"/>
    <cellStyle name="Normal 12 4 4 2 5 2" xfId="25918" xr:uid="{00000000-0005-0000-0000-0000C6620000}"/>
    <cellStyle name="Normal 12 4 4 2 5 2 2" xfId="53051" xr:uid="{00000000-0005-0000-0000-0000C7620000}"/>
    <cellStyle name="Normal 12 4 4 2 5 3" xfId="39489" xr:uid="{00000000-0005-0000-0000-0000C8620000}"/>
    <cellStyle name="Normal 12 4 4 2 6" xfId="19137" xr:uid="{00000000-0005-0000-0000-0000C9620000}"/>
    <cellStyle name="Normal 12 4 4 2 6 2" xfId="46270" xr:uid="{00000000-0005-0000-0000-0000CA620000}"/>
    <cellStyle name="Normal 12 4 4 2 7" xfId="32708" xr:uid="{00000000-0005-0000-0000-0000CB620000}"/>
    <cellStyle name="Normal 12 4 4 3" xfId="5403" xr:uid="{00000000-0005-0000-0000-0000CC620000}"/>
    <cellStyle name="Normal 12 4 4 3 2" xfId="8952" xr:uid="{00000000-0005-0000-0000-0000CD620000}"/>
    <cellStyle name="Normal 12 4 4 3 2 2" xfId="15742" xr:uid="{00000000-0005-0000-0000-0000CE620000}"/>
    <cellStyle name="Normal 12 4 4 3 2 2 2" xfId="29310" xr:uid="{00000000-0005-0000-0000-0000CF620000}"/>
    <cellStyle name="Normal 12 4 4 3 2 2 2 2" xfId="56443" xr:uid="{00000000-0005-0000-0000-0000D0620000}"/>
    <cellStyle name="Normal 12 4 4 3 2 2 3" xfId="42881" xr:uid="{00000000-0005-0000-0000-0000D1620000}"/>
    <cellStyle name="Normal 12 4 4 3 2 3" xfId="22529" xr:uid="{00000000-0005-0000-0000-0000D2620000}"/>
    <cellStyle name="Normal 12 4 4 3 2 3 2" xfId="49662" xr:uid="{00000000-0005-0000-0000-0000D3620000}"/>
    <cellStyle name="Normal 12 4 4 3 2 4" xfId="36100" xr:uid="{00000000-0005-0000-0000-0000D4620000}"/>
    <cellStyle name="Normal 12 4 4 3 3" xfId="12353" xr:uid="{00000000-0005-0000-0000-0000D5620000}"/>
    <cellStyle name="Normal 12 4 4 3 3 2" xfId="25921" xr:uid="{00000000-0005-0000-0000-0000D6620000}"/>
    <cellStyle name="Normal 12 4 4 3 3 2 2" xfId="53054" xr:uid="{00000000-0005-0000-0000-0000D7620000}"/>
    <cellStyle name="Normal 12 4 4 3 3 3" xfId="39492" xr:uid="{00000000-0005-0000-0000-0000D8620000}"/>
    <cellStyle name="Normal 12 4 4 3 4" xfId="19140" xr:uid="{00000000-0005-0000-0000-0000D9620000}"/>
    <cellStyle name="Normal 12 4 4 3 4 2" xfId="46273" xr:uid="{00000000-0005-0000-0000-0000DA620000}"/>
    <cellStyle name="Normal 12 4 4 3 5" xfId="32711" xr:uid="{00000000-0005-0000-0000-0000DB620000}"/>
    <cellStyle name="Normal 12 4 4 4" xfId="5404" xr:uid="{00000000-0005-0000-0000-0000DC620000}"/>
    <cellStyle name="Normal 12 4 4 4 2" xfId="8953" xr:uid="{00000000-0005-0000-0000-0000DD620000}"/>
    <cellStyle name="Normal 12 4 4 4 2 2" xfId="15743" xr:uid="{00000000-0005-0000-0000-0000DE620000}"/>
    <cellStyle name="Normal 12 4 4 4 2 2 2" xfId="29311" xr:uid="{00000000-0005-0000-0000-0000DF620000}"/>
    <cellStyle name="Normal 12 4 4 4 2 2 2 2" xfId="56444" xr:uid="{00000000-0005-0000-0000-0000E0620000}"/>
    <cellStyle name="Normal 12 4 4 4 2 2 3" xfId="42882" xr:uid="{00000000-0005-0000-0000-0000E1620000}"/>
    <cellStyle name="Normal 12 4 4 4 2 3" xfId="22530" xr:uid="{00000000-0005-0000-0000-0000E2620000}"/>
    <cellStyle name="Normal 12 4 4 4 2 3 2" xfId="49663" xr:uid="{00000000-0005-0000-0000-0000E3620000}"/>
    <cellStyle name="Normal 12 4 4 4 2 4" xfId="36101" xr:uid="{00000000-0005-0000-0000-0000E4620000}"/>
    <cellStyle name="Normal 12 4 4 4 3" xfId="12354" xr:uid="{00000000-0005-0000-0000-0000E5620000}"/>
    <cellStyle name="Normal 12 4 4 4 3 2" xfId="25922" xr:uid="{00000000-0005-0000-0000-0000E6620000}"/>
    <cellStyle name="Normal 12 4 4 4 3 2 2" xfId="53055" xr:uid="{00000000-0005-0000-0000-0000E7620000}"/>
    <cellStyle name="Normal 12 4 4 4 3 3" xfId="39493" xr:uid="{00000000-0005-0000-0000-0000E8620000}"/>
    <cellStyle name="Normal 12 4 4 4 4" xfId="19141" xr:uid="{00000000-0005-0000-0000-0000E9620000}"/>
    <cellStyle name="Normal 12 4 4 4 4 2" xfId="46274" xr:uid="{00000000-0005-0000-0000-0000EA620000}"/>
    <cellStyle name="Normal 12 4 4 4 5" xfId="32712" xr:uid="{00000000-0005-0000-0000-0000EB620000}"/>
    <cellStyle name="Normal 12 4 4 5" xfId="8948" xr:uid="{00000000-0005-0000-0000-0000EC620000}"/>
    <cellStyle name="Normal 12 4 4 5 2" xfId="15738" xr:uid="{00000000-0005-0000-0000-0000ED620000}"/>
    <cellStyle name="Normal 12 4 4 5 2 2" xfId="29306" xr:uid="{00000000-0005-0000-0000-0000EE620000}"/>
    <cellStyle name="Normal 12 4 4 5 2 2 2" xfId="56439" xr:uid="{00000000-0005-0000-0000-0000EF620000}"/>
    <cellStyle name="Normal 12 4 4 5 2 3" xfId="42877" xr:uid="{00000000-0005-0000-0000-0000F0620000}"/>
    <cellStyle name="Normal 12 4 4 5 3" xfId="22525" xr:uid="{00000000-0005-0000-0000-0000F1620000}"/>
    <cellStyle name="Normal 12 4 4 5 3 2" xfId="49658" xr:uid="{00000000-0005-0000-0000-0000F2620000}"/>
    <cellStyle name="Normal 12 4 4 5 4" xfId="36096" xr:uid="{00000000-0005-0000-0000-0000F3620000}"/>
    <cellStyle name="Normal 12 4 4 6" xfId="12349" xr:uid="{00000000-0005-0000-0000-0000F4620000}"/>
    <cellStyle name="Normal 12 4 4 6 2" xfId="25917" xr:uid="{00000000-0005-0000-0000-0000F5620000}"/>
    <cellStyle name="Normal 12 4 4 6 2 2" xfId="53050" xr:uid="{00000000-0005-0000-0000-0000F6620000}"/>
    <cellStyle name="Normal 12 4 4 6 3" xfId="39488" xr:uid="{00000000-0005-0000-0000-0000F7620000}"/>
    <cellStyle name="Normal 12 4 4 7" xfId="19136" xr:uid="{00000000-0005-0000-0000-0000F8620000}"/>
    <cellStyle name="Normal 12 4 4 7 2" xfId="46269" xr:uid="{00000000-0005-0000-0000-0000F9620000}"/>
    <cellStyle name="Normal 12 4 4 8" xfId="32707" xr:uid="{00000000-0005-0000-0000-0000FA620000}"/>
    <cellStyle name="Normal 12 4 5" xfId="5405" xr:uid="{00000000-0005-0000-0000-0000FB620000}"/>
    <cellStyle name="Normal 12 4 5 2" xfId="5406" xr:uid="{00000000-0005-0000-0000-0000FC620000}"/>
    <cellStyle name="Normal 12 4 5 2 2" xfId="5407" xr:uid="{00000000-0005-0000-0000-0000FD620000}"/>
    <cellStyle name="Normal 12 4 5 2 2 2" xfId="8956" xr:uid="{00000000-0005-0000-0000-0000FE620000}"/>
    <cellStyle name="Normal 12 4 5 2 2 2 2" xfId="15746" xr:uid="{00000000-0005-0000-0000-0000FF620000}"/>
    <cellStyle name="Normal 12 4 5 2 2 2 2 2" xfId="29314" xr:uid="{00000000-0005-0000-0000-000000630000}"/>
    <cellStyle name="Normal 12 4 5 2 2 2 2 2 2" xfId="56447" xr:uid="{00000000-0005-0000-0000-000001630000}"/>
    <cellStyle name="Normal 12 4 5 2 2 2 2 3" xfId="42885" xr:uid="{00000000-0005-0000-0000-000002630000}"/>
    <cellStyle name="Normal 12 4 5 2 2 2 3" xfId="22533" xr:uid="{00000000-0005-0000-0000-000003630000}"/>
    <cellStyle name="Normal 12 4 5 2 2 2 3 2" xfId="49666" xr:uid="{00000000-0005-0000-0000-000004630000}"/>
    <cellStyle name="Normal 12 4 5 2 2 2 4" xfId="36104" xr:uid="{00000000-0005-0000-0000-000005630000}"/>
    <cellStyle name="Normal 12 4 5 2 2 3" xfId="12357" xr:uid="{00000000-0005-0000-0000-000006630000}"/>
    <cellStyle name="Normal 12 4 5 2 2 3 2" xfId="25925" xr:uid="{00000000-0005-0000-0000-000007630000}"/>
    <cellStyle name="Normal 12 4 5 2 2 3 2 2" xfId="53058" xr:uid="{00000000-0005-0000-0000-000008630000}"/>
    <cellStyle name="Normal 12 4 5 2 2 3 3" xfId="39496" xr:uid="{00000000-0005-0000-0000-000009630000}"/>
    <cellStyle name="Normal 12 4 5 2 2 4" xfId="19144" xr:uid="{00000000-0005-0000-0000-00000A630000}"/>
    <cellStyle name="Normal 12 4 5 2 2 4 2" xfId="46277" xr:uid="{00000000-0005-0000-0000-00000B630000}"/>
    <cellStyle name="Normal 12 4 5 2 2 5" xfId="32715" xr:uid="{00000000-0005-0000-0000-00000C630000}"/>
    <cellStyle name="Normal 12 4 5 2 3" xfId="5408" xr:uid="{00000000-0005-0000-0000-00000D630000}"/>
    <cellStyle name="Normal 12 4 5 2 3 2" xfId="8957" xr:uid="{00000000-0005-0000-0000-00000E630000}"/>
    <cellStyle name="Normal 12 4 5 2 3 2 2" xfId="15747" xr:uid="{00000000-0005-0000-0000-00000F630000}"/>
    <cellStyle name="Normal 12 4 5 2 3 2 2 2" xfId="29315" xr:uid="{00000000-0005-0000-0000-000010630000}"/>
    <cellStyle name="Normal 12 4 5 2 3 2 2 2 2" xfId="56448" xr:uid="{00000000-0005-0000-0000-000011630000}"/>
    <cellStyle name="Normal 12 4 5 2 3 2 2 3" xfId="42886" xr:uid="{00000000-0005-0000-0000-000012630000}"/>
    <cellStyle name="Normal 12 4 5 2 3 2 3" xfId="22534" xr:uid="{00000000-0005-0000-0000-000013630000}"/>
    <cellStyle name="Normal 12 4 5 2 3 2 3 2" xfId="49667" xr:uid="{00000000-0005-0000-0000-000014630000}"/>
    <cellStyle name="Normal 12 4 5 2 3 2 4" xfId="36105" xr:uid="{00000000-0005-0000-0000-000015630000}"/>
    <cellStyle name="Normal 12 4 5 2 3 3" xfId="12358" xr:uid="{00000000-0005-0000-0000-000016630000}"/>
    <cellStyle name="Normal 12 4 5 2 3 3 2" xfId="25926" xr:uid="{00000000-0005-0000-0000-000017630000}"/>
    <cellStyle name="Normal 12 4 5 2 3 3 2 2" xfId="53059" xr:uid="{00000000-0005-0000-0000-000018630000}"/>
    <cellStyle name="Normal 12 4 5 2 3 3 3" xfId="39497" xr:uid="{00000000-0005-0000-0000-000019630000}"/>
    <cellStyle name="Normal 12 4 5 2 3 4" xfId="19145" xr:uid="{00000000-0005-0000-0000-00001A630000}"/>
    <cellStyle name="Normal 12 4 5 2 3 4 2" xfId="46278" xr:uid="{00000000-0005-0000-0000-00001B630000}"/>
    <cellStyle name="Normal 12 4 5 2 3 5" xfId="32716" xr:uid="{00000000-0005-0000-0000-00001C630000}"/>
    <cellStyle name="Normal 12 4 5 2 4" xfId="8955" xr:uid="{00000000-0005-0000-0000-00001D630000}"/>
    <cellStyle name="Normal 12 4 5 2 4 2" xfId="15745" xr:uid="{00000000-0005-0000-0000-00001E630000}"/>
    <cellStyle name="Normal 12 4 5 2 4 2 2" xfId="29313" xr:uid="{00000000-0005-0000-0000-00001F630000}"/>
    <cellStyle name="Normal 12 4 5 2 4 2 2 2" xfId="56446" xr:uid="{00000000-0005-0000-0000-000020630000}"/>
    <cellStyle name="Normal 12 4 5 2 4 2 3" xfId="42884" xr:uid="{00000000-0005-0000-0000-000021630000}"/>
    <cellStyle name="Normal 12 4 5 2 4 3" xfId="22532" xr:uid="{00000000-0005-0000-0000-000022630000}"/>
    <cellStyle name="Normal 12 4 5 2 4 3 2" xfId="49665" xr:uid="{00000000-0005-0000-0000-000023630000}"/>
    <cellStyle name="Normal 12 4 5 2 4 4" xfId="36103" xr:uid="{00000000-0005-0000-0000-000024630000}"/>
    <cellStyle name="Normal 12 4 5 2 5" xfId="12356" xr:uid="{00000000-0005-0000-0000-000025630000}"/>
    <cellStyle name="Normal 12 4 5 2 5 2" xfId="25924" xr:uid="{00000000-0005-0000-0000-000026630000}"/>
    <cellStyle name="Normal 12 4 5 2 5 2 2" xfId="53057" xr:uid="{00000000-0005-0000-0000-000027630000}"/>
    <cellStyle name="Normal 12 4 5 2 5 3" xfId="39495" xr:uid="{00000000-0005-0000-0000-000028630000}"/>
    <cellStyle name="Normal 12 4 5 2 6" xfId="19143" xr:uid="{00000000-0005-0000-0000-000029630000}"/>
    <cellStyle name="Normal 12 4 5 2 6 2" xfId="46276" xr:uid="{00000000-0005-0000-0000-00002A630000}"/>
    <cellStyle name="Normal 12 4 5 2 7" xfId="32714" xr:uid="{00000000-0005-0000-0000-00002B630000}"/>
    <cellStyle name="Normal 12 4 5 3" xfId="5409" xr:uid="{00000000-0005-0000-0000-00002C630000}"/>
    <cellStyle name="Normal 12 4 5 3 2" xfId="8958" xr:uid="{00000000-0005-0000-0000-00002D630000}"/>
    <cellStyle name="Normal 12 4 5 3 2 2" xfId="15748" xr:uid="{00000000-0005-0000-0000-00002E630000}"/>
    <cellStyle name="Normal 12 4 5 3 2 2 2" xfId="29316" xr:uid="{00000000-0005-0000-0000-00002F630000}"/>
    <cellStyle name="Normal 12 4 5 3 2 2 2 2" xfId="56449" xr:uid="{00000000-0005-0000-0000-000030630000}"/>
    <cellStyle name="Normal 12 4 5 3 2 2 3" xfId="42887" xr:uid="{00000000-0005-0000-0000-000031630000}"/>
    <cellStyle name="Normal 12 4 5 3 2 3" xfId="22535" xr:uid="{00000000-0005-0000-0000-000032630000}"/>
    <cellStyle name="Normal 12 4 5 3 2 3 2" xfId="49668" xr:uid="{00000000-0005-0000-0000-000033630000}"/>
    <cellStyle name="Normal 12 4 5 3 2 4" xfId="36106" xr:uid="{00000000-0005-0000-0000-000034630000}"/>
    <cellStyle name="Normal 12 4 5 3 3" xfId="12359" xr:uid="{00000000-0005-0000-0000-000035630000}"/>
    <cellStyle name="Normal 12 4 5 3 3 2" xfId="25927" xr:uid="{00000000-0005-0000-0000-000036630000}"/>
    <cellStyle name="Normal 12 4 5 3 3 2 2" xfId="53060" xr:uid="{00000000-0005-0000-0000-000037630000}"/>
    <cellStyle name="Normal 12 4 5 3 3 3" xfId="39498" xr:uid="{00000000-0005-0000-0000-000038630000}"/>
    <cellStyle name="Normal 12 4 5 3 4" xfId="19146" xr:uid="{00000000-0005-0000-0000-000039630000}"/>
    <cellStyle name="Normal 12 4 5 3 4 2" xfId="46279" xr:uid="{00000000-0005-0000-0000-00003A630000}"/>
    <cellStyle name="Normal 12 4 5 3 5" xfId="32717" xr:uid="{00000000-0005-0000-0000-00003B630000}"/>
    <cellStyle name="Normal 12 4 5 4" xfId="5410" xr:uid="{00000000-0005-0000-0000-00003C630000}"/>
    <cellStyle name="Normal 12 4 5 4 2" xfId="8959" xr:uid="{00000000-0005-0000-0000-00003D630000}"/>
    <cellStyle name="Normal 12 4 5 4 2 2" xfId="15749" xr:uid="{00000000-0005-0000-0000-00003E630000}"/>
    <cellStyle name="Normal 12 4 5 4 2 2 2" xfId="29317" xr:uid="{00000000-0005-0000-0000-00003F630000}"/>
    <cellStyle name="Normal 12 4 5 4 2 2 2 2" xfId="56450" xr:uid="{00000000-0005-0000-0000-000040630000}"/>
    <cellStyle name="Normal 12 4 5 4 2 2 3" xfId="42888" xr:uid="{00000000-0005-0000-0000-000041630000}"/>
    <cellStyle name="Normal 12 4 5 4 2 3" xfId="22536" xr:uid="{00000000-0005-0000-0000-000042630000}"/>
    <cellStyle name="Normal 12 4 5 4 2 3 2" xfId="49669" xr:uid="{00000000-0005-0000-0000-000043630000}"/>
    <cellStyle name="Normal 12 4 5 4 2 4" xfId="36107" xr:uid="{00000000-0005-0000-0000-000044630000}"/>
    <cellStyle name="Normal 12 4 5 4 3" xfId="12360" xr:uid="{00000000-0005-0000-0000-000045630000}"/>
    <cellStyle name="Normal 12 4 5 4 3 2" xfId="25928" xr:uid="{00000000-0005-0000-0000-000046630000}"/>
    <cellStyle name="Normal 12 4 5 4 3 2 2" xfId="53061" xr:uid="{00000000-0005-0000-0000-000047630000}"/>
    <cellStyle name="Normal 12 4 5 4 3 3" xfId="39499" xr:uid="{00000000-0005-0000-0000-000048630000}"/>
    <cellStyle name="Normal 12 4 5 4 4" xfId="19147" xr:uid="{00000000-0005-0000-0000-000049630000}"/>
    <cellStyle name="Normal 12 4 5 4 4 2" xfId="46280" xr:uid="{00000000-0005-0000-0000-00004A630000}"/>
    <cellStyle name="Normal 12 4 5 4 5" xfId="32718" xr:uid="{00000000-0005-0000-0000-00004B630000}"/>
    <cellStyle name="Normal 12 4 5 5" xfId="8954" xr:uid="{00000000-0005-0000-0000-00004C630000}"/>
    <cellStyle name="Normal 12 4 5 5 2" xfId="15744" xr:uid="{00000000-0005-0000-0000-00004D630000}"/>
    <cellStyle name="Normal 12 4 5 5 2 2" xfId="29312" xr:uid="{00000000-0005-0000-0000-00004E630000}"/>
    <cellStyle name="Normal 12 4 5 5 2 2 2" xfId="56445" xr:uid="{00000000-0005-0000-0000-00004F630000}"/>
    <cellStyle name="Normal 12 4 5 5 2 3" xfId="42883" xr:uid="{00000000-0005-0000-0000-000050630000}"/>
    <cellStyle name="Normal 12 4 5 5 3" xfId="22531" xr:uid="{00000000-0005-0000-0000-000051630000}"/>
    <cellStyle name="Normal 12 4 5 5 3 2" xfId="49664" xr:uid="{00000000-0005-0000-0000-000052630000}"/>
    <cellStyle name="Normal 12 4 5 5 4" xfId="36102" xr:uid="{00000000-0005-0000-0000-000053630000}"/>
    <cellStyle name="Normal 12 4 5 6" xfId="12355" xr:uid="{00000000-0005-0000-0000-000054630000}"/>
    <cellStyle name="Normal 12 4 5 6 2" xfId="25923" xr:uid="{00000000-0005-0000-0000-000055630000}"/>
    <cellStyle name="Normal 12 4 5 6 2 2" xfId="53056" xr:uid="{00000000-0005-0000-0000-000056630000}"/>
    <cellStyle name="Normal 12 4 5 6 3" xfId="39494" xr:uid="{00000000-0005-0000-0000-000057630000}"/>
    <cellStyle name="Normal 12 4 5 7" xfId="19142" xr:uid="{00000000-0005-0000-0000-000058630000}"/>
    <cellStyle name="Normal 12 4 5 7 2" xfId="46275" xr:uid="{00000000-0005-0000-0000-000059630000}"/>
    <cellStyle name="Normal 12 4 5 8" xfId="32713" xr:uid="{00000000-0005-0000-0000-00005A630000}"/>
    <cellStyle name="Normal 12 4 6" xfId="5411" xr:uid="{00000000-0005-0000-0000-00005B630000}"/>
    <cellStyle name="Normal 12 4 6 2" xfId="5412" xr:uid="{00000000-0005-0000-0000-00005C630000}"/>
    <cellStyle name="Normal 12 4 6 2 2" xfId="8961" xr:uid="{00000000-0005-0000-0000-00005D630000}"/>
    <cellStyle name="Normal 12 4 6 2 2 2" xfId="15751" xr:uid="{00000000-0005-0000-0000-00005E630000}"/>
    <cellStyle name="Normal 12 4 6 2 2 2 2" xfId="29319" xr:uid="{00000000-0005-0000-0000-00005F630000}"/>
    <cellStyle name="Normal 12 4 6 2 2 2 2 2" xfId="56452" xr:uid="{00000000-0005-0000-0000-000060630000}"/>
    <cellStyle name="Normal 12 4 6 2 2 2 3" xfId="42890" xr:uid="{00000000-0005-0000-0000-000061630000}"/>
    <cellStyle name="Normal 12 4 6 2 2 3" xfId="22538" xr:uid="{00000000-0005-0000-0000-000062630000}"/>
    <cellStyle name="Normal 12 4 6 2 2 3 2" xfId="49671" xr:uid="{00000000-0005-0000-0000-000063630000}"/>
    <cellStyle name="Normal 12 4 6 2 2 4" xfId="36109" xr:uid="{00000000-0005-0000-0000-000064630000}"/>
    <cellStyle name="Normal 12 4 6 2 3" xfId="12362" xr:uid="{00000000-0005-0000-0000-000065630000}"/>
    <cellStyle name="Normal 12 4 6 2 3 2" xfId="25930" xr:uid="{00000000-0005-0000-0000-000066630000}"/>
    <cellStyle name="Normal 12 4 6 2 3 2 2" xfId="53063" xr:uid="{00000000-0005-0000-0000-000067630000}"/>
    <cellStyle name="Normal 12 4 6 2 3 3" xfId="39501" xr:uid="{00000000-0005-0000-0000-000068630000}"/>
    <cellStyle name="Normal 12 4 6 2 4" xfId="19149" xr:uid="{00000000-0005-0000-0000-000069630000}"/>
    <cellStyle name="Normal 12 4 6 2 4 2" xfId="46282" xr:uid="{00000000-0005-0000-0000-00006A630000}"/>
    <cellStyle name="Normal 12 4 6 2 5" xfId="32720" xr:uid="{00000000-0005-0000-0000-00006B630000}"/>
    <cellStyle name="Normal 12 4 6 3" xfId="5413" xr:uid="{00000000-0005-0000-0000-00006C630000}"/>
    <cellStyle name="Normal 12 4 6 3 2" xfId="8962" xr:uid="{00000000-0005-0000-0000-00006D630000}"/>
    <cellStyle name="Normal 12 4 6 3 2 2" xfId="15752" xr:uid="{00000000-0005-0000-0000-00006E630000}"/>
    <cellStyle name="Normal 12 4 6 3 2 2 2" xfId="29320" xr:uid="{00000000-0005-0000-0000-00006F630000}"/>
    <cellStyle name="Normal 12 4 6 3 2 2 2 2" xfId="56453" xr:uid="{00000000-0005-0000-0000-000070630000}"/>
    <cellStyle name="Normal 12 4 6 3 2 2 3" xfId="42891" xr:uid="{00000000-0005-0000-0000-000071630000}"/>
    <cellStyle name="Normal 12 4 6 3 2 3" xfId="22539" xr:uid="{00000000-0005-0000-0000-000072630000}"/>
    <cellStyle name="Normal 12 4 6 3 2 3 2" xfId="49672" xr:uid="{00000000-0005-0000-0000-000073630000}"/>
    <cellStyle name="Normal 12 4 6 3 2 4" xfId="36110" xr:uid="{00000000-0005-0000-0000-000074630000}"/>
    <cellStyle name="Normal 12 4 6 3 3" xfId="12363" xr:uid="{00000000-0005-0000-0000-000075630000}"/>
    <cellStyle name="Normal 12 4 6 3 3 2" xfId="25931" xr:uid="{00000000-0005-0000-0000-000076630000}"/>
    <cellStyle name="Normal 12 4 6 3 3 2 2" xfId="53064" xr:uid="{00000000-0005-0000-0000-000077630000}"/>
    <cellStyle name="Normal 12 4 6 3 3 3" xfId="39502" xr:uid="{00000000-0005-0000-0000-000078630000}"/>
    <cellStyle name="Normal 12 4 6 3 4" xfId="19150" xr:uid="{00000000-0005-0000-0000-000079630000}"/>
    <cellStyle name="Normal 12 4 6 3 4 2" xfId="46283" xr:uid="{00000000-0005-0000-0000-00007A630000}"/>
    <cellStyle name="Normal 12 4 6 3 5" xfId="32721" xr:uid="{00000000-0005-0000-0000-00007B630000}"/>
    <cellStyle name="Normal 12 4 6 4" xfId="8960" xr:uid="{00000000-0005-0000-0000-00007C630000}"/>
    <cellStyle name="Normal 12 4 6 4 2" xfId="15750" xr:uid="{00000000-0005-0000-0000-00007D630000}"/>
    <cellStyle name="Normal 12 4 6 4 2 2" xfId="29318" xr:uid="{00000000-0005-0000-0000-00007E630000}"/>
    <cellStyle name="Normal 12 4 6 4 2 2 2" xfId="56451" xr:uid="{00000000-0005-0000-0000-00007F630000}"/>
    <cellStyle name="Normal 12 4 6 4 2 3" xfId="42889" xr:uid="{00000000-0005-0000-0000-000080630000}"/>
    <cellStyle name="Normal 12 4 6 4 3" xfId="22537" xr:uid="{00000000-0005-0000-0000-000081630000}"/>
    <cellStyle name="Normal 12 4 6 4 3 2" xfId="49670" xr:uid="{00000000-0005-0000-0000-000082630000}"/>
    <cellStyle name="Normal 12 4 6 4 4" xfId="36108" xr:uid="{00000000-0005-0000-0000-000083630000}"/>
    <cellStyle name="Normal 12 4 6 5" xfId="12361" xr:uid="{00000000-0005-0000-0000-000084630000}"/>
    <cellStyle name="Normal 12 4 6 5 2" xfId="25929" xr:uid="{00000000-0005-0000-0000-000085630000}"/>
    <cellStyle name="Normal 12 4 6 5 2 2" xfId="53062" xr:uid="{00000000-0005-0000-0000-000086630000}"/>
    <cellStyle name="Normal 12 4 6 5 3" xfId="39500" xr:uid="{00000000-0005-0000-0000-000087630000}"/>
    <cellStyle name="Normal 12 4 6 6" xfId="19148" xr:uid="{00000000-0005-0000-0000-000088630000}"/>
    <cellStyle name="Normal 12 4 6 6 2" xfId="46281" xr:uid="{00000000-0005-0000-0000-000089630000}"/>
    <cellStyle name="Normal 12 4 6 7" xfId="32719" xr:uid="{00000000-0005-0000-0000-00008A630000}"/>
    <cellStyle name="Normal 12 4 7" xfId="5414" xr:uid="{00000000-0005-0000-0000-00008B630000}"/>
    <cellStyle name="Normal 12 4 7 2" xfId="5415" xr:uid="{00000000-0005-0000-0000-00008C630000}"/>
    <cellStyle name="Normal 12 4 7 2 2" xfId="8964" xr:uid="{00000000-0005-0000-0000-00008D630000}"/>
    <cellStyle name="Normal 12 4 7 2 2 2" xfId="15754" xr:uid="{00000000-0005-0000-0000-00008E630000}"/>
    <cellStyle name="Normal 12 4 7 2 2 2 2" xfId="29322" xr:uid="{00000000-0005-0000-0000-00008F630000}"/>
    <cellStyle name="Normal 12 4 7 2 2 2 2 2" xfId="56455" xr:uid="{00000000-0005-0000-0000-000090630000}"/>
    <cellStyle name="Normal 12 4 7 2 2 2 3" xfId="42893" xr:uid="{00000000-0005-0000-0000-000091630000}"/>
    <cellStyle name="Normal 12 4 7 2 2 3" xfId="22541" xr:uid="{00000000-0005-0000-0000-000092630000}"/>
    <cellStyle name="Normal 12 4 7 2 2 3 2" xfId="49674" xr:uid="{00000000-0005-0000-0000-000093630000}"/>
    <cellStyle name="Normal 12 4 7 2 2 4" xfId="36112" xr:uid="{00000000-0005-0000-0000-000094630000}"/>
    <cellStyle name="Normal 12 4 7 2 3" xfId="12365" xr:uid="{00000000-0005-0000-0000-000095630000}"/>
    <cellStyle name="Normal 12 4 7 2 3 2" xfId="25933" xr:uid="{00000000-0005-0000-0000-000096630000}"/>
    <cellStyle name="Normal 12 4 7 2 3 2 2" xfId="53066" xr:uid="{00000000-0005-0000-0000-000097630000}"/>
    <cellStyle name="Normal 12 4 7 2 3 3" xfId="39504" xr:uid="{00000000-0005-0000-0000-000098630000}"/>
    <cellStyle name="Normal 12 4 7 2 4" xfId="19152" xr:uid="{00000000-0005-0000-0000-000099630000}"/>
    <cellStyle name="Normal 12 4 7 2 4 2" xfId="46285" xr:uid="{00000000-0005-0000-0000-00009A630000}"/>
    <cellStyle name="Normal 12 4 7 2 5" xfId="32723" xr:uid="{00000000-0005-0000-0000-00009B630000}"/>
    <cellStyle name="Normal 12 4 7 3" xfId="8963" xr:uid="{00000000-0005-0000-0000-00009C630000}"/>
    <cellStyle name="Normal 12 4 7 3 2" xfId="15753" xr:uid="{00000000-0005-0000-0000-00009D630000}"/>
    <cellStyle name="Normal 12 4 7 3 2 2" xfId="29321" xr:uid="{00000000-0005-0000-0000-00009E630000}"/>
    <cellStyle name="Normal 12 4 7 3 2 2 2" xfId="56454" xr:uid="{00000000-0005-0000-0000-00009F630000}"/>
    <cellStyle name="Normal 12 4 7 3 2 3" xfId="42892" xr:uid="{00000000-0005-0000-0000-0000A0630000}"/>
    <cellStyle name="Normal 12 4 7 3 3" xfId="22540" xr:uid="{00000000-0005-0000-0000-0000A1630000}"/>
    <cellStyle name="Normal 12 4 7 3 3 2" xfId="49673" xr:uid="{00000000-0005-0000-0000-0000A2630000}"/>
    <cellStyle name="Normal 12 4 7 3 4" xfId="36111" xr:uid="{00000000-0005-0000-0000-0000A3630000}"/>
    <cellStyle name="Normal 12 4 7 4" xfId="12364" xr:uid="{00000000-0005-0000-0000-0000A4630000}"/>
    <cellStyle name="Normal 12 4 7 4 2" xfId="25932" xr:uid="{00000000-0005-0000-0000-0000A5630000}"/>
    <cellStyle name="Normal 12 4 7 4 2 2" xfId="53065" xr:uid="{00000000-0005-0000-0000-0000A6630000}"/>
    <cellStyle name="Normal 12 4 7 4 3" xfId="39503" xr:uid="{00000000-0005-0000-0000-0000A7630000}"/>
    <cellStyle name="Normal 12 4 7 5" xfId="19151" xr:uid="{00000000-0005-0000-0000-0000A8630000}"/>
    <cellStyle name="Normal 12 4 7 5 2" xfId="46284" xr:uid="{00000000-0005-0000-0000-0000A9630000}"/>
    <cellStyle name="Normal 12 4 7 6" xfId="32722" xr:uid="{00000000-0005-0000-0000-0000AA630000}"/>
    <cellStyle name="Normal 12 4 8" xfId="5416" xr:uid="{00000000-0005-0000-0000-0000AB630000}"/>
    <cellStyle name="Normal 12 4 8 2" xfId="8965" xr:uid="{00000000-0005-0000-0000-0000AC630000}"/>
    <cellStyle name="Normal 12 4 8 2 2" xfId="15755" xr:uid="{00000000-0005-0000-0000-0000AD630000}"/>
    <cellStyle name="Normal 12 4 8 2 2 2" xfId="29323" xr:uid="{00000000-0005-0000-0000-0000AE630000}"/>
    <cellStyle name="Normal 12 4 8 2 2 2 2" xfId="56456" xr:uid="{00000000-0005-0000-0000-0000AF630000}"/>
    <cellStyle name="Normal 12 4 8 2 2 3" xfId="42894" xr:uid="{00000000-0005-0000-0000-0000B0630000}"/>
    <cellStyle name="Normal 12 4 8 2 3" xfId="22542" xr:uid="{00000000-0005-0000-0000-0000B1630000}"/>
    <cellStyle name="Normal 12 4 8 2 3 2" xfId="49675" xr:uid="{00000000-0005-0000-0000-0000B2630000}"/>
    <cellStyle name="Normal 12 4 8 2 4" xfId="36113" xr:uid="{00000000-0005-0000-0000-0000B3630000}"/>
    <cellStyle name="Normal 12 4 8 3" xfId="12366" xr:uid="{00000000-0005-0000-0000-0000B4630000}"/>
    <cellStyle name="Normal 12 4 8 3 2" xfId="25934" xr:uid="{00000000-0005-0000-0000-0000B5630000}"/>
    <cellStyle name="Normal 12 4 8 3 2 2" xfId="53067" xr:uid="{00000000-0005-0000-0000-0000B6630000}"/>
    <cellStyle name="Normal 12 4 8 3 3" xfId="39505" xr:uid="{00000000-0005-0000-0000-0000B7630000}"/>
    <cellStyle name="Normal 12 4 8 4" xfId="19153" xr:uid="{00000000-0005-0000-0000-0000B8630000}"/>
    <cellStyle name="Normal 12 4 8 4 2" xfId="46286" xr:uid="{00000000-0005-0000-0000-0000B9630000}"/>
    <cellStyle name="Normal 12 4 8 5" xfId="32724" xr:uid="{00000000-0005-0000-0000-0000BA630000}"/>
    <cellStyle name="Normal 12 4 9" xfId="5417" xr:uid="{00000000-0005-0000-0000-0000BB630000}"/>
    <cellStyle name="Normal 12 4 9 2" xfId="8966" xr:uid="{00000000-0005-0000-0000-0000BC630000}"/>
    <cellStyle name="Normal 12 4 9 2 2" xfId="15756" xr:uid="{00000000-0005-0000-0000-0000BD630000}"/>
    <cellStyle name="Normal 12 4 9 2 2 2" xfId="29324" xr:uid="{00000000-0005-0000-0000-0000BE630000}"/>
    <cellStyle name="Normal 12 4 9 2 2 2 2" xfId="56457" xr:uid="{00000000-0005-0000-0000-0000BF630000}"/>
    <cellStyle name="Normal 12 4 9 2 2 3" xfId="42895" xr:uid="{00000000-0005-0000-0000-0000C0630000}"/>
    <cellStyle name="Normal 12 4 9 2 3" xfId="22543" xr:uid="{00000000-0005-0000-0000-0000C1630000}"/>
    <cellStyle name="Normal 12 4 9 2 3 2" xfId="49676" xr:uid="{00000000-0005-0000-0000-0000C2630000}"/>
    <cellStyle name="Normal 12 4 9 2 4" xfId="36114" xr:uid="{00000000-0005-0000-0000-0000C3630000}"/>
    <cellStyle name="Normal 12 4 9 3" xfId="12367" xr:uid="{00000000-0005-0000-0000-0000C4630000}"/>
    <cellStyle name="Normal 12 4 9 3 2" xfId="25935" xr:uid="{00000000-0005-0000-0000-0000C5630000}"/>
    <cellStyle name="Normal 12 4 9 3 2 2" xfId="53068" xr:uid="{00000000-0005-0000-0000-0000C6630000}"/>
    <cellStyle name="Normal 12 4 9 3 3" xfId="39506" xr:uid="{00000000-0005-0000-0000-0000C7630000}"/>
    <cellStyle name="Normal 12 4 9 4" xfId="19154" xr:uid="{00000000-0005-0000-0000-0000C8630000}"/>
    <cellStyle name="Normal 12 4 9 4 2" xfId="46287" xr:uid="{00000000-0005-0000-0000-0000C9630000}"/>
    <cellStyle name="Normal 12 4 9 5" xfId="32725" xr:uid="{00000000-0005-0000-0000-0000CA630000}"/>
    <cellStyle name="Normal 12 5" xfId="5418" xr:uid="{00000000-0005-0000-0000-0000CB630000}"/>
    <cellStyle name="Normal 12 5 10" xfId="32726" xr:uid="{00000000-0005-0000-0000-0000CC630000}"/>
    <cellStyle name="Normal 12 5 2" xfId="5419" xr:uid="{00000000-0005-0000-0000-0000CD630000}"/>
    <cellStyle name="Normal 12 5 2 2" xfId="5420" xr:uid="{00000000-0005-0000-0000-0000CE630000}"/>
    <cellStyle name="Normal 12 5 2 2 2" xfId="5421" xr:uid="{00000000-0005-0000-0000-0000CF630000}"/>
    <cellStyle name="Normal 12 5 2 2 2 2" xfId="8970" xr:uid="{00000000-0005-0000-0000-0000D0630000}"/>
    <cellStyle name="Normal 12 5 2 2 2 2 2" xfId="15760" xr:uid="{00000000-0005-0000-0000-0000D1630000}"/>
    <cellStyle name="Normal 12 5 2 2 2 2 2 2" xfId="29328" xr:uid="{00000000-0005-0000-0000-0000D2630000}"/>
    <cellStyle name="Normal 12 5 2 2 2 2 2 2 2" xfId="56461" xr:uid="{00000000-0005-0000-0000-0000D3630000}"/>
    <cellStyle name="Normal 12 5 2 2 2 2 2 3" xfId="42899" xr:uid="{00000000-0005-0000-0000-0000D4630000}"/>
    <cellStyle name="Normal 12 5 2 2 2 2 3" xfId="22547" xr:uid="{00000000-0005-0000-0000-0000D5630000}"/>
    <cellStyle name="Normal 12 5 2 2 2 2 3 2" xfId="49680" xr:uid="{00000000-0005-0000-0000-0000D6630000}"/>
    <cellStyle name="Normal 12 5 2 2 2 2 4" xfId="36118" xr:uid="{00000000-0005-0000-0000-0000D7630000}"/>
    <cellStyle name="Normal 12 5 2 2 2 3" xfId="12371" xr:uid="{00000000-0005-0000-0000-0000D8630000}"/>
    <cellStyle name="Normal 12 5 2 2 2 3 2" xfId="25939" xr:uid="{00000000-0005-0000-0000-0000D9630000}"/>
    <cellStyle name="Normal 12 5 2 2 2 3 2 2" xfId="53072" xr:uid="{00000000-0005-0000-0000-0000DA630000}"/>
    <cellStyle name="Normal 12 5 2 2 2 3 3" xfId="39510" xr:uid="{00000000-0005-0000-0000-0000DB630000}"/>
    <cellStyle name="Normal 12 5 2 2 2 4" xfId="19158" xr:uid="{00000000-0005-0000-0000-0000DC630000}"/>
    <cellStyle name="Normal 12 5 2 2 2 4 2" xfId="46291" xr:uid="{00000000-0005-0000-0000-0000DD630000}"/>
    <cellStyle name="Normal 12 5 2 2 2 5" xfId="32729" xr:uid="{00000000-0005-0000-0000-0000DE630000}"/>
    <cellStyle name="Normal 12 5 2 2 3" xfId="5422" xr:uid="{00000000-0005-0000-0000-0000DF630000}"/>
    <cellStyle name="Normal 12 5 2 2 3 2" xfId="8971" xr:uid="{00000000-0005-0000-0000-0000E0630000}"/>
    <cellStyle name="Normal 12 5 2 2 3 2 2" xfId="15761" xr:uid="{00000000-0005-0000-0000-0000E1630000}"/>
    <cellStyle name="Normal 12 5 2 2 3 2 2 2" xfId="29329" xr:uid="{00000000-0005-0000-0000-0000E2630000}"/>
    <cellStyle name="Normal 12 5 2 2 3 2 2 2 2" xfId="56462" xr:uid="{00000000-0005-0000-0000-0000E3630000}"/>
    <cellStyle name="Normal 12 5 2 2 3 2 2 3" xfId="42900" xr:uid="{00000000-0005-0000-0000-0000E4630000}"/>
    <cellStyle name="Normal 12 5 2 2 3 2 3" xfId="22548" xr:uid="{00000000-0005-0000-0000-0000E5630000}"/>
    <cellStyle name="Normal 12 5 2 2 3 2 3 2" xfId="49681" xr:uid="{00000000-0005-0000-0000-0000E6630000}"/>
    <cellStyle name="Normal 12 5 2 2 3 2 4" xfId="36119" xr:uid="{00000000-0005-0000-0000-0000E7630000}"/>
    <cellStyle name="Normal 12 5 2 2 3 3" xfId="12372" xr:uid="{00000000-0005-0000-0000-0000E8630000}"/>
    <cellStyle name="Normal 12 5 2 2 3 3 2" xfId="25940" xr:uid="{00000000-0005-0000-0000-0000E9630000}"/>
    <cellStyle name="Normal 12 5 2 2 3 3 2 2" xfId="53073" xr:uid="{00000000-0005-0000-0000-0000EA630000}"/>
    <cellStyle name="Normal 12 5 2 2 3 3 3" xfId="39511" xr:uid="{00000000-0005-0000-0000-0000EB630000}"/>
    <cellStyle name="Normal 12 5 2 2 3 4" xfId="19159" xr:uid="{00000000-0005-0000-0000-0000EC630000}"/>
    <cellStyle name="Normal 12 5 2 2 3 4 2" xfId="46292" xr:uid="{00000000-0005-0000-0000-0000ED630000}"/>
    <cellStyle name="Normal 12 5 2 2 3 5" xfId="32730" xr:uid="{00000000-0005-0000-0000-0000EE630000}"/>
    <cellStyle name="Normal 12 5 2 2 4" xfId="8969" xr:uid="{00000000-0005-0000-0000-0000EF630000}"/>
    <cellStyle name="Normal 12 5 2 2 4 2" xfId="15759" xr:uid="{00000000-0005-0000-0000-0000F0630000}"/>
    <cellStyle name="Normal 12 5 2 2 4 2 2" xfId="29327" xr:uid="{00000000-0005-0000-0000-0000F1630000}"/>
    <cellStyle name="Normal 12 5 2 2 4 2 2 2" xfId="56460" xr:uid="{00000000-0005-0000-0000-0000F2630000}"/>
    <cellStyle name="Normal 12 5 2 2 4 2 3" xfId="42898" xr:uid="{00000000-0005-0000-0000-0000F3630000}"/>
    <cellStyle name="Normal 12 5 2 2 4 3" xfId="22546" xr:uid="{00000000-0005-0000-0000-0000F4630000}"/>
    <cellStyle name="Normal 12 5 2 2 4 3 2" xfId="49679" xr:uid="{00000000-0005-0000-0000-0000F5630000}"/>
    <cellStyle name="Normal 12 5 2 2 4 4" xfId="36117" xr:uid="{00000000-0005-0000-0000-0000F6630000}"/>
    <cellStyle name="Normal 12 5 2 2 5" xfId="12370" xr:uid="{00000000-0005-0000-0000-0000F7630000}"/>
    <cellStyle name="Normal 12 5 2 2 5 2" xfId="25938" xr:uid="{00000000-0005-0000-0000-0000F8630000}"/>
    <cellStyle name="Normal 12 5 2 2 5 2 2" xfId="53071" xr:uid="{00000000-0005-0000-0000-0000F9630000}"/>
    <cellStyle name="Normal 12 5 2 2 5 3" xfId="39509" xr:uid="{00000000-0005-0000-0000-0000FA630000}"/>
    <cellStyle name="Normal 12 5 2 2 6" xfId="19157" xr:uid="{00000000-0005-0000-0000-0000FB630000}"/>
    <cellStyle name="Normal 12 5 2 2 6 2" xfId="46290" xr:uid="{00000000-0005-0000-0000-0000FC630000}"/>
    <cellStyle name="Normal 12 5 2 2 7" xfId="32728" xr:uid="{00000000-0005-0000-0000-0000FD630000}"/>
    <cellStyle name="Normal 12 5 2 3" xfId="5423" xr:uid="{00000000-0005-0000-0000-0000FE630000}"/>
    <cellStyle name="Normal 12 5 2 3 2" xfId="5424" xr:uid="{00000000-0005-0000-0000-0000FF630000}"/>
    <cellStyle name="Normal 12 5 2 3 2 2" xfId="8973" xr:uid="{00000000-0005-0000-0000-000000640000}"/>
    <cellStyle name="Normal 12 5 2 3 2 2 2" xfId="15763" xr:uid="{00000000-0005-0000-0000-000001640000}"/>
    <cellStyle name="Normal 12 5 2 3 2 2 2 2" xfId="29331" xr:uid="{00000000-0005-0000-0000-000002640000}"/>
    <cellStyle name="Normal 12 5 2 3 2 2 2 2 2" xfId="56464" xr:uid="{00000000-0005-0000-0000-000003640000}"/>
    <cellStyle name="Normal 12 5 2 3 2 2 2 3" xfId="42902" xr:uid="{00000000-0005-0000-0000-000004640000}"/>
    <cellStyle name="Normal 12 5 2 3 2 2 3" xfId="22550" xr:uid="{00000000-0005-0000-0000-000005640000}"/>
    <cellStyle name="Normal 12 5 2 3 2 2 3 2" xfId="49683" xr:uid="{00000000-0005-0000-0000-000006640000}"/>
    <cellStyle name="Normal 12 5 2 3 2 2 4" xfId="36121" xr:uid="{00000000-0005-0000-0000-000007640000}"/>
    <cellStyle name="Normal 12 5 2 3 2 3" xfId="12374" xr:uid="{00000000-0005-0000-0000-000008640000}"/>
    <cellStyle name="Normal 12 5 2 3 2 3 2" xfId="25942" xr:uid="{00000000-0005-0000-0000-000009640000}"/>
    <cellStyle name="Normal 12 5 2 3 2 3 2 2" xfId="53075" xr:uid="{00000000-0005-0000-0000-00000A640000}"/>
    <cellStyle name="Normal 12 5 2 3 2 3 3" xfId="39513" xr:uid="{00000000-0005-0000-0000-00000B640000}"/>
    <cellStyle name="Normal 12 5 2 3 2 4" xfId="19161" xr:uid="{00000000-0005-0000-0000-00000C640000}"/>
    <cellStyle name="Normal 12 5 2 3 2 4 2" xfId="46294" xr:uid="{00000000-0005-0000-0000-00000D640000}"/>
    <cellStyle name="Normal 12 5 2 3 2 5" xfId="32732" xr:uid="{00000000-0005-0000-0000-00000E640000}"/>
    <cellStyle name="Normal 12 5 2 3 3" xfId="8972" xr:uid="{00000000-0005-0000-0000-00000F640000}"/>
    <cellStyle name="Normal 12 5 2 3 3 2" xfId="15762" xr:uid="{00000000-0005-0000-0000-000010640000}"/>
    <cellStyle name="Normal 12 5 2 3 3 2 2" xfId="29330" xr:uid="{00000000-0005-0000-0000-000011640000}"/>
    <cellStyle name="Normal 12 5 2 3 3 2 2 2" xfId="56463" xr:uid="{00000000-0005-0000-0000-000012640000}"/>
    <cellStyle name="Normal 12 5 2 3 3 2 3" xfId="42901" xr:uid="{00000000-0005-0000-0000-000013640000}"/>
    <cellStyle name="Normal 12 5 2 3 3 3" xfId="22549" xr:uid="{00000000-0005-0000-0000-000014640000}"/>
    <cellStyle name="Normal 12 5 2 3 3 3 2" xfId="49682" xr:uid="{00000000-0005-0000-0000-000015640000}"/>
    <cellStyle name="Normal 12 5 2 3 3 4" xfId="36120" xr:uid="{00000000-0005-0000-0000-000016640000}"/>
    <cellStyle name="Normal 12 5 2 3 4" xfId="12373" xr:uid="{00000000-0005-0000-0000-000017640000}"/>
    <cellStyle name="Normal 12 5 2 3 4 2" xfId="25941" xr:uid="{00000000-0005-0000-0000-000018640000}"/>
    <cellStyle name="Normal 12 5 2 3 4 2 2" xfId="53074" xr:uid="{00000000-0005-0000-0000-000019640000}"/>
    <cellStyle name="Normal 12 5 2 3 4 3" xfId="39512" xr:uid="{00000000-0005-0000-0000-00001A640000}"/>
    <cellStyle name="Normal 12 5 2 3 5" xfId="19160" xr:uid="{00000000-0005-0000-0000-00001B640000}"/>
    <cellStyle name="Normal 12 5 2 3 5 2" xfId="46293" xr:uid="{00000000-0005-0000-0000-00001C640000}"/>
    <cellStyle name="Normal 12 5 2 3 6" xfId="32731" xr:uid="{00000000-0005-0000-0000-00001D640000}"/>
    <cellStyle name="Normal 12 5 2 4" xfId="5425" xr:uid="{00000000-0005-0000-0000-00001E640000}"/>
    <cellStyle name="Normal 12 5 2 4 2" xfId="8974" xr:uid="{00000000-0005-0000-0000-00001F640000}"/>
    <cellStyle name="Normal 12 5 2 4 2 2" xfId="15764" xr:uid="{00000000-0005-0000-0000-000020640000}"/>
    <cellStyle name="Normal 12 5 2 4 2 2 2" xfId="29332" xr:uid="{00000000-0005-0000-0000-000021640000}"/>
    <cellStyle name="Normal 12 5 2 4 2 2 2 2" xfId="56465" xr:uid="{00000000-0005-0000-0000-000022640000}"/>
    <cellStyle name="Normal 12 5 2 4 2 2 3" xfId="42903" xr:uid="{00000000-0005-0000-0000-000023640000}"/>
    <cellStyle name="Normal 12 5 2 4 2 3" xfId="22551" xr:uid="{00000000-0005-0000-0000-000024640000}"/>
    <cellStyle name="Normal 12 5 2 4 2 3 2" xfId="49684" xr:uid="{00000000-0005-0000-0000-000025640000}"/>
    <cellStyle name="Normal 12 5 2 4 2 4" xfId="36122" xr:uid="{00000000-0005-0000-0000-000026640000}"/>
    <cellStyle name="Normal 12 5 2 4 3" xfId="12375" xr:uid="{00000000-0005-0000-0000-000027640000}"/>
    <cellStyle name="Normal 12 5 2 4 3 2" xfId="25943" xr:uid="{00000000-0005-0000-0000-000028640000}"/>
    <cellStyle name="Normal 12 5 2 4 3 2 2" xfId="53076" xr:uid="{00000000-0005-0000-0000-000029640000}"/>
    <cellStyle name="Normal 12 5 2 4 3 3" xfId="39514" xr:uid="{00000000-0005-0000-0000-00002A640000}"/>
    <cellStyle name="Normal 12 5 2 4 4" xfId="19162" xr:uid="{00000000-0005-0000-0000-00002B640000}"/>
    <cellStyle name="Normal 12 5 2 4 4 2" xfId="46295" xr:uid="{00000000-0005-0000-0000-00002C640000}"/>
    <cellStyle name="Normal 12 5 2 4 5" xfId="32733" xr:uid="{00000000-0005-0000-0000-00002D640000}"/>
    <cellStyle name="Normal 12 5 2 5" xfId="5426" xr:uid="{00000000-0005-0000-0000-00002E640000}"/>
    <cellStyle name="Normal 12 5 2 5 2" xfId="8975" xr:uid="{00000000-0005-0000-0000-00002F640000}"/>
    <cellStyle name="Normal 12 5 2 5 2 2" xfId="15765" xr:uid="{00000000-0005-0000-0000-000030640000}"/>
    <cellStyle name="Normal 12 5 2 5 2 2 2" xfId="29333" xr:uid="{00000000-0005-0000-0000-000031640000}"/>
    <cellStyle name="Normal 12 5 2 5 2 2 2 2" xfId="56466" xr:uid="{00000000-0005-0000-0000-000032640000}"/>
    <cellStyle name="Normal 12 5 2 5 2 2 3" xfId="42904" xr:uid="{00000000-0005-0000-0000-000033640000}"/>
    <cellStyle name="Normal 12 5 2 5 2 3" xfId="22552" xr:uid="{00000000-0005-0000-0000-000034640000}"/>
    <cellStyle name="Normal 12 5 2 5 2 3 2" xfId="49685" xr:uid="{00000000-0005-0000-0000-000035640000}"/>
    <cellStyle name="Normal 12 5 2 5 2 4" xfId="36123" xr:uid="{00000000-0005-0000-0000-000036640000}"/>
    <cellStyle name="Normal 12 5 2 5 3" xfId="12376" xr:uid="{00000000-0005-0000-0000-000037640000}"/>
    <cellStyle name="Normal 12 5 2 5 3 2" xfId="25944" xr:uid="{00000000-0005-0000-0000-000038640000}"/>
    <cellStyle name="Normal 12 5 2 5 3 2 2" xfId="53077" xr:uid="{00000000-0005-0000-0000-000039640000}"/>
    <cellStyle name="Normal 12 5 2 5 3 3" xfId="39515" xr:uid="{00000000-0005-0000-0000-00003A640000}"/>
    <cellStyle name="Normal 12 5 2 5 4" xfId="19163" xr:uid="{00000000-0005-0000-0000-00003B640000}"/>
    <cellStyle name="Normal 12 5 2 5 4 2" xfId="46296" xr:uid="{00000000-0005-0000-0000-00003C640000}"/>
    <cellStyle name="Normal 12 5 2 5 5" xfId="32734" xr:uid="{00000000-0005-0000-0000-00003D640000}"/>
    <cellStyle name="Normal 12 5 2 6" xfId="8968" xr:uid="{00000000-0005-0000-0000-00003E640000}"/>
    <cellStyle name="Normal 12 5 2 6 2" xfId="15758" xr:uid="{00000000-0005-0000-0000-00003F640000}"/>
    <cellStyle name="Normal 12 5 2 6 2 2" xfId="29326" xr:uid="{00000000-0005-0000-0000-000040640000}"/>
    <cellStyle name="Normal 12 5 2 6 2 2 2" xfId="56459" xr:uid="{00000000-0005-0000-0000-000041640000}"/>
    <cellStyle name="Normal 12 5 2 6 2 3" xfId="42897" xr:uid="{00000000-0005-0000-0000-000042640000}"/>
    <cellStyle name="Normal 12 5 2 6 3" xfId="22545" xr:uid="{00000000-0005-0000-0000-000043640000}"/>
    <cellStyle name="Normal 12 5 2 6 3 2" xfId="49678" xr:uid="{00000000-0005-0000-0000-000044640000}"/>
    <cellStyle name="Normal 12 5 2 6 4" xfId="36116" xr:uid="{00000000-0005-0000-0000-000045640000}"/>
    <cellStyle name="Normal 12 5 2 7" xfId="12369" xr:uid="{00000000-0005-0000-0000-000046640000}"/>
    <cellStyle name="Normal 12 5 2 7 2" xfId="25937" xr:uid="{00000000-0005-0000-0000-000047640000}"/>
    <cellStyle name="Normal 12 5 2 7 2 2" xfId="53070" xr:uid="{00000000-0005-0000-0000-000048640000}"/>
    <cellStyle name="Normal 12 5 2 7 3" xfId="39508" xr:uid="{00000000-0005-0000-0000-000049640000}"/>
    <cellStyle name="Normal 12 5 2 8" xfId="19156" xr:uid="{00000000-0005-0000-0000-00004A640000}"/>
    <cellStyle name="Normal 12 5 2 8 2" xfId="46289" xr:uid="{00000000-0005-0000-0000-00004B640000}"/>
    <cellStyle name="Normal 12 5 2 9" xfId="32727" xr:uid="{00000000-0005-0000-0000-00004C640000}"/>
    <cellStyle name="Normal 12 5 3" xfId="5427" xr:uid="{00000000-0005-0000-0000-00004D640000}"/>
    <cellStyle name="Normal 12 5 3 2" xfId="5428" xr:uid="{00000000-0005-0000-0000-00004E640000}"/>
    <cellStyle name="Normal 12 5 3 2 2" xfId="8977" xr:uid="{00000000-0005-0000-0000-00004F640000}"/>
    <cellStyle name="Normal 12 5 3 2 2 2" xfId="15767" xr:uid="{00000000-0005-0000-0000-000050640000}"/>
    <cellStyle name="Normal 12 5 3 2 2 2 2" xfId="29335" xr:uid="{00000000-0005-0000-0000-000051640000}"/>
    <cellStyle name="Normal 12 5 3 2 2 2 2 2" xfId="56468" xr:uid="{00000000-0005-0000-0000-000052640000}"/>
    <cellStyle name="Normal 12 5 3 2 2 2 3" xfId="42906" xr:uid="{00000000-0005-0000-0000-000053640000}"/>
    <cellStyle name="Normal 12 5 3 2 2 3" xfId="22554" xr:uid="{00000000-0005-0000-0000-000054640000}"/>
    <cellStyle name="Normal 12 5 3 2 2 3 2" xfId="49687" xr:uid="{00000000-0005-0000-0000-000055640000}"/>
    <cellStyle name="Normal 12 5 3 2 2 4" xfId="36125" xr:uid="{00000000-0005-0000-0000-000056640000}"/>
    <cellStyle name="Normal 12 5 3 2 3" xfId="12378" xr:uid="{00000000-0005-0000-0000-000057640000}"/>
    <cellStyle name="Normal 12 5 3 2 3 2" xfId="25946" xr:uid="{00000000-0005-0000-0000-000058640000}"/>
    <cellStyle name="Normal 12 5 3 2 3 2 2" xfId="53079" xr:uid="{00000000-0005-0000-0000-000059640000}"/>
    <cellStyle name="Normal 12 5 3 2 3 3" xfId="39517" xr:uid="{00000000-0005-0000-0000-00005A640000}"/>
    <cellStyle name="Normal 12 5 3 2 4" xfId="19165" xr:uid="{00000000-0005-0000-0000-00005B640000}"/>
    <cellStyle name="Normal 12 5 3 2 4 2" xfId="46298" xr:uid="{00000000-0005-0000-0000-00005C640000}"/>
    <cellStyle name="Normal 12 5 3 2 5" xfId="32736" xr:uid="{00000000-0005-0000-0000-00005D640000}"/>
    <cellStyle name="Normal 12 5 3 3" xfId="5429" xr:uid="{00000000-0005-0000-0000-00005E640000}"/>
    <cellStyle name="Normal 12 5 3 3 2" xfId="8978" xr:uid="{00000000-0005-0000-0000-00005F640000}"/>
    <cellStyle name="Normal 12 5 3 3 2 2" xfId="15768" xr:uid="{00000000-0005-0000-0000-000060640000}"/>
    <cellStyle name="Normal 12 5 3 3 2 2 2" xfId="29336" xr:uid="{00000000-0005-0000-0000-000061640000}"/>
    <cellStyle name="Normal 12 5 3 3 2 2 2 2" xfId="56469" xr:uid="{00000000-0005-0000-0000-000062640000}"/>
    <cellStyle name="Normal 12 5 3 3 2 2 3" xfId="42907" xr:uid="{00000000-0005-0000-0000-000063640000}"/>
    <cellStyle name="Normal 12 5 3 3 2 3" xfId="22555" xr:uid="{00000000-0005-0000-0000-000064640000}"/>
    <cellStyle name="Normal 12 5 3 3 2 3 2" xfId="49688" xr:uid="{00000000-0005-0000-0000-000065640000}"/>
    <cellStyle name="Normal 12 5 3 3 2 4" xfId="36126" xr:uid="{00000000-0005-0000-0000-000066640000}"/>
    <cellStyle name="Normal 12 5 3 3 3" xfId="12379" xr:uid="{00000000-0005-0000-0000-000067640000}"/>
    <cellStyle name="Normal 12 5 3 3 3 2" xfId="25947" xr:uid="{00000000-0005-0000-0000-000068640000}"/>
    <cellStyle name="Normal 12 5 3 3 3 2 2" xfId="53080" xr:uid="{00000000-0005-0000-0000-000069640000}"/>
    <cellStyle name="Normal 12 5 3 3 3 3" xfId="39518" xr:uid="{00000000-0005-0000-0000-00006A640000}"/>
    <cellStyle name="Normal 12 5 3 3 4" xfId="19166" xr:uid="{00000000-0005-0000-0000-00006B640000}"/>
    <cellStyle name="Normal 12 5 3 3 4 2" xfId="46299" xr:uid="{00000000-0005-0000-0000-00006C640000}"/>
    <cellStyle name="Normal 12 5 3 3 5" xfId="32737" xr:uid="{00000000-0005-0000-0000-00006D640000}"/>
    <cellStyle name="Normal 12 5 3 4" xfId="8976" xr:uid="{00000000-0005-0000-0000-00006E640000}"/>
    <cellStyle name="Normal 12 5 3 4 2" xfId="15766" xr:uid="{00000000-0005-0000-0000-00006F640000}"/>
    <cellStyle name="Normal 12 5 3 4 2 2" xfId="29334" xr:uid="{00000000-0005-0000-0000-000070640000}"/>
    <cellStyle name="Normal 12 5 3 4 2 2 2" xfId="56467" xr:uid="{00000000-0005-0000-0000-000071640000}"/>
    <cellStyle name="Normal 12 5 3 4 2 3" xfId="42905" xr:uid="{00000000-0005-0000-0000-000072640000}"/>
    <cellStyle name="Normal 12 5 3 4 3" xfId="22553" xr:uid="{00000000-0005-0000-0000-000073640000}"/>
    <cellStyle name="Normal 12 5 3 4 3 2" xfId="49686" xr:uid="{00000000-0005-0000-0000-000074640000}"/>
    <cellStyle name="Normal 12 5 3 4 4" xfId="36124" xr:uid="{00000000-0005-0000-0000-000075640000}"/>
    <cellStyle name="Normal 12 5 3 5" xfId="12377" xr:uid="{00000000-0005-0000-0000-000076640000}"/>
    <cellStyle name="Normal 12 5 3 5 2" xfId="25945" xr:uid="{00000000-0005-0000-0000-000077640000}"/>
    <cellStyle name="Normal 12 5 3 5 2 2" xfId="53078" xr:uid="{00000000-0005-0000-0000-000078640000}"/>
    <cellStyle name="Normal 12 5 3 5 3" xfId="39516" xr:uid="{00000000-0005-0000-0000-000079640000}"/>
    <cellStyle name="Normal 12 5 3 6" xfId="19164" xr:uid="{00000000-0005-0000-0000-00007A640000}"/>
    <cellStyle name="Normal 12 5 3 6 2" xfId="46297" xr:uid="{00000000-0005-0000-0000-00007B640000}"/>
    <cellStyle name="Normal 12 5 3 7" xfId="32735" xr:uid="{00000000-0005-0000-0000-00007C640000}"/>
    <cellStyle name="Normal 12 5 4" xfId="5430" xr:uid="{00000000-0005-0000-0000-00007D640000}"/>
    <cellStyle name="Normal 12 5 4 2" xfId="5431" xr:uid="{00000000-0005-0000-0000-00007E640000}"/>
    <cellStyle name="Normal 12 5 4 2 2" xfId="8980" xr:uid="{00000000-0005-0000-0000-00007F640000}"/>
    <cellStyle name="Normal 12 5 4 2 2 2" xfId="15770" xr:uid="{00000000-0005-0000-0000-000080640000}"/>
    <cellStyle name="Normal 12 5 4 2 2 2 2" xfId="29338" xr:uid="{00000000-0005-0000-0000-000081640000}"/>
    <cellStyle name="Normal 12 5 4 2 2 2 2 2" xfId="56471" xr:uid="{00000000-0005-0000-0000-000082640000}"/>
    <cellStyle name="Normal 12 5 4 2 2 2 3" xfId="42909" xr:uid="{00000000-0005-0000-0000-000083640000}"/>
    <cellStyle name="Normal 12 5 4 2 2 3" xfId="22557" xr:uid="{00000000-0005-0000-0000-000084640000}"/>
    <cellStyle name="Normal 12 5 4 2 2 3 2" xfId="49690" xr:uid="{00000000-0005-0000-0000-000085640000}"/>
    <cellStyle name="Normal 12 5 4 2 2 4" xfId="36128" xr:uid="{00000000-0005-0000-0000-000086640000}"/>
    <cellStyle name="Normal 12 5 4 2 3" xfId="12381" xr:uid="{00000000-0005-0000-0000-000087640000}"/>
    <cellStyle name="Normal 12 5 4 2 3 2" xfId="25949" xr:uid="{00000000-0005-0000-0000-000088640000}"/>
    <cellStyle name="Normal 12 5 4 2 3 2 2" xfId="53082" xr:uid="{00000000-0005-0000-0000-000089640000}"/>
    <cellStyle name="Normal 12 5 4 2 3 3" xfId="39520" xr:uid="{00000000-0005-0000-0000-00008A640000}"/>
    <cellStyle name="Normal 12 5 4 2 4" xfId="19168" xr:uid="{00000000-0005-0000-0000-00008B640000}"/>
    <cellStyle name="Normal 12 5 4 2 4 2" xfId="46301" xr:uid="{00000000-0005-0000-0000-00008C640000}"/>
    <cellStyle name="Normal 12 5 4 2 5" xfId="32739" xr:uid="{00000000-0005-0000-0000-00008D640000}"/>
    <cellStyle name="Normal 12 5 4 3" xfId="8979" xr:uid="{00000000-0005-0000-0000-00008E640000}"/>
    <cellStyle name="Normal 12 5 4 3 2" xfId="15769" xr:uid="{00000000-0005-0000-0000-00008F640000}"/>
    <cellStyle name="Normal 12 5 4 3 2 2" xfId="29337" xr:uid="{00000000-0005-0000-0000-000090640000}"/>
    <cellStyle name="Normal 12 5 4 3 2 2 2" xfId="56470" xr:uid="{00000000-0005-0000-0000-000091640000}"/>
    <cellStyle name="Normal 12 5 4 3 2 3" xfId="42908" xr:uid="{00000000-0005-0000-0000-000092640000}"/>
    <cellStyle name="Normal 12 5 4 3 3" xfId="22556" xr:uid="{00000000-0005-0000-0000-000093640000}"/>
    <cellStyle name="Normal 12 5 4 3 3 2" xfId="49689" xr:uid="{00000000-0005-0000-0000-000094640000}"/>
    <cellStyle name="Normal 12 5 4 3 4" xfId="36127" xr:uid="{00000000-0005-0000-0000-000095640000}"/>
    <cellStyle name="Normal 12 5 4 4" xfId="12380" xr:uid="{00000000-0005-0000-0000-000096640000}"/>
    <cellStyle name="Normal 12 5 4 4 2" xfId="25948" xr:uid="{00000000-0005-0000-0000-000097640000}"/>
    <cellStyle name="Normal 12 5 4 4 2 2" xfId="53081" xr:uid="{00000000-0005-0000-0000-000098640000}"/>
    <cellStyle name="Normal 12 5 4 4 3" xfId="39519" xr:uid="{00000000-0005-0000-0000-000099640000}"/>
    <cellStyle name="Normal 12 5 4 5" xfId="19167" xr:uid="{00000000-0005-0000-0000-00009A640000}"/>
    <cellStyle name="Normal 12 5 4 5 2" xfId="46300" xr:uid="{00000000-0005-0000-0000-00009B640000}"/>
    <cellStyle name="Normal 12 5 4 6" xfId="32738" xr:uid="{00000000-0005-0000-0000-00009C640000}"/>
    <cellStyle name="Normal 12 5 5" xfId="5432" xr:uid="{00000000-0005-0000-0000-00009D640000}"/>
    <cellStyle name="Normal 12 5 5 2" xfId="8981" xr:uid="{00000000-0005-0000-0000-00009E640000}"/>
    <cellStyle name="Normal 12 5 5 2 2" xfId="15771" xr:uid="{00000000-0005-0000-0000-00009F640000}"/>
    <cellStyle name="Normal 12 5 5 2 2 2" xfId="29339" xr:uid="{00000000-0005-0000-0000-0000A0640000}"/>
    <cellStyle name="Normal 12 5 5 2 2 2 2" xfId="56472" xr:uid="{00000000-0005-0000-0000-0000A1640000}"/>
    <cellStyle name="Normal 12 5 5 2 2 3" xfId="42910" xr:uid="{00000000-0005-0000-0000-0000A2640000}"/>
    <cellStyle name="Normal 12 5 5 2 3" xfId="22558" xr:uid="{00000000-0005-0000-0000-0000A3640000}"/>
    <cellStyle name="Normal 12 5 5 2 3 2" xfId="49691" xr:uid="{00000000-0005-0000-0000-0000A4640000}"/>
    <cellStyle name="Normal 12 5 5 2 4" xfId="36129" xr:uid="{00000000-0005-0000-0000-0000A5640000}"/>
    <cellStyle name="Normal 12 5 5 3" xfId="12382" xr:uid="{00000000-0005-0000-0000-0000A6640000}"/>
    <cellStyle name="Normal 12 5 5 3 2" xfId="25950" xr:uid="{00000000-0005-0000-0000-0000A7640000}"/>
    <cellStyle name="Normal 12 5 5 3 2 2" xfId="53083" xr:uid="{00000000-0005-0000-0000-0000A8640000}"/>
    <cellStyle name="Normal 12 5 5 3 3" xfId="39521" xr:uid="{00000000-0005-0000-0000-0000A9640000}"/>
    <cellStyle name="Normal 12 5 5 4" xfId="19169" xr:uid="{00000000-0005-0000-0000-0000AA640000}"/>
    <cellStyle name="Normal 12 5 5 4 2" xfId="46302" xr:uid="{00000000-0005-0000-0000-0000AB640000}"/>
    <cellStyle name="Normal 12 5 5 5" xfId="32740" xr:uid="{00000000-0005-0000-0000-0000AC640000}"/>
    <cellStyle name="Normal 12 5 6" xfId="5433" xr:uid="{00000000-0005-0000-0000-0000AD640000}"/>
    <cellStyle name="Normal 12 5 6 2" xfId="8982" xr:uid="{00000000-0005-0000-0000-0000AE640000}"/>
    <cellStyle name="Normal 12 5 6 2 2" xfId="15772" xr:uid="{00000000-0005-0000-0000-0000AF640000}"/>
    <cellStyle name="Normal 12 5 6 2 2 2" xfId="29340" xr:uid="{00000000-0005-0000-0000-0000B0640000}"/>
    <cellStyle name="Normal 12 5 6 2 2 2 2" xfId="56473" xr:uid="{00000000-0005-0000-0000-0000B1640000}"/>
    <cellStyle name="Normal 12 5 6 2 2 3" xfId="42911" xr:uid="{00000000-0005-0000-0000-0000B2640000}"/>
    <cellStyle name="Normal 12 5 6 2 3" xfId="22559" xr:uid="{00000000-0005-0000-0000-0000B3640000}"/>
    <cellStyle name="Normal 12 5 6 2 3 2" xfId="49692" xr:uid="{00000000-0005-0000-0000-0000B4640000}"/>
    <cellStyle name="Normal 12 5 6 2 4" xfId="36130" xr:uid="{00000000-0005-0000-0000-0000B5640000}"/>
    <cellStyle name="Normal 12 5 6 3" xfId="12383" xr:uid="{00000000-0005-0000-0000-0000B6640000}"/>
    <cellStyle name="Normal 12 5 6 3 2" xfId="25951" xr:uid="{00000000-0005-0000-0000-0000B7640000}"/>
    <cellStyle name="Normal 12 5 6 3 2 2" xfId="53084" xr:uid="{00000000-0005-0000-0000-0000B8640000}"/>
    <cellStyle name="Normal 12 5 6 3 3" xfId="39522" xr:uid="{00000000-0005-0000-0000-0000B9640000}"/>
    <cellStyle name="Normal 12 5 6 4" xfId="19170" xr:uid="{00000000-0005-0000-0000-0000BA640000}"/>
    <cellStyle name="Normal 12 5 6 4 2" xfId="46303" xr:uid="{00000000-0005-0000-0000-0000BB640000}"/>
    <cellStyle name="Normal 12 5 6 5" xfId="32741" xr:uid="{00000000-0005-0000-0000-0000BC640000}"/>
    <cellStyle name="Normal 12 5 7" xfId="8967" xr:uid="{00000000-0005-0000-0000-0000BD640000}"/>
    <cellStyle name="Normal 12 5 7 2" xfId="15757" xr:uid="{00000000-0005-0000-0000-0000BE640000}"/>
    <cellStyle name="Normal 12 5 7 2 2" xfId="29325" xr:uid="{00000000-0005-0000-0000-0000BF640000}"/>
    <cellStyle name="Normal 12 5 7 2 2 2" xfId="56458" xr:uid="{00000000-0005-0000-0000-0000C0640000}"/>
    <cellStyle name="Normal 12 5 7 2 3" xfId="42896" xr:uid="{00000000-0005-0000-0000-0000C1640000}"/>
    <cellStyle name="Normal 12 5 7 3" xfId="22544" xr:uid="{00000000-0005-0000-0000-0000C2640000}"/>
    <cellStyle name="Normal 12 5 7 3 2" xfId="49677" xr:uid="{00000000-0005-0000-0000-0000C3640000}"/>
    <cellStyle name="Normal 12 5 7 4" xfId="36115" xr:uid="{00000000-0005-0000-0000-0000C4640000}"/>
    <cellStyle name="Normal 12 5 8" xfId="12368" xr:uid="{00000000-0005-0000-0000-0000C5640000}"/>
    <cellStyle name="Normal 12 5 8 2" xfId="25936" xr:uid="{00000000-0005-0000-0000-0000C6640000}"/>
    <cellStyle name="Normal 12 5 8 2 2" xfId="53069" xr:uid="{00000000-0005-0000-0000-0000C7640000}"/>
    <cellStyle name="Normal 12 5 8 3" xfId="39507" xr:uid="{00000000-0005-0000-0000-0000C8640000}"/>
    <cellStyle name="Normal 12 5 9" xfId="19155" xr:uid="{00000000-0005-0000-0000-0000C9640000}"/>
    <cellStyle name="Normal 12 5 9 2" xfId="46288" xr:uid="{00000000-0005-0000-0000-0000CA640000}"/>
    <cellStyle name="Normal 12 6" xfId="5434" xr:uid="{00000000-0005-0000-0000-0000CB640000}"/>
    <cellStyle name="Normal 12 6 2" xfId="5435" xr:uid="{00000000-0005-0000-0000-0000CC640000}"/>
    <cellStyle name="Normal 12 6 2 2" xfId="5436" xr:uid="{00000000-0005-0000-0000-0000CD640000}"/>
    <cellStyle name="Normal 12 6 2 2 2" xfId="8985" xr:uid="{00000000-0005-0000-0000-0000CE640000}"/>
    <cellStyle name="Normal 12 6 2 2 2 2" xfId="15775" xr:uid="{00000000-0005-0000-0000-0000CF640000}"/>
    <cellStyle name="Normal 12 6 2 2 2 2 2" xfId="29343" xr:uid="{00000000-0005-0000-0000-0000D0640000}"/>
    <cellStyle name="Normal 12 6 2 2 2 2 2 2" xfId="56476" xr:uid="{00000000-0005-0000-0000-0000D1640000}"/>
    <cellStyle name="Normal 12 6 2 2 2 2 3" xfId="42914" xr:uid="{00000000-0005-0000-0000-0000D2640000}"/>
    <cellStyle name="Normal 12 6 2 2 2 3" xfId="22562" xr:uid="{00000000-0005-0000-0000-0000D3640000}"/>
    <cellStyle name="Normal 12 6 2 2 2 3 2" xfId="49695" xr:uid="{00000000-0005-0000-0000-0000D4640000}"/>
    <cellStyle name="Normal 12 6 2 2 2 4" xfId="36133" xr:uid="{00000000-0005-0000-0000-0000D5640000}"/>
    <cellStyle name="Normal 12 6 2 2 3" xfId="12386" xr:uid="{00000000-0005-0000-0000-0000D6640000}"/>
    <cellStyle name="Normal 12 6 2 2 3 2" xfId="25954" xr:uid="{00000000-0005-0000-0000-0000D7640000}"/>
    <cellStyle name="Normal 12 6 2 2 3 2 2" xfId="53087" xr:uid="{00000000-0005-0000-0000-0000D8640000}"/>
    <cellStyle name="Normal 12 6 2 2 3 3" xfId="39525" xr:uid="{00000000-0005-0000-0000-0000D9640000}"/>
    <cellStyle name="Normal 12 6 2 2 4" xfId="19173" xr:uid="{00000000-0005-0000-0000-0000DA640000}"/>
    <cellStyle name="Normal 12 6 2 2 4 2" xfId="46306" xr:uid="{00000000-0005-0000-0000-0000DB640000}"/>
    <cellStyle name="Normal 12 6 2 2 5" xfId="32744" xr:uid="{00000000-0005-0000-0000-0000DC640000}"/>
    <cellStyle name="Normal 12 6 2 3" xfId="5437" xr:uid="{00000000-0005-0000-0000-0000DD640000}"/>
    <cellStyle name="Normal 12 6 2 3 2" xfId="8986" xr:uid="{00000000-0005-0000-0000-0000DE640000}"/>
    <cellStyle name="Normal 12 6 2 3 2 2" xfId="15776" xr:uid="{00000000-0005-0000-0000-0000DF640000}"/>
    <cellStyle name="Normal 12 6 2 3 2 2 2" xfId="29344" xr:uid="{00000000-0005-0000-0000-0000E0640000}"/>
    <cellStyle name="Normal 12 6 2 3 2 2 2 2" xfId="56477" xr:uid="{00000000-0005-0000-0000-0000E1640000}"/>
    <cellStyle name="Normal 12 6 2 3 2 2 3" xfId="42915" xr:uid="{00000000-0005-0000-0000-0000E2640000}"/>
    <cellStyle name="Normal 12 6 2 3 2 3" xfId="22563" xr:uid="{00000000-0005-0000-0000-0000E3640000}"/>
    <cellStyle name="Normal 12 6 2 3 2 3 2" xfId="49696" xr:uid="{00000000-0005-0000-0000-0000E4640000}"/>
    <cellStyle name="Normal 12 6 2 3 2 4" xfId="36134" xr:uid="{00000000-0005-0000-0000-0000E5640000}"/>
    <cellStyle name="Normal 12 6 2 3 3" xfId="12387" xr:uid="{00000000-0005-0000-0000-0000E6640000}"/>
    <cellStyle name="Normal 12 6 2 3 3 2" xfId="25955" xr:uid="{00000000-0005-0000-0000-0000E7640000}"/>
    <cellStyle name="Normal 12 6 2 3 3 2 2" xfId="53088" xr:uid="{00000000-0005-0000-0000-0000E8640000}"/>
    <cellStyle name="Normal 12 6 2 3 3 3" xfId="39526" xr:uid="{00000000-0005-0000-0000-0000E9640000}"/>
    <cellStyle name="Normal 12 6 2 3 4" xfId="19174" xr:uid="{00000000-0005-0000-0000-0000EA640000}"/>
    <cellStyle name="Normal 12 6 2 3 4 2" xfId="46307" xr:uid="{00000000-0005-0000-0000-0000EB640000}"/>
    <cellStyle name="Normal 12 6 2 3 5" xfId="32745" xr:uid="{00000000-0005-0000-0000-0000EC640000}"/>
    <cellStyle name="Normal 12 6 2 4" xfId="8984" xr:uid="{00000000-0005-0000-0000-0000ED640000}"/>
    <cellStyle name="Normal 12 6 2 4 2" xfId="15774" xr:uid="{00000000-0005-0000-0000-0000EE640000}"/>
    <cellStyle name="Normal 12 6 2 4 2 2" xfId="29342" xr:uid="{00000000-0005-0000-0000-0000EF640000}"/>
    <cellStyle name="Normal 12 6 2 4 2 2 2" xfId="56475" xr:uid="{00000000-0005-0000-0000-0000F0640000}"/>
    <cellStyle name="Normal 12 6 2 4 2 3" xfId="42913" xr:uid="{00000000-0005-0000-0000-0000F1640000}"/>
    <cellStyle name="Normal 12 6 2 4 3" xfId="22561" xr:uid="{00000000-0005-0000-0000-0000F2640000}"/>
    <cellStyle name="Normal 12 6 2 4 3 2" xfId="49694" xr:uid="{00000000-0005-0000-0000-0000F3640000}"/>
    <cellStyle name="Normal 12 6 2 4 4" xfId="36132" xr:uid="{00000000-0005-0000-0000-0000F4640000}"/>
    <cellStyle name="Normal 12 6 2 5" xfId="12385" xr:uid="{00000000-0005-0000-0000-0000F5640000}"/>
    <cellStyle name="Normal 12 6 2 5 2" xfId="25953" xr:uid="{00000000-0005-0000-0000-0000F6640000}"/>
    <cellStyle name="Normal 12 6 2 5 2 2" xfId="53086" xr:uid="{00000000-0005-0000-0000-0000F7640000}"/>
    <cellStyle name="Normal 12 6 2 5 3" xfId="39524" xr:uid="{00000000-0005-0000-0000-0000F8640000}"/>
    <cellStyle name="Normal 12 6 2 6" xfId="19172" xr:uid="{00000000-0005-0000-0000-0000F9640000}"/>
    <cellStyle name="Normal 12 6 2 6 2" xfId="46305" xr:uid="{00000000-0005-0000-0000-0000FA640000}"/>
    <cellStyle name="Normal 12 6 2 7" xfId="32743" xr:uid="{00000000-0005-0000-0000-0000FB640000}"/>
    <cellStyle name="Normal 12 6 3" xfId="5438" xr:uid="{00000000-0005-0000-0000-0000FC640000}"/>
    <cellStyle name="Normal 12 6 3 2" xfId="5439" xr:uid="{00000000-0005-0000-0000-0000FD640000}"/>
    <cellStyle name="Normal 12 6 3 2 2" xfId="8988" xr:uid="{00000000-0005-0000-0000-0000FE640000}"/>
    <cellStyle name="Normal 12 6 3 2 2 2" xfId="15778" xr:uid="{00000000-0005-0000-0000-0000FF640000}"/>
    <cellStyle name="Normal 12 6 3 2 2 2 2" xfId="29346" xr:uid="{00000000-0005-0000-0000-000000650000}"/>
    <cellStyle name="Normal 12 6 3 2 2 2 2 2" xfId="56479" xr:uid="{00000000-0005-0000-0000-000001650000}"/>
    <cellStyle name="Normal 12 6 3 2 2 2 3" xfId="42917" xr:uid="{00000000-0005-0000-0000-000002650000}"/>
    <cellStyle name="Normal 12 6 3 2 2 3" xfId="22565" xr:uid="{00000000-0005-0000-0000-000003650000}"/>
    <cellStyle name="Normal 12 6 3 2 2 3 2" xfId="49698" xr:uid="{00000000-0005-0000-0000-000004650000}"/>
    <cellStyle name="Normal 12 6 3 2 2 4" xfId="36136" xr:uid="{00000000-0005-0000-0000-000005650000}"/>
    <cellStyle name="Normal 12 6 3 2 3" xfId="12389" xr:uid="{00000000-0005-0000-0000-000006650000}"/>
    <cellStyle name="Normal 12 6 3 2 3 2" xfId="25957" xr:uid="{00000000-0005-0000-0000-000007650000}"/>
    <cellStyle name="Normal 12 6 3 2 3 2 2" xfId="53090" xr:uid="{00000000-0005-0000-0000-000008650000}"/>
    <cellStyle name="Normal 12 6 3 2 3 3" xfId="39528" xr:uid="{00000000-0005-0000-0000-000009650000}"/>
    <cellStyle name="Normal 12 6 3 2 4" xfId="19176" xr:uid="{00000000-0005-0000-0000-00000A650000}"/>
    <cellStyle name="Normal 12 6 3 2 4 2" xfId="46309" xr:uid="{00000000-0005-0000-0000-00000B650000}"/>
    <cellStyle name="Normal 12 6 3 2 5" xfId="32747" xr:uid="{00000000-0005-0000-0000-00000C650000}"/>
    <cellStyle name="Normal 12 6 3 3" xfId="8987" xr:uid="{00000000-0005-0000-0000-00000D650000}"/>
    <cellStyle name="Normal 12 6 3 3 2" xfId="15777" xr:uid="{00000000-0005-0000-0000-00000E650000}"/>
    <cellStyle name="Normal 12 6 3 3 2 2" xfId="29345" xr:uid="{00000000-0005-0000-0000-00000F650000}"/>
    <cellStyle name="Normal 12 6 3 3 2 2 2" xfId="56478" xr:uid="{00000000-0005-0000-0000-000010650000}"/>
    <cellStyle name="Normal 12 6 3 3 2 3" xfId="42916" xr:uid="{00000000-0005-0000-0000-000011650000}"/>
    <cellStyle name="Normal 12 6 3 3 3" xfId="22564" xr:uid="{00000000-0005-0000-0000-000012650000}"/>
    <cellStyle name="Normal 12 6 3 3 3 2" xfId="49697" xr:uid="{00000000-0005-0000-0000-000013650000}"/>
    <cellStyle name="Normal 12 6 3 3 4" xfId="36135" xr:uid="{00000000-0005-0000-0000-000014650000}"/>
    <cellStyle name="Normal 12 6 3 4" xfId="12388" xr:uid="{00000000-0005-0000-0000-000015650000}"/>
    <cellStyle name="Normal 12 6 3 4 2" xfId="25956" xr:uid="{00000000-0005-0000-0000-000016650000}"/>
    <cellStyle name="Normal 12 6 3 4 2 2" xfId="53089" xr:uid="{00000000-0005-0000-0000-000017650000}"/>
    <cellStyle name="Normal 12 6 3 4 3" xfId="39527" xr:uid="{00000000-0005-0000-0000-000018650000}"/>
    <cellStyle name="Normal 12 6 3 5" xfId="19175" xr:uid="{00000000-0005-0000-0000-000019650000}"/>
    <cellStyle name="Normal 12 6 3 5 2" xfId="46308" xr:uid="{00000000-0005-0000-0000-00001A650000}"/>
    <cellStyle name="Normal 12 6 3 6" xfId="32746" xr:uid="{00000000-0005-0000-0000-00001B650000}"/>
    <cellStyle name="Normal 12 6 4" xfId="5440" xr:uid="{00000000-0005-0000-0000-00001C650000}"/>
    <cellStyle name="Normal 12 6 4 2" xfId="8989" xr:uid="{00000000-0005-0000-0000-00001D650000}"/>
    <cellStyle name="Normal 12 6 4 2 2" xfId="15779" xr:uid="{00000000-0005-0000-0000-00001E650000}"/>
    <cellStyle name="Normal 12 6 4 2 2 2" xfId="29347" xr:uid="{00000000-0005-0000-0000-00001F650000}"/>
    <cellStyle name="Normal 12 6 4 2 2 2 2" xfId="56480" xr:uid="{00000000-0005-0000-0000-000020650000}"/>
    <cellStyle name="Normal 12 6 4 2 2 3" xfId="42918" xr:uid="{00000000-0005-0000-0000-000021650000}"/>
    <cellStyle name="Normal 12 6 4 2 3" xfId="22566" xr:uid="{00000000-0005-0000-0000-000022650000}"/>
    <cellStyle name="Normal 12 6 4 2 3 2" xfId="49699" xr:uid="{00000000-0005-0000-0000-000023650000}"/>
    <cellStyle name="Normal 12 6 4 2 4" xfId="36137" xr:uid="{00000000-0005-0000-0000-000024650000}"/>
    <cellStyle name="Normal 12 6 4 3" xfId="12390" xr:uid="{00000000-0005-0000-0000-000025650000}"/>
    <cellStyle name="Normal 12 6 4 3 2" xfId="25958" xr:uid="{00000000-0005-0000-0000-000026650000}"/>
    <cellStyle name="Normal 12 6 4 3 2 2" xfId="53091" xr:uid="{00000000-0005-0000-0000-000027650000}"/>
    <cellStyle name="Normal 12 6 4 3 3" xfId="39529" xr:uid="{00000000-0005-0000-0000-000028650000}"/>
    <cellStyle name="Normal 12 6 4 4" xfId="19177" xr:uid="{00000000-0005-0000-0000-000029650000}"/>
    <cellStyle name="Normal 12 6 4 4 2" xfId="46310" xr:uid="{00000000-0005-0000-0000-00002A650000}"/>
    <cellStyle name="Normal 12 6 4 5" xfId="32748" xr:uid="{00000000-0005-0000-0000-00002B650000}"/>
    <cellStyle name="Normal 12 6 5" xfId="5441" xr:uid="{00000000-0005-0000-0000-00002C650000}"/>
    <cellStyle name="Normal 12 6 5 2" xfId="8990" xr:uid="{00000000-0005-0000-0000-00002D650000}"/>
    <cellStyle name="Normal 12 6 5 2 2" xfId="15780" xr:uid="{00000000-0005-0000-0000-00002E650000}"/>
    <cellStyle name="Normal 12 6 5 2 2 2" xfId="29348" xr:uid="{00000000-0005-0000-0000-00002F650000}"/>
    <cellStyle name="Normal 12 6 5 2 2 2 2" xfId="56481" xr:uid="{00000000-0005-0000-0000-000030650000}"/>
    <cellStyle name="Normal 12 6 5 2 2 3" xfId="42919" xr:uid="{00000000-0005-0000-0000-000031650000}"/>
    <cellStyle name="Normal 12 6 5 2 3" xfId="22567" xr:uid="{00000000-0005-0000-0000-000032650000}"/>
    <cellStyle name="Normal 12 6 5 2 3 2" xfId="49700" xr:uid="{00000000-0005-0000-0000-000033650000}"/>
    <cellStyle name="Normal 12 6 5 2 4" xfId="36138" xr:uid="{00000000-0005-0000-0000-000034650000}"/>
    <cellStyle name="Normal 12 6 5 3" xfId="12391" xr:uid="{00000000-0005-0000-0000-000035650000}"/>
    <cellStyle name="Normal 12 6 5 3 2" xfId="25959" xr:uid="{00000000-0005-0000-0000-000036650000}"/>
    <cellStyle name="Normal 12 6 5 3 2 2" xfId="53092" xr:uid="{00000000-0005-0000-0000-000037650000}"/>
    <cellStyle name="Normal 12 6 5 3 3" xfId="39530" xr:uid="{00000000-0005-0000-0000-000038650000}"/>
    <cellStyle name="Normal 12 6 5 4" xfId="19178" xr:uid="{00000000-0005-0000-0000-000039650000}"/>
    <cellStyle name="Normal 12 6 5 4 2" xfId="46311" xr:uid="{00000000-0005-0000-0000-00003A650000}"/>
    <cellStyle name="Normal 12 6 5 5" xfId="32749" xr:uid="{00000000-0005-0000-0000-00003B650000}"/>
    <cellStyle name="Normal 12 6 6" xfId="8983" xr:uid="{00000000-0005-0000-0000-00003C650000}"/>
    <cellStyle name="Normal 12 6 6 2" xfId="15773" xr:uid="{00000000-0005-0000-0000-00003D650000}"/>
    <cellStyle name="Normal 12 6 6 2 2" xfId="29341" xr:uid="{00000000-0005-0000-0000-00003E650000}"/>
    <cellStyle name="Normal 12 6 6 2 2 2" xfId="56474" xr:uid="{00000000-0005-0000-0000-00003F650000}"/>
    <cellStyle name="Normal 12 6 6 2 3" xfId="42912" xr:uid="{00000000-0005-0000-0000-000040650000}"/>
    <cellStyle name="Normal 12 6 6 3" xfId="22560" xr:uid="{00000000-0005-0000-0000-000041650000}"/>
    <cellStyle name="Normal 12 6 6 3 2" xfId="49693" xr:uid="{00000000-0005-0000-0000-000042650000}"/>
    <cellStyle name="Normal 12 6 6 4" xfId="36131" xr:uid="{00000000-0005-0000-0000-000043650000}"/>
    <cellStyle name="Normal 12 6 7" xfId="12384" xr:uid="{00000000-0005-0000-0000-000044650000}"/>
    <cellStyle name="Normal 12 6 7 2" xfId="25952" xr:uid="{00000000-0005-0000-0000-000045650000}"/>
    <cellStyle name="Normal 12 6 7 2 2" xfId="53085" xr:uid="{00000000-0005-0000-0000-000046650000}"/>
    <cellStyle name="Normal 12 6 7 3" xfId="39523" xr:uid="{00000000-0005-0000-0000-000047650000}"/>
    <cellStyle name="Normal 12 6 8" xfId="19171" xr:uid="{00000000-0005-0000-0000-000048650000}"/>
    <cellStyle name="Normal 12 6 8 2" xfId="46304" xr:uid="{00000000-0005-0000-0000-000049650000}"/>
    <cellStyle name="Normal 12 6 9" xfId="32742" xr:uid="{00000000-0005-0000-0000-00004A650000}"/>
    <cellStyle name="Normal 12 7" xfId="5442" xr:uid="{00000000-0005-0000-0000-00004B650000}"/>
    <cellStyle name="Normal 12 7 2" xfId="5443" xr:uid="{00000000-0005-0000-0000-00004C650000}"/>
    <cellStyle name="Normal 12 7 2 2" xfId="5444" xr:uid="{00000000-0005-0000-0000-00004D650000}"/>
    <cellStyle name="Normal 12 7 2 2 2" xfId="8993" xr:uid="{00000000-0005-0000-0000-00004E650000}"/>
    <cellStyle name="Normal 12 7 2 2 2 2" xfId="15783" xr:uid="{00000000-0005-0000-0000-00004F650000}"/>
    <cellStyle name="Normal 12 7 2 2 2 2 2" xfId="29351" xr:uid="{00000000-0005-0000-0000-000050650000}"/>
    <cellStyle name="Normal 12 7 2 2 2 2 2 2" xfId="56484" xr:uid="{00000000-0005-0000-0000-000051650000}"/>
    <cellStyle name="Normal 12 7 2 2 2 2 3" xfId="42922" xr:uid="{00000000-0005-0000-0000-000052650000}"/>
    <cellStyle name="Normal 12 7 2 2 2 3" xfId="22570" xr:uid="{00000000-0005-0000-0000-000053650000}"/>
    <cellStyle name="Normal 12 7 2 2 2 3 2" xfId="49703" xr:uid="{00000000-0005-0000-0000-000054650000}"/>
    <cellStyle name="Normal 12 7 2 2 2 4" xfId="36141" xr:uid="{00000000-0005-0000-0000-000055650000}"/>
    <cellStyle name="Normal 12 7 2 2 3" xfId="12394" xr:uid="{00000000-0005-0000-0000-000056650000}"/>
    <cellStyle name="Normal 12 7 2 2 3 2" xfId="25962" xr:uid="{00000000-0005-0000-0000-000057650000}"/>
    <cellStyle name="Normal 12 7 2 2 3 2 2" xfId="53095" xr:uid="{00000000-0005-0000-0000-000058650000}"/>
    <cellStyle name="Normal 12 7 2 2 3 3" xfId="39533" xr:uid="{00000000-0005-0000-0000-000059650000}"/>
    <cellStyle name="Normal 12 7 2 2 4" xfId="19181" xr:uid="{00000000-0005-0000-0000-00005A650000}"/>
    <cellStyle name="Normal 12 7 2 2 4 2" xfId="46314" xr:uid="{00000000-0005-0000-0000-00005B650000}"/>
    <cellStyle name="Normal 12 7 2 2 5" xfId="32752" xr:uid="{00000000-0005-0000-0000-00005C650000}"/>
    <cellStyle name="Normal 12 7 2 3" xfId="5445" xr:uid="{00000000-0005-0000-0000-00005D650000}"/>
    <cellStyle name="Normal 12 7 2 3 2" xfId="8994" xr:uid="{00000000-0005-0000-0000-00005E650000}"/>
    <cellStyle name="Normal 12 7 2 3 2 2" xfId="15784" xr:uid="{00000000-0005-0000-0000-00005F650000}"/>
    <cellStyle name="Normal 12 7 2 3 2 2 2" xfId="29352" xr:uid="{00000000-0005-0000-0000-000060650000}"/>
    <cellStyle name="Normal 12 7 2 3 2 2 2 2" xfId="56485" xr:uid="{00000000-0005-0000-0000-000061650000}"/>
    <cellStyle name="Normal 12 7 2 3 2 2 3" xfId="42923" xr:uid="{00000000-0005-0000-0000-000062650000}"/>
    <cellStyle name="Normal 12 7 2 3 2 3" xfId="22571" xr:uid="{00000000-0005-0000-0000-000063650000}"/>
    <cellStyle name="Normal 12 7 2 3 2 3 2" xfId="49704" xr:uid="{00000000-0005-0000-0000-000064650000}"/>
    <cellStyle name="Normal 12 7 2 3 2 4" xfId="36142" xr:uid="{00000000-0005-0000-0000-000065650000}"/>
    <cellStyle name="Normal 12 7 2 3 3" xfId="12395" xr:uid="{00000000-0005-0000-0000-000066650000}"/>
    <cellStyle name="Normal 12 7 2 3 3 2" xfId="25963" xr:uid="{00000000-0005-0000-0000-000067650000}"/>
    <cellStyle name="Normal 12 7 2 3 3 2 2" xfId="53096" xr:uid="{00000000-0005-0000-0000-000068650000}"/>
    <cellStyle name="Normal 12 7 2 3 3 3" xfId="39534" xr:uid="{00000000-0005-0000-0000-000069650000}"/>
    <cellStyle name="Normal 12 7 2 3 4" xfId="19182" xr:uid="{00000000-0005-0000-0000-00006A650000}"/>
    <cellStyle name="Normal 12 7 2 3 4 2" xfId="46315" xr:uid="{00000000-0005-0000-0000-00006B650000}"/>
    <cellStyle name="Normal 12 7 2 3 5" xfId="32753" xr:uid="{00000000-0005-0000-0000-00006C650000}"/>
    <cellStyle name="Normal 12 7 2 4" xfId="8992" xr:uid="{00000000-0005-0000-0000-00006D650000}"/>
    <cellStyle name="Normal 12 7 2 4 2" xfId="15782" xr:uid="{00000000-0005-0000-0000-00006E650000}"/>
    <cellStyle name="Normal 12 7 2 4 2 2" xfId="29350" xr:uid="{00000000-0005-0000-0000-00006F650000}"/>
    <cellStyle name="Normal 12 7 2 4 2 2 2" xfId="56483" xr:uid="{00000000-0005-0000-0000-000070650000}"/>
    <cellStyle name="Normal 12 7 2 4 2 3" xfId="42921" xr:uid="{00000000-0005-0000-0000-000071650000}"/>
    <cellStyle name="Normal 12 7 2 4 3" xfId="22569" xr:uid="{00000000-0005-0000-0000-000072650000}"/>
    <cellStyle name="Normal 12 7 2 4 3 2" xfId="49702" xr:uid="{00000000-0005-0000-0000-000073650000}"/>
    <cellStyle name="Normal 12 7 2 4 4" xfId="36140" xr:uid="{00000000-0005-0000-0000-000074650000}"/>
    <cellStyle name="Normal 12 7 2 5" xfId="12393" xr:uid="{00000000-0005-0000-0000-000075650000}"/>
    <cellStyle name="Normal 12 7 2 5 2" xfId="25961" xr:uid="{00000000-0005-0000-0000-000076650000}"/>
    <cellStyle name="Normal 12 7 2 5 2 2" xfId="53094" xr:uid="{00000000-0005-0000-0000-000077650000}"/>
    <cellStyle name="Normal 12 7 2 5 3" xfId="39532" xr:uid="{00000000-0005-0000-0000-000078650000}"/>
    <cellStyle name="Normal 12 7 2 6" xfId="19180" xr:uid="{00000000-0005-0000-0000-000079650000}"/>
    <cellStyle name="Normal 12 7 2 6 2" xfId="46313" xr:uid="{00000000-0005-0000-0000-00007A650000}"/>
    <cellStyle name="Normal 12 7 2 7" xfId="32751" xr:uid="{00000000-0005-0000-0000-00007B650000}"/>
    <cellStyle name="Normal 12 7 3" xfId="5446" xr:uid="{00000000-0005-0000-0000-00007C650000}"/>
    <cellStyle name="Normal 12 7 3 2" xfId="8995" xr:uid="{00000000-0005-0000-0000-00007D650000}"/>
    <cellStyle name="Normal 12 7 3 2 2" xfId="15785" xr:uid="{00000000-0005-0000-0000-00007E650000}"/>
    <cellStyle name="Normal 12 7 3 2 2 2" xfId="29353" xr:uid="{00000000-0005-0000-0000-00007F650000}"/>
    <cellStyle name="Normal 12 7 3 2 2 2 2" xfId="56486" xr:uid="{00000000-0005-0000-0000-000080650000}"/>
    <cellStyle name="Normal 12 7 3 2 2 3" xfId="42924" xr:uid="{00000000-0005-0000-0000-000081650000}"/>
    <cellStyle name="Normal 12 7 3 2 3" xfId="22572" xr:uid="{00000000-0005-0000-0000-000082650000}"/>
    <cellStyle name="Normal 12 7 3 2 3 2" xfId="49705" xr:uid="{00000000-0005-0000-0000-000083650000}"/>
    <cellStyle name="Normal 12 7 3 2 4" xfId="36143" xr:uid="{00000000-0005-0000-0000-000084650000}"/>
    <cellStyle name="Normal 12 7 3 3" xfId="12396" xr:uid="{00000000-0005-0000-0000-000085650000}"/>
    <cellStyle name="Normal 12 7 3 3 2" xfId="25964" xr:uid="{00000000-0005-0000-0000-000086650000}"/>
    <cellStyle name="Normal 12 7 3 3 2 2" xfId="53097" xr:uid="{00000000-0005-0000-0000-000087650000}"/>
    <cellStyle name="Normal 12 7 3 3 3" xfId="39535" xr:uid="{00000000-0005-0000-0000-000088650000}"/>
    <cellStyle name="Normal 12 7 3 4" xfId="19183" xr:uid="{00000000-0005-0000-0000-000089650000}"/>
    <cellStyle name="Normal 12 7 3 4 2" xfId="46316" xr:uid="{00000000-0005-0000-0000-00008A650000}"/>
    <cellStyle name="Normal 12 7 3 5" xfId="32754" xr:uid="{00000000-0005-0000-0000-00008B650000}"/>
    <cellStyle name="Normal 12 7 4" xfId="5447" xr:uid="{00000000-0005-0000-0000-00008C650000}"/>
    <cellStyle name="Normal 12 7 4 2" xfId="8996" xr:uid="{00000000-0005-0000-0000-00008D650000}"/>
    <cellStyle name="Normal 12 7 4 2 2" xfId="15786" xr:uid="{00000000-0005-0000-0000-00008E650000}"/>
    <cellStyle name="Normal 12 7 4 2 2 2" xfId="29354" xr:uid="{00000000-0005-0000-0000-00008F650000}"/>
    <cellStyle name="Normal 12 7 4 2 2 2 2" xfId="56487" xr:uid="{00000000-0005-0000-0000-000090650000}"/>
    <cellStyle name="Normal 12 7 4 2 2 3" xfId="42925" xr:uid="{00000000-0005-0000-0000-000091650000}"/>
    <cellStyle name="Normal 12 7 4 2 3" xfId="22573" xr:uid="{00000000-0005-0000-0000-000092650000}"/>
    <cellStyle name="Normal 12 7 4 2 3 2" xfId="49706" xr:uid="{00000000-0005-0000-0000-000093650000}"/>
    <cellStyle name="Normal 12 7 4 2 4" xfId="36144" xr:uid="{00000000-0005-0000-0000-000094650000}"/>
    <cellStyle name="Normal 12 7 4 3" xfId="12397" xr:uid="{00000000-0005-0000-0000-000095650000}"/>
    <cellStyle name="Normal 12 7 4 3 2" xfId="25965" xr:uid="{00000000-0005-0000-0000-000096650000}"/>
    <cellStyle name="Normal 12 7 4 3 2 2" xfId="53098" xr:uid="{00000000-0005-0000-0000-000097650000}"/>
    <cellStyle name="Normal 12 7 4 3 3" xfId="39536" xr:uid="{00000000-0005-0000-0000-000098650000}"/>
    <cellStyle name="Normal 12 7 4 4" xfId="19184" xr:uid="{00000000-0005-0000-0000-000099650000}"/>
    <cellStyle name="Normal 12 7 4 4 2" xfId="46317" xr:uid="{00000000-0005-0000-0000-00009A650000}"/>
    <cellStyle name="Normal 12 7 4 5" xfId="32755" xr:uid="{00000000-0005-0000-0000-00009B650000}"/>
    <cellStyle name="Normal 12 7 5" xfId="8991" xr:uid="{00000000-0005-0000-0000-00009C650000}"/>
    <cellStyle name="Normal 12 7 5 2" xfId="15781" xr:uid="{00000000-0005-0000-0000-00009D650000}"/>
    <cellStyle name="Normal 12 7 5 2 2" xfId="29349" xr:uid="{00000000-0005-0000-0000-00009E650000}"/>
    <cellStyle name="Normal 12 7 5 2 2 2" xfId="56482" xr:uid="{00000000-0005-0000-0000-00009F650000}"/>
    <cellStyle name="Normal 12 7 5 2 3" xfId="42920" xr:uid="{00000000-0005-0000-0000-0000A0650000}"/>
    <cellStyle name="Normal 12 7 5 3" xfId="22568" xr:uid="{00000000-0005-0000-0000-0000A1650000}"/>
    <cellStyle name="Normal 12 7 5 3 2" xfId="49701" xr:uid="{00000000-0005-0000-0000-0000A2650000}"/>
    <cellStyle name="Normal 12 7 5 4" xfId="36139" xr:uid="{00000000-0005-0000-0000-0000A3650000}"/>
    <cellStyle name="Normal 12 7 6" xfId="12392" xr:uid="{00000000-0005-0000-0000-0000A4650000}"/>
    <cellStyle name="Normal 12 7 6 2" xfId="25960" xr:uid="{00000000-0005-0000-0000-0000A5650000}"/>
    <cellStyle name="Normal 12 7 6 2 2" xfId="53093" xr:uid="{00000000-0005-0000-0000-0000A6650000}"/>
    <cellStyle name="Normal 12 7 6 3" xfId="39531" xr:uid="{00000000-0005-0000-0000-0000A7650000}"/>
    <cellStyle name="Normal 12 7 7" xfId="19179" xr:uid="{00000000-0005-0000-0000-0000A8650000}"/>
    <cellStyle name="Normal 12 7 7 2" xfId="46312" xr:uid="{00000000-0005-0000-0000-0000A9650000}"/>
    <cellStyle name="Normal 12 7 8" xfId="32750" xr:uid="{00000000-0005-0000-0000-0000AA650000}"/>
    <cellStyle name="Normal 12 8" xfId="5448" xr:uid="{00000000-0005-0000-0000-0000AB650000}"/>
    <cellStyle name="Normal 12 8 2" xfId="5449" xr:uid="{00000000-0005-0000-0000-0000AC650000}"/>
    <cellStyle name="Normal 12 8 2 2" xfId="5450" xr:uid="{00000000-0005-0000-0000-0000AD650000}"/>
    <cellStyle name="Normal 12 8 2 2 2" xfId="8999" xr:uid="{00000000-0005-0000-0000-0000AE650000}"/>
    <cellStyle name="Normal 12 8 2 2 2 2" xfId="15789" xr:uid="{00000000-0005-0000-0000-0000AF650000}"/>
    <cellStyle name="Normal 12 8 2 2 2 2 2" xfId="29357" xr:uid="{00000000-0005-0000-0000-0000B0650000}"/>
    <cellStyle name="Normal 12 8 2 2 2 2 2 2" xfId="56490" xr:uid="{00000000-0005-0000-0000-0000B1650000}"/>
    <cellStyle name="Normal 12 8 2 2 2 2 3" xfId="42928" xr:uid="{00000000-0005-0000-0000-0000B2650000}"/>
    <cellStyle name="Normal 12 8 2 2 2 3" xfId="22576" xr:uid="{00000000-0005-0000-0000-0000B3650000}"/>
    <cellStyle name="Normal 12 8 2 2 2 3 2" xfId="49709" xr:uid="{00000000-0005-0000-0000-0000B4650000}"/>
    <cellStyle name="Normal 12 8 2 2 2 4" xfId="36147" xr:uid="{00000000-0005-0000-0000-0000B5650000}"/>
    <cellStyle name="Normal 12 8 2 2 3" xfId="12400" xr:uid="{00000000-0005-0000-0000-0000B6650000}"/>
    <cellStyle name="Normal 12 8 2 2 3 2" xfId="25968" xr:uid="{00000000-0005-0000-0000-0000B7650000}"/>
    <cellStyle name="Normal 12 8 2 2 3 2 2" xfId="53101" xr:uid="{00000000-0005-0000-0000-0000B8650000}"/>
    <cellStyle name="Normal 12 8 2 2 3 3" xfId="39539" xr:uid="{00000000-0005-0000-0000-0000B9650000}"/>
    <cellStyle name="Normal 12 8 2 2 4" xfId="19187" xr:uid="{00000000-0005-0000-0000-0000BA650000}"/>
    <cellStyle name="Normal 12 8 2 2 4 2" xfId="46320" xr:uid="{00000000-0005-0000-0000-0000BB650000}"/>
    <cellStyle name="Normal 12 8 2 2 5" xfId="32758" xr:uid="{00000000-0005-0000-0000-0000BC650000}"/>
    <cellStyle name="Normal 12 8 2 3" xfId="5451" xr:uid="{00000000-0005-0000-0000-0000BD650000}"/>
    <cellStyle name="Normal 12 8 2 3 2" xfId="9000" xr:uid="{00000000-0005-0000-0000-0000BE650000}"/>
    <cellStyle name="Normal 12 8 2 3 2 2" xfId="15790" xr:uid="{00000000-0005-0000-0000-0000BF650000}"/>
    <cellStyle name="Normal 12 8 2 3 2 2 2" xfId="29358" xr:uid="{00000000-0005-0000-0000-0000C0650000}"/>
    <cellStyle name="Normal 12 8 2 3 2 2 2 2" xfId="56491" xr:uid="{00000000-0005-0000-0000-0000C1650000}"/>
    <cellStyle name="Normal 12 8 2 3 2 2 3" xfId="42929" xr:uid="{00000000-0005-0000-0000-0000C2650000}"/>
    <cellStyle name="Normal 12 8 2 3 2 3" xfId="22577" xr:uid="{00000000-0005-0000-0000-0000C3650000}"/>
    <cellStyle name="Normal 12 8 2 3 2 3 2" xfId="49710" xr:uid="{00000000-0005-0000-0000-0000C4650000}"/>
    <cellStyle name="Normal 12 8 2 3 2 4" xfId="36148" xr:uid="{00000000-0005-0000-0000-0000C5650000}"/>
    <cellStyle name="Normal 12 8 2 3 3" xfId="12401" xr:uid="{00000000-0005-0000-0000-0000C6650000}"/>
    <cellStyle name="Normal 12 8 2 3 3 2" xfId="25969" xr:uid="{00000000-0005-0000-0000-0000C7650000}"/>
    <cellStyle name="Normal 12 8 2 3 3 2 2" xfId="53102" xr:uid="{00000000-0005-0000-0000-0000C8650000}"/>
    <cellStyle name="Normal 12 8 2 3 3 3" xfId="39540" xr:uid="{00000000-0005-0000-0000-0000C9650000}"/>
    <cellStyle name="Normal 12 8 2 3 4" xfId="19188" xr:uid="{00000000-0005-0000-0000-0000CA650000}"/>
    <cellStyle name="Normal 12 8 2 3 4 2" xfId="46321" xr:uid="{00000000-0005-0000-0000-0000CB650000}"/>
    <cellStyle name="Normal 12 8 2 3 5" xfId="32759" xr:uid="{00000000-0005-0000-0000-0000CC650000}"/>
    <cellStyle name="Normal 12 8 2 4" xfId="8998" xr:uid="{00000000-0005-0000-0000-0000CD650000}"/>
    <cellStyle name="Normal 12 8 2 4 2" xfId="15788" xr:uid="{00000000-0005-0000-0000-0000CE650000}"/>
    <cellStyle name="Normal 12 8 2 4 2 2" xfId="29356" xr:uid="{00000000-0005-0000-0000-0000CF650000}"/>
    <cellStyle name="Normal 12 8 2 4 2 2 2" xfId="56489" xr:uid="{00000000-0005-0000-0000-0000D0650000}"/>
    <cellStyle name="Normal 12 8 2 4 2 3" xfId="42927" xr:uid="{00000000-0005-0000-0000-0000D1650000}"/>
    <cellStyle name="Normal 12 8 2 4 3" xfId="22575" xr:uid="{00000000-0005-0000-0000-0000D2650000}"/>
    <cellStyle name="Normal 12 8 2 4 3 2" xfId="49708" xr:uid="{00000000-0005-0000-0000-0000D3650000}"/>
    <cellStyle name="Normal 12 8 2 4 4" xfId="36146" xr:uid="{00000000-0005-0000-0000-0000D4650000}"/>
    <cellStyle name="Normal 12 8 2 5" xfId="12399" xr:uid="{00000000-0005-0000-0000-0000D5650000}"/>
    <cellStyle name="Normal 12 8 2 5 2" xfId="25967" xr:uid="{00000000-0005-0000-0000-0000D6650000}"/>
    <cellStyle name="Normal 12 8 2 5 2 2" xfId="53100" xr:uid="{00000000-0005-0000-0000-0000D7650000}"/>
    <cellStyle name="Normal 12 8 2 5 3" xfId="39538" xr:uid="{00000000-0005-0000-0000-0000D8650000}"/>
    <cellStyle name="Normal 12 8 2 6" xfId="19186" xr:uid="{00000000-0005-0000-0000-0000D9650000}"/>
    <cellStyle name="Normal 12 8 2 6 2" xfId="46319" xr:uid="{00000000-0005-0000-0000-0000DA650000}"/>
    <cellStyle name="Normal 12 8 2 7" xfId="32757" xr:uid="{00000000-0005-0000-0000-0000DB650000}"/>
    <cellStyle name="Normal 12 8 3" xfId="5452" xr:uid="{00000000-0005-0000-0000-0000DC650000}"/>
    <cellStyle name="Normal 12 8 3 2" xfId="9001" xr:uid="{00000000-0005-0000-0000-0000DD650000}"/>
    <cellStyle name="Normal 12 8 3 2 2" xfId="15791" xr:uid="{00000000-0005-0000-0000-0000DE650000}"/>
    <cellStyle name="Normal 12 8 3 2 2 2" xfId="29359" xr:uid="{00000000-0005-0000-0000-0000DF650000}"/>
    <cellStyle name="Normal 12 8 3 2 2 2 2" xfId="56492" xr:uid="{00000000-0005-0000-0000-0000E0650000}"/>
    <cellStyle name="Normal 12 8 3 2 2 3" xfId="42930" xr:uid="{00000000-0005-0000-0000-0000E1650000}"/>
    <cellStyle name="Normal 12 8 3 2 3" xfId="22578" xr:uid="{00000000-0005-0000-0000-0000E2650000}"/>
    <cellStyle name="Normal 12 8 3 2 3 2" xfId="49711" xr:uid="{00000000-0005-0000-0000-0000E3650000}"/>
    <cellStyle name="Normal 12 8 3 2 4" xfId="36149" xr:uid="{00000000-0005-0000-0000-0000E4650000}"/>
    <cellStyle name="Normal 12 8 3 3" xfId="12402" xr:uid="{00000000-0005-0000-0000-0000E5650000}"/>
    <cellStyle name="Normal 12 8 3 3 2" xfId="25970" xr:uid="{00000000-0005-0000-0000-0000E6650000}"/>
    <cellStyle name="Normal 12 8 3 3 2 2" xfId="53103" xr:uid="{00000000-0005-0000-0000-0000E7650000}"/>
    <cellStyle name="Normal 12 8 3 3 3" xfId="39541" xr:uid="{00000000-0005-0000-0000-0000E8650000}"/>
    <cellStyle name="Normal 12 8 3 4" xfId="19189" xr:uid="{00000000-0005-0000-0000-0000E9650000}"/>
    <cellStyle name="Normal 12 8 3 4 2" xfId="46322" xr:uid="{00000000-0005-0000-0000-0000EA650000}"/>
    <cellStyle name="Normal 12 8 3 5" xfId="32760" xr:uid="{00000000-0005-0000-0000-0000EB650000}"/>
    <cellStyle name="Normal 12 8 4" xfId="5453" xr:uid="{00000000-0005-0000-0000-0000EC650000}"/>
    <cellStyle name="Normal 12 8 4 2" xfId="9002" xr:uid="{00000000-0005-0000-0000-0000ED650000}"/>
    <cellStyle name="Normal 12 8 4 2 2" xfId="15792" xr:uid="{00000000-0005-0000-0000-0000EE650000}"/>
    <cellStyle name="Normal 12 8 4 2 2 2" xfId="29360" xr:uid="{00000000-0005-0000-0000-0000EF650000}"/>
    <cellStyle name="Normal 12 8 4 2 2 2 2" xfId="56493" xr:uid="{00000000-0005-0000-0000-0000F0650000}"/>
    <cellStyle name="Normal 12 8 4 2 2 3" xfId="42931" xr:uid="{00000000-0005-0000-0000-0000F1650000}"/>
    <cellStyle name="Normal 12 8 4 2 3" xfId="22579" xr:uid="{00000000-0005-0000-0000-0000F2650000}"/>
    <cellStyle name="Normal 12 8 4 2 3 2" xfId="49712" xr:uid="{00000000-0005-0000-0000-0000F3650000}"/>
    <cellStyle name="Normal 12 8 4 2 4" xfId="36150" xr:uid="{00000000-0005-0000-0000-0000F4650000}"/>
    <cellStyle name="Normal 12 8 4 3" xfId="12403" xr:uid="{00000000-0005-0000-0000-0000F5650000}"/>
    <cellStyle name="Normal 12 8 4 3 2" xfId="25971" xr:uid="{00000000-0005-0000-0000-0000F6650000}"/>
    <cellStyle name="Normal 12 8 4 3 2 2" xfId="53104" xr:uid="{00000000-0005-0000-0000-0000F7650000}"/>
    <cellStyle name="Normal 12 8 4 3 3" xfId="39542" xr:uid="{00000000-0005-0000-0000-0000F8650000}"/>
    <cellStyle name="Normal 12 8 4 4" xfId="19190" xr:uid="{00000000-0005-0000-0000-0000F9650000}"/>
    <cellStyle name="Normal 12 8 4 4 2" xfId="46323" xr:uid="{00000000-0005-0000-0000-0000FA650000}"/>
    <cellStyle name="Normal 12 8 4 5" xfId="32761" xr:uid="{00000000-0005-0000-0000-0000FB650000}"/>
    <cellStyle name="Normal 12 8 5" xfId="8997" xr:uid="{00000000-0005-0000-0000-0000FC650000}"/>
    <cellStyle name="Normal 12 8 5 2" xfId="15787" xr:uid="{00000000-0005-0000-0000-0000FD650000}"/>
    <cellStyle name="Normal 12 8 5 2 2" xfId="29355" xr:uid="{00000000-0005-0000-0000-0000FE650000}"/>
    <cellStyle name="Normal 12 8 5 2 2 2" xfId="56488" xr:uid="{00000000-0005-0000-0000-0000FF650000}"/>
    <cellStyle name="Normal 12 8 5 2 3" xfId="42926" xr:uid="{00000000-0005-0000-0000-000000660000}"/>
    <cellStyle name="Normal 12 8 5 3" xfId="22574" xr:uid="{00000000-0005-0000-0000-000001660000}"/>
    <cellStyle name="Normal 12 8 5 3 2" xfId="49707" xr:uid="{00000000-0005-0000-0000-000002660000}"/>
    <cellStyle name="Normal 12 8 5 4" xfId="36145" xr:uid="{00000000-0005-0000-0000-000003660000}"/>
    <cellStyle name="Normal 12 8 6" xfId="12398" xr:uid="{00000000-0005-0000-0000-000004660000}"/>
    <cellStyle name="Normal 12 8 6 2" xfId="25966" xr:uid="{00000000-0005-0000-0000-000005660000}"/>
    <cellStyle name="Normal 12 8 6 2 2" xfId="53099" xr:uid="{00000000-0005-0000-0000-000006660000}"/>
    <cellStyle name="Normal 12 8 6 3" xfId="39537" xr:uid="{00000000-0005-0000-0000-000007660000}"/>
    <cellStyle name="Normal 12 8 7" xfId="19185" xr:uid="{00000000-0005-0000-0000-000008660000}"/>
    <cellStyle name="Normal 12 8 7 2" xfId="46318" xr:uid="{00000000-0005-0000-0000-000009660000}"/>
    <cellStyle name="Normal 12 8 8" xfId="32756" xr:uid="{00000000-0005-0000-0000-00000A660000}"/>
    <cellStyle name="Normal 12 9" xfId="5454" xr:uid="{00000000-0005-0000-0000-00000B660000}"/>
    <cellStyle name="Normal 12 9 2" xfId="5455" xr:uid="{00000000-0005-0000-0000-00000C660000}"/>
    <cellStyle name="Normal 12 9 2 2" xfId="9004" xr:uid="{00000000-0005-0000-0000-00000D660000}"/>
    <cellStyle name="Normal 12 9 2 2 2" xfId="15794" xr:uid="{00000000-0005-0000-0000-00000E660000}"/>
    <cellStyle name="Normal 12 9 2 2 2 2" xfId="29362" xr:uid="{00000000-0005-0000-0000-00000F660000}"/>
    <cellStyle name="Normal 12 9 2 2 2 2 2" xfId="56495" xr:uid="{00000000-0005-0000-0000-000010660000}"/>
    <cellStyle name="Normal 12 9 2 2 2 3" xfId="42933" xr:uid="{00000000-0005-0000-0000-000011660000}"/>
    <cellStyle name="Normal 12 9 2 2 3" xfId="22581" xr:uid="{00000000-0005-0000-0000-000012660000}"/>
    <cellStyle name="Normal 12 9 2 2 3 2" xfId="49714" xr:uid="{00000000-0005-0000-0000-000013660000}"/>
    <cellStyle name="Normal 12 9 2 2 4" xfId="36152" xr:uid="{00000000-0005-0000-0000-000014660000}"/>
    <cellStyle name="Normal 12 9 2 3" xfId="12405" xr:uid="{00000000-0005-0000-0000-000015660000}"/>
    <cellStyle name="Normal 12 9 2 3 2" xfId="25973" xr:uid="{00000000-0005-0000-0000-000016660000}"/>
    <cellStyle name="Normal 12 9 2 3 2 2" xfId="53106" xr:uid="{00000000-0005-0000-0000-000017660000}"/>
    <cellStyle name="Normal 12 9 2 3 3" xfId="39544" xr:uid="{00000000-0005-0000-0000-000018660000}"/>
    <cellStyle name="Normal 12 9 2 4" xfId="19192" xr:uid="{00000000-0005-0000-0000-000019660000}"/>
    <cellStyle name="Normal 12 9 2 4 2" xfId="46325" xr:uid="{00000000-0005-0000-0000-00001A660000}"/>
    <cellStyle name="Normal 12 9 2 5" xfId="32763" xr:uid="{00000000-0005-0000-0000-00001B660000}"/>
    <cellStyle name="Normal 12 9 3" xfId="9003" xr:uid="{00000000-0005-0000-0000-00001C660000}"/>
    <cellStyle name="Normal 12 9 3 2" xfId="15793" xr:uid="{00000000-0005-0000-0000-00001D660000}"/>
    <cellStyle name="Normal 12 9 3 2 2" xfId="29361" xr:uid="{00000000-0005-0000-0000-00001E660000}"/>
    <cellStyle name="Normal 12 9 3 2 2 2" xfId="56494" xr:uid="{00000000-0005-0000-0000-00001F660000}"/>
    <cellStyle name="Normal 12 9 3 2 3" xfId="42932" xr:uid="{00000000-0005-0000-0000-000020660000}"/>
    <cellStyle name="Normal 12 9 3 3" xfId="22580" xr:uid="{00000000-0005-0000-0000-000021660000}"/>
    <cellStyle name="Normal 12 9 3 3 2" xfId="49713" xr:uid="{00000000-0005-0000-0000-000022660000}"/>
    <cellStyle name="Normal 12 9 3 4" xfId="36151" xr:uid="{00000000-0005-0000-0000-000023660000}"/>
    <cellStyle name="Normal 12 9 4" xfId="12404" xr:uid="{00000000-0005-0000-0000-000024660000}"/>
    <cellStyle name="Normal 12 9 4 2" xfId="25972" xr:uid="{00000000-0005-0000-0000-000025660000}"/>
    <cellStyle name="Normal 12 9 4 2 2" xfId="53105" xr:uid="{00000000-0005-0000-0000-000026660000}"/>
    <cellStyle name="Normal 12 9 4 3" xfId="39543" xr:uid="{00000000-0005-0000-0000-000027660000}"/>
    <cellStyle name="Normal 12 9 5" xfId="19191" xr:uid="{00000000-0005-0000-0000-000028660000}"/>
    <cellStyle name="Normal 12 9 5 2" xfId="46324" xr:uid="{00000000-0005-0000-0000-000029660000}"/>
    <cellStyle name="Normal 12 9 6" xfId="32762" xr:uid="{00000000-0005-0000-0000-00002A660000}"/>
    <cellStyle name="Normal 13" xfId="3" xr:uid="{00000000-0005-0000-0000-00002B660000}"/>
    <cellStyle name="Normal 13 2" xfId="5456" xr:uid="{00000000-0005-0000-0000-00002C660000}"/>
    <cellStyle name="Normal 13 3" xfId="5457" xr:uid="{00000000-0005-0000-0000-00002D660000}"/>
    <cellStyle name="Normal 13 4" xfId="10853" xr:uid="{00000000-0005-0000-0000-00002E660000}"/>
    <cellStyle name="Normal 13 5" xfId="58368" xr:uid="{00000000-0005-0000-0000-00002F660000}"/>
    <cellStyle name="Normal 13 6" xfId="2563" xr:uid="{00000000-0005-0000-0000-000030660000}"/>
    <cellStyle name="Normal 133" xfId="10850" xr:uid="{00000000-0005-0000-0000-000031660000}"/>
    <cellStyle name="Normal 14" xfId="2564" xr:uid="{00000000-0005-0000-0000-000032660000}"/>
    <cellStyle name="Normal 14 2" xfId="2565" xr:uid="{00000000-0005-0000-0000-000033660000}"/>
    <cellStyle name="Normal 14 2 2" xfId="7310" xr:uid="{00000000-0005-0000-0000-000034660000}"/>
    <cellStyle name="Normal 14 2 2 2" xfId="7319" xr:uid="{00000000-0005-0000-0000-000035660000}"/>
    <cellStyle name="Normal 14 2 2 2 2" xfId="10809" xr:uid="{00000000-0005-0000-0000-000036660000}"/>
    <cellStyle name="Normal 14 2 2 2 2 2" xfId="17599" xr:uid="{00000000-0005-0000-0000-000037660000}"/>
    <cellStyle name="Normal 14 2 2 2 2 2 2" xfId="31167" xr:uid="{00000000-0005-0000-0000-000038660000}"/>
    <cellStyle name="Normal 14 2 2 2 2 2 2 2" xfId="58300" xr:uid="{00000000-0005-0000-0000-000039660000}"/>
    <cellStyle name="Normal 14 2 2 2 2 2 3" xfId="44738" xr:uid="{00000000-0005-0000-0000-00003A660000}"/>
    <cellStyle name="Normal 14 2 2 2 2 3" xfId="24386" xr:uid="{00000000-0005-0000-0000-00003B660000}"/>
    <cellStyle name="Normal 14 2 2 2 2 3 2" xfId="51519" xr:uid="{00000000-0005-0000-0000-00003C660000}"/>
    <cellStyle name="Normal 14 2 2 2 2 4" xfId="37957" xr:uid="{00000000-0005-0000-0000-00003D660000}"/>
    <cellStyle name="Normal 14 2 2 2 3" xfId="14210" xr:uid="{00000000-0005-0000-0000-00003E660000}"/>
    <cellStyle name="Normal 14 2 2 2 3 2" xfId="27778" xr:uid="{00000000-0005-0000-0000-00003F660000}"/>
    <cellStyle name="Normal 14 2 2 2 3 2 2" xfId="54911" xr:uid="{00000000-0005-0000-0000-000040660000}"/>
    <cellStyle name="Normal 14 2 2 2 3 3" xfId="41349" xr:uid="{00000000-0005-0000-0000-000041660000}"/>
    <cellStyle name="Normal 14 2 2 2 4" xfId="20997" xr:uid="{00000000-0005-0000-0000-000042660000}"/>
    <cellStyle name="Normal 14 2 2 2 4 2" xfId="48130" xr:uid="{00000000-0005-0000-0000-000043660000}"/>
    <cellStyle name="Normal 14 2 2 2 5" xfId="34568" xr:uid="{00000000-0005-0000-0000-000044660000}"/>
    <cellStyle name="Normal 14 2 2 3" xfId="7322" xr:uid="{00000000-0005-0000-0000-000045660000}"/>
    <cellStyle name="Normal 14 2 2 3 2" xfId="10812" xr:uid="{00000000-0005-0000-0000-000046660000}"/>
    <cellStyle name="Normal 14 2 2 3 2 2" xfId="17602" xr:uid="{00000000-0005-0000-0000-000047660000}"/>
    <cellStyle name="Normal 14 2 2 3 2 2 2" xfId="31170" xr:uid="{00000000-0005-0000-0000-000048660000}"/>
    <cellStyle name="Normal 14 2 2 3 2 2 2 2" xfId="58303" xr:uid="{00000000-0005-0000-0000-000049660000}"/>
    <cellStyle name="Normal 14 2 2 3 2 2 3" xfId="44741" xr:uid="{00000000-0005-0000-0000-00004A660000}"/>
    <cellStyle name="Normal 14 2 2 3 2 3" xfId="24389" xr:uid="{00000000-0005-0000-0000-00004B660000}"/>
    <cellStyle name="Normal 14 2 2 3 2 3 2" xfId="51522" xr:uid="{00000000-0005-0000-0000-00004C660000}"/>
    <cellStyle name="Normal 14 2 2 3 2 4" xfId="37960" xr:uid="{00000000-0005-0000-0000-00004D660000}"/>
    <cellStyle name="Normal 14 2 2 3 3" xfId="14213" xr:uid="{00000000-0005-0000-0000-00004E660000}"/>
    <cellStyle name="Normal 14 2 2 3 3 2" xfId="27781" xr:uid="{00000000-0005-0000-0000-00004F660000}"/>
    <cellStyle name="Normal 14 2 2 3 3 2 2" xfId="54914" xr:uid="{00000000-0005-0000-0000-000050660000}"/>
    <cellStyle name="Normal 14 2 2 3 3 3" xfId="41352" xr:uid="{00000000-0005-0000-0000-000051660000}"/>
    <cellStyle name="Normal 14 2 2 3 4" xfId="21000" xr:uid="{00000000-0005-0000-0000-000052660000}"/>
    <cellStyle name="Normal 14 2 2 3 4 2" xfId="48133" xr:uid="{00000000-0005-0000-0000-000053660000}"/>
    <cellStyle name="Normal 14 2 2 3 5" xfId="34571" xr:uid="{00000000-0005-0000-0000-000054660000}"/>
    <cellStyle name="Normal 14 2 2 3 7" xfId="58367" xr:uid="{00000000-0005-0000-0000-000055660000}"/>
    <cellStyle name="Normal 14 2 2 4" xfId="10806" xr:uid="{00000000-0005-0000-0000-000056660000}"/>
    <cellStyle name="Normal 14 2 2 4 2" xfId="17596" xr:uid="{00000000-0005-0000-0000-000057660000}"/>
    <cellStyle name="Normal 14 2 2 4 2 2" xfId="31164" xr:uid="{00000000-0005-0000-0000-000058660000}"/>
    <cellStyle name="Normal 14 2 2 4 2 2 2" xfId="58297" xr:uid="{00000000-0005-0000-0000-000059660000}"/>
    <cellStyle name="Normal 14 2 2 4 2 3" xfId="44735" xr:uid="{00000000-0005-0000-0000-00005A660000}"/>
    <cellStyle name="Normal 14 2 2 4 3" xfId="24383" xr:uid="{00000000-0005-0000-0000-00005B660000}"/>
    <cellStyle name="Normal 14 2 2 4 3 2" xfId="51516" xr:uid="{00000000-0005-0000-0000-00005C660000}"/>
    <cellStyle name="Normal 14 2 2 4 4" xfId="37954" xr:uid="{00000000-0005-0000-0000-00005D660000}"/>
    <cellStyle name="Normal 14 2 2 5" xfId="14207" xr:uid="{00000000-0005-0000-0000-00005E660000}"/>
    <cellStyle name="Normal 14 2 2 5 2" xfId="27775" xr:uid="{00000000-0005-0000-0000-00005F660000}"/>
    <cellStyle name="Normal 14 2 2 5 2 2" xfId="54908" xr:uid="{00000000-0005-0000-0000-000060660000}"/>
    <cellStyle name="Normal 14 2 2 5 3" xfId="41346" xr:uid="{00000000-0005-0000-0000-000061660000}"/>
    <cellStyle name="Normal 14 2 2 6" xfId="20994" xr:uid="{00000000-0005-0000-0000-000062660000}"/>
    <cellStyle name="Normal 14 2 2 6 2" xfId="48127" xr:uid="{00000000-0005-0000-0000-000063660000}"/>
    <cellStyle name="Normal 14 2 2 7" xfId="34565" xr:uid="{00000000-0005-0000-0000-000064660000}"/>
    <cellStyle name="Normal 14 3" xfId="5458" xr:uid="{00000000-0005-0000-0000-000065660000}"/>
    <cellStyle name="Normal 15" xfId="2566" xr:uid="{00000000-0005-0000-0000-000066660000}"/>
    <cellStyle name="Normal 15 10" xfId="5459" xr:uid="{00000000-0005-0000-0000-000067660000}"/>
    <cellStyle name="Normal 15 10 2" xfId="9005" xr:uid="{00000000-0005-0000-0000-000068660000}"/>
    <cellStyle name="Normal 15 10 2 2" xfId="15795" xr:uid="{00000000-0005-0000-0000-000069660000}"/>
    <cellStyle name="Normal 15 10 2 2 2" xfId="29363" xr:uid="{00000000-0005-0000-0000-00006A660000}"/>
    <cellStyle name="Normal 15 10 2 2 2 2" xfId="56496" xr:uid="{00000000-0005-0000-0000-00006B660000}"/>
    <cellStyle name="Normal 15 10 2 2 3" xfId="42934" xr:uid="{00000000-0005-0000-0000-00006C660000}"/>
    <cellStyle name="Normal 15 10 2 3" xfId="22582" xr:uid="{00000000-0005-0000-0000-00006D660000}"/>
    <cellStyle name="Normal 15 10 2 3 2" xfId="49715" xr:uid="{00000000-0005-0000-0000-00006E660000}"/>
    <cellStyle name="Normal 15 10 2 4" xfId="36153" xr:uid="{00000000-0005-0000-0000-00006F660000}"/>
    <cellStyle name="Normal 15 10 3" xfId="12406" xr:uid="{00000000-0005-0000-0000-000070660000}"/>
    <cellStyle name="Normal 15 10 3 2" xfId="25974" xr:uid="{00000000-0005-0000-0000-000071660000}"/>
    <cellStyle name="Normal 15 10 3 2 2" xfId="53107" xr:uid="{00000000-0005-0000-0000-000072660000}"/>
    <cellStyle name="Normal 15 10 3 3" xfId="39545" xr:uid="{00000000-0005-0000-0000-000073660000}"/>
    <cellStyle name="Normal 15 10 4" xfId="19193" xr:uid="{00000000-0005-0000-0000-000074660000}"/>
    <cellStyle name="Normal 15 10 4 2" xfId="46326" xr:uid="{00000000-0005-0000-0000-000075660000}"/>
    <cellStyle name="Normal 15 10 5" xfId="32764" xr:uid="{00000000-0005-0000-0000-000076660000}"/>
    <cellStyle name="Normal 15 2" xfId="2567" xr:uid="{00000000-0005-0000-0000-000077660000}"/>
    <cellStyle name="Normal 15 3" xfId="5460" xr:uid="{00000000-0005-0000-0000-000078660000}"/>
    <cellStyle name="Normal 15 3 10" xfId="12407" xr:uid="{00000000-0005-0000-0000-000079660000}"/>
    <cellStyle name="Normal 15 3 10 2" xfId="25975" xr:uid="{00000000-0005-0000-0000-00007A660000}"/>
    <cellStyle name="Normal 15 3 10 2 2" xfId="53108" xr:uid="{00000000-0005-0000-0000-00007B660000}"/>
    <cellStyle name="Normal 15 3 10 3" xfId="39546" xr:uid="{00000000-0005-0000-0000-00007C660000}"/>
    <cellStyle name="Normal 15 3 11" xfId="19194" xr:uid="{00000000-0005-0000-0000-00007D660000}"/>
    <cellStyle name="Normal 15 3 11 2" xfId="46327" xr:uid="{00000000-0005-0000-0000-00007E660000}"/>
    <cellStyle name="Normal 15 3 12" xfId="32765" xr:uid="{00000000-0005-0000-0000-00007F660000}"/>
    <cellStyle name="Normal 15 3 2" xfId="5461" xr:uid="{00000000-0005-0000-0000-000080660000}"/>
    <cellStyle name="Normal 15 3 2 10" xfId="32766" xr:uid="{00000000-0005-0000-0000-000081660000}"/>
    <cellStyle name="Normal 15 3 2 2" xfId="5462" xr:uid="{00000000-0005-0000-0000-000082660000}"/>
    <cellStyle name="Normal 15 3 2 2 2" xfId="5463" xr:uid="{00000000-0005-0000-0000-000083660000}"/>
    <cellStyle name="Normal 15 3 2 2 2 2" xfId="5464" xr:uid="{00000000-0005-0000-0000-000084660000}"/>
    <cellStyle name="Normal 15 3 2 2 2 2 2" xfId="9010" xr:uid="{00000000-0005-0000-0000-000085660000}"/>
    <cellStyle name="Normal 15 3 2 2 2 2 2 2" xfId="15800" xr:uid="{00000000-0005-0000-0000-000086660000}"/>
    <cellStyle name="Normal 15 3 2 2 2 2 2 2 2" xfId="29368" xr:uid="{00000000-0005-0000-0000-000087660000}"/>
    <cellStyle name="Normal 15 3 2 2 2 2 2 2 2 2" xfId="56501" xr:uid="{00000000-0005-0000-0000-000088660000}"/>
    <cellStyle name="Normal 15 3 2 2 2 2 2 2 3" xfId="42939" xr:uid="{00000000-0005-0000-0000-000089660000}"/>
    <cellStyle name="Normal 15 3 2 2 2 2 2 3" xfId="22587" xr:uid="{00000000-0005-0000-0000-00008A660000}"/>
    <cellStyle name="Normal 15 3 2 2 2 2 2 3 2" xfId="49720" xr:uid="{00000000-0005-0000-0000-00008B660000}"/>
    <cellStyle name="Normal 15 3 2 2 2 2 2 4" xfId="36158" xr:uid="{00000000-0005-0000-0000-00008C660000}"/>
    <cellStyle name="Normal 15 3 2 2 2 2 3" xfId="12411" xr:uid="{00000000-0005-0000-0000-00008D660000}"/>
    <cellStyle name="Normal 15 3 2 2 2 2 3 2" xfId="25979" xr:uid="{00000000-0005-0000-0000-00008E660000}"/>
    <cellStyle name="Normal 15 3 2 2 2 2 3 2 2" xfId="53112" xr:uid="{00000000-0005-0000-0000-00008F660000}"/>
    <cellStyle name="Normal 15 3 2 2 2 2 3 3" xfId="39550" xr:uid="{00000000-0005-0000-0000-000090660000}"/>
    <cellStyle name="Normal 15 3 2 2 2 2 4" xfId="19198" xr:uid="{00000000-0005-0000-0000-000091660000}"/>
    <cellStyle name="Normal 15 3 2 2 2 2 4 2" xfId="46331" xr:uid="{00000000-0005-0000-0000-000092660000}"/>
    <cellStyle name="Normal 15 3 2 2 2 2 5" xfId="32769" xr:uid="{00000000-0005-0000-0000-000093660000}"/>
    <cellStyle name="Normal 15 3 2 2 2 3" xfId="5465" xr:uid="{00000000-0005-0000-0000-000094660000}"/>
    <cellStyle name="Normal 15 3 2 2 2 3 2" xfId="9011" xr:uid="{00000000-0005-0000-0000-000095660000}"/>
    <cellStyle name="Normal 15 3 2 2 2 3 2 2" xfId="15801" xr:uid="{00000000-0005-0000-0000-000096660000}"/>
    <cellStyle name="Normal 15 3 2 2 2 3 2 2 2" xfId="29369" xr:uid="{00000000-0005-0000-0000-000097660000}"/>
    <cellStyle name="Normal 15 3 2 2 2 3 2 2 2 2" xfId="56502" xr:uid="{00000000-0005-0000-0000-000098660000}"/>
    <cellStyle name="Normal 15 3 2 2 2 3 2 2 3" xfId="42940" xr:uid="{00000000-0005-0000-0000-000099660000}"/>
    <cellStyle name="Normal 15 3 2 2 2 3 2 3" xfId="22588" xr:uid="{00000000-0005-0000-0000-00009A660000}"/>
    <cellStyle name="Normal 15 3 2 2 2 3 2 3 2" xfId="49721" xr:uid="{00000000-0005-0000-0000-00009B660000}"/>
    <cellStyle name="Normal 15 3 2 2 2 3 2 4" xfId="36159" xr:uid="{00000000-0005-0000-0000-00009C660000}"/>
    <cellStyle name="Normal 15 3 2 2 2 3 3" xfId="12412" xr:uid="{00000000-0005-0000-0000-00009D660000}"/>
    <cellStyle name="Normal 15 3 2 2 2 3 3 2" xfId="25980" xr:uid="{00000000-0005-0000-0000-00009E660000}"/>
    <cellStyle name="Normal 15 3 2 2 2 3 3 2 2" xfId="53113" xr:uid="{00000000-0005-0000-0000-00009F660000}"/>
    <cellStyle name="Normal 15 3 2 2 2 3 3 3" xfId="39551" xr:uid="{00000000-0005-0000-0000-0000A0660000}"/>
    <cellStyle name="Normal 15 3 2 2 2 3 4" xfId="19199" xr:uid="{00000000-0005-0000-0000-0000A1660000}"/>
    <cellStyle name="Normal 15 3 2 2 2 3 4 2" xfId="46332" xr:uid="{00000000-0005-0000-0000-0000A2660000}"/>
    <cellStyle name="Normal 15 3 2 2 2 3 5" xfId="32770" xr:uid="{00000000-0005-0000-0000-0000A3660000}"/>
    <cellStyle name="Normal 15 3 2 2 2 4" xfId="9009" xr:uid="{00000000-0005-0000-0000-0000A4660000}"/>
    <cellStyle name="Normal 15 3 2 2 2 4 2" xfId="15799" xr:uid="{00000000-0005-0000-0000-0000A5660000}"/>
    <cellStyle name="Normal 15 3 2 2 2 4 2 2" xfId="29367" xr:uid="{00000000-0005-0000-0000-0000A6660000}"/>
    <cellStyle name="Normal 15 3 2 2 2 4 2 2 2" xfId="56500" xr:uid="{00000000-0005-0000-0000-0000A7660000}"/>
    <cellStyle name="Normal 15 3 2 2 2 4 2 3" xfId="42938" xr:uid="{00000000-0005-0000-0000-0000A8660000}"/>
    <cellStyle name="Normal 15 3 2 2 2 4 3" xfId="22586" xr:uid="{00000000-0005-0000-0000-0000A9660000}"/>
    <cellStyle name="Normal 15 3 2 2 2 4 3 2" xfId="49719" xr:uid="{00000000-0005-0000-0000-0000AA660000}"/>
    <cellStyle name="Normal 15 3 2 2 2 4 4" xfId="36157" xr:uid="{00000000-0005-0000-0000-0000AB660000}"/>
    <cellStyle name="Normal 15 3 2 2 2 5" xfId="12410" xr:uid="{00000000-0005-0000-0000-0000AC660000}"/>
    <cellStyle name="Normal 15 3 2 2 2 5 2" xfId="25978" xr:uid="{00000000-0005-0000-0000-0000AD660000}"/>
    <cellStyle name="Normal 15 3 2 2 2 5 2 2" xfId="53111" xr:uid="{00000000-0005-0000-0000-0000AE660000}"/>
    <cellStyle name="Normal 15 3 2 2 2 5 3" xfId="39549" xr:uid="{00000000-0005-0000-0000-0000AF660000}"/>
    <cellStyle name="Normal 15 3 2 2 2 6" xfId="19197" xr:uid="{00000000-0005-0000-0000-0000B0660000}"/>
    <cellStyle name="Normal 15 3 2 2 2 6 2" xfId="46330" xr:uid="{00000000-0005-0000-0000-0000B1660000}"/>
    <cellStyle name="Normal 15 3 2 2 2 7" xfId="32768" xr:uid="{00000000-0005-0000-0000-0000B2660000}"/>
    <cellStyle name="Normal 15 3 2 2 3" xfId="5466" xr:uid="{00000000-0005-0000-0000-0000B3660000}"/>
    <cellStyle name="Normal 15 3 2 2 3 2" xfId="5467" xr:uid="{00000000-0005-0000-0000-0000B4660000}"/>
    <cellStyle name="Normal 15 3 2 2 3 2 2" xfId="9013" xr:uid="{00000000-0005-0000-0000-0000B5660000}"/>
    <cellStyle name="Normal 15 3 2 2 3 2 2 2" xfId="15803" xr:uid="{00000000-0005-0000-0000-0000B6660000}"/>
    <cellStyle name="Normal 15 3 2 2 3 2 2 2 2" xfId="29371" xr:uid="{00000000-0005-0000-0000-0000B7660000}"/>
    <cellStyle name="Normal 15 3 2 2 3 2 2 2 2 2" xfId="56504" xr:uid="{00000000-0005-0000-0000-0000B8660000}"/>
    <cellStyle name="Normal 15 3 2 2 3 2 2 2 3" xfId="42942" xr:uid="{00000000-0005-0000-0000-0000B9660000}"/>
    <cellStyle name="Normal 15 3 2 2 3 2 2 3" xfId="22590" xr:uid="{00000000-0005-0000-0000-0000BA660000}"/>
    <cellStyle name="Normal 15 3 2 2 3 2 2 3 2" xfId="49723" xr:uid="{00000000-0005-0000-0000-0000BB660000}"/>
    <cellStyle name="Normal 15 3 2 2 3 2 2 4" xfId="36161" xr:uid="{00000000-0005-0000-0000-0000BC660000}"/>
    <cellStyle name="Normal 15 3 2 2 3 2 3" xfId="12414" xr:uid="{00000000-0005-0000-0000-0000BD660000}"/>
    <cellStyle name="Normal 15 3 2 2 3 2 3 2" xfId="25982" xr:uid="{00000000-0005-0000-0000-0000BE660000}"/>
    <cellStyle name="Normal 15 3 2 2 3 2 3 2 2" xfId="53115" xr:uid="{00000000-0005-0000-0000-0000BF660000}"/>
    <cellStyle name="Normal 15 3 2 2 3 2 3 3" xfId="39553" xr:uid="{00000000-0005-0000-0000-0000C0660000}"/>
    <cellStyle name="Normal 15 3 2 2 3 2 4" xfId="19201" xr:uid="{00000000-0005-0000-0000-0000C1660000}"/>
    <cellStyle name="Normal 15 3 2 2 3 2 4 2" xfId="46334" xr:uid="{00000000-0005-0000-0000-0000C2660000}"/>
    <cellStyle name="Normal 15 3 2 2 3 2 5" xfId="32772" xr:uid="{00000000-0005-0000-0000-0000C3660000}"/>
    <cellStyle name="Normal 15 3 2 2 3 3" xfId="9012" xr:uid="{00000000-0005-0000-0000-0000C4660000}"/>
    <cellStyle name="Normal 15 3 2 2 3 3 2" xfId="15802" xr:uid="{00000000-0005-0000-0000-0000C5660000}"/>
    <cellStyle name="Normal 15 3 2 2 3 3 2 2" xfId="29370" xr:uid="{00000000-0005-0000-0000-0000C6660000}"/>
    <cellStyle name="Normal 15 3 2 2 3 3 2 2 2" xfId="56503" xr:uid="{00000000-0005-0000-0000-0000C7660000}"/>
    <cellStyle name="Normal 15 3 2 2 3 3 2 3" xfId="42941" xr:uid="{00000000-0005-0000-0000-0000C8660000}"/>
    <cellStyle name="Normal 15 3 2 2 3 3 3" xfId="22589" xr:uid="{00000000-0005-0000-0000-0000C9660000}"/>
    <cellStyle name="Normal 15 3 2 2 3 3 3 2" xfId="49722" xr:uid="{00000000-0005-0000-0000-0000CA660000}"/>
    <cellStyle name="Normal 15 3 2 2 3 3 4" xfId="36160" xr:uid="{00000000-0005-0000-0000-0000CB660000}"/>
    <cellStyle name="Normal 15 3 2 2 3 4" xfId="12413" xr:uid="{00000000-0005-0000-0000-0000CC660000}"/>
    <cellStyle name="Normal 15 3 2 2 3 4 2" xfId="25981" xr:uid="{00000000-0005-0000-0000-0000CD660000}"/>
    <cellStyle name="Normal 15 3 2 2 3 4 2 2" xfId="53114" xr:uid="{00000000-0005-0000-0000-0000CE660000}"/>
    <cellStyle name="Normal 15 3 2 2 3 4 3" xfId="39552" xr:uid="{00000000-0005-0000-0000-0000CF660000}"/>
    <cellStyle name="Normal 15 3 2 2 3 5" xfId="19200" xr:uid="{00000000-0005-0000-0000-0000D0660000}"/>
    <cellStyle name="Normal 15 3 2 2 3 5 2" xfId="46333" xr:uid="{00000000-0005-0000-0000-0000D1660000}"/>
    <cellStyle name="Normal 15 3 2 2 3 6" xfId="32771" xr:uid="{00000000-0005-0000-0000-0000D2660000}"/>
    <cellStyle name="Normal 15 3 2 2 4" xfId="5468" xr:uid="{00000000-0005-0000-0000-0000D3660000}"/>
    <cellStyle name="Normal 15 3 2 2 4 2" xfId="9014" xr:uid="{00000000-0005-0000-0000-0000D4660000}"/>
    <cellStyle name="Normal 15 3 2 2 4 2 2" xfId="15804" xr:uid="{00000000-0005-0000-0000-0000D5660000}"/>
    <cellStyle name="Normal 15 3 2 2 4 2 2 2" xfId="29372" xr:uid="{00000000-0005-0000-0000-0000D6660000}"/>
    <cellStyle name="Normal 15 3 2 2 4 2 2 2 2" xfId="56505" xr:uid="{00000000-0005-0000-0000-0000D7660000}"/>
    <cellStyle name="Normal 15 3 2 2 4 2 2 3" xfId="42943" xr:uid="{00000000-0005-0000-0000-0000D8660000}"/>
    <cellStyle name="Normal 15 3 2 2 4 2 3" xfId="22591" xr:uid="{00000000-0005-0000-0000-0000D9660000}"/>
    <cellStyle name="Normal 15 3 2 2 4 2 3 2" xfId="49724" xr:uid="{00000000-0005-0000-0000-0000DA660000}"/>
    <cellStyle name="Normal 15 3 2 2 4 2 4" xfId="36162" xr:uid="{00000000-0005-0000-0000-0000DB660000}"/>
    <cellStyle name="Normal 15 3 2 2 4 3" xfId="12415" xr:uid="{00000000-0005-0000-0000-0000DC660000}"/>
    <cellStyle name="Normal 15 3 2 2 4 3 2" xfId="25983" xr:uid="{00000000-0005-0000-0000-0000DD660000}"/>
    <cellStyle name="Normal 15 3 2 2 4 3 2 2" xfId="53116" xr:uid="{00000000-0005-0000-0000-0000DE660000}"/>
    <cellStyle name="Normal 15 3 2 2 4 3 3" xfId="39554" xr:uid="{00000000-0005-0000-0000-0000DF660000}"/>
    <cellStyle name="Normal 15 3 2 2 4 4" xfId="19202" xr:uid="{00000000-0005-0000-0000-0000E0660000}"/>
    <cellStyle name="Normal 15 3 2 2 4 4 2" xfId="46335" xr:uid="{00000000-0005-0000-0000-0000E1660000}"/>
    <cellStyle name="Normal 15 3 2 2 4 5" xfId="32773" xr:uid="{00000000-0005-0000-0000-0000E2660000}"/>
    <cellStyle name="Normal 15 3 2 2 5" xfId="5469" xr:uid="{00000000-0005-0000-0000-0000E3660000}"/>
    <cellStyle name="Normal 15 3 2 2 5 2" xfId="9015" xr:uid="{00000000-0005-0000-0000-0000E4660000}"/>
    <cellStyle name="Normal 15 3 2 2 5 2 2" xfId="15805" xr:uid="{00000000-0005-0000-0000-0000E5660000}"/>
    <cellStyle name="Normal 15 3 2 2 5 2 2 2" xfId="29373" xr:uid="{00000000-0005-0000-0000-0000E6660000}"/>
    <cellStyle name="Normal 15 3 2 2 5 2 2 2 2" xfId="56506" xr:uid="{00000000-0005-0000-0000-0000E7660000}"/>
    <cellStyle name="Normal 15 3 2 2 5 2 2 3" xfId="42944" xr:uid="{00000000-0005-0000-0000-0000E8660000}"/>
    <cellStyle name="Normal 15 3 2 2 5 2 3" xfId="22592" xr:uid="{00000000-0005-0000-0000-0000E9660000}"/>
    <cellStyle name="Normal 15 3 2 2 5 2 3 2" xfId="49725" xr:uid="{00000000-0005-0000-0000-0000EA660000}"/>
    <cellStyle name="Normal 15 3 2 2 5 2 4" xfId="36163" xr:uid="{00000000-0005-0000-0000-0000EB660000}"/>
    <cellStyle name="Normal 15 3 2 2 5 3" xfId="12416" xr:uid="{00000000-0005-0000-0000-0000EC660000}"/>
    <cellStyle name="Normal 15 3 2 2 5 3 2" xfId="25984" xr:uid="{00000000-0005-0000-0000-0000ED660000}"/>
    <cellStyle name="Normal 15 3 2 2 5 3 2 2" xfId="53117" xr:uid="{00000000-0005-0000-0000-0000EE660000}"/>
    <cellStyle name="Normal 15 3 2 2 5 3 3" xfId="39555" xr:uid="{00000000-0005-0000-0000-0000EF660000}"/>
    <cellStyle name="Normal 15 3 2 2 5 4" xfId="19203" xr:uid="{00000000-0005-0000-0000-0000F0660000}"/>
    <cellStyle name="Normal 15 3 2 2 5 4 2" xfId="46336" xr:uid="{00000000-0005-0000-0000-0000F1660000}"/>
    <cellStyle name="Normal 15 3 2 2 5 5" xfId="32774" xr:uid="{00000000-0005-0000-0000-0000F2660000}"/>
    <cellStyle name="Normal 15 3 2 2 6" xfId="9008" xr:uid="{00000000-0005-0000-0000-0000F3660000}"/>
    <cellStyle name="Normal 15 3 2 2 6 2" xfId="15798" xr:uid="{00000000-0005-0000-0000-0000F4660000}"/>
    <cellStyle name="Normal 15 3 2 2 6 2 2" xfId="29366" xr:uid="{00000000-0005-0000-0000-0000F5660000}"/>
    <cellStyle name="Normal 15 3 2 2 6 2 2 2" xfId="56499" xr:uid="{00000000-0005-0000-0000-0000F6660000}"/>
    <cellStyle name="Normal 15 3 2 2 6 2 3" xfId="42937" xr:uid="{00000000-0005-0000-0000-0000F7660000}"/>
    <cellStyle name="Normal 15 3 2 2 6 3" xfId="22585" xr:uid="{00000000-0005-0000-0000-0000F8660000}"/>
    <cellStyle name="Normal 15 3 2 2 6 3 2" xfId="49718" xr:uid="{00000000-0005-0000-0000-0000F9660000}"/>
    <cellStyle name="Normal 15 3 2 2 6 4" xfId="36156" xr:uid="{00000000-0005-0000-0000-0000FA660000}"/>
    <cellStyle name="Normal 15 3 2 2 7" xfId="12409" xr:uid="{00000000-0005-0000-0000-0000FB660000}"/>
    <cellStyle name="Normal 15 3 2 2 7 2" xfId="25977" xr:uid="{00000000-0005-0000-0000-0000FC660000}"/>
    <cellStyle name="Normal 15 3 2 2 7 2 2" xfId="53110" xr:uid="{00000000-0005-0000-0000-0000FD660000}"/>
    <cellStyle name="Normal 15 3 2 2 7 3" xfId="39548" xr:uid="{00000000-0005-0000-0000-0000FE660000}"/>
    <cellStyle name="Normal 15 3 2 2 8" xfId="19196" xr:uid="{00000000-0005-0000-0000-0000FF660000}"/>
    <cellStyle name="Normal 15 3 2 2 8 2" xfId="46329" xr:uid="{00000000-0005-0000-0000-000000670000}"/>
    <cellStyle name="Normal 15 3 2 2 9" xfId="32767" xr:uid="{00000000-0005-0000-0000-000001670000}"/>
    <cellStyle name="Normal 15 3 2 3" xfId="5470" xr:uid="{00000000-0005-0000-0000-000002670000}"/>
    <cellStyle name="Normal 15 3 2 3 2" xfId="5471" xr:uid="{00000000-0005-0000-0000-000003670000}"/>
    <cellStyle name="Normal 15 3 2 3 2 2" xfId="9017" xr:uid="{00000000-0005-0000-0000-000004670000}"/>
    <cellStyle name="Normal 15 3 2 3 2 2 2" xfId="15807" xr:uid="{00000000-0005-0000-0000-000005670000}"/>
    <cellStyle name="Normal 15 3 2 3 2 2 2 2" xfId="29375" xr:uid="{00000000-0005-0000-0000-000006670000}"/>
    <cellStyle name="Normal 15 3 2 3 2 2 2 2 2" xfId="56508" xr:uid="{00000000-0005-0000-0000-000007670000}"/>
    <cellStyle name="Normal 15 3 2 3 2 2 2 3" xfId="42946" xr:uid="{00000000-0005-0000-0000-000008670000}"/>
    <cellStyle name="Normal 15 3 2 3 2 2 3" xfId="22594" xr:uid="{00000000-0005-0000-0000-000009670000}"/>
    <cellStyle name="Normal 15 3 2 3 2 2 3 2" xfId="49727" xr:uid="{00000000-0005-0000-0000-00000A670000}"/>
    <cellStyle name="Normal 15 3 2 3 2 2 4" xfId="36165" xr:uid="{00000000-0005-0000-0000-00000B670000}"/>
    <cellStyle name="Normal 15 3 2 3 2 3" xfId="12418" xr:uid="{00000000-0005-0000-0000-00000C670000}"/>
    <cellStyle name="Normal 15 3 2 3 2 3 2" xfId="25986" xr:uid="{00000000-0005-0000-0000-00000D670000}"/>
    <cellStyle name="Normal 15 3 2 3 2 3 2 2" xfId="53119" xr:uid="{00000000-0005-0000-0000-00000E670000}"/>
    <cellStyle name="Normal 15 3 2 3 2 3 3" xfId="39557" xr:uid="{00000000-0005-0000-0000-00000F670000}"/>
    <cellStyle name="Normal 15 3 2 3 2 4" xfId="19205" xr:uid="{00000000-0005-0000-0000-000010670000}"/>
    <cellStyle name="Normal 15 3 2 3 2 4 2" xfId="46338" xr:uid="{00000000-0005-0000-0000-000011670000}"/>
    <cellStyle name="Normal 15 3 2 3 2 5" xfId="32776" xr:uid="{00000000-0005-0000-0000-000012670000}"/>
    <cellStyle name="Normal 15 3 2 3 3" xfId="5472" xr:uid="{00000000-0005-0000-0000-000013670000}"/>
    <cellStyle name="Normal 15 3 2 3 3 2" xfId="9018" xr:uid="{00000000-0005-0000-0000-000014670000}"/>
    <cellStyle name="Normal 15 3 2 3 3 2 2" xfId="15808" xr:uid="{00000000-0005-0000-0000-000015670000}"/>
    <cellStyle name="Normal 15 3 2 3 3 2 2 2" xfId="29376" xr:uid="{00000000-0005-0000-0000-000016670000}"/>
    <cellStyle name="Normal 15 3 2 3 3 2 2 2 2" xfId="56509" xr:uid="{00000000-0005-0000-0000-000017670000}"/>
    <cellStyle name="Normal 15 3 2 3 3 2 2 3" xfId="42947" xr:uid="{00000000-0005-0000-0000-000018670000}"/>
    <cellStyle name="Normal 15 3 2 3 3 2 3" xfId="22595" xr:uid="{00000000-0005-0000-0000-000019670000}"/>
    <cellStyle name="Normal 15 3 2 3 3 2 3 2" xfId="49728" xr:uid="{00000000-0005-0000-0000-00001A670000}"/>
    <cellStyle name="Normal 15 3 2 3 3 2 4" xfId="36166" xr:uid="{00000000-0005-0000-0000-00001B670000}"/>
    <cellStyle name="Normal 15 3 2 3 3 3" xfId="12419" xr:uid="{00000000-0005-0000-0000-00001C670000}"/>
    <cellStyle name="Normal 15 3 2 3 3 3 2" xfId="25987" xr:uid="{00000000-0005-0000-0000-00001D670000}"/>
    <cellStyle name="Normal 15 3 2 3 3 3 2 2" xfId="53120" xr:uid="{00000000-0005-0000-0000-00001E670000}"/>
    <cellStyle name="Normal 15 3 2 3 3 3 3" xfId="39558" xr:uid="{00000000-0005-0000-0000-00001F670000}"/>
    <cellStyle name="Normal 15 3 2 3 3 4" xfId="19206" xr:uid="{00000000-0005-0000-0000-000020670000}"/>
    <cellStyle name="Normal 15 3 2 3 3 4 2" xfId="46339" xr:uid="{00000000-0005-0000-0000-000021670000}"/>
    <cellStyle name="Normal 15 3 2 3 3 5" xfId="32777" xr:uid="{00000000-0005-0000-0000-000022670000}"/>
    <cellStyle name="Normal 15 3 2 3 4" xfId="9016" xr:uid="{00000000-0005-0000-0000-000023670000}"/>
    <cellStyle name="Normal 15 3 2 3 4 2" xfId="15806" xr:uid="{00000000-0005-0000-0000-000024670000}"/>
    <cellStyle name="Normal 15 3 2 3 4 2 2" xfId="29374" xr:uid="{00000000-0005-0000-0000-000025670000}"/>
    <cellStyle name="Normal 15 3 2 3 4 2 2 2" xfId="56507" xr:uid="{00000000-0005-0000-0000-000026670000}"/>
    <cellStyle name="Normal 15 3 2 3 4 2 3" xfId="42945" xr:uid="{00000000-0005-0000-0000-000027670000}"/>
    <cellStyle name="Normal 15 3 2 3 4 3" xfId="22593" xr:uid="{00000000-0005-0000-0000-000028670000}"/>
    <cellStyle name="Normal 15 3 2 3 4 3 2" xfId="49726" xr:uid="{00000000-0005-0000-0000-000029670000}"/>
    <cellStyle name="Normal 15 3 2 3 4 4" xfId="36164" xr:uid="{00000000-0005-0000-0000-00002A670000}"/>
    <cellStyle name="Normal 15 3 2 3 5" xfId="12417" xr:uid="{00000000-0005-0000-0000-00002B670000}"/>
    <cellStyle name="Normal 15 3 2 3 5 2" xfId="25985" xr:uid="{00000000-0005-0000-0000-00002C670000}"/>
    <cellStyle name="Normal 15 3 2 3 5 2 2" xfId="53118" xr:uid="{00000000-0005-0000-0000-00002D670000}"/>
    <cellStyle name="Normal 15 3 2 3 5 3" xfId="39556" xr:uid="{00000000-0005-0000-0000-00002E670000}"/>
    <cellStyle name="Normal 15 3 2 3 6" xfId="19204" xr:uid="{00000000-0005-0000-0000-00002F670000}"/>
    <cellStyle name="Normal 15 3 2 3 6 2" xfId="46337" xr:uid="{00000000-0005-0000-0000-000030670000}"/>
    <cellStyle name="Normal 15 3 2 3 7" xfId="32775" xr:uid="{00000000-0005-0000-0000-000031670000}"/>
    <cellStyle name="Normal 15 3 2 4" xfId="5473" xr:uid="{00000000-0005-0000-0000-000032670000}"/>
    <cellStyle name="Normal 15 3 2 4 2" xfId="5474" xr:uid="{00000000-0005-0000-0000-000033670000}"/>
    <cellStyle name="Normal 15 3 2 4 2 2" xfId="9020" xr:uid="{00000000-0005-0000-0000-000034670000}"/>
    <cellStyle name="Normal 15 3 2 4 2 2 2" xfId="15810" xr:uid="{00000000-0005-0000-0000-000035670000}"/>
    <cellStyle name="Normal 15 3 2 4 2 2 2 2" xfId="29378" xr:uid="{00000000-0005-0000-0000-000036670000}"/>
    <cellStyle name="Normal 15 3 2 4 2 2 2 2 2" xfId="56511" xr:uid="{00000000-0005-0000-0000-000037670000}"/>
    <cellStyle name="Normal 15 3 2 4 2 2 2 3" xfId="42949" xr:uid="{00000000-0005-0000-0000-000038670000}"/>
    <cellStyle name="Normal 15 3 2 4 2 2 3" xfId="22597" xr:uid="{00000000-0005-0000-0000-000039670000}"/>
    <cellStyle name="Normal 15 3 2 4 2 2 3 2" xfId="49730" xr:uid="{00000000-0005-0000-0000-00003A670000}"/>
    <cellStyle name="Normal 15 3 2 4 2 2 4" xfId="36168" xr:uid="{00000000-0005-0000-0000-00003B670000}"/>
    <cellStyle name="Normal 15 3 2 4 2 3" xfId="12421" xr:uid="{00000000-0005-0000-0000-00003C670000}"/>
    <cellStyle name="Normal 15 3 2 4 2 3 2" xfId="25989" xr:uid="{00000000-0005-0000-0000-00003D670000}"/>
    <cellStyle name="Normal 15 3 2 4 2 3 2 2" xfId="53122" xr:uid="{00000000-0005-0000-0000-00003E670000}"/>
    <cellStyle name="Normal 15 3 2 4 2 3 3" xfId="39560" xr:uid="{00000000-0005-0000-0000-00003F670000}"/>
    <cellStyle name="Normal 15 3 2 4 2 4" xfId="19208" xr:uid="{00000000-0005-0000-0000-000040670000}"/>
    <cellStyle name="Normal 15 3 2 4 2 4 2" xfId="46341" xr:uid="{00000000-0005-0000-0000-000041670000}"/>
    <cellStyle name="Normal 15 3 2 4 2 5" xfId="32779" xr:uid="{00000000-0005-0000-0000-000042670000}"/>
    <cellStyle name="Normal 15 3 2 4 3" xfId="9019" xr:uid="{00000000-0005-0000-0000-000043670000}"/>
    <cellStyle name="Normal 15 3 2 4 3 2" xfId="15809" xr:uid="{00000000-0005-0000-0000-000044670000}"/>
    <cellStyle name="Normal 15 3 2 4 3 2 2" xfId="29377" xr:uid="{00000000-0005-0000-0000-000045670000}"/>
    <cellStyle name="Normal 15 3 2 4 3 2 2 2" xfId="56510" xr:uid="{00000000-0005-0000-0000-000046670000}"/>
    <cellStyle name="Normal 15 3 2 4 3 2 3" xfId="42948" xr:uid="{00000000-0005-0000-0000-000047670000}"/>
    <cellStyle name="Normal 15 3 2 4 3 3" xfId="22596" xr:uid="{00000000-0005-0000-0000-000048670000}"/>
    <cellStyle name="Normal 15 3 2 4 3 3 2" xfId="49729" xr:uid="{00000000-0005-0000-0000-000049670000}"/>
    <cellStyle name="Normal 15 3 2 4 3 4" xfId="36167" xr:uid="{00000000-0005-0000-0000-00004A670000}"/>
    <cellStyle name="Normal 15 3 2 4 4" xfId="12420" xr:uid="{00000000-0005-0000-0000-00004B670000}"/>
    <cellStyle name="Normal 15 3 2 4 4 2" xfId="25988" xr:uid="{00000000-0005-0000-0000-00004C670000}"/>
    <cellStyle name="Normal 15 3 2 4 4 2 2" xfId="53121" xr:uid="{00000000-0005-0000-0000-00004D670000}"/>
    <cellStyle name="Normal 15 3 2 4 4 3" xfId="39559" xr:uid="{00000000-0005-0000-0000-00004E670000}"/>
    <cellStyle name="Normal 15 3 2 4 5" xfId="19207" xr:uid="{00000000-0005-0000-0000-00004F670000}"/>
    <cellStyle name="Normal 15 3 2 4 5 2" xfId="46340" xr:uid="{00000000-0005-0000-0000-000050670000}"/>
    <cellStyle name="Normal 15 3 2 4 6" xfId="32778" xr:uid="{00000000-0005-0000-0000-000051670000}"/>
    <cellStyle name="Normal 15 3 2 5" xfId="5475" xr:uid="{00000000-0005-0000-0000-000052670000}"/>
    <cellStyle name="Normal 15 3 2 5 2" xfId="9021" xr:uid="{00000000-0005-0000-0000-000053670000}"/>
    <cellStyle name="Normal 15 3 2 5 2 2" xfId="15811" xr:uid="{00000000-0005-0000-0000-000054670000}"/>
    <cellStyle name="Normal 15 3 2 5 2 2 2" xfId="29379" xr:uid="{00000000-0005-0000-0000-000055670000}"/>
    <cellStyle name="Normal 15 3 2 5 2 2 2 2" xfId="56512" xr:uid="{00000000-0005-0000-0000-000056670000}"/>
    <cellStyle name="Normal 15 3 2 5 2 2 3" xfId="42950" xr:uid="{00000000-0005-0000-0000-000057670000}"/>
    <cellStyle name="Normal 15 3 2 5 2 3" xfId="22598" xr:uid="{00000000-0005-0000-0000-000058670000}"/>
    <cellStyle name="Normal 15 3 2 5 2 3 2" xfId="49731" xr:uid="{00000000-0005-0000-0000-000059670000}"/>
    <cellStyle name="Normal 15 3 2 5 2 4" xfId="36169" xr:uid="{00000000-0005-0000-0000-00005A670000}"/>
    <cellStyle name="Normal 15 3 2 5 3" xfId="12422" xr:uid="{00000000-0005-0000-0000-00005B670000}"/>
    <cellStyle name="Normal 15 3 2 5 3 2" xfId="25990" xr:uid="{00000000-0005-0000-0000-00005C670000}"/>
    <cellStyle name="Normal 15 3 2 5 3 2 2" xfId="53123" xr:uid="{00000000-0005-0000-0000-00005D670000}"/>
    <cellStyle name="Normal 15 3 2 5 3 3" xfId="39561" xr:uid="{00000000-0005-0000-0000-00005E670000}"/>
    <cellStyle name="Normal 15 3 2 5 4" xfId="19209" xr:uid="{00000000-0005-0000-0000-00005F670000}"/>
    <cellStyle name="Normal 15 3 2 5 4 2" xfId="46342" xr:uid="{00000000-0005-0000-0000-000060670000}"/>
    <cellStyle name="Normal 15 3 2 5 5" xfId="32780" xr:uid="{00000000-0005-0000-0000-000061670000}"/>
    <cellStyle name="Normal 15 3 2 6" xfId="5476" xr:uid="{00000000-0005-0000-0000-000062670000}"/>
    <cellStyle name="Normal 15 3 2 6 2" xfId="9022" xr:uid="{00000000-0005-0000-0000-000063670000}"/>
    <cellStyle name="Normal 15 3 2 6 2 2" xfId="15812" xr:uid="{00000000-0005-0000-0000-000064670000}"/>
    <cellStyle name="Normal 15 3 2 6 2 2 2" xfId="29380" xr:uid="{00000000-0005-0000-0000-000065670000}"/>
    <cellStyle name="Normal 15 3 2 6 2 2 2 2" xfId="56513" xr:uid="{00000000-0005-0000-0000-000066670000}"/>
    <cellStyle name="Normal 15 3 2 6 2 2 3" xfId="42951" xr:uid="{00000000-0005-0000-0000-000067670000}"/>
    <cellStyle name="Normal 15 3 2 6 2 3" xfId="22599" xr:uid="{00000000-0005-0000-0000-000068670000}"/>
    <cellStyle name="Normal 15 3 2 6 2 3 2" xfId="49732" xr:uid="{00000000-0005-0000-0000-000069670000}"/>
    <cellStyle name="Normal 15 3 2 6 2 4" xfId="36170" xr:uid="{00000000-0005-0000-0000-00006A670000}"/>
    <cellStyle name="Normal 15 3 2 6 3" xfId="12423" xr:uid="{00000000-0005-0000-0000-00006B670000}"/>
    <cellStyle name="Normal 15 3 2 6 3 2" xfId="25991" xr:uid="{00000000-0005-0000-0000-00006C670000}"/>
    <cellStyle name="Normal 15 3 2 6 3 2 2" xfId="53124" xr:uid="{00000000-0005-0000-0000-00006D670000}"/>
    <cellStyle name="Normal 15 3 2 6 3 3" xfId="39562" xr:uid="{00000000-0005-0000-0000-00006E670000}"/>
    <cellStyle name="Normal 15 3 2 6 4" xfId="19210" xr:uid="{00000000-0005-0000-0000-00006F670000}"/>
    <cellStyle name="Normal 15 3 2 6 4 2" xfId="46343" xr:uid="{00000000-0005-0000-0000-000070670000}"/>
    <cellStyle name="Normal 15 3 2 6 5" xfId="32781" xr:uid="{00000000-0005-0000-0000-000071670000}"/>
    <cellStyle name="Normal 15 3 2 7" xfId="9007" xr:uid="{00000000-0005-0000-0000-000072670000}"/>
    <cellStyle name="Normal 15 3 2 7 2" xfId="15797" xr:uid="{00000000-0005-0000-0000-000073670000}"/>
    <cellStyle name="Normal 15 3 2 7 2 2" xfId="29365" xr:uid="{00000000-0005-0000-0000-000074670000}"/>
    <cellStyle name="Normal 15 3 2 7 2 2 2" xfId="56498" xr:uid="{00000000-0005-0000-0000-000075670000}"/>
    <cellStyle name="Normal 15 3 2 7 2 3" xfId="42936" xr:uid="{00000000-0005-0000-0000-000076670000}"/>
    <cellStyle name="Normal 15 3 2 7 3" xfId="22584" xr:uid="{00000000-0005-0000-0000-000077670000}"/>
    <cellStyle name="Normal 15 3 2 7 3 2" xfId="49717" xr:uid="{00000000-0005-0000-0000-000078670000}"/>
    <cellStyle name="Normal 15 3 2 7 4" xfId="36155" xr:uid="{00000000-0005-0000-0000-000079670000}"/>
    <cellStyle name="Normal 15 3 2 8" xfId="12408" xr:uid="{00000000-0005-0000-0000-00007A670000}"/>
    <cellStyle name="Normal 15 3 2 8 2" xfId="25976" xr:uid="{00000000-0005-0000-0000-00007B670000}"/>
    <cellStyle name="Normal 15 3 2 8 2 2" xfId="53109" xr:uid="{00000000-0005-0000-0000-00007C670000}"/>
    <cellStyle name="Normal 15 3 2 8 3" xfId="39547" xr:uid="{00000000-0005-0000-0000-00007D670000}"/>
    <cellStyle name="Normal 15 3 2 9" xfId="19195" xr:uid="{00000000-0005-0000-0000-00007E670000}"/>
    <cellStyle name="Normal 15 3 2 9 2" xfId="46328" xr:uid="{00000000-0005-0000-0000-00007F670000}"/>
    <cellStyle name="Normal 15 3 3" xfId="5477" xr:uid="{00000000-0005-0000-0000-000080670000}"/>
    <cellStyle name="Normal 15 3 3 2" xfId="5478" xr:uid="{00000000-0005-0000-0000-000081670000}"/>
    <cellStyle name="Normal 15 3 3 2 2" xfId="5479" xr:uid="{00000000-0005-0000-0000-000082670000}"/>
    <cellStyle name="Normal 15 3 3 2 2 2" xfId="9025" xr:uid="{00000000-0005-0000-0000-000083670000}"/>
    <cellStyle name="Normal 15 3 3 2 2 2 2" xfId="15815" xr:uid="{00000000-0005-0000-0000-000084670000}"/>
    <cellStyle name="Normal 15 3 3 2 2 2 2 2" xfId="29383" xr:uid="{00000000-0005-0000-0000-000085670000}"/>
    <cellStyle name="Normal 15 3 3 2 2 2 2 2 2" xfId="56516" xr:uid="{00000000-0005-0000-0000-000086670000}"/>
    <cellStyle name="Normal 15 3 3 2 2 2 2 3" xfId="42954" xr:uid="{00000000-0005-0000-0000-000087670000}"/>
    <cellStyle name="Normal 15 3 3 2 2 2 3" xfId="22602" xr:uid="{00000000-0005-0000-0000-000088670000}"/>
    <cellStyle name="Normal 15 3 3 2 2 2 3 2" xfId="49735" xr:uid="{00000000-0005-0000-0000-000089670000}"/>
    <cellStyle name="Normal 15 3 3 2 2 2 4" xfId="36173" xr:uid="{00000000-0005-0000-0000-00008A670000}"/>
    <cellStyle name="Normal 15 3 3 2 2 3" xfId="12426" xr:uid="{00000000-0005-0000-0000-00008B670000}"/>
    <cellStyle name="Normal 15 3 3 2 2 3 2" xfId="25994" xr:uid="{00000000-0005-0000-0000-00008C670000}"/>
    <cellStyle name="Normal 15 3 3 2 2 3 2 2" xfId="53127" xr:uid="{00000000-0005-0000-0000-00008D670000}"/>
    <cellStyle name="Normal 15 3 3 2 2 3 3" xfId="39565" xr:uid="{00000000-0005-0000-0000-00008E670000}"/>
    <cellStyle name="Normal 15 3 3 2 2 4" xfId="19213" xr:uid="{00000000-0005-0000-0000-00008F670000}"/>
    <cellStyle name="Normal 15 3 3 2 2 4 2" xfId="46346" xr:uid="{00000000-0005-0000-0000-000090670000}"/>
    <cellStyle name="Normal 15 3 3 2 2 5" xfId="32784" xr:uid="{00000000-0005-0000-0000-000091670000}"/>
    <cellStyle name="Normal 15 3 3 2 3" xfId="5480" xr:uid="{00000000-0005-0000-0000-000092670000}"/>
    <cellStyle name="Normal 15 3 3 2 3 2" xfId="9026" xr:uid="{00000000-0005-0000-0000-000093670000}"/>
    <cellStyle name="Normal 15 3 3 2 3 2 2" xfId="15816" xr:uid="{00000000-0005-0000-0000-000094670000}"/>
    <cellStyle name="Normal 15 3 3 2 3 2 2 2" xfId="29384" xr:uid="{00000000-0005-0000-0000-000095670000}"/>
    <cellStyle name="Normal 15 3 3 2 3 2 2 2 2" xfId="56517" xr:uid="{00000000-0005-0000-0000-000096670000}"/>
    <cellStyle name="Normal 15 3 3 2 3 2 2 3" xfId="42955" xr:uid="{00000000-0005-0000-0000-000097670000}"/>
    <cellStyle name="Normal 15 3 3 2 3 2 3" xfId="22603" xr:uid="{00000000-0005-0000-0000-000098670000}"/>
    <cellStyle name="Normal 15 3 3 2 3 2 3 2" xfId="49736" xr:uid="{00000000-0005-0000-0000-000099670000}"/>
    <cellStyle name="Normal 15 3 3 2 3 2 4" xfId="36174" xr:uid="{00000000-0005-0000-0000-00009A670000}"/>
    <cellStyle name="Normal 15 3 3 2 3 3" xfId="12427" xr:uid="{00000000-0005-0000-0000-00009B670000}"/>
    <cellStyle name="Normal 15 3 3 2 3 3 2" xfId="25995" xr:uid="{00000000-0005-0000-0000-00009C670000}"/>
    <cellStyle name="Normal 15 3 3 2 3 3 2 2" xfId="53128" xr:uid="{00000000-0005-0000-0000-00009D670000}"/>
    <cellStyle name="Normal 15 3 3 2 3 3 3" xfId="39566" xr:uid="{00000000-0005-0000-0000-00009E670000}"/>
    <cellStyle name="Normal 15 3 3 2 3 4" xfId="19214" xr:uid="{00000000-0005-0000-0000-00009F670000}"/>
    <cellStyle name="Normal 15 3 3 2 3 4 2" xfId="46347" xr:uid="{00000000-0005-0000-0000-0000A0670000}"/>
    <cellStyle name="Normal 15 3 3 2 3 5" xfId="32785" xr:uid="{00000000-0005-0000-0000-0000A1670000}"/>
    <cellStyle name="Normal 15 3 3 2 4" xfId="9024" xr:uid="{00000000-0005-0000-0000-0000A2670000}"/>
    <cellStyle name="Normal 15 3 3 2 4 2" xfId="15814" xr:uid="{00000000-0005-0000-0000-0000A3670000}"/>
    <cellStyle name="Normal 15 3 3 2 4 2 2" xfId="29382" xr:uid="{00000000-0005-0000-0000-0000A4670000}"/>
    <cellStyle name="Normal 15 3 3 2 4 2 2 2" xfId="56515" xr:uid="{00000000-0005-0000-0000-0000A5670000}"/>
    <cellStyle name="Normal 15 3 3 2 4 2 3" xfId="42953" xr:uid="{00000000-0005-0000-0000-0000A6670000}"/>
    <cellStyle name="Normal 15 3 3 2 4 3" xfId="22601" xr:uid="{00000000-0005-0000-0000-0000A7670000}"/>
    <cellStyle name="Normal 15 3 3 2 4 3 2" xfId="49734" xr:uid="{00000000-0005-0000-0000-0000A8670000}"/>
    <cellStyle name="Normal 15 3 3 2 4 4" xfId="36172" xr:uid="{00000000-0005-0000-0000-0000A9670000}"/>
    <cellStyle name="Normal 15 3 3 2 5" xfId="12425" xr:uid="{00000000-0005-0000-0000-0000AA670000}"/>
    <cellStyle name="Normal 15 3 3 2 5 2" xfId="25993" xr:uid="{00000000-0005-0000-0000-0000AB670000}"/>
    <cellStyle name="Normal 15 3 3 2 5 2 2" xfId="53126" xr:uid="{00000000-0005-0000-0000-0000AC670000}"/>
    <cellStyle name="Normal 15 3 3 2 5 3" xfId="39564" xr:uid="{00000000-0005-0000-0000-0000AD670000}"/>
    <cellStyle name="Normal 15 3 3 2 6" xfId="19212" xr:uid="{00000000-0005-0000-0000-0000AE670000}"/>
    <cellStyle name="Normal 15 3 3 2 6 2" xfId="46345" xr:uid="{00000000-0005-0000-0000-0000AF670000}"/>
    <cellStyle name="Normal 15 3 3 2 7" xfId="32783" xr:uid="{00000000-0005-0000-0000-0000B0670000}"/>
    <cellStyle name="Normal 15 3 3 3" xfId="5481" xr:uid="{00000000-0005-0000-0000-0000B1670000}"/>
    <cellStyle name="Normal 15 3 3 3 2" xfId="5482" xr:uid="{00000000-0005-0000-0000-0000B2670000}"/>
    <cellStyle name="Normal 15 3 3 3 2 2" xfId="9028" xr:uid="{00000000-0005-0000-0000-0000B3670000}"/>
    <cellStyle name="Normal 15 3 3 3 2 2 2" xfId="15818" xr:uid="{00000000-0005-0000-0000-0000B4670000}"/>
    <cellStyle name="Normal 15 3 3 3 2 2 2 2" xfId="29386" xr:uid="{00000000-0005-0000-0000-0000B5670000}"/>
    <cellStyle name="Normal 15 3 3 3 2 2 2 2 2" xfId="56519" xr:uid="{00000000-0005-0000-0000-0000B6670000}"/>
    <cellStyle name="Normal 15 3 3 3 2 2 2 3" xfId="42957" xr:uid="{00000000-0005-0000-0000-0000B7670000}"/>
    <cellStyle name="Normal 15 3 3 3 2 2 3" xfId="22605" xr:uid="{00000000-0005-0000-0000-0000B8670000}"/>
    <cellStyle name="Normal 15 3 3 3 2 2 3 2" xfId="49738" xr:uid="{00000000-0005-0000-0000-0000B9670000}"/>
    <cellStyle name="Normal 15 3 3 3 2 2 4" xfId="36176" xr:uid="{00000000-0005-0000-0000-0000BA670000}"/>
    <cellStyle name="Normal 15 3 3 3 2 3" xfId="12429" xr:uid="{00000000-0005-0000-0000-0000BB670000}"/>
    <cellStyle name="Normal 15 3 3 3 2 3 2" xfId="25997" xr:uid="{00000000-0005-0000-0000-0000BC670000}"/>
    <cellStyle name="Normal 15 3 3 3 2 3 2 2" xfId="53130" xr:uid="{00000000-0005-0000-0000-0000BD670000}"/>
    <cellStyle name="Normal 15 3 3 3 2 3 3" xfId="39568" xr:uid="{00000000-0005-0000-0000-0000BE670000}"/>
    <cellStyle name="Normal 15 3 3 3 2 4" xfId="19216" xr:uid="{00000000-0005-0000-0000-0000BF670000}"/>
    <cellStyle name="Normal 15 3 3 3 2 4 2" xfId="46349" xr:uid="{00000000-0005-0000-0000-0000C0670000}"/>
    <cellStyle name="Normal 15 3 3 3 2 5" xfId="32787" xr:uid="{00000000-0005-0000-0000-0000C1670000}"/>
    <cellStyle name="Normal 15 3 3 3 3" xfId="9027" xr:uid="{00000000-0005-0000-0000-0000C2670000}"/>
    <cellStyle name="Normal 15 3 3 3 3 2" xfId="15817" xr:uid="{00000000-0005-0000-0000-0000C3670000}"/>
    <cellStyle name="Normal 15 3 3 3 3 2 2" xfId="29385" xr:uid="{00000000-0005-0000-0000-0000C4670000}"/>
    <cellStyle name="Normal 15 3 3 3 3 2 2 2" xfId="56518" xr:uid="{00000000-0005-0000-0000-0000C5670000}"/>
    <cellStyle name="Normal 15 3 3 3 3 2 3" xfId="42956" xr:uid="{00000000-0005-0000-0000-0000C6670000}"/>
    <cellStyle name="Normal 15 3 3 3 3 3" xfId="22604" xr:uid="{00000000-0005-0000-0000-0000C7670000}"/>
    <cellStyle name="Normal 15 3 3 3 3 3 2" xfId="49737" xr:uid="{00000000-0005-0000-0000-0000C8670000}"/>
    <cellStyle name="Normal 15 3 3 3 3 4" xfId="36175" xr:uid="{00000000-0005-0000-0000-0000C9670000}"/>
    <cellStyle name="Normal 15 3 3 3 4" xfId="12428" xr:uid="{00000000-0005-0000-0000-0000CA670000}"/>
    <cellStyle name="Normal 15 3 3 3 4 2" xfId="25996" xr:uid="{00000000-0005-0000-0000-0000CB670000}"/>
    <cellStyle name="Normal 15 3 3 3 4 2 2" xfId="53129" xr:uid="{00000000-0005-0000-0000-0000CC670000}"/>
    <cellStyle name="Normal 15 3 3 3 4 3" xfId="39567" xr:uid="{00000000-0005-0000-0000-0000CD670000}"/>
    <cellStyle name="Normal 15 3 3 3 5" xfId="19215" xr:uid="{00000000-0005-0000-0000-0000CE670000}"/>
    <cellStyle name="Normal 15 3 3 3 5 2" xfId="46348" xr:uid="{00000000-0005-0000-0000-0000CF670000}"/>
    <cellStyle name="Normal 15 3 3 3 6" xfId="32786" xr:uid="{00000000-0005-0000-0000-0000D0670000}"/>
    <cellStyle name="Normal 15 3 3 4" xfId="5483" xr:uid="{00000000-0005-0000-0000-0000D1670000}"/>
    <cellStyle name="Normal 15 3 3 4 2" xfId="9029" xr:uid="{00000000-0005-0000-0000-0000D2670000}"/>
    <cellStyle name="Normal 15 3 3 4 2 2" xfId="15819" xr:uid="{00000000-0005-0000-0000-0000D3670000}"/>
    <cellStyle name="Normal 15 3 3 4 2 2 2" xfId="29387" xr:uid="{00000000-0005-0000-0000-0000D4670000}"/>
    <cellStyle name="Normal 15 3 3 4 2 2 2 2" xfId="56520" xr:uid="{00000000-0005-0000-0000-0000D5670000}"/>
    <cellStyle name="Normal 15 3 3 4 2 2 3" xfId="42958" xr:uid="{00000000-0005-0000-0000-0000D6670000}"/>
    <cellStyle name="Normal 15 3 3 4 2 3" xfId="22606" xr:uid="{00000000-0005-0000-0000-0000D7670000}"/>
    <cellStyle name="Normal 15 3 3 4 2 3 2" xfId="49739" xr:uid="{00000000-0005-0000-0000-0000D8670000}"/>
    <cellStyle name="Normal 15 3 3 4 2 4" xfId="36177" xr:uid="{00000000-0005-0000-0000-0000D9670000}"/>
    <cellStyle name="Normal 15 3 3 4 3" xfId="12430" xr:uid="{00000000-0005-0000-0000-0000DA670000}"/>
    <cellStyle name="Normal 15 3 3 4 3 2" xfId="25998" xr:uid="{00000000-0005-0000-0000-0000DB670000}"/>
    <cellStyle name="Normal 15 3 3 4 3 2 2" xfId="53131" xr:uid="{00000000-0005-0000-0000-0000DC670000}"/>
    <cellStyle name="Normal 15 3 3 4 3 3" xfId="39569" xr:uid="{00000000-0005-0000-0000-0000DD670000}"/>
    <cellStyle name="Normal 15 3 3 4 4" xfId="19217" xr:uid="{00000000-0005-0000-0000-0000DE670000}"/>
    <cellStyle name="Normal 15 3 3 4 4 2" xfId="46350" xr:uid="{00000000-0005-0000-0000-0000DF670000}"/>
    <cellStyle name="Normal 15 3 3 4 5" xfId="32788" xr:uid="{00000000-0005-0000-0000-0000E0670000}"/>
    <cellStyle name="Normal 15 3 3 5" xfId="5484" xr:uid="{00000000-0005-0000-0000-0000E1670000}"/>
    <cellStyle name="Normal 15 3 3 5 2" xfId="9030" xr:uid="{00000000-0005-0000-0000-0000E2670000}"/>
    <cellStyle name="Normal 15 3 3 5 2 2" xfId="15820" xr:uid="{00000000-0005-0000-0000-0000E3670000}"/>
    <cellStyle name="Normal 15 3 3 5 2 2 2" xfId="29388" xr:uid="{00000000-0005-0000-0000-0000E4670000}"/>
    <cellStyle name="Normal 15 3 3 5 2 2 2 2" xfId="56521" xr:uid="{00000000-0005-0000-0000-0000E5670000}"/>
    <cellStyle name="Normal 15 3 3 5 2 2 3" xfId="42959" xr:uid="{00000000-0005-0000-0000-0000E6670000}"/>
    <cellStyle name="Normal 15 3 3 5 2 3" xfId="22607" xr:uid="{00000000-0005-0000-0000-0000E7670000}"/>
    <cellStyle name="Normal 15 3 3 5 2 3 2" xfId="49740" xr:uid="{00000000-0005-0000-0000-0000E8670000}"/>
    <cellStyle name="Normal 15 3 3 5 2 4" xfId="36178" xr:uid="{00000000-0005-0000-0000-0000E9670000}"/>
    <cellStyle name="Normal 15 3 3 5 3" xfId="12431" xr:uid="{00000000-0005-0000-0000-0000EA670000}"/>
    <cellStyle name="Normal 15 3 3 5 3 2" xfId="25999" xr:uid="{00000000-0005-0000-0000-0000EB670000}"/>
    <cellStyle name="Normal 15 3 3 5 3 2 2" xfId="53132" xr:uid="{00000000-0005-0000-0000-0000EC670000}"/>
    <cellStyle name="Normal 15 3 3 5 3 3" xfId="39570" xr:uid="{00000000-0005-0000-0000-0000ED670000}"/>
    <cellStyle name="Normal 15 3 3 5 4" xfId="19218" xr:uid="{00000000-0005-0000-0000-0000EE670000}"/>
    <cellStyle name="Normal 15 3 3 5 4 2" xfId="46351" xr:uid="{00000000-0005-0000-0000-0000EF670000}"/>
    <cellStyle name="Normal 15 3 3 5 5" xfId="32789" xr:uid="{00000000-0005-0000-0000-0000F0670000}"/>
    <cellStyle name="Normal 15 3 3 6" xfId="9023" xr:uid="{00000000-0005-0000-0000-0000F1670000}"/>
    <cellStyle name="Normal 15 3 3 6 2" xfId="15813" xr:uid="{00000000-0005-0000-0000-0000F2670000}"/>
    <cellStyle name="Normal 15 3 3 6 2 2" xfId="29381" xr:uid="{00000000-0005-0000-0000-0000F3670000}"/>
    <cellStyle name="Normal 15 3 3 6 2 2 2" xfId="56514" xr:uid="{00000000-0005-0000-0000-0000F4670000}"/>
    <cellStyle name="Normal 15 3 3 6 2 3" xfId="42952" xr:uid="{00000000-0005-0000-0000-0000F5670000}"/>
    <cellStyle name="Normal 15 3 3 6 3" xfId="22600" xr:uid="{00000000-0005-0000-0000-0000F6670000}"/>
    <cellStyle name="Normal 15 3 3 6 3 2" xfId="49733" xr:uid="{00000000-0005-0000-0000-0000F7670000}"/>
    <cellStyle name="Normal 15 3 3 6 4" xfId="36171" xr:uid="{00000000-0005-0000-0000-0000F8670000}"/>
    <cellStyle name="Normal 15 3 3 7" xfId="12424" xr:uid="{00000000-0005-0000-0000-0000F9670000}"/>
    <cellStyle name="Normal 15 3 3 7 2" xfId="25992" xr:uid="{00000000-0005-0000-0000-0000FA670000}"/>
    <cellStyle name="Normal 15 3 3 7 2 2" xfId="53125" xr:uid="{00000000-0005-0000-0000-0000FB670000}"/>
    <cellStyle name="Normal 15 3 3 7 3" xfId="39563" xr:uid="{00000000-0005-0000-0000-0000FC670000}"/>
    <cellStyle name="Normal 15 3 3 8" xfId="19211" xr:uid="{00000000-0005-0000-0000-0000FD670000}"/>
    <cellStyle name="Normal 15 3 3 8 2" xfId="46344" xr:uid="{00000000-0005-0000-0000-0000FE670000}"/>
    <cellStyle name="Normal 15 3 3 9" xfId="32782" xr:uid="{00000000-0005-0000-0000-0000FF670000}"/>
    <cellStyle name="Normal 15 3 4" xfId="5485" xr:uid="{00000000-0005-0000-0000-000000680000}"/>
    <cellStyle name="Normal 15 3 4 2" xfId="5486" xr:uid="{00000000-0005-0000-0000-000001680000}"/>
    <cellStyle name="Normal 15 3 4 2 2" xfId="5487" xr:uid="{00000000-0005-0000-0000-000002680000}"/>
    <cellStyle name="Normal 15 3 4 2 2 2" xfId="9033" xr:uid="{00000000-0005-0000-0000-000003680000}"/>
    <cellStyle name="Normal 15 3 4 2 2 2 2" xfId="15823" xr:uid="{00000000-0005-0000-0000-000004680000}"/>
    <cellStyle name="Normal 15 3 4 2 2 2 2 2" xfId="29391" xr:uid="{00000000-0005-0000-0000-000005680000}"/>
    <cellStyle name="Normal 15 3 4 2 2 2 2 2 2" xfId="56524" xr:uid="{00000000-0005-0000-0000-000006680000}"/>
    <cellStyle name="Normal 15 3 4 2 2 2 2 3" xfId="42962" xr:uid="{00000000-0005-0000-0000-000007680000}"/>
    <cellStyle name="Normal 15 3 4 2 2 2 3" xfId="22610" xr:uid="{00000000-0005-0000-0000-000008680000}"/>
    <cellStyle name="Normal 15 3 4 2 2 2 3 2" xfId="49743" xr:uid="{00000000-0005-0000-0000-000009680000}"/>
    <cellStyle name="Normal 15 3 4 2 2 2 4" xfId="36181" xr:uid="{00000000-0005-0000-0000-00000A680000}"/>
    <cellStyle name="Normal 15 3 4 2 2 3" xfId="12434" xr:uid="{00000000-0005-0000-0000-00000B680000}"/>
    <cellStyle name="Normal 15 3 4 2 2 3 2" xfId="26002" xr:uid="{00000000-0005-0000-0000-00000C680000}"/>
    <cellStyle name="Normal 15 3 4 2 2 3 2 2" xfId="53135" xr:uid="{00000000-0005-0000-0000-00000D680000}"/>
    <cellStyle name="Normal 15 3 4 2 2 3 3" xfId="39573" xr:uid="{00000000-0005-0000-0000-00000E680000}"/>
    <cellStyle name="Normal 15 3 4 2 2 4" xfId="19221" xr:uid="{00000000-0005-0000-0000-00000F680000}"/>
    <cellStyle name="Normal 15 3 4 2 2 4 2" xfId="46354" xr:uid="{00000000-0005-0000-0000-000010680000}"/>
    <cellStyle name="Normal 15 3 4 2 2 5" xfId="32792" xr:uid="{00000000-0005-0000-0000-000011680000}"/>
    <cellStyle name="Normal 15 3 4 2 3" xfId="5488" xr:uid="{00000000-0005-0000-0000-000012680000}"/>
    <cellStyle name="Normal 15 3 4 2 3 2" xfId="9034" xr:uid="{00000000-0005-0000-0000-000013680000}"/>
    <cellStyle name="Normal 15 3 4 2 3 2 2" xfId="15824" xr:uid="{00000000-0005-0000-0000-000014680000}"/>
    <cellStyle name="Normal 15 3 4 2 3 2 2 2" xfId="29392" xr:uid="{00000000-0005-0000-0000-000015680000}"/>
    <cellStyle name="Normal 15 3 4 2 3 2 2 2 2" xfId="56525" xr:uid="{00000000-0005-0000-0000-000016680000}"/>
    <cellStyle name="Normal 15 3 4 2 3 2 2 3" xfId="42963" xr:uid="{00000000-0005-0000-0000-000017680000}"/>
    <cellStyle name="Normal 15 3 4 2 3 2 3" xfId="22611" xr:uid="{00000000-0005-0000-0000-000018680000}"/>
    <cellStyle name="Normal 15 3 4 2 3 2 3 2" xfId="49744" xr:uid="{00000000-0005-0000-0000-000019680000}"/>
    <cellStyle name="Normal 15 3 4 2 3 2 4" xfId="36182" xr:uid="{00000000-0005-0000-0000-00001A680000}"/>
    <cellStyle name="Normal 15 3 4 2 3 3" xfId="12435" xr:uid="{00000000-0005-0000-0000-00001B680000}"/>
    <cellStyle name="Normal 15 3 4 2 3 3 2" xfId="26003" xr:uid="{00000000-0005-0000-0000-00001C680000}"/>
    <cellStyle name="Normal 15 3 4 2 3 3 2 2" xfId="53136" xr:uid="{00000000-0005-0000-0000-00001D680000}"/>
    <cellStyle name="Normal 15 3 4 2 3 3 3" xfId="39574" xr:uid="{00000000-0005-0000-0000-00001E680000}"/>
    <cellStyle name="Normal 15 3 4 2 3 4" xfId="19222" xr:uid="{00000000-0005-0000-0000-00001F680000}"/>
    <cellStyle name="Normal 15 3 4 2 3 4 2" xfId="46355" xr:uid="{00000000-0005-0000-0000-000020680000}"/>
    <cellStyle name="Normal 15 3 4 2 3 5" xfId="32793" xr:uid="{00000000-0005-0000-0000-000021680000}"/>
    <cellStyle name="Normal 15 3 4 2 4" xfId="9032" xr:uid="{00000000-0005-0000-0000-000022680000}"/>
    <cellStyle name="Normal 15 3 4 2 4 2" xfId="15822" xr:uid="{00000000-0005-0000-0000-000023680000}"/>
    <cellStyle name="Normal 15 3 4 2 4 2 2" xfId="29390" xr:uid="{00000000-0005-0000-0000-000024680000}"/>
    <cellStyle name="Normal 15 3 4 2 4 2 2 2" xfId="56523" xr:uid="{00000000-0005-0000-0000-000025680000}"/>
    <cellStyle name="Normal 15 3 4 2 4 2 3" xfId="42961" xr:uid="{00000000-0005-0000-0000-000026680000}"/>
    <cellStyle name="Normal 15 3 4 2 4 3" xfId="22609" xr:uid="{00000000-0005-0000-0000-000027680000}"/>
    <cellStyle name="Normal 15 3 4 2 4 3 2" xfId="49742" xr:uid="{00000000-0005-0000-0000-000028680000}"/>
    <cellStyle name="Normal 15 3 4 2 4 4" xfId="36180" xr:uid="{00000000-0005-0000-0000-000029680000}"/>
    <cellStyle name="Normal 15 3 4 2 5" xfId="12433" xr:uid="{00000000-0005-0000-0000-00002A680000}"/>
    <cellStyle name="Normal 15 3 4 2 5 2" xfId="26001" xr:uid="{00000000-0005-0000-0000-00002B680000}"/>
    <cellStyle name="Normal 15 3 4 2 5 2 2" xfId="53134" xr:uid="{00000000-0005-0000-0000-00002C680000}"/>
    <cellStyle name="Normal 15 3 4 2 5 3" xfId="39572" xr:uid="{00000000-0005-0000-0000-00002D680000}"/>
    <cellStyle name="Normal 15 3 4 2 6" xfId="19220" xr:uid="{00000000-0005-0000-0000-00002E680000}"/>
    <cellStyle name="Normal 15 3 4 2 6 2" xfId="46353" xr:uid="{00000000-0005-0000-0000-00002F680000}"/>
    <cellStyle name="Normal 15 3 4 2 7" xfId="32791" xr:uid="{00000000-0005-0000-0000-000030680000}"/>
    <cellStyle name="Normal 15 3 4 3" xfId="5489" xr:uid="{00000000-0005-0000-0000-000031680000}"/>
    <cellStyle name="Normal 15 3 4 3 2" xfId="9035" xr:uid="{00000000-0005-0000-0000-000032680000}"/>
    <cellStyle name="Normal 15 3 4 3 2 2" xfId="15825" xr:uid="{00000000-0005-0000-0000-000033680000}"/>
    <cellStyle name="Normal 15 3 4 3 2 2 2" xfId="29393" xr:uid="{00000000-0005-0000-0000-000034680000}"/>
    <cellStyle name="Normal 15 3 4 3 2 2 2 2" xfId="56526" xr:uid="{00000000-0005-0000-0000-000035680000}"/>
    <cellStyle name="Normal 15 3 4 3 2 2 3" xfId="42964" xr:uid="{00000000-0005-0000-0000-000036680000}"/>
    <cellStyle name="Normal 15 3 4 3 2 3" xfId="22612" xr:uid="{00000000-0005-0000-0000-000037680000}"/>
    <cellStyle name="Normal 15 3 4 3 2 3 2" xfId="49745" xr:uid="{00000000-0005-0000-0000-000038680000}"/>
    <cellStyle name="Normal 15 3 4 3 2 4" xfId="36183" xr:uid="{00000000-0005-0000-0000-000039680000}"/>
    <cellStyle name="Normal 15 3 4 3 3" xfId="12436" xr:uid="{00000000-0005-0000-0000-00003A680000}"/>
    <cellStyle name="Normal 15 3 4 3 3 2" xfId="26004" xr:uid="{00000000-0005-0000-0000-00003B680000}"/>
    <cellStyle name="Normal 15 3 4 3 3 2 2" xfId="53137" xr:uid="{00000000-0005-0000-0000-00003C680000}"/>
    <cellStyle name="Normal 15 3 4 3 3 3" xfId="39575" xr:uid="{00000000-0005-0000-0000-00003D680000}"/>
    <cellStyle name="Normal 15 3 4 3 4" xfId="19223" xr:uid="{00000000-0005-0000-0000-00003E680000}"/>
    <cellStyle name="Normal 15 3 4 3 4 2" xfId="46356" xr:uid="{00000000-0005-0000-0000-00003F680000}"/>
    <cellStyle name="Normal 15 3 4 3 5" xfId="32794" xr:uid="{00000000-0005-0000-0000-000040680000}"/>
    <cellStyle name="Normal 15 3 4 4" xfId="5490" xr:uid="{00000000-0005-0000-0000-000041680000}"/>
    <cellStyle name="Normal 15 3 4 4 2" xfId="9036" xr:uid="{00000000-0005-0000-0000-000042680000}"/>
    <cellStyle name="Normal 15 3 4 4 2 2" xfId="15826" xr:uid="{00000000-0005-0000-0000-000043680000}"/>
    <cellStyle name="Normal 15 3 4 4 2 2 2" xfId="29394" xr:uid="{00000000-0005-0000-0000-000044680000}"/>
    <cellStyle name="Normal 15 3 4 4 2 2 2 2" xfId="56527" xr:uid="{00000000-0005-0000-0000-000045680000}"/>
    <cellStyle name="Normal 15 3 4 4 2 2 3" xfId="42965" xr:uid="{00000000-0005-0000-0000-000046680000}"/>
    <cellStyle name="Normal 15 3 4 4 2 3" xfId="22613" xr:uid="{00000000-0005-0000-0000-000047680000}"/>
    <cellStyle name="Normal 15 3 4 4 2 3 2" xfId="49746" xr:uid="{00000000-0005-0000-0000-000048680000}"/>
    <cellStyle name="Normal 15 3 4 4 2 4" xfId="36184" xr:uid="{00000000-0005-0000-0000-000049680000}"/>
    <cellStyle name="Normal 15 3 4 4 3" xfId="12437" xr:uid="{00000000-0005-0000-0000-00004A680000}"/>
    <cellStyle name="Normal 15 3 4 4 3 2" xfId="26005" xr:uid="{00000000-0005-0000-0000-00004B680000}"/>
    <cellStyle name="Normal 15 3 4 4 3 2 2" xfId="53138" xr:uid="{00000000-0005-0000-0000-00004C680000}"/>
    <cellStyle name="Normal 15 3 4 4 3 3" xfId="39576" xr:uid="{00000000-0005-0000-0000-00004D680000}"/>
    <cellStyle name="Normal 15 3 4 4 4" xfId="19224" xr:uid="{00000000-0005-0000-0000-00004E680000}"/>
    <cellStyle name="Normal 15 3 4 4 4 2" xfId="46357" xr:uid="{00000000-0005-0000-0000-00004F680000}"/>
    <cellStyle name="Normal 15 3 4 4 5" xfId="32795" xr:uid="{00000000-0005-0000-0000-000050680000}"/>
    <cellStyle name="Normal 15 3 4 5" xfId="9031" xr:uid="{00000000-0005-0000-0000-000051680000}"/>
    <cellStyle name="Normal 15 3 4 5 2" xfId="15821" xr:uid="{00000000-0005-0000-0000-000052680000}"/>
    <cellStyle name="Normal 15 3 4 5 2 2" xfId="29389" xr:uid="{00000000-0005-0000-0000-000053680000}"/>
    <cellStyle name="Normal 15 3 4 5 2 2 2" xfId="56522" xr:uid="{00000000-0005-0000-0000-000054680000}"/>
    <cellStyle name="Normal 15 3 4 5 2 3" xfId="42960" xr:uid="{00000000-0005-0000-0000-000055680000}"/>
    <cellStyle name="Normal 15 3 4 5 3" xfId="22608" xr:uid="{00000000-0005-0000-0000-000056680000}"/>
    <cellStyle name="Normal 15 3 4 5 3 2" xfId="49741" xr:uid="{00000000-0005-0000-0000-000057680000}"/>
    <cellStyle name="Normal 15 3 4 5 4" xfId="36179" xr:uid="{00000000-0005-0000-0000-000058680000}"/>
    <cellStyle name="Normal 15 3 4 6" xfId="12432" xr:uid="{00000000-0005-0000-0000-000059680000}"/>
    <cellStyle name="Normal 15 3 4 6 2" xfId="26000" xr:uid="{00000000-0005-0000-0000-00005A680000}"/>
    <cellStyle name="Normal 15 3 4 6 2 2" xfId="53133" xr:uid="{00000000-0005-0000-0000-00005B680000}"/>
    <cellStyle name="Normal 15 3 4 6 3" xfId="39571" xr:uid="{00000000-0005-0000-0000-00005C680000}"/>
    <cellStyle name="Normal 15 3 4 7" xfId="19219" xr:uid="{00000000-0005-0000-0000-00005D680000}"/>
    <cellStyle name="Normal 15 3 4 7 2" xfId="46352" xr:uid="{00000000-0005-0000-0000-00005E680000}"/>
    <cellStyle name="Normal 15 3 4 8" xfId="32790" xr:uid="{00000000-0005-0000-0000-00005F680000}"/>
    <cellStyle name="Normal 15 3 5" xfId="5491" xr:uid="{00000000-0005-0000-0000-000060680000}"/>
    <cellStyle name="Normal 15 3 5 2" xfId="5492" xr:uid="{00000000-0005-0000-0000-000061680000}"/>
    <cellStyle name="Normal 15 3 5 2 2" xfId="9038" xr:uid="{00000000-0005-0000-0000-000062680000}"/>
    <cellStyle name="Normal 15 3 5 2 2 2" xfId="15828" xr:uid="{00000000-0005-0000-0000-000063680000}"/>
    <cellStyle name="Normal 15 3 5 2 2 2 2" xfId="29396" xr:uid="{00000000-0005-0000-0000-000064680000}"/>
    <cellStyle name="Normal 15 3 5 2 2 2 2 2" xfId="56529" xr:uid="{00000000-0005-0000-0000-000065680000}"/>
    <cellStyle name="Normal 15 3 5 2 2 2 3" xfId="42967" xr:uid="{00000000-0005-0000-0000-000066680000}"/>
    <cellStyle name="Normal 15 3 5 2 2 3" xfId="22615" xr:uid="{00000000-0005-0000-0000-000067680000}"/>
    <cellStyle name="Normal 15 3 5 2 2 3 2" xfId="49748" xr:uid="{00000000-0005-0000-0000-000068680000}"/>
    <cellStyle name="Normal 15 3 5 2 2 4" xfId="36186" xr:uid="{00000000-0005-0000-0000-000069680000}"/>
    <cellStyle name="Normal 15 3 5 2 3" xfId="12439" xr:uid="{00000000-0005-0000-0000-00006A680000}"/>
    <cellStyle name="Normal 15 3 5 2 3 2" xfId="26007" xr:uid="{00000000-0005-0000-0000-00006B680000}"/>
    <cellStyle name="Normal 15 3 5 2 3 2 2" xfId="53140" xr:uid="{00000000-0005-0000-0000-00006C680000}"/>
    <cellStyle name="Normal 15 3 5 2 3 3" xfId="39578" xr:uid="{00000000-0005-0000-0000-00006D680000}"/>
    <cellStyle name="Normal 15 3 5 2 4" xfId="19226" xr:uid="{00000000-0005-0000-0000-00006E680000}"/>
    <cellStyle name="Normal 15 3 5 2 4 2" xfId="46359" xr:uid="{00000000-0005-0000-0000-00006F680000}"/>
    <cellStyle name="Normal 15 3 5 2 5" xfId="32797" xr:uid="{00000000-0005-0000-0000-000070680000}"/>
    <cellStyle name="Normal 15 3 5 3" xfId="5493" xr:uid="{00000000-0005-0000-0000-000071680000}"/>
    <cellStyle name="Normal 15 3 5 3 2" xfId="9039" xr:uid="{00000000-0005-0000-0000-000072680000}"/>
    <cellStyle name="Normal 15 3 5 3 2 2" xfId="15829" xr:uid="{00000000-0005-0000-0000-000073680000}"/>
    <cellStyle name="Normal 15 3 5 3 2 2 2" xfId="29397" xr:uid="{00000000-0005-0000-0000-000074680000}"/>
    <cellStyle name="Normal 15 3 5 3 2 2 2 2" xfId="56530" xr:uid="{00000000-0005-0000-0000-000075680000}"/>
    <cellStyle name="Normal 15 3 5 3 2 2 3" xfId="42968" xr:uid="{00000000-0005-0000-0000-000076680000}"/>
    <cellStyle name="Normal 15 3 5 3 2 3" xfId="22616" xr:uid="{00000000-0005-0000-0000-000077680000}"/>
    <cellStyle name="Normal 15 3 5 3 2 3 2" xfId="49749" xr:uid="{00000000-0005-0000-0000-000078680000}"/>
    <cellStyle name="Normal 15 3 5 3 2 4" xfId="36187" xr:uid="{00000000-0005-0000-0000-000079680000}"/>
    <cellStyle name="Normal 15 3 5 3 3" xfId="12440" xr:uid="{00000000-0005-0000-0000-00007A680000}"/>
    <cellStyle name="Normal 15 3 5 3 3 2" xfId="26008" xr:uid="{00000000-0005-0000-0000-00007B680000}"/>
    <cellStyle name="Normal 15 3 5 3 3 2 2" xfId="53141" xr:uid="{00000000-0005-0000-0000-00007C680000}"/>
    <cellStyle name="Normal 15 3 5 3 3 3" xfId="39579" xr:uid="{00000000-0005-0000-0000-00007D680000}"/>
    <cellStyle name="Normal 15 3 5 3 4" xfId="19227" xr:uid="{00000000-0005-0000-0000-00007E680000}"/>
    <cellStyle name="Normal 15 3 5 3 4 2" xfId="46360" xr:uid="{00000000-0005-0000-0000-00007F680000}"/>
    <cellStyle name="Normal 15 3 5 3 5" xfId="32798" xr:uid="{00000000-0005-0000-0000-000080680000}"/>
    <cellStyle name="Normal 15 3 5 4" xfId="9037" xr:uid="{00000000-0005-0000-0000-000081680000}"/>
    <cellStyle name="Normal 15 3 5 4 2" xfId="15827" xr:uid="{00000000-0005-0000-0000-000082680000}"/>
    <cellStyle name="Normal 15 3 5 4 2 2" xfId="29395" xr:uid="{00000000-0005-0000-0000-000083680000}"/>
    <cellStyle name="Normal 15 3 5 4 2 2 2" xfId="56528" xr:uid="{00000000-0005-0000-0000-000084680000}"/>
    <cellStyle name="Normal 15 3 5 4 2 3" xfId="42966" xr:uid="{00000000-0005-0000-0000-000085680000}"/>
    <cellStyle name="Normal 15 3 5 4 3" xfId="22614" xr:uid="{00000000-0005-0000-0000-000086680000}"/>
    <cellStyle name="Normal 15 3 5 4 3 2" xfId="49747" xr:uid="{00000000-0005-0000-0000-000087680000}"/>
    <cellStyle name="Normal 15 3 5 4 4" xfId="36185" xr:uid="{00000000-0005-0000-0000-000088680000}"/>
    <cellStyle name="Normal 15 3 5 5" xfId="12438" xr:uid="{00000000-0005-0000-0000-000089680000}"/>
    <cellStyle name="Normal 15 3 5 5 2" xfId="26006" xr:uid="{00000000-0005-0000-0000-00008A680000}"/>
    <cellStyle name="Normal 15 3 5 5 2 2" xfId="53139" xr:uid="{00000000-0005-0000-0000-00008B680000}"/>
    <cellStyle name="Normal 15 3 5 5 3" xfId="39577" xr:uid="{00000000-0005-0000-0000-00008C680000}"/>
    <cellStyle name="Normal 15 3 5 6" xfId="19225" xr:uid="{00000000-0005-0000-0000-00008D680000}"/>
    <cellStyle name="Normal 15 3 5 6 2" xfId="46358" xr:uid="{00000000-0005-0000-0000-00008E680000}"/>
    <cellStyle name="Normal 15 3 5 7" xfId="32796" xr:uid="{00000000-0005-0000-0000-00008F680000}"/>
    <cellStyle name="Normal 15 3 6" xfId="5494" xr:uid="{00000000-0005-0000-0000-000090680000}"/>
    <cellStyle name="Normal 15 3 6 2" xfId="5495" xr:uid="{00000000-0005-0000-0000-000091680000}"/>
    <cellStyle name="Normal 15 3 6 2 2" xfId="9041" xr:uid="{00000000-0005-0000-0000-000092680000}"/>
    <cellStyle name="Normal 15 3 6 2 2 2" xfId="15831" xr:uid="{00000000-0005-0000-0000-000093680000}"/>
    <cellStyle name="Normal 15 3 6 2 2 2 2" xfId="29399" xr:uid="{00000000-0005-0000-0000-000094680000}"/>
    <cellStyle name="Normal 15 3 6 2 2 2 2 2" xfId="56532" xr:uid="{00000000-0005-0000-0000-000095680000}"/>
    <cellStyle name="Normal 15 3 6 2 2 2 3" xfId="42970" xr:uid="{00000000-0005-0000-0000-000096680000}"/>
    <cellStyle name="Normal 15 3 6 2 2 3" xfId="22618" xr:uid="{00000000-0005-0000-0000-000097680000}"/>
    <cellStyle name="Normal 15 3 6 2 2 3 2" xfId="49751" xr:uid="{00000000-0005-0000-0000-000098680000}"/>
    <cellStyle name="Normal 15 3 6 2 2 4" xfId="36189" xr:uid="{00000000-0005-0000-0000-000099680000}"/>
    <cellStyle name="Normal 15 3 6 2 3" xfId="12442" xr:uid="{00000000-0005-0000-0000-00009A680000}"/>
    <cellStyle name="Normal 15 3 6 2 3 2" xfId="26010" xr:uid="{00000000-0005-0000-0000-00009B680000}"/>
    <cellStyle name="Normal 15 3 6 2 3 2 2" xfId="53143" xr:uid="{00000000-0005-0000-0000-00009C680000}"/>
    <cellStyle name="Normal 15 3 6 2 3 3" xfId="39581" xr:uid="{00000000-0005-0000-0000-00009D680000}"/>
    <cellStyle name="Normal 15 3 6 2 4" xfId="19229" xr:uid="{00000000-0005-0000-0000-00009E680000}"/>
    <cellStyle name="Normal 15 3 6 2 4 2" xfId="46362" xr:uid="{00000000-0005-0000-0000-00009F680000}"/>
    <cellStyle name="Normal 15 3 6 2 5" xfId="32800" xr:uid="{00000000-0005-0000-0000-0000A0680000}"/>
    <cellStyle name="Normal 15 3 6 3" xfId="5496" xr:uid="{00000000-0005-0000-0000-0000A1680000}"/>
    <cellStyle name="Normal 15 3 6 3 2" xfId="9042" xr:uid="{00000000-0005-0000-0000-0000A2680000}"/>
    <cellStyle name="Normal 15 3 6 3 2 2" xfId="15832" xr:uid="{00000000-0005-0000-0000-0000A3680000}"/>
    <cellStyle name="Normal 15 3 6 3 2 2 2" xfId="29400" xr:uid="{00000000-0005-0000-0000-0000A4680000}"/>
    <cellStyle name="Normal 15 3 6 3 2 2 2 2" xfId="56533" xr:uid="{00000000-0005-0000-0000-0000A5680000}"/>
    <cellStyle name="Normal 15 3 6 3 2 2 3" xfId="42971" xr:uid="{00000000-0005-0000-0000-0000A6680000}"/>
    <cellStyle name="Normal 15 3 6 3 2 3" xfId="22619" xr:uid="{00000000-0005-0000-0000-0000A7680000}"/>
    <cellStyle name="Normal 15 3 6 3 2 3 2" xfId="49752" xr:uid="{00000000-0005-0000-0000-0000A8680000}"/>
    <cellStyle name="Normal 15 3 6 3 2 4" xfId="36190" xr:uid="{00000000-0005-0000-0000-0000A9680000}"/>
    <cellStyle name="Normal 15 3 6 3 3" xfId="12443" xr:uid="{00000000-0005-0000-0000-0000AA680000}"/>
    <cellStyle name="Normal 15 3 6 3 3 2" xfId="26011" xr:uid="{00000000-0005-0000-0000-0000AB680000}"/>
    <cellStyle name="Normal 15 3 6 3 3 2 2" xfId="53144" xr:uid="{00000000-0005-0000-0000-0000AC680000}"/>
    <cellStyle name="Normal 15 3 6 3 3 3" xfId="39582" xr:uid="{00000000-0005-0000-0000-0000AD680000}"/>
    <cellStyle name="Normal 15 3 6 3 4" xfId="19230" xr:uid="{00000000-0005-0000-0000-0000AE680000}"/>
    <cellStyle name="Normal 15 3 6 3 4 2" xfId="46363" xr:uid="{00000000-0005-0000-0000-0000AF680000}"/>
    <cellStyle name="Normal 15 3 6 3 5" xfId="32801" xr:uid="{00000000-0005-0000-0000-0000B0680000}"/>
    <cellStyle name="Normal 15 3 6 4" xfId="9040" xr:uid="{00000000-0005-0000-0000-0000B1680000}"/>
    <cellStyle name="Normal 15 3 6 4 2" xfId="15830" xr:uid="{00000000-0005-0000-0000-0000B2680000}"/>
    <cellStyle name="Normal 15 3 6 4 2 2" xfId="29398" xr:uid="{00000000-0005-0000-0000-0000B3680000}"/>
    <cellStyle name="Normal 15 3 6 4 2 2 2" xfId="56531" xr:uid="{00000000-0005-0000-0000-0000B4680000}"/>
    <cellStyle name="Normal 15 3 6 4 2 3" xfId="42969" xr:uid="{00000000-0005-0000-0000-0000B5680000}"/>
    <cellStyle name="Normal 15 3 6 4 3" xfId="22617" xr:uid="{00000000-0005-0000-0000-0000B6680000}"/>
    <cellStyle name="Normal 15 3 6 4 3 2" xfId="49750" xr:uid="{00000000-0005-0000-0000-0000B7680000}"/>
    <cellStyle name="Normal 15 3 6 4 4" xfId="36188" xr:uid="{00000000-0005-0000-0000-0000B8680000}"/>
    <cellStyle name="Normal 15 3 6 5" xfId="12441" xr:uid="{00000000-0005-0000-0000-0000B9680000}"/>
    <cellStyle name="Normal 15 3 6 5 2" xfId="26009" xr:uid="{00000000-0005-0000-0000-0000BA680000}"/>
    <cellStyle name="Normal 15 3 6 5 2 2" xfId="53142" xr:uid="{00000000-0005-0000-0000-0000BB680000}"/>
    <cellStyle name="Normal 15 3 6 5 3" xfId="39580" xr:uid="{00000000-0005-0000-0000-0000BC680000}"/>
    <cellStyle name="Normal 15 3 6 6" xfId="19228" xr:uid="{00000000-0005-0000-0000-0000BD680000}"/>
    <cellStyle name="Normal 15 3 6 6 2" xfId="46361" xr:uid="{00000000-0005-0000-0000-0000BE680000}"/>
    <cellStyle name="Normal 15 3 6 7" xfId="32799" xr:uid="{00000000-0005-0000-0000-0000BF680000}"/>
    <cellStyle name="Normal 15 3 7" xfId="5497" xr:uid="{00000000-0005-0000-0000-0000C0680000}"/>
    <cellStyle name="Normal 15 3 7 2" xfId="9043" xr:uid="{00000000-0005-0000-0000-0000C1680000}"/>
    <cellStyle name="Normal 15 3 7 2 2" xfId="15833" xr:uid="{00000000-0005-0000-0000-0000C2680000}"/>
    <cellStyle name="Normal 15 3 7 2 2 2" xfId="29401" xr:uid="{00000000-0005-0000-0000-0000C3680000}"/>
    <cellStyle name="Normal 15 3 7 2 2 2 2" xfId="56534" xr:uid="{00000000-0005-0000-0000-0000C4680000}"/>
    <cellStyle name="Normal 15 3 7 2 2 3" xfId="42972" xr:uid="{00000000-0005-0000-0000-0000C5680000}"/>
    <cellStyle name="Normal 15 3 7 2 3" xfId="22620" xr:uid="{00000000-0005-0000-0000-0000C6680000}"/>
    <cellStyle name="Normal 15 3 7 2 3 2" xfId="49753" xr:uid="{00000000-0005-0000-0000-0000C7680000}"/>
    <cellStyle name="Normal 15 3 7 2 4" xfId="36191" xr:uid="{00000000-0005-0000-0000-0000C8680000}"/>
    <cellStyle name="Normal 15 3 7 3" xfId="12444" xr:uid="{00000000-0005-0000-0000-0000C9680000}"/>
    <cellStyle name="Normal 15 3 7 3 2" xfId="26012" xr:uid="{00000000-0005-0000-0000-0000CA680000}"/>
    <cellStyle name="Normal 15 3 7 3 2 2" xfId="53145" xr:uid="{00000000-0005-0000-0000-0000CB680000}"/>
    <cellStyle name="Normal 15 3 7 3 3" xfId="39583" xr:uid="{00000000-0005-0000-0000-0000CC680000}"/>
    <cellStyle name="Normal 15 3 7 4" xfId="19231" xr:uid="{00000000-0005-0000-0000-0000CD680000}"/>
    <cellStyle name="Normal 15 3 7 4 2" xfId="46364" xr:uid="{00000000-0005-0000-0000-0000CE680000}"/>
    <cellStyle name="Normal 15 3 7 5" xfId="32802" xr:uid="{00000000-0005-0000-0000-0000CF680000}"/>
    <cellStyle name="Normal 15 3 8" xfId="5498" xr:uid="{00000000-0005-0000-0000-0000D0680000}"/>
    <cellStyle name="Normal 15 3 8 2" xfId="9044" xr:uid="{00000000-0005-0000-0000-0000D1680000}"/>
    <cellStyle name="Normal 15 3 8 2 2" xfId="15834" xr:uid="{00000000-0005-0000-0000-0000D2680000}"/>
    <cellStyle name="Normal 15 3 8 2 2 2" xfId="29402" xr:uid="{00000000-0005-0000-0000-0000D3680000}"/>
    <cellStyle name="Normal 15 3 8 2 2 2 2" xfId="56535" xr:uid="{00000000-0005-0000-0000-0000D4680000}"/>
    <cellStyle name="Normal 15 3 8 2 2 3" xfId="42973" xr:uid="{00000000-0005-0000-0000-0000D5680000}"/>
    <cellStyle name="Normal 15 3 8 2 3" xfId="22621" xr:uid="{00000000-0005-0000-0000-0000D6680000}"/>
    <cellStyle name="Normal 15 3 8 2 3 2" xfId="49754" xr:uid="{00000000-0005-0000-0000-0000D7680000}"/>
    <cellStyle name="Normal 15 3 8 2 4" xfId="36192" xr:uid="{00000000-0005-0000-0000-0000D8680000}"/>
    <cellStyle name="Normal 15 3 8 3" xfId="12445" xr:uid="{00000000-0005-0000-0000-0000D9680000}"/>
    <cellStyle name="Normal 15 3 8 3 2" xfId="26013" xr:uid="{00000000-0005-0000-0000-0000DA680000}"/>
    <cellStyle name="Normal 15 3 8 3 2 2" xfId="53146" xr:uid="{00000000-0005-0000-0000-0000DB680000}"/>
    <cellStyle name="Normal 15 3 8 3 3" xfId="39584" xr:uid="{00000000-0005-0000-0000-0000DC680000}"/>
    <cellStyle name="Normal 15 3 8 4" xfId="19232" xr:uid="{00000000-0005-0000-0000-0000DD680000}"/>
    <cellStyle name="Normal 15 3 8 4 2" xfId="46365" xr:uid="{00000000-0005-0000-0000-0000DE680000}"/>
    <cellStyle name="Normal 15 3 8 5" xfId="32803" xr:uid="{00000000-0005-0000-0000-0000DF680000}"/>
    <cellStyle name="Normal 15 3 9" xfId="9006" xr:uid="{00000000-0005-0000-0000-0000E0680000}"/>
    <cellStyle name="Normal 15 3 9 2" xfId="15796" xr:uid="{00000000-0005-0000-0000-0000E1680000}"/>
    <cellStyle name="Normal 15 3 9 2 2" xfId="29364" xr:uid="{00000000-0005-0000-0000-0000E2680000}"/>
    <cellStyle name="Normal 15 3 9 2 2 2" xfId="56497" xr:uid="{00000000-0005-0000-0000-0000E3680000}"/>
    <cellStyle name="Normal 15 3 9 2 3" xfId="42935" xr:uid="{00000000-0005-0000-0000-0000E4680000}"/>
    <cellStyle name="Normal 15 3 9 3" xfId="22583" xr:uid="{00000000-0005-0000-0000-0000E5680000}"/>
    <cellStyle name="Normal 15 3 9 3 2" xfId="49716" xr:uid="{00000000-0005-0000-0000-0000E6680000}"/>
    <cellStyle name="Normal 15 3 9 4" xfId="36154" xr:uid="{00000000-0005-0000-0000-0000E7680000}"/>
    <cellStyle name="Normal 15 4" xfId="5499" xr:uid="{00000000-0005-0000-0000-0000E8680000}"/>
    <cellStyle name="Normal 15 4 10" xfId="32804" xr:uid="{00000000-0005-0000-0000-0000E9680000}"/>
    <cellStyle name="Normal 15 4 2" xfId="5500" xr:uid="{00000000-0005-0000-0000-0000EA680000}"/>
    <cellStyle name="Normal 15 4 2 2" xfId="5501" xr:uid="{00000000-0005-0000-0000-0000EB680000}"/>
    <cellStyle name="Normal 15 4 2 2 2" xfId="5502" xr:uid="{00000000-0005-0000-0000-0000EC680000}"/>
    <cellStyle name="Normal 15 4 2 2 2 2" xfId="9048" xr:uid="{00000000-0005-0000-0000-0000ED680000}"/>
    <cellStyle name="Normal 15 4 2 2 2 2 2" xfId="15838" xr:uid="{00000000-0005-0000-0000-0000EE680000}"/>
    <cellStyle name="Normal 15 4 2 2 2 2 2 2" xfId="29406" xr:uid="{00000000-0005-0000-0000-0000EF680000}"/>
    <cellStyle name="Normal 15 4 2 2 2 2 2 2 2" xfId="56539" xr:uid="{00000000-0005-0000-0000-0000F0680000}"/>
    <cellStyle name="Normal 15 4 2 2 2 2 2 3" xfId="42977" xr:uid="{00000000-0005-0000-0000-0000F1680000}"/>
    <cellStyle name="Normal 15 4 2 2 2 2 3" xfId="22625" xr:uid="{00000000-0005-0000-0000-0000F2680000}"/>
    <cellStyle name="Normal 15 4 2 2 2 2 3 2" xfId="49758" xr:uid="{00000000-0005-0000-0000-0000F3680000}"/>
    <cellStyle name="Normal 15 4 2 2 2 2 4" xfId="36196" xr:uid="{00000000-0005-0000-0000-0000F4680000}"/>
    <cellStyle name="Normal 15 4 2 2 2 3" xfId="12449" xr:uid="{00000000-0005-0000-0000-0000F5680000}"/>
    <cellStyle name="Normal 15 4 2 2 2 3 2" xfId="26017" xr:uid="{00000000-0005-0000-0000-0000F6680000}"/>
    <cellStyle name="Normal 15 4 2 2 2 3 2 2" xfId="53150" xr:uid="{00000000-0005-0000-0000-0000F7680000}"/>
    <cellStyle name="Normal 15 4 2 2 2 3 3" xfId="39588" xr:uid="{00000000-0005-0000-0000-0000F8680000}"/>
    <cellStyle name="Normal 15 4 2 2 2 4" xfId="19236" xr:uid="{00000000-0005-0000-0000-0000F9680000}"/>
    <cellStyle name="Normal 15 4 2 2 2 4 2" xfId="46369" xr:uid="{00000000-0005-0000-0000-0000FA680000}"/>
    <cellStyle name="Normal 15 4 2 2 2 5" xfId="32807" xr:uid="{00000000-0005-0000-0000-0000FB680000}"/>
    <cellStyle name="Normal 15 4 2 2 3" xfId="5503" xr:uid="{00000000-0005-0000-0000-0000FC680000}"/>
    <cellStyle name="Normal 15 4 2 2 3 2" xfId="9049" xr:uid="{00000000-0005-0000-0000-0000FD680000}"/>
    <cellStyle name="Normal 15 4 2 2 3 2 2" xfId="15839" xr:uid="{00000000-0005-0000-0000-0000FE680000}"/>
    <cellStyle name="Normal 15 4 2 2 3 2 2 2" xfId="29407" xr:uid="{00000000-0005-0000-0000-0000FF680000}"/>
    <cellStyle name="Normal 15 4 2 2 3 2 2 2 2" xfId="56540" xr:uid="{00000000-0005-0000-0000-000000690000}"/>
    <cellStyle name="Normal 15 4 2 2 3 2 2 3" xfId="42978" xr:uid="{00000000-0005-0000-0000-000001690000}"/>
    <cellStyle name="Normal 15 4 2 2 3 2 3" xfId="22626" xr:uid="{00000000-0005-0000-0000-000002690000}"/>
    <cellStyle name="Normal 15 4 2 2 3 2 3 2" xfId="49759" xr:uid="{00000000-0005-0000-0000-000003690000}"/>
    <cellStyle name="Normal 15 4 2 2 3 2 4" xfId="36197" xr:uid="{00000000-0005-0000-0000-000004690000}"/>
    <cellStyle name="Normal 15 4 2 2 3 3" xfId="12450" xr:uid="{00000000-0005-0000-0000-000005690000}"/>
    <cellStyle name="Normal 15 4 2 2 3 3 2" xfId="26018" xr:uid="{00000000-0005-0000-0000-000006690000}"/>
    <cellStyle name="Normal 15 4 2 2 3 3 2 2" xfId="53151" xr:uid="{00000000-0005-0000-0000-000007690000}"/>
    <cellStyle name="Normal 15 4 2 2 3 3 3" xfId="39589" xr:uid="{00000000-0005-0000-0000-000008690000}"/>
    <cellStyle name="Normal 15 4 2 2 3 4" xfId="19237" xr:uid="{00000000-0005-0000-0000-000009690000}"/>
    <cellStyle name="Normal 15 4 2 2 3 4 2" xfId="46370" xr:uid="{00000000-0005-0000-0000-00000A690000}"/>
    <cellStyle name="Normal 15 4 2 2 3 5" xfId="32808" xr:uid="{00000000-0005-0000-0000-00000B690000}"/>
    <cellStyle name="Normal 15 4 2 2 4" xfId="9047" xr:uid="{00000000-0005-0000-0000-00000C690000}"/>
    <cellStyle name="Normal 15 4 2 2 4 2" xfId="15837" xr:uid="{00000000-0005-0000-0000-00000D690000}"/>
    <cellStyle name="Normal 15 4 2 2 4 2 2" xfId="29405" xr:uid="{00000000-0005-0000-0000-00000E690000}"/>
    <cellStyle name="Normal 15 4 2 2 4 2 2 2" xfId="56538" xr:uid="{00000000-0005-0000-0000-00000F690000}"/>
    <cellStyle name="Normal 15 4 2 2 4 2 3" xfId="42976" xr:uid="{00000000-0005-0000-0000-000010690000}"/>
    <cellStyle name="Normal 15 4 2 2 4 3" xfId="22624" xr:uid="{00000000-0005-0000-0000-000011690000}"/>
    <cellStyle name="Normal 15 4 2 2 4 3 2" xfId="49757" xr:uid="{00000000-0005-0000-0000-000012690000}"/>
    <cellStyle name="Normal 15 4 2 2 4 4" xfId="36195" xr:uid="{00000000-0005-0000-0000-000013690000}"/>
    <cellStyle name="Normal 15 4 2 2 5" xfId="12448" xr:uid="{00000000-0005-0000-0000-000014690000}"/>
    <cellStyle name="Normal 15 4 2 2 5 2" xfId="26016" xr:uid="{00000000-0005-0000-0000-000015690000}"/>
    <cellStyle name="Normal 15 4 2 2 5 2 2" xfId="53149" xr:uid="{00000000-0005-0000-0000-000016690000}"/>
    <cellStyle name="Normal 15 4 2 2 5 3" xfId="39587" xr:uid="{00000000-0005-0000-0000-000017690000}"/>
    <cellStyle name="Normal 15 4 2 2 6" xfId="19235" xr:uid="{00000000-0005-0000-0000-000018690000}"/>
    <cellStyle name="Normal 15 4 2 2 6 2" xfId="46368" xr:uid="{00000000-0005-0000-0000-000019690000}"/>
    <cellStyle name="Normal 15 4 2 2 7" xfId="32806" xr:uid="{00000000-0005-0000-0000-00001A690000}"/>
    <cellStyle name="Normal 15 4 2 3" xfId="5504" xr:uid="{00000000-0005-0000-0000-00001B690000}"/>
    <cellStyle name="Normal 15 4 2 3 2" xfId="5505" xr:uid="{00000000-0005-0000-0000-00001C690000}"/>
    <cellStyle name="Normal 15 4 2 3 2 2" xfId="9051" xr:uid="{00000000-0005-0000-0000-00001D690000}"/>
    <cellStyle name="Normal 15 4 2 3 2 2 2" xfId="15841" xr:uid="{00000000-0005-0000-0000-00001E690000}"/>
    <cellStyle name="Normal 15 4 2 3 2 2 2 2" xfId="29409" xr:uid="{00000000-0005-0000-0000-00001F690000}"/>
    <cellStyle name="Normal 15 4 2 3 2 2 2 2 2" xfId="56542" xr:uid="{00000000-0005-0000-0000-000020690000}"/>
    <cellStyle name="Normal 15 4 2 3 2 2 2 3" xfId="42980" xr:uid="{00000000-0005-0000-0000-000021690000}"/>
    <cellStyle name="Normal 15 4 2 3 2 2 3" xfId="22628" xr:uid="{00000000-0005-0000-0000-000022690000}"/>
    <cellStyle name="Normal 15 4 2 3 2 2 3 2" xfId="49761" xr:uid="{00000000-0005-0000-0000-000023690000}"/>
    <cellStyle name="Normal 15 4 2 3 2 2 4" xfId="36199" xr:uid="{00000000-0005-0000-0000-000024690000}"/>
    <cellStyle name="Normal 15 4 2 3 2 3" xfId="12452" xr:uid="{00000000-0005-0000-0000-000025690000}"/>
    <cellStyle name="Normal 15 4 2 3 2 3 2" xfId="26020" xr:uid="{00000000-0005-0000-0000-000026690000}"/>
    <cellStyle name="Normal 15 4 2 3 2 3 2 2" xfId="53153" xr:uid="{00000000-0005-0000-0000-000027690000}"/>
    <cellStyle name="Normal 15 4 2 3 2 3 3" xfId="39591" xr:uid="{00000000-0005-0000-0000-000028690000}"/>
    <cellStyle name="Normal 15 4 2 3 2 4" xfId="19239" xr:uid="{00000000-0005-0000-0000-000029690000}"/>
    <cellStyle name="Normal 15 4 2 3 2 4 2" xfId="46372" xr:uid="{00000000-0005-0000-0000-00002A690000}"/>
    <cellStyle name="Normal 15 4 2 3 2 5" xfId="32810" xr:uid="{00000000-0005-0000-0000-00002B690000}"/>
    <cellStyle name="Normal 15 4 2 3 3" xfId="9050" xr:uid="{00000000-0005-0000-0000-00002C690000}"/>
    <cellStyle name="Normal 15 4 2 3 3 2" xfId="15840" xr:uid="{00000000-0005-0000-0000-00002D690000}"/>
    <cellStyle name="Normal 15 4 2 3 3 2 2" xfId="29408" xr:uid="{00000000-0005-0000-0000-00002E690000}"/>
    <cellStyle name="Normal 15 4 2 3 3 2 2 2" xfId="56541" xr:uid="{00000000-0005-0000-0000-00002F690000}"/>
    <cellStyle name="Normal 15 4 2 3 3 2 3" xfId="42979" xr:uid="{00000000-0005-0000-0000-000030690000}"/>
    <cellStyle name="Normal 15 4 2 3 3 3" xfId="22627" xr:uid="{00000000-0005-0000-0000-000031690000}"/>
    <cellStyle name="Normal 15 4 2 3 3 3 2" xfId="49760" xr:uid="{00000000-0005-0000-0000-000032690000}"/>
    <cellStyle name="Normal 15 4 2 3 3 4" xfId="36198" xr:uid="{00000000-0005-0000-0000-000033690000}"/>
    <cellStyle name="Normal 15 4 2 3 4" xfId="12451" xr:uid="{00000000-0005-0000-0000-000034690000}"/>
    <cellStyle name="Normal 15 4 2 3 4 2" xfId="26019" xr:uid="{00000000-0005-0000-0000-000035690000}"/>
    <cellStyle name="Normal 15 4 2 3 4 2 2" xfId="53152" xr:uid="{00000000-0005-0000-0000-000036690000}"/>
    <cellStyle name="Normal 15 4 2 3 4 3" xfId="39590" xr:uid="{00000000-0005-0000-0000-000037690000}"/>
    <cellStyle name="Normal 15 4 2 3 5" xfId="19238" xr:uid="{00000000-0005-0000-0000-000038690000}"/>
    <cellStyle name="Normal 15 4 2 3 5 2" xfId="46371" xr:uid="{00000000-0005-0000-0000-000039690000}"/>
    <cellStyle name="Normal 15 4 2 3 6" xfId="32809" xr:uid="{00000000-0005-0000-0000-00003A690000}"/>
    <cellStyle name="Normal 15 4 2 4" xfId="5506" xr:uid="{00000000-0005-0000-0000-00003B690000}"/>
    <cellStyle name="Normal 15 4 2 4 2" xfId="9052" xr:uid="{00000000-0005-0000-0000-00003C690000}"/>
    <cellStyle name="Normal 15 4 2 4 2 2" xfId="15842" xr:uid="{00000000-0005-0000-0000-00003D690000}"/>
    <cellStyle name="Normal 15 4 2 4 2 2 2" xfId="29410" xr:uid="{00000000-0005-0000-0000-00003E690000}"/>
    <cellStyle name="Normal 15 4 2 4 2 2 2 2" xfId="56543" xr:uid="{00000000-0005-0000-0000-00003F690000}"/>
    <cellStyle name="Normal 15 4 2 4 2 2 3" xfId="42981" xr:uid="{00000000-0005-0000-0000-000040690000}"/>
    <cellStyle name="Normal 15 4 2 4 2 3" xfId="22629" xr:uid="{00000000-0005-0000-0000-000041690000}"/>
    <cellStyle name="Normal 15 4 2 4 2 3 2" xfId="49762" xr:uid="{00000000-0005-0000-0000-000042690000}"/>
    <cellStyle name="Normal 15 4 2 4 2 4" xfId="36200" xr:uid="{00000000-0005-0000-0000-000043690000}"/>
    <cellStyle name="Normal 15 4 2 4 3" xfId="12453" xr:uid="{00000000-0005-0000-0000-000044690000}"/>
    <cellStyle name="Normal 15 4 2 4 3 2" xfId="26021" xr:uid="{00000000-0005-0000-0000-000045690000}"/>
    <cellStyle name="Normal 15 4 2 4 3 2 2" xfId="53154" xr:uid="{00000000-0005-0000-0000-000046690000}"/>
    <cellStyle name="Normal 15 4 2 4 3 3" xfId="39592" xr:uid="{00000000-0005-0000-0000-000047690000}"/>
    <cellStyle name="Normal 15 4 2 4 4" xfId="19240" xr:uid="{00000000-0005-0000-0000-000048690000}"/>
    <cellStyle name="Normal 15 4 2 4 4 2" xfId="46373" xr:uid="{00000000-0005-0000-0000-000049690000}"/>
    <cellStyle name="Normal 15 4 2 4 5" xfId="32811" xr:uid="{00000000-0005-0000-0000-00004A690000}"/>
    <cellStyle name="Normal 15 4 2 5" xfId="5507" xr:uid="{00000000-0005-0000-0000-00004B690000}"/>
    <cellStyle name="Normal 15 4 2 5 2" xfId="9053" xr:uid="{00000000-0005-0000-0000-00004C690000}"/>
    <cellStyle name="Normal 15 4 2 5 2 2" xfId="15843" xr:uid="{00000000-0005-0000-0000-00004D690000}"/>
    <cellStyle name="Normal 15 4 2 5 2 2 2" xfId="29411" xr:uid="{00000000-0005-0000-0000-00004E690000}"/>
    <cellStyle name="Normal 15 4 2 5 2 2 2 2" xfId="56544" xr:uid="{00000000-0005-0000-0000-00004F690000}"/>
    <cellStyle name="Normal 15 4 2 5 2 2 3" xfId="42982" xr:uid="{00000000-0005-0000-0000-000050690000}"/>
    <cellStyle name="Normal 15 4 2 5 2 3" xfId="22630" xr:uid="{00000000-0005-0000-0000-000051690000}"/>
    <cellStyle name="Normal 15 4 2 5 2 3 2" xfId="49763" xr:uid="{00000000-0005-0000-0000-000052690000}"/>
    <cellStyle name="Normal 15 4 2 5 2 4" xfId="36201" xr:uid="{00000000-0005-0000-0000-000053690000}"/>
    <cellStyle name="Normal 15 4 2 5 3" xfId="12454" xr:uid="{00000000-0005-0000-0000-000054690000}"/>
    <cellStyle name="Normal 15 4 2 5 3 2" xfId="26022" xr:uid="{00000000-0005-0000-0000-000055690000}"/>
    <cellStyle name="Normal 15 4 2 5 3 2 2" xfId="53155" xr:uid="{00000000-0005-0000-0000-000056690000}"/>
    <cellStyle name="Normal 15 4 2 5 3 3" xfId="39593" xr:uid="{00000000-0005-0000-0000-000057690000}"/>
    <cellStyle name="Normal 15 4 2 5 4" xfId="19241" xr:uid="{00000000-0005-0000-0000-000058690000}"/>
    <cellStyle name="Normal 15 4 2 5 4 2" xfId="46374" xr:uid="{00000000-0005-0000-0000-000059690000}"/>
    <cellStyle name="Normal 15 4 2 5 5" xfId="32812" xr:uid="{00000000-0005-0000-0000-00005A690000}"/>
    <cellStyle name="Normal 15 4 2 6" xfId="9046" xr:uid="{00000000-0005-0000-0000-00005B690000}"/>
    <cellStyle name="Normal 15 4 2 6 2" xfId="15836" xr:uid="{00000000-0005-0000-0000-00005C690000}"/>
    <cellStyle name="Normal 15 4 2 6 2 2" xfId="29404" xr:uid="{00000000-0005-0000-0000-00005D690000}"/>
    <cellStyle name="Normal 15 4 2 6 2 2 2" xfId="56537" xr:uid="{00000000-0005-0000-0000-00005E690000}"/>
    <cellStyle name="Normal 15 4 2 6 2 3" xfId="42975" xr:uid="{00000000-0005-0000-0000-00005F690000}"/>
    <cellStyle name="Normal 15 4 2 6 3" xfId="22623" xr:uid="{00000000-0005-0000-0000-000060690000}"/>
    <cellStyle name="Normal 15 4 2 6 3 2" xfId="49756" xr:uid="{00000000-0005-0000-0000-000061690000}"/>
    <cellStyle name="Normal 15 4 2 6 4" xfId="36194" xr:uid="{00000000-0005-0000-0000-000062690000}"/>
    <cellStyle name="Normal 15 4 2 7" xfId="12447" xr:uid="{00000000-0005-0000-0000-000063690000}"/>
    <cellStyle name="Normal 15 4 2 7 2" xfId="26015" xr:uid="{00000000-0005-0000-0000-000064690000}"/>
    <cellStyle name="Normal 15 4 2 7 2 2" xfId="53148" xr:uid="{00000000-0005-0000-0000-000065690000}"/>
    <cellStyle name="Normal 15 4 2 7 3" xfId="39586" xr:uid="{00000000-0005-0000-0000-000066690000}"/>
    <cellStyle name="Normal 15 4 2 8" xfId="19234" xr:uid="{00000000-0005-0000-0000-000067690000}"/>
    <cellStyle name="Normal 15 4 2 8 2" xfId="46367" xr:uid="{00000000-0005-0000-0000-000068690000}"/>
    <cellStyle name="Normal 15 4 2 9" xfId="32805" xr:uid="{00000000-0005-0000-0000-000069690000}"/>
    <cellStyle name="Normal 15 4 3" xfId="5508" xr:uid="{00000000-0005-0000-0000-00006A690000}"/>
    <cellStyle name="Normal 15 4 3 2" xfId="5509" xr:uid="{00000000-0005-0000-0000-00006B690000}"/>
    <cellStyle name="Normal 15 4 3 2 2" xfId="9055" xr:uid="{00000000-0005-0000-0000-00006C690000}"/>
    <cellStyle name="Normal 15 4 3 2 2 2" xfId="15845" xr:uid="{00000000-0005-0000-0000-00006D690000}"/>
    <cellStyle name="Normal 15 4 3 2 2 2 2" xfId="29413" xr:uid="{00000000-0005-0000-0000-00006E690000}"/>
    <cellStyle name="Normal 15 4 3 2 2 2 2 2" xfId="56546" xr:uid="{00000000-0005-0000-0000-00006F690000}"/>
    <cellStyle name="Normal 15 4 3 2 2 2 3" xfId="42984" xr:uid="{00000000-0005-0000-0000-000070690000}"/>
    <cellStyle name="Normal 15 4 3 2 2 3" xfId="22632" xr:uid="{00000000-0005-0000-0000-000071690000}"/>
    <cellStyle name="Normal 15 4 3 2 2 3 2" xfId="49765" xr:uid="{00000000-0005-0000-0000-000072690000}"/>
    <cellStyle name="Normal 15 4 3 2 2 4" xfId="36203" xr:uid="{00000000-0005-0000-0000-000073690000}"/>
    <cellStyle name="Normal 15 4 3 2 3" xfId="12456" xr:uid="{00000000-0005-0000-0000-000074690000}"/>
    <cellStyle name="Normal 15 4 3 2 3 2" xfId="26024" xr:uid="{00000000-0005-0000-0000-000075690000}"/>
    <cellStyle name="Normal 15 4 3 2 3 2 2" xfId="53157" xr:uid="{00000000-0005-0000-0000-000076690000}"/>
    <cellStyle name="Normal 15 4 3 2 3 3" xfId="39595" xr:uid="{00000000-0005-0000-0000-000077690000}"/>
    <cellStyle name="Normal 15 4 3 2 4" xfId="19243" xr:uid="{00000000-0005-0000-0000-000078690000}"/>
    <cellStyle name="Normal 15 4 3 2 4 2" xfId="46376" xr:uid="{00000000-0005-0000-0000-000079690000}"/>
    <cellStyle name="Normal 15 4 3 2 5" xfId="32814" xr:uid="{00000000-0005-0000-0000-00007A690000}"/>
    <cellStyle name="Normal 15 4 3 3" xfId="5510" xr:uid="{00000000-0005-0000-0000-00007B690000}"/>
    <cellStyle name="Normal 15 4 3 3 2" xfId="9056" xr:uid="{00000000-0005-0000-0000-00007C690000}"/>
    <cellStyle name="Normal 15 4 3 3 2 2" xfId="15846" xr:uid="{00000000-0005-0000-0000-00007D690000}"/>
    <cellStyle name="Normal 15 4 3 3 2 2 2" xfId="29414" xr:uid="{00000000-0005-0000-0000-00007E690000}"/>
    <cellStyle name="Normal 15 4 3 3 2 2 2 2" xfId="56547" xr:uid="{00000000-0005-0000-0000-00007F690000}"/>
    <cellStyle name="Normal 15 4 3 3 2 2 3" xfId="42985" xr:uid="{00000000-0005-0000-0000-000080690000}"/>
    <cellStyle name="Normal 15 4 3 3 2 3" xfId="22633" xr:uid="{00000000-0005-0000-0000-000081690000}"/>
    <cellStyle name="Normal 15 4 3 3 2 3 2" xfId="49766" xr:uid="{00000000-0005-0000-0000-000082690000}"/>
    <cellStyle name="Normal 15 4 3 3 2 4" xfId="36204" xr:uid="{00000000-0005-0000-0000-000083690000}"/>
    <cellStyle name="Normal 15 4 3 3 3" xfId="12457" xr:uid="{00000000-0005-0000-0000-000084690000}"/>
    <cellStyle name="Normal 15 4 3 3 3 2" xfId="26025" xr:uid="{00000000-0005-0000-0000-000085690000}"/>
    <cellStyle name="Normal 15 4 3 3 3 2 2" xfId="53158" xr:uid="{00000000-0005-0000-0000-000086690000}"/>
    <cellStyle name="Normal 15 4 3 3 3 3" xfId="39596" xr:uid="{00000000-0005-0000-0000-000087690000}"/>
    <cellStyle name="Normal 15 4 3 3 4" xfId="19244" xr:uid="{00000000-0005-0000-0000-000088690000}"/>
    <cellStyle name="Normal 15 4 3 3 4 2" xfId="46377" xr:uid="{00000000-0005-0000-0000-000089690000}"/>
    <cellStyle name="Normal 15 4 3 3 5" xfId="32815" xr:uid="{00000000-0005-0000-0000-00008A690000}"/>
    <cellStyle name="Normal 15 4 3 4" xfId="9054" xr:uid="{00000000-0005-0000-0000-00008B690000}"/>
    <cellStyle name="Normal 15 4 3 4 2" xfId="15844" xr:uid="{00000000-0005-0000-0000-00008C690000}"/>
    <cellStyle name="Normal 15 4 3 4 2 2" xfId="29412" xr:uid="{00000000-0005-0000-0000-00008D690000}"/>
    <cellStyle name="Normal 15 4 3 4 2 2 2" xfId="56545" xr:uid="{00000000-0005-0000-0000-00008E690000}"/>
    <cellStyle name="Normal 15 4 3 4 2 3" xfId="42983" xr:uid="{00000000-0005-0000-0000-00008F690000}"/>
    <cellStyle name="Normal 15 4 3 4 3" xfId="22631" xr:uid="{00000000-0005-0000-0000-000090690000}"/>
    <cellStyle name="Normal 15 4 3 4 3 2" xfId="49764" xr:uid="{00000000-0005-0000-0000-000091690000}"/>
    <cellStyle name="Normal 15 4 3 4 4" xfId="36202" xr:uid="{00000000-0005-0000-0000-000092690000}"/>
    <cellStyle name="Normal 15 4 3 5" xfId="12455" xr:uid="{00000000-0005-0000-0000-000093690000}"/>
    <cellStyle name="Normal 15 4 3 5 2" xfId="26023" xr:uid="{00000000-0005-0000-0000-000094690000}"/>
    <cellStyle name="Normal 15 4 3 5 2 2" xfId="53156" xr:uid="{00000000-0005-0000-0000-000095690000}"/>
    <cellStyle name="Normal 15 4 3 5 3" xfId="39594" xr:uid="{00000000-0005-0000-0000-000096690000}"/>
    <cellStyle name="Normal 15 4 3 6" xfId="19242" xr:uid="{00000000-0005-0000-0000-000097690000}"/>
    <cellStyle name="Normal 15 4 3 6 2" xfId="46375" xr:uid="{00000000-0005-0000-0000-000098690000}"/>
    <cellStyle name="Normal 15 4 3 7" xfId="32813" xr:uid="{00000000-0005-0000-0000-000099690000}"/>
    <cellStyle name="Normal 15 4 4" xfId="5511" xr:uid="{00000000-0005-0000-0000-00009A690000}"/>
    <cellStyle name="Normal 15 4 4 2" xfId="5512" xr:uid="{00000000-0005-0000-0000-00009B690000}"/>
    <cellStyle name="Normal 15 4 4 2 2" xfId="9058" xr:uid="{00000000-0005-0000-0000-00009C690000}"/>
    <cellStyle name="Normal 15 4 4 2 2 2" xfId="15848" xr:uid="{00000000-0005-0000-0000-00009D690000}"/>
    <cellStyle name="Normal 15 4 4 2 2 2 2" xfId="29416" xr:uid="{00000000-0005-0000-0000-00009E690000}"/>
    <cellStyle name="Normal 15 4 4 2 2 2 2 2" xfId="56549" xr:uid="{00000000-0005-0000-0000-00009F690000}"/>
    <cellStyle name="Normal 15 4 4 2 2 2 3" xfId="42987" xr:uid="{00000000-0005-0000-0000-0000A0690000}"/>
    <cellStyle name="Normal 15 4 4 2 2 3" xfId="22635" xr:uid="{00000000-0005-0000-0000-0000A1690000}"/>
    <cellStyle name="Normal 15 4 4 2 2 3 2" xfId="49768" xr:uid="{00000000-0005-0000-0000-0000A2690000}"/>
    <cellStyle name="Normal 15 4 4 2 2 4" xfId="36206" xr:uid="{00000000-0005-0000-0000-0000A3690000}"/>
    <cellStyle name="Normal 15 4 4 2 3" xfId="12459" xr:uid="{00000000-0005-0000-0000-0000A4690000}"/>
    <cellStyle name="Normal 15 4 4 2 3 2" xfId="26027" xr:uid="{00000000-0005-0000-0000-0000A5690000}"/>
    <cellStyle name="Normal 15 4 4 2 3 2 2" xfId="53160" xr:uid="{00000000-0005-0000-0000-0000A6690000}"/>
    <cellStyle name="Normal 15 4 4 2 3 3" xfId="39598" xr:uid="{00000000-0005-0000-0000-0000A7690000}"/>
    <cellStyle name="Normal 15 4 4 2 4" xfId="19246" xr:uid="{00000000-0005-0000-0000-0000A8690000}"/>
    <cellStyle name="Normal 15 4 4 2 4 2" xfId="46379" xr:uid="{00000000-0005-0000-0000-0000A9690000}"/>
    <cellStyle name="Normal 15 4 4 2 5" xfId="32817" xr:uid="{00000000-0005-0000-0000-0000AA690000}"/>
    <cellStyle name="Normal 15 4 4 3" xfId="9057" xr:uid="{00000000-0005-0000-0000-0000AB690000}"/>
    <cellStyle name="Normal 15 4 4 3 2" xfId="15847" xr:uid="{00000000-0005-0000-0000-0000AC690000}"/>
    <cellStyle name="Normal 15 4 4 3 2 2" xfId="29415" xr:uid="{00000000-0005-0000-0000-0000AD690000}"/>
    <cellStyle name="Normal 15 4 4 3 2 2 2" xfId="56548" xr:uid="{00000000-0005-0000-0000-0000AE690000}"/>
    <cellStyle name="Normal 15 4 4 3 2 3" xfId="42986" xr:uid="{00000000-0005-0000-0000-0000AF690000}"/>
    <cellStyle name="Normal 15 4 4 3 3" xfId="22634" xr:uid="{00000000-0005-0000-0000-0000B0690000}"/>
    <cellStyle name="Normal 15 4 4 3 3 2" xfId="49767" xr:uid="{00000000-0005-0000-0000-0000B1690000}"/>
    <cellStyle name="Normal 15 4 4 3 4" xfId="36205" xr:uid="{00000000-0005-0000-0000-0000B2690000}"/>
    <cellStyle name="Normal 15 4 4 4" xfId="12458" xr:uid="{00000000-0005-0000-0000-0000B3690000}"/>
    <cellStyle name="Normal 15 4 4 4 2" xfId="26026" xr:uid="{00000000-0005-0000-0000-0000B4690000}"/>
    <cellStyle name="Normal 15 4 4 4 2 2" xfId="53159" xr:uid="{00000000-0005-0000-0000-0000B5690000}"/>
    <cellStyle name="Normal 15 4 4 4 3" xfId="39597" xr:uid="{00000000-0005-0000-0000-0000B6690000}"/>
    <cellStyle name="Normal 15 4 4 5" xfId="19245" xr:uid="{00000000-0005-0000-0000-0000B7690000}"/>
    <cellStyle name="Normal 15 4 4 5 2" xfId="46378" xr:uid="{00000000-0005-0000-0000-0000B8690000}"/>
    <cellStyle name="Normal 15 4 4 6" xfId="32816" xr:uid="{00000000-0005-0000-0000-0000B9690000}"/>
    <cellStyle name="Normal 15 4 5" xfId="5513" xr:uid="{00000000-0005-0000-0000-0000BA690000}"/>
    <cellStyle name="Normal 15 4 5 2" xfId="9059" xr:uid="{00000000-0005-0000-0000-0000BB690000}"/>
    <cellStyle name="Normal 15 4 5 2 2" xfId="15849" xr:uid="{00000000-0005-0000-0000-0000BC690000}"/>
    <cellStyle name="Normal 15 4 5 2 2 2" xfId="29417" xr:uid="{00000000-0005-0000-0000-0000BD690000}"/>
    <cellStyle name="Normal 15 4 5 2 2 2 2" xfId="56550" xr:uid="{00000000-0005-0000-0000-0000BE690000}"/>
    <cellStyle name="Normal 15 4 5 2 2 3" xfId="42988" xr:uid="{00000000-0005-0000-0000-0000BF690000}"/>
    <cellStyle name="Normal 15 4 5 2 3" xfId="22636" xr:uid="{00000000-0005-0000-0000-0000C0690000}"/>
    <cellStyle name="Normal 15 4 5 2 3 2" xfId="49769" xr:uid="{00000000-0005-0000-0000-0000C1690000}"/>
    <cellStyle name="Normal 15 4 5 2 4" xfId="36207" xr:uid="{00000000-0005-0000-0000-0000C2690000}"/>
    <cellStyle name="Normal 15 4 5 3" xfId="12460" xr:uid="{00000000-0005-0000-0000-0000C3690000}"/>
    <cellStyle name="Normal 15 4 5 3 2" xfId="26028" xr:uid="{00000000-0005-0000-0000-0000C4690000}"/>
    <cellStyle name="Normal 15 4 5 3 2 2" xfId="53161" xr:uid="{00000000-0005-0000-0000-0000C5690000}"/>
    <cellStyle name="Normal 15 4 5 3 3" xfId="39599" xr:uid="{00000000-0005-0000-0000-0000C6690000}"/>
    <cellStyle name="Normal 15 4 5 4" xfId="19247" xr:uid="{00000000-0005-0000-0000-0000C7690000}"/>
    <cellStyle name="Normal 15 4 5 4 2" xfId="46380" xr:uid="{00000000-0005-0000-0000-0000C8690000}"/>
    <cellStyle name="Normal 15 4 5 5" xfId="32818" xr:uid="{00000000-0005-0000-0000-0000C9690000}"/>
    <cellStyle name="Normal 15 4 6" xfId="5514" xr:uid="{00000000-0005-0000-0000-0000CA690000}"/>
    <cellStyle name="Normal 15 4 6 2" xfId="9060" xr:uid="{00000000-0005-0000-0000-0000CB690000}"/>
    <cellStyle name="Normal 15 4 6 2 2" xfId="15850" xr:uid="{00000000-0005-0000-0000-0000CC690000}"/>
    <cellStyle name="Normal 15 4 6 2 2 2" xfId="29418" xr:uid="{00000000-0005-0000-0000-0000CD690000}"/>
    <cellStyle name="Normal 15 4 6 2 2 2 2" xfId="56551" xr:uid="{00000000-0005-0000-0000-0000CE690000}"/>
    <cellStyle name="Normal 15 4 6 2 2 3" xfId="42989" xr:uid="{00000000-0005-0000-0000-0000CF690000}"/>
    <cellStyle name="Normal 15 4 6 2 3" xfId="22637" xr:uid="{00000000-0005-0000-0000-0000D0690000}"/>
    <cellStyle name="Normal 15 4 6 2 3 2" xfId="49770" xr:uid="{00000000-0005-0000-0000-0000D1690000}"/>
    <cellStyle name="Normal 15 4 6 2 4" xfId="36208" xr:uid="{00000000-0005-0000-0000-0000D2690000}"/>
    <cellStyle name="Normal 15 4 6 3" xfId="12461" xr:uid="{00000000-0005-0000-0000-0000D3690000}"/>
    <cellStyle name="Normal 15 4 6 3 2" xfId="26029" xr:uid="{00000000-0005-0000-0000-0000D4690000}"/>
    <cellStyle name="Normal 15 4 6 3 2 2" xfId="53162" xr:uid="{00000000-0005-0000-0000-0000D5690000}"/>
    <cellStyle name="Normal 15 4 6 3 3" xfId="39600" xr:uid="{00000000-0005-0000-0000-0000D6690000}"/>
    <cellStyle name="Normal 15 4 6 4" xfId="19248" xr:uid="{00000000-0005-0000-0000-0000D7690000}"/>
    <cellStyle name="Normal 15 4 6 4 2" xfId="46381" xr:uid="{00000000-0005-0000-0000-0000D8690000}"/>
    <cellStyle name="Normal 15 4 6 5" xfId="32819" xr:uid="{00000000-0005-0000-0000-0000D9690000}"/>
    <cellStyle name="Normal 15 4 7" xfId="9045" xr:uid="{00000000-0005-0000-0000-0000DA690000}"/>
    <cellStyle name="Normal 15 4 7 2" xfId="15835" xr:uid="{00000000-0005-0000-0000-0000DB690000}"/>
    <cellStyle name="Normal 15 4 7 2 2" xfId="29403" xr:uid="{00000000-0005-0000-0000-0000DC690000}"/>
    <cellStyle name="Normal 15 4 7 2 2 2" xfId="56536" xr:uid="{00000000-0005-0000-0000-0000DD690000}"/>
    <cellStyle name="Normal 15 4 7 2 3" xfId="42974" xr:uid="{00000000-0005-0000-0000-0000DE690000}"/>
    <cellStyle name="Normal 15 4 7 3" xfId="22622" xr:uid="{00000000-0005-0000-0000-0000DF690000}"/>
    <cellStyle name="Normal 15 4 7 3 2" xfId="49755" xr:uid="{00000000-0005-0000-0000-0000E0690000}"/>
    <cellStyle name="Normal 15 4 7 4" xfId="36193" xr:uid="{00000000-0005-0000-0000-0000E1690000}"/>
    <cellStyle name="Normal 15 4 8" xfId="12446" xr:uid="{00000000-0005-0000-0000-0000E2690000}"/>
    <cellStyle name="Normal 15 4 8 2" xfId="26014" xr:uid="{00000000-0005-0000-0000-0000E3690000}"/>
    <cellStyle name="Normal 15 4 8 2 2" xfId="53147" xr:uid="{00000000-0005-0000-0000-0000E4690000}"/>
    <cellStyle name="Normal 15 4 8 3" xfId="39585" xr:uid="{00000000-0005-0000-0000-0000E5690000}"/>
    <cellStyle name="Normal 15 4 9" xfId="19233" xr:uid="{00000000-0005-0000-0000-0000E6690000}"/>
    <cellStyle name="Normal 15 4 9 2" xfId="46366" xr:uid="{00000000-0005-0000-0000-0000E7690000}"/>
    <cellStyle name="Normal 15 5" xfId="5515" xr:uid="{00000000-0005-0000-0000-0000E8690000}"/>
    <cellStyle name="Normal 15 5 2" xfId="5516" xr:uid="{00000000-0005-0000-0000-0000E9690000}"/>
    <cellStyle name="Normal 15 5 2 2" xfId="5517" xr:uid="{00000000-0005-0000-0000-0000EA690000}"/>
    <cellStyle name="Normal 15 5 2 2 2" xfId="9063" xr:uid="{00000000-0005-0000-0000-0000EB690000}"/>
    <cellStyle name="Normal 15 5 2 2 2 2" xfId="15853" xr:uid="{00000000-0005-0000-0000-0000EC690000}"/>
    <cellStyle name="Normal 15 5 2 2 2 2 2" xfId="29421" xr:uid="{00000000-0005-0000-0000-0000ED690000}"/>
    <cellStyle name="Normal 15 5 2 2 2 2 2 2" xfId="56554" xr:uid="{00000000-0005-0000-0000-0000EE690000}"/>
    <cellStyle name="Normal 15 5 2 2 2 2 3" xfId="42992" xr:uid="{00000000-0005-0000-0000-0000EF690000}"/>
    <cellStyle name="Normal 15 5 2 2 2 3" xfId="22640" xr:uid="{00000000-0005-0000-0000-0000F0690000}"/>
    <cellStyle name="Normal 15 5 2 2 2 3 2" xfId="49773" xr:uid="{00000000-0005-0000-0000-0000F1690000}"/>
    <cellStyle name="Normal 15 5 2 2 2 4" xfId="36211" xr:uid="{00000000-0005-0000-0000-0000F2690000}"/>
    <cellStyle name="Normal 15 5 2 2 3" xfId="12464" xr:uid="{00000000-0005-0000-0000-0000F3690000}"/>
    <cellStyle name="Normal 15 5 2 2 3 2" xfId="26032" xr:uid="{00000000-0005-0000-0000-0000F4690000}"/>
    <cellStyle name="Normal 15 5 2 2 3 2 2" xfId="53165" xr:uid="{00000000-0005-0000-0000-0000F5690000}"/>
    <cellStyle name="Normal 15 5 2 2 3 3" xfId="39603" xr:uid="{00000000-0005-0000-0000-0000F6690000}"/>
    <cellStyle name="Normal 15 5 2 2 4" xfId="19251" xr:uid="{00000000-0005-0000-0000-0000F7690000}"/>
    <cellStyle name="Normal 15 5 2 2 4 2" xfId="46384" xr:uid="{00000000-0005-0000-0000-0000F8690000}"/>
    <cellStyle name="Normal 15 5 2 2 5" xfId="32822" xr:uid="{00000000-0005-0000-0000-0000F9690000}"/>
    <cellStyle name="Normal 15 5 2 3" xfId="5518" xr:uid="{00000000-0005-0000-0000-0000FA690000}"/>
    <cellStyle name="Normal 15 5 2 3 2" xfId="9064" xr:uid="{00000000-0005-0000-0000-0000FB690000}"/>
    <cellStyle name="Normal 15 5 2 3 2 2" xfId="15854" xr:uid="{00000000-0005-0000-0000-0000FC690000}"/>
    <cellStyle name="Normal 15 5 2 3 2 2 2" xfId="29422" xr:uid="{00000000-0005-0000-0000-0000FD690000}"/>
    <cellStyle name="Normal 15 5 2 3 2 2 2 2" xfId="56555" xr:uid="{00000000-0005-0000-0000-0000FE690000}"/>
    <cellStyle name="Normal 15 5 2 3 2 2 3" xfId="42993" xr:uid="{00000000-0005-0000-0000-0000FF690000}"/>
    <cellStyle name="Normal 15 5 2 3 2 3" xfId="22641" xr:uid="{00000000-0005-0000-0000-0000006A0000}"/>
    <cellStyle name="Normal 15 5 2 3 2 3 2" xfId="49774" xr:uid="{00000000-0005-0000-0000-0000016A0000}"/>
    <cellStyle name="Normal 15 5 2 3 2 4" xfId="36212" xr:uid="{00000000-0005-0000-0000-0000026A0000}"/>
    <cellStyle name="Normal 15 5 2 3 3" xfId="12465" xr:uid="{00000000-0005-0000-0000-0000036A0000}"/>
    <cellStyle name="Normal 15 5 2 3 3 2" xfId="26033" xr:uid="{00000000-0005-0000-0000-0000046A0000}"/>
    <cellStyle name="Normal 15 5 2 3 3 2 2" xfId="53166" xr:uid="{00000000-0005-0000-0000-0000056A0000}"/>
    <cellStyle name="Normal 15 5 2 3 3 3" xfId="39604" xr:uid="{00000000-0005-0000-0000-0000066A0000}"/>
    <cellStyle name="Normal 15 5 2 3 4" xfId="19252" xr:uid="{00000000-0005-0000-0000-0000076A0000}"/>
    <cellStyle name="Normal 15 5 2 3 4 2" xfId="46385" xr:uid="{00000000-0005-0000-0000-0000086A0000}"/>
    <cellStyle name="Normal 15 5 2 3 5" xfId="32823" xr:uid="{00000000-0005-0000-0000-0000096A0000}"/>
    <cellStyle name="Normal 15 5 2 4" xfId="9062" xr:uid="{00000000-0005-0000-0000-00000A6A0000}"/>
    <cellStyle name="Normal 15 5 2 4 2" xfId="15852" xr:uid="{00000000-0005-0000-0000-00000B6A0000}"/>
    <cellStyle name="Normal 15 5 2 4 2 2" xfId="29420" xr:uid="{00000000-0005-0000-0000-00000C6A0000}"/>
    <cellStyle name="Normal 15 5 2 4 2 2 2" xfId="56553" xr:uid="{00000000-0005-0000-0000-00000D6A0000}"/>
    <cellStyle name="Normal 15 5 2 4 2 3" xfId="42991" xr:uid="{00000000-0005-0000-0000-00000E6A0000}"/>
    <cellStyle name="Normal 15 5 2 4 3" xfId="22639" xr:uid="{00000000-0005-0000-0000-00000F6A0000}"/>
    <cellStyle name="Normal 15 5 2 4 3 2" xfId="49772" xr:uid="{00000000-0005-0000-0000-0000106A0000}"/>
    <cellStyle name="Normal 15 5 2 4 4" xfId="36210" xr:uid="{00000000-0005-0000-0000-0000116A0000}"/>
    <cellStyle name="Normal 15 5 2 5" xfId="12463" xr:uid="{00000000-0005-0000-0000-0000126A0000}"/>
    <cellStyle name="Normal 15 5 2 5 2" xfId="26031" xr:uid="{00000000-0005-0000-0000-0000136A0000}"/>
    <cellStyle name="Normal 15 5 2 5 2 2" xfId="53164" xr:uid="{00000000-0005-0000-0000-0000146A0000}"/>
    <cellStyle name="Normal 15 5 2 5 3" xfId="39602" xr:uid="{00000000-0005-0000-0000-0000156A0000}"/>
    <cellStyle name="Normal 15 5 2 6" xfId="19250" xr:uid="{00000000-0005-0000-0000-0000166A0000}"/>
    <cellStyle name="Normal 15 5 2 6 2" xfId="46383" xr:uid="{00000000-0005-0000-0000-0000176A0000}"/>
    <cellStyle name="Normal 15 5 2 7" xfId="32821" xr:uid="{00000000-0005-0000-0000-0000186A0000}"/>
    <cellStyle name="Normal 15 5 3" xfId="5519" xr:uid="{00000000-0005-0000-0000-0000196A0000}"/>
    <cellStyle name="Normal 15 5 3 2" xfId="5520" xr:uid="{00000000-0005-0000-0000-00001A6A0000}"/>
    <cellStyle name="Normal 15 5 3 2 2" xfId="9066" xr:uid="{00000000-0005-0000-0000-00001B6A0000}"/>
    <cellStyle name="Normal 15 5 3 2 2 2" xfId="15856" xr:uid="{00000000-0005-0000-0000-00001C6A0000}"/>
    <cellStyle name="Normal 15 5 3 2 2 2 2" xfId="29424" xr:uid="{00000000-0005-0000-0000-00001D6A0000}"/>
    <cellStyle name="Normal 15 5 3 2 2 2 2 2" xfId="56557" xr:uid="{00000000-0005-0000-0000-00001E6A0000}"/>
    <cellStyle name="Normal 15 5 3 2 2 2 3" xfId="42995" xr:uid="{00000000-0005-0000-0000-00001F6A0000}"/>
    <cellStyle name="Normal 15 5 3 2 2 3" xfId="22643" xr:uid="{00000000-0005-0000-0000-0000206A0000}"/>
    <cellStyle name="Normal 15 5 3 2 2 3 2" xfId="49776" xr:uid="{00000000-0005-0000-0000-0000216A0000}"/>
    <cellStyle name="Normal 15 5 3 2 2 4" xfId="36214" xr:uid="{00000000-0005-0000-0000-0000226A0000}"/>
    <cellStyle name="Normal 15 5 3 2 3" xfId="12467" xr:uid="{00000000-0005-0000-0000-0000236A0000}"/>
    <cellStyle name="Normal 15 5 3 2 3 2" xfId="26035" xr:uid="{00000000-0005-0000-0000-0000246A0000}"/>
    <cellStyle name="Normal 15 5 3 2 3 2 2" xfId="53168" xr:uid="{00000000-0005-0000-0000-0000256A0000}"/>
    <cellStyle name="Normal 15 5 3 2 3 3" xfId="39606" xr:uid="{00000000-0005-0000-0000-0000266A0000}"/>
    <cellStyle name="Normal 15 5 3 2 4" xfId="19254" xr:uid="{00000000-0005-0000-0000-0000276A0000}"/>
    <cellStyle name="Normal 15 5 3 2 4 2" xfId="46387" xr:uid="{00000000-0005-0000-0000-0000286A0000}"/>
    <cellStyle name="Normal 15 5 3 2 5" xfId="32825" xr:uid="{00000000-0005-0000-0000-0000296A0000}"/>
    <cellStyle name="Normal 15 5 3 3" xfId="9065" xr:uid="{00000000-0005-0000-0000-00002A6A0000}"/>
    <cellStyle name="Normal 15 5 3 3 2" xfId="15855" xr:uid="{00000000-0005-0000-0000-00002B6A0000}"/>
    <cellStyle name="Normal 15 5 3 3 2 2" xfId="29423" xr:uid="{00000000-0005-0000-0000-00002C6A0000}"/>
    <cellStyle name="Normal 15 5 3 3 2 2 2" xfId="56556" xr:uid="{00000000-0005-0000-0000-00002D6A0000}"/>
    <cellStyle name="Normal 15 5 3 3 2 3" xfId="42994" xr:uid="{00000000-0005-0000-0000-00002E6A0000}"/>
    <cellStyle name="Normal 15 5 3 3 3" xfId="22642" xr:uid="{00000000-0005-0000-0000-00002F6A0000}"/>
    <cellStyle name="Normal 15 5 3 3 3 2" xfId="49775" xr:uid="{00000000-0005-0000-0000-0000306A0000}"/>
    <cellStyle name="Normal 15 5 3 3 4" xfId="36213" xr:uid="{00000000-0005-0000-0000-0000316A0000}"/>
    <cellStyle name="Normal 15 5 3 4" xfId="12466" xr:uid="{00000000-0005-0000-0000-0000326A0000}"/>
    <cellStyle name="Normal 15 5 3 4 2" xfId="26034" xr:uid="{00000000-0005-0000-0000-0000336A0000}"/>
    <cellStyle name="Normal 15 5 3 4 2 2" xfId="53167" xr:uid="{00000000-0005-0000-0000-0000346A0000}"/>
    <cellStyle name="Normal 15 5 3 4 3" xfId="39605" xr:uid="{00000000-0005-0000-0000-0000356A0000}"/>
    <cellStyle name="Normal 15 5 3 5" xfId="19253" xr:uid="{00000000-0005-0000-0000-0000366A0000}"/>
    <cellStyle name="Normal 15 5 3 5 2" xfId="46386" xr:uid="{00000000-0005-0000-0000-0000376A0000}"/>
    <cellStyle name="Normal 15 5 3 6" xfId="32824" xr:uid="{00000000-0005-0000-0000-0000386A0000}"/>
    <cellStyle name="Normal 15 5 4" xfId="5521" xr:uid="{00000000-0005-0000-0000-0000396A0000}"/>
    <cellStyle name="Normal 15 5 4 2" xfId="9067" xr:uid="{00000000-0005-0000-0000-00003A6A0000}"/>
    <cellStyle name="Normal 15 5 4 2 2" xfId="15857" xr:uid="{00000000-0005-0000-0000-00003B6A0000}"/>
    <cellStyle name="Normal 15 5 4 2 2 2" xfId="29425" xr:uid="{00000000-0005-0000-0000-00003C6A0000}"/>
    <cellStyle name="Normal 15 5 4 2 2 2 2" xfId="56558" xr:uid="{00000000-0005-0000-0000-00003D6A0000}"/>
    <cellStyle name="Normal 15 5 4 2 2 3" xfId="42996" xr:uid="{00000000-0005-0000-0000-00003E6A0000}"/>
    <cellStyle name="Normal 15 5 4 2 3" xfId="22644" xr:uid="{00000000-0005-0000-0000-00003F6A0000}"/>
    <cellStyle name="Normal 15 5 4 2 3 2" xfId="49777" xr:uid="{00000000-0005-0000-0000-0000406A0000}"/>
    <cellStyle name="Normal 15 5 4 2 4" xfId="36215" xr:uid="{00000000-0005-0000-0000-0000416A0000}"/>
    <cellStyle name="Normal 15 5 4 3" xfId="12468" xr:uid="{00000000-0005-0000-0000-0000426A0000}"/>
    <cellStyle name="Normal 15 5 4 3 2" xfId="26036" xr:uid="{00000000-0005-0000-0000-0000436A0000}"/>
    <cellStyle name="Normal 15 5 4 3 2 2" xfId="53169" xr:uid="{00000000-0005-0000-0000-0000446A0000}"/>
    <cellStyle name="Normal 15 5 4 3 3" xfId="39607" xr:uid="{00000000-0005-0000-0000-0000456A0000}"/>
    <cellStyle name="Normal 15 5 4 4" xfId="19255" xr:uid="{00000000-0005-0000-0000-0000466A0000}"/>
    <cellStyle name="Normal 15 5 4 4 2" xfId="46388" xr:uid="{00000000-0005-0000-0000-0000476A0000}"/>
    <cellStyle name="Normal 15 5 4 5" xfId="32826" xr:uid="{00000000-0005-0000-0000-0000486A0000}"/>
    <cellStyle name="Normal 15 5 5" xfId="5522" xr:uid="{00000000-0005-0000-0000-0000496A0000}"/>
    <cellStyle name="Normal 15 5 5 2" xfId="9068" xr:uid="{00000000-0005-0000-0000-00004A6A0000}"/>
    <cellStyle name="Normal 15 5 5 2 2" xfId="15858" xr:uid="{00000000-0005-0000-0000-00004B6A0000}"/>
    <cellStyle name="Normal 15 5 5 2 2 2" xfId="29426" xr:uid="{00000000-0005-0000-0000-00004C6A0000}"/>
    <cellStyle name="Normal 15 5 5 2 2 2 2" xfId="56559" xr:uid="{00000000-0005-0000-0000-00004D6A0000}"/>
    <cellStyle name="Normal 15 5 5 2 2 3" xfId="42997" xr:uid="{00000000-0005-0000-0000-00004E6A0000}"/>
    <cellStyle name="Normal 15 5 5 2 3" xfId="22645" xr:uid="{00000000-0005-0000-0000-00004F6A0000}"/>
    <cellStyle name="Normal 15 5 5 2 3 2" xfId="49778" xr:uid="{00000000-0005-0000-0000-0000506A0000}"/>
    <cellStyle name="Normal 15 5 5 2 4" xfId="36216" xr:uid="{00000000-0005-0000-0000-0000516A0000}"/>
    <cellStyle name="Normal 15 5 5 3" xfId="12469" xr:uid="{00000000-0005-0000-0000-0000526A0000}"/>
    <cellStyle name="Normal 15 5 5 3 2" xfId="26037" xr:uid="{00000000-0005-0000-0000-0000536A0000}"/>
    <cellStyle name="Normal 15 5 5 3 2 2" xfId="53170" xr:uid="{00000000-0005-0000-0000-0000546A0000}"/>
    <cellStyle name="Normal 15 5 5 3 3" xfId="39608" xr:uid="{00000000-0005-0000-0000-0000556A0000}"/>
    <cellStyle name="Normal 15 5 5 4" xfId="19256" xr:uid="{00000000-0005-0000-0000-0000566A0000}"/>
    <cellStyle name="Normal 15 5 5 4 2" xfId="46389" xr:uid="{00000000-0005-0000-0000-0000576A0000}"/>
    <cellStyle name="Normal 15 5 5 5" xfId="32827" xr:uid="{00000000-0005-0000-0000-0000586A0000}"/>
    <cellStyle name="Normal 15 5 6" xfId="9061" xr:uid="{00000000-0005-0000-0000-0000596A0000}"/>
    <cellStyle name="Normal 15 5 6 2" xfId="15851" xr:uid="{00000000-0005-0000-0000-00005A6A0000}"/>
    <cellStyle name="Normal 15 5 6 2 2" xfId="29419" xr:uid="{00000000-0005-0000-0000-00005B6A0000}"/>
    <cellStyle name="Normal 15 5 6 2 2 2" xfId="56552" xr:uid="{00000000-0005-0000-0000-00005C6A0000}"/>
    <cellStyle name="Normal 15 5 6 2 3" xfId="42990" xr:uid="{00000000-0005-0000-0000-00005D6A0000}"/>
    <cellStyle name="Normal 15 5 6 3" xfId="22638" xr:uid="{00000000-0005-0000-0000-00005E6A0000}"/>
    <cellStyle name="Normal 15 5 6 3 2" xfId="49771" xr:uid="{00000000-0005-0000-0000-00005F6A0000}"/>
    <cellStyle name="Normal 15 5 6 4" xfId="36209" xr:uid="{00000000-0005-0000-0000-0000606A0000}"/>
    <cellStyle name="Normal 15 5 7" xfId="12462" xr:uid="{00000000-0005-0000-0000-0000616A0000}"/>
    <cellStyle name="Normal 15 5 7 2" xfId="26030" xr:uid="{00000000-0005-0000-0000-0000626A0000}"/>
    <cellStyle name="Normal 15 5 7 2 2" xfId="53163" xr:uid="{00000000-0005-0000-0000-0000636A0000}"/>
    <cellStyle name="Normal 15 5 7 3" xfId="39601" xr:uid="{00000000-0005-0000-0000-0000646A0000}"/>
    <cellStyle name="Normal 15 5 8" xfId="19249" xr:uid="{00000000-0005-0000-0000-0000656A0000}"/>
    <cellStyle name="Normal 15 5 8 2" xfId="46382" xr:uid="{00000000-0005-0000-0000-0000666A0000}"/>
    <cellStyle name="Normal 15 5 9" xfId="32820" xr:uid="{00000000-0005-0000-0000-0000676A0000}"/>
    <cellStyle name="Normal 15 6" xfId="5523" xr:uid="{00000000-0005-0000-0000-0000686A0000}"/>
    <cellStyle name="Normal 15 6 2" xfId="5524" xr:uid="{00000000-0005-0000-0000-0000696A0000}"/>
    <cellStyle name="Normal 15 6 2 2" xfId="5525" xr:uid="{00000000-0005-0000-0000-00006A6A0000}"/>
    <cellStyle name="Normal 15 6 2 2 2" xfId="9071" xr:uid="{00000000-0005-0000-0000-00006B6A0000}"/>
    <cellStyle name="Normal 15 6 2 2 2 2" xfId="15861" xr:uid="{00000000-0005-0000-0000-00006C6A0000}"/>
    <cellStyle name="Normal 15 6 2 2 2 2 2" xfId="29429" xr:uid="{00000000-0005-0000-0000-00006D6A0000}"/>
    <cellStyle name="Normal 15 6 2 2 2 2 2 2" xfId="56562" xr:uid="{00000000-0005-0000-0000-00006E6A0000}"/>
    <cellStyle name="Normal 15 6 2 2 2 2 3" xfId="43000" xr:uid="{00000000-0005-0000-0000-00006F6A0000}"/>
    <cellStyle name="Normal 15 6 2 2 2 3" xfId="22648" xr:uid="{00000000-0005-0000-0000-0000706A0000}"/>
    <cellStyle name="Normal 15 6 2 2 2 3 2" xfId="49781" xr:uid="{00000000-0005-0000-0000-0000716A0000}"/>
    <cellStyle name="Normal 15 6 2 2 2 4" xfId="36219" xr:uid="{00000000-0005-0000-0000-0000726A0000}"/>
    <cellStyle name="Normal 15 6 2 2 3" xfId="12472" xr:uid="{00000000-0005-0000-0000-0000736A0000}"/>
    <cellStyle name="Normal 15 6 2 2 3 2" xfId="26040" xr:uid="{00000000-0005-0000-0000-0000746A0000}"/>
    <cellStyle name="Normal 15 6 2 2 3 2 2" xfId="53173" xr:uid="{00000000-0005-0000-0000-0000756A0000}"/>
    <cellStyle name="Normal 15 6 2 2 3 3" xfId="39611" xr:uid="{00000000-0005-0000-0000-0000766A0000}"/>
    <cellStyle name="Normal 15 6 2 2 4" xfId="19259" xr:uid="{00000000-0005-0000-0000-0000776A0000}"/>
    <cellStyle name="Normal 15 6 2 2 4 2" xfId="46392" xr:uid="{00000000-0005-0000-0000-0000786A0000}"/>
    <cellStyle name="Normal 15 6 2 2 5" xfId="32830" xr:uid="{00000000-0005-0000-0000-0000796A0000}"/>
    <cellStyle name="Normal 15 6 2 3" xfId="5526" xr:uid="{00000000-0005-0000-0000-00007A6A0000}"/>
    <cellStyle name="Normal 15 6 2 3 2" xfId="9072" xr:uid="{00000000-0005-0000-0000-00007B6A0000}"/>
    <cellStyle name="Normal 15 6 2 3 2 2" xfId="15862" xr:uid="{00000000-0005-0000-0000-00007C6A0000}"/>
    <cellStyle name="Normal 15 6 2 3 2 2 2" xfId="29430" xr:uid="{00000000-0005-0000-0000-00007D6A0000}"/>
    <cellStyle name="Normal 15 6 2 3 2 2 2 2" xfId="56563" xr:uid="{00000000-0005-0000-0000-00007E6A0000}"/>
    <cellStyle name="Normal 15 6 2 3 2 2 3" xfId="43001" xr:uid="{00000000-0005-0000-0000-00007F6A0000}"/>
    <cellStyle name="Normal 15 6 2 3 2 3" xfId="22649" xr:uid="{00000000-0005-0000-0000-0000806A0000}"/>
    <cellStyle name="Normal 15 6 2 3 2 3 2" xfId="49782" xr:uid="{00000000-0005-0000-0000-0000816A0000}"/>
    <cellStyle name="Normal 15 6 2 3 2 4" xfId="36220" xr:uid="{00000000-0005-0000-0000-0000826A0000}"/>
    <cellStyle name="Normal 15 6 2 3 3" xfId="12473" xr:uid="{00000000-0005-0000-0000-0000836A0000}"/>
    <cellStyle name="Normal 15 6 2 3 3 2" xfId="26041" xr:uid="{00000000-0005-0000-0000-0000846A0000}"/>
    <cellStyle name="Normal 15 6 2 3 3 2 2" xfId="53174" xr:uid="{00000000-0005-0000-0000-0000856A0000}"/>
    <cellStyle name="Normal 15 6 2 3 3 3" xfId="39612" xr:uid="{00000000-0005-0000-0000-0000866A0000}"/>
    <cellStyle name="Normal 15 6 2 3 4" xfId="19260" xr:uid="{00000000-0005-0000-0000-0000876A0000}"/>
    <cellStyle name="Normal 15 6 2 3 4 2" xfId="46393" xr:uid="{00000000-0005-0000-0000-0000886A0000}"/>
    <cellStyle name="Normal 15 6 2 3 5" xfId="32831" xr:uid="{00000000-0005-0000-0000-0000896A0000}"/>
    <cellStyle name="Normal 15 6 2 4" xfId="9070" xr:uid="{00000000-0005-0000-0000-00008A6A0000}"/>
    <cellStyle name="Normal 15 6 2 4 2" xfId="15860" xr:uid="{00000000-0005-0000-0000-00008B6A0000}"/>
    <cellStyle name="Normal 15 6 2 4 2 2" xfId="29428" xr:uid="{00000000-0005-0000-0000-00008C6A0000}"/>
    <cellStyle name="Normal 15 6 2 4 2 2 2" xfId="56561" xr:uid="{00000000-0005-0000-0000-00008D6A0000}"/>
    <cellStyle name="Normal 15 6 2 4 2 3" xfId="42999" xr:uid="{00000000-0005-0000-0000-00008E6A0000}"/>
    <cellStyle name="Normal 15 6 2 4 3" xfId="22647" xr:uid="{00000000-0005-0000-0000-00008F6A0000}"/>
    <cellStyle name="Normal 15 6 2 4 3 2" xfId="49780" xr:uid="{00000000-0005-0000-0000-0000906A0000}"/>
    <cellStyle name="Normal 15 6 2 4 4" xfId="36218" xr:uid="{00000000-0005-0000-0000-0000916A0000}"/>
    <cellStyle name="Normal 15 6 2 5" xfId="12471" xr:uid="{00000000-0005-0000-0000-0000926A0000}"/>
    <cellStyle name="Normal 15 6 2 5 2" xfId="26039" xr:uid="{00000000-0005-0000-0000-0000936A0000}"/>
    <cellStyle name="Normal 15 6 2 5 2 2" xfId="53172" xr:uid="{00000000-0005-0000-0000-0000946A0000}"/>
    <cellStyle name="Normal 15 6 2 5 3" xfId="39610" xr:uid="{00000000-0005-0000-0000-0000956A0000}"/>
    <cellStyle name="Normal 15 6 2 6" xfId="19258" xr:uid="{00000000-0005-0000-0000-0000966A0000}"/>
    <cellStyle name="Normal 15 6 2 6 2" xfId="46391" xr:uid="{00000000-0005-0000-0000-0000976A0000}"/>
    <cellStyle name="Normal 15 6 2 7" xfId="32829" xr:uid="{00000000-0005-0000-0000-0000986A0000}"/>
    <cellStyle name="Normal 15 6 3" xfId="5527" xr:uid="{00000000-0005-0000-0000-0000996A0000}"/>
    <cellStyle name="Normal 15 6 3 2" xfId="9073" xr:uid="{00000000-0005-0000-0000-00009A6A0000}"/>
    <cellStyle name="Normal 15 6 3 2 2" xfId="15863" xr:uid="{00000000-0005-0000-0000-00009B6A0000}"/>
    <cellStyle name="Normal 15 6 3 2 2 2" xfId="29431" xr:uid="{00000000-0005-0000-0000-00009C6A0000}"/>
    <cellStyle name="Normal 15 6 3 2 2 2 2" xfId="56564" xr:uid="{00000000-0005-0000-0000-00009D6A0000}"/>
    <cellStyle name="Normal 15 6 3 2 2 3" xfId="43002" xr:uid="{00000000-0005-0000-0000-00009E6A0000}"/>
    <cellStyle name="Normal 15 6 3 2 3" xfId="22650" xr:uid="{00000000-0005-0000-0000-00009F6A0000}"/>
    <cellStyle name="Normal 15 6 3 2 3 2" xfId="49783" xr:uid="{00000000-0005-0000-0000-0000A06A0000}"/>
    <cellStyle name="Normal 15 6 3 2 4" xfId="36221" xr:uid="{00000000-0005-0000-0000-0000A16A0000}"/>
    <cellStyle name="Normal 15 6 3 3" xfId="12474" xr:uid="{00000000-0005-0000-0000-0000A26A0000}"/>
    <cellStyle name="Normal 15 6 3 3 2" xfId="26042" xr:uid="{00000000-0005-0000-0000-0000A36A0000}"/>
    <cellStyle name="Normal 15 6 3 3 2 2" xfId="53175" xr:uid="{00000000-0005-0000-0000-0000A46A0000}"/>
    <cellStyle name="Normal 15 6 3 3 3" xfId="39613" xr:uid="{00000000-0005-0000-0000-0000A56A0000}"/>
    <cellStyle name="Normal 15 6 3 4" xfId="19261" xr:uid="{00000000-0005-0000-0000-0000A66A0000}"/>
    <cellStyle name="Normal 15 6 3 4 2" xfId="46394" xr:uid="{00000000-0005-0000-0000-0000A76A0000}"/>
    <cellStyle name="Normal 15 6 3 5" xfId="32832" xr:uid="{00000000-0005-0000-0000-0000A86A0000}"/>
    <cellStyle name="Normal 15 6 4" xfId="5528" xr:uid="{00000000-0005-0000-0000-0000A96A0000}"/>
    <cellStyle name="Normal 15 6 4 2" xfId="9074" xr:uid="{00000000-0005-0000-0000-0000AA6A0000}"/>
    <cellStyle name="Normal 15 6 4 2 2" xfId="15864" xr:uid="{00000000-0005-0000-0000-0000AB6A0000}"/>
    <cellStyle name="Normal 15 6 4 2 2 2" xfId="29432" xr:uid="{00000000-0005-0000-0000-0000AC6A0000}"/>
    <cellStyle name="Normal 15 6 4 2 2 2 2" xfId="56565" xr:uid="{00000000-0005-0000-0000-0000AD6A0000}"/>
    <cellStyle name="Normal 15 6 4 2 2 3" xfId="43003" xr:uid="{00000000-0005-0000-0000-0000AE6A0000}"/>
    <cellStyle name="Normal 15 6 4 2 3" xfId="22651" xr:uid="{00000000-0005-0000-0000-0000AF6A0000}"/>
    <cellStyle name="Normal 15 6 4 2 3 2" xfId="49784" xr:uid="{00000000-0005-0000-0000-0000B06A0000}"/>
    <cellStyle name="Normal 15 6 4 2 4" xfId="36222" xr:uid="{00000000-0005-0000-0000-0000B16A0000}"/>
    <cellStyle name="Normal 15 6 4 3" xfId="12475" xr:uid="{00000000-0005-0000-0000-0000B26A0000}"/>
    <cellStyle name="Normal 15 6 4 3 2" xfId="26043" xr:uid="{00000000-0005-0000-0000-0000B36A0000}"/>
    <cellStyle name="Normal 15 6 4 3 2 2" xfId="53176" xr:uid="{00000000-0005-0000-0000-0000B46A0000}"/>
    <cellStyle name="Normal 15 6 4 3 3" xfId="39614" xr:uid="{00000000-0005-0000-0000-0000B56A0000}"/>
    <cellStyle name="Normal 15 6 4 4" xfId="19262" xr:uid="{00000000-0005-0000-0000-0000B66A0000}"/>
    <cellStyle name="Normal 15 6 4 4 2" xfId="46395" xr:uid="{00000000-0005-0000-0000-0000B76A0000}"/>
    <cellStyle name="Normal 15 6 4 5" xfId="32833" xr:uid="{00000000-0005-0000-0000-0000B86A0000}"/>
    <cellStyle name="Normal 15 6 5" xfId="9069" xr:uid="{00000000-0005-0000-0000-0000B96A0000}"/>
    <cellStyle name="Normal 15 6 5 2" xfId="15859" xr:uid="{00000000-0005-0000-0000-0000BA6A0000}"/>
    <cellStyle name="Normal 15 6 5 2 2" xfId="29427" xr:uid="{00000000-0005-0000-0000-0000BB6A0000}"/>
    <cellStyle name="Normal 15 6 5 2 2 2" xfId="56560" xr:uid="{00000000-0005-0000-0000-0000BC6A0000}"/>
    <cellStyle name="Normal 15 6 5 2 3" xfId="42998" xr:uid="{00000000-0005-0000-0000-0000BD6A0000}"/>
    <cellStyle name="Normal 15 6 5 3" xfId="22646" xr:uid="{00000000-0005-0000-0000-0000BE6A0000}"/>
    <cellStyle name="Normal 15 6 5 3 2" xfId="49779" xr:uid="{00000000-0005-0000-0000-0000BF6A0000}"/>
    <cellStyle name="Normal 15 6 5 4" xfId="36217" xr:uid="{00000000-0005-0000-0000-0000C06A0000}"/>
    <cellStyle name="Normal 15 6 6" xfId="12470" xr:uid="{00000000-0005-0000-0000-0000C16A0000}"/>
    <cellStyle name="Normal 15 6 6 2" xfId="26038" xr:uid="{00000000-0005-0000-0000-0000C26A0000}"/>
    <cellStyle name="Normal 15 6 6 2 2" xfId="53171" xr:uid="{00000000-0005-0000-0000-0000C36A0000}"/>
    <cellStyle name="Normal 15 6 6 3" xfId="39609" xr:uid="{00000000-0005-0000-0000-0000C46A0000}"/>
    <cellStyle name="Normal 15 6 7" xfId="19257" xr:uid="{00000000-0005-0000-0000-0000C56A0000}"/>
    <cellStyle name="Normal 15 6 7 2" xfId="46390" xr:uid="{00000000-0005-0000-0000-0000C66A0000}"/>
    <cellStyle name="Normal 15 6 8" xfId="32828" xr:uid="{00000000-0005-0000-0000-0000C76A0000}"/>
    <cellStyle name="Normal 15 7" xfId="5529" xr:uid="{00000000-0005-0000-0000-0000C86A0000}"/>
    <cellStyle name="Normal 15 7 2" xfId="5530" xr:uid="{00000000-0005-0000-0000-0000C96A0000}"/>
    <cellStyle name="Normal 15 7 2 2" xfId="5531" xr:uid="{00000000-0005-0000-0000-0000CA6A0000}"/>
    <cellStyle name="Normal 15 7 2 2 2" xfId="9077" xr:uid="{00000000-0005-0000-0000-0000CB6A0000}"/>
    <cellStyle name="Normal 15 7 2 2 2 2" xfId="15867" xr:uid="{00000000-0005-0000-0000-0000CC6A0000}"/>
    <cellStyle name="Normal 15 7 2 2 2 2 2" xfId="29435" xr:uid="{00000000-0005-0000-0000-0000CD6A0000}"/>
    <cellStyle name="Normal 15 7 2 2 2 2 2 2" xfId="56568" xr:uid="{00000000-0005-0000-0000-0000CE6A0000}"/>
    <cellStyle name="Normal 15 7 2 2 2 2 3" xfId="43006" xr:uid="{00000000-0005-0000-0000-0000CF6A0000}"/>
    <cellStyle name="Normal 15 7 2 2 2 3" xfId="22654" xr:uid="{00000000-0005-0000-0000-0000D06A0000}"/>
    <cellStyle name="Normal 15 7 2 2 2 3 2" xfId="49787" xr:uid="{00000000-0005-0000-0000-0000D16A0000}"/>
    <cellStyle name="Normal 15 7 2 2 2 4" xfId="36225" xr:uid="{00000000-0005-0000-0000-0000D26A0000}"/>
    <cellStyle name="Normal 15 7 2 2 3" xfId="12478" xr:uid="{00000000-0005-0000-0000-0000D36A0000}"/>
    <cellStyle name="Normal 15 7 2 2 3 2" xfId="26046" xr:uid="{00000000-0005-0000-0000-0000D46A0000}"/>
    <cellStyle name="Normal 15 7 2 2 3 2 2" xfId="53179" xr:uid="{00000000-0005-0000-0000-0000D56A0000}"/>
    <cellStyle name="Normal 15 7 2 2 3 3" xfId="39617" xr:uid="{00000000-0005-0000-0000-0000D66A0000}"/>
    <cellStyle name="Normal 15 7 2 2 4" xfId="19265" xr:uid="{00000000-0005-0000-0000-0000D76A0000}"/>
    <cellStyle name="Normal 15 7 2 2 4 2" xfId="46398" xr:uid="{00000000-0005-0000-0000-0000D86A0000}"/>
    <cellStyle name="Normal 15 7 2 2 5" xfId="32836" xr:uid="{00000000-0005-0000-0000-0000D96A0000}"/>
    <cellStyle name="Normal 15 7 2 3" xfId="5532" xr:uid="{00000000-0005-0000-0000-0000DA6A0000}"/>
    <cellStyle name="Normal 15 7 2 3 2" xfId="9078" xr:uid="{00000000-0005-0000-0000-0000DB6A0000}"/>
    <cellStyle name="Normal 15 7 2 3 2 2" xfId="15868" xr:uid="{00000000-0005-0000-0000-0000DC6A0000}"/>
    <cellStyle name="Normal 15 7 2 3 2 2 2" xfId="29436" xr:uid="{00000000-0005-0000-0000-0000DD6A0000}"/>
    <cellStyle name="Normal 15 7 2 3 2 2 2 2" xfId="56569" xr:uid="{00000000-0005-0000-0000-0000DE6A0000}"/>
    <cellStyle name="Normal 15 7 2 3 2 2 3" xfId="43007" xr:uid="{00000000-0005-0000-0000-0000DF6A0000}"/>
    <cellStyle name="Normal 15 7 2 3 2 3" xfId="22655" xr:uid="{00000000-0005-0000-0000-0000E06A0000}"/>
    <cellStyle name="Normal 15 7 2 3 2 3 2" xfId="49788" xr:uid="{00000000-0005-0000-0000-0000E16A0000}"/>
    <cellStyle name="Normal 15 7 2 3 2 4" xfId="36226" xr:uid="{00000000-0005-0000-0000-0000E26A0000}"/>
    <cellStyle name="Normal 15 7 2 3 3" xfId="12479" xr:uid="{00000000-0005-0000-0000-0000E36A0000}"/>
    <cellStyle name="Normal 15 7 2 3 3 2" xfId="26047" xr:uid="{00000000-0005-0000-0000-0000E46A0000}"/>
    <cellStyle name="Normal 15 7 2 3 3 2 2" xfId="53180" xr:uid="{00000000-0005-0000-0000-0000E56A0000}"/>
    <cellStyle name="Normal 15 7 2 3 3 3" xfId="39618" xr:uid="{00000000-0005-0000-0000-0000E66A0000}"/>
    <cellStyle name="Normal 15 7 2 3 4" xfId="19266" xr:uid="{00000000-0005-0000-0000-0000E76A0000}"/>
    <cellStyle name="Normal 15 7 2 3 4 2" xfId="46399" xr:uid="{00000000-0005-0000-0000-0000E86A0000}"/>
    <cellStyle name="Normal 15 7 2 3 5" xfId="32837" xr:uid="{00000000-0005-0000-0000-0000E96A0000}"/>
    <cellStyle name="Normal 15 7 2 4" xfId="9076" xr:uid="{00000000-0005-0000-0000-0000EA6A0000}"/>
    <cellStyle name="Normal 15 7 2 4 2" xfId="15866" xr:uid="{00000000-0005-0000-0000-0000EB6A0000}"/>
    <cellStyle name="Normal 15 7 2 4 2 2" xfId="29434" xr:uid="{00000000-0005-0000-0000-0000EC6A0000}"/>
    <cellStyle name="Normal 15 7 2 4 2 2 2" xfId="56567" xr:uid="{00000000-0005-0000-0000-0000ED6A0000}"/>
    <cellStyle name="Normal 15 7 2 4 2 3" xfId="43005" xr:uid="{00000000-0005-0000-0000-0000EE6A0000}"/>
    <cellStyle name="Normal 15 7 2 4 3" xfId="22653" xr:uid="{00000000-0005-0000-0000-0000EF6A0000}"/>
    <cellStyle name="Normal 15 7 2 4 3 2" xfId="49786" xr:uid="{00000000-0005-0000-0000-0000F06A0000}"/>
    <cellStyle name="Normal 15 7 2 4 4" xfId="36224" xr:uid="{00000000-0005-0000-0000-0000F16A0000}"/>
    <cellStyle name="Normal 15 7 2 5" xfId="12477" xr:uid="{00000000-0005-0000-0000-0000F26A0000}"/>
    <cellStyle name="Normal 15 7 2 5 2" xfId="26045" xr:uid="{00000000-0005-0000-0000-0000F36A0000}"/>
    <cellStyle name="Normal 15 7 2 5 2 2" xfId="53178" xr:uid="{00000000-0005-0000-0000-0000F46A0000}"/>
    <cellStyle name="Normal 15 7 2 5 3" xfId="39616" xr:uid="{00000000-0005-0000-0000-0000F56A0000}"/>
    <cellStyle name="Normal 15 7 2 6" xfId="19264" xr:uid="{00000000-0005-0000-0000-0000F66A0000}"/>
    <cellStyle name="Normal 15 7 2 6 2" xfId="46397" xr:uid="{00000000-0005-0000-0000-0000F76A0000}"/>
    <cellStyle name="Normal 15 7 2 7" xfId="32835" xr:uid="{00000000-0005-0000-0000-0000F86A0000}"/>
    <cellStyle name="Normal 15 7 3" xfId="5533" xr:uid="{00000000-0005-0000-0000-0000F96A0000}"/>
    <cellStyle name="Normal 15 7 3 2" xfId="9079" xr:uid="{00000000-0005-0000-0000-0000FA6A0000}"/>
    <cellStyle name="Normal 15 7 3 2 2" xfId="15869" xr:uid="{00000000-0005-0000-0000-0000FB6A0000}"/>
    <cellStyle name="Normal 15 7 3 2 2 2" xfId="29437" xr:uid="{00000000-0005-0000-0000-0000FC6A0000}"/>
    <cellStyle name="Normal 15 7 3 2 2 2 2" xfId="56570" xr:uid="{00000000-0005-0000-0000-0000FD6A0000}"/>
    <cellStyle name="Normal 15 7 3 2 2 3" xfId="43008" xr:uid="{00000000-0005-0000-0000-0000FE6A0000}"/>
    <cellStyle name="Normal 15 7 3 2 3" xfId="22656" xr:uid="{00000000-0005-0000-0000-0000FF6A0000}"/>
    <cellStyle name="Normal 15 7 3 2 3 2" xfId="49789" xr:uid="{00000000-0005-0000-0000-0000006B0000}"/>
    <cellStyle name="Normal 15 7 3 2 4" xfId="36227" xr:uid="{00000000-0005-0000-0000-0000016B0000}"/>
    <cellStyle name="Normal 15 7 3 3" xfId="12480" xr:uid="{00000000-0005-0000-0000-0000026B0000}"/>
    <cellStyle name="Normal 15 7 3 3 2" xfId="26048" xr:uid="{00000000-0005-0000-0000-0000036B0000}"/>
    <cellStyle name="Normal 15 7 3 3 2 2" xfId="53181" xr:uid="{00000000-0005-0000-0000-0000046B0000}"/>
    <cellStyle name="Normal 15 7 3 3 3" xfId="39619" xr:uid="{00000000-0005-0000-0000-0000056B0000}"/>
    <cellStyle name="Normal 15 7 3 4" xfId="19267" xr:uid="{00000000-0005-0000-0000-0000066B0000}"/>
    <cellStyle name="Normal 15 7 3 4 2" xfId="46400" xr:uid="{00000000-0005-0000-0000-0000076B0000}"/>
    <cellStyle name="Normal 15 7 3 5" xfId="32838" xr:uid="{00000000-0005-0000-0000-0000086B0000}"/>
    <cellStyle name="Normal 15 7 4" xfId="5534" xr:uid="{00000000-0005-0000-0000-0000096B0000}"/>
    <cellStyle name="Normal 15 7 4 2" xfId="9080" xr:uid="{00000000-0005-0000-0000-00000A6B0000}"/>
    <cellStyle name="Normal 15 7 4 2 2" xfId="15870" xr:uid="{00000000-0005-0000-0000-00000B6B0000}"/>
    <cellStyle name="Normal 15 7 4 2 2 2" xfId="29438" xr:uid="{00000000-0005-0000-0000-00000C6B0000}"/>
    <cellStyle name="Normal 15 7 4 2 2 2 2" xfId="56571" xr:uid="{00000000-0005-0000-0000-00000D6B0000}"/>
    <cellStyle name="Normal 15 7 4 2 2 3" xfId="43009" xr:uid="{00000000-0005-0000-0000-00000E6B0000}"/>
    <cellStyle name="Normal 15 7 4 2 3" xfId="22657" xr:uid="{00000000-0005-0000-0000-00000F6B0000}"/>
    <cellStyle name="Normal 15 7 4 2 3 2" xfId="49790" xr:uid="{00000000-0005-0000-0000-0000106B0000}"/>
    <cellStyle name="Normal 15 7 4 2 4" xfId="36228" xr:uid="{00000000-0005-0000-0000-0000116B0000}"/>
    <cellStyle name="Normal 15 7 4 3" xfId="12481" xr:uid="{00000000-0005-0000-0000-0000126B0000}"/>
    <cellStyle name="Normal 15 7 4 3 2" xfId="26049" xr:uid="{00000000-0005-0000-0000-0000136B0000}"/>
    <cellStyle name="Normal 15 7 4 3 2 2" xfId="53182" xr:uid="{00000000-0005-0000-0000-0000146B0000}"/>
    <cellStyle name="Normal 15 7 4 3 3" xfId="39620" xr:uid="{00000000-0005-0000-0000-0000156B0000}"/>
    <cellStyle name="Normal 15 7 4 4" xfId="19268" xr:uid="{00000000-0005-0000-0000-0000166B0000}"/>
    <cellStyle name="Normal 15 7 4 4 2" xfId="46401" xr:uid="{00000000-0005-0000-0000-0000176B0000}"/>
    <cellStyle name="Normal 15 7 4 5" xfId="32839" xr:uid="{00000000-0005-0000-0000-0000186B0000}"/>
    <cellStyle name="Normal 15 7 5" xfId="9075" xr:uid="{00000000-0005-0000-0000-0000196B0000}"/>
    <cellStyle name="Normal 15 7 5 2" xfId="15865" xr:uid="{00000000-0005-0000-0000-00001A6B0000}"/>
    <cellStyle name="Normal 15 7 5 2 2" xfId="29433" xr:uid="{00000000-0005-0000-0000-00001B6B0000}"/>
    <cellStyle name="Normal 15 7 5 2 2 2" xfId="56566" xr:uid="{00000000-0005-0000-0000-00001C6B0000}"/>
    <cellStyle name="Normal 15 7 5 2 3" xfId="43004" xr:uid="{00000000-0005-0000-0000-00001D6B0000}"/>
    <cellStyle name="Normal 15 7 5 3" xfId="22652" xr:uid="{00000000-0005-0000-0000-00001E6B0000}"/>
    <cellStyle name="Normal 15 7 5 3 2" xfId="49785" xr:uid="{00000000-0005-0000-0000-00001F6B0000}"/>
    <cellStyle name="Normal 15 7 5 4" xfId="36223" xr:uid="{00000000-0005-0000-0000-0000206B0000}"/>
    <cellStyle name="Normal 15 7 6" xfId="12476" xr:uid="{00000000-0005-0000-0000-0000216B0000}"/>
    <cellStyle name="Normal 15 7 6 2" xfId="26044" xr:uid="{00000000-0005-0000-0000-0000226B0000}"/>
    <cellStyle name="Normal 15 7 6 2 2" xfId="53177" xr:uid="{00000000-0005-0000-0000-0000236B0000}"/>
    <cellStyle name="Normal 15 7 6 3" xfId="39615" xr:uid="{00000000-0005-0000-0000-0000246B0000}"/>
    <cellStyle name="Normal 15 7 7" xfId="19263" xr:uid="{00000000-0005-0000-0000-0000256B0000}"/>
    <cellStyle name="Normal 15 7 7 2" xfId="46396" xr:uid="{00000000-0005-0000-0000-0000266B0000}"/>
    <cellStyle name="Normal 15 7 8" xfId="32834" xr:uid="{00000000-0005-0000-0000-0000276B0000}"/>
    <cellStyle name="Normal 15 8" xfId="5535" xr:uid="{00000000-0005-0000-0000-0000286B0000}"/>
    <cellStyle name="Normal 15 8 2" xfId="5536" xr:uid="{00000000-0005-0000-0000-0000296B0000}"/>
    <cellStyle name="Normal 15 8 2 2" xfId="9082" xr:uid="{00000000-0005-0000-0000-00002A6B0000}"/>
    <cellStyle name="Normal 15 8 2 2 2" xfId="15872" xr:uid="{00000000-0005-0000-0000-00002B6B0000}"/>
    <cellStyle name="Normal 15 8 2 2 2 2" xfId="29440" xr:uid="{00000000-0005-0000-0000-00002C6B0000}"/>
    <cellStyle name="Normal 15 8 2 2 2 2 2" xfId="56573" xr:uid="{00000000-0005-0000-0000-00002D6B0000}"/>
    <cellStyle name="Normal 15 8 2 2 2 3" xfId="43011" xr:uid="{00000000-0005-0000-0000-00002E6B0000}"/>
    <cellStyle name="Normal 15 8 2 2 3" xfId="22659" xr:uid="{00000000-0005-0000-0000-00002F6B0000}"/>
    <cellStyle name="Normal 15 8 2 2 3 2" xfId="49792" xr:uid="{00000000-0005-0000-0000-0000306B0000}"/>
    <cellStyle name="Normal 15 8 2 2 4" xfId="36230" xr:uid="{00000000-0005-0000-0000-0000316B0000}"/>
    <cellStyle name="Normal 15 8 2 3" xfId="12483" xr:uid="{00000000-0005-0000-0000-0000326B0000}"/>
    <cellStyle name="Normal 15 8 2 3 2" xfId="26051" xr:uid="{00000000-0005-0000-0000-0000336B0000}"/>
    <cellStyle name="Normal 15 8 2 3 2 2" xfId="53184" xr:uid="{00000000-0005-0000-0000-0000346B0000}"/>
    <cellStyle name="Normal 15 8 2 3 3" xfId="39622" xr:uid="{00000000-0005-0000-0000-0000356B0000}"/>
    <cellStyle name="Normal 15 8 2 4" xfId="19270" xr:uid="{00000000-0005-0000-0000-0000366B0000}"/>
    <cellStyle name="Normal 15 8 2 4 2" xfId="46403" xr:uid="{00000000-0005-0000-0000-0000376B0000}"/>
    <cellStyle name="Normal 15 8 2 5" xfId="32841" xr:uid="{00000000-0005-0000-0000-0000386B0000}"/>
    <cellStyle name="Normal 15 8 3" xfId="9081" xr:uid="{00000000-0005-0000-0000-0000396B0000}"/>
    <cellStyle name="Normal 15 8 3 2" xfId="15871" xr:uid="{00000000-0005-0000-0000-00003A6B0000}"/>
    <cellStyle name="Normal 15 8 3 2 2" xfId="29439" xr:uid="{00000000-0005-0000-0000-00003B6B0000}"/>
    <cellStyle name="Normal 15 8 3 2 2 2" xfId="56572" xr:uid="{00000000-0005-0000-0000-00003C6B0000}"/>
    <cellStyle name="Normal 15 8 3 2 3" xfId="43010" xr:uid="{00000000-0005-0000-0000-00003D6B0000}"/>
    <cellStyle name="Normal 15 8 3 3" xfId="22658" xr:uid="{00000000-0005-0000-0000-00003E6B0000}"/>
    <cellStyle name="Normal 15 8 3 3 2" xfId="49791" xr:uid="{00000000-0005-0000-0000-00003F6B0000}"/>
    <cellStyle name="Normal 15 8 3 4" xfId="36229" xr:uid="{00000000-0005-0000-0000-0000406B0000}"/>
    <cellStyle name="Normal 15 8 4" xfId="12482" xr:uid="{00000000-0005-0000-0000-0000416B0000}"/>
    <cellStyle name="Normal 15 8 4 2" xfId="26050" xr:uid="{00000000-0005-0000-0000-0000426B0000}"/>
    <cellStyle name="Normal 15 8 4 2 2" xfId="53183" xr:uid="{00000000-0005-0000-0000-0000436B0000}"/>
    <cellStyle name="Normal 15 8 4 3" xfId="39621" xr:uid="{00000000-0005-0000-0000-0000446B0000}"/>
    <cellStyle name="Normal 15 8 5" xfId="19269" xr:uid="{00000000-0005-0000-0000-0000456B0000}"/>
    <cellStyle name="Normal 15 8 5 2" xfId="46402" xr:uid="{00000000-0005-0000-0000-0000466B0000}"/>
    <cellStyle name="Normal 15 8 6" xfId="32840" xr:uid="{00000000-0005-0000-0000-0000476B0000}"/>
    <cellStyle name="Normal 15 9" xfId="5537" xr:uid="{00000000-0005-0000-0000-0000486B0000}"/>
    <cellStyle name="Normal 15 9 2" xfId="9083" xr:uid="{00000000-0005-0000-0000-0000496B0000}"/>
    <cellStyle name="Normal 15 9 2 2" xfId="15873" xr:uid="{00000000-0005-0000-0000-00004A6B0000}"/>
    <cellStyle name="Normal 15 9 2 2 2" xfId="29441" xr:uid="{00000000-0005-0000-0000-00004B6B0000}"/>
    <cellStyle name="Normal 15 9 2 2 2 2" xfId="56574" xr:uid="{00000000-0005-0000-0000-00004C6B0000}"/>
    <cellStyle name="Normal 15 9 2 2 3" xfId="43012" xr:uid="{00000000-0005-0000-0000-00004D6B0000}"/>
    <cellStyle name="Normal 15 9 2 3" xfId="22660" xr:uid="{00000000-0005-0000-0000-00004E6B0000}"/>
    <cellStyle name="Normal 15 9 2 3 2" xfId="49793" xr:uid="{00000000-0005-0000-0000-00004F6B0000}"/>
    <cellStyle name="Normal 15 9 2 4" xfId="36231" xr:uid="{00000000-0005-0000-0000-0000506B0000}"/>
    <cellStyle name="Normal 15 9 3" xfId="12484" xr:uid="{00000000-0005-0000-0000-0000516B0000}"/>
    <cellStyle name="Normal 15 9 3 2" xfId="26052" xr:uid="{00000000-0005-0000-0000-0000526B0000}"/>
    <cellStyle name="Normal 15 9 3 2 2" xfId="53185" xr:uid="{00000000-0005-0000-0000-0000536B0000}"/>
    <cellStyle name="Normal 15 9 3 3" xfId="39623" xr:uid="{00000000-0005-0000-0000-0000546B0000}"/>
    <cellStyle name="Normal 15 9 4" xfId="19271" xr:uid="{00000000-0005-0000-0000-0000556B0000}"/>
    <cellStyle name="Normal 15 9 4 2" xfId="46404" xr:uid="{00000000-0005-0000-0000-0000566B0000}"/>
    <cellStyle name="Normal 15 9 5" xfId="32842" xr:uid="{00000000-0005-0000-0000-0000576B0000}"/>
    <cellStyle name="Normal 16" xfId="2568" xr:uid="{00000000-0005-0000-0000-0000586B0000}"/>
    <cellStyle name="Normal 16 2" xfId="2569" xr:uid="{00000000-0005-0000-0000-0000596B0000}"/>
    <cellStyle name="Normal 164 2" xfId="16" xr:uid="{00000000-0005-0000-0000-00005A6B0000}"/>
    <cellStyle name="Normal 164 2 2" xfId="18" xr:uid="{00000000-0005-0000-0000-00005B6B0000}"/>
    <cellStyle name="Normal 164 4 3" xfId="58374" xr:uid="{00000000-0005-0000-0000-00005C6B0000}"/>
    <cellStyle name="Normal 17" xfId="2570" xr:uid="{00000000-0005-0000-0000-00005D6B0000}"/>
    <cellStyle name="Normal 17 2" xfId="2571" xr:uid="{00000000-0005-0000-0000-00005E6B0000}"/>
    <cellStyle name="Normal 170 2" xfId="39" xr:uid="{00000000-0005-0000-0000-00005F6B0000}"/>
    <cellStyle name="Normal 172" xfId="31" xr:uid="{00000000-0005-0000-0000-0000606B0000}"/>
    <cellStyle name="Normal 173" xfId="58380" xr:uid="{D825BD91-BB82-4011-9B29-D32C29D096F2}"/>
    <cellStyle name="Normal 178" xfId="58388" xr:uid="{91125EAE-66A2-4860-B03D-9FAD4AB8768A}"/>
    <cellStyle name="Normal 18" xfId="2572" xr:uid="{00000000-0005-0000-0000-0000616B0000}"/>
    <cellStyle name="Normal 18 2" xfId="2573" xr:uid="{00000000-0005-0000-0000-0000626B0000}"/>
    <cellStyle name="Normal 182" xfId="58387" xr:uid="{16E8034B-6334-49E8-A770-0387FA3993FC}"/>
    <cellStyle name="Normal 19" xfId="2574" xr:uid="{00000000-0005-0000-0000-0000636B0000}"/>
    <cellStyle name="Normal 19 2" xfId="2575" xr:uid="{00000000-0005-0000-0000-0000646B0000}"/>
    <cellStyle name="Normal 2" xfId="2" xr:uid="{00000000-0005-0000-0000-0000656B0000}"/>
    <cellStyle name="Normal 2 10" xfId="7" xr:uid="{00000000-0005-0000-0000-0000666B0000}"/>
    <cellStyle name="Normal 2 10 2 2" xfId="7394" xr:uid="{00000000-0005-0000-0000-0000676B0000}"/>
    <cellStyle name="Normal 2 11" xfId="2576" xr:uid="{00000000-0005-0000-0000-0000686B0000}"/>
    <cellStyle name="Normal 2 12" xfId="2577" xr:uid="{00000000-0005-0000-0000-0000696B0000}"/>
    <cellStyle name="Normal 2 13" xfId="2578" xr:uid="{00000000-0005-0000-0000-00006A6B0000}"/>
    <cellStyle name="Normal 2 14" xfId="2579" xr:uid="{00000000-0005-0000-0000-00006B6B0000}"/>
    <cellStyle name="Normal 2 15" xfId="2580" xr:uid="{00000000-0005-0000-0000-00006C6B0000}"/>
    <cellStyle name="Normal 2 16" xfId="2581" xr:uid="{00000000-0005-0000-0000-00006D6B0000}"/>
    <cellStyle name="Normal 2 17" xfId="2582" xr:uid="{00000000-0005-0000-0000-00006E6B0000}"/>
    <cellStyle name="Normal 2 18" xfId="2583" xr:uid="{00000000-0005-0000-0000-00006F6B0000}"/>
    <cellStyle name="Normal 2 19" xfId="2584" xr:uid="{00000000-0005-0000-0000-0000706B0000}"/>
    <cellStyle name="Normal 2 2" xfId="69" xr:uid="{00000000-0005-0000-0000-0000716B0000}"/>
    <cellStyle name="Normal 2 2 2" xfId="80" xr:uid="{00000000-0005-0000-0000-0000726B0000}"/>
    <cellStyle name="Normal 2 2 2 10" xfId="7395" xr:uid="{00000000-0005-0000-0000-0000736B0000}"/>
    <cellStyle name="Normal 2 2 2 10 2" xfId="7396" xr:uid="{00000000-0005-0000-0000-0000746B0000}"/>
    <cellStyle name="Normal 2 2 2 10 2 2" xfId="10816" xr:uid="{00000000-0005-0000-0000-0000756B0000}"/>
    <cellStyle name="Normal 2 2 2 10 2 2 2" xfId="17606" xr:uid="{00000000-0005-0000-0000-0000766B0000}"/>
    <cellStyle name="Normal 2 2 2 10 2 2 2 2" xfId="31174" xr:uid="{00000000-0005-0000-0000-0000776B0000}"/>
    <cellStyle name="Normal 2 2 2 10 2 2 2 2 2" xfId="58307" xr:uid="{00000000-0005-0000-0000-0000786B0000}"/>
    <cellStyle name="Normal 2 2 2 10 2 2 2 3" xfId="44745" xr:uid="{00000000-0005-0000-0000-0000796B0000}"/>
    <cellStyle name="Normal 2 2 2 10 2 2 3" xfId="24393" xr:uid="{00000000-0005-0000-0000-00007A6B0000}"/>
    <cellStyle name="Normal 2 2 2 10 2 2 3 2" xfId="51526" xr:uid="{00000000-0005-0000-0000-00007B6B0000}"/>
    <cellStyle name="Normal 2 2 2 10 2 2 4" xfId="37964" xr:uid="{00000000-0005-0000-0000-00007C6B0000}"/>
    <cellStyle name="Normal 2 2 2 10 2 3" xfId="14217" xr:uid="{00000000-0005-0000-0000-00007D6B0000}"/>
    <cellStyle name="Normal 2 2 2 10 2 3 2" xfId="27785" xr:uid="{00000000-0005-0000-0000-00007E6B0000}"/>
    <cellStyle name="Normal 2 2 2 10 2 3 2 2" xfId="54918" xr:uid="{00000000-0005-0000-0000-00007F6B0000}"/>
    <cellStyle name="Normal 2 2 2 10 2 3 3" xfId="41356" xr:uid="{00000000-0005-0000-0000-0000806B0000}"/>
    <cellStyle name="Normal 2 2 2 10 2 4" xfId="21004" xr:uid="{00000000-0005-0000-0000-0000816B0000}"/>
    <cellStyle name="Normal 2 2 2 10 2 4 2" xfId="48137" xr:uid="{00000000-0005-0000-0000-0000826B0000}"/>
    <cellStyle name="Normal 2 2 2 10 2 5" xfId="34575" xr:uid="{00000000-0005-0000-0000-0000836B0000}"/>
    <cellStyle name="Normal 2 2 2 10 3" xfId="10815" xr:uid="{00000000-0005-0000-0000-0000846B0000}"/>
    <cellStyle name="Normal 2 2 2 10 3 2" xfId="17605" xr:uid="{00000000-0005-0000-0000-0000856B0000}"/>
    <cellStyle name="Normal 2 2 2 10 3 2 2" xfId="31173" xr:uid="{00000000-0005-0000-0000-0000866B0000}"/>
    <cellStyle name="Normal 2 2 2 10 3 2 2 2" xfId="58306" xr:uid="{00000000-0005-0000-0000-0000876B0000}"/>
    <cellStyle name="Normal 2 2 2 10 3 2 3" xfId="44744" xr:uid="{00000000-0005-0000-0000-0000886B0000}"/>
    <cellStyle name="Normal 2 2 2 10 3 3" xfId="24392" xr:uid="{00000000-0005-0000-0000-0000896B0000}"/>
    <cellStyle name="Normal 2 2 2 10 3 3 2" xfId="51525" xr:uid="{00000000-0005-0000-0000-00008A6B0000}"/>
    <cellStyle name="Normal 2 2 2 10 3 4" xfId="37963" xr:uid="{00000000-0005-0000-0000-00008B6B0000}"/>
    <cellStyle name="Normal 2 2 2 10 4" xfId="14216" xr:uid="{00000000-0005-0000-0000-00008C6B0000}"/>
    <cellStyle name="Normal 2 2 2 10 4 2" xfId="27784" xr:uid="{00000000-0005-0000-0000-00008D6B0000}"/>
    <cellStyle name="Normal 2 2 2 10 4 2 2" xfId="54917" xr:uid="{00000000-0005-0000-0000-00008E6B0000}"/>
    <cellStyle name="Normal 2 2 2 10 4 3" xfId="41355" xr:uid="{00000000-0005-0000-0000-00008F6B0000}"/>
    <cellStyle name="Normal 2 2 2 10 5" xfId="21003" xr:uid="{00000000-0005-0000-0000-0000906B0000}"/>
    <cellStyle name="Normal 2 2 2 10 5 2" xfId="48136" xr:uid="{00000000-0005-0000-0000-0000916B0000}"/>
    <cellStyle name="Normal 2 2 2 10 6" xfId="34574" xr:uid="{00000000-0005-0000-0000-0000926B0000}"/>
    <cellStyle name="Normal 2 2 2 11" xfId="7397" xr:uid="{00000000-0005-0000-0000-0000936B0000}"/>
    <cellStyle name="Normal 2 2 2 11 2" xfId="7398" xr:uid="{00000000-0005-0000-0000-0000946B0000}"/>
    <cellStyle name="Normal 2 2 2 11 2 2" xfId="10818" xr:uid="{00000000-0005-0000-0000-0000956B0000}"/>
    <cellStyle name="Normal 2 2 2 11 2 2 2" xfId="17608" xr:uid="{00000000-0005-0000-0000-0000966B0000}"/>
    <cellStyle name="Normal 2 2 2 11 2 2 2 2" xfId="31176" xr:uid="{00000000-0005-0000-0000-0000976B0000}"/>
    <cellStyle name="Normal 2 2 2 11 2 2 2 2 2" xfId="58309" xr:uid="{00000000-0005-0000-0000-0000986B0000}"/>
    <cellStyle name="Normal 2 2 2 11 2 2 2 3" xfId="44747" xr:uid="{00000000-0005-0000-0000-0000996B0000}"/>
    <cellStyle name="Normal 2 2 2 11 2 2 3" xfId="24395" xr:uid="{00000000-0005-0000-0000-00009A6B0000}"/>
    <cellStyle name="Normal 2 2 2 11 2 2 3 2" xfId="51528" xr:uid="{00000000-0005-0000-0000-00009B6B0000}"/>
    <cellStyle name="Normal 2 2 2 11 2 2 4" xfId="37966" xr:uid="{00000000-0005-0000-0000-00009C6B0000}"/>
    <cellStyle name="Normal 2 2 2 11 2 3" xfId="14219" xr:uid="{00000000-0005-0000-0000-00009D6B0000}"/>
    <cellStyle name="Normal 2 2 2 11 2 3 2" xfId="27787" xr:uid="{00000000-0005-0000-0000-00009E6B0000}"/>
    <cellStyle name="Normal 2 2 2 11 2 3 2 2" xfId="54920" xr:uid="{00000000-0005-0000-0000-00009F6B0000}"/>
    <cellStyle name="Normal 2 2 2 11 2 3 3" xfId="41358" xr:uid="{00000000-0005-0000-0000-0000A06B0000}"/>
    <cellStyle name="Normal 2 2 2 11 2 4" xfId="21006" xr:uid="{00000000-0005-0000-0000-0000A16B0000}"/>
    <cellStyle name="Normal 2 2 2 11 2 4 2" xfId="48139" xr:uid="{00000000-0005-0000-0000-0000A26B0000}"/>
    <cellStyle name="Normal 2 2 2 11 2 5" xfId="34577" xr:uid="{00000000-0005-0000-0000-0000A36B0000}"/>
    <cellStyle name="Normal 2 2 2 11 3" xfId="10817" xr:uid="{00000000-0005-0000-0000-0000A46B0000}"/>
    <cellStyle name="Normal 2 2 2 11 3 2" xfId="17607" xr:uid="{00000000-0005-0000-0000-0000A56B0000}"/>
    <cellStyle name="Normal 2 2 2 11 3 2 2" xfId="31175" xr:uid="{00000000-0005-0000-0000-0000A66B0000}"/>
    <cellStyle name="Normal 2 2 2 11 3 2 2 2" xfId="58308" xr:uid="{00000000-0005-0000-0000-0000A76B0000}"/>
    <cellStyle name="Normal 2 2 2 11 3 2 3" xfId="44746" xr:uid="{00000000-0005-0000-0000-0000A86B0000}"/>
    <cellStyle name="Normal 2 2 2 11 3 3" xfId="24394" xr:uid="{00000000-0005-0000-0000-0000A96B0000}"/>
    <cellStyle name="Normal 2 2 2 11 3 3 2" xfId="51527" xr:uid="{00000000-0005-0000-0000-0000AA6B0000}"/>
    <cellStyle name="Normal 2 2 2 11 3 4" xfId="37965" xr:uid="{00000000-0005-0000-0000-0000AB6B0000}"/>
    <cellStyle name="Normal 2 2 2 11 4" xfId="14218" xr:uid="{00000000-0005-0000-0000-0000AC6B0000}"/>
    <cellStyle name="Normal 2 2 2 11 4 2" xfId="27786" xr:uid="{00000000-0005-0000-0000-0000AD6B0000}"/>
    <cellStyle name="Normal 2 2 2 11 4 2 2" xfId="54919" xr:uid="{00000000-0005-0000-0000-0000AE6B0000}"/>
    <cellStyle name="Normal 2 2 2 11 4 3" xfId="41357" xr:uid="{00000000-0005-0000-0000-0000AF6B0000}"/>
    <cellStyle name="Normal 2 2 2 11 5" xfId="21005" xr:uid="{00000000-0005-0000-0000-0000B06B0000}"/>
    <cellStyle name="Normal 2 2 2 11 5 2" xfId="48138" xr:uid="{00000000-0005-0000-0000-0000B16B0000}"/>
    <cellStyle name="Normal 2 2 2 11 6" xfId="34576" xr:uid="{00000000-0005-0000-0000-0000B26B0000}"/>
    <cellStyle name="Normal 2 2 2 12" xfId="7399" xr:uid="{00000000-0005-0000-0000-0000B36B0000}"/>
    <cellStyle name="Normal 2 2 2 12 2" xfId="7400" xr:uid="{00000000-0005-0000-0000-0000B46B0000}"/>
    <cellStyle name="Normal 2 2 2 12 2 2" xfId="10820" xr:uid="{00000000-0005-0000-0000-0000B56B0000}"/>
    <cellStyle name="Normal 2 2 2 12 2 2 2" xfId="17610" xr:uid="{00000000-0005-0000-0000-0000B66B0000}"/>
    <cellStyle name="Normal 2 2 2 12 2 2 2 2" xfId="31178" xr:uid="{00000000-0005-0000-0000-0000B76B0000}"/>
    <cellStyle name="Normal 2 2 2 12 2 2 2 2 2" xfId="58311" xr:uid="{00000000-0005-0000-0000-0000B86B0000}"/>
    <cellStyle name="Normal 2 2 2 12 2 2 2 3" xfId="44749" xr:uid="{00000000-0005-0000-0000-0000B96B0000}"/>
    <cellStyle name="Normal 2 2 2 12 2 2 3" xfId="24397" xr:uid="{00000000-0005-0000-0000-0000BA6B0000}"/>
    <cellStyle name="Normal 2 2 2 12 2 2 3 2" xfId="51530" xr:uid="{00000000-0005-0000-0000-0000BB6B0000}"/>
    <cellStyle name="Normal 2 2 2 12 2 2 4" xfId="37968" xr:uid="{00000000-0005-0000-0000-0000BC6B0000}"/>
    <cellStyle name="Normal 2 2 2 12 2 3" xfId="14221" xr:uid="{00000000-0005-0000-0000-0000BD6B0000}"/>
    <cellStyle name="Normal 2 2 2 12 2 3 2" xfId="27789" xr:uid="{00000000-0005-0000-0000-0000BE6B0000}"/>
    <cellStyle name="Normal 2 2 2 12 2 3 2 2" xfId="54922" xr:uid="{00000000-0005-0000-0000-0000BF6B0000}"/>
    <cellStyle name="Normal 2 2 2 12 2 3 3" xfId="41360" xr:uid="{00000000-0005-0000-0000-0000C06B0000}"/>
    <cellStyle name="Normal 2 2 2 12 2 4" xfId="21008" xr:uid="{00000000-0005-0000-0000-0000C16B0000}"/>
    <cellStyle name="Normal 2 2 2 12 2 4 2" xfId="48141" xr:uid="{00000000-0005-0000-0000-0000C26B0000}"/>
    <cellStyle name="Normal 2 2 2 12 2 5" xfId="34579" xr:uid="{00000000-0005-0000-0000-0000C36B0000}"/>
    <cellStyle name="Normal 2 2 2 12 3" xfId="10819" xr:uid="{00000000-0005-0000-0000-0000C46B0000}"/>
    <cellStyle name="Normal 2 2 2 12 3 2" xfId="17609" xr:uid="{00000000-0005-0000-0000-0000C56B0000}"/>
    <cellStyle name="Normal 2 2 2 12 3 2 2" xfId="31177" xr:uid="{00000000-0005-0000-0000-0000C66B0000}"/>
    <cellStyle name="Normal 2 2 2 12 3 2 2 2" xfId="58310" xr:uid="{00000000-0005-0000-0000-0000C76B0000}"/>
    <cellStyle name="Normal 2 2 2 12 3 2 3" xfId="44748" xr:uid="{00000000-0005-0000-0000-0000C86B0000}"/>
    <cellStyle name="Normal 2 2 2 12 3 3" xfId="24396" xr:uid="{00000000-0005-0000-0000-0000C96B0000}"/>
    <cellStyle name="Normal 2 2 2 12 3 3 2" xfId="51529" xr:uid="{00000000-0005-0000-0000-0000CA6B0000}"/>
    <cellStyle name="Normal 2 2 2 12 3 4" xfId="37967" xr:uid="{00000000-0005-0000-0000-0000CB6B0000}"/>
    <cellStyle name="Normal 2 2 2 12 4" xfId="14220" xr:uid="{00000000-0005-0000-0000-0000CC6B0000}"/>
    <cellStyle name="Normal 2 2 2 12 4 2" xfId="27788" xr:uid="{00000000-0005-0000-0000-0000CD6B0000}"/>
    <cellStyle name="Normal 2 2 2 12 4 2 2" xfId="54921" xr:uid="{00000000-0005-0000-0000-0000CE6B0000}"/>
    <cellStyle name="Normal 2 2 2 12 4 3" xfId="41359" xr:uid="{00000000-0005-0000-0000-0000CF6B0000}"/>
    <cellStyle name="Normal 2 2 2 12 5" xfId="21007" xr:uid="{00000000-0005-0000-0000-0000D06B0000}"/>
    <cellStyle name="Normal 2 2 2 12 5 2" xfId="48140" xr:uid="{00000000-0005-0000-0000-0000D16B0000}"/>
    <cellStyle name="Normal 2 2 2 12 6" xfId="34578" xr:uid="{00000000-0005-0000-0000-0000D26B0000}"/>
    <cellStyle name="Normal 2 2 2 13" xfId="7401" xr:uid="{00000000-0005-0000-0000-0000D36B0000}"/>
    <cellStyle name="Normal 2 2 2 13 2" xfId="7402" xr:uid="{00000000-0005-0000-0000-0000D46B0000}"/>
    <cellStyle name="Normal 2 2 2 13 2 2" xfId="10822" xr:uid="{00000000-0005-0000-0000-0000D56B0000}"/>
    <cellStyle name="Normal 2 2 2 13 2 2 2" xfId="17612" xr:uid="{00000000-0005-0000-0000-0000D66B0000}"/>
    <cellStyle name="Normal 2 2 2 13 2 2 2 2" xfId="31180" xr:uid="{00000000-0005-0000-0000-0000D76B0000}"/>
    <cellStyle name="Normal 2 2 2 13 2 2 2 2 2" xfId="58313" xr:uid="{00000000-0005-0000-0000-0000D86B0000}"/>
    <cellStyle name="Normal 2 2 2 13 2 2 2 3" xfId="44751" xr:uid="{00000000-0005-0000-0000-0000D96B0000}"/>
    <cellStyle name="Normal 2 2 2 13 2 2 3" xfId="24399" xr:uid="{00000000-0005-0000-0000-0000DA6B0000}"/>
    <cellStyle name="Normal 2 2 2 13 2 2 3 2" xfId="51532" xr:uid="{00000000-0005-0000-0000-0000DB6B0000}"/>
    <cellStyle name="Normal 2 2 2 13 2 2 4" xfId="37970" xr:uid="{00000000-0005-0000-0000-0000DC6B0000}"/>
    <cellStyle name="Normal 2 2 2 13 2 3" xfId="14223" xr:uid="{00000000-0005-0000-0000-0000DD6B0000}"/>
    <cellStyle name="Normal 2 2 2 13 2 3 2" xfId="27791" xr:uid="{00000000-0005-0000-0000-0000DE6B0000}"/>
    <cellStyle name="Normal 2 2 2 13 2 3 2 2" xfId="54924" xr:uid="{00000000-0005-0000-0000-0000DF6B0000}"/>
    <cellStyle name="Normal 2 2 2 13 2 3 3" xfId="41362" xr:uid="{00000000-0005-0000-0000-0000E06B0000}"/>
    <cellStyle name="Normal 2 2 2 13 2 4" xfId="21010" xr:uid="{00000000-0005-0000-0000-0000E16B0000}"/>
    <cellStyle name="Normal 2 2 2 13 2 4 2" xfId="48143" xr:uid="{00000000-0005-0000-0000-0000E26B0000}"/>
    <cellStyle name="Normal 2 2 2 13 2 5" xfId="34581" xr:uid="{00000000-0005-0000-0000-0000E36B0000}"/>
    <cellStyle name="Normal 2 2 2 13 3" xfId="10821" xr:uid="{00000000-0005-0000-0000-0000E46B0000}"/>
    <cellStyle name="Normal 2 2 2 13 3 2" xfId="17611" xr:uid="{00000000-0005-0000-0000-0000E56B0000}"/>
    <cellStyle name="Normal 2 2 2 13 3 2 2" xfId="31179" xr:uid="{00000000-0005-0000-0000-0000E66B0000}"/>
    <cellStyle name="Normal 2 2 2 13 3 2 2 2" xfId="58312" xr:uid="{00000000-0005-0000-0000-0000E76B0000}"/>
    <cellStyle name="Normal 2 2 2 13 3 2 3" xfId="44750" xr:uid="{00000000-0005-0000-0000-0000E86B0000}"/>
    <cellStyle name="Normal 2 2 2 13 3 3" xfId="24398" xr:uid="{00000000-0005-0000-0000-0000E96B0000}"/>
    <cellStyle name="Normal 2 2 2 13 3 3 2" xfId="51531" xr:uid="{00000000-0005-0000-0000-0000EA6B0000}"/>
    <cellStyle name="Normal 2 2 2 13 3 4" xfId="37969" xr:uid="{00000000-0005-0000-0000-0000EB6B0000}"/>
    <cellStyle name="Normal 2 2 2 13 4" xfId="14222" xr:uid="{00000000-0005-0000-0000-0000EC6B0000}"/>
    <cellStyle name="Normal 2 2 2 13 4 2" xfId="27790" xr:uid="{00000000-0005-0000-0000-0000ED6B0000}"/>
    <cellStyle name="Normal 2 2 2 13 4 2 2" xfId="54923" xr:uid="{00000000-0005-0000-0000-0000EE6B0000}"/>
    <cellStyle name="Normal 2 2 2 13 4 3" xfId="41361" xr:uid="{00000000-0005-0000-0000-0000EF6B0000}"/>
    <cellStyle name="Normal 2 2 2 13 5" xfId="21009" xr:uid="{00000000-0005-0000-0000-0000F06B0000}"/>
    <cellStyle name="Normal 2 2 2 13 5 2" xfId="48142" xr:uid="{00000000-0005-0000-0000-0000F16B0000}"/>
    <cellStyle name="Normal 2 2 2 13 6" xfId="34580" xr:uid="{00000000-0005-0000-0000-0000F26B0000}"/>
    <cellStyle name="Normal 2 2 2 14" xfId="7403" xr:uid="{00000000-0005-0000-0000-0000F36B0000}"/>
    <cellStyle name="Normal 2 2 2 14 2" xfId="7404" xr:uid="{00000000-0005-0000-0000-0000F46B0000}"/>
    <cellStyle name="Normal 2 2 2 14 2 2" xfId="10824" xr:uid="{00000000-0005-0000-0000-0000F56B0000}"/>
    <cellStyle name="Normal 2 2 2 14 2 2 2" xfId="17614" xr:uid="{00000000-0005-0000-0000-0000F66B0000}"/>
    <cellStyle name="Normal 2 2 2 14 2 2 2 2" xfId="31182" xr:uid="{00000000-0005-0000-0000-0000F76B0000}"/>
    <cellStyle name="Normal 2 2 2 14 2 2 2 2 2" xfId="58315" xr:uid="{00000000-0005-0000-0000-0000F86B0000}"/>
    <cellStyle name="Normal 2 2 2 14 2 2 2 3" xfId="44753" xr:uid="{00000000-0005-0000-0000-0000F96B0000}"/>
    <cellStyle name="Normal 2 2 2 14 2 2 3" xfId="24401" xr:uid="{00000000-0005-0000-0000-0000FA6B0000}"/>
    <cellStyle name="Normal 2 2 2 14 2 2 3 2" xfId="51534" xr:uid="{00000000-0005-0000-0000-0000FB6B0000}"/>
    <cellStyle name="Normal 2 2 2 14 2 2 4" xfId="37972" xr:uid="{00000000-0005-0000-0000-0000FC6B0000}"/>
    <cellStyle name="Normal 2 2 2 14 2 3" xfId="14225" xr:uid="{00000000-0005-0000-0000-0000FD6B0000}"/>
    <cellStyle name="Normal 2 2 2 14 2 3 2" xfId="27793" xr:uid="{00000000-0005-0000-0000-0000FE6B0000}"/>
    <cellStyle name="Normal 2 2 2 14 2 3 2 2" xfId="54926" xr:uid="{00000000-0005-0000-0000-0000FF6B0000}"/>
    <cellStyle name="Normal 2 2 2 14 2 3 3" xfId="41364" xr:uid="{00000000-0005-0000-0000-0000006C0000}"/>
    <cellStyle name="Normal 2 2 2 14 2 4" xfId="21012" xr:uid="{00000000-0005-0000-0000-0000016C0000}"/>
    <cellStyle name="Normal 2 2 2 14 2 4 2" xfId="48145" xr:uid="{00000000-0005-0000-0000-0000026C0000}"/>
    <cellStyle name="Normal 2 2 2 14 2 5" xfId="34583" xr:uid="{00000000-0005-0000-0000-0000036C0000}"/>
    <cellStyle name="Normal 2 2 2 14 3" xfId="10823" xr:uid="{00000000-0005-0000-0000-0000046C0000}"/>
    <cellStyle name="Normal 2 2 2 14 3 2" xfId="17613" xr:uid="{00000000-0005-0000-0000-0000056C0000}"/>
    <cellStyle name="Normal 2 2 2 14 3 2 2" xfId="31181" xr:uid="{00000000-0005-0000-0000-0000066C0000}"/>
    <cellStyle name="Normal 2 2 2 14 3 2 2 2" xfId="58314" xr:uid="{00000000-0005-0000-0000-0000076C0000}"/>
    <cellStyle name="Normal 2 2 2 14 3 2 3" xfId="44752" xr:uid="{00000000-0005-0000-0000-0000086C0000}"/>
    <cellStyle name="Normal 2 2 2 14 3 3" xfId="24400" xr:uid="{00000000-0005-0000-0000-0000096C0000}"/>
    <cellStyle name="Normal 2 2 2 14 3 3 2" xfId="51533" xr:uid="{00000000-0005-0000-0000-00000A6C0000}"/>
    <cellStyle name="Normal 2 2 2 14 3 4" xfId="37971" xr:uid="{00000000-0005-0000-0000-00000B6C0000}"/>
    <cellStyle name="Normal 2 2 2 14 4" xfId="14224" xr:uid="{00000000-0005-0000-0000-00000C6C0000}"/>
    <cellStyle name="Normal 2 2 2 14 4 2" xfId="27792" xr:uid="{00000000-0005-0000-0000-00000D6C0000}"/>
    <cellStyle name="Normal 2 2 2 14 4 2 2" xfId="54925" xr:uid="{00000000-0005-0000-0000-00000E6C0000}"/>
    <cellStyle name="Normal 2 2 2 14 4 3" xfId="41363" xr:uid="{00000000-0005-0000-0000-00000F6C0000}"/>
    <cellStyle name="Normal 2 2 2 14 5" xfId="21011" xr:uid="{00000000-0005-0000-0000-0000106C0000}"/>
    <cellStyle name="Normal 2 2 2 14 5 2" xfId="48144" xr:uid="{00000000-0005-0000-0000-0000116C0000}"/>
    <cellStyle name="Normal 2 2 2 14 6" xfId="34582" xr:uid="{00000000-0005-0000-0000-0000126C0000}"/>
    <cellStyle name="Normal 2 2 2 15" xfId="7405" xr:uid="{00000000-0005-0000-0000-0000136C0000}"/>
    <cellStyle name="Normal 2 2 2 15 2" xfId="7406" xr:uid="{00000000-0005-0000-0000-0000146C0000}"/>
    <cellStyle name="Normal 2 2 2 15 2 2" xfId="10826" xr:uid="{00000000-0005-0000-0000-0000156C0000}"/>
    <cellStyle name="Normal 2 2 2 15 2 2 2" xfId="17616" xr:uid="{00000000-0005-0000-0000-0000166C0000}"/>
    <cellStyle name="Normal 2 2 2 15 2 2 2 2" xfId="31184" xr:uid="{00000000-0005-0000-0000-0000176C0000}"/>
    <cellStyle name="Normal 2 2 2 15 2 2 2 2 2" xfId="58317" xr:uid="{00000000-0005-0000-0000-0000186C0000}"/>
    <cellStyle name="Normal 2 2 2 15 2 2 2 3" xfId="44755" xr:uid="{00000000-0005-0000-0000-0000196C0000}"/>
    <cellStyle name="Normal 2 2 2 15 2 2 3" xfId="24403" xr:uid="{00000000-0005-0000-0000-00001A6C0000}"/>
    <cellStyle name="Normal 2 2 2 15 2 2 3 2" xfId="51536" xr:uid="{00000000-0005-0000-0000-00001B6C0000}"/>
    <cellStyle name="Normal 2 2 2 15 2 2 4" xfId="37974" xr:uid="{00000000-0005-0000-0000-00001C6C0000}"/>
    <cellStyle name="Normal 2 2 2 15 2 3" xfId="14227" xr:uid="{00000000-0005-0000-0000-00001D6C0000}"/>
    <cellStyle name="Normal 2 2 2 15 2 3 2" xfId="27795" xr:uid="{00000000-0005-0000-0000-00001E6C0000}"/>
    <cellStyle name="Normal 2 2 2 15 2 3 2 2" xfId="54928" xr:uid="{00000000-0005-0000-0000-00001F6C0000}"/>
    <cellStyle name="Normal 2 2 2 15 2 3 3" xfId="41366" xr:uid="{00000000-0005-0000-0000-0000206C0000}"/>
    <cellStyle name="Normal 2 2 2 15 2 4" xfId="21014" xr:uid="{00000000-0005-0000-0000-0000216C0000}"/>
    <cellStyle name="Normal 2 2 2 15 2 4 2" xfId="48147" xr:uid="{00000000-0005-0000-0000-0000226C0000}"/>
    <cellStyle name="Normal 2 2 2 15 2 5" xfId="34585" xr:uid="{00000000-0005-0000-0000-0000236C0000}"/>
    <cellStyle name="Normal 2 2 2 15 3" xfId="10825" xr:uid="{00000000-0005-0000-0000-0000246C0000}"/>
    <cellStyle name="Normal 2 2 2 15 3 2" xfId="17615" xr:uid="{00000000-0005-0000-0000-0000256C0000}"/>
    <cellStyle name="Normal 2 2 2 15 3 2 2" xfId="31183" xr:uid="{00000000-0005-0000-0000-0000266C0000}"/>
    <cellStyle name="Normal 2 2 2 15 3 2 2 2" xfId="58316" xr:uid="{00000000-0005-0000-0000-0000276C0000}"/>
    <cellStyle name="Normal 2 2 2 15 3 2 3" xfId="44754" xr:uid="{00000000-0005-0000-0000-0000286C0000}"/>
    <cellStyle name="Normal 2 2 2 15 3 3" xfId="24402" xr:uid="{00000000-0005-0000-0000-0000296C0000}"/>
    <cellStyle name="Normal 2 2 2 15 3 3 2" xfId="51535" xr:uid="{00000000-0005-0000-0000-00002A6C0000}"/>
    <cellStyle name="Normal 2 2 2 15 3 4" xfId="37973" xr:uid="{00000000-0005-0000-0000-00002B6C0000}"/>
    <cellStyle name="Normal 2 2 2 15 4" xfId="14226" xr:uid="{00000000-0005-0000-0000-00002C6C0000}"/>
    <cellStyle name="Normal 2 2 2 15 4 2" xfId="27794" xr:uid="{00000000-0005-0000-0000-00002D6C0000}"/>
    <cellStyle name="Normal 2 2 2 15 4 2 2" xfId="54927" xr:uid="{00000000-0005-0000-0000-00002E6C0000}"/>
    <cellStyle name="Normal 2 2 2 15 4 3" xfId="41365" xr:uid="{00000000-0005-0000-0000-00002F6C0000}"/>
    <cellStyle name="Normal 2 2 2 15 5" xfId="21013" xr:uid="{00000000-0005-0000-0000-0000306C0000}"/>
    <cellStyle name="Normal 2 2 2 15 5 2" xfId="48146" xr:uid="{00000000-0005-0000-0000-0000316C0000}"/>
    <cellStyle name="Normal 2 2 2 15 6" xfId="34584" xr:uid="{00000000-0005-0000-0000-0000326C0000}"/>
    <cellStyle name="Normal 2 2 2 16" xfId="7407" xr:uid="{00000000-0005-0000-0000-0000336C0000}"/>
    <cellStyle name="Normal 2 2 2 16 2" xfId="7408" xr:uid="{00000000-0005-0000-0000-0000346C0000}"/>
    <cellStyle name="Normal 2 2 2 16 2 2" xfId="10828" xr:uid="{00000000-0005-0000-0000-0000356C0000}"/>
    <cellStyle name="Normal 2 2 2 16 2 2 2" xfId="17618" xr:uid="{00000000-0005-0000-0000-0000366C0000}"/>
    <cellStyle name="Normal 2 2 2 16 2 2 2 2" xfId="31186" xr:uid="{00000000-0005-0000-0000-0000376C0000}"/>
    <cellStyle name="Normal 2 2 2 16 2 2 2 2 2" xfId="58319" xr:uid="{00000000-0005-0000-0000-0000386C0000}"/>
    <cellStyle name="Normal 2 2 2 16 2 2 2 3" xfId="44757" xr:uid="{00000000-0005-0000-0000-0000396C0000}"/>
    <cellStyle name="Normal 2 2 2 16 2 2 3" xfId="24405" xr:uid="{00000000-0005-0000-0000-00003A6C0000}"/>
    <cellStyle name="Normal 2 2 2 16 2 2 3 2" xfId="51538" xr:uid="{00000000-0005-0000-0000-00003B6C0000}"/>
    <cellStyle name="Normal 2 2 2 16 2 2 4" xfId="37976" xr:uid="{00000000-0005-0000-0000-00003C6C0000}"/>
    <cellStyle name="Normal 2 2 2 16 2 3" xfId="14229" xr:uid="{00000000-0005-0000-0000-00003D6C0000}"/>
    <cellStyle name="Normal 2 2 2 16 2 3 2" xfId="27797" xr:uid="{00000000-0005-0000-0000-00003E6C0000}"/>
    <cellStyle name="Normal 2 2 2 16 2 3 2 2" xfId="54930" xr:uid="{00000000-0005-0000-0000-00003F6C0000}"/>
    <cellStyle name="Normal 2 2 2 16 2 3 3" xfId="41368" xr:uid="{00000000-0005-0000-0000-0000406C0000}"/>
    <cellStyle name="Normal 2 2 2 16 2 4" xfId="21016" xr:uid="{00000000-0005-0000-0000-0000416C0000}"/>
    <cellStyle name="Normal 2 2 2 16 2 4 2" xfId="48149" xr:uid="{00000000-0005-0000-0000-0000426C0000}"/>
    <cellStyle name="Normal 2 2 2 16 2 5" xfId="34587" xr:uid="{00000000-0005-0000-0000-0000436C0000}"/>
    <cellStyle name="Normal 2 2 2 16 3" xfId="10827" xr:uid="{00000000-0005-0000-0000-0000446C0000}"/>
    <cellStyle name="Normal 2 2 2 16 3 2" xfId="17617" xr:uid="{00000000-0005-0000-0000-0000456C0000}"/>
    <cellStyle name="Normal 2 2 2 16 3 2 2" xfId="31185" xr:uid="{00000000-0005-0000-0000-0000466C0000}"/>
    <cellStyle name="Normal 2 2 2 16 3 2 2 2" xfId="58318" xr:uid="{00000000-0005-0000-0000-0000476C0000}"/>
    <cellStyle name="Normal 2 2 2 16 3 2 3" xfId="44756" xr:uid="{00000000-0005-0000-0000-0000486C0000}"/>
    <cellStyle name="Normal 2 2 2 16 3 3" xfId="24404" xr:uid="{00000000-0005-0000-0000-0000496C0000}"/>
    <cellStyle name="Normal 2 2 2 16 3 3 2" xfId="51537" xr:uid="{00000000-0005-0000-0000-00004A6C0000}"/>
    <cellStyle name="Normal 2 2 2 16 3 4" xfId="37975" xr:uid="{00000000-0005-0000-0000-00004B6C0000}"/>
    <cellStyle name="Normal 2 2 2 16 4" xfId="14228" xr:uid="{00000000-0005-0000-0000-00004C6C0000}"/>
    <cellStyle name="Normal 2 2 2 16 4 2" xfId="27796" xr:uid="{00000000-0005-0000-0000-00004D6C0000}"/>
    <cellStyle name="Normal 2 2 2 16 4 2 2" xfId="54929" xr:uid="{00000000-0005-0000-0000-00004E6C0000}"/>
    <cellStyle name="Normal 2 2 2 16 4 3" xfId="41367" xr:uid="{00000000-0005-0000-0000-00004F6C0000}"/>
    <cellStyle name="Normal 2 2 2 16 5" xfId="21015" xr:uid="{00000000-0005-0000-0000-0000506C0000}"/>
    <cellStyle name="Normal 2 2 2 16 5 2" xfId="48148" xr:uid="{00000000-0005-0000-0000-0000516C0000}"/>
    <cellStyle name="Normal 2 2 2 16 6" xfId="34586" xr:uid="{00000000-0005-0000-0000-0000526C0000}"/>
    <cellStyle name="Normal 2 2 2 2" xfId="202" xr:uid="{00000000-0005-0000-0000-0000536C0000}"/>
    <cellStyle name="Normal 2 2 2 2 2" xfId="7409" xr:uid="{00000000-0005-0000-0000-0000546C0000}"/>
    <cellStyle name="Normal 2 2 2 2 2 2" xfId="10829" xr:uid="{00000000-0005-0000-0000-0000556C0000}"/>
    <cellStyle name="Normal 2 2 2 2 2 2 2" xfId="17619" xr:uid="{00000000-0005-0000-0000-0000566C0000}"/>
    <cellStyle name="Normal 2 2 2 2 2 2 2 2" xfId="31187" xr:uid="{00000000-0005-0000-0000-0000576C0000}"/>
    <cellStyle name="Normal 2 2 2 2 2 2 2 2 2" xfId="58320" xr:uid="{00000000-0005-0000-0000-0000586C0000}"/>
    <cellStyle name="Normal 2 2 2 2 2 2 2 3" xfId="44758" xr:uid="{00000000-0005-0000-0000-0000596C0000}"/>
    <cellStyle name="Normal 2 2 2 2 2 2 3" xfId="24406" xr:uid="{00000000-0005-0000-0000-00005A6C0000}"/>
    <cellStyle name="Normal 2 2 2 2 2 2 3 2" xfId="51539" xr:uid="{00000000-0005-0000-0000-00005B6C0000}"/>
    <cellStyle name="Normal 2 2 2 2 2 2 4" xfId="37977" xr:uid="{00000000-0005-0000-0000-00005C6C0000}"/>
    <cellStyle name="Normal 2 2 2 2 2 3" xfId="14230" xr:uid="{00000000-0005-0000-0000-00005D6C0000}"/>
    <cellStyle name="Normal 2 2 2 2 2 3 2" xfId="27798" xr:uid="{00000000-0005-0000-0000-00005E6C0000}"/>
    <cellStyle name="Normal 2 2 2 2 2 3 2 2" xfId="54931" xr:uid="{00000000-0005-0000-0000-00005F6C0000}"/>
    <cellStyle name="Normal 2 2 2 2 2 3 3" xfId="41369" xr:uid="{00000000-0005-0000-0000-0000606C0000}"/>
    <cellStyle name="Normal 2 2 2 2 2 4" xfId="21017" xr:uid="{00000000-0005-0000-0000-0000616C0000}"/>
    <cellStyle name="Normal 2 2 2 2 2 4 2" xfId="48150" xr:uid="{00000000-0005-0000-0000-0000626C0000}"/>
    <cellStyle name="Normal 2 2 2 2 2 5" xfId="34588" xr:uid="{00000000-0005-0000-0000-0000636C0000}"/>
    <cellStyle name="Normal 2 2 2 3" xfId="7410" xr:uid="{00000000-0005-0000-0000-0000646C0000}"/>
    <cellStyle name="Normal 2 2 2 3 2" xfId="7411" xr:uid="{00000000-0005-0000-0000-0000656C0000}"/>
    <cellStyle name="Normal 2 2 2 3 2 2" xfId="10831" xr:uid="{00000000-0005-0000-0000-0000666C0000}"/>
    <cellStyle name="Normal 2 2 2 3 2 2 2" xfId="17621" xr:uid="{00000000-0005-0000-0000-0000676C0000}"/>
    <cellStyle name="Normal 2 2 2 3 2 2 2 2" xfId="31189" xr:uid="{00000000-0005-0000-0000-0000686C0000}"/>
    <cellStyle name="Normal 2 2 2 3 2 2 2 2 2" xfId="58322" xr:uid="{00000000-0005-0000-0000-0000696C0000}"/>
    <cellStyle name="Normal 2 2 2 3 2 2 2 3" xfId="44760" xr:uid="{00000000-0005-0000-0000-00006A6C0000}"/>
    <cellStyle name="Normal 2 2 2 3 2 2 3" xfId="24408" xr:uid="{00000000-0005-0000-0000-00006B6C0000}"/>
    <cellStyle name="Normal 2 2 2 3 2 2 3 2" xfId="51541" xr:uid="{00000000-0005-0000-0000-00006C6C0000}"/>
    <cellStyle name="Normal 2 2 2 3 2 2 4" xfId="37979" xr:uid="{00000000-0005-0000-0000-00006D6C0000}"/>
    <cellStyle name="Normal 2 2 2 3 2 3" xfId="14232" xr:uid="{00000000-0005-0000-0000-00006E6C0000}"/>
    <cellStyle name="Normal 2 2 2 3 2 3 2" xfId="27800" xr:uid="{00000000-0005-0000-0000-00006F6C0000}"/>
    <cellStyle name="Normal 2 2 2 3 2 3 2 2" xfId="54933" xr:uid="{00000000-0005-0000-0000-0000706C0000}"/>
    <cellStyle name="Normal 2 2 2 3 2 3 3" xfId="41371" xr:uid="{00000000-0005-0000-0000-0000716C0000}"/>
    <cellStyle name="Normal 2 2 2 3 2 4" xfId="21019" xr:uid="{00000000-0005-0000-0000-0000726C0000}"/>
    <cellStyle name="Normal 2 2 2 3 2 4 2" xfId="48152" xr:uid="{00000000-0005-0000-0000-0000736C0000}"/>
    <cellStyle name="Normal 2 2 2 3 2 5" xfId="34590" xr:uid="{00000000-0005-0000-0000-0000746C0000}"/>
    <cellStyle name="Normal 2 2 2 3 3" xfId="10830" xr:uid="{00000000-0005-0000-0000-0000756C0000}"/>
    <cellStyle name="Normal 2 2 2 3 3 2" xfId="17620" xr:uid="{00000000-0005-0000-0000-0000766C0000}"/>
    <cellStyle name="Normal 2 2 2 3 3 2 2" xfId="31188" xr:uid="{00000000-0005-0000-0000-0000776C0000}"/>
    <cellStyle name="Normal 2 2 2 3 3 2 2 2" xfId="58321" xr:uid="{00000000-0005-0000-0000-0000786C0000}"/>
    <cellStyle name="Normal 2 2 2 3 3 2 3" xfId="44759" xr:uid="{00000000-0005-0000-0000-0000796C0000}"/>
    <cellStyle name="Normal 2 2 2 3 3 3" xfId="24407" xr:uid="{00000000-0005-0000-0000-00007A6C0000}"/>
    <cellStyle name="Normal 2 2 2 3 3 3 2" xfId="51540" xr:uid="{00000000-0005-0000-0000-00007B6C0000}"/>
    <cellStyle name="Normal 2 2 2 3 3 4" xfId="37978" xr:uid="{00000000-0005-0000-0000-00007C6C0000}"/>
    <cellStyle name="Normal 2 2 2 3 4" xfId="14231" xr:uid="{00000000-0005-0000-0000-00007D6C0000}"/>
    <cellStyle name="Normal 2 2 2 3 4 2" xfId="27799" xr:uid="{00000000-0005-0000-0000-00007E6C0000}"/>
    <cellStyle name="Normal 2 2 2 3 4 2 2" xfId="54932" xr:uid="{00000000-0005-0000-0000-00007F6C0000}"/>
    <cellStyle name="Normal 2 2 2 3 4 3" xfId="41370" xr:uid="{00000000-0005-0000-0000-0000806C0000}"/>
    <cellStyle name="Normal 2 2 2 3 5" xfId="21018" xr:uid="{00000000-0005-0000-0000-0000816C0000}"/>
    <cellStyle name="Normal 2 2 2 3 5 2" xfId="48151" xr:uid="{00000000-0005-0000-0000-0000826C0000}"/>
    <cellStyle name="Normal 2 2 2 3 6" xfId="34589" xr:uid="{00000000-0005-0000-0000-0000836C0000}"/>
    <cellStyle name="Normal 2 2 2 4" xfId="7412" xr:uid="{00000000-0005-0000-0000-0000846C0000}"/>
    <cellStyle name="Normal 2 2 2 4 2" xfId="7413" xr:uid="{00000000-0005-0000-0000-0000856C0000}"/>
    <cellStyle name="Normal 2 2 2 4 2 2" xfId="10833" xr:uid="{00000000-0005-0000-0000-0000866C0000}"/>
    <cellStyle name="Normal 2 2 2 4 2 2 2" xfId="17623" xr:uid="{00000000-0005-0000-0000-0000876C0000}"/>
    <cellStyle name="Normal 2 2 2 4 2 2 2 2" xfId="31191" xr:uid="{00000000-0005-0000-0000-0000886C0000}"/>
    <cellStyle name="Normal 2 2 2 4 2 2 2 2 2" xfId="58324" xr:uid="{00000000-0005-0000-0000-0000896C0000}"/>
    <cellStyle name="Normal 2 2 2 4 2 2 2 3" xfId="44762" xr:uid="{00000000-0005-0000-0000-00008A6C0000}"/>
    <cellStyle name="Normal 2 2 2 4 2 2 3" xfId="24410" xr:uid="{00000000-0005-0000-0000-00008B6C0000}"/>
    <cellStyle name="Normal 2 2 2 4 2 2 3 2" xfId="51543" xr:uid="{00000000-0005-0000-0000-00008C6C0000}"/>
    <cellStyle name="Normal 2 2 2 4 2 2 4" xfId="37981" xr:uid="{00000000-0005-0000-0000-00008D6C0000}"/>
    <cellStyle name="Normal 2 2 2 4 2 3" xfId="14234" xr:uid="{00000000-0005-0000-0000-00008E6C0000}"/>
    <cellStyle name="Normal 2 2 2 4 2 3 2" xfId="27802" xr:uid="{00000000-0005-0000-0000-00008F6C0000}"/>
    <cellStyle name="Normal 2 2 2 4 2 3 2 2" xfId="54935" xr:uid="{00000000-0005-0000-0000-0000906C0000}"/>
    <cellStyle name="Normal 2 2 2 4 2 3 3" xfId="41373" xr:uid="{00000000-0005-0000-0000-0000916C0000}"/>
    <cellStyle name="Normal 2 2 2 4 2 4" xfId="21021" xr:uid="{00000000-0005-0000-0000-0000926C0000}"/>
    <cellStyle name="Normal 2 2 2 4 2 4 2" xfId="48154" xr:uid="{00000000-0005-0000-0000-0000936C0000}"/>
    <cellStyle name="Normal 2 2 2 4 2 5" xfId="34592" xr:uid="{00000000-0005-0000-0000-0000946C0000}"/>
    <cellStyle name="Normal 2 2 2 4 3" xfId="10832" xr:uid="{00000000-0005-0000-0000-0000956C0000}"/>
    <cellStyle name="Normal 2 2 2 4 3 2" xfId="17622" xr:uid="{00000000-0005-0000-0000-0000966C0000}"/>
    <cellStyle name="Normal 2 2 2 4 3 2 2" xfId="31190" xr:uid="{00000000-0005-0000-0000-0000976C0000}"/>
    <cellStyle name="Normal 2 2 2 4 3 2 2 2" xfId="58323" xr:uid="{00000000-0005-0000-0000-0000986C0000}"/>
    <cellStyle name="Normal 2 2 2 4 3 2 3" xfId="44761" xr:uid="{00000000-0005-0000-0000-0000996C0000}"/>
    <cellStyle name="Normal 2 2 2 4 3 3" xfId="24409" xr:uid="{00000000-0005-0000-0000-00009A6C0000}"/>
    <cellStyle name="Normal 2 2 2 4 3 3 2" xfId="51542" xr:uid="{00000000-0005-0000-0000-00009B6C0000}"/>
    <cellStyle name="Normal 2 2 2 4 3 4" xfId="37980" xr:uid="{00000000-0005-0000-0000-00009C6C0000}"/>
    <cellStyle name="Normal 2 2 2 4 4" xfId="14233" xr:uid="{00000000-0005-0000-0000-00009D6C0000}"/>
    <cellStyle name="Normal 2 2 2 4 4 2" xfId="27801" xr:uid="{00000000-0005-0000-0000-00009E6C0000}"/>
    <cellStyle name="Normal 2 2 2 4 4 2 2" xfId="54934" xr:uid="{00000000-0005-0000-0000-00009F6C0000}"/>
    <cellStyle name="Normal 2 2 2 4 4 3" xfId="41372" xr:uid="{00000000-0005-0000-0000-0000A06C0000}"/>
    <cellStyle name="Normal 2 2 2 4 5" xfId="21020" xr:uid="{00000000-0005-0000-0000-0000A16C0000}"/>
    <cellStyle name="Normal 2 2 2 4 5 2" xfId="48153" xr:uid="{00000000-0005-0000-0000-0000A26C0000}"/>
    <cellStyle name="Normal 2 2 2 4 6" xfId="34591" xr:uid="{00000000-0005-0000-0000-0000A36C0000}"/>
    <cellStyle name="Normal 2 2 2 5" xfId="7414" xr:uid="{00000000-0005-0000-0000-0000A46C0000}"/>
    <cellStyle name="Normal 2 2 2 5 2" xfId="7415" xr:uid="{00000000-0005-0000-0000-0000A56C0000}"/>
    <cellStyle name="Normal 2 2 2 5 2 2" xfId="10835" xr:uid="{00000000-0005-0000-0000-0000A66C0000}"/>
    <cellStyle name="Normal 2 2 2 5 2 2 2" xfId="17625" xr:uid="{00000000-0005-0000-0000-0000A76C0000}"/>
    <cellStyle name="Normal 2 2 2 5 2 2 2 2" xfId="31193" xr:uid="{00000000-0005-0000-0000-0000A86C0000}"/>
    <cellStyle name="Normal 2 2 2 5 2 2 2 2 2" xfId="58326" xr:uid="{00000000-0005-0000-0000-0000A96C0000}"/>
    <cellStyle name="Normal 2 2 2 5 2 2 2 3" xfId="44764" xr:uid="{00000000-0005-0000-0000-0000AA6C0000}"/>
    <cellStyle name="Normal 2 2 2 5 2 2 3" xfId="24412" xr:uid="{00000000-0005-0000-0000-0000AB6C0000}"/>
    <cellStyle name="Normal 2 2 2 5 2 2 3 2" xfId="51545" xr:uid="{00000000-0005-0000-0000-0000AC6C0000}"/>
    <cellStyle name="Normal 2 2 2 5 2 2 4" xfId="37983" xr:uid="{00000000-0005-0000-0000-0000AD6C0000}"/>
    <cellStyle name="Normal 2 2 2 5 2 3" xfId="14236" xr:uid="{00000000-0005-0000-0000-0000AE6C0000}"/>
    <cellStyle name="Normal 2 2 2 5 2 3 2" xfId="27804" xr:uid="{00000000-0005-0000-0000-0000AF6C0000}"/>
    <cellStyle name="Normal 2 2 2 5 2 3 2 2" xfId="54937" xr:uid="{00000000-0005-0000-0000-0000B06C0000}"/>
    <cellStyle name="Normal 2 2 2 5 2 3 3" xfId="41375" xr:uid="{00000000-0005-0000-0000-0000B16C0000}"/>
    <cellStyle name="Normal 2 2 2 5 2 4" xfId="21023" xr:uid="{00000000-0005-0000-0000-0000B26C0000}"/>
    <cellStyle name="Normal 2 2 2 5 2 4 2" xfId="48156" xr:uid="{00000000-0005-0000-0000-0000B36C0000}"/>
    <cellStyle name="Normal 2 2 2 5 2 5" xfId="34594" xr:uid="{00000000-0005-0000-0000-0000B46C0000}"/>
    <cellStyle name="Normal 2 2 2 5 3" xfId="10834" xr:uid="{00000000-0005-0000-0000-0000B56C0000}"/>
    <cellStyle name="Normal 2 2 2 5 3 2" xfId="17624" xr:uid="{00000000-0005-0000-0000-0000B66C0000}"/>
    <cellStyle name="Normal 2 2 2 5 3 2 2" xfId="31192" xr:uid="{00000000-0005-0000-0000-0000B76C0000}"/>
    <cellStyle name="Normal 2 2 2 5 3 2 2 2" xfId="58325" xr:uid="{00000000-0005-0000-0000-0000B86C0000}"/>
    <cellStyle name="Normal 2 2 2 5 3 2 3" xfId="44763" xr:uid="{00000000-0005-0000-0000-0000B96C0000}"/>
    <cellStyle name="Normal 2 2 2 5 3 3" xfId="24411" xr:uid="{00000000-0005-0000-0000-0000BA6C0000}"/>
    <cellStyle name="Normal 2 2 2 5 3 3 2" xfId="51544" xr:uid="{00000000-0005-0000-0000-0000BB6C0000}"/>
    <cellStyle name="Normal 2 2 2 5 3 4" xfId="37982" xr:uid="{00000000-0005-0000-0000-0000BC6C0000}"/>
    <cellStyle name="Normal 2 2 2 5 4" xfId="14235" xr:uid="{00000000-0005-0000-0000-0000BD6C0000}"/>
    <cellStyle name="Normal 2 2 2 5 4 2" xfId="27803" xr:uid="{00000000-0005-0000-0000-0000BE6C0000}"/>
    <cellStyle name="Normal 2 2 2 5 4 2 2" xfId="54936" xr:uid="{00000000-0005-0000-0000-0000BF6C0000}"/>
    <cellStyle name="Normal 2 2 2 5 4 3" xfId="41374" xr:uid="{00000000-0005-0000-0000-0000C06C0000}"/>
    <cellStyle name="Normal 2 2 2 5 5" xfId="21022" xr:uid="{00000000-0005-0000-0000-0000C16C0000}"/>
    <cellStyle name="Normal 2 2 2 5 5 2" xfId="48155" xr:uid="{00000000-0005-0000-0000-0000C26C0000}"/>
    <cellStyle name="Normal 2 2 2 5 6" xfId="34593" xr:uid="{00000000-0005-0000-0000-0000C36C0000}"/>
    <cellStyle name="Normal 2 2 2 6" xfId="7416" xr:uid="{00000000-0005-0000-0000-0000C46C0000}"/>
    <cellStyle name="Normal 2 2 2 6 2" xfId="7417" xr:uid="{00000000-0005-0000-0000-0000C56C0000}"/>
    <cellStyle name="Normal 2 2 2 6 2 2" xfId="10837" xr:uid="{00000000-0005-0000-0000-0000C66C0000}"/>
    <cellStyle name="Normal 2 2 2 6 2 2 2" xfId="17627" xr:uid="{00000000-0005-0000-0000-0000C76C0000}"/>
    <cellStyle name="Normal 2 2 2 6 2 2 2 2" xfId="31195" xr:uid="{00000000-0005-0000-0000-0000C86C0000}"/>
    <cellStyle name="Normal 2 2 2 6 2 2 2 2 2" xfId="58328" xr:uid="{00000000-0005-0000-0000-0000C96C0000}"/>
    <cellStyle name="Normal 2 2 2 6 2 2 2 3" xfId="44766" xr:uid="{00000000-0005-0000-0000-0000CA6C0000}"/>
    <cellStyle name="Normal 2 2 2 6 2 2 3" xfId="24414" xr:uid="{00000000-0005-0000-0000-0000CB6C0000}"/>
    <cellStyle name="Normal 2 2 2 6 2 2 3 2" xfId="51547" xr:uid="{00000000-0005-0000-0000-0000CC6C0000}"/>
    <cellStyle name="Normal 2 2 2 6 2 2 4" xfId="37985" xr:uid="{00000000-0005-0000-0000-0000CD6C0000}"/>
    <cellStyle name="Normal 2 2 2 6 2 3" xfId="14238" xr:uid="{00000000-0005-0000-0000-0000CE6C0000}"/>
    <cellStyle name="Normal 2 2 2 6 2 3 2" xfId="27806" xr:uid="{00000000-0005-0000-0000-0000CF6C0000}"/>
    <cellStyle name="Normal 2 2 2 6 2 3 2 2" xfId="54939" xr:uid="{00000000-0005-0000-0000-0000D06C0000}"/>
    <cellStyle name="Normal 2 2 2 6 2 3 3" xfId="41377" xr:uid="{00000000-0005-0000-0000-0000D16C0000}"/>
    <cellStyle name="Normal 2 2 2 6 2 4" xfId="21025" xr:uid="{00000000-0005-0000-0000-0000D26C0000}"/>
    <cellStyle name="Normal 2 2 2 6 2 4 2" xfId="48158" xr:uid="{00000000-0005-0000-0000-0000D36C0000}"/>
    <cellStyle name="Normal 2 2 2 6 2 5" xfId="34596" xr:uid="{00000000-0005-0000-0000-0000D46C0000}"/>
    <cellStyle name="Normal 2 2 2 6 3" xfId="10836" xr:uid="{00000000-0005-0000-0000-0000D56C0000}"/>
    <cellStyle name="Normal 2 2 2 6 3 2" xfId="17626" xr:uid="{00000000-0005-0000-0000-0000D66C0000}"/>
    <cellStyle name="Normal 2 2 2 6 3 2 2" xfId="31194" xr:uid="{00000000-0005-0000-0000-0000D76C0000}"/>
    <cellStyle name="Normal 2 2 2 6 3 2 2 2" xfId="58327" xr:uid="{00000000-0005-0000-0000-0000D86C0000}"/>
    <cellStyle name="Normal 2 2 2 6 3 2 3" xfId="44765" xr:uid="{00000000-0005-0000-0000-0000D96C0000}"/>
    <cellStyle name="Normal 2 2 2 6 3 3" xfId="24413" xr:uid="{00000000-0005-0000-0000-0000DA6C0000}"/>
    <cellStyle name="Normal 2 2 2 6 3 3 2" xfId="51546" xr:uid="{00000000-0005-0000-0000-0000DB6C0000}"/>
    <cellStyle name="Normal 2 2 2 6 3 4" xfId="37984" xr:uid="{00000000-0005-0000-0000-0000DC6C0000}"/>
    <cellStyle name="Normal 2 2 2 6 4" xfId="14237" xr:uid="{00000000-0005-0000-0000-0000DD6C0000}"/>
    <cellStyle name="Normal 2 2 2 6 4 2" xfId="27805" xr:uid="{00000000-0005-0000-0000-0000DE6C0000}"/>
    <cellStyle name="Normal 2 2 2 6 4 2 2" xfId="54938" xr:uid="{00000000-0005-0000-0000-0000DF6C0000}"/>
    <cellStyle name="Normal 2 2 2 6 4 3" xfId="41376" xr:uid="{00000000-0005-0000-0000-0000E06C0000}"/>
    <cellStyle name="Normal 2 2 2 6 5" xfId="21024" xr:uid="{00000000-0005-0000-0000-0000E16C0000}"/>
    <cellStyle name="Normal 2 2 2 6 5 2" xfId="48157" xr:uid="{00000000-0005-0000-0000-0000E26C0000}"/>
    <cellStyle name="Normal 2 2 2 6 6" xfId="34595" xr:uid="{00000000-0005-0000-0000-0000E36C0000}"/>
    <cellStyle name="Normal 2 2 2 7" xfId="7418" xr:uid="{00000000-0005-0000-0000-0000E46C0000}"/>
    <cellStyle name="Normal 2 2 2 7 2" xfId="7419" xr:uid="{00000000-0005-0000-0000-0000E56C0000}"/>
    <cellStyle name="Normal 2 2 2 7 2 2" xfId="10839" xr:uid="{00000000-0005-0000-0000-0000E66C0000}"/>
    <cellStyle name="Normal 2 2 2 7 2 2 2" xfId="17629" xr:uid="{00000000-0005-0000-0000-0000E76C0000}"/>
    <cellStyle name="Normal 2 2 2 7 2 2 2 2" xfId="31197" xr:uid="{00000000-0005-0000-0000-0000E86C0000}"/>
    <cellStyle name="Normal 2 2 2 7 2 2 2 2 2" xfId="58330" xr:uid="{00000000-0005-0000-0000-0000E96C0000}"/>
    <cellStyle name="Normal 2 2 2 7 2 2 2 3" xfId="44768" xr:uid="{00000000-0005-0000-0000-0000EA6C0000}"/>
    <cellStyle name="Normal 2 2 2 7 2 2 3" xfId="24416" xr:uid="{00000000-0005-0000-0000-0000EB6C0000}"/>
    <cellStyle name="Normal 2 2 2 7 2 2 3 2" xfId="51549" xr:uid="{00000000-0005-0000-0000-0000EC6C0000}"/>
    <cellStyle name="Normal 2 2 2 7 2 2 4" xfId="37987" xr:uid="{00000000-0005-0000-0000-0000ED6C0000}"/>
    <cellStyle name="Normal 2 2 2 7 2 3" xfId="14240" xr:uid="{00000000-0005-0000-0000-0000EE6C0000}"/>
    <cellStyle name="Normal 2 2 2 7 2 3 2" xfId="27808" xr:uid="{00000000-0005-0000-0000-0000EF6C0000}"/>
    <cellStyle name="Normal 2 2 2 7 2 3 2 2" xfId="54941" xr:uid="{00000000-0005-0000-0000-0000F06C0000}"/>
    <cellStyle name="Normal 2 2 2 7 2 3 3" xfId="41379" xr:uid="{00000000-0005-0000-0000-0000F16C0000}"/>
    <cellStyle name="Normal 2 2 2 7 2 4" xfId="21027" xr:uid="{00000000-0005-0000-0000-0000F26C0000}"/>
    <cellStyle name="Normal 2 2 2 7 2 4 2" xfId="48160" xr:uid="{00000000-0005-0000-0000-0000F36C0000}"/>
    <cellStyle name="Normal 2 2 2 7 2 5" xfId="34598" xr:uid="{00000000-0005-0000-0000-0000F46C0000}"/>
    <cellStyle name="Normal 2 2 2 7 3" xfId="10838" xr:uid="{00000000-0005-0000-0000-0000F56C0000}"/>
    <cellStyle name="Normal 2 2 2 7 3 2" xfId="17628" xr:uid="{00000000-0005-0000-0000-0000F66C0000}"/>
    <cellStyle name="Normal 2 2 2 7 3 2 2" xfId="31196" xr:uid="{00000000-0005-0000-0000-0000F76C0000}"/>
    <cellStyle name="Normal 2 2 2 7 3 2 2 2" xfId="58329" xr:uid="{00000000-0005-0000-0000-0000F86C0000}"/>
    <cellStyle name="Normal 2 2 2 7 3 2 3" xfId="44767" xr:uid="{00000000-0005-0000-0000-0000F96C0000}"/>
    <cellStyle name="Normal 2 2 2 7 3 3" xfId="24415" xr:uid="{00000000-0005-0000-0000-0000FA6C0000}"/>
    <cellStyle name="Normal 2 2 2 7 3 3 2" xfId="51548" xr:uid="{00000000-0005-0000-0000-0000FB6C0000}"/>
    <cellStyle name="Normal 2 2 2 7 3 4" xfId="37986" xr:uid="{00000000-0005-0000-0000-0000FC6C0000}"/>
    <cellStyle name="Normal 2 2 2 7 4" xfId="14239" xr:uid="{00000000-0005-0000-0000-0000FD6C0000}"/>
    <cellStyle name="Normal 2 2 2 7 4 2" xfId="27807" xr:uid="{00000000-0005-0000-0000-0000FE6C0000}"/>
    <cellStyle name="Normal 2 2 2 7 4 2 2" xfId="54940" xr:uid="{00000000-0005-0000-0000-0000FF6C0000}"/>
    <cellStyle name="Normal 2 2 2 7 4 3" xfId="41378" xr:uid="{00000000-0005-0000-0000-0000006D0000}"/>
    <cellStyle name="Normal 2 2 2 7 5" xfId="21026" xr:uid="{00000000-0005-0000-0000-0000016D0000}"/>
    <cellStyle name="Normal 2 2 2 7 5 2" xfId="48159" xr:uid="{00000000-0005-0000-0000-0000026D0000}"/>
    <cellStyle name="Normal 2 2 2 7 6" xfId="34597" xr:uid="{00000000-0005-0000-0000-0000036D0000}"/>
    <cellStyle name="Normal 2 2 2 8" xfId="7420" xr:uid="{00000000-0005-0000-0000-0000046D0000}"/>
    <cellStyle name="Normal 2 2 2 8 2" xfId="7421" xr:uid="{00000000-0005-0000-0000-0000056D0000}"/>
    <cellStyle name="Normal 2 2 2 8 2 2" xfId="10841" xr:uid="{00000000-0005-0000-0000-0000066D0000}"/>
    <cellStyle name="Normal 2 2 2 8 2 2 2" xfId="17631" xr:uid="{00000000-0005-0000-0000-0000076D0000}"/>
    <cellStyle name="Normal 2 2 2 8 2 2 2 2" xfId="31199" xr:uid="{00000000-0005-0000-0000-0000086D0000}"/>
    <cellStyle name="Normal 2 2 2 8 2 2 2 2 2" xfId="58332" xr:uid="{00000000-0005-0000-0000-0000096D0000}"/>
    <cellStyle name="Normal 2 2 2 8 2 2 2 3" xfId="44770" xr:uid="{00000000-0005-0000-0000-00000A6D0000}"/>
    <cellStyle name="Normal 2 2 2 8 2 2 3" xfId="24418" xr:uid="{00000000-0005-0000-0000-00000B6D0000}"/>
    <cellStyle name="Normal 2 2 2 8 2 2 3 2" xfId="51551" xr:uid="{00000000-0005-0000-0000-00000C6D0000}"/>
    <cellStyle name="Normal 2 2 2 8 2 2 4" xfId="37989" xr:uid="{00000000-0005-0000-0000-00000D6D0000}"/>
    <cellStyle name="Normal 2 2 2 8 2 3" xfId="14242" xr:uid="{00000000-0005-0000-0000-00000E6D0000}"/>
    <cellStyle name="Normal 2 2 2 8 2 3 2" xfId="27810" xr:uid="{00000000-0005-0000-0000-00000F6D0000}"/>
    <cellStyle name="Normal 2 2 2 8 2 3 2 2" xfId="54943" xr:uid="{00000000-0005-0000-0000-0000106D0000}"/>
    <cellStyle name="Normal 2 2 2 8 2 3 3" xfId="41381" xr:uid="{00000000-0005-0000-0000-0000116D0000}"/>
    <cellStyle name="Normal 2 2 2 8 2 4" xfId="21029" xr:uid="{00000000-0005-0000-0000-0000126D0000}"/>
    <cellStyle name="Normal 2 2 2 8 2 4 2" xfId="48162" xr:uid="{00000000-0005-0000-0000-0000136D0000}"/>
    <cellStyle name="Normal 2 2 2 8 2 5" xfId="34600" xr:uid="{00000000-0005-0000-0000-0000146D0000}"/>
    <cellStyle name="Normal 2 2 2 8 3" xfId="10840" xr:uid="{00000000-0005-0000-0000-0000156D0000}"/>
    <cellStyle name="Normal 2 2 2 8 3 2" xfId="17630" xr:uid="{00000000-0005-0000-0000-0000166D0000}"/>
    <cellStyle name="Normal 2 2 2 8 3 2 2" xfId="31198" xr:uid="{00000000-0005-0000-0000-0000176D0000}"/>
    <cellStyle name="Normal 2 2 2 8 3 2 2 2" xfId="58331" xr:uid="{00000000-0005-0000-0000-0000186D0000}"/>
    <cellStyle name="Normal 2 2 2 8 3 2 3" xfId="44769" xr:uid="{00000000-0005-0000-0000-0000196D0000}"/>
    <cellStyle name="Normal 2 2 2 8 3 3" xfId="24417" xr:uid="{00000000-0005-0000-0000-00001A6D0000}"/>
    <cellStyle name="Normal 2 2 2 8 3 3 2" xfId="51550" xr:uid="{00000000-0005-0000-0000-00001B6D0000}"/>
    <cellStyle name="Normal 2 2 2 8 3 4" xfId="37988" xr:uid="{00000000-0005-0000-0000-00001C6D0000}"/>
    <cellStyle name="Normal 2 2 2 8 4" xfId="14241" xr:uid="{00000000-0005-0000-0000-00001D6D0000}"/>
    <cellStyle name="Normal 2 2 2 8 4 2" xfId="27809" xr:uid="{00000000-0005-0000-0000-00001E6D0000}"/>
    <cellStyle name="Normal 2 2 2 8 4 2 2" xfId="54942" xr:uid="{00000000-0005-0000-0000-00001F6D0000}"/>
    <cellStyle name="Normal 2 2 2 8 4 3" xfId="41380" xr:uid="{00000000-0005-0000-0000-0000206D0000}"/>
    <cellStyle name="Normal 2 2 2 8 5" xfId="21028" xr:uid="{00000000-0005-0000-0000-0000216D0000}"/>
    <cellStyle name="Normal 2 2 2 8 5 2" xfId="48161" xr:uid="{00000000-0005-0000-0000-0000226D0000}"/>
    <cellStyle name="Normal 2 2 2 8 6" xfId="34599" xr:uid="{00000000-0005-0000-0000-0000236D0000}"/>
    <cellStyle name="Normal 2 2 2 9" xfId="7422" xr:uid="{00000000-0005-0000-0000-0000246D0000}"/>
    <cellStyle name="Normal 2 2 2 9 2" xfId="7423" xr:uid="{00000000-0005-0000-0000-0000256D0000}"/>
    <cellStyle name="Normal 2 2 2 9 2 2" xfId="10843" xr:uid="{00000000-0005-0000-0000-0000266D0000}"/>
    <cellStyle name="Normal 2 2 2 9 2 2 2" xfId="17633" xr:uid="{00000000-0005-0000-0000-0000276D0000}"/>
    <cellStyle name="Normal 2 2 2 9 2 2 2 2" xfId="31201" xr:uid="{00000000-0005-0000-0000-0000286D0000}"/>
    <cellStyle name="Normal 2 2 2 9 2 2 2 2 2" xfId="58334" xr:uid="{00000000-0005-0000-0000-0000296D0000}"/>
    <cellStyle name="Normal 2 2 2 9 2 2 2 3" xfId="44772" xr:uid="{00000000-0005-0000-0000-00002A6D0000}"/>
    <cellStyle name="Normal 2 2 2 9 2 2 3" xfId="24420" xr:uid="{00000000-0005-0000-0000-00002B6D0000}"/>
    <cellStyle name="Normal 2 2 2 9 2 2 3 2" xfId="51553" xr:uid="{00000000-0005-0000-0000-00002C6D0000}"/>
    <cellStyle name="Normal 2 2 2 9 2 2 4" xfId="37991" xr:uid="{00000000-0005-0000-0000-00002D6D0000}"/>
    <cellStyle name="Normal 2 2 2 9 2 3" xfId="14244" xr:uid="{00000000-0005-0000-0000-00002E6D0000}"/>
    <cellStyle name="Normal 2 2 2 9 2 3 2" xfId="27812" xr:uid="{00000000-0005-0000-0000-00002F6D0000}"/>
    <cellStyle name="Normal 2 2 2 9 2 3 2 2" xfId="54945" xr:uid="{00000000-0005-0000-0000-0000306D0000}"/>
    <cellStyle name="Normal 2 2 2 9 2 3 3" xfId="41383" xr:uid="{00000000-0005-0000-0000-0000316D0000}"/>
    <cellStyle name="Normal 2 2 2 9 2 4" xfId="21031" xr:uid="{00000000-0005-0000-0000-0000326D0000}"/>
    <cellStyle name="Normal 2 2 2 9 2 4 2" xfId="48164" xr:uid="{00000000-0005-0000-0000-0000336D0000}"/>
    <cellStyle name="Normal 2 2 2 9 2 5" xfId="34602" xr:uid="{00000000-0005-0000-0000-0000346D0000}"/>
    <cellStyle name="Normal 2 2 2 9 3" xfId="10842" xr:uid="{00000000-0005-0000-0000-0000356D0000}"/>
    <cellStyle name="Normal 2 2 2 9 3 2" xfId="17632" xr:uid="{00000000-0005-0000-0000-0000366D0000}"/>
    <cellStyle name="Normal 2 2 2 9 3 2 2" xfId="31200" xr:uid="{00000000-0005-0000-0000-0000376D0000}"/>
    <cellStyle name="Normal 2 2 2 9 3 2 2 2" xfId="58333" xr:uid="{00000000-0005-0000-0000-0000386D0000}"/>
    <cellStyle name="Normal 2 2 2 9 3 2 3" xfId="44771" xr:uid="{00000000-0005-0000-0000-0000396D0000}"/>
    <cellStyle name="Normal 2 2 2 9 3 3" xfId="24419" xr:uid="{00000000-0005-0000-0000-00003A6D0000}"/>
    <cellStyle name="Normal 2 2 2 9 3 3 2" xfId="51552" xr:uid="{00000000-0005-0000-0000-00003B6D0000}"/>
    <cellStyle name="Normal 2 2 2 9 3 4" xfId="37990" xr:uid="{00000000-0005-0000-0000-00003C6D0000}"/>
    <cellStyle name="Normal 2 2 2 9 4" xfId="14243" xr:uid="{00000000-0005-0000-0000-00003D6D0000}"/>
    <cellStyle name="Normal 2 2 2 9 4 2" xfId="27811" xr:uid="{00000000-0005-0000-0000-00003E6D0000}"/>
    <cellStyle name="Normal 2 2 2 9 4 2 2" xfId="54944" xr:uid="{00000000-0005-0000-0000-00003F6D0000}"/>
    <cellStyle name="Normal 2 2 2 9 4 3" xfId="41382" xr:uid="{00000000-0005-0000-0000-0000406D0000}"/>
    <cellStyle name="Normal 2 2 2 9 5" xfId="21030" xr:uid="{00000000-0005-0000-0000-0000416D0000}"/>
    <cellStyle name="Normal 2 2 2 9 5 2" xfId="48163" xr:uid="{00000000-0005-0000-0000-0000426D0000}"/>
    <cellStyle name="Normal 2 2 2 9 6" xfId="34601" xr:uid="{00000000-0005-0000-0000-0000436D0000}"/>
    <cellStyle name="Normal 2 2 3" xfId="152" xr:uid="{00000000-0005-0000-0000-0000446D0000}"/>
    <cellStyle name="Normal 2 2 4" xfId="2585" xr:uid="{00000000-0005-0000-0000-0000456D0000}"/>
    <cellStyle name="Normal 2 2 5" xfId="2586" xr:uid="{00000000-0005-0000-0000-0000466D0000}"/>
    <cellStyle name="Normal 2 2 6" xfId="7303" xr:uid="{00000000-0005-0000-0000-0000476D0000}"/>
    <cellStyle name="Normal 2 2 6 2" xfId="10803" xr:uid="{00000000-0005-0000-0000-0000486D0000}"/>
    <cellStyle name="Normal 2 2 6 2 2" xfId="17593" xr:uid="{00000000-0005-0000-0000-0000496D0000}"/>
    <cellStyle name="Normal 2 2 6 2 2 2" xfId="31161" xr:uid="{00000000-0005-0000-0000-00004A6D0000}"/>
    <cellStyle name="Normal 2 2 6 2 2 2 2" xfId="58294" xr:uid="{00000000-0005-0000-0000-00004B6D0000}"/>
    <cellStyle name="Normal 2 2 6 2 2 3" xfId="44732" xr:uid="{00000000-0005-0000-0000-00004C6D0000}"/>
    <cellStyle name="Normal 2 2 6 2 3" xfId="24380" xr:uid="{00000000-0005-0000-0000-00004D6D0000}"/>
    <cellStyle name="Normal 2 2 6 2 3 2" xfId="51513" xr:uid="{00000000-0005-0000-0000-00004E6D0000}"/>
    <cellStyle name="Normal 2 2 6 2 4" xfId="37951" xr:uid="{00000000-0005-0000-0000-00004F6D0000}"/>
    <cellStyle name="Normal 2 2 6 3" xfId="14204" xr:uid="{00000000-0005-0000-0000-0000506D0000}"/>
    <cellStyle name="Normal 2 2 6 3 2" xfId="27772" xr:uid="{00000000-0005-0000-0000-0000516D0000}"/>
    <cellStyle name="Normal 2 2 6 3 2 2" xfId="54905" xr:uid="{00000000-0005-0000-0000-0000526D0000}"/>
    <cellStyle name="Normal 2 2 6 3 3" xfId="41343" xr:uid="{00000000-0005-0000-0000-0000536D0000}"/>
    <cellStyle name="Normal 2 2 6 4" xfId="20991" xr:uid="{00000000-0005-0000-0000-0000546D0000}"/>
    <cellStyle name="Normal 2 2 6 4 2" xfId="48124" xr:uid="{00000000-0005-0000-0000-0000556D0000}"/>
    <cellStyle name="Normal 2 2 6 5" xfId="34562" xr:uid="{00000000-0005-0000-0000-0000566D0000}"/>
    <cellStyle name="Normal 2 20" xfId="2587" xr:uid="{00000000-0005-0000-0000-0000576D0000}"/>
    <cellStyle name="Normal 2 21" xfId="2588" xr:uid="{00000000-0005-0000-0000-0000586D0000}"/>
    <cellStyle name="Normal 2 22" xfId="2589" xr:uid="{00000000-0005-0000-0000-0000596D0000}"/>
    <cellStyle name="Normal 2 23" xfId="2590" xr:uid="{00000000-0005-0000-0000-00005A6D0000}"/>
    <cellStyle name="Normal 2 24" xfId="2591" xr:uid="{00000000-0005-0000-0000-00005B6D0000}"/>
    <cellStyle name="Normal 2 25" xfId="2592" xr:uid="{00000000-0005-0000-0000-00005C6D0000}"/>
    <cellStyle name="Normal 2 26" xfId="2593" xr:uid="{00000000-0005-0000-0000-00005D6D0000}"/>
    <cellStyle name="Normal 2 26 2" xfId="2594" xr:uid="{00000000-0005-0000-0000-00005E6D0000}"/>
    <cellStyle name="Normal 2 27" xfId="2595" xr:uid="{00000000-0005-0000-0000-00005F6D0000}"/>
    <cellStyle name="Normal 2 28" xfId="2596" xr:uid="{00000000-0005-0000-0000-0000606D0000}"/>
    <cellStyle name="Normal 2 29" xfId="2597" xr:uid="{00000000-0005-0000-0000-0000616D0000}"/>
    <cellStyle name="Normal 2 3" xfId="70" xr:uid="{00000000-0005-0000-0000-0000626D0000}"/>
    <cellStyle name="Normal 2 3 2" xfId="2598" xr:uid="{00000000-0005-0000-0000-0000636D0000}"/>
    <cellStyle name="Normal 2 3 2 2" xfId="7308" xr:uid="{00000000-0005-0000-0000-0000646D0000}"/>
    <cellStyle name="Normal 2 30" xfId="2599" xr:uid="{00000000-0005-0000-0000-0000656D0000}"/>
    <cellStyle name="Normal 2 31" xfId="2600" xr:uid="{00000000-0005-0000-0000-0000666D0000}"/>
    <cellStyle name="Normal 2 32" xfId="2601" xr:uid="{00000000-0005-0000-0000-0000676D0000}"/>
    <cellStyle name="Normal 2 33" xfId="2602" xr:uid="{00000000-0005-0000-0000-0000686D0000}"/>
    <cellStyle name="Normal 2 34" xfId="2603" xr:uid="{00000000-0005-0000-0000-0000696D0000}"/>
    <cellStyle name="Normal 2 35" xfId="2604" xr:uid="{00000000-0005-0000-0000-00006A6D0000}"/>
    <cellStyle name="Normal 2 36" xfId="2605" xr:uid="{00000000-0005-0000-0000-00006B6D0000}"/>
    <cellStyle name="Normal 2 37" xfId="2606" xr:uid="{00000000-0005-0000-0000-00006C6D0000}"/>
    <cellStyle name="Normal 2 38" xfId="2607" xr:uid="{00000000-0005-0000-0000-00006D6D0000}"/>
    <cellStyle name="Normal 2 39" xfId="2608" xr:uid="{00000000-0005-0000-0000-00006E6D0000}"/>
    <cellStyle name="Normal 2 4" xfId="196" xr:uid="{00000000-0005-0000-0000-00006F6D0000}"/>
    <cellStyle name="Normal 2 4 2" xfId="3424" xr:uid="{00000000-0005-0000-0000-0000706D0000}"/>
    <cellStyle name="Normal 2 4 3" xfId="7462" xr:uid="{00000000-0005-0000-0000-0000716D0000}"/>
    <cellStyle name="Normal 2 4 3 2" xfId="14252" xr:uid="{00000000-0005-0000-0000-0000726D0000}"/>
    <cellStyle name="Normal 2 4 3 2 2" xfId="27820" xr:uid="{00000000-0005-0000-0000-0000736D0000}"/>
    <cellStyle name="Normal 2 4 3 2 2 2" xfId="54953" xr:uid="{00000000-0005-0000-0000-0000746D0000}"/>
    <cellStyle name="Normal 2 4 3 2 3" xfId="41391" xr:uid="{00000000-0005-0000-0000-0000756D0000}"/>
    <cellStyle name="Normal 2 4 3 3" xfId="21039" xr:uid="{00000000-0005-0000-0000-0000766D0000}"/>
    <cellStyle name="Normal 2 4 3 3 2" xfId="48172" xr:uid="{00000000-0005-0000-0000-0000776D0000}"/>
    <cellStyle name="Normal 2 4 3 4" xfId="34610" xr:uid="{00000000-0005-0000-0000-0000786D0000}"/>
    <cellStyle name="Normal 2 4 4" xfId="10863" xr:uid="{00000000-0005-0000-0000-0000796D0000}"/>
    <cellStyle name="Normal 2 4 4 2" xfId="24431" xr:uid="{00000000-0005-0000-0000-00007A6D0000}"/>
    <cellStyle name="Normal 2 4 4 2 2" xfId="51564" xr:uid="{00000000-0005-0000-0000-00007B6D0000}"/>
    <cellStyle name="Normal 2 4 4 3" xfId="38002" xr:uid="{00000000-0005-0000-0000-00007C6D0000}"/>
    <cellStyle name="Normal 2 4 5" xfId="17647" xr:uid="{00000000-0005-0000-0000-00007D6D0000}"/>
    <cellStyle name="Normal 2 4 5 2" xfId="44783" xr:uid="{00000000-0005-0000-0000-00007E6D0000}"/>
    <cellStyle name="Normal 2 4 6" xfId="31221" xr:uid="{00000000-0005-0000-0000-00007F6D0000}"/>
    <cellStyle name="Normal 2 40" xfId="2609" xr:uid="{00000000-0005-0000-0000-0000806D0000}"/>
    <cellStyle name="Normal 2 41" xfId="2610" xr:uid="{00000000-0005-0000-0000-0000816D0000}"/>
    <cellStyle name="Normal 2 42" xfId="2611" xr:uid="{00000000-0005-0000-0000-0000826D0000}"/>
    <cellStyle name="Normal 2 43" xfId="2612" xr:uid="{00000000-0005-0000-0000-0000836D0000}"/>
    <cellStyle name="Normal 2 44" xfId="2613" xr:uid="{00000000-0005-0000-0000-0000846D0000}"/>
    <cellStyle name="Normal 2 45" xfId="2614" xr:uid="{00000000-0005-0000-0000-0000856D0000}"/>
    <cellStyle name="Normal 2 46" xfId="2615" xr:uid="{00000000-0005-0000-0000-0000866D0000}"/>
    <cellStyle name="Normal 2 47" xfId="2616" xr:uid="{00000000-0005-0000-0000-0000876D0000}"/>
    <cellStyle name="Normal 2 48" xfId="2617" xr:uid="{00000000-0005-0000-0000-0000886D0000}"/>
    <cellStyle name="Normal 2 49" xfId="2618" xr:uid="{00000000-0005-0000-0000-0000896D0000}"/>
    <cellStyle name="Normal 2 5" xfId="190" xr:uid="{00000000-0005-0000-0000-00008A6D0000}"/>
    <cellStyle name="Normal 2 5 2" xfId="7461" xr:uid="{00000000-0005-0000-0000-00008B6D0000}"/>
    <cellStyle name="Normal 2 5 2 2" xfId="14251" xr:uid="{00000000-0005-0000-0000-00008C6D0000}"/>
    <cellStyle name="Normal 2 5 2 2 2" xfId="27819" xr:uid="{00000000-0005-0000-0000-00008D6D0000}"/>
    <cellStyle name="Normal 2 5 2 2 2 2" xfId="54952" xr:uid="{00000000-0005-0000-0000-00008E6D0000}"/>
    <cellStyle name="Normal 2 5 2 2 3" xfId="41390" xr:uid="{00000000-0005-0000-0000-00008F6D0000}"/>
    <cellStyle name="Normal 2 5 2 3" xfId="21038" xr:uid="{00000000-0005-0000-0000-0000906D0000}"/>
    <cellStyle name="Normal 2 5 2 3 2" xfId="48171" xr:uid="{00000000-0005-0000-0000-0000916D0000}"/>
    <cellStyle name="Normal 2 5 2 4" xfId="34609" xr:uid="{00000000-0005-0000-0000-0000926D0000}"/>
    <cellStyle name="Normal 2 5 3" xfId="10862" xr:uid="{00000000-0005-0000-0000-0000936D0000}"/>
    <cellStyle name="Normal 2 5 3 2" xfId="24430" xr:uid="{00000000-0005-0000-0000-0000946D0000}"/>
    <cellStyle name="Normal 2 5 3 2 2" xfId="51563" xr:uid="{00000000-0005-0000-0000-0000956D0000}"/>
    <cellStyle name="Normal 2 5 3 3" xfId="38001" xr:uid="{00000000-0005-0000-0000-0000966D0000}"/>
    <cellStyle name="Normal 2 5 4" xfId="17646" xr:uid="{00000000-0005-0000-0000-0000976D0000}"/>
    <cellStyle name="Normal 2 5 4 2" xfId="44782" xr:uid="{00000000-0005-0000-0000-0000986D0000}"/>
    <cellStyle name="Normal 2 5 5" xfId="31220" xr:uid="{00000000-0005-0000-0000-0000996D0000}"/>
    <cellStyle name="Normal 2 50" xfId="2619" xr:uid="{00000000-0005-0000-0000-00009A6D0000}"/>
    <cellStyle name="Normal 2 51" xfId="2620" xr:uid="{00000000-0005-0000-0000-00009B6D0000}"/>
    <cellStyle name="Normal 2 52" xfId="2621" xr:uid="{00000000-0005-0000-0000-00009C6D0000}"/>
    <cellStyle name="Normal 2 53" xfId="2622" xr:uid="{00000000-0005-0000-0000-00009D6D0000}"/>
    <cellStyle name="Normal 2 54" xfId="2623" xr:uid="{00000000-0005-0000-0000-00009E6D0000}"/>
    <cellStyle name="Normal 2 55" xfId="2624" xr:uid="{00000000-0005-0000-0000-00009F6D0000}"/>
    <cellStyle name="Normal 2 56" xfId="2625" xr:uid="{00000000-0005-0000-0000-0000A06D0000}"/>
    <cellStyle name="Normal 2 57" xfId="2626" xr:uid="{00000000-0005-0000-0000-0000A16D0000}"/>
    <cellStyle name="Normal 2 58" xfId="2627" xr:uid="{00000000-0005-0000-0000-0000A26D0000}"/>
    <cellStyle name="Normal 2 59" xfId="2628" xr:uid="{00000000-0005-0000-0000-0000A36D0000}"/>
    <cellStyle name="Normal 2 6" xfId="2629" xr:uid="{00000000-0005-0000-0000-0000A46D0000}"/>
    <cellStyle name="Normal 2 6 2" xfId="7472" xr:uid="{00000000-0005-0000-0000-0000A56D0000}"/>
    <cellStyle name="Normal 2 6 2 2" xfId="14262" xr:uid="{00000000-0005-0000-0000-0000A66D0000}"/>
    <cellStyle name="Normal 2 6 2 2 2" xfId="27830" xr:uid="{00000000-0005-0000-0000-0000A76D0000}"/>
    <cellStyle name="Normal 2 6 2 2 2 2" xfId="54963" xr:uid="{00000000-0005-0000-0000-0000A86D0000}"/>
    <cellStyle name="Normal 2 6 2 2 3" xfId="41401" xr:uid="{00000000-0005-0000-0000-0000A96D0000}"/>
    <cellStyle name="Normal 2 6 2 3" xfId="21049" xr:uid="{00000000-0005-0000-0000-0000AA6D0000}"/>
    <cellStyle name="Normal 2 6 2 3 2" xfId="48182" xr:uid="{00000000-0005-0000-0000-0000AB6D0000}"/>
    <cellStyle name="Normal 2 6 2 4" xfId="34620" xr:uid="{00000000-0005-0000-0000-0000AC6D0000}"/>
    <cellStyle name="Normal 2 6 3" xfId="10873" xr:uid="{00000000-0005-0000-0000-0000AD6D0000}"/>
    <cellStyle name="Normal 2 6 3 2" xfId="24441" xr:uid="{00000000-0005-0000-0000-0000AE6D0000}"/>
    <cellStyle name="Normal 2 6 3 2 2" xfId="51574" xr:uid="{00000000-0005-0000-0000-0000AF6D0000}"/>
    <cellStyle name="Normal 2 6 3 3" xfId="38012" xr:uid="{00000000-0005-0000-0000-0000B06D0000}"/>
    <cellStyle name="Normal 2 6 4" xfId="17660" xr:uid="{00000000-0005-0000-0000-0000B16D0000}"/>
    <cellStyle name="Normal 2 6 4 2" xfId="44793" xr:uid="{00000000-0005-0000-0000-0000B26D0000}"/>
    <cellStyle name="Normal 2 6 5" xfId="31231" xr:uid="{00000000-0005-0000-0000-0000B36D0000}"/>
    <cellStyle name="Normal 2 60" xfId="2630" xr:uid="{00000000-0005-0000-0000-0000B46D0000}"/>
    <cellStyle name="Normal 2 61" xfId="2631" xr:uid="{00000000-0005-0000-0000-0000B56D0000}"/>
    <cellStyle name="Normal 2 62" xfId="2632" xr:uid="{00000000-0005-0000-0000-0000B66D0000}"/>
    <cellStyle name="Normal 2 63" xfId="2633" xr:uid="{00000000-0005-0000-0000-0000B76D0000}"/>
    <cellStyle name="Normal 2 64" xfId="2634" xr:uid="{00000000-0005-0000-0000-0000B86D0000}"/>
    <cellStyle name="Normal 2 65" xfId="2635" xr:uid="{00000000-0005-0000-0000-0000B96D0000}"/>
    <cellStyle name="Normal 2 66" xfId="2636" xr:uid="{00000000-0005-0000-0000-0000BA6D0000}"/>
    <cellStyle name="Normal 2 67" xfId="2637" xr:uid="{00000000-0005-0000-0000-0000BB6D0000}"/>
    <cellStyle name="Normal 2 68" xfId="2638" xr:uid="{00000000-0005-0000-0000-0000BC6D0000}"/>
    <cellStyle name="Normal 2 69" xfId="7459" xr:uid="{00000000-0005-0000-0000-0000BD6D0000}"/>
    <cellStyle name="Normal 2 69 2" xfId="14250" xr:uid="{00000000-0005-0000-0000-0000BE6D0000}"/>
    <cellStyle name="Normal 2 69 2 2" xfId="27818" xr:uid="{00000000-0005-0000-0000-0000BF6D0000}"/>
    <cellStyle name="Normal 2 69 2 2 2" xfId="54951" xr:uid="{00000000-0005-0000-0000-0000C06D0000}"/>
    <cellStyle name="Normal 2 69 2 3" xfId="41389" xr:uid="{00000000-0005-0000-0000-0000C16D0000}"/>
    <cellStyle name="Normal 2 69 3" xfId="21037" xr:uid="{00000000-0005-0000-0000-0000C26D0000}"/>
    <cellStyle name="Normal 2 69 3 2" xfId="48170" xr:uid="{00000000-0005-0000-0000-0000C36D0000}"/>
    <cellStyle name="Normal 2 69 4" xfId="34608" xr:uid="{00000000-0005-0000-0000-0000C46D0000}"/>
    <cellStyle name="Normal 2 7" xfId="2639" xr:uid="{00000000-0005-0000-0000-0000C56D0000}"/>
    <cellStyle name="Normal 2 7 2" xfId="7473" xr:uid="{00000000-0005-0000-0000-0000C66D0000}"/>
    <cellStyle name="Normal 2 7 2 2" xfId="14263" xr:uid="{00000000-0005-0000-0000-0000C76D0000}"/>
    <cellStyle name="Normal 2 7 2 2 2" xfId="27831" xr:uid="{00000000-0005-0000-0000-0000C86D0000}"/>
    <cellStyle name="Normal 2 7 2 2 2 2" xfId="54964" xr:uid="{00000000-0005-0000-0000-0000C96D0000}"/>
    <cellStyle name="Normal 2 7 2 2 3" xfId="41402" xr:uid="{00000000-0005-0000-0000-0000CA6D0000}"/>
    <cellStyle name="Normal 2 7 2 3" xfId="21050" xr:uid="{00000000-0005-0000-0000-0000CB6D0000}"/>
    <cellStyle name="Normal 2 7 2 3 2" xfId="48183" xr:uid="{00000000-0005-0000-0000-0000CC6D0000}"/>
    <cellStyle name="Normal 2 7 2 4" xfId="34621" xr:uid="{00000000-0005-0000-0000-0000CD6D0000}"/>
    <cellStyle name="Normal 2 7 3" xfId="10874" xr:uid="{00000000-0005-0000-0000-0000CE6D0000}"/>
    <cellStyle name="Normal 2 7 3 2" xfId="24442" xr:uid="{00000000-0005-0000-0000-0000CF6D0000}"/>
    <cellStyle name="Normal 2 7 3 2 2" xfId="51575" xr:uid="{00000000-0005-0000-0000-0000D06D0000}"/>
    <cellStyle name="Normal 2 7 3 3" xfId="38013" xr:uid="{00000000-0005-0000-0000-0000D16D0000}"/>
    <cellStyle name="Normal 2 7 4" xfId="17661" xr:uid="{00000000-0005-0000-0000-0000D26D0000}"/>
    <cellStyle name="Normal 2 7 4 2" xfId="44794" xr:uid="{00000000-0005-0000-0000-0000D36D0000}"/>
    <cellStyle name="Normal 2 7 5" xfId="31232" xr:uid="{00000000-0005-0000-0000-0000D46D0000}"/>
    <cellStyle name="Normal 2 70" xfId="10860" xr:uid="{00000000-0005-0000-0000-0000D56D0000}"/>
    <cellStyle name="Normal 2 70 2" xfId="24429" xr:uid="{00000000-0005-0000-0000-0000D66D0000}"/>
    <cellStyle name="Normal 2 70 2 2" xfId="51562" xr:uid="{00000000-0005-0000-0000-0000D76D0000}"/>
    <cellStyle name="Normal 2 70 3" xfId="38000" xr:uid="{00000000-0005-0000-0000-0000D86D0000}"/>
    <cellStyle name="Normal 2 71" xfId="17644" xr:uid="{00000000-0005-0000-0000-0000D96D0000}"/>
    <cellStyle name="Normal 2 71 2" xfId="44781" xr:uid="{00000000-0005-0000-0000-0000DA6D0000}"/>
    <cellStyle name="Normal 2 72" xfId="31218" xr:uid="{00000000-0005-0000-0000-0000DB6D0000}"/>
    <cellStyle name="Normal 2 73" xfId="58347" xr:uid="{00000000-0005-0000-0000-0000DC6D0000}"/>
    <cellStyle name="Normal 2 74" xfId="68" xr:uid="{00000000-0005-0000-0000-0000DD6D0000}"/>
    <cellStyle name="Normal 2 8" xfId="2640" xr:uid="{00000000-0005-0000-0000-0000DE6D0000}"/>
    <cellStyle name="Normal 2 9" xfId="4" xr:uid="{00000000-0005-0000-0000-0000DF6D0000}"/>
    <cellStyle name="Normal 2 9 2" xfId="58369" xr:uid="{00000000-0005-0000-0000-0000E06D0000}"/>
    <cellStyle name="Normal 2 9 3" xfId="2641" xr:uid="{00000000-0005-0000-0000-0000E16D0000}"/>
    <cellStyle name="Normal 2_01_METRADO_IBF(1)" xfId="71" xr:uid="{00000000-0005-0000-0000-0000E26D0000}"/>
    <cellStyle name="Normal 20" xfId="2642" xr:uid="{00000000-0005-0000-0000-0000E36D0000}"/>
    <cellStyle name="Normal 20 2" xfId="2643" xr:uid="{00000000-0005-0000-0000-0000E46D0000}"/>
    <cellStyle name="Normal 21" xfId="2644" xr:uid="{00000000-0005-0000-0000-0000E56D0000}"/>
    <cellStyle name="Normal 21 2" xfId="2645" xr:uid="{00000000-0005-0000-0000-0000E66D0000}"/>
    <cellStyle name="Normal 22" xfId="2646" xr:uid="{00000000-0005-0000-0000-0000E76D0000}"/>
    <cellStyle name="Normal 22 2" xfId="2647" xr:uid="{00000000-0005-0000-0000-0000E86D0000}"/>
    <cellStyle name="Normal 23" xfId="2648" xr:uid="{00000000-0005-0000-0000-0000E96D0000}"/>
    <cellStyle name="Normal 23 2" xfId="2649" xr:uid="{00000000-0005-0000-0000-0000EA6D0000}"/>
    <cellStyle name="Normal 24" xfId="2650" xr:uid="{00000000-0005-0000-0000-0000EB6D0000}"/>
    <cellStyle name="Normal 24 2" xfId="2651" xr:uid="{00000000-0005-0000-0000-0000EC6D0000}"/>
    <cellStyle name="Normal 25" xfId="14" xr:uid="{00000000-0005-0000-0000-0000ED6D0000}"/>
    <cellStyle name="Normal 25 2" xfId="2653" xr:uid="{00000000-0005-0000-0000-0000EE6D0000}"/>
    <cellStyle name="Normal 25 3" xfId="2652" xr:uid="{00000000-0005-0000-0000-0000EF6D0000}"/>
    <cellStyle name="Normal 26" xfId="2654" xr:uid="{00000000-0005-0000-0000-0000F06D0000}"/>
    <cellStyle name="Normal 26 2" xfId="2655" xr:uid="{00000000-0005-0000-0000-0000F16D0000}"/>
    <cellStyle name="Normal 27" xfId="2656" xr:uid="{00000000-0005-0000-0000-0000F26D0000}"/>
    <cellStyle name="Normal 27 2" xfId="2657" xr:uid="{00000000-0005-0000-0000-0000F36D0000}"/>
    <cellStyle name="Normal 28" xfId="2658" xr:uid="{00000000-0005-0000-0000-0000F46D0000}"/>
    <cellStyle name="Normal 28 2" xfId="2659" xr:uid="{00000000-0005-0000-0000-0000F56D0000}"/>
    <cellStyle name="Normal 28 2 2" xfId="5538" xr:uid="{00000000-0005-0000-0000-0000F66D0000}"/>
    <cellStyle name="Normal 28 2 2 2" xfId="5539" xr:uid="{00000000-0005-0000-0000-0000F76D0000}"/>
    <cellStyle name="Normal 28 2 2 2 2" xfId="5540" xr:uid="{00000000-0005-0000-0000-0000F86D0000}"/>
    <cellStyle name="Normal 28 2 2 2 2 2" xfId="9086" xr:uid="{00000000-0005-0000-0000-0000F96D0000}"/>
    <cellStyle name="Normal 28 2 2 2 2 2 2" xfId="15876" xr:uid="{00000000-0005-0000-0000-0000FA6D0000}"/>
    <cellStyle name="Normal 28 2 2 2 2 2 2 2" xfId="29444" xr:uid="{00000000-0005-0000-0000-0000FB6D0000}"/>
    <cellStyle name="Normal 28 2 2 2 2 2 2 2 2" xfId="56577" xr:uid="{00000000-0005-0000-0000-0000FC6D0000}"/>
    <cellStyle name="Normal 28 2 2 2 2 2 2 3" xfId="43015" xr:uid="{00000000-0005-0000-0000-0000FD6D0000}"/>
    <cellStyle name="Normal 28 2 2 2 2 2 3" xfId="22663" xr:uid="{00000000-0005-0000-0000-0000FE6D0000}"/>
    <cellStyle name="Normal 28 2 2 2 2 2 3 2" xfId="49796" xr:uid="{00000000-0005-0000-0000-0000FF6D0000}"/>
    <cellStyle name="Normal 28 2 2 2 2 2 4" xfId="36234" xr:uid="{00000000-0005-0000-0000-0000006E0000}"/>
    <cellStyle name="Normal 28 2 2 2 2 3" xfId="12487" xr:uid="{00000000-0005-0000-0000-0000016E0000}"/>
    <cellStyle name="Normal 28 2 2 2 2 3 2" xfId="26055" xr:uid="{00000000-0005-0000-0000-0000026E0000}"/>
    <cellStyle name="Normal 28 2 2 2 2 3 2 2" xfId="53188" xr:uid="{00000000-0005-0000-0000-0000036E0000}"/>
    <cellStyle name="Normal 28 2 2 2 2 3 3" xfId="39626" xr:uid="{00000000-0005-0000-0000-0000046E0000}"/>
    <cellStyle name="Normal 28 2 2 2 2 4" xfId="19274" xr:uid="{00000000-0005-0000-0000-0000056E0000}"/>
    <cellStyle name="Normal 28 2 2 2 2 4 2" xfId="46407" xr:uid="{00000000-0005-0000-0000-0000066E0000}"/>
    <cellStyle name="Normal 28 2 2 2 2 5" xfId="32845" xr:uid="{00000000-0005-0000-0000-0000076E0000}"/>
    <cellStyle name="Normal 28 2 2 2 3" xfId="5541" xr:uid="{00000000-0005-0000-0000-0000086E0000}"/>
    <cellStyle name="Normal 28 2 2 2 3 2" xfId="9087" xr:uid="{00000000-0005-0000-0000-0000096E0000}"/>
    <cellStyle name="Normal 28 2 2 2 3 2 2" xfId="15877" xr:uid="{00000000-0005-0000-0000-00000A6E0000}"/>
    <cellStyle name="Normal 28 2 2 2 3 2 2 2" xfId="29445" xr:uid="{00000000-0005-0000-0000-00000B6E0000}"/>
    <cellStyle name="Normal 28 2 2 2 3 2 2 2 2" xfId="56578" xr:uid="{00000000-0005-0000-0000-00000C6E0000}"/>
    <cellStyle name="Normal 28 2 2 2 3 2 2 3" xfId="43016" xr:uid="{00000000-0005-0000-0000-00000D6E0000}"/>
    <cellStyle name="Normal 28 2 2 2 3 2 3" xfId="22664" xr:uid="{00000000-0005-0000-0000-00000E6E0000}"/>
    <cellStyle name="Normal 28 2 2 2 3 2 3 2" xfId="49797" xr:uid="{00000000-0005-0000-0000-00000F6E0000}"/>
    <cellStyle name="Normal 28 2 2 2 3 2 4" xfId="36235" xr:uid="{00000000-0005-0000-0000-0000106E0000}"/>
    <cellStyle name="Normal 28 2 2 2 3 3" xfId="12488" xr:uid="{00000000-0005-0000-0000-0000116E0000}"/>
    <cellStyle name="Normal 28 2 2 2 3 3 2" xfId="26056" xr:uid="{00000000-0005-0000-0000-0000126E0000}"/>
    <cellStyle name="Normal 28 2 2 2 3 3 2 2" xfId="53189" xr:uid="{00000000-0005-0000-0000-0000136E0000}"/>
    <cellStyle name="Normal 28 2 2 2 3 3 3" xfId="39627" xr:uid="{00000000-0005-0000-0000-0000146E0000}"/>
    <cellStyle name="Normal 28 2 2 2 3 4" xfId="19275" xr:uid="{00000000-0005-0000-0000-0000156E0000}"/>
    <cellStyle name="Normal 28 2 2 2 3 4 2" xfId="46408" xr:uid="{00000000-0005-0000-0000-0000166E0000}"/>
    <cellStyle name="Normal 28 2 2 2 3 5" xfId="32846" xr:uid="{00000000-0005-0000-0000-0000176E0000}"/>
    <cellStyle name="Normal 28 2 2 2 4" xfId="9085" xr:uid="{00000000-0005-0000-0000-0000186E0000}"/>
    <cellStyle name="Normal 28 2 2 2 4 2" xfId="15875" xr:uid="{00000000-0005-0000-0000-0000196E0000}"/>
    <cellStyle name="Normal 28 2 2 2 4 2 2" xfId="29443" xr:uid="{00000000-0005-0000-0000-00001A6E0000}"/>
    <cellStyle name="Normal 28 2 2 2 4 2 2 2" xfId="56576" xr:uid="{00000000-0005-0000-0000-00001B6E0000}"/>
    <cellStyle name="Normal 28 2 2 2 4 2 3" xfId="43014" xr:uid="{00000000-0005-0000-0000-00001C6E0000}"/>
    <cellStyle name="Normal 28 2 2 2 4 3" xfId="22662" xr:uid="{00000000-0005-0000-0000-00001D6E0000}"/>
    <cellStyle name="Normal 28 2 2 2 4 3 2" xfId="49795" xr:uid="{00000000-0005-0000-0000-00001E6E0000}"/>
    <cellStyle name="Normal 28 2 2 2 4 4" xfId="36233" xr:uid="{00000000-0005-0000-0000-00001F6E0000}"/>
    <cellStyle name="Normal 28 2 2 2 5" xfId="12486" xr:uid="{00000000-0005-0000-0000-0000206E0000}"/>
    <cellStyle name="Normal 28 2 2 2 5 2" xfId="26054" xr:uid="{00000000-0005-0000-0000-0000216E0000}"/>
    <cellStyle name="Normal 28 2 2 2 5 2 2" xfId="53187" xr:uid="{00000000-0005-0000-0000-0000226E0000}"/>
    <cellStyle name="Normal 28 2 2 2 5 3" xfId="39625" xr:uid="{00000000-0005-0000-0000-0000236E0000}"/>
    <cellStyle name="Normal 28 2 2 2 6" xfId="19273" xr:uid="{00000000-0005-0000-0000-0000246E0000}"/>
    <cellStyle name="Normal 28 2 2 2 6 2" xfId="46406" xr:uid="{00000000-0005-0000-0000-0000256E0000}"/>
    <cellStyle name="Normal 28 2 2 2 7" xfId="32844" xr:uid="{00000000-0005-0000-0000-0000266E0000}"/>
    <cellStyle name="Normal 28 2 2 3" xfId="5542" xr:uid="{00000000-0005-0000-0000-0000276E0000}"/>
    <cellStyle name="Normal 28 2 2 3 2" xfId="5543" xr:uid="{00000000-0005-0000-0000-0000286E0000}"/>
    <cellStyle name="Normal 28 2 2 3 2 2" xfId="9089" xr:uid="{00000000-0005-0000-0000-0000296E0000}"/>
    <cellStyle name="Normal 28 2 2 3 2 2 2" xfId="15879" xr:uid="{00000000-0005-0000-0000-00002A6E0000}"/>
    <cellStyle name="Normal 28 2 2 3 2 2 2 2" xfId="29447" xr:uid="{00000000-0005-0000-0000-00002B6E0000}"/>
    <cellStyle name="Normal 28 2 2 3 2 2 2 2 2" xfId="56580" xr:uid="{00000000-0005-0000-0000-00002C6E0000}"/>
    <cellStyle name="Normal 28 2 2 3 2 2 2 3" xfId="43018" xr:uid="{00000000-0005-0000-0000-00002D6E0000}"/>
    <cellStyle name="Normal 28 2 2 3 2 2 3" xfId="22666" xr:uid="{00000000-0005-0000-0000-00002E6E0000}"/>
    <cellStyle name="Normal 28 2 2 3 2 2 3 2" xfId="49799" xr:uid="{00000000-0005-0000-0000-00002F6E0000}"/>
    <cellStyle name="Normal 28 2 2 3 2 2 4" xfId="36237" xr:uid="{00000000-0005-0000-0000-0000306E0000}"/>
    <cellStyle name="Normal 28 2 2 3 2 3" xfId="12490" xr:uid="{00000000-0005-0000-0000-0000316E0000}"/>
    <cellStyle name="Normal 28 2 2 3 2 3 2" xfId="26058" xr:uid="{00000000-0005-0000-0000-0000326E0000}"/>
    <cellStyle name="Normal 28 2 2 3 2 3 2 2" xfId="53191" xr:uid="{00000000-0005-0000-0000-0000336E0000}"/>
    <cellStyle name="Normal 28 2 2 3 2 3 3" xfId="39629" xr:uid="{00000000-0005-0000-0000-0000346E0000}"/>
    <cellStyle name="Normal 28 2 2 3 2 4" xfId="19277" xr:uid="{00000000-0005-0000-0000-0000356E0000}"/>
    <cellStyle name="Normal 28 2 2 3 2 4 2" xfId="46410" xr:uid="{00000000-0005-0000-0000-0000366E0000}"/>
    <cellStyle name="Normal 28 2 2 3 2 5" xfId="32848" xr:uid="{00000000-0005-0000-0000-0000376E0000}"/>
    <cellStyle name="Normal 28 2 2 3 3" xfId="9088" xr:uid="{00000000-0005-0000-0000-0000386E0000}"/>
    <cellStyle name="Normal 28 2 2 3 3 2" xfId="15878" xr:uid="{00000000-0005-0000-0000-0000396E0000}"/>
    <cellStyle name="Normal 28 2 2 3 3 2 2" xfId="29446" xr:uid="{00000000-0005-0000-0000-00003A6E0000}"/>
    <cellStyle name="Normal 28 2 2 3 3 2 2 2" xfId="56579" xr:uid="{00000000-0005-0000-0000-00003B6E0000}"/>
    <cellStyle name="Normal 28 2 2 3 3 2 3" xfId="43017" xr:uid="{00000000-0005-0000-0000-00003C6E0000}"/>
    <cellStyle name="Normal 28 2 2 3 3 3" xfId="22665" xr:uid="{00000000-0005-0000-0000-00003D6E0000}"/>
    <cellStyle name="Normal 28 2 2 3 3 3 2" xfId="49798" xr:uid="{00000000-0005-0000-0000-00003E6E0000}"/>
    <cellStyle name="Normal 28 2 2 3 3 4" xfId="36236" xr:uid="{00000000-0005-0000-0000-00003F6E0000}"/>
    <cellStyle name="Normal 28 2 2 3 4" xfId="12489" xr:uid="{00000000-0005-0000-0000-0000406E0000}"/>
    <cellStyle name="Normal 28 2 2 3 4 2" xfId="26057" xr:uid="{00000000-0005-0000-0000-0000416E0000}"/>
    <cellStyle name="Normal 28 2 2 3 4 2 2" xfId="53190" xr:uid="{00000000-0005-0000-0000-0000426E0000}"/>
    <cellStyle name="Normal 28 2 2 3 4 3" xfId="39628" xr:uid="{00000000-0005-0000-0000-0000436E0000}"/>
    <cellStyle name="Normal 28 2 2 3 5" xfId="19276" xr:uid="{00000000-0005-0000-0000-0000446E0000}"/>
    <cellStyle name="Normal 28 2 2 3 5 2" xfId="46409" xr:uid="{00000000-0005-0000-0000-0000456E0000}"/>
    <cellStyle name="Normal 28 2 2 3 6" xfId="32847" xr:uid="{00000000-0005-0000-0000-0000466E0000}"/>
    <cellStyle name="Normal 28 2 2 4" xfId="5544" xr:uid="{00000000-0005-0000-0000-0000476E0000}"/>
    <cellStyle name="Normal 28 2 2 4 2" xfId="9090" xr:uid="{00000000-0005-0000-0000-0000486E0000}"/>
    <cellStyle name="Normal 28 2 2 4 2 2" xfId="15880" xr:uid="{00000000-0005-0000-0000-0000496E0000}"/>
    <cellStyle name="Normal 28 2 2 4 2 2 2" xfId="29448" xr:uid="{00000000-0005-0000-0000-00004A6E0000}"/>
    <cellStyle name="Normal 28 2 2 4 2 2 2 2" xfId="56581" xr:uid="{00000000-0005-0000-0000-00004B6E0000}"/>
    <cellStyle name="Normal 28 2 2 4 2 2 3" xfId="43019" xr:uid="{00000000-0005-0000-0000-00004C6E0000}"/>
    <cellStyle name="Normal 28 2 2 4 2 3" xfId="22667" xr:uid="{00000000-0005-0000-0000-00004D6E0000}"/>
    <cellStyle name="Normal 28 2 2 4 2 3 2" xfId="49800" xr:uid="{00000000-0005-0000-0000-00004E6E0000}"/>
    <cellStyle name="Normal 28 2 2 4 2 4" xfId="36238" xr:uid="{00000000-0005-0000-0000-00004F6E0000}"/>
    <cellStyle name="Normal 28 2 2 4 3" xfId="12491" xr:uid="{00000000-0005-0000-0000-0000506E0000}"/>
    <cellStyle name="Normal 28 2 2 4 3 2" xfId="26059" xr:uid="{00000000-0005-0000-0000-0000516E0000}"/>
    <cellStyle name="Normal 28 2 2 4 3 2 2" xfId="53192" xr:uid="{00000000-0005-0000-0000-0000526E0000}"/>
    <cellStyle name="Normal 28 2 2 4 3 3" xfId="39630" xr:uid="{00000000-0005-0000-0000-0000536E0000}"/>
    <cellStyle name="Normal 28 2 2 4 4" xfId="19278" xr:uid="{00000000-0005-0000-0000-0000546E0000}"/>
    <cellStyle name="Normal 28 2 2 4 4 2" xfId="46411" xr:uid="{00000000-0005-0000-0000-0000556E0000}"/>
    <cellStyle name="Normal 28 2 2 4 5" xfId="32849" xr:uid="{00000000-0005-0000-0000-0000566E0000}"/>
    <cellStyle name="Normal 28 2 2 5" xfId="5545" xr:uid="{00000000-0005-0000-0000-0000576E0000}"/>
    <cellStyle name="Normal 28 2 2 5 2" xfId="9091" xr:uid="{00000000-0005-0000-0000-0000586E0000}"/>
    <cellStyle name="Normal 28 2 2 5 2 2" xfId="15881" xr:uid="{00000000-0005-0000-0000-0000596E0000}"/>
    <cellStyle name="Normal 28 2 2 5 2 2 2" xfId="29449" xr:uid="{00000000-0005-0000-0000-00005A6E0000}"/>
    <cellStyle name="Normal 28 2 2 5 2 2 2 2" xfId="56582" xr:uid="{00000000-0005-0000-0000-00005B6E0000}"/>
    <cellStyle name="Normal 28 2 2 5 2 2 3" xfId="43020" xr:uid="{00000000-0005-0000-0000-00005C6E0000}"/>
    <cellStyle name="Normal 28 2 2 5 2 3" xfId="22668" xr:uid="{00000000-0005-0000-0000-00005D6E0000}"/>
    <cellStyle name="Normal 28 2 2 5 2 3 2" xfId="49801" xr:uid="{00000000-0005-0000-0000-00005E6E0000}"/>
    <cellStyle name="Normal 28 2 2 5 2 4" xfId="36239" xr:uid="{00000000-0005-0000-0000-00005F6E0000}"/>
    <cellStyle name="Normal 28 2 2 5 3" xfId="12492" xr:uid="{00000000-0005-0000-0000-0000606E0000}"/>
    <cellStyle name="Normal 28 2 2 5 3 2" xfId="26060" xr:uid="{00000000-0005-0000-0000-0000616E0000}"/>
    <cellStyle name="Normal 28 2 2 5 3 2 2" xfId="53193" xr:uid="{00000000-0005-0000-0000-0000626E0000}"/>
    <cellStyle name="Normal 28 2 2 5 3 3" xfId="39631" xr:uid="{00000000-0005-0000-0000-0000636E0000}"/>
    <cellStyle name="Normal 28 2 2 5 4" xfId="19279" xr:uid="{00000000-0005-0000-0000-0000646E0000}"/>
    <cellStyle name="Normal 28 2 2 5 4 2" xfId="46412" xr:uid="{00000000-0005-0000-0000-0000656E0000}"/>
    <cellStyle name="Normal 28 2 2 5 5" xfId="32850" xr:uid="{00000000-0005-0000-0000-0000666E0000}"/>
    <cellStyle name="Normal 28 2 2 6" xfId="9084" xr:uid="{00000000-0005-0000-0000-0000676E0000}"/>
    <cellStyle name="Normal 28 2 2 6 2" xfId="15874" xr:uid="{00000000-0005-0000-0000-0000686E0000}"/>
    <cellStyle name="Normal 28 2 2 6 2 2" xfId="29442" xr:uid="{00000000-0005-0000-0000-0000696E0000}"/>
    <cellStyle name="Normal 28 2 2 6 2 2 2" xfId="56575" xr:uid="{00000000-0005-0000-0000-00006A6E0000}"/>
    <cellStyle name="Normal 28 2 2 6 2 3" xfId="43013" xr:uid="{00000000-0005-0000-0000-00006B6E0000}"/>
    <cellStyle name="Normal 28 2 2 6 3" xfId="22661" xr:uid="{00000000-0005-0000-0000-00006C6E0000}"/>
    <cellStyle name="Normal 28 2 2 6 3 2" xfId="49794" xr:uid="{00000000-0005-0000-0000-00006D6E0000}"/>
    <cellStyle name="Normal 28 2 2 6 4" xfId="36232" xr:uid="{00000000-0005-0000-0000-00006E6E0000}"/>
    <cellStyle name="Normal 28 2 2 7" xfId="12485" xr:uid="{00000000-0005-0000-0000-00006F6E0000}"/>
    <cellStyle name="Normal 28 2 2 7 2" xfId="26053" xr:uid="{00000000-0005-0000-0000-0000706E0000}"/>
    <cellStyle name="Normal 28 2 2 7 2 2" xfId="53186" xr:uid="{00000000-0005-0000-0000-0000716E0000}"/>
    <cellStyle name="Normal 28 2 2 7 3" xfId="39624" xr:uid="{00000000-0005-0000-0000-0000726E0000}"/>
    <cellStyle name="Normal 28 2 2 8" xfId="19272" xr:uid="{00000000-0005-0000-0000-0000736E0000}"/>
    <cellStyle name="Normal 28 2 2 8 2" xfId="46405" xr:uid="{00000000-0005-0000-0000-0000746E0000}"/>
    <cellStyle name="Normal 28 2 2 9" xfId="32843" xr:uid="{00000000-0005-0000-0000-0000756E0000}"/>
    <cellStyle name="Normal 28 2 3" xfId="5546" xr:uid="{00000000-0005-0000-0000-0000766E0000}"/>
    <cellStyle name="Normal 28 2 3 2" xfId="5547" xr:uid="{00000000-0005-0000-0000-0000776E0000}"/>
    <cellStyle name="Normal 28 2 3 2 2" xfId="9093" xr:uid="{00000000-0005-0000-0000-0000786E0000}"/>
    <cellStyle name="Normal 28 2 3 2 2 2" xfId="15883" xr:uid="{00000000-0005-0000-0000-0000796E0000}"/>
    <cellStyle name="Normal 28 2 3 2 2 2 2" xfId="29451" xr:uid="{00000000-0005-0000-0000-00007A6E0000}"/>
    <cellStyle name="Normal 28 2 3 2 2 2 2 2" xfId="56584" xr:uid="{00000000-0005-0000-0000-00007B6E0000}"/>
    <cellStyle name="Normal 28 2 3 2 2 2 3" xfId="43022" xr:uid="{00000000-0005-0000-0000-00007C6E0000}"/>
    <cellStyle name="Normal 28 2 3 2 2 3" xfId="22670" xr:uid="{00000000-0005-0000-0000-00007D6E0000}"/>
    <cellStyle name="Normal 28 2 3 2 2 3 2" xfId="49803" xr:uid="{00000000-0005-0000-0000-00007E6E0000}"/>
    <cellStyle name="Normal 28 2 3 2 2 4" xfId="36241" xr:uid="{00000000-0005-0000-0000-00007F6E0000}"/>
    <cellStyle name="Normal 28 2 3 2 3" xfId="12494" xr:uid="{00000000-0005-0000-0000-0000806E0000}"/>
    <cellStyle name="Normal 28 2 3 2 3 2" xfId="26062" xr:uid="{00000000-0005-0000-0000-0000816E0000}"/>
    <cellStyle name="Normal 28 2 3 2 3 2 2" xfId="53195" xr:uid="{00000000-0005-0000-0000-0000826E0000}"/>
    <cellStyle name="Normal 28 2 3 2 3 3" xfId="39633" xr:uid="{00000000-0005-0000-0000-0000836E0000}"/>
    <cellStyle name="Normal 28 2 3 2 4" xfId="19281" xr:uid="{00000000-0005-0000-0000-0000846E0000}"/>
    <cellStyle name="Normal 28 2 3 2 4 2" xfId="46414" xr:uid="{00000000-0005-0000-0000-0000856E0000}"/>
    <cellStyle name="Normal 28 2 3 2 5" xfId="32852" xr:uid="{00000000-0005-0000-0000-0000866E0000}"/>
    <cellStyle name="Normal 28 2 3 3" xfId="5548" xr:uid="{00000000-0005-0000-0000-0000876E0000}"/>
    <cellStyle name="Normal 28 2 3 3 2" xfId="9094" xr:uid="{00000000-0005-0000-0000-0000886E0000}"/>
    <cellStyle name="Normal 28 2 3 3 2 2" xfId="15884" xr:uid="{00000000-0005-0000-0000-0000896E0000}"/>
    <cellStyle name="Normal 28 2 3 3 2 2 2" xfId="29452" xr:uid="{00000000-0005-0000-0000-00008A6E0000}"/>
    <cellStyle name="Normal 28 2 3 3 2 2 2 2" xfId="56585" xr:uid="{00000000-0005-0000-0000-00008B6E0000}"/>
    <cellStyle name="Normal 28 2 3 3 2 2 3" xfId="43023" xr:uid="{00000000-0005-0000-0000-00008C6E0000}"/>
    <cellStyle name="Normal 28 2 3 3 2 3" xfId="22671" xr:uid="{00000000-0005-0000-0000-00008D6E0000}"/>
    <cellStyle name="Normal 28 2 3 3 2 3 2" xfId="49804" xr:uid="{00000000-0005-0000-0000-00008E6E0000}"/>
    <cellStyle name="Normal 28 2 3 3 2 4" xfId="36242" xr:uid="{00000000-0005-0000-0000-00008F6E0000}"/>
    <cellStyle name="Normal 28 2 3 3 3" xfId="12495" xr:uid="{00000000-0005-0000-0000-0000906E0000}"/>
    <cellStyle name="Normal 28 2 3 3 3 2" xfId="26063" xr:uid="{00000000-0005-0000-0000-0000916E0000}"/>
    <cellStyle name="Normal 28 2 3 3 3 2 2" xfId="53196" xr:uid="{00000000-0005-0000-0000-0000926E0000}"/>
    <cellStyle name="Normal 28 2 3 3 3 3" xfId="39634" xr:uid="{00000000-0005-0000-0000-0000936E0000}"/>
    <cellStyle name="Normal 28 2 3 3 4" xfId="19282" xr:uid="{00000000-0005-0000-0000-0000946E0000}"/>
    <cellStyle name="Normal 28 2 3 3 4 2" xfId="46415" xr:uid="{00000000-0005-0000-0000-0000956E0000}"/>
    <cellStyle name="Normal 28 2 3 3 5" xfId="32853" xr:uid="{00000000-0005-0000-0000-0000966E0000}"/>
    <cellStyle name="Normal 28 2 3 4" xfId="9092" xr:uid="{00000000-0005-0000-0000-0000976E0000}"/>
    <cellStyle name="Normal 28 2 3 4 2" xfId="15882" xr:uid="{00000000-0005-0000-0000-0000986E0000}"/>
    <cellStyle name="Normal 28 2 3 4 2 2" xfId="29450" xr:uid="{00000000-0005-0000-0000-0000996E0000}"/>
    <cellStyle name="Normal 28 2 3 4 2 2 2" xfId="56583" xr:uid="{00000000-0005-0000-0000-00009A6E0000}"/>
    <cellStyle name="Normal 28 2 3 4 2 3" xfId="43021" xr:uid="{00000000-0005-0000-0000-00009B6E0000}"/>
    <cellStyle name="Normal 28 2 3 4 3" xfId="22669" xr:uid="{00000000-0005-0000-0000-00009C6E0000}"/>
    <cellStyle name="Normal 28 2 3 4 3 2" xfId="49802" xr:uid="{00000000-0005-0000-0000-00009D6E0000}"/>
    <cellStyle name="Normal 28 2 3 4 4" xfId="36240" xr:uid="{00000000-0005-0000-0000-00009E6E0000}"/>
    <cellStyle name="Normal 28 2 3 5" xfId="12493" xr:uid="{00000000-0005-0000-0000-00009F6E0000}"/>
    <cellStyle name="Normal 28 2 3 5 2" xfId="26061" xr:uid="{00000000-0005-0000-0000-0000A06E0000}"/>
    <cellStyle name="Normal 28 2 3 5 2 2" xfId="53194" xr:uid="{00000000-0005-0000-0000-0000A16E0000}"/>
    <cellStyle name="Normal 28 2 3 5 3" xfId="39632" xr:uid="{00000000-0005-0000-0000-0000A26E0000}"/>
    <cellStyle name="Normal 28 2 3 6" xfId="19280" xr:uid="{00000000-0005-0000-0000-0000A36E0000}"/>
    <cellStyle name="Normal 28 2 3 6 2" xfId="46413" xr:uid="{00000000-0005-0000-0000-0000A46E0000}"/>
    <cellStyle name="Normal 28 2 3 7" xfId="32851" xr:uid="{00000000-0005-0000-0000-0000A56E0000}"/>
    <cellStyle name="Normal 28 2 4" xfId="5549" xr:uid="{00000000-0005-0000-0000-0000A66E0000}"/>
    <cellStyle name="Normal 28 2 4 2" xfId="5550" xr:uid="{00000000-0005-0000-0000-0000A76E0000}"/>
    <cellStyle name="Normal 28 2 4 2 2" xfId="9096" xr:uid="{00000000-0005-0000-0000-0000A86E0000}"/>
    <cellStyle name="Normal 28 2 4 2 2 2" xfId="15886" xr:uid="{00000000-0005-0000-0000-0000A96E0000}"/>
    <cellStyle name="Normal 28 2 4 2 2 2 2" xfId="29454" xr:uid="{00000000-0005-0000-0000-0000AA6E0000}"/>
    <cellStyle name="Normal 28 2 4 2 2 2 2 2" xfId="56587" xr:uid="{00000000-0005-0000-0000-0000AB6E0000}"/>
    <cellStyle name="Normal 28 2 4 2 2 2 3" xfId="43025" xr:uid="{00000000-0005-0000-0000-0000AC6E0000}"/>
    <cellStyle name="Normal 28 2 4 2 2 3" xfId="22673" xr:uid="{00000000-0005-0000-0000-0000AD6E0000}"/>
    <cellStyle name="Normal 28 2 4 2 2 3 2" xfId="49806" xr:uid="{00000000-0005-0000-0000-0000AE6E0000}"/>
    <cellStyle name="Normal 28 2 4 2 2 4" xfId="36244" xr:uid="{00000000-0005-0000-0000-0000AF6E0000}"/>
    <cellStyle name="Normal 28 2 4 2 3" xfId="12497" xr:uid="{00000000-0005-0000-0000-0000B06E0000}"/>
    <cellStyle name="Normal 28 2 4 2 3 2" xfId="26065" xr:uid="{00000000-0005-0000-0000-0000B16E0000}"/>
    <cellStyle name="Normal 28 2 4 2 3 2 2" xfId="53198" xr:uid="{00000000-0005-0000-0000-0000B26E0000}"/>
    <cellStyle name="Normal 28 2 4 2 3 3" xfId="39636" xr:uid="{00000000-0005-0000-0000-0000B36E0000}"/>
    <cellStyle name="Normal 28 2 4 2 4" xfId="19284" xr:uid="{00000000-0005-0000-0000-0000B46E0000}"/>
    <cellStyle name="Normal 28 2 4 2 4 2" xfId="46417" xr:uid="{00000000-0005-0000-0000-0000B56E0000}"/>
    <cellStyle name="Normal 28 2 4 2 5" xfId="32855" xr:uid="{00000000-0005-0000-0000-0000B66E0000}"/>
    <cellStyle name="Normal 28 2 4 3" xfId="9095" xr:uid="{00000000-0005-0000-0000-0000B76E0000}"/>
    <cellStyle name="Normal 28 2 4 3 2" xfId="15885" xr:uid="{00000000-0005-0000-0000-0000B86E0000}"/>
    <cellStyle name="Normal 28 2 4 3 2 2" xfId="29453" xr:uid="{00000000-0005-0000-0000-0000B96E0000}"/>
    <cellStyle name="Normal 28 2 4 3 2 2 2" xfId="56586" xr:uid="{00000000-0005-0000-0000-0000BA6E0000}"/>
    <cellStyle name="Normal 28 2 4 3 2 3" xfId="43024" xr:uid="{00000000-0005-0000-0000-0000BB6E0000}"/>
    <cellStyle name="Normal 28 2 4 3 3" xfId="22672" xr:uid="{00000000-0005-0000-0000-0000BC6E0000}"/>
    <cellStyle name="Normal 28 2 4 3 3 2" xfId="49805" xr:uid="{00000000-0005-0000-0000-0000BD6E0000}"/>
    <cellStyle name="Normal 28 2 4 3 4" xfId="36243" xr:uid="{00000000-0005-0000-0000-0000BE6E0000}"/>
    <cellStyle name="Normal 28 2 4 4" xfId="12496" xr:uid="{00000000-0005-0000-0000-0000BF6E0000}"/>
    <cellStyle name="Normal 28 2 4 4 2" xfId="26064" xr:uid="{00000000-0005-0000-0000-0000C06E0000}"/>
    <cellStyle name="Normal 28 2 4 4 2 2" xfId="53197" xr:uid="{00000000-0005-0000-0000-0000C16E0000}"/>
    <cellStyle name="Normal 28 2 4 4 3" xfId="39635" xr:uid="{00000000-0005-0000-0000-0000C26E0000}"/>
    <cellStyle name="Normal 28 2 4 5" xfId="19283" xr:uid="{00000000-0005-0000-0000-0000C36E0000}"/>
    <cellStyle name="Normal 28 2 4 5 2" xfId="46416" xr:uid="{00000000-0005-0000-0000-0000C46E0000}"/>
    <cellStyle name="Normal 28 2 4 6" xfId="32854" xr:uid="{00000000-0005-0000-0000-0000C56E0000}"/>
    <cellStyle name="Normal 28 2 5" xfId="5551" xr:uid="{00000000-0005-0000-0000-0000C66E0000}"/>
    <cellStyle name="Normal 28 2 5 2" xfId="9097" xr:uid="{00000000-0005-0000-0000-0000C76E0000}"/>
    <cellStyle name="Normal 28 2 5 2 2" xfId="15887" xr:uid="{00000000-0005-0000-0000-0000C86E0000}"/>
    <cellStyle name="Normal 28 2 5 2 2 2" xfId="29455" xr:uid="{00000000-0005-0000-0000-0000C96E0000}"/>
    <cellStyle name="Normal 28 2 5 2 2 2 2" xfId="56588" xr:uid="{00000000-0005-0000-0000-0000CA6E0000}"/>
    <cellStyle name="Normal 28 2 5 2 2 3" xfId="43026" xr:uid="{00000000-0005-0000-0000-0000CB6E0000}"/>
    <cellStyle name="Normal 28 2 5 2 3" xfId="22674" xr:uid="{00000000-0005-0000-0000-0000CC6E0000}"/>
    <cellStyle name="Normal 28 2 5 2 3 2" xfId="49807" xr:uid="{00000000-0005-0000-0000-0000CD6E0000}"/>
    <cellStyle name="Normal 28 2 5 2 4" xfId="36245" xr:uid="{00000000-0005-0000-0000-0000CE6E0000}"/>
    <cellStyle name="Normal 28 2 5 3" xfId="12498" xr:uid="{00000000-0005-0000-0000-0000CF6E0000}"/>
    <cellStyle name="Normal 28 2 5 3 2" xfId="26066" xr:uid="{00000000-0005-0000-0000-0000D06E0000}"/>
    <cellStyle name="Normal 28 2 5 3 2 2" xfId="53199" xr:uid="{00000000-0005-0000-0000-0000D16E0000}"/>
    <cellStyle name="Normal 28 2 5 3 3" xfId="39637" xr:uid="{00000000-0005-0000-0000-0000D26E0000}"/>
    <cellStyle name="Normal 28 2 5 4" xfId="19285" xr:uid="{00000000-0005-0000-0000-0000D36E0000}"/>
    <cellStyle name="Normal 28 2 5 4 2" xfId="46418" xr:uid="{00000000-0005-0000-0000-0000D46E0000}"/>
    <cellStyle name="Normal 28 2 5 5" xfId="32856" xr:uid="{00000000-0005-0000-0000-0000D56E0000}"/>
    <cellStyle name="Normal 28 2 6" xfId="5552" xr:uid="{00000000-0005-0000-0000-0000D66E0000}"/>
    <cellStyle name="Normal 28 2 6 2" xfId="9098" xr:uid="{00000000-0005-0000-0000-0000D76E0000}"/>
    <cellStyle name="Normal 28 2 6 2 2" xfId="15888" xr:uid="{00000000-0005-0000-0000-0000D86E0000}"/>
    <cellStyle name="Normal 28 2 6 2 2 2" xfId="29456" xr:uid="{00000000-0005-0000-0000-0000D96E0000}"/>
    <cellStyle name="Normal 28 2 6 2 2 2 2" xfId="56589" xr:uid="{00000000-0005-0000-0000-0000DA6E0000}"/>
    <cellStyle name="Normal 28 2 6 2 2 3" xfId="43027" xr:uid="{00000000-0005-0000-0000-0000DB6E0000}"/>
    <cellStyle name="Normal 28 2 6 2 3" xfId="22675" xr:uid="{00000000-0005-0000-0000-0000DC6E0000}"/>
    <cellStyle name="Normal 28 2 6 2 3 2" xfId="49808" xr:uid="{00000000-0005-0000-0000-0000DD6E0000}"/>
    <cellStyle name="Normal 28 2 6 2 4" xfId="36246" xr:uid="{00000000-0005-0000-0000-0000DE6E0000}"/>
    <cellStyle name="Normal 28 2 6 3" xfId="12499" xr:uid="{00000000-0005-0000-0000-0000DF6E0000}"/>
    <cellStyle name="Normal 28 2 6 3 2" xfId="26067" xr:uid="{00000000-0005-0000-0000-0000E06E0000}"/>
    <cellStyle name="Normal 28 2 6 3 2 2" xfId="53200" xr:uid="{00000000-0005-0000-0000-0000E16E0000}"/>
    <cellStyle name="Normal 28 2 6 3 3" xfId="39638" xr:uid="{00000000-0005-0000-0000-0000E26E0000}"/>
    <cellStyle name="Normal 28 2 6 4" xfId="19286" xr:uid="{00000000-0005-0000-0000-0000E36E0000}"/>
    <cellStyle name="Normal 28 2 6 4 2" xfId="46419" xr:uid="{00000000-0005-0000-0000-0000E46E0000}"/>
    <cellStyle name="Normal 28 2 6 5" xfId="32857" xr:uid="{00000000-0005-0000-0000-0000E56E0000}"/>
    <cellStyle name="Normal 28 3" xfId="5553" xr:uid="{00000000-0005-0000-0000-0000E66E0000}"/>
    <cellStyle name="Normal 28 3 2" xfId="5554" xr:uid="{00000000-0005-0000-0000-0000E76E0000}"/>
    <cellStyle name="Normal 28 3 2 2" xfId="5555" xr:uid="{00000000-0005-0000-0000-0000E86E0000}"/>
    <cellStyle name="Normal 28 3 2 2 2" xfId="9101" xr:uid="{00000000-0005-0000-0000-0000E96E0000}"/>
    <cellStyle name="Normal 28 3 2 2 2 2" xfId="15891" xr:uid="{00000000-0005-0000-0000-0000EA6E0000}"/>
    <cellStyle name="Normal 28 3 2 2 2 2 2" xfId="29459" xr:uid="{00000000-0005-0000-0000-0000EB6E0000}"/>
    <cellStyle name="Normal 28 3 2 2 2 2 2 2" xfId="56592" xr:uid="{00000000-0005-0000-0000-0000EC6E0000}"/>
    <cellStyle name="Normal 28 3 2 2 2 2 3" xfId="43030" xr:uid="{00000000-0005-0000-0000-0000ED6E0000}"/>
    <cellStyle name="Normal 28 3 2 2 2 3" xfId="22678" xr:uid="{00000000-0005-0000-0000-0000EE6E0000}"/>
    <cellStyle name="Normal 28 3 2 2 2 3 2" xfId="49811" xr:uid="{00000000-0005-0000-0000-0000EF6E0000}"/>
    <cellStyle name="Normal 28 3 2 2 2 4" xfId="36249" xr:uid="{00000000-0005-0000-0000-0000F06E0000}"/>
    <cellStyle name="Normal 28 3 2 2 3" xfId="12502" xr:uid="{00000000-0005-0000-0000-0000F16E0000}"/>
    <cellStyle name="Normal 28 3 2 2 3 2" xfId="26070" xr:uid="{00000000-0005-0000-0000-0000F26E0000}"/>
    <cellStyle name="Normal 28 3 2 2 3 2 2" xfId="53203" xr:uid="{00000000-0005-0000-0000-0000F36E0000}"/>
    <cellStyle name="Normal 28 3 2 2 3 3" xfId="39641" xr:uid="{00000000-0005-0000-0000-0000F46E0000}"/>
    <cellStyle name="Normal 28 3 2 2 4" xfId="19289" xr:uid="{00000000-0005-0000-0000-0000F56E0000}"/>
    <cellStyle name="Normal 28 3 2 2 4 2" xfId="46422" xr:uid="{00000000-0005-0000-0000-0000F66E0000}"/>
    <cellStyle name="Normal 28 3 2 2 5" xfId="32860" xr:uid="{00000000-0005-0000-0000-0000F76E0000}"/>
    <cellStyle name="Normal 28 3 2 3" xfId="5556" xr:uid="{00000000-0005-0000-0000-0000F86E0000}"/>
    <cellStyle name="Normal 28 3 2 3 2" xfId="9102" xr:uid="{00000000-0005-0000-0000-0000F96E0000}"/>
    <cellStyle name="Normal 28 3 2 3 2 2" xfId="15892" xr:uid="{00000000-0005-0000-0000-0000FA6E0000}"/>
    <cellStyle name="Normal 28 3 2 3 2 2 2" xfId="29460" xr:uid="{00000000-0005-0000-0000-0000FB6E0000}"/>
    <cellStyle name="Normal 28 3 2 3 2 2 2 2" xfId="56593" xr:uid="{00000000-0005-0000-0000-0000FC6E0000}"/>
    <cellStyle name="Normal 28 3 2 3 2 2 3" xfId="43031" xr:uid="{00000000-0005-0000-0000-0000FD6E0000}"/>
    <cellStyle name="Normal 28 3 2 3 2 3" xfId="22679" xr:uid="{00000000-0005-0000-0000-0000FE6E0000}"/>
    <cellStyle name="Normal 28 3 2 3 2 3 2" xfId="49812" xr:uid="{00000000-0005-0000-0000-0000FF6E0000}"/>
    <cellStyle name="Normal 28 3 2 3 2 4" xfId="36250" xr:uid="{00000000-0005-0000-0000-0000006F0000}"/>
    <cellStyle name="Normal 28 3 2 3 3" xfId="12503" xr:uid="{00000000-0005-0000-0000-0000016F0000}"/>
    <cellStyle name="Normal 28 3 2 3 3 2" xfId="26071" xr:uid="{00000000-0005-0000-0000-0000026F0000}"/>
    <cellStyle name="Normal 28 3 2 3 3 2 2" xfId="53204" xr:uid="{00000000-0005-0000-0000-0000036F0000}"/>
    <cellStyle name="Normal 28 3 2 3 3 3" xfId="39642" xr:uid="{00000000-0005-0000-0000-0000046F0000}"/>
    <cellStyle name="Normal 28 3 2 3 4" xfId="19290" xr:uid="{00000000-0005-0000-0000-0000056F0000}"/>
    <cellStyle name="Normal 28 3 2 3 4 2" xfId="46423" xr:uid="{00000000-0005-0000-0000-0000066F0000}"/>
    <cellStyle name="Normal 28 3 2 3 5" xfId="32861" xr:uid="{00000000-0005-0000-0000-0000076F0000}"/>
    <cellStyle name="Normal 28 3 2 4" xfId="9100" xr:uid="{00000000-0005-0000-0000-0000086F0000}"/>
    <cellStyle name="Normal 28 3 2 4 2" xfId="15890" xr:uid="{00000000-0005-0000-0000-0000096F0000}"/>
    <cellStyle name="Normal 28 3 2 4 2 2" xfId="29458" xr:uid="{00000000-0005-0000-0000-00000A6F0000}"/>
    <cellStyle name="Normal 28 3 2 4 2 2 2" xfId="56591" xr:uid="{00000000-0005-0000-0000-00000B6F0000}"/>
    <cellStyle name="Normal 28 3 2 4 2 3" xfId="43029" xr:uid="{00000000-0005-0000-0000-00000C6F0000}"/>
    <cellStyle name="Normal 28 3 2 4 3" xfId="22677" xr:uid="{00000000-0005-0000-0000-00000D6F0000}"/>
    <cellStyle name="Normal 28 3 2 4 3 2" xfId="49810" xr:uid="{00000000-0005-0000-0000-00000E6F0000}"/>
    <cellStyle name="Normal 28 3 2 4 4" xfId="36248" xr:uid="{00000000-0005-0000-0000-00000F6F0000}"/>
    <cellStyle name="Normal 28 3 2 5" xfId="12501" xr:uid="{00000000-0005-0000-0000-0000106F0000}"/>
    <cellStyle name="Normal 28 3 2 5 2" xfId="26069" xr:uid="{00000000-0005-0000-0000-0000116F0000}"/>
    <cellStyle name="Normal 28 3 2 5 2 2" xfId="53202" xr:uid="{00000000-0005-0000-0000-0000126F0000}"/>
    <cellStyle name="Normal 28 3 2 5 3" xfId="39640" xr:uid="{00000000-0005-0000-0000-0000136F0000}"/>
    <cellStyle name="Normal 28 3 2 6" xfId="19288" xr:uid="{00000000-0005-0000-0000-0000146F0000}"/>
    <cellStyle name="Normal 28 3 2 6 2" xfId="46421" xr:uid="{00000000-0005-0000-0000-0000156F0000}"/>
    <cellStyle name="Normal 28 3 2 7" xfId="32859" xr:uid="{00000000-0005-0000-0000-0000166F0000}"/>
    <cellStyle name="Normal 28 3 3" xfId="5557" xr:uid="{00000000-0005-0000-0000-0000176F0000}"/>
    <cellStyle name="Normal 28 3 3 2" xfId="5558" xr:uid="{00000000-0005-0000-0000-0000186F0000}"/>
    <cellStyle name="Normal 28 3 3 2 2" xfId="9104" xr:uid="{00000000-0005-0000-0000-0000196F0000}"/>
    <cellStyle name="Normal 28 3 3 2 2 2" xfId="15894" xr:uid="{00000000-0005-0000-0000-00001A6F0000}"/>
    <cellStyle name="Normal 28 3 3 2 2 2 2" xfId="29462" xr:uid="{00000000-0005-0000-0000-00001B6F0000}"/>
    <cellStyle name="Normal 28 3 3 2 2 2 2 2" xfId="56595" xr:uid="{00000000-0005-0000-0000-00001C6F0000}"/>
    <cellStyle name="Normal 28 3 3 2 2 2 3" xfId="43033" xr:uid="{00000000-0005-0000-0000-00001D6F0000}"/>
    <cellStyle name="Normal 28 3 3 2 2 3" xfId="22681" xr:uid="{00000000-0005-0000-0000-00001E6F0000}"/>
    <cellStyle name="Normal 28 3 3 2 2 3 2" xfId="49814" xr:uid="{00000000-0005-0000-0000-00001F6F0000}"/>
    <cellStyle name="Normal 28 3 3 2 2 4" xfId="36252" xr:uid="{00000000-0005-0000-0000-0000206F0000}"/>
    <cellStyle name="Normal 28 3 3 2 3" xfId="12505" xr:uid="{00000000-0005-0000-0000-0000216F0000}"/>
    <cellStyle name="Normal 28 3 3 2 3 2" xfId="26073" xr:uid="{00000000-0005-0000-0000-0000226F0000}"/>
    <cellStyle name="Normal 28 3 3 2 3 2 2" xfId="53206" xr:uid="{00000000-0005-0000-0000-0000236F0000}"/>
    <cellStyle name="Normal 28 3 3 2 3 3" xfId="39644" xr:uid="{00000000-0005-0000-0000-0000246F0000}"/>
    <cellStyle name="Normal 28 3 3 2 4" xfId="19292" xr:uid="{00000000-0005-0000-0000-0000256F0000}"/>
    <cellStyle name="Normal 28 3 3 2 4 2" xfId="46425" xr:uid="{00000000-0005-0000-0000-0000266F0000}"/>
    <cellStyle name="Normal 28 3 3 2 5" xfId="32863" xr:uid="{00000000-0005-0000-0000-0000276F0000}"/>
    <cellStyle name="Normal 28 3 3 3" xfId="9103" xr:uid="{00000000-0005-0000-0000-0000286F0000}"/>
    <cellStyle name="Normal 28 3 3 3 2" xfId="15893" xr:uid="{00000000-0005-0000-0000-0000296F0000}"/>
    <cellStyle name="Normal 28 3 3 3 2 2" xfId="29461" xr:uid="{00000000-0005-0000-0000-00002A6F0000}"/>
    <cellStyle name="Normal 28 3 3 3 2 2 2" xfId="56594" xr:uid="{00000000-0005-0000-0000-00002B6F0000}"/>
    <cellStyle name="Normal 28 3 3 3 2 3" xfId="43032" xr:uid="{00000000-0005-0000-0000-00002C6F0000}"/>
    <cellStyle name="Normal 28 3 3 3 3" xfId="22680" xr:uid="{00000000-0005-0000-0000-00002D6F0000}"/>
    <cellStyle name="Normal 28 3 3 3 3 2" xfId="49813" xr:uid="{00000000-0005-0000-0000-00002E6F0000}"/>
    <cellStyle name="Normal 28 3 3 3 4" xfId="36251" xr:uid="{00000000-0005-0000-0000-00002F6F0000}"/>
    <cellStyle name="Normal 28 3 3 4" xfId="12504" xr:uid="{00000000-0005-0000-0000-0000306F0000}"/>
    <cellStyle name="Normal 28 3 3 4 2" xfId="26072" xr:uid="{00000000-0005-0000-0000-0000316F0000}"/>
    <cellStyle name="Normal 28 3 3 4 2 2" xfId="53205" xr:uid="{00000000-0005-0000-0000-0000326F0000}"/>
    <cellStyle name="Normal 28 3 3 4 3" xfId="39643" xr:uid="{00000000-0005-0000-0000-0000336F0000}"/>
    <cellStyle name="Normal 28 3 3 5" xfId="19291" xr:uid="{00000000-0005-0000-0000-0000346F0000}"/>
    <cellStyle name="Normal 28 3 3 5 2" xfId="46424" xr:uid="{00000000-0005-0000-0000-0000356F0000}"/>
    <cellStyle name="Normal 28 3 3 6" xfId="32862" xr:uid="{00000000-0005-0000-0000-0000366F0000}"/>
    <cellStyle name="Normal 28 3 4" xfId="5559" xr:uid="{00000000-0005-0000-0000-0000376F0000}"/>
    <cellStyle name="Normal 28 3 4 2" xfId="9105" xr:uid="{00000000-0005-0000-0000-0000386F0000}"/>
    <cellStyle name="Normal 28 3 4 2 2" xfId="15895" xr:uid="{00000000-0005-0000-0000-0000396F0000}"/>
    <cellStyle name="Normal 28 3 4 2 2 2" xfId="29463" xr:uid="{00000000-0005-0000-0000-00003A6F0000}"/>
    <cellStyle name="Normal 28 3 4 2 2 2 2" xfId="56596" xr:uid="{00000000-0005-0000-0000-00003B6F0000}"/>
    <cellStyle name="Normal 28 3 4 2 2 3" xfId="43034" xr:uid="{00000000-0005-0000-0000-00003C6F0000}"/>
    <cellStyle name="Normal 28 3 4 2 3" xfId="22682" xr:uid="{00000000-0005-0000-0000-00003D6F0000}"/>
    <cellStyle name="Normal 28 3 4 2 3 2" xfId="49815" xr:uid="{00000000-0005-0000-0000-00003E6F0000}"/>
    <cellStyle name="Normal 28 3 4 2 4" xfId="36253" xr:uid="{00000000-0005-0000-0000-00003F6F0000}"/>
    <cellStyle name="Normal 28 3 4 3" xfId="12506" xr:uid="{00000000-0005-0000-0000-0000406F0000}"/>
    <cellStyle name="Normal 28 3 4 3 2" xfId="26074" xr:uid="{00000000-0005-0000-0000-0000416F0000}"/>
    <cellStyle name="Normal 28 3 4 3 2 2" xfId="53207" xr:uid="{00000000-0005-0000-0000-0000426F0000}"/>
    <cellStyle name="Normal 28 3 4 3 3" xfId="39645" xr:uid="{00000000-0005-0000-0000-0000436F0000}"/>
    <cellStyle name="Normal 28 3 4 4" xfId="19293" xr:uid="{00000000-0005-0000-0000-0000446F0000}"/>
    <cellStyle name="Normal 28 3 4 4 2" xfId="46426" xr:uid="{00000000-0005-0000-0000-0000456F0000}"/>
    <cellStyle name="Normal 28 3 4 5" xfId="32864" xr:uid="{00000000-0005-0000-0000-0000466F0000}"/>
    <cellStyle name="Normal 28 3 5" xfId="5560" xr:uid="{00000000-0005-0000-0000-0000476F0000}"/>
    <cellStyle name="Normal 28 3 5 2" xfId="9106" xr:uid="{00000000-0005-0000-0000-0000486F0000}"/>
    <cellStyle name="Normal 28 3 5 2 2" xfId="15896" xr:uid="{00000000-0005-0000-0000-0000496F0000}"/>
    <cellStyle name="Normal 28 3 5 2 2 2" xfId="29464" xr:uid="{00000000-0005-0000-0000-00004A6F0000}"/>
    <cellStyle name="Normal 28 3 5 2 2 2 2" xfId="56597" xr:uid="{00000000-0005-0000-0000-00004B6F0000}"/>
    <cellStyle name="Normal 28 3 5 2 2 3" xfId="43035" xr:uid="{00000000-0005-0000-0000-00004C6F0000}"/>
    <cellStyle name="Normal 28 3 5 2 3" xfId="22683" xr:uid="{00000000-0005-0000-0000-00004D6F0000}"/>
    <cellStyle name="Normal 28 3 5 2 3 2" xfId="49816" xr:uid="{00000000-0005-0000-0000-00004E6F0000}"/>
    <cellStyle name="Normal 28 3 5 2 4" xfId="36254" xr:uid="{00000000-0005-0000-0000-00004F6F0000}"/>
    <cellStyle name="Normal 28 3 5 3" xfId="12507" xr:uid="{00000000-0005-0000-0000-0000506F0000}"/>
    <cellStyle name="Normal 28 3 5 3 2" xfId="26075" xr:uid="{00000000-0005-0000-0000-0000516F0000}"/>
    <cellStyle name="Normal 28 3 5 3 2 2" xfId="53208" xr:uid="{00000000-0005-0000-0000-0000526F0000}"/>
    <cellStyle name="Normal 28 3 5 3 3" xfId="39646" xr:uid="{00000000-0005-0000-0000-0000536F0000}"/>
    <cellStyle name="Normal 28 3 5 4" xfId="19294" xr:uid="{00000000-0005-0000-0000-0000546F0000}"/>
    <cellStyle name="Normal 28 3 5 4 2" xfId="46427" xr:uid="{00000000-0005-0000-0000-0000556F0000}"/>
    <cellStyle name="Normal 28 3 5 5" xfId="32865" xr:uid="{00000000-0005-0000-0000-0000566F0000}"/>
    <cellStyle name="Normal 28 3 6" xfId="9099" xr:uid="{00000000-0005-0000-0000-0000576F0000}"/>
    <cellStyle name="Normal 28 3 6 2" xfId="15889" xr:uid="{00000000-0005-0000-0000-0000586F0000}"/>
    <cellStyle name="Normal 28 3 6 2 2" xfId="29457" xr:uid="{00000000-0005-0000-0000-0000596F0000}"/>
    <cellStyle name="Normal 28 3 6 2 2 2" xfId="56590" xr:uid="{00000000-0005-0000-0000-00005A6F0000}"/>
    <cellStyle name="Normal 28 3 6 2 3" xfId="43028" xr:uid="{00000000-0005-0000-0000-00005B6F0000}"/>
    <cellStyle name="Normal 28 3 6 3" xfId="22676" xr:uid="{00000000-0005-0000-0000-00005C6F0000}"/>
    <cellStyle name="Normal 28 3 6 3 2" xfId="49809" xr:uid="{00000000-0005-0000-0000-00005D6F0000}"/>
    <cellStyle name="Normal 28 3 6 4" xfId="36247" xr:uid="{00000000-0005-0000-0000-00005E6F0000}"/>
    <cellStyle name="Normal 28 3 7" xfId="12500" xr:uid="{00000000-0005-0000-0000-00005F6F0000}"/>
    <cellStyle name="Normal 28 3 7 2" xfId="26068" xr:uid="{00000000-0005-0000-0000-0000606F0000}"/>
    <cellStyle name="Normal 28 3 7 2 2" xfId="53201" xr:uid="{00000000-0005-0000-0000-0000616F0000}"/>
    <cellStyle name="Normal 28 3 7 3" xfId="39639" xr:uid="{00000000-0005-0000-0000-0000626F0000}"/>
    <cellStyle name="Normal 28 3 8" xfId="19287" xr:uid="{00000000-0005-0000-0000-0000636F0000}"/>
    <cellStyle name="Normal 28 3 8 2" xfId="46420" xr:uid="{00000000-0005-0000-0000-0000646F0000}"/>
    <cellStyle name="Normal 28 3 9" xfId="32858" xr:uid="{00000000-0005-0000-0000-0000656F0000}"/>
    <cellStyle name="Normal 28 4" xfId="5561" xr:uid="{00000000-0005-0000-0000-0000666F0000}"/>
    <cellStyle name="Normal 28 5" xfId="5562" xr:uid="{00000000-0005-0000-0000-0000676F0000}"/>
    <cellStyle name="Normal 28 5 2" xfId="5563" xr:uid="{00000000-0005-0000-0000-0000686F0000}"/>
    <cellStyle name="Normal 28 5 2 2" xfId="5564" xr:uid="{00000000-0005-0000-0000-0000696F0000}"/>
    <cellStyle name="Normal 28 5 2 2 2" xfId="9109" xr:uid="{00000000-0005-0000-0000-00006A6F0000}"/>
    <cellStyle name="Normal 28 5 2 2 2 2" xfId="15899" xr:uid="{00000000-0005-0000-0000-00006B6F0000}"/>
    <cellStyle name="Normal 28 5 2 2 2 2 2" xfId="29467" xr:uid="{00000000-0005-0000-0000-00006C6F0000}"/>
    <cellStyle name="Normal 28 5 2 2 2 2 2 2" xfId="56600" xr:uid="{00000000-0005-0000-0000-00006D6F0000}"/>
    <cellStyle name="Normal 28 5 2 2 2 2 3" xfId="43038" xr:uid="{00000000-0005-0000-0000-00006E6F0000}"/>
    <cellStyle name="Normal 28 5 2 2 2 3" xfId="22686" xr:uid="{00000000-0005-0000-0000-00006F6F0000}"/>
    <cellStyle name="Normal 28 5 2 2 2 3 2" xfId="49819" xr:uid="{00000000-0005-0000-0000-0000706F0000}"/>
    <cellStyle name="Normal 28 5 2 2 2 4" xfId="36257" xr:uid="{00000000-0005-0000-0000-0000716F0000}"/>
    <cellStyle name="Normal 28 5 2 2 3" xfId="12510" xr:uid="{00000000-0005-0000-0000-0000726F0000}"/>
    <cellStyle name="Normal 28 5 2 2 3 2" xfId="26078" xr:uid="{00000000-0005-0000-0000-0000736F0000}"/>
    <cellStyle name="Normal 28 5 2 2 3 2 2" xfId="53211" xr:uid="{00000000-0005-0000-0000-0000746F0000}"/>
    <cellStyle name="Normal 28 5 2 2 3 3" xfId="39649" xr:uid="{00000000-0005-0000-0000-0000756F0000}"/>
    <cellStyle name="Normal 28 5 2 2 4" xfId="19297" xr:uid="{00000000-0005-0000-0000-0000766F0000}"/>
    <cellStyle name="Normal 28 5 2 2 4 2" xfId="46430" xr:uid="{00000000-0005-0000-0000-0000776F0000}"/>
    <cellStyle name="Normal 28 5 2 2 5" xfId="32868" xr:uid="{00000000-0005-0000-0000-0000786F0000}"/>
    <cellStyle name="Normal 28 5 2 3" xfId="5565" xr:uid="{00000000-0005-0000-0000-0000796F0000}"/>
    <cellStyle name="Normal 28 5 2 3 2" xfId="9110" xr:uid="{00000000-0005-0000-0000-00007A6F0000}"/>
    <cellStyle name="Normal 28 5 2 3 2 2" xfId="15900" xr:uid="{00000000-0005-0000-0000-00007B6F0000}"/>
    <cellStyle name="Normal 28 5 2 3 2 2 2" xfId="29468" xr:uid="{00000000-0005-0000-0000-00007C6F0000}"/>
    <cellStyle name="Normal 28 5 2 3 2 2 2 2" xfId="56601" xr:uid="{00000000-0005-0000-0000-00007D6F0000}"/>
    <cellStyle name="Normal 28 5 2 3 2 2 3" xfId="43039" xr:uid="{00000000-0005-0000-0000-00007E6F0000}"/>
    <cellStyle name="Normal 28 5 2 3 2 3" xfId="22687" xr:uid="{00000000-0005-0000-0000-00007F6F0000}"/>
    <cellStyle name="Normal 28 5 2 3 2 3 2" xfId="49820" xr:uid="{00000000-0005-0000-0000-0000806F0000}"/>
    <cellStyle name="Normal 28 5 2 3 2 4" xfId="36258" xr:uid="{00000000-0005-0000-0000-0000816F0000}"/>
    <cellStyle name="Normal 28 5 2 3 3" xfId="12511" xr:uid="{00000000-0005-0000-0000-0000826F0000}"/>
    <cellStyle name="Normal 28 5 2 3 3 2" xfId="26079" xr:uid="{00000000-0005-0000-0000-0000836F0000}"/>
    <cellStyle name="Normal 28 5 2 3 3 2 2" xfId="53212" xr:uid="{00000000-0005-0000-0000-0000846F0000}"/>
    <cellStyle name="Normal 28 5 2 3 3 3" xfId="39650" xr:uid="{00000000-0005-0000-0000-0000856F0000}"/>
    <cellStyle name="Normal 28 5 2 3 4" xfId="19298" xr:uid="{00000000-0005-0000-0000-0000866F0000}"/>
    <cellStyle name="Normal 28 5 2 3 4 2" xfId="46431" xr:uid="{00000000-0005-0000-0000-0000876F0000}"/>
    <cellStyle name="Normal 28 5 2 3 5" xfId="32869" xr:uid="{00000000-0005-0000-0000-0000886F0000}"/>
    <cellStyle name="Normal 28 5 2 4" xfId="9108" xr:uid="{00000000-0005-0000-0000-0000896F0000}"/>
    <cellStyle name="Normal 28 5 2 4 2" xfId="15898" xr:uid="{00000000-0005-0000-0000-00008A6F0000}"/>
    <cellStyle name="Normal 28 5 2 4 2 2" xfId="29466" xr:uid="{00000000-0005-0000-0000-00008B6F0000}"/>
    <cellStyle name="Normal 28 5 2 4 2 2 2" xfId="56599" xr:uid="{00000000-0005-0000-0000-00008C6F0000}"/>
    <cellStyle name="Normal 28 5 2 4 2 3" xfId="43037" xr:uid="{00000000-0005-0000-0000-00008D6F0000}"/>
    <cellStyle name="Normal 28 5 2 4 3" xfId="22685" xr:uid="{00000000-0005-0000-0000-00008E6F0000}"/>
    <cellStyle name="Normal 28 5 2 4 3 2" xfId="49818" xr:uid="{00000000-0005-0000-0000-00008F6F0000}"/>
    <cellStyle name="Normal 28 5 2 4 4" xfId="36256" xr:uid="{00000000-0005-0000-0000-0000906F0000}"/>
    <cellStyle name="Normal 28 5 2 5" xfId="12509" xr:uid="{00000000-0005-0000-0000-0000916F0000}"/>
    <cellStyle name="Normal 28 5 2 5 2" xfId="26077" xr:uid="{00000000-0005-0000-0000-0000926F0000}"/>
    <cellStyle name="Normal 28 5 2 5 2 2" xfId="53210" xr:uid="{00000000-0005-0000-0000-0000936F0000}"/>
    <cellStyle name="Normal 28 5 2 5 3" xfId="39648" xr:uid="{00000000-0005-0000-0000-0000946F0000}"/>
    <cellStyle name="Normal 28 5 2 6" xfId="19296" xr:uid="{00000000-0005-0000-0000-0000956F0000}"/>
    <cellStyle name="Normal 28 5 2 6 2" xfId="46429" xr:uid="{00000000-0005-0000-0000-0000966F0000}"/>
    <cellStyle name="Normal 28 5 2 7" xfId="32867" xr:uid="{00000000-0005-0000-0000-0000976F0000}"/>
    <cellStyle name="Normal 28 5 3" xfId="5566" xr:uid="{00000000-0005-0000-0000-0000986F0000}"/>
    <cellStyle name="Normal 28 5 3 2" xfId="9111" xr:uid="{00000000-0005-0000-0000-0000996F0000}"/>
    <cellStyle name="Normal 28 5 3 2 2" xfId="15901" xr:uid="{00000000-0005-0000-0000-00009A6F0000}"/>
    <cellStyle name="Normal 28 5 3 2 2 2" xfId="29469" xr:uid="{00000000-0005-0000-0000-00009B6F0000}"/>
    <cellStyle name="Normal 28 5 3 2 2 2 2" xfId="56602" xr:uid="{00000000-0005-0000-0000-00009C6F0000}"/>
    <cellStyle name="Normal 28 5 3 2 2 3" xfId="43040" xr:uid="{00000000-0005-0000-0000-00009D6F0000}"/>
    <cellStyle name="Normal 28 5 3 2 3" xfId="22688" xr:uid="{00000000-0005-0000-0000-00009E6F0000}"/>
    <cellStyle name="Normal 28 5 3 2 3 2" xfId="49821" xr:uid="{00000000-0005-0000-0000-00009F6F0000}"/>
    <cellStyle name="Normal 28 5 3 2 4" xfId="36259" xr:uid="{00000000-0005-0000-0000-0000A06F0000}"/>
    <cellStyle name="Normal 28 5 3 3" xfId="12512" xr:uid="{00000000-0005-0000-0000-0000A16F0000}"/>
    <cellStyle name="Normal 28 5 3 3 2" xfId="26080" xr:uid="{00000000-0005-0000-0000-0000A26F0000}"/>
    <cellStyle name="Normal 28 5 3 3 2 2" xfId="53213" xr:uid="{00000000-0005-0000-0000-0000A36F0000}"/>
    <cellStyle name="Normal 28 5 3 3 3" xfId="39651" xr:uid="{00000000-0005-0000-0000-0000A46F0000}"/>
    <cellStyle name="Normal 28 5 3 4" xfId="19299" xr:uid="{00000000-0005-0000-0000-0000A56F0000}"/>
    <cellStyle name="Normal 28 5 3 4 2" xfId="46432" xr:uid="{00000000-0005-0000-0000-0000A66F0000}"/>
    <cellStyle name="Normal 28 5 3 5" xfId="32870" xr:uid="{00000000-0005-0000-0000-0000A76F0000}"/>
    <cellStyle name="Normal 28 5 4" xfId="5567" xr:uid="{00000000-0005-0000-0000-0000A86F0000}"/>
    <cellStyle name="Normal 28 5 4 2" xfId="9112" xr:uid="{00000000-0005-0000-0000-0000A96F0000}"/>
    <cellStyle name="Normal 28 5 4 2 2" xfId="15902" xr:uid="{00000000-0005-0000-0000-0000AA6F0000}"/>
    <cellStyle name="Normal 28 5 4 2 2 2" xfId="29470" xr:uid="{00000000-0005-0000-0000-0000AB6F0000}"/>
    <cellStyle name="Normal 28 5 4 2 2 2 2" xfId="56603" xr:uid="{00000000-0005-0000-0000-0000AC6F0000}"/>
    <cellStyle name="Normal 28 5 4 2 2 3" xfId="43041" xr:uid="{00000000-0005-0000-0000-0000AD6F0000}"/>
    <cellStyle name="Normal 28 5 4 2 3" xfId="22689" xr:uid="{00000000-0005-0000-0000-0000AE6F0000}"/>
    <cellStyle name="Normal 28 5 4 2 3 2" xfId="49822" xr:uid="{00000000-0005-0000-0000-0000AF6F0000}"/>
    <cellStyle name="Normal 28 5 4 2 4" xfId="36260" xr:uid="{00000000-0005-0000-0000-0000B06F0000}"/>
    <cellStyle name="Normal 28 5 4 3" xfId="12513" xr:uid="{00000000-0005-0000-0000-0000B16F0000}"/>
    <cellStyle name="Normal 28 5 4 3 2" xfId="26081" xr:uid="{00000000-0005-0000-0000-0000B26F0000}"/>
    <cellStyle name="Normal 28 5 4 3 2 2" xfId="53214" xr:uid="{00000000-0005-0000-0000-0000B36F0000}"/>
    <cellStyle name="Normal 28 5 4 3 3" xfId="39652" xr:uid="{00000000-0005-0000-0000-0000B46F0000}"/>
    <cellStyle name="Normal 28 5 4 4" xfId="19300" xr:uid="{00000000-0005-0000-0000-0000B56F0000}"/>
    <cellStyle name="Normal 28 5 4 4 2" xfId="46433" xr:uid="{00000000-0005-0000-0000-0000B66F0000}"/>
    <cellStyle name="Normal 28 5 4 5" xfId="32871" xr:uid="{00000000-0005-0000-0000-0000B76F0000}"/>
    <cellStyle name="Normal 28 5 5" xfId="9107" xr:uid="{00000000-0005-0000-0000-0000B86F0000}"/>
    <cellStyle name="Normal 28 5 5 2" xfId="15897" xr:uid="{00000000-0005-0000-0000-0000B96F0000}"/>
    <cellStyle name="Normal 28 5 5 2 2" xfId="29465" xr:uid="{00000000-0005-0000-0000-0000BA6F0000}"/>
    <cellStyle name="Normal 28 5 5 2 2 2" xfId="56598" xr:uid="{00000000-0005-0000-0000-0000BB6F0000}"/>
    <cellStyle name="Normal 28 5 5 2 3" xfId="43036" xr:uid="{00000000-0005-0000-0000-0000BC6F0000}"/>
    <cellStyle name="Normal 28 5 5 3" xfId="22684" xr:uid="{00000000-0005-0000-0000-0000BD6F0000}"/>
    <cellStyle name="Normal 28 5 5 3 2" xfId="49817" xr:uid="{00000000-0005-0000-0000-0000BE6F0000}"/>
    <cellStyle name="Normal 28 5 5 4" xfId="36255" xr:uid="{00000000-0005-0000-0000-0000BF6F0000}"/>
    <cellStyle name="Normal 28 5 6" xfId="12508" xr:uid="{00000000-0005-0000-0000-0000C06F0000}"/>
    <cellStyle name="Normal 28 5 6 2" xfId="26076" xr:uid="{00000000-0005-0000-0000-0000C16F0000}"/>
    <cellStyle name="Normal 28 5 6 2 2" xfId="53209" xr:uid="{00000000-0005-0000-0000-0000C26F0000}"/>
    <cellStyle name="Normal 28 5 6 3" xfId="39647" xr:uid="{00000000-0005-0000-0000-0000C36F0000}"/>
    <cellStyle name="Normal 28 5 7" xfId="19295" xr:uid="{00000000-0005-0000-0000-0000C46F0000}"/>
    <cellStyle name="Normal 28 5 7 2" xfId="46428" xr:uid="{00000000-0005-0000-0000-0000C56F0000}"/>
    <cellStyle name="Normal 28 5 8" xfId="32866" xr:uid="{00000000-0005-0000-0000-0000C66F0000}"/>
    <cellStyle name="Normal 28 6" xfId="5568" xr:uid="{00000000-0005-0000-0000-0000C76F0000}"/>
    <cellStyle name="Normal 28 6 2" xfId="5569" xr:uid="{00000000-0005-0000-0000-0000C86F0000}"/>
    <cellStyle name="Normal 28 6 2 2" xfId="9114" xr:uid="{00000000-0005-0000-0000-0000C96F0000}"/>
    <cellStyle name="Normal 28 6 2 2 2" xfId="15904" xr:uid="{00000000-0005-0000-0000-0000CA6F0000}"/>
    <cellStyle name="Normal 28 6 2 2 2 2" xfId="29472" xr:uid="{00000000-0005-0000-0000-0000CB6F0000}"/>
    <cellStyle name="Normal 28 6 2 2 2 2 2" xfId="56605" xr:uid="{00000000-0005-0000-0000-0000CC6F0000}"/>
    <cellStyle name="Normal 28 6 2 2 2 3" xfId="43043" xr:uid="{00000000-0005-0000-0000-0000CD6F0000}"/>
    <cellStyle name="Normal 28 6 2 2 3" xfId="22691" xr:uid="{00000000-0005-0000-0000-0000CE6F0000}"/>
    <cellStyle name="Normal 28 6 2 2 3 2" xfId="49824" xr:uid="{00000000-0005-0000-0000-0000CF6F0000}"/>
    <cellStyle name="Normal 28 6 2 2 4" xfId="36262" xr:uid="{00000000-0005-0000-0000-0000D06F0000}"/>
    <cellStyle name="Normal 28 6 2 3" xfId="12515" xr:uid="{00000000-0005-0000-0000-0000D16F0000}"/>
    <cellStyle name="Normal 28 6 2 3 2" xfId="26083" xr:uid="{00000000-0005-0000-0000-0000D26F0000}"/>
    <cellStyle name="Normal 28 6 2 3 2 2" xfId="53216" xr:uid="{00000000-0005-0000-0000-0000D36F0000}"/>
    <cellStyle name="Normal 28 6 2 3 3" xfId="39654" xr:uid="{00000000-0005-0000-0000-0000D46F0000}"/>
    <cellStyle name="Normal 28 6 2 4" xfId="19302" xr:uid="{00000000-0005-0000-0000-0000D56F0000}"/>
    <cellStyle name="Normal 28 6 2 4 2" xfId="46435" xr:uid="{00000000-0005-0000-0000-0000D66F0000}"/>
    <cellStyle name="Normal 28 6 2 5" xfId="32873" xr:uid="{00000000-0005-0000-0000-0000D76F0000}"/>
    <cellStyle name="Normal 28 6 3" xfId="5570" xr:uid="{00000000-0005-0000-0000-0000D86F0000}"/>
    <cellStyle name="Normal 28 6 4" xfId="9113" xr:uid="{00000000-0005-0000-0000-0000D96F0000}"/>
    <cellStyle name="Normal 28 6 4 2" xfId="15903" xr:uid="{00000000-0005-0000-0000-0000DA6F0000}"/>
    <cellStyle name="Normal 28 6 4 2 2" xfId="29471" xr:uid="{00000000-0005-0000-0000-0000DB6F0000}"/>
    <cellStyle name="Normal 28 6 4 2 2 2" xfId="56604" xr:uid="{00000000-0005-0000-0000-0000DC6F0000}"/>
    <cellStyle name="Normal 28 6 4 2 3" xfId="43042" xr:uid="{00000000-0005-0000-0000-0000DD6F0000}"/>
    <cellStyle name="Normal 28 6 4 3" xfId="22690" xr:uid="{00000000-0005-0000-0000-0000DE6F0000}"/>
    <cellStyle name="Normal 28 6 4 3 2" xfId="49823" xr:uid="{00000000-0005-0000-0000-0000DF6F0000}"/>
    <cellStyle name="Normal 28 6 4 4" xfId="36261" xr:uid="{00000000-0005-0000-0000-0000E06F0000}"/>
    <cellStyle name="Normal 28 6 5" xfId="12514" xr:uid="{00000000-0005-0000-0000-0000E16F0000}"/>
    <cellStyle name="Normal 28 6 5 2" xfId="26082" xr:uid="{00000000-0005-0000-0000-0000E26F0000}"/>
    <cellStyle name="Normal 28 6 5 2 2" xfId="53215" xr:uid="{00000000-0005-0000-0000-0000E36F0000}"/>
    <cellStyle name="Normal 28 6 5 3" xfId="39653" xr:uid="{00000000-0005-0000-0000-0000E46F0000}"/>
    <cellStyle name="Normal 28 6 6" xfId="19301" xr:uid="{00000000-0005-0000-0000-0000E56F0000}"/>
    <cellStyle name="Normal 28 6 6 2" xfId="46434" xr:uid="{00000000-0005-0000-0000-0000E66F0000}"/>
    <cellStyle name="Normal 28 6 7" xfId="32872" xr:uid="{00000000-0005-0000-0000-0000E76F0000}"/>
    <cellStyle name="Normal 28 7" xfId="5571" xr:uid="{00000000-0005-0000-0000-0000E86F0000}"/>
    <cellStyle name="Normal 28 7 2" xfId="9115" xr:uid="{00000000-0005-0000-0000-0000E96F0000}"/>
    <cellStyle name="Normal 28 7 2 2" xfId="15905" xr:uid="{00000000-0005-0000-0000-0000EA6F0000}"/>
    <cellStyle name="Normal 28 7 2 2 2" xfId="29473" xr:uid="{00000000-0005-0000-0000-0000EB6F0000}"/>
    <cellStyle name="Normal 28 7 2 2 2 2" xfId="56606" xr:uid="{00000000-0005-0000-0000-0000EC6F0000}"/>
    <cellStyle name="Normal 28 7 2 2 3" xfId="43044" xr:uid="{00000000-0005-0000-0000-0000ED6F0000}"/>
    <cellStyle name="Normal 28 7 2 3" xfId="22692" xr:uid="{00000000-0005-0000-0000-0000EE6F0000}"/>
    <cellStyle name="Normal 28 7 2 3 2" xfId="49825" xr:uid="{00000000-0005-0000-0000-0000EF6F0000}"/>
    <cellStyle name="Normal 28 7 2 4" xfId="36263" xr:uid="{00000000-0005-0000-0000-0000F06F0000}"/>
    <cellStyle name="Normal 28 7 3" xfId="12516" xr:uid="{00000000-0005-0000-0000-0000F16F0000}"/>
    <cellStyle name="Normal 28 7 3 2" xfId="26084" xr:uid="{00000000-0005-0000-0000-0000F26F0000}"/>
    <cellStyle name="Normal 28 7 3 2 2" xfId="53217" xr:uid="{00000000-0005-0000-0000-0000F36F0000}"/>
    <cellStyle name="Normal 28 7 3 3" xfId="39655" xr:uid="{00000000-0005-0000-0000-0000F46F0000}"/>
    <cellStyle name="Normal 28 7 4" xfId="19303" xr:uid="{00000000-0005-0000-0000-0000F56F0000}"/>
    <cellStyle name="Normal 28 7 4 2" xfId="46436" xr:uid="{00000000-0005-0000-0000-0000F66F0000}"/>
    <cellStyle name="Normal 28 7 5" xfId="32874" xr:uid="{00000000-0005-0000-0000-0000F76F0000}"/>
    <cellStyle name="Normal 28 8" xfId="5572" xr:uid="{00000000-0005-0000-0000-0000F86F0000}"/>
    <cellStyle name="Normal 28 8 2" xfId="9116" xr:uid="{00000000-0005-0000-0000-0000F96F0000}"/>
    <cellStyle name="Normal 28 8 2 2" xfId="15906" xr:uid="{00000000-0005-0000-0000-0000FA6F0000}"/>
    <cellStyle name="Normal 28 8 2 2 2" xfId="29474" xr:uid="{00000000-0005-0000-0000-0000FB6F0000}"/>
    <cellStyle name="Normal 28 8 2 2 2 2" xfId="56607" xr:uid="{00000000-0005-0000-0000-0000FC6F0000}"/>
    <cellStyle name="Normal 28 8 2 2 3" xfId="43045" xr:uid="{00000000-0005-0000-0000-0000FD6F0000}"/>
    <cellStyle name="Normal 28 8 2 3" xfId="22693" xr:uid="{00000000-0005-0000-0000-0000FE6F0000}"/>
    <cellStyle name="Normal 28 8 2 3 2" xfId="49826" xr:uid="{00000000-0005-0000-0000-0000FF6F0000}"/>
    <cellStyle name="Normal 28 8 2 4" xfId="36264" xr:uid="{00000000-0005-0000-0000-000000700000}"/>
    <cellStyle name="Normal 28 8 3" xfId="12517" xr:uid="{00000000-0005-0000-0000-000001700000}"/>
    <cellStyle name="Normal 28 8 3 2" xfId="26085" xr:uid="{00000000-0005-0000-0000-000002700000}"/>
    <cellStyle name="Normal 28 8 3 2 2" xfId="53218" xr:uid="{00000000-0005-0000-0000-000003700000}"/>
    <cellStyle name="Normal 28 8 3 3" xfId="39656" xr:uid="{00000000-0005-0000-0000-000004700000}"/>
    <cellStyle name="Normal 28 8 4" xfId="19304" xr:uid="{00000000-0005-0000-0000-000005700000}"/>
    <cellStyle name="Normal 28 8 4 2" xfId="46437" xr:uid="{00000000-0005-0000-0000-000006700000}"/>
    <cellStyle name="Normal 28 8 5" xfId="32875" xr:uid="{00000000-0005-0000-0000-000007700000}"/>
    <cellStyle name="Normal 29" xfId="2660" xr:uid="{00000000-0005-0000-0000-000008700000}"/>
    <cellStyle name="Normal 29 2" xfId="5573" xr:uid="{00000000-0005-0000-0000-000009700000}"/>
    <cellStyle name="Normal 29 2 2" xfId="5574" xr:uid="{00000000-0005-0000-0000-00000A700000}"/>
    <cellStyle name="Normal 29 2 2 2" xfId="5575" xr:uid="{00000000-0005-0000-0000-00000B700000}"/>
    <cellStyle name="Normal 29 2 2 2 2" xfId="9119" xr:uid="{00000000-0005-0000-0000-00000C700000}"/>
    <cellStyle name="Normal 29 2 2 2 2 2" xfId="15909" xr:uid="{00000000-0005-0000-0000-00000D700000}"/>
    <cellStyle name="Normal 29 2 2 2 2 2 2" xfId="29477" xr:uid="{00000000-0005-0000-0000-00000E700000}"/>
    <cellStyle name="Normal 29 2 2 2 2 2 2 2" xfId="56610" xr:uid="{00000000-0005-0000-0000-00000F700000}"/>
    <cellStyle name="Normal 29 2 2 2 2 2 3" xfId="43048" xr:uid="{00000000-0005-0000-0000-000010700000}"/>
    <cellStyle name="Normal 29 2 2 2 2 3" xfId="22696" xr:uid="{00000000-0005-0000-0000-000011700000}"/>
    <cellStyle name="Normal 29 2 2 2 2 3 2" xfId="49829" xr:uid="{00000000-0005-0000-0000-000012700000}"/>
    <cellStyle name="Normal 29 2 2 2 2 4" xfId="36267" xr:uid="{00000000-0005-0000-0000-000013700000}"/>
    <cellStyle name="Normal 29 2 2 2 3" xfId="12520" xr:uid="{00000000-0005-0000-0000-000014700000}"/>
    <cellStyle name="Normal 29 2 2 2 3 2" xfId="26088" xr:uid="{00000000-0005-0000-0000-000015700000}"/>
    <cellStyle name="Normal 29 2 2 2 3 2 2" xfId="53221" xr:uid="{00000000-0005-0000-0000-000016700000}"/>
    <cellStyle name="Normal 29 2 2 2 3 3" xfId="39659" xr:uid="{00000000-0005-0000-0000-000017700000}"/>
    <cellStyle name="Normal 29 2 2 2 4" xfId="19307" xr:uid="{00000000-0005-0000-0000-000018700000}"/>
    <cellStyle name="Normal 29 2 2 2 4 2" xfId="46440" xr:uid="{00000000-0005-0000-0000-000019700000}"/>
    <cellStyle name="Normal 29 2 2 2 5" xfId="32878" xr:uid="{00000000-0005-0000-0000-00001A700000}"/>
    <cellStyle name="Normal 29 2 2 3" xfId="5576" xr:uid="{00000000-0005-0000-0000-00001B700000}"/>
    <cellStyle name="Normal 29 2 2 3 2" xfId="9120" xr:uid="{00000000-0005-0000-0000-00001C700000}"/>
    <cellStyle name="Normal 29 2 2 3 2 2" xfId="15910" xr:uid="{00000000-0005-0000-0000-00001D700000}"/>
    <cellStyle name="Normal 29 2 2 3 2 2 2" xfId="29478" xr:uid="{00000000-0005-0000-0000-00001E700000}"/>
    <cellStyle name="Normal 29 2 2 3 2 2 2 2" xfId="56611" xr:uid="{00000000-0005-0000-0000-00001F700000}"/>
    <cellStyle name="Normal 29 2 2 3 2 2 3" xfId="43049" xr:uid="{00000000-0005-0000-0000-000020700000}"/>
    <cellStyle name="Normal 29 2 2 3 2 3" xfId="22697" xr:uid="{00000000-0005-0000-0000-000021700000}"/>
    <cellStyle name="Normal 29 2 2 3 2 3 2" xfId="49830" xr:uid="{00000000-0005-0000-0000-000022700000}"/>
    <cellStyle name="Normal 29 2 2 3 2 4" xfId="36268" xr:uid="{00000000-0005-0000-0000-000023700000}"/>
    <cellStyle name="Normal 29 2 2 3 3" xfId="12521" xr:uid="{00000000-0005-0000-0000-000024700000}"/>
    <cellStyle name="Normal 29 2 2 3 3 2" xfId="26089" xr:uid="{00000000-0005-0000-0000-000025700000}"/>
    <cellStyle name="Normal 29 2 2 3 3 2 2" xfId="53222" xr:uid="{00000000-0005-0000-0000-000026700000}"/>
    <cellStyle name="Normal 29 2 2 3 3 3" xfId="39660" xr:uid="{00000000-0005-0000-0000-000027700000}"/>
    <cellStyle name="Normal 29 2 2 3 4" xfId="19308" xr:uid="{00000000-0005-0000-0000-000028700000}"/>
    <cellStyle name="Normal 29 2 2 3 4 2" xfId="46441" xr:uid="{00000000-0005-0000-0000-000029700000}"/>
    <cellStyle name="Normal 29 2 2 3 5" xfId="32879" xr:uid="{00000000-0005-0000-0000-00002A700000}"/>
    <cellStyle name="Normal 29 2 2 4" xfId="9118" xr:uid="{00000000-0005-0000-0000-00002B700000}"/>
    <cellStyle name="Normal 29 2 2 4 2" xfId="15908" xr:uid="{00000000-0005-0000-0000-00002C700000}"/>
    <cellStyle name="Normal 29 2 2 4 2 2" xfId="29476" xr:uid="{00000000-0005-0000-0000-00002D700000}"/>
    <cellStyle name="Normal 29 2 2 4 2 2 2" xfId="56609" xr:uid="{00000000-0005-0000-0000-00002E700000}"/>
    <cellStyle name="Normal 29 2 2 4 2 3" xfId="43047" xr:uid="{00000000-0005-0000-0000-00002F700000}"/>
    <cellStyle name="Normal 29 2 2 4 3" xfId="22695" xr:uid="{00000000-0005-0000-0000-000030700000}"/>
    <cellStyle name="Normal 29 2 2 4 3 2" xfId="49828" xr:uid="{00000000-0005-0000-0000-000031700000}"/>
    <cellStyle name="Normal 29 2 2 4 4" xfId="36266" xr:uid="{00000000-0005-0000-0000-000032700000}"/>
    <cellStyle name="Normal 29 2 2 5" xfId="12519" xr:uid="{00000000-0005-0000-0000-000033700000}"/>
    <cellStyle name="Normal 29 2 2 5 2" xfId="26087" xr:uid="{00000000-0005-0000-0000-000034700000}"/>
    <cellStyle name="Normal 29 2 2 5 2 2" xfId="53220" xr:uid="{00000000-0005-0000-0000-000035700000}"/>
    <cellStyle name="Normal 29 2 2 5 3" xfId="39658" xr:uid="{00000000-0005-0000-0000-000036700000}"/>
    <cellStyle name="Normal 29 2 2 6" xfId="19306" xr:uid="{00000000-0005-0000-0000-000037700000}"/>
    <cellStyle name="Normal 29 2 2 6 2" xfId="46439" xr:uid="{00000000-0005-0000-0000-000038700000}"/>
    <cellStyle name="Normal 29 2 2 7" xfId="32877" xr:uid="{00000000-0005-0000-0000-000039700000}"/>
    <cellStyle name="Normal 29 2 3" xfId="5577" xr:uid="{00000000-0005-0000-0000-00003A700000}"/>
    <cellStyle name="Normal 29 2 3 2" xfId="5578" xr:uid="{00000000-0005-0000-0000-00003B700000}"/>
    <cellStyle name="Normal 29 2 3 2 2" xfId="9122" xr:uid="{00000000-0005-0000-0000-00003C700000}"/>
    <cellStyle name="Normal 29 2 3 2 2 2" xfId="15912" xr:uid="{00000000-0005-0000-0000-00003D700000}"/>
    <cellStyle name="Normal 29 2 3 2 2 2 2" xfId="29480" xr:uid="{00000000-0005-0000-0000-00003E700000}"/>
    <cellStyle name="Normal 29 2 3 2 2 2 2 2" xfId="56613" xr:uid="{00000000-0005-0000-0000-00003F700000}"/>
    <cellStyle name="Normal 29 2 3 2 2 2 3" xfId="43051" xr:uid="{00000000-0005-0000-0000-000040700000}"/>
    <cellStyle name="Normal 29 2 3 2 2 3" xfId="22699" xr:uid="{00000000-0005-0000-0000-000041700000}"/>
    <cellStyle name="Normal 29 2 3 2 2 3 2" xfId="49832" xr:uid="{00000000-0005-0000-0000-000042700000}"/>
    <cellStyle name="Normal 29 2 3 2 2 4" xfId="36270" xr:uid="{00000000-0005-0000-0000-000043700000}"/>
    <cellStyle name="Normal 29 2 3 2 3" xfId="12523" xr:uid="{00000000-0005-0000-0000-000044700000}"/>
    <cellStyle name="Normal 29 2 3 2 3 2" xfId="26091" xr:uid="{00000000-0005-0000-0000-000045700000}"/>
    <cellStyle name="Normal 29 2 3 2 3 2 2" xfId="53224" xr:uid="{00000000-0005-0000-0000-000046700000}"/>
    <cellStyle name="Normal 29 2 3 2 3 3" xfId="39662" xr:uid="{00000000-0005-0000-0000-000047700000}"/>
    <cellStyle name="Normal 29 2 3 2 4" xfId="19310" xr:uid="{00000000-0005-0000-0000-000048700000}"/>
    <cellStyle name="Normal 29 2 3 2 4 2" xfId="46443" xr:uid="{00000000-0005-0000-0000-000049700000}"/>
    <cellStyle name="Normal 29 2 3 2 5" xfId="32881" xr:uid="{00000000-0005-0000-0000-00004A700000}"/>
    <cellStyle name="Normal 29 2 3 3" xfId="9121" xr:uid="{00000000-0005-0000-0000-00004B700000}"/>
    <cellStyle name="Normal 29 2 3 3 2" xfId="15911" xr:uid="{00000000-0005-0000-0000-00004C700000}"/>
    <cellStyle name="Normal 29 2 3 3 2 2" xfId="29479" xr:uid="{00000000-0005-0000-0000-00004D700000}"/>
    <cellStyle name="Normal 29 2 3 3 2 2 2" xfId="56612" xr:uid="{00000000-0005-0000-0000-00004E700000}"/>
    <cellStyle name="Normal 29 2 3 3 2 3" xfId="43050" xr:uid="{00000000-0005-0000-0000-00004F700000}"/>
    <cellStyle name="Normal 29 2 3 3 3" xfId="22698" xr:uid="{00000000-0005-0000-0000-000050700000}"/>
    <cellStyle name="Normal 29 2 3 3 3 2" xfId="49831" xr:uid="{00000000-0005-0000-0000-000051700000}"/>
    <cellStyle name="Normal 29 2 3 3 4" xfId="36269" xr:uid="{00000000-0005-0000-0000-000052700000}"/>
    <cellStyle name="Normal 29 2 3 4" xfId="12522" xr:uid="{00000000-0005-0000-0000-000053700000}"/>
    <cellStyle name="Normal 29 2 3 4 2" xfId="26090" xr:uid="{00000000-0005-0000-0000-000054700000}"/>
    <cellStyle name="Normal 29 2 3 4 2 2" xfId="53223" xr:uid="{00000000-0005-0000-0000-000055700000}"/>
    <cellStyle name="Normal 29 2 3 4 3" xfId="39661" xr:uid="{00000000-0005-0000-0000-000056700000}"/>
    <cellStyle name="Normal 29 2 3 5" xfId="19309" xr:uid="{00000000-0005-0000-0000-000057700000}"/>
    <cellStyle name="Normal 29 2 3 5 2" xfId="46442" xr:uid="{00000000-0005-0000-0000-000058700000}"/>
    <cellStyle name="Normal 29 2 3 6" xfId="32880" xr:uid="{00000000-0005-0000-0000-000059700000}"/>
    <cellStyle name="Normal 29 2 4" xfId="5579" xr:uid="{00000000-0005-0000-0000-00005A700000}"/>
    <cellStyle name="Normal 29 2 4 2" xfId="9123" xr:uid="{00000000-0005-0000-0000-00005B700000}"/>
    <cellStyle name="Normal 29 2 4 2 2" xfId="15913" xr:uid="{00000000-0005-0000-0000-00005C700000}"/>
    <cellStyle name="Normal 29 2 4 2 2 2" xfId="29481" xr:uid="{00000000-0005-0000-0000-00005D700000}"/>
    <cellStyle name="Normal 29 2 4 2 2 2 2" xfId="56614" xr:uid="{00000000-0005-0000-0000-00005E700000}"/>
    <cellStyle name="Normal 29 2 4 2 2 3" xfId="43052" xr:uid="{00000000-0005-0000-0000-00005F700000}"/>
    <cellStyle name="Normal 29 2 4 2 3" xfId="22700" xr:uid="{00000000-0005-0000-0000-000060700000}"/>
    <cellStyle name="Normal 29 2 4 2 3 2" xfId="49833" xr:uid="{00000000-0005-0000-0000-000061700000}"/>
    <cellStyle name="Normal 29 2 4 2 4" xfId="36271" xr:uid="{00000000-0005-0000-0000-000062700000}"/>
    <cellStyle name="Normal 29 2 4 3" xfId="12524" xr:uid="{00000000-0005-0000-0000-000063700000}"/>
    <cellStyle name="Normal 29 2 4 3 2" xfId="26092" xr:uid="{00000000-0005-0000-0000-000064700000}"/>
    <cellStyle name="Normal 29 2 4 3 2 2" xfId="53225" xr:uid="{00000000-0005-0000-0000-000065700000}"/>
    <cellStyle name="Normal 29 2 4 3 3" xfId="39663" xr:uid="{00000000-0005-0000-0000-000066700000}"/>
    <cellStyle name="Normal 29 2 4 4" xfId="19311" xr:uid="{00000000-0005-0000-0000-000067700000}"/>
    <cellStyle name="Normal 29 2 4 4 2" xfId="46444" xr:uid="{00000000-0005-0000-0000-000068700000}"/>
    <cellStyle name="Normal 29 2 4 5" xfId="32882" xr:uid="{00000000-0005-0000-0000-000069700000}"/>
    <cellStyle name="Normal 29 2 5" xfId="5580" xr:uid="{00000000-0005-0000-0000-00006A700000}"/>
    <cellStyle name="Normal 29 2 5 2" xfId="9124" xr:uid="{00000000-0005-0000-0000-00006B700000}"/>
    <cellStyle name="Normal 29 2 5 2 2" xfId="15914" xr:uid="{00000000-0005-0000-0000-00006C700000}"/>
    <cellStyle name="Normal 29 2 5 2 2 2" xfId="29482" xr:uid="{00000000-0005-0000-0000-00006D700000}"/>
    <cellStyle name="Normal 29 2 5 2 2 2 2" xfId="56615" xr:uid="{00000000-0005-0000-0000-00006E700000}"/>
    <cellStyle name="Normal 29 2 5 2 2 3" xfId="43053" xr:uid="{00000000-0005-0000-0000-00006F700000}"/>
    <cellStyle name="Normal 29 2 5 2 3" xfId="22701" xr:uid="{00000000-0005-0000-0000-000070700000}"/>
    <cellStyle name="Normal 29 2 5 2 3 2" xfId="49834" xr:uid="{00000000-0005-0000-0000-000071700000}"/>
    <cellStyle name="Normal 29 2 5 2 4" xfId="36272" xr:uid="{00000000-0005-0000-0000-000072700000}"/>
    <cellStyle name="Normal 29 2 5 3" xfId="12525" xr:uid="{00000000-0005-0000-0000-000073700000}"/>
    <cellStyle name="Normal 29 2 5 3 2" xfId="26093" xr:uid="{00000000-0005-0000-0000-000074700000}"/>
    <cellStyle name="Normal 29 2 5 3 2 2" xfId="53226" xr:uid="{00000000-0005-0000-0000-000075700000}"/>
    <cellStyle name="Normal 29 2 5 3 3" xfId="39664" xr:uid="{00000000-0005-0000-0000-000076700000}"/>
    <cellStyle name="Normal 29 2 5 4" xfId="19312" xr:uid="{00000000-0005-0000-0000-000077700000}"/>
    <cellStyle name="Normal 29 2 5 4 2" xfId="46445" xr:uid="{00000000-0005-0000-0000-000078700000}"/>
    <cellStyle name="Normal 29 2 5 5" xfId="32883" xr:uid="{00000000-0005-0000-0000-000079700000}"/>
    <cellStyle name="Normal 29 2 6" xfId="9117" xr:uid="{00000000-0005-0000-0000-00007A700000}"/>
    <cellStyle name="Normal 29 2 6 2" xfId="15907" xr:uid="{00000000-0005-0000-0000-00007B700000}"/>
    <cellStyle name="Normal 29 2 6 2 2" xfId="29475" xr:uid="{00000000-0005-0000-0000-00007C700000}"/>
    <cellStyle name="Normal 29 2 6 2 2 2" xfId="56608" xr:uid="{00000000-0005-0000-0000-00007D700000}"/>
    <cellStyle name="Normal 29 2 6 2 3" xfId="43046" xr:uid="{00000000-0005-0000-0000-00007E700000}"/>
    <cellStyle name="Normal 29 2 6 3" xfId="22694" xr:uid="{00000000-0005-0000-0000-00007F700000}"/>
    <cellStyle name="Normal 29 2 6 3 2" xfId="49827" xr:uid="{00000000-0005-0000-0000-000080700000}"/>
    <cellStyle name="Normal 29 2 6 4" xfId="36265" xr:uid="{00000000-0005-0000-0000-000081700000}"/>
    <cellStyle name="Normal 29 2 7" xfId="12518" xr:uid="{00000000-0005-0000-0000-000082700000}"/>
    <cellStyle name="Normal 29 2 7 2" xfId="26086" xr:uid="{00000000-0005-0000-0000-000083700000}"/>
    <cellStyle name="Normal 29 2 7 2 2" xfId="53219" xr:uid="{00000000-0005-0000-0000-000084700000}"/>
    <cellStyle name="Normal 29 2 7 3" xfId="39657" xr:uid="{00000000-0005-0000-0000-000085700000}"/>
    <cellStyle name="Normal 29 2 8" xfId="19305" xr:uid="{00000000-0005-0000-0000-000086700000}"/>
    <cellStyle name="Normal 29 2 8 2" xfId="46438" xr:uid="{00000000-0005-0000-0000-000087700000}"/>
    <cellStyle name="Normal 29 2 9" xfId="32876" xr:uid="{00000000-0005-0000-0000-000088700000}"/>
    <cellStyle name="Normal 29 3" xfId="5581" xr:uid="{00000000-0005-0000-0000-000089700000}"/>
    <cellStyle name="Normal 29 3 2" xfId="5582" xr:uid="{00000000-0005-0000-0000-00008A700000}"/>
    <cellStyle name="Normal 29 3 2 2" xfId="9126" xr:uid="{00000000-0005-0000-0000-00008B700000}"/>
    <cellStyle name="Normal 29 3 2 2 2" xfId="15916" xr:uid="{00000000-0005-0000-0000-00008C700000}"/>
    <cellStyle name="Normal 29 3 2 2 2 2" xfId="29484" xr:uid="{00000000-0005-0000-0000-00008D700000}"/>
    <cellStyle name="Normal 29 3 2 2 2 2 2" xfId="56617" xr:uid="{00000000-0005-0000-0000-00008E700000}"/>
    <cellStyle name="Normal 29 3 2 2 2 3" xfId="43055" xr:uid="{00000000-0005-0000-0000-00008F700000}"/>
    <cellStyle name="Normal 29 3 2 2 3" xfId="22703" xr:uid="{00000000-0005-0000-0000-000090700000}"/>
    <cellStyle name="Normal 29 3 2 2 3 2" xfId="49836" xr:uid="{00000000-0005-0000-0000-000091700000}"/>
    <cellStyle name="Normal 29 3 2 2 4" xfId="36274" xr:uid="{00000000-0005-0000-0000-000092700000}"/>
    <cellStyle name="Normal 29 3 2 3" xfId="12527" xr:uid="{00000000-0005-0000-0000-000093700000}"/>
    <cellStyle name="Normal 29 3 2 3 2" xfId="26095" xr:uid="{00000000-0005-0000-0000-000094700000}"/>
    <cellStyle name="Normal 29 3 2 3 2 2" xfId="53228" xr:uid="{00000000-0005-0000-0000-000095700000}"/>
    <cellStyle name="Normal 29 3 2 3 3" xfId="39666" xr:uid="{00000000-0005-0000-0000-000096700000}"/>
    <cellStyle name="Normal 29 3 2 4" xfId="19314" xr:uid="{00000000-0005-0000-0000-000097700000}"/>
    <cellStyle name="Normal 29 3 2 4 2" xfId="46447" xr:uid="{00000000-0005-0000-0000-000098700000}"/>
    <cellStyle name="Normal 29 3 2 5" xfId="32885" xr:uid="{00000000-0005-0000-0000-000099700000}"/>
    <cellStyle name="Normal 29 3 3" xfId="5583" xr:uid="{00000000-0005-0000-0000-00009A700000}"/>
    <cellStyle name="Normal 29 3 3 2" xfId="9127" xr:uid="{00000000-0005-0000-0000-00009B700000}"/>
    <cellStyle name="Normal 29 3 3 2 2" xfId="15917" xr:uid="{00000000-0005-0000-0000-00009C700000}"/>
    <cellStyle name="Normal 29 3 3 2 2 2" xfId="29485" xr:uid="{00000000-0005-0000-0000-00009D700000}"/>
    <cellStyle name="Normal 29 3 3 2 2 2 2" xfId="56618" xr:uid="{00000000-0005-0000-0000-00009E700000}"/>
    <cellStyle name="Normal 29 3 3 2 2 3" xfId="43056" xr:uid="{00000000-0005-0000-0000-00009F700000}"/>
    <cellStyle name="Normal 29 3 3 2 3" xfId="22704" xr:uid="{00000000-0005-0000-0000-0000A0700000}"/>
    <cellStyle name="Normal 29 3 3 2 3 2" xfId="49837" xr:uid="{00000000-0005-0000-0000-0000A1700000}"/>
    <cellStyle name="Normal 29 3 3 2 4" xfId="36275" xr:uid="{00000000-0005-0000-0000-0000A2700000}"/>
    <cellStyle name="Normal 29 3 3 3" xfId="12528" xr:uid="{00000000-0005-0000-0000-0000A3700000}"/>
    <cellStyle name="Normal 29 3 3 3 2" xfId="26096" xr:uid="{00000000-0005-0000-0000-0000A4700000}"/>
    <cellStyle name="Normal 29 3 3 3 2 2" xfId="53229" xr:uid="{00000000-0005-0000-0000-0000A5700000}"/>
    <cellStyle name="Normal 29 3 3 3 3" xfId="39667" xr:uid="{00000000-0005-0000-0000-0000A6700000}"/>
    <cellStyle name="Normal 29 3 3 4" xfId="19315" xr:uid="{00000000-0005-0000-0000-0000A7700000}"/>
    <cellStyle name="Normal 29 3 3 4 2" xfId="46448" xr:uid="{00000000-0005-0000-0000-0000A8700000}"/>
    <cellStyle name="Normal 29 3 3 5" xfId="32886" xr:uid="{00000000-0005-0000-0000-0000A9700000}"/>
    <cellStyle name="Normal 29 3 4" xfId="9125" xr:uid="{00000000-0005-0000-0000-0000AA700000}"/>
    <cellStyle name="Normal 29 3 4 2" xfId="15915" xr:uid="{00000000-0005-0000-0000-0000AB700000}"/>
    <cellStyle name="Normal 29 3 4 2 2" xfId="29483" xr:uid="{00000000-0005-0000-0000-0000AC700000}"/>
    <cellStyle name="Normal 29 3 4 2 2 2" xfId="56616" xr:uid="{00000000-0005-0000-0000-0000AD700000}"/>
    <cellStyle name="Normal 29 3 4 2 3" xfId="43054" xr:uid="{00000000-0005-0000-0000-0000AE700000}"/>
    <cellStyle name="Normal 29 3 4 3" xfId="22702" xr:uid="{00000000-0005-0000-0000-0000AF700000}"/>
    <cellStyle name="Normal 29 3 4 3 2" xfId="49835" xr:uid="{00000000-0005-0000-0000-0000B0700000}"/>
    <cellStyle name="Normal 29 3 4 4" xfId="36273" xr:uid="{00000000-0005-0000-0000-0000B1700000}"/>
    <cellStyle name="Normal 29 3 5" xfId="12526" xr:uid="{00000000-0005-0000-0000-0000B2700000}"/>
    <cellStyle name="Normal 29 3 5 2" xfId="26094" xr:uid="{00000000-0005-0000-0000-0000B3700000}"/>
    <cellStyle name="Normal 29 3 5 2 2" xfId="53227" xr:uid="{00000000-0005-0000-0000-0000B4700000}"/>
    <cellStyle name="Normal 29 3 5 3" xfId="39665" xr:uid="{00000000-0005-0000-0000-0000B5700000}"/>
    <cellStyle name="Normal 29 3 6" xfId="19313" xr:uid="{00000000-0005-0000-0000-0000B6700000}"/>
    <cellStyle name="Normal 29 3 6 2" xfId="46446" xr:uid="{00000000-0005-0000-0000-0000B7700000}"/>
    <cellStyle name="Normal 29 3 7" xfId="32884" xr:uid="{00000000-0005-0000-0000-0000B8700000}"/>
    <cellStyle name="Normal 29 4" xfId="5584" xr:uid="{00000000-0005-0000-0000-0000B9700000}"/>
    <cellStyle name="Normal 29 4 2" xfId="5585" xr:uid="{00000000-0005-0000-0000-0000BA700000}"/>
    <cellStyle name="Normal 29 4 2 2" xfId="9129" xr:uid="{00000000-0005-0000-0000-0000BB700000}"/>
    <cellStyle name="Normal 29 4 2 2 2" xfId="15919" xr:uid="{00000000-0005-0000-0000-0000BC700000}"/>
    <cellStyle name="Normal 29 4 2 2 2 2" xfId="29487" xr:uid="{00000000-0005-0000-0000-0000BD700000}"/>
    <cellStyle name="Normal 29 4 2 2 2 2 2" xfId="56620" xr:uid="{00000000-0005-0000-0000-0000BE700000}"/>
    <cellStyle name="Normal 29 4 2 2 2 3" xfId="43058" xr:uid="{00000000-0005-0000-0000-0000BF700000}"/>
    <cellStyle name="Normal 29 4 2 2 3" xfId="22706" xr:uid="{00000000-0005-0000-0000-0000C0700000}"/>
    <cellStyle name="Normal 29 4 2 2 3 2" xfId="49839" xr:uid="{00000000-0005-0000-0000-0000C1700000}"/>
    <cellStyle name="Normal 29 4 2 2 4" xfId="36277" xr:uid="{00000000-0005-0000-0000-0000C2700000}"/>
    <cellStyle name="Normal 29 4 2 3" xfId="12530" xr:uid="{00000000-0005-0000-0000-0000C3700000}"/>
    <cellStyle name="Normal 29 4 2 3 2" xfId="26098" xr:uid="{00000000-0005-0000-0000-0000C4700000}"/>
    <cellStyle name="Normal 29 4 2 3 2 2" xfId="53231" xr:uid="{00000000-0005-0000-0000-0000C5700000}"/>
    <cellStyle name="Normal 29 4 2 3 3" xfId="39669" xr:uid="{00000000-0005-0000-0000-0000C6700000}"/>
    <cellStyle name="Normal 29 4 2 4" xfId="19317" xr:uid="{00000000-0005-0000-0000-0000C7700000}"/>
    <cellStyle name="Normal 29 4 2 4 2" xfId="46450" xr:uid="{00000000-0005-0000-0000-0000C8700000}"/>
    <cellStyle name="Normal 29 4 2 5" xfId="32888" xr:uid="{00000000-0005-0000-0000-0000C9700000}"/>
    <cellStyle name="Normal 29 4 3" xfId="9128" xr:uid="{00000000-0005-0000-0000-0000CA700000}"/>
    <cellStyle name="Normal 29 4 3 2" xfId="15918" xr:uid="{00000000-0005-0000-0000-0000CB700000}"/>
    <cellStyle name="Normal 29 4 3 2 2" xfId="29486" xr:uid="{00000000-0005-0000-0000-0000CC700000}"/>
    <cellStyle name="Normal 29 4 3 2 2 2" xfId="56619" xr:uid="{00000000-0005-0000-0000-0000CD700000}"/>
    <cellStyle name="Normal 29 4 3 2 3" xfId="43057" xr:uid="{00000000-0005-0000-0000-0000CE700000}"/>
    <cellStyle name="Normal 29 4 3 3" xfId="22705" xr:uid="{00000000-0005-0000-0000-0000CF700000}"/>
    <cellStyle name="Normal 29 4 3 3 2" xfId="49838" xr:uid="{00000000-0005-0000-0000-0000D0700000}"/>
    <cellStyle name="Normal 29 4 3 4" xfId="36276" xr:uid="{00000000-0005-0000-0000-0000D1700000}"/>
    <cellStyle name="Normal 29 4 4" xfId="12529" xr:uid="{00000000-0005-0000-0000-0000D2700000}"/>
    <cellStyle name="Normal 29 4 4 2" xfId="26097" xr:uid="{00000000-0005-0000-0000-0000D3700000}"/>
    <cellStyle name="Normal 29 4 4 2 2" xfId="53230" xr:uid="{00000000-0005-0000-0000-0000D4700000}"/>
    <cellStyle name="Normal 29 4 4 3" xfId="39668" xr:uid="{00000000-0005-0000-0000-0000D5700000}"/>
    <cellStyle name="Normal 29 4 5" xfId="19316" xr:uid="{00000000-0005-0000-0000-0000D6700000}"/>
    <cellStyle name="Normal 29 4 5 2" xfId="46449" xr:uid="{00000000-0005-0000-0000-0000D7700000}"/>
    <cellStyle name="Normal 29 4 6" xfId="32887" xr:uid="{00000000-0005-0000-0000-0000D8700000}"/>
    <cellStyle name="Normal 29 5" xfId="5586" xr:uid="{00000000-0005-0000-0000-0000D9700000}"/>
    <cellStyle name="Normal 29 5 2" xfId="9130" xr:uid="{00000000-0005-0000-0000-0000DA700000}"/>
    <cellStyle name="Normal 29 5 2 2" xfId="15920" xr:uid="{00000000-0005-0000-0000-0000DB700000}"/>
    <cellStyle name="Normal 29 5 2 2 2" xfId="29488" xr:uid="{00000000-0005-0000-0000-0000DC700000}"/>
    <cellStyle name="Normal 29 5 2 2 2 2" xfId="56621" xr:uid="{00000000-0005-0000-0000-0000DD700000}"/>
    <cellStyle name="Normal 29 5 2 2 3" xfId="43059" xr:uid="{00000000-0005-0000-0000-0000DE700000}"/>
    <cellStyle name="Normal 29 5 2 3" xfId="22707" xr:uid="{00000000-0005-0000-0000-0000DF700000}"/>
    <cellStyle name="Normal 29 5 2 3 2" xfId="49840" xr:uid="{00000000-0005-0000-0000-0000E0700000}"/>
    <cellStyle name="Normal 29 5 2 4" xfId="36278" xr:uid="{00000000-0005-0000-0000-0000E1700000}"/>
    <cellStyle name="Normal 29 5 3" xfId="12531" xr:uid="{00000000-0005-0000-0000-0000E2700000}"/>
    <cellStyle name="Normal 29 5 3 2" xfId="26099" xr:uid="{00000000-0005-0000-0000-0000E3700000}"/>
    <cellStyle name="Normal 29 5 3 2 2" xfId="53232" xr:uid="{00000000-0005-0000-0000-0000E4700000}"/>
    <cellStyle name="Normal 29 5 3 3" xfId="39670" xr:uid="{00000000-0005-0000-0000-0000E5700000}"/>
    <cellStyle name="Normal 29 5 4" xfId="19318" xr:uid="{00000000-0005-0000-0000-0000E6700000}"/>
    <cellStyle name="Normal 29 5 4 2" xfId="46451" xr:uid="{00000000-0005-0000-0000-0000E7700000}"/>
    <cellStyle name="Normal 29 5 5" xfId="32889" xr:uid="{00000000-0005-0000-0000-0000E8700000}"/>
    <cellStyle name="Normal 29 6" xfId="5587" xr:uid="{00000000-0005-0000-0000-0000E9700000}"/>
    <cellStyle name="Normal 29 6 2" xfId="9131" xr:uid="{00000000-0005-0000-0000-0000EA700000}"/>
    <cellStyle name="Normal 29 6 2 2" xfId="15921" xr:uid="{00000000-0005-0000-0000-0000EB700000}"/>
    <cellStyle name="Normal 29 6 2 2 2" xfId="29489" xr:uid="{00000000-0005-0000-0000-0000EC700000}"/>
    <cellStyle name="Normal 29 6 2 2 2 2" xfId="56622" xr:uid="{00000000-0005-0000-0000-0000ED700000}"/>
    <cellStyle name="Normal 29 6 2 2 3" xfId="43060" xr:uid="{00000000-0005-0000-0000-0000EE700000}"/>
    <cellStyle name="Normal 29 6 2 3" xfId="22708" xr:uid="{00000000-0005-0000-0000-0000EF700000}"/>
    <cellStyle name="Normal 29 6 2 3 2" xfId="49841" xr:uid="{00000000-0005-0000-0000-0000F0700000}"/>
    <cellStyle name="Normal 29 6 2 4" xfId="36279" xr:uid="{00000000-0005-0000-0000-0000F1700000}"/>
    <cellStyle name="Normal 29 6 3" xfId="12532" xr:uid="{00000000-0005-0000-0000-0000F2700000}"/>
    <cellStyle name="Normal 29 6 3 2" xfId="26100" xr:uid="{00000000-0005-0000-0000-0000F3700000}"/>
    <cellStyle name="Normal 29 6 3 2 2" xfId="53233" xr:uid="{00000000-0005-0000-0000-0000F4700000}"/>
    <cellStyle name="Normal 29 6 3 3" xfId="39671" xr:uid="{00000000-0005-0000-0000-0000F5700000}"/>
    <cellStyle name="Normal 29 6 4" xfId="19319" xr:uid="{00000000-0005-0000-0000-0000F6700000}"/>
    <cellStyle name="Normal 29 6 4 2" xfId="46452" xr:uid="{00000000-0005-0000-0000-0000F7700000}"/>
    <cellStyle name="Normal 29 6 5" xfId="32890" xr:uid="{00000000-0005-0000-0000-0000F8700000}"/>
    <cellStyle name="Normal 3" xfId="41" xr:uid="{00000000-0005-0000-0000-0000F9700000}"/>
    <cellStyle name="Normal 3 10" xfId="2661" xr:uid="{00000000-0005-0000-0000-0000FA700000}"/>
    <cellStyle name="Normal 3 10 2" xfId="2662" xr:uid="{00000000-0005-0000-0000-0000FB700000}"/>
    <cellStyle name="Normal 3 10 2 2" xfId="5588" xr:uid="{00000000-0005-0000-0000-0000FC700000}"/>
    <cellStyle name="Normal 3 10 2 2 2" xfId="9132" xr:uid="{00000000-0005-0000-0000-0000FD700000}"/>
    <cellStyle name="Normal 3 10 2 2 2 2" xfId="15922" xr:uid="{00000000-0005-0000-0000-0000FE700000}"/>
    <cellStyle name="Normal 3 10 2 2 2 2 2" xfId="29490" xr:uid="{00000000-0005-0000-0000-0000FF700000}"/>
    <cellStyle name="Normal 3 10 2 2 2 2 2 2" xfId="56623" xr:uid="{00000000-0005-0000-0000-000000710000}"/>
    <cellStyle name="Normal 3 10 2 2 2 2 3" xfId="43061" xr:uid="{00000000-0005-0000-0000-000001710000}"/>
    <cellStyle name="Normal 3 10 2 2 2 3" xfId="22709" xr:uid="{00000000-0005-0000-0000-000002710000}"/>
    <cellStyle name="Normal 3 10 2 2 2 3 2" xfId="49842" xr:uid="{00000000-0005-0000-0000-000003710000}"/>
    <cellStyle name="Normal 3 10 2 2 2 4" xfId="36280" xr:uid="{00000000-0005-0000-0000-000004710000}"/>
    <cellStyle name="Normal 3 10 2 2 3" xfId="12533" xr:uid="{00000000-0005-0000-0000-000005710000}"/>
    <cellStyle name="Normal 3 10 2 2 3 2" xfId="26101" xr:uid="{00000000-0005-0000-0000-000006710000}"/>
    <cellStyle name="Normal 3 10 2 2 3 2 2" xfId="53234" xr:uid="{00000000-0005-0000-0000-000007710000}"/>
    <cellStyle name="Normal 3 10 2 2 3 3" xfId="39672" xr:uid="{00000000-0005-0000-0000-000008710000}"/>
    <cellStyle name="Normal 3 10 2 2 4" xfId="19320" xr:uid="{00000000-0005-0000-0000-000009710000}"/>
    <cellStyle name="Normal 3 10 2 2 4 2" xfId="46453" xr:uid="{00000000-0005-0000-0000-00000A710000}"/>
    <cellStyle name="Normal 3 10 2 2 5" xfId="32891" xr:uid="{00000000-0005-0000-0000-00000B710000}"/>
    <cellStyle name="Normal 3 10 2 3" xfId="5589" xr:uid="{00000000-0005-0000-0000-00000C710000}"/>
    <cellStyle name="Normal 3 10 2 3 2" xfId="9133" xr:uid="{00000000-0005-0000-0000-00000D710000}"/>
    <cellStyle name="Normal 3 10 2 3 2 2" xfId="15923" xr:uid="{00000000-0005-0000-0000-00000E710000}"/>
    <cellStyle name="Normal 3 10 2 3 2 2 2" xfId="29491" xr:uid="{00000000-0005-0000-0000-00000F710000}"/>
    <cellStyle name="Normal 3 10 2 3 2 2 2 2" xfId="56624" xr:uid="{00000000-0005-0000-0000-000010710000}"/>
    <cellStyle name="Normal 3 10 2 3 2 2 3" xfId="43062" xr:uid="{00000000-0005-0000-0000-000011710000}"/>
    <cellStyle name="Normal 3 10 2 3 2 3" xfId="22710" xr:uid="{00000000-0005-0000-0000-000012710000}"/>
    <cellStyle name="Normal 3 10 2 3 2 3 2" xfId="49843" xr:uid="{00000000-0005-0000-0000-000013710000}"/>
    <cellStyle name="Normal 3 10 2 3 2 4" xfId="36281" xr:uid="{00000000-0005-0000-0000-000014710000}"/>
    <cellStyle name="Normal 3 10 2 3 3" xfId="12534" xr:uid="{00000000-0005-0000-0000-000015710000}"/>
    <cellStyle name="Normal 3 10 2 3 3 2" xfId="26102" xr:uid="{00000000-0005-0000-0000-000016710000}"/>
    <cellStyle name="Normal 3 10 2 3 3 2 2" xfId="53235" xr:uid="{00000000-0005-0000-0000-000017710000}"/>
    <cellStyle name="Normal 3 10 2 3 3 3" xfId="39673" xr:uid="{00000000-0005-0000-0000-000018710000}"/>
    <cellStyle name="Normal 3 10 2 3 4" xfId="19321" xr:uid="{00000000-0005-0000-0000-000019710000}"/>
    <cellStyle name="Normal 3 10 2 3 4 2" xfId="46454" xr:uid="{00000000-0005-0000-0000-00001A710000}"/>
    <cellStyle name="Normal 3 10 2 3 5" xfId="32892" xr:uid="{00000000-0005-0000-0000-00001B710000}"/>
    <cellStyle name="Normal 3 10 2 4" xfId="7475" xr:uid="{00000000-0005-0000-0000-00001C710000}"/>
    <cellStyle name="Normal 3 10 2 4 2" xfId="14265" xr:uid="{00000000-0005-0000-0000-00001D710000}"/>
    <cellStyle name="Normal 3 10 2 4 2 2" xfId="27833" xr:uid="{00000000-0005-0000-0000-00001E710000}"/>
    <cellStyle name="Normal 3 10 2 4 2 2 2" xfId="54966" xr:uid="{00000000-0005-0000-0000-00001F710000}"/>
    <cellStyle name="Normal 3 10 2 4 2 3" xfId="41404" xr:uid="{00000000-0005-0000-0000-000020710000}"/>
    <cellStyle name="Normal 3 10 2 4 3" xfId="21052" xr:uid="{00000000-0005-0000-0000-000021710000}"/>
    <cellStyle name="Normal 3 10 2 4 3 2" xfId="48185" xr:uid="{00000000-0005-0000-0000-000022710000}"/>
    <cellStyle name="Normal 3 10 2 4 4" xfId="34623" xr:uid="{00000000-0005-0000-0000-000023710000}"/>
    <cellStyle name="Normal 3 10 2 5" xfId="10876" xr:uid="{00000000-0005-0000-0000-000024710000}"/>
    <cellStyle name="Normal 3 10 2 5 2" xfId="24444" xr:uid="{00000000-0005-0000-0000-000025710000}"/>
    <cellStyle name="Normal 3 10 2 5 2 2" xfId="51577" xr:uid="{00000000-0005-0000-0000-000026710000}"/>
    <cellStyle name="Normal 3 10 2 5 3" xfId="38015" xr:uid="{00000000-0005-0000-0000-000027710000}"/>
    <cellStyle name="Normal 3 10 2 6" xfId="17663" xr:uid="{00000000-0005-0000-0000-000028710000}"/>
    <cellStyle name="Normal 3 10 2 6 2" xfId="44796" xr:uid="{00000000-0005-0000-0000-000029710000}"/>
    <cellStyle name="Normal 3 10 2 7" xfId="31234" xr:uid="{00000000-0005-0000-0000-00002A710000}"/>
    <cellStyle name="Normal 3 10 3" xfId="5590" xr:uid="{00000000-0005-0000-0000-00002B710000}"/>
    <cellStyle name="Normal 3 10 3 2" xfId="9134" xr:uid="{00000000-0005-0000-0000-00002C710000}"/>
    <cellStyle name="Normal 3 10 3 2 2" xfId="15924" xr:uid="{00000000-0005-0000-0000-00002D710000}"/>
    <cellStyle name="Normal 3 10 3 2 2 2" xfId="29492" xr:uid="{00000000-0005-0000-0000-00002E710000}"/>
    <cellStyle name="Normal 3 10 3 2 2 2 2" xfId="56625" xr:uid="{00000000-0005-0000-0000-00002F710000}"/>
    <cellStyle name="Normal 3 10 3 2 2 3" xfId="43063" xr:uid="{00000000-0005-0000-0000-000030710000}"/>
    <cellStyle name="Normal 3 10 3 2 3" xfId="22711" xr:uid="{00000000-0005-0000-0000-000031710000}"/>
    <cellStyle name="Normal 3 10 3 2 3 2" xfId="49844" xr:uid="{00000000-0005-0000-0000-000032710000}"/>
    <cellStyle name="Normal 3 10 3 2 4" xfId="36282" xr:uid="{00000000-0005-0000-0000-000033710000}"/>
    <cellStyle name="Normal 3 10 3 3" xfId="12535" xr:uid="{00000000-0005-0000-0000-000034710000}"/>
    <cellStyle name="Normal 3 10 3 3 2" xfId="26103" xr:uid="{00000000-0005-0000-0000-000035710000}"/>
    <cellStyle name="Normal 3 10 3 3 2 2" xfId="53236" xr:uid="{00000000-0005-0000-0000-000036710000}"/>
    <cellStyle name="Normal 3 10 3 3 3" xfId="39674" xr:uid="{00000000-0005-0000-0000-000037710000}"/>
    <cellStyle name="Normal 3 10 3 4" xfId="19322" xr:uid="{00000000-0005-0000-0000-000038710000}"/>
    <cellStyle name="Normal 3 10 3 4 2" xfId="46455" xr:uid="{00000000-0005-0000-0000-000039710000}"/>
    <cellStyle name="Normal 3 10 3 5" xfId="32893" xr:uid="{00000000-0005-0000-0000-00003A710000}"/>
    <cellStyle name="Normal 3 10 4" xfId="5591" xr:uid="{00000000-0005-0000-0000-00003B710000}"/>
    <cellStyle name="Normal 3 10 4 2" xfId="9135" xr:uid="{00000000-0005-0000-0000-00003C710000}"/>
    <cellStyle name="Normal 3 10 4 2 2" xfId="15925" xr:uid="{00000000-0005-0000-0000-00003D710000}"/>
    <cellStyle name="Normal 3 10 4 2 2 2" xfId="29493" xr:uid="{00000000-0005-0000-0000-00003E710000}"/>
    <cellStyle name="Normal 3 10 4 2 2 2 2" xfId="56626" xr:uid="{00000000-0005-0000-0000-00003F710000}"/>
    <cellStyle name="Normal 3 10 4 2 2 3" xfId="43064" xr:uid="{00000000-0005-0000-0000-000040710000}"/>
    <cellStyle name="Normal 3 10 4 2 3" xfId="22712" xr:uid="{00000000-0005-0000-0000-000041710000}"/>
    <cellStyle name="Normal 3 10 4 2 3 2" xfId="49845" xr:uid="{00000000-0005-0000-0000-000042710000}"/>
    <cellStyle name="Normal 3 10 4 2 4" xfId="36283" xr:uid="{00000000-0005-0000-0000-000043710000}"/>
    <cellStyle name="Normal 3 10 4 3" xfId="12536" xr:uid="{00000000-0005-0000-0000-000044710000}"/>
    <cellStyle name="Normal 3 10 4 3 2" xfId="26104" xr:uid="{00000000-0005-0000-0000-000045710000}"/>
    <cellStyle name="Normal 3 10 4 3 2 2" xfId="53237" xr:uid="{00000000-0005-0000-0000-000046710000}"/>
    <cellStyle name="Normal 3 10 4 3 3" xfId="39675" xr:uid="{00000000-0005-0000-0000-000047710000}"/>
    <cellStyle name="Normal 3 10 4 4" xfId="19323" xr:uid="{00000000-0005-0000-0000-000048710000}"/>
    <cellStyle name="Normal 3 10 4 4 2" xfId="46456" xr:uid="{00000000-0005-0000-0000-000049710000}"/>
    <cellStyle name="Normal 3 10 4 5" xfId="32894" xr:uid="{00000000-0005-0000-0000-00004A710000}"/>
    <cellStyle name="Normal 3 10 5" xfId="7474" xr:uid="{00000000-0005-0000-0000-00004B710000}"/>
    <cellStyle name="Normal 3 10 5 2" xfId="14264" xr:uid="{00000000-0005-0000-0000-00004C710000}"/>
    <cellStyle name="Normal 3 10 5 2 2" xfId="27832" xr:uid="{00000000-0005-0000-0000-00004D710000}"/>
    <cellStyle name="Normal 3 10 5 2 2 2" xfId="54965" xr:uid="{00000000-0005-0000-0000-00004E710000}"/>
    <cellStyle name="Normal 3 10 5 2 3" xfId="41403" xr:uid="{00000000-0005-0000-0000-00004F710000}"/>
    <cellStyle name="Normal 3 10 5 3" xfId="21051" xr:uid="{00000000-0005-0000-0000-000050710000}"/>
    <cellStyle name="Normal 3 10 5 3 2" xfId="48184" xr:uid="{00000000-0005-0000-0000-000051710000}"/>
    <cellStyle name="Normal 3 10 5 4" xfId="34622" xr:uid="{00000000-0005-0000-0000-000052710000}"/>
    <cellStyle name="Normal 3 10 6" xfId="10875" xr:uid="{00000000-0005-0000-0000-000053710000}"/>
    <cellStyle name="Normal 3 10 6 2" xfId="24443" xr:uid="{00000000-0005-0000-0000-000054710000}"/>
    <cellStyle name="Normal 3 10 6 2 2" xfId="51576" xr:uid="{00000000-0005-0000-0000-000055710000}"/>
    <cellStyle name="Normal 3 10 6 3" xfId="38014" xr:uid="{00000000-0005-0000-0000-000056710000}"/>
    <cellStyle name="Normal 3 10 7" xfId="17662" xr:uid="{00000000-0005-0000-0000-000057710000}"/>
    <cellStyle name="Normal 3 10 7 2" xfId="44795" xr:uid="{00000000-0005-0000-0000-000058710000}"/>
    <cellStyle name="Normal 3 10 8" xfId="31233" xr:uid="{00000000-0005-0000-0000-000059710000}"/>
    <cellStyle name="Normal 3 11" xfId="2663" xr:uid="{00000000-0005-0000-0000-00005A710000}"/>
    <cellStyle name="Normal 3 11 2" xfId="2664" xr:uid="{00000000-0005-0000-0000-00005B710000}"/>
    <cellStyle name="Normal 3 11 2 2" xfId="5592" xr:uid="{00000000-0005-0000-0000-00005C710000}"/>
    <cellStyle name="Normal 3 11 2 2 2" xfId="9136" xr:uid="{00000000-0005-0000-0000-00005D710000}"/>
    <cellStyle name="Normal 3 11 2 2 2 2" xfId="15926" xr:uid="{00000000-0005-0000-0000-00005E710000}"/>
    <cellStyle name="Normal 3 11 2 2 2 2 2" xfId="29494" xr:uid="{00000000-0005-0000-0000-00005F710000}"/>
    <cellStyle name="Normal 3 11 2 2 2 2 2 2" xfId="56627" xr:uid="{00000000-0005-0000-0000-000060710000}"/>
    <cellStyle name="Normal 3 11 2 2 2 2 3" xfId="43065" xr:uid="{00000000-0005-0000-0000-000061710000}"/>
    <cellStyle name="Normal 3 11 2 2 2 3" xfId="22713" xr:uid="{00000000-0005-0000-0000-000062710000}"/>
    <cellStyle name="Normal 3 11 2 2 2 3 2" xfId="49846" xr:uid="{00000000-0005-0000-0000-000063710000}"/>
    <cellStyle name="Normal 3 11 2 2 2 4" xfId="36284" xr:uid="{00000000-0005-0000-0000-000064710000}"/>
    <cellStyle name="Normal 3 11 2 2 3" xfId="12537" xr:uid="{00000000-0005-0000-0000-000065710000}"/>
    <cellStyle name="Normal 3 11 2 2 3 2" xfId="26105" xr:uid="{00000000-0005-0000-0000-000066710000}"/>
    <cellStyle name="Normal 3 11 2 2 3 2 2" xfId="53238" xr:uid="{00000000-0005-0000-0000-000067710000}"/>
    <cellStyle name="Normal 3 11 2 2 3 3" xfId="39676" xr:uid="{00000000-0005-0000-0000-000068710000}"/>
    <cellStyle name="Normal 3 11 2 2 4" xfId="19324" xr:uid="{00000000-0005-0000-0000-000069710000}"/>
    <cellStyle name="Normal 3 11 2 2 4 2" xfId="46457" xr:uid="{00000000-0005-0000-0000-00006A710000}"/>
    <cellStyle name="Normal 3 11 2 2 5" xfId="32895" xr:uid="{00000000-0005-0000-0000-00006B710000}"/>
    <cellStyle name="Normal 3 11 2 3" xfId="5593" xr:uid="{00000000-0005-0000-0000-00006C710000}"/>
    <cellStyle name="Normal 3 11 2 3 2" xfId="9137" xr:uid="{00000000-0005-0000-0000-00006D710000}"/>
    <cellStyle name="Normal 3 11 2 3 2 2" xfId="15927" xr:uid="{00000000-0005-0000-0000-00006E710000}"/>
    <cellStyle name="Normal 3 11 2 3 2 2 2" xfId="29495" xr:uid="{00000000-0005-0000-0000-00006F710000}"/>
    <cellStyle name="Normal 3 11 2 3 2 2 2 2" xfId="56628" xr:uid="{00000000-0005-0000-0000-000070710000}"/>
    <cellStyle name="Normal 3 11 2 3 2 2 3" xfId="43066" xr:uid="{00000000-0005-0000-0000-000071710000}"/>
    <cellStyle name="Normal 3 11 2 3 2 3" xfId="22714" xr:uid="{00000000-0005-0000-0000-000072710000}"/>
    <cellStyle name="Normal 3 11 2 3 2 3 2" xfId="49847" xr:uid="{00000000-0005-0000-0000-000073710000}"/>
    <cellStyle name="Normal 3 11 2 3 2 4" xfId="36285" xr:uid="{00000000-0005-0000-0000-000074710000}"/>
    <cellStyle name="Normal 3 11 2 3 3" xfId="12538" xr:uid="{00000000-0005-0000-0000-000075710000}"/>
    <cellStyle name="Normal 3 11 2 3 3 2" xfId="26106" xr:uid="{00000000-0005-0000-0000-000076710000}"/>
    <cellStyle name="Normal 3 11 2 3 3 2 2" xfId="53239" xr:uid="{00000000-0005-0000-0000-000077710000}"/>
    <cellStyle name="Normal 3 11 2 3 3 3" xfId="39677" xr:uid="{00000000-0005-0000-0000-000078710000}"/>
    <cellStyle name="Normal 3 11 2 3 4" xfId="19325" xr:uid="{00000000-0005-0000-0000-000079710000}"/>
    <cellStyle name="Normal 3 11 2 3 4 2" xfId="46458" xr:uid="{00000000-0005-0000-0000-00007A710000}"/>
    <cellStyle name="Normal 3 11 2 3 5" xfId="32896" xr:uid="{00000000-0005-0000-0000-00007B710000}"/>
    <cellStyle name="Normal 3 11 2 4" xfId="7477" xr:uid="{00000000-0005-0000-0000-00007C710000}"/>
    <cellStyle name="Normal 3 11 2 4 2" xfId="14267" xr:uid="{00000000-0005-0000-0000-00007D710000}"/>
    <cellStyle name="Normal 3 11 2 4 2 2" xfId="27835" xr:uid="{00000000-0005-0000-0000-00007E710000}"/>
    <cellStyle name="Normal 3 11 2 4 2 2 2" xfId="54968" xr:uid="{00000000-0005-0000-0000-00007F710000}"/>
    <cellStyle name="Normal 3 11 2 4 2 3" xfId="41406" xr:uid="{00000000-0005-0000-0000-000080710000}"/>
    <cellStyle name="Normal 3 11 2 4 3" xfId="21054" xr:uid="{00000000-0005-0000-0000-000081710000}"/>
    <cellStyle name="Normal 3 11 2 4 3 2" xfId="48187" xr:uid="{00000000-0005-0000-0000-000082710000}"/>
    <cellStyle name="Normal 3 11 2 4 4" xfId="34625" xr:uid="{00000000-0005-0000-0000-000083710000}"/>
    <cellStyle name="Normal 3 11 2 5" xfId="10878" xr:uid="{00000000-0005-0000-0000-000084710000}"/>
    <cellStyle name="Normal 3 11 2 5 2" xfId="24446" xr:uid="{00000000-0005-0000-0000-000085710000}"/>
    <cellStyle name="Normal 3 11 2 5 2 2" xfId="51579" xr:uid="{00000000-0005-0000-0000-000086710000}"/>
    <cellStyle name="Normal 3 11 2 5 3" xfId="38017" xr:uid="{00000000-0005-0000-0000-000087710000}"/>
    <cellStyle name="Normal 3 11 2 6" xfId="17665" xr:uid="{00000000-0005-0000-0000-000088710000}"/>
    <cellStyle name="Normal 3 11 2 6 2" xfId="44798" xr:uid="{00000000-0005-0000-0000-000089710000}"/>
    <cellStyle name="Normal 3 11 2 7" xfId="31236" xr:uid="{00000000-0005-0000-0000-00008A710000}"/>
    <cellStyle name="Normal 3 11 3" xfId="5594" xr:uid="{00000000-0005-0000-0000-00008B710000}"/>
    <cellStyle name="Normal 3 11 3 2" xfId="9138" xr:uid="{00000000-0005-0000-0000-00008C710000}"/>
    <cellStyle name="Normal 3 11 3 2 2" xfId="15928" xr:uid="{00000000-0005-0000-0000-00008D710000}"/>
    <cellStyle name="Normal 3 11 3 2 2 2" xfId="29496" xr:uid="{00000000-0005-0000-0000-00008E710000}"/>
    <cellStyle name="Normal 3 11 3 2 2 2 2" xfId="56629" xr:uid="{00000000-0005-0000-0000-00008F710000}"/>
    <cellStyle name="Normal 3 11 3 2 2 3" xfId="43067" xr:uid="{00000000-0005-0000-0000-000090710000}"/>
    <cellStyle name="Normal 3 11 3 2 3" xfId="22715" xr:uid="{00000000-0005-0000-0000-000091710000}"/>
    <cellStyle name="Normal 3 11 3 2 3 2" xfId="49848" xr:uid="{00000000-0005-0000-0000-000092710000}"/>
    <cellStyle name="Normal 3 11 3 2 4" xfId="36286" xr:uid="{00000000-0005-0000-0000-000093710000}"/>
    <cellStyle name="Normal 3 11 3 3" xfId="12539" xr:uid="{00000000-0005-0000-0000-000094710000}"/>
    <cellStyle name="Normal 3 11 3 3 2" xfId="26107" xr:uid="{00000000-0005-0000-0000-000095710000}"/>
    <cellStyle name="Normal 3 11 3 3 2 2" xfId="53240" xr:uid="{00000000-0005-0000-0000-000096710000}"/>
    <cellStyle name="Normal 3 11 3 3 3" xfId="39678" xr:uid="{00000000-0005-0000-0000-000097710000}"/>
    <cellStyle name="Normal 3 11 3 4" xfId="19326" xr:uid="{00000000-0005-0000-0000-000098710000}"/>
    <cellStyle name="Normal 3 11 3 4 2" xfId="46459" xr:uid="{00000000-0005-0000-0000-000099710000}"/>
    <cellStyle name="Normal 3 11 3 5" xfId="32897" xr:uid="{00000000-0005-0000-0000-00009A710000}"/>
    <cellStyle name="Normal 3 11 4" xfId="5595" xr:uid="{00000000-0005-0000-0000-00009B710000}"/>
    <cellStyle name="Normal 3 11 4 2" xfId="9139" xr:uid="{00000000-0005-0000-0000-00009C710000}"/>
    <cellStyle name="Normal 3 11 4 2 2" xfId="15929" xr:uid="{00000000-0005-0000-0000-00009D710000}"/>
    <cellStyle name="Normal 3 11 4 2 2 2" xfId="29497" xr:uid="{00000000-0005-0000-0000-00009E710000}"/>
    <cellStyle name="Normal 3 11 4 2 2 2 2" xfId="56630" xr:uid="{00000000-0005-0000-0000-00009F710000}"/>
    <cellStyle name="Normal 3 11 4 2 2 3" xfId="43068" xr:uid="{00000000-0005-0000-0000-0000A0710000}"/>
    <cellStyle name="Normal 3 11 4 2 3" xfId="22716" xr:uid="{00000000-0005-0000-0000-0000A1710000}"/>
    <cellStyle name="Normal 3 11 4 2 3 2" xfId="49849" xr:uid="{00000000-0005-0000-0000-0000A2710000}"/>
    <cellStyle name="Normal 3 11 4 2 4" xfId="36287" xr:uid="{00000000-0005-0000-0000-0000A3710000}"/>
    <cellStyle name="Normal 3 11 4 3" xfId="12540" xr:uid="{00000000-0005-0000-0000-0000A4710000}"/>
    <cellStyle name="Normal 3 11 4 3 2" xfId="26108" xr:uid="{00000000-0005-0000-0000-0000A5710000}"/>
    <cellStyle name="Normal 3 11 4 3 2 2" xfId="53241" xr:uid="{00000000-0005-0000-0000-0000A6710000}"/>
    <cellStyle name="Normal 3 11 4 3 3" xfId="39679" xr:uid="{00000000-0005-0000-0000-0000A7710000}"/>
    <cellStyle name="Normal 3 11 4 4" xfId="19327" xr:uid="{00000000-0005-0000-0000-0000A8710000}"/>
    <cellStyle name="Normal 3 11 4 4 2" xfId="46460" xr:uid="{00000000-0005-0000-0000-0000A9710000}"/>
    <cellStyle name="Normal 3 11 4 5" xfId="32898" xr:uid="{00000000-0005-0000-0000-0000AA710000}"/>
    <cellStyle name="Normal 3 11 5" xfId="7476" xr:uid="{00000000-0005-0000-0000-0000AB710000}"/>
    <cellStyle name="Normal 3 11 5 2" xfId="14266" xr:uid="{00000000-0005-0000-0000-0000AC710000}"/>
    <cellStyle name="Normal 3 11 5 2 2" xfId="27834" xr:uid="{00000000-0005-0000-0000-0000AD710000}"/>
    <cellStyle name="Normal 3 11 5 2 2 2" xfId="54967" xr:uid="{00000000-0005-0000-0000-0000AE710000}"/>
    <cellStyle name="Normal 3 11 5 2 3" xfId="41405" xr:uid="{00000000-0005-0000-0000-0000AF710000}"/>
    <cellStyle name="Normal 3 11 5 3" xfId="21053" xr:uid="{00000000-0005-0000-0000-0000B0710000}"/>
    <cellStyle name="Normal 3 11 5 3 2" xfId="48186" xr:uid="{00000000-0005-0000-0000-0000B1710000}"/>
    <cellStyle name="Normal 3 11 5 4" xfId="34624" xr:uid="{00000000-0005-0000-0000-0000B2710000}"/>
    <cellStyle name="Normal 3 11 6" xfId="10877" xr:uid="{00000000-0005-0000-0000-0000B3710000}"/>
    <cellStyle name="Normal 3 11 6 2" xfId="24445" xr:uid="{00000000-0005-0000-0000-0000B4710000}"/>
    <cellStyle name="Normal 3 11 6 2 2" xfId="51578" xr:uid="{00000000-0005-0000-0000-0000B5710000}"/>
    <cellStyle name="Normal 3 11 6 3" xfId="38016" xr:uid="{00000000-0005-0000-0000-0000B6710000}"/>
    <cellStyle name="Normal 3 11 7" xfId="17664" xr:uid="{00000000-0005-0000-0000-0000B7710000}"/>
    <cellStyle name="Normal 3 11 7 2" xfId="44797" xr:uid="{00000000-0005-0000-0000-0000B8710000}"/>
    <cellStyle name="Normal 3 11 8" xfId="31235" xr:uid="{00000000-0005-0000-0000-0000B9710000}"/>
    <cellStyle name="Normal 3 12" xfId="2665" xr:uid="{00000000-0005-0000-0000-0000BA710000}"/>
    <cellStyle name="Normal 3 12 2" xfId="2666" xr:uid="{00000000-0005-0000-0000-0000BB710000}"/>
    <cellStyle name="Normal 3 12 2 2" xfId="7479" xr:uid="{00000000-0005-0000-0000-0000BC710000}"/>
    <cellStyle name="Normal 3 12 2 2 2" xfId="14269" xr:uid="{00000000-0005-0000-0000-0000BD710000}"/>
    <cellStyle name="Normal 3 12 2 2 2 2" xfId="27837" xr:uid="{00000000-0005-0000-0000-0000BE710000}"/>
    <cellStyle name="Normal 3 12 2 2 2 2 2" xfId="54970" xr:uid="{00000000-0005-0000-0000-0000BF710000}"/>
    <cellStyle name="Normal 3 12 2 2 2 3" xfId="41408" xr:uid="{00000000-0005-0000-0000-0000C0710000}"/>
    <cellStyle name="Normal 3 12 2 2 3" xfId="21056" xr:uid="{00000000-0005-0000-0000-0000C1710000}"/>
    <cellStyle name="Normal 3 12 2 2 3 2" xfId="48189" xr:uid="{00000000-0005-0000-0000-0000C2710000}"/>
    <cellStyle name="Normal 3 12 2 2 4" xfId="34627" xr:uid="{00000000-0005-0000-0000-0000C3710000}"/>
    <cellStyle name="Normal 3 12 2 3" xfId="10880" xr:uid="{00000000-0005-0000-0000-0000C4710000}"/>
    <cellStyle name="Normal 3 12 2 3 2" xfId="24448" xr:uid="{00000000-0005-0000-0000-0000C5710000}"/>
    <cellStyle name="Normal 3 12 2 3 2 2" xfId="51581" xr:uid="{00000000-0005-0000-0000-0000C6710000}"/>
    <cellStyle name="Normal 3 12 2 3 3" xfId="38019" xr:uid="{00000000-0005-0000-0000-0000C7710000}"/>
    <cellStyle name="Normal 3 12 2 4" xfId="17667" xr:uid="{00000000-0005-0000-0000-0000C8710000}"/>
    <cellStyle name="Normal 3 12 2 4 2" xfId="44800" xr:uid="{00000000-0005-0000-0000-0000C9710000}"/>
    <cellStyle name="Normal 3 12 2 5" xfId="31238" xr:uid="{00000000-0005-0000-0000-0000CA710000}"/>
    <cellStyle name="Normal 3 12 3" xfId="7478" xr:uid="{00000000-0005-0000-0000-0000CB710000}"/>
    <cellStyle name="Normal 3 12 3 2" xfId="14268" xr:uid="{00000000-0005-0000-0000-0000CC710000}"/>
    <cellStyle name="Normal 3 12 3 2 2" xfId="27836" xr:uid="{00000000-0005-0000-0000-0000CD710000}"/>
    <cellStyle name="Normal 3 12 3 2 2 2" xfId="54969" xr:uid="{00000000-0005-0000-0000-0000CE710000}"/>
    <cellStyle name="Normal 3 12 3 2 3" xfId="41407" xr:uid="{00000000-0005-0000-0000-0000CF710000}"/>
    <cellStyle name="Normal 3 12 3 3" xfId="21055" xr:uid="{00000000-0005-0000-0000-0000D0710000}"/>
    <cellStyle name="Normal 3 12 3 3 2" xfId="48188" xr:uid="{00000000-0005-0000-0000-0000D1710000}"/>
    <cellStyle name="Normal 3 12 3 4" xfId="34626" xr:uid="{00000000-0005-0000-0000-0000D2710000}"/>
    <cellStyle name="Normal 3 12 4" xfId="10879" xr:uid="{00000000-0005-0000-0000-0000D3710000}"/>
    <cellStyle name="Normal 3 12 4 2" xfId="24447" xr:uid="{00000000-0005-0000-0000-0000D4710000}"/>
    <cellStyle name="Normal 3 12 4 2 2" xfId="51580" xr:uid="{00000000-0005-0000-0000-0000D5710000}"/>
    <cellStyle name="Normal 3 12 4 3" xfId="38018" xr:uid="{00000000-0005-0000-0000-0000D6710000}"/>
    <cellStyle name="Normal 3 12 5" xfId="17666" xr:uid="{00000000-0005-0000-0000-0000D7710000}"/>
    <cellStyle name="Normal 3 12 5 2" xfId="44799" xr:uid="{00000000-0005-0000-0000-0000D8710000}"/>
    <cellStyle name="Normal 3 12 6" xfId="31237" xr:uid="{00000000-0005-0000-0000-0000D9710000}"/>
    <cellStyle name="Normal 3 13" xfId="2667" xr:uid="{00000000-0005-0000-0000-0000DA710000}"/>
    <cellStyle name="Normal 3 13 2" xfId="2668" xr:uid="{00000000-0005-0000-0000-0000DB710000}"/>
    <cellStyle name="Normal 3 13 2 2" xfId="7481" xr:uid="{00000000-0005-0000-0000-0000DC710000}"/>
    <cellStyle name="Normal 3 13 2 2 2" xfId="14271" xr:uid="{00000000-0005-0000-0000-0000DD710000}"/>
    <cellStyle name="Normal 3 13 2 2 2 2" xfId="27839" xr:uid="{00000000-0005-0000-0000-0000DE710000}"/>
    <cellStyle name="Normal 3 13 2 2 2 2 2" xfId="54972" xr:uid="{00000000-0005-0000-0000-0000DF710000}"/>
    <cellStyle name="Normal 3 13 2 2 2 3" xfId="41410" xr:uid="{00000000-0005-0000-0000-0000E0710000}"/>
    <cellStyle name="Normal 3 13 2 2 3" xfId="21058" xr:uid="{00000000-0005-0000-0000-0000E1710000}"/>
    <cellStyle name="Normal 3 13 2 2 3 2" xfId="48191" xr:uid="{00000000-0005-0000-0000-0000E2710000}"/>
    <cellStyle name="Normal 3 13 2 2 4" xfId="34629" xr:uid="{00000000-0005-0000-0000-0000E3710000}"/>
    <cellStyle name="Normal 3 13 2 3" xfId="10882" xr:uid="{00000000-0005-0000-0000-0000E4710000}"/>
    <cellStyle name="Normal 3 13 2 3 2" xfId="24450" xr:uid="{00000000-0005-0000-0000-0000E5710000}"/>
    <cellStyle name="Normal 3 13 2 3 2 2" xfId="51583" xr:uid="{00000000-0005-0000-0000-0000E6710000}"/>
    <cellStyle name="Normal 3 13 2 3 3" xfId="38021" xr:uid="{00000000-0005-0000-0000-0000E7710000}"/>
    <cellStyle name="Normal 3 13 2 4" xfId="17669" xr:uid="{00000000-0005-0000-0000-0000E8710000}"/>
    <cellStyle name="Normal 3 13 2 4 2" xfId="44802" xr:uid="{00000000-0005-0000-0000-0000E9710000}"/>
    <cellStyle name="Normal 3 13 2 5" xfId="31240" xr:uid="{00000000-0005-0000-0000-0000EA710000}"/>
    <cellStyle name="Normal 3 13 3" xfId="7480" xr:uid="{00000000-0005-0000-0000-0000EB710000}"/>
    <cellStyle name="Normal 3 13 3 2" xfId="14270" xr:uid="{00000000-0005-0000-0000-0000EC710000}"/>
    <cellStyle name="Normal 3 13 3 2 2" xfId="27838" xr:uid="{00000000-0005-0000-0000-0000ED710000}"/>
    <cellStyle name="Normal 3 13 3 2 2 2" xfId="54971" xr:uid="{00000000-0005-0000-0000-0000EE710000}"/>
    <cellStyle name="Normal 3 13 3 2 3" xfId="41409" xr:uid="{00000000-0005-0000-0000-0000EF710000}"/>
    <cellStyle name="Normal 3 13 3 3" xfId="21057" xr:uid="{00000000-0005-0000-0000-0000F0710000}"/>
    <cellStyle name="Normal 3 13 3 3 2" xfId="48190" xr:uid="{00000000-0005-0000-0000-0000F1710000}"/>
    <cellStyle name="Normal 3 13 3 4" xfId="34628" xr:uid="{00000000-0005-0000-0000-0000F2710000}"/>
    <cellStyle name="Normal 3 13 4" xfId="10881" xr:uid="{00000000-0005-0000-0000-0000F3710000}"/>
    <cellStyle name="Normal 3 13 4 2" xfId="24449" xr:uid="{00000000-0005-0000-0000-0000F4710000}"/>
    <cellStyle name="Normal 3 13 4 2 2" xfId="51582" xr:uid="{00000000-0005-0000-0000-0000F5710000}"/>
    <cellStyle name="Normal 3 13 4 3" xfId="38020" xr:uid="{00000000-0005-0000-0000-0000F6710000}"/>
    <cellStyle name="Normal 3 13 5" xfId="17668" xr:uid="{00000000-0005-0000-0000-0000F7710000}"/>
    <cellStyle name="Normal 3 13 5 2" xfId="44801" xr:uid="{00000000-0005-0000-0000-0000F8710000}"/>
    <cellStyle name="Normal 3 13 6" xfId="31239" xr:uid="{00000000-0005-0000-0000-0000F9710000}"/>
    <cellStyle name="Normal 3 14" xfId="2669" xr:uid="{00000000-0005-0000-0000-0000FA710000}"/>
    <cellStyle name="Normal 3 14 2" xfId="2670" xr:uid="{00000000-0005-0000-0000-0000FB710000}"/>
    <cellStyle name="Normal 3 14 2 2" xfId="7483" xr:uid="{00000000-0005-0000-0000-0000FC710000}"/>
    <cellStyle name="Normal 3 14 2 2 2" xfId="14273" xr:uid="{00000000-0005-0000-0000-0000FD710000}"/>
    <cellStyle name="Normal 3 14 2 2 2 2" xfId="27841" xr:uid="{00000000-0005-0000-0000-0000FE710000}"/>
    <cellStyle name="Normal 3 14 2 2 2 2 2" xfId="54974" xr:uid="{00000000-0005-0000-0000-0000FF710000}"/>
    <cellStyle name="Normal 3 14 2 2 2 3" xfId="41412" xr:uid="{00000000-0005-0000-0000-000000720000}"/>
    <cellStyle name="Normal 3 14 2 2 3" xfId="21060" xr:uid="{00000000-0005-0000-0000-000001720000}"/>
    <cellStyle name="Normal 3 14 2 2 3 2" xfId="48193" xr:uid="{00000000-0005-0000-0000-000002720000}"/>
    <cellStyle name="Normal 3 14 2 2 4" xfId="34631" xr:uid="{00000000-0005-0000-0000-000003720000}"/>
    <cellStyle name="Normal 3 14 2 3" xfId="10884" xr:uid="{00000000-0005-0000-0000-000004720000}"/>
    <cellStyle name="Normal 3 14 2 3 2" xfId="24452" xr:uid="{00000000-0005-0000-0000-000005720000}"/>
    <cellStyle name="Normal 3 14 2 3 2 2" xfId="51585" xr:uid="{00000000-0005-0000-0000-000006720000}"/>
    <cellStyle name="Normal 3 14 2 3 3" xfId="38023" xr:uid="{00000000-0005-0000-0000-000007720000}"/>
    <cellStyle name="Normal 3 14 2 4" xfId="17671" xr:uid="{00000000-0005-0000-0000-000008720000}"/>
    <cellStyle name="Normal 3 14 2 4 2" xfId="44804" xr:uid="{00000000-0005-0000-0000-000009720000}"/>
    <cellStyle name="Normal 3 14 2 5" xfId="31242" xr:uid="{00000000-0005-0000-0000-00000A720000}"/>
    <cellStyle name="Normal 3 14 3" xfId="7482" xr:uid="{00000000-0005-0000-0000-00000B720000}"/>
    <cellStyle name="Normal 3 14 3 2" xfId="14272" xr:uid="{00000000-0005-0000-0000-00000C720000}"/>
    <cellStyle name="Normal 3 14 3 2 2" xfId="27840" xr:uid="{00000000-0005-0000-0000-00000D720000}"/>
    <cellStyle name="Normal 3 14 3 2 2 2" xfId="54973" xr:uid="{00000000-0005-0000-0000-00000E720000}"/>
    <cellStyle name="Normal 3 14 3 2 3" xfId="41411" xr:uid="{00000000-0005-0000-0000-00000F720000}"/>
    <cellStyle name="Normal 3 14 3 3" xfId="21059" xr:uid="{00000000-0005-0000-0000-000010720000}"/>
    <cellStyle name="Normal 3 14 3 3 2" xfId="48192" xr:uid="{00000000-0005-0000-0000-000011720000}"/>
    <cellStyle name="Normal 3 14 3 4" xfId="34630" xr:uid="{00000000-0005-0000-0000-000012720000}"/>
    <cellStyle name="Normal 3 14 4" xfId="10883" xr:uid="{00000000-0005-0000-0000-000013720000}"/>
    <cellStyle name="Normal 3 14 4 2" xfId="24451" xr:uid="{00000000-0005-0000-0000-000014720000}"/>
    <cellStyle name="Normal 3 14 4 2 2" xfId="51584" xr:uid="{00000000-0005-0000-0000-000015720000}"/>
    <cellStyle name="Normal 3 14 4 3" xfId="38022" xr:uid="{00000000-0005-0000-0000-000016720000}"/>
    <cellStyle name="Normal 3 14 5" xfId="17670" xr:uid="{00000000-0005-0000-0000-000017720000}"/>
    <cellStyle name="Normal 3 14 5 2" xfId="44803" xr:uid="{00000000-0005-0000-0000-000018720000}"/>
    <cellStyle name="Normal 3 14 6" xfId="31241" xr:uid="{00000000-0005-0000-0000-000019720000}"/>
    <cellStyle name="Normal 3 15" xfId="2671" xr:uid="{00000000-0005-0000-0000-00001A720000}"/>
    <cellStyle name="Normal 3 15 2" xfId="2672" xr:uid="{00000000-0005-0000-0000-00001B720000}"/>
    <cellStyle name="Normal 3 15 2 2" xfId="7485" xr:uid="{00000000-0005-0000-0000-00001C720000}"/>
    <cellStyle name="Normal 3 15 2 2 2" xfId="14275" xr:uid="{00000000-0005-0000-0000-00001D720000}"/>
    <cellStyle name="Normal 3 15 2 2 2 2" xfId="27843" xr:uid="{00000000-0005-0000-0000-00001E720000}"/>
    <cellStyle name="Normal 3 15 2 2 2 2 2" xfId="54976" xr:uid="{00000000-0005-0000-0000-00001F720000}"/>
    <cellStyle name="Normal 3 15 2 2 2 3" xfId="41414" xr:uid="{00000000-0005-0000-0000-000020720000}"/>
    <cellStyle name="Normal 3 15 2 2 3" xfId="21062" xr:uid="{00000000-0005-0000-0000-000021720000}"/>
    <cellStyle name="Normal 3 15 2 2 3 2" xfId="48195" xr:uid="{00000000-0005-0000-0000-000022720000}"/>
    <cellStyle name="Normal 3 15 2 2 4" xfId="34633" xr:uid="{00000000-0005-0000-0000-000023720000}"/>
    <cellStyle name="Normal 3 15 2 3" xfId="10886" xr:uid="{00000000-0005-0000-0000-000024720000}"/>
    <cellStyle name="Normal 3 15 2 3 2" xfId="24454" xr:uid="{00000000-0005-0000-0000-000025720000}"/>
    <cellStyle name="Normal 3 15 2 3 2 2" xfId="51587" xr:uid="{00000000-0005-0000-0000-000026720000}"/>
    <cellStyle name="Normal 3 15 2 3 3" xfId="38025" xr:uid="{00000000-0005-0000-0000-000027720000}"/>
    <cellStyle name="Normal 3 15 2 4" xfId="17673" xr:uid="{00000000-0005-0000-0000-000028720000}"/>
    <cellStyle name="Normal 3 15 2 4 2" xfId="44806" xr:uid="{00000000-0005-0000-0000-000029720000}"/>
    <cellStyle name="Normal 3 15 2 5" xfId="31244" xr:uid="{00000000-0005-0000-0000-00002A720000}"/>
    <cellStyle name="Normal 3 15 3" xfId="7484" xr:uid="{00000000-0005-0000-0000-00002B720000}"/>
    <cellStyle name="Normal 3 15 3 2" xfId="14274" xr:uid="{00000000-0005-0000-0000-00002C720000}"/>
    <cellStyle name="Normal 3 15 3 2 2" xfId="27842" xr:uid="{00000000-0005-0000-0000-00002D720000}"/>
    <cellStyle name="Normal 3 15 3 2 2 2" xfId="54975" xr:uid="{00000000-0005-0000-0000-00002E720000}"/>
    <cellStyle name="Normal 3 15 3 2 3" xfId="41413" xr:uid="{00000000-0005-0000-0000-00002F720000}"/>
    <cellStyle name="Normal 3 15 3 3" xfId="21061" xr:uid="{00000000-0005-0000-0000-000030720000}"/>
    <cellStyle name="Normal 3 15 3 3 2" xfId="48194" xr:uid="{00000000-0005-0000-0000-000031720000}"/>
    <cellStyle name="Normal 3 15 3 4" xfId="34632" xr:uid="{00000000-0005-0000-0000-000032720000}"/>
    <cellStyle name="Normal 3 15 4" xfId="10885" xr:uid="{00000000-0005-0000-0000-000033720000}"/>
    <cellStyle name="Normal 3 15 4 2" xfId="24453" xr:uid="{00000000-0005-0000-0000-000034720000}"/>
    <cellStyle name="Normal 3 15 4 2 2" xfId="51586" xr:uid="{00000000-0005-0000-0000-000035720000}"/>
    <cellStyle name="Normal 3 15 4 3" xfId="38024" xr:uid="{00000000-0005-0000-0000-000036720000}"/>
    <cellStyle name="Normal 3 15 5" xfId="17672" xr:uid="{00000000-0005-0000-0000-000037720000}"/>
    <cellStyle name="Normal 3 15 5 2" xfId="44805" xr:uid="{00000000-0005-0000-0000-000038720000}"/>
    <cellStyle name="Normal 3 15 6" xfId="31243" xr:uid="{00000000-0005-0000-0000-000039720000}"/>
    <cellStyle name="Normal 3 16" xfId="2673" xr:uid="{00000000-0005-0000-0000-00003A720000}"/>
    <cellStyle name="Normal 3 16 2" xfId="2674" xr:uid="{00000000-0005-0000-0000-00003B720000}"/>
    <cellStyle name="Normal 3 16 2 2" xfId="7487" xr:uid="{00000000-0005-0000-0000-00003C720000}"/>
    <cellStyle name="Normal 3 16 2 2 2" xfId="14277" xr:uid="{00000000-0005-0000-0000-00003D720000}"/>
    <cellStyle name="Normal 3 16 2 2 2 2" xfId="27845" xr:uid="{00000000-0005-0000-0000-00003E720000}"/>
    <cellStyle name="Normal 3 16 2 2 2 2 2" xfId="54978" xr:uid="{00000000-0005-0000-0000-00003F720000}"/>
    <cellStyle name="Normal 3 16 2 2 2 3" xfId="41416" xr:uid="{00000000-0005-0000-0000-000040720000}"/>
    <cellStyle name="Normal 3 16 2 2 3" xfId="21064" xr:uid="{00000000-0005-0000-0000-000041720000}"/>
    <cellStyle name="Normal 3 16 2 2 3 2" xfId="48197" xr:uid="{00000000-0005-0000-0000-000042720000}"/>
    <cellStyle name="Normal 3 16 2 2 4" xfId="34635" xr:uid="{00000000-0005-0000-0000-000043720000}"/>
    <cellStyle name="Normal 3 16 2 3" xfId="10888" xr:uid="{00000000-0005-0000-0000-000044720000}"/>
    <cellStyle name="Normal 3 16 2 3 2" xfId="24456" xr:uid="{00000000-0005-0000-0000-000045720000}"/>
    <cellStyle name="Normal 3 16 2 3 2 2" xfId="51589" xr:uid="{00000000-0005-0000-0000-000046720000}"/>
    <cellStyle name="Normal 3 16 2 3 3" xfId="38027" xr:uid="{00000000-0005-0000-0000-000047720000}"/>
    <cellStyle name="Normal 3 16 2 4" xfId="17675" xr:uid="{00000000-0005-0000-0000-000048720000}"/>
    <cellStyle name="Normal 3 16 2 4 2" xfId="44808" xr:uid="{00000000-0005-0000-0000-000049720000}"/>
    <cellStyle name="Normal 3 16 2 5" xfId="31246" xr:uid="{00000000-0005-0000-0000-00004A720000}"/>
    <cellStyle name="Normal 3 16 3" xfId="7486" xr:uid="{00000000-0005-0000-0000-00004B720000}"/>
    <cellStyle name="Normal 3 16 3 2" xfId="14276" xr:uid="{00000000-0005-0000-0000-00004C720000}"/>
    <cellStyle name="Normal 3 16 3 2 2" xfId="27844" xr:uid="{00000000-0005-0000-0000-00004D720000}"/>
    <cellStyle name="Normal 3 16 3 2 2 2" xfId="54977" xr:uid="{00000000-0005-0000-0000-00004E720000}"/>
    <cellStyle name="Normal 3 16 3 2 3" xfId="41415" xr:uid="{00000000-0005-0000-0000-00004F720000}"/>
    <cellStyle name="Normal 3 16 3 3" xfId="21063" xr:uid="{00000000-0005-0000-0000-000050720000}"/>
    <cellStyle name="Normal 3 16 3 3 2" xfId="48196" xr:uid="{00000000-0005-0000-0000-000051720000}"/>
    <cellStyle name="Normal 3 16 3 4" xfId="34634" xr:uid="{00000000-0005-0000-0000-000052720000}"/>
    <cellStyle name="Normal 3 16 4" xfId="10887" xr:uid="{00000000-0005-0000-0000-000053720000}"/>
    <cellStyle name="Normal 3 16 4 2" xfId="24455" xr:uid="{00000000-0005-0000-0000-000054720000}"/>
    <cellStyle name="Normal 3 16 4 2 2" xfId="51588" xr:uid="{00000000-0005-0000-0000-000055720000}"/>
    <cellStyle name="Normal 3 16 4 3" xfId="38026" xr:uid="{00000000-0005-0000-0000-000056720000}"/>
    <cellStyle name="Normal 3 16 5" xfId="17674" xr:uid="{00000000-0005-0000-0000-000057720000}"/>
    <cellStyle name="Normal 3 16 5 2" xfId="44807" xr:uid="{00000000-0005-0000-0000-000058720000}"/>
    <cellStyle name="Normal 3 16 6" xfId="31245" xr:uid="{00000000-0005-0000-0000-000059720000}"/>
    <cellStyle name="Normal 3 17" xfId="2675" xr:uid="{00000000-0005-0000-0000-00005A720000}"/>
    <cellStyle name="Normal 3 17 2" xfId="2676" xr:uid="{00000000-0005-0000-0000-00005B720000}"/>
    <cellStyle name="Normal 3 17 2 2" xfId="7489" xr:uid="{00000000-0005-0000-0000-00005C720000}"/>
    <cellStyle name="Normal 3 17 2 2 2" xfId="14279" xr:uid="{00000000-0005-0000-0000-00005D720000}"/>
    <cellStyle name="Normal 3 17 2 2 2 2" xfId="27847" xr:uid="{00000000-0005-0000-0000-00005E720000}"/>
    <cellStyle name="Normal 3 17 2 2 2 2 2" xfId="54980" xr:uid="{00000000-0005-0000-0000-00005F720000}"/>
    <cellStyle name="Normal 3 17 2 2 2 3" xfId="41418" xr:uid="{00000000-0005-0000-0000-000060720000}"/>
    <cellStyle name="Normal 3 17 2 2 3" xfId="21066" xr:uid="{00000000-0005-0000-0000-000061720000}"/>
    <cellStyle name="Normal 3 17 2 2 3 2" xfId="48199" xr:uid="{00000000-0005-0000-0000-000062720000}"/>
    <cellStyle name="Normal 3 17 2 2 4" xfId="34637" xr:uid="{00000000-0005-0000-0000-000063720000}"/>
    <cellStyle name="Normal 3 17 2 3" xfId="10890" xr:uid="{00000000-0005-0000-0000-000064720000}"/>
    <cellStyle name="Normal 3 17 2 3 2" xfId="24458" xr:uid="{00000000-0005-0000-0000-000065720000}"/>
    <cellStyle name="Normal 3 17 2 3 2 2" xfId="51591" xr:uid="{00000000-0005-0000-0000-000066720000}"/>
    <cellStyle name="Normal 3 17 2 3 3" xfId="38029" xr:uid="{00000000-0005-0000-0000-000067720000}"/>
    <cellStyle name="Normal 3 17 2 4" xfId="17677" xr:uid="{00000000-0005-0000-0000-000068720000}"/>
    <cellStyle name="Normal 3 17 2 4 2" xfId="44810" xr:uid="{00000000-0005-0000-0000-000069720000}"/>
    <cellStyle name="Normal 3 17 2 5" xfId="31248" xr:uid="{00000000-0005-0000-0000-00006A720000}"/>
    <cellStyle name="Normal 3 17 3" xfId="7488" xr:uid="{00000000-0005-0000-0000-00006B720000}"/>
    <cellStyle name="Normal 3 17 3 2" xfId="14278" xr:uid="{00000000-0005-0000-0000-00006C720000}"/>
    <cellStyle name="Normal 3 17 3 2 2" xfId="27846" xr:uid="{00000000-0005-0000-0000-00006D720000}"/>
    <cellStyle name="Normal 3 17 3 2 2 2" xfId="54979" xr:uid="{00000000-0005-0000-0000-00006E720000}"/>
    <cellStyle name="Normal 3 17 3 2 3" xfId="41417" xr:uid="{00000000-0005-0000-0000-00006F720000}"/>
    <cellStyle name="Normal 3 17 3 3" xfId="21065" xr:uid="{00000000-0005-0000-0000-000070720000}"/>
    <cellStyle name="Normal 3 17 3 3 2" xfId="48198" xr:uid="{00000000-0005-0000-0000-000071720000}"/>
    <cellStyle name="Normal 3 17 3 4" xfId="34636" xr:uid="{00000000-0005-0000-0000-000072720000}"/>
    <cellStyle name="Normal 3 17 4" xfId="10889" xr:uid="{00000000-0005-0000-0000-000073720000}"/>
    <cellStyle name="Normal 3 17 4 2" xfId="24457" xr:uid="{00000000-0005-0000-0000-000074720000}"/>
    <cellStyle name="Normal 3 17 4 2 2" xfId="51590" xr:uid="{00000000-0005-0000-0000-000075720000}"/>
    <cellStyle name="Normal 3 17 4 3" xfId="38028" xr:uid="{00000000-0005-0000-0000-000076720000}"/>
    <cellStyle name="Normal 3 17 5" xfId="17676" xr:uid="{00000000-0005-0000-0000-000077720000}"/>
    <cellStyle name="Normal 3 17 5 2" xfId="44809" xr:uid="{00000000-0005-0000-0000-000078720000}"/>
    <cellStyle name="Normal 3 17 6" xfId="31247" xr:uid="{00000000-0005-0000-0000-000079720000}"/>
    <cellStyle name="Normal 3 18" xfId="2677" xr:uid="{00000000-0005-0000-0000-00007A720000}"/>
    <cellStyle name="Normal 3 18 2" xfId="7490" xr:uid="{00000000-0005-0000-0000-00007B720000}"/>
    <cellStyle name="Normal 3 18 2 2" xfId="14280" xr:uid="{00000000-0005-0000-0000-00007C720000}"/>
    <cellStyle name="Normal 3 18 2 2 2" xfId="27848" xr:uid="{00000000-0005-0000-0000-00007D720000}"/>
    <cellStyle name="Normal 3 18 2 2 2 2" xfId="54981" xr:uid="{00000000-0005-0000-0000-00007E720000}"/>
    <cellStyle name="Normal 3 18 2 2 3" xfId="41419" xr:uid="{00000000-0005-0000-0000-00007F720000}"/>
    <cellStyle name="Normal 3 18 2 3" xfId="21067" xr:uid="{00000000-0005-0000-0000-000080720000}"/>
    <cellStyle name="Normal 3 18 2 3 2" xfId="48200" xr:uid="{00000000-0005-0000-0000-000081720000}"/>
    <cellStyle name="Normal 3 18 2 4" xfId="34638" xr:uid="{00000000-0005-0000-0000-000082720000}"/>
    <cellStyle name="Normal 3 18 3" xfId="10891" xr:uid="{00000000-0005-0000-0000-000083720000}"/>
    <cellStyle name="Normal 3 18 3 2" xfId="24459" xr:uid="{00000000-0005-0000-0000-000084720000}"/>
    <cellStyle name="Normal 3 18 3 2 2" xfId="51592" xr:uid="{00000000-0005-0000-0000-000085720000}"/>
    <cellStyle name="Normal 3 18 3 3" xfId="38030" xr:uid="{00000000-0005-0000-0000-000086720000}"/>
    <cellStyle name="Normal 3 18 4" xfId="17678" xr:uid="{00000000-0005-0000-0000-000087720000}"/>
    <cellStyle name="Normal 3 18 4 2" xfId="44811" xr:uid="{00000000-0005-0000-0000-000088720000}"/>
    <cellStyle name="Normal 3 18 5" xfId="31249" xr:uid="{00000000-0005-0000-0000-000089720000}"/>
    <cellStyle name="Normal 3 19" xfId="5596" xr:uid="{00000000-0005-0000-0000-00008A720000}"/>
    <cellStyle name="Normal 3 19 10" xfId="5597" xr:uid="{00000000-0005-0000-0000-00008B720000}"/>
    <cellStyle name="Normal 3 19 10 2" xfId="9140" xr:uid="{00000000-0005-0000-0000-00008C720000}"/>
    <cellStyle name="Normal 3 19 10 2 2" xfId="15930" xr:uid="{00000000-0005-0000-0000-00008D720000}"/>
    <cellStyle name="Normal 3 19 10 2 2 2" xfId="29498" xr:uid="{00000000-0005-0000-0000-00008E720000}"/>
    <cellStyle name="Normal 3 19 10 2 2 2 2" xfId="56631" xr:uid="{00000000-0005-0000-0000-00008F720000}"/>
    <cellStyle name="Normal 3 19 10 2 2 3" xfId="43069" xr:uid="{00000000-0005-0000-0000-000090720000}"/>
    <cellStyle name="Normal 3 19 10 2 3" xfId="22717" xr:uid="{00000000-0005-0000-0000-000091720000}"/>
    <cellStyle name="Normal 3 19 10 2 3 2" xfId="49850" xr:uid="{00000000-0005-0000-0000-000092720000}"/>
    <cellStyle name="Normal 3 19 10 2 4" xfId="36288" xr:uid="{00000000-0005-0000-0000-000093720000}"/>
    <cellStyle name="Normal 3 19 10 3" xfId="12541" xr:uid="{00000000-0005-0000-0000-000094720000}"/>
    <cellStyle name="Normal 3 19 10 3 2" xfId="26109" xr:uid="{00000000-0005-0000-0000-000095720000}"/>
    <cellStyle name="Normal 3 19 10 3 2 2" xfId="53242" xr:uid="{00000000-0005-0000-0000-000096720000}"/>
    <cellStyle name="Normal 3 19 10 3 3" xfId="39680" xr:uid="{00000000-0005-0000-0000-000097720000}"/>
    <cellStyle name="Normal 3 19 10 4" xfId="19328" xr:uid="{00000000-0005-0000-0000-000098720000}"/>
    <cellStyle name="Normal 3 19 10 4 2" xfId="46461" xr:uid="{00000000-0005-0000-0000-000099720000}"/>
    <cellStyle name="Normal 3 19 10 5" xfId="32899" xr:uid="{00000000-0005-0000-0000-00009A720000}"/>
    <cellStyle name="Normal 3 19 11" xfId="5598" xr:uid="{00000000-0005-0000-0000-00009B720000}"/>
    <cellStyle name="Normal 3 19 11 2" xfId="9141" xr:uid="{00000000-0005-0000-0000-00009C720000}"/>
    <cellStyle name="Normal 3 19 11 2 2" xfId="15931" xr:uid="{00000000-0005-0000-0000-00009D720000}"/>
    <cellStyle name="Normal 3 19 11 2 2 2" xfId="29499" xr:uid="{00000000-0005-0000-0000-00009E720000}"/>
    <cellStyle name="Normal 3 19 11 2 2 2 2" xfId="56632" xr:uid="{00000000-0005-0000-0000-00009F720000}"/>
    <cellStyle name="Normal 3 19 11 2 2 3" xfId="43070" xr:uid="{00000000-0005-0000-0000-0000A0720000}"/>
    <cellStyle name="Normal 3 19 11 2 3" xfId="22718" xr:uid="{00000000-0005-0000-0000-0000A1720000}"/>
    <cellStyle name="Normal 3 19 11 2 3 2" xfId="49851" xr:uid="{00000000-0005-0000-0000-0000A2720000}"/>
    <cellStyle name="Normal 3 19 11 2 4" xfId="36289" xr:uid="{00000000-0005-0000-0000-0000A3720000}"/>
    <cellStyle name="Normal 3 19 11 3" xfId="12542" xr:uid="{00000000-0005-0000-0000-0000A4720000}"/>
    <cellStyle name="Normal 3 19 11 3 2" xfId="26110" xr:uid="{00000000-0005-0000-0000-0000A5720000}"/>
    <cellStyle name="Normal 3 19 11 3 2 2" xfId="53243" xr:uid="{00000000-0005-0000-0000-0000A6720000}"/>
    <cellStyle name="Normal 3 19 11 3 3" xfId="39681" xr:uid="{00000000-0005-0000-0000-0000A7720000}"/>
    <cellStyle name="Normal 3 19 11 4" xfId="19329" xr:uid="{00000000-0005-0000-0000-0000A8720000}"/>
    <cellStyle name="Normal 3 19 11 4 2" xfId="46462" xr:uid="{00000000-0005-0000-0000-0000A9720000}"/>
    <cellStyle name="Normal 3 19 11 5" xfId="32900" xr:uid="{00000000-0005-0000-0000-0000AA720000}"/>
    <cellStyle name="Normal 3 19 2" xfId="5599" xr:uid="{00000000-0005-0000-0000-0000AB720000}"/>
    <cellStyle name="Normal 3 19 2 10" xfId="5600" xr:uid="{00000000-0005-0000-0000-0000AC720000}"/>
    <cellStyle name="Normal 3 19 2 10 2" xfId="9143" xr:uid="{00000000-0005-0000-0000-0000AD720000}"/>
    <cellStyle name="Normal 3 19 2 10 2 2" xfId="15933" xr:uid="{00000000-0005-0000-0000-0000AE720000}"/>
    <cellStyle name="Normal 3 19 2 10 2 2 2" xfId="29501" xr:uid="{00000000-0005-0000-0000-0000AF720000}"/>
    <cellStyle name="Normal 3 19 2 10 2 2 2 2" xfId="56634" xr:uid="{00000000-0005-0000-0000-0000B0720000}"/>
    <cellStyle name="Normal 3 19 2 10 2 2 3" xfId="43072" xr:uid="{00000000-0005-0000-0000-0000B1720000}"/>
    <cellStyle name="Normal 3 19 2 10 2 3" xfId="22720" xr:uid="{00000000-0005-0000-0000-0000B2720000}"/>
    <cellStyle name="Normal 3 19 2 10 2 3 2" xfId="49853" xr:uid="{00000000-0005-0000-0000-0000B3720000}"/>
    <cellStyle name="Normal 3 19 2 10 2 4" xfId="36291" xr:uid="{00000000-0005-0000-0000-0000B4720000}"/>
    <cellStyle name="Normal 3 19 2 10 3" xfId="12544" xr:uid="{00000000-0005-0000-0000-0000B5720000}"/>
    <cellStyle name="Normal 3 19 2 10 3 2" xfId="26112" xr:uid="{00000000-0005-0000-0000-0000B6720000}"/>
    <cellStyle name="Normal 3 19 2 10 3 2 2" xfId="53245" xr:uid="{00000000-0005-0000-0000-0000B7720000}"/>
    <cellStyle name="Normal 3 19 2 10 3 3" xfId="39683" xr:uid="{00000000-0005-0000-0000-0000B8720000}"/>
    <cellStyle name="Normal 3 19 2 10 4" xfId="19331" xr:uid="{00000000-0005-0000-0000-0000B9720000}"/>
    <cellStyle name="Normal 3 19 2 10 4 2" xfId="46464" xr:uid="{00000000-0005-0000-0000-0000BA720000}"/>
    <cellStyle name="Normal 3 19 2 10 5" xfId="32902" xr:uid="{00000000-0005-0000-0000-0000BB720000}"/>
    <cellStyle name="Normal 3 19 2 11" xfId="9142" xr:uid="{00000000-0005-0000-0000-0000BC720000}"/>
    <cellStyle name="Normal 3 19 2 11 2" xfId="15932" xr:uid="{00000000-0005-0000-0000-0000BD720000}"/>
    <cellStyle name="Normal 3 19 2 11 2 2" xfId="29500" xr:uid="{00000000-0005-0000-0000-0000BE720000}"/>
    <cellStyle name="Normal 3 19 2 11 2 2 2" xfId="56633" xr:uid="{00000000-0005-0000-0000-0000BF720000}"/>
    <cellStyle name="Normal 3 19 2 11 2 3" xfId="43071" xr:uid="{00000000-0005-0000-0000-0000C0720000}"/>
    <cellStyle name="Normal 3 19 2 11 3" xfId="22719" xr:uid="{00000000-0005-0000-0000-0000C1720000}"/>
    <cellStyle name="Normal 3 19 2 11 3 2" xfId="49852" xr:uid="{00000000-0005-0000-0000-0000C2720000}"/>
    <cellStyle name="Normal 3 19 2 11 4" xfId="36290" xr:uid="{00000000-0005-0000-0000-0000C3720000}"/>
    <cellStyle name="Normal 3 19 2 12" xfId="12543" xr:uid="{00000000-0005-0000-0000-0000C4720000}"/>
    <cellStyle name="Normal 3 19 2 12 2" xfId="26111" xr:uid="{00000000-0005-0000-0000-0000C5720000}"/>
    <cellStyle name="Normal 3 19 2 12 2 2" xfId="53244" xr:uid="{00000000-0005-0000-0000-0000C6720000}"/>
    <cellStyle name="Normal 3 19 2 12 3" xfId="39682" xr:uid="{00000000-0005-0000-0000-0000C7720000}"/>
    <cellStyle name="Normal 3 19 2 13" xfId="19330" xr:uid="{00000000-0005-0000-0000-0000C8720000}"/>
    <cellStyle name="Normal 3 19 2 13 2" xfId="46463" xr:uid="{00000000-0005-0000-0000-0000C9720000}"/>
    <cellStyle name="Normal 3 19 2 14" xfId="32901" xr:uid="{00000000-0005-0000-0000-0000CA720000}"/>
    <cellStyle name="Normal 3 19 2 2" xfId="5601" xr:uid="{00000000-0005-0000-0000-0000CB720000}"/>
    <cellStyle name="Normal 3 19 2 2 10" xfId="12545" xr:uid="{00000000-0005-0000-0000-0000CC720000}"/>
    <cellStyle name="Normal 3 19 2 2 10 2" xfId="26113" xr:uid="{00000000-0005-0000-0000-0000CD720000}"/>
    <cellStyle name="Normal 3 19 2 2 10 2 2" xfId="53246" xr:uid="{00000000-0005-0000-0000-0000CE720000}"/>
    <cellStyle name="Normal 3 19 2 2 10 3" xfId="39684" xr:uid="{00000000-0005-0000-0000-0000CF720000}"/>
    <cellStyle name="Normal 3 19 2 2 11" xfId="19332" xr:uid="{00000000-0005-0000-0000-0000D0720000}"/>
    <cellStyle name="Normal 3 19 2 2 11 2" xfId="46465" xr:uid="{00000000-0005-0000-0000-0000D1720000}"/>
    <cellStyle name="Normal 3 19 2 2 12" xfId="32903" xr:uid="{00000000-0005-0000-0000-0000D2720000}"/>
    <cellStyle name="Normal 3 19 2 2 2" xfId="5602" xr:uid="{00000000-0005-0000-0000-0000D3720000}"/>
    <cellStyle name="Normal 3 19 2 2 2 10" xfId="32904" xr:uid="{00000000-0005-0000-0000-0000D4720000}"/>
    <cellStyle name="Normal 3 19 2 2 2 2" xfId="5603" xr:uid="{00000000-0005-0000-0000-0000D5720000}"/>
    <cellStyle name="Normal 3 19 2 2 2 2 2" xfId="5604" xr:uid="{00000000-0005-0000-0000-0000D6720000}"/>
    <cellStyle name="Normal 3 19 2 2 2 2 2 2" xfId="5605" xr:uid="{00000000-0005-0000-0000-0000D7720000}"/>
    <cellStyle name="Normal 3 19 2 2 2 2 2 2 2" xfId="9148" xr:uid="{00000000-0005-0000-0000-0000D8720000}"/>
    <cellStyle name="Normal 3 19 2 2 2 2 2 2 2 2" xfId="15938" xr:uid="{00000000-0005-0000-0000-0000D9720000}"/>
    <cellStyle name="Normal 3 19 2 2 2 2 2 2 2 2 2" xfId="29506" xr:uid="{00000000-0005-0000-0000-0000DA720000}"/>
    <cellStyle name="Normal 3 19 2 2 2 2 2 2 2 2 2 2" xfId="56639" xr:uid="{00000000-0005-0000-0000-0000DB720000}"/>
    <cellStyle name="Normal 3 19 2 2 2 2 2 2 2 2 3" xfId="43077" xr:uid="{00000000-0005-0000-0000-0000DC720000}"/>
    <cellStyle name="Normal 3 19 2 2 2 2 2 2 2 3" xfId="22725" xr:uid="{00000000-0005-0000-0000-0000DD720000}"/>
    <cellStyle name="Normal 3 19 2 2 2 2 2 2 2 3 2" xfId="49858" xr:uid="{00000000-0005-0000-0000-0000DE720000}"/>
    <cellStyle name="Normal 3 19 2 2 2 2 2 2 2 4" xfId="36296" xr:uid="{00000000-0005-0000-0000-0000DF720000}"/>
    <cellStyle name="Normal 3 19 2 2 2 2 2 2 3" xfId="12549" xr:uid="{00000000-0005-0000-0000-0000E0720000}"/>
    <cellStyle name="Normal 3 19 2 2 2 2 2 2 3 2" xfId="26117" xr:uid="{00000000-0005-0000-0000-0000E1720000}"/>
    <cellStyle name="Normal 3 19 2 2 2 2 2 2 3 2 2" xfId="53250" xr:uid="{00000000-0005-0000-0000-0000E2720000}"/>
    <cellStyle name="Normal 3 19 2 2 2 2 2 2 3 3" xfId="39688" xr:uid="{00000000-0005-0000-0000-0000E3720000}"/>
    <cellStyle name="Normal 3 19 2 2 2 2 2 2 4" xfId="19336" xr:uid="{00000000-0005-0000-0000-0000E4720000}"/>
    <cellStyle name="Normal 3 19 2 2 2 2 2 2 4 2" xfId="46469" xr:uid="{00000000-0005-0000-0000-0000E5720000}"/>
    <cellStyle name="Normal 3 19 2 2 2 2 2 2 5" xfId="32907" xr:uid="{00000000-0005-0000-0000-0000E6720000}"/>
    <cellStyle name="Normal 3 19 2 2 2 2 2 3" xfId="5606" xr:uid="{00000000-0005-0000-0000-0000E7720000}"/>
    <cellStyle name="Normal 3 19 2 2 2 2 2 3 2" xfId="9149" xr:uid="{00000000-0005-0000-0000-0000E8720000}"/>
    <cellStyle name="Normal 3 19 2 2 2 2 2 3 2 2" xfId="15939" xr:uid="{00000000-0005-0000-0000-0000E9720000}"/>
    <cellStyle name="Normal 3 19 2 2 2 2 2 3 2 2 2" xfId="29507" xr:uid="{00000000-0005-0000-0000-0000EA720000}"/>
    <cellStyle name="Normal 3 19 2 2 2 2 2 3 2 2 2 2" xfId="56640" xr:uid="{00000000-0005-0000-0000-0000EB720000}"/>
    <cellStyle name="Normal 3 19 2 2 2 2 2 3 2 2 3" xfId="43078" xr:uid="{00000000-0005-0000-0000-0000EC720000}"/>
    <cellStyle name="Normal 3 19 2 2 2 2 2 3 2 3" xfId="22726" xr:uid="{00000000-0005-0000-0000-0000ED720000}"/>
    <cellStyle name="Normal 3 19 2 2 2 2 2 3 2 3 2" xfId="49859" xr:uid="{00000000-0005-0000-0000-0000EE720000}"/>
    <cellStyle name="Normal 3 19 2 2 2 2 2 3 2 4" xfId="36297" xr:uid="{00000000-0005-0000-0000-0000EF720000}"/>
    <cellStyle name="Normal 3 19 2 2 2 2 2 3 3" xfId="12550" xr:uid="{00000000-0005-0000-0000-0000F0720000}"/>
    <cellStyle name="Normal 3 19 2 2 2 2 2 3 3 2" xfId="26118" xr:uid="{00000000-0005-0000-0000-0000F1720000}"/>
    <cellStyle name="Normal 3 19 2 2 2 2 2 3 3 2 2" xfId="53251" xr:uid="{00000000-0005-0000-0000-0000F2720000}"/>
    <cellStyle name="Normal 3 19 2 2 2 2 2 3 3 3" xfId="39689" xr:uid="{00000000-0005-0000-0000-0000F3720000}"/>
    <cellStyle name="Normal 3 19 2 2 2 2 2 3 4" xfId="19337" xr:uid="{00000000-0005-0000-0000-0000F4720000}"/>
    <cellStyle name="Normal 3 19 2 2 2 2 2 3 4 2" xfId="46470" xr:uid="{00000000-0005-0000-0000-0000F5720000}"/>
    <cellStyle name="Normal 3 19 2 2 2 2 2 3 5" xfId="32908" xr:uid="{00000000-0005-0000-0000-0000F6720000}"/>
    <cellStyle name="Normal 3 19 2 2 2 2 2 4" xfId="9147" xr:uid="{00000000-0005-0000-0000-0000F7720000}"/>
    <cellStyle name="Normal 3 19 2 2 2 2 2 4 2" xfId="15937" xr:uid="{00000000-0005-0000-0000-0000F8720000}"/>
    <cellStyle name="Normal 3 19 2 2 2 2 2 4 2 2" xfId="29505" xr:uid="{00000000-0005-0000-0000-0000F9720000}"/>
    <cellStyle name="Normal 3 19 2 2 2 2 2 4 2 2 2" xfId="56638" xr:uid="{00000000-0005-0000-0000-0000FA720000}"/>
    <cellStyle name="Normal 3 19 2 2 2 2 2 4 2 3" xfId="43076" xr:uid="{00000000-0005-0000-0000-0000FB720000}"/>
    <cellStyle name="Normal 3 19 2 2 2 2 2 4 3" xfId="22724" xr:uid="{00000000-0005-0000-0000-0000FC720000}"/>
    <cellStyle name="Normal 3 19 2 2 2 2 2 4 3 2" xfId="49857" xr:uid="{00000000-0005-0000-0000-0000FD720000}"/>
    <cellStyle name="Normal 3 19 2 2 2 2 2 4 4" xfId="36295" xr:uid="{00000000-0005-0000-0000-0000FE720000}"/>
    <cellStyle name="Normal 3 19 2 2 2 2 2 5" xfId="12548" xr:uid="{00000000-0005-0000-0000-0000FF720000}"/>
    <cellStyle name="Normal 3 19 2 2 2 2 2 5 2" xfId="26116" xr:uid="{00000000-0005-0000-0000-000000730000}"/>
    <cellStyle name="Normal 3 19 2 2 2 2 2 5 2 2" xfId="53249" xr:uid="{00000000-0005-0000-0000-000001730000}"/>
    <cellStyle name="Normal 3 19 2 2 2 2 2 5 3" xfId="39687" xr:uid="{00000000-0005-0000-0000-000002730000}"/>
    <cellStyle name="Normal 3 19 2 2 2 2 2 6" xfId="19335" xr:uid="{00000000-0005-0000-0000-000003730000}"/>
    <cellStyle name="Normal 3 19 2 2 2 2 2 6 2" xfId="46468" xr:uid="{00000000-0005-0000-0000-000004730000}"/>
    <cellStyle name="Normal 3 19 2 2 2 2 2 7" xfId="32906" xr:uid="{00000000-0005-0000-0000-000005730000}"/>
    <cellStyle name="Normal 3 19 2 2 2 2 3" xfId="5607" xr:uid="{00000000-0005-0000-0000-000006730000}"/>
    <cellStyle name="Normal 3 19 2 2 2 2 3 2" xfId="5608" xr:uid="{00000000-0005-0000-0000-000007730000}"/>
    <cellStyle name="Normal 3 19 2 2 2 2 3 2 2" xfId="9151" xr:uid="{00000000-0005-0000-0000-000008730000}"/>
    <cellStyle name="Normal 3 19 2 2 2 2 3 2 2 2" xfId="15941" xr:uid="{00000000-0005-0000-0000-000009730000}"/>
    <cellStyle name="Normal 3 19 2 2 2 2 3 2 2 2 2" xfId="29509" xr:uid="{00000000-0005-0000-0000-00000A730000}"/>
    <cellStyle name="Normal 3 19 2 2 2 2 3 2 2 2 2 2" xfId="56642" xr:uid="{00000000-0005-0000-0000-00000B730000}"/>
    <cellStyle name="Normal 3 19 2 2 2 2 3 2 2 2 3" xfId="43080" xr:uid="{00000000-0005-0000-0000-00000C730000}"/>
    <cellStyle name="Normal 3 19 2 2 2 2 3 2 2 3" xfId="22728" xr:uid="{00000000-0005-0000-0000-00000D730000}"/>
    <cellStyle name="Normal 3 19 2 2 2 2 3 2 2 3 2" xfId="49861" xr:uid="{00000000-0005-0000-0000-00000E730000}"/>
    <cellStyle name="Normal 3 19 2 2 2 2 3 2 2 4" xfId="36299" xr:uid="{00000000-0005-0000-0000-00000F730000}"/>
    <cellStyle name="Normal 3 19 2 2 2 2 3 2 3" xfId="12552" xr:uid="{00000000-0005-0000-0000-000010730000}"/>
    <cellStyle name="Normal 3 19 2 2 2 2 3 2 3 2" xfId="26120" xr:uid="{00000000-0005-0000-0000-000011730000}"/>
    <cellStyle name="Normal 3 19 2 2 2 2 3 2 3 2 2" xfId="53253" xr:uid="{00000000-0005-0000-0000-000012730000}"/>
    <cellStyle name="Normal 3 19 2 2 2 2 3 2 3 3" xfId="39691" xr:uid="{00000000-0005-0000-0000-000013730000}"/>
    <cellStyle name="Normal 3 19 2 2 2 2 3 2 4" xfId="19339" xr:uid="{00000000-0005-0000-0000-000014730000}"/>
    <cellStyle name="Normal 3 19 2 2 2 2 3 2 4 2" xfId="46472" xr:uid="{00000000-0005-0000-0000-000015730000}"/>
    <cellStyle name="Normal 3 19 2 2 2 2 3 2 5" xfId="32910" xr:uid="{00000000-0005-0000-0000-000016730000}"/>
    <cellStyle name="Normal 3 19 2 2 2 2 3 3" xfId="9150" xr:uid="{00000000-0005-0000-0000-000017730000}"/>
    <cellStyle name="Normal 3 19 2 2 2 2 3 3 2" xfId="15940" xr:uid="{00000000-0005-0000-0000-000018730000}"/>
    <cellStyle name="Normal 3 19 2 2 2 2 3 3 2 2" xfId="29508" xr:uid="{00000000-0005-0000-0000-000019730000}"/>
    <cellStyle name="Normal 3 19 2 2 2 2 3 3 2 2 2" xfId="56641" xr:uid="{00000000-0005-0000-0000-00001A730000}"/>
    <cellStyle name="Normal 3 19 2 2 2 2 3 3 2 3" xfId="43079" xr:uid="{00000000-0005-0000-0000-00001B730000}"/>
    <cellStyle name="Normal 3 19 2 2 2 2 3 3 3" xfId="22727" xr:uid="{00000000-0005-0000-0000-00001C730000}"/>
    <cellStyle name="Normal 3 19 2 2 2 2 3 3 3 2" xfId="49860" xr:uid="{00000000-0005-0000-0000-00001D730000}"/>
    <cellStyle name="Normal 3 19 2 2 2 2 3 3 4" xfId="36298" xr:uid="{00000000-0005-0000-0000-00001E730000}"/>
    <cellStyle name="Normal 3 19 2 2 2 2 3 4" xfId="12551" xr:uid="{00000000-0005-0000-0000-00001F730000}"/>
    <cellStyle name="Normal 3 19 2 2 2 2 3 4 2" xfId="26119" xr:uid="{00000000-0005-0000-0000-000020730000}"/>
    <cellStyle name="Normal 3 19 2 2 2 2 3 4 2 2" xfId="53252" xr:uid="{00000000-0005-0000-0000-000021730000}"/>
    <cellStyle name="Normal 3 19 2 2 2 2 3 4 3" xfId="39690" xr:uid="{00000000-0005-0000-0000-000022730000}"/>
    <cellStyle name="Normal 3 19 2 2 2 2 3 5" xfId="19338" xr:uid="{00000000-0005-0000-0000-000023730000}"/>
    <cellStyle name="Normal 3 19 2 2 2 2 3 5 2" xfId="46471" xr:uid="{00000000-0005-0000-0000-000024730000}"/>
    <cellStyle name="Normal 3 19 2 2 2 2 3 6" xfId="32909" xr:uid="{00000000-0005-0000-0000-000025730000}"/>
    <cellStyle name="Normal 3 19 2 2 2 2 4" xfId="5609" xr:uid="{00000000-0005-0000-0000-000026730000}"/>
    <cellStyle name="Normal 3 19 2 2 2 2 4 2" xfId="9152" xr:uid="{00000000-0005-0000-0000-000027730000}"/>
    <cellStyle name="Normal 3 19 2 2 2 2 4 2 2" xfId="15942" xr:uid="{00000000-0005-0000-0000-000028730000}"/>
    <cellStyle name="Normal 3 19 2 2 2 2 4 2 2 2" xfId="29510" xr:uid="{00000000-0005-0000-0000-000029730000}"/>
    <cellStyle name="Normal 3 19 2 2 2 2 4 2 2 2 2" xfId="56643" xr:uid="{00000000-0005-0000-0000-00002A730000}"/>
    <cellStyle name="Normal 3 19 2 2 2 2 4 2 2 3" xfId="43081" xr:uid="{00000000-0005-0000-0000-00002B730000}"/>
    <cellStyle name="Normal 3 19 2 2 2 2 4 2 3" xfId="22729" xr:uid="{00000000-0005-0000-0000-00002C730000}"/>
    <cellStyle name="Normal 3 19 2 2 2 2 4 2 3 2" xfId="49862" xr:uid="{00000000-0005-0000-0000-00002D730000}"/>
    <cellStyle name="Normal 3 19 2 2 2 2 4 2 4" xfId="36300" xr:uid="{00000000-0005-0000-0000-00002E730000}"/>
    <cellStyle name="Normal 3 19 2 2 2 2 4 3" xfId="12553" xr:uid="{00000000-0005-0000-0000-00002F730000}"/>
    <cellStyle name="Normal 3 19 2 2 2 2 4 3 2" xfId="26121" xr:uid="{00000000-0005-0000-0000-000030730000}"/>
    <cellStyle name="Normal 3 19 2 2 2 2 4 3 2 2" xfId="53254" xr:uid="{00000000-0005-0000-0000-000031730000}"/>
    <cellStyle name="Normal 3 19 2 2 2 2 4 3 3" xfId="39692" xr:uid="{00000000-0005-0000-0000-000032730000}"/>
    <cellStyle name="Normal 3 19 2 2 2 2 4 4" xfId="19340" xr:uid="{00000000-0005-0000-0000-000033730000}"/>
    <cellStyle name="Normal 3 19 2 2 2 2 4 4 2" xfId="46473" xr:uid="{00000000-0005-0000-0000-000034730000}"/>
    <cellStyle name="Normal 3 19 2 2 2 2 4 5" xfId="32911" xr:uid="{00000000-0005-0000-0000-000035730000}"/>
    <cellStyle name="Normal 3 19 2 2 2 2 5" xfId="5610" xr:uid="{00000000-0005-0000-0000-000036730000}"/>
    <cellStyle name="Normal 3 19 2 2 2 2 5 2" xfId="9153" xr:uid="{00000000-0005-0000-0000-000037730000}"/>
    <cellStyle name="Normal 3 19 2 2 2 2 5 2 2" xfId="15943" xr:uid="{00000000-0005-0000-0000-000038730000}"/>
    <cellStyle name="Normal 3 19 2 2 2 2 5 2 2 2" xfId="29511" xr:uid="{00000000-0005-0000-0000-000039730000}"/>
    <cellStyle name="Normal 3 19 2 2 2 2 5 2 2 2 2" xfId="56644" xr:uid="{00000000-0005-0000-0000-00003A730000}"/>
    <cellStyle name="Normal 3 19 2 2 2 2 5 2 2 3" xfId="43082" xr:uid="{00000000-0005-0000-0000-00003B730000}"/>
    <cellStyle name="Normal 3 19 2 2 2 2 5 2 3" xfId="22730" xr:uid="{00000000-0005-0000-0000-00003C730000}"/>
    <cellStyle name="Normal 3 19 2 2 2 2 5 2 3 2" xfId="49863" xr:uid="{00000000-0005-0000-0000-00003D730000}"/>
    <cellStyle name="Normal 3 19 2 2 2 2 5 2 4" xfId="36301" xr:uid="{00000000-0005-0000-0000-00003E730000}"/>
    <cellStyle name="Normal 3 19 2 2 2 2 5 3" xfId="12554" xr:uid="{00000000-0005-0000-0000-00003F730000}"/>
    <cellStyle name="Normal 3 19 2 2 2 2 5 3 2" xfId="26122" xr:uid="{00000000-0005-0000-0000-000040730000}"/>
    <cellStyle name="Normal 3 19 2 2 2 2 5 3 2 2" xfId="53255" xr:uid="{00000000-0005-0000-0000-000041730000}"/>
    <cellStyle name="Normal 3 19 2 2 2 2 5 3 3" xfId="39693" xr:uid="{00000000-0005-0000-0000-000042730000}"/>
    <cellStyle name="Normal 3 19 2 2 2 2 5 4" xfId="19341" xr:uid="{00000000-0005-0000-0000-000043730000}"/>
    <cellStyle name="Normal 3 19 2 2 2 2 5 4 2" xfId="46474" xr:uid="{00000000-0005-0000-0000-000044730000}"/>
    <cellStyle name="Normal 3 19 2 2 2 2 5 5" xfId="32912" xr:uid="{00000000-0005-0000-0000-000045730000}"/>
    <cellStyle name="Normal 3 19 2 2 2 2 6" xfId="9146" xr:uid="{00000000-0005-0000-0000-000046730000}"/>
    <cellStyle name="Normal 3 19 2 2 2 2 6 2" xfId="15936" xr:uid="{00000000-0005-0000-0000-000047730000}"/>
    <cellStyle name="Normal 3 19 2 2 2 2 6 2 2" xfId="29504" xr:uid="{00000000-0005-0000-0000-000048730000}"/>
    <cellStyle name="Normal 3 19 2 2 2 2 6 2 2 2" xfId="56637" xr:uid="{00000000-0005-0000-0000-000049730000}"/>
    <cellStyle name="Normal 3 19 2 2 2 2 6 2 3" xfId="43075" xr:uid="{00000000-0005-0000-0000-00004A730000}"/>
    <cellStyle name="Normal 3 19 2 2 2 2 6 3" xfId="22723" xr:uid="{00000000-0005-0000-0000-00004B730000}"/>
    <cellStyle name="Normal 3 19 2 2 2 2 6 3 2" xfId="49856" xr:uid="{00000000-0005-0000-0000-00004C730000}"/>
    <cellStyle name="Normal 3 19 2 2 2 2 6 4" xfId="36294" xr:uid="{00000000-0005-0000-0000-00004D730000}"/>
    <cellStyle name="Normal 3 19 2 2 2 2 7" xfId="12547" xr:uid="{00000000-0005-0000-0000-00004E730000}"/>
    <cellStyle name="Normal 3 19 2 2 2 2 7 2" xfId="26115" xr:uid="{00000000-0005-0000-0000-00004F730000}"/>
    <cellStyle name="Normal 3 19 2 2 2 2 7 2 2" xfId="53248" xr:uid="{00000000-0005-0000-0000-000050730000}"/>
    <cellStyle name="Normal 3 19 2 2 2 2 7 3" xfId="39686" xr:uid="{00000000-0005-0000-0000-000051730000}"/>
    <cellStyle name="Normal 3 19 2 2 2 2 8" xfId="19334" xr:uid="{00000000-0005-0000-0000-000052730000}"/>
    <cellStyle name="Normal 3 19 2 2 2 2 8 2" xfId="46467" xr:uid="{00000000-0005-0000-0000-000053730000}"/>
    <cellStyle name="Normal 3 19 2 2 2 2 9" xfId="32905" xr:uid="{00000000-0005-0000-0000-000054730000}"/>
    <cellStyle name="Normal 3 19 2 2 2 3" xfId="5611" xr:uid="{00000000-0005-0000-0000-000055730000}"/>
    <cellStyle name="Normal 3 19 2 2 2 3 2" xfId="5612" xr:uid="{00000000-0005-0000-0000-000056730000}"/>
    <cellStyle name="Normal 3 19 2 2 2 3 2 2" xfId="9155" xr:uid="{00000000-0005-0000-0000-000057730000}"/>
    <cellStyle name="Normal 3 19 2 2 2 3 2 2 2" xfId="15945" xr:uid="{00000000-0005-0000-0000-000058730000}"/>
    <cellStyle name="Normal 3 19 2 2 2 3 2 2 2 2" xfId="29513" xr:uid="{00000000-0005-0000-0000-000059730000}"/>
    <cellStyle name="Normal 3 19 2 2 2 3 2 2 2 2 2" xfId="56646" xr:uid="{00000000-0005-0000-0000-00005A730000}"/>
    <cellStyle name="Normal 3 19 2 2 2 3 2 2 2 3" xfId="43084" xr:uid="{00000000-0005-0000-0000-00005B730000}"/>
    <cellStyle name="Normal 3 19 2 2 2 3 2 2 3" xfId="22732" xr:uid="{00000000-0005-0000-0000-00005C730000}"/>
    <cellStyle name="Normal 3 19 2 2 2 3 2 2 3 2" xfId="49865" xr:uid="{00000000-0005-0000-0000-00005D730000}"/>
    <cellStyle name="Normal 3 19 2 2 2 3 2 2 4" xfId="36303" xr:uid="{00000000-0005-0000-0000-00005E730000}"/>
    <cellStyle name="Normal 3 19 2 2 2 3 2 3" xfId="12556" xr:uid="{00000000-0005-0000-0000-00005F730000}"/>
    <cellStyle name="Normal 3 19 2 2 2 3 2 3 2" xfId="26124" xr:uid="{00000000-0005-0000-0000-000060730000}"/>
    <cellStyle name="Normal 3 19 2 2 2 3 2 3 2 2" xfId="53257" xr:uid="{00000000-0005-0000-0000-000061730000}"/>
    <cellStyle name="Normal 3 19 2 2 2 3 2 3 3" xfId="39695" xr:uid="{00000000-0005-0000-0000-000062730000}"/>
    <cellStyle name="Normal 3 19 2 2 2 3 2 4" xfId="19343" xr:uid="{00000000-0005-0000-0000-000063730000}"/>
    <cellStyle name="Normal 3 19 2 2 2 3 2 4 2" xfId="46476" xr:uid="{00000000-0005-0000-0000-000064730000}"/>
    <cellStyle name="Normal 3 19 2 2 2 3 2 5" xfId="32914" xr:uid="{00000000-0005-0000-0000-000065730000}"/>
    <cellStyle name="Normal 3 19 2 2 2 3 3" xfId="5613" xr:uid="{00000000-0005-0000-0000-000066730000}"/>
    <cellStyle name="Normal 3 19 2 2 2 3 3 2" xfId="9156" xr:uid="{00000000-0005-0000-0000-000067730000}"/>
    <cellStyle name="Normal 3 19 2 2 2 3 3 2 2" xfId="15946" xr:uid="{00000000-0005-0000-0000-000068730000}"/>
    <cellStyle name="Normal 3 19 2 2 2 3 3 2 2 2" xfId="29514" xr:uid="{00000000-0005-0000-0000-000069730000}"/>
    <cellStyle name="Normal 3 19 2 2 2 3 3 2 2 2 2" xfId="56647" xr:uid="{00000000-0005-0000-0000-00006A730000}"/>
    <cellStyle name="Normal 3 19 2 2 2 3 3 2 2 3" xfId="43085" xr:uid="{00000000-0005-0000-0000-00006B730000}"/>
    <cellStyle name="Normal 3 19 2 2 2 3 3 2 3" xfId="22733" xr:uid="{00000000-0005-0000-0000-00006C730000}"/>
    <cellStyle name="Normal 3 19 2 2 2 3 3 2 3 2" xfId="49866" xr:uid="{00000000-0005-0000-0000-00006D730000}"/>
    <cellStyle name="Normal 3 19 2 2 2 3 3 2 4" xfId="36304" xr:uid="{00000000-0005-0000-0000-00006E730000}"/>
    <cellStyle name="Normal 3 19 2 2 2 3 3 3" xfId="12557" xr:uid="{00000000-0005-0000-0000-00006F730000}"/>
    <cellStyle name="Normal 3 19 2 2 2 3 3 3 2" xfId="26125" xr:uid="{00000000-0005-0000-0000-000070730000}"/>
    <cellStyle name="Normal 3 19 2 2 2 3 3 3 2 2" xfId="53258" xr:uid="{00000000-0005-0000-0000-000071730000}"/>
    <cellStyle name="Normal 3 19 2 2 2 3 3 3 3" xfId="39696" xr:uid="{00000000-0005-0000-0000-000072730000}"/>
    <cellStyle name="Normal 3 19 2 2 2 3 3 4" xfId="19344" xr:uid="{00000000-0005-0000-0000-000073730000}"/>
    <cellStyle name="Normal 3 19 2 2 2 3 3 4 2" xfId="46477" xr:uid="{00000000-0005-0000-0000-000074730000}"/>
    <cellStyle name="Normal 3 19 2 2 2 3 3 5" xfId="32915" xr:uid="{00000000-0005-0000-0000-000075730000}"/>
    <cellStyle name="Normal 3 19 2 2 2 3 4" xfId="9154" xr:uid="{00000000-0005-0000-0000-000076730000}"/>
    <cellStyle name="Normal 3 19 2 2 2 3 4 2" xfId="15944" xr:uid="{00000000-0005-0000-0000-000077730000}"/>
    <cellStyle name="Normal 3 19 2 2 2 3 4 2 2" xfId="29512" xr:uid="{00000000-0005-0000-0000-000078730000}"/>
    <cellStyle name="Normal 3 19 2 2 2 3 4 2 2 2" xfId="56645" xr:uid="{00000000-0005-0000-0000-000079730000}"/>
    <cellStyle name="Normal 3 19 2 2 2 3 4 2 3" xfId="43083" xr:uid="{00000000-0005-0000-0000-00007A730000}"/>
    <cellStyle name="Normal 3 19 2 2 2 3 4 3" xfId="22731" xr:uid="{00000000-0005-0000-0000-00007B730000}"/>
    <cellStyle name="Normal 3 19 2 2 2 3 4 3 2" xfId="49864" xr:uid="{00000000-0005-0000-0000-00007C730000}"/>
    <cellStyle name="Normal 3 19 2 2 2 3 4 4" xfId="36302" xr:uid="{00000000-0005-0000-0000-00007D730000}"/>
    <cellStyle name="Normal 3 19 2 2 2 3 5" xfId="12555" xr:uid="{00000000-0005-0000-0000-00007E730000}"/>
    <cellStyle name="Normal 3 19 2 2 2 3 5 2" xfId="26123" xr:uid="{00000000-0005-0000-0000-00007F730000}"/>
    <cellStyle name="Normal 3 19 2 2 2 3 5 2 2" xfId="53256" xr:uid="{00000000-0005-0000-0000-000080730000}"/>
    <cellStyle name="Normal 3 19 2 2 2 3 5 3" xfId="39694" xr:uid="{00000000-0005-0000-0000-000081730000}"/>
    <cellStyle name="Normal 3 19 2 2 2 3 6" xfId="19342" xr:uid="{00000000-0005-0000-0000-000082730000}"/>
    <cellStyle name="Normal 3 19 2 2 2 3 6 2" xfId="46475" xr:uid="{00000000-0005-0000-0000-000083730000}"/>
    <cellStyle name="Normal 3 19 2 2 2 3 7" xfId="32913" xr:uid="{00000000-0005-0000-0000-000084730000}"/>
    <cellStyle name="Normal 3 19 2 2 2 4" xfId="5614" xr:uid="{00000000-0005-0000-0000-000085730000}"/>
    <cellStyle name="Normal 3 19 2 2 2 4 2" xfId="5615" xr:uid="{00000000-0005-0000-0000-000086730000}"/>
    <cellStyle name="Normal 3 19 2 2 2 4 2 2" xfId="9158" xr:uid="{00000000-0005-0000-0000-000087730000}"/>
    <cellStyle name="Normal 3 19 2 2 2 4 2 2 2" xfId="15948" xr:uid="{00000000-0005-0000-0000-000088730000}"/>
    <cellStyle name="Normal 3 19 2 2 2 4 2 2 2 2" xfId="29516" xr:uid="{00000000-0005-0000-0000-000089730000}"/>
    <cellStyle name="Normal 3 19 2 2 2 4 2 2 2 2 2" xfId="56649" xr:uid="{00000000-0005-0000-0000-00008A730000}"/>
    <cellStyle name="Normal 3 19 2 2 2 4 2 2 2 3" xfId="43087" xr:uid="{00000000-0005-0000-0000-00008B730000}"/>
    <cellStyle name="Normal 3 19 2 2 2 4 2 2 3" xfId="22735" xr:uid="{00000000-0005-0000-0000-00008C730000}"/>
    <cellStyle name="Normal 3 19 2 2 2 4 2 2 3 2" xfId="49868" xr:uid="{00000000-0005-0000-0000-00008D730000}"/>
    <cellStyle name="Normal 3 19 2 2 2 4 2 2 4" xfId="36306" xr:uid="{00000000-0005-0000-0000-00008E730000}"/>
    <cellStyle name="Normal 3 19 2 2 2 4 2 3" xfId="12559" xr:uid="{00000000-0005-0000-0000-00008F730000}"/>
    <cellStyle name="Normal 3 19 2 2 2 4 2 3 2" xfId="26127" xr:uid="{00000000-0005-0000-0000-000090730000}"/>
    <cellStyle name="Normal 3 19 2 2 2 4 2 3 2 2" xfId="53260" xr:uid="{00000000-0005-0000-0000-000091730000}"/>
    <cellStyle name="Normal 3 19 2 2 2 4 2 3 3" xfId="39698" xr:uid="{00000000-0005-0000-0000-000092730000}"/>
    <cellStyle name="Normal 3 19 2 2 2 4 2 4" xfId="19346" xr:uid="{00000000-0005-0000-0000-000093730000}"/>
    <cellStyle name="Normal 3 19 2 2 2 4 2 4 2" xfId="46479" xr:uid="{00000000-0005-0000-0000-000094730000}"/>
    <cellStyle name="Normal 3 19 2 2 2 4 2 5" xfId="32917" xr:uid="{00000000-0005-0000-0000-000095730000}"/>
    <cellStyle name="Normal 3 19 2 2 2 4 3" xfId="9157" xr:uid="{00000000-0005-0000-0000-000096730000}"/>
    <cellStyle name="Normal 3 19 2 2 2 4 3 2" xfId="15947" xr:uid="{00000000-0005-0000-0000-000097730000}"/>
    <cellStyle name="Normal 3 19 2 2 2 4 3 2 2" xfId="29515" xr:uid="{00000000-0005-0000-0000-000098730000}"/>
    <cellStyle name="Normal 3 19 2 2 2 4 3 2 2 2" xfId="56648" xr:uid="{00000000-0005-0000-0000-000099730000}"/>
    <cellStyle name="Normal 3 19 2 2 2 4 3 2 3" xfId="43086" xr:uid="{00000000-0005-0000-0000-00009A730000}"/>
    <cellStyle name="Normal 3 19 2 2 2 4 3 3" xfId="22734" xr:uid="{00000000-0005-0000-0000-00009B730000}"/>
    <cellStyle name="Normal 3 19 2 2 2 4 3 3 2" xfId="49867" xr:uid="{00000000-0005-0000-0000-00009C730000}"/>
    <cellStyle name="Normal 3 19 2 2 2 4 3 4" xfId="36305" xr:uid="{00000000-0005-0000-0000-00009D730000}"/>
    <cellStyle name="Normal 3 19 2 2 2 4 4" xfId="12558" xr:uid="{00000000-0005-0000-0000-00009E730000}"/>
    <cellStyle name="Normal 3 19 2 2 2 4 4 2" xfId="26126" xr:uid="{00000000-0005-0000-0000-00009F730000}"/>
    <cellStyle name="Normal 3 19 2 2 2 4 4 2 2" xfId="53259" xr:uid="{00000000-0005-0000-0000-0000A0730000}"/>
    <cellStyle name="Normal 3 19 2 2 2 4 4 3" xfId="39697" xr:uid="{00000000-0005-0000-0000-0000A1730000}"/>
    <cellStyle name="Normal 3 19 2 2 2 4 5" xfId="19345" xr:uid="{00000000-0005-0000-0000-0000A2730000}"/>
    <cellStyle name="Normal 3 19 2 2 2 4 5 2" xfId="46478" xr:uid="{00000000-0005-0000-0000-0000A3730000}"/>
    <cellStyle name="Normal 3 19 2 2 2 4 6" xfId="32916" xr:uid="{00000000-0005-0000-0000-0000A4730000}"/>
    <cellStyle name="Normal 3 19 2 2 2 5" xfId="5616" xr:uid="{00000000-0005-0000-0000-0000A5730000}"/>
    <cellStyle name="Normal 3 19 2 2 2 5 2" xfId="9159" xr:uid="{00000000-0005-0000-0000-0000A6730000}"/>
    <cellStyle name="Normal 3 19 2 2 2 5 2 2" xfId="15949" xr:uid="{00000000-0005-0000-0000-0000A7730000}"/>
    <cellStyle name="Normal 3 19 2 2 2 5 2 2 2" xfId="29517" xr:uid="{00000000-0005-0000-0000-0000A8730000}"/>
    <cellStyle name="Normal 3 19 2 2 2 5 2 2 2 2" xfId="56650" xr:uid="{00000000-0005-0000-0000-0000A9730000}"/>
    <cellStyle name="Normal 3 19 2 2 2 5 2 2 3" xfId="43088" xr:uid="{00000000-0005-0000-0000-0000AA730000}"/>
    <cellStyle name="Normal 3 19 2 2 2 5 2 3" xfId="22736" xr:uid="{00000000-0005-0000-0000-0000AB730000}"/>
    <cellStyle name="Normal 3 19 2 2 2 5 2 3 2" xfId="49869" xr:uid="{00000000-0005-0000-0000-0000AC730000}"/>
    <cellStyle name="Normal 3 19 2 2 2 5 2 4" xfId="36307" xr:uid="{00000000-0005-0000-0000-0000AD730000}"/>
    <cellStyle name="Normal 3 19 2 2 2 5 3" xfId="12560" xr:uid="{00000000-0005-0000-0000-0000AE730000}"/>
    <cellStyle name="Normal 3 19 2 2 2 5 3 2" xfId="26128" xr:uid="{00000000-0005-0000-0000-0000AF730000}"/>
    <cellStyle name="Normal 3 19 2 2 2 5 3 2 2" xfId="53261" xr:uid="{00000000-0005-0000-0000-0000B0730000}"/>
    <cellStyle name="Normal 3 19 2 2 2 5 3 3" xfId="39699" xr:uid="{00000000-0005-0000-0000-0000B1730000}"/>
    <cellStyle name="Normal 3 19 2 2 2 5 4" xfId="19347" xr:uid="{00000000-0005-0000-0000-0000B2730000}"/>
    <cellStyle name="Normal 3 19 2 2 2 5 4 2" xfId="46480" xr:uid="{00000000-0005-0000-0000-0000B3730000}"/>
    <cellStyle name="Normal 3 19 2 2 2 5 5" xfId="32918" xr:uid="{00000000-0005-0000-0000-0000B4730000}"/>
    <cellStyle name="Normal 3 19 2 2 2 6" xfId="5617" xr:uid="{00000000-0005-0000-0000-0000B5730000}"/>
    <cellStyle name="Normal 3 19 2 2 2 6 2" xfId="9160" xr:uid="{00000000-0005-0000-0000-0000B6730000}"/>
    <cellStyle name="Normal 3 19 2 2 2 6 2 2" xfId="15950" xr:uid="{00000000-0005-0000-0000-0000B7730000}"/>
    <cellStyle name="Normal 3 19 2 2 2 6 2 2 2" xfId="29518" xr:uid="{00000000-0005-0000-0000-0000B8730000}"/>
    <cellStyle name="Normal 3 19 2 2 2 6 2 2 2 2" xfId="56651" xr:uid="{00000000-0005-0000-0000-0000B9730000}"/>
    <cellStyle name="Normal 3 19 2 2 2 6 2 2 3" xfId="43089" xr:uid="{00000000-0005-0000-0000-0000BA730000}"/>
    <cellStyle name="Normal 3 19 2 2 2 6 2 3" xfId="22737" xr:uid="{00000000-0005-0000-0000-0000BB730000}"/>
    <cellStyle name="Normal 3 19 2 2 2 6 2 3 2" xfId="49870" xr:uid="{00000000-0005-0000-0000-0000BC730000}"/>
    <cellStyle name="Normal 3 19 2 2 2 6 2 4" xfId="36308" xr:uid="{00000000-0005-0000-0000-0000BD730000}"/>
    <cellStyle name="Normal 3 19 2 2 2 6 3" xfId="12561" xr:uid="{00000000-0005-0000-0000-0000BE730000}"/>
    <cellStyle name="Normal 3 19 2 2 2 6 3 2" xfId="26129" xr:uid="{00000000-0005-0000-0000-0000BF730000}"/>
    <cellStyle name="Normal 3 19 2 2 2 6 3 2 2" xfId="53262" xr:uid="{00000000-0005-0000-0000-0000C0730000}"/>
    <cellStyle name="Normal 3 19 2 2 2 6 3 3" xfId="39700" xr:uid="{00000000-0005-0000-0000-0000C1730000}"/>
    <cellStyle name="Normal 3 19 2 2 2 6 4" xfId="19348" xr:uid="{00000000-0005-0000-0000-0000C2730000}"/>
    <cellStyle name="Normal 3 19 2 2 2 6 4 2" xfId="46481" xr:uid="{00000000-0005-0000-0000-0000C3730000}"/>
    <cellStyle name="Normal 3 19 2 2 2 6 5" xfId="32919" xr:uid="{00000000-0005-0000-0000-0000C4730000}"/>
    <cellStyle name="Normal 3 19 2 2 2 7" xfId="9145" xr:uid="{00000000-0005-0000-0000-0000C5730000}"/>
    <cellStyle name="Normal 3 19 2 2 2 7 2" xfId="15935" xr:uid="{00000000-0005-0000-0000-0000C6730000}"/>
    <cellStyle name="Normal 3 19 2 2 2 7 2 2" xfId="29503" xr:uid="{00000000-0005-0000-0000-0000C7730000}"/>
    <cellStyle name="Normal 3 19 2 2 2 7 2 2 2" xfId="56636" xr:uid="{00000000-0005-0000-0000-0000C8730000}"/>
    <cellStyle name="Normal 3 19 2 2 2 7 2 3" xfId="43074" xr:uid="{00000000-0005-0000-0000-0000C9730000}"/>
    <cellStyle name="Normal 3 19 2 2 2 7 3" xfId="22722" xr:uid="{00000000-0005-0000-0000-0000CA730000}"/>
    <cellStyle name="Normal 3 19 2 2 2 7 3 2" xfId="49855" xr:uid="{00000000-0005-0000-0000-0000CB730000}"/>
    <cellStyle name="Normal 3 19 2 2 2 7 4" xfId="36293" xr:uid="{00000000-0005-0000-0000-0000CC730000}"/>
    <cellStyle name="Normal 3 19 2 2 2 8" xfId="12546" xr:uid="{00000000-0005-0000-0000-0000CD730000}"/>
    <cellStyle name="Normal 3 19 2 2 2 8 2" xfId="26114" xr:uid="{00000000-0005-0000-0000-0000CE730000}"/>
    <cellStyle name="Normal 3 19 2 2 2 8 2 2" xfId="53247" xr:uid="{00000000-0005-0000-0000-0000CF730000}"/>
    <cellStyle name="Normal 3 19 2 2 2 8 3" xfId="39685" xr:uid="{00000000-0005-0000-0000-0000D0730000}"/>
    <cellStyle name="Normal 3 19 2 2 2 9" xfId="19333" xr:uid="{00000000-0005-0000-0000-0000D1730000}"/>
    <cellStyle name="Normal 3 19 2 2 2 9 2" xfId="46466" xr:uid="{00000000-0005-0000-0000-0000D2730000}"/>
    <cellStyle name="Normal 3 19 2 2 3" xfId="5618" xr:uid="{00000000-0005-0000-0000-0000D3730000}"/>
    <cellStyle name="Normal 3 19 2 2 3 2" xfId="5619" xr:uid="{00000000-0005-0000-0000-0000D4730000}"/>
    <cellStyle name="Normal 3 19 2 2 3 2 2" xfId="5620" xr:uid="{00000000-0005-0000-0000-0000D5730000}"/>
    <cellStyle name="Normal 3 19 2 2 3 2 2 2" xfId="9163" xr:uid="{00000000-0005-0000-0000-0000D6730000}"/>
    <cellStyle name="Normal 3 19 2 2 3 2 2 2 2" xfId="15953" xr:uid="{00000000-0005-0000-0000-0000D7730000}"/>
    <cellStyle name="Normal 3 19 2 2 3 2 2 2 2 2" xfId="29521" xr:uid="{00000000-0005-0000-0000-0000D8730000}"/>
    <cellStyle name="Normal 3 19 2 2 3 2 2 2 2 2 2" xfId="56654" xr:uid="{00000000-0005-0000-0000-0000D9730000}"/>
    <cellStyle name="Normal 3 19 2 2 3 2 2 2 2 3" xfId="43092" xr:uid="{00000000-0005-0000-0000-0000DA730000}"/>
    <cellStyle name="Normal 3 19 2 2 3 2 2 2 3" xfId="22740" xr:uid="{00000000-0005-0000-0000-0000DB730000}"/>
    <cellStyle name="Normal 3 19 2 2 3 2 2 2 3 2" xfId="49873" xr:uid="{00000000-0005-0000-0000-0000DC730000}"/>
    <cellStyle name="Normal 3 19 2 2 3 2 2 2 4" xfId="36311" xr:uid="{00000000-0005-0000-0000-0000DD730000}"/>
    <cellStyle name="Normal 3 19 2 2 3 2 2 3" xfId="12564" xr:uid="{00000000-0005-0000-0000-0000DE730000}"/>
    <cellStyle name="Normal 3 19 2 2 3 2 2 3 2" xfId="26132" xr:uid="{00000000-0005-0000-0000-0000DF730000}"/>
    <cellStyle name="Normal 3 19 2 2 3 2 2 3 2 2" xfId="53265" xr:uid="{00000000-0005-0000-0000-0000E0730000}"/>
    <cellStyle name="Normal 3 19 2 2 3 2 2 3 3" xfId="39703" xr:uid="{00000000-0005-0000-0000-0000E1730000}"/>
    <cellStyle name="Normal 3 19 2 2 3 2 2 4" xfId="19351" xr:uid="{00000000-0005-0000-0000-0000E2730000}"/>
    <cellStyle name="Normal 3 19 2 2 3 2 2 4 2" xfId="46484" xr:uid="{00000000-0005-0000-0000-0000E3730000}"/>
    <cellStyle name="Normal 3 19 2 2 3 2 2 5" xfId="32922" xr:uid="{00000000-0005-0000-0000-0000E4730000}"/>
    <cellStyle name="Normal 3 19 2 2 3 2 3" xfId="5621" xr:uid="{00000000-0005-0000-0000-0000E5730000}"/>
    <cellStyle name="Normal 3 19 2 2 3 2 3 2" xfId="9164" xr:uid="{00000000-0005-0000-0000-0000E6730000}"/>
    <cellStyle name="Normal 3 19 2 2 3 2 3 2 2" xfId="15954" xr:uid="{00000000-0005-0000-0000-0000E7730000}"/>
    <cellStyle name="Normal 3 19 2 2 3 2 3 2 2 2" xfId="29522" xr:uid="{00000000-0005-0000-0000-0000E8730000}"/>
    <cellStyle name="Normal 3 19 2 2 3 2 3 2 2 2 2" xfId="56655" xr:uid="{00000000-0005-0000-0000-0000E9730000}"/>
    <cellStyle name="Normal 3 19 2 2 3 2 3 2 2 3" xfId="43093" xr:uid="{00000000-0005-0000-0000-0000EA730000}"/>
    <cellStyle name="Normal 3 19 2 2 3 2 3 2 3" xfId="22741" xr:uid="{00000000-0005-0000-0000-0000EB730000}"/>
    <cellStyle name="Normal 3 19 2 2 3 2 3 2 3 2" xfId="49874" xr:uid="{00000000-0005-0000-0000-0000EC730000}"/>
    <cellStyle name="Normal 3 19 2 2 3 2 3 2 4" xfId="36312" xr:uid="{00000000-0005-0000-0000-0000ED730000}"/>
    <cellStyle name="Normal 3 19 2 2 3 2 3 3" xfId="12565" xr:uid="{00000000-0005-0000-0000-0000EE730000}"/>
    <cellStyle name="Normal 3 19 2 2 3 2 3 3 2" xfId="26133" xr:uid="{00000000-0005-0000-0000-0000EF730000}"/>
    <cellStyle name="Normal 3 19 2 2 3 2 3 3 2 2" xfId="53266" xr:uid="{00000000-0005-0000-0000-0000F0730000}"/>
    <cellStyle name="Normal 3 19 2 2 3 2 3 3 3" xfId="39704" xr:uid="{00000000-0005-0000-0000-0000F1730000}"/>
    <cellStyle name="Normal 3 19 2 2 3 2 3 4" xfId="19352" xr:uid="{00000000-0005-0000-0000-0000F2730000}"/>
    <cellStyle name="Normal 3 19 2 2 3 2 3 4 2" xfId="46485" xr:uid="{00000000-0005-0000-0000-0000F3730000}"/>
    <cellStyle name="Normal 3 19 2 2 3 2 3 5" xfId="32923" xr:uid="{00000000-0005-0000-0000-0000F4730000}"/>
    <cellStyle name="Normal 3 19 2 2 3 2 4" xfId="9162" xr:uid="{00000000-0005-0000-0000-0000F5730000}"/>
    <cellStyle name="Normal 3 19 2 2 3 2 4 2" xfId="15952" xr:uid="{00000000-0005-0000-0000-0000F6730000}"/>
    <cellStyle name="Normal 3 19 2 2 3 2 4 2 2" xfId="29520" xr:uid="{00000000-0005-0000-0000-0000F7730000}"/>
    <cellStyle name="Normal 3 19 2 2 3 2 4 2 2 2" xfId="56653" xr:uid="{00000000-0005-0000-0000-0000F8730000}"/>
    <cellStyle name="Normal 3 19 2 2 3 2 4 2 3" xfId="43091" xr:uid="{00000000-0005-0000-0000-0000F9730000}"/>
    <cellStyle name="Normal 3 19 2 2 3 2 4 3" xfId="22739" xr:uid="{00000000-0005-0000-0000-0000FA730000}"/>
    <cellStyle name="Normal 3 19 2 2 3 2 4 3 2" xfId="49872" xr:uid="{00000000-0005-0000-0000-0000FB730000}"/>
    <cellStyle name="Normal 3 19 2 2 3 2 4 4" xfId="36310" xr:uid="{00000000-0005-0000-0000-0000FC730000}"/>
    <cellStyle name="Normal 3 19 2 2 3 2 5" xfId="12563" xr:uid="{00000000-0005-0000-0000-0000FD730000}"/>
    <cellStyle name="Normal 3 19 2 2 3 2 5 2" xfId="26131" xr:uid="{00000000-0005-0000-0000-0000FE730000}"/>
    <cellStyle name="Normal 3 19 2 2 3 2 5 2 2" xfId="53264" xr:uid="{00000000-0005-0000-0000-0000FF730000}"/>
    <cellStyle name="Normal 3 19 2 2 3 2 5 3" xfId="39702" xr:uid="{00000000-0005-0000-0000-000000740000}"/>
    <cellStyle name="Normal 3 19 2 2 3 2 6" xfId="19350" xr:uid="{00000000-0005-0000-0000-000001740000}"/>
    <cellStyle name="Normal 3 19 2 2 3 2 6 2" xfId="46483" xr:uid="{00000000-0005-0000-0000-000002740000}"/>
    <cellStyle name="Normal 3 19 2 2 3 2 7" xfId="32921" xr:uid="{00000000-0005-0000-0000-000003740000}"/>
    <cellStyle name="Normal 3 19 2 2 3 3" xfId="5622" xr:uid="{00000000-0005-0000-0000-000004740000}"/>
    <cellStyle name="Normal 3 19 2 2 3 3 2" xfId="5623" xr:uid="{00000000-0005-0000-0000-000005740000}"/>
    <cellStyle name="Normal 3 19 2 2 3 3 2 2" xfId="9166" xr:uid="{00000000-0005-0000-0000-000006740000}"/>
    <cellStyle name="Normal 3 19 2 2 3 3 2 2 2" xfId="15956" xr:uid="{00000000-0005-0000-0000-000007740000}"/>
    <cellStyle name="Normal 3 19 2 2 3 3 2 2 2 2" xfId="29524" xr:uid="{00000000-0005-0000-0000-000008740000}"/>
    <cellStyle name="Normal 3 19 2 2 3 3 2 2 2 2 2" xfId="56657" xr:uid="{00000000-0005-0000-0000-000009740000}"/>
    <cellStyle name="Normal 3 19 2 2 3 3 2 2 2 3" xfId="43095" xr:uid="{00000000-0005-0000-0000-00000A740000}"/>
    <cellStyle name="Normal 3 19 2 2 3 3 2 2 3" xfId="22743" xr:uid="{00000000-0005-0000-0000-00000B740000}"/>
    <cellStyle name="Normal 3 19 2 2 3 3 2 2 3 2" xfId="49876" xr:uid="{00000000-0005-0000-0000-00000C740000}"/>
    <cellStyle name="Normal 3 19 2 2 3 3 2 2 4" xfId="36314" xr:uid="{00000000-0005-0000-0000-00000D740000}"/>
    <cellStyle name="Normal 3 19 2 2 3 3 2 3" xfId="12567" xr:uid="{00000000-0005-0000-0000-00000E740000}"/>
    <cellStyle name="Normal 3 19 2 2 3 3 2 3 2" xfId="26135" xr:uid="{00000000-0005-0000-0000-00000F740000}"/>
    <cellStyle name="Normal 3 19 2 2 3 3 2 3 2 2" xfId="53268" xr:uid="{00000000-0005-0000-0000-000010740000}"/>
    <cellStyle name="Normal 3 19 2 2 3 3 2 3 3" xfId="39706" xr:uid="{00000000-0005-0000-0000-000011740000}"/>
    <cellStyle name="Normal 3 19 2 2 3 3 2 4" xfId="19354" xr:uid="{00000000-0005-0000-0000-000012740000}"/>
    <cellStyle name="Normal 3 19 2 2 3 3 2 4 2" xfId="46487" xr:uid="{00000000-0005-0000-0000-000013740000}"/>
    <cellStyle name="Normal 3 19 2 2 3 3 2 5" xfId="32925" xr:uid="{00000000-0005-0000-0000-000014740000}"/>
    <cellStyle name="Normal 3 19 2 2 3 3 3" xfId="9165" xr:uid="{00000000-0005-0000-0000-000015740000}"/>
    <cellStyle name="Normal 3 19 2 2 3 3 3 2" xfId="15955" xr:uid="{00000000-0005-0000-0000-000016740000}"/>
    <cellStyle name="Normal 3 19 2 2 3 3 3 2 2" xfId="29523" xr:uid="{00000000-0005-0000-0000-000017740000}"/>
    <cellStyle name="Normal 3 19 2 2 3 3 3 2 2 2" xfId="56656" xr:uid="{00000000-0005-0000-0000-000018740000}"/>
    <cellStyle name="Normal 3 19 2 2 3 3 3 2 3" xfId="43094" xr:uid="{00000000-0005-0000-0000-000019740000}"/>
    <cellStyle name="Normal 3 19 2 2 3 3 3 3" xfId="22742" xr:uid="{00000000-0005-0000-0000-00001A740000}"/>
    <cellStyle name="Normal 3 19 2 2 3 3 3 3 2" xfId="49875" xr:uid="{00000000-0005-0000-0000-00001B740000}"/>
    <cellStyle name="Normal 3 19 2 2 3 3 3 4" xfId="36313" xr:uid="{00000000-0005-0000-0000-00001C740000}"/>
    <cellStyle name="Normal 3 19 2 2 3 3 4" xfId="12566" xr:uid="{00000000-0005-0000-0000-00001D740000}"/>
    <cellStyle name="Normal 3 19 2 2 3 3 4 2" xfId="26134" xr:uid="{00000000-0005-0000-0000-00001E740000}"/>
    <cellStyle name="Normal 3 19 2 2 3 3 4 2 2" xfId="53267" xr:uid="{00000000-0005-0000-0000-00001F740000}"/>
    <cellStyle name="Normal 3 19 2 2 3 3 4 3" xfId="39705" xr:uid="{00000000-0005-0000-0000-000020740000}"/>
    <cellStyle name="Normal 3 19 2 2 3 3 5" xfId="19353" xr:uid="{00000000-0005-0000-0000-000021740000}"/>
    <cellStyle name="Normal 3 19 2 2 3 3 5 2" xfId="46486" xr:uid="{00000000-0005-0000-0000-000022740000}"/>
    <cellStyle name="Normal 3 19 2 2 3 3 6" xfId="32924" xr:uid="{00000000-0005-0000-0000-000023740000}"/>
    <cellStyle name="Normal 3 19 2 2 3 4" xfId="5624" xr:uid="{00000000-0005-0000-0000-000024740000}"/>
    <cellStyle name="Normal 3 19 2 2 3 4 2" xfId="9167" xr:uid="{00000000-0005-0000-0000-000025740000}"/>
    <cellStyle name="Normal 3 19 2 2 3 4 2 2" xfId="15957" xr:uid="{00000000-0005-0000-0000-000026740000}"/>
    <cellStyle name="Normal 3 19 2 2 3 4 2 2 2" xfId="29525" xr:uid="{00000000-0005-0000-0000-000027740000}"/>
    <cellStyle name="Normal 3 19 2 2 3 4 2 2 2 2" xfId="56658" xr:uid="{00000000-0005-0000-0000-000028740000}"/>
    <cellStyle name="Normal 3 19 2 2 3 4 2 2 3" xfId="43096" xr:uid="{00000000-0005-0000-0000-000029740000}"/>
    <cellStyle name="Normal 3 19 2 2 3 4 2 3" xfId="22744" xr:uid="{00000000-0005-0000-0000-00002A740000}"/>
    <cellStyle name="Normal 3 19 2 2 3 4 2 3 2" xfId="49877" xr:uid="{00000000-0005-0000-0000-00002B740000}"/>
    <cellStyle name="Normal 3 19 2 2 3 4 2 4" xfId="36315" xr:uid="{00000000-0005-0000-0000-00002C740000}"/>
    <cellStyle name="Normal 3 19 2 2 3 4 3" xfId="12568" xr:uid="{00000000-0005-0000-0000-00002D740000}"/>
    <cellStyle name="Normal 3 19 2 2 3 4 3 2" xfId="26136" xr:uid="{00000000-0005-0000-0000-00002E740000}"/>
    <cellStyle name="Normal 3 19 2 2 3 4 3 2 2" xfId="53269" xr:uid="{00000000-0005-0000-0000-00002F740000}"/>
    <cellStyle name="Normal 3 19 2 2 3 4 3 3" xfId="39707" xr:uid="{00000000-0005-0000-0000-000030740000}"/>
    <cellStyle name="Normal 3 19 2 2 3 4 4" xfId="19355" xr:uid="{00000000-0005-0000-0000-000031740000}"/>
    <cellStyle name="Normal 3 19 2 2 3 4 4 2" xfId="46488" xr:uid="{00000000-0005-0000-0000-000032740000}"/>
    <cellStyle name="Normal 3 19 2 2 3 4 5" xfId="32926" xr:uid="{00000000-0005-0000-0000-000033740000}"/>
    <cellStyle name="Normal 3 19 2 2 3 5" xfId="5625" xr:uid="{00000000-0005-0000-0000-000034740000}"/>
    <cellStyle name="Normal 3 19 2 2 3 5 2" xfId="9168" xr:uid="{00000000-0005-0000-0000-000035740000}"/>
    <cellStyle name="Normal 3 19 2 2 3 5 2 2" xfId="15958" xr:uid="{00000000-0005-0000-0000-000036740000}"/>
    <cellStyle name="Normal 3 19 2 2 3 5 2 2 2" xfId="29526" xr:uid="{00000000-0005-0000-0000-000037740000}"/>
    <cellStyle name="Normal 3 19 2 2 3 5 2 2 2 2" xfId="56659" xr:uid="{00000000-0005-0000-0000-000038740000}"/>
    <cellStyle name="Normal 3 19 2 2 3 5 2 2 3" xfId="43097" xr:uid="{00000000-0005-0000-0000-000039740000}"/>
    <cellStyle name="Normal 3 19 2 2 3 5 2 3" xfId="22745" xr:uid="{00000000-0005-0000-0000-00003A740000}"/>
    <cellStyle name="Normal 3 19 2 2 3 5 2 3 2" xfId="49878" xr:uid="{00000000-0005-0000-0000-00003B740000}"/>
    <cellStyle name="Normal 3 19 2 2 3 5 2 4" xfId="36316" xr:uid="{00000000-0005-0000-0000-00003C740000}"/>
    <cellStyle name="Normal 3 19 2 2 3 5 3" xfId="12569" xr:uid="{00000000-0005-0000-0000-00003D740000}"/>
    <cellStyle name="Normal 3 19 2 2 3 5 3 2" xfId="26137" xr:uid="{00000000-0005-0000-0000-00003E740000}"/>
    <cellStyle name="Normal 3 19 2 2 3 5 3 2 2" xfId="53270" xr:uid="{00000000-0005-0000-0000-00003F740000}"/>
    <cellStyle name="Normal 3 19 2 2 3 5 3 3" xfId="39708" xr:uid="{00000000-0005-0000-0000-000040740000}"/>
    <cellStyle name="Normal 3 19 2 2 3 5 4" xfId="19356" xr:uid="{00000000-0005-0000-0000-000041740000}"/>
    <cellStyle name="Normal 3 19 2 2 3 5 4 2" xfId="46489" xr:uid="{00000000-0005-0000-0000-000042740000}"/>
    <cellStyle name="Normal 3 19 2 2 3 5 5" xfId="32927" xr:uid="{00000000-0005-0000-0000-000043740000}"/>
    <cellStyle name="Normal 3 19 2 2 3 6" xfId="9161" xr:uid="{00000000-0005-0000-0000-000044740000}"/>
    <cellStyle name="Normal 3 19 2 2 3 6 2" xfId="15951" xr:uid="{00000000-0005-0000-0000-000045740000}"/>
    <cellStyle name="Normal 3 19 2 2 3 6 2 2" xfId="29519" xr:uid="{00000000-0005-0000-0000-000046740000}"/>
    <cellStyle name="Normal 3 19 2 2 3 6 2 2 2" xfId="56652" xr:uid="{00000000-0005-0000-0000-000047740000}"/>
    <cellStyle name="Normal 3 19 2 2 3 6 2 3" xfId="43090" xr:uid="{00000000-0005-0000-0000-000048740000}"/>
    <cellStyle name="Normal 3 19 2 2 3 6 3" xfId="22738" xr:uid="{00000000-0005-0000-0000-000049740000}"/>
    <cellStyle name="Normal 3 19 2 2 3 6 3 2" xfId="49871" xr:uid="{00000000-0005-0000-0000-00004A740000}"/>
    <cellStyle name="Normal 3 19 2 2 3 6 4" xfId="36309" xr:uid="{00000000-0005-0000-0000-00004B740000}"/>
    <cellStyle name="Normal 3 19 2 2 3 7" xfId="12562" xr:uid="{00000000-0005-0000-0000-00004C740000}"/>
    <cellStyle name="Normal 3 19 2 2 3 7 2" xfId="26130" xr:uid="{00000000-0005-0000-0000-00004D740000}"/>
    <cellStyle name="Normal 3 19 2 2 3 7 2 2" xfId="53263" xr:uid="{00000000-0005-0000-0000-00004E740000}"/>
    <cellStyle name="Normal 3 19 2 2 3 7 3" xfId="39701" xr:uid="{00000000-0005-0000-0000-00004F740000}"/>
    <cellStyle name="Normal 3 19 2 2 3 8" xfId="19349" xr:uid="{00000000-0005-0000-0000-000050740000}"/>
    <cellStyle name="Normal 3 19 2 2 3 8 2" xfId="46482" xr:uid="{00000000-0005-0000-0000-000051740000}"/>
    <cellStyle name="Normal 3 19 2 2 3 9" xfId="32920" xr:uid="{00000000-0005-0000-0000-000052740000}"/>
    <cellStyle name="Normal 3 19 2 2 4" xfId="5626" xr:uid="{00000000-0005-0000-0000-000053740000}"/>
    <cellStyle name="Normal 3 19 2 2 4 2" xfId="5627" xr:uid="{00000000-0005-0000-0000-000054740000}"/>
    <cellStyle name="Normal 3 19 2 2 4 2 2" xfId="5628" xr:uid="{00000000-0005-0000-0000-000055740000}"/>
    <cellStyle name="Normal 3 19 2 2 4 2 2 2" xfId="9171" xr:uid="{00000000-0005-0000-0000-000056740000}"/>
    <cellStyle name="Normal 3 19 2 2 4 2 2 2 2" xfId="15961" xr:uid="{00000000-0005-0000-0000-000057740000}"/>
    <cellStyle name="Normal 3 19 2 2 4 2 2 2 2 2" xfId="29529" xr:uid="{00000000-0005-0000-0000-000058740000}"/>
    <cellStyle name="Normal 3 19 2 2 4 2 2 2 2 2 2" xfId="56662" xr:uid="{00000000-0005-0000-0000-000059740000}"/>
    <cellStyle name="Normal 3 19 2 2 4 2 2 2 2 3" xfId="43100" xr:uid="{00000000-0005-0000-0000-00005A740000}"/>
    <cellStyle name="Normal 3 19 2 2 4 2 2 2 3" xfId="22748" xr:uid="{00000000-0005-0000-0000-00005B740000}"/>
    <cellStyle name="Normal 3 19 2 2 4 2 2 2 3 2" xfId="49881" xr:uid="{00000000-0005-0000-0000-00005C740000}"/>
    <cellStyle name="Normal 3 19 2 2 4 2 2 2 4" xfId="36319" xr:uid="{00000000-0005-0000-0000-00005D740000}"/>
    <cellStyle name="Normal 3 19 2 2 4 2 2 3" xfId="12572" xr:uid="{00000000-0005-0000-0000-00005E740000}"/>
    <cellStyle name="Normal 3 19 2 2 4 2 2 3 2" xfId="26140" xr:uid="{00000000-0005-0000-0000-00005F740000}"/>
    <cellStyle name="Normal 3 19 2 2 4 2 2 3 2 2" xfId="53273" xr:uid="{00000000-0005-0000-0000-000060740000}"/>
    <cellStyle name="Normal 3 19 2 2 4 2 2 3 3" xfId="39711" xr:uid="{00000000-0005-0000-0000-000061740000}"/>
    <cellStyle name="Normal 3 19 2 2 4 2 2 4" xfId="19359" xr:uid="{00000000-0005-0000-0000-000062740000}"/>
    <cellStyle name="Normal 3 19 2 2 4 2 2 4 2" xfId="46492" xr:uid="{00000000-0005-0000-0000-000063740000}"/>
    <cellStyle name="Normal 3 19 2 2 4 2 2 5" xfId="32930" xr:uid="{00000000-0005-0000-0000-000064740000}"/>
    <cellStyle name="Normal 3 19 2 2 4 2 3" xfId="5629" xr:uid="{00000000-0005-0000-0000-000065740000}"/>
    <cellStyle name="Normal 3 19 2 2 4 2 3 2" xfId="9172" xr:uid="{00000000-0005-0000-0000-000066740000}"/>
    <cellStyle name="Normal 3 19 2 2 4 2 3 2 2" xfId="15962" xr:uid="{00000000-0005-0000-0000-000067740000}"/>
    <cellStyle name="Normal 3 19 2 2 4 2 3 2 2 2" xfId="29530" xr:uid="{00000000-0005-0000-0000-000068740000}"/>
    <cellStyle name="Normal 3 19 2 2 4 2 3 2 2 2 2" xfId="56663" xr:uid="{00000000-0005-0000-0000-000069740000}"/>
    <cellStyle name="Normal 3 19 2 2 4 2 3 2 2 3" xfId="43101" xr:uid="{00000000-0005-0000-0000-00006A740000}"/>
    <cellStyle name="Normal 3 19 2 2 4 2 3 2 3" xfId="22749" xr:uid="{00000000-0005-0000-0000-00006B740000}"/>
    <cellStyle name="Normal 3 19 2 2 4 2 3 2 3 2" xfId="49882" xr:uid="{00000000-0005-0000-0000-00006C740000}"/>
    <cellStyle name="Normal 3 19 2 2 4 2 3 2 4" xfId="36320" xr:uid="{00000000-0005-0000-0000-00006D740000}"/>
    <cellStyle name="Normal 3 19 2 2 4 2 3 3" xfId="12573" xr:uid="{00000000-0005-0000-0000-00006E740000}"/>
    <cellStyle name="Normal 3 19 2 2 4 2 3 3 2" xfId="26141" xr:uid="{00000000-0005-0000-0000-00006F740000}"/>
    <cellStyle name="Normal 3 19 2 2 4 2 3 3 2 2" xfId="53274" xr:uid="{00000000-0005-0000-0000-000070740000}"/>
    <cellStyle name="Normal 3 19 2 2 4 2 3 3 3" xfId="39712" xr:uid="{00000000-0005-0000-0000-000071740000}"/>
    <cellStyle name="Normal 3 19 2 2 4 2 3 4" xfId="19360" xr:uid="{00000000-0005-0000-0000-000072740000}"/>
    <cellStyle name="Normal 3 19 2 2 4 2 3 4 2" xfId="46493" xr:uid="{00000000-0005-0000-0000-000073740000}"/>
    <cellStyle name="Normal 3 19 2 2 4 2 3 5" xfId="32931" xr:uid="{00000000-0005-0000-0000-000074740000}"/>
    <cellStyle name="Normal 3 19 2 2 4 2 4" xfId="9170" xr:uid="{00000000-0005-0000-0000-000075740000}"/>
    <cellStyle name="Normal 3 19 2 2 4 2 4 2" xfId="15960" xr:uid="{00000000-0005-0000-0000-000076740000}"/>
    <cellStyle name="Normal 3 19 2 2 4 2 4 2 2" xfId="29528" xr:uid="{00000000-0005-0000-0000-000077740000}"/>
    <cellStyle name="Normal 3 19 2 2 4 2 4 2 2 2" xfId="56661" xr:uid="{00000000-0005-0000-0000-000078740000}"/>
    <cellStyle name="Normal 3 19 2 2 4 2 4 2 3" xfId="43099" xr:uid="{00000000-0005-0000-0000-000079740000}"/>
    <cellStyle name="Normal 3 19 2 2 4 2 4 3" xfId="22747" xr:uid="{00000000-0005-0000-0000-00007A740000}"/>
    <cellStyle name="Normal 3 19 2 2 4 2 4 3 2" xfId="49880" xr:uid="{00000000-0005-0000-0000-00007B740000}"/>
    <cellStyle name="Normal 3 19 2 2 4 2 4 4" xfId="36318" xr:uid="{00000000-0005-0000-0000-00007C740000}"/>
    <cellStyle name="Normal 3 19 2 2 4 2 5" xfId="12571" xr:uid="{00000000-0005-0000-0000-00007D740000}"/>
    <cellStyle name="Normal 3 19 2 2 4 2 5 2" xfId="26139" xr:uid="{00000000-0005-0000-0000-00007E740000}"/>
    <cellStyle name="Normal 3 19 2 2 4 2 5 2 2" xfId="53272" xr:uid="{00000000-0005-0000-0000-00007F740000}"/>
    <cellStyle name="Normal 3 19 2 2 4 2 5 3" xfId="39710" xr:uid="{00000000-0005-0000-0000-000080740000}"/>
    <cellStyle name="Normal 3 19 2 2 4 2 6" xfId="19358" xr:uid="{00000000-0005-0000-0000-000081740000}"/>
    <cellStyle name="Normal 3 19 2 2 4 2 6 2" xfId="46491" xr:uid="{00000000-0005-0000-0000-000082740000}"/>
    <cellStyle name="Normal 3 19 2 2 4 2 7" xfId="32929" xr:uid="{00000000-0005-0000-0000-000083740000}"/>
    <cellStyle name="Normal 3 19 2 2 4 3" xfId="5630" xr:uid="{00000000-0005-0000-0000-000084740000}"/>
    <cellStyle name="Normal 3 19 2 2 4 3 2" xfId="9173" xr:uid="{00000000-0005-0000-0000-000085740000}"/>
    <cellStyle name="Normal 3 19 2 2 4 3 2 2" xfId="15963" xr:uid="{00000000-0005-0000-0000-000086740000}"/>
    <cellStyle name="Normal 3 19 2 2 4 3 2 2 2" xfId="29531" xr:uid="{00000000-0005-0000-0000-000087740000}"/>
    <cellStyle name="Normal 3 19 2 2 4 3 2 2 2 2" xfId="56664" xr:uid="{00000000-0005-0000-0000-000088740000}"/>
    <cellStyle name="Normal 3 19 2 2 4 3 2 2 3" xfId="43102" xr:uid="{00000000-0005-0000-0000-000089740000}"/>
    <cellStyle name="Normal 3 19 2 2 4 3 2 3" xfId="22750" xr:uid="{00000000-0005-0000-0000-00008A740000}"/>
    <cellStyle name="Normal 3 19 2 2 4 3 2 3 2" xfId="49883" xr:uid="{00000000-0005-0000-0000-00008B740000}"/>
    <cellStyle name="Normal 3 19 2 2 4 3 2 4" xfId="36321" xr:uid="{00000000-0005-0000-0000-00008C740000}"/>
    <cellStyle name="Normal 3 19 2 2 4 3 3" xfId="12574" xr:uid="{00000000-0005-0000-0000-00008D740000}"/>
    <cellStyle name="Normal 3 19 2 2 4 3 3 2" xfId="26142" xr:uid="{00000000-0005-0000-0000-00008E740000}"/>
    <cellStyle name="Normal 3 19 2 2 4 3 3 2 2" xfId="53275" xr:uid="{00000000-0005-0000-0000-00008F740000}"/>
    <cellStyle name="Normal 3 19 2 2 4 3 3 3" xfId="39713" xr:uid="{00000000-0005-0000-0000-000090740000}"/>
    <cellStyle name="Normal 3 19 2 2 4 3 4" xfId="19361" xr:uid="{00000000-0005-0000-0000-000091740000}"/>
    <cellStyle name="Normal 3 19 2 2 4 3 4 2" xfId="46494" xr:uid="{00000000-0005-0000-0000-000092740000}"/>
    <cellStyle name="Normal 3 19 2 2 4 3 5" xfId="32932" xr:uid="{00000000-0005-0000-0000-000093740000}"/>
    <cellStyle name="Normal 3 19 2 2 4 4" xfId="5631" xr:uid="{00000000-0005-0000-0000-000094740000}"/>
    <cellStyle name="Normal 3 19 2 2 4 4 2" xfId="9174" xr:uid="{00000000-0005-0000-0000-000095740000}"/>
    <cellStyle name="Normal 3 19 2 2 4 4 2 2" xfId="15964" xr:uid="{00000000-0005-0000-0000-000096740000}"/>
    <cellStyle name="Normal 3 19 2 2 4 4 2 2 2" xfId="29532" xr:uid="{00000000-0005-0000-0000-000097740000}"/>
    <cellStyle name="Normal 3 19 2 2 4 4 2 2 2 2" xfId="56665" xr:uid="{00000000-0005-0000-0000-000098740000}"/>
    <cellStyle name="Normal 3 19 2 2 4 4 2 2 3" xfId="43103" xr:uid="{00000000-0005-0000-0000-000099740000}"/>
    <cellStyle name="Normal 3 19 2 2 4 4 2 3" xfId="22751" xr:uid="{00000000-0005-0000-0000-00009A740000}"/>
    <cellStyle name="Normal 3 19 2 2 4 4 2 3 2" xfId="49884" xr:uid="{00000000-0005-0000-0000-00009B740000}"/>
    <cellStyle name="Normal 3 19 2 2 4 4 2 4" xfId="36322" xr:uid="{00000000-0005-0000-0000-00009C740000}"/>
    <cellStyle name="Normal 3 19 2 2 4 4 3" xfId="12575" xr:uid="{00000000-0005-0000-0000-00009D740000}"/>
    <cellStyle name="Normal 3 19 2 2 4 4 3 2" xfId="26143" xr:uid="{00000000-0005-0000-0000-00009E740000}"/>
    <cellStyle name="Normal 3 19 2 2 4 4 3 2 2" xfId="53276" xr:uid="{00000000-0005-0000-0000-00009F740000}"/>
    <cellStyle name="Normal 3 19 2 2 4 4 3 3" xfId="39714" xr:uid="{00000000-0005-0000-0000-0000A0740000}"/>
    <cellStyle name="Normal 3 19 2 2 4 4 4" xfId="19362" xr:uid="{00000000-0005-0000-0000-0000A1740000}"/>
    <cellStyle name="Normal 3 19 2 2 4 4 4 2" xfId="46495" xr:uid="{00000000-0005-0000-0000-0000A2740000}"/>
    <cellStyle name="Normal 3 19 2 2 4 4 5" xfId="32933" xr:uid="{00000000-0005-0000-0000-0000A3740000}"/>
    <cellStyle name="Normal 3 19 2 2 4 5" xfId="9169" xr:uid="{00000000-0005-0000-0000-0000A4740000}"/>
    <cellStyle name="Normal 3 19 2 2 4 5 2" xfId="15959" xr:uid="{00000000-0005-0000-0000-0000A5740000}"/>
    <cellStyle name="Normal 3 19 2 2 4 5 2 2" xfId="29527" xr:uid="{00000000-0005-0000-0000-0000A6740000}"/>
    <cellStyle name="Normal 3 19 2 2 4 5 2 2 2" xfId="56660" xr:uid="{00000000-0005-0000-0000-0000A7740000}"/>
    <cellStyle name="Normal 3 19 2 2 4 5 2 3" xfId="43098" xr:uid="{00000000-0005-0000-0000-0000A8740000}"/>
    <cellStyle name="Normal 3 19 2 2 4 5 3" xfId="22746" xr:uid="{00000000-0005-0000-0000-0000A9740000}"/>
    <cellStyle name="Normal 3 19 2 2 4 5 3 2" xfId="49879" xr:uid="{00000000-0005-0000-0000-0000AA740000}"/>
    <cellStyle name="Normal 3 19 2 2 4 5 4" xfId="36317" xr:uid="{00000000-0005-0000-0000-0000AB740000}"/>
    <cellStyle name="Normal 3 19 2 2 4 6" xfId="12570" xr:uid="{00000000-0005-0000-0000-0000AC740000}"/>
    <cellStyle name="Normal 3 19 2 2 4 6 2" xfId="26138" xr:uid="{00000000-0005-0000-0000-0000AD740000}"/>
    <cellStyle name="Normal 3 19 2 2 4 6 2 2" xfId="53271" xr:uid="{00000000-0005-0000-0000-0000AE740000}"/>
    <cellStyle name="Normal 3 19 2 2 4 6 3" xfId="39709" xr:uid="{00000000-0005-0000-0000-0000AF740000}"/>
    <cellStyle name="Normal 3 19 2 2 4 7" xfId="19357" xr:uid="{00000000-0005-0000-0000-0000B0740000}"/>
    <cellStyle name="Normal 3 19 2 2 4 7 2" xfId="46490" xr:uid="{00000000-0005-0000-0000-0000B1740000}"/>
    <cellStyle name="Normal 3 19 2 2 4 8" xfId="32928" xr:uid="{00000000-0005-0000-0000-0000B2740000}"/>
    <cellStyle name="Normal 3 19 2 2 5" xfId="5632" xr:uid="{00000000-0005-0000-0000-0000B3740000}"/>
    <cellStyle name="Normal 3 19 2 2 5 2" xfId="5633" xr:uid="{00000000-0005-0000-0000-0000B4740000}"/>
    <cellStyle name="Normal 3 19 2 2 5 2 2" xfId="9176" xr:uid="{00000000-0005-0000-0000-0000B5740000}"/>
    <cellStyle name="Normal 3 19 2 2 5 2 2 2" xfId="15966" xr:uid="{00000000-0005-0000-0000-0000B6740000}"/>
    <cellStyle name="Normal 3 19 2 2 5 2 2 2 2" xfId="29534" xr:uid="{00000000-0005-0000-0000-0000B7740000}"/>
    <cellStyle name="Normal 3 19 2 2 5 2 2 2 2 2" xfId="56667" xr:uid="{00000000-0005-0000-0000-0000B8740000}"/>
    <cellStyle name="Normal 3 19 2 2 5 2 2 2 3" xfId="43105" xr:uid="{00000000-0005-0000-0000-0000B9740000}"/>
    <cellStyle name="Normal 3 19 2 2 5 2 2 3" xfId="22753" xr:uid="{00000000-0005-0000-0000-0000BA740000}"/>
    <cellStyle name="Normal 3 19 2 2 5 2 2 3 2" xfId="49886" xr:uid="{00000000-0005-0000-0000-0000BB740000}"/>
    <cellStyle name="Normal 3 19 2 2 5 2 2 4" xfId="36324" xr:uid="{00000000-0005-0000-0000-0000BC740000}"/>
    <cellStyle name="Normal 3 19 2 2 5 2 3" xfId="12577" xr:uid="{00000000-0005-0000-0000-0000BD740000}"/>
    <cellStyle name="Normal 3 19 2 2 5 2 3 2" xfId="26145" xr:uid="{00000000-0005-0000-0000-0000BE740000}"/>
    <cellStyle name="Normal 3 19 2 2 5 2 3 2 2" xfId="53278" xr:uid="{00000000-0005-0000-0000-0000BF740000}"/>
    <cellStyle name="Normal 3 19 2 2 5 2 3 3" xfId="39716" xr:uid="{00000000-0005-0000-0000-0000C0740000}"/>
    <cellStyle name="Normal 3 19 2 2 5 2 4" xfId="19364" xr:uid="{00000000-0005-0000-0000-0000C1740000}"/>
    <cellStyle name="Normal 3 19 2 2 5 2 4 2" xfId="46497" xr:uid="{00000000-0005-0000-0000-0000C2740000}"/>
    <cellStyle name="Normal 3 19 2 2 5 2 5" xfId="32935" xr:uid="{00000000-0005-0000-0000-0000C3740000}"/>
    <cellStyle name="Normal 3 19 2 2 5 3" xfId="5634" xr:uid="{00000000-0005-0000-0000-0000C4740000}"/>
    <cellStyle name="Normal 3 19 2 2 5 3 2" xfId="9177" xr:uid="{00000000-0005-0000-0000-0000C5740000}"/>
    <cellStyle name="Normal 3 19 2 2 5 3 2 2" xfId="15967" xr:uid="{00000000-0005-0000-0000-0000C6740000}"/>
    <cellStyle name="Normal 3 19 2 2 5 3 2 2 2" xfId="29535" xr:uid="{00000000-0005-0000-0000-0000C7740000}"/>
    <cellStyle name="Normal 3 19 2 2 5 3 2 2 2 2" xfId="56668" xr:uid="{00000000-0005-0000-0000-0000C8740000}"/>
    <cellStyle name="Normal 3 19 2 2 5 3 2 2 3" xfId="43106" xr:uid="{00000000-0005-0000-0000-0000C9740000}"/>
    <cellStyle name="Normal 3 19 2 2 5 3 2 3" xfId="22754" xr:uid="{00000000-0005-0000-0000-0000CA740000}"/>
    <cellStyle name="Normal 3 19 2 2 5 3 2 3 2" xfId="49887" xr:uid="{00000000-0005-0000-0000-0000CB740000}"/>
    <cellStyle name="Normal 3 19 2 2 5 3 2 4" xfId="36325" xr:uid="{00000000-0005-0000-0000-0000CC740000}"/>
    <cellStyle name="Normal 3 19 2 2 5 3 3" xfId="12578" xr:uid="{00000000-0005-0000-0000-0000CD740000}"/>
    <cellStyle name="Normal 3 19 2 2 5 3 3 2" xfId="26146" xr:uid="{00000000-0005-0000-0000-0000CE740000}"/>
    <cellStyle name="Normal 3 19 2 2 5 3 3 2 2" xfId="53279" xr:uid="{00000000-0005-0000-0000-0000CF740000}"/>
    <cellStyle name="Normal 3 19 2 2 5 3 3 3" xfId="39717" xr:uid="{00000000-0005-0000-0000-0000D0740000}"/>
    <cellStyle name="Normal 3 19 2 2 5 3 4" xfId="19365" xr:uid="{00000000-0005-0000-0000-0000D1740000}"/>
    <cellStyle name="Normal 3 19 2 2 5 3 4 2" xfId="46498" xr:uid="{00000000-0005-0000-0000-0000D2740000}"/>
    <cellStyle name="Normal 3 19 2 2 5 3 5" xfId="32936" xr:uid="{00000000-0005-0000-0000-0000D3740000}"/>
    <cellStyle name="Normal 3 19 2 2 5 4" xfId="9175" xr:uid="{00000000-0005-0000-0000-0000D4740000}"/>
    <cellStyle name="Normal 3 19 2 2 5 4 2" xfId="15965" xr:uid="{00000000-0005-0000-0000-0000D5740000}"/>
    <cellStyle name="Normal 3 19 2 2 5 4 2 2" xfId="29533" xr:uid="{00000000-0005-0000-0000-0000D6740000}"/>
    <cellStyle name="Normal 3 19 2 2 5 4 2 2 2" xfId="56666" xr:uid="{00000000-0005-0000-0000-0000D7740000}"/>
    <cellStyle name="Normal 3 19 2 2 5 4 2 3" xfId="43104" xr:uid="{00000000-0005-0000-0000-0000D8740000}"/>
    <cellStyle name="Normal 3 19 2 2 5 4 3" xfId="22752" xr:uid="{00000000-0005-0000-0000-0000D9740000}"/>
    <cellStyle name="Normal 3 19 2 2 5 4 3 2" xfId="49885" xr:uid="{00000000-0005-0000-0000-0000DA740000}"/>
    <cellStyle name="Normal 3 19 2 2 5 4 4" xfId="36323" xr:uid="{00000000-0005-0000-0000-0000DB740000}"/>
    <cellStyle name="Normal 3 19 2 2 5 5" xfId="12576" xr:uid="{00000000-0005-0000-0000-0000DC740000}"/>
    <cellStyle name="Normal 3 19 2 2 5 5 2" xfId="26144" xr:uid="{00000000-0005-0000-0000-0000DD740000}"/>
    <cellStyle name="Normal 3 19 2 2 5 5 2 2" xfId="53277" xr:uid="{00000000-0005-0000-0000-0000DE740000}"/>
    <cellStyle name="Normal 3 19 2 2 5 5 3" xfId="39715" xr:uid="{00000000-0005-0000-0000-0000DF740000}"/>
    <cellStyle name="Normal 3 19 2 2 5 6" xfId="19363" xr:uid="{00000000-0005-0000-0000-0000E0740000}"/>
    <cellStyle name="Normal 3 19 2 2 5 6 2" xfId="46496" xr:uid="{00000000-0005-0000-0000-0000E1740000}"/>
    <cellStyle name="Normal 3 19 2 2 5 7" xfId="32934" xr:uid="{00000000-0005-0000-0000-0000E2740000}"/>
    <cellStyle name="Normal 3 19 2 2 6" xfId="5635" xr:uid="{00000000-0005-0000-0000-0000E3740000}"/>
    <cellStyle name="Normal 3 19 2 2 6 2" xfId="5636" xr:uid="{00000000-0005-0000-0000-0000E4740000}"/>
    <cellStyle name="Normal 3 19 2 2 6 2 2" xfId="9179" xr:uid="{00000000-0005-0000-0000-0000E5740000}"/>
    <cellStyle name="Normal 3 19 2 2 6 2 2 2" xfId="15969" xr:uid="{00000000-0005-0000-0000-0000E6740000}"/>
    <cellStyle name="Normal 3 19 2 2 6 2 2 2 2" xfId="29537" xr:uid="{00000000-0005-0000-0000-0000E7740000}"/>
    <cellStyle name="Normal 3 19 2 2 6 2 2 2 2 2" xfId="56670" xr:uid="{00000000-0005-0000-0000-0000E8740000}"/>
    <cellStyle name="Normal 3 19 2 2 6 2 2 2 3" xfId="43108" xr:uid="{00000000-0005-0000-0000-0000E9740000}"/>
    <cellStyle name="Normal 3 19 2 2 6 2 2 3" xfId="22756" xr:uid="{00000000-0005-0000-0000-0000EA740000}"/>
    <cellStyle name="Normal 3 19 2 2 6 2 2 3 2" xfId="49889" xr:uid="{00000000-0005-0000-0000-0000EB740000}"/>
    <cellStyle name="Normal 3 19 2 2 6 2 2 4" xfId="36327" xr:uid="{00000000-0005-0000-0000-0000EC740000}"/>
    <cellStyle name="Normal 3 19 2 2 6 2 3" xfId="12580" xr:uid="{00000000-0005-0000-0000-0000ED740000}"/>
    <cellStyle name="Normal 3 19 2 2 6 2 3 2" xfId="26148" xr:uid="{00000000-0005-0000-0000-0000EE740000}"/>
    <cellStyle name="Normal 3 19 2 2 6 2 3 2 2" xfId="53281" xr:uid="{00000000-0005-0000-0000-0000EF740000}"/>
    <cellStyle name="Normal 3 19 2 2 6 2 3 3" xfId="39719" xr:uid="{00000000-0005-0000-0000-0000F0740000}"/>
    <cellStyle name="Normal 3 19 2 2 6 2 4" xfId="19367" xr:uid="{00000000-0005-0000-0000-0000F1740000}"/>
    <cellStyle name="Normal 3 19 2 2 6 2 4 2" xfId="46500" xr:uid="{00000000-0005-0000-0000-0000F2740000}"/>
    <cellStyle name="Normal 3 19 2 2 6 2 5" xfId="32938" xr:uid="{00000000-0005-0000-0000-0000F3740000}"/>
    <cellStyle name="Normal 3 19 2 2 6 3" xfId="5637" xr:uid="{00000000-0005-0000-0000-0000F4740000}"/>
    <cellStyle name="Normal 3 19 2 2 6 3 2" xfId="9180" xr:uid="{00000000-0005-0000-0000-0000F5740000}"/>
    <cellStyle name="Normal 3 19 2 2 6 3 2 2" xfId="15970" xr:uid="{00000000-0005-0000-0000-0000F6740000}"/>
    <cellStyle name="Normal 3 19 2 2 6 3 2 2 2" xfId="29538" xr:uid="{00000000-0005-0000-0000-0000F7740000}"/>
    <cellStyle name="Normal 3 19 2 2 6 3 2 2 2 2" xfId="56671" xr:uid="{00000000-0005-0000-0000-0000F8740000}"/>
    <cellStyle name="Normal 3 19 2 2 6 3 2 2 3" xfId="43109" xr:uid="{00000000-0005-0000-0000-0000F9740000}"/>
    <cellStyle name="Normal 3 19 2 2 6 3 2 3" xfId="22757" xr:uid="{00000000-0005-0000-0000-0000FA740000}"/>
    <cellStyle name="Normal 3 19 2 2 6 3 2 3 2" xfId="49890" xr:uid="{00000000-0005-0000-0000-0000FB740000}"/>
    <cellStyle name="Normal 3 19 2 2 6 3 2 4" xfId="36328" xr:uid="{00000000-0005-0000-0000-0000FC740000}"/>
    <cellStyle name="Normal 3 19 2 2 6 3 3" xfId="12581" xr:uid="{00000000-0005-0000-0000-0000FD740000}"/>
    <cellStyle name="Normal 3 19 2 2 6 3 3 2" xfId="26149" xr:uid="{00000000-0005-0000-0000-0000FE740000}"/>
    <cellStyle name="Normal 3 19 2 2 6 3 3 2 2" xfId="53282" xr:uid="{00000000-0005-0000-0000-0000FF740000}"/>
    <cellStyle name="Normal 3 19 2 2 6 3 3 3" xfId="39720" xr:uid="{00000000-0005-0000-0000-000000750000}"/>
    <cellStyle name="Normal 3 19 2 2 6 3 4" xfId="19368" xr:uid="{00000000-0005-0000-0000-000001750000}"/>
    <cellStyle name="Normal 3 19 2 2 6 3 4 2" xfId="46501" xr:uid="{00000000-0005-0000-0000-000002750000}"/>
    <cellStyle name="Normal 3 19 2 2 6 3 5" xfId="32939" xr:uid="{00000000-0005-0000-0000-000003750000}"/>
    <cellStyle name="Normal 3 19 2 2 6 4" xfId="9178" xr:uid="{00000000-0005-0000-0000-000004750000}"/>
    <cellStyle name="Normal 3 19 2 2 6 4 2" xfId="15968" xr:uid="{00000000-0005-0000-0000-000005750000}"/>
    <cellStyle name="Normal 3 19 2 2 6 4 2 2" xfId="29536" xr:uid="{00000000-0005-0000-0000-000006750000}"/>
    <cellStyle name="Normal 3 19 2 2 6 4 2 2 2" xfId="56669" xr:uid="{00000000-0005-0000-0000-000007750000}"/>
    <cellStyle name="Normal 3 19 2 2 6 4 2 3" xfId="43107" xr:uid="{00000000-0005-0000-0000-000008750000}"/>
    <cellStyle name="Normal 3 19 2 2 6 4 3" xfId="22755" xr:uid="{00000000-0005-0000-0000-000009750000}"/>
    <cellStyle name="Normal 3 19 2 2 6 4 3 2" xfId="49888" xr:uid="{00000000-0005-0000-0000-00000A750000}"/>
    <cellStyle name="Normal 3 19 2 2 6 4 4" xfId="36326" xr:uid="{00000000-0005-0000-0000-00000B750000}"/>
    <cellStyle name="Normal 3 19 2 2 6 5" xfId="12579" xr:uid="{00000000-0005-0000-0000-00000C750000}"/>
    <cellStyle name="Normal 3 19 2 2 6 5 2" xfId="26147" xr:uid="{00000000-0005-0000-0000-00000D750000}"/>
    <cellStyle name="Normal 3 19 2 2 6 5 2 2" xfId="53280" xr:uid="{00000000-0005-0000-0000-00000E750000}"/>
    <cellStyle name="Normal 3 19 2 2 6 5 3" xfId="39718" xr:uid="{00000000-0005-0000-0000-00000F750000}"/>
    <cellStyle name="Normal 3 19 2 2 6 6" xfId="19366" xr:uid="{00000000-0005-0000-0000-000010750000}"/>
    <cellStyle name="Normal 3 19 2 2 6 6 2" xfId="46499" xr:uid="{00000000-0005-0000-0000-000011750000}"/>
    <cellStyle name="Normal 3 19 2 2 6 7" xfId="32937" xr:uid="{00000000-0005-0000-0000-000012750000}"/>
    <cellStyle name="Normal 3 19 2 2 7" xfId="5638" xr:uid="{00000000-0005-0000-0000-000013750000}"/>
    <cellStyle name="Normal 3 19 2 2 7 2" xfId="9181" xr:uid="{00000000-0005-0000-0000-000014750000}"/>
    <cellStyle name="Normal 3 19 2 2 7 2 2" xfId="15971" xr:uid="{00000000-0005-0000-0000-000015750000}"/>
    <cellStyle name="Normal 3 19 2 2 7 2 2 2" xfId="29539" xr:uid="{00000000-0005-0000-0000-000016750000}"/>
    <cellStyle name="Normal 3 19 2 2 7 2 2 2 2" xfId="56672" xr:uid="{00000000-0005-0000-0000-000017750000}"/>
    <cellStyle name="Normal 3 19 2 2 7 2 2 3" xfId="43110" xr:uid="{00000000-0005-0000-0000-000018750000}"/>
    <cellStyle name="Normal 3 19 2 2 7 2 3" xfId="22758" xr:uid="{00000000-0005-0000-0000-000019750000}"/>
    <cellStyle name="Normal 3 19 2 2 7 2 3 2" xfId="49891" xr:uid="{00000000-0005-0000-0000-00001A750000}"/>
    <cellStyle name="Normal 3 19 2 2 7 2 4" xfId="36329" xr:uid="{00000000-0005-0000-0000-00001B750000}"/>
    <cellStyle name="Normal 3 19 2 2 7 3" xfId="12582" xr:uid="{00000000-0005-0000-0000-00001C750000}"/>
    <cellStyle name="Normal 3 19 2 2 7 3 2" xfId="26150" xr:uid="{00000000-0005-0000-0000-00001D750000}"/>
    <cellStyle name="Normal 3 19 2 2 7 3 2 2" xfId="53283" xr:uid="{00000000-0005-0000-0000-00001E750000}"/>
    <cellStyle name="Normal 3 19 2 2 7 3 3" xfId="39721" xr:uid="{00000000-0005-0000-0000-00001F750000}"/>
    <cellStyle name="Normal 3 19 2 2 7 4" xfId="19369" xr:uid="{00000000-0005-0000-0000-000020750000}"/>
    <cellStyle name="Normal 3 19 2 2 7 4 2" xfId="46502" xr:uid="{00000000-0005-0000-0000-000021750000}"/>
    <cellStyle name="Normal 3 19 2 2 7 5" xfId="32940" xr:uid="{00000000-0005-0000-0000-000022750000}"/>
    <cellStyle name="Normal 3 19 2 2 8" xfId="5639" xr:uid="{00000000-0005-0000-0000-000023750000}"/>
    <cellStyle name="Normal 3 19 2 2 8 2" xfId="9182" xr:uid="{00000000-0005-0000-0000-000024750000}"/>
    <cellStyle name="Normal 3 19 2 2 8 2 2" xfId="15972" xr:uid="{00000000-0005-0000-0000-000025750000}"/>
    <cellStyle name="Normal 3 19 2 2 8 2 2 2" xfId="29540" xr:uid="{00000000-0005-0000-0000-000026750000}"/>
    <cellStyle name="Normal 3 19 2 2 8 2 2 2 2" xfId="56673" xr:uid="{00000000-0005-0000-0000-000027750000}"/>
    <cellStyle name="Normal 3 19 2 2 8 2 2 3" xfId="43111" xr:uid="{00000000-0005-0000-0000-000028750000}"/>
    <cellStyle name="Normal 3 19 2 2 8 2 3" xfId="22759" xr:uid="{00000000-0005-0000-0000-000029750000}"/>
    <cellStyle name="Normal 3 19 2 2 8 2 3 2" xfId="49892" xr:uid="{00000000-0005-0000-0000-00002A750000}"/>
    <cellStyle name="Normal 3 19 2 2 8 2 4" xfId="36330" xr:uid="{00000000-0005-0000-0000-00002B750000}"/>
    <cellStyle name="Normal 3 19 2 2 8 3" xfId="12583" xr:uid="{00000000-0005-0000-0000-00002C750000}"/>
    <cellStyle name="Normal 3 19 2 2 8 3 2" xfId="26151" xr:uid="{00000000-0005-0000-0000-00002D750000}"/>
    <cellStyle name="Normal 3 19 2 2 8 3 2 2" xfId="53284" xr:uid="{00000000-0005-0000-0000-00002E750000}"/>
    <cellStyle name="Normal 3 19 2 2 8 3 3" xfId="39722" xr:uid="{00000000-0005-0000-0000-00002F750000}"/>
    <cellStyle name="Normal 3 19 2 2 8 4" xfId="19370" xr:uid="{00000000-0005-0000-0000-000030750000}"/>
    <cellStyle name="Normal 3 19 2 2 8 4 2" xfId="46503" xr:uid="{00000000-0005-0000-0000-000031750000}"/>
    <cellStyle name="Normal 3 19 2 2 8 5" xfId="32941" xr:uid="{00000000-0005-0000-0000-000032750000}"/>
    <cellStyle name="Normal 3 19 2 2 9" xfId="9144" xr:uid="{00000000-0005-0000-0000-000033750000}"/>
    <cellStyle name="Normal 3 19 2 2 9 2" xfId="15934" xr:uid="{00000000-0005-0000-0000-000034750000}"/>
    <cellStyle name="Normal 3 19 2 2 9 2 2" xfId="29502" xr:uid="{00000000-0005-0000-0000-000035750000}"/>
    <cellStyle name="Normal 3 19 2 2 9 2 2 2" xfId="56635" xr:uid="{00000000-0005-0000-0000-000036750000}"/>
    <cellStyle name="Normal 3 19 2 2 9 2 3" xfId="43073" xr:uid="{00000000-0005-0000-0000-000037750000}"/>
    <cellStyle name="Normal 3 19 2 2 9 3" xfId="22721" xr:uid="{00000000-0005-0000-0000-000038750000}"/>
    <cellStyle name="Normal 3 19 2 2 9 3 2" xfId="49854" xr:uid="{00000000-0005-0000-0000-000039750000}"/>
    <cellStyle name="Normal 3 19 2 2 9 4" xfId="36292" xr:uid="{00000000-0005-0000-0000-00003A750000}"/>
    <cellStyle name="Normal 3 19 2 3" xfId="5640" xr:uid="{00000000-0005-0000-0000-00003B750000}"/>
    <cellStyle name="Normal 3 19 2 3 10" xfId="32942" xr:uid="{00000000-0005-0000-0000-00003C750000}"/>
    <cellStyle name="Normal 3 19 2 3 2" xfId="5641" xr:uid="{00000000-0005-0000-0000-00003D750000}"/>
    <cellStyle name="Normal 3 19 2 3 2 2" xfId="5642" xr:uid="{00000000-0005-0000-0000-00003E750000}"/>
    <cellStyle name="Normal 3 19 2 3 2 2 2" xfId="5643" xr:uid="{00000000-0005-0000-0000-00003F750000}"/>
    <cellStyle name="Normal 3 19 2 3 2 2 2 2" xfId="9186" xr:uid="{00000000-0005-0000-0000-000040750000}"/>
    <cellStyle name="Normal 3 19 2 3 2 2 2 2 2" xfId="15976" xr:uid="{00000000-0005-0000-0000-000041750000}"/>
    <cellStyle name="Normal 3 19 2 3 2 2 2 2 2 2" xfId="29544" xr:uid="{00000000-0005-0000-0000-000042750000}"/>
    <cellStyle name="Normal 3 19 2 3 2 2 2 2 2 2 2" xfId="56677" xr:uid="{00000000-0005-0000-0000-000043750000}"/>
    <cellStyle name="Normal 3 19 2 3 2 2 2 2 2 3" xfId="43115" xr:uid="{00000000-0005-0000-0000-000044750000}"/>
    <cellStyle name="Normal 3 19 2 3 2 2 2 2 3" xfId="22763" xr:uid="{00000000-0005-0000-0000-000045750000}"/>
    <cellStyle name="Normal 3 19 2 3 2 2 2 2 3 2" xfId="49896" xr:uid="{00000000-0005-0000-0000-000046750000}"/>
    <cellStyle name="Normal 3 19 2 3 2 2 2 2 4" xfId="36334" xr:uid="{00000000-0005-0000-0000-000047750000}"/>
    <cellStyle name="Normal 3 19 2 3 2 2 2 3" xfId="12587" xr:uid="{00000000-0005-0000-0000-000048750000}"/>
    <cellStyle name="Normal 3 19 2 3 2 2 2 3 2" xfId="26155" xr:uid="{00000000-0005-0000-0000-000049750000}"/>
    <cellStyle name="Normal 3 19 2 3 2 2 2 3 2 2" xfId="53288" xr:uid="{00000000-0005-0000-0000-00004A750000}"/>
    <cellStyle name="Normal 3 19 2 3 2 2 2 3 3" xfId="39726" xr:uid="{00000000-0005-0000-0000-00004B750000}"/>
    <cellStyle name="Normal 3 19 2 3 2 2 2 4" xfId="19374" xr:uid="{00000000-0005-0000-0000-00004C750000}"/>
    <cellStyle name="Normal 3 19 2 3 2 2 2 4 2" xfId="46507" xr:uid="{00000000-0005-0000-0000-00004D750000}"/>
    <cellStyle name="Normal 3 19 2 3 2 2 2 5" xfId="32945" xr:uid="{00000000-0005-0000-0000-00004E750000}"/>
    <cellStyle name="Normal 3 19 2 3 2 2 3" xfId="5644" xr:uid="{00000000-0005-0000-0000-00004F750000}"/>
    <cellStyle name="Normal 3 19 2 3 2 2 3 2" xfId="9187" xr:uid="{00000000-0005-0000-0000-000050750000}"/>
    <cellStyle name="Normal 3 19 2 3 2 2 3 2 2" xfId="15977" xr:uid="{00000000-0005-0000-0000-000051750000}"/>
    <cellStyle name="Normal 3 19 2 3 2 2 3 2 2 2" xfId="29545" xr:uid="{00000000-0005-0000-0000-000052750000}"/>
    <cellStyle name="Normal 3 19 2 3 2 2 3 2 2 2 2" xfId="56678" xr:uid="{00000000-0005-0000-0000-000053750000}"/>
    <cellStyle name="Normal 3 19 2 3 2 2 3 2 2 3" xfId="43116" xr:uid="{00000000-0005-0000-0000-000054750000}"/>
    <cellStyle name="Normal 3 19 2 3 2 2 3 2 3" xfId="22764" xr:uid="{00000000-0005-0000-0000-000055750000}"/>
    <cellStyle name="Normal 3 19 2 3 2 2 3 2 3 2" xfId="49897" xr:uid="{00000000-0005-0000-0000-000056750000}"/>
    <cellStyle name="Normal 3 19 2 3 2 2 3 2 4" xfId="36335" xr:uid="{00000000-0005-0000-0000-000057750000}"/>
    <cellStyle name="Normal 3 19 2 3 2 2 3 3" xfId="12588" xr:uid="{00000000-0005-0000-0000-000058750000}"/>
    <cellStyle name="Normal 3 19 2 3 2 2 3 3 2" xfId="26156" xr:uid="{00000000-0005-0000-0000-000059750000}"/>
    <cellStyle name="Normal 3 19 2 3 2 2 3 3 2 2" xfId="53289" xr:uid="{00000000-0005-0000-0000-00005A750000}"/>
    <cellStyle name="Normal 3 19 2 3 2 2 3 3 3" xfId="39727" xr:uid="{00000000-0005-0000-0000-00005B750000}"/>
    <cellStyle name="Normal 3 19 2 3 2 2 3 4" xfId="19375" xr:uid="{00000000-0005-0000-0000-00005C750000}"/>
    <cellStyle name="Normal 3 19 2 3 2 2 3 4 2" xfId="46508" xr:uid="{00000000-0005-0000-0000-00005D750000}"/>
    <cellStyle name="Normal 3 19 2 3 2 2 3 5" xfId="32946" xr:uid="{00000000-0005-0000-0000-00005E750000}"/>
    <cellStyle name="Normal 3 19 2 3 2 2 4" xfId="9185" xr:uid="{00000000-0005-0000-0000-00005F750000}"/>
    <cellStyle name="Normal 3 19 2 3 2 2 4 2" xfId="15975" xr:uid="{00000000-0005-0000-0000-000060750000}"/>
    <cellStyle name="Normal 3 19 2 3 2 2 4 2 2" xfId="29543" xr:uid="{00000000-0005-0000-0000-000061750000}"/>
    <cellStyle name="Normal 3 19 2 3 2 2 4 2 2 2" xfId="56676" xr:uid="{00000000-0005-0000-0000-000062750000}"/>
    <cellStyle name="Normal 3 19 2 3 2 2 4 2 3" xfId="43114" xr:uid="{00000000-0005-0000-0000-000063750000}"/>
    <cellStyle name="Normal 3 19 2 3 2 2 4 3" xfId="22762" xr:uid="{00000000-0005-0000-0000-000064750000}"/>
    <cellStyle name="Normal 3 19 2 3 2 2 4 3 2" xfId="49895" xr:uid="{00000000-0005-0000-0000-000065750000}"/>
    <cellStyle name="Normal 3 19 2 3 2 2 4 4" xfId="36333" xr:uid="{00000000-0005-0000-0000-000066750000}"/>
    <cellStyle name="Normal 3 19 2 3 2 2 5" xfId="12586" xr:uid="{00000000-0005-0000-0000-000067750000}"/>
    <cellStyle name="Normal 3 19 2 3 2 2 5 2" xfId="26154" xr:uid="{00000000-0005-0000-0000-000068750000}"/>
    <cellStyle name="Normal 3 19 2 3 2 2 5 2 2" xfId="53287" xr:uid="{00000000-0005-0000-0000-000069750000}"/>
    <cellStyle name="Normal 3 19 2 3 2 2 5 3" xfId="39725" xr:uid="{00000000-0005-0000-0000-00006A750000}"/>
    <cellStyle name="Normal 3 19 2 3 2 2 6" xfId="19373" xr:uid="{00000000-0005-0000-0000-00006B750000}"/>
    <cellStyle name="Normal 3 19 2 3 2 2 6 2" xfId="46506" xr:uid="{00000000-0005-0000-0000-00006C750000}"/>
    <cellStyle name="Normal 3 19 2 3 2 2 7" xfId="32944" xr:uid="{00000000-0005-0000-0000-00006D750000}"/>
    <cellStyle name="Normal 3 19 2 3 2 3" xfId="5645" xr:uid="{00000000-0005-0000-0000-00006E750000}"/>
    <cellStyle name="Normal 3 19 2 3 2 3 2" xfId="5646" xr:uid="{00000000-0005-0000-0000-00006F750000}"/>
    <cellStyle name="Normal 3 19 2 3 2 3 2 2" xfId="9189" xr:uid="{00000000-0005-0000-0000-000070750000}"/>
    <cellStyle name="Normal 3 19 2 3 2 3 2 2 2" xfId="15979" xr:uid="{00000000-0005-0000-0000-000071750000}"/>
    <cellStyle name="Normal 3 19 2 3 2 3 2 2 2 2" xfId="29547" xr:uid="{00000000-0005-0000-0000-000072750000}"/>
    <cellStyle name="Normal 3 19 2 3 2 3 2 2 2 2 2" xfId="56680" xr:uid="{00000000-0005-0000-0000-000073750000}"/>
    <cellStyle name="Normal 3 19 2 3 2 3 2 2 2 3" xfId="43118" xr:uid="{00000000-0005-0000-0000-000074750000}"/>
    <cellStyle name="Normal 3 19 2 3 2 3 2 2 3" xfId="22766" xr:uid="{00000000-0005-0000-0000-000075750000}"/>
    <cellStyle name="Normal 3 19 2 3 2 3 2 2 3 2" xfId="49899" xr:uid="{00000000-0005-0000-0000-000076750000}"/>
    <cellStyle name="Normal 3 19 2 3 2 3 2 2 4" xfId="36337" xr:uid="{00000000-0005-0000-0000-000077750000}"/>
    <cellStyle name="Normal 3 19 2 3 2 3 2 3" xfId="12590" xr:uid="{00000000-0005-0000-0000-000078750000}"/>
    <cellStyle name="Normal 3 19 2 3 2 3 2 3 2" xfId="26158" xr:uid="{00000000-0005-0000-0000-000079750000}"/>
    <cellStyle name="Normal 3 19 2 3 2 3 2 3 2 2" xfId="53291" xr:uid="{00000000-0005-0000-0000-00007A750000}"/>
    <cellStyle name="Normal 3 19 2 3 2 3 2 3 3" xfId="39729" xr:uid="{00000000-0005-0000-0000-00007B750000}"/>
    <cellStyle name="Normal 3 19 2 3 2 3 2 4" xfId="19377" xr:uid="{00000000-0005-0000-0000-00007C750000}"/>
    <cellStyle name="Normal 3 19 2 3 2 3 2 4 2" xfId="46510" xr:uid="{00000000-0005-0000-0000-00007D750000}"/>
    <cellStyle name="Normal 3 19 2 3 2 3 2 5" xfId="32948" xr:uid="{00000000-0005-0000-0000-00007E750000}"/>
    <cellStyle name="Normal 3 19 2 3 2 3 3" xfId="9188" xr:uid="{00000000-0005-0000-0000-00007F750000}"/>
    <cellStyle name="Normal 3 19 2 3 2 3 3 2" xfId="15978" xr:uid="{00000000-0005-0000-0000-000080750000}"/>
    <cellStyle name="Normal 3 19 2 3 2 3 3 2 2" xfId="29546" xr:uid="{00000000-0005-0000-0000-000081750000}"/>
    <cellStyle name="Normal 3 19 2 3 2 3 3 2 2 2" xfId="56679" xr:uid="{00000000-0005-0000-0000-000082750000}"/>
    <cellStyle name="Normal 3 19 2 3 2 3 3 2 3" xfId="43117" xr:uid="{00000000-0005-0000-0000-000083750000}"/>
    <cellStyle name="Normal 3 19 2 3 2 3 3 3" xfId="22765" xr:uid="{00000000-0005-0000-0000-000084750000}"/>
    <cellStyle name="Normal 3 19 2 3 2 3 3 3 2" xfId="49898" xr:uid="{00000000-0005-0000-0000-000085750000}"/>
    <cellStyle name="Normal 3 19 2 3 2 3 3 4" xfId="36336" xr:uid="{00000000-0005-0000-0000-000086750000}"/>
    <cellStyle name="Normal 3 19 2 3 2 3 4" xfId="12589" xr:uid="{00000000-0005-0000-0000-000087750000}"/>
    <cellStyle name="Normal 3 19 2 3 2 3 4 2" xfId="26157" xr:uid="{00000000-0005-0000-0000-000088750000}"/>
    <cellStyle name="Normal 3 19 2 3 2 3 4 2 2" xfId="53290" xr:uid="{00000000-0005-0000-0000-000089750000}"/>
    <cellStyle name="Normal 3 19 2 3 2 3 4 3" xfId="39728" xr:uid="{00000000-0005-0000-0000-00008A750000}"/>
    <cellStyle name="Normal 3 19 2 3 2 3 5" xfId="19376" xr:uid="{00000000-0005-0000-0000-00008B750000}"/>
    <cellStyle name="Normal 3 19 2 3 2 3 5 2" xfId="46509" xr:uid="{00000000-0005-0000-0000-00008C750000}"/>
    <cellStyle name="Normal 3 19 2 3 2 3 6" xfId="32947" xr:uid="{00000000-0005-0000-0000-00008D750000}"/>
    <cellStyle name="Normal 3 19 2 3 2 4" xfId="5647" xr:uid="{00000000-0005-0000-0000-00008E750000}"/>
    <cellStyle name="Normal 3 19 2 3 2 4 2" xfId="9190" xr:uid="{00000000-0005-0000-0000-00008F750000}"/>
    <cellStyle name="Normal 3 19 2 3 2 4 2 2" xfId="15980" xr:uid="{00000000-0005-0000-0000-000090750000}"/>
    <cellStyle name="Normal 3 19 2 3 2 4 2 2 2" xfId="29548" xr:uid="{00000000-0005-0000-0000-000091750000}"/>
    <cellStyle name="Normal 3 19 2 3 2 4 2 2 2 2" xfId="56681" xr:uid="{00000000-0005-0000-0000-000092750000}"/>
    <cellStyle name="Normal 3 19 2 3 2 4 2 2 3" xfId="43119" xr:uid="{00000000-0005-0000-0000-000093750000}"/>
    <cellStyle name="Normal 3 19 2 3 2 4 2 3" xfId="22767" xr:uid="{00000000-0005-0000-0000-000094750000}"/>
    <cellStyle name="Normal 3 19 2 3 2 4 2 3 2" xfId="49900" xr:uid="{00000000-0005-0000-0000-000095750000}"/>
    <cellStyle name="Normal 3 19 2 3 2 4 2 4" xfId="36338" xr:uid="{00000000-0005-0000-0000-000096750000}"/>
    <cellStyle name="Normal 3 19 2 3 2 4 3" xfId="12591" xr:uid="{00000000-0005-0000-0000-000097750000}"/>
    <cellStyle name="Normal 3 19 2 3 2 4 3 2" xfId="26159" xr:uid="{00000000-0005-0000-0000-000098750000}"/>
    <cellStyle name="Normal 3 19 2 3 2 4 3 2 2" xfId="53292" xr:uid="{00000000-0005-0000-0000-000099750000}"/>
    <cellStyle name="Normal 3 19 2 3 2 4 3 3" xfId="39730" xr:uid="{00000000-0005-0000-0000-00009A750000}"/>
    <cellStyle name="Normal 3 19 2 3 2 4 4" xfId="19378" xr:uid="{00000000-0005-0000-0000-00009B750000}"/>
    <cellStyle name="Normal 3 19 2 3 2 4 4 2" xfId="46511" xr:uid="{00000000-0005-0000-0000-00009C750000}"/>
    <cellStyle name="Normal 3 19 2 3 2 4 5" xfId="32949" xr:uid="{00000000-0005-0000-0000-00009D750000}"/>
    <cellStyle name="Normal 3 19 2 3 2 5" xfId="5648" xr:uid="{00000000-0005-0000-0000-00009E750000}"/>
    <cellStyle name="Normal 3 19 2 3 2 5 2" xfId="9191" xr:uid="{00000000-0005-0000-0000-00009F750000}"/>
    <cellStyle name="Normal 3 19 2 3 2 5 2 2" xfId="15981" xr:uid="{00000000-0005-0000-0000-0000A0750000}"/>
    <cellStyle name="Normal 3 19 2 3 2 5 2 2 2" xfId="29549" xr:uid="{00000000-0005-0000-0000-0000A1750000}"/>
    <cellStyle name="Normal 3 19 2 3 2 5 2 2 2 2" xfId="56682" xr:uid="{00000000-0005-0000-0000-0000A2750000}"/>
    <cellStyle name="Normal 3 19 2 3 2 5 2 2 3" xfId="43120" xr:uid="{00000000-0005-0000-0000-0000A3750000}"/>
    <cellStyle name="Normal 3 19 2 3 2 5 2 3" xfId="22768" xr:uid="{00000000-0005-0000-0000-0000A4750000}"/>
    <cellStyle name="Normal 3 19 2 3 2 5 2 3 2" xfId="49901" xr:uid="{00000000-0005-0000-0000-0000A5750000}"/>
    <cellStyle name="Normal 3 19 2 3 2 5 2 4" xfId="36339" xr:uid="{00000000-0005-0000-0000-0000A6750000}"/>
    <cellStyle name="Normal 3 19 2 3 2 5 3" xfId="12592" xr:uid="{00000000-0005-0000-0000-0000A7750000}"/>
    <cellStyle name="Normal 3 19 2 3 2 5 3 2" xfId="26160" xr:uid="{00000000-0005-0000-0000-0000A8750000}"/>
    <cellStyle name="Normal 3 19 2 3 2 5 3 2 2" xfId="53293" xr:uid="{00000000-0005-0000-0000-0000A9750000}"/>
    <cellStyle name="Normal 3 19 2 3 2 5 3 3" xfId="39731" xr:uid="{00000000-0005-0000-0000-0000AA750000}"/>
    <cellStyle name="Normal 3 19 2 3 2 5 4" xfId="19379" xr:uid="{00000000-0005-0000-0000-0000AB750000}"/>
    <cellStyle name="Normal 3 19 2 3 2 5 4 2" xfId="46512" xr:uid="{00000000-0005-0000-0000-0000AC750000}"/>
    <cellStyle name="Normal 3 19 2 3 2 5 5" xfId="32950" xr:uid="{00000000-0005-0000-0000-0000AD750000}"/>
    <cellStyle name="Normal 3 19 2 3 2 6" xfId="9184" xr:uid="{00000000-0005-0000-0000-0000AE750000}"/>
    <cellStyle name="Normal 3 19 2 3 2 6 2" xfId="15974" xr:uid="{00000000-0005-0000-0000-0000AF750000}"/>
    <cellStyle name="Normal 3 19 2 3 2 6 2 2" xfId="29542" xr:uid="{00000000-0005-0000-0000-0000B0750000}"/>
    <cellStyle name="Normal 3 19 2 3 2 6 2 2 2" xfId="56675" xr:uid="{00000000-0005-0000-0000-0000B1750000}"/>
    <cellStyle name="Normal 3 19 2 3 2 6 2 3" xfId="43113" xr:uid="{00000000-0005-0000-0000-0000B2750000}"/>
    <cellStyle name="Normal 3 19 2 3 2 6 3" xfId="22761" xr:uid="{00000000-0005-0000-0000-0000B3750000}"/>
    <cellStyle name="Normal 3 19 2 3 2 6 3 2" xfId="49894" xr:uid="{00000000-0005-0000-0000-0000B4750000}"/>
    <cellStyle name="Normal 3 19 2 3 2 6 4" xfId="36332" xr:uid="{00000000-0005-0000-0000-0000B5750000}"/>
    <cellStyle name="Normal 3 19 2 3 2 7" xfId="12585" xr:uid="{00000000-0005-0000-0000-0000B6750000}"/>
    <cellStyle name="Normal 3 19 2 3 2 7 2" xfId="26153" xr:uid="{00000000-0005-0000-0000-0000B7750000}"/>
    <cellStyle name="Normal 3 19 2 3 2 7 2 2" xfId="53286" xr:uid="{00000000-0005-0000-0000-0000B8750000}"/>
    <cellStyle name="Normal 3 19 2 3 2 7 3" xfId="39724" xr:uid="{00000000-0005-0000-0000-0000B9750000}"/>
    <cellStyle name="Normal 3 19 2 3 2 8" xfId="19372" xr:uid="{00000000-0005-0000-0000-0000BA750000}"/>
    <cellStyle name="Normal 3 19 2 3 2 8 2" xfId="46505" xr:uid="{00000000-0005-0000-0000-0000BB750000}"/>
    <cellStyle name="Normal 3 19 2 3 2 9" xfId="32943" xr:uid="{00000000-0005-0000-0000-0000BC750000}"/>
    <cellStyle name="Normal 3 19 2 3 3" xfId="5649" xr:uid="{00000000-0005-0000-0000-0000BD750000}"/>
    <cellStyle name="Normal 3 19 2 3 3 2" xfId="5650" xr:uid="{00000000-0005-0000-0000-0000BE750000}"/>
    <cellStyle name="Normal 3 19 2 3 3 2 2" xfId="9193" xr:uid="{00000000-0005-0000-0000-0000BF750000}"/>
    <cellStyle name="Normal 3 19 2 3 3 2 2 2" xfId="15983" xr:uid="{00000000-0005-0000-0000-0000C0750000}"/>
    <cellStyle name="Normal 3 19 2 3 3 2 2 2 2" xfId="29551" xr:uid="{00000000-0005-0000-0000-0000C1750000}"/>
    <cellStyle name="Normal 3 19 2 3 3 2 2 2 2 2" xfId="56684" xr:uid="{00000000-0005-0000-0000-0000C2750000}"/>
    <cellStyle name="Normal 3 19 2 3 3 2 2 2 3" xfId="43122" xr:uid="{00000000-0005-0000-0000-0000C3750000}"/>
    <cellStyle name="Normal 3 19 2 3 3 2 2 3" xfId="22770" xr:uid="{00000000-0005-0000-0000-0000C4750000}"/>
    <cellStyle name="Normal 3 19 2 3 3 2 2 3 2" xfId="49903" xr:uid="{00000000-0005-0000-0000-0000C5750000}"/>
    <cellStyle name="Normal 3 19 2 3 3 2 2 4" xfId="36341" xr:uid="{00000000-0005-0000-0000-0000C6750000}"/>
    <cellStyle name="Normal 3 19 2 3 3 2 3" xfId="12594" xr:uid="{00000000-0005-0000-0000-0000C7750000}"/>
    <cellStyle name="Normal 3 19 2 3 3 2 3 2" xfId="26162" xr:uid="{00000000-0005-0000-0000-0000C8750000}"/>
    <cellStyle name="Normal 3 19 2 3 3 2 3 2 2" xfId="53295" xr:uid="{00000000-0005-0000-0000-0000C9750000}"/>
    <cellStyle name="Normal 3 19 2 3 3 2 3 3" xfId="39733" xr:uid="{00000000-0005-0000-0000-0000CA750000}"/>
    <cellStyle name="Normal 3 19 2 3 3 2 4" xfId="19381" xr:uid="{00000000-0005-0000-0000-0000CB750000}"/>
    <cellStyle name="Normal 3 19 2 3 3 2 4 2" xfId="46514" xr:uid="{00000000-0005-0000-0000-0000CC750000}"/>
    <cellStyle name="Normal 3 19 2 3 3 2 5" xfId="32952" xr:uid="{00000000-0005-0000-0000-0000CD750000}"/>
    <cellStyle name="Normal 3 19 2 3 3 3" xfId="5651" xr:uid="{00000000-0005-0000-0000-0000CE750000}"/>
    <cellStyle name="Normal 3 19 2 3 3 3 2" xfId="9194" xr:uid="{00000000-0005-0000-0000-0000CF750000}"/>
    <cellStyle name="Normal 3 19 2 3 3 3 2 2" xfId="15984" xr:uid="{00000000-0005-0000-0000-0000D0750000}"/>
    <cellStyle name="Normal 3 19 2 3 3 3 2 2 2" xfId="29552" xr:uid="{00000000-0005-0000-0000-0000D1750000}"/>
    <cellStyle name="Normal 3 19 2 3 3 3 2 2 2 2" xfId="56685" xr:uid="{00000000-0005-0000-0000-0000D2750000}"/>
    <cellStyle name="Normal 3 19 2 3 3 3 2 2 3" xfId="43123" xr:uid="{00000000-0005-0000-0000-0000D3750000}"/>
    <cellStyle name="Normal 3 19 2 3 3 3 2 3" xfId="22771" xr:uid="{00000000-0005-0000-0000-0000D4750000}"/>
    <cellStyle name="Normal 3 19 2 3 3 3 2 3 2" xfId="49904" xr:uid="{00000000-0005-0000-0000-0000D5750000}"/>
    <cellStyle name="Normal 3 19 2 3 3 3 2 4" xfId="36342" xr:uid="{00000000-0005-0000-0000-0000D6750000}"/>
    <cellStyle name="Normal 3 19 2 3 3 3 3" xfId="12595" xr:uid="{00000000-0005-0000-0000-0000D7750000}"/>
    <cellStyle name="Normal 3 19 2 3 3 3 3 2" xfId="26163" xr:uid="{00000000-0005-0000-0000-0000D8750000}"/>
    <cellStyle name="Normal 3 19 2 3 3 3 3 2 2" xfId="53296" xr:uid="{00000000-0005-0000-0000-0000D9750000}"/>
    <cellStyle name="Normal 3 19 2 3 3 3 3 3" xfId="39734" xr:uid="{00000000-0005-0000-0000-0000DA750000}"/>
    <cellStyle name="Normal 3 19 2 3 3 3 4" xfId="19382" xr:uid="{00000000-0005-0000-0000-0000DB750000}"/>
    <cellStyle name="Normal 3 19 2 3 3 3 4 2" xfId="46515" xr:uid="{00000000-0005-0000-0000-0000DC750000}"/>
    <cellStyle name="Normal 3 19 2 3 3 3 5" xfId="32953" xr:uid="{00000000-0005-0000-0000-0000DD750000}"/>
    <cellStyle name="Normal 3 19 2 3 3 4" xfId="9192" xr:uid="{00000000-0005-0000-0000-0000DE750000}"/>
    <cellStyle name="Normal 3 19 2 3 3 4 2" xfId="15982" xr:uid="{00000000-0005-0000-0000-0000DF750000}"/>
    <cellStyle name="Normal 3 19 2 3 3 4 2 2" xfId="29550" xr:uid="{00000000-0005-0000-0000-0000E0750000}"/>
    <cellStyle name="Normal 3 19 2 3 3 4 2 2 2" xfId="56683" xr:uid="{00000000-0005-0000-0000-0000E1750000}"/>
    <cellStyle name="Normal 3 19 2 3 3 4 2 3" xfId="43121" xr:uid="{00000000-0005-0000-0000-0000E2750000}"/>
    <cellStyle name="Normal 3 19 2 3 3 4 3" xfId="22769" xr:uid="{00000000-0005-0000-0000-0000E3750000}"/>
    <cellStyle name="Normal 3 19 2 3 3 4 3 2" xfId="49902" xr:uid="{00000000-0005-0000-0000-0000E4750000}"/>
    <cellStyle name="Normal 3 19 2 3 3 4 4" xfId="36340" xr:uid="{00000000-0005-0000-0000-0000E5750000}"/>
    <cellStyle name="Normal 3 19 2 3 3 5" xfId="12593" xr:uid="{00000000-0005-0000-0000-0000E6750000}"/>
    <cellStyle name="Normal 3 19 2 3 3 5 2" xfId="26161" xr:uid="{00000000-0005-0000-0000-0000E7750000}"/>
    <cellStyle name="Normal 3 19 2 3 3 5 2 2" xfId="53294" xr:uid="{00000000-0005-0000-0000-0000E8750000}"/>
    <cellStyle name="Normal 3 19 2 3 3 5 3" xfId="39732" xr:uid="{00000000-0005-0000-0000-0000E9750000}"/>
    <cellStyle name="Normal 3 19 2 3 3 6" xfId="19380" xr:uid="{00000000-0005-0000-0000-0000EA750000}"/>
    <cellStyle name="Normal 3 19 2 3 3 6 2" xfId="46513" xr:uid="{00000000-0005-0000-0000-0000EB750000}"/>
    <cellStyle name="Normal 3 19 2 3 3 7" xfId="32951" xr:uid="{00000000-0005-0000-0000-0000EC750000}"/>
    <cellStyle name="Normal 3 19 2 3 4" xfId="5652" xr:uid="{00000000-0005-0000-0000-0000ED750000}"/>
    <cellStyle name="Normal 3 19 2 3 4 2" xfId="5653" xr:uid="{00000000-0005-0000-0000-0000EE750000}"/>
    <cellStyle name="Normal 3 19 2 3 4 2 2" xfId="9196" xr:uid="{00000000-0005-0000-0000-0000EF750000}"/>
    <cellStyle name="Normal 3 19 2 3 4 2 2 2" xfId="15986" xr:uid="{00000000-0005-0000-0000-0000F0750000}"/>
    <cellStyle name="Normal 3 19 2 3 4 2 2 2 2" xfId="29554" xr:uid="{00000000-0005-0000-0000-0000F1750000}"/>
    <cellStyle name="Normal 3 19 2 3 4 2 2 2 2 2" xfId="56687" xr:uid="{00000000-0005-0000-0000-0000F2750000}"/>
    <cellStyle name="Normal 3 19 2 3 4 2 2 2 3" xfId="43125" xr:uid="{00000000-0005-0000-0000-0000F3750000}"/>
    <cellStyle name="Normal 3 19 2 3 4 2 2 3" xfId="22773" xr:uid="{00000000-0005-0000-0000-0000F4750000}"/>
    <cellStyle name="Normal 3 19 2 3 4 2 2 3 2" xfId="49906" xr:uid="{00000000-0005-0000-0000-0000F5750000}"/>
    <cellStyle name="Normal 3 19 2 3 4 2 2 4" xfId="36344" xr:uid="{00000000-0005-0000-0000-0000F6750000}"/>
    <cellStyle name="Normal 3 19 2 3 4 2 3" xfId="12597" xr:uid="{00000000-0005-0000-0000-0000F7750000}"/>
    <cellStyle name="Normal 3 19 2 3 4 2 3 2" xfId="26165" xr:uid="{00000000-0005-0000-0000-0000F8750000}"/>
    <cellStyle name="Normal 3 19 2 3 4 2 3 2 2" xfId="53298" xr:uid="{00000000-0005-0000-0000-0000F9750000}"/>
    <cellStyle name="Normal 3 19 2 3 4 2 3 3" xfId="39736" xr:uid="{00000000-0005-0000-0000-0000FA750000}"/>
    <cellStyle name="Normal 3 19 2 3 4 2 4" xfId="19384" xr:uid="{00000000-0005-0000-0000-0000FB750000}"/>
    <cellStyle name="Normal 3 19 2 3 4 2 4 2" xfId="46517" xr:uid="{00000000-0005-0000-0000-0000FC750000}"/>
    <cellStyle name="Normal 3 19 2 3 4 2 5" xfId="32955" xr:uid="{00000000-0005-0000-0000-0000FD750000}"/>
    <cellStyle name="Normal 3 19 2 3 4 3" xfId="9195" xr:uid="{00000000-0005-0000-0000-0000FE750000}"/>
    <cellStyle name="Normal 3 19 2 3 4 3 2" xfId="15985" xr:uid="{00000000-0005-0000-0000-0000FF750000}"/>
    <cellStyle name="Normal 3 19 2 3 4 3 2 2" xfId="29553" xr:uid="{00000000-0005-0000-0000-000000760000}"/>
    <cellStyle name="Normal 3 19 2 3 4 3 2 2 2" xfId="56686" xr:uid="{00000000-0005-0000-0000-000001760000}"/>
    <cellStyle name="Normal 3 19 2 3 4 3 2 3" xfId="43124" xr:uid="{00000000-0005-0000-0000-000002760000}"/>
    <cellStyle name="Normal 3 19 2 3 4 3 3" xfId="22772" xr:uid="{00000000-0005-0000-0000-000003760000}"/>
    <cellStyle name="Normal 3 19 2 3 4 3 3 2" xfId="49905" xr:uid="{00000000-0005-0000-0000-000004760000}"/>
    <cellStyle name="Normal 3 19 2 3 4 3 4" xfId="36343" xr:uid="{00000000-0005-0000-0000-000005760000}"/>
    <cellStyle name="Normal 3 19 2 3 4 4" xfId="12596" xr:uid="{00000000-0005-0000-0000-000006760000}"/>
    <cellStyle name="Normal 3 19 2 3 4 4 2" xfId="26164" xr:uid="{00000000-0005-0000-0000-000007760000}"/>
    <cellStyle name="Normal 3 19 2 3 4 4 2 2" xfId="53297" xr:uid="{00000000-0005-0000-0000-000008760000}"/>
    <cellStyle name="Normal 3 19 2 3 4 4 3" xfId="39735" xr:uid="{00000000-0005-0000-0000-000009760000}"/>
    <cellStyle name="Normal 3 19 2 3 4 5" xfId="19383" xr:uid="{00000000-0005-0000-0000-00000A760000}"/>
    <cellStyle name="Normal 3 19 2 3 4 5 2" xfId="46516" xr:uid="{00000000-0005-0000-0000-00000B760000}"/>
    <cellStyle name="Normal 3 19 2 3 4 6" xfId="32954" xr:uid="{00000000-0005-0000-0000-00000C760000}"/>
    <cellStyle name="Normal 3 19 2 3 5" xfId="5654" xr:uid="{00000000-0005-0000-0000-00000D760000}"/>
    <cellStyle name="Normal 3 19 2 3 5 2" xfId="9197" xr:uid="{00000000-0005-0000-0000-00000E760000}"/>
    <cellStyle name="Normal 3 19 2 3 5 2 2" xfId="15987" xr:uid="{00000000-0005-0000-0000-00000F760000}"/>
    <cellStyle name="Normal 3 19 2 3 5 2 2 2" xfId="29555" xr:uid="{00000000-0005-0000-0000-000010760000}"/>
    <cellStyle name="Normal 3 19 2 3 5 2 2 2 2" xfId="56688" xr:uid="{00000000-0005-0000-0000-000011760000}"/>
    <cellStyle name="Normal 3 19 2 3 5 2 2 3" xfId="43126" xr:uid="{00000000-0005-0000-0000-000012760000}"/>
    <cellStyle name="Normal 3 19 2 3 5 2 3" xfId="22774" xr:uid="{00000000-0005-0000-0000-000013760000}"/>
    <cellStyle name="Normal 3 19 2 3 5 2 3 2" xfId="49907" xr:uid="{00000000-0005-0000-0000-000014760000}"/>
    <cellStyle name="Normal 3 19 2 3 5 2 4" xfId="36345" xr:uid="{00000000-0005-0000-0000-000015760000}"/>
    <cellStyle name="Normal 3 19 2 3 5 3" xfId="12598" xr:uid="{00000000-0005-0000-0000-000016760000}"/>
    <cellStyle name="Normal 3 19 2 3 5 3 2" xfId="26166" xr:uid="{00000000-0005-0000-0000-000017760000}"/>
    <cellStyle name="Normal 3 19 2 3 5 3 2 2" xfId="53299" xr:uid="{00000000-0005-0000-0000-000018760000}"/>
    <cellStyle name="Normal 3 19 2 3 5 3 3" xfId="39737" xr:uid="{00000000-0005-0000-0000-000019760000}"/>
    <cellStyle name="Normal 3 19 2 3 5 4" xfId="19385" xr:uid="{00000000-0005-0000-0000-00001A760000}"/>
    <cellStyle name="Normal 3 19 2 3 5 4 2" xfId="46518" xr:uid="{00000000-0005-0000-0000-00001B760000}"/>
    <cellStyle name="Normal 3 19 2 3 5 5" xfId="32956" xr:uid="{00000000-0005-0000-0000-00001C760000}"/>
    <cellStyle name="Normal 3 19 2 3 6" xfId="5655" xr:uid="{00000000-0005-0000-0000-00001D760000}"/>
    <cellStyle name="Normal 3 19 2 3 6 2" xfId="9198" xr:uid="{00000000-0005-0000-0000-00001E760000}"/>
    <cellStyle name="Normal 3 19 2 3 6 2 2" xfId="15988" xr:uid="{00000000-0005-0000-0000-00001F760000}"/>
    <cellStyle name="Normal 3 19 2 3 6 2 2 2" xfId="29556" xr:uid="{00000000-0005-0000-0000-000020760000}"/>
    <cellStyle name="Normal 3 19 2 3 6 2 2 2 2" xfId="56689" xr:uid="{00000000-0005-0000-0000-000021760000}"/>
    <cellStyle name="Normal 3 19 2 3 6 2 2 3" xfId="43127" xr:uid="{00000000-0005-0000-0000-000022760000}"/>
    <cellStyle name="Normal 3 19 2 3 6 2 3" xfId="22775" xr:uid="{00000000-0005-0000-0000-000023760000}"/>
    <cellStyle name="Normal 3 19 2 3 6 2 3 2" xfId="49908" xr:uid="{00000000-0005-0000-0000-000024760000}"/>
    <cellStyle name="Normal 3 19 2 3 6 2 4" xfId="36346" xr:uid="{00000000-0005-0000-0000-000025760000}"/>
    <cellStyle name="Normal 3 19 2 3 6 3" xfId="12599" xr:uid="{00000000-0005-0000-0000-000026760000}"/>
    <cellStyle name="Normal 3 19 2 3 6 3 2" xfId="26167" xr:uid="{00000000-0005-0000-0000-000027760000}"/>
    <cellStyle name="Normal 3 19 2 3 6 3 2 2" xfId="53300" xr:uid="{00000000-0005-0000-0000-000028760000}"/>
    <cellStyle name="Normal 3 19 2 3 6 3 3" xfId="39738" xr:uid="{00000000-0005-0000-0000-000029760000}"/>
    <cellStyle name="Normal 3 19 2 3 6 4" xfId="19386" xr:uid="{00000000-0005-0000-0000-00002A760000}"/>
    <cellStyle name="Normal 3 19 2 3 6 4 2" xfId="46519" xr:uid="{00000000-0005-0000-0000-00002B760000}"/>
    <cellStyle name="Normal 3 19 2 3 6 5" xfId="32957" xr:uid="{00000000-0005-0000-0000-00002C760000}"/>
    <cellStyle name="Normal 3 19 2 3 7" xfId="9183" xr:uid="{00000000-0005-0000-0000-00002D760000}"/>
    <cellStyle name="Normal 3 19 2 3 7 2" xfId="15973" xr:uid="{00000000-0005-0000-0000-00002E760000}"/>
    <cellStyle name="Normal 3 19 2 3 7 2 2" xfId="29541" xr:uid="{00000000-0005-0000-0000-00002F760000}"/>
    <cellStyle name="Normal 3 19 2 3 7 2 2 2" xfId="56674" xr:uid="{00000000-0005-0000-0000-000030760000}"/>
    <cellStyle name="Normal 3 19 2 3 7 2 3" xfId="43112" xr:uid="{00000000-0005-0000-0000-000031760000}"/>
    <cellStyle name="Normal 3 19 2 3 7 3" xfId="22760" xr:uid="{00000000-0005-0000-0000-000032760000}"/>
    <cellStyle name="Normal 3 19 2 3 7 3 2" xfId="49893" xr:uid="{00000000-0005-0000-0000-000033760000}"/>
    <cellStyle name="Normal 3 19 2 3 7 4" xfId="36331" xr:uid="{00000000-0005-0000-0000-000034760000}"/>
    <cellStyle name="Normal 3 19 2 3 8" xfId="12584" xr:uid="{00000000-0005-0000-0000-000035760000}"/>
    <cellStyle name="Normal 3 19 2 3 8 2" xfId="26152" xr:uid="{00000000-0005-0000-0000-000036760000}"/>
    <cellStyle name="Normal 3 19 2 3 8 2 2" xfId="53285" xr:uid="{00000000-0005-0000-0000-000037760000}"/>
    <cellStyle name="Normal 3 19 2 3 8 3" xfId="39723" xr:uid="{00000000-0005-0000-0000-000038760000}"/>
    <cellStyle name="Normal 3 19 2 3 9" xfId="19371" xr:uid="{00000000-0005-0000-0000-000039760000}"/>
    <cellStyle name="Normal 3 19 2 3 9 2" xfId="46504" xr:uid="{00000000-0005-0000-0000-00003A760000}"/>
    <cellStyle name="Normal 3 19 2 4" xfId="5656" xr:uid="{00000000-0005-0000-0000-00003B760000}"/>
    <cellStyle name="Normal 3 19 2 4 2" xfId="5657" xr:uid="{00000000-0005-0000-0000-00003C760000}"/>
    <cellStyle name="Normal 3 19 2 4 2 2" xfId="5658" xr:uid="{00000000-0005-0000-0000-00003D760000}"/>
    <cellStyle name="Normal 3 19 2 4 2 2 2" xfId="9201" xr:uid="{00000000-0005-0000-0000-00003E760000}"/>
    <cellStyle name="Normal 3 19 2 4 2 2 2 2" xfId="15991" xr:uid="{00000000-0005-0000-0000-00003F760000}"/>
    <cellStyle name="Normal 3 19 2 4 2 2 2 2 2" xfId="29559" xr:uid="{00000000-0005-0000-0000-000040760000}"/>
    <cellStyle name="Normal 3 19 2 4 2 2 2 2 2 2" xfId="56692" xr:uid="{00000000-0005-0000-0000-000041760000}"/>
    <cellStyle name="Normal 3 19 2 4 2 2 2 2 3" xfId="43130" xr:uid="{00000000-0005-0000-0000-000042760000}"/>
    <cellStyle name="Normal 3 19 2 4 2 2 2 3" xfId="22778" xr:uid="{00000000-0005-0000-0000-000043760000}"/>
    <cellStyle name="Normal 3 19 2 4 2 2 2 3 2" xfId="49911" xr:uid="{00000000-0005-0000-0000-000044760000}"/>
    <cellStyle name="Normal 3 19 2 4 2 2 2 4" xfId="36349" xr:uid="{00000000-0005-0000-0000-000045760000}"/>
    <cellStyle name="Normal 3 19 2 4 2 2 3" xfId="12602" xr:uid="{00000000-0005-0000-0000-000046760000}"/>
    <cellStyle name="Normal 3 19 2 4 2 2 3 2" xfId="26170" xr:uid="{00000000-0005-0000-0000-000047760000}"/>
    <cellStyle name="Normal 3 19 2 4 2 2 3 2 2" xfId="53303" xr:uid="{00000000-0005-0000-0000-000048760000}"/>
    <cellStyle name="Normal 3 19 2 4 2 2 3 3" xfId="39741" xr:uid="{00000000-0005-0000-0000-000049760000}"/>
    <cellStyle name="Normal 3 19 2 4 2 2 4" xfId="19389" xr:uid="{00000000-0005-0000-0000-00004A760000}"/>
    <cellStyle name="Normal 3 19 2 4 2 2 4 2" xfId="46522" xr:uid="{00000000-0005-0000-0000-00004B760000}"/>
    <cellStyle name="Normal 3 19 2 4 2 2 5" xfId="32960" xr:uid="{00000000-0005-0000-0000-00004C760000}"/>
    <cellStyle name="Normal 3 19 2 4 2 3" xfId="5659" xr:uid="{00000000-0005-0000-0000-00004D760000}"/>
    <cellStyle name="Normal 3 19 2 4 2 3 2" xfId="9202" xr:uid="{00000000-0005-0000-0000-00004E760000}"/>
    <cellStyle name="Normal 3 19 2 4 2 3 2 2" xfId="15992" xr:uid="{00000000-0005-0000-0000-00004F760000}"/>
    <cellStyle name="Normal 3 19 2 4 2 3 2 2 2" xfId="29560" xr:uid="{00000000-0005-0000-0000-000050760000}"/>
    <cellStyle name="Normal 3 19 2 4 2 3 2 2 2 2" xfId="56693" xr:uid="{00000000-0005-0000-0000-000051760000}"/>
    <cellStyle name="Normal 3 19 2 4 2 3 2 2 3" xfId="43131" xr:uid="{00000000-0005-0000-0000-000052760000}"/>
    <cellStyle name="Normal 3 19 2 4 2 3 2 3" xfId="22779" xr:uid="{00000000-0005-0000-0000-000053760000}"/>
    <cellStyle name="Normal 3 19 2 4 2 3 2 3 2" xfId="49912" xr:uid="{00000000-0005-0000-0000-000054760000}"/>
    <cellStyle name="Normal 3 19 2 4 2 3 2 4" xfId="36350" xr:uid="{00000000-0005-0000-0000-000055760000}"/>
    <cellStyle name="Normal 3 19 2 4 2 3 3" xfId="12603" xr:uid="{00000000-0005-0000-0000-000056760000}"/>
    <cellStyle name="Normal 3 19 2 4 2 3 3 2" xfId="26171" xr:uid="{00000000-0005-0000-0000-000057760000}"/>
    <cellStyle name="Normal 3 19 2 4 2 3 3 2 2" xfId="53304" xr:uid="{00000000-0005-0000-0000-000058760000}"/>
    <cellStyle name="Normal 3 19 2 4 2 3 3 3" xfId="39742" xr:uid="{00000000-0005-0000-0000-000059760000}"/>
    <cellStyle name="Normal 3 19 2 4 2 3 4" xfId="19390" xr:uid="{00000000-0005-0000-0000-00005A760000}"/>
    <cellStyle name="Normal 3 19 2 4 2 3 4 2" xfId="46523" xr:uid="{00000000-0005-0000-0000-00005B760000}"/>
    <cellStyle name="Normal 3 19 2 4 2 3 5" xfId="32961" xr:uid="{00000000-0005-0000-0000-00005C760000}"/>
    <cellStyle name="Normal 3 19 2 4 2 4" xfId="9200" xr:uid="{00000000-0005-0000-0000-00005D760000}"/>
    <cellStyle name="Normal 3 19 2 4 2 4 2" xfId="15990" xr:uid="{00000000-0005-0000-0000-00005E760000}"/>
    <cellStyle name="Normal 3 19 2 4 2 4 2 2" xfId="29558" xr:uid="{00000000-0005-0000-0000-00005F760000}"/>
    <cellStyle name="Normal 3 19 2 4 2 4 2 2 2" xfId="56691" xr:uid="{00000000-0005-0000-0000-000060760000}"/>
    <cellStyle name="Normal 3 19 2 4 2 4 2 3" xfId="43129" xr:uid="{00000000-0005-0000-0000-000061760000}"/>
    <cellStyle name="Normal 3 19 2 4 2 4 3" xfId="22777" xr:uid="{00000000-0005-0000-0000-000062760000}"/>
    <cellStyle name="Normal 3 19 2 4 2 4 3 2" xfId="49910" xr:uid="{00000000-0005-0000-0000-000063760000}"/>
    <cellStyle name="Normal 3 19 2 4 2 4 4" xfId="36348" xr:uid="{00000000-0005-0000-0000-000064760000}"/>
    <cellStyle name="Normal 3 19 2 4 2 5" xfId="12601" xr:uid="{00000000-0005-0000-0000-000065760000}"/>
    <cellStyle name="Normal 3 19 2 4 2 5 2" xfId="26169" xr:uid="{00000000-0005-0000-0000-000066760000}"/>
    <cellStyle name="Normal 3 19 2 4 2 5 2 2" xfId="53302" xr:uid="{00000000-0005-0000-0000-000067760000}"/>
    <cellStyle name="Normal 3 19 2 4 2 5 3" xfId="39740" xr:uid="{00000000-0005-0000-0000-000068760000}"/>
    <cellStyle name="Normal 3 19 2 4 2 6" xfId="19388" xr:uid="{00000000-0005-0000-0000-000069760000}"/>
    <cellStyle name="Normal 3 19 2 4 2 6 2" xfId="46521" xr:uid="{00000000-0005-0000-0000-00006A760000}"/>
    <cellStyle name="Normal 3 19 2 4 2 7" xfId="32959" xr:uid="{00000000-0005-0000-0000-00006B760000}"/>
    <cellStyle name="Normal 3 19 2 4 3" xfId="5660" xr:uid="{00000000-0005-0000-0000-00006C760000}"/>
    <cellStyle name="Normal 3 19 2 4 3 2" xfId="5661" xr:uid="{00000000-0005-0000-0000-00006D760000}"/>
    <cellStyle name="Normal 3 19 2 4 3 2 2" xfId="9204" xr:uid="{00000000-0005-0000-0000-00006E760000}"/>
    <cellStyle name="Normal 3 19 2 4 3 2 2 2" xfId="15994" xr:uid="{00000000-0005-0000-0000-00006F760000}"/>
    <cellStyle name="Normal 3 19 2 4 3 2 2 2 2" xfId="29562" xr:uid="{00000000-0005-0000-0000-000070760000}"/>
    <cellStyle name="Normal 3 19 2 4 3 2 2 2 2 2" xfId="56695" xr:uid="{00000000-0005-0000-0000-000071760000}"/>
    <cellStyle name="Normal 3 19 2 4 3 2 2 2 3" xfId="43133" xr:uid="{00000000-0005-0000-0000-000072760000}"/>
    <cellStyle name="Normal 3 19 2 4 3 2 2 3" xfId="22781" xr:uid="{00000000-0005-0000-0000-000073760000}"/>
    <cellStyle name="Normal 3 19 2 4 3 2 2 3 2" xfId="49914" xr:uid="{00000000-0005-0000-0000-000074760000}"/>
    <cellStyle name="Normal 3 19 2 4 3 2 2 4" xfId="36352" xr:uid="{00000000-0005-0000-0000-000075760000}"/>
    <cellStyle name="Normal 3 19 2 4 3 2 3" xfId="12605" xr:uid="{00000000-0005-0000-0000-000076760000}"/>
    <cellStyle name="Normal 3 19 2 4 3 2 3 2" xfId="26173" xr:uid="{00000000-0005-0000-0000-000077760000}"/>
    <cellStyle name="Normal 3 19 2 4 3 2 3 2 2" xfId="53306" xr:uid="{00000000-0005-0000-0000-000078760000}"/>
    <cellStyle name="Normal 3 19 2 4 3 2 3 3" xfId="39744" xr:uid="{00000000-0005-0000-0000-000079760000}"/>
    <cellStyle name="Normal 3 19 2 4 3 2 4" xfId="19392" xr:uid="{00000000-0005-0000-0000-00007A760000}"/>
    <cellStyle name="Normal 3 19 2 4 3 2 4 2" xfId="46525" xr:uid="{00000000-0005-0000-0000-00007B760000}"/>
    <cellStyle name="Normal 3 19 2 4 3 2 5" xfId="32963" xr:uid="{00000000-0005-0000-0000-00007C760000}"/>
    <cellStyle name="Normal 3 19 2 4 3 3" xfId="9203" xr:uid="{00000000-0005-0000-0000-00007D760000}"/>
    <cellStyle name="Normal 3 19 2 4 3 3 2" xfId="15993" xr:uid="{00000000-0005-0000-0000-00007E760000}"/>
    <cellStyle name="Normal 3 19 2 4 3 3 2 2" xfId="29561" xr:uid="{00000000-0005-0000-0000-00007F760000}"/>
    <cellStyle name="Normal 3 19 2 4 3 3 2 2 2" xfId="56694" xr:uid="{00000000-0005-0000-0000-000080760000}"/>
    <cellStyle name="Normal 3 19 2 4 3 3 2 3" xfId="43132" xr:uid="{00000000-0005-0000-0000-000081760000}"/>
    <cellStyle name="Normal 3 19 2 4 3 3 3" xfId="22780" xr:uid="{00000000-0005-0000-0000-000082760000}"/>
    <cellStyle name="Normal 3 19 2 4 3 3 3 2" xfId="49913" xr:uid="{00000000-0005-0000-0000-000083760000}"/>
    <cellStyle name="Normal 3 19 2 4 3 3 4" xfId="36351" xr:uid="{00000000-0005-0000-0000-000084760000}"/>
    <cellStyle name="Normal 3 19 2 4 3 4" xfId="12604" xr:uid="{00000000-0005-0000-0000-000085760000}"/>
    <cellStyle name="Normal 3 19 2 4 3 4 2" xfId="26172" xr:uid="{00000000-0005-0000-0000-000086760000}"/>
    <cellStyle name="Normal 3 19 2 4 3 4 2 2" xfId="53305" xr:uid="{00000000-0005-0000-0000-000087760000}"/>
    <cellStyle name="Normal 3 19 2 4 3 4 3" xfId="39743" xr:uid="{00000000-0005-0000-0000-000088760000}"/>
    <cellStyle name="Normal 3 19 2 4 3 5" xfId="19391" xr:uid="{00000000-0005-0000-0000-000089760000}"/>
    <cellStyle name="Normal 3 19 2 4 3 5 2" xfId="46524" xr:uid="{00000000-0005-0000-0000-00008A760000}"/>
    <cellStyle name="Normal 3 19 2 4 3 6" xfId="32962" xr:uid="{00000000-0005-0000-0000-00008B760000}"/>
    <cellStyle name="Normal 3 19 2 4 4" xfId="5662" xr:uid="{00000000-0005-0000-0000-00008C760000}"/>
    <cellStyle name="Normal 3 19 2 4 4 2" xfId="9205" xr:uid="{00000000-0005-0000-0000-00008D760000}"/>
    <cellStyle name="Normal 3 19 2 4 4 2 2" xfId="15995" xr:uid="{00000000-0005-0000-0000-00008E760000}"/>
    <cellStyle name="Normal 3 19 2 4 4 2 2 2" xfId="29563" xr:uid="{00000000-0005-0000-0000-00008F760000}"/>
    <cellStyle name="Normal 3 19 2 4 4 2 2 2 2" xfId="56696" xr:uid="{00000000-0005-0000-0000-000090760000}"/>
    <cellStyle name="Normal 3 19 2 4 4 2 2 3" xfId="43134" xr:uid="{00000000-0005-0000-0000-000091760000}"/>
    <cellStyle name="Normal 3 19 2 4 4 2 3" xfId="22782" xr:uid="{00000000-0005-0000-0000-000092760000}"/>
    <cellStyle name="Normal 3 19 2 4 4 2 3 2" xfId="49915" xr:uid="{00000000-0005-0000-0000-000093760000}"/>
    <cellStyle name="Normal 3 19 2 4 4 2 4" xfId="36353" xr:uid="{00000000-0005-0000-0000-000094760000}"/>
    <cellStyle name="Normal 3 19 2 4 4 3" xfId="12606" xr:uid="{00000000-0005-0000-0000-000095760000}"/>
    <cellStyle name="Normal 3 19 2 4 4 3 2" xfId="26174" xr:uid="{00000000-0005-0000-0000-000096760000}"/>
    <cellStyle name="Normal 3 19 2 4 4 3 2 2" xfId="53307" xr:uid="{00000000-0005-0000-0000-000097760000}"/>
    <cellStyle name="Normal 3 19 2 4 4 3 3" xfId="39745" xr:uid="{00000000-0005-0000-0000-000098760000}"/>
    <cellStyle name="Normal 3 19 2 4 4 4" xfId="19393" xr:uid="{00000000-0005-0000-0000-000099760000}"/>
    <cellStyle name="Normal 3 19 2 4 4 4 2" xfId="46526" xr:uid="{00000000-0005-0000-0000-00009A760000}"/>
    <cellStyle name="Normal 3 19 2 4 4 5" xfId="32964" xr:uid="{00000000-0005-0000-0000-00009B760000}"/>
    <cellStyle name="Normal 3 19 2 4 5" xfId="5663" xr:uid="{00000000-0005-0000-0000-00009C760000}"/>
    <cellStyle name="Normal 3 19 2 4 5 2" xfId="9206" xr:uid="{00000000-0005-0000-0000-00009D760000}"/>
    <cellStyle name="Normal 3 19 2 4 5 2 2" xfId="15996" xr:uid="{00000000-0005-0000-0000-00009E760000}"/>
    <cellStyle name="Normal 3 19 2 4 5 2 2 2" xfId="29564" xr:uid="{00000000-0005-0000-0000-00009F760000}"/>
    <cellStyle name="Normal 3 19 2 4 5 2 2 2 2" xfId="56697" xr:uid="{00000000-0005-0000-0000-0000A0760000}"/>
    <cellStyle name="Normal 3 19 2 4 5 2 2 3" xfId="43135" xr:uid="{00000000-0005-0000-0000-0000A1760000}"/>
    <cellStyle name="Normal 3 19 2 4 5 2 3" xfId="22783" xr:uid="{00000000-0005-0000-0000-0000A2760000}"/>
    <cellStyle name="Normal 3 19 2 4 5 2 3 2" xfId="49916" xr:uid="{00000000-0005-0000-0000-0000A3760000}"/>
    <cellStyle name="Normal 3 19 2 4 5 2 4" xfId="36354" xr:uid="{00000000-0005-0000-0000-0000A4760000}"/>
    <cellStyle name="Normal 3 19 2 4 5 3" xfId="12607" xr:uid="{00000000-0005-0000-0000-0000A5760000}"/>
    <cellStyle name="Normal 3 19 2 4 5 3 2" xfId="26175" xr:uid="{00000000-0005-0000-0000-0000A6760000}"/>
    <cellStyle name="Normal 3 19 2 4 5 3 2 2" xfId="53308" xr:uid="{00000000-0005-0000-0000-0000A7760000}"/>
    <cellStyle name="Normal 3 19 2 4 5 3 3" xfId="39746" xr:uid="{00000000-0005-0000-0000-0000A8760000}"/>
    <cellStyle name="Normal 3 19 2 4 5 4" xfId="19394" xr:uid="{00000000-0005-0000-0000-0000A9760000}"/>
    <cellStyle name="Normal 3 19 2 4 5 4 2" xfId="46527" xr:uid="{00000000-0005-0000-0000-0000AA760000}"/>
    <cellStyle name="Normal 3 19 2 4 5 5" xfId="32965" xr:uid="{00000000-0005-0000-0000-0000AB760000}"/>
    <cellStyle name="Normal 3 19 2 4 6" xfId="9199" xr:uid="{00000000-0005-0000-0000-0000AC760000}"/>
    <cellStyle name="Normal 3 19 2 4 6 2" xfId="15989" xr:uid="{00000000-0005-0000-0000-0000AD760000}"/>
    <cellStyle name="Normal 3 19 2 4 6 2 2" xfId="29557" xr:uid="{00000000-0005-0000-0000-0000AE760000}"/>
    <cellStyle name="Normal 3 19 2 4 6 2 2 2" xfId="56690" xr:uid="{00000000-0005-0000-0000-0000AF760000}"/>
    <cellStyle name="Normal 3 19 2 4 6 2 3" xfId="43128" xr:uid="{00000000-0005-0000-0000-0000B0760000}"/>
    <cellStyle name="Normal 3 19 2 4 6 3" xfId="22776" xr:uid="{00000000-0005-0000-0000-0000B1760000}"/>
    <cellStyle name="Normal 3 19 2 4 6 3 2" xfId="49909" xr:uid="{00000000-0005-0000-0000-0000B2760000}"/>
    <cellStyle name="Normal 3 19 2 4 6 4" xfId="36347" xr:uid="{00000000-0005-0000-0000-0000B3760000}"/>
    <cellStyle name="Normal 3 19 2 4 7" xfId="12600" xr:uid="{00000000-0005-0000-0000-0000B4760000}"/>
    <cellStyle name="Normal 3 19 2 4 7 2" xfId="26168" xr:uid="{00000000-0005-0000-0000-0000B5760000}"/>
    <cellStyle name="Normal 3 19 2 4 7 2 2" xfId="53301" xr:uid="{00000000-0005-0000-0000-0000B6760000}"/>
    <cellStyle name="Normal 3 19 2 4 7 3" xfId="39739" xr:uid="{00000000-0005-0000-0000-0000B7760000}"/>
    <cellStyle name="Normal 3 19 2 4 8" xfId="19387" xr:uid="{00000000-0005-0000-0000-0000B8760000}"/>
    <cellStyle name="Normal 3 19 2 4 8 2" xfId="46520" xr:uid="{00000000-0005-0000-0000-0000B9760000}"/>
    <cellStyle name="Normal 3 19 2 4 9" xfId="32958" xr:uid="{00000000-0005-0000-0000-0000BA760000}"/>
    <cellStyle name="Normal 3 19 2 5" xfId="5664" xr:uid="{00000000-0005-0000-0000-0000BB760000}"/>
    <cellStyle name="Normal 3 19 2 5 2" xfId="5665" xr:uid="{00000000-0005-0000-0000-0000BC760000}"/>
    <cellStyle name="Normal 3 19 2 5 2 2" xfId="5666" xr:uid="{00000000-0005-0000-0000-0000BD760000}"/>
    <cellStyle name="Normal 3 19 2 5 2 2 2" xfId="9209" xr:uid="{00000000-0005-0000-0000-0000BE760000}"/>
    <cellStyle name="Normal 3 19 2 5 2 2 2 2" xfId="15999" xr:uid="{00000000-0005-0000-0000-0000BF760000}"/>
    <cellStyle name="Normal 3 19 2 5 2 2 2 2 2" xfId="29567" xr:uid="{00000000-0005-0000-0000-0000C0760000}"/>
    <cellStyle name="Normal 3 19 2 5 2 2 2 2 2 2" xfId="56700" xr:uid="{00000000-0005-0000-0000-0000C1760000}"/>
    <cellStyle name="Normal 3 19 2 5 2 2 2 2 3" xfId="43138" xr:uid="{00000000-0005-0000-0000-0000C2760000}"/>
    <cellStyle name="Normal 3 19 2 5 2 2 2 3" xfId="22786" xr:uid="{00000000-0005-0000-0000-0000C3760000}"/>
    <cellStyle name="Normal 3 19 2 5 2 2 2 3 2" xfId="49919" xr:uid="{00000000-0005-0000-0000-0000C4760000}"/>
    <cellStyle name="Normal 3 19 2 5 2 2 2 4" xfId="36357" xr:uid="{00000000-0005-0000-0000-0000C5760000}"/>
    <cellStyle name="Normal 3 19 2 5 2 2 3" xfId="12610" xr:uid="{00000000-0005-0000-0000-0000C6760000}"/>
    <cellStyle name="Normal 3 19 2 5 2 2 3 2" xfId="26178" xr:uid="{00000000-0005-0000-0000-0000C7760000}"/>
    <cellStyle name="Normal 3 19 2 5 2 2 3 2 2" xfId="53311" xr:uid="{00000000-0005-0000-0000-0000C8760000}"/>
    <cellStyle name="Normal 3 19 2 5 2 2 3 3" xfId="39749" xr:uid="{00000000-0005-0000-0000-0000C9760000}"/>
    <cellStyle name="Normal 3 19 2 5 2 2 4" xfId="19397" xr:uid="{00000000-0005-0000-0000-0000CA760000}"/>
    <cellStyle name="Normal 3 19 2 5 2 2 4 2" xfId="46530" xr:uid="{00000000-0005-0000-0000-0000CB760000}"/>
    <cellStyle name="Normal 3 19 2 5 2 2 5" xfId="32968" xr:uid="{00000000-0005-0000-0000-0000CC760000}"/>
    <cellStyle name="Normal 3 19 2 5 2 3" xfId="5667" xr:uid="{00000000-0005-0000-0000-0000CD760000}"/>
    <cellStyle name="Normal 3 19 2 5 2 3 2" xfId="9210" xr:uid="{00000000-0005-0000-0000-0000CE760000}"/>
    <cellStyle name="Normal 3 19 2 5 2 3 2 2" xfId="16000" xr:uid="{00000000-0005-0000-0000-0000CF760000}"/>
    <cellStyle name="Normal 3 19 2 5 2 3 2 2 2" xfId="29568" xr:uid="{00000000-0005-0000-0000-0000D0760000}"/>
    <cellStyle name="Normal 3 19 2 5 2 3 2 2 2 2" xfId="56701" xr:uid="{00000000-0005-0000-0000-0000D1760000}"/>
    <cellStyle name="Normal 3 19 2 5 2 3 2 2 3" xfId="43139" xr:uid="{00000000-0005-0000-0000-0000D2760000}"/>
    <cellStyle name="Normal 3 19 2 5 2 3 2 3" xfId="22787" xr:uid="{00000000-0005-0000-0000-0000D3760000}"/>
    <cellStyle name="Normal 3 19 2 5 2 3 2 3 2" xfId="49920" xr:uid="{00000000-0005-0000-0000-0000D4760000}"/>
    <cellStyle name="Normal 3 19 2 5 2 3 2 4" xfId="36358" xr:uid="{00000000-0005-0000-0000-0000D5760000}"/>
    <cellStyle name="Normal 3 19 2 5 2 3 3" xfId="12611" xr:uid="{00000000-0005-0000-0000-0000D6760000}"/>
    <cellStyle name="Normal 3 19 2 5 2 3 3 2" xfId="26179" xr:uid="{00000000-0005-0000-0000-0000D7760000}"/>
    <cellStyle name="Normal 3 19 2 5 2 3 3 2 2" xfId="53312" xr:uid="{00000000-0005-0000-0000-0000D8760000}"/>
    <cellStyle name="Normal 3 19 2 5 2 3 3 3" xfId="39750" xr:uid="{00000000-0005-0000-0000-0000D9760000}"/>
    <cellStyle name="Normal 3 19 2 5 2 3 4" xfId="19398" xr:uid="{00000000-0005-0000-0000-0000DA760000}"/>
    <cellStyle name="Normal 3 19 2 5 2 3 4 2" xfId="46531" xr:uid="{00000000-0005-0000-0000-0000DB760000}"/>
    <cellStyle name="Normal 3 19 2 5 2 3 5" xfId="32969" xr:uid="{00000000-0005-0000-0000-0000DC760000}"/>
    <cellStyle name="Normal 3 19 2 5 2 4" xfId="9208" xr:uid="{00000000-0005-0000-0000-0000DD760000}"/>
    <cellStyle name="Normal 3 19 2 5 2 4 2" xfId="15998" xr:uid="{00000000-0005-0000-0000-0000DE760000}"/>
    <cellStyle name="Normal 3 19 2 5 2 4 2 2" xfId="29566" xr:uid="{00000000-0005-0000-0000-0000DF760000}"/>
    <cellStyle name="Normal 3 19 2 5 2 4 2 2 2" xfId="56699" xr:uid="{00000000-0005-0000-0000-0000E0760000}"/>
    <cellStyle name="Normal 3 19 2 5 2 4 2 3" xfId="43137" xr:uid="{00000000-0005-0000-0000-0000E1760000}"/>
    <cellStyle name="Normal 3 19 2 5 2 4 3" xfId="22785" xr:uid="{00000000-0005-0000-0000-0000E2760000}"/>
    <cellStyle name="Normal 3 19 2 5 2 4 3 2" xfId="49918" xr:uid="{00000000-0005-0000-0000-0000E3760000}"/>
    <cellStyle name="Normal 3 19 2 5 2 4 4" xfId="36356" xr:uid="{00000000-0005-0000-0000-0000E4760000}"/>
    <cellStyle name="Normal 3 19 2 5 2 5" xfId="12609" xr:uid="{00000000-0005-0000-0000-0000E5760000}"/>
    <cellStyle name="Normal 3 19 2 5 2 5 2" xfId="26177" xr:uid="{00000000-0005-0000-0000-0000E6760000}"/>
    <cellStyle name="Normal 3 19 2 5 2 5 2 2" xfId="53310" xr:uid="{00000000-0005-0000-0000-0000E7760000}"/>
    <cellStyle name="Normal 3 19 2 5 2 5 3" xfId="39748" xr:uid="{00000000-0005-0000-0000-0000E8760000}"/>
    <cellStyle name="Normal 3 19 2 5 2 6" xfId="19396" xr:uid="{00000000-0005-0000-0000-0000E9760000}"/>
    <cellStyle name="Normal 3 19 2 5 2 6 2" xfId="46529" xr:uid="{00000000-0005-0000-0000-0000EA760000}"/>
    <cellStyle name="Normal 3 19 2 5 2 7" xfId="32967" xr:uid="{00000000-0005-0000-0000-0000EB760000}"/>
    <cellStyle name="Normal 3 19 2 5 3" xfId="5668" xr:uid="{00000000-0005-0000-0000-0000EC760000}"/>
    <cellStyle name="Normal 3 19 2 5 3 2" xfId="9211" xr:uid="{00000000-0005-0000-0000-0000ED760000}"/>
    <cellStyle name="Normal 3 19 2 5 3 2 2" xfId="16001" xr:uid="{00000000-0005-0000-0000-0000EE760000}"/>
    <cellStyle name="Normal 3 19 2 5 3 2 2 2" xfId="29569" xr:uid="{00000000-0005-0000-0000-0000EF760000}"/>
    <cellStyle name="Normal 3 19 2 5 3 2 2 2 2" xfId="56702" xr:uid="{00000000-0005-0000-0000-0000F0760000}"/>
    <cellStyle name="Normal 3 19 2 5 3 2 2 3" xfId="43140" xr:uid="{00000000-0005-0000-0000-0000F1760000}"/>
    <cellStyle name="Normal 3 19 2 5 3 2 3" xfId="22788" xr:uid="{00000000-0005-0000-0000-0000F2760000}"/>
    <cellStyle name="Normal 3 19 2 5 3 2 3 2" xfId="49921" xr:uid="{00000000-0005-0000-0000-0000F3760000}"/>
    <cellStyle name="Normal 3 19 2 5 3 2 4" xfId="36359" xr:uid="{00000000-0005-0000-0000-0000F4760000}"/>
    <cellStyle name="Normal 3 19 2 5 3 3" xfId="12612" xr:uid="{00000000-0005-0000-0000-0000F5760000}"/>
    <cellStyle name="Normal 3 19 2 5 3 3 2" xfId="26180" xr:uid="{00000000-0005-0000-0000-0000F6760000}"/>
    <cellStyle name="Normal 3 19 2 5 3 3 2 2" xfId="53313" xr:uid="{00000000-0005-0000-0000-0000F7760000}"/>
    <cellStyle name="Normal 3 19 2 5 3 3 3" xfId="39751" xr:uid="{00000000-0005-0000-0000-0000F8760000}"/>
    <cellStyle name="Normal 3 19 2 5 3 4" xfId="19399" xr:uid="{00000000-0005-0000-0000-0000F9760000}"/>
    <cellStyle name="Normal 3 19 2 5 3 4 2" xfId="46532" xr:uid="{00000000-0005-0000-0000-0000FA760000}"/>
    <cellStyle name="Normal 3 19 2 5 3 5" xfId="32970" xr:uid="{00000000-0005-0000-0000-0000FB760000}"/>
    <cellStyle name="Normal 3 19 2 5 4" xfId="5669" xr:uid="{00000000-0005-0000-0000-0000FC760000}"/>
    <cellStyle name="Normal 3 19 2 5 4 2" xfId="9212" xr:uid="{00000000-0005-0000-0000-0000FD760000}"/>
    <cellStyle name="Normal 3 19 2 5 4 2 2" xfId="16002" xr:uid="{00000000-0005-0000-0000-0000FE760000}"/>
    <cellStyle name="Normal 3 19 2 5 4 2 2 2" xfId="29570" xr:uid="{00000000-0005-0000-0000-0000FF760000}"/>
    <cellStyle name="Normal 3 19 2 5 4 2 2 2 2" xfId="56703" xr:uid="{00000000-0005-0000-0000-000000770000}"/>
    <cellStyle name="Normal 3 19 2 5 4 2 2 3" xfId="43141" xr:uid="{00000000-0005-0000-0000-000001770000}"/>
    <cellStyle name="Normal 3 19 2 5 4 2 3" xfId="22789" xr:uid="{00000000-0005-0000-0000-000002770000}"/>
    <cellStyle name="Normal 3 19 2 5 4 2 3 2" xfId="49922" xr:uid="{00000000-0005-0000-0000-000003770000}"/>
    <cellStyle name="Normal 3 19 2 5 4 2 4" xfId="36360" xr:uid="{00000000-0005-0000-0000-000004770000}"/>
    <cellStyle name="Normal 3 19 2 5 4 3" xfId="12613" xr:uid="{00000000-0005-0000-0000-000005770000}"/>
    <cellStyle name="Normal 3 19 2 5 4 3 2" xfId="26181" xr:uid="{00000000-0005-0000-0000-000006770000}"/>
    <cellStyle name="Normal 3 19 2 5 4 3 2 2" xfId="53314" xr:uid="{00000000-0005-0000-0000-000007770000}"/>
    <cellStyle name="Normal 3 19 2 5 4 3 3" xfId="39752" xr:uid="{00000000-0005-0000-0000-000008770000}"/>
    <cellStyle name="Normal 3 19 2 5 4 4" xfId="19400" xr:uid="{00000000-0005-0000-0000-000009770000}"/>
    <cellStyle name="Normal 3 19 2 5 4 4 2" xfId="46533" xr:uid="{00000000-0005-0000-0000-00000A770000}"/>
    <cellStyle name="Normal 3 19 2 5 4 5" xfId="32971" xr:uid="{00000000-0005-0000-0000-00000B770000}"/>
    <cellStyle name="Normal 3 19 2 5 5" xfId="9207" xr:uid="{00000000-0005-0000-0000-00000C770000}"/>
    <cellStyle name="Normal 3 19 2 5 5 2" xfId="15997" xr:uid="{00000000-0005-0000-0000-00000D770000}"/>
    <cellStyle name="Normal 3 19 2 5 5 2 2" xfId="29565" xr:uid="{00000000-0005-0000-0000-00000E770000}"/>
    <cellStyle name="Normal 3 19 2 5 5 2 2 2" xfId="56698" xr:uid="{00000000-0005-0000-0000-00000F770000}"/>
    <cellStyle name="Normal 3 19 2 5 5 2 3" xfId="43136" xr:uid="{00000000-0005-0000-0000-000010770000}"/>
    <cellStyle name="Normal 3 19 2 5 5 3" xfId="22784" xr:uid="{00000000-0005-0000-0000-000011770000}"/>
    <cellStyle name="Normal 3 19 2 5 5 3 2" xfId="49917" xr:uid="{00000000-0005-0000-0000-000012770000}"/>
    <cellStyle name="Normal 3 19 2 5 5 4" xfId="36355" xr:uid="{00000000-0005-0000-0000-000013770000}"/>
    <cellStyle name="Normal 3 19 2 5 6" xfId="12608" xr:uid="{00000000-0005-0000-0000-000014770000}"/>
    <cellStyle name="Normal 3 19 2 5 6 2" xfId="26176" xr:uid="{00000000-0005-0000-0000-000015770000}"/>
    <cellStyle name="Normal 3 19 2 5 6 2 2" xfId="53309" xr:uid="{00000000-0005-0000-0000-000016770000}"/>
    <cellStyle name="Normal 3 19 2 5 6 3" xfId="39747" xr:uid="{00000000-0005-0000-0000-000017770000}"/>
    <cellStyle name="Normal 3 19 2 5 7" xfId="19395" xr:uid="{00000000-0005-0000-0000-000018770000}"/>
    <cellStyle name="Normal 3 19 2 5 7 2" xfId="46528" xr:uid="{00000000-0005-0000-0000-000019770000}"/>
    <cellStyle name="Normal 3 19 2 5 8" xfId="32966" xr:uid="{00000000-0005-0000-0000-00001A770000}"/>
    <cellStyle name="Normal 3 19 2 6" xfId="5670" xr:uid="{00000000-0005-0000-0000-00001B770000}"/>
    <cellStyle name="Normal 3 19 2 6 2" xfId="5671" xr:uid="{00000000-0005-0000-0000-00001C770000}"/>
    <cellStyle name="Normal 3 19 2 6 2 2" xfId="5672" xr:uid="{00000000-0005-0000-0000-00001D770000}"/>
    <cellStyle name="Normal 3 19 2 6 2 2 2" xfId="9215" xr:uid="{00000000-0005-0000-0000-00001E770000}"/>
    <cellStyle name="Normal 3 19 2 6 2 2 2 2" xfId="16005" xr:uid="{00000000-0005-0000-0000-00001F770000}"/>
    <cellStyle name="Normal 3 19 2 6 2 2 2 2 2" xfId="29573" xr:uid="{00000000-0005-0000-0000-000020770000}"/>
    <cellStyle name="Normal 3 19 2 6 2 2 2 2 2 2" xfId="56706" xr:uid="{00000000-0005-0000-0000-000021770000}"/>
    <cellStyle name="Normal 3 19 2 6 2 2 2 2 3" xfId="43144" xr:uid="{00000000-0005-0000-0000-000022770000}"/>
    <cellStyle name="Normal 3 19 2 6 2 2 2 3" xfId="22792" xr:uid="{00000000-0005-0000-0000-000023770000}"/>
    <cellStyle name="Normal 3 19 2 6 2 2 2 3 2" xfId="49925" xr:uid="{00000000-0005-0000-0000-000024770000}"/>
    <cellStyle name="Normal 3 19 2 6 2 2 2 4" xfId="36363" xr:uid="{00000000-0005-0000-0000-000025770000}"/>
    <cellStyle name="Normal 3 19 2 6 2 2 3" xfId="12616" xr:uid="{00000000-0005-0000-0000-000026770000}"/>
    <cellStyle name="Normal 3 19 2 6 2 2 3 2" xfId="26184" xr:uid="{00000000-0005-0000-0000-000027770000}"/>
    <cellStyle name="Normal 3 19 2 6 2 2 3 2 2" xfId="53317" xr:uid="{00000000-0005-0000-0000-000028770000}"/>
    <cellStyle name="Normal 3 19 2 6 2 2 3 3" xfId="39755" xr:uid="{00000000-0005-0000-0000-000029770000}"/>
    <cellStyle name="Normal 3 19 2 6 2 2 4" xfId="19403" xr:uid="{00000000-0005-0000-0000-00002A770000}"/>
    <cellStyle name="Normal 3 19 2 6 2 2 4 2" xfId="46536" xr:uid="{00000000-0005-0000-0000-00002B770000}"/>
    <cellStyle name="Normal 3 19 2 6 2 2 5" xfId="32974" xr:uid="{00000000-0005-0000-0000-00002C770000}"/>
    <cellStyle name="Normal 3 19 2 6 2 3" xfId="5673" xr:uid="{00000000-0005-0000-0000-00002D770000}"/>
    <cellStyle name="Normal 3 19 2 6 2 3 2" xfId="9216" xr:uid="{00000000-0005-0000-0000-00002E770000}"/>
    <cellStyle name="Normal 3 19 2 6 2 3 2 2" xfId="16006" xr:uid="{00000000-0005-0000-0000-00002F770000}"/>
    <cellStyle name="Normal 3 19 2 6 2 3 2 2 2" xfId="29574" xr:uid="{00000000-0005-0000-0000-000030770000}"/>
    <cellStyle name="Normal 3 19 2 6 2 3 2 2 2 2" xfId="56707" xr:uid="{00000000-0005-0000-0000-000031770000}"/>
    <cellStyle name="Normal 3 19 2 6 2 3 2 2 3" xfId="43145" xr:uid="{00000000-0005-0000-0000-000032770000}"/>
    <cellStyle name="Normal 3 19 2 6 2 3 2 3" xfId="22793" xr:uid="{00000000-0005-0000-0000-000033770000}"/>
    <cellStyle name="Normal 3 19 2 6 2 3 2 3 2" xfId="49926" xr:uid="{00000000-0005-0000-0000-000034770000}"/>
    <cellStyle name="Normal 3 19 2 6 2 3 2 4" xfId="36364" xr:uid="{00000000-0005-0000-0000-000035770000}"/>
    <cellStyle name="Normal 3 19 2 6 2 3 3" xfId="12617" xr:uid="{00000000-0005-0000-0000-000036770000}"/>
    <cellStyle name="Normal 3 19 2 6 2 3 3 2" xfId="26185" xr:uid="{00000000-0005-0000-0000-000037770000}"/>
    <cellStyle name="Normal 3 19 2 6 2 3 3 2 2" xfId="53318" xr:uid="{00000000-0005-0000-0000-000038770000}"/>
    <cellStyle name="Normal 3 19 2 6 2 3 3 3" xfId="39756" xr:uid="{00000000-0005-0000-0000-000039770000}"/>
    <cellStyle name="Normal 3 19 2 6 2 3 4" xfId="19404" xr:uid="{00000000-0005-0000-0000-00003A770000}"/>
    <cellStyle name="Normal 3 19 2 6 2 3 4 2" xfId="46537" xr:uid="{00000000-0005-0000-0000-00003B770000}"/>
    <cellStyle name="Normal 3 19 2 6 2 3 5" xfId="32975" xr:uid="{00000000-0005-0000-0000-00003C770000}"/>
    <cellStyle name="Normal 3 19 2 6 2 4" xfId="9214" xr:uid="{00000000-0005-0000-0000-00003D770000}"/>
    <cellStyle name="Normal 3 19 2 6 2 4 2" xfId="16004" xr:uid="{00000000-0005-0000-0000-00003E770000}"/>
    <cellStyle name="Normal 3 19 2 6 2 4 2 2" xfId="29572" xr:uid="{00000000-0005-0000-0000-00003F770000}"/>
    <cellStyle name="Normal 3 19 2 6 2 4 2 2 2" xfId="56705" xr:uid="{00000000-0005-0000-0000-000040770000}"/>
    <cellStyle name="Normal 3 19 2 6 2 4 2 3" xfId="43143" xr:uid="{00000000-0005-0000-0000-000041770000}"/>
    <cellStyle name="Normal 3 19 2 6 2 4 3" xfId="22791" xr:uid="{00000000-0005-0000-0000-000042770000}"/>
    <cellStyle name="Normal 3 19 2 6 2 4 3 2" xfId="49924" xr:uid="{00000000-0005-0000-0000-000043770000}"/>
    <cellStyle name="Normal 3 19 2 6 2 4 4" xfId="36362" xr:uid="{00000000-0005-0000-0000-000044770000}"/>
    <cellStyle name="Normal 3 19 2 6 2 5" xfId="12615" xr:uid="{00000000-0005-0000-0000-000045770000}"/>
    <cellStyle name="Normal 3 19 2 6 2 5 2" xfId="26183" xr:uid="{00000000-0005-0000-0000-000046770000}"/>
    <cellStyle name="Normal 3 19 2 6 2 5 2 2" xfId="53316" xr:uid="{00000000-0005-0000-0000-000047770000}"/>
    <cellStyle name="Normal 3 19 2 6 2 5 3" xfId="39754" xr:uid="{00000000-0005-0000-0000-000048770000}"/>
    <cellStyle name="Normal 3 19 2 6 2 6" xfId="19402" xr:uid="{00000000-0005-0000-0000-000049770000}"/>
    <cellStyle name="Normal 3 19 2 6 2 6 2" xfId="46535" xr:uid="{00000000-0005-0000-0000-00004A770000}"/>
    <cellStyle name="Normal 3 19 2 6 2 7" xfId="32973" xr:uid="{00000000-0005-0000-0000-00004B770000}"/>
    <cellStyle name="Normal 3 19 2 6 3" xfId="5674" xr:uid="{00000000-0005-0000-0000-00004C770000}"/>
    <cellStyle name="Normal 3 19 2 6 3 2" xfId="9217" xr:uid="{00000000-0005-0000-0000-00004D770000}"/>
    <cellStyle name="Normal 3 19 2 6 3 2 2" xfId="16007" xr:uid="{00000000-0005-0000-0000-00004E770000}"/>
    <cellStyle name="Normal 3 19 2 6 3 2 2 2" xfId="29575" xr:uid="{00000000-0005-0000-0000-00004F770000}"/>
    <cellStyle name="Normal 3 19 2 6 3 2 2 2 2" xfId="56708" xr:uid="{00000000-0005-0000-0000-000050770000}"/>
    <cellStyle name="Normal 3 19 2 6 3 2 2 3" xfId="43146" xr:uid="{00000000-0005-0000-0000-000051770000}"/>
    <cellStyle name="Normal 3 19 2 6 3 2 3" xfId="22794" xr:uid="{00000000-0005-0000-0000-000052770000}"/>
    <cellStyle name="Normal 3 19 2 6 3 2 3 2" xfId="49927" xr:uid="{00000000-0005-0000-0000-000053770000}"/>
    <cellStyle name="Normal 3 19 2 6 3 2 4" xfId="36365" xr:uid="{00000000-0005-0000-0000-000054770000}"/>
    <cellStyle name="Normal 3 19 2 6 3 3" xfId="12618" xr:uid="{00000000-0005-0000-0000-000055770000}"/>
    <cellStyle name="Normal 3 19 2 6 3 3 2" xfId="26186" xr:uid="{00000000-0005-0000-0000-000056770000}"/>
    <cellStyle name="Normal 3 19 2 6 3 3 2 2" xfId="53319" xr:uid="{00000000-0005-0000-0000-000057770000}"/>
    <cellStyle name="Normal 3 19 2 6 3 3 3" xfId="39757" xr:uid="{00000000-0005-0000-0000-000058770000}"/>
    <cellStyle name="Normal 3 19 2 6 3 4" xfId="19405" xr:uid="{00000000-0005-0000-0000-000059770000}"/>
    <cellStyle name="Normal 3 19 2 6 3 4 2" xfId="46538" xr:uid="{00000000-0005-0000-0000-00005A770000}"/>
    <cellStyle name="Normal 3 19 2 6 3 5" xfId="32976" xr:uid="{00000000-0005-0000-0000-00005B770000}"/>
    <cellStyle name="Normal 3 19 2 6 4" xfId="5675" xr:uid="{00000000-0005-0000-0000-00005C770000}"/>
    <cellStyle name="Normal 3 19 2 6 4 2" xfId="9218" xr:uid="{00000000-0005-0000-0000-00005D770000}"/>
    <cellStyle name="Normal 3 19 2 6 4 2 2" xfId="16008" xr:uid="{00000000-0005-0000-0000-00005E770000}"/>
    <cellStyle name="Normal 3 19 2 6 4 2 2 2" xfId="29576" xr:uid="{00000000-0005-0000-0000-00005F770000}"/>
    <cellStyle name="Normal 3 19 2 6 4 2 2 2 2" xfId="56709" xr:uid="{00000000-0005-0000-0000-000060770000}"/>
    <cellStyle name="Normal 3 19 2 6 4 2 2 3" xfId="43147" xr:uid="{00000000-0005-0000-0000-000061770000}"/>
    <cellStyle name="Normal 3 19 2 6 4 2 3" xfId="22795" xr:uid="{00000000-0005-0000-0000-000062770000}"/>
    <cellStyle name="Normal 3 19 2 6 4 2 3 2" xfId="49928" xr:uid="{00000000-0005-0000-0000-000063770000}"/>
    <cellStyle name="Normal 3 19 2 6 4 2 4" xfId="36366" xr:uid="{00000000-0005-0000-0000-000064770000}"/>
    <cellStyle name="Normal 3 19 2 6 4 3" xfId="12619" xr:uid="{00000000-0005-0000-0000-000065770000}"/>
    <cellStyle name="Normal 3 19 2 6 4 3 2" xfId="26187" xr:uid="{00000000-0005-0000-0000-000066770000}"/>
    <cellStyle name="Normal 3 19 2 6 4 3 2 2" xfId="53320" xr:uid="{00000000-0005-0000-0000-000067770000}"/>
    <cellStyle name="Normal 3 19 2 6 4 3 3" xfId="39758" xr:uid="{00000000-0005-0000-0000-000068770000}"/>
    <cellStyle name="Normal 3 19 2 6 4 4" xfId="19406" xr:uid="{00000000-0005-0000-0000-000069770000}"/>
    <cellStyle name="Normal 3 19 2 6 4 4 2" xfId="46539" xr:uid="{00000000-0005-0000-0000-00006A770000}"/>
    <cellStyle name="Normal 3 19 2 6 4 5" xfId="32977" xr:uid="{00000000-0005-0000-0000-00006B770000}"/>
    <cellStyle name="Normal 3 19 2 6 5" xfId="9213" xr:uid="{00000000-0005-0000-0000-00006C770000}"/>
    <cellStyle name="Normal 3 19 2 6 5 2" xfId="16003" xr:uid="{00000000-0005-0000-0000-00006D770000}"/>
    <cellStyle name="Normal 3 19 2 6 5 2 2" xfId="29571" xr:uid="{00000000-0005-0000-0000-00006E770000}"/>
    <cellStyle name="Normal 3 19 2 6 5 2 2 2" xfId="56704" xr:uid="{00000000-0005-0000-0000-00006F770000}"/>
    <cellStyle name="Normal 3 19 2 6 5 2 3" xfId="43142" xr:uid="{00000000-0005-0000-0000-000070770000}"/>
    <cellStyle name="Normal 3 19 2 6 5 3" xfId="22790" xr:uid="{00000000-0005-0000-0000-000071770000}"/>
    <cellStyle name="Normal 3 19 2 6 5 3 2" xfId="49923" xr:uid="{00000000-0005-0000-0000-000072770000}"/>
    <cellStyle name="Normal 3 19 2 6 5 4" xfId="36361" xr:uid="{00000000-0005-0000-0000-000073770000}"/>
    <cellStyle name="Normal 3 19 2 6 6" xfId="12614" xr:uid="{00000000-0005-0000-0000-000074770000}"/>
    <cellStyle name="Normal 3 19 2 6 6 2" xfId="26182" xr:uid="{00000000-0005-0000-0000-000075770000}"/>
    <cellStyle name="Normal 3 19 2 6 6 2 2" xfId="53315" xr:uid="{00000000-0005-0000-0000-000076770000}"/>
    <cellStyle name="Normal 3 19 2 6 6 3" xfId="39753" xr:uid="{00000000-0005-0000-0000-000077770000}"/>
    <cellStyle name="Normal 3 19 2 6 7" xfId="19401" xr:uid="{00000000-0005-0000-0000-000078770000}"/>
    <cellStyle name="Normal 3 19 2 6 7 2" xfId="46534" xr:uid="{00000000-0005-0000-0000-000079770000}"/>
    <cellStyle name="Normal 3 19 2 6 8" xfId="32972" xr:uid="{00000000-0005-0000-0000-00007A770000}"/>
    <cellStyle name="Normal 3 19 2 7" xfId="5676" xr:uid="{00000000-0005-0000-0000-00007B770000}"/>
    <cellStyle name="Normal 3 19 2 7 2" xfId="5677" xr:uid="{00000000-0005-0000-0000-00007C770000}"/>
    <cellStyle name="Normal 3 19 2 7 2 2" xfId="9220" xr:uid="{00000000-0005-0000-0000-00007D770000}"/>
    <cellStyle name="Normal 3 19 2 7 2 2 2" xfId="16010" xr:uid="{00000000-0005-0000-0000-00007E770000}"/>
    <cellStyle name="Normal 3 19 2 7 2 2 2 2" xfId="29578" xr:uid="{00000000-0005-0000-0000-00007F770000}"/>
    <cellStyle name="Normal 3 19 2 7 2 2 2 2 2" xfId="56711" xr:uid="{00000000-0005-0000-0000-000080770000}"/>
    <cellStyle name="Normal 3 19 2 7 2 2 2 3" xfId="43149" xr:uid="{00000000-0005-0000-0000-000081770000}"/>
    <cellStyle name="Normal 3 19 2 7 2 2 3" xfId="22797" xr:uid="{00000000-0005-0000-0000-000082770000}"/>
    <cellStyle name="Normal 3 19 2 7 2 2 3 2" xfId="49930" xr:uid="{00000000-0005-0000-0000-000083770000}"/>
    <cellStyle name="Normal 3 19 2 7 2 2 4" xfId="36368" xr:uid="{00000000-0005-0000-0000-000084770000}"/>
    <cellStyle name="Normal 3 19 2 7 2 3" xfId="12621" xr:uid="{00000000-0005-0000-0000-000085770000}"/>
    <cellStyle name="Normal 3 19 2 7 2 3 2" xfId="26189" xr:uid="{00000000-0005-0000-0000-000086770000}"/>
    <cellStyle name="Normal 3 19 2 7 2 3 2 2" xfId="53322" xr:uid="{00000000-0005-0000-0000-000087770000}"/>
    <cellStyle name="Normal 3 19 2 7 2 3 3" xfId="39760" xr:uid="{00000000-0005-0000-0000-000088770000}"/>
    <cellStyle name="Normal 3 19 2 7 2 4" xfId="19408" xr:uid="{00000000-0005-0000-0000-000089770000}"/>
    <cellStyle name="Normal 3 19 2 7 2 4 2" xfId="46541" xr:uid="{00000000-0005-0000-0000-00008A770000}"/>
    <cellStyle name="Normal 3 19 2 7 2 5" xfId="32979" xr:uid="{00000000-0005-0000-0000-00008B770000}"/>
    <cellStyle name="Normal 3 19 2 7 3" xfId="5678" xr:uid="{00000000-0005-0000-0000-00008C770000}"/>
    <cellStyle name="Normal 3 19 2 7 3 2" xfId="9221" xr:uid="{00000000-0005-0000-0000-00008D770000}"/>
    <cellStyle name="Normal 3 19 2 7 3 2 2" xfId="16011" xr:uid="{00000000-0005-0000-0000-00008E770000}"/>
    <cellStyle name="Normal 3 19 2 7 3 2 2 2" xfId="29579" xr:uid="{00000000-0005-0000-0000-00008F770000}"/>
    <cellStyle name="Normal 3 19 2 7 3 2 2 2 2" xfId="56712" xr:uid="{00000000-0005-0000-0000-000090770000}"/>
    <cellStyle name="Normal 3 19 2 7 3 2 2 3" xfId="43150" xr:uid="{00000000-0005-0000-0000-000091770000}"/>
    <cellStyle name="Normal 3 19 2 7 3 2 3" xfId="22798" xr:uid="{00000000-0005-0000-0000-000092770000}"/>
    <cellStyle name="Normal 3 19 2 7 3 2 3 2" xfId="49931" xr:uid="{00000000-0005-0000-0000-000093770000}"/>
    <cellStyle name="Normal 3 19 2 7 3 2 4" xfId="36369" xr:uid="{00000000-0005-0000-0000-000094770000}"/>
    <cellStyle name="Normal 3 19 2 7 3 3" xfId="12622" xr:uid="{00000000-0005-0000-0000-000095770000}"/>
    <cellStyle name="Normal 3 19 2 7 3 3 2" xfId="26190" xr:uid="{00000000-0005-0000-0000-000096770000}"/>
    <cellStyle name="Normal 3 19 2 7 3 3 2 2" xfId="53323" xr:uid="{00000000-0005-0000-0000-000097770000}"/>
    <cellStyle name="Normal 3 19 2 7 3 3 3" xfId="39761" xr:uid="{00000000-0005-0000-0000-000098770000}"/>
    <cellStyle name="Normal 3 19 2 7 3 4" xfId="19409" xr:uid="{00000000-0005-0000-0000-000099770000}"/>
    <cellStyle name="Normal 3 19 2 7 3 4 2" xfId="46542" xr:uid="{00000000-0005-0000-0000-00009A770000}"/>
    <cellStyle name="Normal 3 19 2 7 3 5" xfId="32980" xr:uid="{00000000-0005-0000-0000-00009B770000}"/>
    <cellStyle name="Normal 3 19 2 7 4" xfId="9219" xr:uid="{00000000-0005-0000-0000-00009C770000}"/>
    <cellStyle name="Normal 3 19 2 7 4 2" xfId="16009" xr:uid="{00000000-0005-0000-0000-00009D770000}"/>
    <cellStyle name="Normal 3 19 2 7 4 2 2" xfId="29577" xr:uid="{00000000-0005-0000-0000-00009E770000}"/>
    <cellStyle name="Normal 3 19 2 7 4 2 2 2" xfId="56710" xr:uid="{00000000-0005-0000-0000-00009F770000}"/>
    <cellStyle name="Normal 3 19 2 7 4 2 3" xfId="43148" xr:uid="{00000000-0005-0000-0000-0000A0770000}"/>
    <cellStyle name="Normal 3 19 2 7 4 3" xfId="22796" xr:uid="{00000000-0005-0000-0000-0000A1770000}"/>
    <cellStyle name="Normal 3 19 2 7 4 3 2" xfId="49929" xr:uid="{00000000-0005-0000-0000-0000A2770000}"/>
    <cellStyle name="Normal 3 19 2 7 4 4" xfId="36367" xr:uid="{00000000-0005-0000-0000-0000A3770000}"/>
    <cellStyle name="Normal 3 19 2 7 5" xfId="12620" xr:uid="{00000000-0005-0000-0000-0000A4770000}"/>
    <cellStyle name="Normal 3 19 2 7 5 2" xfId="26188" xr:uid="{00000000-0005-0000-0000-0000A5770000}"/>
    <cellStyle name="Normal 3 19 2 7 5 2 2" xfId="53321" xr:uid="{00000000-0005-0000-0000-0000A6770000}"/>
    <cellStyle name="Normal 3 19 2 7 5 3" xfId="39759" xr:uid="{00000000-0005-0000-0000-0000A7770000}"/>
    <cellStyle name="Normal 3 19 2 7 6" xfId="19407" xr:uid="{00000000-0005-0000-0000-0000A8770000}"/>
    <cellStyle name="Normal 3 19 2 7 6 2" xfId="46540" xr:uid="{00000000-0005-0000-0000-0000A9770000}"/>
    <cellStyle name="Normal 3 19 2 7 7" xfId="32978" xr:uid="{00000000-0005-0000-0000-0000AA770000}"/>
    <cellStyle name="Normal 3 19 2 8" xfId="5679" xr:uid="{00000000-0005-0000-0000-0000AB770000}"/>
    <cellStyle name="Normal 3 19 2 8 2" xfId="5680" xr:uid="{00000000-0005-0000-0000-0000AC770000}"/>
    <cellStyle name="Normal 3 19 2 8 2 2" xfId="9223" xr:uid="{00000000-0005-0000-0000-0000AD770000}"/>
    <cellStyle name="Normal 3 19 2 8 2 2 2" xfId="16013" xr:uid="{00000000-0005-0000-0000-0000AE770000}"/>
    <cellStyle name="Normal 3 19 2 8 2 2 2 2" xfId="29581" xr:uid="{00000000-0005-0000-0000-0000AF770000}"/>
    <cellStyle name="Normal 3 19 2 8 2 2 2 2 2" xfId="56714" xr:uid="{00000000-0005-0000-0000-0000B0770000}"/>
    <cellStyle name="Normal 3 19 2 8 2 2 2 3" xfId="43152" xr:uid="{00000000-0005-0000-0000-0000B1770000}"/>
    <cellStyle name="Normal 3 19 2 8 2 2 3" xfId="22800" xr:uid="{00000000-0005-0000-0000-0000B2770000}"/>
    <cellStyle name="Normal 3 19 2 8 2 2 3 2" xfId="49933" xr:uid="{00000000-0005-0000-0000-0000B3770000}"/>
    <cellStyle name="Normal 3 19 2 8 2 2 4" xfId="36371" xr:uid="{00000000-0005-0000-0000-0000B4770000}"/>
    <cellStyle name="Normal 3 19 2 8 2 3" xfId="12624" xr:uid="{00000000-0005-0000-0000-0000B5770000}"/>
    <cellStyle name="Normal 3 19 2 8 2 3 2" xfId="26192" xr:uid="{00000000-0005-0000-0000-0000B6770000}"/>
    <cellStyle name="Normal 3 19 2 8 2 3 2 2" xfId="53325" xr:uid="{00000000-0005-0000-0000-0000B7770000}"/>
    <cellStyle name="Normal 3 19 2 8 2 3 3" xfId="39763" xr:uid="{00000000-0005-0000-0000-0000B8770000}"/>
    <cellStyle name="Normal 3 19 2 8 2 4" xfId="19411" xr:uid="{00000000-0005-0000-0000-0000B9770000}"/>
    <cellStyle name="Normal 3 19 2 8 2 4 2" xfId="46544" xr:uid="{00000000-0005-0000-0000-0000BA770000}"/>
    <cellStyle name="Normal 3 19 2 8 2 5" xfId="32982" xr:uid="{00000000-0005-0000-0000-0000BB770000}"/>
    <cellStyle name="Normal 3 19 2 8 3" xfId="5681" xr:uid="{00000000-0005-0000-0000-0000BC770000}"/>
    <cellStyle name="Normal 3 19 2 8 3 2" xfId="9224" xr:uid="{00000000-0005-0000-0000-0000BD770000}"/>
    <cellStyle name="Normal 3 19 2 8 3 2 2" xfId="16014" xr:uid="{00000000-0005-0000-0000-0000BE770000}"/>
    <cellStyle name="Normal 3 19 2 8 3 2 2 2" xfId="29582" xr:uid="{00000000-0005-0000-0000-0000BF770000}"/>
    <cellStyle name="Normal 3 19 2 8 3 2 2 2 2" xfId="56715" xr:uid="{00000000-0005-0000-0000-0000C0770000}"/>
    <cellStyle name="Normal 3 19 2 8 3 2 2 3" xfId="43153" xr:uid="{00000000-0005-0000-0000-0000C1770000}"/>
    <cellStyle name="Normal 3 19 2 8 3 2 3" xfId="22801" xr:uid="{00000000-0005-0000-0000-0000C2770000}"/>
    <cellStyle name="Normal 3 19 2 8 3 2 3 2" xfId="49934" xr:uid="{00000000-0005-0000-0000-0000C3770000}"/>
    <cellStyle name="Normal 3 19 2 8 3 2 4" xfId="36372" xr:uid="{00000000-0005-0000-0000-0000C4770000}"/>
    <cellStyle name="Normal 3 19 2 8 3 3" xfId="12625" xr:uid="{00000000-0005-0000-0000-0000C5770000}"/>
    <cellStyle name="Normal 3 19 2 8 3 3 2" xfId="26193" xr:uid="{00000000-0005-0000-0000-0000C6770000}"/>
    <cellStyle name="Normal 3 19 2 8 3 3 2 2" xfId="53326" xr:uid="{00000000-0005-0000-0000-0000C7770000}"/>
    <cellStyle name="Normal 3 19 2 8 3 3 3" xfId="39764" xr:uid="{00000000-0005-0000-0000-0000C8770000}"/>
    <cellStyle name="Normal 3 19 2 8 3 4" xfId="19412" xr:uid="{00000000-0005-0000-0000-0000C9770000}"/>
    <cellStyle name="Normal 3 19 2 8 3 4 2" xfId="46545" xr:uid="{00000000-0005-0000-0000-0000CA770000}"/>
    <cellStyle name="Normal 3 19 2 8 3 5" xfId="32983" xr:uid="{00000000-0005-0000-0000-0000CB770000}"/>
    <cellStyle name="Normal 3 19 2 8 4" xfId="9222" xr:uid="{00000000-0005-0000-0000-0000CC770000}"/>
    <cellStyle name="Normal 3 19 2 8 4 2" xfId="16012" xr:uid="{00000000-0005-0000-0000-0000CD770000}"/>
    <cellStyle name="Normal 3 19 2 8 4 2 2" xfId="29580" xr:uid="{00000000-0005-0000-0000-0000CE770000}"/>
    <cellStyle name="Normal 3 19 2 8 4 2 2 2" xfId="56713" xr:uid="{00000000-0005-0000-0000-0000CF770000}"/>
    <cellStyle name="Normal 3 19 2 8 4 2 3" xfId="43151" xr:uid="{00000000-0005-0000-0000-0000D0770000}"/>
    <cellStyle name="Normal 3 19 2 8 4 3" xfId="22799" xr:uid="{00000000-0005-0000-0000-0000D1770000}"/>
    <cellStyle name="Normal 3 19 2 8 4 3 2" xfId="49932" xr:uid="{00000000-0005-0000-0000-0000D2770000}"/>
    <cellStyle name="Normal 3 19 2 8 4 4" xfId="36370" xr:uid="{00000000-0005-0000-0000-0000D3770000}"/>
    <cellStyle name="Normal 3 19 2 8 5" xfId="12623" xr:uid="{00000000-0005-0000-0000-0000D4770000}"/>
    <cellStyle name="Normal 3 19 2 8 5 2" xfId="26191" xr:uid="{00000000-0005-0000-0000-0000D5770000}"/>
    <cellStyle name="Normal 3 19 2 8 5 2 2" xfId="53324" xr:uid="{00000000-0005-0000-0000-0000D6770000}"/>
    <cellStyle name="Normal 3 19 2 8 5 3" xfId="39762" xr:uid="{00000000-0005-0000-0000-0000D7770000}"/>
    <cellStyle name="Normal 3 19 2 8 6" xfId="19410" xr:uid="{00000000-0005-0000-0000-0000D8770000}"/>
    <cellStyle name="Normal 3 19 2 8 6 2" xfId="46543" xr:uid="{00000000-0005-0000-0000-0000D9770000}"/>
    <cellStyle name="Normal 3 19 2 8 7" xfId="32981" xr:uid="{00000000-0005-0000-0000-0000DA770000}"/>
    <cellStyle name="Normal 3 19 2 9" xfId="5682" xr:uid="{00000000-0005-0000-0000-0000DB770000}"/>
    <cellStyle name="Normal 3 19 2 9 2" xfId="9225" xr:uid="{00000000-0005-0000-0000-0000DC770000}"/>
    <cellStyle name="Normal 3 19 2 9 2 2" xfId="16015" xr:uid="{00000000-0005-0000-0000-0000DD770000}"/>
    <cellStyle name="Normal 3 19 2 9 2 2 2" xfId="29583" xr:uid="{00000000-0005-0000-0000-0000DE770000}"/>
    <cellStyle name="Normal 3 19 2 9 2 2 2 2" xfId="56716" xr:uid="{00000000-0005-0000-0000-0000DF770000}"/>
    <cellStyle name="Normal 3 19 2 9 2 2 3" xfId="43154" xr:uid="{00000000-0005-0000-0000-0000E0770000}"/>
    <cellStyle name="Normal 3 19 2 9 2 3" xfId="22802" xr:uid="{00000000-0005-0000-0000-0000E1770000}"/>
    <cellStyle name="Normal 3 19 2 9 2 3 2" xfId="49935" xr:uid="{00000000-0005-0000-0000-0000E2770000}"/>
    <cellStyle name="Normal 3 19 2 9 2 4" xfId="36373" xr:uid="{00000000-0005-0000-0000-0000E3770000}"/>
    <cellStyle name="Normal 3 19 2 9 3" xfId="12626" xr:uid="{00000000-0005-0000-0000-0000E4770000}"/>
    <cellStyle name="Normal 3 19 2 9 3 2" xfId="26194" xr:uid="{00000000-0005-0000-0000-0000E5770000}"/>
    <cellStyle name="Normal 3 19 2 9 3 2 2" xfId="53327" xr:uid="{00000000-0005-0000-0000-0000E6770000}"/>
    <cellStyle name="Normal 3 19 2 9 3 3" xfId="39765" xr:uid="{00000000-0005-0000-0000-0000E7770000}"/>
    <cellStyle name="Normal 3 19 2 9 4" xfId="19413" xr:uid="{00000000-0005-0000-0000-0000E8770000}"/>
    <cellStyle name="Normal 3 19 2 9 4 2" xfId="46546" xr:uid="{00000000-0005-0000-0000-0000E9770000}"/>
    <cellStyle name="Normal 3 19 2 9 5" xfId="32984" xr:uid="{00000000-0005-0000-0000-0000EA770000}"/>
    <cellStyle name="Normal 3 19 3" xfId="5683" xr:uid="{00000000-0005-0000-0000-0000EB770000}"/>
    <cellStyle name="Normal 3 19 3 10" xfId="9226" xr:uid="{00000000-0005-0000-0000-0000EC770000}"/>
    <cellStyle name="Normal 3 19 3 10 2" xfId="16016" xr:uid="{00000000-0005-0000-0000-0000ED770000}"/>
    <cellStyle name="Normal 3 19 3 10 2 2" xfId="29584" xr:uid="{00000000-0005-0000-0000-0000EE770000}"/>
    <cellStyle name="Normal 3 19 3 10 2 2 2" xfId="56717" xr:uid="{00000000-0005-0000-0000-0000EF770000}"/>
    <cellStyle name="Normal 3 19 3 10 2 3" xfId="43155" xr:uid="{00000000-0005-0000-0000-0000F0770000}"/>
    <cellStyle name="Normal 3 19 3 10 3" xfId="22803" xr:uid="{00000000-0005-0000-0000-0000F1770000}"/>
    <cellStyle name="Normal 3 19 3 10 3 2" xfId="49936" xr:uid="{00000000-0005-0000-0000-0000F2770000}"/>
    <cellStyle name="Normal 3 19 3 10 4" xfId="36374" xr:uid="{00000000-0005-0000-0000-0000F3770000}"/>
    <cellStyle name="Normal 3 19 3 11" xfId="12627" xr:uid="{00000000-0005-0000-0000-0000F4770000}"/>
    <cellStyle name="Normal 3 19 3 11 2" xfId="26195" xr:uid="{00000000-0005-0000-0000-0000F5770000}"/>
    <cellStyle name="Normal 3 19 3 11 2 2" xfId="53328" xr:uid="{00000000-0005-0000-0000-0000F6770000}"/>
    <cellStyle name="Normal 3 19 3 11 3" xfId="39766" xr:uid="{00000000-0005-0000-0000-0000F7770000}"/>
    <cellStyle name="Normal 3 19 3 12" xfId="19414" xr:uid="{00000000-0005-0000-0000-0000F8770000}"/>
    <cellStyle name="Normal 3 19 3 12 2" xfId="46547" xr:uid="{00000000-0005-0000-0000-0000F9770000}"/>
    <cellStyle name="Normal 3 19 3 13" xfId="32985" xr:uid="{00000000-0005-0000-0000-0000FA770000}"/>
    <cellStyle name="Normal 3 19 3 2" xfId="5684" xr:uid="{00000000-0005-0000-0000-0000FB770000}"/>
    <cellStyle name="Normal 3 19 3 2 10" xfId="32986" xr:uid="{00000000-0005-0000-0000-0000FC770000}"/>
    <cellStyle name="Normal 3 19 3 2 2" xfId="5685" xr:uid="{00000000-0005-0000-0000-0000FD770000}"/>
    <cellStyle name="Normal 3 19 3 2 2 2" xfId="5686" xr:uid="{00000000-0005-0000-0000-0000FE770000}"/>
    <cellStyle name="Normal 3 19 3 2 2 2 2" xfId="5687" xr:uid="{00000000-0005-0000-0000-0000FF770000}"/>
    <cellStyle name="Normal 3 19 3 2 2 2 2 2" xfId="9230" xr:uid="{00000000-0005-0000-0000-000000780000}"/>
    <cellStyle name="Normal 3 19 3 2 2 2 2 2 2" xfId="16020" xr:uid="{00000000-0005-0000-0000-000001780000}"/>
    <cellStyle name="Normal 3 19 3 2 2 2 2 2 2 2" xfId="29588" xr:uid="{00000000-0005-0000-0000-000002780000}"/>
    <cellStyle name="Normal 3 19 3 2 2 2 2 2 2 2 2" xfId="56721" xr:uid="{00000000-0005-0000-0000-000003780000}"/>
    <cellStyle name="Normal 3 19 3 2 2 2 2 2 2 3" xfId="43159" xr:uid="{00000000-0005-0000-0000-000004780000}"/>
    <cellStyle name="Normal 3 19 3 2 2 2 2 2 3" xfId="22807" xr:uid="{00000000-0005-0000-0000-000005780000}"/>
    <cellStyle name="Normal 3 19 3 2 2 2 2 2 3 2" xfId="49940" xr:uid="{00000000-0005-0000-0000-000006780000}"/>
    <cellStyle name="Normal 3 19 3 2 2 2 2 2 4" xfId="36378" xr:uid="{00000000-0005-0000-0000-000007780000}"/>
    <cellStyle name="Normal 3 19 3 2 2 2 2 3" xfId="12631" xr:uid="{00000000-0005-0000-0000-000008780000}"/>
    <cellStyle name="Normal 3 19 3 2 2 2 2 3 2" xfId="26199" xr:uid="{00000000-0005-0000-0000-000009780000}"/>
    <cellStyle name="Normal 3 19 3 2 2 2 2 3 2 2" xfId="53332" xr:uid="{00000000-0005-0000-0000-00000A780000}"/>
    <cellStyle name="Normal 3 19 3 2 2 2 2 3 3" xfId="39770" xr:uid="{00000000-0005-0000-0000-00000B780000}"/>
    <cellStyle name="Normal 3 19 3 2 2 2 2 4" xfId="19418" xr:uid="{00000000-0005-0000-0000-00000C780000}"/>
    <cellStyle name="Normal 3 19 3 2 2 2 2 4 2" xfId="46551" xr:uid="{00000000-0005-0000-0000-00000D780000}"/>
    <cellStyle name="Normal 3 19 3 2 2 2 2 5" xfId="32989" xr:uid="{00000000-0005-0000-0000-00000E780000}"/>
    <cellStyle name="Normal 3 19 3 2 2 2 3" xfId="5688" xr:uid="{00000000-0005-0000-0000-00000F780000}"/>
    <cellStyle name="Normal 3 19 3 2 2 2 3 2" xfId="9231" xr:uid="{00000000-0005-0000-0000-000010780000}"/>
    <cellStyle name="Normal 3 19 3 2 2 2 3 2 2" xfId="16021" xr:uid="{00000000-0005-0000-0000-000011780000}"/>
    <cellStyle name="Normal 3 19 3 2 2 2 3 2 2 2" xfId="29589" xr:uid="{00000000-0005-0000-0000-000012780000}"/>
    <cellStyle name="Normal 3 19 3 2 2 2 3 2 2 2 2" xfId="56722" xr:uid="{00000000-0005-0000-0000-000013780000}"/>
    <cellStyle name="Normal 3 19 3 2 2 2 3 2 2 3" xfId="43160" xr:uid="{00000000-0005-0000-0000-000014780000}"/>
    <cellStyle name="Normal 3 19 3 2 2 2 3 2 3" xfId="22808" xr:uid="{00000000-0005-0000-0000-000015780000}"/>
    <cellStyle name="Normal 3 19 3 2 2 2 3 2 3 2" xfId="49941" xr:uid="{00000000-0005-0000-0000-000016780000}"/>
    <cellStyle name="Normal 3 19 3 2 2 2 3 2 4" xfId="36379" xr:uid="{00000000-0005-0000-0000-000017780000}"/>
    <cellStyle name="Normal 3 19 3 2 2 2 3 3" xfId="12632" xr:uid="{00000000-0005-0000-0000-000018780000}"/>
    <cellStyle name="Normal 3 19 3 2 2 2 3 3 2" xfId="26200" xr:uid="{00000000-0005-0000-0000-000019780000}"/>
    <cellStyle name="Normal 3 19 3 2 2 2 3 3 2 2" xfId="53333" xr:uid="{00000000-0005-0000-0000-00001A780000}"/>
    <cellStyle name="Normal 3 19 3 2 2 2 3 3 3" xfId="39771" xr:uid="{00000000-0005-0000-0000-00001B780000}"/>
    <cellStyle name="Normal 3 19 3 2 2 2 3 4" xfId="19419" xr:uid="{00000000-0005-0000-0000-00001C780000}"/>
    <cellStyle name="Normal 3 19 3 2 2 2 3 4 2" xfId="46552" xr:uid="{00000000-0005-0000-0000-00001D780000}"/>
    <cellStyle name="Normal 3 19 3 2 2 2 3 5" xfId="32990" xr:uid="{00000000-0005-0000-0000-00001E780000}"/>
    <cellStyle name="Normal 3 19 3 2 2 2 4" xfId="9229" xr:uid="{00000000-0005-0000-0000-00001F780000}"/>
    <cellStyle name="Normal 3 19 3 2 2 2 4 2" xfId="16019" xr:uid="{00000000-0005-0000-0000-000020780000}"/>
    <cellStyle name="Normal 3 19 3 2 2 2 4 2 2" xfId="29587" xr:uid="{00000000-0005-0000-0000-000021780000}"/>
    <cellStyle name="Normal 3 19 3 2 2 2 4 2 2 2" xfId="56720" xr:uid="{00000000-0005-0000-0000-000022780000}"/>
    <cellStyle name="Normal 3 19 3 2 2 2 4 2 3" xfId="43158" xr:uid="{00000000-0005-0000-0000-000023780000}"/>
    <cellStyle name="Normal 3 19 3 2 2 2 4 3" xfId="22806" xr:uid="{00000000-0005-0000-0000-000024780000}"/>
    <cellStyle name="Normal 3 19 3 2 2 2 4 3 2" xfId="49939" xr:uid="{00000000-0005-0000-0000-000025780000}"/>
    <cellStyle name="Normal 3 19 3 2 2 2 4 4" xfId="36377" xr:uid="{00000000-0005-0000-0000-000026780000}"/>
    <cellStyle name="Normal 3 19 3 2 2 2 5" xfId="12630" xr:uid="{00000000-0005-0000-0000-000027780000}"/>
    <cellStyle name="Normal 3 19 3 2 2 2 5 2" xfId="26198" xr:uid="{00000000-0005-0000-0000-000028780000}"/>
    <cellStyle name="Normal 3 19 3 2 2 2 5 2 2" xfId="53331" xr:uid="{00000000-0005-0000-0000-000029780000}"/>
    <cellStyle name="Normal 3 19 3 2 2 2 5 3" xfId="39769" xr:uid="{00000000-0005-0000-0000-00002A780000}"/>
    <cellStyle name="Normal 3 19 3 2 2 2 6" xfId="19417" xr:uid="{00000000-0005-0000-0000-00002B780000}"/>
    <cellStyle name="Normal 3 19 3 2 2 2 6 2" xfId="46550" xr:uid="{00000000-0005-0000-0000-00002C780000}"/>
    <cellStyle name="Normal 3 19 3 2 2 2 7" xfId="32988" xr:uid="{00000000-0005-0000-0000-00002D780000}"/>
    <cellStyle name="Normal 3 19 3 2 2 3" xfId="5689" xr:uid="{00000000-0005-0000-0000-00002E780000}"/>
    <cellStyle name="Normal 3 19 3 2 2 3 2" xfId="5690" xr:uid="{00000000-0005-0000-0000-00002F780000}"/>
    <cellStyle name="Normal 3 19 3 2 2 3 2 2" xfId="9233" xr:uid="{00000000-0005-0000-0000-000030780000}"/>
    <cellStyle name="Normal 3 19 3 2 2 3 2 2 2" xfId="16023" xr:uid="{00000000-0005-0000-0000-000031780000}"/>
    <cellStyle name="Normal 3 19 3 2 2 3 2 2 2 2" xfId="29591" xr:uid="{00000000-0005-0000-0000-000032780000}"/>
    <cellStyle name="Normal 3 19 3 2 2 3 2 2 2 2 2" xfId="56724" xr:uid="{00000000-0005-0000-0000-000033780000}"/>
    <cellStyle name="Normal 3 19 3 2 2 3 2 2 2 3" xfId="43162" xr:uid="{00000000-0005-0000-0000-000034780000}"/>
    <cellStyle name="Normal 3 19 3 2 2 3 2 2 3" xfId="22810" xr:uid="{00000000-0005-0000-0000-000035780000}"/>
    <cellStyle name="Normal 3 19 3 2 2 3 2 2 3 2" xfId="49943" xr:uid="{00000000-0005-0000-0000-000036780000}"/>
    <cellStyle name="Normal 3 19 3 2 2 3 2 2 4" xfId="36381" xr:uid="{00000000-0005-0000-0000-000037780000}"/>
    <cellStyle name="Normal 3 19 3 2 2 3 2 3" xfId="12634" xr:uid="{00000000-0005-0000-0000-000038780000}"/>
    <cellStyle name="Normal 3 19 3 2 2 3 2 3 2" xfId="26202" xr:uid="{00000000-0005-0000-0000-000039780000}"/>
    <cellStyle name="Normal 3 19 3 2 2 3 2 3 2 2" xfId="53335" xr:uid="{00000000-0005-0000-0000-00003A780000}"/>
    <cellStyle name="Normal 3 19 3 2 2 3 2 3 3" xfId="39773" xr:uid="{00000000-0005-0000-0000-00003B780000}"/>
    <cellStyle name="Normal 3 19 3 2 2 3 2 4" xfId="19421" xr:uid="{00000000-0005-0000-0000-00003C780000}"/>
    <cellStyle name="Normal 3 19 3 2 2 3 2 4 2" xfId="46554" xr:uid="{00000000-0005-0000-0000-00003D780000}"/>
    <cellStyle name="Normal 3 19 3 2 2 3 2 5" xfId="32992" xr:uid="{00000000-0005-0000-0000-00003E780000}"/>
    <cellStyle name="Normal 3 19 3 2 2 3 3" xfId="9232" xr:uid="{00000000-0005-0000-0000-00003F780000}"/>
    <cellStyle name="Normal 3 19 3 2 2 3 3 2" xfId="16022" xr:uid="{00000000-0005-0000-0000-000040780000}"/>
    <cellStyle name="Normal 3 19 3 2 2 3 3 2 2" xfId="29590" xr:uid="{00000000-0005-0000-0000-000041780000}"/>
    <cellStyle name="Normal 3 19 3 2 2 3 3 2 2 2" xfId="56723" xr:uid="{00000000-0005-0000-0000-000042780000}"/>
    <cellStyle name="Normal 3 19 3 2 2 3 3 2 3" xfId="43161" xr:uid="{00000000-0005-0000-0000-000043780000}"/>
    <cellStyle name="Normal 3 19 3 2 2 3 3 3" xfId="22809" xr:uid="{00000000-0005-0000-0000-000044780000}"/>
    <cellStyle name="Normal 3 19 3 2 2 3 3 3 2" xfId="49942" xr:uid="{00000000-0005-0000-0000-000045780000}"/>
    <cellStyle name="Normal 3 19 3 2 2 3 3 4" xfId="36380" xr:uid="{00000000-0005-0000-0000-000046780000}"/>
    <cellStyle name="Normal 3 19 3 2 2 3 4" xfId="12633" xr:uid="{00000000-0005-0000-0000-000047780000}"/>
    <cellStyle name="Normal 3 19 3 2 2 3 4 2" xfId="26201" xr:uid="{00000000-0005-0000-0000-000048780000}"/>
    <cellStyle name="Normal 3 19 3 2 2 3 4 2 2" xfId="53334" xr:uid="{00000000-0005-0000-0000-000049780000}"/>
    <cellStyle name="Normal 3 19 3 2 2 3 4 3" xfId="39772" xr:uid="{00000000-0005-0000-0000-00004A780000}"/>
    <cellStyle name="Normal 3 19 3 2 2 3 5" xfId="19420" xr:uid="{00000000-0005-0000-0000-00004B780000}"/>
    <cellStyle name="Normal 3 19 3 2 2 3 5 2" xfId="46553" xr:uid="{00000000-0005-0000-0000-00004C780000}"/>
    <cellStyle name="Normal 3 19 3 2 2 3 6" xfId="32991" xr:uid="{00000000-0005-0000-0000-00004D780000}"/>
    <cellStyle name="Normal 3 19 3 2 2 4" xfId="5691" xr:uid="{00000000-0005-0000-0000-00004E780000}"/>
    <cellStyle name="Normal 3 19 3 2 2 4 2" xfId="9234" xr:uid="{00000000-0005-0000-0000-00004F780000}"/>
    <cellStyle name="Normal 3 19 3 2 2 4 2 2" xfId="16024" xr:uid="{00000000-0005-0000-0000-000050780000}"/>
    <cellStyle name="Normal 3 19 3 2 2 4 2 2 2" xfId="29592" xr:uid="{00000000-0005-0000-0000-000051780000}"/>
    <cellStyle name="Normal 3 19 3 2 2 4 2 2 2 2" xfId="56725" xr:uid="{00000000-0005-0000-0000-000052780000}"/>
    <cellStyle name="Normal 3 19 3 2 2 4 2 2 3" xfId="43163" xr:uid="{00000000-0005-0000-0000-000053780000}"/>
    <cellStyle name="Normal 3 19 3 2 2 4 2 3" xfId="22811" xr:uid="{00000000-0005-0000-0000-000054780000}"/>
    <cellStyle name="Normal 3 19 3 2 2 4 2 3 2" xfId="49944" xr:uid="{00000000-0005-0000-0000-000055780000}"/>
    <cellStyle name="Normal 3 19 3 2 2 4 2 4" xfId="36382" xr:uid="{00000000-0005-0000-0000-000056780000}"/>
    <cellStyle name="Normal 3 19 3 2 2 4 3" xfId="12635" xr:uid="{00000000-0005-0000-0000-000057780000}"/>
    <cellStyle name="Normal 3 19 3 2 2 4 3 2" xfId="26203" xr:uid="{00000000-0005-0000-0000-000058780000}"/>
    <cellStyle name="Normal 3 19 3 2 2 4 3 2 2" xfId="53336" xr:uid="{00000000-0005-0000-0000-000059780000}"/>
    <cellStyle name="Normal 3 19 3 2 2 4 3 3" xfId="39774" xr:uid="{00000000-0005-0000-0000-00005A780000}"/>
    <cellStyle name="Normal 3 19 3 2 2 4 4" xfId="19422" xr:uid="{00000000-0005-0000-0000-00005B780000}"/>
    <cellStyle name="Normal 3 19 3 2 2 4 4 2" xfId="46555" xr:uid="{00000000-0005-0000-0000-00005C780000}"/>
    <cellStyle name="Normal 3 19 3 2 2 4 5" xfId="32993" xr:uid="{00000000-0005-0000-0000-00005D780000}"/>
    <cellStyle name="Normal 3 19 3 2 2 5" xfId="5692" xr:uid="{00000000-0005-0000-0000-00005E780000}"/>
    <cellStyle name="Normal 3 19 3 2 2 5 2" xfId="9235" xr:uid="{00000000-0005-0000-0000-00005F780000}"/>
    <cellStyle name="Normal 3 19 3 2 2 5 2 2" xfId="16025" xr:uid="{00000000-0005-0000-0000-000060780000}"/>
    <cellStyle name="Normal 3 19 3 2 2 5 2 2 2" xfId="29593" xr:uid="{00000000-0005-0000-0000-000061780000}"/>
    <cellStyle name="Normal 3 19 3 2 2 5 2 2 2 2" xfId="56726" xr:uid="{00000000-0005-0000-0000-000062780000}"/>
    <cellStyle name="Normal 3 19 3 2 2 5 2 2 3" xfId="43164" xr:uid="{00000000-0005-0000-0000-000063780000}"/>
    <cellStyle name="Normal 3 19 3 2 2 5 2 3" xfId="22812" xr:uid="{00000000-0005-0000-0000-000064780000}"/>
    <cellStyle name="Normal 3 19 3 2 2 5 2 3 2" xfId="49945" xr:uid="{00000000-0005-0000-0000-000065780000}"/>
    <cellStyle name="Normal 3 19 3 2 2 5 2 4" xfId="36383" xr:uid="{00000000-0005-0000-0000-000066780000}"/>
    <cellStyle name="Normal 3 19 3 2 2 5 3" xfId="12636" xr:uid="{00000000-0005-0000-0000-000067780000}"/>
    <cellStyle name="Normal 3 19 3 2 2 5 3 2" xfId="26204" xr:uid="{00000000-0005-0000-0000-000068780000}"/>
    <cellStyle name="Normal 3 19 3 2 2 5 3 2 2" xfId="53337" xr:uid="{00000000-0005-0000-0000-000069780000}"/>
    <cellStyle name="Normal 3 19 3 2 2 5 3 3" xfId="39775" xr:uid="{00000000-0005-0000-0000-00006A780000}"/>
    <cellStyle name="Normal 3 19 3 2 2 5 4" xfId="19423" xr:uid="{00000000-0005-0000-0000-00006B780000}"/>
    <cellStyle name="Normal 3 19 3 2 2 5 4 2" xfId="46556" xr:uid="{00000000-0005-0000-0000-00006C780000}"/>
    <cellStyle name="Normal 3 19 3 2 2 5 5" xfId="32994" xr:uid="{00000000-0005-0000-0000-00006D780000}"/>
    <cellStyle name="Normal 3 19 3 2 2 6" xfId="9228" xr:uid="{00000000-0005-0000-0000-00006E780000}"/>
    <cellStyle name="Normal 3 19 3 2 2 6 2" xfId="16018" xr:uid="{00000000-0005-0000-0000-00006F780000}"/>
    <cellStyle name="Normal 3 19 3 2 2 6 2 2" xfId="29586" xr:uid="{00000000-0005-0000-0000-000070780000}"/>
    <cellStyle name="Normal 3 19 3 2 2 6 2 2 2" xfId="56719" xr:uid="{00000000-0005-0000-0000-000071780000}"/>
    <cellStyle name="Normal 3 19 3 2 2 6 2 3" xfId="43157" xr:uid="{00000000-0005-0000-0000-000072780000}"/>
    <cellStyle name="Normal 3 19 3 2 2 6 3" xfId="22805" xr:uid="{00000000-0005-0000-0000-000073780000}"/>
    <cellStyle name="Normal 3 19 3 2 2 6 3 2" xfId="49938" xr:uid="{00000000-0005-0000-0000-000074780000}"/>
    <cellStyle name="Normal 3 19 3 2 2 6 4" xfId="36376" xr:uid="{00000000-0005-0000-0000-000075780000}"/>
    <cellStyle name="Normal 3 19 3 2 2 7" xfId="12629" xr:uid="{00000000-0005-0000-0000-000076780000}"/>
    <cellStyle name="Normal 3 19 3 2 2 7 2" xfId="26197" xr:uid="{00000000-0005-0000-0000-000077780000}"/>
    <cellStyle name="Normal 3 19 3 2 2 7 2 2" xfId="53330" xr:uid="{00000000-0005-0000-0000-000078780000}"/>
    <cellStyle name="Normal 3 19 3 2 2 7 3" xfId="39768" xr:uid="{00000000-0005-0000-0000-000079780000}"/>
    <cellStyle name="Normal 3 19 3 2 2 8" xfId="19416" xr:uid="{00000000-0005-0000-0000-00007A780000}"/>
    <cellStyle name="Normal 3 19 3 2 2 8 2" xfId="46549" xr:uid="{00000000-0005-0000-0000-00007B780000}"/>
    <cellStyle name="Normal 3 19 3 2 2 9" xfId="32987" xr:uid="{00000000-0005-0000-0000-00007C780000}"/>
    <cellStyle name="Normal 3 19 3 2 3" xfId="5693" xr:uid="{00000000-0005-0000-0000-00007D780000}"/>
    <cellStyle name="Normal 3 19 3 2 3 2" xfId="5694" xr:uid="{00000000-0005-0000-0000-00007E780000}"/>
    <cellStyle name="Normal 3 19 3 2 3 2 2" xfId="9237" xr:uid="{00000000-0005-0000-0000-00007F780000}"/>
    <cellStyle name="Normal 3 19 3 2 3 2 2 2" xfId="16027" xr:uid="{00000000-0005-0000-0000-000080780000}"/>
    <cellStyle name="Normal 3 19 3 2 3 2 2 2 2" xfId="29595" xr:uid="{00000000-0005-0000-0000-000081780000}"/>
    <cellStyle name="Normal 3 19 3 2 3 2 2 2 2 2" xfId="56728" xr:uid="{00000000-0005-0000-0000-000082780000}"/>
    <cellStyle name="Normal 3 19 3 2 3 2 2 2 3" xfId="43166" xr:uid="{00000000-0005-0000-0000-000083780000}"/>
    <cellStyle name="Normal 3 19 3 2 3 2 2 3" xfId="22814" xr:uid="{00000000-0005-0000-0000-000084780000}"/>
    <cellStyle name="Normal 3 19 3 2 3 2 2 3 2" xfId="49947" xr:uid="{00000000-0005-0000-0000-000085780000}"/>
    <cellStyle name="Normal 3 19 3 2 3 2 2 4" xfId="36385" xr:uid="{00000000-0005-0000-0000-000086780000}"/>
    <cellStyle name="Normal 3 19 3 2 3 2 3" xfId="12638" xr:uid="{00000000-0005-0000-0000-000087780000}"/>
    <cellStyle name="Normal 3 19 3 2 3 2 3 2" xfId="26206" xr:uid="{00000000-0005-0000-0000-000088780000}"/>
    <cellStyle name="Normal 3 19 3 2 3 2 3 2 2" xfId="53339" xr:uid="{00000000-0005-0000-0000-000089780000}"/>
    <cellStyle name="Normal 3 19 3 2 3 2 3 3" xfId="39777" xr:uid="{00000000-0005-0000-0000-00008A780000}"/>
    <cellStyle name="Normal 3 19 3 2 3 2 4" xfId="19425" xr:uid="{00000000-0005-0000-0000-00008B780000}"/>
    <cellStyle name="Normal 3 19 3 2 3 2 4 2" xfId="46558" xr:uid="{00000000-0005-0000-0000-00008C780000}"/>
    <cellStyle name="Normal 3 19 3 2 3 2 5" xfId="32996" xr:uid="{00000000-0005-0000-0000-00008D780000}"/>
    <cellStyle name="Normal 3 19 3 2 3 3" xfId="5695" xr:uid="{00000000-0005-0000-0000-00008E780000}"/>
    <cellStyle name="Normal 3 19 3 2 3 3 2" xfId="9238" xr:uid="{00000000-0005-0000-0000-00008F780000}"/>
    <cellStyle name="Normal 3 19 3 2 3 3 2 2" xfId="16028" xr:uid="{00000000-0005-0000-0000-000090780000}"/>
    <cellStyle name="Normal 3 19 3 2 3 3 2 2 2" xfId="29596" xr:uid="{00000000-0005-0000-0000-000091780000}"/>
    <cellStyle name="Normal 3 19 3 2 3 3 2 2 2 2" xfId="56729" xr:uid="{00000000-0005-0000-0000-000092780000}"/>
    <cellStyle name="Normal 3 19 3 2 3 3 2 2 3" xfId="43167" xr:uid="{00000000-0005-0000-0000-000093780000}"/>
    <cellStyle name="Normal 3 19 3 2 3 3 2 3" xfId="22815" xr:uid="{00000000-0005-0000-0000-000094780000}"/>
    <cellStyle name="Normal 3 19 3 2 3 3 2 3 2" xfId="49948" xr:uid="{00000000-0005-0000-0000-000095780000}"/>
    <cellStyle name="Normal 3 19 3 2 3 3 2 4" xfId="36386" xr:uid="{00000000-0005-0000-0000-000096780000}"/>
    <cellStyle name="Normal 3 19 3 2 3 3 3" xfId="12639" xr:uid="{00000000-0005-0000-0000-000097780000}"/>
    <cellStyle name="Normal 3 19 3 2 3 3 3 2" xfId="26207" xr:uid="{00000000-0005-0000-0000-000098780000}"/>
    <cellStyle name="Normal 3 19 3 2 3 3 3 2 2" xfId="53340" xr:uid="{00000000-0005-0000-0000-000099780000}"/>
    <cellStyle name="Normal 3 19 3 2 3 3 3 3" xfId="39778" xr:uid="{00000000-0005-0000-0000-00009A780000}"/>
    <cellStyle name="Normal 3 19 3 2 3 3 4" xfId="19426" xr:uid="{00000000-0005-0000-0000-00009B780000}"/>
    <cellStyle name="Normal 3 19 3 2 3 3 4 2" xfId="46559" xr:uid="{00000000-0005-0000-0000-00009C780000}"/>
    <cellStyle name="Normal 3 19 3 2 3 3 5" xfId="32997" xr:uid="{00000000-0005-0000-0000-00009D780000}"/>
    <cellStyle name="Normal 3 19 3 2 3 4" xfId="9236" xr:uid="{00000000-0005-0000-0000-00009E780000}"/>
    <cellStyle name="Normal 3 19 3 2 3 4 2" xfId="16026" xr:uid="{00000000-0005-0000-0000-00009F780000}"/>
    <cellStyle name="Normal 3 19 3 2 3 4 2 2" xfId="29594" xr:uid="{00000000-0005-0000-0000-0000A0780000}"/>
    <cellStyle name="Normal 3 19 3 2 3 4 2 2 2" xfId="56727" xr:uid="{00000000-0005-0000-0000-0000A1780000}"/>
    <cellStyle name="Normal 3 19 3 2 3 4 2 3" xfId="43165" xr:uid="{00000000-0005-0000-0000-0000A2780000}"/>
    <cellStyle name="Normal 3 19 3 2 3 4 3" xfId="22813" xr:uid="{00000000-0005-0000-0000-0000A3780000}"/>
    <cellStyle name="Normal 3 19 3 2 3 4 3 2" xfId="49946" xr:uid="{00000000-0005-0000-0000-0000A4780000}"/>
    <cellStyle name="Normal 3 19 3 2 3 4 4" xfId="36384" xr:uid="{00000000-0005-0000-0000-0000A5780000}"/>
    <cellStyle name="Normal 3 19 3 2 3 5" xfId="12637" xr:uid="{00000000-0005-0000-0000-0000A6780000}"/>
    <cellStyle name="Normal 3 19 3 2 3 5 2" xfId="26205" xr:uid="{00000000-0005-0000-0000-0000A7780000}"/>
    <cellStyle name="Normal 3 19 3 2 3 5 2 2" xfId="53338" xr:uid="{00000000-0005-0000-0000-0000A8780000}"/>
    <cellStyle name="Normal 3 19 3 2 3 5 3" xfId="39776" xr:uid="{00000000-0005-0000-0000-0000A9780000}"/>
    <cellStyle name="Normal 3 19 3 2 3 6" xfId="19424" xr:uid="{00000000-0005-0000-0000-0000AA780000}"/>
    <cellStyle name="Normal 3 19 3 2 3 6 2" xfId="46557" xr:uid="{00000000-0005-0000-0000-0000AB780000}"/>
    <cellStyle name="Normal 3 19 3 2 3 7" xfId="32995" xr:uid="{00000000-0005-0000-0000-0000AC780000}"/>
    <cellStyle name="Normal 3 19 3 2 4" xfId="5696" xr:uid="{00000000-0005-0000-0000-0000AD780000}"/>
    <cellStyle name="Normal 3 19 3 2 4 2" xfId="5697" xr:uid="{00000000-0005-0000-0000-0000AE780000}"/>
    <cellStyle name="Normal 3 19 3 2 4 2 2" xfId="9240" xr:uid="{00000000-0005-0000-0000-0000AF780000}"/>
    <cellStyle name="Normal 3 19 3 2 4 2 2 2" xfId="16030" xr:uid="{00000000-0005-0000-0000-0000B0780000}"/>
    <cellStyle name="Normal 3 19 3 2 4 2 2 2 2" xfId="29598" xr:uid="{00000000-0005-0000-0000-0000B1780000}"/>
    <cellStyle name="Normal 3 19 3 2 4 2 2 2 2 2" xfId="56731" xr:uid="{00000000-0005-0000-0000-0000B2780000}"/>
    <cellStyle name="Normal 3 19 3 2 4 2 2 2 3" xfId="43169" xr:uid="{00000000-0005-0000-0000-0000B3780000}"/>
    <cellStyle name="Normal 3 19 3 2 4 2 2 3" xfId="22817" xr:uid="{00000000-0005-0000-0000-0000B4780000}"/>
    <cellStyle name="Normal 3 19 3 2 4 2 2 3 2" xfId="49950" xr:uid="{00000000-0005-0000-0000-0000B5780000}"/>
    <cellStyle name="Normal 3 19 3 2 4 2 2 4" xfId="36388" xr:uid="{00000000-0005-0000-0000-0000B6780000}"/>
    <cellStyle name="Normal 3 19 3 2 4 2 3" xfId="12641" xr:uid="{00000000-0005-0000-0000-0000B7780000}"/>
    <cellStyle name="Normal 3 19 3 2 4 2 3 2" xfId="26209" xr:uid="{00000000-0005-0000-0000-0000B8780000}"/>
    <cellStyle name="Normal 3 19 3 2 4 2 3 2 2" xfId="53342" xr:uid="{00000000-0005-0000-0000-0000B9780000}"/>
    <cellStyle name="Normal 3 19 3 2 4 2 3 3" xfId="39780" xr:uid="{00000000-0005-0000-0000-0000BA780000}"/>
    <cellStyle name="Normal 3 19 3 2 4 2 4" xfId="19428" xr:uid="{00000000-0005-0000-0000-0000BB780000}"/>
    <cellStyle name="Normal 3 19 3 2 4 2 4 2" xfId="46561" xr:uid="{00000000-0005-0000-0000-0000BC780000}"/>
    <cellStyle name="Normal 3 19 3 2 4 2 5" xfId="32999" xr:uid="{00000000-0005-0000-0000-0000BD780000}"/>
    <cellStyle name="Normal 3 19 3 2 4 3" xfId="9239" xr:uid="{00000000-0005-0000-0000-0000BE780000}"/>
    <cellStyle name="Normal 3 19 3 2 4 3 2" xfId="16029" xr:uid="{00000000-0005-0000-0000-0000BF780000}"/>
    <cellStyle name="Normal 3 19 3 2 4 3 2 2" xfId="29597" xr:uid="{00000000-0005-0000-0000-0000C0780000}"/>
    <cellStyle name="Normal 3 19 3 2 4 3 2 2 2" xfId="56730" xr:uid="{00000000-0005-0000-0000-0000C1780000}"/>
    <cellStyle name="Normal 3 19 3 2 4 3 2 3" xfId="43168" xr:uid="{00000000-0005-0000-0000-0000C2780000}"/>
    <cellStyle name="Normal 3 19 3 2 4 3 3" xfId="22816" xr:uid="{00000000-0005-0000-0000-0000C3780000}"/>
    <cellStyle name="Normal 3 19 3 2 4 3 3 2" xfId="49949" xr:uid="{00000000-0005-0000-0000-0000C4780000}"/>
    <cellStyle name="Normal 3 19 3 2 4 3 4" xfId="36387" xr:uid="{00000000-0005-0000-0000-0000C5780000}"/>
    <cellStyle name="Normal 3 19 3 2 4 4" xfId="12640" xr:uid="{00000000-0005-0000-0000-0000C6780000}"/>
    <cellStyle name="Normal 3 19 3 2 4 4 2" xfId="26208" xr:uid="{00000000-0005-0000-0000-0000C7780000}"/>
    <cellStyle name="Normal 3 19 3 2 4 4 2 2" xfId="53341" xr:uid="{00000000-0005-0000-0000-0000C8780000}"/>
    <cellStyle name="Normal 3 19 3 2 4 4 3" xfId="39779" xr:uid="{00000000-0005-0000-0000-0000C9780000}"/>
    <cellStyle name="Normal 3 19 3 2 4 5" xfId="19427" xr:uid="{00000000-0005-0000-0000-0000CA780000}"/>
    <cellStyle name="Normal 3 19 3 2 4 5 2" xfId="46560" xr:uid="{00000000-0005-0000-0000-0000CB780000}"/>
    <cellStyle name="Normal 3 19 3 2 4 6" xfId="32998" xr:uid="{00000000-0005-0000-0000-0000CC780000}"/>
    <cellStyle name="Normal 3 19 3 2 5" xfId="5698" xr:uid="{00000000-0005-0000-0000-0000CD780000}"/>
    <cellStyle name="Normal 3 19 3 2 5 2" xfId="9241" xr:uid="{00000000-0005-0000-0000-0000CE780000}"/>
    <cellStyle name="Normal 3 19 3 2 5 2 2" xfId="16031" xr:uid="{00000000-0005-0000-0000-0000CF780000}"/>
    <cellStyle name="Normal 3 19 3 2 5 2 2 2" xfId="29599" xr:uid="{00000000-0005-0000-0000-0000D0780000}"/>
    <cellStyle name="Normal 3 19 3 2 5 2 2 2 2" xfId="56732" xr:uid="{00000000-0005-0000-0000-0000D1780000}"/>
    <cellStyle name="Normal 3 19 3 2 5 2 2 3" xfId="43170" xr:uid="{00000000-0005-0000-0000-0000D2780000}"/>
    <cellStyle name="Normal 3 19 3 2 5 2 3" xfId="22818" xr:uid="{00000000-0005-0000-0000-0000D3780000}"/>
    <cellStyle name="Normal 3 19 3 2 5 2 3 2" xfId="49951" xr:uid="{00000000-0005-0000-0000-0000D4780000}"/>
    <cellStyle name="Normal 3 19 3 2 5 2 4" xfId="36389" xr:uid="{00000000-0005-0000-0000-0000D5780000}"/>
    <cellStyle name="Normal 3 19 3 2 5 3" xfId="12642" xr:uid="{00000000-0005-0000-0000-0000D6780000}"/>
    <cellStyle name="Normal 3 19 3 2 5 3 2" xfId="26210" xr:uid="{00000000-0005-0000-0000-0000D7780000}"/>
    <cellStyle name="Normal 3 19 3 2 5 3 2 2" xfId="53343" xr:uid="{00000000-0005-0000-0000-0000D8780000}"/>
    <cellStyle name="Normal 3 19 3 2 5 3 3" xfId="39781" xr:uid="{00000000-0005-0000-0000-0000D9780000}"/>
    <cellStyle name="Normal 3 19 3 2 5 4" xfId="19429" xr:uid="{00000000-0005-0000-0000-0000DA780000}"/>
    <cellStyle name="Normal 3 19 3 2 5 4 2" xfId="46562" xr:uid="{00000000-0005-0000-0000-0000DB780000}"/>
    <cellStyle name="Normal 3 19 3 2 5 5" xfId="33000" xr:uid="{00000000-0005-0000-0000-0000DC780000}"/>
    <cellStyle name="Normal 3 19 3 2 6" xfId="5699" xr:uid="{00000000-0005-0000-0000-0000DD780000}"/>
    <cellStyle name="Normal 3 19 3 2 6 2" xfId="9242" xr:uid="{00000000-0005-0000-0000-0000DE780000}"/>
    <cellStyle name="Normal 3 19 3 2 6 2 2" xfId="16032" xr:uid="{00000000-0005-0000-0000-0000DF780000}"/>
    <cellStyle name="Normal 3 19 3 2 6 2 2 2" xfId="29600" xr:uid="{00000000-0005-0000-0000-0000E0780000}"/>
    <cellStyle name="Normal 3 19 3 2 6 2 2 2 2" xfId="56733" xr:uid="{00000000-0005-0000-0000-0000E1780000}"/>
    <cellStyle name="Normal 3 19 3 2 6 2 2 3" xfId="43171" xr:uid="{00000000-0005-0000-0000-0000E2780000}"/>
    <cellStyle name="Normal 3 19 3 2 6 2 3" xfId="22819" xr:uid="{00000000-0005-0000-0000-0000E3780000}"/>
    <cellStyle name="Normal 3 19 3 2 6 2 3 2" xfId="49952" xr:uid="{00000000-0005-0000-0000-0000E4780000}"/>
    <cellStyle name="Normal 3 19 3 2 6 2 4" xfId="36390" xr:uid="{00000000-0005-0000-0000-0000E5780000}"/>
    <cellStyle name="Normal 3 19 3 2 6 3" xfId="12643" xr:uid="{00000000-0005-0000-0000-0000E6780000}"/>
    <cellStyle name="Normal 3 19 3 2 6 3 2" xfId="26211" xr:uid="{00000000-0005-0000-0000-0000E7780000}"/>
    <cellStyle name="Normal 3 19 3 2 6 3 2 2" xfId="53344" xr:uid="{00000000-0005-0000-0000-0000E8780000}"/>
    <cellStyle name="Normal 3 19 3 2 6 3 3" xfId="39782" xr:uid="{00000000-0005-0000-0000-0000E9780000}"/>
    <cellStyle name="Normal 3 19 3 2 6 4" xfId="19430" xr:uid="{00000000-0005-0000-0000-0000EA780000}"/>
    <cellStyle name="Normal 3 19 3 2 6 4 2" xfId="46563" xr:uid="{00000000-0005-0000-0000-0000EB780000}"/>
    <cellStyle name="Normal 3 19 3 2 6 5" xfId="33001" xr:uid="{00000000-0005-0000-0000-0000EC780000}"/>
    <cellStyle name="Normal 3 19 3 2 7" xfId="9227" xr:uid="{00000000-0005-0000-0000-0000ED780000}"/>
    <cellStyle name="Normal 3 19 3 2 7 2" xfId="16017" xr:uid="{00000000-0005-0000-0000-0000EE780000}"/>
    <cellStyle name="Normal 3 19 3 2 7 2 2" xfId="29585" xr:uid="{00000000-0005-0000-0000-0000EF780000}"/>
    <cellStyle name="Normal 3 19 3 2 7 2 2 2" xfId="56718" xr:uid="{00000000-0005-0000-0000-0000F0780000}"/>
    <cellStyle name="Normal 3 19 3 2 7 2 3" xfId="43156" xr:uid="{00000000-0005-0000-0000-0000F1780000}"/>
    <cellStyle name="Normal 3 19 3 2 7 3" xfId="22804" xr:uid="{00000000-0005-0000-0000-0000F2780000}"/>
    <cellStyle name="Normal 3 19 3 2 7 3 2" xfId="49937" xr:uid="{00000000-0005-0000-0000-0000F3780000}"/>
    <cellStyle name="Normal 3 19 3 2 7 4" xfId="36375" xr:uid="{00000000-0005-0000-0000-0000F4780000}"/>
    <cellStyle name="Normal 3 19 3 2 8" xfId="12628" xr:uid="{00000000-0005-0000-0000-0000F5780000}"/>
    <cellStyle name="Normal 3 19 3 2 8 2" xfId="26196" xr:uid="{00000000-0005-0000-0000-0000F6780000}"/>
    <cellStyle name="Normal 3 19 3 2 8 2 2" xfId="53329" xr:uid="{00000000-0005-0000-0000-0000F7780000}"/>
    <cellStyle name="Normal 3 19 3 2 8 3" xfId="39767" xr:uid="{00000000-0005-0000-0000-0000F8780000}"/>
    <cellStyle name="Normal 3 19 3 2 9" xfId="19415" xr:uid="{00000000-0005-0000-0000-0000F9780000}"/>
    <cellStyle name="Normal 3 19 3 2 9 2" xfId="46548" xr:uid="{00000000-0005-0000-0000-0000FA780000}"/>
    <cellStyle name="Normal 3 19 3 3" xfId="5700" xr:uid="{00000000-0005-0000-0000-0000FB780000}"/>
    <cellStyle name="Normal 3 19 3 3 2" xfId="5701" xr:uid="{00000000-0005-0000-0000-0000FC780000}"/>
    <cellStyle name="Normal 3 19 3 3 2 2" xfId="5702" xr:uid="{00000000-0005-0000-0000-0000FD780000}"/>
    <cellStyle name="Normal 3 19 3 3 2 2 2" xfId="9245" xr:uid="{00000000-0005-0000-0000-0000FE780000}"/>
    <cellStyle name="Normal 3 19 3 3 2 2 2 2" xfId="16035" xr:uid="{00000000-0005-0000-0000-0000FF780000}"/>
    <cellStyle name="Normal 3 19 3 3 2 2 2 2 2" xfId="29603" xr:uid="{00000000-0005-0000-0000-000000790000}"/>
    <cellStyle name="Normal 3 19 3 3 2 2 2 2 2 2" xfId="56736" xr:uid="{00000000-0005-0000-0000-000001790000}"/>
    <cellStyle name="Normal 3 19 3 3 2 2 2 2 3" xfId="43174" xr:uid="{00000000-0005-0000-0000-000002790000}"/>
    <cellStyle name="Normal 3 19 3 3 2 2 2 3" xfId="22822" xr:uid="{00000000-0005-0000-0000-000003790000}"/>
    <cellStyle name="Normal 3 19 3 3 2 2 2 3 2" xfId="49955" xr:uid="{00000000-0005-0000-0000-000004790000}"/>
    <cellStyle name="Normal 3 19 3 3 2 2 2 4" xfId="36393" xr:uid="{00000000-0005-0000-0000-000005790000}"/>
    <cellStyle name="Normal 3 19 3 3 2 2 3" xfId="12646" xr:uid="{00000000-0005-0000-0000-000006790000}"/>
    <cellStyle name="Normal 3 19 3 3 2 2 3 2" xfId="26214" xr:uid="{00000000-0005-0000-0000-000007790000}"/>
    <cellStyle name="Normal 3 19 3 3 2 2 3 2 2" xfId="53347" xr:uid="{00000000-0005-0000-0000-000008790000}"/>
    <cellStyle name="Normal 3 19 3 3 2 2 3 3" xfId="39785" xr:uid="{00000000-0005-0000-0000-000009790000}"/>
    <cellStyle name="Normal 3 19 3 3 2 2 4" xfId="19433" xr:uid="{00000000-0005-0000-0000-00000A790000}"/>
    <cellStyle name="Normal 3 19 3 3 2 2 4 2" xfId="46566" xr:uid="{00000000-0005-0000-0000-00000B790000}"/>
    <cellStyle name="Normal 3 19 3 3 2 2 5" xfId="33004" xr:uid="{00000000-0005-0000-0000-00000C790000}"/>
    <cellStyle name="Normal 3 19 3 3 2 3" xfId="5703" xr:uid="{00000000-0005-0000-0000-00000D790000}"/>
    <cellStyle name="Normal 3 19 3 3 2 3 2" xfId="9246" xr:uid="{00000000-0005-0000-0000-00000E790000}"/>
    <cellStyle name="Normal 3 19 3 3 2 3 2 2" xfId="16036" xr:uid="{00000000-0005-0000-0000-00000F790000}"/>
    <cellStyle name="Normal 3 19 3 3 2 3 2 2 2" xfId="29604" xr:uid="{00000000-0005-0000-0000-000010790000}"/>
    <cellStyle name="Normal 3 19 3 3 2 3 2 2 2 2" xfId="56737" xr:uid="{00000000-0005-0000-0000-000011790000}"/>
    <cellStyle name="Normal 3 19 3 3 2 3 2 2 3" xfId="43175" xr:uid="{00000000-0005-0000-0000-000012790000}"/>
    <cellStyle name="Normal 3 19 3 3 2 3 2 3" xfId="22823" xr:uid="{00000000-0005-0000-0000-000013790000}"/>
    <cellStyle name="Normal 3 19 3 3 2 3 2 3 2" xfId="49956" xr:uid="{00000000-0005-0000-0000-000014790000}"/>
    <cellStyle name="Normal 3 19 3 3 2 3 2 4" xfId="36394" xr:uid="{00000000-0005-0000-0000-000015790000}"/>
    <cellStyle name="Normal 3 19 3 3 2 3 3" xfId="12647" xr:uid="{00000000-0005-0000-0000-000016790000}"/>
    <cellStyle name="Normal 3 19 3 3 2 3 3 2" xfId="26215" xr:uid="{00000000-0005-0000-0000-000017790000}"/>
    <cellStyle name="Normal 3 19 3 3 2 3 3 2 2" xfId="53348" xr:uid="{00000000-0005-0000-0000-000018790000}"/>
    <cellStyle name="Normal 3 19 3 3 2 3 3 3" xfId="39786" xr:uid="{00000000-0005-0000-0000-000019790000}"/>
    <cellStyle name="Normal 3 19 3 3 2 3 4" xfId="19434" xr:uid="{00000000-0005-0000-0000-00001A790000}"/>
    <cellStyle name="Normal 3 19 3 3 2 3 4 2" xfId="46567" xr:uid="{00000000-0005-0000-0000-00001B790000}"/>
    <cellStyle name="Normal 3 19 3 3 2 3 5" xfId="33005" xr:uid="{00000000-0005-0000-0000-00001C790000}"/>
    <cellStyle name="Normal 3 19 3 3 2 4" xfId="9244" xr:uid="{00000000-0005-0000-0000-00001D790000}"/>
    <cellStyle name="Normal 3 19 3 3 2 4 2" xfId="16034" xr:uid="{00000000-0005-0000-0000-00001E790000}"/>
    <cellStyle name="Normal 3 19 3 3 2 4 2 2" xfId="29602" xr:uid="{00000000-0005-0000-0000-00001F790000}"/>
    <cellStyle name="Normal 3 19 3 3 2 4 2 2 2" xfId="56735" xr:uid="{00000000-0005-0000-0000-000020790000}"/>
    <cellStyle name="Normal 3 19 3 3 2 4 2 3" xfId="43173" xr:uid="{00000000-0005-0000-0000-000021790000}"/>
    <cellStyle name="Normal 3 19 3 3 2 4 3" xfId="22821" xr:uid="{00000000-0005-0000-0000-000022790000}"/>
    <cellStyle name="Normal 3 19 3 3 2 4 3 2" xfId="49954" xr:uid="{00000000-0005-0000-0000-000023790000}"/>
    <cellStyle name="Normal 3 19 3 3 2 4 4" xfId="36392" xr:uid="{00000000-0005-0000-0000-000024790000}"/>
    <cellStyle name="Normal 3 19 3 3 2 5" xfId="12645" xr:uid="{00000000-0005-0000-0000-000025790000}"/>
    <cellStyle name="Normal 3 19 3 3 2 5 2" xfId="26213" xr:uid="{00000000-0005-0000-0000-000026790000}"/>
    <cellStyle name="Normal 3 19 3 3 2 5 2 2" xfId="53346" xr:uid="{00000000-0005-0000-0000-000027790000}"/>
    <cellStyle name="Normal 3 19 3 3 2 5 3" xfId="39784" xr:uid="{00000000-0005-0000-0000-000028790000}"/>
    <cellStyle name="Normal 3 19 3 3 2 6" xfId="19432" xr:uid="{00000000-0005-0000-0000-000029790000}"/>
    <cellStyle name="Normal 3 19 3 3 2 6 2" xfId="46565" xr:uid="{00000000-0005-0000-0000-00002A790000}"/>
    <cellStyle name="Normal 3 19 3 3 2 7" xfId="33003" xr:uid="{00000000-0005-0000-0000-00002B790000}"/>
    <cellStyle name="Normal 3 19 3 3 3" xfId="5704" xr:uid="{00000000-0005-0000-0000-00002C790000}"/>
    <cellStyle name="Normal 3 19 3 3 3 2" xfId="5705" xr:uid="{00000000-0005-0000-0000-00002D790000}"/>
    <cellStyle name="Normal 3 19 3 3 3 2 2" xfId="9248" xr:uid="{00000000-0005-0000-0000-00002E790000}"/>
    <cellStyle name="Normal 3 19 3 3 3 2 2 2" xfId="16038" xr:uid="{00000000-0005-0000-0000-00002F790000}"/>
    <cellStyle name="Normal 3 19 3 3 3 2 2 2 2" xfId="29606" xr:uid="{00000000-0005-0000-0000-000030790000}"/>
    <cellStyle name="Normal 3 19 3 3 3 2 2 2 2 2" xfId="56739" xr:uid="{00000000-0005-0000-0000-000031790000}"/>
    <cellStyle name="Normal 3 19 3 3 3 2 2 2 3" xfId="43177" xr:uid="{00000000-0005-0000-0000-000032790000}"/>
    <cellStyle name="Normal 3 19 3 3 3 2 2 3" xfId="22825" xr:uid="{00000000-0005-0000-0000-000033790000}"/>
    <cellStyle name="Normal 3 19 3 3 3 2 2 3 2" xfId="49958" xr:uid="{00000000-0005-0000-0000-000034790000}"/>
    <cellStyle name="Normal 3 19 3 3 3 2 2 4" xfId="36396" xr:uid="{00000000-0005-0000-0000-000035790000}"/>
    <cellStyle name="Normal 3 19 3 3 3 2 3" xfId="12649" xr:uid="{00000000-0005-0000-0000-000036790000}"/>
    <cellStyle name="Normal 3 19 3 3 3 2 3 2" xfId="26217" xr:uid="{00000000-0005-0000-0000-000037790000}"/>
    <cellStyle name="Normal 3 19 3 3 3 2 3 2 2" xfId="53350" xr:uid="{00000000-0005-0000-0000-000038790000}"/>
    <cellStyle name="Normal 3 19 3 3 3 2 3 3" xfId="39788" xr:uid="{00000000-0005-0000-0000-000039790000}"/>
    <cellStyle name="Normal 3 19 3 3 3 2 4" xfId="19436" xr:uid="{00000000-0005-0000-0000-00003A790000}"/>
    <cellStyle name="Normal 3 19 3 3 3 2 4 2" xfId="46569" xr:uid="{00000000-0005-0000-0000-00003B790000}"/>
    <cellStyle name="Normal 3 19 3 3 3 2 5" xfId="33007" xr:uid="{00000000-0005-0000-0000-00003C790000}"/>
    <cellStyle name="Normal 3 19 3 3 3 3" xfId="9247" xr:uid="{00000000-0005-0000-0000-00003D790000}"/>
    <cellStyle name="Normal 3 19 3 3 3 3 2" xfId="16037" xr:uid="{00000000-0005-0000-0000-00003E790000}"/>
    <cellStyle name="Normal 3 19 3 3 3 3 2 2" xfId="29605" xr:uid="{00000000-0005-0000-0000-00003F790000}"/>
    <cellStyle name="Normal 3 19 3 3 3 3 2 2 2" xfId="56738" xr:uid="{00000000-0005-0000-0000-000040790000}"/>
    <cellStyle name="Normal 3 19 3 3 3 3 2 3" xfId="43176" xr:uid="{00000000-0005-0000-0000-000041790000}"/>
    <cellStyle name="Normal 3 19 3 3 3 3 3" xfId="22824" xr:uid="{00000000-0005-0000-0000-000042790000}"/>
    <cellStyle name="Normal 3 19 3 3 3 3 3 2" xfId="49957" xr:uid="{00000000-0005-0000-0000-000043790000}"/>
    <cellStyle name="Normal 3 19 3 3 3 3 4" xfId="36395" xr:uid="{00000000-0005-0000-0000-000044790000}"/>
    <cellStyle name="Normal 3 19 3 3 3 4" xfId="12648" xr:uid="{00000000-0005-0000-0000-000045790000}"/>
    <cellStyle name="Normal 3 19 3 3 3 4 2" xfId="26216" xr:uid="{00000000-0005-0000-0000-000046790000}"/>
    <cellStyle name="Normal 3 19 3 3 3 4 2 2" xfId="53349" xr:uid="{00000000-0005-0000-0000-000047790000}"/>
    <cellStyle name="Normal 3 19 3 3 3 4 3" xfId="39787" xr:uid="{00000000-0005-0000-0000-000048790000}"/>
    <cellStyle name="Normal 3 19 3 3 3 5" xfId="19435" xr:uid="{00000000-0005-0000-0000-000049790000}"/>
    <cellStyle name="Normal 3 19 3 3 3 5 2" xfId="46568" xr:uid="{00000000-0005-0000-0000-00004A790000}"/>
    <cellStyle name="Normal 3 19 3 3 3 6" xfId="33006" xr:uid="{00000000-0005-0000-0000-00004B790000}"/>
    <cellStyle name="Normal 3 19 3 3 4" xfId="5706" xr:uid="{00000000-0005-0000-0000-00004C790000}"/>
    <cellStyle name="Normal 3 19 3 3 4 2" xfId="9249" xr:uid="{00000000-0005-0000-0000-00004D790000}"/>
    <cellStyle name="Normal 3 19 3 3 4 2 2" xfId="16039" xr:uid="{00000000-0005-0000-0000-00004E790000}"/>
    <cellStyle name="Normal 3 19 3 3 4 2 2 2" xfId="29607" xr:uid="{00000000-0005-0000-0000-00004F790000}"/>
    <cellStyle name="Normal 3 19 3 3 4 2 2 2 2" xfId="56740" xr:uid="{00000000-0005-0000-0000-000050790000}"/>
    <cellStyle name="Normal 3 19 3 3 4 2 2 3" xfId="43178" xr:uid="{00000000-0005-0000-0000-000051790000}"/>
    <cellStyle name="Normal 3 19 3 3 4 2 3" xfId="22826" xr:uid="{00000000-0005-0000-0000-000052790000}"/>
    <cellStyle name="Normal 3 19 3 3 4 2 3 2" xfId="49959" xr:uid="{00000000-0005-0000-0000-000053790000}"/>
    <cellStyle name="Normal 3 19 3 3 4 2 4" xfId="36397" xr:uid="{00000000-0005-0000-0000-000054790000}"/>
    <cellStyle name="Normal 3 19 3 3 4 3" xfId="12650" xr:uid="{00000000-0005-0000-0000-000055790000}"/>
    <cellStyle name="Normal 3 19 3 3 4 3 2" xfId="26218" xr:uid="{00000000-0005-0000-0000-000056790000}"/>
    <cellStyle name="Normal 3 19 3 3 4 3 2 2" xfId="53351" xr:uid="{00000000-0005-0000-0000-000057790000}"/>
    <cellStyle name="Normal 3 19 3 3 4 3 3" xfId="39789" xr:uid="{00000000-0005-0000-0000-000058790000}"/>
    <cellStyle name="Normal 3 19 3 3 4 4" xfId="19437" xr:uid="{00000000-0005-0000-0000-000059790000}"/>
    <cellStyle name="Normal 3 19 3 3 4 4 2" xfId="46570" xr:uid="{00000000-0005-0000-0000-00005A790000}"/>
    <cellStyle name="Normal 3 19 3 3 4 5" xfId="33008" xr:uid="{00000000-0005-0000-0000-00005B790000}"/>
    <cellStyle name="Normal 3 19 3 3 5" xfId="5707" xr:uid="{00000000-0005-0000-0000-00005C790000}"/>
    <cellStyle name="Normal 3 19 3 3 5 2" xfId="9250" xr:uid="{00000000-0005-0000-0000-00005D790000}"/>
    <cellStyle name="Normal 3 19 3 3 5 2 2" xfId="16040" xr:uid="{00000000-0005-0000-0000-00005E790000}"/>
    <cellStyle name="Normal 3 19 3 3 5 2 2 2" xfId="29608" xr:uid="{00000000-0005-0000-0000-00005F790000}"/>
    <cellStyle name="Normal 3 19 3 3 5 2 2 2 2" xfId="56741" xr:uid="{00000000-0005-0000-0000-000060790000}"/>
    <cellStyle name="Normal 3 19 3 3 5 2 2 3" xfId="43179" xr:uid="{00000000-0005-0000-0000-000061790000}"/>
    <cellStyle name="Normal 3 19 3 3 5 2 3" xfId="22827" xr:uid="{00000000-0005-0000-0000-000062790000}"/>
    <cellStyle name="Normal 3 19 3 3 5 2 3 2" xfId="49960" xr:uid="{00000000-0005-0000-0000-000063790000}"/>
    <cellStyle name="Normal 3 19 3 3 5 2 4" xfId="36398" xr:uid="{00000000-0005-0000-0000-000064790000}"/>
    <cellStyle name="Normal 3 19 3 3 5 3" xfId="12651" xr:uid="{00000000-0005-0000-0000-000065790000}"/>
    <cellStyle name="Normal 3 19 3 3 5 3 2" xfId="26219" xr:uid="{00000000-0005-0000-0000-000066790000}"/>
    <cellStyle name="Normal 3 19 3 3 5 3 2 2" xfId="53352" xr:uid="{00000000-0005-0000-0000-000067790000}"/>
    <cellStyle name="Normal 3 19 3 3 5 3 3" xfId="39790" xr:uid="{00000000-0005-0000-0000-000068790000}"/>
    <cellStyle name="Normal 3 19 3 3 5 4" xfId="19438" xr:uid="{00000000-0005-0000-0000-000069790000}"/>
    <cellStyle name="Normal 3 19 3 3 5 4 2" xfId="46571" xr:uid="{00000000-0005-0000-0000-00006A790000}"/>
    <cellStyle name="Normal 3 19 3 3 5 5" xfId="33009" xr:uid="{00000000-0005-0000-0000-00006B790000}"/>
    <cellStyle name="Normal 3 19 3 3 6" xfId="9243" xr:uid="{00000000-0005-0000-0000-00006C790000}"/>
    <cellStyle name="Normal 3 19 3 3 6 2" xfId="16033" xr:uid="{00000000-0005-0000-0000-00006D790000}"/>
    <cellStyle name="Normal 3 19 3 3 6 2 2" xfId="29601" xr:uid="{00000000-0005-0000-0000-00006E790000}"/>
    <cellStyle name="Normal 3 19 3 3 6 2 2 2" xfId="56734" xr:uid="{00000000-0005-0000-0000-00006F790000}"/>
    <cellStyle name="Normal 3 19 3 3 6 2 3" xfId="43172" xr:uid="{00000000-0005-0000-0000-000070790000}"/>
    <cellStyle name="Normal 3 19 3 3 6 3" xfId="22820" xr:uid="{00000000-0005-0000-0000-000071790000}"/>
    <cellStyle name="Normal 3 19 3 3 6 3 2" xfId="49953" xr:uid="{00000000-0005-0000-0000-000072790000}"/>
    <cellStyle name="Normal 3 19 3 3 6 4" xfId="36391" xr:uid="{00000000-0005-0000-0000-000073790000}"/>
    <cellStyle name="Normal 3 19 3 3 7" xfId="12644" xr:uid="{00000000-0005-0000-0000-000074790000}"/>
    <cellStyle name="Normal 3 19 3 3 7 2" xfId="26212" xr:uid="{00000000-0005-0000-0000-000075790000}"/>
    <cellStyle name="Normal 3 19 3 3 7 2 2" xfId="53345" xr:uid="{00000000-0005-0000-0000-000076790000}"/>
    <cellStyle name="Normal 3 19 3 3 7 3" xfId="39783" xr:uid="{00000000-0005-0000-0000-000077790000}"/>
    <cellStyle name="Normal 3 19 3 3 8" xfId="19431" xr:uid="{00000000-0005-0000-0000-000078790000}"/>
    <cellStyle name="Normal 3 19 3 3 8 2" xfId="46564" xr:uid="{00000000-0005-0000-0000-000079790000}"/>
    <cellStyle name="Normal 3 19 3 3 9" xfId="33002" xr:uid="{00000000-0005-0000-0000-00007A790000}"/>
    <cellStyle name="Normal 3 19 3 4" xfId="5708" xr:uid="{00000000-0005-0000-0000-00007B790000}"/>
    <cellStyle name="Normal 3 19 3 4 2" xfId="5709" xr:uid="{00000000-0005-0000-0000-00007C790000}"/>
    <cellStyle name="Normal 3 19 3 4 2 2" xfId="5710" xr:uid="{00000000-0005-0000-0000-00007D790000}"/>
    <cellStyle name="Normal 3 19 3 4 2 2 2" xfId="9253" xr:uid="{00000000-0005-0000-0000-00007E790000}"/>
    <cellStyle name="Normal 3 19 3 4 2 2 2 2" xfId="16043" xr:uid="{00000000-0005-0000-0000-00007F790000}"/>
    <cellStyle name="Normal 3 19 3 4 2 2 2 2 2" xfId="29611" xr:uid="{00000000-0005-0000-0000-000080790000}"/>
    <cellStyle name="Normal 3 19 3 4 2 2 2 2 2 2" xfId="56744" xr:uid="{00000000-0005-0000-0000-000081790000}"/>
    <cellStyle name="Normal 3 19 3 4 2 2 2 2 3" xfId="43182" xr:uid="{00000000-0005-0000-0000-000082790000}"/>
    <cellStyle name="Normal 3 19 3 4 2 2 2 3" xfId="22830" xr:uid="{00000000-0005-0000-0000-000083790000}"/>
    <cellStyle name="Normal 3 19 3 4 2 2 2 3 2" xfId="49963" xr:uid="{00000000-0005-0000-0000-000084790000}"/>
    <cellStyle name="Normal 3 19 3 4 2 2 2 4" xfId="36401" xr:uid="{00000000-0005-0000-0000-000085790000}"/>
    <cellStyle name="Normal 3 19 3 4 2 2 3" xfId="12654" xr:uid="{00000000-0005-0000-0000-000086790000}"/>
    <cellStyle name="Normal 3 19 3 4 2 2 3 2" xfId="26222" xr:uid="{00000000-0005-0000-0000-000087790000}"/>
    <cellStyle name="Normal 3 19 3 4 2 2 3 2 2" xfId="53355" xr:uid="{00000000-0005-0000-0000-000088790000}"/>
    <cellStyle name="Normal 3 19 3 4 2 2 3 3" xfId="39793" xr:uid="{00000000-0005-0000-0000-000089790000}"/>
    <cellStyle name="Normal 3 19 3 4 2 2 4" xfId="19441" xr:uid="{00000000-0005-0000-0000-00008A790000}"/>
    <cellStyle name="Normal 3 19 3 4 2 2 4 2" xfId="46574" xr:uid="{00000000-0005-0000-0000-00008B790000}"/>
    <cellStyle name="Normal 3 19 3 4 2 2 5" xfId="33012" xr:uid="{00000000-0005-0000-0000-00008C790000}"/>
    <cellStyle name="Normal 3 19 3 4 2 3" xfId="5711" xr:uid="{00000000-0005-0000-0000-00008D790000}"/>
    <cellStyle name="Normal 3 19 3 4 2 3 2" xfId="9254" xr:uid="{00000000-0005-0000-0000-00008E790000}"/>
    <cellStyle name="Normal 3 19 3 4 2 3 2 2" xfId="16044" xr:uid="{00000000-0005-0000-0000-00008F790000}"/>
    <cellStyle name="Normal 3 19 3 4 2 3 2 2 2" xfId="29612" xr:uid="{00000000-0005-0000-0000-000090790000}"/>
    <cellStyle name="Normal 3 19 3 4 2 3 2 2 2 2" xfId="56745" xr:uid="{00000000-0005-0000-0000-000091790000}"/>
    <cellStyle name="Normal 3 19 3 4 2 3 2 2 3" xfId="43183" xr:uid="{00000000-0005-0000-0000-000092790000}"/>
    <cellStyle name="Normal 3 19 3 4 2 3 2 3" xfId="22831" xr:uid="{00000000-0005-0000-0000-000093790000}"/>
    <cellStyle name="Normal 3 19 3 4 2 3 2 3 2" xfId="49964" xr:uid="{00000000-0005-0000-0000-000094790000}"/>
    <cellStyle name="Normal 3 19 3 4 2 3 2 4" xfId="36402" xr:uid="{00000000-0005-0000-0000-000095790000}"/>
    <cellStyle name="Normal 3 19 3 4 2 3 3" xfId="12655" xr:uid="{00000000-0005-0000-0000-000096790000}"/>
    <cellStyle name="Normal 3 19 3 4 2 3 3 2" xfId="26223" xr:uid="{00000000-0005-0000-0000-000097790000}"/>
    <cellStyle name="Normal 3 19 3 4 2 3 3 2 2" xfId="53356" xr:uid="{00000000-0005-0000-0000-000098790000}"/>
    <cellStyle name="Normal 3 19 3 4 2 3 3 3" xfId="39794" xr:uid="{00000000-0005-0000-0000-000099790000}"/>
    <cellStyle name="Normal 3 19 3 4 2 3 4" xfId="19442" xr:uid="{00000000-0005-0000-0000-00009A790000}"/>
    <cellStyle name="Normal 3 19 3 4 2 3 4 2" xfId="46575" xr:uid="{00000000-0005-0000-0000-00009B790000}"/>
    <cellStyle name="Normal 3 19 3 4 2 3 5" xfId="33013" xr:uid="{00000000-0005-0000-0000-00009C790000}"/>
    <cellStyle name="Normal 3 19 3 4 2 4" xfId="9252" xr:uid="{00000000-0005-0000-0000-00009D790000}"/>
    <cellStyle name="Normal 3 19 3 4 2 4 2" xfId="16042" xr:uid="{00000000-0005-0000-0000-00009E790000}"/>
    <cellStyle name="Normal 3 19 3 4 2 4 2 2" xfId="29610" xr:uid="{00000000-0005-0000-0000-00009F790000}"/>
    <cellStyle name="Normal 3 19 3 4 2 4 2 2 2" xfId="56743" xr:uid="{00000000-0005-0000-0000-0000A0790000}"/>
    <cellStyle name="Normal 3 19 3 4 2 4 2 3" xfId="43181" xr:uid="{00000000-0005-0000-0000-0000A1790000}"/>
    <cellStyle name="Normal 3 19 3 4 2 4 3" xfId="22829" xr:uid="{00000000-0005-0000-0000-0000A2790000}"/>
    <cellStyle name="Normal 3 19 3 4 2 4 3 2" xfId="49962" xr:uid="{00000000-0005-0000-0000-0000A3790000}"/>
    <cellStyle name="Normal 3 19 3 4 2 4 4" xfId="36400" xr:uid="{00000000-0005-0000-0000-0000A4790000}"/>
    <cellStyle name="Normal 3 19 3 4 2 5" xfId="12653" xr:uid="{00000000-0005-0000-0000-0000A5790000}"/>
    <cellStyle name="Normal 3 19 3 4 2 5 2" xfId="26221" xr:uid="{00000000-0005-0000-0000-0000A6790000}"/>
    <cellStyle name="Normal 3 19 3 4 2 5 2 2" xfId="53354" xr:uid="{00000000-0005-0000-0000-0000A7790000}"/>
    <cellStyle name="Normal 3 19 3 4 2 5 3" xfId="39792" xr:uid="{00000000-0005-0000-0000-0000A8790000}"/>
    <cellStyle name="Normal 3 19 3 4 2 6" xfId="19440" xr:uid="{00000000-0005-0000-0000-0000A9790000}"/>
    <cellStyle name="Normal 3 19 3 4 2 6 2" xfId="46573" xr:uid="{00000000-0005-0000-0000-0000AA790000}"/>
    <cellStyle name="Normal 3 19 3 4 2 7" xfId="33011" xr:uid="{00000000-0005-0000-0000-0000AB790000}"/>
    <cellStyle name="Normal 3 19 3 4 3" xfId="5712" xr:uid="{00000000-0005-0000-0000-0000AC790000}"/>
    <cellStyle name="Normal 3 19 3 4 3 2" xfId="9255" xr:uid="{00000000-0005-0000-0000-0000AD790000}"/>
    <cellStyle name="Normal 3 19 3 4 3 2 2" xfId="16045" xr:uid="{00000000-0005-0000-0000-0000AE790000}"/>
    <cellStyle name="Normal 3 19 3 4 3 2 2 2" xfId="29613" xr:uid="{00000000-0005-0000-0000-0000AF790000}"/>
    <cellStyle name="Normal 3 19 3 4 3 2 2 2 2" xfId="56746" xr:uid="{00000000-0005-0000-0000-0000B0790000}"/>
    <cellStyle name="Normal 3 19 3 4 3 2 2 3" xfId="43184" xr:uid="{00000000-0005-0000-0000-0000B1790000}"/>
    <cellStyle name="Normal 3 19 3 4 3 2 3" xfId="22832" xr:uid="{00000000-0005-0000-0000-0000B2790000}"/>
    <cellStyle name="Normal 3 19 3 4 3 2 3 2" xfId="49965" xr:uid="{00000000-0005-0000-0000-0000B3790000}"/>
    <cellStyle name="Normal 3 19 3 4 3 2 4" xfId="36403" xr:uid="{00000000-0005-0000-0000-0000B4790000}"/>
    <cellStyle name="Normal 3 19 3 4 3 3" xfId="12656" xr:uid="{00000000-0005-0000-0000-0000B5790000}"/>
    <cellStyle name="Normal 3 19 3 4 3 3 2" xfId="26224" xr:uid="{00000000-0005-0000-0000-0000B6790000}"/>
    <cellStyle name="Normal 3 19 3 4 3 3 2 2" xfId="53357" xr:uid="{00000000-0005-0000-0000-0000B7790000}"/>
    <cellStyle name="Normal 3 19 3 4 3 3 3" xfId="39795" xr:uid="{00000000-0005-0000-0000-0000B8790000}"/>
    <cellStyle name="Normal 3 19 3 4 3 4" xfId="19443" xr:uid="{00000000-0005-0000-0000-0000B9790000}"/>
    <cellStyle name="Normal 3 19 3 4 3 4 2" xfId="46576" xr:uid="{00000000-0005-0000-0000-0000BA790000}"/>
    <cellStyle name="Normal 3 19 3 4 3 5" xfId="33014" xr:uid="{00000000-0005-0000-0000-0000BB790000}"/>
    <cellStyle name="Normal 3 19 3 4 4" xfId="5713" xr:uid="{00000000-0005-0000-0000-0000BC790000}"/>
    <cellStyle name="Normal 3 19 3 4 4 2" xfId="9256" xr:uid="{00000000-0005-0000-0000-0000BD790000}"/>
    <cellStyle name="Normal 3 19 3 4 4 2 2" xfId="16046" xr:uid="{00000000-0005-0000-0000-0000BE790000}"/>
    <cellStyle name="Normal 3 19 3 4 4 2 2 2" xfId="29614" xr:uid="{00000000-0005-0000-0000-0000BF790000}"/>
    <cellStyle name="Normal 3 19 3 4 4 2 2 2 2" xfId="56747" xr:uid="{00000000-0005-0000-0000-0000C0790000}"/>
    <cellStyle name="Normal 3 19 3 4 4 2 2 3" xfId="43185" xr:uid="{00000000-0005-0000-0000-0000C1790000}"/>
    <cellStyle name="Normal 3 19 3 4 4 2 3" xfId="22833" xr:uid="{00000000-0005-0000-0000-0000C2790000}"/>
    <cellStyle name="Normal 3 19 3 4 4 2 3 2" xfId="49966" xr:uid="{00000000-0005-0000-0000-0000C3790000}"/>
    <cellStyle name="Normal 3 19 3 4 4 2 4" xfId="36404" xr:uid="{00000000-0005-0000-0000-0000C4790000}"/>
    <cellStyle name="Normal 3 19 3 4 4 3" xfId="12657" xr:uid="{00000000-0005-0000-0000-0000C5790000}"/>
    <cellStyle name="Normal 3 19 3 4 4 3 2" xfId="26225" xr:uid="{00000000-0005-0000-0000-0000C6790000}"/>
    <cellStyle name="Normal 3 19 3 4 4 3 2 2" xfId="53358" xr:uid="{00000000-0005-0000-0000-0000C7790000}"/>
    <cellStyle name="Normal 3 19 3 4 4 3 3" xfId="39796" xr:uid="{00000000-0005-0000-0000-0000C8790000}"/>
    <cellStyle name="Normal 3 19 3 4 4 4" xfId="19444" xr:uid="{00000000-0005-0000-0000-0000C9790000}"/>
    <cellStyle name="Normal 3 19 3 4 4 4 2" xfId="46577" xr:uid="{00000000-0005-0000-0000-0000CA790000}"/>
    <cellStyle name="Normal 3 19 3 4 4 5" xfId="33015" xr:uid="{00000000-0005-0000-0000-0000CB790000}"/>
    <cellStyle name="Normal 3 19 3 4 5" xfId="9251" xr:uid="{00000000-0005-0000-0000-0000CC790000}"/>
    <cellStyle name="Normal 3 19 3 4 5 2" xfId="16041" xr:uid="{00000000-0005-0000-0000-0000CD790000}"/>
    <cellStyle name="Normal 3 19 3 4 5 2 2" xfId="29609" xr:uid="{00000000-0005-0000-0000-0000CE790000}"/>
    <cellStyle name="Normal 3 19 3 4 5 2 2 2" xfId="56742" xr:uid="{00000000-0005-0000-0000-0000CF790000}"/>
    <cellStyle name="Normal 3 19 3 4 5 2 3" xfId="43180" xr:uid="{00000000-0005-0000-0000-0000D0790000}"/>
    <cellStyle name="Normal 3 19 3 4 5 3" xfId="22828" xr:uid="{00000000-0005-0000-0000-0000D1790000}"/>
    <cellStyle name="Normal 3 19 3 4 5 3 2" xfId="49961" xr:uid="{00000000-0005-0000-0000-0000D2790000}"/>
    <cellStyle name="Normal 3 19 3 4 5 4" xfId="36399" xr:uid="{00000000-0005-0000-0000-0000D3790000}"/>
    <cellStyle name="Normal 3 19 3 4 6" xfId="12652" xr:uid="{00000000-0005-0000-0000-0000D4790000}"/>
    <cellStyle name="Normal 3 19 3 4 6 2" xfId="26220" xr:uid="{00000000-0005-0000-0000-0000D5790000}"/>
    <cellStyle name="Normal 3 19 3 4 6 2 2" xfId="53353" xr:uid="{00000000-0005-0000-0000-0000D6790000}"/>
    <cellStyle name="Normal 3 19 3 4 6 3" xfId="39791" xr:uid="{00000000-0005-0000-0000-0000D7790000}"/>
    <cellStyle name="Normal 3 19 3 4 7" xfId="19439" xr:uid="{00000000-0005-0000-0000-0000D8790000}"/>
    <cellStyle name="Normal 3 19 3 4 7 2" xfId="46572" xr:uid="{00000000-0005-0000-0000-0000D9790000}"/>
    <cellStyle name="Normal 3 19 3 4 8" xfId="33010" xr:uid="{00000000-0005-0000-0000-0000DA790000}"/>
    <cellStyle name="Normal 3 19 3 5" xfId="5714" xr:uid="{00000000-0005-0000-0000-0000DB790000}"/>
    <cellStyle name="Normal 3 19 3 5 2" xfId="5715" xr:uid="{00000000-0005-0000-0000-0000DC790000}"/>
    <cellStyle name="Normal 3 19 3 5 2 2" xfId="5716" xr:uid="{00000000-0005-0000-0000-0000DD790000}"/>
    <cellStyle name="Normal 3 19 3 5 2 2 2" xfId="9259" xr:uid="{00000000-0005-0000-0000-0000DE790000}"/>
    <cellStyle name="Normal 3 19 3 5 2 2 2 2" xfId="16049" xr:uid="{00000000-0005-0000-0000-0000DF790000}"/>
    <cellStyle name="Normal 3 19 3 5 2 2 2 2 2" xfId="29617" xr:uid="{00000000-0005-0000-0000-0000E0790000}"/>
    <cellStyle name="Normal 3 19 3 5 2 2 2 2 2 2" xfId="56750" xr:uid="{00000000-0005-0000-0000-0000E1790000}"/>
    <cellStyle name="Normal 3 19 3 5 2 2 2 2 3" xfId="43188" xr:uid="{00000000-0005-0000-0000-0000E2790000}"/>
    <cellStyle name="Normal 3 19 3 5 2 2 2 3" xfId="22836" xr:uid="{00000000-0005-0000-0000-0000E3790000}"/>
    <cellStyle name="Normal 3 19 3 5 2 2 2 3 2" xfId="49969" xr:uid="{00000000-0005-0000-0000-0000E4790000}"/>
    <cellStyle name="Normal 3 19 3 5 2 2 2 4" xfId="36407" xr:uid="{00000000-0005-0000-0000-0000E5790000}"/>
    <cellStyle name="Normal 3 19 3 5 2 2 3" xfId="12660" xr:uid="{00000000-0005-0000-0000-0000E6790000}"/>
    <cellStyle name="Normal 3 19 3 5 2 2 3 2" xfId="26228" xr:uid="{00000000-0005-0000-0000-0000E7790000}"/>
    <cellStyle name="Normal 3 19 3 5 2 2 3 2 2" xfId="53361" xr:uid="{00000000-0005-0000-0000-0000E8790000}"/>
    <cellStyle name="Normal 3 19 3 5 2 2 3 3" xfId="39799" xr:uid="{00000000-0005-0000-0000-0000E9790000}"/>
    <cellStyle name="Normal 3 19 3 5 2 2 4" xfId="19447" xr:uid="{00000000-0005-0000-0000-0000EA790000}"/>
    <cellStyle name="Normal 3 19 3 5 2 2 4 2" xfId="46580" xr:uid="{00000000-0005-0000-0000-0000EB790000}"/>
    <cellStyle name="Normal 3 19 3 5 2 2 5" xfId="33018" xr:uid="{00000000-0005-0000-0000-0000EC790000}"/>
    <cellStyle name="Normal 3 19 3 5 2 3" xfId="5717" xr:uid="{00000000-0005-0000-0000-0000ED790000}"/>
    <cellStyle name="Normal 3 19 3 5 2 3 2" xfId="9260" xr:uid="{00000000-0005-0000-0000-0000EE790000}"/>
    <cellStyle name="Normal 3 19 3 5 2 3 2 2" xfId="16050" xr:uid="{00000000-0005-0000-0000-0000EF790000}"/>
    <cellStyle name="Normal 3 19 3 5 2 3 2 2 2" xfId="29618" xr:uid="{00000000-0005-0000-0000-0000F0790000}"/>
    <cellStyle name="Normal 3 19 3 5 2 3 2 2 2 2" xfId="56751" xr:uid="{00000000-0005-0000-0000-0000F1790000}"/>
    <cellStyle name="Normal 3 19 3 5 2 3 2 2 3" xfId="43189" xr:uid="{00000000-0005-0000-0000-0000F2790000}"/>
    <cellStyle name="Normal 3 19 3 5 2 3 2 3" xfId="22837" xr:uid="{00000000-0005-0000-0000-0000F3790000}"/>
    <cellStyle name="Normal 3 19 3 5 2 3 2 3 2" xfId="49970" xr:uid="{00000000-0005-0000-0000-0000F4790000}"/>
    <cellStyle name="Normal 3 19 3 5 2 3 2 4" xfId="36408" xr:uid="{00000000-0005-0000-0000-0000F5790000}"/>
    <cellStyle name="Normal 3 19 3 5 2 3 3" xfId="12661" xr:uid="{00000000-0005-0000-0000-0000F6790000}"/>
    <cellStyle name="Normal 3 19 3 5 2 3 3 2" xfId="26229" xr:uid="{00000000-0005-0000-0000-0000F7790000}"/>
    <cellStyle name="Normal 3 19 3 5 2 3 3 2 2" xfId="53362" xr:uid="{00000000-0005-0000-0000-0000F8790000}"/>
    <cellStyle name="Normal 3 19 3 5 2 3 3 3" xfId="39800" xr:uid="{00000000-0005-0000-0000-0000F9790000}"/>
    <cellStyle name="Normal 3 19 3 5 2 3 4" xfId="19448" xr:uid="{00000000-0005-0000-0000-0000FA790000}"/>
    <cellStyle name="Normal 3 19 3 5 2 3 4 2" xfId="46581" xr:uid="{00000000-0005-0000-0000-0000FB790000}"/>
    <cellStyle name="Normal 3 19 3 5 2 3 5" xfId="33019" xr:uid="{00000000-0005-0000-0000-0000FC790000}"/>
    <cellStyle name="Normal 3 19 3 5 2 4" xfId="9258" xr:uid="{00000000-0005-0000-0000-0000FD790000}"/>
    <cellStyle name="Normal 3 19 3 5 2 4 2" xfId="16048" xr:uid="{00000000-0005-0000-0000-0000FE790000}"/>
    <cellStyle name="Normal 3 19 3 5 2 4 2 2" xfId="29616" xr:uid="{00000000-0005-0000-0000-0000FF790000}"/>
    <cellStyle name="Normal 3 19 3 5 2 4 2 2 2" xfId="56749" xr:uid="{00000000-0005-0000-0000-0000007A0000}"/>
    <cellStyle name="Normal 3 19 3 5 2 4 2 3" xfId="43187" xr:uid="{00000000-0005-0000-0000-0000017A0000}"/>
    <cellStyle name="Normal 3 19 3 5 2 4 3" xfId="22835" xr:uid="{00000000-0005-0000-0000-0000027A0000}"/>
    <cellStyle name="Normal 3 19 3 5 2 4 3 2" xfId="49968" xr:uid="{00000000-0005-0000-0000-0000037A0000}"/>
    <cellStyle name="Normal 3 19 3 5 2 4 4" xfId="36406" xr:uid="{00000000-0005-0000-0000-0000047A0000}"/>
    <cellStyle name="Normal 3 19 3 5 2 5" xfId="12659" xr:uid="{00000000-0005-0000-0000-0000057A0000}"/>
    <cellStyle name="Normal 3 19 3 5 2 5 2" xfId="26227" xr:uid="{00000000-0005-0000-0000-0000067A0000}"/>
    <cellStyle name="Normal 3 19 3 5 2 5 2 2" xfId="53360" xr:uid="{00000000-0005-0000-0000-0000077A0000}"/>
    <cellStyle name="Normal 3 19 3 5 2 5 3" xfId="39798" xr:uid="{00000000-0005-0000-0000-0000087A0000}"/>
    <cellStyle name="Normal 3 19 3 5 2 6" xfId="19446" xr:uid="{00000000-0005-0000-0000-0000097A0000}"/>
    <cellStyle name="Normal 3 19 3 5 2 6 2" xfId="46579" xr:uid="{00000000-0005-0000-0000-00000A7A0000}"/>
    <cellStyle name="Normal 3 19 3 5 2 7" xfId="33017" xr:uid="{00000000-0005-0000-0000-00000B7A0000}"/>
    <cellStyle name="Normal 3 19 3 5 3" xfId="5718" xr:uid="{00000000-0005-0000-0000-00000C7A0000}"/>
    <cellStyle name="Normal 3 19 3 5 3 2" xfId="9261" xr:uid="{00000000-0005-0000-0000-00000D7A0000}"/>
    <cellStyle name="Normal 3 19 3 5 3 2 2" xfId="16051" xr:uid="{00000000-0005-0000-0000-00000E7A0000}"/>
    <cellStyle name="Normal 3 19 3 5 3 2 2 2" xfId="29619" xr:uid="{00000000-0005-0000-0000-00000F7A0000}"/>
    <cellStyle name="Normal 3 19 3 5 3 2 2 2 2" xfId="56752" xr:uid="{00000000-0005-0000-0000-0000107A0000}"/>
    <cellStyle name="Normal 3 19 3 5 3 2 2 3" xfId="43190" xr:uid="{00000000-0005-0000-0000-0000117A0000}"/>
    <cellStyle name="Normal 3 19 3 5 3 2 3" xfId="22838" xr:uid="{00000000-0005-0000-0000-0000127A0000}"/>
    <cellStyle name="Normal 3 19 3 5 3 2 3 2" xfId="49971" xr:uid="{00000000-0005-0000-0000-0000137A0000}"/>
    <cellStyle name="Normal 3 19 3 5 3 2 4" xfId="36409" xr:uid="{00000000-0005-0000-0000-0000147A0000}"/>
    <cellStyle name="Normal 3 19 3 5 3 3" xfId="12662" xr:uid="{00000000-0005-0000-0000-0000157A0000}"/>
    <cellStyle name="Normal 3 19 3 5 3 3 2" xfId="26230" xr:uid="{00000000-0005-0000-0000-0000167A0000}"/>
    <cellStyle name="Normal 3 19 3 5 3 3 2 2" xfId="53363" xr:uid="{00000000-0005-0000-0000-0000177A0000}"/>
    <cellStyle name="Normal 3 19 3 5 3 3 3" xfId="39801" xr:uid="{00000000-0005-0000-0000-0000187A0000}"/>
    <cellStyle name="Normal 3 19 3 5 3 4" xfId="19449" xr:uid="{00000000-0005-0000-0000-0000197A0000}"/>
    <cellStyle name="Normal 3 19 3 5 3 4 2" xfId="46582" xr:uid="{00000000-0005-0000-0000-00001A7A0000}"/>
    <cellStyle name="Normal 3 19 3 5 3 5" xfId="33020" xr:uid="{00000000-0005-0000-0000-00001B7A0000}"/>
    <cellStyle name="Normal 3 19 3 5 4" xfId="5719" xr:uid="{00000000-0005-0000-0000-00001C7A0000}"/>
    <cellStyle name="Normal 3 19 3 5 4 2" xfId="9262" xr:uid="{00000000-0005-0000-0000-00001D7A0000}"/>
    <cellStyle name="Normal 3 19 3 5 4 2 2" xfId="16052" xr:uid="{00000000-0005-0000-0000-00001E7A0000}"/>
    <cellStyle name="Normal 3 19 3 5 4 2 2 2" xfId="29620" xr:uid="{00000000-0005-0000-0000-00001F7A0000}"/>
    <cellStyle name="Normal 3 19 3 5 4 2 2 2 2" xfId="56753" xr:uid="{00000000-0005-0000-0000-0000207A0000}"/>
    <cellStyle name="Normal 3 19 3 5 4 2 2 3" xfId="43191" xr:uid="{00000000-0005-0000-0000-0000217A0000}"/>
    <cellStyle name="Normal 3 19 3 5 4 2 3" xfId="22839" xr:uid="{00000000-0005-0000-0000-0000227A0000}"/>
    <cellStyle name="Normal 3 19 3 5 4 2 3 2" xfId="49972" xr:uid="{00000000-0005-0000-0000-0000237A0000}"/>
    <cellStyle name="Normal 3 19 3 5 4 2 4" xfId="36410" xr:uid="{00000000-0005-0000-0000-0000247A0000}"/>
    <cellStyle name="Normal 3 19 3 5 4 3" xfId="12663" xr:uid="{00000000-0005-0000-0000-0000257A0000}"/>
    <cellStyle name="Normal 3 19 3 5 4 3 2" xfId="26231" xr:uid="{00000000-0005-0000-0000-0000267A0000}"/>
    <cellStyle name="Normal 3 19 3 5 4 3 2 2" xfId="53364" xr:uid="{00000000-0005-0000-0000-0000277A0000}"/>
    <cellStyle name="Normal 3 19 3 5 4 3 3" xfId="39802" xr:uid="{00000000-0005-0000-0000-0000287A0000}"/>
    <cellStyle name="Normal 3 19 3 5 4 4" xfId="19450" xr:uid="{00000000-0005-0000-0000-0000297A0000}"/>
    <cellStyle name="Normal 3 19 3 5 4 4 2" xfId="46583" xr:uid="{00000000-0005-0000-0000-00002A7A0000}"/>
    <cellStyle name="Normal 3 19 3 5 4 5" xfId="33021" xr:uid="{00000000-0005-0000-0000-00002B7A0000}"/>
    <cellStyle name="Normal 3 19 3 5 5" xfId="9257" xr:uid="{00000000-0005-0000-0000-00002C7A0000}"/>
    <cellStyle name="Normal 3 19 3 5 5 2" xfId="16047" xr:uid="{00000000-0005-0000-0000-00002D7A0000}"/>
    <cellStyle name="Normal 3 19 3 5 5 2 2" xfId="29615" xr:uid="{00000000-0005-0000-0000-00002E7A0000}"/>
    <cellStyle name="Normal 3 19 3 5 5 2 2 2" xfId="56748" xr:uid="{00000000-0005-0000-0000-00002F7A0000}"/>
    <cellStyle name="Normal 3 19 3 5 5 2 3" xfId="43186" xr:uid="{00000000-0005-0000-0000-0000307A0000}"/>
    <cellStyle name="Normal 3 19 3 5 5 3" xfId="22834" xr:uid="{00000000-0005-0000-0000-0000317A0000}"/>
    <cellStyle name="Normal 3 19 3 5 5 3 2" xfId="49967" xr:uid="{00000000-0005-0000-0000-0000327A0000}"/>
    <cellStyle name="Normal 3 19 3 5 5 4" xfId="36405" xr:uid="{00000000-0005-0000-0000-0000337A0000}"/>
    <cellStyle name="Normal 3 19 3 5 6" xfId="12658" xr:uid="{00000000-0005-0000-0000-0000347A0000}"/>
    <cellStyle name="Normal 3 19 3 5 6 2" xfId="26226" xr:uid="{00000000-0005-0000-0000-0000357A0000}"/>
    <cellStyle name="Normal 3 19 3 5 6 2 2" xfId="53359" xr:uid="{00000000-0005-0000-0000-0000367A0000}"/>
    <cellStyle name="Normal 3 19 3 5 6 3" xfId="39797" xr:uid="{00000000-0005-0000-0000-0000377A0000}"/>
    <cellStyle name="Normal 3 19 3 5 7" xfId="19445" xr:uid="{00000000-0005-0000-0000-0000387A0000}"/>
    <cellStyle name="Normal 3 19 3 5 7 2" xfId="46578" xr:uid="{00000000-0005-0000-0000-0000397A0000}"/>
    <cellStyle name="Normal 3 19 3 5 8" xfId="33016" xr:uid="{00000000-0005-0000-0000-00003A7A0000}"/>
    <cellStyle name="Normal 3 19 3 6" xfId="5720" xr:uid="{00000000-0005-0000-0000-00003B7A0000}"/>
    <cellStyle name="Normal 3 19 3 6 2" xfId="5721" xr:uid="{00000000-0005-0000-0000-00003C7A0000}"/>
    <cellStyle name="Normal 3 19 3 6 2 2" xfId="9264" xr:uid="{00000000-0005-0000-0000-00003D7A0000}"/>
    <cellStyle name="Normal 3 19 3 6 2 2 2" xfId="16054" xr:uid="{00000000-0005-0000-0000-00003E7A0000}"/>
    <cellStyle name="Normal 3 19 3 6 2 2 2 2" xfId="29622" xr:uid="{00000000-0005-0000-0000-00003F7A0000}"/>
    <cellStyle name="Normal 3 19 3 6 2 2 2 2 2" xfId="56755" xr:uid="{00000000-0005-0000-0000-0000407A0000}"/>
    <cellStyle name="Normal 3 19 3 6 2 2 2 3" xfId="43193" xr:uid="{00000000-0005-0000-0000-0000417A0000}"/>
    <cellStyle name="Normal 3 19 3 6 2 2 3" xfId="22841" xr:uid="{00000000-0005-0000-0000-0000427A0000}"/>
    <cellStyle name="Normal 3 19 3 6 2 2 3 2" xfId="49974" xr:uid="{00000000-0005-0000-0000-0000437A0000}"/>
    <cellStyle name="Normal 3 19 3 6 2 2 4" xfId="36412" xr:uid="{00000000-0005-0000-0000-0000447A0000}"/>
    <cellStyle name="Normal 3 19 3 6 2 3" xfId="12665" xr:uid="{00000000-0005-0000-0000-0000457A0000}"/>
    <cellStyle name="Normal 3 19 3 6 2 3 2" xfId="26233" xr:uid="{00000000-0005-0000-0000-0000467A0000}"/>
    <cellStyle name="Normal 3 19 3 6 2 3 2 2" xfId="53366" xr:uid="{00000000-0005-0000-0000-0000477A0000}"/>
    <cellStyle name="Normal 3 19 3 6 2 3 3" xfId="39804" xr:uid="{00000000-0005-0000-0000-0000487A0000}"/>
    <cellStyle name="Normal 3 19 3 6 2 4" xfId="19452" xr:uid="{00000000-0005-0000-0000-0000497A0000}"/>
    <cellStyle name="Normal 3 19 3 6 2 4 2" xfId="46585" xr:uid="{00000000-0005-0000-0000-00004A7A0000}"/>
    <cellStyle name="Normal 3 19 3 6 2 5" xfId="33023" xr:uid="{00000000-0005-0000-0000-00004B7A0000}"/>
    <cellStyle name="Normal 3 19 3 6 3" xfId="5722" xr:uid="{00000000-0005-0000-0000-00004C7A0000}"/>
    <cellStyle name="Normal 3 19 3 6 3 2" xfId="9265" xr:uid="{00000000-0005-0000-0000-00004D7A0000}"/>
    <cellStyle name="Normal 3 19 3 6 3 2 2" xfId="16055" xr:uid="{00000000-0005-0000-0000-00004E7A0000}"/>
    <cellStyle name="Normal 3 19 3 6 3 2 2 2" xfId="29623" xr:uid="{00000000-0005-0000-0000-00004F7A0000}"/>
    <cellStyle name="Normal 3 19 3 6 3 2 2 2 2" xfId="56756" xr:uid="{00000000-0005-0000-0000-0000507A0000}"/>
    <cellStyle name="Normal 3 19 3 6 3 2 2 3" xfId="43194" xr:uid="{00000000-0005-0000-0000-0000517A0000}"/>
    <cellStyle name="Normal 3 19 3 6 3 2 3" xfId="22842" xr:uid="{00000000-0005-0000-0000-0000527A0000}"/>
    <cellStyle name="Normal 3 19 3 6 3 2 3 2" xfId="49975" xr:uid="{00000000-0005-0000-0000-0000537A0000}"/>
    <cellStyle name="Normal 3 19 3 6 3 2 4" xfId="36413" xr:uid="{00000000-0005-0000-0000-0000547A0000}"/>
    <cellStyle name="Normal 3 19 3 6 3 3" xfId="12666" xr:uid="{00000000-0005-0000-0000-0000557A0000}"/>
    <cellStyle name="Normal 3 19 3 6 3 3 2" xfId="26234" xr:uid="{00000000-0005-0000-0000-0000567A0000}"/>
    <cellStyle name="Normal 3 19 3 6 3 3 2 2" xfId="53367" xr:uid="{00000000-0005-0000-0000-0000577A0000}"/>
    <cellStyle name="Normal 3 19 3 6 3 3 3" xfId="39805" xr:uid="{00000000-0005-0000-0000-0000587A0000}"/>
    <cellStyle name="Normal 3 19 3 6 3 4" xfId="19453" xr:uid="{00000000-0005-0000-0000-0000597A0000}"/>
    <cellStyle name="Normal 3 19 3 6 3 4 2" xfId="46586" xr:uid="{00000000-0005-0000-0000-00005A7A0000}"/>
    <cellStyle name="Normal 3 19 3 6 3 5" xfId="33024" xr:uid="{00000000-0005-0000-0000-00005B7A0000}"/>
    <cellStyle name="Normal 3 19 3 6 4" xfId="9263" xr:uid="{00000000-0005-0000-0000-00005C7A0000}"/>
    <cellStyle name="Normal 3 19 3 6 4 2" xfId="16053" xr:uid="{00000000-0005-0000-0000-00005D7A0000}"/>
    <cellStyle name="Normal 3 19 3 6 4 2 2" xfId="29621" xr:uid="{00000000-0005-0000-0000-00005E7A0000}"/>
    <cellStyle name="Normal 3 19 3 6 4 2 2 2" xfId="56754" xr:uid="{00000000-0005-0000-0000-00005F7A0000}"/>
    <cellStyle name="Normal 3 19 3 6 4 2 3" xfId="43192" xr:uid="{00000000-0005-0000-0000-0000607A0000}"/>
    <cellStyle name="Normal 3 19 3 6 4 3" xfId="22840" xr:uid="{00000000-0005-0000-0000-0000617A0000}"/>
    <cellStyle name="Normal 3 19 3 6 4 3 2" xfId="49973" xr:uid="{00000000-0005-0000-0000-0000627A0000}"/>
    <cellStyle name="Normal 3 19 3 6 4 4" xfId="36411" xr:uid="{00000000-0005-0000-0000-0000637A0000}"/>
    <cellStyle name="Normal 3 19 3 6 5" xfId="12664" xr:uid="{00000000-0005-0000-0000-0000647A0000}"/>
    <cellStyle name="Normal 3 19 3 6 5 2" xfId="26232" xr:uid="{00000000-0005-0000-0000-0000657A0000}"/>
    <cellStyle name="Normal 3 19 3 6 5 2 2" xfId="53365" xr:uid="{00000000-0005-0000-0000-0000667A0000}"/>
    <cellStyle name="Normal 3 19 3 6 5 3" xfId="39803" xr:uid="{00000000-0005-0000-0000-0000677A0000}"/>
    <cellStyle name="Normal 3 19 3 6 6" xfId="19451" xr:uid="{00000000-0005-0000-0000-0000687A0000}"/>
    <cellStyle name="Normal 3 19 3 6 6 2" xfId="46584" xr:uid="{00000000-0005-0000-0000-0000697A0000}"/>
    <cellStyle name="Normal 3 19 3 6 7" xfId="33022" xr:uid="{00000000-0005-0000-0000-00006A7A0000}"/>
    <cellStyle name="Normal 3 19 3 7" xfId="5723" xr:uid="{00000000-0005-0000-0000-00006B7A0000}"/>
    <cellStyle name="Normal 3 19 3 7 2" xfId="5724" xr:uid="{00000000-0005-0000-0000-00006C7A0000}"/>
    <cellStyle name="Normal 3 19 3 7 2 2" xfId="9267" xr:uid="{00000000-0005-0000-0000-00006D7A0000}"/>
    <cellStyle name="Normal 3 19 3 7 2 2 2" xfId="16057" xr:uid="{00000000-0005-0000-0000-00006E7A0000}"/>
    <cellStyle name="Normal 3 19 3 7 2 2 2 2" xfId="29625" xr:uid="{00000000-0005-0000-0000-00006F7A0000}"/>
    <cellStyle name="Normal 3 19 3 7 2 2 2 2 2" xfId="56758" xr:uid="{00000000-0005-0000-0000-0000707A0000}"/>
    <cellStyle name="Normal 3 19 3 7 2 2 2 3" xfId="43196" xr:uid="{00000000-0005-0000-0000-0000717A0000}"/>
    <cellStyle name="Normal 3 19 3 7 2 2 3" xfId="22844" xr:uid="{00000000-0005-0000-0000-0000727A0000}"/>
    <cellStyle name="Normal 3 19 3 7 2 2 3 2" xfId="49977" xr:uid="{00000000-0005-0000-0000-0000737A0000}"/>
    <cellStyle name="Normal 3 19 3 7 2 2 4" xfId="36415" xr:uid="{00000000-0005-0000-0000-0000747A0000}"/>
    <cellStyle name="Normal 3 19 3 7 2 3" xfId="12668" xr:uid="{00000000-0005-0000-0000-0000757A0000}"/>
    <cellStyle name="Normal 3 19 3 7 2 3 2" xfId="26236" xr:uid="{00000000-0005-0000-0000-0000767A0000}"/>
    <cellStyle name="Normal 3 19 3 7 2 3 2 2" xfId="53369" xr:uid="{00000000-0005-0000-0000-0000777A0000}"/>
    <cellStyle name="Normal 3 19 3 7 2 3 3" xfId="39807" xr:uid="{00000000-0005-0000-0000-0000787A0000}"/>
    <cellStyle name="Normal 3 19 3 7 2 4" xfId="19455" xr:uid="{00000000-0005-0000-0000-0000797A0000}"/>
    <cellStyle name="Normal 3 19 3 7 2 4 2" xfId="46588" xr:uid="{00000000-0005-0000-0000-00007A7A0000}"/>
    <cellStyle name="Normal 3 19 3 7 2 5" xfId="33026" xr:uid="{00000000-0005-0000-0000-00007B7A0000}"/>
    <cellStyle name="Normal 3 19 3 7 3" xfId="5725" xr:uid="{00000000-0005-0000-0000-00007C7A0000}"/>
    <cellStyle name="Normal 3 19 3 7 3 2" xfId="9268" xr:uid="{00000000-0005-0000-0000-00007D7A0000}"/>
    <cellStyle name="Normal 3 19 3 7 3 2 2" xfId="16058" xr:uid="{00000000-0005-0000-0000-00007E7A0000}"/>
    <cellStyle name="Normal 3 19 3 7 3 2 2 2" xfId="29626" xr:uid="{00000000-0005-0000-0000-00007F7A0000}"/>
    <cellStyle name="Normal 3 19 3 7 3 2 2 2 2" xfId="56759" xr:uid="{00000000-0005-0000-0000-0000807A0000}"/>
    <cellStyle name="Normal 3 19 3 7 3 2 2 3" xfId="43197" xr:uid="{00000000-0005-0000-0000-0000817A0000}"/>
    <cellStyle name="Normal 3 19 3 7 3 2 3" xfId="22845" xr:uid="{00000000-0005-0000-0000-0000827A0000}"/>
    <cellStyle name="Normal 3 19 3 7 3 2 3 2" xfId="49978" xr:uid="{00000000-0005-0000-0000-0000837A0000}"/>
    <cellStyle name="Normal 3 19 3 7 3 2 4" xfId="36416" xr:uid="{00000000-0005-0000-0000-0000847A0000}"/>
    <cellStyle name="Normal 3 19 3 7 3 3" xfId="12669" xr:uid="{00000000-0005-0000-0000-0000857A0000}"/>
    <cellStyle name="Normal 3 19 3 7 3 3 2" xfId="26237" xr:uid="{00000000-0005-0000-0000-0000867A0000}"/>
    <cellStyle name="Normal 3 19 3 7 3 3 2 2" xfId="53370" xr:uid="{00000000-0005-0000-0000-0000877A0000}"/>
    <cellStyle name="Normal 3 19 3 7 3 3 3" xfId="39808" xr:uid="{00000000-0005-0000-0000-0000887A0000}"/>
    <cellStyle name="Normal 3 19 3 7 3 4" xfId="19456" xr:uid="{00000000-0005-0000-0000-0000897A0000}"/>
    <cellStyle name="Normal 3 19 3 7 3 4 2" xfId="46589" xr:uid="{00000000-0005-0000-0000-00008A7A0000}"/>
    <cellStyle name="Normal 3 19 3 7 3 5" xfId="33027" xr:uid="{00000000-0005-0000-0000-00008B7A0000}"/>
    <cellStyle name="Normal 3 19 3 7 4" xfId="9266" xr:uid="{00000000-0005-0000-0000-00008C7A0000}"/>
    <cellStyle name="Normal 3 19 3 7 4 2" xfId="16056" xr:uid="{00000000-0005-0000-0000-00008D7A0000}"/>
    <cellStyle name="Normal 3 19 3 7 4 2 2" xfId="29624" xr:uid="{00000000-0005-0000-0000-00008E7A0000}"/>
    <cellStyle name="Normal 3 19 3 7 4 2 2 2" xfId="56757" xr:uid="{00000000-0005-0000-0000-00008F7A0000}"/>
    <cellStyle name="Normal 3 19 3 7 4 2 3" xfId="43195" xr:uid="{00000000-0005-0000-0000-0000907A0000}"/>
    <cellStyle name="Normal 3 19 3 7 4 3" xfId="22843" xr:uid="{00000000-0005-0000-0000-0000917A0000}"/>
    <cellStyle name="Normal 3 19 3 7 4 3 2" xfId="49976" xr:uid="{00000000-0005-0000-0000-0000927A0000}"/>
    <cellStyle name="Normal 3 19 3 7 4 4" xfId="36414" xr:uid="{00000000-0005-0000-0000-0000937A0000}"/>
    <cellStyle name="Normal 3 19 3 7 5" xfId="12667" xr:uid="{00000000-0005-0000-0000-0000947A0000}"/>
    <cellStyle name="Normal 3 19 3 7 5 2" xfId="26235" xr:uid="{00000000-0005-0000-0000-0000957A0000}"/>
    <cellStyle name="Normal 3 19 3 7 5 2 2" xfId="53368" xr:uid="{00000000-0005-0000-0000-0000967A0000}"/>
    <cellStyle name="Normal 3 19 3 7 5 3" xfId="39806" xr:uid="{00000000-0005-0000-0000-0000977A0000}"/>
    <cellStyle name="Normal 3 19 3 7 6" xfId="19454" xr:uid="{00000000-0005-0000-0000-0000987A0000}"/>
    <cellStyle name="Normal 3 19 3 7 6 2" xfId="46587" xr:uid="{00000000-0005-0000-0000-0000997A0000}"/>
    <cellStyle name="Normal 3 19 3 7 7" xfId="33025" xr:uid="{00000000-0005-0000-0000-00009A7A0000}"/>
    <cellStyle name="Normal 3 19 3 8" xfId="5726" xr:uid="{00000000-0005-0000-0000-00009B7A0000}"/>
    <cellStyle name="Normal 3 19 3 8 2" xfId="9269" xr:uid="{00000000-0005-0000-0000-00009C7A0000}"/>
    <cellStyle name="Normal 3 19 3 8 2 2" xfId="16059" xr:uid="{00000000-0005-0000-0000-00009D7A0000}"/>
    <cellStyle name="Normal 3 19 3 8 2 2 2" xfId="29627" xr:uid="{00000000-0005-0000-0000-00009E7A0000}"/>
    <cellStyle name="Normal 3 19 3 8 2 2 2 2" xfId="56760" xr:uid="{00000000-0005-0000-0000-00009F7A0000}"/>
    <cellStyle name="Normal 3 19 3 8 2 2 3" xfId="43198" xr:uid="{00000000-0005-0000-0000-0000A07A0000}"/>
    <cellStyle name="Normal 3 19 3 8 2 3" xfId="22846" xr:uid="{00000000-0005-0000-0000-0000A17A0000}"/>
    <cellStyle name="Normal 3 19 3 8 2 3 2" xfId="49979" xr:uid="{00000000-0005-0000-0000-0000A27A0000}"/>
    <cellStyle name="Normal 3 19 3 8 2 4" xfId="36417" xr:uid="{00000000-0005-0000-0000-0000A37A0000}"/>
    <cellStyle name="Normal 3 19 3 8 3" xfId="12670" xr:uid="{00000000-0005-0000-0000-0000A47A0000}"/>
    <cellStyle name="Normal 3 19 3 8 3 2" xfId="26238" xr:uid="{00000000-0005-0000-0000-0000A57A0000}"/>
    <cellStyle name="Normal 3 19 3 8 3 2 2" xfId="53371" xr:uid="{00000000-0005-0000-0000-0000A67A0000}"/>
    <cellStyle name="Normal 3 19 3 8 3 3" xfId="39809" xr:uid="{00000000-0005-0000-0000-0000A77A0000}"/>
    <cellStyle name="Normal 3 19 3 8 4" xfId="19457" xr:uid="{00000000-0005-0000-0000-0000A87A0000}"/>
    <cellStyle name="Normal 3 19 3 8 4 2" xfId="46590" xr:uid="{00000000-0005-0000-0000-0000A97A0000}"/>
    <cellStyle name="Normal 3 19 3 8 5" xfId="33028" xr:uid="{00000000-0005-0000-0000-0000AA7A0000}"/>
    <cellStyle name="Normal 3 19 3 9" xfId="5727" xr:uid="{00000000-0005-0000-0000-0000AB7A0000}"/>
    <cellStyle name="Normal 3 19 3 9 2" xfId="9270" xr:uid="{00000000-0005-0000-0000-0000AC7A0000}"/>
    <cellStyle name="Normal 3 19 3 9 2 2" xfId="16060" xr:uid="{00000000-0005-0000-0000-0000AD7A0000}"/>
    <cellStyle name="Normal 3 19 3 9 2 2 2" xfId="29628" xr:uid="{00000000-0005-0000-0000-0000AE7A0000}"/>
    <cellStyle name="Normal 3 19 3 9 2 2 2 2" xfId="56761" xr:uid="{00000000-0005-0000-0000-0000AF7A0000}"/>
    <cellStyle name="Normal 3 19 3 9 2 2 3" xfId="43199" xr:uid="{00000000-0005-0000-0000-0000B07A0000}"/>
    <cellStyle name="Normal 3 19 3 9 2 3" xfId="22847" xr:uid="{00000000-0005-0000-0000-0000B17A0000}"/>
    <cellStyle name="Normal 3 19 3 9 2 3 2" xfId="49980" xr:uid="{00000000-0005-0000-0000-0000B27A0000}"/>
    <cellStyle name="Normal 3 19 3 9 2 4" xfId="36418" xr:uid="{00000000-0005-0000-0000-0000B37A0000}"/>
    <cellStyle name="Normal 3 19 3 9 3" xfId="12671" xr:uid="{00000000-0005-0000-0000-0000B47A0000}"/>
    <cellStyle name="Normal 3 19 3 9 3 2" xfId="26239" xr:uid="{00000000-0005-0000-0000-0000B57A0000}"/>
    <cellStyle name="Normal 3 19 3 9 3 2 2" xfId="53372" xr:uid="{00000000-0005-0000-0000-0000B67A0000}"/>
    <cellStyle name="Normal 3 19 3 9 3 3" xfId="39810" xr:uid="{00000000-0005-0000-0000-0000B77A0000}"/>
    <cellStyle name="Normal 3 19 3 9 4" xfId="19458" xr:uid="{00000000-0005-0000-0000-0000B87A0000}"/>
    <cellStyle name="Normal 3 19 3 9 4 2" xfId="46591" xr:uid="{00000000-0005-0000-0000-0000B97A0000}"/>
    <cellStyle name="Normal 3 19 3 9 5" xfId="33029" xr:uid="{00000000-0005-0000-0000-0000BA7A0000}"/>
    <cellStyle name="Normal 3 19 4" xfId="5728" xr:uid="{00000000-0005-0000-0000-0000BB7A0000}"/>
    <cellStyle name="Normal 3 19 4 10" xfId="33030" xr:uid="{00000000-0005-0000-0000-0000BC7A0000}"/>
    <cellStyle name="Normal 3 19 4 2" xfId="5729" xr:uid="{00000000-0005-0000-0000-0000BD7A0000}"/>
    <cellStyle name="Normal 3 19 4 2 2" xfId="5730" xr:uid="{00000000-0005-0000-0000-0000BE7A0000}"/>
    <cellStyle name="Normal 3 19 4 2 2 2" xfId="5731" xr:uid="{00000000-0005-0000-0000-0000BF7A0000}"/>
    <cellStyle name="Normal 3 19 4 2 2 2 2" xfId="9274" xr:uid="{00000000-0005-0000-0000-0000C07A0000}"/>
    <cellStyle name="Normal 3 19 4 2 2 2 2 2" xfId="16064" xr:uid="{00000000-0005-0000-0000-0000C17A0000}"/>
    <cellStyle name="Normal 3 19 4 2 2 2 2 2 2" xfId="29632" xr:uid="{00000000-0005-0000-0000-0000C27A0000}"/>
    <cellStyle name="Normal 3 19 4 2 2 2 2 2 2 2" xfId="56765" xr:uid="{00000000-0005-0000-0000-0000C37A0000}"/>
    <cellStyle name="Normal 3 19 4 2 2 2 2 2 3" xfId="43203" xr:uid="{00000000-0005-0000-0000-0000C47A0000}"/>
    <cellStyle name="Normal 3 19 4 2 2 2 2 3" xfId="22851" xr:uid="{00000000-0005-0000-0000-0000C57A0000}"/>
    <cellStyle name="Normal 3 19 4 2 2 2 2 3 2" xfId="49984" xr:uid="{00000000-0005-0000-0000-0000C67A0000}"/>
    <cellStyle name="Normal 3 19 4 2 2 2 2 4" xfId="36422" xr:uid="{00000000-0005-0000-0000-0000C77A0000}"/>
    <cellStyle name="Normal 3 19 4 2 2 2 3" xfId="12675" xr:uid="{00000000-0005-0000-0000-0000C87A0000}"/>
    <cellStyle name="Normal 3 19 4 2 2 2 3 2" xfId="26243" xr:uid="{00000000-0005-0000-0000-0000C97A0000}"/>
    <cellStyle name="Normal 3 19 4 2 2 2 3 2 2" xfId="53376" xr:uid="{00000000-0005-0000-0000-0000CA7A0000}"/>
    <cellStyle name="Normal 3 19 4 2 2 2 3 3" xfId="39814" xr:uid="{00000000-0005-0000-0000-0000CB7A0000}"/>
    <cellStyle name="Normal 3 19 4 2 2 2 4" xfId="19462" xr:uid="{00000000-0005-0000-0000-0000CC7A0000}"/>
    <cellStyle name="Normal 3 19 4 2 2 2 4 2" xfId="46595" xr:uid="{00000000-0005-0000-0000-0000CD7A0000}"/>
    <cellStyle name="Normal 3 19 4 2 2 2 5" xfId="33033" xr:uid="{00000000-0005-0000-0000-0000CE7A0000}"/>
    <cellStyle name="Normal 3 19 4 2 2 3" xfId="5732" xr:uid="{00000000-0005-0000-0000-0000CF7A0000}"/>
    <cellStyle name="Normal 3 19 4 2 2 3 2" xfId="9275" xr:uid="{00000000-0005-0000-0000-0000D07A0000}"/>
    <cellStyle name="Normal 3 19 4 2 2 3 2 2" xfId="16065" xr:uid="{00000000-0005-0000-0000-0000D17A0000}"/>
    <cellStyle name="Normal 3 19 4 2 2 3 2 2 2" xfId="29633" xr:uid="{00000000-0005-0000-0000-0000D27A0000}"/>
    <cellStyle name="Normal 3 19 4 2 2 3 2 2 2 2" xfId="56766" xr:uid="{00000000-0005-0000-0000-0000D37A0000}"/>
    <cellStyle name="Normal 3 19 4 2 2 3 2 2 3" xfId="43204" xr:uid="{00000000-0005-0000-0000-0000D47A0000}"/>
    <cellStyle name="Normal 3 19 4 2 2 3 2 3" xfId="22852" xr:uid="{00000000-0005-0000-0000-0000D57A0000}"/>
    <cellStyle name="Normal 3 19 4 2 2 3 2 3 2" xfId="49985" xr:uid="{00000000-0005-0000-0000-0000D67A0000}"/>
    <cellStyle name="Normal 3 19 4 2 2 3 2 4" xfId="36423" xr:uid="{00000000-0005-0000-0000-0000D77A0000}"/>
    <cellStyle name="Normal 3 19 4 2 2 3 3" xfId="12676" xr:uid="{00000000-0005-0000-0000-0000D87A0000}"/>
    <cellStyle name="Normal 3 19 4 2 2 3 3 2" xfId="26244" xr:uid="{00000000-0005-0000-0000-0000D97A0000}"/>
    <cellStyle name="Normal 3 19 4 2 2 3 3 2 2" xfId="53377" xr:uid="{00000000-0005-0000-0000-0000DA7A0000}"/>
    <cellStyle name="Normal 3 19 4 2 2 3 3 3" xfId="39815" xr:uid="{00000000-0005-0000-0000-0000DB7A0000}"/>
    <cellStyle name="Normal 3 19 4 2 2 3 4" xfId="19463" xr:uid="{00000000-0005-0000-0000-0000DC7A0000}"/>
    <cellStyle name="Normal 3 19 4 2 2 3 4 2" xfId="46596" xr:uid="{00000000-0005-0000-0000-0000DD7A0000}"/>
    <cellStyle name="Normal 3 19 4 2 2 3 5" xfId="33034" xr:uid="{00000000-0005-0000-0000-0000DE7A0000}"/>
    <cellStyle name="Normal 3 19 4 2 2 4" xfId="9273" xr:uid="{00000000-0005-0000-0000-0000DF7A0000}"/>
    <cellStyle name="Normal 3 19 4 2 2 4 2" xfId="16063" xr:uid="{00000000-0005-0000-0000-0000E07A0000}"/>
    <cellStyle name="Normal 3 19 4 2 2 4 2 2" xfId="29631" xr:uid="{00000000-0005-0000-0000-0000E17A0000}"/>
    <cellStyle name="Normal 3 19 4 2 2 4 2 2 2" xfId="56764" xr:uid="{00000000-0005-0000-0000-0000E27A0000}"/>
    <cellStyle name="Normal 3 19 4 2 2 4 2 3" xfId="43202" xr:uid="{00000000-0005-0000-0000-0000E37A0000}"/>
    <cellStyle name="Normal 3 19 4 2 2 4 3" xfId="22850" xr:uid="{00000000-0005-0000-0000-0000E47A0000}"/>
    <cellStyle name="Normal 3 19 4 2 2 4 3 2" xfId="49983" xr:uid="{00000000-0005-0000-0000-0000E57A0000}"/>
    <cellStyle name="Normal 3 19 4 2 2 4 4" xfId="36421" xr:uid="{00000000-0005-0000-0000-0000E67A0000}"/>
    <cellStyle name="Normal 3 19 4 2 2 5" xfId="12674" xr:uid="{00000000-0005-0000-0000-0000E77A0000}"/>
    <cellStyle name="Normal 3 19 4 2 2 5 2" xfId="26242" xr:uid="{00000000-0005-0000-0000-0000E87A0000}"/>
    <cellStyle name="Normal 3 19 4 2 2 5 2 2" xfId="53375" xr:uid="{00000000-0005-0000-0000-0000E97A0000}"/>
    <cellStyle name="Normal 3 19 4 2 2 5 3" xfId="39813" xr:uid="{00000000-0005-0000-0000-0000EA7A0000}"/>
    <cellStyle name="Normal 3 19 4 2 2 6" xfId="19461" xr:uid="{00000000-0005-0000-0000-0000EB7A0000}"/>
    <cellStyle name="Normal 3 19 4 2 2 6 2" xfId="46594" xr:uid="{00000000-0005-0000-0000-0000EC7A0000}"/>
    <cellStyle name="Normal 3 19 4 2 2 7" xfId="33032" xr:uid="{00000000-0005-0000-0000-0000ED7A0000}"/>
    <cellStyle name="Normal 3 19 4 2 3" xfId="5733" xr:uid="{00000000-0005-0000-0000-0000EE7A0000}"/>
    <cellStyle name="Normal 3 19 4 2 3 2" xfId="5734" xr:uid="{00000000-0005-0000-0000-0000EF7A0000}"/>
    <cellStyle name="Normal 3 19 4 2 3 2 2" xfId="9277" xr:uid="{00000000-0005-0000-0000-0000F07A0000}"/>
    <cellStyle name="Normal 3 19 4 2 3 2 2 2" xfId="16067" xr:uid="{00000000-0005-0000-0000-0000F17A0000}"/>
    <cellStyle name="Normal 3 19 4 2 3 2 2 2 2" xfId="29635" xr:uid="{00000000-0005-0000-0000-0000F27A0000}"/>
    <cellStyle name="Normal 3 19 4 2 3 2 2 2 2 2" xfId="56768" xr:uid="{00000000-0005-0000-0000-0000F37A0000}"/>
    <cellStyle name="Normal 3 19 4 2 3 2 2 2 3" xfId="43206" xr:uid="{00000000-0005-0000-0000-0000F47A0000}"/>
    <cellStyle name="Normal 3 19 4 2 3 2 2 3" xfId="22854" xr:uid="{00000000-0005-0000-0000-0000F57A0000}"/>
    <cellStyle name="Normal 3 19 4 2 3 2 2 3 2" xfId="49987" xr:uid="{00000000-0005-0000-0000-0000F67A0000}"/>
    <cellStyle name="Normal 3 19 4 2 3 2 2 4" xfId="36425" xr:uid="{00000000-0005-0000-0000-0000F77A0000}"/>
    <cellStyle name="Normal 3 19 4 2 3 2 3" xfId="12678" xr:uid="{00000000-0005-0000-0000-0000F87A0000}"/>
    <cellStyle name="Normal 3 19 4 2 3 2 3 2" xfId="26246" xr:uid="{00000000-0005-0000-0000-0000F97A0000}"/>
    <cellStyle name="Normal 3 19 4 2 3 2 3 2 2" xfId="53379" xr:uid="{00000000-0005-0000-0000-0000FA7A0000}"/>
    <cellStyle name="Normal 3 19 4 2 3 2 3 3" xfId="39817" xr:uid="{00000000-0005-0000-0000-0000FB7A0000}"/>
    <cellStyle name="Normal 3 19 4 2 3 2 4" xfId="19465" xr:uid="{00000000-0005-0000-0000-0000FC7A0000}"/>
    <cellStyle name="Normal 3 19 4 2 3 2 4 2" xfId="46598" xr:uid="{00000000-0005-0000-0000-0000FD7A0000}"/>
    <cellStyle name="Normal 3 19 4 2 3 2 5" xfId="33036" xr:uid="{00000000-0005-0000-0000-0000FE7A0000}"/>
    <cellStyle name="Normal 3 19 4 2 3 3" xfId="9276" xr:uid="{00000000-0005-0000-0000-0000FF7A0000}"/>
    <cellStyle name="Normal 3 19 4 2 3 3 2" xfId="16066" xr:uid="{00000000-0005-0000-0000-0000007B0000}"/>
    <cellStyle name="Normal 3 19 4 2 3 3 2 2" xfId="29634" xr:uid="{00000000-0005-0000-0000-0000017B0000}"/>
    <cellStyle name="Normal 3 19 4 2 3 3 2 2 2" xfId="56767" xr:uid="{00000000-0005-0000-0000-0000027B0000}"/>
    <cellStyle name="Normal 3 19 4 2 3 3 2 3" xfId="43205" xr:uid="{00000000-0005-0000-0000-0000037B0000}"/>
    <cellStyle name="Normal 3 19 4 2 3 3 3" xfId="22853" xr:uid="{00000000-0005-0000-0000-0000047B0000}"/>
    <cellStyle name="Normal 3 19 4 2 3 3 3 2" xfId="49986" xr:uid="{00000000-0005-0000-0000-0000057B0000}"/>
    <cellStyle name="Normal 3 19 4 2 3 3 4" xfId="36424" xr:uid="{00000000-0005-0000-0000-0000067B0000}"/>
    <cellStyle name="Normal 3 19 4 2 3 4" xfId="12677" xr:uid="{00000000-0005-0000-0000-0000077B0000}"/>
    <cellStyle name="Normal 3 19 4 2 3 4 2" xfId="26245" xr:uid="{00000000-0005-0000-0000-0000087B0000}"/>
    <cellStyle name="Normal 3 19 4 2 3 4 2 2" xfId="53378" xr:uid="{00000000-0005-0000-0000-0000097B0000}"/>
    <cellStyle name="Normal 3 19 4 2 3 4 3" xfId="39816" xr:uid="{00000000-0005-0000-0000-00000A7B0000}"/>
    <cellStyle name="Normal 3 19 4 2 3 5" xfId="19464" xr:uid="{00000000-0005-0000-0000-00000B7B0000}"/>
    <cellStyle name="Normal 3 19 4 2 3 5 2" xfId="46597" xr:uid="{00000000-0005-0000-0000-00000C7B0000}"/>
    <cellStyle name="Normal 3 19 4 2 3 6" xfId="33035" xr:uid="{00000000-0005-0000-0000-00000D7B0000}"/>
    <cellStyle name="Normal 3 19 4 2 4" xfId="5735" xr:uid="{00000000-0005-0000-0000-00000E7B0000}"/>
    <cellStyle name="Normal 3 19 4 2 4 2" xfId="9278" xr:uid="{00000000-0005-0000-0000-00000F7B0000}"/>
    <cellStyle name="Normal 3 19 4 2 4 2 2" xfId="16068" xr:uid="{00000000-0005-0000-0000-0000107B0000}"/>
    <cellStyle name="Normal 3 19 4 2 4 2 2 2" xfId="29636" xr:uid="{00000000-0005-0000-0000-0000117B0000}"/>
    <cellStyle name="Normal 3 19 4 2 4 2 2 2 2" xfId="56769" xr:uid="{00000000-0005-0000-0000-0000127B0000}"/>
    <cellStyle name="Normal 3 19 4 2 4 2 2 3" xfId="43207" xr:uid="{00000000-0005-0000-0000-0000137B0000}"/>
    <cellStyle name="Normal 3 19 4 2 4 2 3" xfId="22855" xr:uid="{00000000-0005-0000-0000-0000147B0000}"/>
    <cellStyle name="Normal 3 19 4 2 4 2 3 2" xfId="49988" xr:uid="{00000000-0005-0000-0000-0000157B0000}"/>
    <cellStyle name="Normal 3 19 4 2 4 2 4" xfId="36426" xr:uid="{00000000-0005-0000-0000-0000167B0000}"/>
    <cellStyle name="Normal 3 19 4 2 4 3" xfId="12679" xr:uid="{00000000-0005-0000-0000-0000177B0000}"/>
    <cellStyle name="Normal 3 19 4 2 4 3 2" xfId="26247" xr:uid="{00000000-0005-0000-0000-0000187B0000}"/>
    <cellStyle name="Normal 3 19 4 2 4 3 2 2" xfId="53380" xr:uid="{00000000-0005-0000-0000-0000197B0000}"/>
    <cellStyle name="Normal 3 19 4 2 4 3 3" xfId="39818" xr:uid="{00000000-0005-0000-0000-00001A7B0000}"/>
    <cellStyle name="Normal 3 19 4 2 4 4" xfId="19466" xr:uid="{00000000-0005-0000-0000-00001B7B0000}"/>
    <cellStyle name="Normal 3 19 4 2 4 4 2" xfId="46599" xr:uid="{00000000-0005-0000-0000-00001C7B0000}"/>
    <cellStyle name="Normal 3 19 4 2 4 5" xfId="33037" xr:uid="{00000000-0005-0000-0000-00001D7B0000}"/>
    <cellStyle name="Normal 3 19 4 2 5" xfId="5736" xr:uid="{00000000-0005-0000-0000-00001E7B0000}"/>
    <cellStyle name="Normal 3 19 4 2 5 2" xfId="9279" xr:uid="{00000000-0005-0000-0000-00001F7B0000}"/>
    <cellStyle name="Normal 3 19 4 2 5 2 2" xfId="16069" xr:uid="{00000000-0005-0000-0000-0000207B0000}"/>
    <cellStyle name="Normal 3 19 4 2 5 2 2 2" xfId="29637" xr:uid="{00000000-0005-0000-0000-0000217B0000}"/>
    <cellStyle name="Normal 3 19 4 2 5 2 2 2 2" xfId="56770" xr:uid="{00000000-0005-0000-0000-0000227B0000}"/>
    <cellStyle name="Normal 3 19 4 2 5 2 2 3" xfId="43208" xr:uid="{00000000-0005-0000-0000-0000237B0000}"/>
    <cellStyle name="Normal 3 19 4 2 5 2 3" xfId="22856" xr:uid="{00000000-0005-0000-0000-0000247B0000}"/>
    <cellStyle name="Normal 3 19 4 2 5 2 3 2" xfId="49989" xr:uid="{00000000-0005-0000-0000-0000257B0000}"/>
    <cellStyle name="Normal 3 19 4 2 5 2 4" xfId="36427" xr:uid="{00000000-0005-0000-0000-0000267B0000}"/>
    <cellStyle name="Normal 3 19 4 2 5 3" xfId="12680" xr:uid="{00000000-0005-0000-0000-0000277B0000}"/>
    <cellStyle name="Normal 3 19 4 2 5 3 2" xfId="26248" xr:uid="{00000000-0005-0000-0000-0000287B0000}"/>
    <cellStyle name="Normal 3 19 4 2 5 3 2 2" xfId="53381" xr:uid="{00000000-0005-0000-0000-0000297B0000}"/>
    <cellStyle name="Normal 3 19 4 2 5 3 3" xfId="39819" xr:uid="{00000000-0005-0000-0000-00002A7B0000}"/>
    <cellStyle name="Normal 3 19 4 2 5 4" xfId="19467" xr:uid="{00000000-0005-0000-0000-00002B7B0000}"/>
    <cellStyle name="Normal 3 19 4 2 5 4 2" xfId="46600" xr:uid="{00000000-0005-0000-0000-00002C7B0000}"/>
    <cellStyle name="Normal 3 19 4 2 5 5" xfId="33038" xr:uid="{00000000-0005-0000-0000-00002D7B0000}"/>
    <cellStyle name="Normal 3 19 4 2 6" xfId="9272" xr:uid="{00000000-0005-0000-0000-00002E7B0000}"/>
    <cellStyle name="Normal 3 19 4 2 6 2" xfId="16062" xr:uid="{00000000-0005-0000-0000-00002F7B0000}"/>
    <cellStyle name="Normal 3 19 4 2 6 2 2" xfId="29630" xr:uid="{00000000-0005-0000-0000-0000307B0000}"/>
    <cellStyle name="Normal 3 19 4 2 6 2 2 2" xfId="56763" xr:uid="{00000000-0005-0000-0000-0000317B0000}"/>
    <cellStyle name="Normal 3 19 4 2 6 2 3" xfId="43201" xr:uid="{00000000-0005-0000-0000-0000327B0000}"/>
    <cellStyle name="Normal 3 19 4 2 6 3" xfId="22849" xr:uid="{00000000-0005-0000-0000-0000337B0000}"/>
    <cellStyle name="Normal 3 19 4 2 6 3 2" xfId="49982" xr:uid="{00000000-0005-0000-0000-0000347B0000}"/>
    <cellStyle name="Normal 3 19 4 2 6 4" xfId="36420" xr:uid="{00000000-0005-0000-0000-0000357B0000}"/>
    <cellStyle name="Normal 3 19 4 2 7" xfId="12673" xr:uid="{00000000-0005-0000-0000-0000367B0000}"/>
    <cellStyle name="Normal 3 19 4 2 7 2" xfId="26241" xr:uid="{00000000-0005-0000-0000-0000377B0000}"/>
    <cellStyle name="Normal 3 19 4 2 7 2 2" xfId="53374" xr:uid="{00000000-0005-0000-0000-0000387B0000}"/>
    <cellStyle name="Normal 3 19 4 2 7 3" xfId="39812" xr:uid="{00000000-0005-0000-0000-0000397B0000}"/>
    <cellStyle name="Normal 3 19 4 2 8" xfId="19460" xr:uid="{00000000-0005-0000-0000-00003A7B0000}"/>
    <cellStyle name="Normal 3 19 4 2 8 2" xfId="46593" xr:uid="{00000000-0005-0000-0000-00003B7B0000}"/>
    <cellStyle name="Normal 3 19 4 2 9" xfId="33031" xr:uid="{00000000-0005-0000-0000-00003C7B0000}"/>
    <cellStyle name="Normal 3 19 4 3" xfId="5737" xr:uid="{00000000-0005-0000-0000-00003D7B0000}"/>
    <cellStyle name="Normal 3 19 4 3 2" xfId="5738" xr:uid="{00000000-0005-0000-0000-00003E7B0000}"/>
    <cellStyle name="Normal 3 19 4 3 2 2" xfId="9281" xr:uid="{00000000-0005-0000-0000-00003F7B0000}"/>
    <cellStyle name="Normal 3 19 4 3 2 2 2" xfId="16071" xr:uid="{00000000-0005-0000-0000-0000407B0000}"/>
    <cellStyle name="Normal 3 19 4 3 2 2 2 2" xfId="29639" xr:uid="{00000000-0005-0000-0000-0000417B0000}"/>
    <cellStyle name="Normal 3 19 4 3 2 2 2 2 2" xfId="56772" xr:uid="{00000000-0005-0000-0000-0000427B0000}"/>
    <cellStyle name="Normal 3 19 4 3 2 2 2 3" xfId="43210" xr:uid="{00000000-0005-0000-0000-0000437B0000}"/>
    <cellStyle name="Normal 3 19 4 3 2 2 3" xfId="22858" xr:uid="{00000000-0005-0000-0000-0000447B0000}"/>
    <cellStyle name="Normal 3 19 4 3 2 2 3 2" xfId="49991" xr:uid="{00000000-0005-0000-0000-0000457B0000}"/>
    <cellStyle name="Normal 3 19 4 3 2 2 4" xfId="36429" xr:uid="{00000000-0005-0000-0000-0000467B0000}"/>
    <cellStyle name="Normal 3 19 4 3 2 3" xfId="12682" xr:uid="{00000000-0005-0000-0000-0000477B0000}"/>
    <cellStyle name="Normal 3 19 4 3 2 3 2" xfId="26250" xr:uid="{00000000-0005-0000-0000-0000487B0000}"/>
    <cellStyle name="Normal 3 19 4 3 2 3 2 2" xfId="53383" xr:uid="{00000000-0005-0000-0000-0000497B0000}"/>
    <cellStyle name="Normal 3 19 4 3 2 3 3" xfId="39821" xr:uid="{00000000-0005-0000-0000-00004A7B0000}"/>
    <cellStyle name="Normal 3 19 4 3 2 4" xfId="19469" xr:uid="{00000000-0005-0000-0000-00004B7B0000}"/>
    <cellStyle name="Normal 3 19 4 3 2 4 2" xfId="46602" xr:uid="{00000000-0005-0000-0000-00004C7B0000}"/>
    <cellStyle name="Normal 3 19 4 3 2 5" xfId="33040" xr:uid="{00000000-0005-0000-0000-00004D7B0000}"/>
    <cellStyle name="Normal 3 19 4 3 3" xfId="5739" xr:uid="{00000000-0005-0000-0000-00004E7B0000}"/>
    <cellStyle name="Normal 3 19 4 3 3 2" xfId="9282" xr:uid="{00000000-0005-0000-0000-00004F7B0000}"/>
    <cellStyle name="Normal 3 19 4 3 3 2 2" xfId="16072" xr:uid="{00000000-0005-0000-0000-0000507B0000}"/>
    <cellStyle name="Normal 3 19 4 3 3 2 2 2" xfId="29640" xr:uid="{00000000-0005-0000-0000-0000517B0000}"/>
    <cellStyle name="Normal 3 19 4 3 3 2 2 2 2" xfId="56773" xr:uid="{00000000-0005-0000-0000-0000527B0000}"/>
    <cellStyle name="Normal 3 19 4 3 3 2 2 3" xfId="43211" xr:uid="{00000000-0005-0000-0000-0000537B0000}"/>
    <cellStyle name="Normal 3 19 4 3 3 2 3" xfId="22859" xr:uid="{00000000-0005-0000-0000-0000547B0000}"/>
    <cellStyle name="Normal 3 19 4 3 3 2 3 2" xfId="49992" xr:uid="{00000000-0005-0000-0000-0000557B0000}"/>
    <cellStyle name="Normal 3 19 4 3 3 2 4" xfId="36430" xr:uid="{00000000-0005-0000-0000-0000567B0000}"/>
    <cellStyle name="Normal 3 19 4 3 3 3" xfId="12683" xr:uid="{00000000-0005-0000-0000-0000577B0000}"/>
    <cellStyle name="Normal 3 19 4 3 3 3 2" xfId="26251" xr:uid="{00000000-0005-0000-0000-0000587B0000}"/>
    <cellStyle name="Normal 3 19 4 3 3 3 2 2" xfId="53384" xr:uid="{00000000-0005-0000-0000-0000597B0000}"/>
    <cellStyle name="Normal 3 19 4 3 3 3 3" xfId="39822" xr:uid="{00000000-0005-0000-0000-00005A7B0000}"/>
    <cellStyle name="Normal 3 19 4 3 3 4" xfId="19470" xr:uid="{00000000-0005-0000-0000-00005B7B0000}"/>
    <cellStyle name="Normal 3 19 4 3 3 4 2" xfId="46603" xr:uid="{00000000-0005-0000-0000-00005C7B0000}"/>
    <cellStyle name="Normal 3 19 4 3 3 5" xfId="33041" xr:uid="{00000000-0005-0000-0000-00005D7B0000}"/>
    <cellStyle name="Normal 3 19 4 3 4" xfId="9280" xr:uid="{00000000-0005-0000-0000-00005E7B0000}"/>
    <cellStyle name="Normal 3 19 4 3 4 2" xfId="16070" xr:uid="{00000000-0005-0000-0000-00005F7B0000}"/>
    <cellStyle name="Normal 3 19 4 3 4 2 2" xfId="29638" xr:uid="{00000000-0005-0000-0000-0000607B0000}"/>
    <cellStyle name="Normal 3 19 4 3 4 2 2 2" xfId="56771" xr:uid="{00000000-0005-0000-0000-0000617B0000}"/>
    <cellStyle name="Normal 3 19 4 3 4 2 3" xfId="43209" xr:uid="{00000000-0005-0000-0000-0000627B0000}"/>
    <cellStyle name="Normal 3 19 4 3 4 3" xfId="22857" xr:uid="{00000000-0005-0000-0000-0000637B0000}"/>
    <cellStyle name="Normal 3 19 4 3 4 3 2" xfId="49990" xr:uid="{00000000-0005-0000-0000-0000647B0000}"/>
    <cellStyle name="Normal 3 19 4 3 4 4" xfId="36428" xr:uid="{00000000-0005-0000-0000-0000657B0000}"/>
    <cellStyle name="Normal 3 19 4 3 5" xfId="12681" xr:uid="{00000000-0005-0000-0000-0000667B0000}"/>
    <cellStyle name="Normal 3 19 4 3 5 2" xfId="26249" xr:uid="{00000000-0005-0000-0000-0000677B0000}"/>
    <cellStyle name="Normal 3 19 4 3 5 2 2" xfId="53382" xr:uid="{00000000-0005-0000-0000-0000687B0000}"/>
    <cellStyle name="Normal 3 19 4 3 5 3" xfId="39820" xr:uid="{00000000-0005-0000-0000-0000697B0000}"/>
    <cellStyle name="Normal 3 19 4 3 6" xfId="19468" xr:uid="{00000000-0005-0000-0000-00006A7B0000}"/>
    <cellStyle name="Normal 3 19 4 3 6 2" xfId="46601" xr:uid="{00000000-0005-0000-0000-00006B7B0000}"/>
    <cellStyle name="Normal 3 19 4 3 7" xfId="33039" xr:uid="{00000000-0005-0000-0000-00006C7B0000}"/>
    <cellStyle name="Normal 3 19 4 4" xfId="5740" xr:uid="{00000000-0005-0000-0000-00006D7B0000}"/>
    <cellStyle name="Normal 3 19 4 4 2" xfId="5741" xr:uid="{00000000-0005-0000-0000-00006E7B0000}"/>
    <cellStyle name="Normal 3 19 4 4 2 2" xfId="9284" xr:uid="{00000000-0005-0000-0000-00006F7B0000}"/>
    <cellStyle name="Normal 3 19 4 4 2 2 2" xfId="16074" xr:uid="{00000000-0005-0000-0000-0000707B0000}"/>
    <cellStyle name="Normal 3 19 4 4 2 2 2 2" xfId="29642" xr:uid="{00000000-0005-0000-0000-0000717B0000}"/>
    <cellStyle name="Normal 3 19 4 4 2 2 2 2 2" xfId="56775" xr:uid="{00000000-0005-0000-0000-0000727B0000}"/>
    <cellStyle name="Normal 3 19 4 4 2 2 2 3" xfId="43213" xr:uid="{00000000-0005-0000-0000-0000737B0000}"/>
    <cellStyle name="Normal 3 19 4 4 2 2 3" xfId="22861" xr:uid="{00000000-0005-0000-0000-0000747B0000}"/>
    <cellStyle name="Normal 3 19 4 4 2 2 3 2" xfId="49994" xr:uid="{00000000-0005-0000-0000-0000757B0000}"/>
    <cellStyle name="Normal 3 19 4 4 2 2 4" xfId="36432" xr:uid="{00000000-0005-0000-0000-0000767B0000}"/>
    <cellStyle name="Normal 3 19 4 4 2 3" xfId="12685" xr:uid="{00000000-0005-0000-0000-0000777B0000}"/>
    <cellStyle name="Normal 3 19 4 4 2 3 2" xfId="26253" xr:uid="{00000000-0005-0000-0000-0000787B0000}"/>
    <cellStyle name="Normal 3 19 4 4 2 3 2 2" xfId="53386" xr:uid="{00000000-0005-0000-0000-0000797B0000}"/>
    <cellStyle name="Normal 3 19 4 4 2 3 3" xfId="39824" xr:uid="{00000000-0005-0000-0000-00007A7B0000}"/>
    <cellStyle name="Normal 3 19 4 4 2 4" xfId="19472" xr:uid="{00000000-0005-0000-0000-00007B7B0000}"/>
    <cellStyle name="Normal 3 19 4 4 2 4 2" xfId="46605" xr:uid="{00000000-0005-0000-0000-00007C7B0000}"/>
    <cellStyle name="Normal 3 19 4 4 2 5" xfId="33043" xr:uid="{00000000-0005-0000-0000-00007D7B0000}"/>
    <cellStyle name="Normal 3 19 4 4 3" xfId="9283" xr:uid="{00000000-0005-0000-0000-00007E7B0000}"/>
    <cellStyle name="Normal 3 19 4 4 3 2" xfId="16073" xr:uid="{00000000-0005-0000-0000-00007F7B0000}"/>
    <cellStyle name="Normal 3 19 4 4 3 2 2" xfId="29641" xr:uid="{00000000-0005-0000-0000-0000807B0000}"/>
    <cellStyle name="Normal 3 19 4 4 3 2 2 2" xfId="56774" xr:uid="{00000000-0005-0000-0000-0000817B0000}"/>
    <cellStyle name="Normal 3 19 4 4 3 2 3" xfId="43212" xr:uid="{00000000-0005-0000-0000-0000827B0000}"/>
    <cellStyle name="Normal 3 19 4 4 3 3" xfId="22860" xr:uid="{00000000-0005-0000-0000-0000837B0000}"/>
    <cellStyle name="Normal 3 19 4 4 3 3 2" xfId="49993" xr:uid="{00000000-0005-0000-0000-0000847B0000}"/>
    <cellStyle name="Normal 3 19 4 4 3 4" xfId="36431" xr:uid="{00000000-0005-0000-0000-0000857B0000}"/>
    <cellStyle name="Normal 3 19 4 4 4" xfId="12684" xr:uid="{00000000-0005-0000-0000-0000867B0000}"/>
    <cellStyle name="Normal 3 19 4 4 4 2" xfId="26252" xr:uid="{00000000-0005-0000-0000-0000877B0000}"/>
    <cellStyle name="Normal 3 19 4 4 4 2 2" xfId="53385" xr:uid="{00000000-0005-0000-0000-0000887B0000}"/>
    <cellStyle name="Normal 3 19 4 4 4 3" xfId="39823" xr:uid="{00000000-0005-0000-0000-0000897B0000}"/>
    <cellStyle name="Normal 3 19 4 4 5" xfId="19471" xr:uid="{00000000-0005-0000-0000-00008A7B0000}"/>
    <cellStyle name="Normal 3 19 4 4 5 2" xfId="46604" xr:uid="{00000000-0005-0000-0000-00008B7B0000}"/>
    <cellStyle name="Normal 3 19 4 4 6" xfId="33042" xr:uid="{00000000-0005-0000-0000-00008C7B0000}"/>
    <cellStyle name="Normal 3 19 4 5" xfId="5742" xr:uid="{00000000-0005-0000-0000-00008D7B0000}"/>
    <cellStyle name="Normal 3 19 4 5 2" xfId="9285" xr:uid="{00000000-0005-0000-0000-00008E7B0000}"/>
    <cellStyle name="Normal 3 19 4 5 2 2" xfId="16075" xr:uid="{00000000-0005-0000-0000-00008F7B0000}"/>
    <cellStyle name="Normal 3 19 4 5 2 2 2" xfId="29643" xr:uid="{00000000-0005-0000-0000-0000907B0000}"/>
    <cellStyle name="Normal 3 19 4 5 2 2 2 2" xfId="56776" xr:uid="{00000000-0005-0000-0000-0000917B0000}"/>
    <cellStyle name="Normal 3 19 4 5 2 2 3" xfId="43214" xr:uid="{00000000-0005-0000-0000-0000927B0000}"/>
    <cellStyle name="Normal 3 19 4 5 2 3" xfId="22862" xr:uid="{00000000-0005-0000-0000-0000937B0000}"/>
    <cellStyle name="Normal 3 19 4 5 2 3 2" xfId="49995" xr:uid="{00000000-0005-0000-0000-0000947B0000}"/>
    <cellStyle name="Normal 3 19 4 5 2 4" xfId="36433" xr:uid="{00000000-0005-0000-0000-0000957B0000}"/>
    <cellStyle name="Normal 3 19 4 5 3" xfId="12686" xr:uid="{00000000-0005-0000-0000-0000967B0000}"/>
    <cellStyle name="Normal 3 19 4 5 3 2" xfId="26254" xr:uid="{00000000-0005-0000-0000-0000977B0000}"/>
    <cellStyle name="Normal 3 19 4 5 3 2 2" xfId="53387" xr:uid="{00000000-0005-0000-0000-0000987B0000}"/>
    <cellStyle name="Normal 3 19 4 5 3 3" xfId="39825" xr:uid="{00000000-0005-0000-0000-0000997B0000}"/>
    <cellStyle name="Normal 3 19 4 5 4" xfId="19473" xr:uid="{00000000-0005-0000-0000-00009A7B0000}"/>
    <cellStyle name="Normal 3 19 4 5 4 2" xfId="46606" xr:uid="{00000000-0005-0000-0000-00009B7B0000}"/>
    <cellStyle name="Normal 3 19 4 5 5" xfId="33044" xr:uid="{00000000-0005-0000-0000-00009C7B0000}"/>
    <cellStyle name="Normal 3 19 4 6" xfId="5743" xr:uid="{00000000-0005-0000-0000-00009D7B0000}"/>
    <cellStyle name="Normal 3 19 4 6 2" xfId="9286" xr:uid="{00000000-0005-0000-0000-00009E7B0000}"/>
    <cellStyle name="Normal 3 19 4 6 2 2" xfId="16076" xr:uid="{00000000-0005-0000-0000-00009F7B0000}"/>
    <cellStyle name="Normal 3 19 4 6 2 2 2" xfId="29644" xr:uid="{00000000-0005-0000-0000-0000A07B0000}"/>
    <cellStyle name="Normal 3 19 4 6 2 2 2 2" xfId="56777" xr:uid="{00000000-0005-0000-0000-0000A17B0000}"/>
    <cellStyle name="Normal 3 19 4 6 2 2 3" xfId="43215" xr:uid="{00000000-0005-0000-0000-0000A27B0000}"/>
    <cellStyle name="Normal 3 19 4 6 2 3" xfId="22863" xr:uid="{00000000-0005-0000-0000-0000A37B0000}"/>
    <cellStyle name="Normal 3 19 4 6 2 3 2" xfId="49996" xr:uid="{00000000-0005-0000-0000-0000A47B0000}"/>
    <cellStyle name="Normal 3 19 4 6 2 4" xfId="36434" xr:uid="{00000000-0005-0000-0000-0000A57B0000}"/>
    <cellStyle name="Normal 3 19 4 6 3" xfId="12687" xr:uid="{00000000-0005-0000-0000-0000A67B0000}"/>
    <cellStyle name="Normal 3 19 4 6 3 2" xfId="26255" xr:uid="{00000000-0005-0000-0000-0000A77B0000}"/>
    <cellStyle name="Normal 3 19 4 6 3 2 2" xfId="53388" xr:uid="{00000000-0005-0000-0000-0000A87B0000}"/>
    <cellStyle name="Normal 3 19 4 6 3 3" xfId="39826" xr:uid="{00000000-0005-0000-0000-0000A97B0000}"/>
    <cellStyle name="Normal 3 19 4 6 4" xfId="19474" xr:uid="{00000000-0005-0000-0000-0000AA7B0000}"/>
    <cellStyle name="Normal 3 19 4 6 4 2" xfId="46607" xr:uid="{00000000-0005-0000-0000-0000AB7B0000}"/>
    <cellStyle name="Normal 3 19 4 6 5" xfId="33045" xr:uid="{00000000-0005-0000-0000-0000AC7B0000}"/>
    <cellStyle name="Normal 3 19 4 7" xfId="9271" xr:uid="{00000000-0005-0000-0000-0000AD7B0000}"/>
    <cellStyle name="Normal 3 19 4 7 2" xfId="16061" xr:uid="{00000000-0005-0000-0000-0000AE7B0000}"/>
    <cellStyle name="Normal 3 19 4 7 2 2" xfId="29629" xr:uid="{00000000-0005-0000-0000-0000AF7B0000}"/>
    <cellStyle name="Normal 3 19 4 7 2 2 2" xfId="56762" xr:uid="{00000000-0005-0000-0000-0000B07B0000}"/>
    <cellStyle name="Normal 3 19 4 7 2 3" xfId="43200" xr:uid="{00000000-0005-0000-0000-0000B17B0000}"/>
    <cellStyle name="Normal 3 19 4 7 3" xfId="22848" xr:uid="{00000000-0005-0000-0000-0000B27B0000}"/>
    <cellStyle name="Normal 3 19 4 7 3 2" xfId="49981" xr:uid="{00000000-0005-0000-0000-0000B37B0000}"/>
    <cellStyle name="Normal 3 19 4 7 4" xfId="36419" xr:uid="{00000000-0005-0000-0000-0000B47B0000}"/>
    <cellStyle name="Normal 3 19 4 8" xfId="12672" xr:uid="{00000000-0005-0000-0000-0000B57B0000}"/>
    <cellStyle name="Normal 3 19 4 8 2" xfId="26240" xr:uid="{00000000-0005-0000-0000-0000B67B0000}"/>
    <cellStyle name="Normal 3 19 4 8 2 2" xfId="53373" xr:uid="{00000000-0005-0000-0000-0000B77B0000}"/>
    <cellStyle name="Normal 3 19 4 8 3" xfId="39811" xr:uid="{00000000-0005-0000-0000-0000B87B0000}"/>
    <cellStyle name="Normal 3 19 4 9" xfId="19459" xr:uid="{00000000-0005-0000-0000-0000B97B0000}"/>
    <cellStyle name="Normal 3 19 4 9 2" xfId="46592" xr:uid="{00000000-0005-0000-0000-0000BA7B0000}"/>
    <cellStyle name="Normal 3 19 5" xfId="5744" xr:uid="{00000000-0005-0000-0000-0000BB7B0000}"/>
    <cellStyle name="Normal 3 19 5 2" xfId="5745" xr:uid="{00000000-0005-0000-0000-0000BC7B0000}"/>
    <cellStyle name="Normal 3 19 5 2 2" xfId="5746" xr:uid="{00000000-0005-0000-0000-0000BD7B0000}"/>
    <cellStyle name="Normal 3 19 5 2 2 2" xfId="9289" xr:uid="{00000000-0005-0000-0000-0000BE7B0000}"/>
    <cellStyle name="Normal 3 19 5 2 2 2 2" xfId="16079" xr:uid="{00000000-0005-0000-0000-0000BF7B0000}"/>
    <cellStyle name="Normal 3 19 5 2 2 2 2 2" xfId="29647" xr:uid="{00000000-0005-0000-0000-0000C07B0000}"/>
    <cellStyle name="Normal 3 19 5 2 2 2 2 2 2" xfId="56780" xr:uid="{00000000-0005-0000-0000-0000C17B0000}"/>
    <cellStyle name="Normal 3 19 5 2 2 2 2 3" xfId="43218" xr:uid="{00000000-0005-0000-0000-0000C27B0000}"/>
    <cellStyle name="Normal 3 19 5 2 2 2 3" xfId="22866" xr:uid="{00000000-0005-0000-0000-0000C37B0000}"/>
    <cellStyle name="Normal 3 19 5 2 2 2 3 2" xfId="49999" xr:uid="{00000000-0005-0000-0000-0000C47B0000}"/>
    <cellStyle name="Normal 3 19 5 2 2 2 4" xfId="36437" xr:uid="{00000000-0005-0000-0000-0000C57B0000}"/>
    <cellStyle name="Normal 3 19 5 2 2 3" xfId="12690" xr:uid="{00000000-0005-0000-0000-0000C67B0000}"/>
    <cellStyle name="Normal 3 19 5 2 2 3 2" xfId="26258" xr:uid="{00000000-0005-0000-0000-0000C77B0000}"/>
    <cellStyle name="Normal 3 19 5 2 2 3 2 2" xfId="53391" xr:uid="{00000000-0005-0000-0000-0000C87B0000}"/>
    <cellStyle name="Normal 3 19 5 2 2 3 3" xfId="39829" xr:uid="{00000000-0005-0000-0000-0000C97B0000}"/>
    <cellStyle name="Normal 3 19 5 2 2 4" xfId="19477" xr:uid="{00000000-0005-0000-0000-0000CA7B0000}"/>
    <cellStyle name="Normal 3 19 5 2 2 4 2" xfId="46610" xr:uid="{00000000-0005-0000-0000-0000CB7B0000}"/>
    <cellStyle name="Normal 3 19 5 2 2 5" xfId="33048" xr:uid="{00000000-0005-0000-0000-0000CC7B0000}"/>
    <cellStyle name="Normal 3 19 5 2 3" xfId="5747" xr:uid="{00000000-0005-0000-0000-0000CD7B0000}"/>
    <cellStyle name="Normal 3 19 5 2 3 2" xfId="9290" xr:uid="{00000000-0005-0000-0000-0000CE7B0000}"/>
    <cellStyle name="Normal 3 19 5 2 3 2 2" xfId="16080" xr:uid="{00000000-0005-0000-0000-0000CF7B0000}"/>
    <cellStyle name="Normal 3 19 5 2 3 2 2 2" xfId="29648" xr:uid="{00000000-0005-0000-0000-0000D07B0000}"/>
    <cellStyle name="Normal 3 19 5 2 3 2 2 2 2" xfId="56781" xr:uid="{00000000-0005-0000-0000-0000D17B0000}"/>
    <cellStyle name="Normal 3 19 5 2 3 2 2 3" xfId="43219" xr:uid="{00000000-0005-0000-0000-0000D27B0000}"/>
    <cellStyle name="Normal 3 19 5 2 3 2 3" xfId="22867" xr:uid="{00000000-0005-0000-0000-0000D37B0000}"/>
    <cellStyle name="Normal 3 19 5 2 3 2 3 2" xfId="50000" xr:uid="{00000000-0005-0000-0000-0000D47B0000}"/>
    <cellStyle name="Normal 3 19 5 2 3 2 4" xfId="36438" xr:uid="{00000000-0005-0000-0000-0000D57B0000}"/>
    <cellStyle name="Normal 3 19 5 2 3 3" xfId="12691" xr:uid="{00000000-0005-0000-0000-0000D67B0000}"/>
    <cellStyle name="Normal 3 19 5 2 3 3 2" xfId="26259" xr:uid="{00000000-0005-0000-0000-0000D77B0000}"/>
    <cellStyle name="Normal 3 19 5 2 3 3 2 2" xfId="53392" xr:uid="{00000000-0005-0000-0000-0000D87B0000}"/>
    <cellStyle name="Normal 3 19 5 2 3 3 3" xfId="39830" xr:uid="{00000000-0005-0000-0000-0000D97B0000}"/>
    <cellStyle name="Normal 3 19 5 2 3 4" xfId="19478" xr:uid="{00000000-0005-0000-0000-0000DA7B0000}"/>
    <cellStyle name="Normal 3 19 5 2 3 4 2" xfId="46611" xr:uid="{00000000-0005-0000-0000-0000DB7B0000}"/>
    <cellStyle name="Normal 3 19 5 2 3 5" xfId="33049" xr:uid="{00000000-0005-0000-0000-0000DC7B0000}"/>
    <cellStyle name="Normal 3 19 5 2 4" xfId="9288" xr:uid="{00000000-0005-0000-0000-0000DD7B0000}"/>
    <cellStyle name="Normal 3 19 5 2 4 2" xfId="16078" xr:uid="{00000000-0005-0000-0000-0000DE7B0000}"/>
    <cellStyle name="Normal 3 19 5 2 4 2 2" xfId="29646" xr:uid="{00000000-0005-0000-0000-0000DF7B0000}"/>
    <cellStyle name="Normal 3 19 5 2 4 2 2 2" xfId="56779" xr:uid="{00000000-0005-0000-0000-0000E07B0000}"/>
    <cellStyle name="Normal 3 19 5 2 4 2 3" xfId="43217" xr:uid="{00000000-0005-0000-0000-0000E17B0000}"/>
    <cellStyle name="Normal 3 19 5 2 4 3" xfId="22865" xr:uid="{00000000-0005-0000-0000-0000E27B0000}"/>
    <cellStyle name="Normal 3 19 5 2 4 3 2" xfId="49998" xr:uid="{00000000-0005-0000-0000-0000E37B0000}"/>
    <cellStyle name="Normal 3 19 5 2 4 4" xfId="36436" xr:uid="{00000000-0005-0000-0000-0000E47B0000}"/>
    <cellStyle name="Normal 3 19 5 2 5" xfId="12689" xr:uid="{00000000-0005-0000-0000-0000E57B0000}"/>
    <cellStyle name="Normal 3 19 5 2 5 2" xfId="26257" xr:uid="{00000000-0005-0000-0000-0000E67B0000}"/>
    <cellStyle name="Normal 3 19 5 2 5 2 2" xfId="53390" xr:uid="{00000000-0005-0000-0000-0000E77B0000}"/>
    <cellStyle name="Normal 3 19 5 2 5 3" xfId="39828" xr:uid="{00000000-0005-0000-0000-0000E87B0000}"/>
    <cellStyle name="Normal 3 19 5 2 6" xfId="19476" xr:uid="{00000000-0005-0000-0000-0000E97B0000}"/>
    <cellStyle name="Normal 3 19 5 2 6 2" xfId="46609" xr:uid="{00000000-0005-0000-0000-0000EA7B0000}"/>
    <cellStyle name="Normal 3 19 5 2 7" xfId="33047" xr:uid="{00000000-0005-0000-0000-0000EB7B0000}"/>
    <cellStyle name="Normal 3 19 5 3" xfId="5748" xr:uid="{00000000-0005-0000-0000-0000EC7B0000}"/>
    <cellStyle name="Normal 3 19 5 3 2" xfId="5749" xr:uid="{00000000-0005-0000-0000-0000ED7B0000}"/>
    <cellStyle name="Normal 3 19 5 3 2 2" xfId="9292" xr:uid="{00000000-0005-0000-0000-0000EE7B0000}"/>
    <cellStyle name="Normal 3 19 5 3 2 2 2" xfId="16082" xr:uid="{00000000-0005-0000-0000-0000EF7B0000}"/>
    <cellStyle name="Normal 3 19 5 3 2 2 2 2" xfId="29650" xr:uid="{00000000-0005-0000-0000-0000F07B0000}"/>
    <cellStyle name="Normal 3 19 5 3 2 2 2 2 2" xfId="56783" xr:uid="{00000000-0005-0000-0000-0000F17B0000}"/>
    <cellStyle name="Normal 3 19 5 3 2 2 2 3" xfId="43221" xr:uid="{00000000-0005-0000-0000-0000F27B0000}"/>
    <cellStyle name="Normal 3 19 5 3 2 2 3" xfId="22869" xr:uid="{00000000-0005-0000-0000-0000F37B0000}"/>
    <cellStyle name="Normal 3 19 5 3 2 2 3 2" xfId="50002" xr:uid="{00000000-0005-0000-0000-0000F47B0000}"/>
    <cellStyle name="Normal 3 19 5 3 2 2 4" xfId="36440" xr:uid="{00000000-0005-0000-0000-0000F57B0000}"/>
    <cellStyle name="Normal 3 19 5 3 2 3" xfId="12693" xr:uid="{00000000-0005-0000-0000-0000F67B0000}"/>
    <cellStyle name="Normal 3 19 5 3 2 3 2" xfId="26261" xr:uid="{00000000-0005-0000-0000-0000F77B0000}"/>
    <cellStyle name="Normal 3 19 5 3 2 3 2 2" xfId="53394" xr:uid="{00000000-0005-0000-0000-0000F87B0000}"/>
    <cellStyle name="Normal 3 19 5 3 2 3 3" xfId="39832" xr:uid="{00000000-0005-0000-0000-0000F97B0000}"/>
    <cellStyle name="Normal 3 19 5 3 2 4" xfId="19480" xr:uid="{00000000-0005-0000-0000-0000FA7B0000}"/>
    <cellStyle name="Normal 3 19 5 3 2 4 2" xfId="46613" xr:uid="{00000000-0005-0000-0000-0000FB7B0000}"/>
    <cellStyle name="Normal 3 19 5 3 2 5" xfId="33051" xr:uid="{00000000-0005-0000-0000-0000FC7B0000}"/>
    <cellStyle name="Normal 3 19 5 3 3" xfId="9291" xr:uid="{00000000-0005-0000-0000-0000FD7B0000}"/>
    <cellStyle name="Normal 3 19 5 3 3 2" xfId="16081" xr:uid="{00000000-0005-0000-0000-0000FE7B0000}"/>
    <cellStyle name="Normal 3 19 5 3 3 2 2" xfId="29649" xr:uid="{00000000-0005-0000-0000-0000FF7B0000}"/>
    <cellStyle name="Normal 3 19 5 3 3 2 2 2" xfId="56782" xr:uid="{00000000-0005-0000-0000-0000007C0000}"/>
    <cellStyle name="Normal 3 19 5 3 3 2 3" xfId="43220" xr:uid="{00000000-0005-0000-0000-0000017C0000}"/>
    <cellStyle name="Normal 3 19 5 3 3 3" xfId="22868" xr:uid="{00000000-0005-0000-0000-0000027C0000}"/>
    <cellStyle name="Normal 3 19 5 3 3 3 2" xfId="50001" xr:uid="{00000000-0005-0000-0000-0000037C0000}"/>
    <cellStyle name="Normal 3 19 5 3 3 4" xfId="36439" xr:uid="{00000000-0005-0000-0000-0000047C0000}"/>
    <cellStyle name="Normal 3 19 5 3 4" xfId="12692" xr:uid="{00000000-0005-0000-0000-0000057C0000}"/>
    <cellStyle name="Normal 3 19 5 3 4 2" xfId="26260" xr:uid="{00000000-0005-0000-0000-0000067C0000}"/>
    <cellStyle name="Normal 3 19 5 3 4 2 2" xfId="53393" xr:uid="{00000000-0005-0000-0000-0000077C0000}"/>
    <cellStyle name="Normal 3 19 5 3 4 3" xfId="39831" xr:uid="{00000000-0005-0000-0000-0000087C0000}"/>
    <cellStyle name="Normal 3 19 5 3 5" xfId="19479" xr:uid="{00000000-0005-0000-0000-0000097C0000}"/>
    <cellStyle name="Normal 3 19 5 3 5 2" xfId="46612" xr:uid="{00000000-0005-0000-0000-00000A7C0000}"/>
    <cellStyle name="Normal 3 19 5 3 6" xfId="33050" xr:uid="{00000000-0005-0000-0000-00000B7C0000}"/>
    <cellStyle name="Normal 3 19 5 4" xfId="5750" xr:uid="{00000000-0005-0000-0000-00000C7C0000}"/>
    <cellStyle name="Normal 3 19 5 4 2" xfId="9293" xr:uid="{00000000-0005-0000-0000-00000D7C0000}"/>
    <cellStyle name="Normal 3 19 5 4 2 2" xfId="16083" xr:uid="{00000000-0005-0000-0000-00000E7C0000}"/>
    <cellStyle name="Normal 3 19 5 4 2 2 2" xfId="29651" xr:uid="{00000000-0005-0000-0000-00000F7C0000}"/>
    <cellStyle name="Normal 3 19 5 4 2 2 2 2" xfId="56784" xr:uid="{00000000-0005-0000-0000-0000107C0000}"/>
    <cellStyle name="Normal 3 19 5 4 2 2 3" xfId="43222" xr:uid="{00000000-0005-0000-0000-0000117C0000}"/>
    <cellStyle name="Normal 3 19 5 4 2 3" xfId="22870" xr:uid="{00000000-0005-0000-0000-0000127C0000}"/>
    <cellStyle name="Normal 3 19 5 4 2 3 2" xfId="50003" xr:uid="{00000000-0005-0000-0000-0000137C0000}"/>
    <cellStyle name="Normal 3 19 5 4 2 4" xfId="36441" xr:uid="{00000000-0005-0000-0000-0000147C0000}"/>
    <cellStyle name="Normal 3 19 5 4 3" xfId="12694" xr:uid="{00000000-0005-0000-0000-0000157C0000}"/>
    <cellStyle name="Normal 3 19 5 4 3 2" xfId="26262" xr:uid="{00000000-0005-0000-0000-0000167C0000}"/>
    <cellStyle name="Normal 3 19 5 4 3 2 2" xfId="53395" xr:uid="{00000000-0005-0000-0000-0000177C0000}"/>
    <cellStyle name="Normal 3 19 5 4 3 3" xfId="39833" xr:uid="{00000000-0005-0000-0000-0000187C0000}"/>
    <cellStyle name="Normal 3 19 5 4 4" xfId="19481" xr:uid="{00000000-0005-0000-0000-0000197C0000}"/>
    <cellStyle name="Normal 3 19 5 4 4 2" xfId="46614" xr:uid="{00000000-0005-0000-0000-00001A7C0000}"/>
    <cellStyle name="Normal 3 19 5 4 5" xfId="33052" xr:uid="{00000000-0005-0000-0000-00001B7C0000}"/>
    <cellStyle name="Normal 3 19 5 5" xfId="5751" xr:uid="{00000000-0005-0000-0000-00001C7C0000}"/>
    <cellStyle name="Normal 3 19 5 5 2" xfId="9294" xr:uid="{00000000-0005-0000-0000-00001D7C0000}"/>
    <cellStyle name="Normal 3 19 5 5 2 2" xfId="16084" xr:uid="{00000000-0005-0000-0000-00001E7C0000}"/>
    <cellStyle name="Normal 3 19 5 5 2 2 2" xfId="29652" xr:uid="{00000000-0005-0000-0000-00001F7C0000}"/>
    <cellStyle name="Normal 3 19 5 5 2 2 2 2" xfId="56785" xr:uid="{00000000-0005-0000-0000-0000207C0000}"/>
    <cellStyle name="Normal 3 19 5 5 2 2 3" xfId="43223" xr:uid="{00000000-0005-0000-0000-0000217C0000}"/>
    <cellStyle name="Normal 3 19 5 5 2 3" xfId="22871" xr:uid="{00000000-0005-0000-0000-0000227C0000}"/>
    <cellStyle name="Normal 3 19 5 5 2 3 2" xfId="50004" xr:uid="{00000000-0005-0000-0000-0000237C0000}"/>
    <cellStyle name="Normal 3 19 5 5 2 4" xfId="36442" xr:uid="{00000000-0005-0000-0000-0000247C0000}"/>
    <cellStyle name="Normal 3 19 5 5 3" xfId="12695" xr:uid="{00000000-0005-0000-0000-0000257C0000}"/>
    <cellStyle name="Normal 3 19 5 5 3 2" xfId="26263" xr:uid="{00000000-0005-0000-0000-0000267C0000}"/>
    <cellStyle name="Normal 3 19 5 5 3 2 2" xfId="53396" xr:uid="{00000000-0005-0000-0000-0000277C0000}"/>
    <cellStyle name="Normal 3 19 5 5 3 3" xfId="39834" xr:uid="{00000000-0005-0000-0000-0000287C0000}"/>
    <cellStyle name="Normal 3 19 5 5 4" xfId="19482" xr:uid="{00000000-0005-0000-0000-0000297C0000}"/>
    <cellStyle name="Normal 3 19 5 5 4 2" xfId="46615" xr:uid="{00000000-0005-0000-0000-00002A7C0000}"/>
    <cellStyle name="Normal 3 19 5 5 5" xfId="33053" xr:uid="{00000000-0005-0000-0000-00002B7C0000}"/>
    <cellStyle name="Normal 3 19 5 6" xfId="9287" xr:uid="{00000000-0005-0000-0000-00002C7C0000}"/>
    <cellStyle name="Normal 3 19 5 6 2" xfId="16077" xr:uid="{00000000-0005-0000-0000-00002D7C0000}"/>
    <cellStyle name="Normal 3 19 5 6 2 2" xfId="29645" xr:uid="{00000000-0005-0000-0000-00002E7C0000}"/>
    <cellStyle name="Normal 3 19 5 6 2 2 2" xfId="56778" xr:uid="{00000000-0005-0000-0000-00002F7C0000}"/>
    <cellStyle name="Normal 3 19 5 6 2 3" xfId="43216" xr:uid="{00000000-0005-0000-0000-0000307C0000}"/>
    <cellStyle name="Normal 3 19 5 6 3" xfId="22864" xr:uid="{00000000-0005-0000-0000-0000317C0000}"/>
    <cellStyle name="Normal 3 19 5 6 3 2" xfId="49997" xr:uid="{00000000-0005-0000-0000-0000327C0000}"/>
    <cellStyle name="Normal 3 19 5 6 4" xfId="36435" xr:uid="{00000000-0005-0000-0000-0000337C0000}"/>
    <cellStyle name="Normal 3 19 5 7" xfId="12688" xr:uid="{00000000-0005-0000-0000-0000347C0000}"/>
    <cellStyle name="Normal 3 19 5 7 2" xfId="26256" xr:uid="{00000000-0005-0000-0000-0000357C0000}"/>
    <cellStyle name="Normal 3 19 5 7 2 2" xfId="53389" xr:uid="{00000000-0005-0000-0000-0000367C0000}"/>
    <cellStyle name="Normal 3 19 5 7 3" xfId="39827" xr:uid="{00000000-0005-0000-0000-0000377C0000}"/>
    <cellStyle name="Normal 3 19 5 8" xfId="19475" xr:uid="{00000000-0005-0000-0000-0000387C0000}"/>
    <cellStyle name="Normal 3 19 5 8 2" xfId="46608" xr:uid="{00000000-0005-0000-0000-0000397C0000}"/>
    <cellStyle name="Normal 3 19 5 9" xfId="33046" xr:uid="{00000000-0005-0000-0000-00003A7C0000}"/>
    <cellStyle name="Normal 3 19 6" xfId="5752" xr:uid="{00000000-0005-0000-0000-00003B7C0000}"/>
    <cellStyle name="Normal 3 19 6 2" xfId="5753" xr:uid="{00000000-0005-0000-0000-00003C7C0000}"/>
    <cellStyle name="Normal 3 19 6 2 2" xfId="5754" xr:uid="{00000000-0005-0000-0000-00003D7C0000}"/>
    <cellStyle name="Normal 3 19 6 2 2 2" xfId="9297" xr:uid="{00000000-0005-0000-0000-00003E7C0000}"/>
    <cellStyle name="Normal 3 19 6 2 2 2 2" xfId="16087" xr:uid="{00000000-0005-0000-0000-00003F7C0000}"/>
    <cellStyle name="Normal 3 19 6 2 2 2 2 2" xfId="29655" xr:uid="{00000000-0005-0000-0000-0000407C0000}"/>
    <cellStyle name="Normal 3 19 6 2 2 2 2 2 2" xfId="56788" xr:uid="{00000000-0005-0000-0000-0000417C0000}"/>
    <cellStyle name="Normal 3 19 6 2 2 2 2 3" xfId="43226" xr:uid="{00000000-0005-0000-0000-0000427C0000}"/>
    <cellStyle name="Normal 3 19 6 2 2 2 3" xfId="22874" xr:uid="{00000000-0005-0000-0000-0000437C0000}"/>
    <cellStyle name="Normal 3 19 6 2 2 2 3 2" xfId="50007" xr:uid="{00000000-0005-0000-0000-0000447C0000}"/>
    <cellStyle name="Normal 3 19 6 2 2 2 4" xfId="36445" xr:uid="{00000000-0005-0000-0000-0000457C0000}"/>
    <cellStyle name="Normal 3 19 6 2 2 3" xfId="12698" xr:uid="{00000000-0005-0000-0000-0000467C0000}"/>
    <cellStyle name="Normal 3 19 6 2 2 3 2" xfId="26266" xr:uid="{00000000-0005-0000-0000-0000477C0000}"/>
    <cellStyle name="Normal 3 19 6 2 2 3 2 2" xfId="53399" xr:uid="{00000000-0005-0000-0000-0000487C0000}"/>
    <cellStyle name="Normal 3 19 6 2 2 3 3" xfId="39837" xr:uid="{00000000-0005-0000-0000-0000497C0000}"/>
    <cellStyle name="Normal 3 19 6 2 2 4" xfId="19485" xr:uid="{00000000-0005-0000-0000-00004A7C0000}"/>
    <cellStyle name="Normal 3 19 6 2 2 4 2" xfId="46618" xr:uid="{00000000-0005-0000-0000-00004B7C0000}"/>
    <cellStyle name="Normal 3 19 6 2 2 5" xfId="33056" xr:uid="{00000000-0005-0000-0000-00004C7C0000}"/>
    <cellStyle name="Normal 3 19 6 2 3" xfId="5755" xr:uid="{00000000-0005-0000-0000-00004D7C0000}"/>
    <cellStyle name="Normal 3 19 6 2 3 2" xfId="9298" xr:uid="{00000000-0005-0000-0000-00004E7C0000}"/>
    <cellStyle name="Normal 3 19 6 2 3 2 2" xfId="16088" xr:uid="{00000000-0005-0000-0000-00004F7C0000}"/>
    <cellStyle name="Normal 3 19 6 2 3 2 2 2" xfId="29656" xr:uid="{00000000-0005-0000-0000-0000507C0000}"/>
    <cellStyle name="Normal 3 19 6 2 3 2 2 2 2" xfId="56789" xr:uid="{00000000-0005-0000-0000-0000517C0000}"/>
    <cellStyle name="Normal 3 19 6 2 3 2 2 3" xfId="43227" xr:uid="{00000000-0005-0000-0000-0000527C0000}"/>
    <cellStyle name="Normal 3 19 6 2 3 2 3" xfId="22875" xr:uid="{00000000-0005-0000-0000-0000537C0000}"/>
    <cellStyle name="Normal 3 19 6 2 3 2 3 2" xfId="50008" xr:uid="{00000000-0005-0000-0000-0000547C0000}"/>
    <cellStyle name="Normal 3 19 6 2 3 2 4" xfId="36446" xr:uid="{00000000-0005-0000-0000-0000557C0000}"/>
    <cellStyle name="Normal 3 19 6 2 3 3" xfId="12699" xr:uid="{00000000-0005-0000-0000-0000567C0000}"/>
    <cellStyle name="Normal 3 19 6 2 3 3 2" xfId="26267" xr:uid="{00000000-0005-0000-0000-0000577C0000}"/>
    <cellStyle name="Normal 3 19 6 2 3 3 2 2" xfId="53400" xr:uid="{00000000-0005-0000-0000-0000587C0000}"/>
    <cellStyle name="Normal 3 19 6 2 3 3 3" xfId="39838" xr:uid="{00000000-0005-0000-0000-0000597C0000}"/>
    <cellStyle name="Normal 3 19 6 2 3 4" xfId="19486" xr:uid="{00000000-0005-0000-0000-00005A7C0000}"/>
    <cellStyle name="Normal 3 19 6 2 3 4 2" xfId="46619" xr:uid="{00000000-0005-0000-0000-00005B7C0000}"/>
    <cellStyle name="Normal 3 19 6 2 3 5" xfId="33057" xr:uid="{00000000-0005-0000-0000-00005C7C0000}"/>
    <cellStyle name="Normal 3 19 6 2 4" xfId="9296" xr:uid="{00000000-0005-0000-0000-00005D7C0000}"/>
    <cellStyle name="Normal 3 19 6 2 4 2" xfId="16086" xr:uid="{00000000-0005-0000-0000-00005E7C0000}"/>
    <cellStyle name="Normal 3 19 6 2 4 2 2" xfId="29654" xr:uid="{00000000-0005-0000-0000-00005F7C0000}"/>
    <cellStyle name="Normal 3 19 6 2 4 2 2 2" xfId="56787" xr:uid="{00000000-0005-0000-0000-0000607C0000}"/>
    <cellStyle name="Normal 3 19 6 2 4 2 3" xfId="43225" xr:uid="{00000000-0005-0000-0000-0000617C0000}"/>
    <cellStyle name="Normal 3 19 6 2 4 3" xfId="22873" xr:uid="{00000000-0005-0000-0000-0000627C0000}"/>
    <cellStyle name="Normal 3 19 6 2 4 3 2" xfId="50006" xr:uid="{00000000-0005-0000-0000-0000637C0000}"/>
    <cellStyle name="Normal 3 19 6 2 4 4" xfId="36444" xr:uid="{00000000-0005-0000-0000-0000647C0000}"/>
    <cellStyle name="Normal 3 19 6 2 5" xfId="12697" xr:uid="{00000000-0005-0000-0000-0000657C0000}"/>
    <cellStyle name="Normal 3 19 6 2 5 2" xfId="26265" xr:uid="{00000000-0005-0000-0000-0000667C0000}"/>
    <cellStyle name="Normal 3 19 6 2 5 2 2" xfId="53398" xr:uid="{00000000-0005-0000-0000-0000677C0000}"/>
    <cellStyle name="Normal 3 19 6 2 5 3" xfId="39836" xr:uid="{00000000-0005-0000-0000-0000687C0000}"/>
    <cellStyle name="Normal 3 19 6 2 6" xfId="19484" xr:uid="{00000000-0005-0000-0000-0000697C0000}"/>
    <cellStyle name="Normal 3 19 6 2 6 2" xfId="46617" xr:uid="{00000000-0005-0000-0000-00006A7C0000}"/>
    <cellStyle name="Normal 3 19 6 2 7" xfId="33055" xr:uid="{00000000-0005-0000-0000-00006B7C0000}"/>
    <cellStyle name="Normal 3 19 6 3" xfId="5756" xr:uid="{00000000-0005-0000-0000-00006C7C0000}"/>
    <cellStyle name="Normal 3 19 6 3 2" xfId="9299" xr:uid="{00000000-0005-0000-0000-00006D7C0000}"/>
    <cellStyle name="Normal 3 19 6 3 2 2" xfId="16089" xr:uid="{00000000-0005-0000-0000-00006E7C0000}"/>
    <cellStyle name="Normal 3 19 6 3 2 2 2" xfId="29657" xr:uid="{00000000-0005-0000-0000-00006F7C0000}"/>
    <cellStyle name="Normal 3 19 6 3 2 2 2 2" xfId="56790" xr:uid="{00000000-0005-0000-0000-0000707C0000}"/>
    <cellStyle name="Normal 3 19 6 3 2 2 3" xfId="43228" xr:uid="{00000000-0005-0000-0000-0000717C0000}"/>
    <cellStyle name="Normal 3 19 6 3 2 3" xfId="22876" xr:uid="{00000000-0005-0000-0000-0000727C0000}"/>
    <cellStyle name="Normal 3 19 6 3 2 3 2" xfId="50009" xr:uid="{00000000-0005-0000-0000-0000737C0000}"/>
    <cellStyle name="Normal 3 19 6 3 2 4" xfId="36447" xr:uid="{00000000-0005-0000-0000-0000747C0000}"/>
    <cellStyle name="Normal 3 19 6 3 3" xfId="12700" xr:uid="{00000000-0005-0000-0000-0000757C0000}"/>
    <cellStyle name="Normal 3 19 6 3 3 2" xfId="26268" xr:uid="{00000000-0005-0000-0000-0000767C0000}"/>
    <cellStyle name="Normal 3 19 6 3 3 2 2" xfId="53401" xr:uid="{00000000-0005-0000-0000-0000777C0000}"/>
    <cellStyle name="Normal 3 19 6 3 3 3" xfId="39839" xr:uid="{00000000-0005-0000-0000-0000787C0000}"/>
    <cellStyle name="Normal 3 19 6 3 4" xfId="19487" xr:uid="{00000000-0005-0000-0000-0000797C0000}"/>
    <cellStyle name="Normal 3 19 6 3 4 2" xfId="46620" xr:uid="{00000000-0005-0000-0000-00007A7C0000}"/>
    <cellStyle name="Normal 3 19 6 3 5" xfId="33058" xr:uid="{00000000-0005-0000-0000-00007B7C0000}"/>
    <cellStyle name="Normal 3 19 6 4" xfId="5757" xr:uid="{00000000-0005-0000-0000-00007C7C0000}"/>
    <cellStyle name="Normal 3 19 6 4 2" xfId="9300" xr:uid="{00000000-0005-0000-0000-00007D7C0000}"/>
    <cellStyle name="Normal 3 19 6 4 2 2" xfId="16090" xr:uid="{00000000-0005-0000-0000-00007E7C0000}"/>
    <cellStyle name="Normal 3 19 6 4 2 2 2" xfId="29658" xr:uid="{00000000-0005-0000-0000-00007F7C0000}"/>
    <cellStyle name="Normal 3 19 6 4 2 2 2 2" xfId="56791" xr:uid="{00000000-0005-0000-0000-0000807C0000}"/>
    <cellStyle name="Normal 3 19 6 4 2 2 3" xfId="43229" xr:uid="{00000000-0005-0000-0000-0000817C0000}"/>
    <cellStyle name="Normal 3 19 6 4 2 3" xfId="22877" xr:uid="{00000000-0005-0000-0000-0000827C0000}"/>
    <cellStyle name="Normal 3 19 6 4 2 3 2" xfId="50010" xr:uid="{00000000-0005-0000-0000-0000837C0000}"/>
    <cellStyle name="Normal 3 19 6 4 2 4" xfId="36448" xr:uid="{00000000-0005-0000-0000-0000847C0000}"/>
    <cellStyle name="Normal 3 19 6 4 3" xfId="12701" xr:uid="{00000000-0005-0000-0000-0000857C0000}"/>
    <cellStyle name="Normal 3 19 6 4 3 2" xfId="26269" xr:uid="{00000000-0005-0000-0000-0000867C0000}"/>
    <cellStyle name="Normal 3 19 6 4 3 2 2" xfId="53402" xr:uid="{00000000-0005-0000-0000-0000877C0000}"/>
    <cellStyle name="Normal 3 19 6 4 3 3" xfId="39840" xr:uid="{00000000-0005-0000-0000-0000887C0000}"/>
    <cellStyle name="Normal 3 19 6 4 4" xfId="19488" xr:uid="{00000000-0005-0000-0000-0000897C0000}"/>
    <cellStyle name="Normal 3 19 6 4 4 2" xfId="46621" xr:uid="{00000000-0005-0000-0000-00008A7C0000}"/>
    <cellStyle name="Normal 3 19 6 4 5" xfId="33059" xr:uid="{00000000-0005-0000-0000-00008B7C0000}"/>
    <cellStyle name="Normal 3 19 6 5" xfId="9295" xr:uid="{00000000-0005-0000-0000-00008C7C0000}"/>
    <cellStyle name="Normal 3 19 6 5 2" xfId="16085" xr:uid="{00000000-0005-0000-0000-00008D7C0000}"/>
    <cellStyle name="Normal 3 19 6 5 2 2" xfId="29653" xr:uid="{00000000-0005-0000-0000-00008E7C0000}"/>
    <cellStyle name="Normal 3 19 6 5 2 2 2" xfId="56786" xr:uid="{00000000-0005-0000-0000-00008F7C0000}"/>
    <cellStyle name="Normal 3 19 6 5 2 3" xfId="43224" xr:uid="{00000000-0005-0000-0000-0000907C0000}"/>
    <cellStyle name="Normal 3 19 6 5 3" xfId="22872" xr:uid="{00000000-0005-0000-0000-0000917C0000}"/>
    <cellStyle name="Normal 3 19 6 5 3 2" xfId="50005" xr:uid="{00000000-0005-0000-0000-0000927C0000}"/>
    <cellStyle name="Normal 3 19 6 5 4" xfId="36443" xr:uid="{00000000-0005-0000-0000-0000937C0000}"/>
    <cellStyle name="Normal 3 19 6 6" xfId="12696" xr:uid="{00000000-0005-0000-0000-0000947C0000}"/>
    <cellStyle name="Normal 3 19 6 6 2" xfId="26264" xr:uid="{00000000-0005-0000-0000-0000957C0000}"/>
    <cellStyle name="Normal 3 19 6 6 2 2" xfId="53397" xr:uid="{00000000-0005-0000-0000-0000967C0000}"/>
    <cellStyle name="Normal 3 19 6 6 3" xfId="39835" xr:uid="{00000000-0005-0000-0000-0000977C0000}"/>
    <cellStyle name="Normal 3 19 6 7" xfId="19483" xr:uid="{00000000-0005-0000-0000-0000987C0000}"/>
    <cellStyle name="Normal 3 19 6 7 2" xfId="46616" xr:uid="{00000000-0005-0000-0000-0000997C0000}"/>
    <cellStyle name="Normal 3 19 6 8" xfId="33054" xr:uid="{00000000-0005-0000-0000-00009A7C0000}"/>
    <cellStyle name="Normal 3 19 7" xfId="5758" xr:uid="{00000000-0005-0000-0000-00009B7C0000}"/>
    <cellStyle name="Normal 3 19 7 2" xfId="5759" xr:uid="{00000000-0005-0000-0000-00009C7C0000}"/>
    <cellStyle name="Normal 3 19 7 2 2" xfId="5760" xr:uid="{00000000-0005-0000-0000-00009D7C0000}"/>
    <cellStyle name="Normal 3 19 7 2 2 2" xfId="9303" xr:uid="{00000000-0005-0000-0000-00009E7C0000}"/>
    <cellStyle name="Normal 3 19 7 2 2 2 2" xfId="16093" xr:uid="{00000000-0005-0000-0000-00009F7C0000}"/>
    <cellStyle name="Normal 3 19 7 2 2 2 2 2" xfId="29661" xr:uid="{00000000-0005-0000-0000-0000A07C0000}"/>
    <cellStyle name="Normal 3 19 7 2 2 2 2 2 2" xfId="56794" xr:uid="{00000000-0005-0000-0000-0000A17C0000}"/>
    <cellStyle name="Normal 3 19 7 2 2 2 2 3" xfId="43232" xr:uid="{00000000-0005-0000-0000-0000A27C0000}"/>
    <cellStyle name="Normal 3 19 7 2 2 2 3" xfId="22880" xr:uid="{00000000-0005-0000-0000-0000A37C0000}"/>
    <cellStyle name="Normal 3 19 7 2 2 2 3 2" xfId="50013" xr:uid="{00000000-0005-0000-0000-0000A47C0000}"/>
    <cellStyle name="Normal 3 19 7 2 2 2 4" xfId="36451" xr:uid="{00000000-0005-0000-0000-0000A57C0000}"/>
    <cellStyle name="Normal 3 19 7 2 2 3" xfId="12704" xr:uid="{00000000-0005-0000-0000-0000A67C0000}"/>
    <cellStyle name="Normal 3 19 7 2 2 3 2" xfId="26272" xr:uid="{00000000-0005-0000-0000-0000A77C0000}"/>
    <cellStyle name="Normal 3 19 7 2 2 3 2 2" xfId="53405" xr:uid="{00000000-0005-0000-0000-0000A87C0000}"/>
    <cellStyle name="Normal 3 19 7 2 2 3 3" xfId="39843" xr:uid="{00000000-0005-0000-0000-0000A97C0000}"/>
    <cellStyle name="Normal 3 19 7 2 2 4" xfId="19491" xr:uid="{00000000-0005-0000-0000-0000AA7C0000}"/>
    <cellStyle name="Normal 3 19 7 2 2 4 2" xfId="46624" xr:uid="{00000000-0005-0000-0000-0000AB7C0000}"/>
    <cellStyle name="Normal 3 19 7 2 2 5" xfId="33062" xr:uid="{00000000-0005-0000-0000-0000AC7C0000}"/>
    <cellStyle name="Normal 3 19 7 2 3" xfId="5761" xr:uid="{00000000-0005-0000-0000-0000AD7C0000}"/>
    <cellStyle name="Normal 3 19 7 2 3 2" xfId="9304" xr:uid="{00000000-0005-0000-0000-0000AE7C0000}"/>
    <cellStyle name="Normal 3 19 7 2 3 2 2" xfId="16094" xr:uid="{00000000-0005-0000-0000-0000AF7C0000}"/>
    <cellStyle name="Normal 3 19 7 2 3 2 2 2" xfId="29662" xr:uid="{00000000-0005-0000-0000-0000B07C0000}"/>
    <cellStyle name="Normal 3 19 7 2 3 2 2 2 2" xfId="56795" xr:uid="{00000000-0005-0000-0000-0000B17C0000}"/>
    <cellStyle name="Normal 3 19 7 2 3 2 2 3" xfId="43233" xr:uid="{00000000-0005-0000-0000-0000B27C0000}"/>
    <cellStyle name="Normal 3 19 7 2 3 2 3" xfId="22881" xr:uid="{00000000-0005-0000-0000-0000B37C0000}"/>
    <cellStyle name="Normal 3 19 7 2 3 2 3 2" xfId="50014" xr:uid="{00000000-0005-0000-0000-0000B47C0000}"/>
    <cellStyle name="Normal 3 19 7 2 3 2 4" xfId="36452" xr:uid="{00000000-0005-0000-0000-0000B57C0000}"/>
    <cellStyle name="Normal 3 19 7 2 3 3" xfId="12705" xr:uid="{00000000-0005-0000-0000-0000B67C0000}"/>
    <cellStyle name="Normal 3 19 7 2 3 3 2" xfId="26273" xr:uid="{00000000-0005-0000-0000-0000B77C0000}"/>
    <cellStyle name="Normal 3 19 7 2 3 3 2 2" xfId="53406" xr:uid="{00000000-0005-0000-0000-0000B87C0000}"/>
    <cellStyle name="Normal 3 19 7 2 3 3 3" xfId="39844" xr:uid="{00000000-0005-0000-0000-0000B97C0000}"/>
    <cellStyle name="Normal 3 19 7 2 3 4" xfId="19492" xr:uid="{00000000-0005-0000-0000-0000BA7C0000}"/>
    <cellStyle name="Normal 3 19 7 2 3 4 2" xfId="46625" xr:uid="{00000000-0005-0000-0000-0000BB7C0000}"/>
    <cellStyle name="Normal 3 19 7 2 3 5" xfId="33063" xr:uid="{00000000-0005-0000-0000-0000BC7C0000}"/>
    <cellStyle name="Normal 3 19 7 2 4" xfId="9302" xr:uid="{00000000-0005-0000-0000-0000BD7C0000}"/>
    <cellStyle name="Normal 3 19 7 2 4 2" xfId="16092" xr:uid="{00000000-0005-0000-0000-0000BE7C0000}"/>
    <cellStyle name="Normal 3 19 7 2 4 2 2" xfId="29660" xr:uid="{00000000-0005-0000-0000-0000BF7C0000}"/>
    <cellStyle name="Normal 3 19 7 2 4 2 2 2" xfId="56793" xr:uid="{00000000-0005-0000-0000-0000C07C0000}"/>
    <cellStyle name="Normal 3 19 7 2 4 2 3" xfId="43231" xr:uid="{00000000-0005-0000-0000-0000C17C0000}"/>
    <cellStyle name="Normal 3 19 7 2 4 3" xfId="22879" xr:uid="{00000000-0005-0000-0000-0000C27C0000}"/>
    <cellStyle name="Normal 3 19 7 2 4 3 2" xfId="50012" xr:uid="{00000000-0005-0000-0000-0000C37C0000}"/>
    <cellStyle name="Normal 3 19 7 2 4 4" xfId="36450" xr:uid="{00000000-0005-0000-0000-0000C47C0000}"/>
    <cellStyle name="Normal 3 19 7 2 5" xfId="12703" xr:uid="{00000000-0005-0000-0000-0000C57C0000}"/>
    <cellStyle name="Normal 3 19 7 2 5 2" xfId="26271" xr:uid="{00000000-0005-0000-0000-0000C67C0000}"/>
    <cellStyle name="Normal 3 19 7 2 5 2 2" xfId="53404" xr:uid="{00000000-0005-0000-0000-0000C77C0000}"/>
    <cellStyle name="Normal 3 19 7 2 5 3" xfId="39842" xr:uid="{00000000-0005-0000-0000-0000C87C0000}"/>
    <cellStyle name="Normal 3 19 7 2 6" xfId="19490" xr:uid="{00000000-0005-0000-0000-0000C97C0000}"/>
    <cellStyle name="Normal 3 19 7 2 6 2" xfId="46623" xr:uid="{00000000-0005-0000-0000-0000CA7C0000}"/>
    <cellStyle name="Normal 3 19 7 2 7" xfId="33061" xr:uid="{00000000-0005-0000-0000-0000CB7C0000}"/>
    <cellStyle name="Normal 3 19 7 3" xfId="5762" xr:uid="{00000000-0005-0000-0000-0000CC7C0000}"/>
    <cellStyle name="Normal 3 19 7 3 2" xfId="9305" xr:uid="{00000000-0005-0000-0000-0000CD7C0000}"/>
    <cellStyle name="Normal 3 19 7 3 2 2" xfId="16095" xr:uid="{00000000-0005-0000-0000-0000CE7C0000}"/>
    <cellStyle name="Normal 3 19 7 3 2 2 2" xfId="29663" xr:uid="{00000000-0005-0000-0000-0000CF7C0000}"/>
    <cellStyle name="Normal 3 19 7 3 2 2 2 2" xfId="56796" xr:uid="{00000000-0005-0000-0000-0000D07C0000}"/>
    <cellStyle name="Normal 3 19 7 3 2 2 3" xfId="43234" xr:uid="{00000000-0005-0000-0000-0000D17C0000}"/>
    <cellStyle name="Normal 3 19 7 3 2 3" xfId="22882" xr:uid="{00000000-0005-0000-0000-0000D27C0000}"/>
    <cellStyle name="Normal 3 19 7 3 2 3 2" xfId="50015" xr:uid="{00000000-0005-0000-0000-0000D37C0000}"/>
    <cellStyle name="Normal 3 19 7 3 2 4" xfId="36453" xr:uid="{00000000-0005-0000-0000-0000D47C0000}"/>
    <cellStyle name="Normal 3 19 7 3 3" xfId="12706" xr:uid="{00000000-0005-0000-0000-0000D57C0000}"/>
    <cellStyle name="Normal 3 19 7 3 3 2" xfId="26274" xr:uid="{00000000-0005-0000-0000-0000D67C0000}"/>
    <cellStyle name="Normal 3 19 7 3 3 2 2" xfId="53407" xr:uid="{00000000-0005-0000-0000-0000D77C0000}"/>
    <cellStyle name="Normal 3 19 7 3 3 3" xfId="39845" xr:uid="{00000000-0005-0000-0000-0000D87C0000}"/>
    <cellStyle name="Normal 3 19 7 3 4" xfId="19493" xr:uid="{00000000-0005-0000-0000-0000D97C0000}"/>
    <cellStyle name="Normal 3 19 7 3 4 2" xfId="46626" xr:uid="{00000000-0005-0000-0000-0000DA7C0000}"/>
    <cellStyle name="Normal 3 19 7 3 5" xfId="33064" xr:uid="{00000000-0005-0000-0000-0000DB7C0000}"/>
    <cellStyle name="Normal 3 19 7 4" xfId="5763" xr:uid="{00000000-0005-0000-0000-0000DC7C0000}"/>
    <cellStyle name="Normal 3 19 7 4 2" xfId="9306" xr:uid="{00000000-0005-0000-0000-0000DD7C0000}"/>
    <cellStyle name="Normal 3 19 7 4 2 2" xfId="16096" xr:uid="{00000000-0005-0000-0000-0000DE7C0000}"/>
    <cellStyle name="Normal 3 19 7 4 2 2 2" xfId="29664" xr:uid="{00000000-0005-0000-0000-0000DF7C0000}"/>
    <cellStyle name="Normal 3 19 7 4 2 2 2 2" xfId="56797" xr:uid="{00000000-0005-0000-0000-0000E07C0000}"/>
    <cellStyle name="Normal 3 19 7 4 2 2 3" xfId="43235" xr:uid="{00000000-0005-0000-0000-0000E17C0000}"/>
    <cellStyle name="Normal 3 19 7 4 2 3" xfId="22883" xr:uid="{00000000-0005-0000-0000-0000E27C0000}"/>
    <cellStyle name="Normal 3 19 7 4 2 3 2" xfId="50016" xr:uid="{00000000-0005-0000-0000-0000E37C0000}"/>
    <cellStyle name="Normal 3 19 7 4 2 4" xfId="36454" xr:uid="{00000000-0005-0000-0000-0000E47C0000}"/>
    <cellStyle name="Normal 3 19 7 4 3" xfId="12707" xr:uid="{00000000-0005-0000-0000-0000E57C0000}"/>
    <cellStyle name="Normal 3 19 7 4 3 2" xfId="26275" xr:uid="{00000000-0005-0000-0000-0000E67C0000}"/>
    <cellStyle name="Normal 3 19 7 4 3 2 2" xfId="53408" xr:uid="{00000000-0005-0000-0000-0000E77C0000}"/>
    <cellStyle name="Normal 3 19 7 4 3 3" xfId="39846" xr:uid="{00000000-0005-0000-0000-0000E87C0000}"/>
    <cellStyle name="Normal 3 19 7 4 4" xfId="19494" xr:uid="{00000000-0005-0000-0000-0000E97C0000}"/>
    <cellStyle name="Normal 3 19 7 4 4 2" xfId="46627" xr:uid="{00000000-0005-0000-0000-0000EA7C0000}"/>
    <cellStyle name="Normal 3 19 7 4 5" xfId="33065" xr:uid="{00000000-0005-0000-0000-0000EB7C0000}"/>
    <cellStyle name="Normal 3 19 7 5" xfId="9301" xr:uid="{00000000-0005-0000-0000-0000EC7C0000}"/>
    <cellStyle name="Normal 3 19 7 5 2" xfId="16091" xr:uid="{00000000-0005-0000-0000-0000ED7C0000}"/>
    <cellStyle name="Normal 3 19 7 5 2 2" xfId="29659" xr:uid="{00000000-0005-0000-0000-0000EE7C0000}"/>
    <cellStyle name="Normal 3 19 7 5 2 2 2" xfId="56792" xr:uid="{00000000-0005-0000-0000-0000EF7C0000}"/>
    <cellStyle name="Normal 3 19 7 5 2 3" xfId="43230" xr:uid="{00000000-0005-0000-0000-0000F07C0000}"/>
    <cellStyle name="Normal 3 19 7 5 3" xfId="22878" xr:uid="{00000000-0005-0000-0000-0000F17C0000}"/>
    <cellStyle name="Normal 3 19 7 5 3 2" xfId="50011" xr:uid="{00000000-0005-0000-0000-0000F27C0000}"/>
    <cellStyle name="Normal 3 19 7 5 4" xfId="36449" xr:uid="{00000000-0005-0000-0000-0000F37C0000}"/>
    <cellStyle name="Normal 3 19 7 6" xfId="12702" xr:uid="{00000000-0005-0000-0000-0000F47C0000}"/>
    <cellStyle name="Normal 3 19 7 6 2" xfId="26270" xr:uid="{00000000-0005-0000-0000-0000F57C0000}"/>
    <cellStyle name="Normal 3 19 7 6 2 2" xfId="53403" xr:uid="{00000000-0005-0000-0000-0000F67C0000}"/>
    <cellStyle name="Normal 3 19 7 6 3" xfId="39841" xr:uid="{00000000-0005-0000-0000-0000F77C0000}"/>
    <cellStyle name="Normal 3 19 7 7" xfId="19489" xr:uid="{00000000-0005-0000-0000-0000F87C0000}"/>
    <cellStyle name="Normal 3 19 7 7 2" xfId="46622" xr:uid="{00000000-0005-0000-0000-0000F97C0000}"/>
    <cellStyle name="Normal 3 19 7 8" xfId="33060" xr:uid="{00000000-0005-0000-0000-0000FA7C0000}"/>
    <cellStyle name="Normal 3 19 8" xfId="5764" xr:uid="{00000000-0005-0000-0000-0000FB7C0000}"/>
    <cellStyle name="Normal 3 19 8 2" xfId="5765" xr:uid="{00000000-0005-0000-0000-0000FC7C0000}"/>
    <cellStyle name="Normal 3 19 8 2 2" xfId="9308" xr:uid="{00000000-0005-0000-0000-0000FD7C0000}"/>
    <cellStyle name="Normal 3 19 8 2 2 2" xfId="16098" xr:uid="{00000000-0005-0000-0000-0000FE7C0000}"/>
    <cellStyle name="Normal 3 19 8 2 2 2 2" xfId="29666" xr:uid="{00000000-0005-0000-0000-0000FF7C0000}"/>
    <cellStyle name="Normal 3 19 8 2 2 2 2 2" xfId="56799" xr:uid="{00000000-0005-0000-0000-0000007D0000}"/>
    <cellStyle name="Normal 3 19 8 2 2 2 3" xfId="43237" xr:uid="{00000000-0005-0000-0000-0000017D0000}"/>
    <cellStyle name="Normal 3 19 8 2 2 3" xfId="22885" xr:uid="{00000000-0005-0000-0000-0000027D0000}"/>
    <cellStyle name="Normal 3 19 8 2 2 3 2" xfId="50018" xr:uid="{00000000-0005-0000-0000-0000037D0000}"/>
    <cellStyle name="Normal 3 19 8 2 2 4" xfId="36456" xr:uid="{00000000-0005-0000-0000-0000047D0000}"/>
    <cellStyle name="Normal 3 19 8 2 3" xfId="12709" xr:uid="{00000000-0005-0000-0000-0000057D0000}"/>
    <cellStyle name="Normal 3 19 8 2 3 2" xfId="26277" xr:uid="{00000000-0005-0000-0000-0000067D0000}"/>
    <cellStyle name="Normal 3 19 8 2 3 2 2" xfId="53410" xr:uid="{00000000-0005-0000-0000-0000077D0000}"/>
    <cellStyle name="Normal 3 19 8 2 3 3" xfId="39848" xr:uid="{00000000-0005-0000-0000-0000087D0000}"/>
    <cellStyle name="Normal 3 19 8 2 4" xfId="19496" xr:uid="{00000000-0005-0000-0000-0000097D0000}"/>
    <cellStyle name="Normal 3 19 8 2 4 2" xfId="46629" xr:uid="{00000000-0005-0000-0000-00000A7D0000}"/>
    <cellStyle name="Normal 3 19 8 2 5" xfId="33067" xr:uid="{00000000-0005-0000-0000-00000B7D0000}"/>
    <cellStyle name="Normal 3 19 8 3" xfId="5766" xr:uid="{00000000-0005-0000-0000-00000C7D0000}"/>
    <cellStyle name="Normal 3 19 8 3 2" xfId="9309" xr:uid="{00000000-0005-0000-0000-00000D7D0000}"/>
    <cellStyle name="Normal 3 19 8 3 2 2" xfId="16099" xr:uid="{00000000-0005-0000-0000-00000E7D0000}"/>
    <cellStyle name="Normal 3 19 8 3 2 2 2" xfId="29667" xr:uid="{00000000-0005-0000-0000-00000F7D0000}"/>
    <cellStyle name="Normal 3 19 8 3 2 2 2 2" xfId="56800" xr:uid="{00000000-0005-0000-0000-0000107D0000}"/>
    <cellStyle name="Normal 3 19 8 3 2 2 3" xfId="43238" xr:uid="{00000000-0005-0000-0000-0000117D0000}"/>
    <cellStyle name="Normal 3 19 8 3 2 3" xfId="22886" xr:uid="{00000000-0005-0000-0000-0000127D0000}"/>
    <cellStyle name="Normal 3 19 8 3 2 3 2" xfId="50019" xr:uid="{00000000-0005-0000-0000-0000137D0000}"/>
    <cellStyle name="Normal 3 19 8 3 2 4" xfId="36457" xr:uid="{00000000-0005-0000-0000-0000147D0000}"/>
    <cellStyle name="Normal 3 19 8 3 3" xfId="12710" xr:uid="{00000000-0005-0000-0000-0000157D0000}"/>
    <cellStyle name="Normal 3 19 8 3 3 2" xfId="26278" xr:uid="{00000000-0005-0000-0000-0000167D0000}"/>
    <cellStyle name="Normal 3 19 8 3 3 2 2" xfId="53411" xr:uid="{00000000-0005-0000-0000-0000177D0000}"/>
    <cellStyle name="Normal 3 19 8 3 3 3" xfId="39849" xr:uid="{00000000-0005-0000-0000-0000187D0000}"/>
    <cellStyle name="Normal 3 19 8 3 4" xfId="19497" xr:uid="{00000000-0005-0000-0000-0000197D0000}"/>
    <cellStyle name="Normal 3 19 8 3 4 2" xfId="46630" xr:uid="{00000000-0005-0000-0000-00001A7D0000}"/>
    <cellStyle name="Normal 3 19 8 3 5" xfId="33068" xr:uid="{00000000-0005-0000-0000-00001B7D0000}"/>
    <cellStyle name="Normal 3 19 8 4" xfId="9307" xr:uid="{00000000-0005-0000-0000-00001C7D0000}"/>
    <cellStyle name="Normal 3 19 8 4 2" xfId="16097" xr:uid="{00000000-0005-0000-0000-00001D7D0000}"/>
    <cellStyle name="Normal 3 19 8 4 2 2" xfId="29665" xr:uid="{00000000-0005-0000-0000-00001E7D0000}"/>
    <cellStyle name="Normal 3 19 8 4 2 2 2" xfId="56798" xr:uid="{00000000-0005-0000-0000-00001F7D0000}"/>
    <cellStyle name="Normal 3 19 8 4 2 3" xfId="43236" xr:uid="{00000000-0005-0000-0000-0000207D0000}"/>
    <cellStyle name="Normal 3 19 8 4 3" xfId="22884" xr:uid="{00000000-0005-0000-0000-0000217D0000}"/>
    <cellStyle name="Normal 3 19 8 4 3 2" xfId="50017" xr:uid="{00000000-0005-0000-0000-0000227D0000}"/>
    <cellStyle name="Normal 3 19 8 4 4" xfId="36455" xr:uid="{00000000-0005-0000-0000-0000237D0000}"/>
    <cellStyle name="Normal 3 19 8 5" xfId="12708" xr:uid="{00000000-0005-0000-0000-0000247D0000}"/>
    <cellStyle name="Normal 3 19 8 5 2" xfId="26276" xr:uid="{00000000-0005-0000-0000-0000257D0000}"/>
    <cellStyle name="Normal 3 19 8 5 2 2" xfId="53409" xr:uid="{00000000-0005-0000-0000-0000267D0000}"/>
    <cellStyle name="Normal 3 19 8 5 3" xfId="39847" xr:uid="{00000000-0005-0000-0000-0000277D0000}"/>
    <cellStyle name="Normal 3 19 8 6" xfId="19495" xr:uid="{00000000-0005-0000-0000-0000287D0000}"/>
    <cellStyle name="Normal 3 19 8 6 2" xfId="46628" xr:uid="{00000000-0005-0000-0000-0000297D0000}"/>
    <cellStyle name="Normal 3 19 8 7" xfId="33066" xr:uid="{00000000-0005-0000-0000-00002A7D0000}"/>
    <cellStyle name="Normal 3 19 9" xfId="5767" xr:uid="{00000000-0005-0000-0000-00002B7D0000}"/>
    <cellStyle name="Normal 3 19 9 2" xfId="5768" xr:uid="{00000000-0005-0000-0000-00002C7D0000}"/>
    <cellStyle name="Normal 3 19 9 2 2" xfId="9311" xr:uid="{00000000-0005-0000-0000-00002D7D0000}"/>
    <cellStyle name="Normal 3 19 9 2 2 2" xfId="16101" xr:uid="{00000000-0005-0000-0000-00002E7D0000}"/>
    <cellStyle name="Normal 3 19 9 2 2 2 2" xfId="29669" xr:uid="{00000000-0005-0000-0000-00002F7D0000}"/>
    <cellStyle name="Normal 3 19 9 2 2 2 2 2" xfId="56802" xr:uid="{00000000-0005-0000-0000-0000307D0000}"/>
    <cellStyle name="Normal 3 19 9 2 2 2 3" xfId="43240" xr:uid="{00000000-0005-0000-0000-0000317D0000}"/>
    <cellStyle name="Normal 3 19 9 2 2 3" xfId="22888" xr:uid="{00000000-0005-0000-0000-0000327D0000}"/>
    <cellStyle name="Normal 3 19 9 2 2 3 2" xfId="50021" xr:uid="{00000000-0005-0000-0000-0000337D0000}"/>
    <cellStyle name="Normal 3 19 9 2 2 4" xfId="36459" xr:uid="{00000000-0005-0000-0000-0000347D0000}"/>
    <cellStyle name="Normal 3 19 9 2 3" xfId="12712" xr:uid="{00000000-0005-0000-0000-0000357D0000}"/>
    <cellStyle name="Normal 3 19 9 2 3 2" xfId="26280" xr:uid="{00000000-0005-0000-0000-0000367D0000}"/>
    <cellStyle name="Normal 3 19 9 2 3 2 2" xfId="53413" xr:uid="{00000000-0005-0000-0000-0000377D0000}"/>
    <cellStyle name="Normal 3 19 9 2 3 3" xfId="39851" xr:uid="{00000000-0005-0000-0000-0000387D0000}"/>
    <cellStyle name="Normal 3 19 9 2 4" xfId="19499" xr:uid="{00000000-0005-0000-0000-0000397D0000}"/>
    <cellStyle name="Normal 3 19 9 2 4 2" xfId="46632" xr:uid="{00000000-0005-0000-0000-00003A7D0000}"/>
    <cellStyle name="Normal 3 19 9 2 5" xfId="33070" xr:uid="{00000000-0005-0000-0000-00003B7D0000}"/>
    <cellStyle name="Normal 3 19 9 3" xfId="5769" xr:uid="{00000000-0005-0000-0000-00003C7D0000}"/>
    <cellStyle name="Normal 3 19 9 3 2" xfId="9312" xr:uid="{00000000-0005-0000-0000-00003D7D0000}"/>
    <cellStyle name="Normal 3 19 9 3 2 2" xfId="16102" xr:uid="{00000000-0005-0000-0000-00003E7D0000}"/>
    <cellStyle name="Normal 3 19 9 3 2 2 2" xfId="29670" xr:uid="{00000000-0005-0000-0000-00003F7D0000}"/>
    <cellStyle name="Normal 3 19 9 3 2 2 2 2" xfId="56803" xr:uid="{00000000-0005-0000-0000-0000407D0000}"/>
    <cellStyle name="Normal 3 19 9 3 2 2 3" xfId="43241" xr:uid="{00000000-0005-0000-0000-0000417D0000}"/>
    <cellStyle name="Normal 3 19 9 3 2 3" xfId="22889" xr:uid="{00000000-0005-0000-0000-0000427D0000}"/>
    <cellStyle name="Normal 3 19 9 3 2 3 2" xfId="50022" xr:uid="{00000000-0005-0000-0000-0000437D0000}"/>
    <cellStyle name="Normal 3 19 9 3 2 4" xfId="36460" xr:uid="{00000000-0005-0000-0000-0000447D0000}"/>
    <cellStyle name="Normal 3 19 9 3 3" xfId="12713" xr:uid="{00000000-0005-0000-0000-0000457D0000}"/>
    <cellStyle name="Normal 3 19 9 3 3 2" xfId="26281" xr:uid="{00000000-0005-0000-0000-0000467D0000}"/>
    <cellStyle name="Normal 3 19 9 3 3 2 2" xfId="53414" xr:uid="{00000000-0005-0000-0000-0000477D0000}"/>
    <cellStyle name="Normal 3 19 9 3 3 3" xfId="39852" xr:uid="{00000000-0005-0000-0000-0000487D0000}"/>
    <cellStyle name="Normal 3 19 9 3 4" xfId="19500" xr:uid="{00000000-0005-0000-0000-0000497D0000}"/>
    <cellStyle name="Normal 3 19 9 3 4 2" xfId="46633" xr:uid="{00000000-0005-0000-0000-00004A7D0000}"/>
    <cellStyle name="Normal 3 19 9 3 5" xfId="33071" xr:uid="{00000000-0005-0000-0000-00004B7D0000}"/>
    <cellStyle name="Normal 3 19 9 4" xfId="9310" xr:uid="{00000000-0005-0000-0000-00004C7D0000}"/>
    <cellStyle name="Normal 3 19 9 4 2" xfId="16100" xr:uid="{00000000-0005-0000-0000-00004D7D0000}"/>
    <cellStyle name="Normal 3 19 9 4 2 2" xfId="29668" xr:uid="{00000000-0005-0000-0000-00004E7D0000}"/>
    <cellStyle name="Normal 3 19 9 4 2 2 2" xfId="56801" xr:uid="{00000000-0005-0000-0000-00004F7D0000}"/>
    <cellStyle name="Normal 3 19 9 4 2 3" xfId="43239" xr:uid="{00000000-0005-0000-0000-0000507D0000}"/>
    <cellStyle name="Normal 3 19 9 4 3" xfId="22887" xr:uid="{00000000-0005-0000-0000-0000517D0000}"/>
    <cellStyle name="Normal 3 19 9 4 3 2" xfId="50020" xr:uid="{00000000-0005-0000-0000-0000527D0000}"/>
    <cellStyle name="Normal 3 19 9 4 4" xfId="36458" xr:uid="{00000000-0005-0000-0000-0000537D0000}"/>
    <cellStyle name="Normal 3 19 9 5" xfId="12711" xr:uid="{00000000-0005-0000-0000-0000547D0000}"/>
    <cellStyle name="Normal 3 19 9 5 2" xfId="26279" xr:uid="{00000000-0005-0000-0000-0000557D0000}"/>
    <cellStyle name="Normal 3 19 9 5 2 2" xfId="53412" xr:uid="{00000000-0005-0000-0000-0000567D0000}"/>
    <cellStyle name="Normal 3 19 9 5 3" xfId="39850" xr:uid="{00000000-0005-0000-0000-0000577D0000}"/>
    <cellStyle name="Normal 3 19 9 6" xfId="19498" xr:uid="{00000000-0005-0000-0000-0000587D0000}"/>
    <cellStyle name="Normal 3 19 9 6 2" xfId="46631" xr:uid="{00000000-0005-0000-0000-0000597D0000}"/>
    <cellStyle name="Normal 3 19 9 7" xfId="33069" xr:uid="{00000000-0005-0000-0000-00005A7D0000}"/>
    <cellStyle name="Normal 3 2" xfId="153" xr:uid="{00000000-0005-0000-0000-00005B7D0000}"/>
    <cellStyle name="Normal 3 2 2" xfId="2678" xr:uid="{00000000-0005-0000-0000-00005C7D0000}"/>
    <cellStyle name="Normal 3 2 2 2" xfId="2679" xr:uid="{00000000-0005-0000-0000-00005D7D0000}"/>
    <cellStyle name="Normal 3 2 2 2 2" xfId="7492" xr:uid="{00000000-0005-0000-0000-00005E7D0000}"/>
    <cellStyle name="Normal 3 2 2 2 2 2" xfId="14282" xr:uid="{00000000-0005-0000-0000-00005F7D0000}"/>
    <cellStyle name="Normal 3 2 2 2 2 2 2" xfId="27850" xr:uid="{00000000-0005-0000-0000-0000607D0000}"/>
    <cellStyle name="Normal 3 2 2 2 2 2 2 2" xfId="54983" xr:uid="{00000000-0005-0000-0000-0000617D0000}"/>
    <cellStyle name="Normal 3 2 2 2 2 2 3" xfId="41421" xr:uid="{00000000-0005-0000-0000-0000627D0000}"/>
    <cellStyle name="Normal 3 2 2 2 2 3" xfId="21069" xr:uid="{00000000-0005-0000-0000-0000637D0000}"/>
    <cellStyle name="Normal 3 2 2 2 2 3 2" xfId="48202" xr:uid="{00000000-0005-0000-0000-0000647D0000}"/>
    <cellStyle name="Normal 3 2 2 2 2 4" xfId="34640" xr:uid="{00000000-0005-0000-0000-0000657D0000}"/>
    <cellStyle name="Normal 3 2 2 2 3" xfId="10893" xr:uid="{00000000-0005-0000-0000-0000667D0000}"/>
    <cellStyle name="Normal 3 2 2 2 3 2" xfId="24461" xr:uid="{00000000-0005-0000-0000-0000677D0000}"/>
    <cellStyle name="Normal 3 2 2 2 3 2 2" xfId="51594" xr:uid="{00000000-0005-0000-0000-0000687D0000}"/>
    <cellStyle name="Normal 3 2 2 2 3 3" xfId="38032" xr:uid="{00000000-0005-0000-0000-0000697D0000}"/>
    <cellStyle name="Normal 3 2 2 2 4" xfId="17680" xr:uid="{00000000-0005-0000-0000-00006A7D0000}"/>
    <cellStyle name="Normal 3 2 2 2 4 2" xfId="44813" xr:uid="{00000000-0005-0000-0000-00006B7D0000}"/>
    <cellStyle name="Normal 3 2 2 2 5" xfId="31251" xr:uid="{00000000-0005-0000-0000-00006C7D0000}"/>
    <cellStyle name="Normal 3 2 2 3" xfId="7491" xr:uid="{00000000-0005-0000-0000-00006D7D0000}"/>
    <cellStyle name="Normal 3 2 2 3 2" xfId="14281" xr:uid="{00000000-0005-0000-0000-00006E7D0000}"/>
    <cellStyle name="Normal 3 2 2 3 2 2" xfId="27849" xr:uid="{00000000-0005-0000-0000-00006F7D0000}"/>
    <cellStyle name="Normal 3 2 2 3 2 2 2" xfId="54982" xr:uid="{00000000-0005-0000-0000-0000707D0000}"/>
    <cellStyle name="Normal 3 2 2 3 2 3" xfId="41420" xr:uid="{00000000-0005-0000-0000-0000717D0000}"/>
    <cellStyle name="Normal 3 2 2 3 3" xfId="21068" xr:uid="{00000000-0005-0000-0000-0000727D0000}"/>
    <cellStyle name="Normal 3 2 2 3 3 2" xfId="48201" xr:uid="{00000000-0005-0000-0000-0000737D0000}"/>
    <cellStyle name="Normal 3 2 2 3 4" xfId="34639" xr:uid="{00000000-0005-0000-0000-0000747D0000}"/>
    <cellStyle name="Normal 3 2 2 4" xfId="10892" xr:uid="{00000000-0005-0000-0000-0000757D0000}"/>
    <cellStyle name="Normal 3 2 2 4 2" xfId="24460" xr:uid="{00000000-0005-0000-0000-0000767D0000}"/>
    <cellStyle name="Normal 3 2 2 4 2 2" xfId="51593" xr:uid="{00000000-0005-0000-0000-0000777D0000}"/>
    <cellStyle name="Normal 3 2 2 4 3" xfId="38031" xr:uid="{00000000-0005-0000-0000-0000787D0000}"/>
    <cellStyle name="Normal 3 2 2 5" xfId="17679" xr:uid="{00000000-0005-0000-0000-0000797D0000}"/>
    <cellStyle name="Normal 3 2 2 5 2" xfId="44812" xr:uid="{00000000-0005-0000-0000-00007A7D0000}"/>
    <cellStyle name="Normal 3 2 2 6" xfId="31250" xr:uid="{00000000-0005-0000-0000-00007B7D0000}"/>
    <cellStyle name="Normal 3 2 3" xfId="2680" xr:uid="{00000000-0005-0000-0000-00007C7D0000}"/>
    <cellStyle name="Normal 3 2 3 2" xfId="2681" xr:uid="{00000000-0005-0000-0000-00007D7D0000}"/>
    <cellStyle name="Normal 3 2 3 2 2" xfId="7494" xr:uid="{00000000-0005-0000-0000-00007E7D0000}"/>
    <cellStyle name="Normal 3 2 3 2 2 2" xfId="14284" xr:uid="{00000000-0005-0000-0000-00007F7D0000}"/>
    <cellStyle name="Normal 3 2 3 2 2 2 2" xfId="27852" xr:uid="{00000000-0005-0000-0000-0000807D0000}"/>
    <cellStyle name="Normal 3 2 3 2 2 2 2 2" xfId="54985" xr:uid="{00000000-0005-0000-0000-0000817D0000}"/>
    <cellStyle name="Normal 3 2 3 2 2 2 3" xfId="41423" xr:uid="{00000000-0005-0000-0000-0000827D0000}"/>
    <cellStyle name="Normal 3 2 3 2 2 3" xfId="21071" xr:uid="{00000000-0005-0000-0000-0000837D0000}"/>
    <cellStyle name="Normal 3 2 3 2 2 3 2" xfId="48204" xr:uid="{00000000-0005-0000-0000-0000847D0000}"/>
    <cellStyle name="Normal 3 2 3 2 2 4" xfId="34642" xr:uid="{00000000-0005-0000-0000-0000857D0000}"/>
    <cellStyle name="Normal 3 2 3 2 3" xfId="10895" xr:uid="{00000000-0005-0000-0000-0000867D0000}"/>
    <cellStyle name="Normal 3 2 3 2 3 2" xfId="24463" xr:uid="{00000000-0005-0000-0000-0000877D0000}"/>
    <cellStyle name="Normal 3 2 3 2 3 2 2" xfId="51596" xr:uid="{00000000-0005-0000-0000-0000887D0000}"/>
    <cellStyle name="Normal 3 2 3 2 3 3" xfId="38034" xr:uid="{00000000-0005-0000-0000-0000897D0000}"/>
    <cellStyle name="Normal 3 2 3 2 4" xfId="17682" xr:uid="{00000000-0005-0000-0000-00008A7D0000}"/>
    <cellStyle name="Normal 3 2 3 2 4 2" xfId="44815" xr:uid="{00000000-0005-0000-0000-00008B7D0000}"/>
    <cellStyle name="Normal 3 2 3 2 5" xfId="31253" xr:uid="{00000000-0005-0000-0000-00008C7D0000}"/>
    <cellStyle name="Normal 3 2 3 3" xfId="7493" xr:uid="{00000000-0005-0000-0000-00008D7D0000}"/>
    <cellStyle name="Normal 3 2 3 3 2" xfId="14283" xr:uid="{00000000-0005-0000-0000-00008E7D0000}"/>
    <cellStyle name="Normal 3 2 3 3 2 2" xfId="27851" xr:uid="{00000000-0005-0000-0000-00008F7D0000}"/>
    <cellStyle name="Normal 3 2 3 3 2 2 2" xfId="54984" xr:uid="{00000000-0005-0000-0000-0000907D0000}"/>
    <cellStyle name="Normal 3 2 3 3 2 3" xfId="41422" xr:uid="{00000000-0005-0000-0000-0000917D0000}"/>
    <cellStyle name="Normal 3 2 3 3 3" xfId="21070" xr:uid="{00000000-0005-0000-0000-0000927D0000}"/>
    <cellStyle name="Normal 3 2 3 3 3 2" xfId="48203" xr:uid="{00000000-0005-0000-0000-0000937D0000}"/>
    <cellStyle name="Normal 3 2 3 3 4" xfId="34641" xr:uid="{00000000-0005-0000-0000-0000947D0000}"/>
    <cellStyle name="Normal 3 2 3 4" xfId="10894" xr:uid="{00000000-0005-0000-0000-0000957D0000}"/>
    <cellStyle name="Normal 3 2 3 4 2" xfId="24462" xr:uid="{00000000-0005-0000-0000-0000967D0000}"/>
    <cellStyle name="Normal 3 2 3 4 2 2" xfId="51595" xr:uid="{00000000-0005-0000-0000-0000977D0000}"/>
    <cellStyle name="Normal 3 2 3 4 3" xfId="38033" xr:uid="{00000000-0005-0000-0000-0000987D0000}"/>
    <cellStyle name="Normal 3 2 3 5" xfId="17681" xr:uid="{00000000-0005-0000-0000-0000997D0000}"/>
    <cellStyle name="Normal 3 2 3 5 2" xfId="44814" xr:uid="{00000000-0005-0000-0000-00009A7D0000}"/>
    <cellStyle name="Normal 3 2 3 6" xfId="31252" xr:uid="{00000000-0005-0000-0000-00009B7D0000}"/>
    <cellStyle name="Normal 3 2 4" xfId="2682" xr:uid="{00000000-0005-0000-0000-00009C7D0000}"/>
    <cellStyle name="Normal 3 2 4 2" xfId="2683" xr:uid="{00000000-0005-0000-0000-00009D7D0000}"/>
    <cellStyle name="Normal 3 2 4 2 2" xfId="7496" xr:uid="{00000000-0005-0000-0000-00009E7D0000}"/>
    <cellStyle name="Normal 3 2 4 2 2 2" xfId="14286" xr:uid="{00000000-0005-0000-0000-00009F7D0000}"/>
    <cellStyle name="Normal 3 2 4 2 2 2 2" xfId="27854" xr:uid="{00000000-0005-0000-0000-0000A07D0000}"/>
    <cellStyle name="Normal 3 2 4 2 2 2 2 2" xfId="54987" xr:uid="{00000000-0005-0000-0000-0000A17D0000}"/>
    <cellStyle name="Normal 3 2 4 2 2 2 3" xfId="41425" xr:uid="{00000000-0005-0000-0000-0000A27D0000}"/>
    <cellStyle name="Normal 3 2 4 2 2 3" xfId="21073" xr:uid="{00000000-0005-0000-0000-0000A37D0000}"/>
    <cellStyle name="Normal 3 2 4 2 2 3 2" xfId="48206" xr:uid="{00000000-0005-0000-0000-0000A47D0000}"/>
    <cellStyle name="Normal 3 2 4 2 2 4" xfId="34644" xr:uid="{00000000-0005-0000-0000-0000A57D0000}"/>
    <cellStyle name="Normal 3 2 4 2 3" xfId="10897" xr:uid="{00000000-0005-0000-0000-0000A67D0000}"/>
    <cellStyle name="Normal 3 2 4 2 3 2" xfId="24465" xr:uid="{00000000-0005-0000-0000-0000A77D0000}"/>
    <cellStyle name="Normal 3 2 4 2 3 2 2" xfId="51598" xr:uid="{00000000-0005-0000-0000-0000A87D0000}"/>
    <cellStyle name="Normal 3 2 4 2 3 3" xfId="38036" xr:uid="{00000000-0005-0000-0000-0000A97D0000}"/>
    <cellStyle name="Normal 3 2 4 2 4" xfId="17684" xr:uid="{00000000-0005-0000-0000-0000AA7D0000}"/>
    <cellStyle name="Normal 3 2 4 2 4 2" xfId="44817" xr:uid="{00000000-0005-0000-0000-0000AB7D0000}"/>
    <cellStyle name="Normal 3 2 4 2 5" xfId="31255" xr:uid="{00000000-0005-0000-0000-0000AC7D0000}"/>
    <cellStyle name="Normal 3 2 4 3" xfId="7495" xr:uid="{00000000-0005-0000-0000-0000AD7D0000}"/>
    <cellStyle name="Normal 3 2 4 3 2" xfId="14285" xr:uid="{00000000-0005-0000-0000-0000AE7D0000}"/>
    <cellStyle name="Normal 3 2 4 3 2 2" xfId="27853" xr:uid="{00000000-0005-0000-0000-0000AF7D0000}"/>
    <cellStyle name="Normal 3 2 4 3 2 2 2" xfId="54986" xr:uid="{00000000-0005-0000-0000-0000B07D0000}"/>
    <cellStyle name="Normal 3 2 4 3 2 3" xfId="41424" xr:uid="{00000000-0005-0000-0000-0000B17D0000}"/>
    <cellStyle name="Normal 3 2 4 3 3" xfId="21072" xr:uid="{00000000-0005-0000-0000-0000B27D0000}"/>
    <cellStyle name="Normal 3 2 4 3 3 2" xfId="48205" xr:uid="{00000000-0005-0000-0000-0000B37D0000}"/>
    <cellStyle name="Normal 3 2 4 3 4" xfId="34643" xr:uid="{00000000-0005-0000-0000-0000B47D0000}"/>
    <cellStyle name="Normal 3 2 4 4" xfId="10896" xr:uid="{00000000-0005-0000-0000-0000B57D0000}"/>
    <cellStyle name="Normal 3 2 4 4 2" xfId="24464" xr:uid="{00000000-0005-0000-0000-0000B67D0000}"/>
    <cellStyle name="Normal 3 2 4 4 2 2" xfId="51597" xr:uid="{00000000-0005-0000-0000-0000B77D0000}"/>
    <cellStyle name="Normal 3 2 4 4 3" xfId="38035" xr:uid="{00000000-0005-0000-0000-0000B87D0000}"/>
    <cellStyle name="Normal 3 2 4 5" xfId="17683" xr:uid="{00000000-0005-0000-0000-0000B97D0000}"/>
    <cellStyle name="Normal 3 2 4 5 2" xfId="44816" xr:uid="{00000000-0005-0000-0000-0000BA7D0000}"/>
    <cellStyle name="Normal 3 2 4 6" xfId="31254" xr:uid="{00000000-0005-0000-0000-0000BB7D0000}"/>
    <cellStyle name="Normal 3 2 5" xfId="2684" xr:uid="{00000000-0005-0000-0000-0000BC7D0000}"/>
    <cellStyle name="Normal 3 2 5 2" xfId="2685" xr:uid="{00000000-0005-0000-0000-0000BD7D0000}"/>
    <cellStyle name="Normal 3 2 5 2 2" xfId="7498" xr:uid="{00000000-0005-0000-0000-0000BE7D0000}"/>
    <cellStyle name="Normal 3 2 5 2 2 2" xfId="14288" xr:uid="{00000000-0005-0000-0000-0000BF7D0000}"/>
    <cellStyle name="Normal 3 2 5 2 2 2 2" xfId="27856" xr:uid="{00000000-0005-0000-0000-0000C07D0000}"/>
    <cellStyle name="Normal 3 2 5 2 2 2 2 2" xfId="54989" xr:uid="{00000000-0005-0000-0000-0000C17D0000}"/>
    <cellStyle name="Normal 3 2 5 2 2 2 3" xfId="41427" xr:uid="{00000000-0005-0000-0000-0000C27D0000}"/>
    <cellStyle name="Normal 3 2 5 2 2 3" xfId="21075" xr:uid="{00000000-0005-0000-0000-0000C37D0000}"/>
    <cellStyle name="Normal 3 2 5 2 2 3 2" xfId="48208" xr:uid="{00000000-0005-0000-0000-0000C47D0000}"/>
    <cellStyle name="Normal 3 2 5 2 2 4" xfId="34646" xr:uid="{00000000-0005-0000-0000-0000C57D0000}"/>
    <cellStyle name="Normal 3 2 5 2 3" xfId="10899" xr:uid="{00000000-0005-0000-0000-0000C67D0000}"/>
    <cellStyle name="Normal 3 2 5 2 3 2" xfId="24467" xr:uid="{00000000-0005-0000-0000-0000C77D0000}"/>
    <cellStyle name="Normal 3 2 5 2 3 2 2" xfId="51600" xr:uid="{00000000-0005-0000-0000-0000C87D0000}"/>
    <cellStyle name="Normal 3 2 5 2 3 3" xfId="38038" xr:uid="{00000000-0005-0000-0000-0000C97D0000}"/>
    <cellStyle name="Normal 3 2 5 2 4" xfId="17686" xr:uid="{00000000-0005-0000-0000-0000CA7D0000}"/>
    <cellStyle name="Normal 3 2 5 2 4 2" xfId="44819" xr:uid="{00000000-0005-0000-0000-0000CB7D0000}"/>
    <cellStyle name="Normal 3 2 5 2 5" xfId="31257" xr:uid="{00000000-0005-0000-0000-0000CC7D0000}"/>
    <cellStyle name="Normal 3 2 5 3" xfId="7497" xr:uid="{00000000-0005-0000-0000-0000CD7D0000}"/>
    <cellStyle name="Normal 3 2 5 3 2" xfId="14287" xr:uid="{00000000-0005-0000-0000-0000CE7D0000}"/>
    <cellStyle name="Normal 3 2 5 3 2 2" xfId="27855" xr:uid="{00000000-0005-0000-0000-0000CF7D0000}"/>
    <cellStyle name="Normal 3 2 5 3 2 2 2" xfId="54988" xr:uid="{00000000-0005-0000-0000-0000D07D0000}"/>
    <cellStyle name="Normal 3 2 5 3 2 3" xfId="41426" xr:uid="{00000000-0005-0000-0000-0000D17D0000}"/>
    <cellStyle name="Normal 3 2 5 3 3" xfId="21074" xr:uid="{00000000-0005-0000-0000-0000D27D0000}"/>
    <cellStyle name="Normal 3 2 5 3 3 2" xfId="48207" xr:uid="{00000000-0005-0000-0000-0000D37D0000}"/>
    <cellStyle name="Normal 3 2 5 3 4" xfId="34645" xr:uid="{00000000-0005-0000-0000-0000D47D0000}"/>
    <cellStyle name="Normal 3 2 5 4" xfId="10898" xr:uid="{00000000-0005-0000-0000-0000D57D0000}"/>
    <cellStyle name="Normal 3 2 5 4 2" xfId="24466" xr:uid="{00000000-0005-0000-0000-0000D67D0000}"/>
    <cellStyle name="Normal 3 2 5 4 2 2" xfId="51599" xr:uid="{00000000-0005-0000-0000-0000D77D0000}"/>
    <cellStyle name="Normal 3 2 5 4 3" xfId="38037" xr:uid="{00000000-0005-0000-0000-0000D87D0000}"/>
    <cellStyle name="Normal 3 2 5 5" xfId="17685" xr:uid="{00000000-0005-0000-0000-0000D97D0000}"/>
    <cellStyle name="Normal 3 2 5 5 2" xfId="44818" xr:uid="{00000000-0005-0000-0000-0000DA7D0000}"/>
    <cellStyle name="Normal 3 2 5 6" xfId="31256" xr:uid="{00000000-0005-0000-0000-0000DB7D0000}"/>
    <cellStyle name="Normal 3 2 6" xfId="2686" xr:uid="{00000000-0005-0000-0000-0000DC7D0000}"/>
    <cellStyle name="Normal 3 2 6 2" xfId="2687" xr:uid="{00000000-0005-0000-0000-0000DD7D0000}"/>
    <cellStyle name="Normal 3 2 6 2 2" xfId="7500" xr:uid="{00000000-0005-0000-0000-0000DE7D0000}"/>
    <cellStyle name="Normal 3 2 6 2 2 2" xfId="14290" xr:uid="{00000000-0005-0000-0000-0000DF7D0000}"/>
    <cellStyle name="Normal 3 2 6 2 2 2 2" xfId="27858" xr:uid="{00000000-0005-0000-0000-0000E07D0000}"/>
    <cellStyle name="Normal 3 2 6 2 2 2 2 2" xfId="54991" xr:uid="{00000000-0005-0000-0000-0000E17D0000}"/>
    <cellStyle name="Normal 3 2 6 2 2 2 3" xfId="41429" xr:uid="{00000000-0005-0000-0000-0000E27D0000}"/>
    <cellStyle name="Normal 3 2 6 2 2 3" xfId="21077" xr:uid="{00000000-0005-0000-0000-0000E37D0000}"/>
    <cellStyle name="Normal 3 2 6 2 2 3 2" xfId="48210" xr:uid="{00000000-0005-0000-0000-0000E47D0000}"/>
    <cellStyle name="Normal 3 2 6 2 2 4" xfId="34648" xr:uid="{00000000-0005-0000-0000-0000E57D0000}"/>
    <cellStyle name="Normal 3 2 6 2 3" xfId="10901" xr:uid="{00000000-0005-0000-0000-0000E67D0000}"/>
    <cellStyle name="Normal 3 2 6 2 3 2" xfId="24469" xr:uid="{00000000-0005-0000-0000-0000E77D0000}"/>
    <cellStyle name="Normal 3 2 6 2 3 2 2" xfId="51602" xr:uid="{00000000-0005-0000-0000-0000E87D0000}"/>
    <cellStyle name="Normal 3 2 6 2 3 3" xfId="38040" xr:uid="{00000000-0005-0000-0000-0000E97D0000}"/>
    <cellStyle name="Normal 3 2 6 2 4" xfId="17688" xr:uid="{00000000-0005-0000-0000-0000EA7D0000}"/>
    <cellStyle name="Normal 3 2 6 2 4 2" xfId="44821" xr:uid="{00000000-0005-0000-0000-0000EB7D0000}"/>
    <cellStyle name="Normal 3 2 6 2 5" xfId="31259" xr:uid="{00000000-0005-0000-0000-0000EC7D0000}"/>
    <cellStyle name="Normal 3 2 6 3" xfId="7499" xr:uid="{00000000-0005-0000-0000-0000ED7D0000}"/>
    <cellStyle name="Normal 3 2 6 3 2" xfId="14289" xr:uid="{00000000-0005-0000-0000-0000EE7D0000}"/>
    <cellStyle name="Normal 3 2 6 3 2 2" xfId="27857" xr:uid="{00000000-0005-0000-0000-0000EF7D0000}"/>
    <cellStyle name="Normal 3 2 6 3 2 2 2" xfId="54990" xr:uid="{00000000-0005-0000-0000-0000F07D0000}"/>
    <cellStyle name="Normal 3 2 6 3 2 3" xfId="41428" xr:uid="{00000000-0005-0000-0000-0000F17D0000}"/>
    <cellStyle name="Normal 3 2 6 3 3" xfId="21076" xr:uid="{00000000-0005-0000-0000-0000F27D0000}"/>
    <cellStyle name="Normal 3 2 6 3 3 2" xfId="48209" xr:uid="{00000000-0005-0000-0000-0000F37D0000}"/>
    <cellStyle name="Normal 3 2 6 3 4" xfId="34647" xr:uid="{00000000-0005-0000-0000-0000F47D0000}"/>
    <cellStyle name="Normal 3 2 6 4" xfId="10900" xr:uid="{00000000-0005-0000-0000-0000F57D0000}"/>
    <cellStyle name="Normal 3 2 6 4 2" xfId="24468" xr:uid="{00000000-0005-0000-0000-0000F67D0000}"/>
    <cellStyle name="Normal 3 2 6 4 2 2" xfId="51601" xr:uid="{00000000-0005-0000-0000-0000F77D0000}"/>
    <cellStyle name="Normal 3 2 6 4 3" xfId="38039" xr:uid="{00000000-0005-0000-0000-0000F87D0000}"/>
    <cellStyle name="Normal 3 2 6 5" xfId="17687" xr:uid="{00000000-0005-0000-0000-0000F97D0000}"/>
    <cellStyle name="Normal 3 2 6 5 2" xfId="44820" xr:uid="{00000000-0005-0000-0000-0000FA7D0000}"/>
    <cellStyle name="Normal 3 2 6 6" xfId="31258" xr:uid="{00000000-0005-0000-0000-0000FB7D0000}"/>
    <cellStyle name="Normal 3 2 7" xfId="2688" xr:uid="{00000000-0005-0000-0000-0000FC7D0000}"/>
    <cellStyle name="Normal 3 2 7 2" xfId="2689" xr:uid="{00000000-0005-0000-0000-0000FD7D0000}"/>
    <cellStyle name="Normal 3 2 7 2 2" xfId="7502" xr:uid="{00000000-0005-0000-0000-0000FE7D0000}"/>
    <cellStyle name="Normal 3 2 7 2 2 2" xfId="14292" xr:uid="{00000000-0005-0000-0000-0000FF7D0000}"/>
    <cellStyle name="Normal 3 2 7 2 2 2 2" xfId="27860" xr:uid="{00000000-0005-0000-0000-0000007E0000}"/>
    <cellStyle name="Normal 3 2 7 2 2 2 2 2" xfId="54993" xr:uid="{00000000-0005-0000-0000-0000017E0000}"/>
    <cellStyle name="Normal 3 2 7 2 2 2 3" xfId="41431" xr:uid="{00000000-0005-0000-0000-0000027E0000}"/>
    <cellStyle name="Normal 3 2 7 2 2 3" xfId="21079" xr:uid="{00000000-0005-0000-0000-0000037E0000}"/>
    <cellStyle name="Normal 3 2 7 2 2 3 2" xfId="48212" xr:uid="{00000000-0005-0000-0000-0000047E0000}"/>
    <cellStyle name="Normal 3 2 7 2 2 4" xfId="34650" xr:uid="{00000000-0005-0000-0000-0000057E0000}"/>
    <cellStyle name="Normal 3 2 7 2 3" xfId="10903" xr:uid="{00000000-0005-0000-0000-0000067E0000}"/>
    <cellStyle name="Normal 3 2 7 2 3 2" xfId="24471" xr:uid="{00000000-0005-0000-0000-0000077E0000}"/>
    <cellStyle name="Normal 3 2 7 2 3 2 2" xfId="51604" xr:uid="{00000000-0005-0000-0000-0000087E0000}"/>
    <cellStyle name="Normal 3 2 7 2 3 3" xfId="38042" xr:uid="{00000000-0005-0000-0000-0000097E0000}"/>
    <cellStyle name="Normal 3 2 7 2 4" xfId="17690" xr:uid="{00000000-0005-0000-0000-00000A7E0000}"/>
    <cellStyle name="Normal 3 2 7 2 4 2" xfId="44823" xr:uid="{00000000-0005-0000-0000-00000B7E0000}"/>
    <cellStyle name="Normal 3 2 7 2 5" xfId="31261" xr:uid="{00000000-0005-0000-0000-00000C7E0000}"/>
    <cellStyle name="Normal 3 2 7 3" xfId="7501" xr:uid="{00000000-0005-0000-0000-00000D7E0000}"/>
    <cellStyle name="Normal 3 2 7 3 2" xfId="14291" xr:uid="{00000000-0005-0000-0000-00000E7E0000}"/>
    <cellStyle name="Normal 3 2 7 3 2 2" xfId="27859" xr:uid="{00000000-0005-0000-0000-00000F7E0000}"/>
    <cellStyle name="Normal 3 2 7 3 2 2 2" xfId="54992" xr:uid="{00000000-0005-0000-0000-0000107E0000}"/>
    <cellStyle name="Normal 3 2 7 3 2 3" xfId="41430" xr:uid="{00000000-0005-0000-0000-0000117E0000}"/>
    <cellStyle name="Normal 3 2 7 3 3" xfId="21078" xr:uid="{00000000-0005-0000-0000-0000127E0000}"/>
    <cellStyle name="Normal 3 2 7 3 3 2" xfId="48211" xr:uid="{00000000-0005-0000-0000-0000137E0000}"/>
    <cellStyle name="Normal 3 2 7 3 4" xfId="34649" xr:uid="{00000000-0005-0000-0000-0000147E0000}"/>
    <cellStyle name="Normal 3 2 7 4" xfId="10902" xr:uid="{00000000-0005-0000-0000-0000157E0000}"/>
    <cellStyle name="Normal 3 2 7 4 2" xfId="24470" xr:uid="{00000000-0005-0000-0000-0000167E0000}"/>
    <cellStyle name="Normal 3 2 7 4 2 2" xfId="51603" xr:uid="{00000000-0005-0000-0000-0000177E0000}"/>
    <cellStyle name="Normal 3 2 7 4 3" xfId="38041" xr:uid="{00000000-0005-0000-0000-0000187E0000}"/>
    <cellStyle name="Normal 3 2 7 5" xfId="17689" xr:uid="{00000000-0005-0000-0000-0000197E0000}"/>
    <cellStyle name="Normal 3 2 7 5 2" xfId="44822" xr:uid="{00000000-0005-0000-0000-00001A7E0000}"/>
    <cellStyle name="Normal 3 2 7 6" xfId="31260" xr:uid="{00000000-0005-0000-0000-00001B7E0000}"/>
    <cellStyle name="Normal 3 2 8" xfId="2690" xr:uid="{00000000-0005-0000-0000-00001C7E0000}"/>
    <cellStyle name="Normal 3 2 8 2" xfId="2691" xr:uid="{00000000-0005-0000-0000-00001D7E0000}"/>
    <cellStyle name="Normal 3 2 8 2 2" xfId="7504" xr:uid="{00000000-0005-0000-0000-00001E7E0000}"/>
    <cellStyle name="Normal 3 2 8 2 2 2" xfId="14294" xr:uid="{00000000-0005-0000-0000-00001F7E0000}"/>
    <cellStyle name="Normal 3 2 8 2 2 2 2" xfId="27862" xr:uid="{00000000-0005-0000-0000-0000207E0000}"/>
    <cellStyle name="Normal 3 2 8 2 2 2 2 2" xfId="54995" xr:uid="{00000000-0005-0000-0000-0000217E0000}"/>
    <cellStyle name="Normal 3 2 8 2 2 2 3" xfId="41433" xr:uid="{00000000-0005-0000-0000-0000227E0000}"/>
    <cellStyle name="Normal 3 2 8 2 2 3" xfId="21081" xr:uid="{00000000-0005-0000-0000-0000237E0000}"/>
    <cellStyle name="Normal 3 2 8 2 2 3 2" xfId="48214" xr:uid="{00000000-0005-0000-0000-0000247E0000}"/>
    <cellStyle name="Normal 3 2 8 2 2 4" xfId="34652" xr:uid="{00000000-0005-0000-0000-0000257E0000}"/>
    <cellStyle name="Normal 3 2 8 2 3" xfId="10905" xr:uid="{00000000-0005-0000-0000-0000267E0000}"/>
    <cellStyle name="Normal 3 2 8 2 3 2" xfId="24473" xr:uid="{00000000-0005-0000-0000-0000277E0000}"/>
    <cellStyle name="Normal 3 2 8 2 3 2 2" xfId="51606" xr:uid="{00000000-0005-0000-0000-0000287E0000}"/>
    <cellStyle name="Normal 3 2 8 2 3 3" xfId="38044" xr:uid="{00000000-0005-0000-0000-0000297E0000}"/>
    <cellStyle name="Normal 3 2 8 2 4" xfId="17692" xr:uid="{00000000-0005-0000-0000-00002A7E0000}"/>
    <cellStyle name="Normal 3 2 8 2 4 2" xfId="44825" xr:uid="{00000000-0005-0000-0000-00002B7E0000}"/>
    <cellStyle name="Normal 3 2 8 2 5" xfId="31263" xr:uid="{00000000-0005-0000-0000-00002C7E0000}"/>
    <cellStyle name="Normal 3 2 8 3" xfId="7503" xr:uid="{00000000-0005-0000-0000-00002D7E0000}"/>
    <cellStyle name="Normal 3 2 8 3 2" xfId="14293" xr:uid="{00000000-0005-0000-0000-00002E7E0000}"/>
    <cellStyle name="Normal 3 2 8 3 2 2" xfId="27861" xr:uid="{00000000-0005-0000-0000-00002F7E0000}"/>
    <cellStyle name="Normal 3 2 8 3 2 2 2" xfId="54994" xr:uid="{00000000-0005-0000-0000-0000307E0000}"/>
    <cellStyle name="Normal 3 2 8 3 2 3" xfId="41432" xr:uid="{00000000-0005-0000-0000-0000317E0000}"/>
    <cellStyle name="Normal 3 2 8 3 3" xfId="21080" xr:uid="{00000000-0005-0000-0000-0000327E0000}"/>
    <cellStyle name="Normal 3 2 8 3 3 2" xfId="48213" xr:uid="{00000000-0005-0000-0000-0000337E0000}"/>
    <cellStyle name="Normal 3 2 8 3 4" xfId="34651" xr:uid="{00000000-0005-0000-0000-0000347E0000}"/>
    <cellStyle name="Normal 3 2 8 4" xfId="10904" xr:uid="{00000000-0005-0000-0000-0000357E0000}"/>
    <cellStyle name="Normal 3 2 8 4 2" xfId="24472" xr:uid="{00000000-0005-0000-0000-0000367E0000}"/>
    <cellStyle name="Normal 3 2 8 4 2 2" xfId="51605" xr:uid="{00000000-0005-0000-0000-0000377E0000}"/>
    <cellStyle name="Normal 3 2 8 4 3" xfId="38043" xr:uid="{00000000-0005-0000-0000-0000387E0000}"/>
    <cellStyle name="Normal 3 2 8 5" xfId="17691" xr:uid="{00000000-0005-0000-0000-0000397E0000}"/>
    <cellStyle name="Normal 3 2 8 5 2" xfId="44824" xr:uid="{00000000-0005-0000-0000-00003A7E0000}"/>
    <cellStyle name="Normal 3 2 8 6" xfId="31262" xr:uid="{00000000-0005-0000-0000-00003B7E0000}"/>
    <cellStyle name="Normal 3 2 9" xfId="2692" xr:uid="{00000000-0005-0000-0000-00003C7E0000}"/>
    <cellStyle name="Normal 3 2 9 2" xfId="7505" xr:uid="{00000000-0005-0000-0000-00003D7E0000}"/>
    <cellStyle name="Normal 3 2 9 2 2" xfId="14295" xr:uid="{00000000-0005-0000-0000-00003E7E0000}"/>
    <cellStyle name="Normal 3 2 9 2 2 2" xfId="27863" xr:uid="{00000000-0005-0000-0000-00003F7E0000}"/>
    <cellStyle name="Normal 3 2 9 2 2 2 2" xfId="54996" xr:uid="{00000000-0005-0000-0000-0000407E0000}"/>
    <cellStyle name="Normal 3 2 9 2 2 3" xfId="41434" xr:uid="{00000000-0005-0000-0000-0000417E0000}"/>
    <cellStyle name="Normal 3 2 9 2 3" xfId="21082" xr:uid="{00000000-0005-0000-0000-0000427E0000}"/>
    <cellStyle name="Normal 3 2 9 2 3 2" xfId="48215" xr:uid="{00000000-0005-0000-0000-0000437E0000}"/>
    <cellStyle name="Normal 3 2 9 2 4" xfId="34653" xr:uid="{00000000-0005-0000-0000-0000447E0000}"/>
    <cellStyle name="Normal 3 2 9 3" xfId="10906" xr:uid="{00000000-0005-0000-0000-0000457E0000}"/>
    <cellStyle name="Normal 3 2 9 3 2" xfId="24474" xr:uid="{00000000-0005-0000-0000-0000467E0000}"/>
    <cellStyle name="Normal 3 2 9 3 2 2" xfId="51607" xr:uid="{00000000-0005-0000-0000-0000477E0000}"/>
    <cellStyle name="Normal 3 2 9 3 3" xfId="38045" xr:uid="{00000000-0005-0000-0000-0000487E0000}"/>
    <cellStyle name="Normal 3 2 9 4" xfId="17693" xr:uid="{00000000-0005-0000-0000-0000497E0000}"/>
    <cellStyle name="Normal 3 2 9 4 2" xfId="44826" xr:uid="{00000000-0005-0000-0000-00004A7E0000}"/>
    <cellStyle name="Normal 3 2 9 5" xfId="31264" xr:uid="{00000000-0005-0000-0000-00004B7E0000}"/>
    <cellStyle name="Normal 3 20" xfId="7325" xr:uid="{00000000-0005-0000-0000-00004C7E0000}"/>
    <cellStyle name="Normal 3 26" xfId="7424" xr:uid="{00000000-0005-0000-0000-00004D7E0000}"/>
    <cellStyle name="Normal 3 3" xfId="197" xr:uid="{00000000-0005-0000-0000-00004E7E0000}"/>
    <cellStyle name="Normal 3 3 10" xfId="5770" xr:uid="{00000000-0005-0000-0000-00004F7E0000}"/>
    <cellStyle name="Normal 3 3 10 2" xfId="5771" xr:uid="{00000000-0005-0000-0000-0000507E0000}"/>
    <cellStyle name="Normal 3 3 10 2 2" xfId="9314" xr:uid="{00000000-0005-0000-0000-0000517E0000}"/>
    <cellStyle name="Normal 3 3 10 2 2 2" xfId="16104" xr:uid="{00000000-0005-0000-0000-0000527E0000}"/>
    <cellStyle name="Normal 3 3 10 2 2 2 2" xfId="29672" xr:uid="{00000000-0005-0000-0000-0000537E0000}"/>
    <cellStyle name="Normal 3 3 10 2 2 2 2 2" xfId="56805" xr:uid="{00000000-0005-0000-0000-0000547E0000}"/>
    <cellStyle name="Normal 3 3 10 2 2 2 3" xfId="43243" xr:uid="{00000000-0005-0000-0000-0000557E0000}"/>
    <cellStyle name="Normal 3 3 10 2 2 3" xfId="22891" xr:uid="{00000000-0005-0000-0000-0000567E0000}"/>
    <cellStyle name="Normal 3 3 10 2 2 3 2" xfId="50024" xr:uid="{00000000-0005-0000-0000-0000577E0000}"/>
    <cellStyle name="Normal 3 3 10 2 2 4" xfId="36462" xr:uid="{00000000-0005-0000-0000-0000587E0000}"/>
    <cellStyle name="Normal 3 3 10 2 3" xfId="12715" xr:uid="{00000000-0005-0000-0000-0000597E0000}"/>
    <cellStyle name="Normal 3 3 10 2 3 2" xfId="26283" xr:uid="{00000000-0005-0000-0000-00005A7E0000}"/>
    <cellStyle name="Normal 3 3 10 2 3 2 2" xfId="53416" xr:uid="{00000000-0005-0000-0000-00005B7E0000}"/>
    <cellStyle name="Normal 3 3 10 2 3 3" xfId="39854" xr:uid="{00000000-0005-0000-0000-00005C7E0000}"/>
    <cellStyle name="Normal 3 3 10 2 4" xfId="19502" xr:uid="{00000000-0005-0000-0000-00005D7E0000}"/>
    <cellStyle name="Normal 3 3 10 2 4 2" xfId="46635" xr:uid="{00000000-0005-0000-0000-00005E7E0000}"/>
    <cellStyle name="Normal 3 3 10 2 5" xfId="33073" xr:uid="{00000000-0005-0000-0000-00005F7E0000}"/>
    <cellStyle name="Normal 3 3 10 3" xfId="5772" xr:uid="{00000000-0005-0000-0000-0000607E0000}"/>
    <cellStyle name="Normal 3 3 10 3 2" xfId="9315" xr:uid="{00000000-0005-0000-0000-0000617E0000}"/>
    <cellStyle name="Normal 3 3 10 3 2 2" xfId="16105" xr:uid="{00000000-0005-0000-0000-0000627E0000}"/>
    <cellStyle name="Normal 3 3 10 3 2 2 2" xfId="29673" xr:uid="{00000000-0005-0000-0000-0000637E0000}"/>
    <cellStyle name="Normal 3 3 10 3 2 2 2 2" xfId="56806" xr:uid="{00000000-0005-0000-0000-0000647E0000}"/>
    <cellStyle name="Normal 3 3 10 3 2 2 3" xfId="43244" xr:uid="{00000000-0005-0000-0000-0000657E0000}"/>
    <cellStyle name="Normal 3 3 10 3 2 3" xfId="22892" xr:uid="{00000000-0005-0000-0000-0000667E0000}"/>
    <cellStyle name="Normal 3 3 10 3 2 3 2" xfId="50025" xr:uid="{00000000-0005-0000-0000-0000677E0000}"/>
    <cellStyle name="Normal 3 3 10 3 2 4" xfId="36463" xr:uid="{00000000-0005-0000-0000-0000687E0000}"/>
    <cellStyle name="Normal 3 3 10 3 3" xfId="12716" xr:uid="{00000000-0005-0000-0000-0000697E0000}"/>
    <cellStyle name="Normal 3 3 10 3 3 2" xfId="26284" xr:uid="{00000000-0005-0000-0000-00006A7E0000}"/>
    <cellStyle name="Normal 3 3 10 3 3 2 2" xfId="53417" xr:uid="{00000000-0005-0000-0000-00006B7E0000}"/>
    <cellStyle name="Normal 3 3 10 3 3 3" xfId="39855" xr:uid="{00000000-0005-0000-0000-00006C7E0000}"/>
    <cellStyle name="Normal 3 3 10 3 4" xfId="19503" xr:uid="{00000000-0005-0000-0000-00006D7E0000}"/>
    <cellStyle name="Normal 3 3 10 3 4 2" xfId="46636" xr:uid="{00000000-0005-0000-0000-00006E7E0000}"/>
    <cellStyle name="Normal 3 3 10 3 5" xfId="33074" xr:uid="{00000000-0005-0000-0000-00006F7E0000}"/>
    <cellStyle name="Normal 3 3 10 4" xfId="9313" xr:uid="{00000000-0005-0000-0000-0000707E0000}"/>
    <cellStyle name="Normal 3 3 10 4 2" xfId="16103" xr:uid="{00000000-0005-0000-0000-0000717E0000}"/>
    <cellStyle name="Normal 3 3 10 4 2 2" xfId="29671" xr:uid="{00000000-0005-0000-0000-0000727E0000}"/>
    <cellStyle name="Normal 3 3 10 4 2 2 2" xfId="56804" xr:uid="{00000000-0005-0000-0000-0000737E0000}"/>
    <cellStyle name="Normal 3 3 10 4 2 3" xfId="43242" xr:uid="{00000000-0005-0000-0000-0000747E0000}"/>
    <cellStyle name="Normal 3 3 10 4 3" xfId="22890" xr:uid="{00000000-0005-0000-0000-0000757E0000}"/>
    <cellStyle name="Normal 3 3 10 4 3 2" xfId="50023" xr:uid="{00000000-0005-0000-0000-0000767E0000}"/>
    <cellStyle name="Normal 3 3 10 4 4" xfId="36461" xr:uid="{00000000-0005-0000-0000-0000777E0000}"/>
    <cellStyle name="Normal 3 3 10 5" xfId="12714" xr:uid="{00000000-0005-0000-0000-0000787E0000}"/>
    <cellStyle name="Normal 3 3 10 5 2" xfId="26282" xr:uid="{00000000-0005-0000-0000-0000797E0000}"/>
    <cellStyle name="Normal 3 3 10 5 2 2" xfId="53415" xr:uid="{00000000-0005-0000-0000-00007A7E0000}"/>
    <cellStyle name="Normal 3 3 10 5 3" xfId="39853" xr:uid="{00000000-0005-0000-0000-00007B7E0000}"/>
    <cellStyle name="Normal 3 3 10 6" xfId="19501" xr:uid="{00000000-0005-0000-0000-00007C7E0000}"/>
    <cellStyle name="Normal 3 3 10 6 2" xfId="46634" xr:uid="{00000000-0005-0000-0000-00007D7E0000}"/>
    <cellStyle name="Normal 3 3 10 7" xfId="33072" xr:uid="{00000000-0005-0000-0000-00007E7E0000}"/>
    <cellStyle name="Normal 3 3 11" xfId="5773" xr:uid="{00000000-0005-0000-0000-00007F7E0000}"/>
    <cellStyle name="Normal 3 3 11 2" xfId="9316" xr:uid="{00000000-0005-0000-0000-0000807E0000}"/>
    <cellStyle name="Normal 3 3 11 2 2" xfId="16106" xr:uid="{00000000-0005-0000-0000-0000817E0000}"/>
    <cellStyle name="Normal 3 3 11 2 2 2" xfId="29674" xr:uid="{00000000-0005-0000-0000-0000827E0000}"/>
    <cellStyle name="Normal 3 3 11 2 2 2 2" xfId="56807" xr:uid="{00000000-0005-0000-0000-0000837E0000}"/>
    <cellStyle name="Normal 3 3 11 2 2 3" xfId="43245" xr:uid="{00000000-0005-0000-0000-0000847E0000}"/>
    <cellStyle name="Normal 3 3 11 2 3" xfId="22893" xr:uid="{00000000-0005-0000-0000-0000857E0000}"/>
    <cellStyle name="Normal 3 3 11 2 3 2" xfId="50026" xr:uid="{00000000-0005-0000-0000-0000867E0000}"/>
    <cellStyle name="Normal 3 3 11 2 4" xfId="36464" xr:uid="{00000000-0005-0000-0000-0000877E0000}"/>
    <cellStyle name="Normal 3 3 11 3" xfId="12717" xr:uid="{00000000-0005-0000-0000-0000887E0000}"/>
    <cellStyle name="Normal 3 3 11 3 2" xfId="26285" xr:uid="{00000000-0005-0000-0000-0000897E0000}"/>
    <cellStyle name="Normal 3 3 11 3 2 2" xfId="53418" xr:uid="{00000000-0005-0000-0000-00008A7E0000}"/>
    <cellStyle name="Normal 3 3 11 3 3" xfId="39856" xr:uid="{00000000-0005-0000-0000-00008B7E0000}"/>
    <cellStyle name="Normal 3 3 11 4" xfId="19504" xr:uid="{00000000-0005-0000-0000-00008C7E0000}"/>
    <cellStyle name="Normal 3 3 11 4 2" xfId="46637" xr:uid="{00000000-0005-0000-0000-00008D7E0000}"/>
    <cellStyle name="Normal 3 3 11 5" xfId="33075" xr:uid="{00000000-0005-0000-0000-00008E7E0000}"/>
    <cellStyle name="Normal 3 3 12" xfId="5774" xr:uid="{00000000-0005-0000-0000-00008F7E0000}"/>
    <cellStyle name="Normal 3 3 12 2" xfId="9317" xr:uid="{00000000-0005-0000-0000-0000907E0000}"/>
    <cellStyle name="Normal 3 3 12 2 2" xfId="16107" xr:uid="{00000000-0005-0000-0000-0000917E0000}"/>
    <cellStyle name="Normal 3 3 12 2 2 2" xfId="29675" xr:uid="{00000000-0005-0000-0000-0000927E0000}"/>
    <cellStyle name="Normal 3 3 12 2 2 2 2" xfId="56808" xr:uid="{00000000-0005-0000-0000-0000937E0000}"/>
    <cellStyle name="Normal 3 3 12 2 2 3" xfId="43246" xr:uid="{00000000-0005-0000-0000-0000947E0000}"/>
    <cellStyle name="Normal 3 3 12 2 3" xfId="22894" xr:uid="{00000000-0005-0000-0000-0000957E0000}"/>
    <cellStyle name="Normal 3 3 12 2 3 2" xfId="50027" xr:uid="{00000000-0005-0000-0000-0000967E0000}"/>
    <cellStyle name="Normal 3 3 12 2 4" xfId="36465" xr:uid="{00000000-0005-0000-0000-0000977E0000}"/>
    <cellStyle name="Normal 3 3 12 3" xfId="12718" xr:uid="{00000000-0005-0000-0000-0000987E0000}"/>
    <cellStyle name="Normal 3 3 12 3 2" xfId="26286" xr:uid="{00000000-0005-0000-0000-0000997E0000}"/>
    <cellStyle name="Normal 3 3 12 3 2 2" xfId="53419" xr:uid="{00000000-0005-0000-0000-00009A7E0000}"/>
    <cellStyle name="Normal 3 3 12 3 3" xfId="39857" xr:uid="{00000000-0005-0000-0000-00009B7E0000}"/>
    <cellStyle name="Normal 3 3 12 4" xfId="19505" xr:uid="{00000000-0005-0000-0000-00009C7E0000}"/>
    <cellStyle name="Normal 3 3 12 4 2" xfId="46638" xr:uid="{00000000-0005-0000-0000-00009D7E0000}"/>
    <cellStyle name="Normal 3 3 12 5" xfId="33076" xr:uid="{00000000-0005-0000-0000-00009E7E0000}"/>
    <cellStyle name="Normal 3 3 2" xfId="2693" xr:uid="{00000000-0005-0000-0000-00009F7E0000}"/>
    <cellStyle name="Normal 3 3 2 10" xfId="5775" xr:uid="{00000000-0005-0000-0000-0000A07E0000}"/>
    <cellStyle name="Normal 3 3 2 10 2" xfId="9318" xr:uid="{00000000-0005-0000-0000-0000A17E0000}"/>
    <cellStyle name="Normal 3 3 2 10 2 2" xfId="16108" xr:uid="{00000000-0005-0000-0000-0000A27E0000}"/>
    <cellStyle name="Normal 3 3 2 10 2 2 2" xfId="29676" xr:uid="{00000000-0005-0000-0000-0000A37E0000}"/>
    <cellStyle name="Normal 3 3 2 10 2 2 2 2" xfId="56809" xr:uid="{00000000-0005-0000-0000-0000A47E0000}"/>
    <cellStyle name="Normal 3 3 2 10 2 2 3" xfId="43247" xr:uid="{00000000-0005-0000-0000-0000A57E0000}"/>
    <cellStyle name="Normal 3 3 2 10 2 3" xfId="22895" xr:uid="{00000000-0005-0000-0000-0000A67E0000}"/>
    <cellStyle name="Normal 3 3 2 10 2 3 2" xfId="50028" xr:uid="{00000000-0005-0000-0000-0000A77E0000}"/>
    <cellStyle name="Normal 3 3 2 10 2 4" xfId="36466" xr:uid="{00000000-0005-0000-0000-0000A87E0000}"/>
    <cellStyle name="Normal 3 3 2 10 3" xfId="12719" xr:uid="{00000000-0005-0000-0000-0000A97E0000}"/>
    <cellStyle name="Normal 3 3 2 10 3 2" xfId="26287" xr:uid="{00000000-0005-0000-0000-0000AA7E0000}"/>
    <cellStyle name="Normal 3 3 2 10 3 2 2" xfId="53420" xr:uid="{00000000-0005-0000-0000-0000AB7E0000}"/>
    <cellStyle name="Normal 3 3 2 10 3 3" xfId="39858" xr:uid="{00000000-0005-0000-0000-0000AC7E0000}"/>
    <cellStyle name="Normal 3 3 2 10 4" xfId="19506" xr:uid="{00000000-0005-0000-0000-0000AD7E0000}"/>
    <cellStyle name="Normal 3 3 2 10 4 2" xfId="46639" xr:uid="{00000000-0005-0000-0000-0000AE7E0000}"/>
    <cellStyle name="Normal 3 3 2 10 5" xfId="33077" xr:uid="{00000000-0005-0000-0000-0000AF7E0000}"/>
    <cellStyle name="Normal 3 3 2 11" xfId="7506" xr:uid="{00000000-0005-0000-0000-0000B07E0000}"/>
    <cellStyle name="Normal 3 3 2 11 2" xfId="14296" xr:uid="{00000000-0005-0000-0000-0000B17E0000}"/>
    <cellStyle name="Normal 3 3 2 11 2 2" xfId="27864" xr:uid="{00000000-0005-0000-0000-0000B27E0000}"/>
    <cellStyle name="Normal 3 3 2 11 2 2 2" xfId="54997" xr:uid="{00000000-0005-0000-0000-0000B37E0000}"/>
    <cellStyle name="Normal 3 3 2 11 2 3" xfId="41435" xr:uid="{00000000-0005-0000-0000-0000B47E0000}"/>
    <cellStyle name="Normal 3 3 2 11 3" xfId="21083" xr:uid="{00000000-0005-0000-0000-0000B57E0000}"/>
    <cellStyle name="Normal 3 3 2 11 3 2" xfId="48216" xr:uid="{00000000-0005-0000-0000-0000B67E0000}"/>
    <cellStyle name="Normal 3 3 2 11 4" xfId="34654" xr:uid="{00000000-0005-0000-0000-0000B77E0000}"/>
    <cellStyle name="Normal 3 3 2 12" xfId="10907" xr:uid="{00000000-0005-0000-0000-0000B87E0000}"/>
    <cellStyle name="Normal 3 3 2 12 2" xfId="24475" xr:uid="{00000000-0005-0000-0000-0000B97E0000}"/>
    <cellStyle name="Normal 3 3 2 12 2 2" xfId="51608" xr:uid="{00000000-0005-0000-0000-0000BA7E0000}"/>
    <cellStyle name="Normal 3 3 2 12 3" xfId="38046" xr:uid="{00000000-0005-0000-0000-0000BB7E0000}"/>
    <cellStyle name="Normal 3 3 2 13" xfId="17694" xr:uid="{00000000-0005-0000-0000-0000BC7E0000}"/>
    <cellStyle name="Normal 3 3 2 13 2" xfId="44827" xr:uid="{00000000-0005-0000-0000-0000BD7E0000}"/>
    <cellStyle name="Normal 3 3 2 14" xfId="31265" xr:uid="{00000000-0005-0000-0000-0000BE7E0000}"/>
    <cellStyle name="Normal 3 3 2 2" xfId="2694" xr:uid="{00000000-0005-0000-0000-0000BF7E0000}"/>
    <cellStyle name="Normal 3 3 2 2 10" xfId="10908" xr:uid="{00000000-0005-0000-0000-0000C07E0000}"/>
    <cellStyle name="Normal 3 3 2 2 10 2" xfId="24476" xr:uid="{00000000-0005-0000-0000-0000C17E0000}"/>
    <cellStyle name="Normal 3 3 2 2 10 2 2" xfId="51609" xr:uid="{00000000-0005-0000-0000-0000C27E0000}"/>
    <cellStyle name="Normal 3 3 2 2 10 3" xfId="38047" xr:uid="{00000000-0005-0000-0000-0000C37E0000}"/>
    <cellStyle name="Normal 3 3 2 2 11" xfId="17695" xr:uid="{00000000-0005-0000-0000-0000C47E0000}"/>
    <cellStyle name="Normal 3 3 2 2 11 2" xfId="44828" xr:uid="{00000000-0005-0000-0000-0000C57E0000}"/>
    <cellStyle name="Normal 3 3 2 2 12" xfId="31266" xr:uid="{00000000-0005-0000-0000-0000C67E0000}"/>
    <cellStyle name="Normal 3 3 2 2 2" xfId="5776" xr:uid="{00000000-0005-0000-0000-0000C77E0000}"/>
    <cellStyle name="Normal 3 3 2 2 2 10" xfId="33078" xr:uid="{00000000-0005-0000-0000-0000C87E0000}"/>
    <cellStyle name="Normal 3 3 2 2 2 2" xfId="5777" xr:uid="{00000000-0005-0000-0000-0000C97E0000}"/>
    <cellStyle name="Normal 3 3 2 2 2 2 2" xfId="5778" xr:uid="{00000000-0005-0000-0000-0000CA7E0000}"/>
    <cellStyle name="Normal 3 3 2 2 2 2 2 2" xfId="5779" xr:uid="{00000000-0005-0000-0000-0000CB7E0000}"/>
    <cellStyle name="Normal 3 3 2 2 2 2 2 2 2" xfId="9322" xr:uid="{00000000-0005-0000-0000-0000CC7E0000}"/>
    <cellStyle name="Normal 3 3 2 2 2 2 2 2 2 2" xfId="16112" xr:uid="{00000000-0005-0000-0000-0000CD7E0000}"/>
    <cellStyle name="Normal 3 3 2 2 2 2 2 2 2 2 2" xfId="29680" xr:uid="{00000000-0005-0000-0000-0000CE7E0000}"/>
    <cellStyle name="Normal 3 3 2 2 2 2 2 2 2 2 2 2" xfId="56813" xr:uid="{00000000-0005-0000-0000-0000CF7E0000}"/>
    <cellStyle name="Normal 3 3 2 2 2 2 2 2 2 2 3" xfId="43251" xr:uid="{00000000-0005-0000-0000-0000D07E0000}"/>
    <cellStyle name="Normal 3 3 2 2 2 2 2 2 2 3" xfId="22899" xr:uid="{00000000-0005-0000-0000-0000D17E0000}"/>
    <cellStyle name="Normal 3 3 2 2 2 2 2 2 2 3 2" xfId="50032" xr:uid="{00000000-0005-0000-0000-0000D27E0000}"/>
    <cellStyle name="Normal 3 3 2 2 2 2 2 2 2 4" xfId="36470" xr:uid="{00000000-0005-0000-0000-0000D37E0000}"/>
    <cellStyle name="Normal 3 3 2 2 2 2 2 2 3" xfId="12723" xr:uid="{00000000-0005-0000-0000-0000D47E0000}"/>
    <cellStyle name="Normal 3 3 2 2 2 2 2 2 3 2" xfId="26291" xr:uid="{00000000-0005-0000-0000-0000D57E0000}"/>
    <cellStyle name="Normal 3 3 2 2 2 2 2 2 3 2 2" xfId="53424" xr:uid="{00000000-0005-0000-0000-0000D67E0000}"/>
    <cellStyle name="Normal 3 3 2 2 2 2 2 2 3 3" xfId="39862" xr:uid="{00000000-0005-0000-0000-0000D77E0000}"/>
    <cellStyle name="Normal 3 3 2 2 2 2 2 2 4" xfId="19510" xr:uid="{00000000-0005-0000-0000-0000D87E0000}"/>
    <cellStyle name="Normal 3 3 2 2 2 2 2 2 4 2" xfId="46643" xr:uid="{00000000-0005-0000-0000-0000D97E0000}"/>
    <cellStyle name="Normal 3 3 2 2 2 2 2 2 5" xfId="33081" xr:uid="{00000000-0005-0000-0000-0000DA7E0000}"/>
    <cellStyle name="Normal 3 3 2 2 2 2 2 3" xfId="5780" xr:uid="{00000000-0005-0000-0000-0000DB7E0000}"/>
    <cellStyle name="Normal 3 3 2 2 2 2 2 3 2" xfId="9323" xr:uid="{00000000-0005-0000-0000-0000DC7E0000}"/>
    <cellStyle name="Normal 3 3 2 2 2 2 2 3 2 2" xfId="16113" xr:uid="{00000000-0005-0000-0000-0000DD7E0000}"/>
    <cellStyle name="Normal 3 3 2 2 2 2 2 3 2 2 2" xfId="29681" xr:uid="{00000000-0005-0000-0000-0000DE7E0000}"/>
    <cellStyle name="Normal 3 3 2 2 2 2 2 3 2 2 2 2" xfId="56814" xr:uid="{00000000-0005-0000-0000-0000DF7E0000}"/>
    <cellStyle name="Normal 3 3 2 2 2 2 2 3 2 2 3" xfId="43252" xr:uid="{00000000-0005-0000-0000-0000E07E0000}"/>
    <cellStyle name="Normal 3 3 2 2 2 2 2 3 2 3" xfId="22900" xr:uid="{00000000-0005-0000-0000-0000E17E0000}"/>
    <cellStyle name="Normal 3 3 2 2 2 2 2 3 2 3 2" xfId="50033" xr:uid="{00000000-0005-0000-0000-0000E27E0000}"/>
    <cellStyle name="Normal 3 3 2 2 2 2 2 3 2 4" xfId="36471" xr:uid="{00000000-0005-0000-0000-0000E37E0000}"/>
    <cellStyle name="Normal 3 3 2 2 2 2 2 3 3" xfId="12724" xr:uid="{00000000-0005-0000-0000-0000E47E0000}"/>
    <cellStyle name="Normal 3 3 2 2 2 2 2 3 3 2" xfId="26292" xr:uid="{00000000-0005-0000-0000-0000E57E0000}"/>
    <cellStyle name="Normal 3 3 2 2 2 2 2 3 3 2 2" xfId="53425" xr:uid="{00000000-0005-0000-0000-0000E67E0000}"/>
    <cellStyle name="Normal 3 3 2 2 2 2 2 3 3 3" xfId="39863" xr:uid="{00000000-0005-0000-0000-0000E77E0000}"/>
    <cellStyle name="Normal 3 3 2 2 2 2 2 3 4" xfId="19511" xr:uid="{00000000-0005-0000-0000-0000E87E0000}"/>
    <cellStyle name="Normal 3 3 2 2 2 2 2 3 4 2" xfId="46644" xr:uid="{00000000-0005-0000-0000-0000E97E0000}"/>
    <cellStyle name="Normal 3 3 2 2 2 2 2 3 5" xfId="33082" xr:uid="{00000000-0005-0000-0000-0000EA7E0000}"/>
    <cellStyle name="Normal 3 3 2 2 2 2 2 4" xfId="9321" xr:uid="{00000000-0005-0000-0000-0000EB7E0000}"/>
    <cellStyle name="Normal 3 3 2 2 2 2 2 4 2" xfId="16111" xr:uid="{00000000-0005-0000-0000-0000EC7E0000}"/>
    <cellStyle name="Normal 3 3 2 2 2 2 2 4 2 2" xfId="29679" xr:uid="{00000000-0005-0000-0000-0000ED7E0000}"/>
    <cellStyle name="Normal 3 3 2 2 2 2 2 4 2 2 2" xfId="56812" xr:uid="{00000000-0005-0000-0000-0000EE7E0000}"/>
    <cellStyle name="Normal 3 3 2 2 2 2 2 4 2 3" xfId="43250" xr:uid="{00000000-0005-0000-0000-0000EF7E0000}"/>
    <cellStyle name="Normal 3 3 2 2 2 2 2 4 3" xfId="22898" xr:uid="{00000000-0005-0000-0000-0000F07E0000}"/>
    <cellStyle name="Normal 3 3 2 2 2 2 2 4 3 2" xfId="50031" xr:uid="{00000000-0005-0000-0000-0000F17E0000}"/>
    <cellStyle name="Normal 3 3 2 2 2 2 2 4 4" xfId="36469" xr:uid="{00000000-0005-0000-0000-0000F27E0000}"/>
    <cellStyle name="Normal 3 3 2 2 2 2 2 5" xfId="12722" xr:uid="{00000000-0005-0000-0000-0000F37E0000}"/>
    <cellStyle name="Normal 3 3 2 2 2 2 2 5 2" xfId="26290" xr:uid="{00000000-0005-0000-0000-0000F47E0000}"/>
    <cellStyle name="Normal 3 3 2 2 2 2 2 5 2 2" xfId="53423" xr:uid="{00000000-0005-0000-0000-0000F57E0000}"/>
    <cellStyle name="Normal 3 3 2 2 2 2 2 5 3" xfId="39861" xr:uid="{00000000-0005-0000-0000-0000F67E0000}"/>
    <cellStyle name="Normal 3 3 2 2 2 2 2 6" xfId="19509" xr:uid="{00000000-0005-0000-0000-0000F77E0000}"/>
    <cellStyle name="Normal 3 3 2 2 2 2 2 6 2" xfId="46642" xr:uid="{00000000-0005-0000-0000-0000F87E0000}"/>
    <cellStyle name="Normal 3 3 2 2 2 2 2 7" xfId="33080" xr:uid="{00000000-0005-0000-0000-0000F97E0000}"/>
    <cellStyle name="Normal 3 3 2 2 2 2 3" xfId="5781" xr:uid="{00000000-0005-0000-0000-0000FA7E0000}"/>
    <cellStyle name="Normal 3 3 2 2 2 2 3 2" xfId="5782" xr:uid="{00000000-0005-0000-0000-0000FB7E0000}"/>
    <cellStyle name="Normal 3 3 2 2 2 2 3 2 2" xfId="9325" xr:uid="{00000000-0005-0000-0000-0000FC7E0000}"/>
    <cellStyle name="Normal 3 3 2 2 2 2 3 2 2 2" xfId="16115" xr:uid="{00000000-0005-0000-0000-0000FD7E0000}"/>
    <cellStyle name="Normal 3 3 2 2 2 2 3 2 2 2 2" xfId="29683" xr:uid="{00000000-0005-0000-0000-0000FE7E0000}"/>
    <cellStyle name="Normal 3 3 2 2 2 2 3 2 2 2 2 2" xfId="56816" xr:uid="{00000000-0005-0000-0000-0000FF7E0000}"/>
    <cellStyle name="Normal 3 3 2 2 2 2 3 2 2 2 3" xfId="43254" xr:uid="{00000000-0005-0000-0000-0000007F0000}"/>
    <cellStyle name="Normal 3 3 2 2 2 2 3 2 2 3" xfId="22902" xr:uid="{00000000-0005-0000-0000-0000017F0000}"/>
    <cellStyle name="Normal 3 3 2 2 2 2 3 2 2 3 2" xfId="50035" xr:uid="{00000000-0005-0000-0000-0000027F0000}"/>
    <cellStyle name="Normal 3 3 2 2 2 2 3 2 2 4" xfId="36473" xr:uid="{00000000-0005-0000-0000-0000037F0000}"/>
    <cellStyle name="Normal 3 3 2 2 2 2 3 2 3" xfId="12726" xr:uid="{00000000-0005-0000-0000-0000047F0000}"/>
    <cellStyle name="Normal 3 3 2 2 2 2 3 2 3 2" xfId="26294" xr:uid="{00000000-0005-0000-0000-0000057F0000}"/>
    <cellStyle name="Normal 3 3 2 2 2 2 3 2 3 2 2" xfId="53427" xr:uid="{00000000-0005-0000-0000-0000067F0000}"/>
    <cellStyle name="Normal 3 3 2 2 2 2 3 2 3 3" xfId="39865" xr:uid="{00000000-0005-0000-0000-0000077F0000}"/>
    <cellStyle name="Normal 3 3 2 2 2 2 3 2 4" xfId="19513" xr:uid="{00000000-0005-0000-0000-0000087F0000}"/>
    <cellStyle name="Normal 3 3 2 2 2 2 3 2 4 2" xfId="46646" xr:uid="{00000000-0005-0000-0000-0000097F0000}"/>
    <cellStyle name="Normal 3 3 2 2 2 2 3 2 5" xfId="33084" xr:uid="{00000000-0005-0000-0000-00000A7F0000}"/>
    <cellStyle name="Normal 3 3 2 2 2 2 3 3" xfId="9324" xr:uid="{00000000-0005-0000-0000-00000B7F0000}"/>
    <cellStyle name="Normal 3 3 2 2 2 2 3 3 2" xfId="16114" xr:uid="{00000000-0005-0000-0000-00000C7F0000}"/>
    <cellStyle name="Normal 3 3 2 2 2 2 3 3 2 2" xfId="29682" xr:uid="{00000000-0005-0000-0000-00000D7F0000}"/>
    <cellStyle name="Normal 3 3 2 2 2 2 3 3 2 2 2" xfId="56815" xr:uid="{00000000-0005-0000-0000-00000E7F0000}"/>
    <cellStyle name="Normal 3 3 2 2 2 2 3 3 2 3" xfId="43253" xr:uid="{00000000-0005-0000-0000-00000F7F0000}"/>
    <cellStyle name="Normal 3 3 2 2 2 2 3 3 3" xfId="22901" xr:uid="{00000000-0005-0000-0000-0000107F0000}"/>
    <cellStyle name="Normal 3 3 2 2 2 2 3 3 3 2" xfId="50034" xr:uid="{00000000-0005-0000-0000-0000117F0000}"/>
    <cellStyle name="Normal 3 3 2 2 2 2 3 3 4" xfId="36472" xr:uid="{00000000-0005-0000-0000-0000127F0000}"/>
    <cellStyle name="Normal 3 3 2 2 2 2 3 4" xfId="12725" xr:uid="{00000000-0005-0000-0000-0000137F0000}"/>
    <cellStyle name="Normal 3 3 2 2 2 2 3 4 2" xfId="26293" xr:uid="{00000000-0005-0000-0000-0000147F0000}"/>
    <cellStyle name="Normal 3 3 2 2 2 2 3 4 2 2" xfId="53426" xr:uid="{00000000-0005-0000-0000-0000157F0000}"/>
    <cellStyle name="Normal 3 3 2 2 2 2 3 4 3" xfId="39864" xr:uid="{00000000-0005-0000-0000-0000167F0000}"/>
    <cellStyle name="Normal 3 3 2 2 2 2 3 5" xfId="19512" xr:uid="{00000000-0005-0000-0000-0000177F0000}"/>
    <cellStyle name="Normal 3 3 2 2 2 2 3 5 2" xfId="46645" xr:uid="{00000000-0005-0000-0000-0000187F0000}"/>
    <cellStyle name="Normal 3 3 2 2 2 2 3 6" xfId="33083" xr:uid="{00000000-0005-0000-0000-0000197F0000}"/>
    <cellStyle name="Normal 3 3 2 2 2 2 4" xfId="5783" xr:uid="{00000000-0005-0000-0000-00001A7F0000}"/>
    <cellStyle name="Normal 3 3 2 2 2 2 4 2" xfId="9326" xr:uid="{00000000-0005-0000-0000-00001B7F0000}"/>
    <cellStyle name="Normal 3 3 2 2 2 2 4 2 2" xfId="16116" xr:uid="{00000000-0005-0000-0000-00001C7F0000}"/>
    <cellStyle name="Normal 3 3 2 2 2 2 4 2 2 2" xfId="29684" xr:uid="{00000000-0005-0000-0000-00001D7F0000}"/>
    <cellStyle name="Normal 3 3 2 2 2 2 4 2 2 2 2" xfId="56817" xr:uid="{00000000-0005-0000-0000-00001E7F0000}"/>
    <cellStyle name="Normal 3 3 2 2 2 2 4 2 2 3" xfId="43255" xr:uid="{00000000-0005-0000-0000-00001F7F0000}"/>
    <cellStyle name="Normal 3 3 2 2 2 2 4 2 3" xfId="22903" xr:uid="{00000000-0005-0000-0000-0000207F0000}"/>
    <cellStyle name="Normal 3 3 2 2 2 2 4 2 3 2" xfId="50036" xr:uid="{00000000-0005-0000-0000-0000217F0000}"/>
    <cellStyle name="Normal 3 3 2 2 2 2 4 2 4" xfId="36474" xr:uid="{00000000-0005-0000-0000-0000227F0000}"/>
    <cellStyle name="Normal 3 3 2 2 2 2 4 3" xfId="12727" xr:uid="{00000000-0005-0000-0000-0000237F0000}"/>
    <cellStyle name="Normal 3 3 2 2 2 2 4 3 2" xfId="26295" xr:uid="{00000000-0005-0000-0000-0000247F0000}"/>
    <cellStyle name="Normal 3 3 2 2 2 2 4 3 2 2" xfId="53428" xr:uid="{00000000-0005-0000-0000-0000257F0000}"/>
    <cellStyle name="Normal 3 3 2 2 2 2 4 3 3" xfId="39866" xr:uid="{00000000-0005-0000-0000-0000267F0000}"/>
    <cellStyle name="Normal 3 3 2 2 2 2 4 4" xfId="19514" xr:uid="{00000000-0005-0000-0000-0000277F0000}"/>
    <cellStyle name="Normal 3 3 2 2 2 2 4 4 2" xfId="46647" xr:uid="{00000000-0005-0000-0000-0000287F0000}"/>
    <cellStyle name="Normal 3 3 2 2 2 2 4 5" xfId="33085" xr:uid="{00000000-0005-0000-0000-0000297F0000}"/>
    <cellStyle name="Normal 3 3 2 2 2 2 5" xfId="5784" xr:uid="{00000000-0005-0000-0000-00002A7F0000}"/>
    <cellStyle name="Normal 3 3 2 2 2 2 5 2" xfId="9327" xr:uid="{00000000-0005-0000-0000-00002B7F0000}"/>
    <cellStyle name="Normal 3 3 2 2 2 2 5 2 2" xfId="16117" xr:uid="{00000000-0005-0000-0000-00002C7F0000}"/>
    <cellStyle name="Normal 3 3 2 2 2 2 5 2 2 2" xfId="29685" xr:uid="{00000000-0005-0000-0000-00002D7F0000}"/>
    <cellStyle name="Normal 3 3 2 2 2 2 5 2 2 2 2" xfId="56818" xr:uid="{00000000-0005-0000-0000-00002E7F0000}"/>
    <cellStyle name="Normal 3 3 2 2 2 2 5 2 2 3" xfId="43256" xr:uid="{00000000-0005-0000-0000-00002F7F0000}"/>
    <cellStyle name="Normal 3 3 2 2 2 2 5 2 3" xfId="22904" xr:uid="{00000000-0005-0000-0000-0000307F0000}"/>
    <cellStyle name="Normal 3 3 2 2 2 2 5 2 3 2" xfId="50037" xr:uid="{00000000-0005-0000-0000-0000317F0000}"/>
    <cellStyle name="Normal 3 3 2 2 2 2 5 2 4" xfId="36475" xr:uid="{00000000-0005-0000-0000-0000327F0000}"/>
    <cellStyle name="Normal 3 3 2 2 2 2 5 3" xfId="12728" xr:uid="{00000000-0005-0000-0000-0000337F0000}"/>
    <cellStyle name="Normal 3 3 2 2 2 2 5 3 2" xfId="26296" xr:uid="{00000000-0005-0000-0000-0000347F0000}"/>
    <cellStyle name="Normal 3 3 2 2 2 2 5 3 2 2" xfId="53429" xr:uid="{00000000-0005-0000-0000-0000357F0000}"/>
    <cellStyle name="Normal 3 3 2 2 2 2 5 3 3" xfId="39867" xr:uid="{00000000-0005-0000-0000-0000367F0000}"/>
    <cellStyle name="Normal 3 3 2 2 2 2 5 4" xfId="19515" xr:uid="{00000000-0005-0000-0000-0000377F0000}"/>
    <cellStyle name="Normal 3 3 2 2 2 2 5 4 2" xfId="46648" xr:uid="{00000000-0005-0000-0000-0000387F0000}"/>
    <cellStyle name="Normal 3 3 2 2 2 2 5 5" xfId="33086" xr:uid="{00000000-0005-0000-0000-0000397F0000}"/>
    <cellStyle name="Normal 3 3 2 2 2 2 6" xfId="9320" xr:uid="{00000000-0005-0000-0000-00003A7F0000}"/>
    <cellStyle name="Normal 3 3 2 2 2 2 6 2" xfId="16110" xr:uid="{00000000-0005-0000-0000-00003B7F0000}"/>
    <cellStyle name="Normal 3 3 2 2 2 2 6 2 2" xfId="29678" xr:uid="{00000000-0005-0000-0000-00003C7F0000}"/>
    <cellStyle name="Normal 3 3 2 2 2 2 6 2 2 2" xfId="56811" xr:uid="{00000000-0005-0000-0000-00003D7F0000}"/>
    <cellStyle name="Normal 3 3 2 2 2 2 6 2 3" xfId="43249" xr:uid="{00000000-0005-0000-0000-00003E7F0000}"/>
    <cellStyle name="Normal 3 3 2 2 2 2 6 3" xfId="22897" xr:uid="{00000000-0005-0000-0000-00003F7F0000}"/>
    <cellStyle name="Normal 3 3 2 2 2 2 6 3 2" xfId="50030" xr:uid="{00000000-0005-0000-0000-0000407F0000}"/>
    <cellStyle name="Normal 3 3 2 2 2 2 6 4" xfId="36468" xr:uid="{00000000-0005-0000-0000-0000417F0000}"/>
    <cellStyle name="Normal 3 3 2 2 2 2 7" xfId="12721" xr:uid="{00000000-0005-0000-0000-0000427F0000}"/>
    <cellStyle name="Normal 3 3 2 2 2 2 7 2" xfId="26289" xr:uid="{00000000-0005-0000-0000-0000437F0000}"/>
    <cellStyle name="Normal 3 3 2 2 2 2 7 2 2" xfId="53422" xr:uid="{00000000-0005-0000-0000-0000447F0000}"/>
    <cellStyle name="Normal 3 3 2 2 2 2 7 3" xfId="39860" xr:uid="{00000000-0005-0000-0000-0000457F0000}"/>
    <cellStyle name="Normal 3 3 2 2 2 2 8" xfId="19508" xr:uid="{00000000-0005-0000-0000-0000467F0000}"/>
    <cellStyle name="Normal 3 3 2 2 2 2 8 2" xfId="46641" xr:uid="{00000000-0005-0000-0000-0000477F0000}"/>
    <cellStyle name="Normal 3 3 2 2 2 2 9" xfId="33079" xr:uid="{00000000-0005-0000-0000-0000487F0000}"/>
    <cellStyle name="Normal 3 3 2 2 2 3" xfId="5785" xr:uid="{00000000-0005-0000-0000-0000497F0000}"/>
    <cellStyle name="Normal 3 3 2 2 2 3 2" xfId="5786" xr:uid="{00000000-0005-0000-0000-00004A7F0000}"/>
    <cellStyle name="Normal 3 3 2 2 2 3 2 2" xfId="9329" xr:uid="{00000000-0005-0000-0000-00004B7F0000}"/>
    <cellStyle name="Normal 3 3 2 2 2 3 2 2 2" xfId="16119" xr:uid="{00000000-0005-0000-0000-00004C7F0000}"/>
    <cellStyle name="Normal 3 3 2 2 2 3 2 2 2 2" xfId="29687" xr:uid="{00000000-0005-0000-0000-00004D7F0000}"/>
    <cellStyle name="Normal 3 3 2 2 2 3 2 2 2 2 2" xfId="56820" xr:uid="{00000000-0005-0000-0000-00004E7F0000}"/>
    <cellStyle name="Normal 3 3 2 2 2 3 2 2 2 3" xfId="43258" xr:uid="{00000000-0005-0000-0000-00004F7F0000}"/>
    <cellStyle name="Normal 3 3 2 2 2 3 2 2 3" xfId="22906" xr:uid="{00000000-0005-0000-0000-0000507F0000}"/>
    <cellStyle name="Normal 3 3 2 2 2 3 2 2 3 2" xfId="50039" xr:uid="{00000000-0005-0000-0000-0000517F0000}"/>
    <cellStyle name="Normal 3 3 2 2 2 3 2 2 4" xfId="36477" xr:uid="{00000000-0005-0000-0000-0000527F0000}"/>
    <cellStyle name="Normal 3 3 2 2 2 3 2 3" xfId="12730" xr:uid="{00000000-0005-0000-0000-0000537F0000}"/>
    <cellStyle name="Normal 3 3 2 2 2 3 2 3 2" xfId="26298" xr:uid="{00000000-0005-0000-0000-0000547F0000}"/>
    <cellStyle name="Normal 3 3 2 2 2 3 2 3 2 2" xfId="53431" xr:uid="{00000000-0005-0000-0000-0000557F0000}"/>
    <cellStyle name="Normal 3 3 2 2 2 3 2 3 3" xfId="39869" xr:uid="{00000000-0005-0000-0000-0000567F0000}"/>
    <cellStyle name="Normal 3 3 2 2 2 3 2 4" xfId="19517" xr:uid="{00000000-0005-0000-0000-0000577F0000}"/>
    <cellStyle name="Normal 3 3 2 2 2 3 2 4 2" xfId="46650" xr:uid="{00000000-0005-0000-0000-0000587F0000}"/>
    <cellStyle name="Normal 3 3 2 2 2 3 2 5" xfId="33088" xr:uid="{00000000-0005-0000-0000-0000597F0000}"/>
    <cellStyle name="Normal 3 3 2 2 2 3 3" xfId="5787" xr:uid="{00000000-0005-0000-0000-00005A7F0000}"/>
    <cellStyle name="Normal 3 3 2 2 2 3 3 2" xfId="9330" xr:uid="{00000000-0005-0000-0000-00005B7F0000}"/>
    <cellStyle name="Normal 3 3 2 2 2 3 3 2 2" xfId="16120" xr:uid="{00000000-0005-0000-0000-00005C7F0000}"/>
    <cellStyle name="Normal 3 3 2 2 2 3 3 2 2 2" xfId="29688" xr:uid="{00000000-0005-0000-0000-00005D7F0000}"/>
    <cellStyle name="Normal 3 3 2 2 2 3 3 2 2 2 2" xfId="56821" xr:uid="{00000000-0005-0000-0000-00005E7F0000}"/>
    <cellStyle name="Normal 3 3 2 2 2 3 3 2 2 3" xfId="43259" xr:uid="{00000000-0005-0000-0000-00005F7F0000}"/>
    <cellStyle name="Normal 3 3 2 2 2 3 3 2 3" xfId="22907" xr:uid="{00000000-0005-0000-0000-0000607F0000}"/>
    <cellStyle name="Normal 3 3 2 2 2 3 3 2 3 2" xfId="50040" xr:uid="{00000000-0005-0000-0000-0000617F0000}"/>
    <cellStyle name="Normal 3 3 2 2 2 3 3 2 4" xfId="36478" xr:uid="{00000000-0005-0000-0000-0000627F0000}"/>
    <cellStyle name="Normal 3 3 2 2 2 3 3 3" xfId="12731" xr:uid="{00000000-0005-0000-0000-0000637F0000}"/>
    <cellStyle name="Normal 3 3 2 2 2 3 3 3 2" xfId="26299" xr:uid="{00000000-0005-0000-0000-0000647F0000}"/>
    <cellStyle name="Normal 3 3 2 2 2 3 3 3 2 2" xfId="53432" xr:uid="{00000000-0005-0000-0000-0000657F0000}"/>
    <cellStyle name="Normal 3 3 2 2 2 3 3 3 3" xfId="39870" xr:uid="{00000000-0005-0000-0000-0000667F0000}"/>
    <cellStyle name="Normal 3 3 2 2 2 3 3 4" xfId="19518" xr:uid="{00000000-0005-0000-0000-0000677F0000}"/>
    <cellStyle name="Normal 3 3 2 2 2 3 3 4 2" xfId="46651" xr:uid="{00000000-0005-0000-0000-0000687F0000}"/>
    <cellStyle name="Normal 3 3 2 2 2 3 3 5" xfId="33089" xr:uid="{00000000-0005-0000-0000-0000697F0000}"/>
    <cellStyle name="Normal 3 3 2 2 2 3 4" xfId="9328" xr:uid="{00000000-0005-0000-0000-00006A7F0000}"/>
    <cellStyle name="Normal 3 3 2 2 2 3 4 2" xfId="16118" xr:uid="{00000000-0005-0000-0000-00006B7F0000}"/>
    <cellStyle name="Normal 3 3 2 2 2 3 4 2 2" xfId="29686" xr:uid="{00000000-0005-0000-0000-00006C7F0000}"/>
    <cellStyle name="Normal 3 3 2 2 2 3 4 2 2 2" xfId="56819" xr:uid="{00000000-0005-0000-0000-00006D7F0000}"/>
    <cellStyle name="Normal 3 3 2 2 2 3 4 2 3" xfId="43257" xr:uid="{00000000-0005-0000-0000-00006E7F0000}"/>
    <cellStyle name="Normal 3 3 2 2 2 3 4 3" xfId="22905" xr:uid="{00000000-0005-0000-0000-00006F7F0000}"/>
    <cellStyle name="Normal 3 3 2 2 2 3 4 3 2" xfId="50038" xr:uid="{00000000-0005-0000-0000-0000707F0000}"/>
    <cellStyle name="Normal 3 3 2 2 2 3 4 4" xfId="36476" xr:uid="{00000000-0005-0000-0000-0000717F0000}"/>
    <cellStyle name="Normal 3 3 2 2 2 3 5" xfId="12729" xr:uid="{00000000-0005-0000-0000-0000727F0000}"/>
    <cellStyle name="Normal 3 3 2 2 2 3 5 2" xfId="26297" xr:uid="{00000000-0005-0000-0000-0000737F0000}"/>
    <cellStyle name="Normal 3 3 2 2 2 3 5 2 2" xfId="53430" xr:uid="{00000000-0005-0000-0000-0000747F0000}"/>
    <cellStyle name="Normal 3 3 2 2 2 3 5 3" xfId="39868" xr:uid="{00000000-0005-0000-0000-0000757F0000}"/>
    <cellStyle name="Normal 3 3 2 2 2 3 6" xfId="19516" xr:uid="{00000000-0005-0000-0000-0000767F0000}"/>
    <cellStyle name="Normal 3 3 2 2 2 3 6 2" xfId="46649" xr:uid="{00000000-0005-0000-0000-0000777F0000}"/>
    <cellStyle name="Normal 3 3 2 2 2 3 7" xfId="33087" xr:uid="{00000000-0005-0000-0000-0000787F0000}"/>
    <cellStyle name="Normal 3 3 2 2 2 4" xfId="5788" xr:uid="{00000000-0005-0000-0000-0000797F0000}"/>
    <cellStyle name="Normal 3 3 2 2 2 4 2" xfId="5789" xr:uid="{00000000-0005-0000-0000-00007A7F0000}"/>
    <cellStyle name="Normal 3 3 2 2 2 4 2 2" xfId="9332" xr:uid="{00000000-0005-0000-0000-00007B7F0000}"/>
    <cellStyle name="Normal 3 3 2 2 2 4 2 2 2" xfId="16122" xr:uid="{00000000-0005-0000-0000-00007C7F0000}"/>
    <cellStyle name="Normal 3 3 2 2 2 4 2 2 2 2" xfId="29690" xr:uid="{00000000-0005-0000-0000-00007D7F0000}"/>
    <cellStyle name="Normal 3 3 2 2 2 4 2 2 2 2 2" xfId="56823" xr:uid="{00000000-0005-0000-0000-00007E7F0000}"/>
    <cellStyle name="Normal 3 3 2 2 2 4 2 2 2 3" xfId="43261" xr:uid="{00000000-0005-0000-0000-00007F7F0000}"/>
    <cellStyle name="Normal 3 3 2 2 2 4 2 2 3" xfId="22909" xr:uid="{00000000-0005-0000-0000-0000807F0000}"/>
    <cellStyle name="Normal 3 3 2 2 2 4 2 2 3 2" xfId="50042" xr:uid="{00000000-0005-0000-0000-0000817F0000}"/>
    <cellStyle name="Normal 3 3 2 2 2 4 2 2 4" xfId="36480" xr:uid="{00000000-0005-0000-0000-0000827F0000}"/>
    <cellStyle name="Normal 3 3 2 2 2 4 2 3" xfId="12733" xr:uid="{00000000-0005-0000-0000-0000837F0000}"/>
    <cellStyle name="Normal 3 3 2 2 2 4 2 3 2" xfId="26301" xr:uid="{00000000-0005-0000-0000-0000847F0000}"/>
    <cellStyle name="Normal 3 3 2 2 2 4 2 3 2 2" xfId="53434" xr:uid="{00000000-0005-0000-0000-0000857F0000}"/>
    <cellStyle name="Normal 3 3 2 2 2 4 2 3 3" xfId="39872" xr:uid="{00000000-0005-0000-0000-0000867F0000}"/>
    <cellStyle name="Normal 3 3 2 2 2 4 2 4" xfId="19520" xr:uid="{00000000-0005-0000-0000-0000877F0000}"/>
    <cellStyle name="Normal 3 3 2 2 2 4 2 4 2" xfId="46653" xr:uid="{00000000-0005-0000-0000-0000887F0000}"/>
    <cellStyle name="Normal 3 3 2 2 2 4 2 5" xfId="33091" xr:uid="{00000000-0005-0000-0000-0000897F0000}"/>
    <cellStyle name="Normal 3 3 2 2 2 4 3" xfId="9331" xr:uid="{00000000-0005-0000-0000-00008A7F0000}"/>
    <cellStyle name="Normal 3 3 2 2 2 4 3 2" xfId="16121" xr:uid="{00000000-0005-0000-0000-00008B7F0000}"/>
    <cellStyle name="Normal 3 3 2 2 2 4 3 2 2" xfId="29689" xr:uid="{00000000-0005-0000-0000-00008C7F0000}"/>
    <cellStyle name="Normal 3 3 2 2 2 4 3 2 2 2" xfId="56822" xr:uid="{00000000-0005-0000-0000-00008D7F0000}"/>
    <cellStyle name="Normal 3 3 2 2 2 4 3 2 3" xfId="43260" xr:uid="{00000000-0005-0000-0000-00008E7F0000}"/>
    <cellStyle name="Normal 3 3 2 2 2 4 3 3" xfId="22908" xr:uid="{00000000-0005-0000-0000-00008F7F0000}"/>
    <cellStyle name="Normal 3 3 2 2 2 4 3 3 2" xfId="50041" xr:uid="{00000000-0005-0000-0000-0000907F0000}"/>
    <cellStyle name="Normal 3 3 2 2 2 4 3 4" xfId="36479" xr:uid="{00000000-0005-0000-0000-0000917F0000}"/>
    <cellStyle name="Normal 3 3 2 2 2 4 4" xfId="12732" xr:uid="{00000000-0005-0000-0000-0000927F0000}"/>
    <cellStyle name="Normal 3 3 2 2 2 4 4 2" xfId="26300" xr:uid="{00000000-0005-0000-0000-0000937F0000}"/>
    <cellStyle name="Normal 3 3 2 2 2 4 4 2 2" xfId="53433" xr:uid="{00000000-0005-0000-0000-0000947F0000}"/>
    <cellStyle name="Normal 3 3 2 2 2 4 4 3" xfId="39871" xr:uid="{00000000-0005-0000-0000-0000957F0000}"/>
    <cellStyle name="Normal 3 3 2 2 2 4 5" xfId="19519" xr:uid="{00000000-0005-0000-0000-0000967F0000}"/>
    <cellStyle name="Normal 3 3 2 2 2 4 5 2" xfId="46652" xr:uid="{00000000-0005-0000-0000-0000977F0000}"/>
    <cellStyle name="Normal 3 3 2 2 2 4 6" xfId="33090" xr:uid="{00000000-0005-0000-0000-0000987F0000}"/>
    <cellStyle name="Normal 3 3 2 2 2 5" xfId="5790" xr:uid="{00000000-0005-0000-0000-0000997F0000}"/>
    <cellStyle name="Normal 3 3 2 2 2 5 2" xfId="9333" xr:uid="{00000000-0005-0000-0000-00009A7F0000}"/>
    <cellStyle name="Normal 3 3 2 2 2 5 2 2" xfId="16123" xr:uid="{00000000-0005-0000-0000-00009B7F0000}"/>
    <cellStyle name="Normal 3 3 2 2 2 5 2 2 2" xfId="29691" xr:uid="{00000000-0005-0000-0000-00009C7F0000}"/>
    <cellStyle name="Normal 3 3 2 2 2 5 2 2 2 2" xfId="56824" xr:uid="{00000000-0005-0000-0000-00009D7F0000}"/>
    <cellStyle name="Normal 3 3 2 2 2 5 2 2 3" xfId="43262" xr:uid="{00000000-0005-0000-0000-00009E7F0000}"/>
    <cellStyle name="Normal 3 3 2 2 2 5 2 3" xfId="22910" xr:uid="{00000000-0005-0000-0000-00009F7F0000}"/>
    <cellStyle name="Normal 3 3 2 2 2 5 2 3 2" xfId="50043" xr:uid="{00000000-0005-0000-0000-0000A07F0000}"/>
    <cellStyle name="Normal 3 3 2 2 2 5 2 4" xfId="36481" xr:uid="{00000000-0005-0000-0000-0000A17F0000}"/>
    <cellStyle name="Normal 3 3 2 2 2 5 3" xfId="12734" xr:uid="{00000000-0005-0000-0000-0000A27F0000}"/>
    <cellStyle name="Normal 3 3 2 2 2 5 3 2" xfId="26302" xr:uid="{00000000-0005-0000-0000-0000A37F0000}"/>
    <cellStyle name="Normal 3 3 2 2 2 5 3 2 2" xfId="53435" xr:uid="{00000000-0005-0000-0000-0000A47F0000}"/>
    <cellStyle name="Normal 3 3 2 2 2 5 3 3" xfId="39873" xr:uid="{00000000-0005-0000-0000-0000A57F0000}"/>
    <cellStyle name="Normal 3 3 2 2 2 5 4" xfId="19521" xr:uid="{00000000-0005-0000-0000-0000A67F0000}"/>
    <cellStyle name="Normal 3 3 2 2 2 5 4 2" xfId="46654" xr:uid="{00000000-0005-0000-0000-0000A77F0000}"/>
    <cellStyle name="Normal 3 3 2 2 2 5 5" xfId="33092" xr:uid="{00000000-0005-0000-0000-0000A87F0000}"/>
    <cellStyle name="Normal 3 3 2 2 2 6" xfId="5791" xr:uid="{00000000-0005-0000-0000-0000A97F0000}"/>
    <cellStyle name="Normal 3 3 2 2 2 6 2" xfId="9334" xr:uid="{00000000-0005-0000-0000-0000AA7F0000}"/>
    <cellStyle name="Normal 3 3 2 2 2 6 2 2" xfId="16124" xr:uid="{00000000-0005-0000-0000-0000AB7F0000}"/>
    <cellStyle name="Normal 3 3 2 2 2 6 2 2 2" xfId="29692" xr:uid="{00000000-0005-0000-0000-0000AC7F0000}"/>
    <cellStyle name="Normal 3 3 2 2 2 6 2 2 2 2" xfId="56825" xr:uid="{00000000-0005-0000-0000-0000AD7F0000}"/>
    <cellStyle name="Normal 3 3 2 2 2 6 2 2 3" xfId="43263" xr:uid="{00000000-0005-0000-0000-0000AE7F0000}"/>
    <cellStyle name="Normal 3 3 2 2 2 6 2 3" xfId="22911" xr:uid="{00000000-0005-0000-0000-0000AF7F0000}"/>
    <cellStyle name="Normal 3 3 2 2 2 6 2 3 2" xfId="50044" xr:uid="{00000000-0005-0000-0000-0000B07F0000}"/>
    <cellStyle name="Normal 3 3 2 2 2 6 2 4" xfId="36482" xr:uid="{00000000-0005-0000-0000-0000B17F0000}"/>
    <cellStyle name="Normal 3 3 2 2 2 6 3" xfId="12735" xr:uid="{00000000-0005-0000-0000-0000B27F0000}"/>
    <cellStyle name="Normal 3 3 2 2 2 6 3 2" xfId="26303" xr:uid="{00000000-0005-0000-0000-0000B37F0000}"/>
    <cellStyle name="Normal 3 3 2 2 2 6 3 2 2" xfId="53436" xr:uid="{00000000-0005-0000-0000-0000B47F0000}"/>
    <cellStyle name="Normal 3 3 2 2 2 6 3 3" xfId="39874" xr:uid="{00000000-0005-0000-0000-0000B57F0000}"/>
    <cellStyle name="Normal 3 3 2 2 2 6 4" xfId="19522" xr:uid="{00000000-0005-0000-0000-0000B67F0000}"/>
    <cellStyle name="Normal 3 3 2 2 2 6 4 2" xfId="46655" xr:uid="{00000000-0005-0000-0000-0000B77F0000}"/>
    <cellStyle name="Normal 3 3 2 2 2 6 5" xfId="33093" xr:uid="{00000000-0005-0000-0000-0000B87F0000}"/>
    <cellStyle name="Normal 3 3 2 2 2 7" xfId="9319" xr:uid="{00000000-0005-0000-0000-0000B97F0000}"/>
    <cellStyle name="Normal 3 3 2 2 2 7 2" xfId="16109" xr:uid="{00000000-0005-0000-0000-0000BA7F0000}"/>
    <cellStyle name="Normal 3 3 2 2 2 7 2 2" xfId="29677" xr:uid="{00000000-0005-0000-0000-0000BB7F0000}"/>
    <cellStyle name="Normal 3 3 2 2 2 7 2 2 2" xfId="56810" xr:uid="{00000000-0005-0000-0000-0000BC7F0000}"/>
    <cellStyle name="Normal 3 3 2 2 2 7 2 3" xfId="43248" xr:uid="{00000000-0005-0000-0000-0000BD7F0000}"/>
    <cellStyle name="Normal 3 3 2 2 2 7 3" xfId="22896" xr:uid="{00000000-0005-0000-0000-0000BE7F0000}"/>
    <cellStyle name="Normal 3 3 2 2 2 7 3 2" xfId="50029" xr:uid="{00000000-0005-0000-0000-0000BF7F0000}"/>
    <cellStyle name="Normal 3 3 2 2 2 7 4" xfId="36467" xr:uid="{00000000-0005-0000-0000-0000C07F0000}"/>
    <cellStyle name="Normal 3 3 2 2 2 8" xfId="12720" xr:uid="{00000000-0005-0000-0000-0000C17F0000}"/>
    <cellStyle name="Normal 3 3 2 2 2 8 2" xfId="26288" xr:uid="{00000000-0005-0000-0000-0000C27F0000}"/>
    <cellStyle name="Normal 3 3 2 2 2 8 2 2" xfId="53421" xr:uid="{00000000-0005-0000-0000-0000C37F0000}"/>
    <cellStyle name="Normal 3 3 2 2 2 8 3" xfId="39859" xr:uid="{00000000-0005-0000-0000-0000C47F0000}"/>
    <cellStyle name="Normal 3 3 2 2 2 9" xfId="19507" xr:uid="{00000000-0005-0000-0000-0000C57F0000}"/>
    <cellStyle name="Normal 3 3 2 2 2 9 2" xfId="46640" xr:uid="{00000000-0005-0000-0000-0000C67F0000}"/>
    <cellStyle name="Normal 3 3 2 2 3" xfId="5792" xr:uid="{00000000-0005-0000-0000-0000C77F0000}"/>
    <cellStyle name="Normal 3 3 2 2 3 2" xfId="5793" xr:uid="{00000000-0005-0000-0000-0000C87F0000}"/>
    <cellStyle name="Normal 3 3 2 2 3 2 2" xfId="5794" xr:uid="{00000000-0005-0000-0000-0000C97F0000}"/>
    <cellStyle name="Normal 3 3 2 2 3 2 2 2" xfId="9337" xr:uid="{00000000-0005-0000-0000-0000CA7F0000}"/>
    <cellStyle name="Normal 3 3 2 2 3 2 2 2 2" xfId="16127" xr:uid="{00000000-0005-0000-0000-0000CB7F0000}"/>
    <cellStyle name="Normal 3 3 2 2 3 2 2 2 2 2" xfId="29695" xr:uid="{00000000-0005-0000-0000-0000CC7F0000}"/>
    <cellStyle name="Normal 3 3 2 2 3 2 2 2 2 2 2" xfId="56828" xr:uid="{00000000-0005-0000-0000-0000CD7F0000}"/>
    <cellStyle name="Normal 3 3 2 2 3 2 2 2 2 3" xfId="43266" xr:uid="{00000000-0005-0000-0000-0000CE7F0000}"/>
    <cellStyle name="Normal 3 3 2 2 3 2 2 2 3" xfId="22914" xr:uid="{00000000-0005-0000-0000-0000CF7F0000}"/>
    <cellStyle name="Normal 3 3 2 2 3 2 2 2 3 2" xfId="50047" xr:uid="{00000000-0005-0000-0000-0000D07F0000}"/>
    <cellStyle name="Normal 3 3 2 2 3 2 2 2 4" xfId="36485" xr:uid="{00000000-0005-0000-0000-0000D17F0000}"/>
    <cellStyle name="Normal 3 3 2 2 3 2 2 3" xfId="12738" xr:uid="{00000000-0005-0000-0000-0000D27F0000}"/>
    <cellStyle name="Normal 3 3 2 2 3 2 2 3 2" xfId="26306" xr:uid="{00000000-0005-0000-0000-0000D37F0000}"/>
    <cellStyle name="Normal 3 3 2 2 3 2 2 3 2 2" xfId="53439" xr:uid="{00000000-0005-0000-0000-0000D47F0000}"/>
    <cellStyle name="Normal 3 3 2 2 3 2 2 3 3" xfId="39877" xr:uid="{00000000-0005-0000-0000-0000D57F0000}"/>
    <cellStyle name="Normal 3 3 2 2 3 2 2 4" xfId="19525" xr:uid="{00000000-0005-0000-0000-0000D67F0000}"/>
    <cellStyle name="Normal 3 3 2 2 3 2 2 4 2" xfId="46658" xr:uid="{00000000-0005-0000-0000-0000D77F0000}"/>
    <cellStyle name="Normal 3 3 2 2 3 2 2 5" xfId="33096" xr:uid="{00000000-0005-0000-0000-0000D87F0000}"/>
    <cellStyle name="Normal 3 3 2 2 3 2 3" xfId="5795" xr:uid="{00000000-0005-0000-0000-0000D97F0000}"/>
    <cellStyle name="Normal 3 3 2 2 3 2 3 2" xfId="9338" xr:uid="{00000000-0005-0000-0000-0000DA7F0000}"/>
    <cellStyle name="Normal 3 3 2 2 3 2 3 2 2" xfId="16128" xr:uid="{00000000-0005-0000-0000-0000DB7F0000}"/>
    <cellStyle name="Normal 3 3 2 2 3 2 3 2 2 2" xfId="29696" xr:uid="{00000000-0005-0000-0000-0000DC7F0000}"/>
    <cellStyle name="Normal 3 3 2 2 3 2 3 2 2 2 2" xfId="56829" xr:uid="{00000000-0005-0000-0000-0000DD7F0000}"/>
    <cellStyle name="Normal 3 3 2 2 3 2 3 2 2 3" xfId="43267" xr:uid="{00000000-0005-0000-0000-0000DE7F0000}"/>
    <cellStyle name="Normal 3 3 2 2 3 2 3 2 3" xfId="22915" xr:uid="{00000000-0005-0000-0000-0000DF7F0000}"/>
    <cellStyle name="Normal 3 3 2 2 3 2 3 2 3 2" xfId="50048" xr:uid="{00000000-0005-0000-0000-0000E07F0000}"/>
    <cellStyle name="Normal 3 3 2 2 3 2 3 2 4" xfId="36486" xr:uid="{00000000-0005-0000-0000-0000E17F0000}"/>
    <cellStyle name="Normal 3 3 2 2 3 2 3 3" xfId="12739" xr:uid="{00000000-0005-0000-0000-0000E27F0000}"/>
    <cellStyle name="Normal 3 3 2 2 3 2 3 3 2" xfId="26307" xr:uid="{00000000-0005-0000-0000-0000E37F0000}"/>
    <cellStyle name="Normal 3 3 2 2 3 2 3 3 2 2" xfId="53440" xr:uid="{00000000-0005-0000-0000-0000E47F0000}"/>
    <cellStyle name="Normal 3 3 2 2 3 2 3 3 3" xfId="39878" xr:uid="{00000000-0005-0000-0000-0000E57F0000}"/>
    <cellStyle name="Normal 3 3 2 2 3 2 3 4" xfId="19526" xr:uid="{00000000-0005-0000-0000-0000E67F0000}"/>
    <cellStyle name="Normal 3 3 2 2 3 2 3 4 2" xfId="46659" xr:uid="{00000000-0005-0000-0000-0000E77F0000}"/>
    <cellStyle name="Normal 3 3 2 2 3 2 3 5" xfId="33097" xr:uid="{00000000-0005-0000-0000-0000E87F0000}"/>
    <cellStyle name="Normal 3 3 2 2 3 2 4" xfId="9336" xr:uid="{00000000-0005-0000-0000-0000E97F0000}"/>
    <cellStyle name="Normal 3 3 2 2 3 2 4 2" xfId="16126" xr:uid="{00000000-0005-0000-0000-0000EA7F0000}"/>
    <cellStyle name="Normal 3 3 2 2 3 2 4 2 2" xfId="29694" xr:uid="{00000000-0005-0000-0000-0000EB7F0000}"/>
    <cellStyle name="Normal 3 3 2 2 3 2 4 2 2 2" xfId="56827" xr:uid="{00000000-0005-0000-0000-0000EC7F0000}"/>
    <cellStyle name="Normal 3 3 2 2 3 2 4 2 3" xfId="43265" xr:uid="{00000000-0005-0000-0000-0000ED7F0000}"/>
    <cellStyle name="Normal 3 3 2 2 3 2 4 3" xfId="22913" xr:uid="{00000000-0005-0000-0000-0000EE7F0000}"/>
    <cellStyle name="Normal 3 3 2 2 3 2 4 3 2" xfId="50046" xr:uid="{00000000-0005-0000-0000-0000EF7F0000}"/>
    <cellStyle name="Normal 3 3 2 2 3 2 4 4" xfId="36484" xr:uid="{00000000-0005-0000-0000-0000F07F0000}"/>
    <cellStyle name="Normal 3 3 2 2 3 2 5" xfId="12737" xr:uid="{00000000-0005-0000-0000-0000F17F0000}"/>
    <cellStyle name="Normal 3 3 2 2 3 2 5 2" xfId="26305" xr:uid="{00000000-0005-0000-0000-0000F27F0000}"/>
    <cellStyle name="Normal 3 3 2 2 3 2 5 2 2" xfId="53438" xr:uid="{00000000-0005-0000-0000-0000F37F0000}"/>
    <cellStyle name="Normal 3 3 2 2 3 2 5 3" xfId="39876" xr:uid="{00000000-0005-0000-0000-0000F47F0000}"/>
    <cellStyle name="Normal 3 3 2 2 3 2 6" xfId="19524" xr:uid="{00000000-0005-0000-0000-0000F57F0000}"/>
    <cellStyle name="Normal 3 3 2 2 3 2 6 2" xfId="46657" xr:uid="{00000000-0005-0000-0000-0000F67F0000}"/>
    <cellStyle name="Normal 3 3 2 2 3 2 7" xfId="33095" xr:uid="{00000000-0005-0000-0000-0000F77F0000}"/>
    <cellStyle name="Normal 3 3 2 2 3 3" xfId="5796" xr:uid="{00000000-0005-0000-0000-0000F87F0000}"/>
    <cellStyle name="Normal 3 3 2 2 3 3 2" xfId="5797" xr:uid="{00000000-0005-0000-0000-0000F97F0000}"/>
    <cellStyle name="Normal 3 3 2 2 3 3 2 2" xfId="9340" xr:uid="{00000000-0005-0000-0000-0000FA7F0000}"/>
    <cellStyle name="Normal 3 3 2 2 3 3 2 2 2" xfId="16130" xr:uid="{00000000-0005-0000-0000-0000FB7F0000}"/>
    <cellStyle name="Normal 3 3 2 2 3 3 2 2 2 2" xfId="29698" xr:uid="{00000000-0005-0000-0000-0000FC7F0000}"/>
    <cellStyle name="Normal 3 3 2 2 3 3 2 2 2 2 2" xfId="56831" xr:uid="{00000000-0005-0000-0000-0000FD7F0000}"/>
    <cellStyle name="Normal 3 3 2 2 3 3 2 2 2 3" xfId="43269" xr:uid="{00000000-0005-0000-0000-0000FE7F0000}"/>
    <cellStyle name="Normal 3 3 2 2 3 3 2 2 3" xfId="22917" xr:uid="{00000000-0005-0000-0000-0000FF7F0000}"/>
    <cellStyle name="Normal 3 3 2 2 3 3 2 2 3 2" xfId="50050" xr:uid="{00000000-0005-0000-0000-000000800000}"/>
    <cellStyle name="Normal 3 3 2 2 3 3 2 2 4" xfId="36488" xr:uid="{00000000-0005-0000-0000-000001800000}"/>
    <cellStyle name="Normal 3 3 2 2 3 3 2 3" xfId="12741" xr:uid="{00000000-0005-0000-0000-000002800000}"/>
    <cellStyle name="Normal 3 3 2 2 3 3 2 3 2" xfId="26309" xr:uid="{00000000-0005-0000-0000-000003800000}"/>
    <cellStyle name="Normal 3 3 2 2 3 3 2 3 2 2" xfId="53442" xr:uid="{00000000-0005-0000-0000-000004800000}"/>
    <cellStyle name="Normal 3 3 2 2 3 3 2 3 3" xfId="39880" xr:uid="{00000000-0005-0000-0000-000005800000}"/>
    <cellStyle name="Normal 3 3 2 2 3 3 2 4" xfId="19528" xr:uid="{00000000-0005-0000-0000-000006800000}"/>
    <cellStyle name="Normal 3 3 2 2 3 3 2 4 2" xfId="46661" xr:uid="{00000000-0005-0000-0000-000007800000}"/>
    <cellStyle name="Normal 3 3 2 2 3 3 2 5" xfId="33099" xr:uid="{00000000-0005-0000-0000-000008800000}"/>
    <cellStyle name="Normal 3 3 2 2 3 3 3" xfId="9339" xr:uid="{00000000-0005-0000-0000-000009800000}"/>
    <cellStyle name="Normal 3 3 2 2 3 3 3 2" xfId="16129" xr:uid="{00000000-0005-0000-0000-00000A800000}"/>
    <cellStyle name="Normal 3 3 2 2 3 3 3 2 2" xfId="29697" xr:uid="{00000000-0005-0000-0000-00000B800000}"/>
    <cellStyle name="Normal 3 3 2 2 3 3 3 2 2 2" xfId="56830" xr:uid="{00000000-0005-0000-0000-00000C800000}"/>
    <cellStyle name="Normal 3 3 2 2 3 3 3 2 3" xfId="43268" xr:uid="{00000000-0005-0000-0000-00000D800000}"/>
    <cellStyle name="Normal 3 3 2 2 3 3 3 3" xfId="22916" xr:uid="{00000000-0005-0000-0000-00000E800000}"/>
    <cellStyle name="Normal 3 3 2 2 3 3 3 3 2" xfId="50049" xr:uid="{00000000-0005-0000-0000-00000F800000}"/>
    <cellStyle name="Normal 3 3 2 2 3 3 3 4" xfId="36487" xr:uid="{00000000-0005-0000-0000-000010800000}"/>
    <cellStyle name="Normal 3 3 2 2 3 3 4" xfId="12740" xr:uid="{00000000-0005-0000-0000-000011800000}"/>
    <cellStyle name="Normal 3 3 2 2 3 3 4 2" xfId="26308" xr:uid="{00000000-0005-0000-0000-000012800000}"/>
    <cellStyle name="Normal 3 3 2 2 3 3 4 2 2" xfId="53441" xr:uid="{00000000-0005-0000-0000-000013800000}"/>
    <cellStyle name="Normal 3 3 2 2 3 3 4 3" xfId="39879" xr:uid="{00000000-0005-0000-0000-000014800000}"/>
    <cellStyle name="Normal 3 3 2 2 3 3 5" xfId="19527" xr:uid="{00000000-0005-0000-0000-000015800000}"/>
    <cellStyle name="Normal 3 3 2 2 3 3 5 2" xfId="46660" xr:uid="{00000000-0005-0000-0000-000016800000}"/>
    <cellStyle name="Normal 3 3 2 2 3 3 6" xfId="33098" xr:uid="{00000000-0005-0000-0000-000017800000}"/>
    <cellStyle name="Normal 3 3 2 2 3 4" xfId="5798" xr:uid="{00000000-0005-0000-0000-000018800000}"/>
    <cellStyle name="Normal 3 3 2 2 3 4 2" xfId="9341" xr:uid="{00000000-0005-0000-0000-000019800000}"/>
    <cellStyle name="Normal 3 3 2 2 3 4 2 2" xfId="16131" xr:uid="{00000000-0005-0000-0000-00001A800000}"/>
    <cellStyle name="Normal 3 3 2 2 3 4 2 2 2" xfId="29699" xr:uid="{00000000-0005-0000-0000-00001B800000}"/>
    <cellStyle name="Normal 3 3 2 2 3 4 2 2 2 2" xfId="56832" xr:uid="{00000000-0005-0000-0000-00001C800000}"/>
    <cellStyle name="Normal 3 3 2 2 3 4 2 2 3" xfId="43270" xr:uid="{00000000-0005-0000-0000-00001D800000}"/>
    <cellStyle name="Normal 3 3 2 2 3 4 2 3" xfId="22918" xr:uid="{00000000-0005-0000-0000-00001E800000}"/>
    <cellStyle name="Normal 3 3 2 2 3 4 2 3 2" xfId="50051" xr:uid="{00000000-0005-0000-0000-00001F800000}"/>
    <cellStyle name="Normal 3 3 2 2 3 4 2 4" xfId="36489" xr:uid="{00000000-0005-0000-0000-000020800000}"/>
    <cellStyle name="Normal 3 3 2 2 3 4 3" xfId="12742" xr:uid="{00000000-0005-0000-0000-000021800000}"/>
    <cellStyle name="Normal 3 3 2 2 3 4 3 2" xfId="26310" xr:uid="{00000000-0005-0000-0000-000022800000}"/>
    <cellStyle name="Normal 3 3 2 2 3 4 3 2 2" xfId="53443" xr:uid="{00000000-0005-0000-0000-000023800000}"/>
    <cellStyle name="Normal 3 3 2 2 3 4 3 3" xfId="39881" xr:uid="{00000000-0005-0000-0000-000024800000}"/>
    <cellStyle name="Normal 3 3 2 2 3 4 4" xfId="19529" xr:uid="{00000000-0005-0000-0000-000025800000}"/>
    <cellStyle name="Normal 3 3 2 2 3 4 4 2" xfId="46662" xr:uid="{00000000-0005-0000-0000-000026800000}"/>
    <cellStyle name="Normal 3 3 2 2 3 4 5" xfId="33100" xr:uid="{00000000-0005-0000-0000-000027800000}"/>
    <cellStyle name="Normal 3 3 2 2 3 5" xfId="5799" xr:uid="{00000000-0005-0000-0000-000028800000}"/>
    <cellStyle name="Normal 3 3 2 2 3 5 2" xfId="9342" xr:uid="{00000000-0005-0000-0000-000029800000}"/>
    <cellStyle name="Normal 3 3 2 2 3 5 2 2" xfId="16132" xr:uid="{00000000-0005-0000-0000-00002A800000}"/>
    <cellStyle name="Normal 3 3 2 2 3 5 2 2 2" xfId="29700" xr:uid="{00000000-0005-0000-0000-00002B800000}"/>
    <cellStyle name="Normal 3 3 2 2 3 5 2 2 2 2" xfId="56833" xr:uid="{00000000-0005-0000-0000-00002C800000}"/>
    <cellStyle name="Normal 3 3 2 2 3 5 2 2 3" xfId="43271" xr:uid="{00000000-0005-0000-0000-00002D800000}"/>
    <cellStyle name="Normal 3 3 2 2 3 5 2 3" xfId="22919" xr:uid="{00000000-0005-0000-0000-00002E800000}"/>
    <cellStyle name="Normal 3 3 2 2 3 5 2 3 2" xfId="50052" xr:uid="{00000000-0005-0000-0000-00002F800000}"/>
    <cellStyle name="Normal 3 3 2 2 3 5 2 4" xfId="36490" xr:uid="{00000000-0005-0000-0000-000030800000}"/>
    <cellStyle name="Normal 3 3 2 2 3 5 3" xfId="12743" xr:uid="{00000000-0005-0000-0000-000031800000}"/>
    <cellStyle name="Normal 3 3 2 2 3 5 3 2" xfId="26311" xr:uid="{00000000-0005-0000-0000-000032800000}"/>
    <cellStyle name="Normal 3 3 2 2 3 5 3 2 2" xfId="53444" xr:uid="{00000000-0005-0000-0000-000033800000}"/>
    <cellStyle name="Normal 3 3 2 2 3 5 3 3" xfId="39882" xr:uid="{00000000-0005-0000-0000-000034800000}"/>
    <cellStyle name="Normal 3 3 2 2 3 5 4" xfId="19530" xr:uid="{00000000-0005-0000-0000-000035800000}"/>
    <cellStyle name="Normal 3 3 2 2 3 5 4 2" xfId="46663" xr:uid="{00000000-0005-0000-0000-000036800000}"/>
    <cellStyle name="Normal 3 3 2 2 3 5 5" xfId="33101" xr:uid="{00000000-0005-0000-0000-000037800000}"/>
    <cellStyle name="Normal 3 3 2 2 3 6" xfId="9335" xr:uid="{00000000-0005-0000-0000-000038800000}"/>
    <cellStyle name="Normal 3 3 2 2 3 6 2" xfId="16125" xr:uid="{00000000-0005-0000-0000-000039800000}"/>
    <cellStyle name="Normal 3 3 2 2 3 6 2 2" xfId="29693" xr:uid="{00000000-0005-0000-0000-00003A800000}"/>
    <cellStyle name="Normal 3 3 2 2 3 6 2 2 2" xfId="56826" xr:uid="{00000000-0005-0000-0000-00003B800000}"/>
    <cellStyle name="Normal 3 3 2 2 3 6 2 3" xfId="43264" xr:uid="{00000000-0005-0000-0000-00003C800000}"/>
    <cellStyle name="Normal 3 3 2 2 3 6 3" xfId="22912" xr:uid="{00000000-0005-0000-0000-00003D800000}"/>
    <cellStyle name="Normal 3 3 2 2 3 6 3 2" xfId="50045" xr:uid="{00000000-0005-0000-0000-00003E800000}"/>
    <cellStyle name="Normal 3 3 2 2 3 6 4" xfId="36483" xr:uid="{00000000-0005-0000-0000-00003F800000}"/>
    <cellStyle name="Normal 3 3 2 2 3 7" xfId="12736" xr:uid="{00000000-0005-0000-0000-000040800000}"/>
    <cellStyle name="Normal 3 3 2 2 3 7 2" xfId="26304" xr:uid="{00000000-0005-0000-0000-000041800000}"/>
    <cellStyle name="Normal 3 3 2 2 3 7 2 2" xfId="53437" xr:uid="{00000000-0005-0000-0000-000042800000}"/>
    <cellStyle name="Normal 3 3 2 2 3 7 3" xfId="39875" xr:uid="{00000000-0005-0000-0000-000043800000}"/>
    <cellStyle name="Normal 3 3 2 2 3 8" xfId="19523" xr:uid="{00000000-0005-0000-0000-000044800000}"/>
    <cellStyle name="Normal 3 3 2 2 3 8 2" xfId="46656" xr:uid="{00000000-0005-0000-0000-000045800000}"/>
    <cellStyle name="Normal 3 3 2 2 3 9" xfId="33094" xr:uid="{00000000-0005-0000-0000-000046800000}"/>
    <cellStyle name="Normal 3 3 2 2 4" xfId="5800" xr:uid="{00000000-0005-0000-0000-000047800000}"/>
    <cellStyle name="Normal 3 3 2 2 4 2" xfId="5801" xr:uid="{00000000-0005-0000-0000-000048800000}"/>
    <cellStyle name="Normal 3 3 2 2 4 2 2" xfId="5802" xr:uid="{00000000-0005-0000-0000-000049800000}"/>
    <cellStyle name="Normal 3 3 2 2 4 2 2 2" xfId="9345" xr:uid="{00000000-0005-0000-0000-00004A800000}"/>
    <cellStyle name="Normal 3 3 2 2 4 2 2 2 2" xfId="16135" xr:uid="{00000000-0005-0000-0000-00004B800000}"/>
    <cellStyle name="Normal 3 3 2 2 4 2 2 2 2 2" xfId="29703" xr:uid="{00000000-0005-0000-0000-00004C800000}"/>
    <cellStyle name="Normal 3 3 2 2 4 2 2 2 2 2 2" xfId="56836" xr:uid="{00000000-0005-0000-0000-00004D800000}"/>
    <cellStyle name="Normal 3 3 2 2 4 2 2 2 2 3" xfId="43274" xr:uid="{00000000-0005-0000-0000-00004E800000}"/>
    <cellStyle name="Normal 3 3 2 2 4 2 2 2 3" xfId="22922" xr:uid="{00000000-0005-0000-0000-00004F800000}"/>
    <cellStyle name="Normal 3 3 2 2 4 2 2 2 3 2" xfId="50055" xr:uid="{00000000-0005-0000-0000-000050800000}"/>
    <cellStyle name="Normal 3 3 2 2 4 2 2 2 4" xfId="36493" xr:uid="{00000000-0005-0000-0000-000051800000}"/>
    <cellStyle name="Normal 3 3 2 2 4 2 2 3" xfId="12746" xr:uid="{00000000-0005-0000-0000-000052800000}"/>
    <cellStyle name="Normal 3 3 2 2 4 2 2 3 2" xfId="26314" xr:uid="{00000000-0005-0000-0000-000053800000}"/>
    <cellStyle name="Normal 3 3 2 2 4 2 2 3 2 2" xfId="53447" xr:uid="{00000000-0005-0000-0000-000054800000}"/>
    <cellStyle name="Normal 3 3 2 2 4 2 2 3 3" xfId="39885" xr:uid="{00000000-0005-0000-0000-000055800000}"/>
    <cellStyle name="Normal 3 3 2 2 4 2 2 4" xfId="19533" xr:uid="{00000000-0005-0000-0000-000056800000}"/>
    <cellStyle name="Normal 3 3 2 2 4 2 2 4 2" xfId="46666" xr:uid="{00000000-0005-0000-0000-000057800000}"/>
    <cellStyle name="Normal 3 3 2 2 4 2 2 5" xfId="33104" xr:uid="{00000000-0005-0000-0000-000058800000}"/>
    <cellStyle name="Normal 3 3 2 2 4 2 3" xfId="5803" xr:uid="{00000000-0005-0000-0000-000059800000}"/>
    <cellStyle name="Normal 3 3 2 2 4 2 3 2" xfId="9346" xr:uid="{00000000-0005-0000-0000-00005A800000}"/>
    <cellStyle name="Normal 3 3 2 2 4 2 3 2 2" xfId="16136" xr:uid="{00000000-0005-0000-0000-00005B800000}"/>
    <cellStyle name="Normal 3 3 2 2 4 2 3 2 2 2" xfId="29704" xr:uid="{00000000-0005-0000-0000-00005C800000}"/>
    <cellStyle name="Normal 3 3 2 2 4 2 3 2 2 2 2" xfId="56837" xr:uid="{00000000-0005-0000-0000-00005D800000}"/>
    <cellStyle name="Normal 3 3 2 2 4 2 3 2 2 3" xfId="43275" xr:uid="{00000000-0005-0000-0000-00005E800000}"/>
    <cellStyle name="Normal 3 3 2 2 4 2 3 2 3" xfId="22923" xr:uid="{00000000-0005-0000-0000-00005F800000}"/>
    <cellStyle name="Normal 3 3 2 2 4 2 3 2 3 2" xfId="50056" xr:uid="{00000000-0005-0000-0000-000060800000}"/>
    <cellStyle name="Normal 3 3 2 2 4 2 3 2 4" xfId="36494" xr:uid="{00000000-0005-0000-0000-000061800000}"/>
    <cellStyle name="Normal 3 3 2 2 4 2 3 3" xfId="12747" xr:uid="{00000000-0005-0000-0000-000062800000}"/>
    <cellStyle name="Normal 3 3 2 2 4 2 3 3 2" xfId="26315" xr:uid="{00000000-0005-0000-0000-000063800000}"/>
    <cellStyle name="Normal 3 3 2 2 4 2 3 3 2 2" xfId="53448" xr:uid="{00000000-0005-0000-0000-000064800000}"/>
    <cellStyle name="Normal 3 3 2 2 4 2 3 3 3" xfId="39886" xr:uid="{00000000-0005-0000-0000-000065800000}"/>
    <cellStyle name="Normal 3 3 2 2 4 2 3 4" xfId="19534" xr:uid="{00000000-0005-0000-0000-000066800000}"/>
    <cellStyle name="Normal 3 3 2 2 4 2 3 4 2" xfId="46667" xr:uid="{00000000-0005-0000-0000-000067800000}"/>
    <cellStyle name="Normal 3 3 2 2 4 2 3 5" xfId="33105" xr:uid="{00000000-0005-0000-0000-000068800000}"/>
    <cellStyle name="Normal 3 3 2 2 4 2 4" xfId="9344" xr:uid="{00000000-0005-0000-0000-000069800000}"/>
    <cellStyle name="Normal 3 3 2 2 4 2 4 2" xfId="16134" xr:uid="{00000000-0005-0000-0000-00006A800000}"/>
    <cellStyle name="Normal 3 3 2 2 4 2 4 2 2" xfId="29702" xr:uid="{00000000-0005-0000-0000-00006B800000}"/>
    <cellStyle name="Normal 3 3 2 2 4 2 4 2 2 2" xfId="56835" xr:uid="{00000000-0005-0000-0000-00006C800000}"/>
    <cellStyle name="Normal 3 3 2 2 4 2 4 2 3" xfId="43273" xr:uid="{00000000-0005-0000-0000-00006D800000}"/>
    <cellStyle name="Normal 3 3 2 2 4 2 4 3" xfId="22921" xr:uid="{00000000-0005-0000-0000-00006E800000}"/>
    <cellStyle name="Normal 3 3 2 2 4 2 4 3 2" xfId="50054" xr:uid="{00000000-0005-0000-0000-00006F800000}"/>
    <cellStyle name="Normal 3 3 2 2 4 2 4 4" xfId="36492" xr:uid="{00000000-0005-0000-0000-000070800000}"/>
    <cellStyle name="Normal 3 3 2 2 4 2 5" xfId="12745" xr:uid="{00000000-0005-0000-0000-000071800000}"/>
    <cellStyle name="Normal 3 3 2 2 4 2 5 2" xfId="26313" xr:uid="{00000000-0005-0000-0000-000072800000}"/>
    <cellStyle name="Normal 3 3 2 2 4 2 5 2 2" xfId="53446" xr:uid="{00000000-0005-0000-0000-000073800000}"/>
    <cellStyle name="Normal 3 3 2 2 4 2 5 3" xfId="39884" xr:uid="{00000000-0005-0000-0000-000074800000}"/>
    <cellStyle name="Normal 3 3 2 2 4 2 6" xfId="19532" xr:uid="{00000000-0005-0000-0000-000075800000}"/>
    <cellStyle name="Normal 3 3 2 2 4 2 6 2" xfId="46665" xr:uid="{00000000-0005-0000-0000-000076800000}"/>
    <cellStyle name="Normal 3 3 2 2 4 2 7" xfId="33103" xr:uid="{00000000-0005-0000-0000-000077800000}"/>
    <cellStyle name="Normal 3 3 2 2 4 3" xfId="5804" xr:uid="{00000000-0005-0000-0000-000078800000}"/>
    <cellStyle name="Normal 3 3 2 2 4 3 2" xfId="9347" xr:uid="{00000000-0005-0000-0000-000079800000}"/>
    <cellStyle name="Normal 3 3 2 2 4 3 2 2" xfId="16137" xr:uid="{00000000-0005-0000-0000-00007A800000}"/>
    <cellStyle name="Normal 3 3 2 2 4 3 2 2 2" xfId="29705" xr:uid="{00000000-0005-0000-0000-00007B800000}"/>
    <cellStyle name="Normal 3 3 2 2 4 3 2 2 2 2" xfId="56838" xr:uid="{00000000-0005-0000-0000-00007C800000}"/>
    <cellStyle name="Normal 3 3 2 2 4 3 2 2 3" xfId="43276" xr:uid="{00000000-0005-0000-0000-00007D800000}"/>
    <cellStyle name="Normal 3 3 2 2 4 3 2 3" xfId="22924" xr:uid="{00000000-0005-0000-0000-00007E800000}"/>
    <cellStyle name="Normal 3 3 2 2 4 3 2 3 2" xfId="50057" xr:uid="{00000000-0005-0000-0000-00007F800000}"/>
    <cellStyle name="Normal 3 3 2 2 4 3 2 4" xfId="36495" xr:uid="{00000000-0005-0000-0000-000080800000}"/>
    <cellStyle name="Normal 3 3 2 2 4 3 3" xfId="12748" xr:uid="{00000000-0005-0000-0000-000081800000}"/>
    <cellStyle name="Normal 3 3 2 2 4 3 3 2" xfId="26316" xr:uid="{00000000-0005-0000-0000-000082800000}"/>
    <cellStyle name="Normal 3 3 2 2 4 3 3 2 2" xfId="53449" xr:uid="{00000000-0005-0000-0000-000083800000}"/>
    <cellStyle name="Normal 3 3 2 2 4 3 3 3" xfId="39887" xr:uid="{00000000-0005-0000-0000-000084800000}"/>
    <cellStyle name="Normal 3 3 2 2 4 3 4" xfId="19535" xr:uid="{00000000-0005-0000-0000-000085800000}"/>
    <cellStyle name="Normal 3 3 2 2 4 3 4 2" xfId="46668" xr:uid="{00000000-0005-0000-0000-000086800000}"/>
    <cellStyle name="Normal 3 3 2 2 4 3 5" xfId="33106" xr:uid="{00000000-0005-0000-0000-000087800000}"/>
    <cellStyle name="Normal 3 3 2 2 4 4" xfId="5805" xr:uid="{00000000-0005-0000-0000-000088800000}"/>
    <cellStyle name="Normal 3 3 2 2 4 4 2" xfId="9348" xr:uid="{00000000-0005-0000-0000-000089800000}"/>
    <cellStyle name="Normal 3 3 2 2 4 4 2 2" xfId="16138" xr:uid="{00000000-0005-0000-0000-00008A800000}"/>
    <cellStyle name="Normal 3 3 2 2 4 4 2 2 2" xfId="29706" xr:uid="{00000000-0005-0000-0000-00008B800000}"/>
    <cellStyle name="Normal 3 3 2 2 4 4 2 2 2 2" xfId="56839" xr:uid="{00000000-0005-0000-0000-00008C800000}"/>
    <cellStyle name="Normal 3 3 2 2 4 4 2 2 3" xfId="43277" xr:uid="{00000000-0005-0000-0000-00008D800000}"/>
    <cellStyle name="Normal 3 3 2 2 4 4 2 3" xfId="22925" xr:uid="{00000000-0005-0000-0000-00008E800000}"/>
    <cellStyle name="Normal 3 3 2 2 4 4 2 3 2" xfId="50058" xr:uid="{00000000-0005-0000-0000-00008F800000}"/>
    <cellStyle name="Normal 3 3 2 2 4 4 2 4" xfId="36496" xr:uid="{00000000-0005-0000-0000-000090800000}"/>
    <cellStyle name="Normal 3 3 2 2 4 4 3" xfId="12749" xr:uid="{00000000-0005-0000-0000-000091800000}"/>
    <cellStyle name="Normal 3 3 2 2 4 4 3 2" xfId="26317" xr:uid="{00000000-0005-0000-0000-000092800000}"/>
    <cellStyle name="Normal 3 3 2 2 4 4 3 2 2" xfId="53450" xr:uid="{00000000-0005-0000-0000-000093800000}"/>
    <cellStyle name="Normal 3 3 2 2 4 4 3 3" xfId="39888" xr:uid="{00000000-0005-0000-0000-000094800000}"/>
    <cellStyle name="Normal 3 3 2 2 4 4 4" xfId="19536" xr:uid="{00000000-0005-0000-0000-000095800000}"/>
    <cellStyle name="Normal 3 3 2 2 4 4 4 2" xfId="46669" xr:uid="{00000000-0005-0000-0000-000096800000}"/>
    <cellStyle name="Normal 3 3 2 2 4 4 5" xfId="33107" xr:uid="{00000000-0005-0000-0000-000097800000}"/>
    <cellStyle name="Normal 3 3 2 2 4 5" xfId="9343" xr:uid="{00000000-0005-0000-0000-000098800000}"/>
    <cellStyle name="Normal 3 3 2 2 4 5 2" xfId="16133" xr:uid="{00000000-0005-0000-0000-000099800000}"/>
    <cellStyle name="Normal 3 3 2 2 4 5 2 2" xfId="29701" xr:uid="{00000000-0005-0000-0000-00009A800000}"/>
    <cellStyle name="Normal 3 3 2 2 4 5 2 2 2" xfId="56834" xr:uid="{00000000-0005-0000-0000-00009B800000}"/>
    <cellStyle name="Normal 3 3 2 2 4 5 2 3" xfId="43272" xr:uid="{00000000-0005-0000-0000-00009C800000}"/>
    <cellStyle name="Normal 3 3 2 2 4 5 3" xfId="22920" xr:uid="{00000000-0005-0000-0000-00009D800000}"/>
    <cellStyle name="Normal 3 3 2 2 4 5 3 2" xfId="50053" xr:uid="{00000000-0005-0000-0000-00009E800000}"/>
    <cellStyle name="Normal 3 3 2 2 4 5 4" xfId="36491" xr:uid="{00000000-0005-0000-0000-00009F800000}"/>
    <cellStyle name="Normal 3 3 2 2 4 6" xfId="12744" xr:uid="{00000000-0005-0000-0000-0000A0800000}"/>
    <cellStyle name="Normal 3 3 2 2 4 6 2" xfId="26312" xr:uid="{00000000-0005-0000-0000-0000A1800000}"/>
    <cellStyle name="Normal 3 3 2 2 4 6 2 2" xfId="53445" xr:uid="{00000000-0005-0000-0000-0000A2800000}"/>
    <cellStyle name="Normal 3 3 2 2 4 6 3" xfId="39883" xr:uid="{00000000-0005-0000-0000-0000A3800000}"/>
    <cellStyle name="Normal 3 3 2 2 4 7" xfId="19531" xr:uid="{00000000-0005-0000-0000-0000A4800000}"/>
    <cellStyle name="Normal 3 3 2 2 4 7 2" xfId="46664" xr:uid="{00000000-0005-0000-0000-0000A5800000}"/>
    <cellStyle name="Normal 3 3 2 2 4 8" xfId="33102" xr:uid="{00000000-0005-0000-0000-0000A6800000}"/>
    <cellStyle name="Normal 3 3 2 2 5" xfId="5806" xr:uid="{00000000-0005-0000-0000-0000A7800000}"/>
    <cellStyle name="Normal 3 3 2 2 5 2" xfId="5807" xr:uid="{00000000-0005-0000-0000-0000A8800000}"/>
    <cellStyle name="Normal 3 3 2 2 5 2 2" xfId="9350" xr:uid="{00000000-0005-0000-0000-0000A9800000}"/>
    <cellStyle name="Normal 3 3 2 2 5 2 2 2" xfId="16140" xr:uid="{00000000-0005-0000-0000-0000AA800000}"/>
    <cellStyle name="Normal 3 3 2 2 5 2 2 2 2" xfId="29708" xr:uid="{00000000-0005-0000-0000-0000AB800000}"/>
    <cellStyle name="Normal 3 3 2 2 5 2 2 2 2 2" xfId="56841" xr:uid="{00000000-0005-0000-0000-0000AC800000}"/>
    <cellStyle name="Normal 3 3 2 2 5 2 2 2 3" xfId="43279" xr:uid="{00000000-0005-0000-0000-0000AD800000}"/>
    <cellStyle name="Normal 3 3 2 2 5 2 2 3" xfId="22927" xr:uid="{00000000-0005-0000-0000-0000AE800000}"/>
    <cellStyle name="Normal 3 3 2 2 5 2 2 3 2" xfId="50060" xr:uid="{00000000-0005-0000-0000-0000AF800000}"/>
    <cellStyle name="Normal 3 3 2 2 5 2 2 4" xfId="36498" xr:uid="{00000000-0005-0000-0000-0000B0800000}"/>
    <cellStyle name="Normal 3 3 2 2 5 2 3" xfId="12751" xr:uid="{00000000-0005-0000-0000-0000B1800000}"/>
    <cellStyle name="Normal 3 3 2 2 5 2 3 2" xfId="26319" xr:uid="{00000000-0005-0000-0000-0000B2800000}"/>
    <cellStyle name="Normal 3 3 2 2 5 2 3 2 2" xfId="53452" xr:uid="{00000000-0005-0000-0000-0000B3800000}"/>
    <cellStyle name="Normal 3 3 2 2 5 2 3 3" xfId="39890" xr:uid="{00000000-0005-0000-0000-0000B4800000}"/>
    <cellStyle name="Normal 3 3 2 2 5 2 4" xfId="19538" xr:uid="{00000000-0005-0000-0000-0000B5800000}"/>
    <cellStyle name="Normal 3 3 2 2 5 2 4 2" xfId="46671" xr:uid="{00000000-0005-0000-0000-0000B6800000}"/>
    <cellStyle name="Normal 3 3 2 2 5 2 5" xfId="33109" xr:uid="{00000000-0005-0000-0000-0000B7800000}"/>
    <cellStyle name="Normal 3 3 2 2 5 3" xfId="5808" xr:uid="{00000000-0005-0000-0000-0000B8800000}"/>
    <cellStyle name="Normal 3 3 2 2 5 3 2" xfId="9351" xr:uid="{00000000-0005-0000-0000-0000B9800000}"/>
    <cellStyle name="Normal 3 3 2 2 5 3 2 2" xfId="16141" xr:uid="{00000000-0005-0000-0000-0000BA800000}"/>
    <cellStyle name="Normal 3 3 2 2 5 3 2 2 2" xfId="29709" xr:uid="{00000000-0005-0000-0000-0000BB800000}"/>
    <cellStyle name="Normal 3 3 2 2 5 3 2 2 2 2" xfId="56842" xr:uid="{00000000-0005-0000-0000-0000BC800000}"/>
    <cellStyle name="Normal 3 3 2 2 5 3 2 2 3" xfId="43280" xr:uid="{00000000-0005-0000-0000-0000BD800000}"/>
    <cellStyle name="Normal 3 3 2 2 5 3 2 3" xfId="22928" xr:uid="{00000000-0005-0000-0000-0000BE800000}"/>
    <cellStyle name="Normal 3 3 2 2 5 3 2 3 2" xfId="50061" xr:uid="{00000000-0005-0000-0000-0000BF800000}"/>
    <cellStyle name="Normal 3 3 2 2 5 3 2 4" xfId="36499" xr:uid="{00000000-0005-0000-0000-0000C0800000}"/>
    <cellStyle name="Normal 3 3 2 2 5 3 3" xfId="12752" xr:uid="{00000000-0005-0000-0000-0000C1800000}"/>
    <cellStyle name="Normal 3 3 2 2 5 3 3 2" xfId="26320" xr:uid="{00000000-0005-0000-0000-0000C2800000}"/>
    <cellStyle name="Normal 3 3 2 2 5 3 3 2 2" xfId="53453" xr:uid="{00000000-0005-0000-0000-0000C3800000}"/>
    <cellStyle name="Normal 3 3 2 2 5 3 3 3" xfId="39891" xr:uid="{00000000-0005-0000-0000-0000C4800000}"/>
    <cellStyle name="Normal 3 3 2 2 5 3 4" xfId="19539" xr:uid="{00000000-0005-0000-0000-0000C5800000}"/>
    <cellStyle name="Normal 3 3 2 2 5 3 4 2" xfId="46672" xr:uid="{00000000-0005-0000-0000-0000C6800000}"/>
    <cellStyle name="Normal 3 3 2 2 5 3 5" xfId="33110" xr:uid="{00000000-0005-0000-0000-0000C7800000}"/>
    <cellStyle name="Normal 3 3 2 2 5 4" xfId="9349" xr:uid="{00000000-0005-0000-0000-0000C8800000}"/>
    <cellStyle name="Normal 3 3 2 2 5 4 2" xfId="16139" xr:uid="{00000000-0005-0000-0000-0000C9800000}"/>
    <cellStyle name="Normal 3 3 2 2 5 4 2 2" xfId="29707" xr:uid="{00000000-0005-0000-0000-0000CA800000}"/>
    <cellStyle name="Normal 3 3 2 2 5 4 2 2 2" xfId="56840" xr:uid="{00000000-0005-0000-0000-0000CB800000}"/>
    <cellStyle name="Normal 3 3 2 2 5 4 2 3" xfId="43278" xr:uid="{00000000-0005-0000-0000-0000CC800000}"/>
    <cellStyle name="Normal 3 3 2 2 5 4 3" xfId="22926" xr:uid="{00000000-0005-0000-0000-0000CD800000}"/>
    <cellStyle name="Normal 3 3 2 2 5 4 3 2" xfId="50059" xr:uid="{00000000-0005-0000-0000-0000CE800000}"/>
    <cellStyle name="Normal 3 3 2 2 5 4 4" xfId="36497" xr:uid="{00000000-0005-0000-0000-0000CF800000}"/>
    <cellStyle name="Normal 3 3 2 2 5 5" xfId="12750" xr:uid="{00000000-0005-0000-0000-0000D0800000}"/>
    <cellStyle name="Normal 3 3 2 2 5 5 2" xfId="26318" xr:uid="{00000000-0005-0000-0000-0000D1800000}"/>
    <cellStyle name="Normal 3 3 2 2 5 5 2 2" xfId="53451" xr:uid="{00000000-0005-0000-0000-0000D2800000}"/>
    <cellStyle name="Normal 3 3 2 2 5 5 3" xfId="39889" xr:uid="{00000000-0005-0000-0000-0000D3800000}"/>
    <cellStyle name="Normal 3 3 2 2 5 6" xfId="19537" xr:uid="{00000000-0005-0000-0000-0000D4800000}"/>
    <cellStyle name="Normal 3 3 2 2 5 6 2" xfId="46670" xr:uid="{00000000-0005-0000-0000-0000D5800000}"/>
    <cellStyle name="Normal 3 3 2 2 5 7" xfId="33108" xr:uid="{00000000-0005-0000-0000-0000D6800000}"/>
    <cellStyle name="Normal 3 3 2 2 6" xfId="5809" xr:uid="{00000000-0005-0000-0000-0000D7800000}"/>
    <cellStyle name="Normal 3 3 2 2 6 2" xfId="5810" xr:uid="{00000000-0005-0000-0000-0000D8800000}"/>
    <cellStyle name="Normal 3 3 2 2 6 2 2" xfId="9353" xr:uid="{00000000-0005-0000-0000-0000D9800000}"/>
    <cellStyle name="Normal 3 3 2 2 6 2 2 2" xfId="16143" xr:uid="{00000000-0005-0000-0000-0000DA800000}"/>
    <cellStyle name="Normal 3 3 2 2 6 2 2 2 2" xfId="29711" xr:uid="{00000000-0005-0000-0000-0000DB800000}"/>
    <cellStyle name="Normal 3 3 2 2 6 2 2 2 2 2" xfId="56844" xr:uid="{00000000-0005-0000-0000-0000DC800000}"/>
    <cellStyle name="Normal 3 3 2 2 6 2 2 2 3" xfId="43282" xr:uid="{00000000-0005-0000-0000-0000DD800000}"/>
    <cellStyle name="Normal 3 3 2 2 6 2 2 3" xfId="22930" xr:uid="{00000000-0005-0000-0000-0000DE800000}"/>
    <cellStyle name="Normal 3 3 2 2 6 2 2 3 2" xfId="50063" xr:uid="{00000000-0005-0000-0000-0000DF800000}"/>
    <cellStyle name="Normal 3 3 2 2 6 2 2 4" xfId="36501" xr:uid="{00000000-0005-0000-0000-0000E0800000}"/>
    <cellStyle name="Normal 3 3 2 2 6 2 3" xfId="12754" xr:uid="{00000000-0005-0000-0000-0000E1800000}"/>
    <cellStyle name="Normal 3 3 2 2 6 2 3 2" xfId="26322" xr:uid="{00000000-0005-0000-0000-0000E2800000}"/>
    <cellStyle name="Normal 3 3 2 2 6 2 3 2 2" xfId="53455" xr:uid="{00000000-0005-0000-0000-0000E3800000}"/>
    <cellStyle name="Normal 3 3 2 2 6 2 3 3" xfId="39893" xr:uid="{00000000-0005-0000-0000-0000E4800000}"/>
    <cellStyle name="Normal 3 3 2 2 6 2 4" xfId="19541" xr:uid="{00000000-0005-0000-0000-0000E5800000}"/>
    <cellStyle name="Normal 3 3 2 2 6 2 4 2" xfId="46674" xr:uid="{00000000-0005-0000-0000-0000E6800000}"/>
    <cellStyle name="Normal 3 3 2 2 6 2 5" xfId="33112" xr:uid="{00000000-0005-0000-0000-0000E7800000}"/>
    <cellStyle name="Normal 3 3 2 2 6 3" xfId="5811" xr:uid="{00000000-0005-0000-0000-0000E8800000}"/>
    <cellStyle name="Normal 3 3 2 2 6 3 2" xfId="9354" xr:uid="{00000000-0005-0000-0000-0000E9800000}"/>
    <cellStyle name="Normal 3 3 2 2 6 3 2 2" xfId="16144" xr:uid="{00000000-0005-0000-0000-0000EA800000}"/>
    <cellStyle name="Normal 3 3 2 2 6 3 2 2 2" xfId="29712" xr:uid="{00000000-0005-0000-0000-0000EB800000}"/>
    <cellStyle name="Normal 3 3 2 2 6 3 2 2 2 2" xfId="56845" xr:uid="{00000000-0005-0000-0000-0000EC800000}"/>
    <cellStyle name="Normal 3 3 2 2 6 3 2 2 3" xfId="43283" xr:uid="{00000000-0005-0000-0000-0000ED800000}"/>
    <cellStyle name="Normal 3 3 2 2 6 3 2 3" xfId="22931" xr:uid="{00000000-0005-0000-0000-0000EE800000}"/>
    <cellStyle name="Normal 3 3 2 2 6 3 2 3 2" xfId="50064" xr:uid="{00000000-0005-0000-0000-0000EF800000}"/>
    <cellStyle name="Normal 3 3 2 2 6 3 2 4" xfId="36502" xr:uid="{00000000-0005-0000-0000-0000F0800000}"/>
    <cellStyle name="Normal 3 3 2 2 6 3 3" xfId="12755" xr:uid="{00000000-0005-0000-0000-0000F1800000}"/>
    <cellStyle name="Normal 3 3 2 2 6 3 3 2" xfId="26323" xr:uid="{00000000-0005-0000-0000-0000F2800000}"/>
    <cellStyle name="Normal 3 3 2 2 6 3 3 2 2" xfId="53456" xr:uid="{00000000-0005-0000-0000-0000F3800000}"/>
    <cellStyle name="Normal 3 3 2 2 6 3 3 3" xfId="39894" xr:uid="{00000000-0005-0000-0000-0000F4800000}"/>
    <cellStyle name="Normal 3 3 2 2 6 3 4" xfId="19542" xr:uid="{00000000-0005-0000-0000-0000F5800000}"/>
    <cellStyle name="Normal 3 3 2 2 6 3 4 2" xfId="46675" xr:uid="{00000000-0005-0000-0000-0000F6800000}"/>
    <cellStyle name="Normal 3 3 2 2 6 3 5" xfId="33113" xr:uid="{00000000-0005-0000-0000-0000F7800000}"/>
    <cellStyle name="Normal 3 3 2 2 6 4" xfId="9352" xr:uid="{00000000-0005-0000-0000-0000F8800000}"/>
    <cellStyle name="Normal 3 3 2 2 6 4 2" xfId="16142" xr:uid="{00000000-0005-0000-0000-0000F9800000}"/>
    <cellStyle name="Normal 3 3 2 2 6 4 2 2" xfId="29710" xr:uid="{00000000-0005-0000-0000-0000FA800000}"/>
    <cellStyle name="Normal 3 3 2 2 6 4 2 2 2" xfId="56843" xr:uid="{00000000-0005-0000-0000-0000FB800000}"/>
    <cellStyle name="Normal 3 3 2 2 6 4 2 3" xfId="43281" xr:uid="{00000000-0005-0000-0000-0000FC800000}"/>
    <cellStyle name="Normal 3 3 2 2 6 4 3" xfId="22929" xr:uid="{00000000-0005-0000-0000-0000FD800000}"/>
    <cellStyle name="Normal 3 3 2 2 6 4 3 2" xfId="50062" xr:uid="{00000000-0005-0000-0000-0000FE800000}"/>
    <cellStyle name="Normal 3 3 2 2 6 4 4" xfId="36500" xr:uid="{00000000-0005-0000-0000-0000FF800000}"/>
    <cellStyle name="Normal 3 3 2 2 6 5" xfId="12753" xr:uid="{00000000-0005-0000-0000-000000810000}"/>
    <cellStyle name="Normal 3 3 2 2 6 5 2" xfId="26321" xr:uid="{00000000-0005-0000-0000-000001810000}"/>
    <cellStyle name="Normal 3 3 2 2 6 5 2 2" xfId="53454" xr:uid="{00000000-0005-0000-0000-000002810000}"/>
    <cellStyle name="Normal 3 3 2 2 6 5 3" xfId="39892" xr:uid="{00000000-0005-0000-0000-000003810000}"/>
    <cellStyle name="Normal 3 3 2 2 6 6" xfId="19540" xr:uid="{00000000-0005-0000-0000-000004810000}"/>
    <cellStyle name="Normal 3 3 2 2 6 6 2" xfId="46673" xr:uid="{00000000-0005-0000-0000-000005810000}"/>
    <cellStyle name="Normal 3 3 2 2 6 7" xfId="33111" xr:uid="{00000000-0005-0000-0000-000006810000}"/>
    <cellStyle name="Normal 3 3 2 2 7" xfId="5812" xr:uid="{00000000-0005-0000-0000-000007810000}"/>
    <cellStyle name="Normal 3 3 2 2 7 2" xfId="9355" xr:uid="{00000000-0005-0000-0000-000008810000}"/>
    <cellStyle name="Normal 3 3 2 2 7 2 2" xfId="16145" xr:uid="{00000000-0005-0000-0000-000009810000}"/>
    <cellStyle name="Normal 3 3 2 2 7 2 2 2" xfId="29713" xr:uid="{00000000-0005-0000-0000-00000A810000}"/>
    <cellStyle name="Normal 3 3 2 2 7 2 2 2 2" xfId="56846" xr:uid="{00000000-0005-0000-0000-00000B810000}"/>
    <cellStyle name="Normal 3 3 2 2 7 2 2 3" xfId="43284" xr:uid="{00000000-0005-0000-0000-00000C810000}"/>
    <cellStyle name="Normal 3 3 2 2 7 2 3" xfId="22932" xr:uid="{00000000-0005-0000-0000-00000D810000}"/>
    <cellStyle name="Normal 3 3 2 2 7 2 3 2" xfId="50065" xr:uid="{00000000-0005-0000-0000-00000E810000}"/>
    <cellStyle name="Normal 3 3 2 2 7 2 4" xfId="36503" xr:uid="{00000000-0005-0000-0000-00000F810000}"/>
    <cellStyle name="Normal 3 3 2 2 7 3" xfId="12756" xr:uid="{00000000-0005-0000-0000-000010810000}"/>
    <cellStyle name="Normal 3 3 2 2 7 3 2" xfId="26324" xr:uid="{00000000-0005-0000-0000-000011810000}"/>
    <cellStyle name="Normal 3 3 2 2 7 3 2 2" xfId="53457" xr:uid="{00000000-0005-0000-0000-000012810000}"/>
    <cellStyle name="Normal 3 3 2 2 7 3 3" xfId="39895" xr:uid="{00000000-0005-0000-0000-000013810000}"/>
    <cellStyle name="Normal 3 3 2 2 7 4" xfId="19543" xr:uid="{00000000-0005-0000-0000-000014810000}"/>
    <cellStyle name="Normal 3 3 2 2 7 4 2" xfId="46676" xr:uid="{00000000-0005-0000-0000-000015810000}"/>
    <cellStyle name="Normal 3 3 2 2 7 5" xfId="33114" xr:uid="{00000000-0005-0000-0000-000016810000}"/>
    <cellStyle name="Normal 3 3 2 2 8" xfId="5813" xr:uid="{00000000-0005-0000-0000-000017810000}"/>
    <cellStyle name="Normal 3 3 2 2 8 2" xfId="9356" xr:uid="{00000000-0005-0000-0000-000018810000}"/>
    <cellStyle name="Normal 3 3 2 2 8 2 2" xfId="16146" xr:uid="{00000000-0005-0000-0000-000019810000}"/>
    <cellStyle name="Normal 3 3 2 2 8 2 2 2" xfId="29714" xr:uid="{00000000-0005-0000-0000-00001A810000}"/>
    <cellStyle name="Normal 3 3 2 2 8 2 2 2 2" xfId="56847" xr:uid="{00000000-0005-0000-0000-00001B810000}"/>
    <cellStyle name="Normal 3 3 2 2 8 2 2 3" xfId="43285" xr:uid="{00000000-0005-0000-0000-00001C810000}"/>
    <cellStyle name="Normal 3 3 2 2 8 2 3" xfId="22933" xr:uid="{00000000-0005-0000-0000-00001D810000}"/>
    <cellStyle name="Normal 3 3 2 2 8 2 3 2" xfId="50066" xr:uid="{00000000-0005-0000-0000-00001E810000}"/>
    <cellStyle name="Normal 3 3 2 2 8 2 4" xfId="36504" xr:uid="{00000000-0005-0000-0000-00001F810000}"/>
    <cellStyle name="Normal 3 3 2 2 8 3" xfId="12757" xr:uid="{00000000-0005-0000-0000-000020810000}"/>
    <cellStyle name="Normal 3 3 2 2 8 3 2" xfId="26325" xr:uid="{00000000-0005-0000-0000-000021810000}"/>
    <cellStyle name="Normal 3 3 2 2 8 3 2 2" xfId="53458" xr:uid="{00000000-0005-0000-0000-000022810000}"/>
    <cellStyle name="Normal 3 3 2 2 8 3 3" xfId="39896" xr:uid="{00000000-0005-0000-0000-000023810000}"/>
    <cellStyle name="Normal 3 3 2 2 8 4" xfId="19544" xr:uid="{00000000-0005-0000-0000-000024810000}"/>
    <cellStyle name="Normal 3 3 2 2 8 4 2" xfId="46677" xr:uid="{00000000-0005-0000-0000-000025810000}"/>
    <cellStyle name="Normal 3 3 2 2 8 5" xfId="33115" xr:uid="{00000000-0005-0000-0000-000026810000}"/>
    <cellStyle name="Normal 3 3 2 2 9" xfId="7507" xr:uid="{00000000-0005-0000-0000-000027810000}"/>
    <cellStyle name="Normal 3 3 2 2 9 2" xfId="14297" xr:uid="{00000000-0005-0000-0000-000028810000}"/>
    <cellStyle name="Normal 3 3 2 2 9 2 2" xfId="27865" xr:uid="{00000000-0005-0000-0000-000029810000}"/>
    <cellStyle name="Normal 3 3 2 2 9 2 2 2" xfId="54998" xr:uid="{00000000-0005-0000-0000-00002A810000}"/>
    <cellStyle name="Normal 3 3 2 2 9 2 3" xfId="41436" xr:uid="{00000000-0005-0000-0000-00002B810000}"/>
    <cellStyle name="Normal 3 3 2 2 9 3" xfId="21084" xr:uid="{00000000-0005-0000-0000-00002C810000}"/>
    <cellStyle name="Normal 3 3 2 2 9 3 2" xfId="48217" xr:uid="{00000000-0005-0000-0000-00002D810000}"/>
    <cellStyle name="Normal 3 3 2 2 9 4" xfId="34655" xr:uid="{00000000-0005-0000-0000-00002E810000}"/>
    <cellStyle name="Normal 3 3 2 3" xfId="5814" xr:uid="{00000000-0005-0000-0000-00002F810000}"/>
    <cellStyle name="Normal 3 3 2 3 10" xfId="33116" xr:uid="{00000000-0005-0000-0000-000030810000}"/>
    <cellStyle name="Normal 3 3 2 3 2" xfId="5815" xr:uid="{00000000-0005-0000-0000-000031810000}"/>
    <cellStyle name="Normal 3 3 2 3 2 2" xfId="5816" xr:uid="{00000000-0005-0000-0000-000032810000}"/>
    <cellStyle name="Normal 3 3 2 3 2 2 2" xfId="5817" xr:uid="{00000000-0005-0000-0000-000033810000}"/>
    <cellStyle name="Normal 3 3 2 3 2 2 2 2" xfId="9360" xr:uid="{00000000-0005-0000-0000-000034810000}"/>
    <cellStyle name="Normal 3 3 2 3 2 2 2 2 2" xfId="16150" xr:uid="{00000000-0005-0000-0000-000035810000}"/>
    <cellStyle name="Normal 3 3 2 3 2 2 2 2 2 2" xfId="29718" xr:uid="{00000000-0005-0000-0000-000036810000}"/>
    <cellStyle name="Normal 3 3 2 3 2 2 2 2 2 2 2" xfId="56851" xr:uid="{00000000-0005-0000-0000-000037810000}"/>
    <cellStyle name="Normal 3 3 2 3 2 2 2 2 2 3" xfId="43289" xr:uid="{00000000-0005-0000-0000-000038810000}"/>
    <cellStyle name="Normal 3 3 2 3 2 2 2 2 3" xfId="22937" xr:uid="{00000000-0005-0000-0000-000039810000}"/>
    <cellStyle name="Normal 3 3 2 3 2 2 2 2 3 2" xfId="50070" xr:uid="{00000000-0005-0000-0000-00003A810000}"/>
    <cellStyle name="Normal 3 3 2 3 2 2 2 2 4" xfId="36508" xr:uid="{00000000-0005-0000-0000-00003B810000}"/>
    <cellStyle name="Normal 3 3 2 3 2 2 2 3" xfId="12761" xr:uid="{00000000-0005-0000-0000-00003C810000}"/>
    <cellStyle name="Normal 3 3 2 3 2 2 2 3 2" xfId="26329" xr:uid="{00000000-0005-0000-0000-00003D810000}"/>
    <cellStyle name="Normal 3 3 2 3 2 2 2 3 2 2" xfId="53462" xr:uid="{00000000-0005-0000-0000-00003E810000}"/>
    <cellStyle name="Normal 3 3 2 3 2 2 2 3 3" xfId="39900" xr:uid="{00000000-0005-0000-0000-00003F810000}"/>
    <cellStyle name="Normal 3 3 2 3 2 2 2 4" xfId="19548" xr:uid="{00000000-0005-0000-0000-000040810000}"/>
    <cellStyle name="Normal 3 3 2 3 2 2 2 4 2" xfId="46681" xr:uid="{00000000-0005-0000-0000-000041810000}"/>
    <cellStyle name="Normal 3 3 2 3 2 2 2 5" xfId="33119" xr:uid="{00000000-0005-0000-0000-000042810000}"/>
    <cellStyle name="Normal 3 3 2 3 2 2 3" xfId="5818" xr:uid="{00000000-0005-0000-0000-000043810000}"/>
    <cellStyle name="Normal 3 3 2 3 2 2 3 2" xfId="9361" xr:uid="{00000000-0005-0000-0000-000044810000}"/>
    <cellStyle name="Normal 3 3 2 3 2 2 3 2 2" xfId="16151" xr:uid="{00000000-0005-0000-0000-000045810000}"/>
    <cellStyle name="Normal 3 3 2 3 2 2 3 2 2 2" xfId="29719" xr:uid="{00000000-0005-0000-0000-000046810000}"/>
    <cellStyle name="Normal 3 3 2 3 2 2 3 2 2 2 2" xfId="56852" xr:uid="{00000000-0005-0000-0000-000047810000}"/>
    <cellStyle name="Normal 3 3 2 3 2 2 3 2 2 3" xfId="43290" xr:uid="{00000000-0005-0000-0000-000048810000}"/>
    <cellStyle name="Normal 3 3 2 3 2 2 3 2 3" xfId="22938" xr:uid="{00000000-0005-0000-0000-000049810000}"/>
    <cellStyle name="Normal 3 3 2 3 2 2 3 2 3 2" xfId="50071" xr:uid="{00000000-0005-0000-0000-00004A810000}"/>
    <cellStyle name="Normal 3 3 2 3 2 2 3 2 4" xfId="36509" xr:uid="{00000000-0005-0000-0000-00004B810000}"/>
    <cellStyle name="Normal 3 3 2 3 2 2 3 3" xfId="12762" xr:uid="{00000000-0005-0000-0000-00004C810000}"/>
    <cellStyle name="Normal 3 3 2 3 2 2 3 3 2" xfId="26330" xr:uid="{00000000-0005-0000-0000-00004D810000}"/>
    <cellStyle name="Normal 3 3 2 3 2 2 3 3 2 2" xfId="53463" xr:uid="{00000000-0005-0000-0000-00004E810000}"/>
    <cellStyle name="Normal 3 3 2 3 2 2 3 3 3" xfId="39901" xr:uid="{00000000-0005-0000-0000-00004F810000}"/>
    <cellStyle name="Normal 3 3 2 3 2 2 3 4" xfId="19549" xr:uid="{00000000-0005-0000-0000-000050810000}"/>
    <cellStyle name="Normal 3 3 2 3 2 2 3 4 2" xfId="46682" xr:uid="{00000000-0005-0000-0000-000051810000}"/>
    <cellStyle name="Normal 3 3 2 3 2 2 3 5" xfId="33120" xr:uid="{00000000-0005-0000-0000-000052810000}"/>
    <cellStyle name="Normal 3 3 2 3 2 2 4" xfId="9359" xr:uid="{00000000-0005-0000-0000-000053810000}"/>
    <cellStyle name="Normal 3 3 2 3 2 2 4 2" xfId="16149" xr:uid="{00000000-0005-0000-0000-000054810000}"/>
    <cellStyle name="Normal 3 3 2 3 2 2 4 2 2" xfId="29717" xr:uid="{00000000-0005-0000-0000-000055810000}"/>
    <cellStyle name="Normal 3 3 2 3 2 2 4 2 2 2" xfId="56850" xr:uid="{00000000-0005-0000-0000-000056810000}"/>
    <cellStyle name="Normal 3 3 2 3 2 2 4 2 3" xfId="43288" xr:uid="{00000000-0005-0000-0000-000057810000}"/>
    <cellStyle name="Normal 3 3 2 3 2 2 4 3" xfId="22936" xr:uid="{00000000-0005-0000-0000-000058810000}"/>
    <cellStyle name="Normal 3 3 2 3 2 2 4 3 2" xfId="50069" xr:uid="{00000000-0005-0000-0000-000059810000}"/>
    <cellStyle name="Normal 3 3 2 3 2 2 4 4" xfId="36507" xr:uid="{00000000-0005-0000-0000-00005A810000}"/>
    <cellStyle name="Normal 3 3 2 3 2 2 5" xfId="12760" xr:uid="{00000000-0005-0000-0000-00005B810000}"/>
    <cellStyle name="Normal 3 3 2 3 2 2 5 2" xfId="26328" xr:uid="{00000000-0005-0000-0000-00005C810000}"/>
    <cellStyle name="Normal 3 3 2 3 2 2 5 2 2" xfId="53461" xr:uid="{00000000-0005-0000-0000-00005D810000}"/>
    <cellStyle name="Normal 3 3 2 3 2 2 5 3" xfId="39899" xr:uid="{00000000-0005-0000-0000-00005E810000}"/>
    <cellStyle name="Normal 3 3 2 3 2 2 6" xfId="19547" xr:uid="{00000000-0005-0000-0000-00005F810000}"/>
    <cellStyle name="Normal 3 3 2 3 2 2 6 2" xfId="46680" xr:uid="{00000000-0005-0000-0000-000060810000}"/>
    <cellStyle name="Normal 3 3 2 3 2 2 7" xfId="33118" xr:uid="{00000000-0005-0000-0000-000061810000}"/>
    <cellStyle name="Normal 3 3 2 3 2 3" xfId="5819" xr:uid="{00000000-0005-0000-0000-000062810000}"/>
    <cellStyle name="Normal 3 3 2 3 2 3 2" xfId="5820" xr:uid="{00000000-0005-0000-0000-000063810000}"/>
    <cellStyle name="Normal 3 3 2 3 2 3 2 2" xfId="9363" xr:uid="{00000000-0005-0000-0000-000064810000}"/>
    <cellStyle name="Normal 3 3 2 3 2 3 2 2 2" xfId="16153" xr:uid="{00000000-0005-0000-0000-000065810000}"/>
    <cellStyle name="Normal 3 3 2 3 2 3 2 2 2 2" xfId="29721" xr:uid="{00000000-0005-0000-0000-000066810000}"/>
    <cellStyle name="Normal 3 3 2 3 2 3 2 2 2 2 2" xfId="56854" xr:uid="{00000000-0005-0000-0000-000067810000}"/>
    <cellStyle name="Normal 3 3 2 3 2 3 2 2 2 3" xfId="43292" xr:uid="{00000000-0005-0000-0000-000068810000}"/>
    <cellStyle name="Normal 3 3 2 3 2 3 2 2 3" xfId="22940" xr:uid="{00000000-0005-0000-0000-000069810000}"/>
    <cellStyle name="Normal 3 3 2 3 2 3 2 2 3 2" xfId="50073" xr:uid="{00000000-0005-0000-0000-00006A810000}"/>
    <cellStyle name="Normal 3 3 2 3 2 3 2 2 4" xfId="36511" xr:uid="{00000000-0005-0000-0000-00006B810000}"/>
    <cellStyle name="Normal 3 3 2 3 2 3 2 3" xfId="12764" xr:uid="{00000000-0005-0000-0000-00006C810000}"/>
    <cellStyle name="Normal 3 3 2 3 2 3 2 3 2" xfId="26332" xr:uid="{00000000-0005-0000-0000-00006D810000}"/>
    <cellStyle name="Normal 3 3 2 3 2 3 2 3 2 2" xfId="53465" xr:uid="{00000000-0005-0000-0000-00006E810000}"/>
    <cellStyle name="Normal 3 3 2 3 2 3 2 3 3" xfId="39903" xr:uid="{00000000-0005-0000-0000-00006F810000}"/>
    <cellStyle name="Normal 3 3 2 3 2 3 2 4" xfId="19551" xr:uid="{00000000-0005-0000-0000-000070810000}"/>
    <cellStyle name="Normal 3 3 2 3 2 3 2 4 2" xfId="46684" xr:uid="{00000000-0005-0000-0000-000071810000}"/>
    <cellStyle name="Normal 3 3 2 3 2 3 2 5" xfId="33122" xr:uid="{00000000-0005-0000-0000-000072810000}"/>
    <cellStyle name="Normal 3 3 2 3 2 3 3" xfId="9362" xr:uid="{00000000-0005-0000-0000-000073810000}"/>
    <cellStyle name="Normal 3 3 2 3 2 3 3 2" xfId="16152" xr:uid="{00000000-0005-0000-0000-000074810000}"/>
    <cellStyle name="Normal 3 3 2 3 2 3 3 2 2" xfId="29720" xr:uid="{00000000-0005-0000-0000-000075810000}"/>
    <cellStyle name="Normal 3 3 2 3 2 3 3 2 2 2" xfId="56853" xr:uid="{00000000-0005-0000-0000-000076810000}"/>
    <cellStyle name="Normal 3 3 2 3 2 3 3 2 3" xfId="43291" xr:uid="{00000000-0005-0000-0000-000077810000}"/>
    <cellStyle name="Normal 3 3 2 3 2 3 3 3" xfId="22939" xr:uid="{00000000-0005-0000-0000-000078810000}"/>
    <cellStyle name="Normal 3 3 2 3 2 3 3 3 2" xfId="50072" xr:uid="{00000000-0005-0000-0000-000079810000}"/>
    <cellStyle name="Normal 3 3 2 3 2 3 3 4" xfId="36510" xr:uid="{00000000-0005-0000-0000-00007A810000}"/>
    <cellStyle name="Normal 3 3 2 3 2 3 4" xfId="12763" xr:uid="{00000000-0005-0000-0000-00007B810000}"/>
    <cellStyle name="Normal 3 3 2 3 2 3 4 2" xfId="26331" xr:uid="{00000000-0005-0000-0000-00007C810000}"/>
    <cellStyle name="Normal 3 3 2 3 2 3 4 2 2" xfId="53464" xr:uid="{00000000-0005-0000-0000-00007D810000}"/>
    <cellStyle name="Normal 3 3 2 3 2 3 4 3" xfId="39902" xr:uid="{00000000-0005-0000-0000-00007E810000}"/>
    <cellStyle name="Normal 3 3 2 3 2 3 5" xfId="19550" xr:uid="{00000000-0005-0000-0000-00007F810000}"/>
    <cellStyle name="Normal 3 3 2 3 2 3 5 2" xfId="46683" xr:uid="{00000000-0005-0000-0000-000080810000}"/>
    <cellStyle name="Normal 3 3 2 3 2 3 6" xfId="33121" xr:uid="{00000000-0005-0000-0000-000081810000}"/>
    <cellStyle name="Normal 3 3 2 3 2 4" xfId="5821" xr:uid="{00000000-0005-0000-0000-000082810000}"/>
    <cellStyle name="Normal 3 3 2 3 2 4 2" xfId="9364" xr:uid="{00000000-0005-0000-0000-000083810000}"/>
    <cellStyle name="Normal 3 3 2 3 2 4 2 2" xfId="16154" xr:uid="{00000000-0005-0000-0000-000084810000}"/>
    <cellStyle name="Normal 3 3 2 3 2 4 2 2 2" xfId="29722" xr:uid="{00000000-0005-0000-0000-000085810000}"/>
    <cellStyle name="Normal 3 3 2 3 2 4 2 2 2 2" xfId="56855" xr:uid="{00000000-0005-0000-0000-000086810000}"/>
    <cellStyle name="Normal 3 3 2 3 2 4 2 2 3" xfId="43293" xr:uid="{00000000-0005-0000-0000-000087810000}"/>
    <cellStyle name="Normal 3 3 2 3 2 4 2 3" xfId="22941" xr:uid="{00000000-0005-0000-0000-000088810000}"/>
    <cellStyle name="Normal 3 3 2 3 2 4 2 3 2" xfId="50074" xr:uid="{00000000-0005-0000-0000-000089810000}"/>
    <cellStyle name="Normal 3 3 2 3 2 4 2 4" xfId="36512" xr:uid="{00000000-0005-0000-0000-00008A810000}"/>
    <cellStyle name="Normal 3 3 2 3 2 4 3" xfId="12765" xr:uid="{00000000-0005-0000-0000-00008B810000}"/>
    <cellStyle name="Normal 3 3 2 3 2 4 3 2" xfId="26333" xr:uid="{00000000-0005-0000-0000-00008C810000}"/>
    <cellStyle name="Normal 3 3 2 3 2 4 3 2 2" xfId="53466" xr:uid="{00000000-0005-0000-0000-00008D810000}"/>
    <cellStyle name="Normal 3 3 2 3 2 4 3 3" xfId="39904" xr:uid="{00000000-0005-0000-0000-00008E810000}"/>
    <cellStyle name="Normal 3 3 2 3 2 4 4" xfId="19552" xr:uid="{00000000-0005-0000-0000-00008F810000}"/>
    <cellStyle name="Normal 3 3 2 3 2 4 4 2" xfId="46685" xr:uid="{00000000-0005-0000-0000-000090810000}"/>
    <cellStyle name="Normal 3 3 2 3 2 4 5" xfId="33123" xr:uid="{00000000-0005-0000-0000-000091810000}"/>
    <cellStyle name="Normal 3 3 2 3 2 5" xfId="5822" xr:uid="{00000000-0005-0000-0000-000092810000}"/>
    <cellStyle name="Normal 3 3 2 3 2 5 2" xfId="9365" xr:uid="{00000000-0005-0000-0000-000093810000}"/>
    <cellStyle name="Normal 3 3 2 3 2 5 2 2" xfId="16155" xr:uid="{00000000-0005-0000-0000-000094810000}"/>
    <cellStyle name="Normal 3 3 2 3 2 5 2 2 2" xfId="29723" xr:uid="{00000000-0005-0000-0000-000095810000}"/>
    <cellStyle name="Normal 3 3 2 3 2 5 2 2 2 2" xfId="56856" xr:uid="{00000000-0005-0000-0000-000096810000}"/>
    <cellStyle name="Normal 3 3 2 3 2 5 2 2 3" xfId="43294" xr:uid="{00000000-0005-0000-0000-000097810000}"/>
    <cellStyle name="Normal 3 3 2 3 2 5 2 3" xfId="22942" xr:uid="{00000000-0005-0000-0000-000098810000}"/>
    <cellStyle name="Normal 3 3 2 3 2 5 2 3 2" xfId="50075" xr:uid="{00000000-0005-0000-0000-000099810000}"/>
    <cellStyle name="Normal 3 3 2 3 2 5 2 4" xfId="36513" xr:uid="{00000000-0005-0000-0000-00009A810000}"/>
    <cellStyle name="Normal 3 3 2 3 2 5 3" xfId="12766" xr:uid="{00000000-0005-0000-0000-00009B810000}"/>
    <cellStyle name="Normal 3 3 2 3 2 5 3 2" xfId="26334" xr:uid="{00000000-0005-0000-0000-00009C810000}"/>
    <cellStyle name="Normal 3 3 2 3 2 5 3 2 2" xfId="53467" xr:uid="{00000000-0005-0000-0000-00009D810000}"/>
    <cellStyle name="Normal 3 3 2 3 2 5 3 3" xfId="39905" xr:uid="{00000000-0005-0000-0000-00009E810000}"/>
    <cellStyle name="Normal 3 3 2 3 2 5 4" xfId="19553" xr:uid="{00000000-0005-0000-0000-00009F810000}"/>
    <cellStyle name="Normal 3 3 2 3 2 5 4 2" xfId="46686" xr:uid="{00000000-0005-0000-0000-0000A0810000}"/>
    <cellStyle name="Normal 3 3 2 3 2 5 5" xfId="33124" xr:uid="{00000000-0005-0000-0000-0000A1810000}"/>
    <cellStyle name="Normal 3 3 2 3 2 6" xfId="9358" xr:uid="{00000000-0005-0000-0000-0000A2810000}"/>
    <cellStyle name="Normal 3 3 2 3 2 6 2" xfId="16148" xr:uid="{00000000-0005-0000-0000-0000A3810000}"/>
    <cellStyle name="Normal 3 3 2 3 2 6 2 2" xfId="29716" xr:uid="{00000000-0005-0000-0000-0000A4810000}"/>
    <cellStyle name="Normal 3 3 2 3 2 6 2 2 2" xfId="56849" xr:uid="{00000000-0005-0000-0000-0000A5810000}"/>
    <cellStyle name="Normal 3 3 2 3 2 6 2 3" xfId="43287" xr:uid="{00000000-0005-0000-0000-0000A6810000}"/>
    <cellStyle name="Normal 3 3 2 3 2 6 3" xfId="22935" xr:uid="{00000000-0005-0000-0000-0000A7810000}"/>
    <cellStyle name="Normal 3 3 2 3 2 6 3 2" xfId="50068" xr:uid="{00000000-0005-0000-0000-0000A8810000}"/>
    <cellStyle name="Normal 3 3 2 3 2 6 4" xfId="36506" xr:uid="{00000000-0005-0000-0000-0000A9810000}"/>
    <cellStyle name="Normal 3 3 2 3 2 7" xfId="12759" xr:uid="{00000000-0005-0000-0000-0000AA810000}"/>
    <cellStyle name="Normal 3 3 2 3 2 7 2" xfId="26327" xr:uid="{00000000-0005-0000-0000-0000AB810000}"/>
    <cellStyle name="Normal 3 3 2 3 2 7 2 2" xfId="53460" xr:uid="{00000000-0005-0000-0000-0000AC810000}"/>
    <cellStyle name="Normal 3 3 2 3 2 7 3" xfId="39898" xr:uid="{00000000-0005-0000-0000-0000AD810000}"/>
    <cellStyle name="Normal 3 3 2 3 2 8" xfId="19546" xr:uid="{00000000-0005-0000-0000-0000AE810000}"/>
    <cellStyle name="Normal 3 3 2 3 2 8 2" xfId="46679" xr:uid="{00000000-0005-0000-0000-0000AF810000}"/>
    <cellStyle name="Normal 3 3 2 3 2 9" xfId="33117" xr:uid="{00000000-0005-0000-0000-0000B0810000}"/>
    <cellStyle name="Normal 3 3 2 3 3" xfId="5823" xr:uid="{00000000-0005-0000-0000-0000B1810000}"/>
    <cellStyle name="Normal 3 3 2 3 3 2" xfId="5824" xr:uid="{00000000-0005-0000-0000-0000B2810000}"/>
    <cellStyle name="Normal 3 3 2 3 3 2 2" xfId="9367" xr:uid="{00000000-0005-0000-0000-0000B3810000}"/>
    <cellStyle name="Normal 3 3 2 3 3 2 2 2" xfId="16157" xr:uid="{00000000-0005-0000-0000-0000B4810000}"/>
    <cellStyle name="Normal 3 3 2 3 3 2 2 2 2" xfId="29725" xr:uid="{00000000-0005-0000-0000-0000B5810000}"/>
    <cellStyle name="Normal 3 3 2 3 3 2 2 2 2 2" xfId="56858" xr:uid="{00000000-0005-0000-0000-0000B6810000}"/>
    <cellStyle name="Normal 3 3 2 3 3 2 2 2 3" xfId="43296" xr:uid="{00000000-0005-0000-0000-0000B7810000}"/>
    <cellStyle name="Normal 3 3 2 3 3 2 2 3" xfId="22944" xr:uid="{00000000-0005-0000-0000-0000B8810000}"/>
    <cellStyle name="Normal 3 3 2 3 3 2 2 3 2" xfId="50077" xr:uid="{00000000-0005-0000-0000-0000B9810000}"/>
    <cellStyle name="Normal 3 3 2 3 3 2 2 4" xfId="36515" xr:uid="{00000000-0005-0000-0000-0000BA810000}"/>
    <cellStyle name="Normal 3 3 2 3 3 2 3" xfId="12768" xr:uid="{00000000-0005-0000-0000-0000BB810000}"/>
    <cellStyle name="Normal 3 3 2 3 3 2 3 2" xfId="26336" xr:uid="{00000000-0005-0000-0000-0000BC810000}"/>
    <cellStyle name="Normal 3 3 2 3 3 2 3 2 2" xfId="53469" xr:uid="{00000000-0005-0000-0000-0000BD810000}"/>
    <cellStyle name="Normal 3 3 2 3 3 2 3 3" xfId="39907" xr:uid="{00000000-0005-0000-0000-0000BE810000}"/>
    <cellStyle name="Normal 3 3 2 3 3 2 4" xfId="19555" xr:uid="{00000000-0005-0000-0000-0000BF810000}"/>
    <cellStyle name="Normal 3 3 2 3 3 2 4 2" xfId="46688" xr:uid="{00000000-0005-0000-0000-0000C0810000}"/>
    <cellStyle name="Normal 3 3 2 3 3 2 5" xfId="33126" xr:uid="{00000000-0005-0000-0000-0000C1810000}"/>
    <cellStyle name="Normal 3 3 2 3 3 3" xfId="5825" xr:uid="{00000000-0005-0000-0000-0000C2810000}"/>
    <cellStyle name="Normal 3 3 2 3 3 3 2" xfId="9368" xr:uid="{00000000-0005-0000-0000-0000C3810000}"/>
    <cellStyle name="Normal 3 3 2 3 3 3 2 2" xfId="16158" xr:uid="{00000000-0005-0000-0000-0000C4810000}"/>
    <cellStyle name="Normal 3 3 2 3 3 3 2 2 2" xfId="29726" xr:uid="{00000000-0005-0000-0000-0000C5810000}"/>
    <cellStyle name="Normal 3 3 2 3 3 3 2 2 2 2" xfId="56859" xr:uid="{00000000-0005-0000-0000-0000C6810000}"/>
    <cellStyle name="Normal 3 3 2 3 3 3 2 2 3" xfId="43297" xr:uid="{00000000-0005-0000-0000-0000C7810000}"/>
    <cellStyle name="Normal 3 3 2 3 3 3 2 3" xfId="22945" xr:uid="{00000000-0005-0000-0000-0000C8810000}"/>
    <cellStyle name="Normal 3 3 2 3 3 3 2 3 2" xfId="50078" xr:uid="{00000000-0005-0000-0000-0000C9810000}"/>
    <cellStyle name="Normal 3 3 2 3 3 3 2 4" xfId="36516" xr:uid="{00000000-0005-0000-0000-0000CA810000}"/>
    <cellStyle name="Normal 3 3 2 3 3 3 3" xfId="12769" xr:uid="{00000000-0005-0000-0000-0000CB810000}"/>
    <cellStyle name="Normal 3 3 2 3 3 3 3 2" xfId="26337" xr:uid="{00000000-0005-0000-0000-0000CC810000}"/>
    <cellStyle name="Normal 3 3 2 3 3 3 3 2 2" xfId="53470" xr:uid="{00000000-0005-0000-0000-0000CD810000}"/>
    <cellStyle name="Normal 3 3 2 3 3 3 3 3" xfId="39908" xr:uid="{00000000-0005-0000-0000-0000CE810000}"/>
    <cellStyle name="Normal 3 3 2 3 3 3 4" xfId="19556" xr:uid="{00000000-0005-0000-0000-0000CF810000}"/>
    <cellStyle name="Normal 3 3 2 3 3 3 4 2" xfId="46689" xr:uid="{00000000-0005-0000-0000-0000D0810000}"/>
    <cellStyle name="Normal 3 3 2 3 3 3 5" xfId="33127" xr:uid="{00000000-0005-0000-0000-0000D1810000}"/>
    <cellStyle name="Normal 3 3 2 3 3 4" xfId="9366" xr:uid="{00000000-0005-0000-0000-0000D2810000}"/>
    <cellStyle name="Normal 3 3 2 3 3 4 2" xfId="16156" xr:uid="{00000000-0005-0000-0000-0000D3810000}"/>
    <cellStyle name="Normal 3 3 2 3 3 4 2 2" xfId="29724" xr:uid="{00000000-0005-0000-0000-0000D4810000}"/>
    <cellStyle name="Normal 3 3 2 3 3 4 2 2 2" xfId="56857" xr:uid="{00000000-0005-0000-0000-0000D5810000}"/>
    <cellStyle name="Normal 3 3 2 3 3 4 2 3" xfId="43295" xr:uid="{00000000-0005-0000-0000-0000D6810000}"/>
    <cellStyle name="Normal 3 3 2 3 3 4 3" xfId="22943" xr:uid="{00000000-0005-0000-0000-0000D7810000}"/>
    <cellStyle name="Normal 3 3 2 3 3 4 3 2" xfId="50076" xr:uid="{00000000-0005-0000-0000-0000D8810000}"/>
    <cellStyle name="Normal 3 3 2 3 3 4 4" xfId="36514" xr:uid="{00000000-0005-0000-0000-0000D9810000}"/>
    <cellStyle name="Normal 3 3 2 3 3 5" xfId="12767" xr:uid="{00000000-0005-0000-0000-0000DA810000}"/>
    <cellStyle name="Normal 3 3 2 3 3 5 2" xfId="26335" xr:uid="{00000000-0005-0000-0000-0000DB810000}"/>
    <cellStyle name="Normal 3 3 2 3 3 5 2 2" xfId="53468" xr:uid="{00000000-0005-0000-0000-0000DC810000}"/>
    <cellStyle name="Normal 3 3 2 3 3 5 3" xfId="39906" xr:uid="{00000000-0005-0000-0000-0000DD810000}"/>
    <cellStyle name="Normal 3 3 2 3 3 6" xfId="19554" xr:uid="{00000000-0005-0000-0000-0000DE810000}"/>
    <cellStyle name="Normal 3 3 2 3 3 6 2" xfId="46687" xr:uid="{00000000-0005-0000-0000-0000DF810000}"/>
    <cellStyle name="Normal 3 3 2 3 3 7" xfId="33125" xr:uid="{00000000-0005-0000-0000-0000E0810000}"/>
    <cellStyle name="Normal 3 3 2 3 4" xfId="5826" xr:uid="{00000000-0005-0000-0000-0000E1810000}"/>
    <cellStyle name="Normal 3 3 2 3 4 2" xfId="5827" xr:uid="{00000000-0005-0000-0000-0000E2810000}"/>
    <cellStyle name="Normal 3 3 2 3 4 2 2" xfId="9370" xr:uid="{00000000-0005-0000-0000-0000E3810000}"/>
    <cellStyle name="Normal 3 3 2 3 4 2 2 2" xfId="16160" xr:uid="{00000000-0005-0000-0000-0000E4810000}"/>
    <cellStyle name="Normal 3 3 2 3 4 2 2 2 2" xfId="29728" xr:uid="{00000000-0005-0000-0000-0000E5810000}"/>
    <cellStyle name="Normal 3 3 2 3 4 2 2 2 2 2" xfId="56861" xr:uid="{00000000-0005-0000-0000-0000E6810000}"/>
    <cellStyle name="Normal 3 3 2 3 4 2 2 2 3" xfId="43299" xr:uid="{00000000-0005-0000-0000-0000E7810000}"/>
    <cellStyle name="Normal 3 3 2 3 4 2 2 3" xfId="22947" xr:uid="{00000000-0005-0000-0000-0000E8810000}"/>
    <cellStyle name="Normal 3 3 2 3 4 2 2 3 2" xfId="50080" xr:uid="{00000000-0005-0000-0000-0000E9810000}"/>
    <cellStyle name="Normal 3 3 2 3 4 2 2 4" xfId="36518" xr:uid="{00000000-0005-0000-0000-0000EA810000}"/>
    <cellStyle name="Normal 3 3 2 3 4 2 3" xfId="12771" xr:uid="{00000000-0005-0000-0000-0000EB810000}"/>
    <cellStyle name="Normal 3 3 2 3 4 2 3 2" xfId="26339" xr:uid="{00000000-0005-0000-0000-0000EC810000}"/>
    <cellStyle name="Normal 3 3 2 3 4 2 3 2 2" xfId="53472" xr:uid="{00000000-0005-0000-0000-0000ED810000}"/>
    <cellStyle name="Normal 3 3 2 3 4 2 3 3" xfId="39910" xr:uid="{00000000-0005-0000-0000-0000EE810000}"/>
    <cellStyle name="Normal 3 3 2 3 4 2 4" xfId="19558" xr:uid="{00000000-0005-0000-0000-0000EF810000}"/>
    <cellStyle name="Normal 3 3 2 3 4 2 4 2" xfId="46691" xr:uid="{00000000-0005-0000-0000-0000F0810000}"/>
    <cellStyle name="Normal 3 3 2 3 4 2 5" xfId="33129" xr:uid="{00000000-0005-0000-0000-0000F1810000}"/>
    <cellStyle name="Normal 3 3 2 3 4 3" xfId="9369" xr:uid="{00000000-0005-0000-0000-0000F2810000}"/>
    <cellStyle name="Normal 3 3 2 3 4 3 2" xfId="16159" xr:uid="{00000000-0005-0000-0000-0000F3810000}"/>
    <cellStyle name="Normal 3 3 2 3 4 3 2 2" xfId="29727" xr:uid="{00000000-0005-0000-0000-0000F4810000}"/>
    <cellStyle name="Normal 3 3 2 3 4 3 2 2 2" xfId="56860" xr:uid="{00000000-0005-0000-0000-0000F5810000}"/>
    <cellStyle name="Normal 3 3 2 3 4 3 2 3" xfId="43298" xr:uid="{00000000-0005-0000-0000-0000F6810000}"/>
    <cellStyle name="Normal 3 3 2 3 4 3 3" xfId="22946" xr:uid="{00000000-0005-0000-0000-0000F7810000}"/>
    <cellStyle name="Normal 3 3 2 3 4 3 3 2" xfId="50079" xr:uid="{00000000-0005-0000-0000-0000F8810000}"/>
    <cellStyle name="Normal 3 3 2 3 4 3 4" xfId="36517" xr:uid="{00000000-0005-0000-0000-0000F9810000}"/>
    <cellStyle name="Normal 3 3 2 3 4 4" xfId="12770" xr:uid="{00000000-0005-0000-0000-0000FA810000}"/>
    <cellStyle name="Normal 3 3 2 3 4 4 2" xfId="26338" xr:uid="{00000000-0005-0000-0000-0000FB810000}"/>
    <cellStyle name="Normal 3 3 2 3 4 4 2 2" xfId="53471" xr:uid="{00000000-0005-0000-0000-0000FC810000}"/>
    <cellStyle name="Normal 3 3 2 3 4 4 3" xfId="39909" xr:uid="{00000000-0005-0000-0000-0000FD810000}"/>
    <cellStyle name="Normal 3 3 2 3 4 5" xfId="19557" xr:uid="{00000000-0005-0000-0000-0000FE810000}"/>
    <cellStyle name="Normal 3 3 2 3 4 5 2" xfId="46690" xr:uid="{00000000-0005-0000-0000-0000FF810000}"/>
    <cellStyle name="Normal 3 3 2 3 4 6" xfId="33128" xr:uid="{00000000-0005-0000-0000-000000820000}"/>
    <cellStyle name="Normal 3 3 2 3 5" xfId="5828" xr:uid="{00000000-0005-0000-0000-000001820000}"/>
    <cellStyle name="Normal 3 3 2 3 5 2" xfId="9371" xr:uid="{00000000-0005-0000-0000-000002820000}"/>
    <cellStyle name="Normal 3 3 2 3 5 2 2" xfId="16161" xr:uid="{00000000-0005-0000-0000-000003820000}"/>
    <cellStyle name="Normal 3 3 2 3 5 2 2 2" xfId="29729" xr:uid="{00000000-0005-0000-0000-000004820000}"/>
    <cellStyle name="Normal 3 3 2 3 5 2 2 2 2" xfId="56862" xr:uid="{00000000-0005-0000-0000-000005820000}"/>
    <cellStyle name="Normal 3 3 2 3 5 2 2 3" xfId="43300" xr:uid="{00000000-0005-0000-0000-000006820000}"/>
    <cellStyle name="Normal 3 3 2 3 5 2 3" xfId="22948" xr:uid="{00000000-0005-0000-0000-000007820000}"/>
    <cellStyle name="Normal 3 3 2 3 5 2 3 2" xfId="50081" xr:uid="{00000000-0005-0000-0000-000008820000}"/>
    <cellStyle name="Normal 3 3 2 3 5 2 4" xfId="36519" xr:uid="{00000000-0005-0000-0000-000009820000}"/>
    <cellStyle name="Normal 3 3 2 3 5 3" xfId="12772" xr:uid="{00000000-0005-0000-0000-00000A820000}"/>
    <cellStyle name="Normal 3 3 2 3 5 3 2" xfId="26340" xr:uid="{00000000-0005-0000-0000-00000B820000}"/>
    <cellStyle name="Normal 3 3 2 3 5 3 2 2" xfId="53473" xr:uid="{00000000-0005-0000-0000-00000C820000}"/>
    <cellStyle name="Normal 3 3 2 3 5 3 3" xfId="39911" xr:uid="{00000000-0005-0000-0000-00000D820000}"/>
    <cellStyle name="Normal 3 3 2 3 5 4" xfId="19559" xr:uid="{00000000-0005-0000-0000-00000E820000}"/>
    <cellStyle name="Normal 3 3 2 3 5 4 2" xfId="46692" xr:uid="{00000000-0005-0000-0000-00000F820000}"/>
    <cellStyle name="Normal 3 3 2 3 5 5" xfId="33130" xr:uid="{00000000-0005-0000-0000-000010820000}"/>
    <cellStyle name="Normal 3 3 2 3 6" xfId="5829" xr:uid="{00000000-0005-0000-0000-000011820000}"/>
    <cellStyle name="Normal 3 3 2 3 6 2" xfId="9372" xr:uid="{00000000-0005-0000-0000-000012820000}"/>
    <cellStyle name="Normal 3 3 2 3 6 2 2" xfId="16162" xr:uid="{00000000-0005-0000-0000-000013820000}"/>
    <cellStyle name="Normal 3 3 2 3 6 2 2 2" xfId="29730" xr:uid="{00000000-0005-0000-0000-000014820000}"/>
    <cellStyle name="Normal 3 3 2 3 6 2 2 2 2" xfId="56863" xr:uid="{00000000-0005-0000-0000-000015820000}"/>
    <cellStyle name="Normal 3 3 2 3 6 2 2 3" xfId="43301" xr:uid="{00000000-0005-0000-0000-000016820000}"/>
    <cellStyle name="Normal 3 3 2 3 6 2 3" xfId="22949" xr:uid="{00000000-0005-0000-0000-000017820000}"/>
    <cellStyle name="Normal 3 3 2 3 6 2 3 2" xfId="50082" xr:uid="{00000000-0005-0000-0000-000018820000}"/>
    <cellStyle name="Normal 3 3 2 3 6 2 4" xfId="36520" xr:uid="{00000000-0005-0000-0000-000019820000}"/>
    <cellStyle name="Normal 3 3 2 3 6 3" xfId="12773" xr:uid="{00000000-0005-0000-0000-00001A820000}"/>
    <cellStyle name="Normal 3 3 2 3 6 3 2" xfId="26341" xr:uid="{00000000-0005-0000-0000-00001B820000}"/>
    <cellStyle name="Normal 3 3 2 3 6 3 2 2" xfId="53474" xr:uid="{00000000-0005-0000-0000-00001C820000}"/>
    <cellStyle name="Normal 3 3 2 3 6 3 3" xfId="39912" xr:uid="{00000000-0005-0000-0000-00001D820000}"/>
    <cellStyle name="Normal 3 3 2 3 6 4" xfId="19560" xr:uid="{00000000-0005-0000-0000-00001E820000}"/>
    <cellStyle name="Normal 3 3 2 3 6 4 2" xfId="46693" xr:uid="{00000000-0005-0000-0000-00001F820000}"/>
    <cellStyle name="Normal 3 3 2 3 6 5" xfId="33131" xr:uid="{00000000-0005-0000-0000-000020820000}"/>
    <cellStyle name="Normal 3 3 2 3 7" xfId="9357" xr:uid="{00000000-0005-0000-0000-000021820000}"/>
    <cellStyle name="Normal 3 3 2 3 7 2" xfId="16147" xr:uid="{00000000-0005-0000-0000-000022820000}"/>
    <cellStyle name="Normal 3 3 2 3 7 2 2" xfId="29715" xr:uid="{00000000-0005-0000-0000-000023820000}"/>
    <cellStyle name="Normal 3 3 2 3 7 2 2 2" xfId="56848" xr:uid="{00000000-0005-0000-0000-000024820000}"/>
    <cellStyle name="Normal 3 3 2 3 7 2 3" xfId="43286" xr:uid="{00000000-0005-0000-0000-000025820000}"/>
    <cellStyle name="Normal 3 3 2 3 7 3" xfId="22934" xr:uid="{00000000-0005-0000-0000-000026820000}"/>
    <cellStyle name="Normal 3 3 2 3 7 3 2" xfId="50067" xr:uid="{00000000-0005-0000-0000-000027820000}"/>
    <cellStyle name="Normal 3 3 2 3 7 4" xfId="36505" xr:uid="{00000000-0005-0000-0000-000028820000}"/>
    <cellStyle name="Normal 3 3 2 3 8" xfId="12758" xr:uid="{00000000-0005-0000-0000-000029820000}"/>
    <cellStyle name="Normal 3 3 2 3 8 2" xfId="26326" xr:uid="{00000000-0005-0000-0000-00002A820000}"/>
    <cellStyle name="Normal 3 3 2 3 8 2 2" xfId="53459" xr:uid="{00000000-0005-0000-0000-00002B820000}"/>
    <cellStyle name="Normal 3 3 2 3 8 3" xfId="39897" xr:uid="{00000000-0005-0000-0000-00002C820000}"/>
    <cellStyle name="Normal 3 3 2 3 9" xfId="19545" xr:uid="{00000000-0005-0000-0000-00002D820000}"/>
    <cellStyle name="Normal 3 3 2 3 9 2" xfId="46678" xr:uid="{00000000-0005-0000-0000-00002E820000}"/>
    <cellStyle name="Normal 3 3 2 4" xfId="5830" xr:uid="{00000000-0005-0000-0000-00002F820000}"/>
    <cellStyle name="Normal 3 3 2 4 2" xfId="5831" xr:uid="{00000000-0005-0000-0000-000030820000}"/>
    <cellStyle name="Normal 3 3 2 4 2 2" xfId="5832" xr:uid="{00000000-0005-0000-0000-000031820000}"/>
    <cellStyle name="Normal 3 3 2 4 2 2 2" xfId="9375" xr:uid="{00000000-0005-0000-0000-000032820000}"/>
    <cellStyle name="Normal 3 3 2 4 2 2 2 2" xfId="16165" xr:uid="{00000000-0005-0000-0000-000033820000}"/>
    <cellStyle name="Normal 3 3 2 4 2 2 2 2 2" xfId="29733" xr:uid="{00000000-0005-0000-0000-000034820000}"/>
    <cellStyle name="Normal 3 3 2 4 2 2 2 2 2 2" xfId="56866" xr:uid="{00000000-0005-0000-0000-000035820000}"/>
    <cellStyle name="Normal 3 3 2 4 2 2 2 2 3" xfId="43304" xr:uid="{00000000-0005-0000-0000-000036820000}"/>
    <cellStyle name="Normal 3 3 2 4 2 2 2 3" xfId="22952" xr:uid="{00000000-0005-0000-0000-000037820000}"/>
    <cellStyle name="Normal 3 3 2 4 2 2 2 3 2" xfId="50085" xr:uid="{00000000-0005-0000-0000-000038820000}"/>
    <cellStyle name="Normal 3 3 2 4 2 2 2 4" xfId="36523" xr:uid="{00000000-0005-0000-0000-000039820000}"/>
    <cellStyle name="Normal 3 3 2 4 2 2 3" xfId="12776" xr:uid="{00000000-0005-0000-0000-00003A820000}"/>
    <cellStyle name="Normal 3 3 2 4 2 2 3 2" xfId="26344" xr:uid="{00000000-0005-0000-0000-00003B820000}"/>
    <cellStyle name="Normal 3 3 2 4 2 2 3 2 2" xfId="53477" xr:uid="{00000000-0005-0000-0000-00003C820000}"/>
    <cellStyle name="Normal 3 3 2 4 2 2 3 3" xfId="39915" xr:uid="{00000000-0005-0000-0000-00003D820000}"/>
    <cellStyle name="Normal 3 3 2 4 2 2 4" xfId="19563" xr:uid="{00000000-0005-0000-0000-00003E820000}"/>
    <cellStyle name="Normal 3 3 2 4 2 2 4 2" xfId="46696" xr:uid="{00000000-0005-0000-0000-00003F820000}"/>
    <cellStyle name="Normal 3 3 2 4 2 2 5" xfId="33134" xr:uid="{00000000-0005-0000-0000-000040820000}"/>
    <cellStyle name="Normal 3 3 2 4 2 3" xfId="5833" xr:uid="{00000000-0005-0000-0000-000041820000}"/>
    <cellStyle name="Normal 3 3 2 4 2 3 2" xfId="9376" xr:uid="{00000000-0005-0000-0000-000042820000}"/>
    <cellStyle name="Normal 3 3 2 4 2 3 2 2" xfId="16166" xr:uid="{00000000-0005-0000-0000-000043820000}"/>
    <cellStyle name="Normal 3 3 2 4 2 3 2 2 2" xfId="29734" xr:uid="{00000000-0005-0000-0000-000044820000}"/>
    <cellStyle name="Normal 3 3 2 4 2 3 2 2 2 2" xfId="56867" xr:uid="{00000000-0005-0000-0000-000045820000}"/>
    <cellStyle name="Normal 3 3 2 4 2 3 2 2 3" xfId="43305" xr:uid="{00000000-0005-0000-0000-000046820000}"/>
    <cellStyle name="Normal 3 3 2 4 2 3 2 3" xfId="22953" xr:uid="{00000000-0005-0000-0000-000047820000}"/>
    <cellStyle name="Normal 3 3 2 4 2 3 2 3 2" xfId="50086" xr:uid="{00000000-0005-0000-0000-000048820000}"/>
    <cellStyle name="Normal 3 3 2 4 2 3 2 4" xfId="36524" xr:uid="{00000000-0005-0000-0000-000049820000}"/>
    <cellStyle name="Normal 3 3 2 4 2 3 3" xfId="12777" xr:uid="{00000000-0005-0000-0000-00004A820000}"/>
    <cellStyle name="Normal 3 3 2 4 2 3 3 2" xfId="26345" xr:uid="{00000000-0005-0000-0000-00004B820000}"/>
    <cellStyle name="Normal 3 3 2 4 2 3 3 2 2" xfId="53478" xr:uid="{00000000-0005-0000-0000-00004C820000}"/>
    <cellStyle name="Normal 3 3 2 4 2 3 3 3" xfId="39916" xr:uid="{00000000-0005-0000-0000-00004D820000}"/>
    <cellStyle name="Normal 3 3 2 4 2 3 4" xfId="19564" xr:uid="{00000000-0005-0000-0000-00004E820000}"/>
    <cellStyle name="Normal 3 3 2 4 2 3 4 2" xfId="46697" xr:uid="{00000000-0005-0000-0000-00004F820000}"/>
    <cellStyle name="Normal 3 3 2 4 2 3 5" xfId="33135" xr:uid="{00000000-0005-0000-0000-000050820000}"/>
    <cellStyle name="Normal 3 3 2 4 2 4" xfId="9374" xr:uid="{00000000-0005-0000-0000-000051820000}"/>
    <cellStyle name="Normal 3 3 2 4 2 4 2" xfId="16164" xr:uid="{00000000-0005-0000-0000-000052820000}"/>
    <cellStyle name="Normal 3 3 2 4 2 4 2 2" xfId="29732" xr:uid="{00000000-0005-0000-0000-000053820000}"/>
    <cellStyle name="Normal 3 3 2 4 2 4 2 2 2" xfId="56865" xr:uid="{00000000-0005-0000-0000-000054820000}"/>
    <cellStyle name="Normal 3 3 2 4 2 4 2 3" xfId="43303" xr:uid="{00000000-0005-0000-0000-000055820000}"/>
    <cellStyle name="Normal 3 3 2 4 2 4 3" xfId="22951" xr:uid="{00000000-0005-0000-0000-000056820000}"/>
    <cellStyle name="Normal 3 3 2 4 2 4 3 2" xfId="50084" xr:uid="{00000000-0005-0000-0000-000057820000}"/>
    <cellStyle name="Normal 3 3 2 4 2 4 4" xfId="36522" xr:uid="{00000000-0005-0000-0000-000058820000}"/>
    <cellStyle name="Normal 3 3 2 4 2 5" xfId="12775" xr:uid="{00000000-0005-0000-0000-000059820000}"/>
    <cellStyle name="Normal 3 3 2 4 2 5 2" xfId="26343" xr:uid="{00000000-0005-0000-0000-00005A820000}"/>
    <cellStyle name="Normal 3 3 2 4 2 5 2 2" xfId="53476" xr:uid="{00000000-0005-0000-0000-00005B820000}"/>
    <cellStyle name="Normal 3 3 2 4 2 5 3" xfId="39914" xr:uid="{00000000-0005-0000-0000-00005C820000}"/>
    <cellStyle name="Normal 3 3 2 4 2 6" xfId="19562" xr:uid="{00000000-0005-0000-0000-00005D820000}"/>
    <cellStyle name="Normal 3 3 2 4 2 6 2" xfId="46695" xr:uid="{00000000-0005-0000-0000-00005E820000}"/>
    <cellStyle name="Normal 3 3 2 4 2 7" xfId="33133" xr:uid="{00000000-0005-0000-0000-00005F820000}"/>
    <cellStyle name="Normal 3 3 2 4 3" xfId="5834" xr:uid="{00000000-0005-0000-0000-000060820000}"/>
    <cellStyle name="Normal 3 3 2 4 3 2" xfId="5835" xr:uid="{00000000-0005-0000-0000-000061820000}"/>
    <cellStyle name="Normal 3 3 2 4 3 2 2" xfId="9378" xr:uid="{00000000-0005-0000-0000-000062820000}"/>
    <cellStyle name="Normal 3 3 2 4 3 2 2 2" xfId="16168" xr:uid="{00000000-0005-0000-0000-000063820000}"/>
    <cellStyle name="Normal 3 3 2 4 3 2 2 2 2" xfId="29736" xr:uid="{00000000-0005-0000-0000-000064820000}"/>
    <cellStyle name="Normal 3 3 2 4 3 2 2 2 2 2" xfId="56869" xr:uid="{00000000-0005-0000-0000-000065820000}"/>
    <cellStyle name="Normal 3 3 2 4 3 2 2 2 3" xfId="43307" xr:uid="{00000000-0005-0000-0000-000066820000}"/>
    <cellStyle name="Normal 3 3 2 4 3 2 2 3" xfId="22955" xr:uid="{00000000-0005-0000-0000-000067820000}"/>
    <cellStyle name="Normal 3 3 2 4 3 2 2 3 2" xfId="50088" xr:uid="{00000000-0005-0000-0000-000068820000}"/>
    <cellStyle name="Normal 3 3 2 4 3 2 2 4" xfId="36526" xr:uid="{00000000-0005-0000-0000-000069820000}"/>
    <cellStyle name="Normal 3 3 2 4 3 2 3" xfId="12779" xr:uid="{00000000-0005-0000-0000-00006A820000}"/>
    <cellStyle name="Normal 3 3 2 4 3 2 3 2" xfId="26347" xr:uid="{00000000-0005-0000-0000-00006B820000}"/>
    <cellStyle name="Normal 3 3 2 4 3 2 3 2 2" xfId="53480" xr:uid="{00000000-0005-0000-0000-00006C820000}"/>
    <cellStyle name="Normal 3 3 2 4 3 2 3 3" xfId="39918" xr:uid="{00000000-0005-0000-0000-00006D820000}"/>
    <cellStyle name="Normal 3 3 2 4 3 2 4" xfId="19566" xr:uid="{00000000-0005-0000-0000-00006E820000}"/>
    <cellStyle name="Normal 3 3 2 4 3 2 4 2" xfId="46699" xr:uid="{00000000-0005-0000-0000-00006F820000}"/>
    <cellStyle name="Normal 3 3 2 4 3 2 5" xfId="33137" xr:uid="{00000000-0005-0000-0000-000070820000}"/>
    <cellStyle name="Normal 3 3 2 4 3 3" xfId="9377" xr:uid="{00000000-0005-0000-0000-000071820000}"/>
    <cellStyle name="Normal 3 3 2 4 3 3 2" xfId="16167" xr:uid="{00000000-0005-0000-0000-000072820000}"/>
    <cellStyle name="Normal 3 3 2 4 3 3 2 2" xfId="29735" xr:uid="{00000000-0005-0000-0000-000073820000}"/>
    <cellStyle name="Normal 3 3 2 4 3 3 2 2 2" xfId="56868" xr:uid="{00000000-0005-0000-0000-000074820000}"/>
    <cellStyle name="Normal 3 3 2 4 3 3 2 3" xfId="43306" xr:uid="{00000000-0005-0000-0000-000075820000}"/>
    <cellStyle name="Normal 3 3 2 4 3 3 3" xfId="22954" xr:uid="{00000000-0005-0000-0000-000076820000}"/>
    <cellStyle name="Normal 3 3 2 4 3 3 3 2" xfId="50087" xr:uid="{00000000-0005-0000-0000-000077820000}"/>
    <cellStyle name="Normal 3 3 2 4 3 3 4" xfId="36525" xr:uid="{00000000-0005-0000-0000-000078820000}"/>
    <cellStyle name="Normal 3 3 2 4 3 4" xfId="12778" xr:uid="{00000000-0005-0000-0000-000079820000}"/>
    <cellStyle name="Normal 3 3 2 4 3 4 2" xfId="26346" xr:uid="{00000000-0005-0000-0000-00007A820000}"/>
    <cellStyle name="Normal 3 3 2 4 3 4 2 2" xfId="53479" xr:uid="{00000000-0005-0000-0000-00007B820000}"/>
    <cellStyle name="Normal 3 3 2 4 3 4 3" xfId="39917" xr:uid="{00000000-0005-0000-0000-00007C820000}"/>
    <cellStyle name="Normal 3 3 2 4 3 5" xfId="19565" xr:uid="{00000000-0005-0000-0000-00007D820000}"/>
    <cellStyle name="Normal 3 3 2 4 3 5 2" xfId="46698" xr:uid="{00000000-0005-0000-0000-00007E820000}"/>
    <cellStyle name="Normal 3 3 2 4 3 6" xfId="33136" xr:uid="{00000000-0005-0000-0000-00007F820000}"/>
    <cellStyle name="Normal 3 3 2 4 4" xfId="5836" xr:uid="{00000000-0005-0000-0000-000080820000}"/>
    <cellStyle name="Normal 3 3 2 4 4 2" xfId="9379" xr:uid="{00000000-0005-0000-0000-000081820000}"/>
    <cellStyle name="Normal 3 3 2 4 4 2 2" xfId="16169" xr:uid="{00000000-0005-0000-0000-000082820000}"/>
    <cellStyle name="Normal 3 3 2 4 4 2 2 2" xfId="29737" xr:uid="{00000000-0005-0000-0000-000083820000}"/>
    <cellStyle name="Normal 3 3 2 4 4 2 2 2 2" xfId="56870" xr:uid="{00000000-0005-0000-0000-000084820000}"/>
    <cellStyle name="Normal 3 3 2 4 4 2 2 3" xfId="43308" xr:uid="{00000000-0005-0000-0000-000085820000}"/>
    <cellStyle name="Normal 3 3 2 4 4 2 3" xfId="22956" xr:uid="{00000000-0005-0000-0000-000086820000}"/>
    <cellStyle name="Normal 3 3 2 4 4 2 3 2" xfId="50089" xr:uid="{00000000-0005-0000-0000-000087820000}"/>
    <cellStyle name="Normal 3 3 2 4 4 2 4" xfId="36527" xr:uid="{00000000-0005-0000-0000-000088820000}"/>
    <cellStyle name="Normal 3 3 2 4 4 3" xfId="12780" xr:uid="{00000000-0005-0000-0000-000089820000}"/>
    <cellStyle name="Normal 3 3 2 4 4 3 2" xfId="26348" xr:uid="{00000000-0005-0000-0000-00008A820000}"/>
    <cellStyle name="Normal 3 3 2 4 4 3 2 2" xfId="53481" xr:uid="{00000000-0005-0000-0000-00008B820000}"/>
    <cellStyle name="Normal 3 3 2 4 4 3 3" xfId="39919" xr:uid="{00000000-0005-0000-0000-00008C820000}"/>
    <cellStyle name="Normal 3 3 2 4 4 4" xfId="19567" xr:uid="{00000000-0005-0000-0000-00008D820000}"/>
    <cellStyle name="Normal 3 3 2 4 4 4 2" xfId="46700" xr:uid="{00000000-0005-0000-0000-00008E820000}"/>
    <cellStyle name="Normal 3 3 2 4 4 5" xfId="33138" xr:uid="{00000000-0005-0000-0000-00008F820000}"/>
    <cellStyle name="Normal 3 3 2 4 5" xfId="5837" xr:uid="{00000000-0005-0000-0000-000090820000}"/>
    <cellStyle name="Normal 3 3 2 4 5 2" xfId="9380" xr:uid="{00000000-0005-0000-0000-000091820000}"/>
    <cellStyle name="Normal 3 3 2 4 5 2 2" xfId="16170" xr:uid="{00000000-0005-0000-0000-000092820000}"/>
    <cellStyle name="Normal 3 3 2 4 5 2 2 2" xfId="29738" xr:uid="{00000000-0005-0000-0000-000093820000}"/>
    <cellStyle name="Normal 3 3 2 4 5 2 2 2 2" xfId="56871" xr:uid="{00000000-0005-0000-0000-000094820000}"/>
    <cellStyle name="Normal 3 3 2 4 5 2 2 3" xfId="43309" xr:uid="{00000000-0005-0000-0000-000095820000}"/>
    <cellStyle name="Normal 3 3 2 4 5 2 3" xfId="22957" xr:uid="{00000000-0005-0000-0000-000096820000}"/>
    <cellStyle name="Normal 3 3 2 4 5 2 3 2" xfId="50090" xr:uid="{00000000-0005-0000-0000-000097820000}"/>
    <cellStyle name="Normal 3 3 2 4 5 2 4" xfId="36528" xr:uid="{00000000-0005-0000-0000-000098820000}"/>
    <cellStyle name="Normal 3 3 2 4 5 3" xfId="12781" xr:uid="{00000000-0005-0000-0000-000099820000}"/>
    <cellStyle name="Normal 3 3 2 4 5 3 2" xfId="26349" xr:uid="{00000000-0005-0000-0000-00009A820000}"/>
    <cellStyle name="Normal 3 3 2 4 5 3 2 2" xfId="53482" xr:uid="{00000000-0005-0000-0000-00009B820000}"/>
    <cellStyle name="Normal 3 3 2 4 5 3 3" xfId="39920" xr:uid="{00000000-0005-0000-0000-00009C820000}"/>
    <cellStyle name="Normal 3 3 2 4 5 4" xfId="19568" xr:uid="{00000000-0005-0000-0000-00009D820000}"/>
    <cellStyle name="Normal 3 3 2 4 5 4 2" xfId="46701" xr:uid="{00000000-0005-0000-0000-00009E820000}"/>
    <cellStyle name="Normal 3 3 2 4 5 5" xfId="33139" xr:uid="{00000000-0005-0000-0000-00009F820000}"/>
    <cellStyle name="Normal 3 3 2 4 6" xfId="9373" xr:uid="{00000000-0005-0000-0000-0000A0820000}"/>
    <cellStyle name="Normal 3 3 2 4 6 2" xfId="16163" xr:uid="{00000000-0005-0000-0000-0000A1820000}"/>
    <cellStyle name="Normal 3 3 2 4 6 2 2" xfId="29731" xr:uid="{00000000-0005-0000-0000-0000A2820000}"/>
    <cellStyle name="Normal 3 3 2 4 6 2 2 2" xfId="56864" xr:uid="{00000000-0005-0000-0000-0000A3820000}"/>
    <cellStyle name="Normal 3 3 2 4 6 2 3" xfId="43302" xr:uid="{00000000-0005-0000-0000-0000A4820000}"/>
    <cellStyle name="Normal 3 3 2 4 6 3" xfId="22950" xr:uid="{00000000-0005-0000-0000-0000A5820000}"/>
    <cellStyle name="Normal 3 3 2 4 6 3 2" xfId="50083" xr:uid="{00000000-0005-0000-0000-0000A6820000}"/>
    <cellStyle name="Normal 3 3 2 4 6 4" xfId="36521" xr:uid="{00000000-0005-0000-0000-0000A7820000}"/>
    <cellStyle name="Normal 3 3 2 4 7" xfId="12774" xr:uid="{00000000-0005-0000-0000-0000A8820000}"/>
    <cellStyle name="Normal 3 3 2 4 7 2" xfId="26342" xr:uid="{00000000-0005-0000-0000-0000A9820000}"/>
    <cellStyle name="Normal 3 3 2 4 7 2 2" xfId="53475" xr:uid="{00000000-0005-0000-0000-0000AA820000}"/>
    <cellStyle name="Normal 3 3 2 4 7 3" xfId="39913" xr:uid="{00000000-0005-0000-0000-0000AB820000}"/>
    <cellStyle name="Normal 3 3 2 4 8" xfId="19561" xr:uid="{00000000-0005-0000-0000-0000AC820000}"/>
    <cellStyle name="Normal 3 3 2 4 8 2" xfId="46694" xr:uid="{00000000-0005-0000-0000-0000AD820000}"/>
    <cellStyle name="Normal 3 3 2 4 9" xfId="33132" xr:uid="{00000000-0005-0000-0000-0000AE820000}"/>
    <cellStyle name="Normal 3 3 2 5" xfId="5838" xr:uid="{00000000-0005-0000-0000-0000AF820000}"/>
    <cellStyle name="Normal 3 3 2 5 2" xfId="5839" xr:uid="{00000000-0005-0000-0000-0000B0820000}"/>
    <cellStyle name="Normal 3 3 2 5 2 2" xfId="5840" xr:uid="{00000000-0005-0000-0000-0000B1820000}"/>
    <cellStyle name="Normal 3 3 2 5 2 2 2" xfId="9383" xr:uid="{00000000-0005-0000-0000-0000B2820000}"/>
    <cellStyle name="Normal 3 3 2 5 2 2 2 2" xfId="16173" xr:uid="{00000000-0005-0000-0000-0000B3820000}"/>
    <cellStyle name="Normal 3 3 2 5 2 2 2 2 2" xfId="29741" xr:uid="{00000000-0005-0000-0000-0000B4820000}"/>
    <cellStyle name="Normal 3 3 2 5 2 2 2 2 2 2" xfId="56874" xr:uid="{00000000-0005-0000-0000-0000B5820000}"/>
    <cellStyle name="Normal 3 3 2 5 2 2 2 2 3" xfId="43312" xr:uid="{00000000-0005-0000-0000-0000B6820000}"/>
    <cellStyle name="Normal 3 3 2 5 2 2 2 3" xfId="22960" xr:uid="{00000000-0005-0000-0000-0000B7820000}"/>
    <cellStyle name="Normal 3 3 2 5 2 2 2 3 2" xfId="50093" xr:uid="{00000000-0005-0000-0000-0000B8820000}"/>
    <cellStyle name="Normal 3 3 2 5 2 2 2 4" xfId="36531" xr:uid="{00000000-0005-0000-0000-0000B9820000}"/>
    <cellStyle name="Normal 3 3 2 5 2 2 3" xfId="12784" xr:uid="{00000000-0005-0000-0000-0000BA820000}"/>
    <cellStyle name="Normal 3 3 2 5 2 2 3 2" xfId="26352" xr:uid="{00000000-0005-0000-0000-0000BB820000}"/>
    <cellStyle name="Normal 3 3 2 5 2 2 3 2 2" xfId="53485" xr:uid="{00000000-0005-0000-0000-0000BC820000}"/>
    <cellStyle name="Normal 3 3 2 5 2 2 3 3" xfId="39923" xr:uid="{00000000-0005-0000-0000-0000BD820000}"/>
    <cellStyle name="Normal 3 3 2 5 2 2 4" xfId="19571" xr:uid="{00000000-0005-0000-0000-0000BE820000}"/>
    <cellStyle name="Normal 3 3 2 5 2 2 4 2" xfId="46704" xr:uid="{00000000-0005-0000-0000-0000BF820000}"/>
    <cellStyle name="Normal 3 3 2 5 2 2 5" xfId="33142" xr:uid="{00000000-0005-0000-0000-0000C0820000}"/>
    <cellStyle name="Normal 3 3 2 5 2 3" xfId="5841" xr:uid="{00000000-0005-0000-0000-0000C1820000}"/>
    <cellStyle name="Normal 3 3 2 5 2 3 2" xfId="9384" xr:uid="{00000000-0005-0000-0000-0000C2820000}"/>
    <cellStyle name="Normal 3 3 2 5 2 3 2 2" xfId="16174" xr:uid="{00000000-0005-0000-0000-0000C3820000}"/>
    <cellStyle name="Normal 3 3 2 5 2 3 2 2 2" xfId="29742" xr:uid="{00000000-0005-0000-0000-0000C4820000}"/>
    <cellStyle name="Normal 3 3 2 5 2 3 2 2 2 2" xfId="56875" xr:uid="{00000000-0005-0000-0000-0000C5820000}"/>
    <cellStyle name="Normal 3 3 2 5 2 3 2 2 3" xfId="43313" xr:uid="{00000000-0005-0000-0000-0000C6820000}"/>
    <cellStyle name="Normal 3 3 2 5 2 3 2 3" xfId="22961" xr:uid="{00000000-0005-0000-0000-0000C7820000}"/>
    <cellStyle name="Normal 3 3 2 5 2 3 2 3 2" xfId="50094" xr:uid="{00000000-0005-0000-0000-0000C8820000}"/>
    <cellStyle name="Normal 3 3 2 5 2 3 2 4" xfId="36532" xr:uid="{00000000-0005-0000-0000-0000C9820000}"/>
    <cellStyle name="Normal 3 3 2 5 2 3 3" xfId="12785" xr:uid="{00000000-0005-0000-0000-0000CA820000}"/>
    <cellStyle name="Normal 3 3 2 5 2 3 3 2" xfId="26353" xr:uid="{00000000-0005-0000-0000-0000CB820000}"/>
    <cellStyle name="Normal 3 3 2 5 2 3 3 2 2" xfId="53486" xr:uid="{00000000-0005-0000-0000-0000CC820000}"/>
    <cellStyle name="Normal 3 3 2 5 2 3 3 3" xfId="39924" xr:uid="{00000000-0005-0000-0000-0000CD820000}"/>
    <cellStyle name="Normal 3 3 2 5 2 3 4" xfId="19572" xr:uid="{00000000-0005-0000-0000-0000CE820000}"/>
    <cellStyle name="Normal 3 3 2 5 2 3 4 2" xfId="46705" xr:uid="{00000000-0005-0000-0000-0000CF820000}"/>
    <cellStyle name="Normal 3 3 2 5 2 3 5" xfId="33143" xr:uid="{00000000-0005-0000-0000-0000D0820000}"/>
    <cellStyle name="Normal 3 3 2 5 2 4" xfId="9382" xr:uid="{00000000-0005-0000-0000-0000D1820000}"/>
    <cellStyle name="Normal 3 3 2 5 2 4 2" xfId="16172" xr:uid="{00000000-0005-0000-0000-0000D2820000}"/>
    <cellStyle name="Normal 3 3 2 5 2 4 2 2" xfId="29740" xr:uid="{00000000-0005-0000-0000-0000D3820000}"/>
    <cellStyle name="Normal 3 3 2 5 2 4 2 2 2" xfId="56873" xr:uid="{00000000-0005-0000-0000-0000D4820000}"/>
    <cellStyle name="Normal 3 3 2 5 2 4 2 3" xfId="43311" xr:uid="{00000000-0005-0000-0000-0000D5820000}"/>
    <cellStyle name="Normal 3 3 2 5 2 4 3" xfId="22959" xr:uid="{00000000-0005-0000-0000-0000D6820000}"/>
    <cellStyle name="Normal 3 3 2 5 2 4 3 2" xfId="50092" xr:uid="{00000000-0005-0000-0000-0000D7820000}"/>
    <cellStyle name="Normal 3 3 2 5 2 4 4" xfId="36530" xr:uid="{00000000-0005-0000-0000-0000D8820000}"/>
    <cellStyle name="Normal 3 3 2 5 2 5" xfId="12783" xr:uid="{00000000-0005-0000-0000-0000D9820000}"/>
    <cellStyle name="Normal 3 3 2 5 2 5 2" xfId="26351" xr:uid="{00000000-0005-0000-0000-0000DA820000}"/>
    <cellStyle name="Normal 3 3 2 5 2 5 2 2" xfId="53484" xr:uid="{00000000-0005-0000-0000-0000DB820000}"/>
    <cellStyle name="Normal 3 3 2 5 2 5 3" xfId="39922" xr:uid="{00000000-0005-0000-0000-0000DC820000}"/>
    <cellStyle name="Normal 3 3 2 5 2 6" xfId="19570" xr:uid="{00000000-0005-0000-0000-0000DD820000}"/>
    <cellStyle name="Normal 3 3 2 5 2 6 2" xfId="46703" xr:uid="{00000000-0005-0000-0000-0000DE820000}"/>
    <cellStyle name="Normal 3 3 2 5 2 7" xfId="33141" xr:uid="{00000000-0005-0000-0000-0000DF820000}"/>
    <cellStyle name="Normal 3 3 2 5 3" xfId="5842" xr:uid="{00000000-0005-0000-0000-0000E0820000}"/>
    <cellStyle name="Normal 3 3 2 5 3 2" xfId="9385" xr:uid="{00000000-0005-0000-0000-0000E1820000}"/>
    <cellStyle name="Normal 3 3 2 5 3 2 2" xfId="16175" xr:uid="{00000000-0005-0000-0000-0000E2820000}"/>
    <cellStyle name="Normal 3 3 2 5 3 2 2 2" xfId="29743" xr:uid="{00000000-0005-0000-0000-0000E3820000}"/>
    <cellStyle name="Normal 3 3 2 5 3 2 2 2 2" xfId="56876" xr:uid="{00000000-0005-0000-0000-0000E4820000}"/>
    <cellStyle name="Normal 3 3 2 5 3 2 2 3" xfId="43314" xr:uid="{00000000-0005-0000-0000-0000E5820000}"/>
    <cellStyle name="Normal 3 3 2 5 3 2 3" xfId="22962" xr:uid="{00000000-0005-0000-0000-0000E6820000}"/>
    <cellStyle name="Normal 3 3 2 5 3 2 3 2" xfId="50095" xr:uid="{00000000-0005-0000-0000-0000E7820000}"/>
    <cellStyle name="Normal 3 3 2 5 3 2 4" xfId="36533" xr:uid="{00000000-0005-0000-0000-0000E8820000}"/>
    <cellStyle name="Normal 3 3 2 5 3 3" xfId="12786" xr:uid="{00000000-0005-0000-0000-0000E9820000}"/>
    <cellStyle name="Normal 3 3 2 5 3 3 2" xfId="26354" xr:uid="{00000000-0005-0000-0000-0000EA820000}"/>
    <cellStyle name="Normal 3 3 2 5 3 3 2 2" xfId="53487" xr:uid="{00000000-0005-0000-0000-0000EB820000}"/>
    <cellStyle name="Normal 3 3 2 5 3 3 3" xfId="39925" xr:uid="{00000000-0005-0000-0000-0000EC820000}"/>
    <cellStyle name="Normal 3 3 2 5 3 4" xfId="19573" xr:uid="{00000000-0005-0000-0000-0000ED820000}"/>
    <cellStyle name="Normal 3 3 2 5 3 4 2" xfId="46706" xr:uid="{00000000-0005-0000-0000-0000EE820000}"/>
    <cellStyle name="Normal 3 3 2 5 3 5" xfId="33144" xr:uid="{00000000-0005-0000-0000-0000EF820000}"/>
    <cellStyle name="Normal 3 3 2 5 4" xfId="5843" xr:uid="{00000000-0005-0000-0000-0000F0820000}"/>
    <cellStyle name="Normal 3 3 2 5 4 2" xfId="9386" xr:uid="{00000000-0005-0000-0000-0000F1820000}"/>
    <cellStyle name="Normal 3 3 2 5 4 2 2" xfId="16176" xr:uid="{00000000-0005-0000-0000-0000F2820000}"/>
    <cellStyle name="Normal 3 3 2 5 4 2 2 2" xfId="29744" xr:uid="{00000000-0005-0000-0000-0000F3820000}"/>
    <cellStyle name="Normal 3 3 2 5 4 2 2 2 2" xfId="56877" xr:uid="{00000000-0005-0000-0000-0000F4820000}"/>
    <cellStyle name="Normal 3 3 2 5 4 2 2 3" xfId="43315" xr:uid="{00000000-0005-0000-0000-0000F5820000}"/>
    <cellStyle name="Normal 3 3 2 5 4 2 3" xfId="22963" xr:uid="{00000000-0005-0000-0000-0000F6820000}"/>
    <cellStyle name="Normal 3 3 2 5 4 2 3 2" xfId="50096" xr:uid="{00000000-0005-0000-0000-0000F7820000}"/>
    <cellStyle name="Normal 3 3 2 5 4 2 4" xfId="36534" xr:uid="{00000000-0005-0000-0000-0000F8820000}"/>
    <cellStyle name="Normal 3 3 2 5 4 3" xfId="12787" xr:uid="{00000000-0005-0000-0000-0000F9820000}"/>
    <cellStyle name="Normal 3 3 2 5 4 3 2" xfId="26355" xr:uid="{00000000-0005-0000-0000-0000FA820000}"/>
    <cellStyle name="Normal 3 3 2 5 4 3 2 2" xfId="53488" xr:uid="{00000000-0005-0000-0000-0000FB820000}"/>
    <cellStyle name="Normal 3 3 2 5 4 3 3" xfId="39926" xr:uid="{00000000-0005-0000-0000-0000FC820000}"/>
    <cellStyle name="Normal 3 3 2 5 4 4" xfId="19574" xr:uid="{00000000-0005-0000-0000-0000FD820000}"/>
    <cellStyle name="Normal 3 3 2 5 4 4 2" xfId="46707" xr:uid="{00000000-0005-0000-0000-0000FE820000}"/>
    <cellStyle name="Normal 3 3 2 5 4 5" xfId="33145" xr:uid="{00000000-0005-0000-0000-0000FF820000}"/>
    <cellStyle name="Normal 3 3 2 5 5" xfId="9381" xr:uid="{00000000-0005-0000-0000-000000830000}"/>
    <cellStyle name="Normal 3 3 2 5 5 2" xfId="16171" xr:uid="{00000000-0005-0000-0000-000001830000}"/>
    <cellStyle name="Normal 3 3 2 5 5 2 2" xfId="29739" xr:uid="{00000000-0005-0000-0000-000002830000}"/>
    <cellStyle name="Normal 3 3 2 5 5 2 2 2" xfId="56872" xr:uid="{00000000-0005-0000-0000-000003830000}"/>
    <cellStyle name="Normal 3 3 2 5 5 2 3" xfId="43310" xr:uid="{00000000-0005-0000-0000-000004830000}"/>
    <cellStyle name="Normal 3 3 2 5 5 3" xfId="22958" xr:uid="{00000000-0005-0000-0000-000005830000}"/>
    <cellStyle name="Normal 3 3 2 5 5 3 2" xfId="50091" xr:uid="{00000000-0005-0000-0000-000006830000}"/>
    <cellStyle name="Normal 3 3 2 5 5 4" xfId="36529" xr:uid="{00000000-0005-0000-0000-000007830000}"/>
    <cellStyle name="Normal 3 3 2 5 6" xfId="12782" xr:uid="{00000000-0005-0000-0000-000008830000}"/>
    <cellStyle name="Normal 3 3 2 5 6 2" xfId="26350" xr:uid="{00000000-0005-0000-0000-000009830000}"/>
    <cellStyle name="Normal 3 3 2 5 6 2 2" xfId="53483" xr:uid="{00000000-0005-0000-0000-00000A830000}"/>
    <cellStyle name="Normal 3 3 2 5 6 3" xfId="39921" xr:uid="{00000000-0005-0000-0000-00000B830000}"/>
    <cellStyle name="Normal 3 3 2 5 7" xfId="19569" xr:uid="{00000000-0005-0000-0000-00000C830000}"/>
    <cellStyle name="Normal 3 3 2 5 7 2" xfId="46702" xr:uid="{00000000-0005-0000-0000-00000D830000}"/>
    <cellStyle name="Normal 3 3 2 5 8" xfId="33140" xr:uid="{00000000-0005-0000-0000-00000E830000}"/>
    <cellStyle name="Normal 3 3 2 6" xfId="5844" xr:uid="{00000000-0005-0000-0000-00000F830000}"/>
    <cellStyle name="Normal 3 3 2 6 2" xfId="5845" xr:uid="{00000000-0005-0000-0000-000010830000}"/>
    <cellStyle name="Normal 3 3 2 6 2 2" xfId="5846" xr:uid="{00000000-0005-0000-0000-000011830000}"/>
    <cellStyle name="Normal 3 3 2 6 2 2 2" xfId="9389" xr:uid="{00000000-0005-0000-0000-000012830000}"/>
    <cellStyle name="Normal 3 3 2 6 2 2 2 2" xfId="16179" xr:uid="{00000000-0005-0000-0000-000013830000}"/>
    <cellStyle name="Normal 3 3 2 6 2 2 2 2 2" xfId="29747" xr:uid="{00000000-0005-0000-0000-000014830000}"/>
    <cellStyle name="Normal 3 3 2 6 2 2 2 2 2 2" xfId="56880" xr:uid="{00000000-0005-0000-0000-000015830000}"/>
    <cellStyle name="Normal 3 3 2 6 2 2 2 2 3" xfId="43318" xr:uid="{00000000-0005-0000-0000-000016830000}"/>
    <cellStyle name="Normal 3 3 2 6 2 2 2 3" xfId="22966" xr:uid="{00000000-0005-0000-0000-000017830000}"/>
    <cellStyle name="Normal 3 3 2 6 2 2 2 3 2" xfId="50099" xr:uid="{00000000-0005-0000-0000-000018830000}"/>
    <cellStyle name="Normal 3 3 2 6 2 2 2 4" xfId="36537" xr:uid="{00000000-0005-0000-0000-000019830000}"/>
    <cellStyle name="Normal 3 3 2 6 2 2 3" xfId="12790" xr:uid="{00000000-0005-0000-0000-00001A830000}"/>
    <cellStyle name="Normal 3 3 2 6 2 2 3 2" xfId="26358" xr:uid="{00000000-0005-0000-0000-00001B830000}"/>
    <cellStyle name="Normal 3 3 2 6 2 2 3 2 2" xfId="53491" xr:uid="{00000000-0005-0000-0000-00001C830000}"/>
    <cellStyle name="Normal 3 3 2 6 2 2 3 3" xfId="39929" xr:uid="{00000000-0005-0000-0000-00001D830000}"/>
    <cellStyle name="Normal 3 3 2 6 2 2 4" xfId="19577" xr:uid="{00000000-0005-0000-0000-00001E830000}"/>
    <cellStyle name="Normal 3 3 2 6 2 2 4 2" xfId="46710" xr:uid="{00000000-0005-0000-0000-00001F830000}"/>
    <cellStyle name="Normal 3 3 2 6 2 2 5" xfId="33148" xr:uid="{00000000-0005-0000-0000-000020830000}"/>
    <cellStyle name="Normal 3 3 2 6 2 3" xfId="5847" xr:uid="{00000000-0005-0000-0000-000021830000}"/>
    <cellStyle name="Normal 3 3 2 6 2 3 2" xfId="9390" xr:uid="{00000000-0005-0000-0000-000022830000}"/>
    <cellStyle name="Normal 3 3 2 6 2 3 2 2" xfId="16180" xr:uid="{00000000-0005-0000-0000-000023830000}"/>
    <cellStyle name="Normal 3 3 2 6 2 3 2 2 2" xfId="29748" xr:uid="{00000000-0005-0000-0000-000024830000}"/>
    <cellStyle name="Normal 3 3 2 6 2 3 2 2 2 2" xfId="56881" xr:uid="{00000000-0005-0000-0000-000025830000}"/>
    <cellStyle name="Normal 3 3 2 6 2 3 2 2 3" xfId="43319" xr:uid="{00000000-0005-0000-0000-000026830000}"/>
    <cellStyle name="Normal 3 3 2 6 2 3 2 3" xfId="22967" xr:uid="{00000000-0005-0000-0000-000027830000}"/>
    <cellStyle name="Normal 3 3 2 6 2 3 2 3 2" xfId="50100" xr:uid="{00000000-0005-0000-0000-000028830000}"/>
    <cellStyle name="Normal 3 3 2 6 2 3 2 4" xfId="36538" xr:uid="{00000000-0005-0000-0000-000029830000}"/>
    <cellStyle name="Normal 3 3 2 6 2 3 3" xfId="12791" xr:uid="{00000000-0005-0000-0000-00002A830000}"/>
    <cellStyle name="Normal 3 3 2 6 2 3 3 2" xfId="26359" xr:uid="{00000000-0005-0000-0000-00002B830000}"/>
    <cellStyle name="Normal 3 3 2 6 2 3 3 2 2" xfId="53492" xr:uid="{00000000-0005-0000-0000-00002C830000}"/>
    <cellStyle name="Normal 3 3 2 6 2 3 3 3" xfId="39930" xr:uid="{00000000-0005-0000-0000-00002D830000}"/>
    <cellStyle name="Normal 3 3 2 6 2 3 4" xfId="19578" xr:uid="{00000000-0005-0000-0000-00002E830000}"/>
    <cellStyle name="Normal 3 3 2 6 2 3 4 2" xfId="46711" xr:uid="{00000000-0005-0000-0000-00002F830000}"/>
    <cellStyle name="Normal 3 3 2 6 2 3 5" xfId="33149" xr:uid="{00000000-0005-0000-0000-000030830000}"/>
    <cellStyle name="Normal 3 3 2 6 2 4" xfId="9388" xr:uid="{00000000-0005-0000-0000-000031830000}"/>
    <cellStyle name="Normal 3 3 2 6 2 4 2" xfId="16178" xr:uid="{00000000-0005-0000-0000-000032830000}"/>
    <cellStyle name="Normal 3 3 2 6 2 4 2 2" xfId="29746" xr:uid="{00000000-0005-0000-0000-000033830000}"/>
    <cellStyle name="Normal 3 3 2 6 2 4 2 2 2" xfId="56879" xr:uid="{00000000-0005-0000-0000-000034830000}"/>
    <cellStyle name="Normal 3 3 2 6 2 4 2 3" xfId="43317" xr:uid="{00000000-0005-0000-0000-000035830000}"/>
    <cellStyle name="Normal 3 3 2 6 2 4 3" xfId="22965" xr:uid="{00000000-0005-0000-0000-000036830000}"/>
    <cellStyle name="Normal 3 3 2 6 2 4 3 2" xfId="50098" xr:uid="{00000000-0005-0000-0000-000037830000}"/>
    <cellStyle name="Normal 3 3 2 6 2 4 4" xfId="36536" xr:uid="{00000000-0005-0000-0000-000038830000}"/>
    <cellStyle name="Normal 3 3 2 6 2 5" xfId="12789" xr:uid="{00000000-0005-0000-0000-000039830000}"/>
    <cellStyle name="Normal 3 3 2 6 2 5 2" xfId="26357" xr:uid="{00000000-0005-0000-0000-00003A830000}"/>
    <cellStyle name="Normal 3 3 2 6 2 5 2 2" xfId="53490" xr:uid="{00000000-0005-0000-0000-00003B830000}"/>
    <cellStyle name="Normal 3 3 2 6 2 5 3" xfId="39928" xr:uid="{00000000-0005-0000-0000-00003C830000}"/>
    <cellStyle name="Normal 3 3 2 6 2 6" xfId="19576" xr:uid="{00000000-0005-0000-0000-00003D830000}"/>
    <cellStyle name="Normal 3 3 2 6 2 6 2" xfId="46709" xr:uid="{00000000-0005-0000-0000-00003E830000}"/>
    <cellStyle name="Normal 3 3 2 6 2 7" xfId="33147" xr:uid="{00000000-0005-0000-0000-00003F830000}"/>
    <cellStyle name="Normal 3 3 2 6 3" xfId="5848" xr:uid="{00000000-0005-0000-0000-000040830000}"/>
    <cellStyle name="Normal 3 3 2 6 3 2" xfId="9391" xr:uid="{00000000-0005-0000-0000-000041830000}"/>
    <cellStyle name="Normal 3 3 2 6 3 2 2" xfId="16181" xr:uid="{00000000-0005-0000-0000-000042830000}"/>
    <cellStyle name="Normal 3 3 2 6 3 2 2 2" xfId="29749" xr:uid="{00000000-0005-0000-0000-000043830000}"/>
    <cellStyle name="Normal 3 3 2 6 3 2 2 2 2" xfId="56882" xr:uid="{00000000-0005-0000-0000-000044830000}"/>
    <cellStyle name="Normal 3 3 2 6 3 2 2 3" xfId="43320" xr:uid="{00000000-0005-0000-0000-000045830000}"/>
    <cellStyle name="Normal 3 3 2 6 3 2 3" xfId="22968" xr:uid="{00000000-0005-0000-0000-000046830000}"/>
    <cellStyle name="Normal 3 3 2 6 3 2 3 2" xfId="50101" xr:uid="{00000000-0005-0000-0000-000047830000}"/>
    <cellStyle name="Normal 3 3 2 6 3 2 4" xfId="36539" xr:uid="{00000000-0005-0000-0000-000048830000}"/>
    <cellStyle name="Normal 3 3 2 6 3 3" xfId="12792" xr:uid="{00000000-0005-0000-0000-000049830000}"/>
    <cellStyle name="Normal 3 3 2 6 3 3 2" xfId="26360" xr:uid="{00000000-0005-0000-0000-00004A830000}"/>
    <cellStyle name="Normal 3 3 2 6 3 3 2 2" xfId="53493" xr:uid="{00000000-0005-0000-0000-00004B830000}"/>
    <cellStyle name="Normal 3 3 2 6 3 3 3" xfId="39931" xr:uid="{00000000-0005-0000-0000-00004C830000}"/>
    <cellStyle name="Normal 3 3 2 6 3 4" xfId="19579" xr:uid="{00000000-0005-0000-0000-00004D830000}"/>
    <cellStyle name="Normal 3 3 2 6 3 4 2" xfId="46712" xr:uid="{00000000-0005-0000-0000-00004E830000}"/>
    <cellStyle name="Normal 3 3 2 6 3 5" xfId="33150" xr:uid="{00000000-0005-0000-0000-00004F830000}"/>
    <cellStyle name="Normal 3 3 2 6 4" xfId="5849" xr:uid="{00000000-0005-0000-0000-000050830000}"/>
    <cellStyle name="Normal 3 3 2 6 4 2" xfId="9392" xr:uid="{00000000-0005-0000-0000-000051830000}"/>
    <cellStyle name="Normal 3 3 2 6 4 2 2" xfId="16182" xr:uid="{00000000-0005-0000-0000-000052830000}"/>
    <cellStyle name="Normal 3 3 2 6 4 2 2 2" xfId="29750" xr:uid="{00000000-0005-0000-0000-000053830000}"/>
    <cellStyle name="Normal 3 3 2 6 4 2 2 2 2" xfId="56883" xr:uid="{00000000-0005-0000-0000-000054830000}"/>
    <cellStyle name="Normal 3 3 2 6 4 2 2 3" xfId="43321" xr:uid="{00000000-0005-0000-0000-000055830000}"/>
    <cellStyle name="Normal 3 3 2 6 4 2 3" xfId="22969" xr:uid="{00000000-0005-0000-0000-000056830000}"/>
    <cellStyle name="Normal 3 3 2 6 4 2 3 2" xfId="50102" xr:uid="{00000000-0005-0000-0000-000057830000}"/>
    <cellStyle name="Normal 3 3 2 6 4 2 4" xfId="36540" xr:uid="{00000000-0005-0000-0000-000058830000}"/>
    <cellStyle name="Normal 3 3 2 6 4 3" xfId="12793" xr:uid="{00000000-0005-0000-0000-000059830000}"/>
    <cellStyle name="Normal 3 3 2 6 4 3 2" xfId="26361" xr:uid="{00000000-0005-0000-0000-00005A830000}"/>
    <cellStyle name="Normal 3 3 2 6 4 3 2 2" xfId="53494" xr:uid="{00000000-0005-0000-0000-00005B830000}"/>
    <cellStyle name="Normal 3 3 2 6 4 3 3" xfId="39932" xr:uid="{00000000-0005-0000-0000-00005C830000}"/>
    <cellStyle name="Normal 3 3 2 6 4 4" xfId="19580" xr:uid="{00000000-0005-0000-0000-00005D830000}"/>
    <cellStyle name="Normal 3 3 2 6 4 4 2" xfId="46713" xr:uid="{00000000-0005-0000-0000-00005E830000}"/>
    <cellStyle name="Normal 3 3 2 6 4 5" xfId="33151" xr:uid="{00000000-0005-0000-0000-00005F830000}"/>
    <cellStyle name="Normal 3 3 2 6 5" xfId="9387" xr:uid="{00000000-0005-0000-0000-000060830000}"/>
    <cellStyle name="Normal 3 3 2 6 5 2" xfId="16177" xr:uid="{00000000-0005-0000-0000-000061830000}"/>
    <cellStyle name="Normal 3 3 2 6 5 2 2" xfId="29745" xr:uid="{00000000-0005-0000-0000-000062830000}"/>
    <cellStyle name="Normal 3 3 2 6 5 2 2 2" xfId="56878" xr:uid="{00000000-0005-0000-0000-000063830000}"/>
    <cellStyle name="Normal 3 3 2 6 5 2 3" xfId="43316" xr:uid="{00000000-0005-0000-0000-000064830000}"/>
    <cellStyle name="Normal 3 3 2 6 5 3" xfId="22964" xr:uid="{00000000-0005-0000-0000-000065830000}"/>
    <cellStyle name="Normal 3 3 2 6 5 3 2" xfId="50097" xr:uid="{00000000-0005-0000-0000-000066830000}"/>
    <cellStyle name="Normal 3 3 2 6 5 4" xfId="36535" xr:uid="{00000000-0005-0000-0000-000067830000}"/>
    <cellStyle name="Normal 3 3 2 6 6" xfId="12788" xr:uid="{00000000-0005-0000-0000-000068830000}"/>
    <cellStyle name="Normal 3 3 2 6 6 2" xfId="26356" xr:uid="{00000000-0005-0000-0000-000069830000}"/>
    <cellStyle name="Normal 3 3 2 6 6 2 2" xfId="53489" xr:uid="{00000000-0005-0000-0000-00006A830000}"/>
    <cellStyle name="Normal 3 3 2 6 6 3" xfId="39927" xr:uid="{00000000-0005-0000-0000-00006B830000}"/>
    <cellStyle name="Normal 3 3 2 6 7" xfId="19575" xr:uid="{00000000-0005-0000-0000-00006C830000}"/>
    <cellStyle name="Normal 3 3 2 6 7 2" xfId="46708" xr:uid="{00000000-0005-0000-0000-00006D830000}"/>
    <cellStyle name="Normal 3 3 2 6 8" xfId="33146" xr:uid="{00000000-0005-0000-0000-00006E830000}"/>
    <cellStyle name="Normal 3 3 2 7" xfId="5850" xr:uid="{00000000-0005-0000-0000-00006F830000}"/>
    <cellStyle name="Normal 3 3 2 7 2" xfId="5851" xr:uid="{00000000-0005-0000-0000-000070830000}"/>
    <cellStyle name="Normal 3 3 2 7 2 2" xfId="9394" xr:uid="{00000000-0005-0000-0000-000071830000}"/>
    <cellStyle name="Normal 3 3 2 7 2 2 2" xfId="16184" xr:uid="{00000000-0005-0000-0000-000072830000}"/>
    <cellStyle name="Normal 3 3 2 7 2 2 2 2" xfId="29752" xr:uid="{00000000-0005-0000-0000-000073830000}"/>
    <cellStyle name="Normal 3 3 2 7 2 2 2 2 2" xfId="56885" xr:uid="{00000000-0005-0000-0000-000074830000}"/>
    <cellStyle name="Normal 3 3 2 7 2 2 2 3" xfId="43323" xr:uid="{00000000-0005-0000-0000-000075830000}"/>
    <cellStyle name="Normal 3 3 2 7 2 2 3" xfId="22971" xr:uid="{00000000-0005-0000-0000-000076830000}"/>
    <cellStyle name="Normal 3 3 2 7 2 2 3 2" xfId="50104" xr:uid="{00000000-0005-0000-0000-000077830000}"/>
    <cellStyle name="Normal 3 3 2 7 2 2 4" xfId="36542" xr:uid="{00000000-0005-0000-0000-000078830000}"/>
    <cellStyle name="Normal 3 3 2 7 2 3" xfId="12795" xr:uid="{00000000-0005-0000-0000-000079830000}"/>
    <cellStyle name="Normal 3 3 2 7 2 3 2" xfId="26363" xr:uid="{00000000-0005-0000-0000-00007A830000}"/>
    <cellStyle name="Normal 3 3 2 7 2 3 2 2" xfId="53496" xr:uid="{00000000-0005-0000-0000-00007B830000}"/>
    <cellStyle name="Normal 3 3 2 7 2 3 3" xfId="39934" xr:uid="{00000000-0005-0000-0000-00007C830000}"/>
    <cellStyle name="Normal 3 3 2 7 2 4" xfId="19582" xr:uid="{00000000-0005-0000-0000-00007D830000}"/>
    <cellStyle name="Normal 3 3 2 7 2 4 2" xfId="46715" xr:uid="{00000000-0005-0000-0000-00007E830000}"/>
    <cellStyle name="Normal 3 3 2 7 2 5" xfId="33153" xr:uid="{00000000-0005-0000-0000-00007F830000}"/>
    <cellStyle name="Normal 3 3 2 7 3" xfId="5852" xr:uid="{00000000-0005-0000-0000-000080830000}"/>
    <cellStyle name="Normal 3 3 2 7 3 2" xfId="9395" xr:uid="{00000000-0005-0000-0000-000081830000}"/>
    <cellStyle name="Normal 3 3 2 7 3 2 2" xfId="16185" xr:uid="{00000000-0005-0000-0000-000082830000}"/>
    <cellStyle name="Normal 3 3 2 7 3 2 2 2" xfId="29753" xr:uid="{00000000-0005-0000-0000-000083830000}"/>
    <cellStyle name="Normal 3 3 2 7 3 2 2 2 2" xfId="56886" xr:uid="{00000000-0005-0000-0000-000084830000}"/>
    <cellStyle name="Normal 3 3 2 7 3 2 2 3" xfId="43324" xr:uid="{00000000-0005-0000-0000-000085830000}"/>
    <cellStyle name="Normal 3 3 2 7 3 2 3" xfId="22972" xr:uid="{00000000-0005-0000-0000-000086830000}"/>
    <cellStyle name="Normal 3 3 2 7 3 2 3 2" xfId="50105" xr:uid="{00000000-0005-0000-0000-000087830000}"/>
    <cellStyle name="Normal 3 3 2 7 3 2 4" xfId="36543" xr:uid="{00000000-0005-0000-0000-000088830000}"/>
    <cellStyle name="Normal 3 3 2 7 3 3" xfId="12796" xr:uid="{00000000-0005-0000-0000-000089830000}"/>
    <cellStyle name="Normal 3 3 2 7 3 3 2" xfId="26364" xr:uid="{00000000-0005-0000-0000-00008A830000}"/>
    <cellStyle name="Normal 3 3 2 7 3 3 2 2" xfId="53497" xr:uid="{00000000-0005-0000-0000-00008B830000}"/>
    <cellStyle name="Normal 3 3 2 7 3 3 3" xfId="39935" xr:uid="{00000000-0005-0000-0000-00008C830000}"/>
    <cellStyle name="Normal 3 3 2 7 3 4" xfId="19583" xr:uid="{00000000-0005-0000-0000-00008D830000}"/>
    <cellStyle name="Normal 3 3 2 7 3 4 2" xfId="46716" xr:uid="{00000000-0005-0000-0000-00008E830000}"/>
    <cellStyle name="Normal 3 3 2 7 3 5" xfId="33154" xr:uid="{00000000-0005-0000-0000-00008F830000}"/>
    <cellStyle name="Normal 3 3 2 7 4" xfId="9393" xr:uid="{00000000-0005-0000-0000-000090830000}"/>
    <cellStyle name="Normal 3 3 2 7 4 2" xfId="16183" xr:uid="{00000000-0005-0000-0000-000091830000}"/>
    <cellStyle name="Normal 3 3 2 7 4 2 2" xfId="29751" xr:uid="{00000000-0005-0000-0000-000092830000}"/>
    <cellStyle name="Normal 3 3 2 7 4 2 2 2" xfId="56884" xr:uid="{00000000-0005-0000-0000-000093830000}"/>
    <cellStyle name="Normal 3 3 2 7 4 2 3" xfId="43322" xr:uid="{00000000-0005-0000-0000-000094830000}"/>
    <cellStyle name="Normal 3 3 2 7 4 3" xfId="22970" xr:uid="{00000000-0005-0000-0000-000095830000}"/>
    <cellStyle name="Normal 3 3 2 7 4 3 2" xfId="50103" xr:uid="{00000000-0005-0000-0000-000096830000}"/>
    <cellStyle name="Normal 3 3 2 7 4 4" xfId="36541" xr:uid="{00000000-0005-0000-0000-000097830000}"/>
    <cellStyle name="Normal 3 3 2 7 5" xfId="12794" xr:uid="{00000000-0005-0000-0000-000098830000}"/>
    <cellStyle name="Normal 3 3 2 7 5 2" xfId="26362" xr:uid="{00000000-0005-0000-0000-000099830000}"/>
    <cellStyle name="Normal 3 3 2 7 5 2 2" xfId="53495" xr:uid="{00000000-0005-0000-0000-00009A830000}"/>
    <cellStyle name="Normal 3 3 2 7 5 3" xfId="39933" xr:uid="{00000000-0005-0000-0000-00009B830000}"/>
    <cellStyle name="Normal 3 3 2 7 6" xfId="19581" xr:uid="{00000000-0005-0000-0000-00009C830000}"/>
    <cellStyle name="Normal 3 3 2 7 6 2" xfId="46714" xr:uid="{00000000-0005-0000-0000-00009D830000}"/>
    <cellStyle name="Normal 3 3 2 7 7" xfId="33152" xr:uid="{00000000-0005-0000-0000-00009E830000}"/>
    <cellStyle name="Normal 3 3 2 8" xfId="5853" xr:uid="{00000000-0005-0000-0000-00009F830000}"/>
    <cellStyle name="Normal 3 3 2 8 2" xfId="5854" xr:uid="{00000000-0005-0000-0000-0000A0830000}"/>
    <cellStyle name="Normal 3 3 2 8 2 2" xfId="9397" xr:uid="{00000000-0005-0000-0000-0000A1830000}"/>
    <cellStyle name="Normal 3 3 2 8 2 2 2" xfId="16187" xr:uid="{00000000-0005-0000-0000-0000A2830000}"/>
    <cellStyle name="Normal 3 3 2 8 2 2 2 2" xfId="29755" xr:uid="{00000000-0005-0000-0000-0000A3830000}"/>
    <cellStyle name="Normal 3 3 2 8 2 2 2 2 2" xfId="56888" xr:uid="{00000000-0005-0000-0000-0000A4830000}"/>
    <cellStyle name="Normal 3 3 2 8 2 2 2 3" xfId="43326" xr:uid="{00000000-0005-0000-0000-0000A5830000}"/>
    <cellStyle name="Normal 3 3 2 8 2 2 3" xfId="22974" xr:uid="{00000000-0005-0000-0000-0000A6830000}"/>
    <cellStyle name="Normal 3 3 2 8 2 2 3 2" xfId="50107" xr:uid="{00000000-0005-0000-0000-0000A7830000}"/>
    <cellStyle name="Normal 3 3 2 8 2 2 4" xfId="36545" xr:uid="{00000000-0005-0000-0000-0000A8830000}"/>
    <cellStyle name="Normal 3 3 2 8 2 3" xfId="12798" xr:uid="{00000000-0005-0000-0000-0000A9830000}"/>
    <cellStyle name="Normal 3 3 2 8 2 3 2" xfId="26366" xr:uid="{00000000-0005-0000-0000-0000AA830000}"/>
    <cellStyle name="Normal 3 3 2 8 2 3 2 2" xfId="53499" xr:uid="{00000000-0005-0000-0000-0000AB830000}"/>
    <cellStyle name="Normal 3 3 2 8 2 3 3" xfId="39937" xr:uid="{00000000-0005-0000-0000-0000AC830000}"/>
    <cellStyle name="Normal 3 3 2 8 2 4" xfId="19585" xr:uid="{00000000-0005-0000-0000-0000AD830000}"/>
    <cellStyle name="Normal 3 3 2 8 2 4 2" xfId="46718" xr:uid="{00000000-0005-0000-0000-0000AE830000}"/>
    <cellStyle name="Normal 3 3 2 8 2 5" xfId="33156" xr:uid="{00000000-0005-0000-0000-0000AF830000}"/>
    <cellStyle name="Normal 3 3 2 8 3" xfId="5855" xr:uid="{00000000-0005-0000-0000-0000B0830000}"/>
    <cellStyle name="Normal 3 3 2 8 3 2" xfId="9398" xr:uid="{00000000-0005-0000-0000-0000B1830000}"/>
    <cellStyle name="Normal 3 3 2 8 3 2 2" xfId="16188" xr:uid="{00000000-0005-0000-0000-0000B2830000}"/>
    <cellStyle name="Normal 3 3 2 8 3 2 2 2" xfId="29756" xr:uid="{00000000-0005-0000-0000-0000B3830000}"/>
    <cellStyle name="Normal 3 3 2 8 3 2 2 2 2" xfId="56889" xr:uid="{00000000-0005-0000-0000-0000B4830000}"/>
    <cellStyle name="Normal 3 3 2 8 3 2 2 3" xfId="43327" xr:uid="{00000000-0005-0000-0000-0000B5830000}"/>
    <cellStyle name="Normal 3 3 2 8 3 2 3" xfId="22975" xr:uid="{00000000-0005-0000-0000-0000B6830000}"/>
    <cellStyle name="Normal 3 3 2 8 3 2 3 2" xfId="50108" xr:uid="{00000000-0005-0000-0000-0000B7830000}"/>
    <cellStyle name="Normal 3 3 2 8 3 2 4" xfId="36546" xr:uid="{00000000-0005-0000-0000-0000B8830000}"/>
    <cellStyle name="Normal 3 3 2 8 3 3" xfId="12799" xr:uid="{00000000-0005-0000-0000-0000B9830000}"/>
    <cellStyle name="Normal 3 3 2 8 3 3 2" xfId="26367" xr:uid="{00000000-0005-0000-0000-0000BA830000}"/>
    <cellStyle name="Normal 3 3 2 8 3 3 2 2" xfId="53500" xr:uid="{00000000-0005-0000-0000-0000BB830000}"/>
    <cellStyle name="Normal 3 3 2 8 3 3 3" xfId="39938" xr:uid="{00000000-0005-0000-0000-0000BC830000}"/>
    <cellStyle name="Normal 3 3 2 8 3 4" xfId="19586" xr:uid="{00000000-0005-0000-0000-0000BD830000}"/>
    <cellStyle name="Normal 3 3 2 8 3 4 2" xfId="46719" xr:uid="{00000000-0005-0000-0000-0000BE830000}"/>
    <cellStyle name="Normal 3 3 2 8 3 5" xfId="33157" xr:uid="{00000000-0005-0000-0000-0000BF830000}"/>
    <cellStyle name="Normal 3 3 2 8 4" xfId="9396" xr:uid="{00000000-0005-0000-0000-0000C0830000}"/>
    <cellStyle name="Normal 3 3 2 8 4 2" xfId="16186" xr:uid="{00000000-0005-0000-0000-0000C1830000}"/>
    <cellStyle name="Normal 3 3 2 8 4 2 2" xfId="29754" xr:uid="{00000000-0005-0000-0000-0000C2830000}"/>
    <cellStyle name="Normal 3 3 2 8 4 2 2 2" xfId="56887" xr:uid="{00000000-0005-0000-0000-0000C3830000}"/>
    <cellStyle name="Normal 3 3 2 8 4 2 3" xfId="43325" xr:uid="{00000000-0005-0000-0000-0000C4830000}"/>
    <cellStyle name="Normal 3 3 2 8 4 3" xfId="22973" xr:uid="{00000000-0005-0000-0000-0000C5830000}"/>
    <cellStyle name="Normal 3 3 2 8 4 3 2" xfId="50106" xr:uid="{00000000-0005-0000-0000-0000C6830000}"/>
    <cellStyle name="Normal 3 3 2 8 4 4" xfId="36544" xr:uid="{00000000-0005-0000-0000-0000C7830000}"/>
    <cellStyle name="Normal 3 3 2 8 5" xfId="12797" xr:uid="{00000000-0005-0000-0000-0000C8830000}"/>
    <cellStyle name="Normal 3 3 2 8 5 2" xfId="26365" xr:uid="{00000000-0005-0000-0000-0000C9830000}"/>
    <cellStyle name="Normal 3 3 2 8 5 2 2" xfId="53498" xr:uid="{00000000-0005-0000-0000-0000CA830000}"/>
    <cellStyle name="Normal 3 3 2 8 5 3" xfId="39936" xr:uid="{00000000-0005-0000-0000-0000CB830000}"/>
    <cellStyle name="Normal 3 3 2 8 6" xfId="19584" xr:uid="{00000000-0005-0000-0000-0000CC830000}"/>
    <cellStyle name="Normal 3 3 2 8 6 2" xfId="46717" xr:uid="{00000000-0005-0000-0000-0000CD830000}"/>
    <cellStyle name="Normal 3 3 2 8 7" xfId="33155" xr:uid="{00000000-0005-0000-0000-0000CE830000}"/>
    <cellStyle name="Normal 3 3 2 9" xfId="5856" xr:uid="{00000000-0005-0000-0000-0000CF830000}"/>
    <cellStyle name="Normal 3 3 2 9 2" xfId="9399" xr:uid="{00000000-0005-0000-0000-0000D0830000}"/>
    <cellStyle name="Normal 3 3 2 9 2 2" xfId="16189" xr:uid="{00000000-0005-0000-0000-0000D1830000}"/>
    <cellStyle name="Normal 3 3 2 9 2 2 2" xfId="29757" xr:uid="{00000000-0005-0000-0000-0000D2830000}"/>
    <cellStyle name="Normal 3 3 2 9 2 2 2 2" xfId="56890" xr:uid="{00000000-0005-0000-0000-0000D3830000}"/>
    <cellStyle name="Normal 3 3 2 9 2 2 3" xfId="43328" xr:uid="{00000000-0005-0000-0000-0000D4830000}"/>
    <cellStyle name="Normal 3 3 2 9 2 3" xfId="22976" xr:uid="{00000000-0005-0000-0000-0000D5830000}"/>
    <cellStyle name="Normal 3 3 2 9 2 3 2" xfId="50109" xr:uid="{00000000-0005-0000-0000-0000D6830000}"/>
    <cellStyle name="Normal 3 3 2 9 2 4" xfId="36547" xr:uid="{00000000-0005-0000-0000-0000D7830000}"/>
    <cellStyle name="Normal 3 3 2 9 3" xfId="12800" xr:uid="{00000000-0005-0000-0000-0000D8830000}"/>
    <cellStyle name="Normal 3 3 2 9 3 2" xfId="26368" xr:uid="{00000000-0005-0000-0000-0000D9830000}"/>
    <cellStyle name="Normal 3 3 2 9 3 2 2" xfId="53501" xr:uid="{00000000-0005-0000-0000-0000DA830000}"/>
    <cellStyle name="Normal 3 3 2 9 3 3" xfId="39939" xr:uid="{00000000-0005-0000-0000-0000DB830000}"/>
    <cellStyle name="Normal 3 3 2 9 4" xfId="19587" xr:uid="{00000000-0005-0000-0000-0000DC830000}"/>
    <cellStyle name="Normal 3 3 2 9 4 2" xfId="46720" xr:uid="{00000000-0005-0000-0000-0000DD830000}"/>
    <cellStyle name="Normal 3 3 2 9 5" xfId="33158" xr:uid="{00000000-0005-0000-0000-0000DE830000}"/>
    <cellStyle name="Normal 3 3 3" xfId="2695" xr:uid="{00000000-0005-0000-0000-0000DF830000}"/>
    <cellStyle name="Normal 3 3 3 10" xfId="7508" xr:uid="{00000000-0005-0000-0000-0000E0830000}"/>
    <cellStyle name="Normal 3 3 3 10 2" xfId="14298" xr:uid="{00000000-0005-0000-0000-0000E1830000}"/>
    <cellStyle name="Normal 3 3 3 10 2 2" xfId="27866" xr:uid="{00000000-0005-0000-0000-0000E2830000}"/>
    <cellStyle name="Normal 3 3 3 10 2 2 2" xfId="54999" xr:uid="{00000000-0005-0000-0000-0000E3830000}"/>
    <cellStyle name="Normal 3 3 3 10 2 3" xfId="41437" xr:uid="{00000000-0005-0000-0000-0000E4830000}"/>
    <cellStyle name="Normal 3 3 3 10 3" xfId="21085" xr:uid="{00000000-0005-0000-0000-0000E5830000}"/>
    <cellStyle name="Normal 3 3 3 10 3 2" xfId="48218" xr:uid="{00000000-0005-0000-0000-0000E6830000}"/>
    <cellStyle name="Normal 3 3 3 10 4" xfId="34656" xr:uid="{00000000-0005-0000-0000-0000E7830000}"/>
    <cellStyle name="Normal 3 3 3 11" xfId="10909" xr:uid="{00000000-0005-0000-0000-0000E8830000}"/>
    <cellStyle name="Normal 3 3 3 11 2" xfId="24477" xr:uid="{00000000-0005-0000-0000-0000E9830000}"/>
    <cellStyle name="Normal 3 3 3 11 2 2" xfId="51610" xr:uid="{00000000-0005-0000-0000-0000EA830000}"/>
    <cellStyle name="Normal 3 3 3 11 3" xfId="38048" xr:uid="{00000000-0005-0000-0000-0000EB830000}"/>
    <cellStyle name="Normal 3 3 3 12" xfId="17696" xr:uid="{00000000-0005-0000-0000-0000EC830000}"/>
    <cellStyle name="Normal 3 3 3 12 2" xfId="44829" xr:uid="{00000000-0005-0000-0000-0000ED830000}"/>
    <cellStyle name="Normal 3 3 3 13" xfId="31267" xr:uid="{00000000-0005-0000-0000-0000EE830000}"/>
    <cellStyle name="Normal 3 3 3 2" xfId="2696" xr:uid="{00000000-0005-0000-0000-0000EF830000}"/>
    <cellStyle name="Normal 3 3 3 2 10" xfId="31268" xr:uid="{00000000-0005-0000-0000-0000F0830000}"/>
    <cellStyle name="Normal 3 3 3 2 2" xfId="5857" xr:uid="{00000000-0005-0000-0000-0000F1830000}"/>
    <cellStyle name="Normal 3 3 3 2 2 2" xfId="5858" xr:uid="{00000000-0005-0000-0000-0000F2830000}"/>
    <cellStyle name="Normal 3 3 3 2 2 2 2" xfId="5859" xr:uid="{00000000-0005-0000-0000-0000F3830000}"/>
    <cellStyle name="Normal 3 3 3 2 2 2 2 2" xfId="9402" xr:uid="{00000000-0005-0000-0000-0000F4830000}"/>
    <cellStyle name="Normal 3 3 3 2 2 2 2 2 2" xfId="16192" xr:uid="{00000000-0005-0000-0000-0000F5830000}"/>
    <cellStyle name="Normal 3 3 3 2 2 2 2 2 2 2" xfId="29760" xr:uid="{00000000-0005-0000-0000-0000F6830000}"/>
    <cellStyle name="Normal 3 3 3 2 2 2 2 2 2 2 2" xfId="56893" xr:uid="{00000000-0005-0000-0000-0000F7830000}"/>
    <cellStyle name="Normal 3 3 3 2 2 2 2 2 2 3" xfId="43331" xr:uid="{00000000-0005-0000-0000-0000F8830000}"/>
    <cellStyle name="Normal 3 3 3 2 2 2 2 2 3" xfId="22979" xr:uid="{00000000-0005-0000-0000-0000F9830000}"/>
    <cellStyle name="Normal 3 3 3 2 2 2 2 2 3 2" xfId="50112" xr:uid="{00000000-0005-0000-0000-0000FA830000}"/>
    <cellStyle name="Normal 3 3 3 2 2 2 2 2 4" xfId="36550" xr:uid="{00000000-0005-0000-0000-0000FB830000}"/>
    <cellStyle name="Normal 3 3 3 2 2 2 2 3" xfId="12803" xr:uid="{00000000-0005-0000-0000-0000FC830000}"/>
    <cellStyle name="Normal 3 3 3 2 2 2 2 3 2" xfId="26371" xr:uid="{00000000-0005-0000-0000-0000FD830000}"/>
    <cellStyle name="Normal 3 3 3 2 2 2 2 3 2 2" xfId="53504" xr:uid="{00000000-0005-0000-0000-0000FE830000}"/>
    <cellStyle name="Normal 3 3 3 2 2 2 2 3 3" xfId="39942" xr:uid="{00000000-0005-0000-0000-0000FF830000}"/>
    <cellStyle name="Normal 3 3 3 2 2 2 2 4" xfId="19590" xr:uid="{00000000-0005-0000-0000-000000840000}"/>
    <cellStyle name="Normal 3 3 3 2 2 2 2 4 2" xfId="46723" xr:uid="{00000000-0005-0000-0000-000001840000}"/>
    <cellStyle name="Normal 3 3 3 2 2 2 2 5" xfId="33161" xr:uid="{00000000-0005-0000-0000-000002840000}"/>
    <cellStyle name="Normal 3 3 3 2 2 2 3" xfId="5860" xr:uid="{00000000-0005-0000-0000-000003840000}"/>
    <cellStyle name="Normal 3 3 3 2 2 2 3 2" xfId="9403" xr:uid="{00000000-0005-0000-0000-000004840000}"/>
    <cellStyle name="Normal 3 3 3 2 2 2 3 2 2" xfId="16193" xr:uid="{00000000-0005-0000-0000-000005840000}"/>
    <cellStyle name="Normal 3 3 3 2 2 2 3 2 2 2" xfId="29761" xr:uid="{00000000-0005-0000-0000-000006840000}"/>
    <cellStyle name="Normal 3 3 3 2 2 2 3 2 2 2 2" xfId="56894" xr:uid="{00000000-0005-0000-0000-000007840000}"/>
    <cellStyle name="Normal 3 3 3 2 2 2 3 2 2 3" xfId="43332" xr:uid="{00000000-0005-0000-0000-000008840000}"/>
    <cellStyle name="Normal 3 3 3 2 2 2 3 2 3" xfId="22980" xr:uid="{00000000-0005-0000-0000-000009840000}"/>
    <cellStyle name="Normal 3 3 3 2 2 2 3 2 3 2" xfId="50113" xr:uid="{00000000-0005-0000-0000-00000A840000}"/>
    <cellStyle name="Normal 3 3 3 2 2 2 3 2 4" xfId="36551" xr:uid="{00000000-0005-0000-0000-00000B840000}"/>
    <cellStyle name="Normal 3 3 3 2 2 2 3 3" xfId="12804" xr:uid="{00000000-0005-0000-0000-00000C840000}"/>
    <cellStyle name="Normal 3 3 3 2 2 2 3 3 2" xfId="26372" xr:uid="{00000000-0005-0000-0000-00000D840000}"/>
    <cellStyle name="Normal 3 3 3 2 2 2 3 3 2 2" xfId="53505" xr:uid="{00000000-0005-0000-0000-00000E840000}"/>
    <cellStyle name="Normal 3 3 3 2 2 2 3 3 3" xfId="39943" xr:uid="{00000000-0005-0000-0000-00000F840000}"/>
    <cellStyle name="Normal 3 3 3 2 2 2 3 4" xfId="19591" xr:uid="{00000000-0005-0000-0000-000010840000}"/>
    <cellStyle name="Normal 3 3 3 2 2 2 3 4 2" xfId="46724" xr:uid="{00000000-0005-0000-0000-000011840000}"/>
    <cellStyle name="Normal 3 3 3 2 2 2 3 5" xfId="33162" xr:uid="{00000000-0005-0000-0000-000012840000}"/>
    <cellStyle name="Normal 3 3 3 2 2 2 4" xfId="9401" xr:uid="{00000000-0005-0000-0000-000013840000}"/>
    <cellStyle name="Normal 3 3 3 2 2 2 4 2" xfId="16191" xr:uid="{00000000-0005-0000-0000-000014840000}"/>
    <cellStyle name="Normal 3 3 3 2 2 2 4 2 2" xfId="29759" xr:uid="{00000000-0005-0000-0000-000015840000}"/>
    <cellStyle name="Normal 3 3 3 2 2 2 4 2 2 2" xfId="56892" xr:uid="{00000000-0005-0000-0000-000016840000}"/>
    <cellStyle name="Normal 3 3 3 2 2 2 4 2 3" xfId="43330" xr:uid="{00000000-0005-0000-0000-000017840000}"/>
    <cellStyle name="Normal 3 3 3 2 2 2 4 3" xfId="22978" xr:uid="{00000000-0005-0000-0000-000018840000}"/>
    <cellStyle name="Normal 3 3 3 2 2 2 4 3 2" xfId="50111" xr:uid="{00000000-0005-0000-0000-000019840000}"/>
    <cellStyle name="Normal 3 3 3 2 2 2 4 4" xfId="36549" xr:uid="{00000000-0005-0000-0000-00001A840000}"/>
    <cellStyle name="Normal 3 3 3 2 2 2 5" xfId="12802" xr:uid="{00000000-0005-0000-0000-00001B840000}"/>
    <cellStyle name="Normal 3 3 3 2 2 2 5 2" xfId="26370" xr:uid="{00000000-0005-0000-0000-00001C840000}"/>
    <cellStyle name="Normal 3 3 3 2 2 2 5 2 2" xfId="53503" xr:uid="{00000000-0005-0000-0000-00001D840000}"/>
    <cellStyle name="Normal 3 3 3 2 2 2 5 3" xfId="39941" xr:uid="{00000000-0005-0000-0000-00001E840000}"/>
    <cellStyle name="Normal 3 3 3 2 2 2 6" xfId="19589" xr:uid="{00000000-0005-0000-0000-00001F840000}"/>
    <cellStyle name="Normal 3 3 3 2 2 2 6 2" xfId="46722" xr:uid="{00000000-0005-0000-0000-000020840000}"/>
    <cellStyle name="Normal 3 3 3 2 2 2 7" xfId="33160" xr:uid="{00000000-0005-0000-0000-000021840000}"/>
    <cellStyle name="Normal 3 3 3 2 2 3" xfId="5861" xr:uid="{00000000-0005-0000-0000-000022840000}"/>
    <cellStyle name="Normal 3 3 3 2 2 3 2" xfId="5862" xr:uid="{00000000-0005-0000-0000-000023840000}"/>
    <cellStyle name="Normal 3 3 3 2 2 3 2 2" xfId="9405" xr:uid="{00000000-0005-0000-0000-000024840000}"/>
    <cellStyle name="Normal 3 3 3 2 2 3 2 2 2" xfId="16195" xr:uid="{00000000-0005-0000-0000-000025840000}"/>
    <cellStyle name="Normal 3 3 3 2 2 3 2 2 2 2" xfId="29763" xr:uid="{00000000-0005-0000-0000-000026840000}"/>
    <cellStyle name="Normal 3 3 3 2 2 3 2 2 2 2 2" xfId="56896" xr:uid="{00000000-0005-0000-0000-000027840000}"/>
    <cellStyle name="Normal 3 3 3 2 2 3 2 2 2 3" xfId="43334" xr:uid="{00000000-0005-0000-0000-000028840000}"/>
    <cellStyle name="Normal 3 3 3 2 2 3 2 2 3" xfId="22982" xr:uid="{00000000-0005-0000-0000-000029840000}"/>
    <cellStyle name="Normal 3 3 3 2 2 3 2 2 3 2" xfId="50115" xr:uid="{00000000-0005-0000-0000-00002A840000}"/>
    <cellStyle name="Normal 3 3 3 2 2 3 2 2 4" xfId="36553" xr:uid="{00000000-0005-0000-0000-00002B840000}"/>
    <cellStyle name="Normal 3 3 3 2 2 3 2 3" xfId="12806" xr:uid="{00000000-0005-0000-0000-00002C840000}"/>
    <cellStyle name="Normal 3 3 3 2 2 3 2 3 2" xfId="26374" xr:uid="{00000000-0005-0000-0000-00002D840000}"/>
    <cellStyle name="Normal 3 3 3 2 2 3 2 3 2 2" xfId="53507" xr:uid="{00000000-0005-0000-0000-00002E840000}"/>
    <cellStyle name="Normal 3 3 3 2 2 3 2 3 3" xfId="39945" xr:uid="{00000000-0005-0000-0000-00002F840000}"/>
    <cellStyle name="Normal 3 3 3 2 2 3 2 4" xfId="19593" xr:uid="{00000000-0005-0000-0000-000030840000}"/>
    <cellStyle name="Normal 3 3 3 2 2 3 2 4 2" xfId="46726" xr:uid="{00000000-0005-0000-0000-000031840000}"/>
    <cellStyle name="Normal 3 3 3 2 2 3 2 5" xfId="33164" xr:uid="{00000000-0005-0000-0000-000032840000}"/>
    <cellStyle name="Normal 3 3 3 2 2 3 3" xfId="9404" xr:uid="{00000000-0005-0000-0000-000033840000}"/>
    <cellStyle name="Normal 3 3 3 2 2 3 3 2" xfId="16194" xr:uid="{00000000-0005-0000-0000-000034840000}"/>
    <cellStyle name="Normal 3 3 3 2 2 3 3 2 2" xfId="29762" xr:uid="{00000000-0005-0000-0000-000035840000}"/>
    <cellStyle name="Normal 3 3 3 2 2 3 3 2 2 2" xfId="56895" xr:uid="{00000000-0005-0000-0000-000036840000}"/>
    <cellStyle name="Normal 3 3 3 2 2 3 3 2 3" xfId="43333" xr:uid="{00000000-0005-0000-0000-000037840000}"/>
    <cellStyle name="Normal 3 3 3 2 2 3 3 3" xfId="22981" xr:uid="{00000000-0005-0000-0000-000038840000}"/>
    <cellStyle name="Normal 3 3 3 2 2 3 3 3 2" xfId="50114" xr:uid="{00000000-0005-0000-0000-000039840000}"/>
    <cellStyle name="Normal 3 3 3 2 2 3 3 4" xfId="36552" xr:uid="{00000000-0005-0000-0000-00003A840000}"/>
    <cellStyle name="Normal 3 3 3 2 2 3 4" xfId="12805" xr:uid="{00000000-0005-0000-0000-00003B840000}"/>
    <cellStyle name="Normal 3 3 3 2 2 3 4 2" xfId="26373" xr:uid="{00000000-0005-0000-0000-00003C840000}"/>
    <cellStyle name="Normal 3 3 3 2 2 3 4 2 2" xfId="53506" xr:uid="{00000000-0005-0000-0000-00003D840000}"/>
    <cellStyle name="Normal 3 3 3 2 2 3 4 3" xfId="39944" xr:uid="{00000000-0005-0000-0000-00003E840000}"/>
    <cellStyle name="Normal 3 3 3 2 2 3 5" xfId="19592" xr:uid="{00000000-0005-0000-0000-00003F840000}"/>
    <cellStyle name="Normal 3 3 3 2 2 3 5 2" xfId="46725" xr:uid="{00000000-0005-0000-0000-000040840000}"/>
    <cellStyle name="Normal 3 3 3 2 2 3 6" xfId="33163" xr:uid="{00000000-0005-0000-0000-000041840000}"/>
    <cellStyle name="Normal 3 3 3 2 2 4" xfId="5863" xr:uid="{00000000-0005-0000-0000-000042840000}"/>
    <cellStyle name="Normal 3 3 3 2 2 4 2" xfId="9406" xr:uid="{00000000-0005-0000-0000-000043840000}"/>
    <cellStyle name="Normal 3 3 3 2 2 4 2 2" xfId="16196" xr:uid="{00000000-0005-0000-0000-000044840000}"/>
    <cellStyle name="Normal 3 3 3 2 2 4 2 2 2" xfId="29764" xr:uid="{00000000-0005-0000-0000-000045840000}"/>
    <cellStyle name="Normal 3 3 3 2 2 4 2 2 2 2" xfId="56897" xr:uid="{00000000-0005-0000-0000-000046840000}"/>
    <cellStyle name="Normal 3 3 3 2 2 4 2 2 3" xfId="43335" xr:uid="{00000000-0005-0000-0000-000047840000}"/>
    <cellStyle name="Normal 3 3 3 2 2 4 2 3" xfId="22983" xr:uid="{00000000-0005-0000-0000-000048840000}"/>
    <cellStyle name="Normal 3 3 3 2 2 4 2 3 2" xfId="50116" xr:uid="{00000000-0005-0000-0000-000049840000}"/>
    <cellStyle name="Normal 3 3 3 2 2 4 2 4" xfId="36554" xr:uid="{00000000-0005-0000-0000-00004A840000}"/>
    <cellStyle name="Normal 3 3 3 2 2 4 3" xfId="12807" xr:uid="{00000000-0005-0000-0000-00004B840000}"/>
    <cellStyle name="Normal 3 3 3 2 2 4 3 2" xfId="26375" xr:uid="{00000000-0005-0000-0000-00004C840000}"/>
    <cellStyle name="Normal 3 3 3 2 2 4 3 2 2" xfId="53508" xr:uid="{00000000-0005-0000-0000-00004D840000}"/>
    <cellStyle name="Normal 3 3 3 2 2 4 3 3" xfId="39946" xr:uid="{00000000-0005-0000-0000-00004E840000}"/>
    <cellStyle name="Normal 3 3 3 2 2 4 4" xfId="19594" xr:uid="{00000000-0005-0000-0000-00004F840000}"/>
    <cellStyle name="Normal 3 3 3 2 2 4 4 2" xfId="46727" xr:uid="{00000000-0005-0000-0000-000050840000}"/>
    <cellStyle name="Normal 3 3 3 2 2 4 5" xfId="33165" xr:uid="{00000000-0005-0000-0000-000051840000}"/>
    <cellStyle name="Normal 3 3 3 2 2 5" xfId="5864" xr:uid="{00000000-0005-0000-0000-000052840000}"/>
    <cellStyle name="Normal 3 3 3 2 2 5 2" xfId="9407" xr:uid="{00000000-0005-0000-0000-000053840000}"/>
    <cellStyle name="Normal 3 3 3 2 2 5 2 2" xfId="16197" xr:uid="{00000000-0005-0000-0000-000054840000}"/>
    <cellStyle name="Normal 3 3 3 2 2 5 2 2 2" xfId="29765" xr:uid="{00000000-0005-0000-0000-000055840000}"/>
    <cellStyle name="Normal 3 3 3 2 2 5 2 2 2 2" xfId="56898" xr:uid="{00000000-0005-0000-0000-000056840000}"/>
    <cellStyle name="Normal 3 3 3 2 2 5 2 2 3" xfId="43336" xr:uid="{00000000-0005-0000-0000-000057840000}"/>
    <cellStyle name="Normal 3 3 3 2 2 5 2 3" xfId="22984" xr:uid="{00000000-0005-0000-0000-000058840000}"/>
    <cellStyle name="Normal 3 3 3 2 2 5 2 3 2" xfId="50117" xr:uid="{00000000-0005-0000-0000-000059840000}"/>
    <cellStyle name="Normal 3 3 3 2 2 5 2 4" xfId="36555" xr:uid="{00000000-0005-0000-0000-00005A840000}"/>
    <cellStyle name="Normal 3 3 3 2 2 5 3" xfId="12808" xr:uid="{00000000-0005-0000-0000-00005B840000}"/>
    <cellStyle name="Normal 3 3 3 2 2 5 3 2" xfId="26376" xr:uid="{00000000-0005-0000-0000-00005C840000}"/>
    <cellStyle name="Normal 3 3 3 2 2 5 3 2 2" xfId="53509" xr:uid="{00000000-0005-0000-0000-00005D840000}"/>
    <cellStyle name="Normal 3 3 3 2 2 5 3 3" xfId="39947" xr:uid="{00000000-0005-0000-0000-00005E840000}"/>
    <cellStyle name="Normal 3 3 3 2 2 5 4" xfId="19595" xr:uid="{00000000-0005-0000-0000-00005F840000}"/>
    <cellStyle name="Normal 3 3 3 2 2 5 4 2" xfId="46728" xr:uid="{00000000-0005-0000-0000-000060840000}"/>
    <cellStyle name="Normal 3 3 3 2 2 5 5" xfId="33166" xr:uid="{00000000-0005-0000-0000-000061840000}"/>
    <cellStyle name="Normal 3 3 3 2 2 6" xfId="9400" xr:uid="{00000000-0005-0000-0000-000062840000}"/>
    <cellStyle name="Normal 3 3 3 2 2 6 2" xfId="16190" xr:uid="{00000000-0005-0000-0000-000063840000}"/>
    <cellStyle name="Normal 3 3 3 2 2 6 2 2" xfId="29758" xr:uid="{00000000-0005-0000-0000-000064840000}"/>
    <cellStyle name="Normal 3 3 3 2 2 6 2 2 2" xfId="56891" xr:uid="{00000000-0005-0000-0000-000065840000}"/>
    <cellStyle name="Normal 3 3 3 2 2 6 2 3" xfId="43329" xr:uid="{00000000-0005-0000-0000-000066840000}"/>
    <cellStyle name="Normal 3 3 3 2 2 6 3" xfId="22977" xr:uid="{00000000-0005-0000-0000-000067840000}"/>
    <cellStyle name="Normal 3 3 3 2 2 6 3 2" xfId="50110" xr:uid="{00000000-0005-0000-0000-000068840000}"/>
    <cellStyle name="Normal 3 3 3 2 2 6 4" xfId="36548" xr:uid="{00000000-0005-0000-0000-000069840000}"/>
    <cellStyle name="Normal 3 3 3 2 2 7" xfId="12801" xr:uid="{00000000-0005-0000-0000-00006A840000}"/>
    <cellStyle name="Normal 3 3 3 2 2 7 2" xfId="26369" xr:uid="{00000000-0005-0000-0000-00006B840000}"/>
    <cellStyle name="Normal 3 3 3 2 2 7 2 2" xfId="53502" xr:uid="{00000000-0005-0000-0000-00006C840000}"/>
    <cellStyle name="Normal 3 3 3 2 2 7 3" xfId="39940" xr:uid="{00000000-0005-0000-0000-00006D840000}"/>
    <cellStyle name="Normal 3 3 3 2 2 8" xfId="19588" xr:uid="{00000000-0005-0000-0000-00006E840000}"/>
    <cellStyle name="Normal 3 3 3 2 2 8 2" xfId="46721" xr:uid="{00000000-0005-0000-0000-00006F840000}"/>
    <cellStyle name="Normal 3 3 3 2 2 9" xfId="33159" xr:uid="{00000000-0005-0000-0000-000070840000}"/>
    <cellStyle name="Normal 3 3 3 2 3" xfId="5865" xr:uid="{00000000-0005-0000-0000-000071840000}"/>
    <cellStyle name="Normal 3 3 3 2 3 2" xfId="5866" xr:uid="{00000000-0005-0000-0000-000072840000}"/>
    <cellStyle name="Normal 3 3 3 2 3 2 2" xfId="9409" xr:uid="{00000000-0005-0000-0000-000073840000}"/>
    <cellStyle name="Normal 3 3 3 2 3 2 2 2" xfId="16199" xr:uid="{00000000-0005-0000-0000-000074840000}"/>
    <cellStyle name="Normal 3 3 3 2 3 2 2 2 2" xfId="29767" xr:uid="{00000000-0005-0000-0000-000075840000}"/>
    <cellStyle name="Normal 3 3 3 2 3 2 2 2 2 2" xfId="56900" xr:uid="{00000000-0005-0000-0000-000076840000}"/>
    <cellStyle name="Normal 3 3 3 2 3 2 2 2 3" xfId="43338" xr:uid="{00000000-0005-0000-0000-000077840000}"/>
    <cellStyle name="Normal 3 3 3 2 3 2 2 3" xfId="22986" xr:uid="{00000000-0005-0000-0000-000078840000}"/>
    <cellStyle name="Normal 3 3 3 2 3 2 2 3 2" xfId="50119" xr:uid="{00000000-0005-0000-0000-000079840000}"/>
    <cellStyle name="Normal 3 3 3 2 3 2 2 4" xfId="36557" xr:uid="{00000000-0005-0000-0000-00007A840000}"/>
    <cellStyle name="Normal 3 3 3 2 3 2 3" xfId="12810" xr:uid="{00000000-0005-0000-0000-00007B840000}"/>
    <cellStyle name="Normal 3 3 3 2 3 2 3 2" xfId="26378" xr:uid="{00000000-0005-0000-0000-00007C840000}"/>
    <cellStyle name="Normal 3 3 3 2 3 2 3 2 2" xfId="53511" xr:uid="{00000000-0005-0000-0000-00007D840000}"/>
    <cellStyle name="Normal 3 3 3 2 3 2 3 3" xfId="39949" xr:uid="{00000000-0005-0000-0000-00007E840000}"/>
    <cellStyle name="Normal 3 3 3 2 3 2 4" xfId="19597" xr:uid="{00000000-0005-0000-0000-00007F840000}"/>
    <cellStyle name="Normal 3 3 3 2 3 2 4 2" xfId="46730" xr:uid="{00000000-0005-0000-0000-000080840000}"/>
    <cellStyle name="Normal 3 3 3 2 3 2 5" xfId="33168" xr:uid="{00000000-0005-0000-0000-000081840000}"/>
    <cellStyle name="Normal 3 3 3 2 3 3" xfId="5867" xr:uid="{00000000-0005-0000-0000-000082840000}"/>
    <cellStyle name="Normal 3 3 3 2 3 3 2" xfId="9410" xr:uid="{00000000-0005-0000-0000-000083840000}"/>
    <cellStyle name="Normal 3 3 3 2 3 3 2 2" xfId="16200" xr:uid="{00000000-0005-0000-0000-000084840000}"/>
    <cellStyle name="Normal 3 3 3 2 3 3 2 2 2" xfId="29768" xr:uid="{00000000-0005-0000-0000-000085840000}"/>
    <cellStyle name="Normal 3 3 3 2 3 3 2 2 2 2" xfId="56901" xr:uid="{00000000-0005-0000-0000-000086840000}"/>
    <cellStyle name="Normal 3 3 3 2 3 3 2 2 3" xfId="43339" xr:uid="{00000000-0005-0000-0000-000087840000}"/>
    <cellStyle name="Normal 3 3 3 2 3 3 2 3" xfId="22987" xr:uid="{00000000-0005-0000-0000-000088840000}"/>
    <cellStyle name="Normal 3 3 3 2 3 3 2 3 2" xfId="50120" xr:uid="{00000000-0005-0000-0000-000089840000}"/>
    <cellStyle name="Normal 3 3 3 2 3 3 2 4" xfId="36558" xr:uid="{00000000-0005-0000-0000-00008A840000}"/>
    <cellStyle name="Normal 3 3 3 2 3 3 3" xfId="12811" xr:uid="{00000000-0005-0000-0000-00008B840000}"/>
    <cellStyle name="Normal 3 3 3 2 3 3 3 2" xfId="26379" xr:uid="{00000000-0005-0000-0000-00008C840000}"/>
    <cellStyle name="Normal 3 3 3 2 3 3 3 2 2" xfId="53512" xr:uid="{00000000-0005-0000-0000-00008D840000}"/>
    <cellStyle name="Normal 3 3 3 2 3 3 3 3" xfId="39950" xr:uid="{00000000-0005-0000-0000-00008E840000}"/>
    <cellStyle name="Normal 3 3 3 2 3 3 4" xfId="19598" xr:uid="{00000000-0005-0000-0000-00008F840000}"/>
    <cellStyle name="Normal 3 3 3 2 3 3 4 2" xfId="46731" xr:uid="{00000000-0005-0000-0000-000090840000}"/>
    <cellStyle name="Normal 3 3 3 2 3 3 5" xfId="33169" xr:uid="{00000000-0005-0000-0000-000091840000}"/>
    <cellStyle name="Normal 3 3 3 2 3 4" xfId="9408" xr:uid="{00000000-0005-0000-0000-000092840000}"/>
    <cellStyle name="Normal 3 3 3 2 3 4 2" xfId="16198" xr:uid="{00000000-0005-0000-0000-000093840000}"/>
    <cellStyle name="Normal 3 3 3 2 3 4 2 2" xfId="29766" xr:uid="{00000000-0005-0000-0000-000094840000}"/>
    <cellStyle name="Normal 3 3 3 2 3 4 2 2 2" xfId="56899" xr:uid="{00000000-0005-0000-0000-000095840000}"/>
    <cellStyle name="Normal 3 3 3 2 3 4 2 3" xfId="43337" xr:uid="{00000000-0005-0000-0000-000096840000}"/>
    <cellStyle name="Normal 3 3 3 2 3 4 3" xfId="22985" xr:uid="{00000000-0005-0000-0000-000097840000}"/>
    <cellStyle name="Normal 3 3 3 2 3 4 3 2" xfId="50118" xr:uid="{00000000-0005-0000-0000-000098840000}"/>
    <cellStyle name="Normal 3 3 3 2 3 4 4" xfId="36556" xr:uid="{00000000-0005-0000-0000-000099840000}"/>
    <cellStyle name="Normal 3 3 3 2 3 5" xfId="12809" xr:uid="{00000000-0005-0000-0000-00009A840000}"/>
    <cellStyle name="Normal 3 3 3 2 3 5 2" xfId="26377" xr:uid="{00000000-0005-0000-0000-00009B840000}"/>
    <cellStyle name="Normal 3 3 3 2 3 5 2 2" xfId="53510" xr:uid="{00000000-0005-0000-0000-00009C840000}"/>
    <cellStyle name="Normal 3 3 3 2 3 5 3" xfId="39948" xr:uid="{00000000-0005-0000-0000-00009D840000}"/>
    <cellStyle name="Normal 3 3 3 2 3 6" xfId="19596" xr:uid="{00000000-0005-0000-0000-00009E840000}"/>
    <cellStyle name="Normal 3 3 3 2 3 6 2" xfId="46729" xr:uid="{00000000-0005-0000-0000-00009F840000}"/>
    <cellStyle name="Normal 3 3 3 2 3 7" xfId="33167" xr:uid="{00000000-0005-0000-0000-0000A0840000}"/>
    <cellStyle name="Normal 3 3 3 2 4" xfId="5868" xr:uid="{00000000-0005-0000-0000-0000A1840000}"/>
    <cellStyle name="Normal 3 3 3 2 4 2" xfId="5869" xr:uid="{00000000-0005-0000-0000-0000A2840000}"/>
    <cellStyle name="Normal 3 3 3 2 4 2 2" xfId="9412" xr:uid="{00000000-0005-0000-0000-0000A3840000}"/>
    <cellStyle name="Normal 3 3 3 2 4 2 2 2" xfId="16202" xr:uid="{00000000-0005-0000-0000-0000A4840000}"/>
    <cellStyle name="Normal 3 3 3 2 4 2 2 2 2" xfId="29770" xr:uid="{00000000-0005-0000-0000-0000A5840000}"/>
    <cellStyle name="Normal 3 3 3 2 4 2 2 2 2 2" xfId="56903" xr:uid="{00000000-0005-0000-0000-0000A6840000}"/>
    <cellStyle name="Normal 3 3 3 2 4 2 2 2 3" xfId="43341" xr:uid="{00000000-0005-0000-0000-0000A7840000}"/>
    <cellStyle name="Normal 3 3 3 2 4 2 2 3" xfId="22989" xr:uid="{00000000-0005-0000-0000-0000A8840000}"/>
    <cellStyle name="Normal 3 3 3 2 4 2 2 3 2" xfId="50122" xr:uid="{00000000-0005-0000-0000-0000A9840000}"/>
    <cellStyle name="Normal 3 3 3 2 4 2 2 4" xfId="36560" xr:uid="{00000000-0005-0000-0000-0000AA840000}"/>
    <cellStyle name="Normal 3 3 3 2 4 2 3" xfId="12813" xr:uid="{00000000-0005-0000-0000-0000AB840000}"/>
    <cellStyle name="Normal 3 3 3 2 4 2 3 2" xfId="26381" xr:uid="{00000000-0005-0000-0000-0000AC840000}"/>
    <cellStyle name="Normal 3 3 3 2 4 2 3 2 2" xfId="53514" xr:uid="{00000000-0005-0000-0000-0000AD840000}"/>
    <cellStyle name="Normal 3 3 3 2 4 2 3 3" xfId="39952" xr:uid="{00000000-0005-0000-0000-0000AE840000}"/>
    <cellStyle name="Normal 3 3 3 2 4 2 4" xfId="19600" xr:uid="{00000000-0005-0000-0000-0000AF840000}"/>
    <cellStyle name="Normal 3 3 3 2 4 2 4 2" xfId="46733" xr:uid="{00000000-0005-0000-0000-0000B0840000}"/>
    <cellStyle name="Normal 3 3 3 2 4 2 5" xfId="33171" xr:uid="{00000000-0005-0000-0000-0000B1840000}"/>
    <cellStyle name="Normal 3 3 3 2 4 3" xfId="9411" xr:uid="{00000000-0005-0000-0000-0000B2840000}"/>
    <cellStyle name="Normal 3 3 3 2 4 3 2" xfId="16201" xr:uid="{00000000-0005-0000-0000-0000B3840000}"/>
    <cellStyle name="Normal 3 3 3 2 4 3 2 2" xfId="29769" xr:uid="{00000000-0005-0000-0000-0000B4840000}"/>
    <cellStyle name="Normal 3 3 3 2 4 3 2 2 2" xfId="56902" xr:uid="{00000000-0005-0000-0000-0000B5840000}"/>
    <cellStyle name="Normal 3 3 3 2 4 3 2 3" xfId="43340" xr:uid="{00000000-0005-0000-0000-0000B6840000}"/>
    <cellStyle name="Normal 3 3 3 2 4 3 3" xfId="22988" xr:uid="{00000000-0005-0000-0000-0000B7840000}"/>
    <cellStyle name="Normal 3 3 3 2 4 3 3 2" xfId="50121" xr:uid="{00000000-0005-0000-0000-0000B8840000}"/>
    <cellStyle name="Normal 3 3 3 2 4 3 4" xfId="36559" xr:uid="{00000000-0005-0000-0000-0000B9840000}"/>
    <cellStyle name="Normal 3 3 3 2 4 4" xfId="12812" xr:uid="{00000000-0005-0000-0000-0000BA840000}"/>
    <cellStyle name="Normal 3 3 3 2 4 4 2" xfId="26380" xr:uid="{00000000-0005-0000-0000-0000BB840000}"/>
    <cellStyle name="Normal 3 3 3 2 4 4 2 2" xfId="53513" xr:uid="{00000000-0005-0000-0000-0000BC840000}"/>
    <cellStyle name="Normal 3 3 3 2 4 4 3" xfId="39951" xr:uid="{00000000-0005-0000-0000-0000BD840000}"/>
    <cellStyle name="Normal 3 3 3 2 4 5" xfId="19599" xr:uid="{00000000-0005-0000-0000-0000BE840000}"/>
    <cellStyle name="Normal 3 3 3 2 4 5 2" xfId="46732" xr:uid="{00000000-0005-0000-0000-0000BF840000}"/>
    <cellStyle name="Normal 3 3 3 2 4 6" xfId="33170" xr:uid="{00000000-0005-0000-0000-0000C0840000}"/>
    <cellStyle name="Normal 3 3 3 2 5" xfId="5870" xr:uid="{00000000-0005-0000-0000-0000C1840000}"/>
    <cellStyle name="Normal 3 3 3 2 5 2" xfId="9413" xr:uid="{00000000-0005-0000-0000-0000C2840000}"/>
    <cellStyle name="Normal 3 3 3 2 5 2 2" xfId="16203" xr:uid="{00000000-0005-0000-0000-0000C3840000}"/>
    <cellStyle name="Normal 3 3 3 2 5 2 2 2" xfId="29771" xr:uid="{00000000-0005-0000-0000-0000C4840000}"/>
    <cellStyle name="Normal 3 3 3 2 5 2 2 2 2" xfId="56904" xr:uid="{00000000-0005-0000-0000-0000C5840000}"/>
    <cellStyle name="Normal 3 3 3 2 5 2 2 3" xfId="43342" xr:uid="{00000000-0005-0000-0000-0000C6840000}"/>
    <cellStyle name="Normal 3 3 3 2 5 2 3" xfId="22990" xr:uid="{00000000-0005-0000-0000-0000C7840000}"/>
    <cellStyle name="Normal 3 3 3 2 5 2 3 2" xfId="50123" xr:uid="{00000000-0005-0000-0000-0000C8840000}"/>
    <cellStyle name="Normal 3 3 3 2 5 2 4" xfId="36561" xr:uid="{00000000-0005-0000-0000-0000C9840000}"/>
    <cellStyle name="Normal 3 3 3 2 5 3" xfId="12814" xr:uid="{00000000-0005-0000-0000-0000CA840000}"/>
    <cellStyle name="Normal 3 3 3 2 5 3 2" xfId="26382" xr:uid="{00000000-0005-0000-0000-0000CB840000}"/>
    <cellStyle name="Normal 3 3 3 2 5 3 2 2" xfId="53515" xr:uid="{00000000-0005-0000-0000-0000CC840000}"/>
    <cellStyle name="Normal 3 3 3 2 5 3 3" xfId="39953" xr:uid="{00000000-0005-0000-0000-0000CD840000}"/>
    <cellStyle name="Normal 3 3 3 2 5 4" xfId="19601" xr:uid="{00000000-0005-0000-0000-0000CE840000}"/>
    <cellStyle name="Normal 3 3 3 2 5 4 2" xfId="46734" xr:uid="{00000000-0005-0000-0000-0000CF840000}"/>
    <cellStyle name="Normal 3 3 3 2 5 5" xfId="33172" xr:uid="{00000000-0005-0000-0000-0000D0840000}"/>
    <cellStyle name="Normal 3 3 3 2 6" xfId="5871" xr:uid="{00000000-0005-0000-0000-0000D1840000}"/>
    <cellStyle name="Normal 3 3 3 2 6 2" xfId="9414" xr:uid="{00000000-0005-0000-0000-0000D2840000}"/>
    <cellStyle name="Normal 3 3 3 2 6 2 2" xfId="16204" xr:uid="{00000000-0005-0000-0000-0000D3840000}"/>
    <cellStyle name="Normal 3 3 3 2 6 2 2 2" xfId="29772" xr:uid="{00000000-0005-0000-0000-0000D4840000}"/>
    <cellStyle name="Normal 3 3 3 2 6 2 2 2 2" xfId="56905" xr:uid="{00000000-0005-0000-0000-0000D5840000}"/>
    <cellStyle name="Normal 3 3 3 2 6 2 2 3" xfId="43343" xr:uid="{00000000-0005-0000-0000-0000D6840000}"/>
    <cellStyle name="Normal 3 3 3 2 6 2 3" xfId="22991" xr:uid="{00000000-0005-0000-0000-0000D7840000}"/>
    <cellStyle name="Normal 3 3 3 2 6 2 3 2" xfId="50124" xr:uid="{00000000-0005-0000-0000-0000D8840000}"/>
    <cellStyle name="Normal 3 3 3 2 6 2 4" xfId="36562" xr:uid="{00000000-0005-0000-0000-0000D9840000}"/>
    <cellStyle name="Normal 3 3 3 2 6 3" xfId="12815" xr:uid="{00000000-0005-0000-0000-0000DA840000}"/>
    <cellStyle name="Normal 3 3 3 2 6 3 2" xfId="26383" xr:uid="{00000000-0005-0000-0000-0000DB840000}"/>
    <cellStyle name="Normal 3 3 3 2 6 3 2 2" xfId="53516" xr:uid="{00000000-0005-0000-0000-0000DC840000}"/>
    <cellStyle name="Normal 3 3 3 2 6 3 3" xfId="39954" xr:uid="{00000000-0005-0000-0000-0000DD840000}"/>
    <cellStyle name="Normal 3 3 3 2 6 4" xfId="19602" xr:uid="{00000000-0005-0000-0000-0000DE840000}"/>
    <cellStyle name="Normal 3 3 3 2 6 4 2" xfId="46735" xr:uid="{00000000-0005-0000-0000-0000DF840000}"/>
    <cellStyle name="Normal 3 3 3 2 6 5" xfId="33173" xr:uid="{00000000-0005-0000-0000-0000E0840000}"/>
    <cellStyle name="Normal 3 3 3 2 7" xfId="7509" xr:uid="{00000000-0005-0000-0000-0000E1840000}"/>
    <cellStyle name="Normal 3 3 3 2 7 2" xfId="14299" xr:uid="{00000000-0005-0000-0000-0000E2840000}"/>
    <cellStyle name="Normal 3 3 3 2 7 2 2" xfId="27867" xr:uid="{00000000-0005-0000-0000-0000E3840000}"/>
    <cellStyle name="Normal 3 3 3 2 7 2 2 2" xfId="55000" xr:uid="{00000000-0005-0000-0000-0000E4840000}"/>
    <cellStyle name="Normal 3 3 3 2 7 2 3" xfId="41438" xr:uid="{00000000-0005-0000-0000-0000E5840000}"/>
    <cellStyle name="Normal 3 3 3 2 7 3" xfId="21086" xr:uid="{00000000-0005-0000-0000-0000E6840000}"/>
    <cellStyle name="Normal 3 3 3 2 7 3 2" xfId="48219" xr:uid="{00000000-0005-0000-0000-0000E7840000}"/>
    <cellStyle name="Normal 3 3 3 2 7 4" xfId="34657" xr:uid="{00000000-0005-0000-0000-0000E8840000}"/>
    <cellStyle name="Normal 3 3 3 2 8" xfId="10910" xr:uid="{00000000-0005-0000-0000-0000E9840000}"/>
    <cellStyle name="Normal 3 3 3 2 8 2" xfId="24478" xr:uid="{00000000-0005-0000-0000-0000EA840000}"/>
    <cellStyle name="Normal 3 3 3 2 8 2 2" xfId="51611" xr:uid="{00000000-0005-0000-0000-0000EB840000}"/>
    <cellStyle name="Normal 3 3 3 2 8 3" xfId="38049" xr:uid="{00000000-0005-0000-0000-0000EC840000}"/>
    <cellStyle name="Normal 3 3 3 2 9" xfId="17697" xr:uid="{00000000-0005-0000-0000-0000ED840000}"/>
    <cellStyle name="Normal 3 3 3 2 9 2" xfId="44830" xr:uid="{00000000-0005-0000-0000-0000EE840000}"/>
    <cellStyle name="Normal 3 3 3 3" xfId="5872" xr:uid="{00000000-0005-0000-0000-0000EF840000}"/>
    <cellStyle name="Normal 3 3 3 3 2" xfId="5873" xr:uid="{00000000-0005-0000-0000-0000F0840000}"/>
    <cellStyle name="Normal 3 3 3 3 2 2" xfId="5874" xr:uid="{00000000-0005-0000-0000-0000F1840000}"/>
    <cellStyle name="Normal 3 3 3 3 2 2 2" xfId="9417" xr:uid="{00000000-0005-0000-0000-0000F2840000}"/>
    <cellStyle name="Normal 3 3 3 3 2 2 2 2" xfId="16207" xr:uid="{00000000-0005-0000-0000-0000F3840000}"/>
    <cellStyle name="Normal 3 3 3 3 2 2 2 2 2" xfId="29775" xr:uid="{00000000-0005-0000-0000-0000F4840000}"/>
    <cellStyle name="Normal 3 3 3 3 2 2 2 2 2 2" xfId="56908" xr:uid="{00000000-0005-0000-0000-0000F5840000}"/>
    <cellStyle name="Normal 3 3 3 3 2 2 2 2 3" xfId="43346" xr:uid="{00000000-0005-0000-0000-0000F6840000}"/>
    <cellStyle name="Normal 3 3 3 3 2 2 2 3" xfId="22994" xr:uid="{00000000-0005-0000-0000-0000F7840000}"/>
    <cellStyle name="Normal 3 3 3 3 2 2 2 3 2" xfId="50127" xr:uid="{00000000-0005-0000-0000-0000F8840000}"/>
    <cellStyle name="Normal 3 3 3 3 2 2 2 4" xfId="36565" xr:uid="{00000000-0005-0000-0000-0000F9840000}"/>
    <cellStyle name="Normal 3 3 3 3 2 2 3" xfId="12818" xr:uid="{00000000-0005-0000-0000-0000FA840000}"/>
    <cellStyle name="Normal 3 3 3 3 2 2 3 2" xfId="26386" xr:uid="{00000000-0005-0000-0000-0000FB840000}"/>
    <cellStyle name="Normal 3 3 3 3 2 2 3 2 2" xfId="53519" xr:uid="{00000000-0005-0000-0000-0000FC840000}"/>
    <cellStyle name="Normal 3 3 3 3 2 2 3 3" xfId="39957" xr:uid="{00000000-0005-0000-0000-0000FD840000}"/>
    <cellStyle name="Normal 3 3 3 3 2 2 4" xfId="19605" xr:uid="{00000000-0005-0000-0000-0000FE840000}"/>
    <cellStyle name="Normal 3 3 3 3 2 2 4 2" xfId="46738" xr:uid="{00000000-0005-0000-0000-0000FF840000}"/>
    <cellStyle name="Normal 3 3 3 3 2 2 5" xfId="33176" xr:uid="{00000000-0005-0000-0000-000000850000}"/>
    <cellStyle name="Normal 3 3 3 3 2 3" xfId="5875" xr:uid="{00000000-0005-0000-0000-000001850000}"/>
    <cellStyle name="Normal 3 3 3 3 2 3 2" xfId="9418" xr:uid="{00000000-0005-0000-0000-000002850000}"/>
    <cellStyle name="Normal 3 3 3 3 2 3 2 2" xfId="16208" xr:uid="{00000000-0005-0000-0000-000003850000}"/>
    <cellStyle name="Normal 3 3 3 3 2 3 2 2 2" xfId="29776" xr:uid="{00000000-0005-0000-0000-000004850000}"/>
    <cellStyle name="Normal 3 3 3 3 2 3 2 2 2 2" xfId="56909" xr:uid="{00000000-0005-0000-0000-000005850000}"/>
    <cellStyle name="Normal 3 3 3 3 2 3 2 2 3" xfId="43347" xr:uid="{00000000-0005-0000-0000-000006850000}"/>
    <cellStyle name="Normal 3 3 3 3 2 3 2 3" xfId="22995" xr:uid="{00000000-0005-0000-0000-000007850000}"/>
    <cellStyle name="Normal 3 3 3 3 2 3 2 3 2" xfId="50128" xr:uid="{00000000-0005-0000-0000-000008850000}"/>
    <cellStyle name="Normal 3 3 3 3 2 3 2 4" xfId="36566" xr:uid="{00000000-0005-0000-0000-000009850000}"/>
    <cellStyle name="Normal 3 3 3 3 2 3 3" xfId="12819" xr:uid="{00000000-0005-0000-0000-00000A850000}"/>
    <cellStyle name="Normal 3 3 3 3 2 3 3 2" xfId="26387" xr:uid="{00000000-0005-0000-0000-00000B850000}"/>
    <cellStyle name="Normal 3 3 3 3 2 3 3 2 2" xfId="53520" xr:uid="{00000000-0005-0000-0000-00000C850000}"/>
    <cellStyle name="Normal 3 3 3 3 2 3 3 3" xfId="39958" xr:uid="{00000000-0005-0000-0000-00000D850000}"/>
    <cellStyle name="Normal 3 3 3 3 2 3 4" xfId="19606" xr:uid="{00000000-0005-0000-0000-00000E850000}"/>
    <cellStyle name="Normal 3 3 3 3 2 3 4 2" xfId="46739" xr:uid="{00000000-0005-0000-0000-00000F850000}"/>
    <cellStyle name="Normal 3 3 3 3 2 3 5" xfId="33177" xr:uid="{00000000-0005-0000-0000-000010850000}"/>
    <cellStyle name="Normal 3 3 3 3 2 4" xfId="9416" xr:uid="{00000000-0005-0000-0000-000011850000}"/>
    <cellStyle name="Normal 3 3 3 3 2 4 2" xfId="16206" xr:uid="{00000000-0005-0000-0000-000012850000}"/>
    <cellStyle name="Normal 3 3 3 3 2 4 2 2" xfId="29774" xr:uid="{00000000-0005-0000-0000-000013850000}"/>
    <cellStyle name="Normal 3 3 3 3 2 4 2 2 2" xfId="56907" xr:uid="{00000000-0005-0000-0000-000014850000}"/>
    <cellStyle name="Normal 3 3 3 3 2 4 2 3" xfId="43345" xr:uid="{00000000-0005-0000-0000-000015850000}"/>
    <cellStyle name="Normal 3 3 3 3 2 4 3" xfId="22993" xr:uid="{00000000-0005-0000-0000-000016850000}"/>
    <cellStyle name="Normal 3 3 3 3 2 4 3 2" xfId="50126" xr:uid="{00000000-0005-0000-0000-000017850000}"/>
    <cellStyle name="Normal 3 3 3 3 2 4 4" xfId="36564" xr:uid="{00000000-0005-0000-0000-000018850000}"/>
    <cellStyle name="Normal 3 3 3 3 2 5" xfId="12817" xr:uid="{00000000-0005-0000-0000-000019850000}"/>
    <cellStyle name="Normal 3 3 3 3 2 5 2" xfId="26385" xr:uid="{00000000-0005-0000-0000-00001A850000}"/>
    <cellStyle name="Normal 3 3 3 3 2 5 2 2" xfId="53518" xr:uid="{00000000-0005-0000-0000-00001B850000}"/>
    <cellStyle name="Normal 3 3 3 3 2 5 3" xfId="39956" xr:uid="{00000000-0005-0000-0000-00001C850000}"/>
    <cellStyle name="Normal 3 3 3 3 2 6" xfId="19604" xr:uid="{00000000-0005-0000-0000-00001D850000}"/>
    <cellStyle name="Normal 3 3 3 3 2 6 2" xfId="46737" xr:uid="{00000000-0005-0000-0000-00001E850000}"/>
    <cellStyle name="Normal 3 3 3 3 2 7" xfId="33175" xr:uid="{00000000-0005-0000-0000-00001F850000}"/>
    <cellStyle name="Normal 3 3 3 3 3" xfId="5876" xr:uid="{00000000-0005-0000-0000-000020850000}"/>
    <cellStyle name="Normal 3 3 3 3 3 2" xfId="5877" xr:uid="{00000000-0005-0000-0000-000021850000}"/>
    <cellStyle name="Normal 3 3 3 3 3 2 2" xfId="9420" xr:uid="{00000000-0005-0000-0000-000022850000}"/>
    <cellStyle name="Normal 3 3 3 3 3 2 2 2" xfId="16210" xr:uid="{00000000-0005-0000-0000-000023850000}"/>
    <cellStyle name="Normal 3 3 3 3 3 2 2 2 2" xfId="29778" xr:uid="{00000000-0005-0000-0000-000024850000}"/>
    <cellStyle name="Normal 3 3 3 3 3 2 2 2 2 2" xfId="56911" xr:uid="{00000000-0005-0000-0000-000025850000}"/>
    <cellStyle name="Normal 3 3 3 3 3 2 2 2 3" xfId="43349" xr:uid="{00000000-0005-0000-0000-000026850000}"/>
    <cellStyle name="Normal 3 3 3 3 3 2 2 3" xfId="22997" xr:uid="{00000000-0005-0000-0000-000027850000}"/>
    <cellStyle name="Normal 3 3 3 3 3 2 2 3 2" xfId="50130" xr:uid="{00000000-0005-0000-0000-000028850000}"/>
    <cellStyle name="Normal 3 3 3 3 3 2 2 4" xfId="36568" xr:uid="{00000000-0005-0000-0000-000029850000}"/>
    <cellStyle name="Normal 3 3 3 3 3 2 3" xfId="12821" xr:uid="{00000000-0005-0000-0000-00002A850000}"/>
    <cellStyle name="Normal 3 3 3 3 3 2 3 2" xfId="26389" xr:uid="{00000000-0005-0000-0000-00002B850000}"/>
    <cellStyle name="Normal 3 3 3 3 3 2 3 2 2" xfId="53522" xr:uid="{00000000-0005-0000-0000-00002C850000}"/>
    <cellStyle name="Normal 3 3 3 3 3 2 3 3" xfId="39960" xr:uid="{00000000-0005-0000-0000-00002D850000}"/>
    <cellStyle name="Normal 3 3 3 3 3 2 4" xfId="19608" xr:uid="{00000000-0005-0000-0000-00002E850000}"/>
    <cellStyle name="Normal 3 3 3 3 3 2 4 2" xfId="46741" xr:uid="{00000000-0005-0000-0000-00002F850000}"/>
    <cellStyle name="Normal 3 3 3 3 3 2 5" xfId="33179" xr:uid="{00000000-0005-0000-0000-000030850000}"/>
    <cellStyle name="Normal 3 3 3 3 3 3" xfId="9419" xr:uid="{00000000-0005-0000-0000-000031850000}"/>
    <cellStyle name="Normal 3 3 3 3 3 3 2" xfId="16209" xr:uid="{00000000-0005-0000-0000-000032850000}"/>
    <cellStyle name="Normal 3 3 3 3 3 3 2 2" xfId="29777" xr:uid="{00000000-0005-0000-0000-000033850000}"/>
    <cellStyle name="Normal 3 3 3 3 3 3 2 2 2" xfId="56910" xr:uid="{00000000-0005-0000-0000-000034850000}"/>
    <cellStyle name="Normal 3 3 3 3 3 3 2 3" xfId="43348" xr:uid="{00000000-0005-0000-0000-000035850000}"/>
    <cellStyle name="Normal 3 3 3 3 3 3 3" xfId="22996" xr:uid="{00000000-0005-0000-0000-000036850000}"/>
    <cellStyle name="Normal 3 3 3 3 3 3 3 2" xfId="50129" xr:uid="{00000000-0005-0000-0000-000037850000}"/>
    <cellStyle name="Normal 3 3 3 3 3 3 4" xfId="36567" xr:uid="{00000000-0005-0000-0000-000038850000}"/>
    <cellStyle name="Normal 3 3 3 3 3 4" xfId="12820" xr:uid="{00000000-0005-0000-0000-000039850000}"/>
    <cellStyle name="Normal 3 3 3 3 3 4 2" xfId="26388" xr:uid="{00000000-0005-0000-0000-00003A850000}"/>
    <cellStyle name="Normal 3 3 3 3 3 4 2 2" xfId="53521" xr:uid="{00000000-0005-0000-0000-00003B850000}"/>
    <cellStyle name="Normal 3 3 3 3 3 4 3" xfId="39959" xr:uid="{00000000-0005-0000-0000-00003C850000}"/>
    <cellStyle name="Normal 3 3 3 3 3 5" xfId="19607" xr:uid="{00000000-0005-0000-0000-00003D850000}"/>
    <cellStyle name="Normal 3 3 3 3 3 5 2" xfId="46740" xr:uid="{00000000-0005-0000-0000-00003E850000}"/>
    <cellStyle name="Normal 3 3 3 3 3 6" xfId="33178" xr:uid="{00000000-0005-0000-0000-00003F850000}"/>
    <cellStyle name="Normal 3 3 3 3 4" xfId="5878" xr:uid="{00000000-0005-0000-0000-000040850000}"/>
    <cellStyle name="Normal 3 3 3 3 4 2" xfId="9421" xr:uid="{00000000-0005-0000-0000-000041850000}"/>
    <cellStyle name="Normal 3 3 3 3 4 2 2" xfId="16211" xr:uid="{00000000-0005-0000-0000-000042850000}"/>
    <cellStyle name="Normal 3 3 3 3 4 2 2 2" xfId="29779" xr:uid="{00000000-0005-0000-0000-000043850000}"/>
    <cellStyle name="Normal 3 3 3 3 4 2 2 2 2" xfId="56912" xr:uid="{00000000-0005-0000-0000-000044850000}"/>
    <cellStyle name="Normal 3 3 3 3 4 2 2 3" xfId="43350" xr:uid="{00000000-0005-0000-0000-000045850000}"/>
    <cellStyle name="Normal 3 3 3 3 4 2 3" xfId="22998" xr:uid="{00000000-0005-0000-0000-000046850000}"/>
    <cellStyle name="Normal 3 3 3 3 4 2 3 2" xfId="50131" xr:uid="{00000000-0005-0000-0000-000047850000}"/>
    <cellStyle name="Normal 3 3 3 3 4 2 4" xfId="36569" xr:uid="{00000000-0005-0000-0000-000048850000}"/>
    <cellStyle name="Normal 3 3 3 3 4 3" xfId="12822" xr:uid="{00000000-0005-0000-0000-000049850000}"/>
    <cellStyle name="Normal 3 3 3 3 4 3 2" xfId="26390" xr:uid="{00000000-0005-0000-0000-00004A850000}"/>
    <cellStyle name="Normal 3 3 3 3 4 3 2 2" xfId="53523" xr:uid="{00000000-0005-0000-0000-00004B850000}"/>
    <cellStyle name="Normal 3 3 3 3 4 3 3" xfId="39961" xr:uid="{00000000-0005-0000-0000-00004C850000}"/>
    <cellStyle name="Normal 3 3 3 3 4 4" xfId="19609" xr:uid="{00000000-0005-0000-0000-00004D850000}"/>
    <cellStyle name="Normal 3 3 3 3 4 4 2" xfId="46742" xr:uid="{00000000-0005-0000-0000-00004E850000}"/>
    <cellStyle name="Normal 3 3 3 3 4 5" xfId="33180" xr:uid="{00000000-0005-0000-0000-00004F850000}"/>
    <cellStyle name="Normal 3 3 3 3 5" xfId="5879" xr:uid="{00000000-0005-0000-0000-000050850000}"/>
    <cellStyle name="Normal 3 3 3 3 5 2" xfId="9422" xr:uid="{00000000-0005-0000-0000-000051850000}"/>
    <cellStyle name="Normal 3 3 3 3 5 2 2" xfId="16212" xr:uid="{00000000-0005-0000-0000-000052850000}"/>
    <cellStyle name="Normal 3 3 3 3 5 2 2 2" xfId="29780" xr:uid="{00000000-0005-0000-0000-000053850000}"/>
    <cellStyle name="Normal 3 3 3 3 5 2 2 2 2" xfId="56913" xr:uid="{00000000-0005-0000-0000-000054850000}"/>
    <cellStyle name="Normal 3 3 3 3 5 2 2 3" xfId="43351" xr:uid="{00000000-0005-0000-0000-000055850000}"/>
    <cellStyle name="Normal 3 3 3 3 5 2 3" xfId="22999" xr:uid="{00000000-0005-0000-0000-000056850000}"/>
    <cellStyle name="Normal 3 3 3 3 5 2 3 2" xfId="50132" xr:uid="{00000000-0005-0000-0000-000057850000}"/>
    <cellStyle name="Normal 3 3 3 3 5 2 4" xfId="36570" xr:uid="{00000000-0005-0000-0000-000058850000}"/>
    <cellStyle name="Normal 3 3 3 3 5 3" xfId="12823" xr:uid="{00000000-0005-0000-0000-000059850000}"/>
    <cellStyle name="Normal 3 3 3 3 5 3 2" xfId="26391" xr:uid="{00000000-0005-0000-0000-00005A850000}"/>
    <cellStyle name="Normal 3 3 3 3 5 3 2 2" xfId="53524" xr:uid="{00000000-0005-0000-0000-00005B850000}"/>
    <cellStyle name="Normal 3 3 3 3 5 3 3" xfId="39962" xr:uid="{00000000-0005-0000-0000-00005C850000}"/>
    <cellStyle name="Normal 3 3 3 3 5 4" xfId="19610" xr:uid="{00000000-0005-0000-0000-00005D850000}"/>
    <cellStyle name="Normal 3 3 3 3 5 4 2" xfId="46743" xr:uid="{00000000-0005-0000-0000-00005E850000}"/>
    <cellStyle name="Normal 3 3 3 3 5 5" xfId="33181" xr:uid="{00000000-0005-0000-0000-00005F850000}"/>
    <cellStyle name="Normal 3 3 3 3 6" xfId="9415" xr:uid="{00000000-0005-0000-0000-000060850000}"/>
    <cellStyle name="Normal 3 3 3 3 6 2" xfId="16205" xr:uid="{00000000-0005-0000-0000-000061850000}"/>
    <cellStyle name="Normal 3 3 3 3 6 2 2" xfId="29773" xr:uid="{00000000-0005-0000-0000-000062850000}"/>
    <cellStyle name="Normal 3 3 3 3 6 2 2 2" xfId="56906" xr:uid="{00000000-0005-0000-0000-000063850000}"/>
    <cellStyle name="Normal 3 3 3 3 6 2 3" xfId="43344" xr:uid="{00000000-0005-0000-0000-000064850000}"/>
    <cellStyle name="Normal 3 3 3 3 6 3" xfId="22992" xr:uid="{00000000-0005-0000-0000-000065850000}"/>
    <cellStyle name="Normal 3 3 3 3 6 3 2" xfId="50125" xr:uid="{00000000-0005-0000-0000-000066850000}"/>
    <cellStyle name="Normal 3 3 3 3 6 4" xfId="36563" xr:uid="{00000000-0005-0000-0000-000067850000}"/>
    <cellStyle name="Normal 3 3 3 3 7" xfId="12816" xr:uid="{00000000-0005-0000-0000-000068850000}"/>
    <cellStyle name="Normal 3 3 3 3 7 2" xfId="26384" xr:uid="{00000000-0005-0000-0000-000069850000}"/>
    <cellStyle name="Normal 3 3 3 3 7 2 2" xfId="53517" xr:uid="{00000000-0005-0000-0000-00006A850000}"/>
    <cellStyle name="Normal 3 3 3 3 7 3" xfId="39955" xr:uid="{00000000-0005-0000-0000-00006B850000}"/>
    <cellStyle name="Normal 3 3 3 3 8" xfId="19603" xr:uid="{00000000-0005-0000-0000-00006C850000}"/>
    <cellStyle name="Normal 3 3 3 3 8 2" xfId="46736" xr:uid="{00000000-0005-0000-0000-00006D850000}"/>
    <cellStyle name="Normal 3 3 3 3 9" xfId="33174" xr:uid="{00000000-0005-0000-0000-00006E850000}"/>
    <cellStyle name="Normal 3 3 3 4" xfId="5880" xr:uid="{00000000-0005-0000-0000-00006F850000}"/>
    <cellStyle name="Normal 3 3 3 4 2" xfId="5881" xr:uid="{00000000-0005-0000-0000-000070850000}"/>
    <cellStyle name="Normal 3 3 3 4 2 2" xfId="5882" xr:uid="{00000000-0005-0000-0000-000071850000}"/>
    <cellStyle name="Normal 3 3 3 4 2 2 2" xfId="9425" xr:uid="{00000000-0005-0000-0000-000072850000}"/>
    <cellStyle name="Normal 3 3 3 4 2 2 2 2" xfId="16215" xr:uid="{00000000-0005-0000-0000-000073850000}"/>
    <cellStyle name="Normal 3 3 3 4 2 2 2 2 2" xfId="29783" xr:uid="{00000000-0005-0000-0000-000074850000}"/>
    <cellStyle name="Normal 3 3 3 4 2 2 2 2 2 2" xfId="56916" xr:uid="{00000000-0005-0000-0000-000075850000}"/>
    <cellStyle name="Normal 3 3 3 4 2 2 2 2 3" xfId="43354" xr:uid="{00000000-0005-0000-0000-000076850000}"/>
    <cellStyle name="Normal 3 3 3 4 2 2 2 3" xfId="23002" xr:uid="{00000000-0005-0000-0000-000077850000}"/>
    <cellStyle name="Normal 3 3 3 4 2 2 2 3 2" xfId="50135" xr:uid="{00000000-0005-0000-0000-000078850000}"/>
    <cellStyle name="Normal 3 3 3 4 2 2 2 4" xfId="36573" xr:uid="{00000000-0005-0000-0000-000079850000}"/>
    <cellStyle name="Normal 3 3 3 4 2 2 3" xfId="12826" xr:uid="{00000000-0005-0000-0000-00007A850000}"/>
    <cellStyle name="Normal 3 3 3 4 2 2 3 2" xfId="26394" xr:uid="{00000000-0005-0000-0000-00007B850000}"/>
    <cellStyle name="Normal 3 3 3 4 2 2 3 2 2" xfId="53527" xr:uid="{00000000-0005-0000-0000-00007C850000}"/>
    <cellStyle name="Normal 3 3 3 4 2 2 3 3" xfId="39965" xr:uid="{00000000-0005-0000-0000-00007D850000}"/>
    <cellStyle name="Normal 3 3 3 4 2 2 4" xfId="19613" xr:uid="{00000000-0005-0000-0000-00007E850000}"/>
    <cellStyle name="Normal 3 3 3 4 2 2 4 2" xfId="46746" xr:uid="{00000000-0005-0000-0000-00007F850000}"/>
    <cellStyle name="Normal 3 3 3 4 2 2 5" xfId="33184" xr:uid="{00000000-0005-0000-0000-000080850000}"/>
    <cellStyle name="Normal 3 3 3 4 2 3" xfId="5883" xr:uid="{00000000-0005-0000-0000-000081850000}"/>
    <cellStyle name="Normal 3 3 3 4 2 3 2" xfId="9426" xr:uid="{00000000-0005-0000-0000-000082850000}"/>
    <cellStyle name="Normal 3 3 3 4 2 3 2 2" xfId="16216" xr:uid="{00000000-0005-0000-0000-000083850000}"/>
    <cellStyle name="Normal 3 3 3 4 2 3 2 2 2" xfId="29784" xr:uid="{00000000-0005-0000-0000-000084850000}"/>
    <cellStyle name="Normal 3 3 3 4 2 3 2 2 2 2" xfId="56917" xr:uid="{00000000-0005-0000-0000-000085850000}"/>
    <cellStyle name="Normal 3 3 3 4 2 3 2 2 3" xfId="43355" xr:uid="{00000000-0005-0000-0000-000086850000}"/>
    <cellStyle name="Normal 3 3 3 4 2 3 2 3" xfId="23003" xr:uid="{00000000-0005-0000-0000-000087850000}"/>
    <cellStyle name="Normal 3 3 3 4 2 3 2 3 2" xfId="50136" xr:uid="{00000000-0005-0000-0000-000088850000}"/>
    <cellStyle name="Normal 3 3 3 4 2 3 2 4" xfId="36574" xr:uid="{00000000-0005-0000-0000-000089850000}"/>
    <cellStyle name="Normal 3 3 3 4 2 3 3" xfId="12827" xr:uid="{00000000-0005-0000-0000-00008A850000}"/>
    <cellStyle name="Normal 3 3 3 4 2 3 3 2" xfId="26395" xr:uid="{00000000-0005-0000-0000-00008B850000}"/>
    <cellStyle name="Normal 3 3 3 4 2 3 3 2 2" xfId="53528" xr:uid="{00000000-0005-0000-0000-00008C850000}"/>
    <cellStyle name="Normal 3 3 3 4 2 3 3 3" xfId="39966" xr:uid="{00000000-0005-0000-0000-00008D850000}"/>
    <cellStyle name="Normal 3 3 3 4 2 3 4" xfId="19614" xr:uid="{00000000-0005-0000-0000-00008E850000}"/>
    <cellStyle name="Normal 3 3 3 4 2 3 4 2" xfId="46747" xr:uid="{00000000-0005-0000-0000-00008F850000}"/>
    <cellStyle name="Normal 3 3 3 4 2 3 5" xfId="33185" xr:uid="{00000000-0005-0000-0000-000090850000}"/>
    <cellStyle name="Normal 3 3 3 4 2 4" xfId="9424" xr:uid="{00000000-0005-0000-0000-000091850000}"/>
    <cellStyle name="Normal 3 3 3 4 2 4 2" xfId="16214" xr:uid="{00000000-0005-0000-0000-000092850000}"/>
    <cellStyle name="Normal 3 3 3 4 2 4 2 2" xfId="29782" xr:uid="{00000000-0005-0000-0000-000093850000}"/>
    <cellStyle name="Normal 3 3 3 4 2 4 2 2 2" xfId="56915" xr:uid="{00000000-0005-0000-0000-000094850000}"/>
    <cellStyle name="Normal 3 3 3 4 2 4 2 3" xfId="43353" xr:uid="{00000000-0005-0000-0000-000095850000}"/>
    <cellStyle name="Normal 3 3 3 4 2 4 3" xfId="23001" xr:uid="{00000000-0005-0000-0000-000096850000}"/>
    <cellStyle name="Normal 3 3 3 4 2 4 3 2" xfId="50134" xr:uid="{00000000-0005-0000-0000-000097850000}"/>
    <cellStyle name="Normal 3 3 3 4 2 4 4" xfId="36572" xr:uid="{00000000-0005-0000-0000-000098850000}"/>
    <cellStyle name="Normal 3 3 3 4 2 5" xfId="12825" xr:uid="{00000000-0005-0000-0000-000099850000}"/>
    <cellStyle name="Normal 3 3 3 4 2 5 2" xfId="26393" xr:uid="{00000000-0005-0000-0000-00009A850000}"/>
    <cellStyle name="Normal 3 3 3 4 2 5 2 2" xfId="53526" xr:uid="{00000000-0005-0000-0000-00009B850000}"/>
    <cellStyle name="Normal 3 3 3 4 2 5 3" xfId="39964" xr:uid="{00000000-0005-0000-0000-00009C850000}"/>
    <cellStyle name="Normal 3 3 3 4 2 6" xfId="19612" xr:uid="{00000000-0005-0000-0000-00009D850000}"/>
    <cellStyle name="Normal 3 3 3 4 2 6 2" xfId="46745" xr:uid="{00000000-0005-0000-0000-00009E850000}"/>
    <cellStyle name="Normal 3 3 3 4 2 7" xfId="33183" xr:uid="{00000000-0005-0000-0000-00009F850000}"/>
    <cellStyle name="Normal 3 3 3 4 3" xfId="5884" xr:uid="{00000000-0005-0000-0000-0000A0850000}"/>
    <cellStyle name="Normal 3 3 3 4 3 2" xfId="9427" xr:uid="{00000000-0005-0000-0000-0000A1850000}"/>
    <cellStyle name="Normal 3 3 3 4 3 2 2" xfId="16217" xr:uid="{00000000-0005-0000-0000-0000A2850000}"/>
    <cellStyle name="Normal 3 3 3 4 3 2 2 2" xfId="29785" xr:uid="{00000000-0005-0000-0000-0000A3850000}"/>
    <cellStyle name="Normal 3 3 3 4 3 2 2 2 2" xfId="56918" xr:uid="{00000000-0005-0000-0000-0000A4850000}"/>
    <cellStyle name="Normal 3 3 3 4 3 2 2 3" xfId="43356" xr:uid="{00000000-0005-0000-0000-0000A5850000}"/>
    <cellStyle name="Normal 3 3 3 4 3 2 3" xfId="23004" xr:uid="{00000000-0005-0000-0000-0000A6850000}"/>
    <cellStyle name="Normal 3 3 3 4 3 2 3 2" xfId="50137" xr:uid="{00000000-0005-0000-0000-0000A7850000}"/>
    <cellStyle name="Normal 3 3 3 4 3 2 4" xfId="36575" xr:uid="{00000000-0005-0000-0000-0000A8850000}"/>
    <cellStyle name="Normal 3 3 3 4 3 3" xfId="12828" xr:uid="{00000000-0005-0000-0000-0000A9850000}"/>
    <cellStyle name="Normal 3 3 3 4 3 3 2" xfId="26396" xr:uid="{00000000-0005-0000-0000-0000AA850000}"/>
    <cellStyle name="Normal 3 3 3 4 3 3 2 2" xfId="53529" xr:uid="{00000000-0005-0000-0000-0000AB850000}"/>
    <cellStyle name="Normal 3 3 3 4 3 3 3" xfId="39967" xr:uid="{00000000-0005-0000-0000-0000AC850000}"/>
    <cellStyle name="Normal 3 3 3 4 3 4" xfId="19615" xr:uid="{00000000-0005-0000-0000-0000AD850000}"/>
    <cellStyle name="Normal 3 3 3 4 3 4 2" xfId="46748" xr:uid="{00000000-0005-0000-0000-0000AE850000}"/>
    <cellStyle name="Normal 3 3 3 4 3 5" xfId="33186" xr:uid="{00000000-0005-0000-0000-0000AF850000}"/>
    <cellStyle name="Normal 3 3 3 4 4" xfId="5885" xr:uid="{00000000-0005-0000-0000-0000B0850000}"/>
    <cellStyle name="Normal 3 3 3 4 4 2" xfId="9428" xr:uid="{00000000-0005-0000-0000-0000B1850000}"/>
    <cellStyle name="Normal 3 3 3 4 4 2 2" xfId="16218" xr:uid="{00000000-0005-0000-0000-0000B2850000}"/>
    <cellStyle name="Normal 3 3 3 4 4 2 2 2" xfId="29786" xr:uid="{00000000-0005-0000-0000-0000B3850000}"/>
    <cellStyle name="Normal 3 3 3 4 4 2 2 2 2" xfId="56919" xr:uid="{00000000-0005-0000-0000-0000B4850000}"/>
    <cellStyle name="Normal 3 3 3 4 4 2 2 3" xfId="43357" xr:uid="{00000000-0005-0000-0000-0000B5850000}"/>
    <cellStyle name="Normal 3 3 3 4 4 2 3" xfId="23005" xr:uid="{00000000-0005-0000-0000-0000B6850000}"/>
    <cellStyle name="Normal 3 3 3 4 4 2 3 2" xfId="50138" xr:uid="{00000000-0005-0000-0000-0000B7850000}"/>
    <cellStyle name="Normal 3 3 3 4 4 2 4" xfId="36576" xr:uid="{00000000-0005-0000-0000-0000B8850000}"/>
    <cellStyle name="Normal 3 3 3 4 4 3" xfId="12829" xr:uid="{00000000-0005-0000-0000-0000B9850000}"/>
    <cellStyle name="Normal 3 3 3 4 4 3 2" xfId="26397" xr:uid="{00000000-0005-0000-0000-0000BA850000}"/>
    <cellStyle name="Normal 3 3 3 4 4 3 2 2" xfId="53530" xr:uid="{00000000-0005-0000-0000-0000BB850000}"/>
    <cellStyle name="Normal 3 3 3 4 4 3 3" xfId="39968" xr:uid="{00000000-0005-0000-0000-0000BC850000}"/>
    <cellStyle name="Normal 3 3 3 4 4 4" xfId="19616" xr:uid="{00000000-0005-0000-0000-0000BD850000}"/>
    <cellStyle name="Normal 3 3 3 4 4 4 2" xfId="46749" xr:uid="{00000000-0005-0000-0000-0000BE850000}"/>
    <cellStyle name="Normal 3 3 3 4 4 5" xfId="33187" xr:uid="{00000000-0005-0000-0000-0000BF850000}"/>
    <cellStyle name="Normal 3 3 3 4 5" xfId="9423" xr:uid="{00000000-0005-0000-0000-0000C0850000}"/>
    <cellStyle name="Normal 3 3 3 4 5 2" xfId="16213" xr:uid="{00000000-0005-0000-0000-0000C1850000}"/>
    <cellStyle name="Normal 3 3 3 4 5 2 2" xfId="29781" xr:uid="{00000000-0005-0000-0000-0000C2850000}"/>
    <cellStyle name="Normal 3 3 3 4 5 2 2 2" xfId="56914" xr:uid="{00000000-0005-0000-0000-0000C3850000}"/>
    <cellStyle name="Normal 3 3 3 4 5 2 3" xfId="43352" xr:uid="{00000000-0005-0000-0000-0000C4850000}"/>
    <cellStyle name="Normal 3 3 3 4 5 3" xfId="23000" xr:uid="{00000000-0005-0000-0000-0000C5850000}"/>
    <cellStyle name="Normal 3 3 3 4 5 3 2" xfId="50133" xr:uid="{00000000-0005-0000-0000-0000C6850000}"/>
    <cellStyle name="Normal 3 3 3 4 5 4" xfId="36571" xr:uid="{00000000-0005-0000-0000-0000C7850000}"/>
    <cellStyle name="Normal 3 3 3 4 6" xfId="12824" xr:uid="{00000000-0005-0000-0000-0000C8850000}"/>
    <cellStyle name="Normal 3 3 3 4 6 2" xfId="26392" xr:uid="{00000000-0005-0000-0000-0000C9850000}"/>
    <cellStyle name="Normal 3 3 3 4 6 2 2" xfId="53525" xr:uid="{00000000-0005-0000-0000-0000CA850000}"/>
    <cellStyle name="Normal 3 3 3 4 6 3" xfId="39963" xr:uid="{00000000-0005-0000-0000-0000CB850000}"/>
    <cellStyle name="Normal 3 3 3 4 7" xfId="19611" xr:uid="{00000000-0005-0000-0000-0000CC850000}"/>
    <cellStyle name="Normal 3 3 3 4 7 2" xfId="46744" xr:uid="{00000000-0005-0000-0000-0000CD850000}"/>
    <cellStyle name="Normal 3 3 3 4 8" xfId="33182" xr:uid="{00000000-0005-0000-0000-0000CE850000}"/>
    <cellStyle name="Normal 3 3 3 5" xfId="5886" xr:uid="{00000000-0005-0000-0000-0000CF850000}"/>
    <cellStyle name="Normal 3 3 3 5 2" xfId="5887" xr:uid="{00000000-0005-0000-0000-0000D0850000}"/>
    <cellStyle name="Normal 3 3 3 5 2 2" xfId="5888" xr:uid="{00000000-0005-0000-0000-0000D1850000}"/>
    <cellStyle name="Normal 3 3 3 5 2 2 2" xfId="9431" xr:uid="{00000000-0005-0000-0000-0000D2850000}"/>
    <cellStyle name="Normal 3 3 3 5 2 2 2 2" xfId="16221" xr:uid="{00000000-0005-0000-0000-0000D3850000}"/>
    <cellStyle name="Normal 3 3 3 5 2 2 2 2 2" xfId="29789" xr:uid="{00000000-0005-0000-0000-0000D4850000}"/>
    <cellStyle name="Normal 3 3 3 5 2 2 2 2 2 2" xfId="56922" xr:uid="{00000000-0005-0000-0000-0000D5850000}"/>
    <cellStyle name="Normal 3 3 3 5 2 2 2 2 3" xfId="43360" xr:uid="{00000000-0005-0000-0000-0000D6850000}"/>
    <cellStyle name="Normal 3 3 3 5 2 2 2 3" xfId="23008" xr:uid="{00000000-0005-0000-0000-0000D7850000}"/>
    <cellStyle name="Normal 3 3 3 5 2 2 2 3 2" xfId="50141" xr:uid="{00000000-0005-0000-0000-0000D8850000}"/>
    <cellStyle name="Normal 3 3 3 5 2 2 2 4" xfId="36579" xr:uid="{00000000-0005-0000-0000-0000D9850000}"/>
    <cellStyle name="Normal 3 3 3 5 2 2 3" xfId="12832" xr:uid="{00000000-0005-0000-0000-0000DA850000}"/>
    <cellStyle name="Normal 3 3 3 5 2 2 3 2" xfId="26400" xr:uid="{00000000-0005-0000-0000-0000DB850000}"/>
    <cellStyle name="Normal 3 3 3 5 2 2 3 2 2" xfId="53533" xr:uid="{00000000-0005-0000-0000-0000DC850000}"/>
    <cellStyle name="Normal 3 3 3 5 2 2 3 3" xfId="39971" xr:uid="{00000000-0005-0000-0000-0000DD850000}"/>
    <cellStyle name="Normal 3 3 3 5 2 2 4" xfId="19619" xr:uid="{00000000-0005-0000-0000-0000DE850000}"/>
    <cellStyle name="Normal 3 3 3 5 2 2 4 2" xfId="46752" xr:uid="{00000000-0005-0000-0000-0000DF850000}"/>
    <cellStyle name="Normal 3 3 3 5 2 2 5" xfId="33190" xr:uid="{00000000-0005-0000-0000-0000E0850000}"/>
    <cellStyle name="Normal 3 3 3 5 2 3" xfId="5889" xr:uid="{00000000-0005-0000-0000-0000E1850000}"/>
    <cellStyle name="Normal 3 3 3 5 2 3 2" xfId="9432" xr:uid="{00000000-0005-0000-0000-0000E2850000}"/>
    <cellStyle name="Normal 3 3 3 5 2 3 2 2" xfId="16222" xr:uid="{00000000-0005-0000-0000-0000E3850000}"/>
    <cellStyle name="Normal 3 3 3 5 2 3 2 2 2" xfId="29790" xr:uid="{00000000-0005-0000-0000-0000E4850000}"/>
    <cellStyle name="Normal 3 3 3 5 2 3 2 2 2 2" xfId="56923" xr:uid="{00000000-0005-0000-0000-0000E5850000}"/>
    <cellStyle name="Normal 3 3 3 5 2 3 2 2 3" xfId="43361" xr:uid="{00000000-0005-0000-0000-0000E6850000}"/>
    <cellStyle name="Normal 3 3 3 5 2 3 2 3" xfId="23009" xr:uid="{00000000-0005-0000-0000-0000E7850000}"/>
    <cellStyle name="Normal 3 3 3 5 2 3 2 3 2" xfId="50142" xr:uid="{00000000-0005-0000-0000-0000E8850000}"/>
    <cellStyle name="Normal 3 3 3 5 2 3 2 4" xfId="36580" xr:uid="{00000000-0005-0000-0000-0000E9850000}"/>
    <cellStyle name="Normal 3 3 3 5 2 3 3" xfId="12833" xr:uid="{00000000-0005-0000-0000-0000EA850000}"/>
    <cellStyle name="Normal 3 3 3 5 2 3 3 2" xfId="26401" xr:uid="{00000000-0005-0000-0000-0000EB850000}"/>
    <cellStyle name="Normal 3 3 3 5 2 3 3 2 2" xfId="53534" xr:uid="{00000000-0005-0000-0000-0000EC850000}"/>
    <cellStyle name="Normal 3 3 3 5 2 3 3 3" xfId="39972" xr:uid="{00000000-0005-0000-0000-0000ED850000}"/>
    <cellStyle name="Normal 3 3 3 5 2 3 4" xfId="19620" xr:uid="{00000000-0005-0000-0000-0000EE850000}"/>
    <cellStyle name="Normal 3 3 3 5 2 3 4 2" xfId="46753" xr:uid="{00000000-0005-0000-0000-0000EF850000}"/>
    <cellStyle name="Normal 3 3 3 5 2 3 5" xfId="33191" xr:uid="{00000000-0005-0000-0000-0000F0850000}"/>
    <cellStyle name="Normal 3 3 3 5 2 4" xfId="9430" xr:uid="{00000000-0005-0000-0000-0000F1850000}"/>
    <cellStyle name="Normal 3 3 3 5 2 4 2" xfId="16220" xr:uid="{00000000-0005-0000-0000-0000F2850000}"/>
    <cellStyle name="Normal 3 3 3 5 2 4 2 2" xfId="29788" xr:uid="{00000000-0005-0000-0000-0000F3850000}"/>
    <cellStyle name="Normal 3 3 3 5 2 4 2 2 2" xfId="56921" xr:uid="{00000000-0005-0000-0000-0000F4850000}"/>
    <cellStyle name="Normal 3 3 3 5 2 4 2 3" xfId="43359" xr:uid="{00000000-0005-0000-0000-0000F5850000}"/>
    <cellStyle name="Normal 3 3 3 5 2 4 3" xfId="23007" xr:uid="{00000000-0005-0000-0000-0000F6850000}"/>
    <cellStyle name="Normal 3 3 3 5 2 4 3 2" xfId="50140" xr:uid="{00000000-0005-0000-0000-0000F7850000}"/>
    <cellStyle name="Normal 3 3 3 5 2 4 4" xfId="36578" xr:uid="{00000000-0005-0000-0000-0000F8850000}"/>
    <cellStyle name="Normal 3 3 3 5 2 5" xfId="12831" xr:uid="{00000000-0005-0000-0000-0000F9850000}"/>
    <cellStyle name="Normal 3 3 3 5 2 5 2" xfId="26399" xr:uid="{00000000-0005-0000-0000-0000FA850000}"/>
    <cellStyle name="Normal 3 3 3 5 2 5 2 2" xfId="53532" xr:uid="{00000000-0005-0000-0000-0000FB850000}"/>
    <cellStyle name="Normal 3 3 3 5 2 5 3" xfId="39970" xr:uid="{00000000-0005-0000-0000-0000FC850000}"/>
    <cellStyle name="Normal 3 3 3 5 2 6" xfId="19618" xr:uid="{00000000-0005-0000-0000-0000FD850000}"/>
    <cellStyle name="Normal 3 3 3 5 2 6 2" xfId="46751" xr:uid="{00000000-0005-0000-0000-0000FE850000}"/>
    <cellStyle name="Normal 3 3 3 5 2 7" xfId="33189" xr:uid="{00000000-0005-0000-0000-0000FF850000}"/>
    <cellStyle name="Normal 3 3 3 5 3" xfId="5890" xr:uid="{00000000-0005-0000-0000-000000860000}"/>
    <cellStyle name="Normal 3 3 3 5 3 2" xfId="9433" xr:uid="{00000000-0005-0000-0000-000001860000}"/>
    <cellStyle name="Normal 3 3 3 5 3 2 2" xfId="16223" xr:uid="{00000000-0005-0000-0000-000002860000}"/>
    <cellStyle name="Normal 3 3 3 5 3 2 2 2" xfId="29791" xr:uid="{00000000-0005-0000-0000-000003860000}"/>
    <cellStyle name="Normal 3 3 3 5 3 2 2 2 2" xfId="56924" xr:uid="{00000000-0005-0000-0000-000004860000}"/>
    <cellStyle name="Normal 3 3 3 5 3 2 2 3" xfId="43362" xr:uid="{00000000-0005-0000-0000-000005860000}"/>
    <cellStyle name="Normal 3 3 3 5 3 2 3" xfId="23010" xr:uid="{00000000-0005-0000-0000-000006860000}"/>
    <cellStyle name="Normal 3 3 3 5 3 2 3 2" xfId="50143" xr:uid="{00000000-0005-0000-0000-000007860000}"/>
    <cellStyle name="Normal 3 3 3 5 3 2 4" xfId="36581" xr:uid="{00000000-0005-0000-0000-000008860000}"/>
    <cellStyle name="Normal 3 3 3 5 3 3" xfId="12834" xr:uid="{00000000-0005-0000-0000-000009860000}"/>
    <cellStyle name="Normal 3 3 3 5 3 3 2" xfId="26402" xr:uid="{00000000-0005-0000-0000-00000A860000}"/>
    <cellStyle name="Normal 3 3 3 5 3 3 2 2" xfId="53535" xr:uid="{00000000-0005-0000-0000-00000B860000}"/>
    <cellStyle name="Normal 3 3 3 5 3 3 3" xfId="39973" xr:uid="{00000000-0005-0000-0000-00000C860000}"/>
    <cellStyle name="Normal 3 3 3 5 3 4" xfId="19621" xr:uid="{00000000-0005-0000-0000-00000D860000}"/>
    <cellStyle name="Normal 3 3 3 5 3 4 2" xfId="46754" xr:uid="{00000000-0005-0000-0000-00000E860000}"/>
    <cellStyle name="Normal 3 3 3 5 3 5" xfId="33192" xr:uid="{00000000-0005-0000-0000-00000F860000}"/>
    <cellStyle name="Normal 3 3 3 5 4" xfId="5891" xr:uid="{00000000-0005-0000-0000-000010860000}"/>
    <cellStyle name="Normal 3 3 3 5 4 2" xfId="9434" xr:uid="{00000000-0005-0000-0000-000011860000}"/>
    <cellStyle name="Normal 3 3 3 5 4 2 2" xfId="16224" xr:uid="{00000000-0005-0000-0000-000012860000}"/>
    <cellStyle name="Normal 3 3 3 5 4 2 2 2" xfId="29792" xr:uid="{00000000-0005-0000-0000-000013860000}"/>
    <cellStyle name="Normal 3 3 3 5 4 2 2 2 2" xfId="56925" xr:uid="{00000000-0005-0000-0000-000014860000}"/>
    <cellStyle name="Normal 3 3 3 5 4 2 2 3" xfId="43363" xr:uid="{00000000-0005-0000-0000-000015860000}"/>
    <cellStyle name="Normal 3 3 3 5 4 2 3" xfId="23011" xr:uid="{00000000-0005-0000-0000-000016860000}"/>
    <cellStyle name="Normal 3 3 3 5 4 2 3 2" xfId="50144" xr:uid="{00000000-0005-0000-0000-000017860000}"/>
    <cellStyle name="Normal 3 3 3 5 4 2 4" xfId="36582" xr:uid="{00000000-0005-0000-0000-000018860000}"/>
    <cellStyle name="Normal 3 3 3 5 4 3" xfId="12835" xr:uid="{00000000-0005-0000-0000-000019860000}"/>
    <cellStyle name="Normal 3 3 3 5 4 3 2" xfId="26403" xr:uid="{00000000-0005-0000-0000-00001A860000}"/>
    <cellStyle name="Normal 3 3 3 5 4 3 2 2" xfId="53536" xr:uid="{00000000-0005-0000-0000-00001B860000}"/>
    <cellStyle name="Normal 3 3 3 5 4 3 3" xfId="39974" xr:uid="{00000000-0005-0000-0000-00001C860000}"/>
    <cellStyle name="Normal 3 3 3 5 4 4" xfId="19622" xr:uid="{00000000-0005-0000-0000-00001D860000}"/>
    <cellStyle name="Normal 3 3 3 5 4 4 2" xfId="46755" xr:uid="{00000000-0005-0000-0000-00001E860000}"/>
    <cellStyle name="Normal 3 3 3 5 4 5" xfId="33193" xr:uid="{00000000-0005-0000-0000-00001F860000}"/>
    <cellStyle name="Normal 3 3 3 5 5" xfId="9429" xr:uid="{00000000-0005-0000-0000-000020860000}"/>
    <cellStyle name="Normal 3 3 3 5 5 2" xfId="16219" xr:uid="{00000000-0005-0000-0000-000021860000}"/>
    <cellStyle name="Normal 3 3 3 5 5 2 2" xfId="29787" xr:uid="{00000000-0005-0000-0000-000022860000}"/>
    <cellStyle name="Normal 3 3 3 5 5 2 2 2" xfId="56920" xr:uid="{00000000-0005-0000-0000-000023860000}"/>
    <cellStyle name="Normal 3 3 3 5 5 2 3" xfId="43358" xr:uid="{00000000-0005-0000-0000-000024860000}"/>
    <cellStyle name="Normal 3 3 3 5 5 3" xfId="23006" xr:uid="{00000000-0005-0000-0000-000025860000}"/>
    <cellStyle name="Normal 3 3 3 5 5 3 2" xfId="50139" xr:uid="{00000000-0005-0000-0000-000026860000}"/>
    <cellStyle name="Normal 3 3 3 5 5 4" xfId="36577" xr:uid="{00000000-0005-0000-0000-000027860000}"/>
    <cellStyle name="Normal 3 3 3 5 6" xfId="12830" xr:uid="{00000000-0005-0000-0000-000028860000}"/>
    <cellStyle name="Normal 3 3 3 5 6 2" xfId="26398" xr:uid="{00000000-0005-0000-0000-000029860000}"/>
    <cellStyle name="Normal 3 3 3 5 6 2 2" xfId="53531" xr:uid="{00000000-0005-0000-0000-00002A860000}"/>
    <cellStyle name="Normal 3 3 3 5 6 3" xfId="39969" xr:uid="{00000000-0005-0000-0000-00002B860000}"/>
    <cellStyle name="Normal 3 3 3 5 7" xfId="19617" xr:uid="{00000000-0005-0000-0000-00002C860000}"/>
    <cellStyle name="Normal 3 3 3 5 7 2" xfId="46750" xr:uid="{00000000-0005-0000-0000-00002D860000}"/>
    <cellStyle name="Normal 3 3 3 5 8" xfId="33188" xr:uid="{00000000-0005-0000-0000-00002E860000}"/>
    <cellStyle name="Normal 3 3 3 6" xfId="5892" xr:uid="{00000000-0005-0000-0000-00002F860000}"/>
    <cellStyle name="Normal 3 3 3 6 2" xfId="5893" xr:uid="{00000000-0005-0000-0000-000030860000}"/>
    <cellStyle name="Normal 3 3 3 6 2 2" xfId="9436" xr:uid="{00000000-0005-0000-0000-000031860000}"/>
    <cellStyle name="Normal 3 3 3 6 2 2 2" xfId="16226" xr:uid="{00000000-0005-0000-0000-000032860000}"/>
    <cellStyle name="Normal 3 3 3 6 2 2 2 2" xfId="29794" xr:uid="{00000000-0005-0000-0000-000033860000}"/>
    <cellStyle name="Normal 3 3 3 6 2 2 2 2 2" xfId="56927" xr:uid="{00000000-0005-0000-0000-000034860000}"/>
    <cellStyle name="Normal 3 3 3 6 2 2 2 3" xfId="43365" xr:uid="{00000000-0005-0000-0000-000035860000}"/>
    <cellStyle name="Normal 3 3 3 6 2 2 3" xfId="23013" xr:uid="{00000000-0005-0000-0000-000036860000}"/>
    <cellStyle name="Normal 3 3 3 6 2 2 3 2" xfId="50146" xr:uid="{00000000-0005-0000-0000-000037860000}"/>
    <cellStyle name="Normal 3 3 3 6 2 2 4" xfId="36584" xr:uid="{00000000-0005-0000-0000-000038860000}"/>
    <cellStyle name="Normal 3 3 3 6 2 3" xfId="12837" xr:uid="{00000000-0005-0000-0000-000039860000}"/>
    <cellStyle name="Normal 3 3 3 6 2 3 2" xfId="26405" xr:uid="{00000000-0005-0000-0000-00003A860000}"/>
    <cellStyle name="Normal 3 3 3 6 2 3 2 2" xfId="53538" xr:uid="{00000000-0005-0000-0000-00003B860000}"/>
    <cellStyle name="Normal 3 3 3 6 2 3 3" xfId="39976" xr:uid="{00000000-0005-0000-0000-00003C860000}"/>
    <cellStyle name="Normal 3 3 3 6 2 4" xfId="19624" xr:uid="{00000000-0005-0000-0000-00003D860000}"/>
    <cellStyle name="Normal 3 3 3 6 2 4 2" xfId="46757" xr:uid="{00000000-0005-0000-0000-00003E860000}"/>
    <cellStyle name="Normal 3 3 3 6 2 5" xfId="33195" xr:uid="{00000000-0005-0000-0000-00003F860000}"/>
    <cellStyle name="Normal 3 3 3 6 3" xfId="5894" xr:uid="{00000000-0005-0000-0000-000040860000}"/>
    <cellStyle name="Normal 3 3 3 6 3 2" xfId="9437" xr:uid="{00000000-0005-0000-0000-000041860000}"/>
    <cellStyle name="Normal 3 3 3 6 3 2 2" xfId="16227" xr:uid="{00000000-0005-0000-0000-000042860000}"/>
    <cellStyle name="Normal 3 3 3 6 3 2 2 2" xfId="29795" xr:uid="{00000000-0005-0000-0000-000043860000}"/>
    <cellStyle name="Normal 3 3 3 6 3 2 2 2 2" xfId="56928" xr:uid="{00000000-0005-0000-0000-000044860000}"/>
    <cellStyle name="Normal 3 3 3 6 3 2 2 3" xfId="43366" xr:uid="{00000000-0005-0000-0000-000045860000}"/>
    <cellStyle name="Normal 3 3 3 6 3 2 3" xfId="23014" xr:uid="{00000000-0005-0000-0000-000046860000}"/>
    <cellStyle name="Normal 3 3 3 6 3 2 3 2" xfId="50147" xr:uid="{00000000-0005-0000-0000-000047860000}"/>
    <cellStyle name="Normal 3 3 3 6 3 2 4" xfId="36585" xr:uid="{00000000-0005-0000-0000-000048860000}"/>
    <cellStyle name="Normal 3 3 3 6 3 3" xfId="12838" xr:uid="{00000000-0005-0000-0000-000049860000}"/>
    <cellStyle name="Normal 3 3 3 6 3 3 2" xfId="26406" xr:uid="{00000000-0005-0000-0000-00004A860000}"/>
    <cellStyle name="Normal 3 3 3 6 3 3 2 2" xfId="53539" xr:uid="{00000000-0005-0000-0000-00004B860000}"/>
    <cellStyle name="Normal 3 3 3 6 3 3 3" xfId="39977" xr:uid="{00000000-0005-0000-0000-00004C860000}"/>
    <cellStyle name="Normal 3 3 3 6 3 4" xfId="19625" xr:uid="{00000000-0005-0000-0000-00004D860000}"/>
    <cellStyle name="Normal 3 3 3 6 3 4 2" xfId="46758" xr:uid="{00000000-0005-0000-0000-00004E860000}"/>
    <cellStyle name="Normal 3 3 3 6 3 5" xfId="33196" xr:uid="{00000000-0005-0000-0000-00004F860000}"/>
    <cellStyle name="Normal 3 3 3 6 4" xfId="9435" xr:uid="{00000000-0005-0000-0000-000050860000}"/>
    <cellStyle name="Normal 3 3 3 6 4 2" xfId="16225" xr:uid="{00000000-0005-0000-0000-000051860000}"/>
    <cellStyle name="Normal 3 3 3 6 4 2 2" xfId="29793" xr:uid="{00000000-0005-0000-0000-000052860000}"/>
    <cellStyle name="Normal 3 3 3 6 4 2 2 2" xfId="56926" xr:uid="{00000000-0005-0000-0000-000053860000}"/>
    <cellStyle name="Normal 3 3 3 6 4 2 3" xfId="43364" xr:uid="{00000000-0005-0000-0000-000054860000}"/>
    <cellStyle name="Normal 3 3 3 6 4 3" xfId="23012" xr:uid="{00000000-0005-0000-0000-000055860000}"/>
    <cellStyle name="Normal 3 3 3 6 4 3 2" xfId="50145" xr:uid="{00000000-0005-0000-0000-000056860000}"/>
    <cellStyle name="Normal 3 3 3 6 4 4" xfId="36583" xr:uid="{00000000-0005-0000-0000-000057860000}"/>
    <cellStyle name="Normal 3 3 3 6 5" xfId="12836" xr:uid="{00000000-0005-0000-0000-000058860000}"/>
    <cellStyle name="Normal 3 3 3 6 5 2" xfId="26404" xr:uid="{00000000-0005-0000-0000-000059860000}"/>
    <cellStyle name="Normal 3 3 3 6 5 2 2" xfId="53537" xr:uid="{00000000-0005-0000-0000-00005A860000}"/>
    <cellStyle name="Normal 3 3 3 6 5 3" xfId="39975" xr:uid="{00000000-0005-0000-0000-00005B860000}"/>
    <cellStyle name="Normal 3 3 3 6 6" xfId="19623" xr:uid="{00000000-0005-0000-0000-00005C860000}"/>
    <cellStyle name="Normal 3 3 3 6 6 2" xfId="46756" xr:uid="{00000000-0005-0000-0000-00005D860000}"/>
    <cellStyle name="Normal 3 3 3 6 7" xfId="33194" xr:uid="{00000000-0005-0000-0000-00005E860000}"/>
    <cellStyle name="Normal 3 3 3 7" xfId="5895" xr:uid="{00000000-0005-0000-0000-00005F860000}"/>
    <cellStyle name="Normal 3 3 3 7 2" xfId="5896" xr:uid="{00000000-0005-0000-0000-000060860000}"/>
    <cellStyle name="Normal 3 3 3 7 2 2" xfId="9439" xr:uid="{00000000-0005-0000-0000-000061860000}"/>
    <cellStyle name="Normal 3 3 3 7 2 2 2" xfId="16229" xr:uid="{00000000-0005-0000-0000-000062860000}"/>
    <cellStyle name="Normal 3 3 3 7 2 2 2 2" xfId="29797" xr:uid="{00000000-0005-0000-0000-000063860000}"/>
    <cellStyle name="Normal 3 3 3 7 2 2 2 2 2" xfId="56930" xr:uid="{00000000-0005-0000-0000-000064860000}"/>
    <cellStyle name="Normal 3 3 3 7 2 2 2 3" xfId="43368" xr:uid="{00000000-0005-0000-0000-000065860000}"/>
    <cellStyle name="Normal 3 3 3 7 2 2 3" xfId="23016" xr:uid="{00000000-0005-0000-0000-000066860000}"/>
    <cellStyle name="Normal 3 3 3 7 2 2 3 2" xfId="50149" xr:uid="{00000000-0005-0000-0000-000067860000}"/>
    <cellStyle name="Normal 3 3 3 7 2 2 4" xfId="36587" xr:uid="{00000000-0005-0000-0000-000068860000}"/>
    <cellStyle name="Normal 3 3 3 7 2 3" xfId="12840" xr:uid="{00000000-0005-0000-0000-000069860000}"/>
    <cellStyle name="Normal 3 3 3 7 2 3 2" xfId="26408" xr:uid="{00000000-0005-0000-0000-00006A860000}"/>
    <cellStyle name="Normal 3 3 3 7 2 3 2 2" xfId="53541" xr:uid="{00000000-0005-0000-0000-00006B860000}"/>
    <cellStyle name="Normal 3 3 3 7 2 3 3" xfId="39979" xr:uid="{00000000-0005-0000-0000-00006C860000}"/>
    <cellStyle name="Normal 3 3 3 7 2 4" xfId="19627" xr:uid="{00000000-0005-0000-0000-00006D860000}"/>
    <cellStyle name="Normal 3 3 3 7 2 4 2" xfId="46760" xr:uid="{00000000-0005-0000-0000-00006E860000}"/>
    <cellStyle name="Normal 3 3 3 7 2 5" xfId="33198" xr:uid="{00000000-0005-0000-0000-00006F860000}"/>
    <cellStyle name="Normal 3 3 3 7 3" xfId="5897" xr:uid="{00000000-0005-0000-0000-000070860000}"/>
    <cellStyle name="Normal 3 3 3 7 3 2" xfId="9440" xr:uid="{00000000-0005-0000-0000-000071860000}"/>
    <cellStyle name="Normal 3 3 3 7 3 2 2" xfId="16230" xr:uid="{00000000-0005-0000-0000-000072860000}"/>
    <cellStyle name="Normal 3 3 3 7 3 2 2 2" xfId="29798" xr:uid="{00000000-0005-0000-0000-000073860000}"/>
    <cellStyle name="Normal 3 3 3 7 3 2 2 2 2" xfId="56931" xr:uid="{00000000-0005-0000-0000-000074860000}"/>
    <cellStyle name="Normal 3 3 3 7 3 2 2 3" xfId="43369" xr:uid="{00000000-0005-0000-0000-000075860000}"/>
    <cellStyle name="Normal 3 3 3 7 3 2 3" xfId="23017" xr:uid="{00000000-0005-0000-0000-000076860000}"/>
    <cellStyle name="Normal 3 3 3 7 3 2 3 2" xfId="50150" xr:uid="{00000000-0005-0000-0000-000077860000}"/>
    <cellStyle name="Normal 3 3 3 7 3 2 4" xfId="36588" xr:uid="{00000000-0005-0000-0000-000078860000}"/>
    <cellStyle name="Normal 3 3 3 7 3 3" xfId="12841" xr:uid="{00000000-0005-0000-0000-000079860000}"/>
    <cellStyle name="Normal 3 3 3 7 3 3 2" xfId="26409" xr:uid="{00000000-0005-0000-0000-00007A860000}"/>
    <cellStyle name="Normal 3 3 3 7 3 3 2 2" xfId="53542" xr:uid="{00000000-0005-0000-0000-00007B860000}"/>
    <cellStyle name="Normal 3 3 3 7 3 3 3" xfId="39980" xr:uid="{00000000-0005-0000-0000-00007C860000}"/>
    <cellStyle name="Normal 3 3 3 7 3 4" xfId="19628" xr:uid="{00000000-0005-0000-0000-00007D860000}"/>
    <cellStyle name="Normal 3 3 3 7 3 4 2" xfId="46761" xr:uid="{00000000-0005-0000-0000-00007E860000}"/>
    <cellStyle name="Normal 3 3 3 7 3 5" xfId="33199" xr:uid="{00000000-0005-0000-0000-00007F860000}"/>
    <cellStyle name="Normal 3 3 3 7 4" xfId="9438" xr:uid="{00000000-0005-0000-0000-000080860000}"/>
    <cellStyle name="Normal 3 3 3 7 4 2" xfId="16228" xr:uid="{00000000-0005-0000-0000-000081860000}"/>
    <cellStyle name="Normal 3 3 3 7 4 2 2" xfId="29796" xr:uid="{00000000-0005-0000-0000-000082860000}"/>
    <cellStyle name="Normal 3 3 3 7 4 2 2 2" xfId="56929" xr:uid="{00000000-0005-0000-0000-000083860000}"/>
    <cellStyle name="Normal 3 3 3 7 4 2 3" xfId="43367" xr:uid="{00000000-0005-0000-0000-000084860000}"/>
    <cellStyle name="Normal 3 3 3 7 4 3" xfId="23015" xr:uid="{00000000-0005-0000-0000-000085860000}"/>
    <cellStyle name="Normal 3 3 3 7 4 3 2" xfId="50148" xr:uid="{00000000-0005-0000-0000-000086860000}"/>
    <cellStyle name="Normal 3 3 3 7 4 4" xfId="36586" xr:uid="{00000000-0005-0000-0000-000087860000}"/>
    <cellStyle name="Normal 3 3 3 7 5" xfId="12839" xr:uid="{00000000-0005-0000-0000-000088860000}"/>
    <cellStyle name="Normal 3 3 3 7 5 2" xfId="26407" xr:uid="{00000000-0005-0000-0000-000089860000}"/>
    <cellStyle name="Normal 3 3 3 7 5 2 2" xfId="53540" xr:uid="{00000000-0005-0000-0000-00008A860000}"/>
    <cellStyle name="Normal 3 3 3 7 5 3" xfId="39978" xr:uid="{00000000-0005-0000-0000-00008B860000}"/>
    <cellStyle name="Normal 3 3 3 7 6" xfId="19626" xr:uid="{00000000-0005-0000-0000-00008C860000}"/>
    <cellStyle name="Normal 3 3 3 7 6 2" xfId="46759" xr:uid="{00000000-0005-0000-0000-00008D860000}"/>
    <cellStyle name="Normal 3 3 3 7 7" xfId="33197" xr:uid="{00000000-0005-0000-0000-00008E860000}"/>
    <cellStyle name="Normal 3 3 3 8" xfId="5898" xr:uid="{00000000-0005-0000-0000-00008F860000}"/>
    <cellStyle name="Normal 3 3 3 8 2" xfId="9441" xr:uid="{00000000-0005-0000-0000-000090860000}"/>
    <cellStyle name="Normal 3 3 3 8 2 2" xfId="16231" xr:uid="{00000000-0005-0000-0000-000091860000}"/>
    <cellStyle name="Normal 3 3 3 8 2 2 2" xfId="29799" xr:uid="{00000000-0005-0000-0000-000092860000}"/>
    <cellStyle name="Normal 3 3 3 8 2 2 2 2" xfId="56932" xr:uid="{00000000-0005-0000-0000-000093860000}"/>
    <cellStyle name="Normal 3 3 3 8 2 2 3" xfId="43370" xr:uid="{00000000-0005-0000-0000-000094860000}"/>
    <cellStyle name="Normal 3 3 3 8 2 3" xfId="23018" xr:uid="{00000000-0005-0000-0000-000095860000}"/>
    <cellStyle name="Normal 3 3 3 8 2 3 2" xfId="50151" xr:uid="{00000000-0005-0000-0000-000096860000}"/>
    <cellStyle name="Normal 3 3 3 8 2 4" xfId="36589" xr:uid="{00000000-0005-0000-0000-000097860000}"/>
    <cellStyle name="Normal 3 3 3 8 3" xfId="12842" xr:uid="{00000000-0005-0000-0000-000098860000}"/>
    <cellStyle name="Normal 3 3 3 8 3 2" xfId="26410" xr:uid="{00000000-0005-0000-0000-000099860000}"/>
    <cellStyle name="Normal 3 3 3 8 3 2 2" xfId="53543" xr:uid="{00000000-0005-0000-0000-00009A860000}"/>
    <cellStyle name="Normal 3 3 3 8 3 3" xfId="39981" xr:uid="{00000000-0005-0000-0000-00009B860000}"/>
    <cellStyle name="Normal 3 3 3 8 4" xfId="19629" xr:uid="{00000000-0005-0000-0000-00009C860000}"/>
    <cellStyle name="Normal 3 3 3 8 4 2" xfId="46762" xr:uid="{00000000-0005-0000-0000-00009D860000}"/>
    <cellStyle name="Normal 3 3 3 8 5" xfId="33200" xr:uid="{00000000-0005-0000-0000-00009E860000}"/>
    <cellStyle name="Normal 3 3 3 9" xfId="5899" xr:uid="{00000000-0005-0000-0000-00009F860000}"/>
    <cellStyle name="Normal 3 3 3 9 2" xfId="9442" xr:uid="{00000000-0005-0000-0000-0000A0860000}"/>
    <cellStyle name="Normal 3 3 3 9 2 2" xfId="16232" xr:uid="{00000000-0005-0000-0000-0000A1860000}"/>
    <cellStyle name="Normal 3 3 3 9 2 2 2" xfId="29800" xr:uid="{00000000-0005-0000-0000-0000A2860000}"/>
    <cellStyle name="Normal 3 3 3 9 2 2 2 2" xfId="56933" xr:uid="{00000000-0005-0000-0000-0000A3860000}"/>
    <cellStyle name="Normal 3 3 3 9 2 2 3" xfId="43371" xr:uid="{00000000-0005-0000-0000-0000A4860000}"/>
    <cellStyle name="Normal 3 3 3 9 2 3" xfId="23019" xr:uid="{00000000-0005-0000-0000-0000A5860000}"/>
    <cellStyle name="Normal 3 3 3 9 2 3 2" xfId="50152" xr:uid="{00000000-0005-0000-0000-0000A6860000}"/>
    <cellStyle name="Normal 3 3 3 9 2 4" xfId="36590" xr:uid="{00000000-0005-0000-0000-0000A7860000}"/>
    <cellStyle name="Normal 3 3 3 9 3" xfId="12843" xr:uid="{00000000-0005-0000-0000-0000A8860000}"/>
    <cellStyle name="Normal 3 3 3 9 3 2" xfId="26411" xr:uid="{00000000-0005-0000-0000-0000A9860000}"/>
    <cellStyle name="Normal 3 3 3 9 3 2 2" xfId="53544" xr:uid="{00000000-0005-0000-0000-0000AA860000}"/>
    <cellStyle name="Normal 3 3 3 9 3 3" xfId="39982" xr:uid="{00000000-0005-0000-0000-0000AB860000}"/>
    <cellStyle name="Normal 3 3 3 9 4" xfId="19630" xr:uid="{00000000-0005-0000-0000-0000AC860000}"/>
    <cellStyle name="Normal 3 3 3 9 4 2" xfId="46763" xr:uid="{00000000-0005-0000-0000-0000AD860000}"/>
    <cellStyle name="Normal 3 3 3 9 5" xfId="33201" xr:uid="{00000000-0005-0000-0000-0000AE860000}"/>
    <cellStyle name="Normal 3 3 4" xfId="2697" xr:uid="{00000000-0005-0000-0000-0000AF860000}"/>
    <cellStyle name="Normal 3 3 4 10" xfId="7510" xr:uid="{00000000-0005-0000-0000-0000B0860000}"/>
    <cellStyle name="Normal 3 3 4 10 2" xfId="14300" xr:uid="{00000000-0005-0000-0000-0000B1860000}"/>
    <cellStyle name="Normal 3 3 4 10 2 2" xfId="27868" xr:uid="{00000000-0005-0000-0000-0000B2860000}"/>
    <cellStyle name="Normal 3 3 4 10 2 2 2" xfId="55001" xr:uid="{00000000-0005-0000-0000-0000B3860000}"/>
    <cellStyle name="Normal 3 3 4 10 2 3" xfId="41439" xr:uid="{00000000-0005-0000-0000-0000B4860000}"/>
    <cellStyle name="Normal 3 3 4 10 3" xfId="21087" xr:uid="{00000000-0005-0000-0000-0000B5860000}"/>
    <cellStyle name="Normal 3 3 4 10 3 2" xfId="48220" xr:uid="{00000000-0005-0000-0000-0000B6860000}"/>
    <cellStyle name="Normal 3 3 4 10 4" xfId="34658" xr:uid="{00000000-0005-0000-0000-0000B7860000}"/>
    <cellStyle name="Normal 3 3 4 11" xfId="10911" xr:uid="{00000000-0005-0000-0000-0000B8860000}"/>
    <cellStyle name="Normal 3 3 4 11 2" xfId="24479" xr:uid="{00000000-0005-0000-0000-0000B9860000}"/>
    <cellStyle name="Normal 3 3 4 11 2 2" xfId="51612" xr:uid="{00000000-0005-0000-0000-0000BA860000}"/>
    <cellStyle name="Normal 3 3 4 11 3" xfId="38050" xr:uid="{00000000-0005-0000-0000-0000BB860000}"/>
    <cellStyle name="Normal 3 3 4 12" xfId="17698" xr:uid="{00000000-0005-0000-0000-0000BC860000}"/>
    <cellStyle name="Normal 3 3 4 12 2" xfId="44831" xr:uid="{00000000-0005-0000-0000-0000BD860000}"/>
    <cellStyle name="Normal 3 3 4 13" xfId="31269" xr:uid="{00000000-0005-0000-0000-0000BE860000}"/>
    <cellStyle name="Normal 3 3 4 2" xfId="2698" xr:uid="{00000000-0005-0000-0000-0000BF860000}"/>
    <cellStyle name="Normal 3 3 4 2 10" xfId="31270" xr:uid="{00000000-0005-0000-0000-0000C0860000}"/>
    <cellStyle name="Normal 3 3 4 2 2" xfId="5900" xr:uid="{00000000-0005-0000-0000-0000C1860000}"/>
    <cellStyle name="Normal 3 3 4 2 2 2" xfId="5901" xr:uid="{00000000-0005-0000-0000-0000C2860000}"/>
    <cellStyle name="Normal 3 3 4 2 2 2 2" xfId="5902" xr:uid="{00000000-0005-0000-0000-0000C3860000}"/>
    <cellStyle name="Normal 3 3 4 2 2 2 2 2" xfId="9445" xr:uid="{00000000-0005-0000-0000-0000C4860000}"/>
    <cellStyle name="Normal 3 3 4 2 2 2 2 2 2" xfId="16235" xr:uid="{00000000-0005-0000-0000-0000C5860000}"/>
    <cellStyle name="Normal 3 3 4 2 2 2 2 2 2 2" xfId="29803" xr:uid="{00000000-0005-0000-0000-0000C6860000}"/>
    <cellStyle name="Normal 3 3 4 2 2 2 2 2 2 2 2" xfId="56936" xr:uid="{00000000-0005-0000-0000-0000C7860000}"/>
    <cellStyle name="Normal 3 3 4 2 2 2 2 2 2 3" xfId="43374" xr:uid="{00000000-0005-0000-0000-0000C8860000}"/>
    <cellStyle name="Normal 3 3 4 2 2 2 2 2 3" xfId="23022" xr:uid="{00000000-0005-0000-0000-0000C9860000}"/>
    <cellStyle name="Normal 3 3 4 2 2 2 2 2 3 2" xfId="50155" xr:uid="{00000000-0005-0000-0000-0000CA860000}"/>
    <cellStyle name="Normal 3 3 4 2 2 2 2 2 4" xfId="36593" xr:uid="{00000000-0005-0000-0000-0000CB860000}"/>
    <cellStyle name="Normal 3 3 4 2 2 2 2 3" xfId="12846" xr:uid="{00000000-0005-0000-0000-0000CC860000}"/>
    <cellStyle name="Normal 3 3 4 2 2 2 2 3 2" xfId="26414" xr:uid="{00000000-0005-0000-0000-0000CD860000}"/>
    <cellStyle name="Normal 3 3 4 2 2 2 2 3 2 2" xfId="53547" xr:uid="{00000000-0005-0000-0000-0000CE860000}"/>
    <cellStyle name="Normal 3 3 4 2 2 2 2 3 3" xfId="39985" xr:uid="{00000000-0005-0000-0000-0000CF860000}"/>
    <cellStyle name="Normal 3 3 4 2 2 2 2 4" xfId="19633" xr:uid="{00000000-0005-0000-0000-0000D0860000}"/>
    <cellStyle name="Normal 3 3 4 2 2 2 2 4 2" xfId="46766" xr:uid="{00000000-0005-0000-0000-0000D1860000}"/>
    <cellStyle name="Normal 3 3 4 2 2 2 2 5" xfId="33204" xr:uid="{00000000-0005-0000-0000-0000D2860000}"/>
    <cellStyle name="Normal 3 3 4 2 2 2 3" xfId="5903" xr:uid="{00000000-0005-0000-0000-0000D3860000}"/>
    <cellStyle name="Normal 3 3 4 2 2 2 3 2" xfId="9446" xr:uid="{00000000-0005-0000-0000-0000D4860000}"/>
    <cellStyle name="Normal 3 3 4 2 2 2 3 2 2" xfId="16236" xr:uid="{00000000-0005-0000-0000-0000D5860000}"/>
    <cellStyle name="Normal 3 3 4 2 2 2 3 2 2 2" xfId="29804" xr:uid="{00000000-0005-0000-0000-0000D6860000}"/>
    <cellStyle name="Normal 3 3 4 2 2 2 3 2 2 2 2" xfId="56937" xr:uid="{00000000-0005-0000-0000-0000D7860000}"/>
    <cellStyle name="Normal 3 3 4 2 2 2 3 2 2 3" xfId="43375" xr:uid="{00000000-0005-0000-0000-0000D8860000}"/>
    <cellStyle name="Normal 3 3 4 2 2 2 3 2 3" xfId="23023" xr:uid="{00000000-0005-0000-0000-0000D9860000}"/>
    <cellStyle name="Normal 3 3 4 2 2 2 3 2 3 2" xfId="50156" xr:uid="{00000000-0005-0000-0000-0000DA860000}"/>
    <cellStyle name="Normal 3 3 4 2 2 2 3 2 4" xfId="36594" xr:uid="{00000000-0005-0000-0000-0000DB860000}"/>
    <cellStyle name="Normal 3 3 4 2 2 2 3 3" xfId="12847" xr:uid="{00000000-0005-0000-0000-0000DC860000}"/>
    <cellStyle name="Normal 3 3 4 2 2 2 3 3 2" xfId="26415" xr:uid="{00000000-0005-0000-0000-0000DD860000}"/>
    <cellStyle name="Normal 3 3 4 2 2 2 3 3 2 2" xfId="53548" xr:uid="{00000000-0005-0000-0000-0000DE860000}"/>
    <cellStyle name="Normal 3 3 4 2 2 2 3 3 3" xfId="39986" xr:uid="{00000000-0005-0000-0000-0000DF860000}"/>
    <cellStyle name="Normal 3 3 4 2 2 2 3 4" xfId="19634" xr:uid="{00000000-0005-0000-0000-0000E0860000}"/>
    <cellStyle name="Normal 3 3 4 2 2 2 3 4 2" xfId="46767" xr:uid="{00000000-0005-0000-0000-0000E1860000}"/>
    <cellStyle name="Normal 3 3 4 2 2 2 3 5" xfId="33205" xr:uid="{00000000-0005-0000-0000-0000E2860000}"/>
    <cellStyle name="Normal 3 3 4 2 2 2 4" xfId="9444" xr:uid="{00000000-0005-0000-0000-0000E3860000}"/>
    <cellStyle name="Normal 3 3 4 2 2 2 4 2" xfId="16234" xr:uid="{00000000-0005-0000-0000-0000E4860000}"/>
    <cellStyle name="Normal 3 3 4 2 2 2 4 2 2" xfId="29802" xr:uid="{00000000-0005-0000-0000-0000E5860000}"/>
    <cellStyle name="Normal 3 3 4 2 2 2 4 2 2 2" xfId="56935" xr:uid="{00000000-0005-0000-0000-0000E6860000}"/>
    <cellStyle name="Normal 3 3 4 2 2 2 4 2 3" xfId="43373" xr:uid="{00000000-0005-0000-0000-0000E7860000}"/>
    <cellStyle name="Normal 3 3 4 2 2 2 4 3" xfId="23021" xr:uid="{00000000-0005-0000-0000-0000E8860000}"/>
    <cellStyle name="Normal 3 3 4 2 2 2 4 3 2" xfId="50154" xr:uid="{00000000-0005-0000-0000-0000E9860000}"/>
    <cellStyle name="Normal 3 3 4 2 2 2 4 4" xfId="36592" xr:uid="{00000000-0005-0000-0000-0000EA860000}"/>
    <cellStyle name="Normal 3 3 4 2 2 2 5" xfId="12845" xr:uid="{00000000-0005-0000-0000-0000EB860000}"/>
    <cellStyle name="Normal 3 3 4 2 2 2 5 2" xfId="26413" xr:uid="{00000000-0005-0000-0000-0000EC860000}"/>
    <cellStyle name="Normal 3 3 4 2 2 2 5 2 2" xfId="53546" xr:uid="{00000000-0005-0000-0000-0000ED860000}"/>
    <cellStyle name="Normal 3 3 4 2 2 2 5 3" xfId="39984" xr:uid="{00000000-0005-0000-0000-0000EE860000}"/>
    <cellStyle name="Normal 3 3 4 2 2 2 6" xfId="19632" xr:uid="{00000000-0005-0000-0000-0000EF860000}"/>
    <cellStyle name="Normal 3 3 4 2 2 2 6 2" xfId="46765" xr:uid="{00000000-0005-0000-0000-0000F0860000}"/>
    <cellStyle name="Normal 3 3 4 2 2 2 7" xfId="33203" xr:uid="{00000000-0005-0000-0000-0000F1860000}"/>
    <cellStyle name="Normal 3 3 4 2 2 3" xfId="5904" xr:uid="{00000000-0005-0000-0000-0000F2860000}"/>
    <cellStyle name="Normal 3 3 4 2 2 3 2" xfId="5905" xr:uid="{00000000-0005-0000-0000-0000F3860000}"/>
    <cellStyle name="Normal 3 3 4 2 2 3 2 2" xfId="9448" xr:uid="{00000000-0005-0000-0000-0000F4860000}"/>
    <cellStyle name="Normal 3 3 4 2 2 3 2 2 2" xfId="16238" xr:uid="{00000000-0005-0000-0000-0000F5860000}"/>
    <cellStyle name="Normal 3 3 4 2 2 3 2 2 2 2" xfId="29806" xr:uid="{00000000-0005-0000-0000-0000F6860000}"/>
    <cellStyle name="Normal 3 3 4 2 2 3 2 2 2 2 2" xfId="56939" xr:uid="{00000000-0005-0000-0000-0000F7860000}"/>
    <cellStyle name="Normal 3 3 4 2 2 3 2 2 2 3" xfId="43377" xr:uid="{00000000-0005-0000-0000-0000F8860000}"/>
    <cellStyle name="Normal 3 3 4 2 2 3 2 2 3" xfId="23025" xr:uid="{00000000-0005-0000-0000-0000F9860000}"/>
    <cellStyle name="Normal 3 3 4 2 2 3 2 2 3 2" xfId="50158" xr:uid="{00000000-0005-0000-0000-0000FA860000}"/>
    <cellStyle name="Normal 3 3 4 2 2 3 2 2 4" xfId="36596" xr:uid="{00000000-0005-0000-0000-0000FB860000}"/>
    <cellStyle name="Normal 3 3 4 2 2 3 2 3" xfId="12849" xr:uid="{00000000-0005-0000-0000-0000FC860000}"/>
    <cellStyle name="Normal 3 3 4 2 2 3 2 3 2" xfId="26417" xr:uid="{00000000-0005-0000-0000-0000FD860000}"/>
    <cellStyle name="Normal 3 3 4 2 2 3 2 3 2 2" xfId="53550" xr:uid="{00000000-0005-0000-0000-0000FE860000}"/>
    <cellStyle name="Normal 3 3 4 2 2 3 2 3 3" xfId="39988" xr:uid="{00000000-0005-0000-0000-0000FF860000}"/>
    <cellStyle name="Normal 3 3 4 2 2 3 2 4" xfId="19636" xr:uid="{00000000-0005-0000-0000-000000870000}"/>
    <cellStyle name="Normal 3 3 4 2 2 3 2 4 2" xfId="46769" xr:uid="{00000000-0005-0000-0000-000001870000}"/>
    <cellStyle name="Normal 3 3 4 2 2 3 2 5" xfId="33207" xr:uid="{00000000-0005-0000-0000-000002870000}"/>
    <cellStyle name="Normal 3 3 4 2 2 3 3" xfId="9447" xr:uid="{00000000-0005-0000-0000-000003870000}"/>
    <cellStyle name="Normal 3 3 4 2 2 3 3 2" xfId="16237" xr:uid="{00000000-0005-0000-0000-000004870000}"/>
    <cellStyle name="Normal 3 3 4 2 2 3 3 2 2" xfId="29805" xr:uid="{00000000-0005-0000-0000-000005870000}"/>
    <cellStyle name="Normal 3 3 4 2 2 3 3 2 2 2" xfId="56938" xr:uid="{00000000-0005-0000-0000-000006870000}"/>
    <cellStyle name="Normal 3 3 4 2 2 3 3 2 3" xfId="43376" xr:uid="{00000000-0005-0000-0000-000007870000}"/>
    <cellStyle name="Normal 3 3 4 2 2 3 3 3" xfId="23024" xr:uid="{00000000-0005-0000-0000-000008870000}"/>
    <cellStyle name="Normal 3 3 4 2 2 3 3 3 2" xfId="50157" xr:uid="{00000000-0005-0000-0000-000009870000}"/>
    <cellStyle name="Normal 3 3 4 2 2 3 3 4" xfId="36595" xr:uid="{00000000-0005-0000-0000-00000A870000}"/>
    <cellStyle name="Normal 3 3 4 2 2 3 4" xfId="12848" xr:uid="{00000000-0005-0000-0000-00000B870000}"/>
    <cellStyle name="Normal 3 3 4 2 2 3 4 2" xfId="26416" xr:uid="{00000000-0005-0000-0000-00000C870000}"/>
    <cellStyle name="Normal 3 3 4 2 2 3 4 2 2" xfId="53549" xr:uid="{00000000-0005-0000-0000-00000D870000}"/>
    <cellStyle name="Normal 3 3 4 2 2 3 4 3" xfId="39987" xr:uid="{00000000-0005-0000-0000-00000E870000}"/>
    <cellStyle name="Normal 3 3 4 2 2 3 5" xfId="19635" xr:uid="{00000000-0005-0000-0000-00000F870000}"/>
    <cellStyle name="Normal 3 3 4 2 2 3 5 2" xfId="46768" xr:uid="{00000000-0005-0000-0000-000010870000}"/>
    <cellStyle name="Normal 3 3 4 2 2 3 6" xfId="33206" xr:uid="{00000000-0005-0000-0000-000011870000}"/>
    <cellStyle name="Normal 3 3 4 2 2 4" xfId="5906" xr:uid="{00000000-0005-0000-0000-000012870000}"/>
    <cellStyle name="Normal 3 3 4 2 2 4 2" xfId="9449" xr:uid="{00000000-0005-0000-0000-000013870000}"/>
    <cellStyle name="Normal 3 3 4 2 2 4 2 2" xfId="16239" xr:uid="{00000000-0005-0000-0000-000014870000}"/>
    <cellStyle name="Normal 3 3 4 2 2 4 2 2 2" xfId="29807" xr:uid="{00000000-0005-0000-0000-000015870000}"/>
    <cellStyle name="Normal 3 3 4 2 2 4 2 2 2 2" xfId="56940" xr:uid="{00000000-0005-0000-0000-000016870000}"/>
    <cellStyle name="Normal 3 3 4 2 2 4 2 2 3" xfId="43378" xr:uid="{00000000-0005-0000-0000-000017870000}"/>
    <cellStyle name="Normal 3 3 4 2 2 4 2 3" xfId="23026" xr:uid="{00000000-0005-0000-0000-000018870000}"/>
    <cellStyle name="Normal 3 3 4 2 2 4 2 3 2" xfId="50159" xr:uid="{00000000-0005-0000-0000-000019870000}"/>
    <cellStyle name="Normal 3 3 4 2 2 4 2 4" xfId="36597" xr:uid="{00000000-0005-0000-0000-00001A870000}"/>
    <cellStyle name="Normal 3 3 4 2 2 4 3" xfId="12850" xr:uid="{00000000-0005-0000-0000-00001B870000}"/>
    <cellStyle name="Normal 3 3 4 2 2 4 3 2" xfId="26418" xr:uid="{00000000-0005-0000-0000-00001C870000}"/>
    <cellStyle name="Normal 3 3 4 2 2 4 3 2 2" xfId="53551" xr:uid="{00000000-0005-0000-0000-00001D870000}"/>
    <cellStyle name="Normal 3 3 4 2 2 4 3 3" xfId="39989" xr:uid="{00000000-0005-0000-0000-00001E870000}"/>
    <cellStyle name="Normal 3 3 4 2 2 4 4" xfId="19637" xr:uid="{00000000-0005-0000-0000-00001F870000}"/>
    <cellStyle name="Normal 3 3 4 2 2 4 4 2" xfId="46770" xr:uid="{00000000-0005-0000-0000-000020870000}"/>
    <cellStyle name="Normal 3 3 4 2 2 4 5" xfId="33208" xr:uid="{00000000-0005-0000-0000-000021870000}"/>
    <cellStyle name="Normal 3 3 4 2 2 5" xfId="5907" xr:uid="{00000000-0005-0000-0000-000022870000}"/>
    <cellStyle name="Normal 3 3 4 2 2 5 2" xfId="9450" xr:uid="{00000000-0005-0000-0000-000023870000}"/>
    <cellStyle name="Normal 3 3 4 2 2 5 2 2" xfId="16240" xr:uid="{00000000-0005-0000-0000-000024870000}"/>
    <cellStyle name="Normal 3 3 4 2 2 5 2 2 2" xfId="29808" xr:uid="{00000000-0005-0000-0000-000025870000}"/>
    <cellStyle name="Normal 3 3 4 2 2 5 2 2 2 2" xfId="56941" xr:uid="{00000000-0005-0000-0000-000026870000}"/>
    <cellStyle name="Normal 3 3 4 2 2 5 2 2 3" xfId="43379" xr:uid="{00000000-0005-0000-0000-000027870000}"/>
    <cellStyle name="Normal 3 3 4 2 2 5 2 3" xfId="23027" xr:uid="{00000000-0005-0000-0000-000028870000}"/>
    <cellStyle name="Normal 3 3 4 2 2 5 2 3 2" xfId="50160" xr:uid="{00000000-0005-0000-0000-000029870000}"/>
    <cellStyle name="Normal 3 3 4 2 2 5 2 4" xfId="36598" xr:uid="{00000000-0005-0000-0000-00002A870000}"/>
    <cellStyle name="Normal 3 3 4 2 2 5 3" xfId="12851" xr:uid="{00000000-0005-0000-0000-00002B870000}"/>
    <cellStyle name="Normal 3 3 4 2 2 5 3 2" xfId="26419" xr:uid="{00000000-0005-0000-0000-00002C870000}"/>
    <cellStyle name="Normal 3 3 4 2 2 5 3 2 2" xfId="53552" xr:uid="{00000000-0005-0000-0000-00002D870000}"/>
    <cellStyle name="Normal 3 3 4 2 2 5 3 3" xfId="39990" xr:uid="{00000000-0005-0000-0000-00002E870000}"/>
    <cellStyle name="Normal 3 3 4 2 2 5 4" xfId="19638" xr:uid="{00000000-0005-0000-0000-00002F870000}"/>
    <cellStyle name="Normal 3 3 4 2 2 5 4 2" xfId="46771" xr:uid="{00000000-0005-0000-0000-000030870000}"/>
    <cellStyle name="Normal 3 3 4 2 2 5 5" xfId="33209" xr:uid="{00000000-0005-0000-0000-000031870000}"/>
    <cellStyle name="Normal 3 3 4 2 2 6" xfId="9443" xr:uid="{00000000-0005-0000-0000-000032870000}"/>
    <cellStyle name="Normal 3 3 4 2 2 6 2" xfId="16233" xr:uid="{00000000-0005-0000-0000-000033870000}"/>
    <cellStyle name="Normal 3 3 4 2 2 6 2 2" xfId="29801" xr:uid="{00000000-0005-0000-0000-000034870000}"/>
    <cellStyle name="Normal 3 3 4 2 2 6 2 2 2" xfId="56934" xr:uid="{00000000-0005-0000-0000-000035870000}"/>
    <cellStyle name="Normal 3 3 4 2 2 6 2 3" xfId="43372" xr:uid="{00000000-0005-0000-0000-000036870000}"/>
    <cellStyle name="Normal 3 3 4 2 2 6 3" xfId="23020" xr:uid="{00000000-0005-0000-0000-000037870000}"/>
    <cellStyle name="Normal 3 3 4 2 2 6 3 2" xfId="50153" xr:uid="{00000000-0005-0000-0000-000038870000}"/>
    <cellStyle name="Normal 3 3 4 2 2 6 4" xfId="36591" xr:uid="{00000000-0005-0000-0000-000039870000}"/>
    <cellStyle name="Normal 3 3 4 2 2 7" xfId="12844" xr:uid="{00000000-0005-0000-0000-00003A870000}"/>
    <cellStyle name="Normal 3 3 4 2 2 7 2" xfId="26412" xr:uid="{00000000-0005-0000-0000-00003B870000}"/>
    <cellStyle name="Normal 3 3 4 2 2 7 2 2" xfId="53545" xr:uid="{00000000-0005-0000-0000-00003C870000}"/>
    <cellStyle name="Normal 3 3 4 2 2 7 3" xfId="39983" xr:uid="{00000000-0005-0000-0000-00003D870000}"/>
    <cellStyle name="Normal 3 3 4 2 2 8" xfId="19631" xr:uid="{00000000-0005-0000-0000-00003E870000}"/>
    <cellStyle name="Normal 3 3 4 2 2 8 2" xfId="46764" xr:uid="{00000000-0005-0000-0000-00003F870000}"/>
    <cellStyle name="Normal 3 3 4 2 2 9" xfId="33202" xr:uid="{00000000-0005-0000-0000-000040870000}"/>
    <cellStyle name="Normal 3 3 4 2 3" xfId="5908" xr:uid="{00000000-0005-0000-0000-000041870000}"/>
    <cellStyle name="Normal 3 3 4 2 3 2" xfId="5909" xr:uid="{00000000-0005-0000-0000-000042870000}"/>
    <cellStyle name="Normal 3 3 4 2 3 2 2" xfId="9452" xr:uid="{00000000-0005-0000-0000-000043870000}"/>
    <cellStyle name="Normal 3 3 4 2 3 2 2 2" xfId="16242" xr:uid="{00000000-0005-0000-0000-000044870000}"/>
    <cellStyle name="Normal 3 3 4 2 3 2 2 2 2" xfId="29810" xr:uid="{00000000-0005-0000-0000-000045870000}"/>
    <cellStyle name="Normal 3 3 4 2 3 2 2 2 2 2" xfId="56943" xr:uid="{00000000-0005-0000-0000-000046870000}"/>
    <cellStyle name="Normal 3 3 4 2 3 2 2 2 3" xfId="43381" xr:uid="{00000000-0005-0000-0000-000047870000}"/>
    <cellStyle name="Normal 3 3 4 2 3 2 2 3" xfId="23029" xr:uid="{00000000-0005-0000-0000-000048870000}"/>
    <cellStyle name="Normal 3 3 4 2 3 2 2 3 2" xfId="50162" xr:uid="{00000000-0005-0000-0000-000049870000}"/>
    <cellStyle name="Normal 3 3 4 2 3 2 2 4" xfId="36600" xr:uid="{00000000-0005-0000-0000-00004A870000}"/>
    <cellStyle name="Normal 3 3 4 2 3 2 3" xfId="12853" xr:uid="{00000000-0005-0000-0000-00004B870000}"/>
    <cellStyle name="Normal 3 3 4 2 3 2 3 2" xfId="26421" xr:uid="{00000000-0005-0000-0000-00004C870000}"/>
    <cellStyle name="Normal 3 3 4 2 3 2 3 2 2" xfId="53554" xr:uid="{00000000-0005-0000-0000-00004D870000}"/>
    <cellStyle name="Normal 3 3 4 2 3 2 3 3" xfId="39992" xr:uid="{00000000-0005-0000-0000-00004E870000}"/>
    <cellStyle name="Normal 3 3 4 2 3 2 4" xfId="19640" xr:uid="{00000000-0005-0000-0000-00004F870000}"/>
    <cellStyle name="Normal 3 3 4 2 3 2 4 2" xfId="46773" xr:uid="{00000000-0005-0000-0000-000050870000}"/>
    <cellStyle name="Normal 3 3 4 2 3 2 5" xfId="33211" xr:uid="{00000000-0005-0000-0000-000051870000}"/>
    <cellStyle name="Normal 3 3 4 2 3 3" xfId="5910" xr:uid="{00000000-0005-0000-0000-000052870000}"/>
    <cellStyle name="Normal 3 3 4 2 3 3 2" xfId="9453" xr:uid="{00000000-0005-0000-0000-000053870000}"/>
    <cellStyle name="Normal 3 3 4 2 3 3 2 2" xfId="16243" xr:uid="{00000000-0005-0000-0000-000054870000}"/>
    <cellStyle name="Normal 3 3 4 2 3 3 2 2 2" xfId="29811" xr:uid="{00000000-0005-0000-0000-000055870000}"/>
    <cellStyle name="Normal 3 3 4 2 3 3 2 2 2 2" xfId="56944" xr:uid="{00000000-0005-0000-0000-000056870000}"/>
    <cellStyle name="Normal 3 3 4 2 3 3 2 2 3" xfId="43382" xr:uid="{00000000-0005-0000-0000-000057870000}"/>
    <cellStyle name="Normal 3 3 4 2 3 3 2 3" xfId="23030" xr:uid="{00000000-0005-0000-0000-000058870000}"/>
    <cellStyle name="Normal 3 3 4 2 3 3 2 3 2" xfId="50163" xr:uid="{00000000-0005-0000-0000-000059870000}"/>
    <cellStyle name="Normal 3 3 4 2 3 3 2 4" xfId="36601" xr:uid="{00000000-0005-0000-0000-00005A870000}"/>
    <cellStyle name="Normal 3 3 4 2 3 3 3" xfId="12854" xr:uid="{00000000-0005-0000-0000-00005B870000}"/>
    <cellStyle name="Normal 3 3 4 2 3 3 3 2" xfId="26422" xr:uid="{00000000-0005-0000-0000-00005C870000}"/>
    <cellStyle name="Normal 3 3 4 2 3 3 3 2 2" xfId="53555" xr:uid="{00000000-0005-0000-0000-00005D870000}"/>
    <cellStyle name="Normal 3 3 4 2 3 3 3 3" xfId="39993" xr:uid="{00000000-0005-0000-0000-00005E870000}"/>
    <cellStyle name="Normal 3 3 4 2 3 3 4" xfId="19641" xr:uid="{00000000-0005-0000-0000-00005F870000}"/>
    <cellStyle name="Normal 3 3 4 2 3 3 4 2" xfId="46774" xr:uid="{00000000-0005-0000-0000-000060870000}"/>
    <cellStyle name="Normal 3 3 4 2 3 3 5" xfId="33212" xr:uid="{00000000-0005-0000-0000-000061870000}"/>
    <cellStyle name="Normal 3 3 4 2 3 4" xfId="9451" xr:uid="{00000000-0005-0000-0000-000062870000}"/>
    <cellStyle name="Normal 3 3 4 2 3 4 2" xfId="16241" xr:uid="{00000000-0005-0000-0000-000063870000}"/>
    <cellStyle name="Normal 3 3 4 2 3 4 2 2" xfId="29809" xr:uid="{00000000-0005-0000-0000-000064870000}"/>
    <cellStyle name="Normal 3 3 4 2 3 4 2 2 2" xfId="56942" xr:uid="{00000000-0005-0000-0000-000065870000}"/>
    <cellStyle name="Normal 3 3 4 2 3 4 2 3" xfId="43380" xr:uid="{00000000-0005-0000-0000-000066870000}"/>
    <cellStyle name="Normal 3 3 4 2 3 4 3" xfId="23028" xr:uid="{00000000-0005-0000-0000-000067870000}"/>
    <cellStyle name="Normal 3 3 4 2 3 4 3 2" xfId="50161" xr:uid="{00000000-0005-0000-0000-000068870000}"/>
    <cellStyle name="Normal 3 3 4 2 3 4 4" xfId="36599" xr:uid="{00000000-0005-0000-0000-000069870000}"/>
    <cellStyle name="Normal 3 3 4 2 3 5" xfId="12852" xr:uid="{00000000-0005-0000-0000-00006A870000}"/>
    <cellStyle name="Normal 3 3 4 2 3 5 2" xfId="26420" xr:uid="{00000000-0005-0000-0000-00006B870000}"/>
    <cellStyle name="Normal 3 3 4 2 3 5 2 2" xfId="53553" xr:uid="{00000000-0005-0000-0000-00006C870000}"/>
    <cellStyle name="Normal 3 3 4 2 3 5 3" xfId="39991" xr:uid="{00000000-0005-0000-0000-00006D870000}"/>
    <cellStyle name="Normal 3 3 4 2 3 6" xfId="19639" xr:uid="{00000000-0005-0000-0000-00006E870000}"/>
    <cellStyle name="Normal 3 3 4 2 3 6 2" xfId="46772" xr:uid="{00000000-0005-0000-0000-00006F870000}"/>
    <cellStyle name="Normal 3 3 4 2 3 7" xfId="33210" xr:uid="{00000000-0005-0000-0000-000070870000}"/>
    <cellStyle name="Normal 3 3 4 2 4" xfId="5911" xr:uid="{00000000-0005-0000-0000-000071870000}"/>
    <cellStyle name="Normal 3 3 4 2 4 2" xfId="5912" xr:uid="{00000000-0005-0000-0000-000072870000}"/>
    <cellStyle name="Normal 3 3 4 2 4 2 2" xfId="9455" xr:uid="{00000000-0005-0000-0000-000073870000}"/>
    <cellStyle name="Normal 3 3 4 2 4 2 2 2" xfId="16245" xr:uid="{00000000-0005-0000-0000-000074870000}"/>
    <cellStyle name="Normal 3 3 4 2 4 2 2 2 2" xfId="29813" xr:uid="{00000000-0005-0000-0000-000075870000}"/>
    <cellStyle name="Normal 3 3 4 2 4 2 2 2 2 2" xfId="56946" xr:uid="{00000000-0005-0000-0000-000076870000}"/>
    <cellStyle name="Normal 3 3 4 2 4 2 2 2 3" xfId="43384" xr:uid="{00000000-0005-0000-0000-000077870000}"/>
    <cellStyle name="Normal 3 3 4 2 4 2 2 3" xfId="23032" xr:uid="{00000000-0005-0000-0000-000078870000}"/>
    <cellStyle name="Normal 3 3 4 2 4 2 2 3 2" xfId="50165" xr:uid="{00000000-0005-0000-0000-000079870000}"/>
    <cellStyle name="Normal 3 3 4 2 4 2 2 4" xfId="36603" xr:uid="{00000000-0005-0000-0000-00007A870000}"/>
    <cellStyle name="Normal 3 3 4 2 4 2 3" xfId="12856" xr:uid="{00000000-0005-0000-0000-00007B870000}"/>
    <cellStyle name="Normal 3 3 4 2 4 2 3 2" xfId="26424" xr:uid="{00000000-0005-0000-0000-00007C870000}"/>
    <cellStyle name="Normal 3 3 4 2 4 2 3 2 2" xfId="53557" xr:uid="{00000000-0005-0000-0000-00007D870000}"/>
    <cellStyle name="Normal 3 3 4 2 4 2 3 3" xfId="39995" xr:uid="{00000000-0005-0000-0000-00007E870000}"/>
    <cellStyle name="Normal 3 3 4 2 4 2 4" xfId="19643" xr:uid="{00000000-0005-0000-0000-00007F870000}"/>
    <cellStyle name="Normal 3 3 4 2 4 2 4 2" xfId="46776" xr:uid="{00000000-0005-0000-0000-000080870000}"/>
    <cellStyle name="Normal 3 3 4 2 4 2 5" xfId="33214" xr:uid="{00000000-0005-0000-0000-000081870000}"/>
    <cellStyle name="Normal 3 3 4 2 4 3" xfId="9454" xr:uid="{00000000-0005-0000-0000-000082870000}"/>
    <cellStyle name="Normal 3 3 4 2 4 3 2" xfId="16244" xr:uid="{00000000-0005-0000-0000-000083870000}"/>
    <cellStyle name="Normal 3 3 4 2 4 3 2 2" xfId="29812" xr:uid="{00000000-0005-0000-0000-000084870000}"/>
    <cellStyle name="Normal 3 3 4 2 4 3 2 2 2" xfId="56945" xr:uid="{00000000-0005-0000-0000-000085870000}"/>
    <cellStyle name="Normal 3 3 4 2 4 3 2 3" xfId="43383" xr:uid="{00000000-0005-0000-0000-000086870000}"/>
    <cellStyle name="Normal 3 3 4 2 4 3 3" xfId="23031" xr:uid="{00000000-0005-0000-0000-000087870000}"/>
    <cellStyle name="Normal 3 3 4 2 4 3 3 2" xfId="50164" xr:uid="{00000000-0005-0000-0000-000088870000}"/>
    <cellStyle name="Normal 3 3 4 2 4 3 4" xfId="36602" xr:uid="{00000000-0005-0000-0000-000089870000}"/>
    <cellStyle name="Normal 3 3 4 2 4 4" xfId="12855" xr:uid="{00000000-0005-0000-0000-00008A870000}"/>
    <cellStyle name="Normal 3 3 4 2 4 4 2" xfId="26423" xr:uid="{00000000-0005-0000-0000-00008B870000}"/>
    <cellStyle name="Normal 3 3 4 2 4 4 2 2" xfId="53556" xr:uid="{00000000-0005-0000-0000-00008C870000}"/>
    <cellStyle name="Normal 3 3 4 2 4 4 3" xfId="39994" xr:uid="{00000000-0005-0000-0000-00008D870000}"/>
    <cellStyle name="Normal 3 3 4 2 4 5" xfId="19642" xr:uid="{00000000-0005-0000-0000-00008E870000}"/>
    <cellStyle name="Normal 3 3 4 2 4 5 2" xfId="46775" xr:uid="{00000000-0005-0000-0000-00008F870000}"/>
    <cellStyle name="Normal 3 3 4 2 4 6" xfId="33213" xr:uid="{00000000-0005-0000-0000-000090870000}"/>
    <cellStyle name="Normal 3 3 4 2 5" xfId="5913" xr:uid="{00000000-0005-0000-0000-000091870000}"/>
    <cellStyle name="Normal 3 3 4 2 5 2" xfId="9456" xr:uid="{00000000-0005-0000-0000-000092870000}"/>
    <cellStyle name="Normal 3 3 4 2 5 2 2" xfId="16246" xr:uid="{00000000-0005-0000-0000-000093870000}"/>
    <cellStyle name="Normal 3 3 4 2 5 2 2 2" xfId="29814" xr:uid="{00000000-0005-0000-0000-000094870000}"/>
    <cellStyle name="Normal 3 3 4 2 5 2 2 2 2" xfId="56947" xr:uid="{00000000-0005-0000-0000-000095870000}"/>
    <cellStyle name="Normal 3 3 4 2 5 2 2 3" xfId="43385" xr:uid="{00000000-0005-0000-0000-000096870000}"/>
    <cellStyle name="Normal 3 3 4 2 5 2 3" xfId="23033" xr:uid="{00000000-0005-0000-0000-000097870000}"/>
    <cellStyle name="Normal 3 3 4 2 5 2 3 2" xfId="50166" xr:uid="{00000000-0005-0000-0000-000098870000}"/>
    <cellStyle name="Normal 3 3 4 2 5 2 4" xfId="36604" xr:uid="{00000000-0005-0000-0000-000099870000}"/>
    <cellStyle name="Normal 3 3 4 2 5 3" xfId="12857" xr:uid="{00000000-0005-0000-0000-00009A870000}"/>
    <cellStyle name="Normal 3 3 4 2 5 3 2" xfId="26425" xr:uid="{00000000-0005-0000-0000-00009B870000}"/>
    <cellStyle name="Normal 3 3 4 2 5 3 2 2" xfId="53558" xr:uid="{00000000-0005-0000-0000-00009C870000}"/>
    <cellStyle name="Normal 3 3 4 2 5 3 3" xfId="39996" xr:uid="{00000000-0005-0000-0000-00009D870000}"/>
    <cellStyle name="Normal 3 3 4 2 5 4" xfId="19644" xr:uid="{00000000-0005-0000-0000-00009E870000}"/>
    <cellStyle name="Normal 3 3 4 2 5 4 2" xfId="46777" xr:uid="{00000000-0005-0000-0000-00009F870000}"/>
    <cellStyle name="Normal 3 3 4 2 5 5" xfId="33215" xr:uid="{00000000-0005-0000-0000-0000A0870000}"/>
    <cellStyle name="Normal 3 3 4 2 6" xfId="5914" xr:uid="{00000000-0005-0000-0000-0000A1870000}"/>
    <cellStyle name="Normal 3 3 4 2 6 2" xfId="9457" xr:uid="{00000000-0005-0000-0000-0000A2870000}"/>
    <cellStyle name="Normal 3 3 4 2 6 2 2" xfId="16247" xr:uid="{00000000-0005-0000-0000-0000A3870000}"/>
    <cellStyle name="Normal 3 3 4 2 6 2 2 2" xfId="29815" xr:uid="{00000000-0005-0000-0000-0000A4870000}"/>
    <cellStyle name="Normal 3 3 4 2 6 2 2 2 2" xfId="56948" xr:uid="{00000000-0005-0000-0000-0000A5870000}"/>
    <cellStyle name="Normal 3 3 4 2 6 2 2 3" xfId="43386" xr:uid="{00000000-0005-0000-0000-0000A6870000}"/>
    <cellStyle name="Normal 3 3 4 2 6 2 3" xfId="23034" xr:uid="{00000000-0005-0000-0000-0000A7870000}"/>
    <cellStyle name="Normal 3 3 4 2 6 2 3 2" xfId="50167" xr:uid="{00000000-0005-0000-0000-0000A8870000}"/>
    <cellStyle name="Normal 3 3 4 2 6 2 4" xfId="36605" xr:uid="{00000000-0005-0000-0000-0000A9870000}"/>
    <cellStyle name="Normal 3 3 4 2 6 3" xfId="12858" xr:uid="{00000000-0005-0000-0000-0000AA870000}"/>
    <cellStyle name="Normal 3 3 4 2 6 3 2" xfId="26426" xr:uid="{00000000-0005-0000-0000-0000AB870000}"/>
    <cellStyle name="Normal 3 3 4 2 6 3 2 2" xfId="53559" xr:uid="{00000000-0005-0000-0000-0000AC870000}"/>
    <cellStyle name="Normal 3 3 4 2 6 3 3" xfId="39997" xr:uid="{00000000-0005-0000-0000-0000AD870000}"/>
    <cellStyle name="Normal 3 3 4 2 6 4" xfId="19645" xr:uid="{00000000-0005-0000-0000-0000AE870000}"/>
    <cellStyle name="Normal 3 3 4 2 6 4 2" xfId="46778" xr:uid="{00000000-0005-0000-0000-0000AF870000}"/>
    <cellStyle name="Normal 3 3 4 2 6 5" xfId="33216" xr:uid="{00000000-0005-0000-0000-0000B0870000}"/>
    <cellStyle name="Normal 3 3 4 2 7" xfId="7511" xr:uid="{00000000-0005-0000-0000-0000B1870000}"/>
    <cellStyle name="Normal 3 3 4 2 7 2" xfId="14301" xr:uid="{00000000-0005-0000-0000-0000B2870000}"/>
    <cellStyle name="Normal 3 3 4 2 7 2 2" xfId="27869" xr:uid="{00000000-0005-0000-0000-0000B3870000}"/>
    <cellStyle name="Normal 3 3 4 2 7 2 2 2" xfId="55002" xr:uid="{00000000-0005-0000-0000-0000B4870000}"/>
    <cellStyle name="Normal 3 3 4 2 7 2 3" xfId="41440" xr:uid="{00000000-0005-0000-0000-0000B5870000}"/>
    <cellStyle name="Normal 3 3 4 2 7 3" xfId="21088" xr:uid="{00000000-0005-0000-0000-0000B6870000}"/>
    <cellStyle name="Normal 3 3 4 2 7 3 2" xfId="48221" xr:uid="{00000000-0005-0000-0000-0000B7870000}"/>
    <cellStyle name="Normal 3 3 4 2 7 4" xfId="34659" xr:uid="{00000000-0005-0000-0000-0000B8870000}"/>
    <cellStyle name="Normal 3 3 4 2 8" xfId="10912" xr:uid="{00000000-0005-0000-0000-0000B9870000}"/>
    <cellStyle name="Normal 3 3 4 2 8 2" xfId="24480" xr:uid="{00000000-0005-0000-0000-0000BA870000}"/>
    <cellStyle name="Normal 3 3 4 2 8 2 2" xfId="51613" xr:uid="{00000000-0005-0000-0000-0000BB870000}"/>
    <cellStyle name="Normal 3 3 4 2 8 3" xfId="38051" xr:uid="{00000000-0005-0000-0000-0000BC870000}"/>
    <cellStyle name="Normal 3 3 4 2 9" xfId="17699" xr:uid="{00000000-0005-0000-0000-0000BD870000}"/>
    <cellStyle name="Normal 3 3 4 2 9 2" xfId="44832" xr:uid="{00000000-0005-0000-0000-0000BE870000}"/>
    <cellStyle name="Normal 3 3 4 3" xfId="5915" xr:uid="{00000000-0005-0000-0000-0000BF870000}"/>
    <cellStyle name="Normal 3 3 4 3 2" xfId="5916" xr:uid="{00000000-0005-0000-0000-0000C0870000}"/>
    <cellStyle name="Normal 3 3 4 3 2 2" xfId="5917" xr:uid="{00000000-0005-0000-0000-0000C1870000}"/>
    <cellStyle name="Normal 3 3 4 3 2 2 2" xfId="9460" xr:uid="{00000000-0005-0000-0000-0000C2870000}"/>
    <cellStyle name="Normal 3 3 4 3 2 2 2 2" xfId="16250" xr:uid="{00000000-0005-0000-0000-0000C3870000}"/>
    <cellStyle name="Normal 3 3 4 3 2 2 2 2 2" xfId="29818" xr:uid="{00000000-0005-0000-0000-0000C4870000}"/>
    <cellStyle name="Normal 3 3 4 3 2 2 2 2 2 2" xfId="56951" xr:uid="{00000000-0005-0000-0000-0000C5870000}"/>
    <cellStyle name="Normal 3 3 4 3 2 2 2 2 3" xfId="43389" xr:uid="{00000000-0005-0000-0000-0000C6870000}"/>
    <cellStyle name="Normal 3 3 4 3 2 2 2 3" xfId="23037" xr:uid="{00000000-0005-0000-0000-0000C7870000}"/>
    <cellStyle name="Normal 3 3 4 3 2 2 2 3 2" xfId="50170" xr:uid="{00000000-0005-0000-0000-0000C8870000}"/>
    <cellStyle name="Normal 3 3 4 3 2 2 2 4" xfId="36608" xr:uid="{00000000-0005-0000-0000-0000C9870000}"/>
    <cellStyle name="Normal 3 3 4 3 2 2 3" xfId="12861" xr:uid="{00000000-0005-0000-0000-0000CA870000}"/>
    <cellStyle name="Normal 3 3 4 3 2 2 3 2" xfId="26429" xr:uid="{00000000-0005-0000-0000-0000CB870000}"/>
    <cellStyle name="Normal 3 3 4 3 2 2 3 2 2" xfId="53562" xr:uid="{00000000-0005-0000-0000-0000CC870000}"/>
    <cellStyle name="Normal 3 3 4 3 2 2 3 3" xfId="40000" xr:uid="{00000000-0005-0000-0000-0000CD870000}"/>
    <cellStyle name="Normal 3 3 4 3 2 2 4" xfId="19648" xr:uid="{00000000-0005-0000-0000-0000CE870000}"/>
    <cellStyle name="Normal 3 3 4 3 2 2 4 2" xfId="46781" xr:uid="{00000000-0005-0000-0000-0000CF870000}"/>
    <cellStyle name="Normal 3 3 4 3 2 2 5" xfId="33219" xr:uid="{00000000-0005-0000-0000-0000D0870000}"/>
    <cellStyle name="Normal 3 3 4 3 2 3" xfId="5918" xr:uid="{00000000-0005-0000-0000-0000D1870000}"/>
    <cellStyle name="Normal 3 3 4 3 2 3 2" xfId="9461" xr:uid="{00000000-0005-0000-0000-0000D2870000}"/>
    <cellStyle name="Normal 3 3 4 3 2 3 2 2" xfId="16251" xr:uid="{00000000-0005-0000-0000-0000D3870000}"/>
    <cellStyle name="Normal 3 3 4 3 2 3 2 2 2" xfId="29819" xr:uid="{00000000-0005-0000-0000-0000D4870000}"/>
    <cellStyle name="Normal 3 3 4 3 2 3 2 2 2 2" xfId="56952" xr:uid="{00000000-0005-0000-0000-0000D5870000}"/>
    <cellStyle name="Normal 3 3 4 3 2 3 2 2 3" xfId="43390" xr:uid="{00000000-0005-0000-0000-0000D6870000}"/>
    <cellStyle name="Normal 3 3 4 3 2 3 2 3" xfId="23038" xr:uid="{00000000-0005-0000-0000-0000D7870000}"/>
    <cellStyle name="Normal 3 3 4 3 2 3 2 3 2" xfId="50171" xr:uid="{00000000-0005-0000-0000-0000D8870000}"/>
    <cellStyle name="Normal 3 3 4 3 2 3 2 4" xfId="36609" xr:uid="{00000000-0005-0000-0000-0000D9870000}"/>
    <cellStyle name="Normal 3 3 4 3 2 3 3" xfId="12862" xr:uid="{00000000-0005-0000-0000-0000DA870000}"/>
    <cellStyle name="Normal 3 3 4 3 2 3 3 2" xfId="26430" xr:uid="{00000000-0005-0000-0000-0000DB870000}"/>
    <cellStyle name="Normal 3 3 4 3 2 3 3 2 2" xfId="53563" xr:uid="{00000000-0005-0000-0000-0000DC870000}"/>
    <cellStyle name="Normal 3 3 4 3 2 3 3 3" xfId="40001" xr:uid="{00000000-0005-0000-0000-0000DD870000}"/>
    <cellStyle name="Normal 3 3 4 3 2 3 4" xfId="19649" xr:uid="{00000000-0005-0000-0000-0000DE870000}"/>
    <cellStyle name="Normal 3 3 4 3 2 3 4 2" xfId="46782" xr:uid="{00000000-0005-0000-0000-0000DF870000}"/>
    <cellStyle name="Normal 3 3 4 3 2 3 5" xfId="33220" xr:uid="{00000000-0005-0000-0000-0000E0870000}"/>
    <cellStyle name="Normal 3 3 4 3 2 4" xfId="9459" xr:uid="{00000000-0005-0000-0000-0000E1870000}"/>
    <cellStyle name="Normal 3 3 4 3 2 4 2" xfId="16249" xr:uid="{00000000-0005-0000-0000-0000E2870000}"/>
    <cellStyle name="Normal 3 3 4 3 2 4 2 2" xfId="29817" xr:uid="{00000000-0005-0000-0000-0000E3870000}"/>
    <cellStyle name="Normal 3 3 4 3 2 4 2 2 2" xfId="56950" xr:uid="{00000000-0005-0000-0000-0000E4870000}"/>
    <cellStyle name="Normal 3 3 4 3 2 4 2 3" xfId="43388" xr:uid="{00000000-0005-0000-0000-0000E5870000}"/>
    <cellStyle name="Normal 3 3 4 3 2 4 3" xfId="23036" xr:uid="{00000000-0005-0000-0000-0000E6870000}"/>
    <cellStyle name="Normal 3 3 4 3 2 4 3 2" xfId="50169" xr:uid="{00000000-0005-0000-0000-0000E7870000}"/>
    <cellStyle name="Normal 3 3 4 3 2 4 4" xfId="36607" xr:uid="{00000000-0005-0000-0000-0000E8870000}"/>
    <cellStyle name="Normal 3 3 4 3 2 5" xfId="12860" xr:uid="{00000000-0005-0000-0000-0000E9870000}"/>
    <cellStyle name="Normal 3 3 4 3 2 5 2" xfId="26428" xr:uid="{00000000-0005-0000-0000-0000EA870000}"/>
    <cellStyle name="Normal 3 3 4 3 2 5 2 2" xfId="53561" xr:uid="{00000000-0005-0000-0000-0000EB870000}"/>
    <cellStyle name="Normal 3 3 4 3 2 5 3" xfId="39999" xr:uid="{00000000-0005-0000-0000-0000EC870000}"/>
    <cellStyle name="Normal 3 3 4 3 2 6" xfId="19647" xr:uid="{00000000-0005-0000-0000-0000ED870000}"/>
    <cellStyle name="Normal 3 3 4 3 2 6 2" xfId="46780" xr:uid="{00000000-0005-0000-0000-0000EE870000}"/>
    <cellStyle name="Normal 3 3 4 3 2 7" xfId="33218" xr:uid="{00000000-0005-0000-0000-0000EF870000}"/>
    <cellStyle name="Normal 3 3 4 3 3" xfId="5919" xr:uid="{00000000-0005-0000-0000-0000F0870000}"/>
    <cellStyle name="Normal 3 3 4 3 3 2" xfId="5920" xr:uid="{00000000-0005-0000-0000-0000F1870000}"/>
    <cellStyle name="Normal 3 3 4 3 3 2 2" xfId="9463" xr:uid="{00000000-0005-0000-0000-0000F2870000}"/>
    <cellStyle name="Normal 3 3 4 3 3 2 2 2" xfId="16253" xr:uid="{00000000-0005-0000-0000-0000F3870000}"/>
    <cellStyle name="Normal 3 3 4 3 3 2 2 2 2" xfId="29821" xr:uid="{00000000-0005-0000-0000-0000F4870000}"/>
    <cellStyle name="Normal 3 3 4 3 3 2 2 2 2 2" xfId="56954" xr:uid="{00000000-0005-0000-0000-0000F5870000}"/>
    <cellStyle name="Normal 3 3 4 3 3 2 2 2 3" xfId="43392" xr:uid="{00000000-0005-0000-0000-0000F6870000}"/>
    <cellStyle name="Normal 3 3 4 3 3 2 2 3" xfId="23040" xr:uid="{00000000-0005-0000-0000-0000F7870000}"/>
    <cellStyle name="Normal 3 3 4 3 3 2 2 3 2" xfId="50173" xr:uid="{00000000-0005-0000-0000-0000F8870000}"/>
    <cellStyle name="Normal 3 3 4 3 3 2 2 4" xfId="36611" xr:uid="{00000000-0005-0000-0000-0000F9870000}"/>
    <cellStyle name="Normal 3 3 4 3 3 2 3" xfId="12864" xr:uid="{00000000-0005-0000-0000-0000FA870000}"/>
    <cellStyle name="Normal 3 3 4 3 3 2 3 2" xfId="26432" xr:uid="{00000000-0005-0000-0000-0000FB870000}"/>
    <cellStyle name="Normal 3 3 4 3 3 2 3 2 2" xfId="53565" xr:uid="{00000000-0005-0000-0000-0000FC870000}"/>
    <cellStyle name="Normal 3 3 4 3 3 2 3 3" xfId="40003" xr:uid="{00000000-0005-0000-0000-0000FD870000}"/>
    <cellStyle name="Normal 3 3 4 3 3 2 4" xfId="19651" xr:uid="{00000000-0005-0000-0000-0000FE870000}"/>
    <cellStyle name="Normal 3 3 4 3 3 2 4 2" xfId="46784" xr:uid="{00000000-0005-0000-0000-0000FF870000}"/>
    <cellStyle name="Normal 3 3 4 3 3 2 5" xfId="33222" xr:uid="{00000000-0005-0000-0000-000000880000}"/>
    <cellStyle name="Normal 3 3 4 3 3 3" xfId="9462" xr:uid="{00000000-0005-0000-0000-000001880000}"/>
    <cellStyle name="Normal 3 3 4 3 3 3 2" xfId="16252" xr:uid="{00000000-0005-0000-0000-000002880000}"/>
    <cellStyle name="Normal 3 3 4 3 3 3 2 2" xfId="29820" xr:uid="{00000000-0005-0000-0000-000003880000}"/>
    <cellStyle name="Normal 3 3 4 3 3 3 2 2 2" xfId="56953" xr:uid="{00000000-0005-0000-0000-000004880000}"/>
    <cellStyle name="Normal 3 3 4 3 3 3 2 3" xfId="43391" xr:uid="{00000000-0005-0000-0000-000005880000}"/>
    <cellStyle name="Normal 3 3 4 3 3 3 3" xfId="23039" xr:uid="{00000000-0005-0000-0000-000006880000}"/>
    <cellStyle name="Normal 3 3 4 3 3 3 3 2" xfId="50172" xr:uid="{00000000-0005-0000-0000-000007880000}"/>
    <cellStyle name="Normal 3 3 4 3 3 3 4" xfId="36610" xr:uid="{00000000-0005-0000-0000-000008880000}"/>
    <cellStyle name="Normal 3 3 4 3 3 4" xfId="12863" xr:uid="{00000000-0005-0000-0000-000009880000}"/>
    <cellStyle name="Normal 3 3 4 3 3 4 2" xfId="26431" xr:uid="{00000000-0005-0000-0000-00000A880000}"/>
    <cellStyle name="Normal 3 3 4 3 3 4 2 2" xfId="53564" xr:uid="{00000000-0005-0000-0000-00000B880000}"/>
    <cellStyle name="Normal 3 3 4 3 3 4 3" xfId="40002" xr:uid="{00000000-0005-0000-0000-00000C880000}"/>
    <cellStyle name="Normal 3 3 4 3 3 5" xfId="19650" xr:uid="{00000000-0005-0000-0000-00000D880000}"/>
    <cellStyle name="Normal 3 3 4 3 3 5 2" xfId="46783" xr:uid="{00000000-0005-0000-0000-00000E880000}"/>
    <cellStyle name="Normal 3 3 4 3 3 6" xfId="33221" xr:uid="{00000000-0005-0000-0000-00000F880000}"/>
    <cellStyle name="Normal 3 3 4 3 4" xfId="5921" xr:uid="{00000000-0005-0000-0000-000010880000}"/>
    <cellStyle name="Normal 3 3 4 3 4 2" xfId="9464" xr:uid="{00000000-0005-0000-0000-000011880000}"/>
    <cellStyle name="Normal 3 3 4 3 4 2 2" xfId="16254" xr:uid="{00000000-0005-0000-0000-000012880000}"/>
    <cellStyle name="Normal 3 3 4 3 4 2 2 2" xfId="29822" xr:uid="{00000000-0005-0000-0000-000013880000}"/>
    <cellStyle name="Normal 3 3 4 3 4 2 2 2 2" xfId="56955" xr:uid="{00000000-0005-0000-0000-000014880000}"/>
    <cellStyle name="Normal 3 3 4 3 4 2 2 3" xfId="43393" xr:uid="{00000000-0005-0000-0000-000015880000}"/>
    <cellStyle name="Normal 3 3 4 3 4 2 3" xfId="23041" xr:uid="{00000000-0005-0000-0000-000016880000}"/>
    <cellStyle name="Normal 3 3 4 3 4 2 3 2" xfId="50174" xr:uid="{00000000-0005-0000-0000-000017880000}"/>
    <cellStyle name="Normal 3 3 4 3 4 2 4" xfId="36612" xr:uid="{00000000-0005-0000-0000-000018880000}"/>
    <cellStyle name="Normal 3 3 4 3 4 3" xfId="12865" xr:uid="{00000000-0005-0000-0000-000019880000}"/>
    <cellStyle name="Normal 3 3 4 3 4 3 2" xfId="26433" xr:uid="{00000000-0005-0000-0000-00001A880000}"/>
    <cellStyle name="Normal 3 3 4 3 4 3 2 2" xfId="53566" xr:uid="{00000000-0005-0000-0000-00001B880000}"/>
    <cellStyle name="Normal 3 3 4 3 4 3 3" xfId="40004" xr:uid="{00000000-0005-0000-0000-00001C880000}"/>
    <cellStyle name="Normal 3 3 4 3 4 4" xfId="19652" xr:uid="{00000000-0005-0000-0000-00001D880000}"/>
    <cellStyle name="Normal 3 3 4 3 4 4 2" xfId="46785" xr:uid="{00000000-0005-0000-0000-00001E880000}"/>
    <cellStyle name="Normal 3 3 4 3 4 5" xfId="33223" xr:uid="{00000000-0005-0000-0000-00001F880000}"/>
    <cellStyle name="Normal 3 3 4 3 5" xfId="5922" xr:uid="{00000000-0005-0000-0000-000020880000}"/>
    <cellStyle name="Normal 3 3 4 3 5 2" xfId="9465" xr:uid="{00000000-0005-0000-0000-000021880000}"/>
    <cellStyle name="Normal 3 3 4 3 5 2 2" xfId="16255" xr:uid="{00000000-0005-0000-0000-000022880000}"/>
    <cellStyle name="Normal 3 3 4 3 5 2 2 2" xfId="29823" xr:uid="{00000000-0005-0000-0000-000023880000}"/>
    <cellStyle name="Normal 3 3 4 3 5 2 2 2 2" xfId="56956" xr:uid="{00000000-0005-0000-0000-000024880000}"/>
    <cellStyle name="Normal 3 3 4 3 5 2 2 3" xfId="43394" xr:uid="{00000000-0005-0000-0000-000025880000}"/>
    <cellStyle name="Normal 3 3 4 3 5 2 3" xfId="23042" xr:uid="{00000000-0005-0000-0000-000026880000}"/>
    <cellStyle name="Normal 3 3 4 3 5 2 3 2" xfId="50175" xr:uid="{00000000-0005-0000-0000-000027880000}"/>
    <cellStyle name="Normal 3 3 4 3 5 2 4" xfId="36613" xr:uid="{00000000-0005-0000-0000-000028880000}"/>
    <cellStyle name="Normal 3 3 4 3 5 3" xfId="12866" xr:uid="{00000000-0005-0000-0000-000029880000}"/>
    <cellStyle name="Normal 3 3 4 3 5 3 2" xfId="26434" xr:uid="{00000000-0005-0000-0000-00002A880000}"/>
    <cellStyle name="Normal 3 3 4 3 5 3 2 2" xfId="53567" xr:uid="{00000000-0005-0000-0000-00002B880000}"/>
    <cellStyle name="Normal 3 3 4 3 5 3 3" xfId="40005" xr:uid="{00000000-0005-0000-0000-00002C880000}"/>
    <cellStyle name="Normal 3 3 4 3 5 4" xfId="19653" xr:uid="{00000000-0005-0000-0000-00002D880000}"/>
    <cellStyle name="Normal 3 3 4 3 5 4 2" xfId="46786" xr:uid="{00000000-0005-0000-0000-00002E880000}"/>
    <cellStyle name="Normal 3 3 4 3 5 5" xfId="33224" xr:uid="{00000000-0005-0000-0000-00002F880000}"/>
    <cellStyle name="Normal 3 3 4 3 6" xfId="9458" xr:uid="{00000000-0005-0000-0000-000030880000}"/>
    <cellStyle name="Normal 3 3 4 3 6 2" xfId="16248" xr:uid="{00000000-0005-0000-0000-000031880000}"/>
    <cellStyle name="Normal 3 3 4 3 6 2 2" xfId="29816" xr:uid="{00000000-0005-0000-0000-000032880000}"/>
    <cellStyle name="Normal 3 3 4 3 6 2 2 2" xfId="56949" xr:uid="{00000000-0005-0000-0000-000033880000}"/>
    <cellStyle name="Normal 3 3 4 3 6 2 3" xfId="43387" xr:uid="{00000000-0005-0000-0000-000034880000}"/>
    <cellStyle name="Normal 3 3 4 3 6 3" xfId="23035" xr:uid="{00000000-0005-0000-0000-000035880000}"/>
    <cellStyle name="Normal 3 3 4 3 6 3 2" xfId="50168" xr:uid="{00000000-0005-0000-0000-000036880000}"/>
    <cellStyle name="Normal 3 3 4 3 6 4" xfId="36606" xr:uid="{00000000-0005-0000-0000-000037880000}"/>
    <cellStyle name="Normal 3 3 4 3 7" xfId="12859" xr:uid="{00000000-0005-0000-0000-000038880000}"/>
    <cellStyle name="Normal 3 3 4 3 7 2" xfId="26427" xr:uid="{00000000-0005-0000-0000-000039880000}"/>
    <cellStyle name="Normal 3 3 4 3 7 2 2" xfId="53560" xr:uid="{00000000-0005-0000-0000-00003A880000}"/>
    <cellStyle name="Normal 3 3 4 3 7 3" xfId="39998" xr:uid="{00000000-0005-0000-0000-00003B880000}"/>
    <cellStyle name="Normal 3 3 4 3 8" xfId="19646" xr:uid="{00000000-0005-0000-0000-00003C880000}"/>
    <cellStyle name="Normal 3 3 4 3 8 2" xfId="46779" xr:uid="{00000000-0005-0000-0000-00003D880000}"/>
    <cellStyle name="Normal 3 3 4 3 9" xfId="33217" xr:uid="{00000000-0005-0000-0000-00003E880000}"/>
    <cellStyle name="Normal 3 3 4 4" xfId="5923" xr:uid="{00000000-0005-0000-0000-00003F880000}"/>
    <cellStyle name="Normal 3 3 4 4 2" xfId="5924" xr:uid="{00000000-0005-0000-0000-000040880000}"/>
    <cellStyle name="Normal 3 3 4 4 2 2" xfId="5925" xr:uid="{00000000-0005-0000-0000-000041880000}"/>
    <cellStyle name="Normal 3 3 4 4 2 2 2" xfId="9468" xr:uid="{00000000-0005-0000-0000-000042880000}"/>
    <cellStyle name="Normal 3 3 4 4 2 2 2 2" xfId="16258" xr:uid="{00000000-0005-0000-0000-000043880000}"/>
    <cellStyle name="Normal 3 3 4 4 2 2 2 2 2" xfId="29826" xr:uid="{00000000-0005-0000-0000-000044880000}"/>
    <cellStyle name="Normal 3 3 4 4 2 2 2 2 2 2" xfId="56959" xr:uid="{00000000-0005-0000-0000-000045880000}"/>
    <cellStyle name="Normal 3 3 4 4 2 2 2 2 3" xfId="43397" xr:uid="{00000000-0005-0000-0000-000046880000}"/>
    <cellStyle name="Normal 3 3 4 4 2 2 2 3" xfId="23045" xr:uid="{00000000-0005-0000-0000-000047880000}"/>
    <cellStyle name="Normal 3 3 4 4 2 2 2 3 2" xfId="50178" xr:uid="{00000000-0005-0000-0000-000048880000}"/>
    <cellStyle name="Normal 3 3 4 4 2 2 2 4" xfId="36616" xr:uid="{00000000-0005-0000-0000-000049880000}"/>
    <cellStyle name="Normal 3 3 4 4 2 2 3" xfId="12869" xr:uid="{00000000-0005-0000-0000-00004A880000}"/>
    <cellStyle name="Normal 3 3 4 4 2 2 3 2" xfId="26437" xr:uid="{00000000-0005-0000-0000-00004B880000}"/>
    <cellStyle name="Normal 3 3 4 4 2 2 3 2 2" xfId="53570" xr:uid="{00000000-0005-0000-0000-00004C880000}"/>
    <cellStyle name="Normal 3 3 4 4 2 2 3 3" xfId="40008" xr:uid="{00000000-0005-0000-0000-00004D880000}"/>
    <cellStyle name="Normal 3 3 4 4 2 2 4" xfId="19656" xr:uid="{00000000-0005-0000-0000-00004E880000}"/>
    <cellStyle name="Normal 3 3 4 4 2 2 4 2" xfId="46789" xr:uid="{00000000-0005-0000-0000-00004F880000}"/>
    <cellStyle name="Normal 3 3 4 4 2 2 5" xfId="33227" xr:uid="{00000000-0005-0000-0000-000050880000}"/>
    <cellStyle name="Normal 3 3 4 4 2 3" xfId="5926" xr:uid="{00000000-0005-0000-0000-000051880000}"/>
    <cellStyle name="Normal 3 3 4 4 2 3 2" xfId="9469" xr:uid="{00000000-0005-0000-0000-000052880000}"/>
    <cellStyle name="Normal 3 3 4 4 2 3 2 2" xfId="16259" xr:uid="{00000000-0005-0000-0000-000053880000}"/>
    <cellStyle name="Normal 3 3 4 4 2 3 2 2 2" xfId="29827" xr:uid="{00000000-0005-0000-0000-000054880000}"/>
    <cellStyle name="Normal 3 3 4 4 2 3 2 2 2 2" xfId="56960" xr:uid="{00000000-0005-0000-0000-000055880000}"/>
    <cellStyle name="Normal 3 3 4 4 2 3 2 2 3" xfId="43398" xr:uid="{00000000-0005-0000-0000-000056880000}"/>
    <cellStyle name="Normal 3 3 4 4 2 3 2 3" xfId="23046" xr:uid="{00000000-0005-0000-0000-000057880000}"/>
    <cellStyle name="Normal 3 3 4 4 2 3 2 3 2" xfId="50179" xr:uid="{00000000-0005-0000-0000-000058880000}"/>
    <cellStyle name="Normal 3 3 4 4 2 3 2 4" xfId="36617" xr:uid="{00000000-0005-0000-0000-000059880000}"/>
    <cellStyle name="Normal 3 3 4 4 2 3 3" xfId="12870" xr:uid="{00000000-0005-0000-0000-00005A880000}"/>
    <cellStyle name="Normal 3 3 4 4 2 3 3 2" xfId="26438" xr:uid="{00000000-0005-0000-0000-00005B880000}"/>
    <cellStyle name="Normal 3 3 4 4 2 3 3 2 2" xfId="53571" xr:uid="{00000000-0005-0000-0000-00005C880000}"/>
    <cellStyle name="Normal 3 3 4 4 2 3 3 3" xfId="40009" xr:uid="{00000000-0005-0000-0000-00005D880000}"/>
    <cellStyle name="Normal 3 3 4 4 2 3 4" xfId="19657" xr:uid="{00000000-0005-0000-0000-00005E880000}"/>
    <cellStyle name="Normal 3 3 4 4 2 3 4 2" xfId="46790" xr:uid="{00000000-0005-0000-0000-00005F880000}"/>
    <cellStyle name="Normal 3 3 4 4 2 3 5" xfId="33228" xr:uid="{00000000-0005-0000-0000-000060880000}"/>
    <cellStyle name="Normal 3 3 4 4 2 4" xfId="9467" xr:uid="{00000000-0005-0000-0000-000061880000}"/>
    <cellStyle name="Normal 3 3 4 4 2 4 2" xfId="16257" xr:uid="{00000000-0005-0000-0000-000062880000}"/>
    <cellStyle name="Normal 3 3 4 4 2 4 2 2" xfId="29825" xr:uid="{00000000-0005-0000-0000-000063880000}"/>
    <cellStyle name="Normal 3 3 4 4 2 4 2 2 2" xfId="56958" xr:uid="{00000000-0005-0000-0000-000064880000}"/>
    <cellStyle name="Normal 3 3 4 4 2 4 2 3" xfId="43396" xr:uid="{00000000-0005-0000-0000-000065880000}"/>
    <cellStyle name="Normal 3 3 4 4 2 4 3" xfId="23044" xr:uid="{00000000-0005-0000-0000-000066880000}"/>
    <cellStyle name="Normal 3 3 4 4 2 4 3 2" xfId="50177" xr:uid="{00000000-0005-0000-0000-000067880000}"/>
    <cellStyle name="Normal 3 3 4 4 2 4 4" xfId="36615" xr:uid="{00000000-0005-0000-0000-000068880000}"/>
    <cellStyle name="Normal 3 3 4 4 2 5" xfId="12868" xr:uid="{00000000-0005-0000-0000-000069880000}"/>
    <cellStyle name="Normal 3 3 4 4 2 5 2" xfId="26436" xr:uid="{00000000-0005-0000-0000-00006A880000}"/>
    <cellStyle name="Normal 3 3 4 4 2 5 2 2" xfId="53569" xr:uid="{00000000-0005-0000-0000-00006B880000}"/>
    <cellStyle name="Normal 3 3 4 4 2 5 3" xfId="40007" xr:uid="{00000000-0005-0000-0000-00006C880000}"/>
    <cellStyle name="Normal 3 3 4 4 2 6" xfId="19655" xr:uid="{00000000-0005-0000-0000-00006D880000}"/>
    <cellStyle name="Normal 3 3 4 4 2 6 2" xfId="46788" xr:uid="{00000000-0005-0000-0000-00006E880000}"/>
    <cellStyle name="Normal 3 3 4 4 2 7" xfId="33226" xr:uid="{00000000-0005-0000-0000-00006F880000}"/>
    <cellStyle name="Normal 3 3 4 4 3" xfId="5927" xr:uid="{00000000-0005-0000-0000-000070880000}"/>
    <cellStyle name="Normal 3 3 4 4 3 2" xfId="9470" xr:uid="{00000000-0005-0000-0000-000071880000}"/>
    <cellStyle name="Normal 3 3 4 4 3 2 2" xfId="16260" xr:uid="{00000000-0005-0000-0000-000072880000}"/>
    <cellStyle name="Normal 3 3 4 4 3 2 2 2" xfId="29828" xr:uid="{00000000-0005-0000-0000-000073880000}"/>
    <cellStyle name="Normal 3 3 4 4 3 2 2 2 2" xfId="56961" xr:uid="{00000000-0005-0000-0000-000074880000}"/>
    <cellStyle name="Normal 3 3 4 4 3 2 2 3" xfId="43399" xr:uid="{00000000-0005-0000-0000-000075880000}"/>
    <cellStyle name="Normal 3 3 4 4 3 2 3" xfId="23047" xr:uid="{00000000-0005-0000-0000-000076880000}"/>
    <cellStyle name="Normal 3 3 4 4 3 2 3 2" xfId="50180" xr:uid="{00000000-0005-0000-0000-000077880000}"/>
    <cellStyle name="Normal 3 3 4 4 3 2 4" xfId="36618" xr:uid="{00000000-0005-0000-0000-000078880000}"/>
    <cellStyle name="Normal 3 3 4 4 3 3" xfId="12871" xr:uid="{00000000-0005-0000-0000-000079880000}"/>
    <cellStyle name="Normal 3 3 4 4 3 3 2" xfId="26439" xr:uid="{00000000-0005-0000-0000-00007A880000}"/>
    <cellStyle name="Normal 3 3 4 4 3 3 2 2" xfId="53572" xr:uid="{00000000-0005-0000-0000-00007B880000}"/>
    <cellStyle name="Normal 3 3 4 4 3 3 3" xfId="40010" xr:uid="{00000000-0005-0000-0000-00007C880000}"/>
    <cellStyle name="Normal 3 3 4 4 3 4" xfId="19658" xr:uid="{00000000-0005-0000-0000-00007D880000}"/>
    <cellStyle name="Normal 3 3 4 4 3 4 2" xfId="46791" xr:uid="{00000000-0005-0000-0000-00007E880000}"/>
    <cellStyle name="Normal 3 3 4 4 3 5" xfId="33229" xr:uid="{00000000-0005-0000-0000-00007F880000}"/>
    <cellStyle name="Normal 3 3 4 4 4" xfId="5928" xr:uid="{00000000-0005-0000-0000-000080880000}"/>
    <cellStyle name="Normal 3 3 4 4 4 2" xfId="9471" xr:uid="{00000000-0005-0000-0000-000081880000}"/>
    <cellStyle name="Normal 3 3 4 4 4 2 2" xfId="16261" xr:uid="{00000000-0005-0000-0000-000082880000}"/>
    <cellStyle name="Normal 3 3 4 4 4 2 2 2" xfId="29829" xr:uid="{00000000-0005-0000-0000-000083880000}"/>
    <cellStyle name="Normal 3 3 4 4 4 2 2 2 2" xfId="56962" xr:uid="{00000000-0005-0000-0000-000084880000}"/>
    <cellStyle name="Normal 3 3 4 4 4 2 2 3" xfId="43400" xr:uid="{00000000-0005-0000-0000-000085880000}"/>
    <cellStyle name="Normal 3 3 4 4 4 2 3" xfId="23048" xr:uid="{00000000-0005-0000-0000-000086880000}"/>
    <cellStyle name="Normal 3 3 4 4 4 2 3 2" xfId="50181" xr:uid="{00000000-0005-0000-0000-000087880000}"/>
    <cellStyle name="Normal 3 3 4 4 4 2 4" xfId="36619" xr:uid="{00000000-0005-0000-0000-000088880000}"/>
    <cellStyle name="Normal 3 3 4 4 4 3" xfId="12872" xr:uid="{00000000-0005-0000-0000-000089880000}"/>
    <cellStyle name="Normal 3 3 4 4 4 3 2" xfId="26440" xr:uid="{00000000-0005-0000-0000-00008A880000}"/>
    <cellStyle name="Normal 3 3 4 4 4 3 2 2" xfId="53573" xr:uid="{00000000-0005-0000-0000-00008B880000}"/>
    <cellStyle name="Normal 3 3 4 4 4 3 3" xfId="40011" xr:uid="{00000000-0005-0000-0000-00008C880000}"/>
    <cellStyle name="Normal 3 3 4 4 4 4" xfId="19659" xr:uid="{00000000-0005-0000-0000-00008D880000}"/>
    <cellStyle name="Normal 3 3 4 4 4 4 2" xfId="46792" xr:uid="{00000000-0005-0000-0000-00008E880000}"/>
    <cellStyle name="Normal 3 3 4 4 4 5" xfId="33230" xr:uid="{00000000-0005-0000-0000-00008F880000}"/>
    <cellStyle name="Normal 3 3 4 4 5" xfId="9466" xr:uid="{00000000-0005-0000-0000-000090880000}"/>
    <cellStyle name="Normal 3 3 4 4 5 2" xfId="16256" xr:uid="{00000000-0005-0000-0000-000091880000}"/>
    <cellStyle name="Normal 3 3 4 4 5 2 2" xfId="29824" xr:uid="{00000000-0005-0000-0000-000092880000}"/>
    <cellStyle name="Normal 3 3 4 4 5 2 2 2" xfId="56957" xr:uid="{00000000-0005-0000-0000-000093880000}"/>
    <cellStyle name="Normal 3 3 4 4 5 2 3" xfId="43395" xr:uid="{00000000-0005-0000-0000-000094880000}"/>
    <cellStyle name="Normal 3 3 4 4 5 3" xfId="23043" xr:uid="{00000000-0005-0000-0000-000095880000}"/>
    <cellStyle name="Normal 3 3 4 4 5 3 2" xfId="50176" xr:uid="{00000000-0005-0000-0000-000096880000}"/>
    <cellStyle name="Normal 3 3 4 4 5 4" xfId="36614" xr:uid="{00000000-0005-0000-0000-000097880000}"/>
    <cellStyle name="Normal 3 3 4 4 6" xfId="12867" xr:uid="{00000000-0005-0000-0000-000098880000}"/>
    <cellStyle name="Normal 3 3 4 4 6 2" xfId="26435" xr:uid="{00000000-0005-0000-0000-000099880000}"/>
    <cellStyle name="Normal 3 3 4 4 6 2 2" xfId="53568" xr:uid="{00000000-0005-0000-0000-00009A880000}"/>
    <cellStyle name="Normal 3 3 4 4 6 3" xfId="40006" xr:uid="{00000000-0005-0000-0000-00009B880000}"/>
    <cellStyle name="Normal 3 3 4 4 7" xfId="19654" xr:uid="{00000000-0005-0000-0000-00009C880000}"/>
    <cellStyle name="Normal 3 3 4 4 7 2" xfId="46787" xr:uid="{00000000-0005-0000-0000-00009D880000}"/>
    <cellStyle name="Normal 3 3 4 4 8" xfId="33225" xr:uid="{00000000-0005-0000-0000-00009E880000}"/>
    <cellStyle name="Normal 3 3 4 5" xfId="5929" xr:uid="{00000000-0005-0000-0000-00009F880000}"/>
    <cellStyle name="Normal 3 3 4 5 2" xfId="5930" xr:uid="{00000000-0005-0000-0000-0000A0880000}"/>
    <cellStyle name="Normal 3 3 4 5 2 2" xfId="5931" xr:uid="{00000000-0005-0000-0000-0000A1880000}"/>
    <cellStyle name="Normal 3 3 4 5 2 2 2" xfId="9474" xr:uid="{00000000-0005-0000-0000-0000A2880000}"/>
    <cellStyle name="Normal 3 3 4 5 2 2 2 2" xfId="16264" xr:uid="{00000000-0005-0000-0000-0000A3880000}"/>
    <cellStyle name="Normal 3 3 4 5 2 2 2 2 2" xfId="29832" xr:uid="{00000000-0005-0000-0000-0000A4880000}"/>
    <cellStyle name="Normal 3 3 4 5 2 2 2 2 2 2" xfId="56965" xr:uid="{00000000-0005-0000-0000-0000A5880000}"/>
    <cellStyle name="Normal 3 3 4 5 2 2 2 2 3" xfId="43403" xr:uid="{00000000-0005-0000-0000-0000A6880000}"/>
    <cellStyle name="Normal 3 3 4 5 2 2 2 3" xfId="23051" xr:uid="{00000000-0005-0000-0000-0000A7880000}"/>
    <cellStyle name="Normal 3 3 4 5 2 2 2 3 2" xfId="50184" xr:uid="{00000000-0005-0000-0000-0000A8880000}"/>
    <cellStyle name="Normal 3 3 4 5 2 2 2 4" xfId="36622" xr:uid="{00000000-0005-0000-0000-0000A9880000}"/>
    <cellStyle name="Normal 3 3 4 5 2 2 3" xfId="12875" xr:uid="{00000000-0005-0000-0000-0000AA880000}"/>
    <cellStyle name="Normal 3 3 4 5 2 2 3 2" xfId="26443" xr:uid="{00000000-0005-0000-0000-0000AB880000}"/>
    <cellStyle name="Normal 3 3 4 5 2 2 3 2 2" xfId="53576" xr:uid="{00000000-0005-0000-0000-0000AC880000}"/>
    <cellStyle name="Normal 3 3 4 5 2 2 3 3" xfId="40014" xr:uid="{00000000-0005-0000-0000-0000AD880000}"/>
    <cellStyle name="Normal 3 3 4 5 2 2 4" xfId="19662" xr:uid="{00000000-0005-0000-0000-0000AE880000}"/>
    <cellStyle name="Normal 3 3 4 5 2 2 4 2" xfId="46795" xr:uid="{00000000-0005-0000-0000-0000AF880000}"/>
    <cellStyle name="Normal 3 3 4 5 2 2 5" xfId="33233" xr:uid="{00000000-0005-0000-0000-0000B0880000}"/>
    <cellStyle name="Normal 3 3 4 5 2 3" xfId="5932" xr:uid="{00000000-0005-0000-0000-0000B1880000}"/>
    <cellStyle name="Normal 3 3 4 5 2 3 2" xfId="9475" xr:uid="{00000000-0005-0000-0000-0000B2880000}"/>
    <cellStyle name="Normal 3 3 4 5 2 3 2 2" xfId="16265" xr:uid="{00000000-0005-0000-0000-0000B3880000}"/>
    <cellStyle name="Normal 3 3 4 5 2 3 2 2 2" xfId="29833" xr:uid="{00000000-0005-0000-0000-0000B4880000}"/>
    <cellStyle name="Normal 3 3 4 5 2 3 2 2 2 2" xfId="56966" xr:uid="{00000000-0005-0000-0000-0000B5880000}"/>
    <cellStyle name="Normal 3 3 4 5 2 3 2 2 3" xfId="43404" xr:uid="{00000000-0005-0000-0000-0000B6880000}"/>
    <cellStyle name="Normal 3 3 4 5 2 3 2 3" xfId="23052" xr:uid="{00000000-0005-0000-0000-0000B7880000}"/>
    <cellStyle name="Normal 3 3 4 5 2 3 2 3 2" xfId="50185" xr:uid="{00000000-0005-0000-0000-0000B8880000}"/>
    <cellStyle name="Normal 3 3 4 5 2 3 2 4" xfId="36623" xr:uid="{00000000-0005-0000-0000-0000B9880000}"/>
    <cellStyle name="Normal 3 3 4 5 2 3 3" xfId="12876" xr:uid="{00000000-0005-0000-0000-0000BA880000}"/>
    <cellStyle name="Normal 3 3 4 5 2 3 3 2" xfId="26444" xr:uid="{00000000-0005-0000-0000-0000BB880000}"/>
    <cellStyle name="Normal 3 3 4 5 2 3 3 2 2" xfId="53577" xr:uid="{00000000-0005-0000-0000-0000BC880000}"/>
    <cellStyle name="Normal 3 3 4 5 2 3 3 3" xfId="40015" xr:uid="{00000000-0005-0000-0000-0000BD880000}"/>
    <cellStyle name="Normal 3 3 4 5 2 3 4" xfId="19663" xr:uid="{00000000-0005-0000-0000-0000BE880000}"/>
    <cellStyle name="Normal 3 3 4 5 2 3 4 2" xfId="46796" xr:uid="{00000000-0005-0000-0000-0000BF880000}"/>
    <cellStyle name="Normal 3 3 4 5 2 3 5" xfId="33234" xr:uid="{00000000-0005-0000-0000-0000C0880000}"/>
    <cellStyle name="Normal 3 3 4 5 2 4" xfId="9473" xr:uid="{00000000-0005-0000-0000-0000C1880000}"/>
    <cellStyle name="Normal 3 3 4 5 2 4 2" xfId="16263" xr:uid="{00000000-0005-0000-0000-0000C2880000}"/>
    <cellStyle name="Normal 3 3 4 5 2 4 2 2" xfId="29831" xr:uid="{00000000-0005-0000-0000-0000C3880000}"/>
    <cellStyle name="Normal 3 3 4 5 2 4 2 2 2" xfId="56964" xr:uid="{00000000-0005-0000-0000-0000C4880000}"/>
    <cellStyle name="Normal 3 3 4 5 2 4 2 3" xfId="43402" xr:uid="{00000000-0005-0000-0000-0000C5880000}"/>
    <cellStyle name="Normal 3 3 4 5 2 4 3" xfId="23050" xr:uid="{00000000-0005-0000-0000-0000C6880000}"/>
    <cellStyle name="Normal 3 3 4 5 2 4 3 2" xfId="50183" xr:uid="{00000000-0005-0000-0000-0000C7880000}"/>
    <cellStyle name="Normal 3 3 4 5 2 4 4" xfId="36621" xr:uid="{00000000-0005-0000-0000-0000C8880000}"/>
    <cellStyle name="Normal 3 3 4 5 2 5" xfId="12874" xr:uid="{00000000-0005-0000-0000-0000C9880000}"/>
    <cellStyle name="Normal 3 3 4 5 2 5 2" xfId="26442" xr:uid="{00000000-0005-0000-0000-0000CA880000}"/>
    <cellStyle name="Normal 3 3 4 5 2 5 2 2" xfId="53575" xr:uid="{00000000-0005-0000-0000-0000CB880000}"/>
    <cellStyle name="Normal 3 3 4 5 2 5 3" xfId="40013" xr:uid="{00000000-0005-0000-0000-0000CC880000}"/>
    <cellStyle name="Normal 3 3 4 5 2 6" xfId="19661" xr:uid="{00000000-0005-0000-0000-0000CD880000}"/>
    <cellStyle name="Normal 3 3 4 5 2 6 2" xfId="46794" xr:uid="{00000000-0005-0000-0000-0000CE880000}"/>
    <cellStyle name="Normal 3 3 4 5 2 7" xfId="33232" xr:uid="{00000000-0005-0000-0000-0000CF880000}"/>
    <cellStyle name="Normal 3 3 4 5 3" xfId="5933" xr:uid="{00000000-0005-0000-0000-0000D0880000}"/>
    <cellStyle name="Normal 3 3 4 5 3 2" xfId="9476" xr:uid="{00000000-0005-0000-0000-0000D1880000}"/>
    <cellStyle name="Normal 3 3 4 5 3 2 2" xfId="16266" xr:uid="{00000000-0005-0000-0000-0000D2880000}"/>
    <cellStyle name="Normal 3 3 4 5 3 2 2 2" xfId="29834" xr:uid="{00000000-0005-0000-0000-0000D3880000}"/>
    <cellStyle name="Normal 3 3 4 5 3 2 2 2 2" xfId="56967" xr:uid="{00000000-0005-0000-0000-0000D4880000}"/>
    <cellStyle name="Normal 3 3 4 5 3 2 2 3" xfId="43405" xr:uid="{00000000-0005-0000-0000-0000D5880000}"/>
    <cellStyle name="Normal 3 3 4 5 3 2 3" xfId="23053" xr:uid="{00000000-0005-0000-0000-0000D6880000}"/>
    <cellStyle name="Normal 3 3 4 5 3 2 3 2" xfId="50186" xr:uid="{00000000-0005-0000-0000-0000D7880000}"/>
    <cellStyle name="Normal 3 3 4 5 3 2 4" xfId="36624" xr:uid="{00000000-0005-0000-0000-0000D8880000}"/>
    <cellStyle name="Normal 3 3 4 5 3 3" xfId="12877" xr:uid="{00000000-0005-0000-0000-0000D9880000}"/>
    <cellStyle name="Normal 3 3 4 5 3 3 2" xfId="26445" xr:uid="{00000000-0005-0000-0000-0000DA880000}"/>
    <cellStyle name="Normal 3 3 4 5 3 3 2 2" xfId="53578" xr:uid="{00000000-0005-0000-0000-0000DB880000}"/>
    <cellStyle name="Normal 3 3 4 5 3 3 3" xfId="40016" xr:uid="{00000000-0005-0000-0000-0000DC880000}"/>
    <cellStyle name="Normal 3 3 4 5 3 4" xfId="19664" xr:uid="{00000000-0005-0000-0000-0000DD880000}"/>
    <cellStyle name="Normal 3 3 4 5 3 4 2" xfId="46797" xr:uid="{00000000-0005-0000-0000-0000DE880000}"/>
    <cellStyle name="Normal 3 3 4 5 3 5" xfId="33235" xr:uid="{00000000-0005-0000-0000-0000DF880000}"/>
    <cellStyle name="Normal 3 3 4 5 4" xfId="5934" xr:uid="{00000000-0005-0000-0000-0000E0880000}"/>
    <cellStyle name="Normal 3 3 4 5 4 2" xfId="9477" xr:uid="{00000000-0005-0000-0000-0000E1880000}"/>
    <cellStyle name="Normal 3 3 4 5 4 2 2" xfId="16267" xr:uid="{00000000-0005-0000-0000-0000E2880000}"/>
    <cellStyle name="Normal 3 3 4 5 4 2 2 2" xfId="29835" xr:uid="{00000000-0005-0000-0000-0000E3880000}"/>
    <cellStyle name="Normal 3 3 4 5 4 2 2 2 2" xfId="56968" xr:uid="{00000000-0005-0000-0000-0000E4880000}"/>
    <cellStyle name="Normal 3 3 4 5 4 2 2 3" xfId="43406" xr:uid="{00000000-0005-0000-0000-0000E5880000}"/>
    <cellStyle name="Normal 3 3 4 5 4 2 3" xfId="23054" xr:uid="{00000000-0005-0000-0000-0000E6880000}"/>
    <cellStyle name="Normal 3 3 4 5 4 2 3 2" xfId="50187" xr:uid="{00000000-0005-0000-0000-0000E7880000}"/>
    <cellStyle name="Normal 3 3 4 5 4 2 4" xfId="36625" xr:uid="{00000000-0005-0000-0000-0000E8880000}"/>
    <cellStyle name="Normal 3 3 4 5 4 3" xfId="12878" xr:uid="{00000000-0005-0000-0000-0000E9880000}"/>
    <cellStyle name="Normal 3 3 4 5 4 3 2" xfId="26446" xr:uid="{00000000-0005-0000-0000-0000EA880000}"/>
    <cellStyle name="Normal 3 3 4 5 4 3 2 2" xfId="53579" xr:uid="{00000000-0005-0000-0000-0000EB880000}"/>
    <cellStyle name="Normal 3 3 4 5 4 3 3" xfId="40017" xr:uid="{00000000-0005-0000-0000-0000EC880000}"/>
    <cellStyle name="Normal 3 3 4 5 4 4" xfId="19665" xr:uid="{00000000-0005-0000-0000-0000ED880000}"/>
    <cellStyle name="Normal 3 3 4 5 4 4 2" xfId="46798" xr:uid="{00000000-0005-0000-0000-0000EE880000}"/>
    <cellStyle name="Normal 3 3 4 5 4 5" xfId="33236" xr:uid="{00000000-0005-0000-0000-0000EF880000}"/>
    <cellStyle name="Normal 3 3 4 5 5" xfId="9472" xr:uid="{00000000-0005-0000-0000-0000F0880000}"/>
    <cellStyle name="Normal 3 3 4 5 5 2" xfId="16262" xr:uid="{00000000-0005-0000-0000-0000F1880000}"/>
    <cellStyle name="Normal 3 3 4 5 5 2 2" xfId="29830" xr:uid="{00000000-0005-0000-0000-0000F2880000}"/>
    <cellStyle name="Normal 3 3 4 5 5 2 2 2" xfId="56963" xr:uid="{00000000-0005-0000-0000-0000F3880000}"/>
    <cellStyle name="Normal 3 3 4 5 5 2 3" xfId="43401" xr:uid="{00000000-0005-0000-0000-0000F4880000}"/>
    <cellStyle name="Normal 3 3 4 5 5 3" xfId="23049" xr:uid="{00000000-0005-0000-0000-0000F5880000}"/>
    <cellStyle name="Normal 3 3 4 5 5 3 2" xfId="50182" xr:uid="{00000000-0005-0000-0000-0000F6880000}"/>
    <cellStyle name="Normal 3 3 4 5 5 4" xfId="36620" xr:uid="{00000000-0005-0000-0000-0000F7880000}"/>
    <cellStyle name="Normal 3 3 4 5 6" xfId="12873" xr:uid="{00000000-0005-0000-0000-0000F8880000}"/>
    <cellStyle name="Normal 3 3 4 5 6 2" xfId="26441" xr:uid="{00000000-0005-0000-0000-0000F9880000}"/>
    <cellStyle name="Normal 3 3 4 5 6 2 2" xfId="53574" xr:uid="{00000000-0005-0000-0000-0000FA880000}"/>
    <cellStyle name="Normal 3 3 4 5 6 3" xfId="40012" xr:uid="{00000000-0005-0000-0000-0000FB880000}"/>
    <cellStyle name="Normal 3 3 4 5 7" xfId="19660" xr:uid="{00000000-0005-0000-0000-0000FC880000}"/>
    <cellStyle name="Normal 3 3 4 5 7 2" xfId="46793" xr:uid="{00000000-0005-0000-0000-0000FD880000}"/>
    <cellStyle name="Normal 3 3 4 5 8" xfId="33231" xr:uid="{00000000-0005-0000-0000-0000FE880000}"/>
    <cellStyle name="Normal 3 3 4 6" xfId="5935" xr:uid="{00000000-0005-0000-0000-0000FF880000}"/>
    <cellStyle name="Normal 3 3 4 6 2" xfId="5936" xr:uid="{00000000-0005-0000-0000-000000890000}"/>
    <cellStyle name="Normal 3 3 4 6 2 2" xfId="9479" xr:uid="{00000000-0005-0000-0000-000001890000}"/>
    <cellStyle name="Normal 3 3 4 6 2 2 2" xfId="16269" xr:uid="{00000000-0005-0000-0000-000002890000}"/>
    <cellStyle name="Normal 3 3 4 6 2 2 2 2" xfId="29837" xr:uid="{00000000-0005-0000-0000-000003890000}"/>
    <cellStyle name="Normal 3 3 4 6 2 2 2 2 2" xfId="56970" xr:uid="{00000000-0005-0000-0000-000004890000}"/>
    <cellStyle name="Normal 3 3 4 6 2 2 2 3" xfId="43408" xr:uid="{00000000-0005-0000-0000-000005890000}"/>
    <cellStyle name="Normal 3 3 4 6 2 2 3" xfId="23056" xr:uid="{00000000-0005-0000-0000-000006890000}"/>
    <cellStyle name="Normal 3 3 4 6 2 2 3 2" xfId="50189" xr:uid="{00000000-0005-0000-0000-000007890000}"/>
    <cellStyle name="Normal 3 3 4 6 2 2 4" xfId="36627" xr:uid="{00000000-0005-0000-0000-000008890000}"/>
    <cellStyle name="Normal 3 3 4 6 2 3" xfId="12880" xr:uid="{00000000-0005-0000-0000-000009890000}"/>
    <cellStyle name="Normal 3 3 4 6 2 3 2" xfId="26448" xr:uid="{00000000-0005-0000-0000-00000A890000}"/>
    <cellStyle name="Normal 3 3 4 6 2 3 2 2" xfId="53581" xr:uid="{00000000-0005-0000-0000-00000B890000}"/>
    <cellStyle name="Normal 3 3 4 6 2 3 3" xfId="40019" xr:uid="{00000000-0005-0000-0000-00000C890000}"/>
    <cellStyle name="Normal 3 3 4 6 2 4" xfId="19667" xr:uid="{00000000-0005-0000-0000-00000D890000}"/>
    <cellStyle name="Normal 3 3 4 6 2 4 2" xfId="46800" xr:uid="{00000000-0005-0000-0000-00000E890000}"/>
    <cellStyle name="Normal 3 3 4 6 2 5" xfId="33238" xr:uid="{00000000-0005-0000-0000-00000F890000}"/>
    <cellStyle name="Normal 3 3 4 6 3" xfId="5937" xr:uid="{00000000-0005-0000-0000-000010890000}"/>
    <cellStyle name="Normal 3 3 4 6 3 2" xfId="9480" xr:uid="{00000000-0005-0000-0000-000011890000}"/>
    <cellStyle name="Normal 3 3 4 6 3 2 2" xfId="16270" xr:uid="{00000000-0005-0000-0000-000012890000}"/>
    <cellStyle name="Normal 3 3 4 6 3 2 2 2" xfId="29838" xr:uid="{00000000-0005-0000-0000-000013890000}"/>
    <cellStyle name="Normal 3 3 4 6 3 2 2 2 2" xfId="56971" xr:uid="{00000000-0005-0000-0000-000014890000}"/>
    <cellStyle name="Normal 3 3 4 6 3 2 2 3" xfId="43409" xr:uid="{00000000-0005-0000-0000-000015890000}"/>
    <cellStyle name="Normal 3 3 4 6 3 2 3" xfId="23057" xr:uid="{00000000-0005-0000-0000-000016890000}"/>
    <cellStyle name="Normal 3 3 4 6 3 2 3 2" xfId="50190" xr:uid="{00000000-0005-0000-0000-000017890000}"/>
    <cellStyle name="Normal 3 3 4 6 3 2 4" xfId="36628" xr:uid="{00000000-0005-0000-0000-000018890000}"/>
    <cellStyle name="Normal 3 3 4 6 3 3" xfId="12881" xr:uid="{00000000-0005-0000-0000-000019890000}"/>
    <cellStyle name="Normal 3 3 4 6 3 3 2" xfId="26449" xr:uid="{00000000-0005-0000-0000-00001A890000}"/>
    <cellStyle name="Normal 3 3 4 6 3 3 2 2" xfId="53582" xr:uid="{00000000-0005-0000-0000-00001B890000}"/>
    <cellStyle name="Normal 3 3 4 6 3 3 3" xfId="40020" xr:uid="{00000000-0005-0000-0000-00001C890000}"/>
    <cellStyle name="Normal 3 3 4 6 3 4" xfId="19668" xr:uid="{00000000-0005-0000-0000-00001D890000}"/>
    <cellStyle name="Normal 3 3 4 6 3 4 2" xfId="46801" xr:uid="{00000000-0005-0000-0000-00001E890000}"/>
    <cellStyle name="Normal 3 3 4 6 3 5" xfId="33239" xr:uid="{00000000-0005-0000-0000-00001F890000}"/>
    <cellStyle name="Normal 3 3 4 6 4" xfId="9478" xr:uid="{00000000-0005-0000-0000-000020890000}"/>
    <cellStyle name="Normal 3 3 4 6 4 2" xfId="16268" xr:uid="{00000000-0005-0000-0000-000021890000}"/>
    <cellStyle name="Normal 3 3 4 6 4 2 2" xfId="29836" xr:uid="{00000000-0005-0000-0000-000022890000}"/>
    <cellStyle name="Normal 3 3 4 6 4 2 2 2" xfId="56969" xr:uid="{00000000-0005-0000-0000-000023890000}"/>
    <cellStyle name="Normal 3 3 4 6 4 2 3" xfId="43407" xr:uid="{00000000-0005-0000-0000-000024890000}"/>
    <cellStyle name="Normal 3 3 4 6 4 3" xfId="23055" xr:uid="{00000000-0005-0000-0000-000025890000}"/>
    <cellStyle name="Normal 3 3 4 6 4 3 2" xfId="50188" xr:uid="{00000000-0005-0000-0000-000026890000}"/>
    <cellStyle name="Normal 3 3 4 6 4 4" xfId="36626" xr:uid="{00000000-0005-0000-0000-000027890000}"/>
    <cellStyle name="Normal 3 3 4 6 5" xfId="12879" xr:uid="{00000000-0005-0000-0000-000028890000}"/>
    <cellStyle name="Normal 3 3 4 6 5 2" xfId="26447" xr:uid="{00000000-0005-0000-0000-000029890000}"/>
    <cellStyle name="Normal 3 3 4 6 5 2 2" xfId="53580" xr:uid="{00000000-0005-0000-0000-00002A890000}"/>
    <cellStyle name="Normal 3 3 4 6 5 3" xfId="40018" xr:uid="{00000000-0005-0000-0000-00002B890000}"/>
    <cellStyle name="Normal 3 3 4 6 6" xfId="19666" xr:uid="{00000000-0005-0000-0000-00002C890000}"/>
    <cellStyle name="Normal 3 3 4 6 6 2" xfId="46799" xr:uid="{00000000-0005-0000-0000-00002D890000}"/>
    <cellStyle name="Normal 3 3 4 6 7" xfId="33237" xr:uid="{00000000-0005-0000-0000-00002E890000}"/>
    <cellStyle name="Normal 3 3 4 7" xfId="5938" xr:uid="{00000000-0005-0000-0000-00002F890000}"/>
    <cellStyle name="Normal 3 3 4 7 2" xfId="5939" xr:uid="{00000000-0005-0000-0000-000030890000}"/>
    <cellStyle name="Normal 3 3 4 7 2 2" xfId="9482" xr:uid="{00000000-0005-0000-0000-000031890000}"/>
    <cellStyle name="Normal 3 3 4 7 2 2 2" xfId="16272" xr:uid="{00000000-0005-0000-0000-000032890000}"/>
    <cellStyle name="Normal 3 3 4 7 2 2 2 2" xfId="29840" xr:uid="{00000000-0005-0000-0000-000033890000}"/>
    <cellStyle name="Normal 3 3 4 7 2 2 2 2 2" xfId="56973" xr:uid="{00000000-0005-0000-0000-000034890000}"/>
    <cellStyle name="Normal 3 3 4 7 2 2 2 3" xfId="43411" xr:uid="{00000000-0005-0000-0000-000035890000}"/>
    <cellStyle name="Normal 3 3 4 7 2 2 3" xfId="23059" xr:uid="{00000000-0005-0000-0000-000036890000}"/>
    <cellStyle name="Normal 3 3 4 7 2 2 3 2" xfId="50192" xr:uid="{00000000-0005-0000-0000-000037890000}"/>
    <cellStyle name="Normal 3 3 4 7 2 2 4" xfId="36630" xr:uid="{00000000-0005-0000-0000-000038890000}"/>
    <cellStyle name="Normal 3 3 4 7 2 3" xfId="12883" xr:uid="{00000000-0005-0000-0000-000039890000}"/>
    <cellStyle name="Normal 3 3 4 7 2 3 2" xfId="26451" xr:uid="{00000000-0005-0000-0000-00003A890000}"/>
    <cellStyle name="Normal 3 3 4 7 2 3 2 2" xfId="53584" xr:uid="{00000000-0005-0000-0000-00003B890000}"/>
    <cellStyle name="Normal 3 3 4 7 2 3 3" xfId="40022" xr:uid="{00000000-0005-0000-0000-00003C890000}"/>
    <cellStyle name="Normal 3 3 4 7 2 4" xfId="19670" xr:uid="{00000000-0005-0000-0000-00003D890000}"/>
    <cellStyle name="Normal 3 3 4 7 2 4 2" xfId="46803" xr:uid="{00000000-0005-0000-0000-00003E890000}"/>
    <cellStyle name="Normal 3 3 4 7 2 5" xfId="33241" xr:uid="{00000000-0005-0000-0000-00003F890000}"/>
    <cellStyle name="Normal 3 3 4 7 3" xfId="9481" xr:uid="{00000000-0005-0000-0000-000040890000}"/>
    <cellStyle name="Normal 3 3 4 7 3 2" xfId="16271" xr:uid="{00000000-0005-0000-0000-000041890000}"/>
    <cellStyle name="Normal 3 3 4 7 3 2 2" xfId="29839" xr:uid="{00000000-0005-0000-0000-000042890000}"/>
    <cellStyle name="Normal 3 3 4 7 3 2 2 2" xfId="56972" xr:uid="{00000000-0005-0000-0000-000043890000}"/>
    <cellStyle name="Normal 3 3 4 7 3 2 3" xfId="43410" xr:uid="{00000000-0005-0000-0000-000044890000}"/>
    <cellStyle name="Normal 3 3 4 7 3 3" xfId="23058" xr:uid="{00000000-0005-0000-0000-000045890000}"/>
    <cellStyle name="Normal 3 3 4 7 3 3 2" xfId="50191" xr:uid="{00000000-0005-0000-0000-000046890000}"/>
    <cellStyle name="Normal 3 3 4 7 3 4" xfId="36629" xr:uid="{00000000-0005-0000-0000-000047890000}"/>
    <cellStyle name="Normal 3 3 4 7 4" xfId="12882" xr:uid="{00000000-0005-0000-0000-000048890000}"/>
    <cellStyle name="Normal 3 3 4 7 4 2" xfId="26450" xr:uid="{00000000-0005-0000-0000-000049890000}"/>
    <cellStyle name="Normal 3 3 4 7 4 2 2" xfId="53583" xr:uid="{00000000-0005-0000-0000-00004A890000}"/>
    <cellStyle name="Normal 3 3 4 7 4 3" xfId="40021" xr:uid="{00000000-0005-0000-0000-00004B890000}"/>
    <cellStyle name="Normal 3 3 4 7 5" xfId="19669" xr:uid="{00000000-0005-0000-0000-00004C890000}"/>
    <cellStyle name="Normal 3 3 4 7 5 2" xfId="46802" xr:uid="{00000000-0005-0000-0000-00004D890000}"/>
    <cellStyle name="Normal 3 3 4 7 6" xfId="33240" xr:uid="{00000000-0005-0000-0000-00004E890000}"/>
    <cellStyle name="Normal 3 3 4 8" xfId="5940" xr:uid="{00000000-0005-0000-0000-00004F890000}"/>
    <cellStyle name="Normal 3 3 4 8 2" xfId="9483" xr:uid="{00000000-0005-0000-0000-000050890000}"/>
    <cellStyle name="Normal 3 3 4 8 2 2" xfId="16273" xr:uid="{00000000-0005-0000-0000-000051890000}"/>
    <cellStyle name="Normal 3 3 4 8 2 2 2" xfId="29841" xr:uid="{00000000-0005-0000-0000-000052890000}"/>
    <cellStyle name="Normal 3 3 4 8 2 2 2 2" xfId="56974" xr:uid="{00000000-0005-0000-0000-000053890000}"/>
    <cellStyle name="Normal 3 3 4 8 2 2 3" xfId="43412" xr:uid="{00000000-0005-0000-0000-000054890000}"/>
    <cellStyle name="Normal 3 3 4 8 2 3" xfId="23060" xr:uid="{00000000-0005-0000-0000-000055890000}"/>
    <cellStyle name="Normal 3 3 4 8 2 3 2" xfId="50193" xr:uid="{00000000-0005-0000-0000-000056890000}"/>
    <cellStyle name="Normal 3 3 4 8 2 4" xfId="36631" xr:uid="{00000000-0005-0000-0000-000057890000}"/>
    <cellStyle name="Normal 3 3 4 8 3" xfId="12884" xr:uid="{00000000-0005-0000-0000-000058890000}"/>
    <cellStyle name="Normal 3 3 4 8 3 2" xfId="26452" xr:uid="{00000000-0005-0000-0000-000059890000}"/>
    <cellStyle name="Normal 3 3 4 8 3 2 2" xfId="53585" xr:uid="{00000000-0005-0000-0000-00005A890000}"/>
    <cellStyle name="Normal 3 3 4 8 3 3" xfId="40023" xr:uid="{00000000-0005-0000-0000-00005B890000}"/>
    <cellStyle name="Normal 3 3 4 8 4" xfId="19671" xr:uid="{00000000-0005-0000-0000-00005C890000}"/>
    <cellStyle name="Normal 3 3 4 8 4 2" xfId="46804" xr:uid="{00000000-0005-0000-0000-00005D890000}"/>
    <cellStyle name="Normal 3 3 4 8 5" xfId="33242" xr:uid="{00000000-0005-0000-0000-00005E890000}"/>
    <cellStyle name="Normal 3 3 4 9" xfId="5941" xr:uid="{00000000-0005-0000-0000-00005F890000}"/>
    <cellStyle name="Normal 3 3 4 9 2" xfId="9484" xr:uid="{00000000-0005-0000-0000-000060890000}"/>
    <cellStyle name="Normal 3 3 4 9 2 2" xfId="16274" xr:uid="{00000000-0005-0000-0000-000061890000}"/>
    <cellStyle name="Normal 3 3 4 9 2 2 2" xfId="29842" xr:uid="{00000000-0005-0000-0000-000062890000}"/>
    <cellStyle name="Normal 3 3 4 9 2 2 2 2" xfId="56975" xr:uid="{00000000-0005-0000-0000-000063890000}"/>
    <cellStyle name="Normal 3 3 4 9 2 2 3" xfId="43413" xr:uid="{00000000-0005-0000-0000-000064890000}"/>
    <cellStyle name="Normal 3 3 4 9 2 3" xfId="23061" xr:uid="{00000000-0005-0000-0000-000065890000}"/>
    <cellStyle name="Normal 3 3 4 9 2 3 2" xfId="50194" xr:uid="{00000000-0005-0000-0000-000066890000}"/>
    <cellStyle name="Normal 3 3 4 9 2 4" xfId="36632" xr:uid="{00000000-0005-0000-0000-000067890000}"/>
    <cellStyle name="Normal 3 3 4 9 3" xfId="12885" xr:uid="{00000000-0005-0000-0000-000068890000}"/>
    <cellStyle name="Normal 3 3 4 9 3 2" xfId="26453" xr:uid="{00000000-0005-0000-0000-000069890000}"/>
    <cellStyle name="Normal 3 3 4 9 3 2 2" xfId="53586" xr:uid="{00000000-0005-0000-0000-00006A890000}"/>
    <cellStyle name="Normal 3 3 4 9 3 3" xfId="40024" xr:uid="{00000000-0005-0000-0000-00006B890000}"/>
    <cellStyle name="Normal 3 3 4 9 4" xfId="19672" xr:uid="{00000000-0005-0000-0000-00006C890000}"/>
    <cellStyle name="Normal 3 3 4 9 4 2" xfId="46805" xr:uid="{00000000-0005-0000-0000-00006D890000}"/>
    <cellStyle name="Normal 3 3 4 9 5" xfId="33243" xr:uid="{00000000-0005-0000-0000-00006E890000}"/>
    <cellStyle name="Normal 3 3 5" xfId="2699" xr:uid="{00000000-0005-0000-0000-00006F890000}"/>
    <cellStyle name="Normal 3 3 5 10" xfId="31271" xr:uid="{00000000-0005-0000-0000-000070890000}"/>
    <cellStyle name="Normal 3 3 5 2" xfId="2700" xr:uid="{00000000-0005-0000-0000-000071890000}"/>
    <cellStyle name="Normal 3 3 5 2 2" xfId="5942" xr:uid="{00000000-0005-0000-0000-000072890000}"/>
    <cellStyle name="Normal 3 3 5 2 2 2" xfId="5943" xr:uid="{00000000-0005-0000-0000-000073890000}"/>
    <cellStyle name="Normal 3 3 5 2 2 2 2" xfId="9486" xr:uid="{00000000-0005-0000-0000-000074890000}"/>
    <cellStyle name="Normal 3 3 5 2 2 2 2 2" xfId="16276" xr:uid="{00000000-0005-0000-0000-000075890000}"/>
    <cellStyle name="Normal 3 3 5 2 2 2 2 2 2" xfId="29844" xr:uid="{00000000-0005-0000-0000-000076890000}"/>
    <cellStyle name="Normal 3 3 5 2 2 2 2 2 2 2" xfId="56977" xr:uid="{00000000-0005-0000-0000-000077890000}"/>
    <cellStyle name="Normal 3 3 5 2 2 2 2 2 3" xfId="43415" xr:uid="{00000000-0005-0000-0000-000078890000}"/>
    <cellStyle name="Normal 3 3 5 2 2 2 2 3" xfId="23063" xr:uid="{00000000-0005-0000-0000-000079890000}"/>
    <cellStyle name="Normal 3 3 5 2 2 2 2 3 2" xfId="50196" xr:uid="{00000000-0005-0000-0000-00007A890000}"/>
    <cellStyle name="Normal 3 3 5 2 2 2 2 4" xfId="36634" xr:uid="{00000000-0005-0000-0000-00007B890000}"/>
    <cellStyle name="Normal 3 3 5 2 2 2 3" xfId="12887" xr:uid="{00000000-0005-0000-0000-00007C890000}"/>
    <cellStyle name="Normal 3 3 5 2 2 2 3 2" xfId="26455" xr:uid="{00000000-0005-0000-0000-00007D890000}"/>
    <cellStyle name="Normal 3 3 5 2 2 2 3 2 2" xfId="53588" xr:uid="{00000000-0005-0000-0000-00007E890000}"/>
    <cellStyle name="Normal 3 3 5 2 2 2 3 3" xfId="40026" xr:uid="{00000000-0005-0000-0000-00007F890000}"/>
    <cellStyle name="Normal 3 3 5 2 2 2 4" xfId="19674" xr:uid="{00000000-0005-0000-0000-000080890000}"/>
    <cellStyle name="Normal 3 3 5 2 2 2 4 2" xfId="46807" xr:uid="{00000000-0005-0000-0000-000081890000}"/>
    <cellStyle name="Normal 3 3 5 2 2 2 5" xfId="33245" xr:uid="{00000000-0005-0000-0000-000082890000}"/>
    <cellStyle name="Normal 3 3 5 2 2 3" xfId="5944" xr:uid="{00000000-0005-0000-0000-000083890000}"/>
    <cellStyle name="Normal 3 3 5 2 2 3 2" xfId="9487" xr:uid="{00000000-0005-0000-0000-000084890000}"/>
    <cellStyle name="Normal 3 3 5 2 2 3 2 2" xfId="16277" xr:uid="{00000000-0005-0000-0000-000085890000}"/>
    <cellStyle name="Normal 3 3 5 2 2 3 2 2 2" xfId="29845" xr:uid="{00000000-0005-0000-0000-000086890000}"/>
    <cellStyle name="Normal 3 3 5 2 2 3 2 2 2 2" xfId="56978" xr:uid="{00000000-0005-0000-0000-000087890000}"/>
    <cellStyle name="Normal 3 3 5 2 2 3 2 2 3" xfId="43416" xr:uid="{00000000-0005-0000-0000-000088890000}"/>
    <cellStyle name="Normal 3 3 5 2 2 3 2 3" xfId="23064" xr:uid="{00000000-0005-0000-0000-000089890000}"/>
    <cellStyle name="Normal 3 3 5 2 2 3 2 3 2" xfId="50197" xr:uid="{00000000-0005-0000-0000-00008A890000}"/>
    <cellStyle name="Normal 3 3 5 2 2 3 2 4" xfId="36635" xr:uid="{00000000-0005-0000-0000-00008B890000}"/>
    <cellStyle name="Normal 3 3 5 2 2 3 3" xfId="12888" xr:uid="{00000000-0005-0000-0000-00008C890000}"/>
    <cellStyle name="Normal 3 3 5 2 2 3 3 2" xfId="26456" xr:uid="{00000000-0005-0000-0000-00008D890000}"/>
    <cellStyle name="Normal 3 3 5 2 2 3 3 2 2" xfId="53589" xr:uid="{00000000-0005-0000-0000-00008E890000}"/>
    <cellStyle name="Normal 3 3 5 2 2 3 3 3" xfId="40027" xr:uid="{00000000-0005-0000-0000-00008F890000}"/>
    <cellStyle name="Normal 3 3 5 2 2 3 4" xfId="19675" xr:uid="{00000000-0005-0000-0000-000090890000}"/>
    <cellStyle name="Normal 3 3 5 2 2 3 4 2" xfId="46808" xr:uid="{00000000-0005-0000-0000-000091890000}"/>
    <cellStyle name="Normal 3 3 5 2 2 3 5" xfId="33246" xr:uid="{00000000-0005-0000-0000-000092890000}"/>
    <cellStyle name="Normal 3 3 5 2 2 4" xfId="9485" xr:uid="{00000000-0005-0000-0000-000093890000}"/>
    <cellStyle name="Normal 3 3 5 2 2 4 2" xfId="16275" xr:uid="{00000000-0005-0000-0000-000094890000}"/>
    <cellStyle name="Normal 3 3 5 2 2 4 2 2" xfId="29843" xr:uid="{00000000-0005-0000-0000-000095890000}"/>
    <cellStyle name="Normal 3 3 5 2 2 4 2 2 2" xfId="56976" xr:uid="{00000000-0005-0000-0000-000096890000}"/>
    <cellStyle name="Normal 3 3 5 2 2 4 2 3" xfId="43414" xr:uid="{00000000-0005-0000-0000-000097890000}"/>
    <cellStyle name="Normal 3 3 5 2 2 4 3" xfId="23062" xr:uid="{00000000-0005-0000-0000-000098890000}"/>
    <cellStyle name="Normal 3 3 5 2 2 4 3 2" xfId="50195" xr:uid="{00000000-0005-0000-0000-000099890000}"/>
    <cellStyle name="Normal 3 3 5 2 2 4 4" xfId="36633" xr:uid="{00000000-0005-0000-0000-00009A890000}"/>
    <cellStyle name="Normal 3 3 5 2 2 5" xfId="12886" xr:uid="{00000000-0005-0000-0000-00009B890000}"/>
    <cellStyle name="Normal 3 3 5 2 2 5 2" xfId="26454" xr:uid="{00000000-0005-0000-0000-00009C890000}"/>
    <cellStyle name="Normal 3 3 5 2 2 5 2 2" xfId="53587" xr:uid="{00000000-0005-0000-0000-00009D890000}"/>
    <cellStyle name="Normal 3 3 5 2 2 5 3" xfId="40025" xr:uid="{00000000-0005-0000-0000-00009E890000}"/>
    <cellStyle name="Normal 3 3 5 2 2 6" xfId="19673" xr:uid="{00000000-0005-0000-0000-00009F890000}"/>
    <cellStyle name="Normal 3 3 5 2 2 6 2" xfId="46806" xr:uid="{00000000-0005-0000-0000-0000A0890000}"/>
    <cellStyle name="Normal 3 3 5 2 2 7" xfId="33244" xr:uid="{00000000-0005-0000-0000-0000A1890000}"/>
    <cellStyle name="Normal 3 3 5 2 3" xfId="5945" xr:uid="{00000000-0005-0000-0000-0000A2890000}"/>
    <cellStyle name="Normal 3 3 5 2 3 2" xfId="5946" xr:uid="{00000000-0005-0000-0000-0000A3890000}"/>
    <cellStyle name="Normal 3 3 5 2 3 2 2" xfId="9489" xr:uid="{00000000-0005-0000-0000-0000A4890000}"/>
    <cellStyle name="Normal 3 3 5 2 3 2 2 2" xfId="16279" xr:uid="{00000000-0005-0000-0000-0000A5890000}"/>
    <cellStyle name="Normal 3 3 5 2 3 2 2 2 2" xfId="29847" xr:uid="{00000000-0005-0000-0000-0000A6890000}"/>
    <cellStyle name="Normal 3 3 5 2 3 2 2 2 2 2" xfId="56980" xr:uid="{00000000-0005-0000-0000-0000A7890000}"/>
    <cellStyle name="Normal 3 3 5 2 3 2 2 2 3" xfId="43418" xr:uid="{00000000-0005-0000-0000-0000A8890000}"/>
    <cellStyle name="Normal 3 3 5 2 3 2 2 3" xfId="23066" xr:uid="{00000000-0005-0000-0000-0000A9890000}"/>
    <cellStyle name="Normal 3 3 5 2 3 2 2 3 2" xfId="50199" xr:uid="{00000000-0005-0000-0000-0000AA890000}"/>
    <cellStyle name="Normal 3 3 5 2 3 2 2 4" xfId="36637" xr:uid="{00000000-0005-0000-0000-0000AB890000}"/>
    <cellStyle name="Normal 3 3 5 2 3 2 3" xfId="12890" xr:uid="{00000000-0005-0000-0000-0000AC890000}"/>
    <cellStyle name="Normal 3 3 5 2 3 2 3 2" xfId="26458" xr:uid="{00000000-0005-0000-0000-0000AD890000}"/>
    <cellStyle name="Normal 3 3 5 2 3 2 3 2 2" xfId="53591" xr:uid="{00000000-0005-0000-0000-0000AE890000}"/>
    <cellStyle name="Normal 3 3 5 2 3 2 3 3" xfId="40029" xr:uid="{00000000-0005-0000-0000-0000AF890000}"/>
    <cellStyle name="Normal 3 3 5 2 3 2 4" xfId="19677" xr:uid="{00000000-0005-0000-0000-0000B0890000}"/>
    <cellStyle name="Normal 3 3 5 2 3 2 4 2" xfId="46810" xr:uid="{00000000-0005-0000-0000-0000B1890000}"/>
    <cellStyle name="Normal 3 3 5 2 3 2 5" xfId="33248" xr:uid="{00000000-0005-0000-0000-0000B2890000}"/>
    <cellStyle name="Normal 3 3 5 2 3 3" xfId="9488" xr:uid="{00000000-0005-0000-0000-0000B3890000}"/>
    <cellStyle name="Normal 3 3 5 2 3 3 2" xfId="16278" xr:uid="{00000000-0005-0000-0000-0000B4890000}"/>
    <cellStyle name="Normal 3 3 5 2 3 3 2 2" xfId="29846" xr:uid="{00000000-0005-0000-0000-0000B5890000}"/>
    <cellStyle name="Normal 3 3 5 2 3 3 2 2 2" xfId="56979" xr:uid="{00000000-0005-0000-0000-0000B6890000}"/>
    <cellStyle name="Normal 3 3 5 2 3 3 2 3" xfId="43417" xr:uid="{00000000-0005-0000-0000-0000B7890000}"/>
    <cellStyle name="Normal 3 3 5 2 3 3 3" xfId="23065" xr:uid="{00000000-0005-0000-0000-0000B8890000}"/>
    <cellStyle name="Normal 3 3 5 2 3 3 3 2" xfId="50198" xr:uid="{00000000-0005-0000-0000-0000B9890000}"/>
    <cellStyle name="Normal 3 3 5 2 3 3 4" xfId="36636" xr:uid="{00000000-0005-0000-0000-0000BA890000}"/>
    <cellStyle name="Normal 3 3 5 2 3 4" xfId="12889" xr:uid="{00000000-0005-0000-0000-0000BB890000}"/>
    <cellStyle name="Normal 3 3 5 2 3 4 2" xfId="26457" xr:uid="{00000000-0005-0000-0000-0000BC890000}"/>
    <cellStyle name="Normal 3 3 5 2 3 4 2 2" xfId="53590" xr:uid="{00000000-0005-0000-0000-0000BD890000}"/>
    <cellStyle name="Normal 3 3 5 2 3 4 3" xfId="40028" xr:uid="{00000000-0005-0000-0000-0000BE890000}"/>
    <cellStyle name="Normal 3 3 5 2 3 5" xfId="19676" xr:uid="{00000000-0005-0000-0000-0000BF890000}"/>
    <cellStyle name="Normal 3 3 5 2 3 5 2" xfId="46809" xr:uid="{00000000-0005-0000-0000-0000C0890000}"/>
    <cellStyle name="Normal 3 3 5 2 3 6" xfId="33247" xr:uid="{00000000-0005-0000-0000-0000C1890000}"/>
    <cellStyle name="Normal 3 3 5 2 4" xfId="5947" xr:uid="{00000000-0005-0000-0000-0000C2890000}"/>
    <cellStyle name="Normal 3 3 5 2 4 2" xfId="9490" xr:uid="{00000000-0005-0000-0000-0000C3890000}"/>
    <cellStyle name="Normal 3 3 5 2 4 2 2" xfId="16280" xr:uid="{00000000-0005-0000-0000-0000C4890000}"/>
    <cellStyle name="Normal 3 3 5 2 4 2 2 2" xfId="29848" xr:uid="{00000000-0005-0000-0000-0000C5890000}"/>
    <cellStyle name="Normal 3 3 5 2 4 2 2 2 2" xfId="56981" xr:uid="{00000000-0005-0000-0000-0000C6890000}"/>
    <cellStyle name="Normal 3 3 5 2 4 2 2 3" xfId="43419" xr:uid="{00000000-0005-0000-0000-0000C7890000}"/>
    <cellStyle name="Normal 3 3 5 2 4 2 3" xfId="23067" xr:uid="{00000000-0005-0000-0000-0000C8890000}"/>
    <cellStyle name="Normal 3 3 5 2 4 2 3 2" xfId="50200" xr:uid="{00000000-0005-0000-0000-0000C9890000}"/>
    <cellStyle name="Normal 3 3 5 2 4 2 4" xfId="36638" xr:uid="{00000000-0005-0000-0000-0000CA890000}"/>
    <cellStyle name="Normal 3 3 5 2 4 3" xfId="12891" xr:uid="{00000000-0005-0000-0000-0000CB890000}"/>
    <cellStyle name="Normal 3 3 5 2 4 3 2" xfId="26459" xr:uid="{00000000-0005-0000-0000-0000CC890000}"/>
    <cellStyle name="Normal 3 3 5 2 4 3 2 2" xfId="53592" xr:uid="{00000000-0005-0000-0000-0000CD890000}"/>
    <cellStyle name="Normal 3 3 5 2 4 3 3" xfId="40030" xr:uid="{00000000-0005-0000-0000-0000CE890000}"/>
    <cellStyle name="Normal 3 3 5 2 4 4" xfId="19678" xr:uid="{00000000-0005-0000-0000-0000CF890000}"/>
    <cellStyle name="Normal 3 3 5 2 4 4 2" xfId="46811" xr:uid="{00000000-0005-0000-0000-0000D0890000}"/>
    <cellStyle name="Normal 3 3 5 2 4 5" xfId="33249" xr:uid="{00000000-0005-0000-0000-0000D1890000}"/>
    <cellStyle name="Normal 3 3 5 2 5" xfId="5948" xr:uid="{00000000-0005-0000-0000-0000D2890000}"/>
    <cellStyle name="Normal 3 3 5 2 5 2" xfId="9491" xr:uid="{00000000-0005-0000-0000-0000D3890000}"/>
    <cellStyle name="Normal 3 3 5 2 5 2 2" xfId="16281" xr:uid="{00000000-0005-0000-0000-0000D4890000}"/>
    <cellStyle name="Normal 3 3 5 2 5 2 2 2" xfId="29849" xr:uid="{00000000-0005-0000-0000-0000D5890000}"/>
    <cellStyle name="Normal 3 3 5 2 5 2 2 2 2" xfId="56982" xr:uid="{00000000-0005-0000-0000-0000D6890000}"/>
    <cellStyle name="Normal 3 3 5 2 5 2 2 3" xfId="43420" xr:uid="{00000000-0005-0000-0000-0000D7890000}"/>
    <cellStyle name="Normal 3 3 5 2 5 2 3" xfId="23068" xr:uid="{00000000-0005-0000-0000-0000D8890000}"/>
    <cellStyle name="Normal 3 3 5 2 5 2 3 2" xfId="50201" xr:uid="{00000000-0005-0000-0000-0000D9890000}"/>
    <cellStyle name="Normal 3 3 5 2 5 2 4" xfId="36639" xr:uid="{00000000-0005-0000-0000-0000DA890000}"/>
    <cellStyle name="Normal 3 3 5 2 5 3" xfId="12892" xr:uid="{00000000-0005-0000-0000-0000DB890000}"/>
    <cellStyle name="Normal 3 3 5 2 5 3 2" xfId="26460" xr:uid="{00000000-0005-0000-0000-0000DC890000}"/>
    <cellStyle name="Normal 3 3 5 2 5 3 2 2" xfId="53593" xr:uid="{00000000-0005-0000-0000-0000DD890000}"/>
    <cellStyle name="Normal 3 3 5 2 5 3 3" xfId="40031" xr:uid="{00000000-0005-0000-0000-0000DE890000}"/>
    <cellStyle name="Normal 3 3 5 2 5 4" xfId="19679" xr:uid="{00000000-0005-0000-0000-0000DF890000}"/>
    <cellStyle name="Normal 3 3 5 2 5 4 2" xfId="46812" xr:uid="{00000000-0005-0000-0000-0000E0890000}"/>
    <cellStyle name="Normal 3 3 5 2 5 5" xfId="33250" xr:uid="{00000000-0005-0000-0000-0000E1890000}"/>
    <cellStyle name="Normal 3 3 5 2 6" xfId="7513" xr:uid="{00000000-0005-0000-0000-0000E2890000}"/>
    <cellStyle name="Normal 3 3 5 2 6 2" xfId="14303" xr:uid="{00000000-0005-0000-0000-0000E3890000}"/>
    <cellStyle name="Normal 3 3 5 2 6 2 2" xfId="27871" xr:uid="{00000000-0005-0000-0000-0000E4890000}"/>
    <cellStyle name="Normal 3 3 5 2 6 2 2 2" xfId="55004" xr:uid="{00000000-0005-0000-0000-0000E5890000}"/>
    <cellStyle name="Normal 3 3 5 2 6 2 3" xfId="41442" xr:uid="{00000000-0005-0000-0000-0000E6890000}"/>
    <cellStyle name="Normal 3 3 5 2 6 3" xfId="21090" xr:uid="{00000000-0005-0000-0000-0000E7890000}"/>
    <cellStyle name="Normal 3 3 5 2 6 3 2" xfId="48223" xr:uid="{00000000-0005-0000-0000-0000E8890000}"/>
    <cellStyle name="Normal 3 3 5 2 6 4" xfId="34661" xr:uid="{00000000-0005-0000-0000-0000E9890000}"/>
    <cellStyle name="Normal 3 3 5 2 7" xfId="10914" xr:uid="{00000000-0005-0000-0000-0000EA890000}"/>
    <cellStyle name="Normal 3 3 5 2 7 2" xfId="24482" xr:uid="{00000000-0005-0000-0000-0000EB890000}"/>
    <cellStyle name="Normal 3 3 5 2 7 2 2" xfId="51615" xr:uid="{00000000-0005-0000-0000-0000EC890000}"/>
    <cellStyle name="Normal 3 3 5 2 7 3" xfId="38053" xr:uid="{00000000-0005-0000-0000-0000ED890000}"/>
    <cellStyle name="Normal 3 3 5 2 8" xfId="17701" xr:uid="{00000000-0005-0000-0000-0000EE890000}"/>
    <cellStyle name="Normal 3 3 5 2 8 2" xfId="44834" xr:uid="{00000000-0005-0000-0000-0000EF890000}"/>
    <cellStyle name="Normal 3 3 5 2 9" xfId="31272" xr:uid="{00000000-0005-0000-0000-0000F0890000}"/>
    <cellStyle name="Normal 3 3 5 3" xfId="5949" xr:uid="{00000000-0005-0000-0000-0000F1890000}"/>
    <cellStyle name="Normal 3 3 5 3 2" xfId="5950" xr:uid="{00000000-0005-0000-0000-0000F2890000}"/>
    <cellStyle name="Normal 3 3 5 3 2 2" xfId="9493" xr:uid="{00000000-0005-0000-0000-0000F3890000}"/>
    <cellStyle name="Normal 3 3 5 3 2 2 2" xfId="16283" xr:uid="{00000000-0005-0000-0000-0000F4890000}"/>
    <cellStyle name="Normal 3 3 5 3 2 2 2 2" xfId="29851" xr:uid="{00000000-0005-0000-0000-0000F5890000}"/>
    <cellStyle name="Normal 3 3 5 3 2 2 2 2 2" xfId="56984" xr:uid="{00000000-0005-0000-0000-0000F6890000}"/>
    <cellStyle name="Normal 3 3 5 3 2 2 2 3" xfId="43422" xr:uid="{00000000-0005-0000-0000-0000F7890000}"/>
    <cellStyle name="Normal 3 3 5 3 2 2 3" xfId="23070" xr:uid="{00000000-0005-0000-0000-0000F8890000}"/>
    <cellStyle name="Normal 3 3 5 3 2 2 3 2" xfId="50203" xr:uid="{00000000-0005-0000-0000-0000F9890000}"/>
    <cellStyle name="Normal 3 3 5 3 2 2 4" xfId="36641" xr:uid="{00000000-0005-0000-0000-0000FA890000}"/>
    <cellStyle name="Normal 3 3 5 3 2 3" xfId="12894" xr:uid="{00000000-0005-0000-0000-0000FB890000}"/>
    <cellStyle name="Normal 3 3 5 3 2 3 2" xfId="26462" xr:uid="{00000000-0005-0000-0000-0000FC890000}"/>
    <cellStyle name="Normal 3 3 5 3 2 3 2 2" xfId="53595" xr:uid="{00000000-0005-0000-0000-0000FD890000}"/>
    <cellStyle name="Normal 3 3 5 3 2 3 3" xfId="40033" xr:uid="{00000000-0005-0000-0000-0000FE890000}"/>
    <cellStyle name="Normal 3 3 5 3 2 4" xfId="19681" xr:uid="{00000000-0005-0000-0000-0000FF890000}"/>
    <cellStyle name="Normal 3 3 5 3 2 4 2" xfId="46814" xr:uid="{00000000-0005-0000-0000-0000008A0000}"/>
    <cellStyle name="Normal 3 3 5 3 2 5" xfId="33252" xr:uid="{00000000-0005-0000-0000-0000018A0000}"/>
    <cellStyle name="Normal 3 3 5 3 3" xfId="5951" xr:uid="{00000000-0005-0000-0000-0000028A0000}"/>
    <cellStyle name="Normal 3 3 5 3 3 2" xfId="9494" xr:uid="{00000000-0005-0000-0000-0000038A0000}"/>
    <cellStyle name="Normal 3 3 5 3 3 2 2" xfId="16284" xr:uid="{00000000-0005-0000-0000-0000048A0000}"/>
    <cellStyle name="Normal 3 3 5 3 3 2 2 2" xfId="29852" xr:uid="{00000000-0005-0000-0000-0000058A0000}"/>
    <cellStyle name="Normal 3 3 5 3 3 2 2 2 2" xfId="56985" xr:uid="{00000000-0005-0000-0000-0000068A0000}"/>
    <cellStyle name="Normal 3 3 5 3 3 2 2 3" xfId="43423" xr:uid="{00000000-0005-0000-0000-0000078A0000}"/>
    <cellStyle name="Normal 3 3 5 3 3 2 3" xfId="23071" xr:uid="{00000000-0005-0000-0000-0000088A0000}"/>
    <cellStyle name="Normal 3 3 5 3 3 2 3 2" xfId="50204" xr:uid="{00000000-0005-0000-0000-0000098A0000}"/>
    <cellStyle name="Normal 3 3 5 3 3 2 4" xfId="36642" xr:uid="{00000000-0005-0000-0000-00000A8A0000}"/>
    <cellStyle name="Normal 3 3 5 3 3 3" xfId="12895" xr:uid="{00000000-0005-0000-0000-00000B8A0000}"/>
    <cellStyle name="Normal 3 3 5 3 3 3 2" xfId="26463" xr:uid="{00000000-0005-0000-0000-00000C8A0000}"/>
    <cellStyle name="Normal 3 3 5 3 3 3 2 2" xfId="53596" xr:uid="{00000000-0005-0000-0000-00000D8A0000}"/>
    <cellStyle name="Normal 3 3 5 3 3 3 3" xfId="40034" xr:uid="{00000000-0005-0000-0000-00000E8A0000}"/>
    <cellStyle name="Normal 3 3 5 3 3 4" xfId="19682" xr:uid="{00000000-0005-0000-0000-00000F8A0000}"/>
    <cellStyle name="Normal 3 3 5 3 3 4 2" xfId="46815" xr:uid="{00000000-0005-0000-0000-0000108A0000}"/>
    <cellStyle name="Normal 3 3 5 3 3 5" xfId="33253" xr:uid="{00000000-0005-0000-0000-0000118A0000}"/>
    <cellStyle name="Normal 3 3 5 3 4" xfId="9492" xr:uid="{00000000-0005-0000-0000-0000128A0000}"/>
    <cellStyle name="Normal 3 3 5 3 4 2" xfId="16282" xr:uid="{00000000-0005-0000-0000-0000138A0000}"/>
    <cellStyle name="Normal 3 3 5 3 4 2 2" xfId="29850" xr:uid="{00000000-0005-0000-0000-0000148A0000}"/>
    <cellStyle name="Normal 3 3 5 3 4 2 2 2" xfId="56983" xr:uid="{00000000-0005-0000-0000-0000158A0000}"/>
    <cellStyle name="Normal 3 3 5 3 4 2 3" xfId="43421" xr:uid="{00000000-0005-0000-0000-0000168A0000}"/>
    <cellStyle name="Normal 3 3 5 3 4 3" xfId="23069" xr:uid="{00000000-0005-0000-0000-0000178A0000}"/>
    <cellStyle name="Normal 3 3 5 3 4 3 2" xfId="50202" xr:uid="{00000000-0005-0000-0000-0000188A0000}"/>
    <cellStyle name="Normal 3 3 5 3 4 4" xfId="36640" xr:uid="{00000000-0005-0000-0000-0000198A0000}"/>
    <cellStyle name="Normal 3 3 5 3 5" xfId="12893" xr:uid="{00000000-0005-0000-0000-00001A8A0000}"/>
    <cellStyle name="Normal 3 3 5 3 5 2" xfId="26461" xr:uid="{00000000-0005-0000-0000-00001B8A0000}"/>
    <cellStyle name="Normal 3 3 5 3 5 2 2" xfId="53594" xr:uid="{00000000-0005-0000-0000-00001C8A0000}"/>
    <cellStyle name="Normal 3 3 5 3 5 3" xfId="40032" xr:uid="{00000000-0005-0000-0000-00001D8A0000}"/>
    <cellStyle name="Normal 3 3 5 3 6" xfId="19680" xr:uid="{00000000-0005-0000-0000-00001E8A0000}"/>
    <cellStyle name="Normal 3 3 5 3 6 2" xfId="46813" xr:uid="{00000000-0005-0000-0000-00001F8A0000}"/>
    <cellStyle name="Normal 3 3 5 3 7" xfId="33251" xr:uid="{00000000-0005-0000-0000-0000208A0000}"/>
    <cellStyle name="Normal 3 3 5 4" xfId="5952" xr:uid="{00000000-0005-0000-0000-0000218A0000}"/>
    <cellStyle name="Normal 3 3 5 4 2" xfId="5953" xr:uid="{00000000-0005-0000-0000-0000228A0000}"/>
    <cellStyle name="Normal 3 3 5 4 2 2" xfId="9496" xr:uid="{00000000-0005-0000-0000-0000238A0000}"/>
    <cellStyle name="Normal 3 3 5 4 2 2 2" xfId="16286" xr:uid="{00000000-0005-0000-0000-0000248A0000}"/>
    <cellStyle name="Normal 3 3 5 4 2 2 2 2" xfId="29854" xr:uid="{00000000-0005-0000-0000-0000258A0000}"/>
    <cellStyle name="Normal 3 3 5 4 2 2 2 2 2" xfId="56987" xr:uid="{00000000-0005-0000-0000-0000268A0000}"/>
    <cellStyle name="Normal 3 3 5 4 2 2 2 3" xfId="43425" xr:uid="{00000000-0005-0000-0000-0000278A0000}"/>
    <cellStyle name="Normal 3 3 5 4 2 2 3" xfId="23073" xr:uid="{00000000-0005-0000-0000-0000288A0000}"/>
    <cellStyle name="Normal 3 3 5 4 2 2 3 2" xfId="50206" xr:uid="{00000000-0005-0000-0000-0000298A0000}"/>
    <cellStyle name="Normal 3 3 5 4 2 2 4" xfId="36644" xr:uid="{00000000-0005-0000-0000-00002A8A0000}"/>
    <cellStyle name="Normal 3 3 5 4 2 3" xfId="12897" xr:uid="{00000000-0005-0000-0000-00002B8A0000}"/>
    <cellStyle name="Normal 3 3 5 4 2 3 2" xfId="26465" xr:uid="{00000000-0005-0000-0000-00002C8A0000}"/>
    <cellStyle name="Normal 3 3 5 4 2 3 2 2" xfId="53598" xr:uid="{00000000-0005-0000-0000-00002D8A0000}"/>
    <cellStyle name="Normal 3 3 5 4 2 3 3" xfId="40036" xr:uid="{00000000-0005-0000-0000-00002E8A0000}"/>
    <cellStyle name="Normal 3 3 5 4 2 4" xfId="19684" xr:uid="{00000000-0005-0000-0000-00002F8A0000}"/>
    <cellStyle name="Normal 3 3 5 4 2 4 2" xfId="46817" xr:uid="{00000000-0005-0000-0000-0000308A0000}"/>
    <cellStyle name="Normal 3 3 5 4 2 5" xfId="33255" xr:uid="{00000000-0005-0000-0000-0000318A0000}"/>
    <cellStyle name="Normal 3 3 5 4 3" xfId="9495" xr:uid="{00000000-0005-0000-0000-0000328A0000}"/>
    <cellStyle name="Normal 3 3 5 4 3 2" xfId="16285" xr:uid="{00000000-0005-0000-0000-0000338A0000}"/>
    <cellStyle name="Normal 3 3 5 4 3 2 2" xfId="29853" xr:uid="{00000000-0005-0000-0000-0000348A0000}"/>
    <cellStyle name="Normal 3 3 5 4 3 2 2 2" xfId="56986" xr:uid="{00000000-0005-0000-0000-0000358A0000}"/>
    <cellStyle name="Normal 3 3 5 4 3 2 3" xfId="43424" xr:uid="{00000000-0005-0000-0000-0000368A0000}"/>
    <cellStyle name="Normal 3 3 5 4 3 3" xfId="23072" xr:uid="{00000000-0005-0000-0000-0000378A0000}"/>
    <cellStyle name="Normal 3 3 5 4 3 3 2" xfId="50205" xr:uid="{00000000-0005-0000-0000-0000388A0000}"/>
    <cellStyle name="Normal 3 3 5 4 3 4" xfId="36643" xr:uid="{00000000-0005-0000-0000-0000398A0000}"/>
    <cellStyle name="Normal 3 3 5 4 4" xfId="12896" xr:uid="{00000000-0005-0000-0000-00003A8A0000}"/>
    <cellStyle name="Normal 3 3 5 4 4 2" xfId="26464" xr:uid="{00000000-0005-0000-0000-00003B8A0000}"/>
    <cellStyle name="Normal 3 3 5 4 4 2 2" xfId="53597" xr:uid="{00000000-0005-0000-0000-00003C8A0000}"/>
    <cellStyle name="Normal 3 3 5 4 4 3" xfId="40035" xr:uid="{00000000-0005-0000-0000-00003D8A0000}"/>
    <cellStyle name="Normal 3 3 5 4 5" xfId="19683" xr:uid="{00000000-0005-0000-0000-00003E8A0000}"/>
    <cellStyle name="Normal 3 3 5 4 5 2" xfId="46816" xr:uid="{00000000-0005-0000-0000-00003F8A0000}"/>
    <cellStyle name="Normal 3 3 5 4 6" xfId="33254" xr:uid="{00000000-0005-0000-0000-0000408A0000}"/>
    <cellStyle name="Normal 3 3 5 5" xfId="5954" xr:uid="{00000000-0005-0000-0000-0000418A0000}"/>
    <cellStyle name="Normal 3 3 5 5 2" xfId="9497" xr:uid="{00000000-0005-0000-0000-0000428A0000}"/>
    <cellStyle name="Normal 3 3 5 5 2 2" xfId="16287" xr:uid="{00000000-0005-0000-0000-0000438A0000}"/>
    <cellStyle name="Normal 3 3 5 5 2 2 2" xfId="29855" xr:uid="{00000000-0005-0000-0000-0000448A0000}"/>
    <cellStyle name="Normal 3 3 5 5 2 2 2 2" xfId="56988" xr:uid="{00000000-0005-0000-0000-0000458A0000}"/>
    <cellStyle name="Normal 3 3 5 5 2 2 3" xfId="43426" xr:uid="{00000000-0005-0000-0000-0000468A0000}"/>
    <cellStyle name="Normal 3 3 5 5 2 3" xfId="23074" xr:uid="{00000000-0005-0000-0000-0000478A0000}"/>
    <cellStyle name="Normal 3 3 5 5 2 3 2" xfId="50207" xr:uid="{00000000-0005-0000-0000-0000488A0000}"/>
    <cellStyle name="Normal 3 3 5 5 2 4" xfId="36645" xr:uid="{00000000-0005-0000-0000-0000498A0000}"/>
    <cellStyle name="Normal 3 3 5 5 3" xfId="12898" xr:uid="{00000000-0005-0000-0000-00004A8A0000}"/>
    <cellStyle name="Normal 3 3 5 5 3 2" xfId="26466" xr:uid="{00000000-0005-0000-0000-00004B8A0000}"/>
    <cellStyle name="Normal 3 3 5 5 3 2 2" xfId="53599" xr:uid="{00000000-0005-0000-0000-00004C8A0000}"/>
    <cellStyle name="Normal 3 3 5 5 3 3" xfId="40037" xr:uid="{00000000-0005-0000-0000-00004D8A0000}"/>
    <cellStyle name="Normal 3 3 5 5 4" xfId="19685" xr:uid="{00000000-0005-0000-0000-00004E8A0000}"/>
    <cellStyle name="Normal 3 3 5 5 4 2" xfId="46818" xr:uid="{00000000-0005-0000-0000-00004F8A0000}"/>
    <cellStyle name="Normal 3 3 5 5 5" xfId="33256" xr:uid="{00000000-0005-0000-0000-0000508A0000}"/>
    <cellStyle name="Normal 3 3 5 6" xfId="5955" xr:uid="{00000000-0005-0000-0000-0000518A0000}"/>
    <cellStyle name="Normal 3 3 5 6 2" xfId="9498" xr:uid="{00000000-0005-0000-0000-0000528A0000}"/>
    <cellStyle name="Normal 3 3 5 6 2 2" xfId="16288" xr:uid="{00000000-0005-0000-0000-0000538A0000}"/>
    <cellStyle name="Normal 3 3 5 6 2 2 2" xfId="29856" xr:uid="{00000000-0005-0000-0000-0000548A0000}"/>
    <cellStyle name="Normal 3 3 5 6 2 2 2 2" xfId="56989" xr:uid="{00000000-0005-0000-0000-0000558A0000}"/>
    <cellStyle name="Normal 3 3 5 6 2 2 3" xfId="43427" xr:uid="{00000000-0005-0000-0000-0000568A0000}"/>
    <cellStyle name="Normal 3 3 5 6 2 3" xfId="23075" xr:uid="{00000000-0005-0000-0000-0000578A0000}"/>
    <cellStyle name="Normal 3 3 5 6 2 3 2" xfId="50208" xr:uid="{00000000-0005-0000-0000-0000588A0000}"/>
    <cellStyle name="Normal 3 3 5 6 2 4" xfId="36646" xr:uid="{00000000-0005-0000-0000-0000598A0000}"/>
    <cellStyle name="Normal 3 3 5 6 3" xfId="12899" xr:uid="{00000000-0005-0000-0000-00005A8A0000}"/>
    <cellStyle name="Normal 3 3 5 6 3 2" xfId="26467" xr:uid="{00000000-0005-0000-0000-00005B8A0000}"/>
    <cellStyle name="Normal 3 3 5 6 3 2 2" xfId="53600" xr:uid="{00000000-0005-0000-0000-00005C8A0000}"/>
    <cellStyle name="Normal 3 3 5 6 3 3" xfId="40038" xr:uid="{00000000-0005-0000-0000-00005D8A0000}"/>
    <cellStyle name="Normal 3 3 5 6 4" xfId="19686" xr:uid="{00000000-0005-0000-0000-00005E8A0000}"/>
    <cellStyle name="Normal 3 3 5 6 4 2" xfId="46819" xr:uid="{00000000-0005-0000-0000-00005F8A0000}"/>
    <cellStyle name="Normal 3 3 5 6 5" xfId="33257" xr:uid="{00000000-0005-0000-0000-0000608A0000}"/>
    <cellStyle name="Normal 3 3 5 7" xfId="7512" xr:uid="{00000000-0005-0000-0000-0000618A0000}"/>
    <cellStyle name="Normal 3 3 5 7 2" xfId="14302" xr:uid="{00000000-0005-0000-0000-0000628A0000}"/>
    <cellStyle name="Normal 3 3 5 7 2 2" xfId="27870" xr:uid="{00000000-0005-0000-0000-0000638A0000}"/>
    <cellStyle name="Normal 3 3 5 7 2 2 2" xfId="55003" xr:uid="{00000000-0005-0000-0000-0000648A0000}"/>
    <cellStyle name="Normal 3 3 5 7 2 3" xfId="41441" xr:uid="{00000000-0005-0000-0000-0000658A0000}"/>
    <cellStyle name="Normal 3 3 5 7 3" xfId="21089" xr:uid="{00000000-0005-0000-0000-0000668A0000}"/>
    <cellStyle name="Normal 3 3 5 7 3 2" xfId="48222" xr:uid="{00000000-0005-0000-0000-0000678A0000}"/>
    <cellStyle name="Normal 3 3 5 7 4" xfId="34660" xr:uid="{00000000-0005-0000-0000-0000688A0000}"/>
    <cellStyle name="Normal 3 3 5 8" xfId="10913" xr:uid="{00000000-0005-0000-0000-0000698A0000}"/>
    <cellStyle name="Normal 3 3 5 8 2" xfId="24481" xr:uid="{00000000-0005-0000-0000-00006A8A0000}"/>
    <cellStyle name="Normal 3 3 5 8 2 2" xfId="51614" xr:uid="{00000000-0005-0000-0000-00006B8A0000}"/>
    <cellStyle name="Normal 3 3 5 8 3" xfId="38052" xr:uid="{00000000-0005-0000-0000-00006C8A0000}"/>
    <cellStyle name="Normal 3 3 5 9" xfId="17700" xr:uid="{00000000-0005-0000-0000-00006D8A0000}"/>
    <cellStyle name="Normal 3 3 5 9 2" xfId="44833" xr:uid="{00000000-0005-0000-0000-00006E8A0000}"/>
    <cellStyle name="Normal 3 3 6" xfId="37" xr:uid="{00000000-0005-0000-0000-00006F8A0000}"/>
    <cellStyle name="Normal 3 3 6 10" xfId="2701" xr:uid="{00000000-0005-0000-0000-0000708A0000}"/>
    <cellStyle name="Normal 3 3 6 2" xfId="2702" xr:uid="{00000000-0005-0000-0000-0000718A0000}"/>
    <cellStyle name="Normal 3 3 6 2 2" xfId="5956" xr:uid="{00000000-0005-0000-0000-0000728A0000}"/>
    <cellStyle name="Normal 3 3 6 2 2 2" xfId="9499" xr:uid="{00000000-0005-0000-0000-0000738A0000}"/>
    <cellStyle name="Normal 3 3 6 2 2 2 2" xfId="16289" xr:uid="{00000000-0005-0000-0000-0000748A0000}"/>
    <cellStyle name="Normal 3 3 6 2 2 2 2 2" xfId="29857" xr:uid="{00000000-0005-0000-0000-0000758A0000}"/>
    <cellStyle name="Normal 3 3 6 2 2 2 2 2 2" xfId="56990" xr:uid="{00000000-0005-0000-0000-0000768A0000}"/>
    <cellStyle name="Normal 3 3 6 2 2 2 2 3" xfId="43428" xr:uid="{00000000-0005-0000-0000-0000778A0000}"/>
    <cellStyle name="Normal 3 3 6 2 2 2 3" xfId="23076" xr:uid="{00000000-0005-0000-0000-0000788A0000}"/>
    <cellStyle name="Normal 3 3 6 2 2 2 3 2" xfId="50209" xr:uid="{00000000-0005-0000-0000-0000798A0000}"/>
    <cellStyle name="Normal 3 3 6 2 2 2 4" xfId="36647" xr:uid="{00000000-0005-0000-0000-00007A8A0000}"/>
    <cellStyle name="Normal 3 3 6 2 2 3" xfId="12900" xr:uid="{00000000-0005-0000-0000-00007B8A0000}"/>
    <cellStyle name="Normal 3 3 6 2 2 3 2" xfId="26468" xr:uid="{00000000-0005-0000-0000-00007C8A0000}"/>
    <cellStyle name="Normal 3 3 6 2 2 3 2 2" xfId="53601" xr:uid="{00000000-0005-0000-0000-00007D8A0000}"/>
    <cellStyle name="Normal 3 3 6 2 2 3 3" xfId="40039" xr:uid="{00000000-0005-0000-0000-00007E8A0000}"/>
    <cellStyle name="Normal 3 3 6 2 2 4" xfId="19687" xr:uid="{00000000-0005-0000-0000-00007F8A0000}"/>
    <cellStyle name="Normal 3 3 6 2 2 4 2" xfId="46820" xr:uid="{00000000-0005-0000-0000-0000808A0000}"/>
    <cellStyle name="Normal 3 3 6 2 2 5" xfId="33258" xr:uid="{00000000-0005-0000-0000-0000818A0000}"/>
    <cellStyle name="Normal 3 3 6 2 3" xfId="5957" xr:uid="{00000000-0005-0000-0000-0000828A0000}"/>
    <cellStyle name="Normal 3 3 6 2 3 2" xfId="9500" xr:uid="{00000000-0005-0000-0000-0000838A0000}"/>
    <cellStyle name="Normal 3 3 6 2 3 2 2" xfId="16290" xr:uid="{00000000-0005-0000-0000-0000848A0000}"/>
    <cellStyle name="Normal 3 3 6 2 3 2 2 2" xfId="29858" xr:uid="{00000000-0005-0000-0000-0000858A0000}"/>
    <cellStyle name="Normal 3 3 6 2 3 2 2 2 2" xfId="56991" xr:uid="{00000000-0005-0000-0000-0000868A0000}"/>
    <cellStyle name="Normal 3 3 6 2 3 2 2 3" xfId="43429" xr:uid="{00000000-0005-0000-0000-0000878A0000}"/>
    <cellStyle name="Normal 3 3 6 2 3 2 3" xfId="23077" xr:uid="{00000000-0005-0000-0000-0000888A0000}"/>
    <cellStyle name="Normal 3 3 6 2 3 2 3 2" xfId="50210" xr:uid="{00000000-0005-0000-0000-0000898A0000}"/>
    <cellStyle name="Normal 3 3 6 2 3 2 4" xfId="36648" xr:uid="{00000000-0005-0000-0000-00008A8A0000}"/>
    <cellStyle name="Normal 3 3 6 2 3 3" xfId="12901" xr:uid="{00000000-0005-0000-0000-00008B8A0000}"/>
    <cellStyle name="Normal 3 3 6 2 3 3 2" xfId="26469" xr:uid="{00000000-0005-0000-0000-00008C8A0000}"/>
    <cellStyle name="Normal 3 3 6 2 3 3 2 2" xfId="53602" xr:uid="{00000000-0005-0000-0000-00008D8A0000}"/>
    <cellStyle name="Normal 3 3 6 2 3 3 3" xfId="40040" xr:uid="{00000000-0005-0000-0000-00008E8A0000}"/>
    <cellStyle name="Normal 3 3 6 2 3 4" xfId="19688" xr:uid="{00000000-0005-0000-0000-00008F8A0000}"/>
    <cellStyle name="Normal 3 3 6 2 3 4 2" xfId="46821" xr:uid="{00000000-0005-0000-0000-0000908A0000}"/>
    <cellStyle name="Normal 3 3 6 2 3 5" xfId="33259" xr:uid="{00000000-0005-0000-0000-0000918A0000}"/>
    <cellStyle name="Normal 3 3 6 2 4" xfId="7515" xr:uid="{00000000-0005-0000-0000-0000928A0000}"/>
    <cellStyle name="Normal 3 3 6 2 4 2" xfId="14305" xr:uid="{00000000-0005-0000-0000-0000938A0000}"/>
    <cellStyle name="Normal 3 3 6 2 4 2 2" xfId="27873" xr:uid="{00000000-0005-0000-0000-0000948A0000}"/>
    <cellStyle name="Normal 3 3 6 2 4 2 2 2" xfId="55006" xr:uid="{00000000-0005-0000-0000-0000958A0000}"/>
    <cellStyle name="Normal 3 3 6 2 4 2 3" xfId="41444" xr:uid="{00000000-0005-0000-0000-0000968A0000}"/>
    <cellStyle name="Normal 3 3 6 2 4 3" xfId="21092" xr:uid="{00000000-0005-0000-0000-0000978A0000}"/>
    <cellStyle name="Normal 3 3 6 2 4 3 2" xfId="48225" xr:uid="{00000000-0005-0000-0000-0000988A0000}"/>
    <cellStyle name="Normal 3 3 6 2 4 4" xfId="34663" xr:uid="{00000000-0005-0000-0000-0000998A0000}"/>
    <cellStyle name="Normal 3 3 6 2 5" xfId="10916" xr:uid="{00000000-0005-0000-0000-00009A8A0000}"/>
    <cellStyle name="Normal 3 3 6 2 5 2" xfId="24484" xr:uid="{00000000-0005-0000-0000-00009B8A0000}"/>
    <cellStyle name="Normal 3 3 6 2 5 2 2" xfId="51617" xr:uid="{00000000-0005-0000-0000-00009C8A0000}"/>
    <cellStyle name="Normal 3 3 6 2 5 3" xfId="38055" xr:uid="{00000000-0005-0000-0000-00009D8A0000}"/>
    <cellStyle name="Normal 3 3 6 2 6" xfId="17703" xr:uid="{00000000-0005-0000-0000-00009E8A0000}"/>
    <cellStyle name="Normal 3 3 6 2 6 2" xfId="44836" xr:uid="{00000000-0005-0000-0000-00009F8A0000}"/>
    <cellStyle name="Normal 3 3 6 2 7" xfId="31274" xr:uid="{00000000-0005-0000-0000-0000A08A0000}"/>
    <cellStyle name="Normal 3 3 6 3" xfId="5958" xr:uid="{00000000-0005-0000-0000-0000A18A0000}"/>
    <cellStyle name="Normal 3 3 6 3 2" xfId="5959" xr:uid="{00000000-0005-0000-0000-0000A28A0000}"/>
    <cellStyle name="Normal 3 3 6 3 2 2" xfId="9502" xr:uid="{00000000-0005-0000-0000-0000A38A0000}"/>
    <cellStyle name="Normal 3 3 6 3 2 2 2" xfId="16292" xr:uid="{00000000-0005-0000-0000-0000A48A0000}"/>
    <cellStyle name="Normal 3 3 6 3 2 2 2 2" xfId="29860" xr:uid="{00000000-0005-0000-0000-0000A58A0000}"/>
    <cellStyle name="Normal 3 3 6 3 2 2 2 2 2" xfId="56993" xr:uid="{00000000-0005-0000-0000-0000A68A0000}"/>
    <cellStyle name="Normal 3 3 6 3 2 2 2 3" xfId="43431" xr:uid="{00000000-0005-0000-0000-0000A78A0000}"/>
    <cellStyle name="Normal 3 3 6 3 2 2 3" xfId="23079" xr:uid="{00000000-0005-0000-0000-0000A88A0000}"/>
    <cellStyle name="Normal 3 3 6 3 2 2 3 2" xfId="50212" xr:uid="{00000000-0005-0000-0000-0000A98A0000}"/>
    <cellStyle name="Normal 3 3 6 3 2 2 4" xfId="36650" xr:uid="{00000000-0005-0000-0000-0000AA8A0000}"/>
    <cellStyle name="Normal 3 3 6 3 2 3" xfId="12903" xr:uid="{00000000-0005-0000-0000-0000AB8A0000}"/>
    <cellStyle name="Normal 3 3 6 3 2 3 2" xfId="26471" xr:uid="{00000000-0005-0000-0000-0000AC8A0000}"/>
    <cellStyle name="Normal 3 3 6 3 2 3 2 2" xfId="53604" xr:uid="{00000000-0005-0000-0000-0000AD8A0000}"/>
    <cellStyle name="Normal 3 3 6 3 2 3 3" xfId="40042" xr:uid="{00000000-0005-0000-0000-0000AE8A0000}"/>
    <cellStyle name="Normal 3 3 6 3 2 4" xfId="19690" xr:uid="{00000000-0005-0000-0000-0000AF8A0000}"/>
    <cellStyle name="Normal 3 3 6 3 2 4 2" xfId="46823" xr:uid="{00000000-0005-0000-0000-0000B08A0000}"/>
    <cellStyle name="Normal 3 3 6 3 2 5" xfId="33261" xr:uid="{00000000-0005-0000-0000-0000B18A0000}"/>
    <cellStyle name="Normal 3 3 6 3 3" xfId="9501" xr:uid="{00000000-0005-0000-0000-0000B28A0000}"/>
    <cellStyle name="Normal 3 3 6 3 3 2" xfId="16291" xr:uid="{00000000-0005-0000-0000-0000B38A0000}"/>
    <cellStyle name="Normal 3 3 6 3 3 2 2" xfId="29859" xr:uid="{00000000-0005-0000-0000-0000B48A0000}"/>
    <cellStyle name="Normal 3 3 6 3 3 2 2 2" xfId="56992" xr:uid="{00000000-0005-0000-0000-0000B58A0000}"/>
    <cellStyle name="Normal 3 3 6 3 3 2 3" xfId="43430" xr:uid="{00000000-0005-0000-0000-0000B68A0000}"/>
    <cellStyle name="Normal 3 3 6 3 3 3" xfId="23078" xr:uid="{00000000-0005-0000-0000-0000B78A0000}"/>
    <cellStyle name="Normal 3 3 6 3 3 3 2" xfId="50211" xr:uid="{00000000-0005-0000-0000-0000B88A0000}"/>
    <cellStyle name="Normal 3 3 6 3 3 4" xfId="36649" xr:uid="{00000000-0005-0000-0000-0000B98A0000}"/>
    <cellStyle name="Normal 3 3 6 3 4" xfId="12902" xr:uid="{00000000-0005-0000-0000-0000BA8A0000}"/>
    <cellStyle name="Normal 3 3 6 3 4 2" xfId="26470" xr:uid="{00000000-0005-0000-0000-0000BB8A0000}"/>
    <cellStyle name="Normal 3 3 6 3 4 2 2" xfId="53603" xr:uid="{00000000-0005-0000-0000-0000BC8A0000}"/>
    <cellStyle name="Normal 3 3 6 3 4 3" xfId="40041" xr:uid="{00000000-0005-0000-0000-0000BD8A0000}"/>
    <cellStyle name="Normal 3 3 6 3 5" xfId="19689" xr:uid="{00000000-0005-0000-0000-0000BE8A0000}"/>
    <cellStyle name="Normal 3 3 6 3 5 2" xfId="46822" xr:uid="{00000000-0005-0000-0000-0000BF8A0000}"/>
    <cellStyle name="Normal 3 3 6 3 6" xfId="33260" xr:uid="{00000000-0005-0000-0000-0000C08A0000}"/>
    <cellStyle name="Normal 3 3 6 4" xfId="5960" xr:uid="{00000000-0005-0000-0000-0000C18A0000}"/>
    <cellStyle name="Normal 3 3 6 4 2" xfId="9503" xr:uid="{00000000-0005-0000-0000-0000C28A0000}"/>
    <cellStyle name="Normal 3 3 6 4 2 2" xfId="16293" xr:uid="{00000000-0005-0000-0000-0000C38A0000}"/>
    <cellStyle name="Normal 3 3 6 4 2 2 2" xfId="29861" xr:uid="{00000000-0005-0000-0000-0000C48A0000}"/>
    <cellStyle name="Normal 3 3 6 4 2 2 2 2" xfId="56994" xr:uid="{00000000-0005-0000-0000-0000C58A0000}"/>
    <cellStyle name="Normal 3 3 6 4 2 2 3" xfId="43432" xr:uid="{00000000-0005-0000-0000-0000C68A0000}"/>
    <cellStyle name="Normal 3 3 6 4 2 3" xfId="23080" xr:uid="{00000000-0005-0000-0000-0000C78A0000}"/>
    <cellStyle name="Normal 3 3 6 4 2 3 2" xfId="50213" xr:uid="{00000000-0005-0000-0000-0000C88A0000}"/>
    <cellStyle name="Normal 3 3 6 4 2 4" xfId="36651" xr:uid="{00000000-0005-0000-0000-0000C98A0000}"/>
    <cellStyle name="Normal 3 3 6 4 3" xfId="12904" xr:uid="{00000000-0005-0000-0000-0000CA8A0000}"/>
    <cellStyle name="Normal 3 3 6 4 3 2" xfId="26472" xr:uid="{00000000-0005-0000-0000-0000CB8A0000}"/>
    <cellStyle name="Normal 3 3 6 4 3 2 2" xfId="53605" xr:uid="{00000000-0005-0000-0000-0000CC8A0000}"/>
    <cellStyle name="Normal 3 3 6 4 3 3" xfId="40043" xr:uid="{00000000-0005-0000-0000-0000CD8A0000}"/>
    <cellStyle name="Normal 3 3 6 4 4" xfId="19691" xr:uid="{00000000-0005-0000-0000-0000CE8A0000}"/>
    <cellStyle name="Normal 3 3 6 4 4 2" xfId="46824" xr:uid="{00000000-0005-0000-0000-0000CF8A0000}"/>
    <cellStyle name="Normal 3 3 6 4 5" xfId="33262" xr:uid="{00000000-0005-0000-0000-0000D08A0000}"/>
    <cellStyle name="Normal 3 3 6 5" xfId="5961" xr:uid="{00000000-0005-0000-0000-0000D18A0000}"/>
    <cellStyle name="Normal 3 3 6 5 2" xfId="9504" xr:uid="{00000000-0005-0000-0000-0000D28A0000}"/>
    <cellStyle name="Normal 3 3 6 5 2 2" xfId="16294" xr:uid="{00000000-0005-0000-0000-0000D38A0000}"/>
    <cellStyle name="Normal 3 3 6 5 2 2 2" xfId="29862" xr:uid="{00000000-0005-0000-0000-0000D48A0000}"/>
    <cellStyle name="Normal 3 3 6 5 2 2 2 2" xfId="56995" xr:uid="{00000000-0005-0000-0000-0000D58A0000}"/>
    <cellStyle name="Normal 3 3 6 5 2 2 3" xfId="43433" xr:uid="{00000000-0005-0000-0000-0000D68A0000}"/>
    <cellStyle name="Normal 3 3 6 5 2 3" xfId="23081" xr:uid="{00000000-0005-0000-0000-0000D78A0000}"/>
    <cellStyle name="Normal 3 3 6 5 2 3 2" xfId="50214" xr:uid="{00000000-0005-0000-0000-0000D88A0000}"/>
    <cellStyle name="Normal 3 3 6 5 2 4" xfId="36652" xr:uid="{00000000-0005-0000-0000-0000D98A0000}"/>
    <cellStyle name="Normal 3 3 6 5 3" xfId="12905" xr:uid="{00000000-0005-0000-0000-0000DA8A0000}"/>
    <cellStyle name="Normal 3 3 6 5 3 2" xfId="26473" xr:uid="{00000000-0005-0000-0000-0000DB8A0000}"/>
    <cellStyle name="Normal 3 3 6 5 3 2 2" xfId="53606" xr:uid="{00000000-0005-0000-0000-0000DC8A0000}"/>
    <cellStyle name="Normal 3 3 6 5 3 3" xfId="40044" xr:uid="{00000000-0005-0000-0000-0000DD8A0000}"/>
    <cellStyle name="Normal 3 3 6 5 4" xfId="19692" xr:uid="{00000000-0005-0000-0000-0000DE8A0000}"/>
    <cellStyle name="Normal 3 3 6 5 4 2" xfId="46825" xr:uid="{00000000-0005-0000-0000-0000DF8A0000}"/>
    <cellStyle name="Normal 3 3 6 5 5" xfId="33263" xr:uid="{00000000-0005-0000-0000-0000E08A0000}"/>
    <cellStyle name="Normal 3 3 6 6" xfId="7514" xr:uid="{00000000-0005-0000-0000-0000E18A0000}"/>
    <cellStyle name="Normal 3 3 6 6 2" xfId="14304" xr:uid="{00000000-0005-0000-0000-0000E28A0000}"/>
    <cellStyle name="Normal 3 3 6 6 2 2" xfId="27872" xr:uid="{00000000-0005-0000-0000-0000E38A0000}"/>
    <cellStyle name="Normal 3 3 6 6 2 2 2" xfId="55005" xr:uid="{00000000-0005-0000-0000-0000E48A0000}"/>
    <cellStyle name="Normal 3 3 6 6 2 3" xfId="41443" xr:uid="{00000000-0005-0000-0000-0000E58A0000}"/>
    <cellStyle name="Normal 3 3 6 6 3" xfId="21091" xr:uid="{00000000-0005-0000-0000-0000E68A0000}"/>
    <cellStyle name="Normal 3 3 6 6 3 2" xfId="48224" xr:uid="{00000000-0005-0000-0000-0000E78A0000}"/>
    <cellStyle name="Normal 3 3 6 6 4" xfId="34662" xr:uid="{00000000-0005-0000-0000-0000E88A0000}"/>
    <cellStyle name="Normal 3 3 6 7" xfId="10915" xr:uid="{00000000-0005-0000-0000-0000E98A0000}"/>
    <cellStyle name="Normal 3 3 6 7 2" xfId="24483" xr:uid="{00000000-0005-0000-0000-0000EA8A0000}"/>
    <cellStyle name="Normal 3 3 6 7 2 2" xfId="51616" xr:uid="{00000000-0005-0000-0000-0000EB8A0000}"/>
    <cellStyle name="Normal 3 3 6 7 3" xfId="38054" xr:uid="{00000000-0005-0000-0000-0000EC8A0000}"/>
    <cellStyle name="Normal 3 3 6 8" xfId="17702" xr:uid="{00000000-0005-0000-0000-0000ED8A0000}"/>
    <cellStyle name="Normal 3 3 6 8 2" xfId="44835" xr:uid="{00000000-0005-0000-0000-0000EE8A0000}"/>
    <cellStyle name="Normal 3 3 6 9" xfId="31273" xr:uid="{00000000-0005-0000-0000-0000EF8A0000}"/>
    <cellStyle name="Normal 3 3 7" xfId="2703" xr:uid="{00000000-0005-0000-0000-0000F08A0000}"/>
    <cellStyle name="Normal 3 3 7 2" xfId="2704" xr:uid="{00000000-0005-0000-0000-0000F18A0000}"/>
    <cellStyle name="Normal 3 3 7 2 2" xfId="5962" xr:uid="{00000000-0005-0000-0000-0000F28A0000}"/>
    <cellStyle name="Normal 3 3 7 2 2 2" xfId="9505" xr:uid="{00000000-0005-0000-0000-0000F38A0000}"/>
    <cellStyle name="Normal 3 3 7 2 2 2 2" xfId="16295" xr:uid="{00000000-0005-0000-0000-0000F48A0000}"/>
    <cellStyle name="Normal 3 3 7 2 2 2 2 2" xfId="29863" xr:uid="{00000000-0005-0000-0000-0000F58A0000}"/>
    <cellStyle name="Normal 3 3 7 2 2 2 2 2 2" xfId="56996" xr:uid="{00000000-0005-0000-0000-0000F68A0000}"/>
    <cellStyle name="Normal 3 3 7 2 2 2 2 3" xfId="43434" xr:uid="{00000000-0005-0000-0000-0000F78A0000}"/>
    <cellStyle name="Normal 3 3 7 2 2 2 3" xfId="23082" xr:uid="{00000000-0005-0000-0000-0000F88A0000}"/>
    <cellStyle name="Normal 3 3 7 2 2 2 3 2" xfId="50215" xr:uid="{00000000-0005-0000-0000-0000F98A0000}"/>
    <cellStyle name="Normal 3 3 7 2 2 2 4" xfId="36653" xr:uid="{00000000-0005-0000-0000-0000FA8A0000}"/>
    <cellStyle name="Normal 3 3 7 2 2 3" xfId="12906" xr:uid="{00000000-0005-0000-0000-0000FB8A0000}"/>
    <cellStyle name="Normal 3 3 7 2 2 3 2" xfId="26474" xr:uid="{00000000-0005-0000-0000-0000FC8A0000}"/>
    <cellStyle name="Normal 3 3 7 2 2 3 2 2" xfId="53607" xr:uid="{00000000-0005-0000-0000-0000FD8A0000}"/>
    <cellStyle name="Normal 3 3 7 2 2 3 3" xfId="40045" xr:uid="{00000000-0005-0000-0000-0000FE8A0000}"/>
    <cellStyle name="Normal 3 3 7 2 2 4" xfId="19693" xr:uid="{00000000-0005-0000-0000-0000FF8A0000}"/>
    <cellStyle name="Normal 3 3 7 2 2 4 2" xfId="46826" xr:uid="{00000000-0005-0000-0000-0000008B0000}"/>
    <cellStyle name="Normal 3 3 7 2 2 5" xfId="33264" xr:uid="{00000000-0005-0000-0000-0000018B0000}"/>
    <cellStyle name="Normal 3 3 7 2 3" xfId="5963" xr:uid="{00000000-0005-0000-0000-0000028B0000}"/>
    <cellStyle name="Normal 3 3 7 2 3 2" xfId="9506" xr:uid="{00000000-0005-0000-0000-0000038B0000}"/>
    <cellStyle name="Normal 3 3 7 2 3 2 2" xfId="16296" xr:uid="{00000000-0005-0000-0000-0000048B0000}"/>
    <cellStyle name="Normal 3 3 7 2 3 2 2 2" xfId="29864" xr:uid="{00000000-0005-0000-0000-0000058B0000}"/>
    <cellStyle name="Normal 3 3 7 2 3 2 2 2 2" xfId="56997" xr:uid="{00000000-0005-0000-0000-0000068B0000}"/>
    <cellStyle name="Normal 3 3 7 2 3 2 2 3" xfId="43435" xr:uid="{00000000-0005-0000-0000-0000078B0000}"/>
    <cellStyle name="Normal 3 3 7 2 3 2 3" xfId="23083" xr:uid="{00000000-0005-0000-0000-0000088B0000}"/>
    <cellStyle name="Normal 3 3 7 2 3 2 3 2" xfId="50216" xr:uid="{00000000-0005-0000-0000-0000098B0000}"/>
    <cellStyle name="Normal 3 3 7 2 3 2 4" xfId="36654" xr:uid="{00000000-0005-0000-0000-00000A8B0000}"/>
    <cellStyle name="Normal 3 3 7 2 3 3" xfId="12907" xr:uid="{00000000-0005-0000-0000-00000B8B0000}"/>
    <cellStyle name="Normal 3 3 7 2 3 3 2" xfId="26475" xr:uid="{00000000-0005-0000-0000-00000C8B0000}"/>
    <cellStyle name="Normal 3 3 7 2 3 3 2 2" xfId="53608" xr:uid="{00000000-0005-0000-0000-00000D8B0000}"/>
    <cellStyle name="Normal 3 3 7 2 3 3 3" xfId="40046" xr:uid="{00000000-0005-0000-0000-00000E8B0000}"/>
    <cellStyle name="Normal 3 3 7 2 3 4" xfId="19694" xr:uid="{00000000-0005-0000-0000-00000F8B0000}"/>
    <cellStyle name="Normal 3 3 7 2 3 4 2" xfId="46827" xr:uid="{00000000-0005-0000-0000-0000108B0000}"/>
    <cellStyle name="Normal 3 3 7 2 3 5" xfId="33265" xr:uid="{00000000-0005-0000-0000-0000118B0000}"/>
    <cellStyle name="Normal 3 3 7 2 4" xfId="7517" xr:uid="{00000000-0005-0000-0000-0000128B0000}"/>
    <cellStyle name="Normal 3 3 7 2 4 2" xfId="14307" xr:uid="{00000000-0005-0000-0000-0000138B0000}"/>
    <cellStyle name="Normal 3 3 7 2 4 2 2" xfId="27875" xr:uid="{00000000-0005-0000-0000-0000148B0000}"/>
    <cellStyle name="Normal 3 3 7 2 4 2 2 2" xfId="55008" xr:uid="{00000000-0005-0000-0000-0000158B0000}"/>
    <cellStyle name="Normal 3 3 7 2 4 2 3" xfId="41446" xr:uid="{00000000-0005-0000-0000-0000168B0000}"/>
    <cellStyle name="Normal 3 3 7 2 4 3" xfId="21094" xr:uid="{00000000-0005-0000-0000-0000178B0000}"/>
    <cellStyle name="Normal 3 3 7 2 4 3 2" xfId="48227" xr:uid="{00000000-0005-0000-0000-0000188B0000}"/>
    <cellStyle name="Normal 3 3 7 2 4 4" xfId="34665" xr:uid="{00000000-0005-0000-0000-0000198B0000}"/>
    <cellStyle name="Normal 3 3 7 2 5" xfId="10918" xr:uid="{00000000-0005-0000-0000-00001A8B0000}"/>
    <cellStyle name="Normal 3 3 7 2 5 2" xfId="24486" xr:uid="{00000000-0005-0000-0000-00001B8B0000}"/>
    <cellStyle name="Normal 3 3 7 2 5 2 2" xfId="51619" xr:uid="{00000000-0005-0000-0000-00001C8B0000}"/>
    <cellStyle name="Normal 3 3 7 2 5 3" xfId="38057" xr:uid="{00000000-0005-0000-0000-00001D8B0000}"/>
    <cellStyle name="Normal 3 3 7 2 6" xfId="17705" xr:uid="{00000000-0005-0000-0000-00001E8B0000}"/>
    <cellStyle name="Normal 3 3 7 2 6 2" xfId="44838" xr:uid="{00000000-0005-0000-0000-00001F8B0000}"/>
    <cellStyle name="Normal 3 3 7 2 7" xfId="31276" xr:uid="{00000000-0005-0000-0000-0000208B0000}"/>
    <cellStyle name="Normal 3 3 7 3" xfId="5964" xr:uid="{00000000-0005-0000-0000-0000218B0000}"/>
    <cellStyle name="Normal 3 3 7 3 2" xfId="9507" xr:uid="{00000000-0005-0000-0000-0000228B0000}"/>
    <cellStyle name="Normal 3 3 7 3 2 2" xfId="16297" xr:uid="{00000000-0005-0000-0000-0000238B0000}"/>
    <cellStyle name="Normal 3 3 7 3 2 2 2" xfId="29865" xr:uid="{00000000-0005-0000-0000-0000248B0000}"/>
    <cellStyle name="Normal 3 3 7 3 2 2 2 2" xfId="56998" xr:uid="{00000000-0005-0000-0000-0000258B0000}"/>
    <cellStyle name="Normal 3 3 7 3 2 2 3" xfId="43436" xr:uid="{00000000-0005-0000-0000-0000268B0000}"/>
    <cellStyle name="Normal 3 3 7 3 2 3" xfId="23084" xr:uid="{00000000-0005-0000-0000-0000278B0000}"/>
    <cellStyle name="Normal 3 3 7 3 2 3 2" xfId="50217" xr:uid="{00000000-0005-0000-0000-0000288B0000}"/>
    <cellStyle name="Normal 3 3 7 3 2 4" xfId="36655" xr:uid="{00000000-0005-0000-0000-0000298B0000}"/>
    <cellStyle name="Normal 3 3 7 3 3" xfId="12908" xr:uid="{00000000-0005-0000-0000-00002A8B0000}"/>
    <cellStyle name="Normal 3 3 7 3 3 2" xfId="26476" xr:uid="{00000000-0005-0000-0000-00002B8B0000}"/>
    <cellStyle name="Normal 3 3 7 3 3 2 2" xfId="53609" xr:uid="{00000000-0005-0000-0000-00002C8B0000}"/>
    <cellStyle name="Normal 3 3 7 3 3 3" xfId="40047" xr:uid="{00000000-0005-0000-0000-00002D8B0000}"/>
    <cellStyle name="Normal 3 3 7 3 4" xfId="19695" xr:uid="{00000000-0005-0000-0000-00002E8B0000}"/>
    <cellStyle name="Normal 3 3 7 3 4 2" xfId="46828" xr:uid="{00000000-0005-0000-0000-00002F8B0000}"/>
    <cellStyle name="Normal 3 3 7 3 5" xfId="33266" xr:uid="{00000000-0005-0000-0000-0000308B0000}"/>
    <cellStyle name="Normal 3 3 7 4" xfId="5965" xr:uid="{00000000-0005-0000-0000-0000318B0000}"/>
    <cellStyle name="Normal 3 3 7 4 2" xfId="9508" xr:uid="{00000000-0005-0000-0000-0000328B0000}"/>
    <cellStyle name="Normal 3 3 7 4 2 2" xfId="16298" xr:uid="{00000000-0005-0000-0000-0000338B0000}"/>
    <cellStyle name="Normal 3 3 7 4 2 2 2" xfId="29866" xr:uid="{00000000-0005-0000-0000-0000348B0000}"/>
    <cellStyle name="Normal 3 3 7 4 2 2 2 2" xfId="56999" xr:uid="{00000000-0005-0000-0000-0000358B0000}"/>
    <cellStyle name="Normal 3 3 7 4 2 2 3" xfId="43437" xr:uid="{00000000-0005-0000-0000-0000368B0000}"/>
    <cellStyle name="Normal 3 3 7 4 2 3" xfId="23085" xr:uid="{00000000-0005-0000-0000-0000378B0000}"/>
    <cellStyle name="Normal 3 3 7 4 2 3 2" xfId="50218" xr:uid="{00000000-0005-0000-0000-0000388B0000}"/>
    <cellStyle name="Normal 3 3 7 4 2 4" xfId="36656" xr:uid="{00000000-0005-0000-0000-0000398B0000}"/>
    <cellStyle name="Normal 3 3 7 4 3" xfId="12909" xr:uid="{00000000-0005-0000-0000-00003A8B0000}"/>
    <cellStyle name="Normal 3 3 7 4 3 2" xfId="26477" xr:uid="{00000000-0005-0000-0000-00003B8B0000}"/>
    <cellStyle name="Normal 3 3 7 4 3 2 2" xfId="53610" xr:uid="{00000000-0005-0000-0000-00003C8B0000}"/>
    <cellStyle name="Normal 3 3 7 4 3 3" xfId="40048" xr:uid="{00000000-0005-0000-0000-00003D8B0000}"/>
    <cellStyle name="Normal 3 3 7 4 4" xfId="19696" xr:uid="{00000000-0005-0000-0000-00003E8B0000}"/>
    <cellStyle name="Normal 3 3 7 4 4 2" xfId="46829" xr:uid="{00000000-0005-0000-0000-00003F8B0000}"/>
    <cellStyle name="Normal 3 3 7 4 5" xfId="33267" xr:uid="{00000000-0005-0000-0000-0000408B0000}"/>
    <cellStyle name="Normal 3 3 7 5" xfId="7516" xr:uid="{00000000-0005-0000-0000-0000418B0000}"/>
    <cellStyle name="Normal 3 3 7 5 2" xfId="14306" xr:uid="{00000000-0005-0000-0000-0000428B0000}"/>
    <cellStyle name="Normal 3 3 7 5 2 2" xfId="27874" xr:uid="{00000000-0005-0000-0000-0000438B0000}"/>
    <cellStyle name="Normal 3 3 7 5 2 2 2" xfId="55007" xr:uid="{00000000-0005-0000-0000-0000448B0000}"/>
    <cellStyle name="Normal 3 3 7 5 2 3" xfId="41445" xr:uid="{00000000-0005-0000-0000-0000458B0000}"/>
    <cellStyle name="Normal 3 3 7 5 3" xfId="21093" xr:uid="{00000000-0005-0000-0000-0000468B0000}"/>
    <cellStyle name="Normal 3 3 7 5 3 2" xfId="48226" xr:uid="{00000000-0005-0000-0000-0000478B0000}"/>
    <cellStyle name="Normal 3 3 7 5 4" xfId="34664" xr:uid="{00000000-0005-0000-0000-0000488B0000}"/>
    <cellStyle name="Normal 3 3 7 6" xfId="10917" xr:uid="{00000000-0005-0000-0000-0000498B0000}"/>
    <cellStyle name="Normal 3 3 7 6 2" xfId="24485" xr:uid="{00000000-0005-0000-0000-00004A8B0000}"/>
    <cellStyle name="Normal 3 3 7 6 2 2" xfId="51618" xr:uid="{00000000-0005-0000-0000-00004B8B0000}"/>
    <cellStyle name="Normal 3 3 7 6 3" xfId="38056" xr:uid="{00000000-0005-0000-0000-00004C8B0000}"/>
    <cellStyle name="Normal 3 3 7 7" xfId="17704" xr:uid="{00000000-0005-0000-0000-00004D8B0000}"/>
    <cellStyle name="Normal 3 3 7 7 2" xfId="44837" xr:uid="{00000000-0005-0000-0000-00004E8B0000}"/>
    <cellStyle name="Normal 3 3 7 8" xfId="31275" xr:uid="{00000000-0005-0000-0000-00004F8B0000}"/>
    <cellStyle name="Normal 3 3 8" xfId="2705" xr:uid="{00000000-0005-0000-0000-0000508B0000}"/>
    <cellStyle name="Normal 3 3 8 2" xfId="2706" xr:uid="{00000000-0005-0000-0000-0000518B0000}"/>
    <cellStyle name="Normal 3 3 8 2 2" xfId="5966" xr:uid="{00000000-0005-0000-0000-0000528B0000}"/>
    <cellStyle name="Normal 3 3 8 2 2 2" xfId="9509" xr:uid="{00000000-0005-0000-0000-0000538B0000}"/>
    <cellStyle name="Normal 3 3 8 2 2 2 2" xfId="16299" xr:uid="{00000000-0005-0000-0000-0000548B0000}"/>
    <cellStyle name="Normal 3 3 8 2 2 2 2 2" xfId="29867" xr:uid="{00000000-0005-0000-0000-0000558B0000}"/>
    <cellStyle name="Normal 3 3 8 2 2 2 2 2 2" xfId="57000" xr:uid="{00000000-0005-0000-0000-0000568B0000}"/>
    <cellStyle name="Normal 3 3 8 2 2 2 2 3" xfId="43438" xr:uid="{00000000-0005-0000-0000-0000578B0000}"/>
    <cellStyle name="Normal 3 3 8 2 2 2 3" xfId="23086" xr:uid="{00000000-0005-0000-0000-0000588B0000}"/>
    <cellStyle name="Normal 3 3 8 2 2 2 3 2" xfId="50219" xr:uid="{00000000-0005-0000-0000-0000598B0000}"/>
    <cellStyle name="Normal 3 3 8 2 2 2 4" xfId="36657" xr:uid="{00000000-0005-0000-0000-00005A8B0000}"/>
    <cellStyle name="Normal 3 3 8 2 2 3" xfId="12910" xr:uid="{00000000-0005-0000-0000-00005B8B0000}"/>
    <cellStyle name="Normal 3 3 8 2 2 3 2" xfId="26478" xr:uid="{00000000-0005-0000-0000-00005C8B0000}"/>
    <cellStyle name="Normal 3 3 8 2 2 3 2 2" xfId="53611" xr:uid="{00000000-0005-0000-0000-00005D8B0000}"/>
    <cellStyle name="Normal 3 3 8 2 2 3 3" xfId="40049" xr:uid="{00000000-0005-0000-0000-00005E8B0000}"/>
    <cellStyle name="Normal 3 3 8 2 2 4" xfId="19697" xr:uid="{00000000-0005-0000-0000-00005F8B0000}"/>
    <cellStyle name="Normal 3 3 8 2 2 4 2" xfId="46830" xr:uid="{00000000-0005-0000-0000-0000608B0000}"/>
    <cellStyle name="Normal 3 3 8 2 2 5" xfId="33268" xr:uid="{00000000-0005-0000-0000-0000618B0000}"/>
    <cellStyle name="Normal 3 3 8 2 3" xfId="5967" xr:uid="{00000000-0005-0000-0000-0000628B0000}"/>
    <cellStyle name="Normal 3 3 8 2 3 2" xfId="9510" xr:uid="{00000000-0005-0000-0000-0000638B0000}"/>
    <cellStyle name="Normal 3 3 8 2 3 2 2" xfId="16300" xr:uid="{00000000-0005-0000-0000-0000648B0000}"/>
    <cellStyle name="Normal 3 3 8 2 3 2 2 2" xfId="29868" xr:uid="{00000000-0005-0000-0000-0000658B0000}"/>
    <cellStyle name="Normal 3 3 8 2 3 2 2 2 2" xfId="57001" xr:uid="{00000000-0005-0000-0000-0000668B0000}"/>
    <cellStyle name="Normal 3 3 8 2 3 2 2 3" xfId="43439" xr:uid="{00000000-0005-0000-0000-0000678B0000}"/>
    <cellStyle name="Normal 3 3 8 2 3 2 3" xfId="23087" xr:uid="{00000000-0005-0000-0000-0000688B0000}"/>
    <cellStyle name="Normal 3 3 8 2 3 2 3 2" xfId="50220" xr:uid="{00000000-0005-0000-0000-0000698B0000}"/>
    <cellStyle name="Normal 3 3 8 2 3 2 4" xfId="36658" xr:uid="{00000000-0005-0000-0000-00006A8B0000}"/>
    <cellStyle name="Normal 3 3 8 2 3 3" xfId="12911" xr:uid="{00000000-0005-0000-0000-00006B8B0000}"/>
    <cellStyle name="Normal 3 3 8 2 3 3 2" xfId="26479" xr:uid="{00000000-0005-0000-0000-00006C8B0000}"/>
    <cellStyle name="Normal 3 3 8 2 3 3 2 2" xfId="53612" xr:uid="{00000000-0005-0000-0000-00006D8B0000}"/>
    <cellStyle name="Normal 3 3 8 2 3 3 3" xfId="40050" xr:uid="{00000000-0005-0000-0000-00006E8B0000}"/>
    <cellStyle name="Normal 3 3 8 2 3 4" xfId="19698" xr:uid="{00000000-0005-0000-0000-00006F8B0000}"/>
    <cellStyle name="Normal 3 3 8 2 3 4 2" xfId="46831" xr:uid="{00000000-0005-0000-0000-0000708B0000}"/>
    <cellStyle name="Normal 3 3 8 2 3 5" xfId="33269" xr:uid="{00000000-0005-0000-0000-0000718B0000}"/>
    <cellStyle name="Normal 3 3 8 2 4" xfId="7519" xr:uid="{00000000-0005-0000-0000-0000728B0000}"/>
    <cellStyle name="Normal 3 3 8 2 4 2" xfId="14309" xr:uid="{00000000-0005-0000-0000-0000738B0000}"/>
    <cellStyle name="Normal 3 3 8 2 4 2 2" xfId="27877" xr:uid="{00000000-0005-0000-0000-0000748B0000}"/>
    <cellStyle name="Normal 3 3 8 2 4 2 2 2" xfId="55010" xr:uid="{00000000-0005-0000-0000-0000758B0000}"/>
    <cellStyle name="Normal 3 3 8 2 4 2 3" xfId="41448" xr:uid="{00000000-0005-0000-0000-0000768B0000}"/>
    <cellStyle name="Normal 3 3 8 2 4 3" xfId="21096" xr:uid="{00000000-0005-0000-0000-0000778B0000}"/>
    <cellStyle name="Normal 3 3 8 2 4 3 2" xfId="48229" xr:uid="{00000000-0005-0000-0000-0000788B0000}"/>
    <cellStyle name="Normal 3 3 8 2 4 4" xfId="34667" xr:uid="{00000000-0005-0000-0000-0000798B0000}"/>
    <cellStyle name="Normal 3 3 8 2 5" xfId="10920" xr:uid="{00000000-0005-0000-0000-00007A8B0000}"/>
    <cellStyle name="Normal 3 3 8 2 5 2" xfId="24488" xr:uid="{00000000-0005-0000-0000-00007B8B0000}"/>
    <cellStyle name="Normal 3 3 8 2 5 2 2" xfId="51621" xr:uid="{00000000-0005-0000-0000-00007C8B0000}"/>
    <cellStyle name="Normal 3 3 8 2 5 3" xfId="38059" xr:uid="{00000000-0005-0000-0000-00007D8B0000}"/>
    <cellStyle name="Normal 3 3 8 2 6" xfId="17707" xr:uid="{00000000-0005-0000-0000-00007E8B0000}"/>
    <cellStyle name="Normal 3 3 8 2 6 2" xfId="44840" xr:uid="{00000000-0005-0000-0000-00007F8B0000}"/>
    <cellStyle name="Normal 3 3 8 2 7" xfId="31278" xr:uid="{00000000-0005-0000-0000-0000808B0000}"/>
    <cellStyle name="Normal 3 3 8 3" xfId="5968" xr:uid="{00000000-0005-0000-0000-0000818B0000}"/>
    <cellStyle name="Normal 3 3 8 3 2" xfId="9511" xr:uid="{00000000-0005-0000-0000-0000828B0000}"/>
    <cellStyle name="Normal 3 3 8 3 2 2" xfId="16301" xr:uid="{00000000-0005-0000-0000-0000838B0000}"/>
    <cellStyle name="Normal 3 3 8 3 2 2 2" xfId="29869" xr:uid="{00000000-0005-0000-0000-0000848B0000}"/>
    <cellStyle name="Normal 3 3 8 3 2 2 2 2" xfId="57002" xr:uid="{00000000-0005-0000-0000-0000858B0000}"/>
    <cellStyle name="Normal 3 3 8 3 2 2 3" xfId="43440" xr:uid="{00000000-0005-0000-0000-0000868B0000}"/>
    <cellStyle name="Normal 3 3 8 3 2 3" xfId="23088" xr:uid="{00000000-0005-0000-0000-0000878B0000}"/>
    <cellStyle name="Normal 3 3 8 3 2 3 2" xfId="50221" xr:uid="{00000000-0005-0000-0000-0000888B0000}"/>
    <cellStyle name="Normal 3 3 8 3 2 4" xfId="36659" xr:uid="{00000000-0005-0000-0000-0000898B0000}"/>
    <cellStyle name="Normal 3 3 8 3 3" xfId="12912" xr:uid="{00000000-0005-0000-0000-00008A8B0000}"/>
    <cellStyle name="Normal 3 3 8 3 3 2" xfId="26480" xr:uid="{00000000-0005-0000-0000-00008B8B0000}"/>
    <cellStyle name="Normal 3 3 8 3 3 2 2" xfId="53613" xr:uid="{00000000-0005-0000-0000-00008C8B0000}"/>
    <cellStyle name="Normal 3 3 8 3 3 3" xfId="40051" xr:uid="{00000000-0005-0000-0000-00008D8B0000}"/>
    <cellStyle name="Normal 3 3 8 3 4" xfId="19699" xr:uid="{00000000-0005-0000-0000-00008E8B0000}"/>
    <cellStyle name="Normal 3 3 8 3 4 2" xfId="46832" xr:uid="{00000000-0005-0000-0000-00008F8B0000}"/>
    <cellStyle name="Normal 3 3 8 3 5" xfId="33270" xr:uid="{00000000-0005-0000-0000-0000908B0000}"/>
    <cellStyle name="Normal 3 3 8 4" xfId="5969" xr:uid="{00000000-0005-0000-0000-0000918B0000}"/>
    <cellStyle name="Normal 3 3 8 4 2" xfId="9512" xr:uid="{00000000-0005-0000-0000-0000928B0000}"/>
    <cellStyle name="Normal 3 3 8 4 2 2" xfId="16302" xr:uid="{00000000-0005-0000-0000-0000938B0000}"/>
    <cellStyle name="Normal 3 3 8 4 2 2 2" xfId="29870" xr:uid="{00000000-0005-0000-0000-0000948B0000}"/>
    <cellStyle name="Normal 3 3 8 4 2 2 2 2" xfId="57003" xr:uid="{00000000-0005-0000-0000-0000958B0000}"/>
    <cellStyle name="Normal 3 3 8 4 2 2 3" xfId="43441" xr:uid="{00000000-0005-0000-0000-0000968B0000}"/>
    <cellStyle name="Normal 3 3 8 4 2 3" xfId="23089" xr:uid="{00000000-0005-0000-0000-0000978B0000}"/>
    <cellStyle name="Normal 3 3 8 4 2 3 2" xfId="50222" xr:uid="{00000000-0005-0000-0000-0000988B0000}"/>
    <cellStyle name="Normal 3 3 8 4 2 4" xfId="36660" xr:uid="{00000000-0005-0000-0000-0000998B0000}"/>
    <cellStyle name="Normal 3 3 8 4 3" xfId="12913" xr:uid="{00000000-0005-0000-0000-00009A8B0000}"/>
    <cellStyle name="Normal 3 3 8 4 3 2" xfId="26481" xr:uid="{00000000-0005-0000-0000-00009B8B0000}"/>
    <cellStyle name="Normal 3 3 8 4 3 2 2" xfId="53614" xr:uid="{00000000-0005-0000-0000-00009C8B0000}"/>
    <cellStyle name="Normal 3 3 8 4 3 3" xfId="40052" xr:uid="{00000000-0005-0000-0000-00009D8B0000}"/>
    <cellStyle name="Normal 3 3 8 4 4" xfId="19700" xr:uid="{00000000-0005-0000-0000-00009E8B0000}"/>
    <cellStyle name="Normal 3 3 8 4 4 2" xfId="46833" xr:uid="{00000000-0005-0000-0000-00009F8B0000}"/>
    <cellStyle name="Normal 3 3 8 4 5" xfId="33271" xr:uid="{00000000-0005-0000-0000-0000A08B0000}"/>
    <cellStyle name="Normal 3 3 8 5" xfId="7518" xr:uid="{00000000-0005-0000-0000-0000A18B0000}"/>
    <cellStyle name="Normal 3 3 8 5 2" xfId="14308" xr:uid="{00000000-0005-0000-0000-0000A28B0000}"/>
    <cellStyle name="Normal 3 3 8 5 2 2" xfId="27876" xr:uid="{00000000-0005-0000-0000-0000A38B0000}"/>
    <cellStyle name="Normal 3 3 8 5 2 2 2" xfId="55009" xr:uid="{00000000-0005-0000-0000-0000A48B0000}"/>
    <cellStyle name="Normal 3 3 8 5 2 3" xfId="41447" xr:uid="{00000000-0005-0000-0000-0000A58B0000}"/>
    <cellStyle name="Normal 3 3 8 5 3" xfId="21095" xr:uid="{00000000-0005-0000-0000-0000A68B0000}"/>
    <cellStyle name="Normal 3 3 8 5 3 2" xfId="48228" xr:uid="{00000000-0005-0000-0000-0000A78B0000}"/>
    <cellStyle name="Normal 3 3 8 5 4" xfId="34666" xr:uid="{00000000-0005-0000-0000-0000A88B0000}"/>
    <cellStyle name="Normal 3 3 8 6" xfId="10919" xr:uid="{00000000-0005-0000-0000-0000A98B0000}"/>
    <cellStyle name="Normal 3 3 8 6 2" xfId="24487" xr:uid="{00000000-0005-0000-0000-0000AA8B0000}"/>
    <cellStyle name="Normal 3 3 8 6 2 2" xfId="51620" xr:uid="{00000000-0005-0000-0000-0000AB8B0000}"/>
    <cellStyle name="Normal 3 3 8 6 3" xfId="38058" xr:uid="{00000000-0005-0000-0000-0000AC8B0000}"/>
    <cellStyle name="Normal 3 3 8 7" xfId="17706" xr:uid="{00000000-0005-0000-0000-0000AD8B0000}"/>
    <cellStyle name="Normal 3 3 8 7 2" xfId="44839" xr:uid="{00000000-0005-0000-0000-0000AE8B0000}"/>
    <cellStyle name="Normal 3 3 8 8" xfId="31277" xr:uid="{00000000-0005-0000-0000-0000AF8B0000}"/>
    <cellStyle name="Normal 3 3 9" xfId="2707" xr:uid="{00000000-0005-0000-0000-0000B08B0000}"/>
    <cellStyle name="Normal 3 3 9 2" xfId="5970" xr:uid="{00000000-0005-0000-0000-0000B18B0000}"/>
    <cellStyle name="Normal 3 3 9 2 2" xfId="9513" xr:uid="{00000000-0005-0000-0000-0000B28B0000}"/>
    <cellStyle name="Normal 3 3 9 2 2 2" xfId="16303" xr:uid="{00000000-0005-0000-0000-0000B38B0000}"/>
    <cellStyle name="Normal 3 3 9 2 2 2 2" xfId="29871" xr:uid="{00000000-0005-0000-0000-0000B48B0000}"/>
    <cellStyle name="Normal 3 3 9 2 2 2 2 2" xfId="57004" xr:uid="{00000000-0005-0000-0000-0000B58B0000}"/>
    <cellStyle name="Normal 3 3 9 2 2 2 3" xfId="43442" xr:uid="{00000000-0005-0000-0000-0000B68B0000}"/>
    <cellStyle name="Normal 3 3 9 2 2 3" xfId="23090" xr:uid="{00000000-0005-0000-0000-0000B78B0000}"/>
    <cellStyle name="Normal 3 3 9 2 2 3 2" xfId="50223" xr:uid="{00000000-0005-0000-0000-0000B88B0000}"/>
    <cellStyle name="Normal 3 3 9 2 2 4" xfId="36661" xr:uid="{00000000-0005-0000-0000-0000B98B0000}"/>
    <cellStyle name="Normal 3 3 9 2 3" xfId="12914" xr:uid="{00000000-0005-0000-0000-0000BA8B0000}"/>
    <cellStyle name="Normal 3 3 9 2 3 2" xfId="26482" xr:uid="{00000000-0005-0000-0000-0000BB8B0000}"/>
    <cellStyle name="Normal 3 3 9 2 3 2 2" xfId="53615" xr:uid="{00000000-0005-0000-0000-0000BC8B0000}"/>
    <cellStyle name="Normal 3 3 9 2 3 3" xfId="40053" xr:uid="{00000000-0005-0000-0000-0000BD8B0000}"/>
    <cellStyle name="Normal 3 3 9 2 4" xfId="19701" xr:uid="{00000000-0005-0000-0000-0000BE8B0000}"/>
    <cellStyle name="Normal 3 3 9 2 4 2" xfId="46834" xr:uid="{00000000-0005-0000-0000-0000BF8B0000}"/>
    <cellStyle name="Normal 3 3 9 2 5" xfId="33272" xr:uid="{00000000-0005-0000-0000-0000C08B0000}"/>
    <cellStyle name="Normal 3 3 9 3" xfId="5971" xr:uid="{00000000-0005-0000-0000-0000C18B0000}"/>
    <cellStyle name="Normal 3 3 9 3 2" xfId="9514" xr:uid="{00000000-0005-0000-0000-0000C28B0000}"/>
    <cellStyle name="Normal 3 3 9 3 2 2" xfId="16304" xr:uid="{00000000-0005-0000-0000-0000C38B0000}"/>
    <cellStyle name="Normal 3 3 9 3 2 2 2" xfId="29872" xr:uid="{00000000-0005-0000-0000-0000C48B0000}"/>
    <cellStyle name="Normal 3 3 9 3 2 2 2 2" xfId="57005" xr:uid="{00000000-0005-0000-0000-0000C58B0000}"/>
    <cellStyle name="Normal 3 3 9 3 2 2 3" xfId="43443" xr:uid="{00000000-0005-0000-0000-0000C68B0000}"/>
    <cellStyle name="Normal 3 3 9 3 2 3" xfId="23091" xr:uid="{00000000-0005-0000-0000-0000C78B0000}"/>
    <cellStyle name="Normal 3 3 9 3 2 3 2" xfId="50224" xr:uid="{00000000-0005-0000-0000-0000C88B0000}"/>
    <cellStyle name="Normal 3 3 9 3 2 4" xfId="36662" xr:uid="{00000000-0005-0000-0000-0000C98B0000}"/>
    <cellStyle name="Normal 3 3 9 3 3" xfId="12915" xr:uid="{00000000-0005-0000-0000-0000CA8B0000}"/>
    <cellStyle name="Normal 3 3 9 3 3 2" xfId="26483" xr:uid="{00000000-0005-0000-0000-0000CB8B0000}"/>
    <cellStyle name="Normal 3 3 9 3 3 2 2" xfId="53616" xr:uid="{00000000-0005-0000-0000-0000CC8B0000}"/>
    <cellStyle name="Normal 3 3 9 3 3 3" xfId="40054" xr:uid="{00000000-0005-0000-0000-0000CD8B0000}"/>
    <cellStyle name="Normal 3 3 9 3 4" xfId="19702" xr:uid="{00000000-0005-0000-0000-0000CE8B0000}"/>
    <cellStyle name="Normal 3 3 9 3 4 2" xfId="46835" xr:uid="{00000000-0005-0000-0000-0000CF8B0000}"/>
    <cellStyle name="Normal 3 3 9 3 5" xfId="33273" xr:uid="{00000000-0005-0000-0000-0000D08B0000}"/>
    <cellStyle name="Normal 3 3 9 4" xfId="7520" xr:uid="{00000000-0005-0000-0000-0000D18B0000}"/>
    <cellStyle name="Normal 3 3 9 4 2" xfId="14310" xr:uid="{00000000-0005-0000-0000-0000D28B0000}"/>
    <cellStyle name="Normal 3 3 9 4 2 2" xfId="27878" xr:uid="{00000000-0005-0000-0000-0000D38B0000}"/>
    <cellStyle name="Normal 3 3 9 4 2 2 2" xfId="55011" xr:uid="{00000000-0005-0000-0000-0000D48B0000}"/>
    <cellStyle name="Normal 3 3 9 4 2 3" xfId="41449" xr:uid="{00000000-0005-0000-0000-0000D58B0000}"/>
    <cellStyle name="Normal 3 3 9 4 3" xfId="21097" xr:uid="{00000000-0005-0000-0000-0000D68B0000}"/>
    <cellStyle name="Normal 3 3 9 4 3 2" xfId="48230" xr:uid="{00000000-0005-0000-0000-0000D78B0000}"/>
    <cellStyle name="Normal 3 3 9 4 4" xfId="34668" xr:uid="{00000000-0005-0000-0000-0000D88B0000}"/>
    <cellStyle name="Normal 3 3 9 5" xfId="10921" xr:uid="{00000000-0005-0000-0000-0000D98B0000}"/>
    <cellStyle name="Normal 3 3 9 5 2" xfId="24489" xr:uid="{00000000-0005-0000-0000-0000DA8B0000}"/>
    <cellStyle name="Normal 3 3 9 5 2 2" xfId="51622" xr:uid="{00000000-0005-0000-0000-0000DB8B0000}"/>
    <cellStyle name="Normal 3 3 9 5 3" xfId="38060" xr:uid="{00000000-0005-0000-0000-0000DC8B0000}"/>
    <cellStyle name="Normal 3 3 9 6" xfId="17708" xr:uid="{00000000-0005-0000-0000-0000DD8B0000}"/>
    <cellStyle name="Normal 3 3 9 6 2" xfId="44841" xr:uid="{00000000-0005-0000-0000-0000DE8B0000}"/>
    <cellStyle name="Normal 3 3 9 7" xfId="31279" xr:uid="{00000000-0005-0000-0000-0000DF8B0000}"/>
    <cellStyle name="Normal 3 4" xfId="2708" xr:uid="{00000000-0005-0000-0000-0000E08B0000}"/>
    <cellStyle name="Normal 3 4 10" xfId="5972" xr:uid="{00000000-0005-0000-0000-0000E18B0000}"/>
    <cellStyle name="Normal 3 4 10 2" xfId="9515" xr:uid="{00000000-0005-0000-0000-0000E28B0000}"/>
    <cellStyle name="Normal 3 4 10 2 2" xfId="16305" xr:uid="{00000000-0005-0000-0000-0000E38B0000}"/>
    <cellStyle name="Normal 3 4 10 2 2 2" xfId="29873" xr:uid="{00000000-0005-0000-0000-0000E48B0000}"/>
    <cellStyle name="Normal 3 4 10 2 2 2 2" xfId="57006" xr:uid="{00000000-0005-0000-0000-0000E58B0000}"/>
    <cellStyle name="Normal 3 4 10 2 2 3" xfId="43444" xr:uid="{00000000-0005-0000-0000-0000E68B0000}"/>
    <cellStyle name="Normal 3 4 10 2 3" xfId="23092" xr:uid="{00000000-0005-0000-0000-0000E78B0000}"/>
    <cellStyle name="Normal 3 4 10 2 3 2" xfId="50225" xr:uid="{00000000-0005-0000-0000-0000E88B0000}"/>
    <cellStyle name="Normal 3 4 10 2 4" xfId="36663" xr:uid="{00000000-0005-0000-0000-0000E98B0000}"/>
    <cellStyle name="Normal 3 4 10 3" xfId="12916" xr:uid="{00000000-0005-0000-0000-0000EA8B0000}"/>
    <cellStyle name="Normal 3 4 10 3 2" xfId="26484" xr:uid="{00000000-0005-0000-0000-0000EB8B0000}"/>
    <cellStyle name="Normal 3 4 10 3 2 2" xfId="53617" xr:uid="{00000000-0005-0000-0000-0000EC8B0000}"/>
    <cellStyle name="Normal 3 4 10 3 3" xfId="40055" xr:uid="{00000000-0005-0000-0000-0000ED8B0000}"/>
    <cellStyle name="Normal 3 4 10 4" xfId="19703" xr:uid="{00000000-0005-0000-0000-0000EE8B0000}"/>
    <cellStyle name="Normal 3 4 10 4 2" xfId="46836" xr:uid="{00000000-0005-0000-0000-0000EF8B0000}"/>
    <cellStyle name="Normal 3 4 10 5" xfId="33274" xr:uid="{00000000-0005-0000-0000-0000F08B0000}"/>
    <cellStyle name="Normal 3 4 11" xfId="5973" xr:uid="{00000000-0005-0000-0000-0000F18B0000}"/>
    <cellStyle name="Normal 3 4 11 2" xfId="9516" xr:uid="{00000000-0005-0000-0000-0000F28B0000}"/>
    <cellStyle name="Normal 3 4 11 2 2" xfId="16306" xr:uid="{00000000-0005-0000-0000-0000F38B0000}"/>
    <cellStyle name="Normal 3 4 11 2 2 2" xfId="29874" xr:uid="{00000000-0005-0000-0000-0000F48B0000}"/>
    <cellStyle name="Normal 3 4 11 2 2 2 2" xfId="57007" xr:uid="{00000000-0005-0000-0000-0000F58B0000}"/>
    <cellStyle name="Normal 3 4 11 2 2 3" xfId="43445" xr:uid="{00000000-0005-0000-0000-0000F68B0000}"/>
    <cellStyle name="Normal 3 4 11 2 3" xfId="23093" xr:uid="{00000000-0005-0000-0000-0000F78B0000}"/>
    <cellStyle name="Normal 3 4 11 2 3 2" xfId="50226" xr:uid="{00000000-0005-0000-0000-0000F88B0000}"/>
    <cellStyle name="Normal 3 4 11 2 4" xfId="36664" xr:uid="{00000000-0005-0000-0000-0000F98B0000}"/>
    <cellStyle name="Normal 3 4 11 3" xfId="12917" xr:uid="{00000000-0005-0000-0000-0000FA8B0000}"/>
    <cellStyle name="Normal 3 4 11 3 2" xfId="26485" xr:uid="{00000000-0005-0000-0000-0000FB8B0000}"/>
    <cellStyle name="Normal 3 4 11 3 2 2" xfId="53618" xr:uid="{00000000-0005-0000-0000-0000FC8B0000}"/>
    <cellStyle name="Normal 3 4 11 3 3" xfId="40056" xr:uid="{00000000-0005-0000-0000-0000FD8B0000}"/>
    <cellStyle name="Normal 3 4 11 4" xfId="19704" xr:uid="{00000000-0005-0000-0000-0000FE8B0000}"/>
    <cellStyle name="Normal 3 4 11 4 2" xfId="46837" xr:uid="{00000000-0005-0000-0000-0000FF8B0000}"/>
    <cellStyle name="Normal 3 4 11 5" xfId="33275" xr:uid="{00000000-0005-0000-0000-0000008C0000}"/>
    <cellStyle name="Normal 3 4 12" xfId="7521" xr:uid="{00000000-0005-0000-0000-0000018C0000}"/>
    <cellStyle name="Normal 3 4 12 2" xfId="14311" xr:uid="{00000000-0005-0000-0000-0000028C0000}"/>
    <cellStyle name="Normal 3 4 12 2 2" xfId="27879" xr:uid="{00000000-0005-0000-0000-0000038C0000}"/>
    <cellStyle name="Normal 3 4 12 2 2 2" xfId="55012" xr:uid="{00000000-0005-0000-0000-0000048C0000}"/>
    <cellStyle name="Normal 3 4 12 2 3" xfId="41450" xr:uid="{00000000-0005-0000-0000-0000058C0000}"/>
    <cellStyle name="Normal 3 4 12 3" xfId="21098" xr:uid="{00000000-0005-0000-0000-0000068C0000}"/>
    <cellStyle name="Normal 3 4 12 3 2" xfId="48231" xr:uid="{00000000-0005-0000-0000-0000078C0000}"/>
    <cellStyle name="Normal 3 4 12 4" xfId="34669" xr:uid="{00000000-0005-0000-0000-0000088C0000}"/>
    <cellStyle name="Normal 3 4 13" xfId="10851" xr:uid="{00000000-0005-0000-0000-0000098C0000}"/>
    <cellStyle name="Normal 3 4 14" xfId="10922" xr:uid="{00000000-0005-0000-0000-00000A8C0000}"/>
    <cellStyle name="Normal 3 4 14 2" xfId="24490" xr:uid="{00000000-0005-0000-0000-00000B8C0000}"/>
    <cellStyle name="Normal 3 4 14 2 2" xfId="51623" xr:uid="{00000000-0005-0000-0000-00000C8C0000}"/>
    <cellStyle name="Normal 3 4 14 3" xfId="38061" xr:uid="{00000000-0005-0000-0000-00000D8C0000}"/>
    <cellStyle name="Normal 3 4 15" xfId="17709" xr:uid="{00000000-0005-0000-0000-00000E8C0000}"/>
    <cellStyle name="Normal 3 4 15 2" xfId="44842" xr:uid="{00000000-0005-0000-0000-00000F8C0000}"/>
    <cellStyle name="Normal 3 4 16" xfId="31280" xr:uid="{00000000-0005-0000-0000-0000108C0000}"/>
    <cellStyle name="Normal 3 4 2" xfId="2709" xr:uid="{00000000-0005-0000-0000-0000118C0000}"/>
    <cellStyle name="Normal 3 4 2 10" xfId="7522" xr:uid="{00000000-0005-0000-0000-0000128C0000}"/>
    <cellStyle name="Normal 3 4 2 10 2" xfId="14312" xr:uid="{00000000-0005-0000-0000-0000138C0000}"/>
    <cellStyle name="Normal 3 4 2 10 2 2" xfId="27880" xr:uid="{00000000-0005-0000-0000-0000148C0000}"/>
    <cellStyle name="Normal 3 4 2 10 2 2 2" xfId="55013" xr:uid="{00000000-0005-0000-0000-0000158C0000}"/>
    <cellStyle name="Normal 3 4 2 10 2 3" xfId="41451" xr:uid="{00000000-0005-0000-0000-0000168C0000}"/>
    <cellStyle name="Normal 3 4 2 10 3" xfId="21099" xr:uid="{00000000-0005-0000-0000-0000178C0000}"/>
    <cellStyle name="Normal 3 4 2 10 3 2" xfId="48232" xr:uid="{00000000-0005-0000-0000-0000188C0000}"/>
    <cellStyle name="Normal 3 4 2 10 4" xfId="34670" xr:uid="{00000000-0005-0000-0000-0000198C0000}"/>
    <cellStyle name="Normal 3 4 2 11" xfId="10923" xr:uid="{00000000-0005-0000-0000-00001A8C0000}"/>
    <cellStyle name="Normal 3 4 2 11 2" xfId="24491" xr:uid="{00000000-0005-0000-0000-00001B8C0000}"/>
    <cellStyle name="Normal 3 4 2 11 2 2" xfId="51624" xr:uid="{00000000-0005-0000-0000-00001C8C0000}"/>
    <cellStyle name="Normal 3 4 2 11 3" xfId="38062" xr:uid="{00000000-0005-0000-0000-00001D8C0000}"/>
    <cellStyle name="Normal 3 4 2 12" xfId="17710" xr:uid="{00000000-0005-0000-0000-00001E8C0000}"/>
    <cellStyle name="Normal 3 4 2 12 2" xfId="44843" xr:uid="{00000000-0005-0000-0000-00001F8C0000}"/>
    <cellStyle name="Normal 3 4 2 13" xfId="31281" xr:uid="{00000000-0005-0000-0000-0000208C0000}"/>
    <cellStyle name="Normal 3 4 2 2" xfId="2710" xr:uid="{00000000-0005-0000-0000-0000218C0000}"/>
    <cellStyle name="Normal 3 4 2 2 10" xfId="31282" xr:uid="{00000000-0005-0000-0000-0000228C0000}"/>
    <cellStyle name="Normal 3 4 2 2 2" xfId="5974" xr:uid="{00000000-0005-0000-0000-0000238C0000}"/>
    <cellStyle name="Normal 3 4 2 2 2 2" xfId="5975" xr:uid="{00000000-0005-0000-0000-0000248C0000}"/>
    <cellStyle name="Normal 3 4 2 2 2 2 2" xfId="5976" xr:uid="{00000000-0005-0000-0000-0000258C0000}"/>
    <cellStyle name="Normal 3 4 2 2 2 2 2 2" xfId="9519" xr:uid="{00000000-0005-0000-0000-0000268C0000}"/>
    <cellStyle name="Normal 3 4 2 2 2 2 2 2 2" xfId="16309" xr:uid="{00000000-0005-0000-0000-0000278C0000}"/>
    <cellStyle name="Normal 3 4 2 2 2 2 2 2 2 2" xfId="29877" xr:uid="{00000000-0005-0000-0000-0000288C0000}"/>
    <cellStyle name="Normal 3 4 2 2 2 2 2 2 2 2 2" xfId="57010" xr:uid="{00000000-0005-0000-0000-0000298C0000}"/>
    <cellStyle name="Normal 3 4 2 2 2 2 2 2 2 3" xfId="43448" xr:uid="{00000000-0005-0000-0000-00002A8C0000}"/>
    <cellStyle name="Normal 3 4 2 2 2 2 2 2 3" xfId="23096" xr:uid="{00000000-0005-0000-0000-00002B8C0000}"/>
    <cellStyle name="Normal 3 4 2 2 2 2 2 2 3 2" xfId="50229" xr:uid="{00000000-0005-0000-0000-00002C8C0000}"/>
    <cellStyle name="Normal 3 4 2 2 2 2 2 2 4" xfId="36667" xr:uid="{00000000-0005-0000-0000-00002D8C0000}"/>
    <cellStyle name="Normal 3 4 2 2 2 2 2 3" xfId="12920" xr:uid="{00000000-0005-0000-0000-00002E8C0000}"/>
    <cellStyle name="Normal 3 4 2 2 2 2 2 3 2" xfId="26488" xr:uid="{00000000-0005-0000-0000-00002F8C0000}"/>
    <cellStyle name="Normal 3 4 2 2 2 2 2 3 2 2" xfId="53621" xr:uid="{00000000-0005-0000-0000-0000308C0000}"/>
    <cellStyle name="Normal 3 4 2 2 2 2 2 3 3" xfId="40059" xr:uid="{00000000-0005-0000-0000-0000318C0000}"/>
    <cellStyle name="Normal 3 4 2 2 2 2 2 4" xfId="19707" xr:uid="{00000000-0005-0000-0000-0000328C0000}"/>
    <cellStyle name="Normal 3 4 2 2 2 2 2 4 2" xfId="46840" xr:uid="{00000000-0005-0000-0000-0000338C0000}"/>
    <cellStyle name="Normal 3 4 2 2 2 2 2 5" xfId="33278" xr:uid="{00000000-0005-0000-0000-0000348C0000}"/>
    <cellStyle name="Normal 3 4 2 2 2 2 3" xfId="5977" xr:uid="{00000000-0005-0000-0000-0000358C0000}"/>
    <cellStyle name="Normal 3 4 2 2 2 2 3 2" xfId="9520" xr:uid="{00000000-0005-0000-0000-0000368C0000}"/>
    <cellStyle name="Normal 3 4 2 2 2 2 3 2 2" xfId="16310" xr:uid="{00000000-0005-0000-0000-0000378C0000}"/>
    <cellStyle name="Normal 3 4 2 2 2 2 3 2 2 2" xfId="29878" xr:uid="{00000000-0005-0000-0000-0000388C0000}"/>
    <cellStyle name="Normal 3 4 2 2 2 2 3 2 2 2 2" xfId="57011" xr:uid="{00000000-0005-0000-0000-0000398C0000}"/>
    <cellStyle name="Normal 3 4 2 2 2 2 3 2 2 3" xfId="43449" xr:uid="{00000000-0005-0000-0000-00003A8C0000}"/>
    <cellStyle name="Normal 3 4 2 2 2 2 3 2 3" xfId="23097" xr:uid="{00000000-0005-0000-0000-00003B8C0000}"/>
    <cellStyle name="Normal 3 4 2 2 2 2 3 2 3 2" xfId="50230" xr:uid="{00000000-0005-0000-0000-00003C8C0000}"/>
    <cellStyle name="Normal 3 4 2 2 2 2 3 2 4" xfId="36668" xr:uid="{00000000-0005-0000-0000-00003D8C0000}"/>
    <cellStyle name="Normal 3 4 2 2 2 2 3 3" xfId="12921" xr:uid="{00000000-0005-0000-0000-00003E8C0000}"/>
    <cellStyle name="Normal 3 4 2 2 2 2 3 3 2" xfId="26489" xr:uid="{00000000-0005-0000-0000-00003F8C0000}"/>
    <cellStyle name="Normal 3 4 2 2 2 2 3 3 2 2" xfId="53622" xr:uid="{00000000-0005-0000-0000-0000408C0000}"/>
    <cellStyle name="Normal 3 4 2 2 2 2 3 3 3" xfId="40060" xr:uid="{00000000-0005-0000-0000-0000418C0000}"/>
    <cellStyle name="Normal 3 4 2 2 2 2 3 4" xfId="19708" xr:uid="{00000000-0005-0000-0000-0000428C0000}"/>
    <cellStyle name="Normal 3 4 2 2 2 2 3 4 2" xfId="46841" xr:uid="{00000000-0005-0000-0000-0000438C0000}"/>
    <cellStyle name="Normal 3 4 2 2 2 2 3 5" xfId="33279" xr:uid="{00000000-0005-0000-0000-0000448C0000}"/>
    <cellStyle name="Normal 3 4 2 2 2 2 4" xfId="9518" xr:uid="{00000000-0005-0000-0000-0000458C0000}"/>
    <cellStyle name="Normal 3 4 2 2 2 2 4 2" xfId="16308" xr:uid="{00000000-0005-0000-0000-0000468C0000}"/>
    <cellStyle name="Normal 3 4 2 2 2 2 4 2 2" xfId="29876" xr:uid="{00000000-0005-0000-0000-0000478C0000}"/>
    <cellStyle name="Normal 3 4 2 2 2 2 4 2 2 2" xfId="57009" xr:uid="{00000000-0005-0000-0000-0000488C0000}"/>
    <cellStyle name="Normal 3 4 2 2 2 2 4 2 3" xfId="43447" xr:uid="{00000000-0005-0000-0000-0000498C0000}"/>
    <cellStyle name="Normal 3 4 2 2 2 2 4 3" xfId="23095" xr:uid="{00000000-0005-0000-0000-00004A8C0000}"/>
    <cellStyle name="Normal 3 4 2 2 2 2 4 3 2" xfId="50228" xr:uid="{00000000-0005-0000-0000-00004B8C0000}"/>
    <cellStyle name="Normal 3 4 2 2 2 2 4 4" xfId="36666" xr:uid="{00000000-0005-0000-0000-00004C8C0000}"/>
    <cellStyle name="Normal 3 4 2 2 2 2 5" xfId="12919" xr:uid="{00000000-0005-0000-0000-00004D8C0000}"/>
    <cellStyle name="Normal 3 4 2 2 2 2 5 2" xfId="26487" xr:uid="{00000000-0005-0000-0000-00004E8C0000}"/>
    <cellStyle name="Normal 3 4 2 2 2 2 5 2 2" xfId="53620" xr:uid="{00000000-0005-0000-0000-00004F8C0000}"/>
    <cellStyle name="Normal 3 4 2 2 2 2 5 3" xfId="40058" xr:uid="{00000000-0005-0000-0000-0000508C0000}"/>
    <cellStyle name="Normal 3 4 2 2 2 2 6" xfId="19706" xr:uid="{00000000-0005-0000-0000-0000518C0000}"/>
    <cellStyle name="Normal 3 4 2 2 2 2 6 2" xfId="46839" xr:uid="{00000000-0005-0000-0000-0000528C0000}"/>
    <cellStyle name="Normal 3 4 2 2 2 2 7" xfId="33277" xr:uid="{00000000-0005-0000-0000-0000538C0000}"/>
    <cellStyle name="Normal 3 4 2 2 2 3" xfId="5978" xr:uid="{00000000-0005-0000-0000-0000548C0000}"/>
    <cellStyle name="Normal 3 4 2 2 2 3 2" xfId="5979" xr:uid="{00000000-0005-0000-0000-0000558C0000}"/>
    <cellStyle name="Normal 3 4 2 2 2 3 2 2" xfId="9522" xr:uid="{00000000-0005-0000-0000-0000568C0000}"/>
    <cellStyle name="Normal 3 4 2 2 2 3 2 2 2" xfId="16312" xr:uid="{00000000-0005-0000-0000-0000578C0000}"/>
    <cellStyle name="Normal 3 4 2 2 2 3 2 2 2 2" xfId="29880" xr:uid="{00000000-0005-0000-0000-0000588C0000}"/>
    <cellStyle name="Normal 3 4 2 2 2 3 2 2 2 2 2" xfId="57013" xr:uid="{00000000-0005-0000-0000-0000598C0000}"/>
    <cellStyle name="Normal 3 4 2 2 2 3 2 2 2 3" xfId="43451" xr:uid="{00000000-0005-0000-0000-00005A8C0000}"/>
    <cellStyle name="Normal 3 4 2 2 2 3 2 2 3" xfId="23099" xr:uid="{00000000-0005-0000-0000-00005B8C0000}"/>
    <cellStyle name="Normal 3 4 2 2 2 3 2 2 3 2" xfId="50232" xr:uid="{00000000-0005-0000-0000-00005C8C0000}"/>
    <cellStyle name="Normal 3 4 2 2 2 3 2 2 4" xfId="36670" xr:uid="{00000000-0005-0000-0000-00005D8C0000}"/>
    <cellStyle name="Normal 3 4 2 2 2 3 2 3" xfId="12923" xr:uid="{00000000-0005-0000-0000-00005E8C0000}"/>
    <cellStyle name="Normal 3 4 2 2 2 3 2 3 2" xfId="26491" xr:uid="{00000000-0005-0000-0000-00005F8C0000}"/>
    <cellStyle name="Normal 3 4 2 2 2 3 2 3 2 2" xfId="53624" xr:uid="{00000000-0005-0000-0000-0000608C0000}"/>
    <cellStyle name="Normal 3 4 2 2 2 3 2 3 3" xfId="40062" xr:uid="{00000000-0005-0000-0000-0000618C0000}"/>
    <cellStyle name="Normal 3 4 2 2 2 3 2 4" xfId="19710" xr:uid="{00000000-0005-0000-0000-0000628C0000}"/>
    <cellStyle name="Normal 3 4 2 2 2 3 2 4 2" xfId="46843" xr:uid="{00000000-0005-0000-0000-0000638C0000}"/>
    <cellStyle name="Normal 3 4 2 2 2 3 2 5" xfId="33281" xr:uid="{00000000-0005-0000-0000-0000648C0000}"/>
    <cellStyle name="Normal 3 4 2 2 2 3 3" xfId="9521" xr:uid="{00000000-0005-0000-0000-0000658C0000}"/>
    <cellStyle name="Normal 3 4 2 2 2 3 3 2" xfId="16311" xr:uid="{00000000-0005-0000-0000-0000668C0000}"/>
    <cellStyle name="Normal 3 4 2 2 2 3 3 2 2" xfId="29879" xr:uid="{00000000-0005-0000-0000-0000678C0000}"/>
    <cellStyle name="Normal 3 4 2 2 2 3 3 2 2 2" xfId="57012" xr:uid="{00000000-0005-0000-0000-0000688C0000}"/>
    <cellStyle name="Normal 3 4 2 2 2 3 3 2 3" xfId="43450" xr:uid="{00000000-0005-0000-0000-0000698C0000}"/>
    <cellStyle name="Normal 3 4 2 2 2 3 3 3" xfId="23098" xr:uid="{00000000-0005-0000-0000-00006A8C0000}"/>
    <cellStyle name="Normal 3 4 2 2 2 3 3 3 2" xfId="50231" xr:uid="{00000000-0005-0000-0000-00006B8C0000}"/>
    <cellStyle name="Normal 3 4 2 2 2 3 3 4" xfId="36669" xr:uid="{00000000-0005-0000-0000-00006C8C0000}"/>
    <cellStyle name="Normal 3 4 2 2 2 3 4" xfId="12922" xr:uid="{00000000-0005-0000-0000-00006D8C0000}"/>
    <cellStyle name="Normal 3 4 2 2 2 3 4 2" xfId="26490" xr:uid="{00000000-0005-0000-0000-00006E8C0000}"/>
    <cellStyle name="Normal 3 4 2 2 2 3 4 2 2" xfId="53623" xr:uid="{00000000-0005-0000-0000-00006F8C0000}"/>
    <cellStyle name="Normal 3 4 2 2 2 3 4 3" xfId="40061" xr:uid="{00000000-0005-0000-0000-0000708C0000}"/>
    <cellStyle name="Normal 3 4 2 2 2 3 5" xfId="19709" xr:uid="{00000000-0005-0000-0000-0000718C0000}"/>
    <cellStyle name="Normal 3 4 2 2 2 3 5 2" xfId="46842" xr:uid="{00000000-0005-0000-0000-0000728C0000}"/>
    <cellStyle name="Normal 3 4 2 2 2 3 6" xfId="33280" xr:uid="{00000000-0005-0000-0000-0000738C0000}"/>
    <cellStyle name="Normal 3 4 2 2 2 4" xfId="5980" xr:uid="{00000000-0005-0000-0000-0000748C0000}"/>
    <cellStyle name="Normal 3 4 2 2 2 4 2" xfId="9523" xr:uid="{00000000-0005-0000-0000-0000758C0000}"/>
    <cellStyle name="Normal 3 4 2 2 2 4 2 2" xfId="16313" xr:uid="{00000000-0005-0000-0000-0000768C0000}"/>
    <cellStyle name="Normal 3 4 2 2 2 4 2 2 2" xfId="29881" xr:uid="{00000000-0005-0000-0000-0000778C0000}"/>
    <cellStyle name="Normal 3 4 2 2 2 4 2 2 2 2" xfId="57014" xr:uid="{00000000-0005-0000-0000-0000788C0000}"/>
    <cellStyle name="Normal 3 4 2 2 2 4 2 2 3" xfId="43452" xr:uid="{00000000-0005-0000-0000-0000798C0000}"/>
    <cellStyle name="Normal 3 4 2 2 2 4 2 3" xfId="23100" xr:uid="{00000000-0005-0000-0000-00007A8C0000}"/>
    <cellStyle name="Normal 3 4 2 2 2 4 2 3 2" xfId="50233" xr:uid="{00000000-0005-0000-0000-00007B8C0000}"/>
    <cellStyle name="Normal 3 4 2 2 2 4 2 4" xfId="36671" xr:uid="{00000000-0005-0000-0000-00007C8C0000}"/>
    <cellStyle name="Normal 3 4 2 2 2 4 3" xfId="12924" xr:uid="{00000000-0005-0000-0000-00007D8C0000}"/>
    <cellStyle name="Normal 3 4 2 2 2 4 3 2" xfId="26492" xr:uid="{00000000-0005-0000-0000-00007E8C0000}"/>
    <cellStyle name="Normal 3 4 2 2 2 4 3 2 2" xfId="53625" xr:uid="{00000000-0005-0000-0000-00007F8C0000}"/>
    <cellStyle name="Normal 3 4 2 2 2 4 3 3" xfId="40063" xr:uid="{00000000-0005-0000-0000-0000808C0000}"/>
    <cellStyle name="Normal 3 4 2 2 2 4 4" xfId="19711" xr:uid="{00000000-0005-0000-0000-0000818C0000}"/>
    <cellStyle name="Normal 3 4 2 2 2 4 4 2" xfId="46844" xr:uid="{00000000-0005-0000-0000-0000828C0000}"/>
    <cellStyle name="Normal 3 4 2 2 2 4 5" xfId="33282" xr:uid="{00000000-0005-0000-0000-0000838C0000}"/>
    <cellStyle name="Normal 3 4 2 2 2 5" xfId="5981" xr:uid="{00000000-0005-0000-0000-0000848C0000}"/>
    <cellStyle name="Normal 3 4 2 2 2 5 2" xfId="9524" xr:uid="{00000000-0005-0000-0000-0000858C0000}"/>
    <cellStyle name="Normal 3 4 2 2 2 5 2 2" xfId="16314" xr:uid="{00000000-0005-0000-0000-0000868C0000}"/>
    <cellStyle name="Normal 3 4 2 2 2 5 2 2 2" xfId="29882" xr:uid="{00000000-0005-0000-0000-0000878C0000}"/>
    <cellStyle name="Normal 3 4 2 2 2 5 2 2 2 2" xfId="57015" xr:uid="{00000000-0005-0000-0000-0000888C0000}"/>
    <cellStyle name="Normal 3 4 2 2 2 5 2 2 3" xfId="43453" xr:uid="{00000000-0005-0000-0000-0000898C0000}"/>
    <cellStyle name="Normal 3 4 2 2 2 5 2 3" xfId="23101" xr:uid="{00000000-0005-0000-0000-00008A8C0000}"/>
    <cellStyle name="Normal 3 4 2 2 2 5 2 3 2" xfId="50234" xr:uid="{00000000-0005-0000-0000-00008B8C0000}"/>
    <cellStyle name="Normal 3 4 2 2 2 5 2 4" xfId="36672" xr:uid="{00000000-0005-0000-0000-00008C8C0000}"/>
    <cellStyle name="Normal 3 4 2 2 2 5 3" xfId="12925" xr:uid="{00000000-0005-0000-0000-00008D8C0000}"/>
    <cellStyle name="Normal 3 4 2 2 2 5 3 2" xfId="26493" xr:uid="{00000000-0005-0000-0000-00008E8C0000}"/>
    <cellStyle name="Normal 3 4 2 2 2 5 3 2 2" xfId="53626" xr:uid="{00000000-0005-0000-0000-00008F8C0000}"/>
    <cellStyle name="Normal 3 4 2 2 2 5 3 3" xfId="40064" xr:uid="{00000000-0005-0000-0000-0000908C0000}"/>
    <cellStyle name="Normal 3 4 2 2 2 5 4" xfId="19712" xr:uid="{00000000-0005-0000-0000-0000918C0000}"/>
    <cellStyle name="Normal 3 4 2 2 2 5 4 2" xfId="46845" xr:uid="{00000000-0005-0000-0000-0000928C0000}"/>
    <cellStyle name="Normal 3 4 2 2 2 5 5" xfId="33283" xr:uid="{00000000-0005-0000-0000-0000938C0000}"/>
    <cellStyle name="Normal 3 4 2 2 2 6" xfId="9517" xr:uid="{00000000-0005-0000-0000-0000948C0000}"/>
    <cellStyle name="Normal 3 4 2 2 2 6 2" xfId="16307" xr:uid="{00000000-0005-0000-0000-0000958C0000}"/>
    <cellStyle name="Normal 3 4 2 2 2 6 2 2" xfId="29875" xr:uid="{00000000-0005-0000-0000-0000968C0000}"/>
    <cellStyle name="Normal 3 4 2 2 2 6 2 2 2" xfId="57008" xr:uid="{00000000-0005-0000-0000-0000978C0000}"/>
    <cellStyle name="Normal 3 4 2 2 2 6 2 3" xfId="43446" xr:uid="{00000000-0005-0000-0000-0000988C0000}"/>
    <cellStyle name="Normal 3 4 2 2 2 6 3" xfId="23094" xr:uid="{00000000-0005-0000-0000-0000998C0000}"/>
    <cellStyle name="Normal 3 4 2 2 2 6 3 2" xfId="50227" xr:uid="{00000000-0005-0000-0000-00009A8C0000}"/>
    <cellStyle name="Normal 3 4 2 2 2 6 4" xfId="36665" xr:uid="{00000000-0005-0000-0000-00009B8C0000}"/>
    <cellStyle name="Normal 3 4 2 2 2 7" xfId="12918" xr:uid="{00000000-0005-0000-0000-00009C8C0000}"/>
    <cellStyle name="Normal 3 4 2 2 2 7 2" xfId="26486" xr:uid="{00000000-0005-0000-0000-00009D8C0000}"/>
    <cellStyle name="Normal 3 4 2 2 2 7 2 2" xfId="53619" xr:uid="{00000000-0005-0000-0000-00009E8C0000}"/>
    <cellStyle name="Normal 3 4 2 2 2 7 3" xfId="40057" xr:uid="{00000000-0005-0000-0000-00009F8C0000}"/>
    <cellStyle name="Normal 3 4 2 2 2 8" xfId="19705" xr:uid="{00000000-0005-0000-0000-0000A08C0000}"/>
    <cellStyle name="Normal 3 4 2 2 2 8 2" xfId="46838" xr:uid="{00000000-0005-0000-0000-0000A18C0000}"/>
    <cellStyle name="Normal 3 4 2 2 2 9" xfId="33276" xr:uid="{00000000-0005-0000-0000-0000A28C0000}"/>
    <cellStyle name="Normal 3 4 2 2 3" xfId="5982" xr:uid="{00000000-0005-0000-0000-0000A38C0000}"/>
    <cellStyle name="Normal 3 4 2 2 3 2" xfId="5983" xr:uid="{00000000-0005-0000-0000-0000A48C0000}"/>
    <cellStyle name="Normal 3 4 2 2 3 2 2" xfId="9526" xr:uid="{00000000-0005-0000-0000-0000A58C0000}"/>
    <cellStyle name="Normal 3 4 2 2 3 2 2 2" xfId="16316" xr:uid="{00000000-0005-0000-0000-0000A68C0000}"/>
    <cellStyle name="Normal 3 4 2 2 3 2 2 2 2" xfId="29884" xr:uid="{00000000-0005-0000-0000-0000A78C0000}"/>
    <cellStyle name="Normal 3 4 2 2 3 2 2 2 2 2" xfId="57017" xr:uid="{00000000-0005-0000-0000-0000A88C0000}"/>
    <cellStyle name="Normal 3 4 2 2 3 2 2 2 3" xfId="43455" xr:uid="{00000000-0005-0000-0000-0000A98C0000}"/>
    <cellStyle name="Normal 3 4 2 2 3 2 2 3" xfId="23103" xr:uid="{00000000-0005-0000-0000-0000AA8C0000}"/>
    <cellStyle name="Normal 3 4 2 2 3 2 2 3 2" xfId="50236" xr:uid="{00000000-0005-0000-0000-0000AB8C0000}"/>
    <cellStyle name="Normal 3 4 2 2 3 2 2 4" xfId="36674" xr:uid="{00000000-0005-0000-0000-0000AC8C0000}"/>
    <cellStyle name="Normal 3 4 2 2 3 2 3" xfId="12927" xr:uid="{00000000-0005-0000-0000-0000AD8C0000}"/>
    <cellStyle name="Normal 3 4 2 2 3 2 3 2" xfId="26495" xr:uid="{00000000-0005-0000-0000-0000AE8C0000}"/>
    <cellStyle name="Normal 3 4 2 2 3 2 3 2 2" xfId="53628" xr:uid="{00000000-0005-0000-0000-0000AF8C0000}"/>
    <cellStyle name="Normal 3 4 2 2 3 2 3 3" xfId="40066" xr:uid="{00000000-0005-0000-0000-0000B08C0000}"/>
    <cellStyle name="Normal 3 4 2 2 3 2 4" xfId="19714" xr:uid="{00000000-0005-0000-0000-0000B18C0000}"/>
    <cellStyle name="Normal 3 4 2 2 3 2 4 2" xfId="46847" xr:uid="{00000000-0005-0000-0000-0000B28C0000}"/>
    <cellStyle name="Normal 3 4 2 2 3 2 5" xfId="33285" xr:uid="{00000000-0005-0000-0000-0000B38C0000}"/>
    <cellStyle name="Normal 3 4 2 2 3 3" xfId="5984" xr:uid="{00000000-0005-0000-0000-0000B48C0000}"/>
    <cellStyle name="Normal 3 4 2 2 3 3 2" xfId="9527" xr:uid="{00000000-0005-0000-0000-0000B58C0000}"/>
    <cellStyle name="Normal 3 4 2 2 3 3 2 2" xfId="16317" xr:uid="{00000000-0005-0000-0000-0000B68C0000}"/>
    <cellStyle name="Normal 3 4 2 2 3 3 2 2 2" xfId="29885" xr:uid="{00000000-0005-0000-0000-0000B78C0000}"/>
    <cellStyle name="Normal 3 4 2 2 3 3 2 2 2 2" xfId="57018" xr:uid="{00000000-0005-0000-0000-0000B88C0000}"/>
    <cellStyle name="Normal 3 4 2 2 3 3 2 2 3" xfId="43456" xr:uid="{00000000-0005-0000-0000-0000B98C0000}"/>
    <cellStyle name="Normal 3 4 2 2 3 3 2 3" xfId="23104" xr:uid="{00000000-0005-0000-0000-0000BA8C0000}"/>
    <cellStyle name="Normal 3 4 2 2 3 3 2 3 2" xfId="50237" xr:uid="{00000000-0005-0000-0000-0000BB8C0000}"/>
    <cellStyle name="Normal 3 4 2 2 3 3 2 4" xfId="36675" xr:uid="{00000000-0005-0000-0000-0000BC8C0000}"/>
    <cellStyle name="Normal 3 4 2 2 3 3 3" xfId="12928" xr:uid="{00000000-0005-0000-0000-0000BD8C0000}"/>
    <cellStyle name="Normal 3 4 2 2 3 3 3 2" xfId="26496" xr:uid="{00000000-0005-0000-0000-0000BE8C0000}"/>
    <cellStyle name="Normal 3 4 2 2 3 3 3 2 2" xfId="53629" xr:uid="{00000000-0005-0000-0000-0000BF8C0000}"/>
    <cellStyle name="Normal 3 4 2 2 3 3 3 3" xfId="40067" xr:uid="{00000000-0005-0000-0000-0000C08C0000}"/>
    <cellStyle name="Normal 3 4 2 2 3 3 4" xfId="19715" xr:uid="{00000000-0005-0000-0000-0000C18C0000}"/>
    <cellStyle name="Normal 3 4 2 2 3 3 4 2" xfId="46848" xr:uid="{00000000-0005-0000-0000-0000C28C0000}"/>
    <cellStyle name="Normal 3 4 2 2 3 3 5" xfId="33286" xr:uid="{00000000-0005-0000-0000-0000C38C0000}"/>
    <cellStyle name="Normal 3 4 2 2 3 4" xfId="9525" xr:uid="{00000000-0005-0000-0000-0000C48C0000}"/>
    <cellStyle name="Normal 3 4 2 2 3 4 2" xfId="16315" xr:uid="{00000000-0005-0000-0000-0000C58C0000}"/>
    <cellStyle name="Normal 3 4 2 2 3 4 2 2" xfId="29883" xr:uid="{00000000-0005-0000-0000-0000C68C0000}"/>
    <cellStyle name="Normal 3 4 2 2 3 4 2 2 2" xfId="57016" xr:uid="{00000000-0005-0000-0000-0000C78C0000}"/>
    <cellStyle name="Normal 3 4 2 2 3 4 2 3" xfId="43454" xr:uid="{00000000-0005-0000-0000-0000C88C0000}"/>
    <cellStyle name="Normal 3 4 2 2 3 4 3" xfId="23102" xr:uid="{00000000-0005-0000-0000-0000C98C0000}"/>
    <cellStyle name="Normal 3 4 2 2 3 4 3 2" xfId="50235" xr:uid="{00000000-0005-0000-0000-0000CA8C0000}"/>
    <cellStyle name="Normal 3 4 2 2 3 4 4" xfId="36673" xr:uid="{00000000-0005-0000-0000-0000CB8C0000}"/>
    <cellStyle name="Normal 3 4 2 2 3 5" xfId="12926" xr:uid="{00000000-0005-0000-0000-0000CC8C0000}"/>
    <cellStyle name="Normal 3 4 2 2 3 5 2" xfId="26494" xr:uid="{00000000-0005-0000-0000-0000CD8C0000}"/>
    <cellStyle name="Normal 3 4 2 2 3 5 2 2" xfId="53627" xr:uid="{00000000-0005-0000-0000-0000CE8C0000}"/>
    <cellStyle name="Normal 3 4 2 2 3 5 3" xfId="40065" xr:uid="{00000000-0005-0000-0000-0000CF8C0000}"/>
    <cellStyle name="Normal 3 4 2 2 3 6" xfId="19713" xr:uid="{00000000-0005-0000-0000-0000D08C0000}"/>
    <cellStyle name="Normal 3 4 2 2 3 6 2" xfId="46846" xr:uid="{00000000-0005-0000-0000-0000D18C0000}"/>
    <cellStyle name="Normal 3 4 2 2 3 7" xfId="33284" xr:uid="{00000000-0005-0000-0000-0000D28C0000}"/>
    <cellStyle name="Normal 3 4 2 2 4" xfId="5985" xr:uid="{00000000-0005-0000-0000-0000D38C0000}"/>
    <cellStyle name="Normal 3 4 2 2 4 2" xfId="5986" xr:uid="{00000000-0005-0000-0000-0000D48C0000}"/>
    <cellStyle name="Normal 3 4 2 2 4 2 2" xfId="9529" xr:uid="{00000000-0005-0000-0000-0000D58C0000}"/>
    <cellStyle name="Normal 3 4 2 2 4 2 2 2" xfId="16319" xr:uid="{00000000-0005-0000-0000-0000D68C0000}"/>
    <cellStyle name="Normal 3 4 2 2 4 2 2 2 2" xfId="29887" xr:uid="{00000000-0005-0000-0000-0000D78C0000}"/>
    <cellStyle name="Normal 3 4 2 2 4 2 2 2 2 2" xfId="57020" xr:uid="{00000000-0005-0000-0000-0000D88C0000}"/>
    <cellStyle name="Normal 3 4 2 2 4 2 2 2 3" xfId="43458" xr:uid="{00000000-0005-0000-0000-0000D98C0000}"/>
    <cellStyle name="Normal 3 4 2 2 4 2 2 3" xfId="23106" xr:uid="{00000000-0005-0000-0000-0000DA8C0000}"/>
    <cellStyle name="Normal 3 4 2 2 4 2 2 3 2" xfId="50239" xr:uid="{00000000-0005-0000-0000-0000DB8C0000}"/>
    <cellStyle name="Normal 3 4 2 2 4 2 2 4" xfId="36677" xr:uid="{00000000-0005-0000-0000-0000DC8C0000}"/>
    <cellStyle name="Normal 3 4 2 2 4 2 3" xfId="12930" xr:uid="{00000000-0005-0000-0000-0000DD8C0000}"/>
    <cellStyle name="Normal 3 4 2 2 4 2 3 2" xfId="26498" xr:uid="{00000000-0005-0000-0000-0000DE8C0000}"/>
    <cellStyle name="Normal 3 4 2 2 4 2 3 2 2" xfId="53631" xr:uid="{00000000-0005-0000-0000-0000DF8C0000}"/>
    <cellStyle name="Normal 3 4 2 2 4 2 3 3" xfId="40069" xr:uid="{00000000-0005-0000-0000-0000E08C0000}"/>
    <cellStyle name="Normal 3 4 2 2 4 2 4" xfId="19717" xr:uid="{00000000-0005-0000-0000-0000E18C0000}"/>
    <cellStyle name="Normal 3 4 2 2 4 2 4 2" xfId="46850" xr:uid="{00000000-0005-0000-0000-0000E28C0000}"/>
    <cellStyle name="Normal 3 4 2 2 4 2 5" xfId="33288" xr:uid="{00000000-0005-0000-0000-0000E38C0000}"/>
    <cellStyle name="Normal 3 4 2 2 4 3" xfId="9528" xr:uid="{00000000-0005-0000-0000-0000E48C0000}"/>
    <cellStyle name="Normal 3 4 2 2 4 3 2" xfId="16318" xr:uid="{00000000-0005-0000-0000-0000E58C0000}"/>
    <cellStyle name="Normal 3 4 2 2 4 3 2 2" xfId="29886" xr:uid="{00000000-0005-0000-0000-0000E68C0000}"/>
    <cellStyle name="Normal 3 4 2 2 4 3 2 2 2" xfId="57019" xr:uid="{00000000-0005-0000-0000-0000E78C0000}"/>
    <cellStyle name="Normal 3 4 2 2 4 3 2 3" xfId="43457" xr:uid="{00000000-0005-0000-0000-0000E88C0000}"/>
    <cellStyle name="Normal 3 4 2 2 4 3 3" xfId="23105" xr:uid="{00000000-0005-0000-0000-0000E98C0000}"/>
    <cellStyle name="Normal 3 4 2 2 4 3 3 2" xfId="50238" xr:uid="{00000000-0005-0000-0000-0000EA8C0000}"/>
    <cellStyle name="Normal 3 4 2 2 4 3 4" xfId="36676" xr:uid="{00000000-0005-0000-0000-0000EB8C0000}"/>
    <cellStyle name="Normal 3 4 2 2 4 4" xfId="12929" xr:uid="{00000000-0005-0000-0000-0000EC8C0000}"/>
    <cellStyle name="Normal 3 4 2 2 4 4 2" xfId="26497" xr:uid="{00000000-0005-0000-0000-0000ED8C0000}"/>
    <cellStyle name="Normal 3 4 2 2 4 4 2 2" xfId="53630" xr:uid="{00000000-0005-0000-0000-0000EE8C0000}"/>
    <cellStyle name="Normal 3 4 2 2 4 4 3" xfId="40068" xr:uid="{00000000-0005-0000-0000-0000EF8C0000}"/>
    <cellStyle name="Normal 3 4 2 2 4 5" xfId="19716" xr:uid="{00000000-0005-0000-0000-0000F08C0000}"/>
    <cellStyle name="Normal 3 4 2 2 4 5 2" xfId="46849" xr:uid="{00000000-0005-0000-0000-0000F18C0000}"/>
    <cellStyle name="Normal 3 4 2 2 4 6" xfId="33287" xr:uid="{00000000-0005-0000-0000-0000F28C0000}"/>
    <cellStyle name="Normal 3 4 2 2 5" xfId="5987" xr:uid="{00000000-0005-0000-0000-0000F38C0000}"/>
    <cellStyle name="Normal 3 4 2 2 5 2" xfId="9530" xr:uid="{00000000-0005-0000-0000-0000F48C0000}"/>
    <cellStyle name="Normal 3 4 2 2 5 2 2" xfId="16320" xr:uid="{00000000-0005-0000-0000-0000F58C0000}"/>
    <cellStyle name="Normal 3 4 2 2 5 2 2 2" xfId="29888" xr:uid="{00000000-0005-0000-0000-0000F68C0000}"/>
    <cellStyle name="Normal 3 4 2 2 5 2 2 2 2" xfId="57021" xr:uid="{00000000-0005-0000-0000-0000F78C0000}"/>
    <cellStyle name="Normal 3 4 2 2 5 2 2 3" xfId="43459" xr:uid="{00000000-0005-0000-0000-0000F88C0000}"/>
    <cellStyle name="Normal 3 4 2 2 5 2 3" xfId="23107" xr:uid="{00000000-0005-0000-0000-0000F98C0000}"/>
    <cellStyle name="Normal 3 4 2 2 5 2 3 2" xfId="50240" xr:uid="{00000000-0005-0000-0000-0000FA8C0000}"/>
    <cellStyle name="Normal 3 4 2 2 5 2 4" xfId="36678" xr:uid="{00000000-0005-0000-0000-0000FB8C0000}"/>
    <cellStyle name="Normal 3 4 2 2 5 3" xfId="12931" xr:uid="{00000000-0005-0000-0000-0000FC8C0000}"/>
    <cellStyle name="Normal 3 4 2 2 5 3 2" xfId="26499" xr:uid="{00000000-0005-0000-0000-0000FD8C0000}"/>
    <cellStyle name="Normal 3 4 2 2 5 3 2 2" xfId="53632" xr:uid="{00000000-0005-0000-0000-0000FE8C0000}"/>
    <cellStyle name="Normal 3 4 2 2 5 3 3" xfId="40070" xr:uid="{00000000-0005-0000-0000-0000FF8C0000}"/>
    <cellStyle name="Normal 3 4 2 2 5 4" xfId="19718" xr:uid="{00000000-0005-0000-0000-0000008D0000}"/>
    <cellStyle name="Normal 3 4 2 2 5 4 2" xfId="46851" xr:uid="{00000000-0005-0000-0000-0000018D0000}"/>
    <cellStyle name="Normal 3 4 2 2 5 5" xfId="33289" xr:uid="{00000000-0005-0000-0000-0000028D0000}"/>
    <cellStyle name="Normal 3 4 2 2 6" xfId="5988" xr:uid="{00000000-0005-0000-0000-0000038D0000}"/>
    <cellStyle name="Normal 3 4 2 2 6 2" xfId="9531" xr:uid="{00000000-0005-0000-0000-0000048D0000}"/>
    <cellStyle name="Normal 3 4 2 2 6 2 2" xfId="16321" xr:uid="{00000000-0005-0000-0000-0000058D0000}"/>
    <cellStyle name="Normal 3 4 2 2 6 2 2 2" xfId="29889" xr:uid="{00000000-0005-0000-0000-0000068D0000}"/>
    <cellStyle name="Normal 3 4 2 2 6 2 2 2 2" xfId="57022" xr:uid="{00000000-0005-0000-0000-0000078D0000}"/>
    <cellStyle name="Normal 3 4 2 2 6 2 2 3" xfId="43460" xr:uid="{00000000-0005-0000-0000-0000088D0000}"/>
    <cellStyle name="Normal 3 4 2 2 6 2 3" xfId="23108" xr:uid="{00000000-0005-0000-0000-0000098D0000}"/>
    <cellStyle name="Normal 3 4 2 2 6 2 3 2" xfId="50241" xr:uid="{00000000-0005-0000-0000-00000A8D0000}"/>
    <cellStyle name="Normal 3 4 2 2 6 2 4" xfId="36679" xr:uid="{00000000-0005-0000-0000-00000B8D0000}"/>
    <cellStyle name="Normal 3 4 2 2 6 3" xfId="12932" xr:uid="{00000000-0005-0000-0000-00000C8D0000}"/>
    <cellStyle name="Normal 3 4 2 2 6 3 2" xfId="26500" xr:uid="{00000000-0005-0000-0000-00000D8D0000}"/>
    <cellStyle name="Normal 3 4 2 2 6 3 2 2" xfId="53633" xr:uid="{00000000-0005-0000-0000-00000E8D0000}"/>
    <cellStyle name="Normal 3 4 2 2 6 3 3" xfId="40071" xr:uid="{00000000-0005-0000-0000-00000F8D0000}"/>
    <cellStyle name="Normal 3 4 2 2 6 4" xfId="19719" xr:uid="{00000000-0005-0000-0000-0000108D0000}"/>
    <cellStyle name="Normal 3 4 2 2 6 4 2" xfId="46852" xr:uid="{00000000-0005-0000-0000-0000118D0000}"/>
    <cellStyle name="Normal 3 4 2 2 6 5" xfId="33290" xr:uid="{00000000-0005-0000-0000-0000128D0000}"/>
    <cellStyle name="Normal 3 4 2 2 7" xfId="7523" xr:uid="{00000000-0005-0000-0000-0000138D0000}"/>
    <cellStyle name="Normal 3 4 2 2 7 2" xfId="14313" xr:uid="{00000000-0005-0000-0000-0000148D0000}"/>
    <cellStyle name="Normal 3 4 2 2 7 2 2" xfId="27881" xr:uid="{00000000-0005-0000-0000-0000158D0000}"/>
    <cellStyle name="Normal 3 4 2 2 7 2 2 2" xfId="55014" xr:uid="{00000000-0005-0000-0000-0000168D0000}"/>
    <cellStyle name="Normal 3 4 2 2 7 2 3" xfId="41452" xr:uid="{00000000-0005-0000-0000-0000178D0000}"/>
    <cellStyle name="Normal 3 4 2 2 7 3" xfId="21100" xr:uid="{00000000-0005-0000-0000-0000188D0000}"/>
    <cellStyle name="Normal 3 4 2 2 7 3 2" xfId="48233" xr:uid="{00000000-0005-0000-0000-0000198D0000}"/>
    <cellStyle name="Normal 3 4 2 2 7 4" xfId="34671" xr:uid="{00000000-0005-0000-0000-00001A8D0000}"/>
    <cellStyle name="Normal 3 4 2 2 8" xfId="10924" xr:uid="{00000000-0005-0000-0000-00001B8D0000}"/>
    <cellStyle name="Normal 3 4 2 2 8 2" xfId="24492" xr:uid="{00000000-0005-0000-0000-00001C8D0000}"/>
    <cellStyle name="Normal 3 4 2 2 8 2 2" xfId="51625" xr:uid="{00000000-0005-0000-0000-00001D8D0000}"/>
    <cellStyle name="Normal 3 4 2 2 8 3" xfId="38063" xr:uid="{00000000-0005-0000-0000-00001E8D0000}"/>
    <cellStyle name="Normal 3 4 2 2 9" xfId="17711" xr:uid="{00000000-0005-0000-0000-00001F8D0000}"/>
    <cellStyle name="Normal 3 4 2 2 9 2" xfId="44844" xr:uid="{00000000-0005-0000-0000-0000208D0000}"/>
    <cellStyle name="Normal 3 4 2 3" xfId="5989" xr:uid="{00000000-0005-0000-0000-0000218D0000}"/>
    <cellStyle name="Normal 3 4 2 3 2" xfId="5990" xr:uid="{00000000-0005-0000-0000-0000228D0000}"/>
    <cellStyle name="Normal 3 4 2 3 2 2" xfId="5991" xr:uid="{00000000-0005-0000-0000-0000238D0000}"/>
    <cellStyle name="Normal 3 4 2 3 2 2 2" xfId="9534" xr:uid="{00000000-0005-0000-0000-0000248D0000}"/>
    <cellStyle name="Normal 3 4 2 3 2 2 2 2" xfId="16324" xr:uid="{00000000-0005-0000-0000-0000258D0000}"/>
    <cellStyle name="Normal 3 4 2 3 2 2 2 2 2" xfId="29892" xr:uid="{00000000-0005-0000-0000-0000268D0000}"/>
    <cellStyle name="Normal 3 4 2 3 2 2 2 2 2 2" xfId="57025" xr:uid="{00000000-0005-0000-0000-0000278D0000}"/>
    <cellStyle name="Normal 3 4 2 3 2 2 2 2 3" xfId="43463" xr:uid="{00000000-0005-0000-0000-0000288D0000}"/>
    <cellStyle name="Normal 3 4 2 3 2 2 2 3" xfId="23111" xr:uid="{00000000-0005-0000-0000-0000298D0000}"/>
    <cellStyle name="Normal 3 4 2 3 2 2 2 3 2" xfId="50244" xr:uid="{00000000-0005-0000-0000-00002A8D0000}"/>
    <cellStyle name="Normal 3 4 2 3 2 2 2 4" xfId="36682" xr:uid="{00000000-0005-0000-0000-00002B8D0000}"/>
    <cellStyle name="Normal 3 4 2 3 2 2 3" xfId="12935" xr:uid="{00000000-0005-0000-0000-00002C8D0000}"/>
    <cellStyle name="Normal 3 4 2 3 2 2 3 2" xfId="26503" xr:uid="{00000000-0005-0000-0000-00002D8D0000}"/>
    <cellStyle name="Normal 3 4 2 3 2 2 3 2 2" xfId="53636" xr:uid="{00000000-0005-0000-0000-00002E8D0000}"/>
    <cellStyle name="Normal 3 4 2 3 2 2 3 3" xfId="40074" xr:uid="{00000000-0005-0000-0000-00002F8D0000}"/>
    <cellStyle name="Normal 3 4 2 3 2 2 4" xfId="19722" xr:uid="{00000000-0005-0000-0000-0000308D0000}"/>
    <cellStyle name="Normal 3 4 2 3 2 2 4 2" xfId="46855" xr:uid="{00000000-0005-0000-0000-0000318D0000}"/>
    <cellStyle name="Normal 3 4 2 3 2 2 5" xfId="33293" xr:uid="{00000000-0005-0000-0000-0000328D0000}"/>
    <cellStyle name="Normal 3 4 2 3 2 3" xfId="5992" xr:uid="{00000000-0005-0000-0000-0000338D0000}"/>
    <cellStyle name="Normal 3 4 2 3 2 3 2" xfId="9535" xr:uid="{00000000-0005-0000-0000-0000348D0000}"/>
    <cellStyle name="Normal 3 4 2 3 2 3 2 2" xfId="16325" xr:uid="{00000000-0005-0000-0000-0000358D0000}"/>
    <cellStyle name="Normal 3 4 2 3 2 3 2 2 2" xfId="29893" xr:uid="{00000000-0005-0000-0000-0000368D0000}"/>
    <cellStyle name="Normal 3 4 2 3 2 3 2 2 2 2" xfId="57026" xr:uid="{00000000-0005-0000-0000-0000378D0000}"/>
    <cellStyle name="Normal 3 4 2 3 2 3 2 2 3" xfId="43464" xr:uid="{00000000-0005-0000-0000-0000388D0000}"/>
    <cellStyle name="Normal 3 4 2 3 2 3 2 3" xfId="23112" xr:uid="{00000000-0005-0000-0000-0000398D0000}"/>
    <cellStyle name="Normal 3 4 2 3 2 3 2 3 2" xfId="50245" xr:uid="{00000000-0005-0000-0000-00003A8D0000}"/>
    <cellStyle name="Normal 3 4 2 3 2 3 2 4" xfId="36683" xr:uid="{00000000-0005-0000-0000-00003B8D0000}"/>
    <cellStyle name="Normal 3 4 2 3 2 3 3" xfId="12936" xr:uid="{00000000-0005-0000-0000-00003C8D0000}"/>
    <cellStyle name="Normal 3 4 2 3 2 3 3 2" xfId="26504" xr:uid="{00000000-0005-0000-0000-00003D8D0000}"/>
    <cellStyle name="Normal 3 4 2 3 2 3 3 2 2" xfId="53637" xr:uid="{00000000-0005-0000-0000-00003E8D0000}"/>
    <cellStyle name="Normal 3 4 2 3 2 3 3 3" xfId="40075" xr:uid="{00000000-0005-0000-0000-00003F8D0000}"/>
    <cellStyle name="Normal 3 4 2 3 2 3 4" xfId="19723" xr:uid="{00000000-0005-0000-0000-0000408D0000}"/>
    <cellStyle name="Normal 3 4 2 3 2 3 4 2" xfId="46856" xr:uid="{00000000-0005-0000-0000-0000418D0000}"/>
    <cellStyle name="Normal 3 4 2 3 2 3 5" xfId="33294" xr:uid="{00000000-0005-0000-0000-0000428D0000}"/>
    <cellStyle name="Normal 3 4 2 3 2 4" xfId="9533" xr:uid="{00000000-0005-0000-0000-0000438D0000}"/>
    <cellStyle name="Normal 3 4 2 3 2 4 2" xfId="16323" xr:uid="{00000000-0005-0000-0000-0000448D0000}"/>
    <cellStyle name="Normal 3 4 2 3 2 4 2 2" xfId="29891" xr:uid="{00000000-0005-0000-0000-0000458D0000}"/>
    <cellStyle name="Normal 3 4 2 3 2 4 2 2 2" xfId="57024" xr:uid="{00000000-0005-0000-0000-0000468D0000}"/>
    <cellStyle name="Normal 3 4 2 3 2 4 2 3" xfId="43462" xr:uid="{00000000-0005-0000-0000-0000478D0000}"/>
    <cellStyle name="Normal 3 4 2 3 2 4 3" xfId="23110" xr:uid="{00000000-0005-0000-0000-0000488D0000}"/>
    <cellStyle name="Normal 3 4 2 3 2 4 3 2" xfId="50243" xr:uid="{00000000-0005-0000-0000-0000498D0000}"/>
    <cellStyle name="Normal 3 4 2 3 2 4 4" xfId="36681" xr:uid="{00000000-0005-0000-0000-00004A8D0000}"/>
    <cellStyle name="Normal 3 4 2 3 2 5" xfId="12934" xr:uid="{00000000-0005-0000-0000-00004B8D0000}"/>
    <cellStyle name="Normal 3 4 2 3 2 5 2" xfId="26502" xr:uid="{00000000-0005-0000-0000-00004C8D0000}"/>
    <cellStyle name="Normal 3 4 2 3 2 5 2 2" xfId="53635" xr:uid="{00000000-0005-0000-0000-00004D8D0000}"/>
    <cellStyle name="Normal 3 4 2 3 2 5 3" xfId="40073" xr:uid="{00000000-0005-0000-0000-00004E8D0000}"/>
    <cellStyle name="Normal 3 4 2 3 2 6" xfId="19721" xr:uid="{00000000-0005-0000-0000-00004F8D0000}"/>
    <cellStyle name="Normal 3 4 2 3 2 6 2" xfId="46854" xr:uid="{00000000-0005-0000-0000-0000508D0000}"/>
    <cellStyle name="Normal 3 4 2 3 2 7" xfId="33292" xr:uid="{00000000-0005-0000-0000-0000518D0000}"/>
    <cellStyle name="Normal 3 4 2 3 3" xfId="5993" xr:uid="{00000000-0005-0000-0000-0000528D0000}"/>
    <cellStyle name="Normal 3 4 2 3 3 2" xfId="5994" xr:uid="{00000000-0005-0000-0000-0000538D0000}"/>
    <cellStyle name="Normal 3 4 2 3 3 2 2" xfId="9537" xr:uid="{00000000-0005-0000-0000-0000548D0000}"/>
    <cellStyle name="Normal 3 4 2 3 3 2 2 2" xfId="16327" xr:uid="{00000000-0005-0000-0000-0000558D0000}"/>
    <cellStyle name="Normal 3 4 2 3 3 2 2 2 2" xfId="29895" xr:uid="{00000000-0005-0000-0000-0000568D0000}"/>
    <cellStyle name="Normal 3 4 2 3 3 2 2 2 2 2" xfId="57028" xr:uid="{00000000-0005-0000-0000-0000578D0000}"/>
    <cellStyle name="Normal 3 4 2 3 3 2 2 2 3" xfId="43466" xr:uid="{00000000-0005-0000-0000-0000588D0000}"/>
    <cellStyle name="Normal 3 4 2 3 3 2 2 3" xfId="23114" xr:uid="{00000000-0005-0000-0000-0000598D0000}"/>
    <cellStyle name="Normal 3 4 2 3 3 2 2 3 2" xfId="50247" xr:uid="{00000000-0005-0000-0000-00005A8D0000}"/>
    <cellStyle name="Normal 3 4 2 3 3 2 2 4" xfId="36685" xr:uid="{00000000-0005-0000-0000-00005B8D0000}"/>
    <cellStyle name="Normal 3 4 2 3 3 2 3" xfId="12938" xr:uid="{00000000-0005-0000-0000-00005C8D0000}"/>
    <cellStyle name="Normal 3 4 2 3 3 2 3 2" xfId="26506" xr:uid="{00000000-0005-0000-0000-00005D8D0000}"/>
    <cellStyle name="Normal 3 4 2 3 3 2 3 2 2" xfId="53639" xr:uid="{00000000-0005-0000-0000-00005E8D0000}"/>
    <cellStyle name="Normal 3 4 2 3 3 2 3 3" xfId="40077" xr:uid="{00000000-0005-0000-0000-00005F8D0000}"/>
    <cellStyle name="Normal 3 4 2 3 3 2 4" xfId="19725" xr:uid="{00000000-0005-0000-0000-0000608D0000}"/>
    <cellStyle name="Normal 3 4 2 3 3 2 4 2" xfId="46858" xr:uid="{00000000-0005-0000-0000-0000618D0000}"/>
    <cellStyle name="Normal 3 4 2 3 3 2 5" xfId="33296" xr:uid="{00000000-0005-0000-0000-0000628D0000}"/>
    <cellStyle name="Normal 3 4 2 3 3 3" xfId="9536" xr:uid="{00000000-0005-0000-0000-0000638D0000}"/>
    <cellStyle name="Normal 3 4 2 3 3 3 2" xfId="16326" xr:uid="{00000000-0005-0000-0000-0000648D0000}"/>
    <cellStyle name="Normal 3 4 2 3 3 3 2 2" xfId="29894" xr:uid="{00000000-0005-0000-0000-0000658D0000}"/>
    <cellStyle name="Normal 3 4 2 3 3 3 2 2 2" xfId="57027" xr:uid="{00000000-0005-0000-0000-0000668D0000}"/>
    <cellStyle name="Normal 3 4 2 3 3 3 2 3" xfId="43465" xr:uid="{00000000-0005-0000-0000-0000678D0000}"/>
    <cellStyle name="Normal 3 4 2 3 3 3 3" xfId="23113" xr:uid="{00000000-0005-0000-0000-0000688D0000}"/>
    <cellStyle name="Normal 3 4 2 3 3 3 3 2" xfId="50246" xr:uid="{00000000-0005-0000-0000-0000698D0000}"/>
    <cellStyle name="Normal 3 4 2 3 3 3 4" xfId="36684" xr:uid="{00000000-0005-0000-0000-00006A8D0000}"/>
    <cellStyle name="Normal 3 4 2 3 3 4" xfId="12937" xr:uid="{00000000-0005-0000-0000-00006B8D0000}"/>
    <cellStyle name="Normal 3 4 2 3 3 4 2" xfId="26505" xr:uid="{00000000-0005-0000-0000-00006C8D0000}"/>
    <cellStyle name="Normal 3 4 2 3 3 4 2 2" xfId="53638" xr:uid="{00000000-0005-0000-0000-00006D8D0000}"/>
    <cellStyle name="Normal 3 4 2 3 3 4 3" xfId="40076" xr:uid="{00000000-0005-0000-0000-00006E8D0000}"/>
    <cellStyle name="Normal 3 4 2 3 3 5" xfId="19724" xr:uid="{00000000-0005-0000-0000-00006F8D0000}"/>
    <cellStyle name="Normal 3 4 2 3 3 5 2" xfId="46857" xr:uid="{00000000-0005-0000-0000-0000708D0000}"/>
    <cellStyle name="Normal 3 4 2 3 3 6" xfId="33295" xr:uid="{00000000-0005-0000-0000-0000718D0000}"/>
    <cellStyle name="Normal 3 4 2 3 4" xfId="5995" xr:uid="{00000000-0005-0000-0000-0000728D0000}"/>
    <cellStyle name="Normal 3 4 2 3 4 2" xfId="9538" xr:uid="{00000000-0005-0000-0000-0000738D0000}"/>
    <cellStyle name="Normal 3 4 2 3 4 2 2" xfId="16328" xr:uid="{00000000-0005-0000-0000-0000748D0000}"/>
    <cellStyle name="Normal 3 4 2 3 4 2 2 2" xfId="29896" xr:uid="{00000000-0005-0000-0000-0000758D0000}"/>
    <cellStyle name="Normal 3 4 2 3 4 2 2 2 2" xfId="57029" xr:uid="{00000000-0005-0000-0000-0000768D0000}"/>
    <cellStyle name="Normal 3 4 2 3 4 2 2 3" xfId="43467" xr:uid="{00000000-0005-0000-0000-0000778D0000}"/>
    <cellStyle name="Normal 3 4 2 3 4 2 3" xfId="23115" xr:uid="{00000000-0005-0000-0000-0000788D0000}"/>
    <cellStyle name="Normal 3 4 2 3 4 2 3 2" xfId="50248" xr:uid="{00000000-0005-0000-0000-0000798D0000}"/>
    <cellStyle name="Normal 3 4 2 3 4 2 4" xfId="36686" xr:uid="{00000000-0005-0000-0000-00007A8D0000}"/>
    <cellStyle name="Normal 3 4 2 3 4 3" xfId="12939" xr:uid="{00000000-0005-0000-0000-00007B8D0000}"/>
    <cellStyle name="Normal 3 4 2 3 4 3 2" xfId="26507" xr:uid="{00000000-0005-0000-0000-00007C8D0000}"/>
    <cellStyle name="Normal 3 4 2 3 4 3 2 2" xfId="53640" xr:uid="{00000000-0005-0000-0000-00007D8D0000}"/>
    <cellStyle name="Normal 3 4 2 3 4 3 3" xfId="40078" xr:uid="{00000000-0005-0000-0000-00007E8D0000}"/>
    <cellStyle name="Normal 3 4 2 3 4 4" xfId="19726" xr:uid="{00000000-0005-0000-0000-00007F8D0000}"/>
    <cellStyle name="Normal 3 4 2 3 4 4 2" xfId="46859" xr:uid="{00000000-0005-0000-0000-0000808D0000}"/>
    <cellStyle name="Normal 3 4 2 3 4 5" xfId="33297" xr:uid="{00000000-0005-0000-0000-0000818D0000}"/>
    <cellStyle name="Normal 3 4 2 3 5" xfId="5996" xr:uid="{00000000-0005-0000-0000-0000828D0000}"/>
    <cellStyle name="Normal 3 4 2 3 5 2" xfId="9539" xr:uid="{00000000-0005-0000-0000-0000838D0000}"/>
    <cellStyle name="Normal 3 4 2 3 5 2 2" xfId="16329" xr:uid="{00000000-0005-0000-0000-0000848D0000}"/>
    <cellStyle name="Normal 3 4 2 3 5 2 2 2" xfId="29897" xr:uid="{00000000-0005-0000-0000-0000858D0000}"/>
    <cellStyle name="Normal 3 4 2 3 5 2 2 2 2" xfId="57030" xr:uid="{00000000-0005-0000-0000-0000868D0000}"/>
    <cellStyle name="Normal 3 4 2 3 5 2 2 3" xfId="43468" xr:uid="{00000000-0005-0000-0000-0000878D0000}"/>
    <cellStyle name="Normal 3 4 2 3 5 2 3" xfId="23116" xr:uid="{00000000-0005-0000-0000-0000888D0000}"/>
    <cellStyle name="Normal 3 4 2 3 5 2 3 2" xfId="50249" xr:uid="{00000000-0005-0000-0000-0000898D0000}"/>
    <cellStyle name="Normal 3 4 2 3 5 2 4" xfId="36687" xr:uid="{00000000-0005-0000-0000-00008A8D0000}"/>
    <cellStyle name="Normal 3 4 2 3 5 3" xfId="12940" xr:uid="{00000000-0005-0000-0000-00008B8D0000}"/>
    <cellStyle name="Normal 3 4 2 3 5 3 2" xfId="26508" xr:uid="{00000000-0005-0000-0000-00008C8D0000}"/>
    <cellStyle name="Normal 3 4 2 3 5 3 2 2" xfId="53641" xr:uid="{00000000-0005-0000-0000-00008D8D0000}"/>
    <cellStyle name="Normal 3 4 2 3 5 3 3" xfId="40079" xr:uid="{00000000-0005-0000-0000-00008E8D0000}"/>
    <cellStyle name="Normal 3 4 2 3 5 4" xfId="19727" xr:uid="{00000000-0005-0000-0000-00008F8D0000}"/>
    <cellStyle name="Normal 3 4 2 3 5 4 2" xfId="46860" xr:uid="{00000000-0005-0000-0000-0000908D0000}"/>
    <cellStyle name="Normal 3 4 2 3 5 5" xfId="33298" xr:uid="{00000000-0005-0000-0000-0000918D0000}"/>
    <cellStyle name="Normal 3 4 2 3 6" xfId="9532" xr:uid="{00000000-0005-0000-0000-0000928D0000}"/>
    <cellStyle name="Normal 3 4 2 3 6 2" xfId="16322" xr:uid="{00000000-0005-0000-0000-0000938D0000}"/>
    <cellStyle name="Normal 3 4 2 3 6 2 2" xfId="29890" xr:uid="{00000000-0005-0000-0000-0000948D0000}"/>
    <cellStyle name="Normal 3 4 2 3 6 2 2 2" xfId="57023" xr:uid="{00000000-0005-0000-0000-0000958D0000}"/>
    <cellStyle name="Normal 3 4 2 3 6 2 3" xfId="43461" xr:uid="{00000000-0005-0000-0000-0000968D0000}"/>
    <cellStyle name="Normal 3 4 2 3 6 3" xfId="23109" xr:uid="{00000000-0005-0000-0000-0000978D0000}"/>
    <cellStyle name="Normal 3 4 2 3 6 3 2" xfId="50242" xr:uid="{00000000-0005-0000-0000-0000988D0000}"/>
    <cellStyle name="Normal 3 4 2 3 6 4" xfId="36680" xr:uid="{00000000-0005-0000-0000-0000998D0000}"/>
    <cellStyle name="Normal 3 4 2 3 7" xfId="12933" xr:uid="{00000000-0005-0000-0000-00009A8D0000}"/>
    <cellStyle name="Normal 3 4 2 3 7 2" xfId="26501" xr:uid="{00000000-0005-0000-0000-00009B8D0000}"/>
    <cellStyle name="Normal 3 4 2 3 7 2 2" xfId="53634" xr:uid="{00000000-0005-0000-0000-00009C8D0000}"/>
    <cellStyle name="Normal 3 4 2 3 7 3" xfId="40072" xr:uid="{00000000-0005-0000-0000-00009D8D0000}"/>
    <cellStyle name="Normal 3 4 2 3 8" xfId="19720" xr:uid="{00000000-0005-0000-0000-00009E8D0000}"/>
    <cellStyle name="Normal 3 4 2 3 8 2" xfId="46853" xr:uid="{00000000-0005-0000-0000-00009F8D0000}"/>
    <cellStyle name="Normal 3 4 2 3 9" xfId="33291" xr:uid="{00000000-0005-0000-0000-0000A08D0000}"/>
    <cellStyle name="Normal 3 4 2 4" xfId="5997" xr:uid="{00000000-0005-0000-0000-0000A18D0000}"/>
    <cellStyle name="Normal 3 4 2 4 2" xfId="5998" xr:uid="{00000000-0005-0000-0000-0000A28D0000}"/>
    <cellStyle name="Normal 3 4 2 4 2 2" xfId="5999" xr:uid="{00000000-0005-0000-0000-0000A38D0000}"/>
    <cellStyle name="Normal 3 4 2 4 2 2 2" xfId="9542" xr:uid="{00000000-0005-0000-0000-0000A48D0000}"/>
    <cellStyle name="Normal 3 4 2 4 2 2 2 2" xfId="16332" xr:uid="{00000000-0005-0000-0000-0000A58D0000}"/>
    <cellStyle name="Normal 3 4 2 4 2 2 2 2 2" xfId="29900" xr:uid="{00000000-0005-0000-0000-0000A68D0000}"/>
    <cellStyle name="Normal 3 4 2 4 2 2 2 2 2 2" xfId="57033" xr:uid="{00000000-0005-0000-0000-0000A78D0000}"/>
    <cellStyle name="Normal 3 4 2 4 2 2 2 2 3" xfId="43471" xr:uid="{00000000-0005-0000-0000-0000A88D0000}"/>
    <cellStyle name="Normal 3 4 2 4 2 2 2 3" xfId="23119" xr:uid="{00000000-0005-0000-0000-0000A98D0000}"/>
    <cellStyle name="Normal 3 4 2 4 2 2 2 3 2" xfId="50252" xr:uid="{00000000-0005-0000-0000-0000AA8D0000}"/>
    <cellStyle name="Normal 3 4 2 4 2 2 2 4" xfId="36690" xr:uid="{00000000-0005-0000-0000-0000AB8D0000}"/>
    <cellStyle name="Normal 3 4 2 4 2 2 3" xfId="12943" xr:uid="{00000000-0005-0000-0000-0000AC8D0000}"/>
    <cellStyle name="Normal 3 4 2 4 2 2 3 2" xfId="26511" xr:uid="{00000000-0005-0000-0000-0000AD8D0000}"/>
    <cellStyle name="Normal 3 4 2 4 2 2 3 2 2" xfId="53644" xr:uid="{00000000-0005-0000-0000-0000AE8D0000}"/>
    <cellStyle name="Normal 3 4 2 4 2 2 3 3" xfId="40082" xr:uid="{00000000-0005-0000-0000-0000AF8D0000}"/>
    <cellStyle name="Normal 3 4 2 4 2 2 4" xfId="19730" xr:uid="{00000000-0005-0000-0000-0000B08D0000}"/>
    <cellStyle name="Normal 3 4 2 4 2 2 4 2" xfId="46863" xr:uid="{00000000-0005-0000-0000-0000B18D0000}"/>
    <cellStyle name="Normal 3 4 2 4 2 2 5" xfId="33301" xr:uid="{00000000-0005-0000-0000-0000B28D0000}"/>
    <cellStyle name="Normal 3 4 2 4 2 3" xfId="6000" xr:uid="{00000000-0005-0000-0000-0000B38D0000}"/>
    <cellStyle name="Normal 3 4 2 4 2 3 2" xfId="9543" xr:uid="{00000000-0005-0000-0000-0000B48D0000}"/>
    <cellStyle name="Normal 3 4 2 4 2 3 2 2" xfId="16333" xr:uid="{00000000-0005-0000-0000-0000B58D0000}"/>
    <cellStyle name="Normal 3 4 2 4 2 3 2 2 2" xfId="29901" xr:uid="{00000000-0005-0000-0000-0000B68D0000}"/>
    <cellStyle name="Normal 3 4 2 4 2 3 2 2 2 2" xfId="57034" xr:uid="{00000000-0005-0000-0000-0000B78D0000}"/>
    <cellStyle name="Normal 3 4 2 4 2 3 2 2 3" xfId="43472" xr:uid="{00000000-0005-0000-0000-0000B88D0000}"/>
    <cellStyle name="Normal 3 4 2 4 2 3 2 3" xfId="23120" xr:uid="{00000000-0005-0000-0000-0000B98D0000}"/>
    <cellStyle name="Normal 3 4 2 4 2 3 2 3 2" xfId="50253" xr:uid="{00000000-0005-0000-0000-0000BA8D0000}"/>
    <cellStyle name="Normal 3 4 2 4 2 3 2 4" xfId="36691" xr:uid="{00000000-0005-0000-0000-0000BB8D0000}"/>
    <cellStyle name="Normal 3 4 2 4 2 3 3" xfId="12944" xr:uid="{00000000-0005-0000-0000-0000BC8D0000}"/>
    <cellStyle name="Normal 3 4 2 4 2 3 3 2" xfId="26512" xr:uid="{00000000-0005-0000-0000-0000BD8D0000}"/>
    <cellStyle name="Normal 3 4 2 4 2 3 3 2 2" xfId="53645" xr:uid="{00000000-0005-0000-0000-0000BE8D0000}"/>
    <cellStyle name="Normal 3 4 2 4 2 3 3 3" xfId="40083" xr:uid="{00000000-0005-0000-0000-0000BF8D0000}"/>
    <cellStyle name="Normal 3 4 2 4 2 3 4" xfId="19731" xr:uid="{00000000-0005-0000-0000-0000C08D0000}"/>
    <cellStyle name="Normal 3 4 2 4 2 3 4 2" xfId="46864" xr:uid="{00000000-0005-0000-0000-0000C18D0000}"/>
    <cellStyle name="Normal 3 4 2 4 2 3 5" xfId="33302" xr:uid="{00000000-0005-0000-0000-0000C28D0000}"/>
    <cellStyle name="Normal 3 4 2 4 2 4" xfId="9541" xr:uid="{00000000-0005-0000-0000-0000C38D0000}"/>
    <cellStyle name="Normal 3 4 2 4 2 4 2" xfId="16331" xr:uid="{00000000-0005-0000-0000-0000C48D0000}"/>
    <cellStyle name="Normal 3 4 2 4 2 4 2 2" xfId="29899" xr:uid="{00000000-0005-0000-0000-0000C58D0000}"/>
    <cellStyle name="Normal 3 4 2 4 2 4 2 2 2" xfId="57032" xr:uid="{00000000-0005-0000-0000-0000C68D0000}"/>
    <cellStyle name="Normal 3 4 2 4 2 4 2 3" xfId="43470" xr:uid="{00000000-0005-0000-0000-0000C78D0000}"/>
    <cellStyle name="Normal 3 4 2 4 2 4 3" xfId="23118" xr:uid="{00000000-0005-0000-0000-0000C88D0000}"/>
    <cellStyle name="Normal 3 4 2 4 2 4 3 2" xfId="50251" xr:uid="{00000000-0005-0000-0000-0000C98D0000}"/>
    <cellStyle name="Normal 3 4 2 4 2 4 4" xfId="36689" xr:uid="{00000000-0005-0000-0000-0000CA8D0000}"/>
    <cellStyle name="Normal 3 4 2 4 2 5" xfId="12942" xr:uid="{00000000-0005-0000-0000-0000CB8D0000}"/>
    <cellStyle name="Normal 3 4 2 4 2 5 2" xfId="26510" xr:uid="{00000000-0005-0000-0000-0000CC8D0000}"/>
    <cellStyle name="Normal 3 4 2 4 2 5 2 2" xfId="53643" xr:uid="{00000000-0005-0000-0000-0000CD8D0000}"/>
    <cellStyle name="Normal 3 4 2 4 2 5 3" xfId="40081" xr:uid="{00000000-0005-0000-0000-0000CE8D0000}"/>
    <cellStyle name="Normal 3 4 2 4 2 6" xfId="19729" xr:uid="{00000000-0005-0000-0000-0000CF8D0000}"/>
    <cellStyle name="Normal 3 4 2 4 2 6 2" xfId="46862" xr:uid="{00000000-0005-0000-0000-0000D08D0000}"/>
    <cellStyle name="Normal 3 4 2 4 2 7" xfId="33300" xr:uid="{00000000-0005-0000-0000-0000D18D0000}"/>
    <cellStyle name="Normal 3 4 2 4 3" xfId="6001" xr:uid="{00000000-0005-0000-0000-0000D28D0000}"/>
    <cellStyle name="Normal 3 4 2 4 3 2" xfId="9544" xr:uid="{00000000-0005-0000-0000-0000D38D0000}"/>
    <cellStyle name="Normal 3 4 2 4 3 2 2" xfId="16334" xr:uid="{00000000-0005-0000-0000-0000D48D0000}"/>
    <cellStyle name="Normal 3 4 2 4 3 2 2 2" xfId="29902" xr:uid="{00000000-0005-0000-0000-0000D58D0000}"/>
    <cellStyle name="Normal 3 4 2 4 3 2 2 2 2" xfId="57035" xr:uid="{00000000-0005-0000-0000-0000D68D0000}"/>
    <cellStyle name="Normal 3 4 2 4 3 2 2 3" xfId="43473" xr:uid="{00000000-0005-0000-0000-0000D78D0000}"/>
    <cellStyle name="Normal 3 4 2 4 3 2 3" xfId="23121" xr:uid="{00000000-0005-0000-0000-0000D88D0000}"/>
    <cellStyle name="Normal 3 4 2 4 3 2 3 2" xfId="50254" xr:uid="{00000000-0005-0000-0000-0000D98D0000}"/>
    <cellStyle name="Normal 3 4 2 4 3 2 4" xfId="36692" xr:uid="{00000000-0005-0000-0000-0000DA8D0000}"/>
    <cellStyle name="Normal 3 4 2 4 3 3" xfId="12945" xr:uid="{00000000-0005-0000-0000-0000DB8D0000}"/>
    <cellStyle name="Normal 3 4 2 4 3 3 2" xfId="26513" xr:uid="{00000000-0005-0000-0000-0000DC8D0000}"/>
    <cellStyle name="Normal 3 4 2 4 3 3 2 2" xfId="53646" xr:uid="{00000000-0005-0000-0000-0000DD8D0000}"/>
    <cellStyle name="Normal 3 4 2 4 3 3 3" xfId="40084" xr:uid="{00000000-0005-0000-0000-0000DE8D0000}"/>
    <cellStyle name="Normal 3 4 2 4 3 4" xfId="19732" xr:uid="{00000000-0005-0000-0000-0000DF8D0000}"/>
    <cellStyle name="Normal 3 4 2 4 3 4 2" xfId="46865" xr:uid="{00000000-0005-0000-0000-0000E08D0000}"/>
    <cellStyle name="Normal 3 4 2 4 3 5" xfId="33303" xr:uid="{00000000-0005-0000-0000-0000E18D0000}"/>
    <cellStyle name="Normal 3 4 2 4 4" xfId="6002" xr:uid="{00000000-0005-0000-0000-0000E28D0000}"/>
    <cellStyle name="Normal 3 4 2 4 4 2" xfId="9545" xr:uid="{00000000-0005-0000-0000-0000E38D0000}"/>
    <cellStyle name="Normal 3 4 2 4 4 2 2" xfId="16335" xr:uid="{00000000-0005-0000-0000-0000E48D0000}"/>
    <cellStyle name="Normal 3 4 2 4 4 2 2 2" xfId="29903" xr:uid="{00000000-0005-0000-0000-0000E58D0000}"/>
    <cellStyle name="Normal 3 4 2 4 4 2 2 2 2" xfId="57036" xr:uid="{00000000-0005-0000-0000-0000E68D0000}"/>
    <cellStyle name="Normal 3 4 2 4 4 2 2 3" xfId="43474" xr:uid="{00000000-0005-0000-0000-0000E78D0000}"/>
    <cellStyle name="Normal 3 4 2 4 4 2 3" xfId="23122" xr:uid="{00000000-0005-0000-0000-0000E88D0000}"/>
    <cellStyle name="Normal 3 4 2 4 4 2 3 2" xfId="50255" xr:uid="{00000000-0005-0000-0000-0000E98D0000}"/>
    <cellStyle name="Normal 3 4 2 4 4 2 4" xfId="36693" xr:uid="{00000000-0005-0000-0000-0000EA8D0000}"/>
    <cellStyle name="Normal 3 4 2 4 4 3" xfId="12946" xr:uid="{00000000-0005-0000-0000-0000EB8D0000}"/>
    <cellStyle name="Normal 3 4 2 4 4 3 2" xfId="26514" xr:uid="{00000000-0005-0000-0000-0000EC8D0000}"/>
    <cellStyle name="Normal 3 4 2 4 4 3 2 2" xfId="53647" xr:uid="{00000000-0005-0000-0000-0000ED8D0000}"/>
    <cellStyle name="Normal 3 4 2 4 4 3 3" xfId="40085" xr:uid="{00000000-0005-0000-0000-0000EE8D0000}"/>
    <cellStyle name="Normal 3 4 2 4 4 4" xfId="19733" xr:uid="{00000000-0005-0000-0000-0000EF8D0000}"/>
    <cellStyle name="Normal 3 4 2 4 4 4 2" xfId="46866" xr:uid="{00000000-0005-0000-0000-0000F08D0000}"/>
    <cellStyle name="Normal 3 4 2 4 4 5" xfId="33304" xr:uid="{00000000-0005-0000-0000-0000F18D0000}"/>
    <cellStyle name="Normal 3 4 2 4 5" xfId="9540" xr:uid="{00000000-0005-0000-0000-0000F28D0000}"/>
    <cellStyle name="Normal 3 4 2 4 5 2" xfId="16330" xr:uid="{00000000-0005-0000-0000-0000F38D0000}"/>
    <cellStyle name="Normal 3 4 2 4 5 2 2" xfId="29898" xr:uid="{00000000-0005-0000-0000-0000F48D0000}"/>
    <cellStyle name="Normal 3 4 2 4 5 2 2 2" xfId="57031" xr:uid="{00000000-0005-0000-0000-0000F58D0000}"/>
    <cellStyle name="Normal 3 4 2 4 5 2 3" xfId="43469" xr:uid="{00000000-0005-0000-0000-0000F68D0000}"/>
    <cellStyle name="Normal 3 4 2 4 5 3" xfId="23117" xr:uid="{00000000-0005-0000-0000-0000F78D0000}"/>
    <cellStyle name="Normal 3 4 2 4 5 3 2" xfId="50250" xr:uid="{00000000-0005-0000-0000-0000F88D0000}"/>
    <cellStyle name="Normal 3 4 2 4 5 4" xfId="36688" xr:uid="{00000000-0005-0000-0000-0000F98D0000}"/>
    <cellStyle name="Normal 3 4 2 4 6" xfId="12941" xr:uid="{00000000-0005-0000-0000-0000FA8D0000}"/>
    <cellStyle name="Normal 3 4 2 4 6 2" xfId="26509" xr:uid="{00000000-0005-0000-0000-0000FB8D0000}"/>
    <cellStyle name="Normal 3 4 2 4 6 2 2" xfId="53642" xr:uid="{00000000-0005-0000-0000-0000FC8D0000}"/>
    <cellStyle name="Normal 3 4 2 4 6 3" xfId="40080" xr:uid="{00000000-0005-0000-0000-0000FD8D0000}"/>
    <cellStyle name="Normal 3 4 2 4 7" xfId="19728" xr:uid="{00000000-0005-0000-0000-0000FE8D0000}"/>
    <cellStyle name="Normal 3 4 2 4 7 2" xfId="46861" xr:uid="{00000000-0005-0000-0000-0000FF8D0000}"/>
    <cellStyle name="Normal 3 4 2 4 8" xfId="33299" xr:uid="{00000000-0005-0000-0000-0000008E0000}"/>
    <cellStyle name="Normal 3 4 2 5" xfId="6003" xr:uid="{00000000-0005-0000-0000-0000018E0000}"/>
    <cellStyle name="Normal 3 4 2 5 2" xfId="6004" xr:uid="{00000000-0005-0000-0000-0000028E0000}"/>
    <cellStyle name="Normal 3 4 2 5 2 2" xfId="6005" xr:uid="{00000000-0005-0000-0000-0000038E0000}"/>
    <cellStyle name="Normal 3 4 2 5 2 2 2" xfId="9548" xr:uid="{00000000-0005-0000-0000-0000048E0000}"/>
    <cellStyle name="Normal 3 4 2 5 2 2 2 2" xfId="16338" xr:uid="{00000000-0005-0000-0000-0000058E0000}"/>
    <cellStyle name="Normal 3 4 2 5 2 2 2 2 2" xfId="29906" xr:uid="{00000000-0005-0000-0000-0000068E0000}"/>
    <cellStyle name="Normal 3 4 2 5 2 2 2 2 2 2" xfId="57039" xr:uid="{00000000-0005-0000-0000-0000078E0000}"/>
    <cellStyle name="Normal 3 4 2 5 2 2 2 2 3" xfId="43477" xr:uid="{00000000-0005-0000-0000-0000088E0000}"/>
    <cellStyle name="Normal 3 4 2 5 2 2 2 3" xfId="23125" xr:uid="{00000000-0005-0000-0000-0000098E0000}"/>
    <cellStyle name="Normal 3 4 2 5 2 2 2 3 2" xfId="50258" xr:uid="{00000000-0005-0000-0000-00000A8E0000}"/>
    <cellStyle name="Normal 3 4 2 5 2 2 2 4" xfId="36696" xr:uid="{00000000-0005-0000-0000-00000B8E0000}"/>
    <cellStyle name="Normal 3 4 2 5 2 2 3" xfId="12949" xr:uid="{00000000-0005-0000-0000-00000C8E0000}"/>
    <cellStyle name="Normal 3 4 2 5 2 2 3 2" xfId="26517" xr:uid="{00000000-0005-0000-0000-00000D8E0000}"/>
    <cellStyle name="Normal 3 4 2 5 2 2 3 2 2" xfId="53650" xr:uid="{00000000-0005-0000-0000-00000E8E0000}"/>
    <cellStyle name="Normal 3 4 2 5 2 2 3 3" xfId="40088" xr:uid="{00000000-0005-0000-0000-00000F8E0000}"/>
    <cellStyle name="Normal 3 4 2 5 2 2 4" xfId="19736" xr:uid="{00000000-0005-0000-0000-0000108E0000}"/>
    <cellStyle name="Normal 3 4 2 5 2 2 4 2" xfId="46869" xr:uid="{00000000-0005-0000-0000-0000118E0000}"/>
    <cellStyle name="Normal 3 4 2 5 2 2 5" xfId="33307" xr:uid="{00000000-0005-0000-0000-0000128E0000}"/>
    <cellStyle name="Normal 3 4 2 5 2 3" xfId="6006" xr:uid="{00000000-0005-0000-0000-0000138E0000}"/>
    <cellStyle name="Normal 3 4 2 5 2 3 2" xfId="9549" xr:uid="{00000000-0005-0000-0000-0000148E0000}"/>
    <cellStyle name="Normal 3 4 2 5 2 3 2 2" xfId="16339" xr:uid="{00000000-0005-0000-0000-0000158E0000}"/>
    <cellStyle name="Normal 3 4 2 5 2 3 2 2 2" xfId="29907" xr:uid="{00000000-0005-0000-0000-0000168E0000}"/>
    <cellStyle name="Normal 3 4 2 5 2 3 2 2 2 2" xfId="57040" xr:uid="{00000000-0005-0000-0000-0000178E0000}"/>
    <cellStyle name="Normal 3 4 2 5 2 3 2 2 3" xfId="43478" xr:uid="{00000000-0005-0000-0000-0000188E0000}"/>
    <cellStyle name="Normal 3 4 2 5 2 3 2 3" xfId="23126" xr:uid="{00000000-0005-0000-0000-0000198E0000}"/>
    <cellStyle name="Normal 3 4 2 5 2 3 2 3 2" xfId="50259" xr:uid="{00000000-0005-0000-0000-00001A8E0000}"/>
    <cellStyle name="Normal 3 4 2 5 2 3 2 4" xfId="36697" xr:uid="{00000000-0005-0000-0000-00001B8E0000}"/>
    <cellStyle name="Normal 3 4 2 5 2 3 3" xfId="12950" xr:uid="{00000000-0005-0000-0000-00001C8E0000}"/>
    <cellStyle name="Normal 3 4 2 5 2 3 3 2" xfId="26518" xr:uid="{00000000-0005-0000-0000-00001D8E0000}"/>
    <cellStyle name="Normal 3 4 2 5 2 3 3 2 2" xfId="53651" xr:uid="{00000000-0005-0000-0000-00001E8E0000}"/>
    <cellStyle name="Normal 3 4 2 5 2 3 3 3" xfId="40089" xr:uid="{00000000-0005-0000-0000-00001F8E0000}"/>
    <cellStyle name="Normal 3 4 2 5 2 3 4" xfId="19737" xr:uid="{00000000-0005-0000-0000-0000208E0000}"/>
    <cellStyle name="Normal 3 4 2 5 2 3 4 2" xfId="46870" xr:uid="{00000000-0005-0000-0000-0000218E0000}"/>
    <cellStyle name="Normal 3 4 2 5 2 3 5" xfId="33308" xr:uid="{00000000-0005-0000-0000-0000228E0000}"/>
    <cellStyle name="Normal 3 4 2 5 2 4" xfId="9547" xr:uid="{00000000-0005-0000-0000-0000238E0000}"/>
    <cellStyle name="Normal 3 4 2 5 2 4 2" xfId="16337" xr:uid="{00000000-0005-0000-0000-0000248E0000}"/>
    <cellStyle name="Normal 3 4 2 5 2 4 2 2" xfId="29905" xr:uid="{00000000-0005-0000-0000-0000258E0000}"/>
    <cellStyle name="Normal 3 4 2 5 2 4 2 2 2" xfId="57038" xr:uid="{00000000-0005-0000-0000-0000268E0000}"/>
    <cellStyle name="Normal 3 4 2 5 2 4 2 3" xfId="43476" xr:uid="{00000000-0005-0000-0000-0000278E0000}"/>
    <cellStyle name="Normal 3 4 2 5 2 4 3" xfId="23124" xr:uid="{00000000-0005-0000-0000-0000288E0000}"/>
    <cellStyle name="Normal 3 4 2 5 2 4 3 2" xfId="50257" xr:uid="{00000000-0005-0000-0000-0000298E0000}"/>
    <cellStyle name="Normal 3 4 2 5 2 4 4" xfId="36695" xr:uid="{00000000-0005-0000-0000-00002A8E0000}"/>
    <cellStyle name="Normal 3 4 2 5 2 5" xfId="12948" xr:uid="{00000000-0005-0000-0000-00002B8E0000}"/>
    <cellStyle name="Normal 3 4 2 5 2 5 2" xfId="26516" xr:uid="{00000000-0005-0000-0000-00002C8E0000}"/>
    <cellStyle name="Normal 3 4 2 5 2 5 2 2" xfId="53649" xr:uid="{00000000-0005-0000-0000-00002D8E0000}"/>
    <cellStyle name="Normal 3 4 2 5 2 5 3" xfId="40087" xr:uid="{00000000-0005-0000-0000-00002E8E0000}"/>
    <cellStyle name="Normal 3 4 2 5 2 6" xfId="19735" xr:uid="{00000000-0005-0000-0000-00002F8E0000}"/>
    <cellStyle name="Normal 3 4 2 5 2 6 2" xfId="46868" xr:uid="{00000000-0005-0000-0000-0000308E0000}"/>
    <cellStyle name="Normal 3 4 2 5 2 7" xfId="33306" xr:uid="{00000000-0005-0000-0000-0000318E0000}"/>
    <cellStyle name="Normal 3 4 2 5 3" xfId="6007" xr:uid="{00000000-0005-0000-0000-0000328E0000}"/>
    <cellStyle name="Normal 3 4 2 5 3 2" xfId="9550" xr:uid="{00000000-0005-0000-0000-0000338E0000}"/>
    <cellStyle name="Normal 3 4 2 5 3 2 2" xfId="16340" xr:uid="{00000000-0005-0000-0000-0000348E0000}"/>
    <cellStyle name="Normal 3 4 2 5 3 2 2 2" xfId="29908" xr:uid="{00000000-0005-0000-0000-0000358E0000}"/>
    <cellStyle name="Normal 3 4 2 5 3 2 2 2 2" xfId="57041" xr:uid="{00000000-0005-0000-0000-0000368E0000}"/>
    <cellStyle name="Normal 3 4 2 5 3 2 2 3" xfId="43479" xr:uid="{00000000-0005-0000-0000-0000378E0000}"/>
    <cellStyle name="Normal 3 4 2 5 3 2 3" xfId="23127" xr:uid="{00000000-0005-0000-0000-0000388E0000}"/>
    <cellStyle name="Normal 3 4 2 5 3 2 3 2" xfId="50260" xr:uid="{00000000-0005-0000-0000-0000398E0000}"/>
    <cellStyle name="Normal 3 4 2 5 3 2 4" xfId="36698" xr:uid="{00000000-0005-0000-0000-00003A8E0000}"/>
    <cellStyle name="Normal 3 4 2 5 3 3" xfId="12951" xr:uid="{00000000-0005-0000-0000-00003B8E0000}"/>
    <cellStyle name="Normal 3 4 2 5 3 3 2" xfId="26519" xr:uid="{00000000-0005-0000-0000-00003C8E0000}"/>
    <cellStyle name="Normal 3 4 2 5 3 3 2 2" xfId="53652" xr:uid="{00000000-0005-0000-0000-00003D8E0000}"/>
    <cellStyle name="Normal 3 4 2 5 3 3 3" xfId="40090" xr:uid="{00000000-0005-0000-0000-00003E8E0000}"/>
    <cellStyle name="Normal 3 4 2 5 3 4" xfId="19738" xr:uid="{00000000-0005-0000-0000-00003F8E0000}"/>
    <cellStyle name="Normal 3 4 2 5 3 4 2" xfId="46871" xr:uid="{00000000-0005-0000-0000-0000408E0000}"/>
    <cellStyle name="Normal 3 4 2 5 3 5" xfId="33309" xr:uid="{00000000-0005-0000-0000-0000418E0000}"/>
    <cellStyle name="Normal 3 4 2 5 4" xfId="6008" xr:uid="{00000000-0005-0000-0000-0000428E0000}"/>
    <cellStyle name="Normal 3 4 2 5 4 2" xfId="9551" xr:uid="{00000000-0005-0000-0000-0000438E0000}"/>
    <cellStyle name="Normal 3 4 2 5 4 2 2" xfId="16341" xr:uid="{00000000-0005-0000-0000-0000448E0000}"/>
    <cellStyle name="Normal 3 4 2 5 4 2 2 2" xfId="29909" xr:uid="{00000000-0005-0000-0000-0000458E0000}"/>
    <cellStyle name="Normal 3 4 2 5 4 2 2 2 2" xfId="57042" xr:uid="{00000000-0005-0000-0000-0000468E0000}"/>
    <cellStyle name="Normal 3 4 2 5 4 2 2 3" xfId="43480" xr:uid="{00000000-0005-0000-0000-0000478E0000}"/>
    <cellStyle name="Normal 3 4 2 5 4 2 3" xfId="23128" xr:uid="{00000000-0005-0000-0000-0000488E0000}"/>
    <cellStyle name="Normal 3 4 2 5 4 2 3 2" xfId="50261" xr:uid="{00000000-0005-0000-0000-0000498E0000}"/>
    <cellStyle name="Normal 3 4 2 5 4 2 4" xfId="36699" xr:uid="{00000000-0005-0000-0000-00004A8E0000}"/>
    <cellStyle name="Normal 3 4 2 5 4 3" xfId="12952" xr:uid="{00000000-0005-0000-0000-00004B8E0000}"/>
    <cellStyle name="Normal 3 4 2 5 4 3 2" xfId="26520" xr:uid="{00000000-0005-0000-0000-00004C8E0000}"/>
    <cellStyle name="Normal 3 4 2 5 4 3 2 2" xfId="53653" xr:uid="{00000000-0005-0000-0000-00004D8E0000}"/>
    <cellStyle name="Normal 3 4 2 5 4 3 3" xfId="40091" xr:uid="{00000000-0005-0000-0000-00004E8E0000}"/>
    <cellStyle name="Normal 3 4 2 5 4 4" xfId="19739" xr:uid="{00000000-0005-0000-0000-00004F8E0000}"/>
    <cellStyle name="Normal 3 4 2 5 4 4 2" xfId="46872" xr:uid="{00000000-0005-0000-0000-0000508E0000}"/>
    <cellStyle name="Normal 3 4 2 5 4 5" xfId="33310" xr:uid="{00000000-0005-0000-0000-0000518E0000}"/>
    <cellStyle name="Normal 3 4 2 5 5" xfId="9546" xr:uid="{00000000-0005-0000-0000-0000528E0000}"/>
    <cellStyle name="Normal 3 4 2 5 5 2" xfId="16336" xr:uid="{00000000-0005-0000-0000-0000538E0000}"/>
    <cellStyle name="Normal 3 4 2 5 5 2 2" xfId="29904" xr:uid="{00000000-0005-0000-0000-0000548E0000}"/>
    <cellStyle name="Normal 3 4 2 5 5 2 2 2" xfId="57037" xr:uid="{00000000-0005-0000-0000-0000558E0000}"/>
    <cellStyle name="Normal 3 4 2 5 5 2 3" xfId="43475" xr:uid="{00000000-0005-0000-0000-0000568E0000}"/>
    <cellStyle name="Normal 3 4 2 5 5 3" xfId="23123" xr:uid="{00000000-0005-0000-0000-0000578E0000}"/>
    <cellStyle name="Normal 3 4 2 5 5 3 2" xfId="50256" xr:uid="{00000000-0005-0000-0000-0000588E0000}"/>
    <cellStyle name="Normal 3 4 2 5 5 4" xfId="36694" xr:uid="{00000000-0005-0000-0000-0000598E0000}"/>
    <cellStyle name="Normal 3 4 2 5 6" xfId="12947" xr:uid="{00000000-0005-0000-0000-00005A8E0000}"/>
    <cellStyle name="Normal 3 4 2 5 6 2" xfId="26515" xr:uid="{00000000-0005-0000-0000-00005B8E0000}"/>
    <cellStyle name="Normal 3 4 2 5 6 2 2" xfId="53648" xr:uid="{00000000-0005-0000-0000-00005C8E0000}"/>
    <cellStyle name="Normal 3 4 2 5 6 3" xfId="40086" xr:uid="{00000000-0005-0000-0000-00005D8E0000}"/>
    <cellStyle name="Normal 3 4 2 5 7" xfId="19734" xr:uid="{00000000-0005-0000-0000-00005E8E0000}"/>
    <cellStyle name="Normal 3 4 2 5 7 2" xfId="46867" xr:uid="{00000000-0005-0000-0000-00005F8E0000}"/>
    <cellStyle name="Normal 3 4 2 5 8" xfId="33305" xr:uid="{00000000-0005-0000-0000-0000608E0000}"/>
    <cellStyle name="Normal 3 4 2 6" xfId="6009" xr:uid="{00000000-0005-0000-0000-0000618E0000}"/>
    <cellStyle name="Normal 3 4 2 6 2" xfId="6010" xr:uid="{00000000-0005-0000-0000-0000628E0000}"/>
    <cellStyle name="Normal 3 4 2 6 2 2" xfId="9553" xr:uid="{00000000-0005-0000-0000-0000638E0000}"/>
    <cellStyle name="Normal 3 4 2 6 2 2 2" xfId="16343" xr:uid="{00000000-0005-0000-0000-0000648E0000}"/>
    <cellStyle name="Normal 3 4 2 6 2 2 2 2" xfId="29911" xr:uid="{00000000-0005-0000-0000-0000658E0000}"/>
    <cellStyle name="Normal 3 4 2 6 2 2 2 2 2" xfId="57044" xr:uid="{00000000-0005-0000-0000-0000668E0000}"/>
    <cellStyle name="Normal 3 4 2 6 2 2 2 3" xfId="43482" xr:uid="{00000000-0005-0000-0000-0000678E0000}"/>
    <cellStyle name="Normal 3 4 2 6 2 2 3" xfId="23130" xr:uid="{00000000-0005-0000-0000-0000688E0000}"/>
    <cellStyle name="Normal 3 4 2 6 2 2 3 2" xfId="50263" xr:uid="{00000000-0005-0000-0000-0000698E0000}"/>
    <cellStyle name="Normal 3 4 2 6 2 2 4" xfId="36701" xr:uid="{00000000-0005-0000-0000-00006A8E0000}"/>
    <cellStyle name="Normal 3 4 2 6 2 3" xfId="12954" xr:uid="{00000000-0005-0000-0000-00006B8E0000}"/>
    <cellStyle name="Normal 3 4 2 6 2 3 2" xfId="26522" xr:uid="{00000000-0005-0000-0000-00006C8E0000}"/>
    <cellStyle name="Normal 3 4 2 6 2 3 2 2" xfId="53655" xr:uid="{00000000-0005-0000-0000-00006D8E0000}"/>
    <cellStyle name="Normal 3 4 2 6 2 3 3" xfId="40093" xr:uid="{00000000-0005-0000-0000-00006E8E0000}"/>
    <cellStyle name="Normal 3 4 2 6 2 4" xfId="19741" xr:uid="{00000000-0005-0000-0000-00006F8E0000}"/>
    <cellStyle name="Normal 3 4 2 6 2 4 2" xfId="46874" xr:uid="{00000000-0005-0000-0000-0000708E0000}"/>
    <cellStyle name="Normal 3 4 2 6 2 5" xfId="33312" xr:uid="{00000000-0005-0000-0000-0000718E0000}"/>
    <cellStyle name="Normal 3 4 2 6 3" xfId="6011" xr:uid="{00000000-0005-0000-0000-0000728E0000}"/>
    <cellStyle name="Normal 3 4 2 6 3 2" xfId="9554" xr:uid="{00000000-0005-0000-0000-0000738E0000}"/>
    <cellStyle name="Normal 3 4 2 6 3 2 2" xfId="16344" xr:uid="{00000000-0005-0000-0000-0000748E0000}"/>
    <cellStyle name="Normal 3 4 2 6 3 2 2 2" xfId="29912" xr:uid="{00000000-0005-0000-0000-0000758E0000}"/>
    <cellStyle name="Normal 3 4 2 6 3 2 2 2 2" xfId="57045" xr:uid="{00000000-0005-0000-0000-0000768E0000}"/>
    <cellStyle name="Normal 3 4 2 6 3 2 2 3" xfId="43483" xr:uid="{00000000-0005-0000-0000-0000778E0000}"/>
    <cellStyle name="Normal 3 4 2 6 3 2 3" xfId="23131" xr:uid="{00000000-0005-0000-0000-0000788E0000}"/>
    <cellStyle name="Normal 3 4 2 6 3 2 3 2" xfId="50264" xr:uid="{00000000-0005-0000-0000-0000798E0000}"/>
    <cellStyle name="Normal 3 4 2 6 3 2 4" xfId="36702" xr:uid="{00000000-0005-0000-0000-00007A8E0000}"/>
    <cellStyle name="Normal 3 4 2 6 3 3" xfId="12955" xr:uid="{00000000-0005-0000-0000-00007B8E0000}"/>
    <cellStyle name="Normal 3 4 2 6 3 3 2" xfId="26523" xr:uid="{00000000-0005-0000-0000-00007C8E0000}"/>
    <cellStyle name="Normal 3 4 2 6 3 3 2 2" xfId="53656" xr:uid="{00000000-0005-0000-0000-00007D8E0000}"/>
    <cellStyle name="Normal 3 4 2 6 3 3 3" xfId="40094" xr:uid="{00000000-0005-0000-0000-00007E8E0000}"/>
    <cellStyle name="Normal 3 4 2 6 3 4" xfId="19742" xr:uid="{00000000-0005-0000-0000-00007F8E0000}"/>
    <cellStyle name="Normal 3 4 2 6 3 4 2" xfId="46875" xr:uid="{00000000-0005-0000-0000-0000808E0000}"/>
    <cellStyle name="Normal 3 4 2 6 3 5" xfId="33313" xr:uid="{00000000-0005-0000-0000-0000818E0000}"/>
    <cellStyle name="Normal 3 4 2 6 4" xfId="9552" xr:uid="{00000000-0005-0000-0000-0000828E0000}"/>
    <cellStyle name="Normal 3 4 2 6 4 2" xfId="16342" xr:uid="{00000000-0005-0000-0000-0000838E0000}"/>
    <cellStyle name="Normal 3 4 2 6 4 2 2" xfId="29910" xr:uid="{00000000-0005-0000-0000-0000848E0000}"/>
    <cellStyle name="Normal 3 4 2 6 4 2 2 2" xfId="57043" xr:uid="{00000000-0005-0000-0000-0000858E0000}"/>
    <cellStyle name="Normal 3 4 2 6 4 2 3" xfId="43481" xr:uid="{00000000-0005-0000-0000-0000868E0000}"/>
    <cellStyle name="Normal 3 4 2 6 4 3" xfId="23129" xr:uid="{00000000-0005-0000-0000-0000878E0000}"/>
    <cellStyle name="Normal 3 4 2 6 4 3 2" xfId="50262" xr:uid="{00000000-0005-0000-0000-0000888E0000}"/>
    <cellStyle name="Normal 3 4 2 6 4 4" xfId="36700" xr:uid="{00000000-0005-0000-0000-0000898E0000}"/>
    <cellStyle name="Normal 3 4 2 6 5" xfId="12953" xr:uid="{00000000-0005-0000-0000-00008A8E0000}"/>
    <cellStyle name="Normal 3 4 2 6 5 2" xfId="26521" xr:uid="{00000000-0005-0000-0000-00008B8E0000}"/>
    <cellStyle name="Normal 3 4 2 6 5 2 2" xfId="53654" xr:uid="{00000000-0005-0000-0000-00008C8E0000}"/>
    <cellStyle name="Normal 3 4 2 6 5 3" xfId="40092" xr:uid="{00000000-0005-0000-0000-00008D8E0000}"/>
    <cellStyle name="Normal 3 4 2 6 6" xfId="19740" xr:uid="{00000000-0005-0000-0000-00008E8E0000}"/>
    <cellStyle name="Normal 3 4 2 6 6 2" xfId="46873" xr:uid="{00000000-0005-0000-0000-00008F8E0000}"/>
    <cellStyle name="Normal 3 4 2 6 7" xfId="33311" xr:uid="{00000000-0005-0000-0000-0000908E0000}"/>
    <cellStyle name="Normal 3 4 2 7" xfId="6012" xr:uid="{00000000-0005-0000-0000-0000918E0000}"/>
    <cellStyle name="Normal 3 4 2 7 2" xfId="6013" xr:uid="{00000000-0005-0000-0000-0000928E0000}"/>
    <cellStyle name="Normal 3 4 2 7 2 2" xfId="9556" xr:uid="{00000000-0005-0000-0000-0000938E0000}"/>
    <cellStyle name="Normal 3 4 2 7 2 2 2" xfId="16346" xr:uid="{00000000-0005-0000-0000-0000948E0000}"/>
    <cellStyle name="Normal 3 4 2 7 2 2 2 2" xfId="29914" xr:uid="{00000000-0005-0000-0000-0000958E0000}"/>
    <cellStyle name="Normal 3 4 2 7 2 2 2 2 2" xfId="57047" xr:uid="{00000000-0005-0000-0000-0000968E0000}"/>
    <cellStyle name="Normal 3 4 2 7 2 2 2 3" xfId="43485" xr:uid="{00000000-0005-0000-0000-0000978E0000}"/>
    <cellStyle name="Normal 3 4 2 7 2 2 3" xfId="23133" xr:uid="{00000000-0005-0000-0000-0000988E0000}"/>
    <cellStyle name="Normal 3 4 2 7 2 2 3 2" xfId="50266" xr:uid="{00000000-0005-0000-0000-0000998E0000}"/>
    <cellStyle name="Normal 3 4 2 7 2 2 4" xfId="36704" xr:uid="{00000000-0005-0000-0000-00009A8E0000}"/>
    <cellStyle name="Normal 3 4 2 7 2 3" xfId="12957" xr:uid="{00000000-0005-0000-0000-00009B8E0000}"/>
    <cellStyle name="Normal 3 4 2 7 2 3 2" xfId="26525" xr:uid="{00000000-0005-0000-0000-00009C8E0000}"/>
    <cellStyle name="Normal 3 4 2 7 2 3 2 2" xfId="53658" xr:uid="{00000000-0005-0000-0000-00009D8E0000}"/>
    <cellStyle name="Normal 3 4 2 7 2 3 3" xfId="40096" xr:uid="{00000000-0005-0000-0000-00009E8E0000}"/>
    <cellStyle name="Normal 3 4 2 7 2 4" xfId="19744" xr:uid="{00000000-0005-0000-0000-00009F8E0000}"/>
    <cellStyle name="Normal 3 4 2 7 2 4 2" xfId="46877" xr:uid="{00000000-0005-0000-0000-0000A08E0000}"/>
    <cellStyle name="Normal 3 4 2 7 2 5" xfId="33315" xr:uid="{00000000-0005-0000-0000-0000A18E0000}"/>
    <cellStyle name="Normal 3 4 2 7 3" xfId="6014" xr:uid="{00000000-0005-0000-0000-0000A28E0000}"/>
    <cellStyle name="Normal 3 4 2 7 3 2" xfId="9557" xr:uid="{00000000-0005-0000-0000-0000A38E0000}"/>
    <cellStyle name="Normal 3 4 2 7 3 2 2" xfId="16347" xr:uid="{00000000-0005-0000-0000-0000A48E0000}"/>
    <cellStyle name="Normal 3 4 2 7 3 2 2 2" xfId="29915" xr:uid="{00000000-0005-0000-0000-0000A58E0000}"/>
    <cellStyle name="Normal 3 4 2 7 3 2 2 2 2" xfId="57048" xr:uid="{00000000-0005-0000-0000-0000A68E0000}"/>
    <cellStyle name="Normal 3 4 2 7 3 2 2 3" xfId="43486" xr:uid="{00000000-0005-0000-0000-0000A78E0000}"/>
    <cellStyle name="Normal 3 4 2 7 3 2 3" xfId="23134" xr:uid="{00000000-0005-0000-0000-0000A88E0000}"/>
    <cellStyle name="Normal 3 4 2 7 3 2 3 2" xfId="50267" xr:uid="{00000000-0005-0000-0000-0000A98E0000}"/>
    <cellStyle name="Normal 3 4 2 7 3 2 4" xfId="36705" xr:uid="{00000000-0005-0000-0000-0000AA8E0000}"/>
    <cellStyle name="Normal 3 4 2 7 3 3" xfId="12958" xr:uid="{00000000-0005-0000-0000-0000AB8E0000}"/>
    <cellStyle name="Normal 3 4 2 7 3 3 2" xfId="26526" xr:uid="{00000000-0005-0000-0000-0000AC8E0000}"/>
    <cellStyle name="Normal 3 4 2 7 3 3 2 2" xfId="53659" xr:uid="{00000000-0005-0000-0000-0000AD8E0000}"/>
    <cellStyle name="Normal 3 4 2 7 3 3 3" xfId="40097" xr:uid="{00000000-0005-0000-0000-0000AE8E0000}"/>
    <cellStyle name="Normal 3 4 2 7 3 4" xfId="19745" xr:uid="{00000000-0005-0000-0000-0000AF8E0000}"/>
    <cellStyle name="Normal 3 4 2 7 3 4 2" xfId="46878" xr:uid="{00000000-0005-0000-0000-0000B08E0000}"/>
    <cellStyle name="Normal 3 4 2 7 3 5" xfId="33316" xr:uid="{00000000-0005-0000-0000-0000B18E0000}"/>
    <cellStyle name="Normal 3 4 2 7 4" xfId="9555" xr:uid="{00000000-0005-0000-0000-0000B28E0000}"/>
    <cellStyle name="Normal 3 4 2 7 4 2" xfId="16345" xr:uid="{00000000-0005-0000-0000-0000B38E0000}"/>
    <cellStyle name="Normal 3 4 2 7 4 2 2" xfId="29913" xr:uid="{00000000-0005-0000-0000-0000B48E0000}"/>
    <cellStyle name="Normal 3 4 2 7 4 2 2 2" xfId="57046" xr:uid="{00000000-0005-0000-0000-0000B58E0000}"/>
    <cellStyle name="Normal 3 4 2 7 4 2 3" xfId="43484" xr:uid="{00000000-0005-0000-0000-0000B68E0000}"/>
    <cellStyle name="Normal 3 4 2 7 4 3" xfId="23132" xr:uid="{00000000-0005-0000-0000-0000B78E0000}"/>
    <cellStyle name="Normal 3 4 2 7 4 3 2" xfId="50265" xr:uid="{00000000-0005-0000-0000-0000B88E0000}"/>
    <cellStyle name="Normal 3 4 2 7 4 4" xfId="36703" xr:uid="{00000000-0005-0000-0000-0000B98E0000}"/>
    <cellStyle name="Normal 3 4 2 7 5" xfId="12956" xr:uid="{00000000-0005-0000-0000-0000BA8E0000}"/>
    <cellStyle name="Normal 3 4 2 7 5 2" xfId="26524" xr:uid="{00000000-0005-0000-0000-0000BB8E0000}"/>
    <cellStyle name="Normal 3 4 2 7 5 2 2" xfId="53657" xr:uid="{00000000-0005-0000-0000-0000BC8E0000}"/>
    <cellStyle name="Normal 3 4 2 7 5 3" xfId="40095" xr:uid="{00000000-0005-0000-0000-0000BD8E0000}"/>
    <cellStyle name="Normal 3 4 2 7 6" xfId="19743" xr:uid="{00000000-0005-0000-0000-0000BE8E0000}"/>
    <cellStyle name="Normal 3 4 2 7 6 2" xfId="46876" xr:uid="{00000000-0005-0000-0000-0000BF8E0000}"/>
    <cellStyle name="Normal 3 4 2 7 7" xfId="33314" xr:uid="{00000000-0005-0000-0000-0000C08E0000}"/>
    <cellStyle name="Normal 3 4 2 8" xfId="6015" xr:uid="{00000000-0005-0000-0000-0000C18E0000}"/>
    <cellStyle name="Normal 3 4 2 8 2" xfId="9558" xr:uid="{00000000-0005-0000-0000-0000C28E0000}"/>
    <cellStyle name="Normal 3 4 2 8 2 2" xfId="16348" xr:uid="{00000000-0005-0000-0000-0000C38E0000}"/>
    <cellStyle name="Normal 3 4 2 8 2 2 2" xfId="29916" xr:uid="{00000000-0005-0000-0000-0000C48E0000}"/>
    <cellStyle name="Normal 3 4 2 8 2 2 2 2" xfId="57049" xr:uid="{00000000-0005-0000-0000-0000C58E0000}"/>
    <cellStyle name="Normal 3 4 2 8 2 2 3" xfId="43487" xr:uid="{00000000-0005-0000-0000-0000C68E0000}"/>
    <cellStyle name="Normal 3 4 2 8 2 3" xfId="23135" xr:uid="{00000000-0005-0000-0000-0000C78E0000}"/>
    <cellStyle name="Normal 3 4 2 8 2 3 2" xfId="50268" xr:uid="{00000000-0005-0000-0000-0000C88E0000}"/>
    <cellStyle name="Normal 3 4 2 8 2 4" xfId="36706" xr:uid="{00000000-0005-0000-0000-0000C98E0000}"/>
    <cellStyle name="Normal 3 4 2 8 3" xfId="12959" xr:uid="{00000000-0005-0000-0000-0000CA8E0000}"/>
    <cellStyle name="Normal 3 4 2 8 3 2" xfId="26527" xr:uid="{00000000-0005-0000-0000-0000CB8E0000}"/>
    <cellStyle name="Normal 3 4 2 8 3 2 2" xfId="53660" xr:uid="{00000000-0005-0000-0000-0000CC8E0000}"/>
    <cellStyle name="Normal 3 4 2 8 3 3" xfId="40098" xr:uid="{00000000-0005-0000-0000-0000CD8E0000}"/>
    <cellStyle name="Normal 3 4 2 8 4" xfId="19746" xr:uid="{00000000-0005-0000-0000-0000CE8E0000}"/>
    <cellStyle name="Normal 3 4 2 8 4 2" xfId="46879" xr:uid="{00000000-0005-0000-0000-0000CF8E0000}"/>
    <cellStyle name="Normal 3 4 2 8 5" xfId="33317" xr:uid="{00000000-0005-0000-0000-0000D08E0000}"/>
    <cellStyle name="Normal 3 4 2 9" xfId="6016" xr:uid="{00000000-0005-0000-0000-0000D18E0000}"/>
    <cellStyle name="Normal 3 4 2 9 2" xfId="9559" xr:uid="{00000000-0005-0000-0000-0000D28E0000}"/>
    <cellStyle name="Normal 3 4 2 9 2 2" xfId="16349" xr:uid="{00000000-0005-0000-0000-0000D38E0000}"/>
    <cellStyle name="Normal 3 4 2 9 2 2 2" xfId="29917" xr:uid="{00000000-0005-0000-0000-0000D48E0000}"/>
    <cellStyle name="Normal 3 4 2 9 2 2 2 2" xfId="57050" xr:uid="{00000000-0005-0000-0000-0000D58E0000}"/>
    <cellStyle name="Normal 3 4 2 9 2 2 3" xfId="43488" xr:uid="{00000000-0005-0000-0000-0000D68E0000}"/>
    <cellStyle name="Normal 3 4 2 9 2 3" xfId="23136" xr:uid="{00000000-0005-0000-0000-0000D78E0000}"/>
    <cellStyle name="Normal 3 4 2 9 2 3 2" xfId="50269" xr:uid="{00000000-0005-0000-0000-0000D88E0000}"/>
    <cellStyle name="Normal 3 4 2 9 2 4" xfId="36707" xr:uid="{00000000-0005-0000-0000-0000D98E0000}"/>
    <cellStyle name="Normal 3 4 2 9 3" xfId="12960" xr:uid="{00000000-0005-0000-0000-0000DA8E0000}"/>
    <cellStyle name="Normal 3 4 2 9 3 2" xfId="26528" xr:uid="{00000000-0005-0000-0000-0000DB8E0000}"/>
    <cellStyle name="Normal 3 4 2 9 3 2 2" xfId="53661" xr:uid="{00000000-0005-0000-0000-0000DC8E0000}"/>
    <cellStyle name="Normal 3 4 2 9 3 3" xfId="40099" xr:uid="{00000000-0005-0000-0000-0000DD8E0000}"/>
    <cellStyle name="Normal 3 4 2 9 4" xfId="19747" xr:uid="{00000000-0005-0000-0000-0000DE8E0000}"/>
    <cellStyle name="Normal 3 4 2 9 4 2" xfId="46880" xr:uid="{00000000-0005-0000-0000-0000DF8E0000}"/>
    <cellStyle name="Normal 3 4 2 9 5" xfId="33318" xr:uid="{00000000-0005-0000-0000-0000E08E0000}"/>
    <cellStyle name="Normal 3 4 3" xfId="2711" xr:uid="{00000000-0005-0000-0000-0000E18E0000}"/>
    <cellStyle name="Normal 3 4 3 10" xfId="10925" xr:uid="{00000000-0005-0000-0000-0000E28E0000}"/>
    <cellStyle name="Normal 3 4 3 10 2" xfId="24493" xr:uid="{00000000-0005-0000-0000-0000E38E0000}"/>
    <cellStyle name="Normal 3 4 3 10 2 2" xfId="51626" xr:uid="{00000000-0005-0000-0000-0000E48E0000}"/>
    <cellStyle name="Normal 3 4 3 10 3" xfId="38064" xr:uid="{00000000-0005-0000-0000-0000E58E0000}"/>
    <cellStyle name="Normal 3 4 3 11" xfId="17712" xr:uid="{00000000-0005-0000-0000-0000E68E0000}"/>
    <cellStyle name="Normal 3 4 3 11 2" xfId="44845" xr:uid="{00000000-0005-0000-0000-0000E78E0000}"/>
    <cellStyle name="Normal 3 4 3 12" xfId="31283" xr:uid="{00000000-0005-0000-0000-0000E88E0000}"/>
    <cellStyle name="Normal 3 4 3 2" xfId="2712" xr:uid="{00000000-0005-0000-0000-0000E98E0000}"/>
    <cellStyle name="Normal 3 4 3 2 10" xfId="31284" xr:uid="{00000000-0005-0000-0000-0000EA8E0000}"/>
    <cellStyle name="Normal 3 4 3 2 2" xfId="6017" xr:uid="{00000000-0005-0000-0000-0000EB8E0000}"/>
    <cellStyle name="Normal 3 4 3 2 2 2" xfId="6018" xr:uid="{00000000-0005-0000-0000-0000EC8E0000}"/>
    <cellStyle name="Normal 3 4 3 2 2 2 2" xfId="6019" xr:uid="{00000000-0005-0000-0000-0000ED8E0000}"/>
    <cellStyle name="Normal 3 4 3 2 2 2 2 2" xfId="9562" xr:uid="{00000000-0005-0000-0000-0000EE8E0000}"/>
    <cellStyle name="Normal 3 4 3 2 2 2 2 2 2" xfId="16352" xr:uid="{00000000-0005-0000-0000-0000EF8E0000}"/>
    <cellStyle name="Normal 3 4 3 2 2 2 2 2 2 2" xfId="29920" xr:uid="{00000000-0005-0000-0000-0000F08E0000}"/>
    <cellStyle name="Normal 3 4 3 2 2 2 2 2 2 2 2" xfId="57053" xr:uid="{00000000-0005-0000-0000-0000F18E0000}"/>
    <cellStyle name="Normal 3 4 3 2 2 2 2 2 2 3" xfId="43491" xr:uid="{00000000-0005-0000-0000-0000F28E0000}"/>
    <cellStyle name="Normal 3 4 3 2 2 2 2 2 3" xfId="23139" xr:uid="{00000000-0005-0000-0000-0000F38E0000}"/>
    <cellStyle name="Normal 3 4 3 2 2 2 2 2 3 2" xfId="50272" xr:uid="{00000000-0005-0000-0000-0000F48E0000}"/>
    <cellStyle name="Normal 3 4 3 2 2 2 2 2 4" xfId="36710" xr:uid="{00000000-0005-0000-0000-0000F58E0000}"/>
    <cellStyle name="Normal 3 4 3 2 2 2 2 3" xfId="12963" xr:uid="{00000000-0005-0000-0000-0000F68E0000}"/>
    <cellStyle name="Normal 3 4 3 2 2 2 2 3 2" xfId="26531" xr:uid="{00000000-0005-0000-0000-0000F78E0000}"/>
    <cellStyle name="Normal 3 4 3 2 2 2 2 3 2 2" xfId="53664" xr:uid="{00000000-0005-0000-0000-0000F88E0000}"/>
    <cellStyle name="Normal 3 4 3 2 2 2 2 3 3" xfId="40102" xr:uid="{00000000-0005-0000-0000-0000F98E0000}"/>
    <cellStyle name="Normal 3 4 3 2 2 2 2 4" xfId="19750" xr:uid="{00000000-0005-0000-0000-0000FA8E0000}"/>
    <cellStyle name="Normal 3 4 3 2 2 2 2 4 2" xfId="46883" xr:uid="{00000000-0005-0000-0000-0000FB8E0000}"/>
    <cellStyle name="Normal 3 4 3 2 2 2 2 5" xfId="33321" xr:uid="{00000000-0005-0000-0000-0000FC8E0000}"/>
    <cellStyle name="Normal 3 4 3 2 2 2 3" xfId="6020" xr:uid="{00000000-0005-0000-0000-0000FD8E0000}"/>
    <cellStyle name="Normal 3 4 3 2 2 2 3 2" xfId="9563" xr:uid="{00000000-0005-0000-0000-0000FE8E0000}"/>
    <cellStyle name="Normal 3 4 3 2 2 2 3 2 2" xfId="16353" xr:uid="{00000000-0005-0000-0000-0000FF8E0000}"/>
    <cellStyle name="Normal 3 4 3 2 2 2 3 2 2 2" xfId="29921" xr:uid="{00000000-0005-0000-0000-0000008F0000}"/>
    <cellStyle name="Normal 3 4 3 2 2 2 3 2 2 2 2" xfId="57054" xr:uid="{00000000-0005-0000-0000-0000018F0000}"/>
    <cellStyle name="Normal 3 4 3 2 2 2 3 2 2 3" xfId="43492" xr:uid="{00000000-0005-0000-0000-0000028F0000}"/>
    <cellStyle name="Normal 3 4 3 2 2 2 3 2 3" xfId="23140" xr:uid="{00000000-0005-0000-0000-0000038F0000}"/>
    <cellStyle name="Normal 3 4 3 2 2 2 3 2 3 2" xfId="50273" xr:uid="{00000000-0005-0000-0000-0000048F0000}"/>
    <cellStyle name="Normal 3 4 3 2 2 2 3 2 4" xfId="36711" xr:uid="{00000000-0005-0000-0000-0000058F0000}"/>
    <cellStyle name="Normal 3 4 3 2 2 2 3 3" xfId="12964" xr:uid="{00000000-0005-0000-0000-0000068F0000}"/>
    <cellStyle name="Normal 3 4 3 2 2 2 3 3 2" xfId="26532" xr:uid="{00000000-0005-0000-0000-0000078F0000}"/>
    <cellStyle name="Normal 3 4 3 2 2 2 3 3 2 2" xfId="53665" xr:uid="{00000000-0005-0000-0000-0000088F0000}"/>
    <cellStyle name="Normal 3 4 3 2 2 2 3 3 3" xfId="40103" xr:uid="{00000000-0005-0000-0000-0000098F0000}"/>
    <cellStyle name="Normal 3 4 3 2 2 2 3 4" xfId="19751" xr:uid="{00000000-0005-0000-0000-00000A8F0000}"/>
    <cellStyle name="Normal 3 4 3 2 2 2 3 4 2" xfId="46884" xr:uid="{00000000-0005-0000-0000-00000B8F0000}"/>
    <cellStyle name="Normal 3 4 3 2 2 2 3 5" xfId="33322" xr:uid="{00000000-0005-0000-0000-00000C8F0000}"/>
    <cellStyle name="Normal 3 4 3 2 2 2 4" xfId="9561" xr:uid="{00000000-0005-0000-0000-00000D8F0000}"/>
    <cellStyle name="Normal 3 4 3 2 2 2 4 2" xfId="16351" xr:uid="{00000000-0005-0000-0000-00000E8F0000}"/>
    <cellStyle name="Normal 3 4 3 2 2 2 4 2 2" xfId="29919" xr:uid="{00000000-0005-0000-0000-00000F8F0000}"/>
    <cellStyle name="Normal 3 4 3 2 2 2 4 2 2 2" xfId="57052" xr:uid="{00000000-0005-0000-0000-0000108F0000}"/>
    <cellStyle name="Normal 3 4 3 2 2 2 4 2 3" xfId="43490" xr:uid="{00000000-0005-0000-0000-0000118F0000}"/>
    <cellStyle name="Normal 3 4 3 2 2 2 4 3" xfId="23138" xr:uid="{00000000-0005-0000-0000-0000128F0000}"/>
    <cellStyle name="Normal 3 4 3 2 2 2 4 3 2" xfId="50271" xr:uid="{00000000-0005-0000-0000-0000138F0000}"/>
    <cellStyle name="Normal 3 4 3 2 2 2 4 4" xfId="36709" xr:uid="{00000000-0005-0000-0000-0000148F0000}"/>
    <cellStyle name="Normal 3 4 3 2 2 2 5" xfId="12962" xr:uid="{00000000-0005-0000-0000-0000158F0000}"/>
    <cellStyle name="Normal 3 4 3 2 2 2 5 2" xfId="26530" xr:uid="{00000000-0005-0000-0000-0000168F0000}"/>
    <cellStyle name="Normal 3 4 3 2 2 2 5 2 2" xfId="53663" xr:uid="{00000000-0005-0000-0000-0000178F0000}"/>
    <cellStyle name="Normal 3 4 3 2 2 2 5 3" xfId="40101" xr:uid="{00000000-0005-0000-0000-0000188F0000}"/>
    <cellStyle name="Normal 3 4 3 2 2 2 6" xfId="19749" xr:uid="{00000000-0005-0000-0000-0000198F0000}"/>
    <cellStyle name="Normal 3 4 3 2 2 2 6 2" xfId="46882" xr:uid="{00000000-0005-0000-0000-00001A8F0000}"/>
    <cellStyle name="Normal 3 4 3 2 2 2 7" xfId="33320" xr:uid="{00000000-0005-0000-0000-00001B8F0000}"/>
    <cellStyle name="Normal 3 4 3 2 2 3" xfId="6021" xr:uid="{00000000-0005-0000-0000-00001C8F0000}"/>
    <cellStyle name="Normal 3 4 3 2 2 3 2" xfId="6022" xr:uid="{00000000-0005-0000-0000-00001D8F0000}"/>
    <cellStyle name="Normal 3 4 3 2 2 3 2 2" xfId="9565" xr:uid="{00000000-0005-0000-0000-00001E8F0000}"/>
    <cellStyle name="Normal 3 4 3 2 2 3 2 2 2" xfId="16355" xr:uid="{00000000-0005-0000-0000-00001F8F0000}"/>
    <cellStyle name="Normal 3 4 3 2 2 3 2 2 2 2" xfId="29923" xr:uid="{00000000-0005-0000-0000-0000208F0000}"/>
    <cellStyle name="Normal 3 4 3 2 2 3 2 2 2 2 2" xfId="57056" xr:uid="{00000000-0005-0000-0000-0000218F0000}"/>
    <cellStyle name="Normal 3 4 3 2 2 3 2 2 2 3" xfId="43494" xr:uid="{00000000-0005-0000-0000-0000228F0000}"/>
    <cellStyle name="Normal 3 4 3 2 2 3 2 2 3" xfId="23142" xr:uid="{00000000-0005-0000-0000-0000238F0000}"/>
    <cellStyle name="Normal 3 4 3 2 2 3 2 2 3 2" xfId="50275" xr:uid="{00000000-0005-0000-0000-0000248F0000}"/>
    <cellStyle name="Normal 3 4 3 2 2 3 2 2 4" xfId="36713" xr:uid="{00000000-0005-0000-0000-0000258F0000}"/>
    <cellStyle name="Normal 3 4 3 2 2 3 2 3" xfId="12966" xr:uid="{00000000-0005-0000-0000-0000268F0000}"/>
    <cellStyle name="Normal 3 4 3 2 2 3 2 3 2" xfId="26534" xr:uid="{00000000-0005-0000-0000-0000278F0000}"/>
    <cellStyle name="Normal 3 4 3 2 2 3 2 3 2 2" xfId="53667" xr:uid="{00000000-0005-0000-0000-0000288F0000}"/>
    <cellStyle name="Normal 3 4 3 2 2 3 2 3 3" xfId="40105" xr:uid="{00000000-0005-0000-0000-0000298F0000}"/>
    <cellStyle name="Normal 3 4 3 2 2 3 2 4" xfId="19753" xr:uid="{00000000-0005-0000-0000-00002A8F0000}"/>
    <cellStyle name="Normal 3 4 3 2 2 3 2 4 2" xfId="46886" xr:uid="{00000000-0005-0000-0000-00002B8F0000}"/>
    <cellStyle name="Normal 3 4 3 2 2 3 2 5" xfId="33324" xr:uid="{00000000-0005-0000-0000-00002C8F0000}"/>
    <cellStyle name="Normal 3 4 3 2 2 3 3" xfId="9564" xr:uid="{00000000-0005-0000-0000-00002D8F0000}"/>
    <cellStyle name="Normal 3 4 3 2 2 3 3 2" xfId="16354" xr:uid="{00000000-0005-0000-0000-00002E8F0000}"/>
    <cellStyle name="Normal 3 4 3 2 2 3 3 2 2" xfId="29922" xr:uid="{00000000-0005-0000-0000-00002F8F0000}"/>
    <cellStyle name="Normal 3 4 3 2 2 3 3 2 2 2" xfId="57055" xr:uid="{00000000-0005-0000-0000-0000308F0000}"/>
    <cellStyle name="Normal 3 4 3 2 2 3 3 2 3" xfId="43493" xr:uid="{00000000-0005-0000-0000-0000318F0000}"/>
    <cellStyle name="Normal 3 4 3 2 2 3 3 3" xfId="23141" xr:uid="{00000000-0005-0000-0000-0000328F0000}"/>
    <cellStyle name="Normal 3 4 3 2 2 3 3 3 2" xfId="50274" xr:uid="{00000000-0005-0000-0000-0000338F0000}"/>
    <cellStyle name="Normal 3 4 3 2 2 3 3 4" xfId="36712" xr:uid="{00000000-0005-0000-0000-0000348F0000}"/>
    <cellStyle name="Normal 3 4 3 2 2 3 4" xfId="12965" xr:uid="{00000000-0005-0000-0000-0000358F0000}"/>
    <cellStyle name="Normal 3 4 3 2 2 3 4 2" xfId="26533" xr:uid="{00000000-0005-0000-0000-0000368F0000}"/>
    <cellStyle name="Normal 3 4 3 2 2 3 4 2 2" xfId="53666" xr:uid="{00000000-0005-0000-0000-0000378F0000}"/>
    <cellStyle name="Normal 3 4 3 2 2 3 4 3" xfId="40104" xr:uid="{00000000-0005-0000-0000-0000388F0000}"/>
    <cellStyle name="Normal 3 4 3 2 2 3 5" xfId="19752" xr:uid="{00000000-0005-0000-0000-0000398F0000}"/>
    <cellStyle name="Normal 3 4 3 2 2 3 5 2" xfId="46885" xr:uid="{00000000-0005-0000-0000-00003A8F0000}"/>
    <cellStyle name="Normal 3 4 3 2 2 3 6" xfId="33323" xr:uid="{00000000-0005-0000-0000-00003B8F0000}"/>
    <cellStyle name="Normal 3 4 3 2 2 4" xfId="6023" xr:uid="{00000000-0005-0000-0000-00003C8F0000}"/>
    <cellStyle name="Normal 3 4 3 2 2 4 2" xfId="9566" xr:uid="{00000000-0005-0000-0000-00003D8F0000}"/>
    <cellStyle name="Normal 3 4 3 2 2 4 2 2" xfId="16356" xr:uid="{00000000-0005-0000-0000-00003E8F0000}"/>
    <cellStyle name="Normal 3 4 3 2 2 4 2 2 2" xfId="29924" xr:uid="{00000000-0005-0000-0000-00003F8F0000}"/>
    <cellStyle name="Normal 3 4 3 2 2 4 2 2 2 2" xfId="57057" xr:uid="{00000000-0005-0000-0000-0000408F0000}"/>
    <cellStyle name="Normal 3 4 3 2 2 4 2 2 3" xfId="43495" xr:uid="{00000000-0005-0000-0000-0000418F0000}"/>
    <cellStyle name="Normal 3 4 3 2 2 4 2 3" xfId="23143" xr:uid="{00000000-0005-0000-0000-0000428F0000}"/>
    <cellStyle name="Normal 3 4 3 2 2 4 2 3 2" xfId="50276" xr:uid="{00000000-0005-0000-0000-0000438F0000}"/>
    <cellStyle name="Normal 3 4 3 2 2 4 2 4" xfId="36714" xr:uid="{00000000-0005-0000-0000-0000448F0000}"/>
    <cellStyle name="Normal 3 4 3 2 2 4 3" xfId="12967" xr:uid="{00000000-0005-0000-0000-0000458F0000}"/>
    <cellStyle name="Normal 3 4 3 2 2 4 3 2" xfId="26535" xr:uid="{00000000-0005-0000-0000-0000468F0000}"/>
    <cellStyle name="Normal 3 4 3 2 2 4 3 2 2" xfId="53668" xr:uid="{00000000-0005-0000-0000-0000478F0000}"/>
    <cellStyle name="Normal 3 4 3 2 2 4 3 3" xfId="40106" xr:uid="{00000000-0005-0000-0000-0000488F0000}"/>
    <cellStyle name="Normal 3 4 3 2 2 4 4" xfId="19754" xr:uid="{00000000-0005-0000-0000-0000498F0000}"/>
    <cellStyle name="Normal 3 4 3 2 2 4 4 2" xfId="46887" xr:uid="{00000000-0005-0000-0000-00004A8F0000}"/>
    <cellStyle name="Normal 3 4 3 2 2 4 5" xfId="33325" xr:uid="{00000000-0005-0000-0000-00004B8F0000}"/>
    <cellStyle name="Normal 3 4 3 2 2 5" xfId="6024" xr:uid="{00000000-0005-0000-0000-00004C8F0000}"/>
    <cellStyle name="Normal 3 4 3 2 2 5 2" xfId="9567" xr:uid="{00000000-0005-0000-0000-00004D8F0000}"/>
    <cellStyle name="Normal 3 4 3 2 2 5 2 2" xfId="16357" xr:uid="{00000000-0005-0000-0000-00004E8F0000}"/>
    <cellStyle name="Normal 3 4 3 2 2 5 2 2 2" xfId="29925" xr:uid="{00000000-0005-0000-0000-00004F8F0000}"/>
    <cellStyle name="Normal 3 4 3 2 2 5 2 2 2 2" xfId="57058" xr:uid="{00000000-0005-0000-0000-0000508F0000}"/>
    <cellStyle name="Normal 3 4 3 2 2 5 2 2 3" xfId="43496" xr:uid="{00000000-0005-0000-0000-0000518F0000}"/>
    <cellStyle name="Normal 3 4 3 2 2 5 2 3" xfId="23144" xr:uid="{00000000-0005-0000-0000-0000528F0000}"/>
    <cellStyle name="Normal 3 4 3 2 2 5 2 3 2" xfId="50277" xr:uid="{00000000-0005-0000-0000-0000538F0000}"/>
    <cellStyle name="Normal 3 4 3 2 2 5 2 4" xfId="36715" xr:uid="{00000000-0005-0000-0000-0000548F0000}"/>
    <cellStyle name="Normal 3 4 3 2 2 5 3" xfId="12968" xr:uid="{00000000-0005-0000-0000-0000558F0000}"/>
    <cellStyle name="Normal 3 4 3 2 2 5 3 2" xfId="26536" xr:uid="{00000000-0005-0000-0000-0000568F0000}"/>
    <cellStyle name="Normal 3 4 3 2 2 5 3 2 2" xfId="53669" xr:uid="{00000000-0005-0000-0000-0000578F0000}"/>
    <cellStyle name="Normal 3 4 3 2 2 5 3 3" xfId="40107" xr:uid="{00000000-0005-0000-0000-0000588F0000}"/>
    <cellStyle name="Normal 3 4 3 2 2 5 4" xfId="19755" xr:uid="{00000000-0005-0000-0000-0000598F0000}"/>
    <cellStyle name="Normal 3 4 3 2 2 5 4 2" xfId="46888" xr:uid="{00000000-0005-0000-0000-00005A8F0000}"/>
    <cellStyle name="Normal 3 4 3 2 2 5 5" xfId="33326" xr:uid="{00000000-0005-0000-0000-00005B8F0000}"/>
    <cellStyle name="Normal 3 4 3 2 2 6" xfId="9560" xr:uid="{00000000-0005-0000-0000-00005C8F0000}"/>
    <cellStyle name="Normal 3 4 3 2 2 6 2" xfId="16350" xr:uid="{00000000-0005-0000-0000-00005D8F0000}"/>
    <cellStyle name="Normal 3 4 3 2 2 6 2 2" xfId="29918" xr:uid="{00000000-0005-0000-0000-00005E8F0000}"/>
    <cellStyle name="Normal 3 4 3 2 2 6 2 2 2" xfId="57051" xr:uid="{00000000-0005-0000-0000-00005F8F0000}"/>
    <cellStyle name="Normal 3 4 3 2 2 6 2 3" xfId="43489" xr:uid="{00000000-0005-0000-0000-0000608F0000}"/>
    <cellStyle name="Normal 3 4 3 2 2 6 3" xfId="23137" xr:uid="{00000000-0005-0000-0000-0000618F0000}"/>
    <cellStyle name="Normal 3 4 3 2 2 6 3 2" xfId="50270" xr:uid="{00000000-0005-0000-0000-0000628F0000}"/>
    <cellStyle name="Normal 3 4 3 2 2 6 4" xfId="36708" xr:uid="{00000000-0005-0000-0000-0000638F0000}"/>
    <cellStyle name="Normal 3 4 3 2 2 7" xfId="12961" xr:uid="{00000000-0005-0000-0000-0000648F0000}"/>
    <cellStyle name="Normal 3 4 3 2 2 7 2" xfId="26529" xr:uid="{00000000-0005-0000-0000-0000658F0000}"/>
    <cellStyle name="Normal 3 4 3 2 2 7 2 2" xfId="53662" xr:uid="{00000000-0005-0000-0000-0000668F0000}"/>
    <cellStyle name="Normal 3 4 3 2 2 7 3" xfId="40100" xr:uid="{00000000-0005-0000-0000-0000678F0000}"/>
    <cellStyle name="Normal 3 4 3 2 2 8" xfId="19748" xr:uid="{00000000-0005-0000-0000-0000688F0000}"/>
    <cellStyle name="Normal 3 4 3 2 2 8 2" xfId="46881" xr:uid="{00000000-0005-0000-0000-0000698F0000}"/>
    <cellStyle name="Normal 3 4 3 2 2 9" xfId="33319" xr:uid="{00000000-0005-0000-0000-00006A8F0000}"/>
    <cellStyle name="Normal 3 4 3 2 3" xfId="6025" xr:uid="{00000000-0005-0000-0000-00006B8F0000}"/>
    <cellStyle name="Normal 3 4 3 2 3 2" xfId="6026" xr:uid="{00000000-0005-0000-0000-00006C8F0000}"/>
    <cellStyle name="Normal 3 4 3 2 3 2 2" xfId="9569" xr:uid="{00000000-0005-0000-0000-00006D8F0000}"/>
    <cellStyle name="Normal 3 4 3 2 3 2 2 2" xfId="16359" xr:uid="{00000000-0005-0000-0000-00006E8F0000}"/>
    <cellStyle name="Normal 3 4 3 2 3 2 2 2 2" xfId="29927" xr:uid="{00000000-0005-0000-0000-00006F8F0000}"/>
    <cellStyle name="Normal 3 4 3 2 3 2 2 2 2 2" xfId="57060" xr:uid="{00000000-0005-0000-0000-0000708F0000}"/>
    <cellStyle name="Normal 3 4 3 2 3 2 2 2 3" xfId="43498" xr:uid="{00000000-0005-0000-0000-0000718F0000}"/>
    <cellStyle name="Normal 3 4 3 2 3 2 2 3" xfId="23146" xr:uid="{00000000-0005-0000-0000-0000728F0000}"/>
    <cellStyle name="Normal 3 4 3 2 3 2 2 3 2" xfId="50279" xr:uid="{00000000-0005-0000-0000-0000738F0000}"/>
    <cellStyle name="Normal 3 4 3 2 3 2 2 4" xfId="36717" xr:uid="{00000000-0005-0000-0000-0000748F0000}"/>
    <cellStyle name="Normal 3 4 3 2 3 2 3" xfId="12970" xr:uid="{00000000-0005-0000-0000-0000758F0000}"/>
    <cellStyle name="Normal 3 4 3 2 3 2 3 2" xfId="26538" xr:uid="{00000000-0005-0000-0000-0000768F0000}"/>
    <cellStyle name="Normal 3 4 3 2 3 2 3 2 2" xfId="53671" xr:uid="{00000000-0005-0000-0000-0000778F0000}"/>
    <cellStyle name="Normal 3 4 3 2 3 2 3 3" xfId="40109" xr:uid="{00000000-0005-0000-0000-0000788F0000}"/>
    <cellStyle name="Normal 3 4 3 2 3 2 4" xfId="19757" xr:uid="{00000000-0005-0000-0000-0000798F0000}"/>
    <cellStyle name="Normal 3 4 3 2 3 2 4 2" xfId="46890" xr:uid="{00000000-0005-0000-0000-00007A8F0000}"/>
    <cellStyle name="Normal 3 4 3 2 3 2 5" xfId="33328" xr:uid="{00000000-0005-0000-0000-00007B8F0000}"/>
    <cellStyle name="Normal 3 4 3 2 3 3" xfId="6027" xr:uid="{00000000-0005-0000-0000-00007C8F0000}"/>
    <cellStyle name="Normal 3 4 3 2 3 3 2" xfId="9570" xr:uid="{00000000-0005-0000-0000-00007D8F0000}"/>
    <cellStyle name="Normal 3 4 3 2 3 3 2 2" xfId="16360" xr:uid="{00000000-0005-0000-0000-00007E8F0000}"/>
    <cellStyle name="Normal 3 4 3 2 3 3 2 2 2" xfId="29928" xr:uid="{00000000-0005-0000-0000-00007F8F0000}"/>
    <cellStyle name="Normal 3 4 3 2 3 3 2 2 2 2" xfId="57061" xr:uid="{00000000-0005-0000-0000-0000808F0000}"/>
    <cellStyle name="Normal 3 4 3 2 3 3 2 2 3" xfId="43499" xr:uid="{00000000-0005-0000-0000-0000818F0000}"/>
    <cellStyle name="Normal 3 4 3 2 3 3 2 3" xfId="23147" xr:uid="{00000000-0005-0000-0000-0000828F0000}"/>
    <cellStyle name="Normal 3 4 3 2 3 3 2 3 2" xfId="50280" xr:uid="{00000000-0005-0000-0000-0000838F0000}"/>
    <cellStyle name="Normal 3 4 3 2 3 3 2 4" xfId="36718" xr:uid="{00000000-0005-0000-0000-0000848F0000}"/>
    <cellStyle name="Normal 3 4 3 2 3 3 3" xfId="12971" xr:uid="{00000000-0005-0000-0000-0000858F0000}"/>
    <cellStyle name="Normal 3 4 3 2 3 3 3 2" xfId="26539" xr:uid="{00000000-0005-0000-0000-0000868F0000}"/>
    <cellStyle name="Normal 3 4 3 2 3 3 3 2 2" xfId="53672" xr:uid="{00000000-0005-0000-0000-0000878F0000}"/>
    <cellStyle name="Normal 3 4 3 2 3 3 3 3" xfId="40110" xr:uid="{00000000-0005-0000-0000-0000888F0000}"/>
    <cellStyle name="Normal 3 4 3 2 3 3 4" xfId="19758" xr:uid="{00000000-0005-0000-0000-0000898F0000}"/>
    <cellStyle name="Normal 3 4 3 2 3 3 4 2" xfId="46891" xr:uid="{00000000-0005-0000-0000-00008A8F0000}"/>
    <cellStyle name="Normal 3 4 3 2 3 3 5" xfId="33329" xr:uid="{00000000-0005-0000-0000-00008B8F0000}"/>
    <cellStyle name="Normal 3 4 3 2 3 4" xfId="9568" xr:uid="{00000000-0005-0000-0000-00008C8F0000}"/>
    <cellStyle name="Normal 3 4 3 2 3 4 2" xfId="16358" xr:uid="{00000000-0005-0000-0000-00008D8F0000}"/>
    <cellStyle name="Normal 3 4 3 2 3 4 2 2" xfId="29926" xr:uid="{00000000-0005-0000-0000-00008E8F0000}"/>
    <cellStyle name="Normal 3 4 3 2 3 4 2 2 2" xfId="57059" xr:uid="{00000000-0005-0000-0000-00008F8F0000}"/>
    <cellStyle name="Normal 3 4 3 2 3 4 2 3" xfId="43497" xr:uid="{00000000-0005-0000-0000-0000908F0000}"/>
    <cellStyle name="Normal 3 4 3 2 3 4 3" xfId="23145" xr:uid="{00000000-0005-0000-0000-0000918F0000}"/>
    <cellStyle name="Normal 3 4 3 2 3 4 3 2" xfId="50278" xr:uid="{00000000-0005-0000-0000-0000928F0000}"/>
    <cellStyle name="Normal 3 4 3 2 3 4 4" xfId="36716" xr:uid="{00000000-0005-0000-0000-0000938F0000}"/>
    <cellStyle name="Normal 3 4 3 2 3 5" xfId="12969" xr:uid="{00000000-0005-0000-0000-0000948F0000}"/>
    <cellStyle name="Normal 3 4 3 2 3 5 2" xfId="26537" xr:uid="{00000000-0005-0000-0000-0000958F0000}"/>
    <cellStyle name="Normal 3 4 3 2 3 5 2 2" xfId="53670" xr:uid="{00000000-0005-0000-0000-0000968F0000}"/>
    <cellStyle name="Normal 3 4 3 2 3 5 3" xfId="40108" xr:uid="{00000000-0005-0000-0000-0000978F0000}"/>
    <cellStyle name="Normal 3 4 3 2 3 6" xfId="19756" xr:uid="{00000000-0005-0000-0000-0000988F0000}"/>
    <cellStyle name="Normal 3 4 3 2 3 6 2" xfId="46889" xr:uid="{00000000-0005-0000-0000-0000998F0000}"/>
    <cellStyle name="Normal 3 4 3 2 3 7" xfId="33327" xr:uid="{00000000-0005-0000-0000-00009A8F0000}"/>
    <cellStyle name="Normal 3 4 3 2 4" xfId="6028" xr:uid="{00000000-0005-0000-0000-00009B8F0000}"/>
    <cellStyle name="Normal 3 4 3 2 4 2" xfId="6029" xr:uid="{00000000-0005-0000-0000-00009C8F0000}"/>
    <cellStyle name="Normal 3 4 3 2 4 2 2" xfId="9572" xr:uid="{00000000-0005-0000-0000-00009D8F0000}"/>
    <cellStyle name="Normal 3 4 3 2 4 2 2 2" xfId="16362" xr:uid="{00000000-0005-0000-0000-00009E8F0000}"/>
    <cellStyle name="Normal 3 4 3 2 4 2 2 2 2" xfId="29930" xr:uid="{00000000-0005-0000-0000-00009F8F0000}"/>
    <cellStyle name="Normal 3 4 3 2 4 2 2 2 2 2" xfId="57063" xr:uid="{00000000-0005-0000-0000-0000A08F0000}"/>
    <cellStyle name="Normal 3 4 3 2 4 2 2 2 3" xfId="43501" xr:uid="{00000000-0005-0000-0000-0000A18F0000}"/>
    <cellStyle name="Normal 3 4 3 2 4 2 2 3" xfId="23149" xr:uid="{00000000-0005-0000-0000-0000A28F0000}"/>
    <cellStyle name="Normal 3 4 3 2 4 2 2 3 2" xfId="50282" xr:uid="{00000000-0005-0000-0000-0000A38F0000}"/>
    <cellStyle name="Normal 3 4 3 2 4 2 2 4" xfId="36720" xr:uid="{00000000-0005-0000-0000-0000A48F0000}"/>
    <cellStyle name="Normal 3 4 3 2 4 2 3" xfId="12973" xr:uid="{00000000-0005-0000-0000-0000A58F0000}"/>
    <cellStyle name="Normal 3 4 3 2 4 2 3 2" xfId="26541" xr:uid="{00000000-0005-0000-0000-0000A68F0000}"/>
    <cellStyle name="Normal 3 4 3 2 4 2 3 2 2" xfId="53674" xr:uid="{00000000-0005-0000-0000-0000A78F0000}"/>
    <cellStyle name="Normal 3 4 3 2 4 2 3 3" xfId="40112" xr:uid="{00000000-0005-0000-0000-0000A88F0000}"/>
    <cellStyle name="Normal 3 4 3 2 4 2 4" xfId="19760" xr:uid="{00000000-0005-0000-0000-0000A98F0000}"/>
    <cellStyle name="Normal 3 4 3 2 4 2 4 2" xfId="46893" xr:uid="{00000000-0005-0000-0000-0000AA8F0000}"/>
    <cellStyle name="Normal 3 4 3 2 4 2 5" xfId="33331" xr:uid="{00000000-0005-0000-0000-0000AB8F0000}"/>
    <cellStyle name="Normal 3 4 3 2 4 3" xfId="9571" xr:uid="{00000000-0005-0000-0000-0000AC8F0000}"/>
    <cellStyle name="Normal 3 4 3 2 4 3 2" xfId="16361" xr:uid="{00000000-0005-0000-0000-0000AD8F0000}"/>
    <cellStyle name="Normal 3 4 3 2 4 3 2 2" xfId="29929" xr:uid="{00000000-0005-0000-0000-0000AE8F0000}"/>
    <cellStyle name="Normal 3 4 3 2 4 3 2 2 2" xfId="57062" xr:uid="{00000000-0005-0000-0000-0000AF8F0000}"/>
    <cellStyle name="Normal 3 4 3 2 4 3 2 3" xfId="43500" xr:uid="{00000000-0005-0000-0000-0000B08F0000}"/>
    <cellStyle name="Normal 3 4 3 2 4 3 3" xfId="23148" xr:uid="{00000000-0005-0000-0000-0000B18F0000}"/>
    <cellStyle name="Normal 3 4 3 2 4 3 3 2" xfId="50281" xr:uid="{00000000-0005-0000-0000-0000B28F0000}"/>
    <cellStyle name="Normal 3 4 3 2 4 3 4" xfId="36719" xr:uid="{00000000-0005-0000-0000-0000B38F0000}"/>
    <cellStyle name="Normal 3 4 3 2 4 4" xfId="12972" xr:uid="{00000000-0005-0000-0000-0000B48F0000}"/>
    <cellStyle name="Normal 3 4 3 2 4 4 2" xfId="26540" xr:uid="{00000000-0005-0000-0000-0000B58F0000}"/>
    <cellStyle name="Normal 3 4 3 2 4 4 2 2" xfId="53673" xr:uid="{00000000-0005-0000-0000-0000B68F0000}"/>
    <cellStyle name="Normal 3 4 3 2 4 4 3" xfId="40111" xr:uid="{00000000-0005-0000-0000-0000B78F0000}"/>
    <cellStyle name="Normal 3 4 3 2 4 5" xfId="19759" xr:uid="{00000000-0005-0000-0000-0000B88F0000}"/>
    <cellStyle name="Normal 3 4 3 2 4 5 2" xfId="46892" xr:uid="{00000000-0005-0000-0000-0000B98F0000}"/>
    <cellStyle name="Normal 3 4 3 2 4 6" xfId="33330" xr:uid="{00000000-0005-0000-0000-0000BA8F0000}"/>
    <cellStyle name="Normal 3 4 3 2 5" xfId="6030" xr:uid="{00000000-0005-0000-0000-0000BB8F0000}"/>
    <cellStyle name="Normal 3 4 3 2 5 2" xfId="9573" xr:uid="{00000000-0005-0000-0000-0000BC8F0000}"/>
    <cellStyle name="Normal 3 4 3 2 5 2 2" xfId="16363" xr:uid="{00000000-0005-0000-0000-0000BD8F0000}"/>
    <cellStyle name="Normal 3 4 3 2 5 2 2 2" xfId="29931" xr:uid="{00000000-0005-0000-0000-0000BE8F0000}"/>
    <cellStyle name="Normal 3 4 3 2 5 2 2 2 2" xfId="57064" xr:uid="{00000000-0005-0000-0000-0000BF8F0000}"/>
    <cellStyle name="Normal 3 4 3 2 5 2 2 3" xfId="43502" xr:uid="{00000000-0005-0000-0000-0000C08F0000}"/>
    <cellStyle name="Normal 3 4 3 2 5 2 3" xfId="23150" xr:uid="{00000000-0005-0000-0000-0000C18F0000}"/>
    <cellStyle name="Normal 3 4 3 2 5 2 3 2" xfId="50283" xr:uid="{00000000-0005-0000-0000-0000C28F0000}"/>
    <cellStyle name="Normal 3 4 3 2 5 2 4" xfId="36721" xr:uid="{00000000-0005-0000-0000-0000C38F0000}"/>
    <cellStyle name="Normal 3 4 3 2 5 3" xfId="12974" xr:uid="{00000000-0005-0000-0000-0000C48F0000}"/>
    <cellStyle name="Normal 3 4 3 2 5 3 2" xfId="26542" xr:uid="{00000000-0005-0000-0000-0000C58F0000}"/>
    <cellStyle name="Normal 3 4 3 2 5 3 2 2" xfId="53675" xr:uid="{00000000-0005-0000-0000-0000C68F0000}"/>
    <cellStyle name="Normal 3 4 3 2 5 3 3" xfId="40113" xr:uid="{00000000-0005-0000-0000-0000C78F0000}"/>
    <cellStyle name="Normal 3 4 3 2 5 4" xfId="19761" xr:uid="{00000000-0005-0000-0000-0000C88F0000}"/>
    <cellStyle name="Normal 3 4 3 2 5 4 2" xfId="46894" xr:uid="{00000000-0005-0000-0000-0000C98F0000}"/>
    <cellStyle name="Normal 3 4 3 2 5 5" xfId="33332" xr:uid="{00000000-0005-0000-0000-0000CA8F0000}"/>
    <cellStyle name="Normal 3 4 3 2 6" xfId="6031" xr:uid="{00000000-0005-0000-0000-0000CB8F0000}"/>
    <cellStyle name="Normal 3 4 3 2 6 2" xfId="9574" xr:uid="{00000000-0005-0000-0000-0000CC8F0000}"/>
    <cellStyle name="Normal 3 4 3 2 6 2 2" xfId="16364" xr:uid="{00000000-0005-0000-0000-0000CD8F0000}"/>
    <cellStyle name="Normal 3 4 3 2 6 2 2 2" xfId="29932" xr:uid="{00000000-0005-0000-0000-0000CE8F0000}"/>
    <cellStyle name="Normal 3 4 3 2 6 2 2 2 2" xfId="57065" xr:uid="{00000000-0005-0000-0000-0000CF8F0000}"/>
    <cellStyle name="Normal 3 4 3 2 6 2 2 3" xfId="43503" xr:uid="{00000000-0005-0000-0000-0000D08F0000}"/>
    <cellStyle name="Normal 3 4 3 2 6 2 3" xfId="23151" xr:uid="{00000000-0005-0000-0000-0000D18F0000}"/>
    <cellStyle name="Normal 3 4 3 2 6 2 3 2" xfId="50284" xr:uid="{00000000-0005-0000-0000-0000D28F0000}"/>
    <cellStyle name="Normal 3 4 3 2 6 2 4" xfId="36722" xr:uid="{00000000-0005-0000-0000-0000D38F0000}"/>
    <cellStyle name="Normal 3 4 3 2 6 3" xfId="12975" xr:uid="{00000000-0005-0000-0000-0000D48F0000}"/>
    <cellStyle name="Normal 3 4 3 2 6 3 2" xfId="26543" xr:uid="{00000000-0005-0000-0000-0000D58F0000}"/>
    <cellStyle name="Normal 3 4 3 2 6 3 2 2" xfId="53676" xr:uid="{00000000-0005-0000-0000-0000D68F0000}"/>
    <cellStyle name="Normal 3 4 3 2 6 3 3" xfId="40114" xr:uid="{00000000-0005-0000-0000-0000D78F0000}"/>
    <cellStyle name="Normal 3 4 3 2 6 4" xfId="19762" xr:uid="{00000000-0005-0000-0000-0000D88F0000}"/>
    <cellStyle name="Normal 3 4 3 2 6 4 2" xfId="46895" xr:uid="{00000000-0005-0000-0000-0000D98F0000}"/>
    <cellStyle name="Normal 3 4 3 2 6 5" xfId="33333" xr:uid="{00000000-0005-0000-0000-0000DA8F0000}"/>
    <cellStyle name="Normal 3 4 3 2 7" xfId="7525" xr:uid="{00000000-0005-0000-0000-0000DB8F0000}"/>
    <cellStyle name="Normal 3 4 3 2 7 2" xfId="14315" xr:uid="{00000000-0005-0000-0000-0000DC8F0000}"/>
    <cellStyle name="Normal 3 4 3 2 7 2 2" xfId="27883" xr:uid="{00000000-0005-0000-0000-0000DD8F0000}"/>
    <cellStyle name="Normal 3 4 3 2 7 2 2 2" xfId="55016" xr:uid="{00000000-0005-0000-0000-0000DE8F0000}"/>
    <cellStyle name="Normal 3 4 3 2 7 2 3" xfId="41454" xr:uid="{00000000-0005-0000-0000-0000DF8F0000}"/>
    <cellStyle name="Normal 3 4 3 2 7 3" xfId="21102" xr:uid="{00000000-0005-0000-0000-0000E08F0000}"/>
    <cellStyle name="Normal 3 4 3 2 7 3 2" xfId="48235" xr:uid="{00000000-0005-0000-0000-0000E18F0000}"/>
    <cellStyle name="Normal 3 4 3 2 7 4" xfId="34673" xr:uid="{00000000-0005-0000-0000-0000E28F0000}"/>
    <cellStyle name="Normal 3 4 3 2 8" xfId="10926" xr:uid="{00000000-0005-0000-0000-0000E38F0000}"/>
    <cellStyle name="Normal 3 4 3 2 8 2" xfId="24494" xr:uid="{00000000-0005-0000-0000-0000E48F0000}"/>
    <cellStyle name="Normal 3 4 3 2 8 2 2" xfId="51627" xr:uid="{00000000-0005-0000-0000-0000E58F0000}"/>
    <cellStyle name="Normal 3 4 3 2 8 3" xfId="38065" xr:uid="{00000000-0005-0000-0000-0000E68F0000}"/>
    <cellStyle name="Normal 3 4 3 2 9" xfId="17713" xr:uid="{00000000-0005-0000-0000-0000E78F0000}"/>
    <cellStyle name="Normal 3 4 3 2 9 2" xfId="44846" xr:uid="{00000000-0005-0000-0000-0000E88F0000}"/>
    <cellStyle name="Normal 3 4 3 3" xfId="6032" xr:uid="{00000000-0005-0000-0000-0000E98F0000}"/>
    <cellStyle name="Normal 3 4 3 3 2" xfId="6033" xr:uid="{00000000-0005-0000-0000-0000EA8F0000}"/>
    <cellStyle name="Normal 3 4 3 3 2 2" xfId="6034" xr:uid="{00000000-0005-0000-0000-0000EB8F0000}"/>
    <cellStyle name="Normal 3 4 3 3 2 2 2" xfId="9577" xr:uid="{00000000-0005-0000-0000-0000EC8F0000}"/>
    <cellStyle name="Normal 3 4 3 3 2 2 2 2" xfId="16367" xr:uid="{00000000-0005-0000-0000-0000ED8F0000}"/>
    <cellStyle name="Normal 3 4 3 3 2 2 2 2 2" xfId="29935" xr:uid="{00000000-0005-0000-0000-0000EE8F0000}"/>
    <cellStyle name="Normal 3 4 3 3 2 2 2 2 2 2" xfId="57068" xr:uid="{00000000-0005-0000-0000-0000EF8F0000}"/>
    <cellStyle name="Normal 3 4 3 3 2 2 2 2 3" xfId="43506" xr:uid="{00000000-0005-0000-0000-0000F08F0000}"/>
    <cellStyle name="Normal 3 4 3 3 2 2 2 3" xfId="23154" xr:uid="{00000000-0005-0000-0000-0000F18F0000}"/>
    <cellStyle name="Normal 3 4 3 3 2 2 2 3 2" xfId="50287" xr:uid="{00000000-0005-0000-0000-0000F28F0000}"/>
    <cellStyle name="Normal 3 4 3 3 2 2 2 4" xfId="36725" xr:uid="{00000000-0005-0000-0000-0000F38F0000}"/>
    <cellStyle name="Normal 3 4 3 3 2 2 3" xfId="12978" xr:uid="{00000000-0005-0000-0000-0000F48F0000}"/>
    <cellStyle name="Normal 3 4 3 3 2 2 3 2" xfId="26546" xr:uid="{00000000-0005-0000-0000-0000F58F0000}"/>
    <cellStyle name="Normal 3 4 3 3 2 2 3 2 2" xfId="53679" xr:uid="{00000000-0005-0000-0000-0000F68F0000}"/>
    <cellStyle name="Normal 3 4 3 3 2 2 3 3" xfId="40117" xr:uid="{00000000-0005-0000-0000-0000F78F0000}"/>
    <cellStyle name="Normal 3 4 3 3 2 2 4" xfId="19765" xr:uid="{00000000-0005-0000-0000-0000F88F0000}"/>
    <cellStyle name="Normal 3 4 3 3 2 2 4 2" xfId="46898" xr:uid="{00000000-0005-0000-0000-0000F98F0000}"/>
    <cellStyle name="Normal 3 4 3 3 2 2 5" xfId="33336" xr:uid="{00000000-0005-0000-0000-0000FA8F0000}"/>
    <cellStyle name="Normal 3 4 3 3 2 3" xfId="6035" xr:uid="{00000000-0005-0000-0000-0000FB8F0000}"/>
    <cellStyle name="Normal 3 4 3 3 2 3 2" xfId="9578" xr:uid="{00000000-0005-0000-0000-0000FC8F0000}"/>
    <cellStyle name="Normal 3 4 3 3 2 3 2 2" xfId="16368" xr:uid="{00000000-0005-0000-0000-0000FD8F0000}"/>
    <cellStyle name="Normal 3 4 3 3 2 3 2 2 2" xfId="29936" xr:uid="{00000000-0005-0000-0000-0000FE8F0000}"/>
    <cellStyle name="Normal 3 4 3 3 2 3 2 2 2 2" xfId="57069" xr:uid="{00000000-0005-0000-0000-0000FF8F0000}"/>
    <cellStyle name="Normal 3 4 3 3 2 3 2 2 3" xfId="43507" xr:uid="{00000000-0005-0000-0000-000000900000}"/>
    <cellStyle name="Normal 3 4 3 3 2 3 2 3" xfId="23155" xr:uid="{00000000-0005-0000-0000-000001900000}"/>
    <cellStyle name="Normal 3 4 3 3 2 3 2 3 2" xfId="50288" xr:uid="{00000000-0005-0000-0000-000002900000}"/>
    <cellStyle name="Normal 3 4 3 3 2 3 2 4" xfId="36726" xr:uid="{00000000-0005-0000-0000-000003900000}"/>
    <cellStyle name="Normal 3 4 3 3 2 3 3" xfId="12979" xr:uid="{00000000-0005-0000-0000-000004900000}"/>
    <cellStyle name="Normal 3 4 3 3 2 3 3 2" xfId="26547" xr:uid="{00000000-0005-0000-0000-000005900000}"/>
    <cellStyle name="Normal 3 4 3 3 2 3 3 2 2" xfId="53680" xr:uid="{00000000-0005-0000-0000-000006900000}"/>
    <cellStyle name="Normal 3 4 3 3 2 3 3 3" xfId="40118" xr:uid="{00000000-0005-0000-0000-000007900000}"/>
    <cellStyle name="Normal 3 4 3 3 2 3 4" xfId="19766" xr:uid="{00000000-0005-0000-0000-000008900000}"/>
    <cellStyle name="Normal 3 4 3 3 2 3 4 2" xfId="46899" xr:uid="{00000000-0005-0000-0000-000009900000}"/>
    <cellStyle name="Normal 3 4 3 3 2 3 5" xfId="33337" xr:uid="{00000000-0005-0000-0000-00000A900000}"/>
    <cellStyle name="Normal 3 4 3 3 2 4" xfId="9576" xr:uid="{00000000-0005-0000-0000-00000B900000}"/>
    <cellStyle name="Normal 3 4 3 3 2 4 2" xfId="16366" xr:uid="{00000000-0005-0000-0000-00000C900000}"/>
    <cellStyle name="Normal 3 4 3 3 2 4 2 2" xfId="29934" xr:uid="{00000000-0005-0000-0000-00000D900000}"/>
    <cellStyle name="Normal 3 4 3 3 2 4 2 2 2" xfId="57067" xr:uid="{00000000-0005-0000-0000-00000E900000}"/>
    <cellStyle name="Normal 3 4 3 3 2 4 2 3" xfId="43505" xr:uid="{00000000-0005-0000-0000-00000F900000}"/>
    <cellStyle name="Normal 3 4 3 3 2 4 3" xfId="23153" xr:uid="{00000000-0005-0000-0000-000010900000}"/>
    <cellStyle name="Normal 3 4 3 3 2 4 3 2" xfId="50286" xr:uid="{00000000-0005-0000-0000-000011900000}"/>
    <cellStyle name="Normal 3 4 3 3 2 4 4" xfId="36724" xr:uid="{00000000-0005-0000-0000-000012900000}"/>
    <cellStyle name="Normal 3 4 3 3 2 5" xfId="12977" xr:uid="{00000000-0005-0000-0000-000013900000}"/>
    <cellStyle name="Normal 3 4 3 3 2 5 2" xfId="26545" xr:uid="{00000000-0005-0000-0000-000014900000}"/>
    <cellStyle name="Normal 3 4 3 3 2 5 2 2" xfId="53678" xr:uid="{00000000-0005-0000-0000-000015900000}"/>
    <cellStyle name="Normal 3 4 3 3 2 5 3" xfId="40116" xr:uid="{00000000-0005-0000-0000-000016900000}"/>
    <cellStyle name="Normal 3 4 3 3 2 6" xfId="19764" xr:uid="{00000000-0005-0000-0000-000017900000}"/>
    <cellStyle name="Normal 3 4 3 3 2 6 2" xfId="46897" xr:uid="{00000000-0005-0000-0000-000018900000}"/>
    <cellStyle name="Normal 3 4 3 3 2 7" xfId="33335" xr:uid="{00000000-0005-0000-0000-000019900000}"/>
    <cellStyle name="Normal 3 4 3 3 3" xfId="6036" xr:uid="{00000000-0005-0000-0000-00001A900000}"/>
    <cellStyle name="Normal 3 4 3 3 3 2" xfId="6037" xr:uid="{00000000-0005-0000-0000-00001B900000}"/>
    <cellStyle name="Normal 3 4 3 3 3 2 2" xfId="9580" xr:uid="{00000000-0005-0000-0000-00001C900000}"/>
    <cellStyle name="Normal 3 4 3 3 3 2 2 2" xfId="16370" xr:uid="{00000000-0005-0000-0000-00001D900000}"/>
    <cellStyle name="Normal 3 4 3 3 3 2 2 2 2" xfId="29938" xr:uid="{00000000-0005-0000-0000-00001E900000}"/>
    <cellStyle name="Normal 3 4 3 3 3 2 2 2 2 2" xfId="57071" xr:uid="{00000000-0005-0000-0000-00001F900000}"/>
    <cellStyle name="Normal 3 4 3 3 3 2 2 2 3" xfId="43509" xr:uid="{00000000-0005-0000-0000-000020900000}"/>
    <cellStyle name="Normal 3 4 3 3 3 2 2 3" xfId="23157" xr:uid="{00000000-0005-0000-0000-000021900000}"/>
    <cellStyle name="Normal 3 4 3 3 3 2 2 3 2" xfId="50290" xr:uid="{00000000-0005-0000-0000-000022900000}"/>
    <cellStyle name="Normal 3 4 3 3 3 2 2 4" xfId="36728" xr:uid="{00000000-0005-0000-0000-000023900000}"/>
    <cellStyle name="Normal 3 4 3 3 3 2 3" xfId="12981" xr:uid="{00000000-0005-0000-0000-000024900000}"/>
    <cellStyle name="Normal 3 4 3 3 3 2 3 2" xfId="26549" xr:uid="{00000000-0005-0000-0000-000025900000}"/>
    <cellStyle name="Normal 3 4 3 3 3 2 3 2 2" xfId="53682" xr:uid="{00000000-0005-0000-0000-000026900000}"/>
    <cellStyle name="Normal 3 4 3 3 3 2 3 3" xfId="40120" xr:uid="{00000000-0005-0000-0000-000027900000}"/>
    <cellStyle name="Normal 3 4 3 3 3 2 4" xfId="19768" xr:uid="{00000000-0005-0000-0000-000028900000}"/>
    <cellStyle name="Normal 3 4 3 3 3 2 4 2" xfId="46901" xr:uid="{00000000-0005-0000-0000-000029900000}"/>
    <cellStyle name="Normal 3 4 3 3 3 2 5" xfId="33339" xr:uid="{00000000-0005-0000-0000-00002A900000}"/>
    <cellStyle name="Normal 3 4 3 3 3 3" xfId="9579" xr:uid="{00000000-0005-0000-0000-00002B900000}"/>
    <cellStyle name="Normal 3 4 3 3 3 3 2" xfId="16369" xr:uid="{00000000-0005-0000-0000-00002C900000}"/>
    <cellStyle name="Normal 3 4 3 3 3 3 2 2" xfId="29937" xr:uid="{00000000-0005-0000-0000-00002D900000}"/>
    <cellStyle name="Normal 3 4 3 3 3 3 2 2 2" xfId="57070" xr:uid="{00000000-0005-0000-0000-00002E900000}"/>
    <cellStyle name="Normal 3 4 3 3 3 3 2 3" xfId="43508" xr:uid="{00000000-0005-0000-0000-00002F900000}"/>
    <cellStyle name="Normal 3 4 3 3 3 3 3" xfId="23156" xr:uid="{00000000-0005-0000-0000-000030900000}"/>
    <cellStyle name="Normal 3 4 3 3 3 3 3 2" xfId="50289" xr:uid="{00000000-0005-0000-0000-000031900000}"/>
    <cellStyle name="Normal 3 4 3 3 3 3 4" xfId="36727" xr:uid="{00000000-0005-0000-0000-000032900000}"/>
    <cellStyle name="Normal 3 4 3 3 3 4" xfId="12980" xr:uid="{00000000-0005-0000-0000-000033900000}"/>
    <cellStyle name="Normal 3 4 3 3 3 4 2" xfId="26548" xr:uid="{00000000-0005-0000-0000-000034900000}"/>
    <cellStyle name="Normal 3 4 3 3 3 4 2 2" xfId="53681" xr:uid="{00000000-0005-0000-0000-000035900000}"/>
    <cellStyle name="Normal 3 4 3 3 3 4 3" xfId="40119" xr:uid="{00000000-0005-0000-0000-000036900000}"/>
    <cellStyle name="Normal 3 4 3 3 3 5" xfId="19767" xr:uid="{00000000-0005-0000-0000-000037900000}"/>
    <cellStyle name="Normal 3 4 3 3 3 5 2" xfId="46900" xr:uid="{00000000-0005-0000-0000-000038900000}"/>
    <cellStyle name="Normal 3 4 3 3 3 6" xfId="33338" xr:uid="{00000000-0005-0000-0000-000039900000}"/>
    <cellStyle name="Normal 3 4 3 3 4" xfId="6038" xr:uid="{00000000-0005-0000-0000-00003A900000}"/>
    <cellStyle name="Normal 3 4 3 3 4 2" xfId="9581" xr:uid="{00000000-0005-0000-0000-00003B900000}"/>
    <cellStyle name="Normal 3 4 3 3 4 2 2" xfId="16371" xr:uid="{00000000-0005-0000-0000-00003C900000}"/>
    <cellStyle name="Normal 3 4 3 3 4 2 2 2" xfId="29939" xr:uid="{00000000-0005-0000-0000-00003D900000}"/>
    <cellStyle name="Normal 3 4 3 3 4 2 2 2 2" xfId="57072" xr:uid="{00000000-0005-0000-0000-00003E900000}"/>
    <cellStyle name="Normal 3 4 3 3 4 2 2 3" xfId="43510" xr:uid="{00000000-0005-0000-0000-00003F900000}"/>
    <cellStyle name="Normal 3 4 3 3 4 2 3" xfId="23158" xr:uid="{00000000-0005-0000-0000-000040900000}"/>
    <cellStyle name="Normal 3 4 3 3 4 2 3 2" xfId="50291" xr:uid="{00000000-0005-0000-0000-000041900000}"/>
    <cellStyle name="Normal 3 4 3 3 4 2 4" xfId="36729" xr:uid="{00000000-0005-0000-0000-000042900000}"/>
    <cellStyle name="Normal 3 4 3 3 4 3" xfId="12982" xr:uid="{00000000-0005-0000-0000-000043900000}"/>
    <cellStyle name="Normal 3 4 3 3 4 3 2" xfId="26550" xr:uid="{00000000-0005-0000-0000-000044900000}"/>
    <cellStyle name="Normal 3 4 3 3 4 3 2 2" xfId="53683" xr:uid="{00000000-0005-0000-0000-000045900000}"/>
    <cellStyle name="Normal 3 4 3 3 4 3 3" xfId="40121" xr:uid="{00000000-0005-0000-0000-000046900000}"/>
    <cellStyle name="Normal 3 4 3 3 4 4" xfId="19769" xr:uid="{00000000-0005-0000-0000-000047900000}"/>
    <cellStyle name="Normal 3 4 3 3 4 4 2" xfId="46902" xr:uid="{00000000-0005-0000-0000-000048900000}"/>
    <cellStyle name="Normal 3 4 3 3 4 5" xfId="33340" xr:uid="{00000000-0005-0000-0000-000049900000}"/>
    <cellStyle name="Normal 3 4 3 3 5" xfId="6039" xr:uid="{00000000-0005-0000-0000-00004A900000}"/>
    <cellStyle name="Normal 3 4 3 3 5 2" xfId="9582" xr:uid="{00000000-0005-0000-0000-00004B900000}"/>
    <cellStyle name="Normal 3 4 3 3 5 2 2" xfId="16372" xr:uid="{00000000-0005-0000-0000-00004C900000}"/>
    <cellStyle name="Normal 3 4 3 3 5 2 2 2" xfId="29940" xr:uid="{00000000-0005-0000-0000-00004D900000}"/>
    <cellStyle name="Normal 3 4 3 3 5 2 2 2 2" xfId="57073" xr:uid="{00000000-0005-0000-0000-00004E900000}"/>
    <cellStyle name="Normal 3 4 3 3 5 2 2 3" xfId="43511" xr:uid="{00000000-0005-0000-0000-00004F900000}"/>
    <cellStyle name="Normal 3 4 3 3 5 2 3" xfId="23159" xr:uid="{00000000-0005-0000-0000-000050900000}"/>
    <cellStyle name="Normal 3 4 3 3 5 2 3 2" xfId="50292" xr:uid="{00000000-0005-0000-0000-000051900000}"/>
    <cellStyle name="Normal 3 4 3 3 5 2 4" xfId="36730" xr:uid="{00000000-0005-0000-0000-000052900000}"/>
    <cellStyle name="Normal 3 4 3 3 5 3" xfId="12983" xr:uid="{00000000-0005-0000-0000-000053900000}"/>
    <cellStyle name="Normal 3 4 3 3 5 3 2" xfId="26551" xr:uid="{00000000-0005-0000-0000-000054900000}"/>
    <cellStyle name="Normal 3 4 3 3 5 3 2 2" xfId="53684" xr:uid="{00000000-0005-0000-0000-000055900000}"/>
    <cellStyle name="Normal 3 4 3 3 5 3 3" xfId="40122" xr:uid="{00000000-0005-0000-0000-000056900000}"/>
    <cellStyle name="Normal 3 4 3 3 5 4" xfId="19770" xr:uid="{00000000-0005-0000-0000-000057900000}"/>
    <cellStyle name="Normal 3 4 3 3 5 4 2" xfId="46903" xr:uid="{00000000-0005-0000-0000-000058900000}"/>
    <cellStyle name="Normal 3 4 3 3 5 5" xfId="33341" xr:uid="{00000000-0005-0000-0000-000059900000}"/>
    <cellStyle name="Normal 3 4 3 3 6" xfId="9575" xr:uid="{00000000-0005-0000-0000-00005A900000}"/>
    <cellStyle name="Normal 3 4 3 3 6 2" xfId="16365" xr:uid="{00000000-0005-0000-0000-00005B900000}"/>
    <cellStyle name="Normal 3 4 3 3 6 2 2" xfId="29933" xr:uid="{00000000-0005-0000-0000-00005C900000}"/>
    <cellStyle name="Normal 3 4 3 3 6 2 2 2" xfId="57066" xr:uid="{00000000-0005-0000-0000-00005D900000}"/>
    <cellStyle name="Normal 3 4 3 3 6 2 3" xfId="43504" xr:uid="{00000000-0005-0000-0000-00005E900000}"/>
    <cellStyle name="Normal 3 4 3 3 6 3" xfId="23152" xr:uid="{00000000-0005-0000-0000-00005F900000}"/>
    <cellStyle name="Normal 3 4 3 3 6 3 2" xfId="50285" xr:uid="{00000000-0005-0000-0000-000060900000}"/>
    <cellStyle name="Normal 3 4 3 3 6 4" xfId="36723" xr:uid="{00000000-0005-0000-0000-000061900000}"/>
    <cellStyle name="Normal 3 4 3 3 7" xfId="12976" xr:uid="{00000000-0005-0000-0000-000062900000}"/>
    <cellStyle name="Normal 3 4 3 3 7 2" xfId="26544" xr:uid="{00000000-0005-0000-0000-000063900000}"/>
    <cellStyle name="Normal 3 4 3 3 7 2 2" xfId="53677" xr:uid="{00000000-0005-0000-0000-000064900000}"/>
    <cellStyle name="Normal 3 4 3 3 7 3" xfId="40115" xr:uid="{00000000-0005-0000-0000-000065900000}"/>
    <cellStyle name="Normal 3 4 3 3 8" xfId="19763" xr:uid="{00000000-0005-0000-0000-000066900000}"/>
    <cellStyle name="Normal 3 4 3 3 8 2" xfId="46896" xr:uid="{00000000-0005-0000-0000-000067900000}"/>
    <cellStyle name="Normal 3 4 3 3 9" xfId="33334" xr:uid="{00000000-0005-0000-0000-000068900000}"/>
    <cellStyle name="Normal 3 4 3 4" xfId="6040" xr:uid="{00000000-0005-0000-0000-000069900000}"/>
    <cellStyle name="Normal 3 4 3 4 2" xfId="6041" xr:uid="{00000000-0005-0000-0000-00006A900000}"/>
    <cellStyle name="Normal 3 4 3 4 2 2" xfId="6042" xr:uid="{00000000-0005-0000-0000-00006B900000}"/>
    <cellStyle name="Normal 3 4 3 4 2 2 2" xfId="9585" xr:uid="{00000000-0005-0000-0000-00006C900000}"/>
    <cellStyle name="Normal 3 4 3 4 2 2 2 2" xfId="16375" xr:uid="{00000000-0005-0000-0000-00006D900000}"/>
    <cellStyle name="Normal 3 4 3 4 2 2 2 2 2" xfId="29943" xr:uid="{00000000-0005-0000-0000-00006E900000}"/>
    <cellStyle name="Normal 3 4 3 4 2 2 2 2 2 2" xfId="57076" xr:uid="{00000000-0005-0000-0000-00006F900000}"/>
    <cellStyle name="Normal 3 4 3 4 2 2 2 2 3" xfId="43514" xr:uid="{00000000-0005-0000-0000-000070900000}"/>
    <cellStyle name="Normal 3 4 3 4 2 2 2 3" xfId="23162" xr:uid="{00000000-0005-0000-0000-000071900000}"/>
    <cellStyle name="Normal 3 4 3 4 2 2 2 3 2" xfId="50295" xr:uid="{00000000-0005-0000-0000-000072900000}"/>
    <cellStyle name="Normal 3 4 3 4 2 2 2 4" xfId="36733" xr:uid="{00000000-0005-0000-0000-000073900000}"/>
    <cellStyle name="Normal 3 4 3 4 2 2 3" xfId="12986" xr:uid="{00000000-0005-0000-0000-000074900000}"/>
    <cellStyle name="Normal 3 4 3 4 2 2 3 2" xfId="26554" xr:uid="{00000000-0005-0000-0000-000075900000}"/>
    <cellStyle name="Normal 3 4 3 4 2 2 3 2 2" xfId="53687" xr:uid="{00000000-0005-0000-0000-000076900000}"/>
    <cellStyle name="Normal 3 4 3 4 2 2 3 3" xfId="40125" xr:uid="{00000000-0005-0000-0000-000077900000}"/>
    <cellStyle name="Normal 3 4 3 4 2 2 4" xfId="19773" xr:uid="{00000000-0005-0000-0000-000078900000}"/>
    <cellStyle name="Normal 3 4 3 4 2 2 4 2" xfId="46906" xr:uid="{00000000-0005-0000-0000-000079900000}"/>
    <cellStyle name="Normal 3 4 3 4 2 2 5" xfId="33344" xr:uid="{00000000-0005-0000-0000-00007A900000}"/>
    <cellStyle name="Normal 3 4 3 4 2 3" xfId="6043" xr:uid="{00000000-0005-0000-0000-00007B900000}"/>
    <cellStyle name="Normal 3 4 3 4 2 3 2" xfId="9586" xr:uid="{00000000-0005-0000-0000-00007C900000}"/>
    <cellStyle name="Normal 3 4 3 4 2 3 2 2" xfId="16376" xr:uid="{00000000-0005-0000-0000-00007D900000}"/>
    <cellStyle name="Normal 3 4 3 4 2 3 2 2 2" xfId="29944" xr:uid="{00000000-0005-0000-0000-00007E900000}"/>
    <cellStyle name="Normal 3 4 3 4 2 3 2 2 2 2" xfId="57077" xr:uid="{00000000-0005-0000-0000-00007F900000}"/>
    <cellStyle name="Normal 3 4 3 4 2 3 2 2 3" xfId="43515" xr:uid="{00000000-0005-0000-0000-000080900000}"/>
    <cellStyle name="Normal 3 4 3 4 2 3 2 3" xfId="23163" xr:uid="{00000000-0005-0000-0000-000081900000}"/>
    <cellStyle name="Normal 3 4 3 4 2 3 2 3 2" xfId="50296" xr:uid="{00000000-0005-0000-0000-000082900000}"/>
    <cellStyle name="Normal 3 4 3 4 2 3 2 4" xfId="36734" xr:uid="{00000000-0005-0000-0000-000083900000}"/>
    <cellStyle name="Normal 3 4 3 4 2 3 3" xfId="12987" xr:uid="{00000000-0005-0000-0000-000084900000}"/>
    <cellStyle name="Normal 3 4 3 4 2 3 3 2" xfId="26555" xr:uid="{00000000-0005-0000-0000-000085900000}"/>
    <cellStyle name="Normal 3 4 3 4 2 3 3 2 2" xfId="53688" xr:uid="{00000000-0005-0000-0000-000086900000}"/>
    <cellStyle name="Normal 3 4 3 4 2 3 3 3" xfId="40126" xr:uid="{00000000-0005-0000-0000-000087900000}"/>
    <cellStyle name="Normal 3 4 3 4 2 3 4" xfId="19774" xr:uid="{00000000-0005-0000-0000-000088900000}"/>
    <cellStyle name="Normal 3 4 3 4 2 3 4 2" xfId="46907" xr:uid="{00000000-0005-0000-0000-000089900000}"/>
    <cellStyle name="Normal 3 4 3 4 2 3 5" xfId="33345" xr:uid="{00000000-0005-0000-0000-00008A900000}"/>
    <cellStyle name="Normal 3 4 3 4 2 4" xfId="9584" xr:uid="{00000000-0005-0000-0000-00008B900000}"/>
    <cellStyle name="Normal 3 4 3 4 2 4 2" xfId="16374" xr:uid="{00000000-0005-0000-0000-00008C900000}"/>
    <cellStyle name="Normal 3 4 3 4 2 4 2 2" xfId="29942" xr:uid="{00000000-0005-0000-0000-00008D900000}"/>
    <cellStyle name="Normal 3 4 3 4 2 4 2 2 2" xfId="57075" xr:uid="{00000000-0005-0000-0000-00008E900000}"/>
    <cellStyle name="Normal 3 4 3 4 2 4 2 3" xfId="43513" xr:uid="{00000000-0005-0000-0000-00008F900000}"/>
    <cellStyle name="Normal 3 4 3 4 2 4 3" xfId="23161" xr:uid="{00000000-0005-0000-0000-000090900000}"/>
    <cellStyle name="Normal 3 4 3 4 2 4 3 2" xfId="50294" xr:uid="{00000000-0005-0000-0000-000091900000}"/>
    <cellStyle name="Normal 3 4 3 4 2 4 4" xfId="36732" xr:uid="{00000000-0005-0000-0000-000092900000}"/>
    <cellStyle name="Normal 3 4 3 4 2 5" xfId="12985" xr:uid="{00000000-0005-0000-0000-000093900000}"/>
    <cellStyle name="Normal 3 4 3 4 2 5 2" xfId="26553" xr:uid="{00000000-0005-0000-0000-000094900000}"/>
    <cellStyle name="Normal 3 4 3 4 2 5 2 2" xfId="53686" xr:uid="{00000000-0005-0000-0000-000095900000}"/>
    <cellStyle name="Normal 3 4 3 4 2 5 3" xfId="40124" xr:uid="{00000000-0005-0000-0000-000096900000}"/>
    <cellStyle name="Normal 3 4 3 4 2 6" xfId="19772" xr:uid="{00000000-0005-0000-0000-000097900000}"/>
    <cellStyle name="Normal 3 4 3 4 2 6 2" xfId="46905" xr:uid="{00000000-0005-0000-0000-000098900000}"/>
    <cellStyle name="Normal 3 4 3 4 2 7" xfId="33343" xr:uid="{00000000-0005-0000-0000-000099900000}"/>
    <cellStyle name="Normal 3 4 3 4 3" xfId="6044" xr:uid="{00000000-0005-0000-0000-00009A900000}"/>
    <cellStyle name="Normal 3 4 3 4 3 2" xfId="9587" xr:uid="{00000000-0005-0000-0000-00009B900000}"/>
    <cellStyle name="Normal 3 4 3 4 3 2 2" xfId="16377" xr:uid="{00000000-0005-0000-0000-00009C900000}"/>
    <cellStyle name="Normal 3 4 3 4 3 2 2 2" xfId="29945" xr:uid="{00000000-0005-0000-0000-00009D900000}"/>
    <cellStyle name="Normal 3 4 3 4 3 2 2 2 2" xfId="57078" xr:uid="{00000000-0005-0000-0000-00009E900000}"/>
    <cellStyle name="Normal 3 4 3 4 3 2 2 3" xfId="43516" xr:uid="{00000000-0005-0000-0000-00009F900000}"/>
    <cellStyle name="Normal 3 4 3 4 3 2 3" xfId="23164" xr:uid="{00000000-0005-0000-0000-0000A0900000}"/>
    <cellStyle name="Normal 3 4 3 4 3 2 3 2" xfId="50297" xr:uid="{00000000-0005-0000-0000-0000A1900000}"/>
    <cellStyle name="Normal 3 4 3 4 3 2 4" xfId="36735" xr:uid="{00000000-0005-0000-0000-0000A2900000}"/>
    <cellStyle name="Normal 3 4 3 4 3 3" xfId="12988" xr:uid="{00000000-0005-0000-0000-0000A3900000}"/>
    <cellStyle name="Normal 3 4 3 4 3 3 2" xfId="26556" xr:uid="{00000000-0005-0000-0000-0000A4900000}"/>
    <cellStyle name="Normal 3 4 3 4 3 3 2 2" xfId="53689" xr:uid="{00000000-0005-0000-0000-0000A5900000}"/>
    <cellStyle name="Normal 3 4 3 4 3 3 3" xfId="40127" xr:uid="{00000000-0005-0000-0000-0000A6900000}"/>
    <cellStyle name="Normal 3 4 3 4 3 4" xfId="19775" xr:uid="{00000000-0005-0000-0000-0000A7900000}"/>
    <cellStyle name="Normal 3 4 3 4 3 4 2" xfId="46908" xr:uid="{00000000-0005-0000-0000-0000A8900000}"/>
    <cellStyle name="Normal 3 4 3 4 3 5" xfId="33346" xr:uid="{00000000-0005-0000-0000-0000A9900000}"/>
    <cellStyle name="Normal 3 4 3 4 4" xfId="6045" xr:uid="{00000000-0005-0000-0000-0000AA900000}"/>
    <cellStyle name="Normal 3 4 3 4 4 2" xfId="9588" xr:uid="{00000000-0005-0000-0000-0000AB900000}"/>
    <cellStyle name="Normal 3 4 3 4 4 2 2" xfId="16378" xr:uid="{00000000-0005-0000-0000-0000AC900000}"/>
    <cellStyle name="Normal 3 4 3 4 4 2 2 2" xfId="29946" xr:uid="{00000000-0005-0000-0000-0000AD900000}"/>
    <cellStyle name="Normal 3 4 3 4 4 2 2 2 2" xfId="57079" xr:uid="{00000000-0005-0000-0000-0000AE900000}"/>
    <cellStyle name="Normal 3 4 3 4 4 2 2 3" xfId="43517" xr:uid="{00000000-0005-0000-0000-0000AF900000}"/>
    <cellStyle name="Normal 3 4 3 4 4 2 3" xfId="23165" xr:uid="{00000000-0005-0000-0000-0000B0900000}"/>
    <cellStyle name="Normal 3 4 3 4 4 2 3 2" xfId="50298" xr:uid="{00000000-0005-0000-0000-0000B1900000}"/>
    <cellStyle name="Normal 3 4 3 4 4 2 4" xfId="36736" xr:uid="{00000000-0005-0000-0000-0000B2900000}"/>
    <cellStyle name="Normal 3 4 3 4 4 3" xfId="12989" xr:uid="{00000000-0005-0000-0000-0000B3900000}"/>
    <cellStyle name="Normal 3 4 3 4 4 3 2" xfId="26557" xr:uid="{00000000-0005-0000-0000-0000B4900000}"/>
    <cellStyle name="Normal 3 4 3 4 4 3 2 2" xfId="53690" xr:uid="{00000000-0005-0000-0000-0000B5900000}"/>
    <cellStyle name="Normal 3 4 3 4 4 3 3" xfId="40128" xr:uid="{00000000-0005-0000-0000-0000B6900000}"/>
    <cellStyle name="Normal 3 4 3 4 4 4" xfId="19776" xr:uid="{00000000-0005-0000-0000-0000B7900000}"/>
    <cellStyle name="Normal 3 4 3 4 4 4 2" xfId="46909" xr:uid="{00000000-0005-0000-0000-0000B8900000}"/>
    <cellStyle name="Normal 3 4 3 4 4 5" xfId="33347" xr:uid="{00000000-0005-0000-0000-0000B9900000}"/>
    <cellStyle name="Normal 3 4 3 4 5" xfId="9583" xr:uid="{00000000-0005-0000-0000-0000BA900000}"/>
    <cellStyle name="Normal 3 4 3 4 5 2" xfId="16373" xr:uid="{00000000-0005-0000-0000-0000BB900000}"/>
    <cellStyle name="Normal 3 4 3 4 5 2 2" xfId="29941" xr:uid="{00000000-0005-0000-0000-0000BC900000}"/>
    <cellStyle name="Normal 3 4 3 4 5 2 2 2" xfId="57074" xr:uid="{00000000-0005-0000-0000-0000BD900000}"/>
    <cellStyle name="Normal 3 4 3 4 5 2 3" xfId="43512" xr:uid="{00000000-0005-0000-0000-0000BE900000}"/>
    <cellStyle name="Normal 3 4 3 4 5 3" xfId="23160" xr:uid="{00000000-0005-0000-0000-0000BF900000}"/>
    <cellStyle name="Normal 3 4 3 4 5 3 2" xfId="50293" xr:uid="{00000000-0005-0000-0000-0000C0900000}"/>
    <cellStyle name="Normal 3 4 3 4 5 4" xfId="36731" xr:uid="{00000000-0005-0000-0000-0000C1900000}"/>
    <cellStyle name="Normal 3 4 3 4 6" xfId="12984" xr:uid="{00000000-0005-0000-0000-0000C2900000}"/>
    <cellStyle name="Normal 3 4 3 4 6 2" xfId="26552" xr:uid="{00000000-0005-0000-0000-0000C3900000}"/>
    <cellStyle name="Normal 3 4 3 4 6 2 2" xfId="53685" xr:uid="{00000000-0005-0000-0000-0000C4900000}"/>
    <cellStyle name="Normal 3 4 3 4 6 3" xfId="40123" xr:uid="{00000000-0005-0000-0000-0000C5900000}"/>
    <cellStyle name="Normal 3 4 3 4 7" xfId="19771" xr:uid="{00000000-0005-0000-0000-0000C6900000}"/>
    <cellStyle name="Normal 3 4 3 4 7 2" xfId="46904" xr:uid="{00000000-0005-0000-0000-0000C7900000}"/>
    <cellStyle name="Normal 3 4 3 4 8" xfId="33342" xr:uid="{00000000-0005-0000-0000-0000C8900000}"/>
    <cellStyle name="Normal 3 4 3 5" xfId="6046" xr:uid="{00000000-0005-0000-0000-0000C9900000}"/>
    <cellStyle name="Normal 3 4 3 5 2" xfId="6047" xr:uid="{00000000-0005-0000-0000-0000CA900000}"/>
    <cellStyle name="Normal 3 4 3 5 2 2" xfId="9590" xr:uid="{00000000-0005-0000-0000-0000CB900000}"/>
    <cellStyle name="Normal 3 4 3 5 2 2 2" xfId="16380" xr:uid="{00000000-0005-0000-0000-0000CC900000}"/>
    <cellStyle name="Normal 3 4 3 5 2 2 2 2" xfId="29948" xr:uid="{00000000-0005-0000-0000-0000CD900000}"/>
    <cellStyle name="Normal 3 4 3 5 2 2 2 2 2" xfId="57081" xr:uid="{00000000-0005-0000-0000-0000CE900000}"/>
    <cellStyle name="Normal 3 4 3 5 2 2 2 3" xfId="43519" xr:uid="{00000000-0005-0000-0000-0000CF900000}"/>
    <cellStyle name="Normal 3 4 3 5 2 2 3" xfId="23167" xr:uid="{00000000-0005-0000-0000-0000D0900000}"/>
    <cellStyle name="Normal 3 4 3 5 2 2 3 2" xfId="50300" xr:uid="{00000000-0005-0000-0000-0000D1900000}"/>
    <cellStyle name="Normal 3 4 3 5 2 2 4" xfId="36738" xr:uid="{00000000-0005-0000-0000-0000D2900000}"/>
    <cellStyle name="Normal 3 4 3 5 2 3" xfId="12991" xr:uid="{00000000-0005-0000-0000-0000D3900000}"/>
    <cellStyle name="Normal 3 4 3 5 2 3 2" xfId="26559" xr:uid="{00000000-0005-0000-0000-0000D4900000}"/>
    <cellStyle name="Normal 3 4 3 5 2 3 2 2" xfId="53692" xr:uid="{00000000-0005-0000-0000-0000D5900000}"/>
    <cellStyle name="Normal 3 4 3 5 2 3 3" xfId="40130" xr:uid="{00000000-0005-0000-0000-0000D6900000}"/>
    <cellStyle name="Normal 3 4 3 5 2 4" xfId="19778" xr:uid="{00000000-0005-0000-0000-0000D7900000}"/>
    <cellStyle name="Normal 3 4 3 5 2 4 2" xfId="46911" xr:uid="{00000000-0005-0000-0000-0000D8900000}"/>
    <cellStyle name="Normal 3 4 3 5 2 5" xfId="33349" xr:uid="{00000000-0005-0000-0000-0000D9900000}"/>
    <cellStyle name="Normal 3 4 3 5 3" xfId="6048" xr:uid="{00000000-0005-0000-0000-0000DA900000}"/>
    <cellStyle name="Normal 3 4 3 5 3 2" xfId="9591" xr:uid="{00000000-0005-0000-0000-0000DB900000}"/>
    <cellStyle name="Normal 3 4 3 5 3 2 2" xfId="16381" xr:uid="{00000000-0005-0000-0000-0000DC900000}"/>
    <cellStyle name="Normal 3 4 3 5 3 2 2 2" xfId="29949" xr:uid="{00000000-0005-0000-0000-0000DD900000}"/>
    <cellStyle name="Normal 3 4 3 5 3 2 2 2 2" xfId="57082" xr:uid="{00000000-0005-0000-0000-0000DE900000}"/>
    <cellStyle name="Normal 3 4 3 5 3 2 2 3" xfId="43520" xr:uid="{00000000-0005-0000-0000-0000DF900000}"/>
    <cellStyle name="Normal 3 4 3 5 3 2 3" xfId="23168" xr:uid="{00000000-0005-0000-0000-0000E0900000}"/>
    <cellStyle name="Normal 3 4 3 5 3 2 3 2" xfId="50301" xr:uid="{00000000-0005-0000-0000-0000E1900000}"/>
    <cellStyle name="Normal 3 4 3 5 3 2 4" xfId="36739" xr:uid="{00000000-0005-0000-0000-0000E2900000}"/>
    <cellStyle name="Normal 3 4 3 5 3 3" xfId="12992" xr:uid="{00000000-0005-0000-0000-0000E3900000}"/>
    <cellStyle name="Normal 3 4 3 5 3 3 2" xfId="26560" xr:uid="{00000000-0005-0000-0000-0000E4900000}"/>
    <cellStyle name="Normal 3 4 3 5 3 3 2 2" xfId="53693" xr:uid="{00000000-0005-0000-0000-0000E5900000}"/>
    <cellStyle name="Normal 3 4 3 5 3 3 3" xfId="40131" xr:uid="{00000000-0005-0000-0000-0000E6900000}"/>
    <cellStyle name="Normal 3 4 3 5 3 4" xfId="19779" xr:uid="{00000000-0005-0000-0000-0000E7900000}"/>
    <cellStyle name="Normal 3 4 3 5 3 4 2" xfId="46912" xr:uid="{00000000-0005-0000-0000-0000E8900000}"/>
    <cellStyle name="Normal 3 4 3 5 3 5" xfId="33350" xr:uid="{00000000-0005-0000-0000-0000E9900000}"/>
    <cellStyle name="Normal 3 4 3 5 4" xfId="9589" xr:uid="{00000000-0005-0000-0000-0000EA900000}"/>
    <cellStyle name="Normal 3 4 3 5 4 2" xfId="16379" xr:uid="{00000000-0005-0000-0000-0000EB900000}"/>
    <cellStyle name="Normal 3 4 3 5 4 2 2" xfId="29947" xr:uid="{00000000-0005-0000-0000-0000EC900000}"/>
    <cellStyle name="Normal 3 4 3 5 4 2 2 2" xfId="57080" xr:uid="{00000000-0005-0000-0000-0000ED900000}"/>
    <cellStyle name="Normal 3 4 3 5 4 2 3" xfId="43518" xr:uid="{00000000-0005-0000-0000-0000EE900000}"/>
    <cellStyle name="Normal 3 4 3 5 4 3" xfId="23166" xr:uid="{00000000-0005-0000-0000-0000EF900000}"/>
    <cellStyle name="Normal 3 4 3 5 4 3 2" xfId="50299" xr:uid="{00000000-0005-0000-0000-0000F0900000}"/>
    <cellStyle name="Normal 3 4 3 5 4 4" xfId="36737" xr:uid="{00000000-0005-0000-0000-0000F1900000}"/>
    <cellStyle name="Normal 3 4 3 5 5" xfId="12990" xr:uid="{00000000-0005-0000-0000-0000F2900000}"/>
    <cellStyle name="Normal 3 4 3 5 5 2" xfId="26558" xr:uid="{00000000-0005-0000-0000-0000F3900000}"/>
    <cellStyle name="Normal 3 4 3 5 5 2 2" xfId="53691" xr:uid="{00000000-0005-0000-0000-0000F4900000}"/>
    <cellStyle name="Normal 3 4 3 5 5 3" xfId="40129" xr:uid="{00000000-0005-0000-0000-0000F5900000}"/>
    <cellStyle name="Normal 3 4 3 5 6" xfId="19777" xr:uid="{00000000-0005-0000-0000-0000F6900000}"/>
    <cellStyle name="Normal 3 4 3 5 6 2" xfId="46910" xr:uid="{00000000-0005-0000-0000-0000F7900000}"/>
    <cellStyle name="Normal 3 4 3 5 7" xfId="33348" xr:uid="{00000000-0005-0000-0000-0000F8900000}"/>
    <cellStyle name="Normal 3 4 3 6" xfId="6049" xr:uid="{00000000-0005-0000-0000-0000F9900000}"/>
    <cellStyle name="Normal 3 4 3 6 2" xfId="6050" xr:uid="{00000000-0005-0000-0000-0000FA900000}"/>
    <cellStyle name="Normal 3 4 3 6 2 2" xfId="9593" xr:uid="{00000000-0005-0000-0000-0000FB900000}"/>
    <cellStyle name="Normal 3 4 3 6 2 2 2" xfId="16383" xr:uid="{00000000-0005-0000-0000-0000FC900000}"/>
    <cellStyle name="Normal 3 4 3 6 2 2 2 2" xfId="29951" xr:uid="{00000000-0005-0000-0000-0000FD900000}"/>
    <cellStyle name="Normal 3 4 3 6 2 2 2 2 2" xfId="57084" xr:uid="{00000000-0005-0000-0000-0000FE900000}"/>
    <cellStyle name="Normal 3 4 3 6 2 2 2 3" xfId="43522" xr:uid="{00000000-0005-0000-0000-0000FF900000}"/>
    <cellStyle name="Normal 3 4 3 6 2 2 3" xfId="23170" xr:uid="{00000000-0005-0000-0000-000000910000}"/>
    <cellStyle name="Normal 3 4 3 6 2 2 3 2" xfId="50303" xr:uid="{00000000-0005-0000-0000-000001910000}"/>
    <cellStyle name="Normal 3 4 3 6 2 2 4" xfId="36741" xr:uid="{00000000-0005-0000-0000-000002910000}"/>
    <cellStyle name="Normal 3 4 3 6 2 3" xfId="12994" xr:uid="{00000000-0005-0000-0000-000003910000}"/>
    <cellStyle name="Normal 3 4 3 6 2 3 2" xfId="26562" xr:uid="{00000000-0005-0000-0000-000004910000}"/>
    <cellStyle name="Normal 3 4 3 6 2 3 2 2" xfId="53695" xr:uid="{00000000-0005-0000-0000-000005910000}"/>
    <cellStyle name="Normal 3 4 3 6 2 3 3" xfId="40133" xr:uid="{00000000-0005-0000-0000-000006910000}"/>
    <cellStyle name="Normal 3 4 3 6 2 4" xfId="19781" xr:uid="{00000000-0005-0000-0000-000007910000}"/>
    <cellStyle name="Normal 3 4 3 6 2 4 2" xfId="46914" xr:uid="{00000000-0005-0000-0000-000008910000}"/>
    <cellStyle name="Normal 3 4 3 6 2 5" xfId="33352" xr:uid="{00000000-0005-0000-0000-000009910000}"/>
    <cellStyle name="Normal 3 4 3 6 3" xfId="9592" xr:uid="{00000000-0005-0000-0000-00000A910000}"/>
    <cellStyle name="Normal 3 4 3 6 3 2" xfId="16382" xr:uid="{00000000-0005-0000-0000-00000B910000}"/>
    <cellStyle name="Normal 3 4 3 6 3 2 2" xfId="29950" xr:uid="{00000000-0005-0000-0000-00000C910000}"/>
    <cellStyle name="Normal 3 4 3 6 3 2 2 2" xfId="57083" xr:uid="{00000000-0005-0000-0000-00000D910000}"/>
    <cellStyle name="Normal 3 4 3 6 3 2 3" xfId="43521" xr:uid="{00000000-0005-0000-0000-00000E910000}"/>
    <cellStyle name="Normal 3 4 3 6 3 3" xfId="23169" xr:uid="{00000000-0005-0000-0000-00000F910000}"/>
    <cellStyle name="Normal 3 4 3 6 3 3 2" xfId="50302" xr:uid="{00000000-0005-0000-0000-000010910000}"/>
    <cellStyle name="Normal 3 4 3 6 3 4" xfId="36740" xr:uid="{00000000-0005-0000-0000-000011910000}"/>
    <cellStyle name="Normal 3 4 3 6 4" xfId="12993" xr:uid="{00000000-0005-0000-0000-000012910000}"/>
    <cellStyle name="Normal 3 4 3 6 4 2" xfId="26561" xr:uid="{00000000-0005-0000-0000-000013910000}"/>
    <cellStyle name="Normal 3 4 3 6 4 2 2" xfId="53694" xr:uid="{00000000-0005-0000-0000-000014910000}"/>
    <cellStyle name="Normal 3 4 3 6 4 3" xfId="40132" xr:uid="{00000000-0005-0000-0000-000015910000}"/>
    <cellStyle name="Normal 3 4 3 6 5" xfId="19780" xr:uid="{00000000-0005-0000-0000-000016910000}"/>
    <cellStyle name="Normal 3 4 3 6 5 2" xfId="46913" xr:uid="{00000000-0005-0000-0000-000017910000}"/>
    <cellStyle name="Normal 3 4 3 6 6" xfId="33351" xr:uid="{00000000-0005-0000-0000-000018910000}"/>
    <cellStyle name="Normal 3 4 3 7" xfId="6051" xr:uid="{00000000-0005-0000-0000-000019910000}"/>
    <cellStyle name="Normal 3 4 3 7 2" xfId="9594" xr:uid="{00000000-0005-0000-0000-00001A910000}"/>
    <cellStyle name="Normal 3 4 3 7 2 2" xfId="16384" xr:uid="{00000000-0005-0000-0000-00001B910000}"/>
    <cellStyle name="Normal 3 4 3 7 2 2 2" xfId="29952" xr:uid="{00000000-0005-0000-0000-00001C910000}"/>
    <cellStyle name="Normal 3 4 3 7 2 2 2 2" xfId="57085" xr:uid="{00000000-0005-0000-0000-00001D910000}"/>
    <cellStyle name="Normal 3 4 3 7 2 2 3" xfId="43523" xr:uid="{00000000-0005-0000-0000-00001E910000}"/>
    <cellStyle name="Normal 3 4 3 7 2 3" xfId="23171" xr:uid="{00000000-0005-0000-0000-00001F910000}"/>
    <cellStyle name="Normal 3 4 3 7 2 3 2" xfId="50304" xr:uid="{00000000-0005-0000-0000-000020910000}"/>
    <cellStyle name="Normal 3 4 3 7 2 4" xfId="36742" xr:uid="{00000000-0005-0000-0000-000021910000}"/>
    <cellStyle name="Normal 3 4 3 7 3" xfId="12995" xr:uid="{00000000-0005-0000-0000-000022910000}"/>
    <cellStyle name="Normal 3 4 3 7 3 2" xfId="26563" xr:uid="{00000000-0005-0000-0000-000023910000}"/>
    <cellStyle name="Normal 3 4 3 7 3 2 2" xfId="53696" xr:uid="{00000000-0005-0000-0000-000024910000}"/>
    <cellStyle name="Normal 3 4 3 7 3 3" xfId="40134" xr:uid="{00000000-0005-0000-0000-000025910000}"/>
    <cellStyle name="Normal 3 4 3 7 4" xfId="19782" xr:uid="{00000000-0005-0000-0000-000026910000}"/>
    <cellStyle name="Normal 3 4 3 7 4 2" xfId="46915" xr:uid="{00000000-0005-0000-0000-000027910000}"/>
    <cellStyle name="Normal 3 4 3 7 5" xfId="33353" xr:uid="{00000000-0005-0000-0000-000028910000}"/>
    <cellStyle name="Normal 3 4 3 8" xfId="6052" xr:uid="{00000000-0005-0000-0000-000029910000}"/>
    <cellStyle name="Normal 3 4 3 8 2" xfId="9595" xr:uid="{00000000-0005-0000-0000-00002A910000}"/>
    <cellStyle name="Normal 3 4 3 8 2 2" xfId="16385" xr:uid="{00000000-0005-0000-0000-00002B910000}"/>
    <cellStyle name="Normal 3 4 3 8 2 2 2" xfId="29953" xr:uid="{00000000-0005-0000-0000-00002C910000}"/>
    <cellStyle name="Normal 3 4 3 8 2 2 2 2" xfId="57086" xr:uid="{00000000-0005-0000-0000-00002D910000}"/>
    <cellStyle name="Normal 3 4 3 8 2 2 3" xfId="43524" xr:uid="{00000000-0005-0000-0000-00002E910000}"/>
    <cellStyle name="Normal 3 4 3 8 2 3" xfId="23172" xr:uid="{00000000-0005-0000-0000-00002F910000}"/>
    <cellStyle name="Normal 3 4 3 8 2 3 2" xfId="50305" xr:uid="{00000000-0005-0000-0000-000030910000}"/>
    <cellStyle name="Normal 3 4 3 8 2 4" xfId="36743" xr:uid="{00000000-0005-0000-0000-000031910000}"/>
    <cellStyle name="Normal 3 4 3 8 3" xfId="12996" xr:uid="{00000000-0005-0000-0000-000032910000}"/>
    <cellStyle name="Normal 3 4 3 8 3 2" xfId="26564" xr:uid="{00000000-0005-0000-0000-000033910000}"/>
    <cellStyle name="Normal 3 4 3 8 3 2 2" xfId="53697" xr:uid="{00000000-0005-0000-0000-000034910000}"/>
    <cellStyle name="Normal 3 4 3 8 3 3" xfId="40135" xr:uid="{00000000-0005-0000-0000-000035910000}"/>
    <cellStyle name="Normal 3 4 3 8 4" xfId="19783" xr:uid="{00000000-0005-0000-0000-000036910000}"/>
    <cellStyle name="Normal 3 4 3 8 4 2" xfId="46916" xr:uid="{00000000-0005-0000-0000-000037910000}"/>
    <cellStyle name="Normal 3 4 3 8 5" xfId="33354" xr:uid="{00000000-0005-0000-0000-000038910000}"/>
    <cellStyle name="Normal 3 4 3 9" xfId="7524" xr:uid="{00000000-0005-0000-0000-000039910000}"/>
    <cellStyle name="Normal 3 4 3 9 2" xfId="14314" xr:uid="{00000000-0005-0000-0000-00003A910000}"/>
    <cellStyle name="Normal 3 4 3 9 2 2" xfId="27882" xr:uid="{00000000-0005-0000-0000-00003B910000}"/>
    <cellStyle name="Normal 3 4 3 9 2 2 2" xfId="55015" xr:uid="{00000000-0005-0000-0000-00003C910000}"/>
    <cellStyle name="Normal 3 4 3 9 2 3" xfId="41453" xr:uid="{00000000-0005-0000-0000-00003D910000}"/>
    <cellStyle name="Normal 3 4 3 9 3" xfId="21101" xr:uid="{00000000-0005-0000-0000-00003E910000}"/>
    <cellStyle name="Normal 3 4 3 9 3 2" xfId="48234" xr:uid="{00000000-0005-0000-0000-00003F910000}"/>
    <cellStyle name="Normal 3 4 3 9 4" xfId="34672" xr:uid="{00000000-0005-0000-0000-000040910000}"/>
    <cellStyle name="Normal 3 4 4" xfId="2713" xr:uid="{00000000-0005-0000-0000-000041910000}"/>
    <cellStyle name="Normal 3 4 4 10" xfId="31285" xr:uid="{00000000-0005-0000-0000-000042910000}"/>
    <cellStyle name="Normal 3 4 4 2" xfId="2714" xr:uid="{00000000-0005-0000-0000-000043910000}"/>
    <cellStyle name="Normal 3 4 4 2 2" xfId="6053" xr:uid="{00000000-0005-0000-0000-000044910000}"/>
    <cellStyle name="Normal 3 4 4 2 2 2" xfId="6054" xr:uid="{00000000-0005-0000-0000-000045910000}"/>
    <cellStyle name="Normal 3 4 4 2 2 2 2" xfId="9597" xr:uid="{00000000-0005-0000-0000-000046910000}"/>
    <cellStyle name="Normal 3 4 4 2 2 2 2 2" xfId="16387" xr:uid="{00000000-0005-0000-0000-000047910000}"/>
    <cellStyle name="Normal 3 4 4 2 2 2 2 2 2" xfId="29955" xr:uid="{00000000-0005-0000-0000-000048910000}"/>
    <cellStyle name="Normal 3 4 4 2 2 2 2 2 2 2" xfId="57088" xr:uid="{00000000-0005-0000-0000-000049910000}"/>
    <cellStyle name="Normal 3 4 4 2 2 2 2 2 3" xfId="43526" xr:uid="{00000000-0005-0000-0000-00004A910000}"/>
    <cellStyle name="Normal 3 4 4 2 2 2 2 3" xfId="23174" xr:uid="{00000000-0005-0000-0000-00004B910000}"/>
    <cellStyle name="Normal 3 4 4 2 2 2 2 3 2" xfId="50307" xr:uid="{00000000-0005-0000-0000-00004C910000}"/>
    <cellStyle name="Normal 3 4 4 2 2 2 2 4" xfId="36745" xr:uid="{00000000-0005-0000-0000-00004D910000}"/>
    <cellStyle name="Normal 3 4 4 2 2 2 3" xfId="12998" xr:uid="{00000000-0005-0000-0000-00004E910000}"/>
    <cellStyle name="Normal 3 4 4 2 2 2 3 2" xfId="26566" xr:uid="{00000000-0005-0000-0000-00004F910000}"/>
    <cellStyle name="Normal 3 4 4 2 2 2 3 2 2" xfId="53699" xr:uid="{00000000-0005-0000-0000-000050910000}"/>
    <cellStyle name="Normal 3 4 4 2 2 2 3 3" xfId="40137" xr:uid="{00000000-0005-0000-0000-000051910000}"/>
    <cellStyle name="Normal 3 4 4 2 2 2 4" xfId="19785" xr:uid="{00000000-0005-0000-0000-000052910000}"/>
    <cellStyle name="Normal 3 4 4 2 2 2 4 2" xfId="46918" xr:uid="{00000000-0005-0000-0000-000053910000}"/>
    <cellStyle name="Normal 3 4 4 2 2 2 5" xfId="33356" xr:uid="{00000000-0005-0000-0000-000054910000}"/>
    <cellStyle name="Normal 3 4 4 2 2 3" xfId="6055" xr:uid="{00000000-0005-0000-0000-000055910000}"/>
    <cellStyle name="Normal 3 4 4 2 2 3 2" xfId="9598" xr:uid="{00000000-0005-0000-0000-000056910000}"/>
    <cellStyle name="Normal 3 4 4 2 2 3 2 2" xfId="16388" xr:uid="{00000000-0005-0000-0000-000057910000}"/>
    <cellStyle name="Normal 3 4 4 2 2 3 2 2 2" xfId="29956" xr:uid="{00000000-0005-0000-0000-000058910000}"/>
    <cellStyle name="Normal 3 4 4 2 2 3 2 2 2 2" xfId="57089" xr:uid="{00000000-0005-0000-0000-000059910000}"/>
    <cellStyle name="Normal 3 4 4 2 2 3 2 2 3" xfId="43527" xr:uid="{00000000-0005-0000-0000-00005A910000}"/>
    <cellStyle name="Normal 3 4 4 2 2 3 2 3" xfId="23175" xr:uid="{00000000-0005-0000-0000-00005B910000}"/>
    <cellStyle name="Normal 3 4 4 2 2 3 2 3 2" xfId="50308" xr:uid="{00000000-0005-0000-0000-00005C910000}"/>
    <cellStyle name="Normal 3 4 4 2 2 3 2 4" xfId="36746" xr:uid="{00000000-0005-0000-0000-00005D910000}"/>
    <cellStyle name="Normal 3 4 4 2 2 3 3" xfId="12999" xr:uid="{00000000-0005-0000-0000-00005E910000}"/>
    <cellStyle name="Normal 3 4 4 2 2 3 3 2" xfId="26567" xr:uid="{00000000-0005-0000-0000-00005F910000}"/>
    <cellStyle name="Normal 3 4 4 2 2 3 3 2 2" xfId="53700" xr:uid="{00000000-0005-0000-0000-000060910000}"/>
    <cellStyle name="Normal 3 4 4 2 2 3 3 3" xfId="40138" xr:uid="{00000000-0005-0000-0000-000061910000}"/>
    <cellStyle name="Normal 3 4 4 2 2 3 4" xfId="19786" xr:uid="{00000000-0005-0000-0000-000062910000}"/>
    <cellStyle name="Normal 3 4 4 2 2 3 4 2" xfId="46919" xr:uid="{00000000-0005-0000-0000-000063910000}"/>
    <cellStyle name="Normal 3 4 4 2 2 3 5" xfId="33357" xr:uid="{00000000-0005-0000-0000-000064910000}"/>
    <cellStyle name="Normal 3 4 4 2 2 4" xfId="9596" xr:uid="{00000000-0005-0000-0000-000065910000}"/>
    <cellStyle name="Normal 3 4 4 2 2 4 2" xfId="16386" xr:uid="{00000000-0005-0000-0000-000066910000}"/>
    <cellStyle name="Normal 3 4 4 2 2 4 2 2" xfId="29954" xr:uid="{00000000-0005-0000-0000-000067910000}"/>
    <cellStyle name="Normal 3 4 4 2 2 4 2 2 2" xfId="57087" xr:uid="{00000000-0005-0000-0000-000068910000}"/>
    <cellStyle name="Normal 3 4 4 2 2 4 2 3" xfId="43525" xr:uid="{00000000-0005-0000-0000-000069910000}"/>
    <cellStyle name="Normal 3 4 4 2 2 4 3" xfId="23173" xr:uid="{00000000-0005-0000-0000-00006A910000}"/>
    <cellStyle name="Normal 3 4 4 2 2 4 3 2" xfId="50306" xr:uid="{00000000-0005-0000-0000-00006B910000}"/>
    <cellStyle name="Normal 3 4 4 2 2 4 4" xfId="36744" xr:uid="{00000000-0005-0000-0000-00006C910000}"/>
    <cellStyle name="Normal 3 4 4 2 2 5" xfId="12997" xr:uid="{00000000-0005-0000-0000-00006D910000}"/>
    <cellStyle name="Normal 3 4 4 2 2 5 2" xfId="26565" xr:uid="{00000000-0005-0000-0000-00006E910000}"/>
    <cellStyle name="Normal 3 4 4 2 2 5 2 2" xfId="53698" xr:uid="{00000000-0005-0000-0000-00006F910000}"/>
    <cellStyle name="Normal 3 4 4 2 2 5 3" xfId="40136" xr:uid="{00000000-0005-0000-0000-000070910000}"/>
    <cellStyle name="Normal 3 4 4 2 2 6" xfId="19784" xr:uid="{00000000-0005-0000-0000-000071910000}"/>
    <cellStyle name="Normal 3 4 4 2 2 6 2" xfId="46917" xr:uid="{00000000-0005-0000-0000-000072910000}"/>
    <cellStyle name="Normal 3 4 4 2 2 7" xfId="33355" xr:uid="{00000000-0005-0000-0000-000073910000}"/>
    <cellStyle name="Normal 3 4 4 2 3" xfId="6056" xr:uid="{00000000-0005-0000-0000-000074910000}"/>
    <cellStyle name="Normal 3 4 4 2 3 2" xfId="6057" xr:uid="{00000000-0005-0000-0000-000075910000}"/>
    <cellStyle name="Normal 3 4 4 2 3 2 2" xfId="9600" xr:uid="{00000000-0005-0000-0000-000076910000}"/>
    <cellStyle name="Normal 3 4 4 2 3 2 2 2" xfId="16390" xr:uid="{00000000-0005-0000-0000-000077910000}"/>
    <cellStyle name="Normal 3 4 4 2 3 2 2 2 2" xfId="29958" xr:uid="{00000000-0005-0000-0000-000078910000}"/>
    <cellStyle name="Normal 3 4 4 2 3 2 2 2 2 2" xfId="57091" xr:uid="{00000000-0005-0000-0000-000079910000}"/>
    <cellStyle name="Normal 3 4 4 2 3 2 2 2 3" xfId="43529" xr:uid="{00000000-0005-0000-0000-00007A910000}"/>
    <cellStyle name="Normal 3 4 4 2 3 2 2 3" xfId="23177" xr:uid="{00000000-0005-0000-0000-00007B910000}"/>
    <cellStyle name="Normal 3 4 4 2 3 2 2 3 2" xfId="50310" xr:uid="{00000000-0005-0000-0000-00007C910000}"/>
    <cellStyle name="Normal 3 4 4 2 3 2 2 4" xfId="36748" xr:uid="{00000000-0005-0000-0000-00007D910000}"/>
    <cellStyle name="Normal 3 4 4 2 3 2 3" xfId="13001" xr:uid="{00000000-0005-0000-0000-00007E910000}"/>
    <cellStyle name="Normal 3 4 4 2 3 2 3 2" xfId="26569" xr:uid="{00000000-0005-0000-0000-00007F910000}"/>
    <cellStyle name="Normal 3 4 4 2 3 2 3 2 2" xfId="53702" xr:uid="{00000000-0005-0000-0000-000080910000}"/>
    <cellStyle name="Normal 3 4 4 2 3 2 3 3" xfId="40140" xr:uid="{00000000-0005-0000-0000-000081910000}"/>
    <cellStyle name="Normal 3 4 4 2 3 2 4" xfId="19788" xr:uid="{00000000-0005-0000-0000-000082910000}"/>
    <cellStyle name="Normal 3 4 4 2 3 2 4 2" xfId="46921" xr:uid="{00000000-0005-0000-0000-000083910000}"/>
    <cellStyle name="Normal 3 4 4 2 3 2 5" xfId="33359" xr:uid="{00000000-0005-0000-0000-000084910000}"/>
    <cellStyle name="Normal 3 4 4 2 3 3" xfId="9599" xr:uid="{00000000-0005-0000-0000-000085910000}"/>
    <cellStyle name="Normal 3 4 4 2 3 3 2" xfId="16389" xr:uid="{00000000-0005-0000-0000-000086910000}"/>
    <cellStyle name="Normal 3 4 4 2 3 3 2 2" xfId="29957" xr:uid="{00000000-0005-0000-0000-000087910000}"/>
    <cellStyle name="Normal 3 4 4 2 3 3 2 2 2" xfId="57090" xr:uid="{00000000-0005-0000-0000-000088910000}"/>
    <cellStyle name="Normal 3 4 4 2 3 3 2 3" xfId="43528" xr:uid="{00000000-0005-0000-0000-000089910000}"/>
    <cellStyle name="Normal 3 4 4 2 3 3 3" xfId="23176" xr:uid="{00000000-0005-0000-0000-00008A910000}"/>
    <cellStyle name="Normal 3 4 4 2 3 3 3 2" xfId="50309" xr:uid="{00000000-0005-0000-0000-00008B910000}"/>
    <cellStyle name="Normal 3 4 4 2 3 3 4" xfId="36747" xr:uid="{00000000-0005-0000-0000-00008C910000}"/>
    <cellStyle name="Normal 3 4 4 2 3 4" xfId="13000" xr:uid="{00000000-0005-0000-0000-00008D910000}"/>
    <cellStyle name="Normal 3 4 4 2 3 4 2" xfId="26568" xr:uid="{00000000-0005-0000-0000-00008E910000}"/>
    <cellStyle name="Normal 3 4 4 2 3 4 2 2" xfId="53701" xr:uid="{00000000-0005-0000-0000-00008F910000}"/>
    <cellStyle name="Normal 3 4 4 2 3 4 3" xfId="40139" xr:uid="{00000000-0005-0000-0000-000090910000}"/>
    <cellStyle name="Normal 3 4 4 2 3 5" xfId="19787" xr:uid="{00000000-0005-0000-0000-000091910000}"/>
    <cellStyle name="Normal 3 4 4 2 3 5 2" xfId="46920" xr:uid="{00000000-0005-0000-0000-000092910000}"/>
    <cellStyle name="Normal 3 4 4 2 3 6" xfId="33358" xr:uid="{00000000-0005-0000-0000-000093910000}"/>
    <cellStyle name="Normal 3 4 4 2 4" xfId="6058" xr:uid="{00000000-0005-0000-0000-000094910000}"/>
    <cellStyle name="Normal 3 4 4 2 4 2" xfId="9601" xr:uid="{00000000-0005-0000-0000-000095910000}"/>
    <cellStyle name="Normal 3 4 4 2 4 2 2" xfId="16391" xr:uid="{00000000-0005-0000-0000-000096910000}"/>
    <cellStyle name="Normal 3 4 4 2 4 2 2 2" xfId="29959" xr:uid="{00000000-0005-0000-0000-000097910000}"/>
    <cellStyle name="Normal 3 4 4 2 4 2 2 2 2" xfId="57092" xr:uid="{00000000-0005-0000-0000-000098910000}"/>
    <cellStyle name="Normal 3 4 4 2 4 2 2 3" xfId="43530" xr:uid="{00000000-0005-0000-0000-000099910000}"/>
    <cellStyle name="Normal 3 4 4 2 4 2 3" xfId="23178" xr:uid="{00000000-0005-0000-0000-00009A910000}"/>
    <cellStyle name="Normal 3 4 4 2 4 2 3 2" xfId="50311" xr:uid="{00000000-0005-0000-0000-00009B910000}"/>
    <cellStyle name="Normal 3 4 4 2 4 2 4" xfId="36749" xr:uid="{00000000-0005-0000-0000-00009C910000}"/>
    <cellStyle name="Normal 3 4 4 2 4 3" xfId="13002" xr:uid="{00000000-0005-0000-0000-00009D910000}"/>
    <cellStyle name="Normal 3 4 4 2 4 3 2" xfId="26570" xr:uid="{00000000-0005-0000-0000-00009E910000}"/>
    <cellStyle name="Normal 3 4 4 2 4 3 2 2" xfId="53703" xr:uid="{00000000-0005-0000-0000-00009F910000}"/>
    <cellStyle name="Normal 3 4 4 2 4 3 3" xfId="40141" xr:uid="{00000000-0005-0000-0000-0000A0910000}"/>
    <cellStyle name="Normal 3 4 4 2 4 4" xfId="19789" xr:uid="{00000000-0005-0000-0000-0000A1910000}"/>
    <cellStyle name="Normal 3 4 4 2 4 4 2" xfId="46922" xr:uid="{00000000-0005-0000-0000-0000A2910000}"/>
    <cellStyle name="Normal 3 4 4 2 4 5" xfId="33360" xr:uid="{00000000-0005-0000-0000-0000A3910000}"/>
    <cellStyle name="Normal 3 4 4 2 5" xfId="6059" xr:uid="{00000000-0005-0000-0000-0000A4910000}"/>
    <cellStyle name="Normal 3 4 4 2 5 2" xfId="9602" xr:uid="{00000000-0005-0000-0000-0000A5910000}"/>
    <cellStyle name="Normal 3 4 4 2 5 2 2" xfId="16392" xr:uid="{00000000-0005-0000-0000-0000A6910000}"/>
    <cellStyle name="Normal 3 4 4 2 5 2 2 2" xfId="29960" xr:uid="{00000000-0005-0000-0000-0000A7910000}"/>
    <cellStyle name="Normal 3 4 4 2 5 2 2 2 2" xfId="57093" xr:uid="{00000000-0005-0000-0000-0000A8910000}"/>
    <cellStyle name="Normal 3 4 4 2 5 2 2 3" xfId="43531" xr:uid="{00000000-0005-0000-0000-0000A9910000}"/>
    <cellStyle name="Normal 3 4 4 2 5 2 3" xfId="23179" xr:uid="{00000000-0005-0000-0000-0000AA910000}"/>
    <cellStyle name="Normal 3 4 4 2 5 2 3 2" xfId="50312" xr:uid="{00000000-0005-0000-0000-0000AB910000}"/>
    <cellStyle name="Normal 3 4 4 2 5 2 4" xfId="36750" xr:uid="{00000000-0005-0000-0000-0000AC910000}"/>
    <cellStyle name="Normal 3 4 4 2 5 3" xfId="13003" xr:uid="{00000000-0005-0000-0000-0000AD910000}"/>
    <cellStyle name="Normal 3 4 4 2 5 3 2" xfId="26571" xr:uid="{00000000-0005-0000-0000-0000AE910000}"/>
    <cellStyle name="Normal 3 4 4 2 5 3 2 2" xfId="53704" xr:uid="{00000000-0005-0000-0000-0000AF910000}"/>
    <cellStyle name="Normal 3 4 4 2 5 3 3" xfId="40142" xr:uid="{00000000-0005-0000-0000-0000B0910000}"/>
    <cellStyle name="Normal 3 4 4 2 5 4" xfId="19790" xr:uid="{00000000-0005-0000-0000-0000B1910000}"/>
    <cellStyle name="Normal 3 4 4 2 5 4 2" xfId="46923" xr:uid="{00000000-0005-0000-0000-0000B2910000}"/>
    <cellStyle name="Normal 3 4 4 2 5 5" xfId="33361" xr:uid="{00000000-0005-0000-0000-0000B3910000}"/>
    <cellStyle name="Normal 3 4 4 2 6" xfId="7527" xr:uid="{00000000-0005-0000-0000-0000B4910000}"/>
    <cellStyle name="Normal 3 4 4 2 6 2" xfId="14317" xr:uid="{00000000-0005-0000-0000-0000B5910000}"/>
    <cellStyle name="Normal 3 4 4 2 6 2 2" xfId="27885" xr:uid="{00000000-0005-0000-0000-0000B6910000}"/>
    <cellStyle name="Normal 3 4 4 2 6 2 2 2" xfId="55018" xr:uid="{00000000-0005-0000-0000-0000B7910000}"/>
    <cellStyle name="Normal 3 4 4 2 6 2 3" xfId="41456" xr:uid="{00000000-0005-0000-0000-0000B8910000}"/>
    <cellStyle name="Normal 3 4 4 2 6 3" xfId="21104" xr:uid="{00000000-0005-0000-0000-0000B9910000}"/>
    <cellStyle name="Normal 3 4 4 2 6 3 2" xfId="48237" xr:uid="{00000000-0005-0000-0000-0000BA910000}"/>
    <cellStyle name="Normal 3 4 4 2 6 4" xfId="34675" xr:uid="{00000000-0005-0000-0000-0000BB910000}"/>
    <cellStyle name="Normal 3 4 4 2 7" xfId="10928" xr:uid="{00000000-0005-0000-0000-0000BC910000}"/>
    <cellStyle name="Normal 3 4 4 2 7 2" xfId="24496" xr:uid="{00000000-0005-0000-0000-0000BD910000}"/>
    <cellStyle name="Normal 3 4 4 2 7 2 2" xfId="51629" xr:uid="{00000000-0005-0000-0000-0000BE910000}"/>
    <cellStyle name="Normal 3 4 4 2 7 3" xfId="38067" xr:uid="{00000000-0005-0000-0000-0000BF910000}"/>
    <cellStyle name="Normal 3 4 4 2 8" xfId="17715" xr:uid="{00000000-0005-0000-0000-0000C0910000}"/>
    <cellStyle name="Normal 3 4 4 2 8 2" xfId="44848" xr:uid="{00000000-0005-0000-0000-0000C1910000}"/>
    <cellStyle name="Normal 3 4 4 2 9" xfId="31286" xr:uid="{00000000-0005-0000-0000-0000C2910000}"/>
    <cellStyle name="Normal 3 4 4 3" xfId="6060" xr:uid="{00000000-0005-0000-0000-0000C3910000}"/>
    <cellStyle name="Normal 3 4 4 3 2" xfId="6061" xr:uid="{00000000-0005-0000-0000-0000C4910000}"/>
    <cellStyle name="Normal 3 4 4 3 2 2" xfId="9604" xr:uid="{00000000-0005-0000-0000-0000C5910000}"/>
    <cellStyle name="Normal 3 4 4 3 2 2 2" xfId="16394" xr:uid="{00000000-0005-0000-0000-0000C6910000}"/>
    <cellStyle name="Normal 3 4 4 3 2 2 2 2" xfId="29962" xr:uid="{00000000-0005-0000-0000-0000C7910000}"/>
    <cellStyle name="Normal 3 4 4 3 2 2 2 2 2" xfId="57095" xr:uid="{00000000-0005-0000-0000-0000C8910000}"/>
    <cellStyle name="Normal 3 4 4 3 2 2 2 3" xfId="43533" xr:uid="{00000000-0005-0000-0000-0000C9910000}"/>
    <cellStyle name="Normal 3 4 4 3 2 2 3" xfId="23181" xr:uid="{00000000-0005-0000-0000-0000CA910000}"/>
    <cellStyle name="Normal 3 4 4 3 2 2 3 2" xfId="50314" xr:uid="{00000000-0005-0000-0000-0000CB910000}"/>
    <cellStyle name="Normal 3 4 4 3 2 2 4" xfId="36752" xr:uid="{00000000-0005-0000-0000-0000CC910000}"/>
    <cellStyle name="Normal 3 4 4 3 2 3" xfId="13005" xr:uid="{00000000-0005-0000-0000-0000CD910000}"/>
    <cellStyle name="Normal 3 4 4 3 2 3 2" xfId="26573" xr:uid="{00000000-0005-0000-0000-0000CE910000}"/>
    <cellStyle name="Normal 3 4 4 3 2 3 2 2" xfId="53706" xr:uid="{00000000-0005-0000-0000-0000CF910000}"/>
    <cellStyle name="Normal 3 4 4 3 2 3 3" xfId="40144" xr:uid="{00000000-0005-0000-0000-0000D0910000}"/>
    <cellStyle name="Normal 3 4 4 3 2 4" xfId="19792" xr:uid="{00000000-0005-0000-0000-0000D1910000}"/>
    <cellStyle name="Normal 3 4 4 3 2 4 2" xfId="46925" xr:uid="{00000000-0005-0000-0000-0000D2910000}"/>
    <cellStyle name="Normal 3 4 4 3 2 5" xfId="33363" xr:uid="{00000000-0005-0000-0000-0000D3910000}"/>
    <cellStyle name="Normal 3 4 4 3 3" xfId="6062" xr:uid="{00000000-0005-0000-0000-0000D4910000}"/>
    <cellStyle name="Normal 3 4 4 3 3 2" xfId="9605" xr:uid="{00000000-0005-0000-0000-0000D5910000}"/>
    <cellStyle name="Normal 3 4 4 3 3 2 2" xfId="16395" xr:uid="{00000000-0005-0000-0000-0000D6910000}"/>
    <cellStyle name="Normal 3 4 4 3 3 2 2 2" xfId="29963" xr:uid="{00000000-0005-0000-0000-0000D7910000}"/>
    <cellStyle name="Normal 3 4 4 3 3 2 2 2 2" xfId="57096" xr:uid="{00000000-0005-0000-0000-0000D8910000}"/>
    <cellStyle name="Normal 3 4 4 3 3 2 2 3" xfId="43534" xr:uid="{00000000-0005-0000-0000-0000D9910000}"/>
    <cellStyle name="Normal 3 4 4 3 3 2 3" xfId="23182" xr:uid="{00000000-0005-0000-0000-0000DA910000}"/>
    <cellStyle name="Normal 3 4 4 3 3 2 3 2" xfId="50315" xr:uid="{00000000-0005-0000-0000-0000DB910000}"/>
    <cellStyle name="Normal 3 4 4 3 3 2 4" xfId="36753" xr:uid="{00000000-0005-0000-0000-0000DC910000}"/>
    <cellStyle name="Normal 3 4 4 3 3 3" xfId="13006" xr:uid="{00000000-0005-0000-0000-0000DD910000}"/>
    <cellStyle name="Normal 3 4 4 3 3 3 2" xfId="26574" xr:uid="{00000000-0005-0000-0000-0000DE910000}"/>
    <cellStyle name="Normal 3 4 4 3 3 3 2 2" xfId="53707" xr:uid="{00000000-0005-0000-0000-0000DF910000}"/>
    <cellStyle name="Normal 3 4 4 3 3 3 3" xfId="40145" xr:uid="{00000000-0005-0000-0000-0000E0910000}"/>
    <cellStyle name="Normal 3 4 4 3 3 4" xfId="19793" xr:uid="{00000000-0005-0000-0000-0000E1910000}"/>
    <cellStyle name="Normal 3 4 4 3 3 4 2" xfId="46926" xr:uid="{00000000-0005-0000-0000-0000E2910000}"/>
    <cellStyle name="Normal 3 4 4 3 3 5" xfId="33364" xr:uid="{00000000-0005-0000-0000-0000E3910000}"/>
    <cellStyle name="Normal 3 4 4 3 4" xfId="9603" xr:uid="{00000000-0005-0000-0000-0000E4910000}"/>
    <cellStyle name="Normal 3 4 4 3 4 2" xfId="16393" xr:uid="{00000000-0005-0000-0000-0000E5910000}"/>
    <cellStyle name="Normal 3 4 4 3 4 2 2" xfId="29961" xr:uid="{00000000-0005-0000-0000-0000E6910000}"/>
    <cellStyle name="Normal 3 4 4 3 4 2 2 2" xfId="57094" xr:uid="{00000000-0005-0000-0000-0000E7910000}"/>
    <cellStyle name="Normal 3 4 4 3 4 2 3" xfId="43532" xr:uid="{00000000-0005-0000-0000-0000E8910000}"/>
    <cellStyle name="Normal 3 4 4 3 4 3" xfId="23180" xr:uid="{00000000-0005-0000-0000-0000E9910000}"/>
    <cellStyle name="Normal 3 4 4 3 4 3 2" xfId="50313" xr:uid="{00000000-0005-0000-0000-0000EA910000}"/>
    <cellStyle name="Normal 3 4 4 3 4 4" xfId="36751" xr:uid="{00000000-0005-0000-0000-0000EB910000}"/>
    <cellStyle name="Normal 3 4 4 3 5" xfId="13004" xr:uid="{00000000-0005-0000-0000-0000EC910000}"/>
    <cellStyle name="Normal 3 4 4 3 5 2" xfId="26572" xr:uid="{00000000-0005-0000-0000-0000ED910000}"/>
    <cellStyle name="Normal 3 4 4 3 5 2 2" xfId="53705" xr:uid="{00000000-0005-0000-0000-0000EE910000}"/>
    <cellStyle name="Normal 3 4 4 3 5 3" xfId="40143" xr:uid="{00000000-0005-0000-0000-0000EF910000}"/>
    <cellStyle name="Normal 3 4 4 3 6" xfId="19791" xr:uid="{00000000-0005-0000-0000-0000F0910000}"/>
    <cellStyle name="Normal 3 4 4 3 6 2" xfId="46924" xr:uid="{00000000-0005-0000-0000-0000F1910000}"/>
    <cellStyle name="Normal 3 4 4 3 7" xfId="33362" xr:uid="{00000000-0005-0000-0000-0000F2910000}"/>
    <cellStyle name="Normal 3 4 4 4" xfId="6063" xr:uid="{00000000-0005-0000-0000-0000F3910000}"/>
    <cellStyle name="Normal 3 4 4 4 2" xfId="6064" xr:uid="{00000000-0005-0000-0000-0000F4910000}"/>
    <cellStyle name="Normal 3 4 4 4 2 2" xfId="9607" xr:uid="{00000000-0005-0000-0000-0000F5910000}"/>
    <cellStyle name="Normal 3 4 4 4 2 2 2" xfId="16397" xr:uid="{00000000-0005-0000-0000-0000F6910000}"/>
    <cellStyle name="Normal 3 4 4 4 2 2 2 2" xfId="29965" xr:uid="{00000000-0005-0000-0000-0000F7910000}"/>
    <cellStyle name="Normal 3 4 4 4 2 2 2 2 2" xfId="57098" xr:uid="{00000000-0005-0000-0000-0000F8910000}"/>
    <cellStyle name="Normal 3 4 4 4 2 2 2 3" xfId="43536" xr:uid="{00000000-0005-0000-0000-0000F9910000}"/>
    <cellStyle name="Normal 3 4 4 4 2 2 3" xfId="23184" xr:uid="{00000000-0005-0000-0000-0000FA910000}"/>
    <cellStyle name="Normal 3 4 4 4 2 2 3 2" xfId="50317" xr:uid="{00000000-0005-0000-0000-0000FB910000}"/>
    <cellStyle name="Normal 3 4 4 4 2 2 4" xfId="36755" xr:uid="{00000000-0005-0000-0000-0000FC910000}"/>
    <cellStyle name="Normal 3 4 4 4 2 3" xfId="13008" xr:uid="{00000000-0005-0000-0000-0000FD910000}"/>
    <cellStyle name="Normal 3 4 4 4 2 3 2" xfId="26576" xr:uid="{00000000-0005-0000-0000-0000FE910000}"/>
    <cellStyle name="Normal 3 4 4 4 2 3 2 2" xfId="53709" xr:uid="{00000000-0005-0000-0000-0000FF910000}"/>
    <cellStyle name="Normal 3 4 4 4 2 3 3" xfId="40147" xr:uid="{00000000-0005-0000-0000-000000920000}"/>
    <cellStyle name="Normal 3 4 4 4 2 4" xfId="19795" xr:uid="{00000000-0005-0000-0000-000001920000}"/>
    <cellStyle name="Normal 3 4 4 4 2 4 2" xfId="46928" xr:uid="{00000000-0005-0000-0000-000002920000}"/>
    <cellStyle name="Normal 3 4 4 4 2 5" xfId="33366" xr:uid="{00000000-0005-0000-0000-000003920000}"/>
    <cellStyle name="Normal 3 4 4 4 3" xfId="9606" xr:uid="{00000000-0005-0000-0000-000004920000}"/>
    <cellStyle name="Normal 3 4 4 4 3 2" xfId="16396" xr:uid="{00000000-0005-0000-0000-000005920000}"/>
    <cellStyle name="Normal 3 4 4 4 3 2 2" xfId="29964" xr:uid="{00000000-0005-0000-0000-000006920000}"/>
    <cellStyle name="Normal 3 4 4 4 3 2 2 2" xfId="57097" xr:uid="{00000000-0005-0000-0000-000007920000}"/>
    <cellStyle name="Normal 3 4 4 4 3 2 3" xfId="43535" xr:uid="{00000000-0005-0000-0000-000008920000}"/>
    <cellStyle name="Normal 3 4 4 4 3 3" xfId="23183" xr:uid="{00000000-0005-0000-0000-000009920000}"/>
    <cellStyle name="Normal 3 4 4 4 3 3 2" xfId="50316" xr:uid="{00000000-0005-0000-0000-00000A920000}"/>
    <cellStyle name="Normal 3 4 4 4 3 4" xfId="36754" xr:uid="{00000000-0005-0000-0000-00000B920000}"/>
    <cellStyle name="Normal 3 4 4 4 4" xfId="13007" xr:uid="{00000000-0005-0000-0000-00000C920000}"/>
    <cellStyle name="Normal 3 4 4 4 4 2" xfId="26575" xr:uid="{00000000-0005-0000-0000-00000D920000}"/>
    <cellStyle name="Normal 3 4 4 4 4 2 2" xfId="53708" xr:uid="{00000000-0005-0000-0000-00000E920000}"/>
    <cellStyle name="Normal 3 4 4 4 4 3" xfId="40146" xr:uid="{00000000-0005-0000-0000-00000F920000}"/>
    <cellStyle name="Normal 3 4 4 4 5" xfId="19794" xr:uid="{00000000-0005-0000-0000-000010920000}"/>
    <cellStyle name="Normal 3 4 4 4 5 2" xfId="46927" xr:uid="{00000000-0005-0000-0000-000011920000}"/>
    <cellStyle name="Normal 3 4 4 4 6" xfId="33365" xr:uid="{00000000-0005-0000-0000-000012920000}"/>
    <cellStyle name="Normal 3 4 4 5" xfId="6065" xr:uid="{00000000-0005-0000-0000-000013920000}"/>
    <cellStyle name="Normal 3 4 4 5 2" xfId="9608" xr:uid="{00000000-0005-0000-0000-000014920000}"/>
    <cellStyle name="Normal 3 4 4 5 2 2" xfId="16398" xr:uid="{00000000-0005-0000-0000-000015920000}"/>
    <cellStyle name="Normal 3 4 4 5 2 2 2" xfId="29966" xr:uid="{00000000-0005-0000-0000-000016920000}"/>
    <cellStyle name="Normal 3 4 4 5 2 2 2 2" xfId="57099" xr:uid="{00000000-0005-0000-0000-000017920000}"/>
    <cellStyle name="Normal 3 4 4 5 2 2 3" xfId="43537" xr:uid="{00000000-0005-0000-0000-000018920000}"/>
    <cellStyle name="Normal 3 4 4 5 2 3" xfId="23185" xr:uid="{00000000-0005-0000-0000-000019920000}"/>
    <cellStyle name="Normal 3 4 4 5 2 3 2" xfId="50318" xr:uid="{00000000-0005-0000-0000-00001A920000}"/>
    <cellStyle name="Normal 3 4 4 5 2 4" xfId="36756" xr:uid="{00000000-0005-0000-0000-00001B920000}"/>
    <cellStyle name="Normal 3 4 4 5 3" xfId="13009" xr:uid="{00000000-0005-0000-0000-00001C920000}"/>
    <cellStyle name="Normal 3 4 4 5 3 2" xfId="26577" xr:uid="{00000000-0005-0000-0000-00001D920000}"/>
    <cellStyle name="Normal 3 4 4 5 3 2 2" xfId="53710" xr:uid="{00000000-0005-0000-0000-00001E920000}"/>
    <cellStyle name="Normal 3 4 4 5 3 3" xfId="40148" xr:uid="{00000000-0005-0000-0000-00001F920000}"/>
    <cellStyle name="Normal 3 4 4 5 4" xfId="19796" xr:uid="{00000000-0005-0000-0000-000020920000}"/>
    <cellStyle name="Normal 3 4 4 5 4 2" xfId="46929" xr:uid="{00000000-0005-0000-0000-000021920000}"/>
    <cellStyle name="Normal 3 4 4 5 5" xfId="33367" xr:uid="{00000000-0005-0000-0000-000022920000}"/>
    <cellStyle name="Normal 3 4 4 6" xfId="6066" xr:uid="{00000000-0005-0000-0000-000023920000}"/>
    <cellStyle name="Normal 3 4 4 6 2" xfId="9609" xr:uid="{00000000-0005-0000-0000-000024920000}"/>
    <cellStyle name="Normal 3 4 4 6 2 2" xfId="16399" xr:uid="{00000000-0005-0000-0000-000025920000}"/>
    <cellStyle name="Normal 3 4 4 6 2 2 2" xfId="29967" xr:uid="{00000000-0005-0000-0000-000026920000}"/>
    <cellStyle name="Normal 3 4 4 6 2 2 2 2" xfId="57100" xr:uid="{00000000-0005-0000-0000-000027920000}"/>
    <cellStyle name="Normal 3 4 4 6 2 2 3" xfId="43538" xr:uid="{00000000-0005-0000-0000-000028920000}"/>
    <cellStyle name="Normal 3 4 4 6 2 3" xfId="23186" xr:uid="{00000000-0005-0000-0000-000029920000}"/>
    <cellStyle name="Normal 3 4 4 6 2 3 2" xfId="50319" xr:uid="{00000000-0005-0000-0000-00002A920000}"/>
    <cellStyle name="Normal 3 4 4 6 2 4" xfId="36757" xr:uid="{00000000-0005-0000-0000-00002B920000}"/>
    <cellStyle name="Normal 3 4 4 6 3" xfId="13010" xr:uid="{00000000-0005-0000-0000-00002C920000}"/>
    <cellStyle name="Normal 3 4 4 6 3 2" xfId="26578" xr:uid="{00000000-0005-0000-0000-00002D920000}"/>
    <cellStyle name="Normal 3 4 4 6 3 2 2" xfId="53711" xr:uid="{00000000-0005-0000-0000-00002E920000}"/>
    <cellStyle name="Normal 3 4 4 6 3 3" xfId="40149" xr:uid="{00000000-0005-0000-0000-00002F920000}"/>
    <cellStyle name="Normal 3 4 4 6 4" xfId="19797" xr:uid="{00000000-0005-0000-0000-000030920000}"/>
    <cellStyle name="Normal 3 4 4 6 4 2" xfId="46930" xr:uid="{00000000-0005-0000-0000-000031920000}"/>
    <cellStyle name="Normal 3 4 4 6 5" xfId="33368" xr:uid="{00000000-0005-0000-0000-000032920000}"/>
    <cellStyle name="Normal 3 4 4 7" xfId="7526" xr:uid="{00000000-0005-0000-0000-000033920000}"/>
    <cellStyle name="Normal 3 4 4 7 2" xfId="14316" xr:uid="{00000000-0005-0000-0000-000034920000}"/>
    <cellStyle name="Normal 3 4 4 7 2 2" xfId="27884" xr:uid="{00000000-0005-0000-0000-000035920000}"/>
    <cellStyle name="Normal 3 4 4 7 2 2 2" xfId="55017" xr:uid="{00000000-0005-0000-0000-000036920000}"/>
    <cellStyle name="Normal 3 4 4 7 2 3" xfId="41455" xr:uid="{00000000-0005-0000-0000-000037920000}"/>
    <cellStyle name="Normal 3 4 4 7 3" xfId="21103" xr:uid="{00000000-0005-0000-0000-000038920000}"/>
    <cellStyle name="Normal 3 4 4 7 3 2" xfId="48236" xr:uid="{00000000-0005-0000-0000-000039920000}"/>
    <cellStyle name="Normal 3 4 4 7 4" xfId="34674" xr:uid="{00000000-0005-0000-0000-00003A920000}"/>
    <cellStyle name="Normal 3 4 4 8" xfId="10927" xr:uid="{00000000-0005-0000-0000-00003B920000}"/>
    <cellStyle name="Normal 3 4 4 8 2" xfId="24495" xr:uid="{00000000-0005-0000-0000-00003C920000}"/>
    <cellStyle name="Normal 3 4 4 8 2 2" xfId="51628" xr:uid="{00000000-0005-0000-0000-00003D920000}"/>
    <cellStyle name="Normal 3 4 4 8 3" xfId="38066" xr:uid="{00000000-0005-0000-0000-00003E920000}"/>
    <cellStyle name="Normal 3 4 4 9" xfId="17714" xr:uid="{00000000-0005-0000-0000-00003F920000}"/>
    <cellStyle name="Normal 3 4 4 9 2" xfId="44847" xr:uid="{00000000-0005-0000-0000-000040920000}"/>
    <cellStyle name="Normal 3 4 5" xfId="2715" xr:uid="{00000000-0005-0000-0000-000041920000}"/>
    <cellStyle name="Normal 3 4 5 2" xfId="2716" xr:uid="{00000000-0005-0000-0000-000042920000}"/>
    <cellStyle name="Normal 3 4 5 2 2" xfId="6067" xr:uid="{00000000-0005-0000-0000-000043920000}"/>
    <cellStyle name="Normal 3 4 5 2 2 2" xfId="9610" xr:uid="{00000000-0005-0000-0000-000044920000}"/>
    <cellStyle name="Normal 3 4 5 2 2 2 2" xfId="16400" xr:uid="{00000000-0005-0000-0000-000045920000}"/>
    <cellStyle name="Normal 3 4 5 2 2 2 2 2" xfId="29968" xr:uid="{00000000-0005-0000-0000-000046920000}"/>
    <cellStyle name="Normal 3 4 5 2 2 2 2 2 2" xfId="57101" xr:uid="{00000000-0005-0000-0000-000047920000}"/>
    <cellStyle name="Normal 3 4 5 2 2 2 2 3" xfId="43539" xr:uid="{00000000-0005-0000-0000-000048920000}"/>
    <cellStyle name="Normal 3 4 5 2 2 2 3" xfId="23187" xr:uid="{00000000-0005-0000-0000-000049920000}"/>
    <cellStyle name="Normal 3 4 5 2 2 2 3 2" xfId="50320" xr:uid="{00000000-0005-0000-0000-00004A920000}"/>
    <cellStyle name="Normal 3 4 5 2 2 2 4" xfId="36758" xr:uid="{00000000-0005-0000-0000-00004B920000}"/>
    <cellStyle name="Normal 3 4 5 2 2 3" xfId="13011" xr:uid="{00000000-0005-0000-0000-00004C920000}"/>
    <cellStyle name="Normal 3 4 5 2 2 3 2" xfId="26579" xr:uid="{00000000-0005-0000-0000-00004D920000}"/>
    <cellStyle name="Normal 3 4 5 2 2 3 2 2" xfId="53712" xr:uid="{00000000-0005-0000-0000-00004E920000}"/>
    <cellStyle name="Normal 3 4 5 2 2 3 3" xfId="40150" xr:uid="{00000000-0005-0000-0000-00004F920000}"/>
    <cellStyle name="Normal 3 4 5 2 2 4" xfId="19798" xr:uid="{00000000-0005-0000-0000-000050920000}"/>
    <cellStyle name="Normal 3 4 5 2 2 4 2" xfId="46931" xr:uid="{00000000-0005-0000-0000-000051920000}"/>
    <cellStyle name="Normal 3 4 5 2 2 5" xfId="33369" xr:uid="{00000000-0005-0000-0000-000052920000}"/>
    <cellStyle name="Normal 3 4 5 2 3" xfId="6068" xr:uid="{00000000-0005-0000-0000-000053920000}"/>
    <cellStyle name="Normal 3 4 5 2 3 2" xfId="9611" xr:uid="{00000000-0005-0000-0000-000054920000}"/>
    <cellStyle name="Normal 3 4 5 2 3 2 2" xfId="16401" xr:uid="{00000000-0005-0000-0000-000055920000}"/>
    <cellStyle name="Normal 3 4 5 2 3 2 2 2" xfId="29969" xr:uid="{00000000-0005-0000-0000-000056920000}"/>
    <cellStyle name="Normal 3 4 5 2 3 2 2 2 2" xfId="57102" xr:uid="{00000000-0005-0000-0000-000057920000}"/>
    <cellStyle name="Normal 3 4 5 2 3 2 2 3" xfId="43540" xr:uid="{00000000-0005-0000-0000-000058920000}"/>
    <cellStyle name="Normal 3 4 5 2 3 2 3" xfId="23188" xr:uid="{00000000-0005-0000-0000-000059920000}"/>
    <cellStyle name="Normal 3 4 5 2 3 2 3 2" xfId="50321" xr:uid="{00000000-0005-0000-0000-00005A920000}"/>
    <cellStyle name="Normal 3 4 5 2 3 2 4" xfId="36759" xr:uid="{00000000-0005-0000-0000-00005B920000}"/>
    <cellStyle name="Normal 3 4 5 2 3 3" xfId="13012" xr:uid="{00000000-0005-0000-0000-00005C920000}"/>
    <cellStyle name="Normal 3 4 5 2 3 3 2" xfId="26580" xr:uid="{00000000-0005-0000-0000-00005D920000}"/>
    <cellStyle name="Normal 3 4 5 2 3 3 2 2" xfId="53713" xr:uid="{00000000-0005-0000-0000-00005E920000}"/>
    <cellStyle name="Normal 3 4 5 2 3 3 3" xfId="40151" xr:uid="{00000000-0005-0000-0000-00005F920000}"/>
    <cellStyle name="Normal 3 4 5 2 3 4" xfId="19799" xr:uid="{00000000-0005-0000-0000-000060920000}"/>
    <cellStyle name="Normal 3 4 5 2 3 4 2" xfId="46932" xr:uid="{00000000-0005-0000-0000-000061920000}"/>
    <cellStyle name="Normal 3 4 5 2 3 5" xfId="33370" xr:uid="{00000000-0005-0000-0000-000062920000}"/>
    <cellStyle name="Normal 3 4 5 2 4" xfId="7529" xr:uid="{00000000-0005-0000-0000-000063920000}"/>
    <cellStyle name="Normal 3 4 5 2 4 2" xfId="14319" xr:uid="{00000000-0005-0000-0000-000064920000}"/>
    <cellStyle name="Normal 3 4 5 2 4 2 2" xfId="27887" xr:uid="{00000000-0005-0000-0000-000065920000}"/>
    <cellStyle name="Normal 3 4 5 2 4 2 2 2" xfId="55020" xr:uid="{00000000-0005-0000-0000-000066920000}"/>
    <cellStyle name="Normal 3 4 5 2 4 2 3" xfId="41458" xr:uid="{00000000-0005-0000-0000-000067920000}"/>
    <cellStyle name="Normal 3 4 5 2 4 3" xfId="21106" xr:uid="{00000000-0005-0000-0000-000068920000}"/>
    <cellStyle name="Normal 3 4 5 2 4 3 2" xfId="48239" xr:uid="{00000000-0005-0000-0000-000069920000}"/>
    <cellStyle name="Normal 3 4 5 2 4 4" xfId="34677" xr:uid="{00000000-0005-0000-0000-00006A920000}"/>
    <cellStyle name="Normal 3 4 5 2 5" xfId="10930" xr:uid="{00000000-0005-0000-0000-00006B920000}"/>
    <cellStyle name="Normal 3 4 5 2 5 2" xfId="24498" xr:uid="{00000000-0005-0000-0000-00006C920000}"/>
    <cellStyle name="Normal 3 4 5 2 5 2 2" xfId="51631" xr:uid="{00000000-0005-0000-0000-00006D920000}"/>
    <cellStyle name="Normal 3 4 5 2 5 3" xfId="38069" xr:uid="{00000000-0005-0000-0000-00006E920000}"/>
    <cellStyle name="Normal 3 4 5 2 6" xfId="17717" xr:uid="{00000000-0005-0000-0000-00006F920000}"/>
    <cellStyle name="Normal 3 4 5 2 6 2" xfId="44850" xr:uid="{00000000-0005-0000-0000-000070920000}"/>
    <cellStyle name="Normal 3 4 5 2 7" xfId="31288" xr:uid="{00000000-0005-0000-0000-000071920000}"/>
    <cellStyle name="Normal 3 4 5 3" xfId="6069" xr:uid="{00000000-0005-0000-0000-000072920000}"/>
    <cellStyle name="Normal 3 4 5 3 2" xfId="6070" xr:uid="{00000000-0005-0000-0000-000073920000}"/>
    <cellStyle name="Normal 3 4 5 3 2 2" xfId="9613" xr:uid="{00000000-0005-0000-0000-000074920000}"/>
    <cellStyle name="Normal 3 4 5 3 2 2 2" xfId="16403" xr:uid="{00000000-0005-0000-0000-000075920000}"/>
    <cellStyle name="Normal 3 4 5 3 2 2 2 2" xfId="29971" xr:uid="{00000000-0005-0000-0000-000076920000}"/>
    <cellStyle name="Normal 3 4 5 3 2 2 2 2 2" xfId="57104" xr:uid="{00000000-0005-0000-0000-000077920000}"/>
    <cellStyle name="Normal 3 4 5 3 2 2 2 3" xfId="43542" xr:uid="{00000000-0005-0000-0000-000078920000}"/>
    <cellStyle name="Normal 3 4 5 3 2 2 3" xfId="23190" xr:uid="{00000000-0005-0000-0000-000079920000}"/>
    <cellStyle name="Normal 3 4 5 3 2 2 3 2" xfId="50323" xr:uid="{00000000-0005-0000-0000-00007A920000}"/>
    <cellStyle name="Normal 3 4 5 3 2 2 4" xfId="36761" xr:uid="{00000000-0005-0000-0000-00007B920000}"/>
    <cellStyle name="Normal 3 4 5 3 2 3" xfId="13014" xr:uid="{00000000-0005-0000-0000-00007C920000}"/>
    <cellStyle name="Normal 3 4 5 3 2 3 2" xfId="26582" xr:uid="{00000000-0005-0000-0000-00007D920000}"/>
    <cellStyle name="Normal 3 4 5 3 2 3 2 2" xfId="53715" xr:uid="{00000000-0005-0000-0000-00007E920000}"/>
    <cellStyle name="Normal 3 4 5 3 2 3 3" xfId="40153" xr:uid="{00000000-0005-0000-0000-00007F920000}"/>
    <cellStyle name="Normal 3 4 5 3 2 4" xfId="19801" xr:uid="{00000000-0005-0000-0000-000080920000}"/>
    <cellStyle name="Normal 3 4 5 3 2 4 2" xfId="46934" xr:uid="{00000000-0005-0000-0000-000081920000}"/>
    <cellStyle name="Normal 3 4 5 3 2 5" xfId="33372" xr:uid="{00000000-0005-0000-0000-000082920000}"/>
    <cellStyle name="Normal 3 4 5 3 3" xfId="9612" xr:uid="{00000000-0005-0000-0000-000083920000}"/>
    <cellStyle name="Normal 3 4 5 3 3 2" xfId="16402" xr:uid="{00000000-0005-0000-0000-000084920000}"/>
    <cellStyle name="Normal 3 4 5 3 3 2 2" xfId="29970" xr:uid="{00000000-0005-0000-0000-000085920000}"/>
    <cellStyle name="Normal 3 4 5 3 3 2 2 2" xfId="57103" xr:uid="{00000000-0005-0000-0000-000086920000}"/>
    <cellStyle name="Normal 3 4 5 3 3 2 3" xfId="43541" xr:uid="{00000000-0005-0000-0000-000087920000}"/>
    <cellStyle name="Normal 3 4 5 3 3 3" xfId="23189" xr:uid="{00000000-0005-0000-0000-000088920000}"/>
    <cellStyle name="Normal 3 4 5 3 3 3 2" xfId="50322" xr:uid="{00000000-0005-0000-0000-000089920000}"/>
    <cellStyle name="Normal 3 4 5 3 3 4" xfId="36760" xr:uid="{00000000-0005-0000-0000-00008A920000}"/>
    <cellStyle name="Normal 3 4 5 3 4" xfId="13013" xr:uid="{00000000-0005-0000-0000-00008B920000}"/>
    <cellStyle name="Normal 3 4 5 3 4 2" xfId="26581" xr:uid="{00000000-0005-0000-0000-00008C920000}"/>
    <cellStyle name="Normal 3 4 5 3 4 2 2" xfId="53714" xr:uid="{00000000-0005-0000-0000-00008D920000}"/>
    <cellStyle name="Normal 3 4 5 3 4 3" xfId="40152" xr:uid="{00000000-0005-0000-0000-00008E920000}"/>
    <cellStyle name="Normal 3 4 5 3 5" xfId="19800" xr:uid="{00000000-0005-0000-0000-00008F920000}"/>
    <cellStyle name="Normal 3 4 5 3 5 2" xfId="46933" xr:uid="{00000000-0005-0000-0000-000090920000}"/>
    <cellStyle name="Normal 3 4 5 3 6" xfId="33371" xr:uid="{00000000-0005-0000-0000-000091920000}"/>
    <cellStyle name="Normal 3 4 5 4" xfId="6071" xr:uid="{00000000-0005-0000-0000-000092920000}"/>
    <cellStyle name="Normal 3 4 5 4 2" xfId="9614" xr:uid="{00000000-0005-0000-0000-000093920000}"/>
    <cellStyle name="Normal 3 4 5 4 2 2" xfId="16404" xr:uid="{00000000-0005-0000-0000-000094920000}"/>
    <cellStyle name="Normal 3 4 5 4 2 2 2" xfId="29972" xr:uid="{00000000-0005-0000-0000-000095920000}"/>
    <cellStyle name="Normal 3 4 5 4 2 2 2 2" xfId="57105" xr:uid="{00000000-0005-0000-0000-000096920000}"/>
    <cellStyle name="Normal 3 4 5 4 2 2 3" xfId="43543" xr:uid="{00000000-0005-0000-0000-000097920000}"/>
    <cellStyle name="Normal 3 4 5 4 2 3" xfId="23191" xr:uid="{00000000-0005-0000-0000-000098920000}"/>
    <cellStyle name="Normal 3 4 5 4 2 3 2" xfId="50324" xr:uid="{00000000-0005-0000-0000-000099920000}"/>
    <cellStyle name="Normal 3 4 5 4 2 4" xfId="36762" xr:uid="{00000000-0005-0000-0000-00009A920000}"/>
    <cellStyle name="Normal 3 4 5 4 3" xfId="13015" xr:uid="{00000000-0005-0000-0000-00009B920000}"/>
    <cellStyle name="Normal 3 4 5 4 3 2" xfId="26583" xr:uid="{00000000-0005-0000-0000-00009C920000}"/>
    <cellStyle name="Normal 3 4 5 4 3 2 2" xfId="53716" xr:uid="{00000000-0005-0000-0000-00009D920000}"/>
    <cellStyle name="Normal 3 4 5 4 3 3" xfId="40154" xr:uid="{00000000-0005-0000-0000-00009E920000}"/>
    <cellStyle name="Normal 3 4 5 4 4" xfId="19802" xr:uid="{00000000-0005-0000-0000-00009F920000}"/>
    <cellStyle name="Normal 3 4 5 4 4 2" xfId="46935" xr:uid="{00000000-0005-0000-0000-0000A0920000}"/>
    <cellStyle name="Normal 3 4 5 4 5" xfId="33373" xr:uid="{00000000-0005-0000-0000-0000A1920000}"/>
    <cellStyle name="Normal 3 4 5 5" xfId="6072" xr:uid="{00000000-0005-0000-0000-0000A2920000}"/>
    <cellStyle name="Normal 3 4 5 5 2" xfId="9615" xr:uid="{00000000-0005-0000-0000-0000A3920000}"/>
    <cellStyle name="Normal 3 4 5 5 2 2" xfId="16405" xr:uid="{00000000-0005-0000-0000-0000A4920000}"/>
    <cellStyle name="Normal 3 4 5 5 2 2 2" xfId="29973" xr:uid="{00000000-0005-0000-0000-0000A5920000}"/>
    <cellStyle name="Normal 3 4 5 5 2 2 2 2" xfId="57106" xr:uid="{00000000-0005-0000-0000-0000A6920000}"/>
    <cellStyle name="Normal 3 4 5 5 2 2 3" xfId="43544" xr:uid="{00000000-0005-0000-0000-0000A7920000}"/>
    <cellStyle name="Normal 3 4 5 5 2 3" xfId="23192" xr:uid="{00000000-0005-0000-0000-0000A8920000}"/>
    <cellStyle name="Normal 3 4 5 5 2 3 2" xfId="50325" xr:uid="{00000000-0005-0000-0000-0000A9920000}"/>
    <cellStyle name="Normal 3 4 5 5 2 4" xfId="36763" xr:uid="{00000000-0005-0000-0000-0000AA920000}"/>
    <cellStyle name="Normal 3 4 5 5 3" xfId="13016" xr:uid="{00000000-0005-0000-0000-0000AB920000}"/>
    <cellStyle name="Normal 3 4 5 5 3 2" xfId="26584" xr:uid="{00000000-0005-0000-0000-0000AC920000}"/>
    <cellStyle name="Normal 3 4 5 5 3 2 2" xfId="53717" xr:uid="{00000000-0005-0000-0000-0000AD920000}"/>
    <cellStyle name="Normal 3 4 5 5 3 3" xfId="40155" xr:uid="{00000000-0005-0000-0000-0000AE920000}"/>
    <cellStyle name="Normal 3 4 5 5 4" xfId="19803" xr:uid="{00000000-0005-0000-0000-0000AF920000}"/>
    <cellStyle name="Normal 3 4 5 5 4 2" xfId="46936" xr:uid="{00000000-0005-0000-0000-0000B0920000}"/>
    <cellStyle name="Normal 3 4 5 5 5" xfId="33374" xr:uid="{00000000-0005-0000-0000-0000B1920000}"/>
    <cellStyle name="Normal 3 4 5 6" xfId="7528" xr:uid="{00000000-0005-0000-0000-0000B2920000}"/>
    <cellStyle name="Normal 3 4 5 6 2" xfId="14318" xr:uid="{00000000-0005-0000-0000-0000B3920000}"/>
    <cellStyle name="Normal 3 4 5 6 2 2" xfId="27886" xr:uid="{00000000-0005-0000-0000-0000B4920000}"/>
    <cellStyle name="Normal 3 4 5 6 2 2 2" xfId="55019" xr:uid="{00000000-0005-0000-0000-0000B5920000}"/>
    <cellStyle name="Normal 3 4 5 6 2 3" xfId="41457" xr:uid="{00000000-0005-0000-0000-0000B6920000}"/>
    <cellStyle name="Normal 3 4 5 6 3" xfId="21105" xr:uid="{00000000-0005-0000-0000-0000B7920000}"/>
    <cellStyle name="Normal 3 4 5 6 3 2" xfId="48238" xr:uid="{00000000-0005-0000-0000-0000B8920000}"/>
    <cellStyle name="Normal 3 4 5 6 4" xfId="34676" xr:uid="{00000000-0005-0000-0000-0000B9920000}"/>
    <cellStyle name="Normal 3 4 5 7" xfId="10929" xr:uid="{00000000-0005-0000-0000-0000BA920000}"/>
    <cellStyle name="Normal 3 4 5 7 2" xfId="24497" xr:uid="{00000000-0005-0000-0000-0000BB920000}"/>
    <cellStyle name="Normal 3 4 5 7 2 2" xfId="51630" xr:uid="{00000000-0005-0000-0000-0000BC920000}"/>
    <cellStyle name="Normal 3 4 5 7 3" xfId="38068" xr:uid="{00000000-0005-0000-0000-0000BD920000}"/>
    <cellStyle name="Normal 3 4 5 8" xfId="17716" xr:uid="{00000000-0005-0000-0000-0000BE920000}"/>
    <cellStyle name="Normal 3 4 5 8 2" xfId="44849" xr:uid="{00000000-0005-0000-0000-0000BF920000}"/>
    <cellStyle name="Normal 3 4 5 9" xfId="31287" xr:uid="{00000000-0005-0000-0000-0000C0920000}"/>
    <cellStyle name="Normal 3 4 6" xfId="2717" xr:uid="{00000000-0005-0000-0000-0000C1920000}"/>
    <cellStyle name="Normal 3 4 6 2" xfId="2718" xr:uid="{00000000-0005-0000-0000-0000C2920000}"/>
    <cellStyle name="Normal 3 4 6 2 2" xfId="6073" xr:uid="{00000000-0005-0000-0000-0000C3920000}"/>
    <cellStyle name="Normal 3 4 6 2 2 2" xfId="9616" xr:uid="{00000000-0005-0000-0000-0000C4920000}"/>
    <cellStyle name="Normal 3 4 6 2 2 2 2" xfId="16406" xr:uid="{00000000-0005-0000-0000-0000C5920000}"/>
    <cellStyle name="Normal 3 4 6 2 2 2 2 2" xfId="29974" xr:uid="{00000000-0005-0000-0000-0000C6920000}"/>
    <cellStyle name="Normal 3 4 6 2 2 2 2 2 2" xfId="57107" xr:uid="{00000000-0005-0000-0000-0000C7920000}"/>
    <cellStyle name="Normal 3 4 6 2 2 2 2 3" xfId="43545" xr:uid="{00000000-0005-0000-0000-0000C8920000}"/>
    <cellStyle name="Normal 3 4 6 2 2 2 3" xfId="23193" xr:uid="{00000000-0005-0000-0000-0000C9920000}"/>
    <cellStyle name="Normal 3 4 6 2 2 2 3 2" xfId="50326" xr:uid="{00000000-0005-0000-0000-0000CA920000}"/>
    <cellStyle name="Normal 3 4 6 2 2 2 4" xfId="36764" xr:uid="{00000000-0005-0000-0000-0000CB920000}"/>
    <cellStyle name="Normal 3 4 6 2 2 3" xfId="13017" xr:uid="{00000000-0005-0000-0000-0000CC920000}"/>
    <cellStyle name="Normal 3 4 6 2 2 3 2" xfId="26585" xr:uid="{00000000-0005-0000-0000-0000CD920000}"/>
    <cellStyle name="Normal 3 4 6 2 2 3 2 2" xfId="53718" xr:uid="{00000000-0005-0000-0000-0000CE920000}"/>
    <cellStyle name="Normal 3 4 6 2 2 3 3" xfId="40156" xr:uid="{00000000-0005-0000-0000-0000CF920000}"/>
    <cellStyle name="Normal 3 4 6 2 2 4" xfId="19804" xr:uid="{00000000-0005-0000-0000-0000D0920000}"/>
    <cellStyle name="Normal 3 4 6 2 2 4 2" xfId="46937" xr:uid="{00000000-0005-0000-0000-0000D1920000}"/>
    <cellStyle name="Normal 3 4 6 2 2 5" xfId="33375" xr:uid="{00000000-0005-0000-0000-0000D2920000}"/>
    <cellStyle name="Normal 3 4 6 2 3" xfId="6074" xr:uid="{00000000-0005-0000-0000-0000D3920000}"/>
    <cellStyle name="Normal 3 4 6 2 3 2" xfId="9617" xr:uid="{00000000-0005-0000-0000-0000D4920000}"/>
    <cellStyle name="Normal 3 4 6 2 3 2 2" xfId="16407" xr:uid="{00000000-0005-0000-0000-0000D5920000}"/>
    <cellStyle name="Normal 3 4 6 2 3 2 2 2" xfId="29975" xr:uid="{00000000-0005-0000-0000-0000D6920000}"/>
    <cellStyle name="Normal 3 4 6 2 3 2 2 2 2" xfId="57108" xr:uid="{00000000-0005-0000-0000-0000D7920000}"/>
    <cellStyle name="Normal 3 4 6 2 3 2 2 3" xfId="43546" xr:uid="{00000000-0005-0000-0000-0000D8920000}"/>
    <cellStyle name="Normal 3 4 6 2 3 2 3" xfId="23194" xr:uid="{00000000-0005-0000-0000-0000D9920000}"/>
    <cellStyle name="Normal 3 4 6 2 3 2 3 2" xfId="50327" xr:uid="{00000000-0005-0000-0000-0000DA920000}"/>
    <cellStyle name="Normal 3 4 6 2 3 2 4" xfId="36765" xr:uid="{00000000-0005-0000-0000-0000DB920000}"/>
    <cellStyle name="Normal 3 4 6 2 3 3" xfId="13018" xr:uid="{00000000-0005-0000-0000-0000DC920000}"/>
    <cellStyle name="Normal 3 4 6 2 3 3 2" xfId="26586" xr:uid="{00000000-0005-0000-0000-0000DD920000}"/>
    <cellStyle name="Normal 3 4 6 2 3 3 2 2" xfId="53719" xr:uid="{00000000-0005-0000-0000-0000DE920000}"/>
    <cellStyle name="Normal 3 4 6 2 3 3 3" xfId="40157" xr:uid="{00000000-0005-0000-0000-0000DF920000}"/>
    <cellStyle name="Normal 3 4 6 2 3 4" xfId="19805" xr:uid="{00000000-0005-0000-0000-0000E0920000}"/>
    <cellStyle name="Normal 3 4 6 2 3 4 2" xfId="46938" xr:uid="{00000000-0005-0000-0000-0000E1920000}"/>
    <cellStyle name="Normal 3 4 6 2 3 5" xfId="33376" xr:uid="{00000000-0005-0000-0000-0000E2920000}"/>
    <cellStyle name="Normal 3 4 6 2 4" xfId="7531" xr:uid="{00000000-0005-0000-0000-0000E3920000}"/>
    <cellStyle name="Normal 3 4 6 2 4 2" xfId="14321" xr:uid="{00000000-0005-0000-0000-0000E4920000}"/>
    <cellStyle name="Normal 3 4 6 2 4 2 2" xfId="27889" xr:uid="{00000000-0005-0000-0000-0000E5920000}"/>
    <cellStyle name="Normal 3 4 6 2 4 2 2 2" xfId="55022" xr:uid="{00000000-0005-0000-0000-0000E6920000}"/>
    <cellStyle name="Normal 3 4 6 2 4 2 3" xfId="41460" xr:uid="{00000000-0005-0000-0000-0000E7920000}"/>
    <cellStyle name="Normal 3 4 6 2 4 3" xfId="21108" xr:uid="{00000000-0005-0000-0000-0000E8920000}"/>
    <cellStyle name="Normal 3 4 6 2 4 3 2" xfId="48241" xr:uid="{00000000-0005-0000-0000-0000E9920000}"/>
    <cellStyle name="Normal 3 4 6 2 4 4" xfId="34679" xr:uid="{00000000-0005-0000-0000-0000EA920000}"/>
    <cellStyle name="Normal 3 4 6 2 5" xfId="10932" xr:uid="{00000000-0005-0000-0000-0000EB920000}"/>
    <cellStyle name="Normal 3 4 6 2 5 2" xfId="24500" xr:uid="{00000000-0005-0000-0000-0000EC920000}"/>
    <cellStyle name="Normal 3 4 6 2 5 2 2" xfId="51633" xr:uid="{00000000-0005-0000-0000-0000ED920000}"/>
    <cellStyle name="Normal 3 4 6 2 5 3" xfId="38071" xr:uid="{00000000-0005-0000-0000-0000EE920000}"/>
    <cellStyle name="Normal 3 4 6 2 6" xfId="17719" xr:uid="{00000000-0005-0000-0000-0000EF920000}"/>
    <cellStyle name="Normal 3 4 6 2 6 2" xfId="44852" xr:uid="{00000000-0005-0000-0000-0000F0920000}"/>
    <cellStyle name="Normal 3 4 6 2 7" xfId="31290" xr:uid="{00000000-0005-0000-0000-0000F1920000}"/>
    <cellStyle name="Normal 3 4 6 3" xfId="6075" xr:uid="{00000000-0005-0000-0000-0000F2920000}"/>
    <cellStyle name="Normal 3 4 6 3 2" xfId="9618" xr:uid="{00000000-0005-0000-0000-0000F3920000}"/>
    <cellStyle name="Normal 3 4 6 3 2 2" xfId="16408" xr:uid="{00000000-0005-0000-0000-0000F4920000}"/>
    <cellStyle name="Normal 3 4 6 3 2 2 2" xfId="29976" xr:uid="{00000000-0005-0000-0000-0000F5920000}"/>
    <cellStyle name="Normal 3 4 6 3 2 2 2 2" xfId="57109" xr:uid="{00000000-0005-0000-0000-0000F6920000}"/>
    <cellStyle name="Normal 3 4 6 3 2 2 3" xfId="43547" xr:uid="{00000000-0005-0000-0000-0000F7920000}"/>
    <cellStyle name="Normal 3 4 6 3 2 3" xfId="23195" xr:uid="{00000000-0005-0000-0000-0000F8920000}"/>
    <cellStyle name="Normal 3 4 6 3 2 3 2" xfId="50328" xr:uid="{00000000-0005-0000-0000-0000F9920000}"/>
    <cellStyle name="Normal 3 4 6 3 2 4" xfId="36766" xr:uid="{00000000-0005-0000-0000-0000FA920000}"/>
    <cellStyle name="Normal 3 4 6 3 3" xfId="13019" xr:uid="{00000000-0005-0000-0000-0000FB920000}"/>
    <cellStyle name="Normal 3 4 6 3 3 2" xfId="26587" xr:uid="{00000000-0005-0000-0000-0000FC920000}"/>
    <cellStyle name="Normal 3 4 6 3 3 2 2" xfId="53720" xr:uid="{00000000-0005-0000-0000-0000FD920000}"/>
    <cellStyle name="Normal 3 4 6 3 3 3" xfId="40158" xr:uid="{00000000-0005-0000-0000-0000FE920000}"/>
    <cellStyle name="Normal 3 4 6 3 4" xfId="19806" xr:uid="{00000000-0005-0000-0000-0000FF920000}"/>
    <cellStyle name="Normal 3 4 6 3 4 2" xfId="46939" xr:uid="{00000000-0005-0000-0000-000000930000}"/>
    <cellStyle name="Normal 3 4 6 3 5" xfId="33377" xr:uid="{00000000-0005-0000-0000-000001930000}"/>
    <cellStyle name="Normal 3 4 6 4" xfId="6076" xr:uid="{00000000-0005-0000-0000-000002930000}"/>
    <cellStyle name="Normal 3 4 6 4 2" xfId="9619" xr:uid="{00000000-0005-0000-0000-000003930000}"/>
    <cellStyle name="Normal 3 4 6 4 2 2" xfId="16409" xr:uid="{00000000-0005-0000-0000-000004930000}"/>
    <cellStyle name="Normal 3 4 6 4 2 2 2" xfId="29977" xr:uid="{00000000-0005-0000-0000-000005930000}"/>
    <cellStyle name="Normal 3 4 6 4 2 2 2 2" xfId="57110" xr:uid="{00000000-0005-0000-0000-000006930000}"/>
    <cellStyle name="Normal 3 4 6 4 2 2 3" xfId="43548" xr:uid="{00000000-0005-0000-0000-000007930000}"/>
    <cellStyle name="Normal 3 4 6 4 2 3" xfId="23196" xr:uid="{00000000-0005-0000-0000-000008930000}"/>
    <cellStyle name="Normal 3 4 6 4 2 3 2" xfId="50329" xr:uid="{00000000-0005-0000-0000-000009930000}"/>
    <cellStyle name="Normal 3 4 6 4 2 4" xfId="36767" xr:uid="{00000000-0005-0000-0000-00000A930000}"/>
    <cellStyle name="Normal 3 4 6 4 3" xfId="13020" xr:uid="{00000000-0005-0000-0000-00000B930000}"/>
    <cellStyle name="Normal 3 4 6 4 3 2" xfId="26588" xr:uid="{00000000-0005-0000-0000-00000C930000}"/>
    <cellStyle name="Normal 3 4 6 4 3 2 2" xfId="53721" xr:uid="{00000000-0005-0000-0000-00000D930000}"/>
    <cellStyle name="Normal 3 4 6 4 3 3" xfId="40159" xr:uid="{00000000-0005-0000-0000-00000E930000}"/>
    <cellStyle name="Normal 3 4 6 4 4" xfId="19807" xr:uid="{00000000-0005-0000-0000-00000F930000}"/>
    <cellStyle name="Normal 3 4 6 4 4 2" xfId="46940" xr:uid="{00000000-0005-0000-0000-000010930000}"/>
    <cellStyle name="Normal 3 4 6 4 5" xfId="33378" xr:uid="{00000000-0005-0000-0000-000011930000}"/>
    <cellStyle name="Normal 3 4 6 5" xfId="7530" xr:uid="{00000000-0005-0000-0000-000012930000}"/>
    <cellStyle name="Normal 3 4 6 5 2" xfId="14320" xr:uid="{00000000-0005-0000-0000-000013930000}"/>
    <cellStyle name="Normal 3 4 6 5 2 2" xfId="27888" xr:uid="{00000000-0005-0000-0000-000014930000}"/>
    <cellStyle name="Normal 3 4 6 5 2 2 2" xfId="55021" xr:uid="{00000000-0005-0000-0000-000015930000}"/>
    <cellStyle name="Normal 3 4 6 5 2 3" xfId="41459" xr:uid="{00000000-0005-0000-0000-000016930000}"/>
    <cellStyle name="Normal 3 4 6 5 3" xfId="21107" xr:uid="{00000000-0005-0000-0000-000017930000}"/>
    <cellStyle name="Normal 3 4 6 5 3 2" xfId="48240" xr:uid="{00000000-0005-0000-0000-000018930000}"/>
    <cellStyle name="Normal 3 4 6 5 4" xfId="34678" xr:uid="{00000000-0005-0000-0000-000019930000}"/>
    <cellStyle name="Normal 3 4 6 6" xfId="10931" xr:uid="{00000000-0005-0000-0000-00001A930000}"/>
    <cellStyle name="Normal 3 4 6 6 2" xfId="24499" xr:uid="{00000000-0005-0000-0000-00001B930000}"/>
    <cellStyle name="Normal 3 4 6 6 2 2" xfId="51632" xr:uid="{00000000-0005-0000-0000-00001C930000}"/>
    <cellStyle name="Normal 3 4 6 6 3" xfId="38070" xr:uid="{00000000-0005-0000-0000-00001D930000}"/>
    <cellStyle name="Normal 3 4 6 7" xfId="17718" xr:uid="{00000000-0005-0000-0000-00001E930000}"/>
    <cellStyle name="Normal 3 4 6 7 2" xfId="44851" xr:uid="{00000000-0005-0000-0000-00001F930000}"/>
    <cellStyle name="Normal 3 4 6 8" xfId="31289" xr:uid="{00000000-0005-0000-0000-000020930000}"/>
    <cellStyle name="Normal 3 4 7" xfId="2719" xr:uid="{00000000-0005-0000-0000-000021930000}"/>
    <cellStyle name="Normal 3 4 7 2" xfId="2720" xr:uid="{00000000-0005-0000-0000-000022930000}"/>
    <cellStyle name="Normal 3 4 7 2 2" xfId="6077" xr:uid="{00000000-0005-0000-0000-000023930000}"/>
    <cellStyle name="Normal 3 4 7 2 2 2" xfId="9620" xr:uid="{00000000-0005-0000-0000-000024930000}"/>
    <cellStyle name="Normal 3 4 7 2 2 2 2" xfId="16410" xr:uid="{00000000-0005-0000-0000-000025930000}"/>
    <cellStyle name="Normal 3 4 7 2 2 2 2 2" xfId="29978" xr:uid="{00000000-0005-0000-0000-000026930000}"/>
    <cellStyle name="Normal 3 4 7 2 2 2 2 2 2" xfId="57111" xr:uid="{00000000-0005-0000-0000-000027930000}"/>
    <cellStyle name="Normal 3 4 7 2 2 2 2 3" xfId="43549" xr:uid="{00000000-0005-0000-0000-000028930000}"/>
    <cellStyle name="Normal 3 4 7 2 2 2 3" xfId="23197" xr:uid="{00000000-0005-0000-0000-000029930000}"/>
    <cellStyle name="Normal 3 4 7 2 2 2 3 2" xfId="50330" xr:uid="{00000000-0005-0000-0000-00002A930000}"/>
    <cellStyle name="Normal 3 4 7 2 2 2 4" xfId="36768" xr:uid="{00000000-0005-0000-0000-00002B930000}"/>
    <cellStyle name="Normal 3 4 7 2 2 3" xfId="13021" xr:uid="{00000000-0005-0000-0000-00002C930000}"/>
    <cellStyle name="Normal 3 4 7 2 2 3 2" xfId="26589" xr:uid="{00000000-0005-0000-0000-00002D930000}"/>
    <cellStyle name="Normal 3 4 7 2 2 3 2 2" xfId="53722" xr:uid="{00000000-0005-0000-0000-00002E930000}"/>
    <cellStyle name="Normal 3 4 7 2 2 3 3" xfId="40160" xr:uid="{00000000-0005-0000-0000-00002F930000}"/>
    <cellStyle name="Normal 3 4 7 2 2 4" xfId="19808" xr:uid="{00000000-0005-0000-0000-000030930000}"/>
    <cellStyle name="Normal 3 4 7 2 2 4 2" xfId="46941" xr:uid="{00000000-0005-0000-0000-000031930000}"/>
    <cellStyle name="Normal 3 4 7 2 2 5" xfId="33379" xr:uid="{00000000-0005-0000-0000-000032930000}"/>
    <cellStyle name="Normal 3 4 7 2 3" xfId="6078" xr:uid="{00000000-0005-0000-0000-000033930000}"/>
    <cellStyle name="Normal 3 4 7 2 3 2" xfId="9621" xr:uid="{00000000-0005-0000-0000-000034930000}"/>
    <cellStyle name="Normal 3 4 7 2 3 2 2" xfId="16411" xr:uid="{00000000-0005-0000-0000-000035930000}"/>
    <cellStyle name="Normal 3 4 7 2 3 2 2 2" xfId="29979" xr:uid="{00000000-0005-0000-0000-000036930000}"/>
    <cellStyle name="Normal 3 4 7 2 3 2 2 2 2" xfId="57112" xr:uid="{00000000-0005-0000-0000-000037930000}"/>
    <cellStyle name="Normal 3 4 7 2 3 2 2 3" xfId="43550" xr:uid="{00000000-0005-0000-0000-000038930000}"/>
    <cellStyle name="Normal 3 4 7 2 3 2 3" xfId="23198" xr:uid="{00000000-0005-0000-0000-000039930000}"/>
    <cellStyle name="Normal 3 4 7 2 3 2 3 2" xfId="50331" xr:uid="{00000000-0005-0000-0000-00003A930000}"/>
    <cellStyle name="Normal 3 4 7 2 3 2 4" xfId="36769" xr:uid="{00000000-0005-0000-0000-00003B930000}"/>
    <cellStyle name="Normal 3 4 7 2 3 3" xfId="13022" xr:uid="{00000000-0005-0000-0000-00003C930000}"/>
    <cellStyle name="Normal 3 4 7 2 3 3 2" xfId="26590" xr:uid="{00000000-0005-0000-0000-00003D930000}"/>
    <cellStyle name="Normal 3 4 7 2 3 3 2 2" xfId="53723" xr:uid="{00000000-0005-0000-0000-00003E930000}"/>
    <cellStyle name="Normal 3 4 7 2 3 3 3" xfId="40161" xr:uid="{00000000-0005-0000-0000-00003F930000}"/>
    <cellStyle name="Normal 3 4 7 2 3 4" xfId="19809" xr:uid="{00000000-0005-0000-0000-000040930000}"/>
    <cellStyle name="Normal 3 4 7 2 3 4 2" xfId="46942" xr:uid="{00000000-0005-0000-0000-000041930000}"/>
    <cellStyle name="Normal 3 4 7 2 3 5" xfId="33380" xr:uid="{00000000-0005-0000-0000-000042930000}"/>
    <cellStyle name="Normal 3 4 7 2 4" xfId="7533" xr:uid="{00000000-0005-0000-0000-000043930000}"/>
    <cellStyle name="Normal 3 4 7 2 4 2" xfId="14323" xr:uid="{00000000-0005-0000-0000-000044930000}"/>
    <cellStyle name="Normal 3 4 7 2 4 2 2" xfId="27891" xr:uid="{00000000-0005-0000-0000-000045930000}"/>
    <cellStyle name="Normal 3 4 7 2 4 2 2 2" xfId="55024" xr:uid="{00000000-0005-0000-0000-000046930000}"/>
    <cellStyle name="Normal 3 4 7 2 4 2 3" xfId="41462" xr:uid="{00000000-0005-0000-0000-000047930000}"/>
    <cellStyle name="Normal 3 4 7 2 4 3" xfId="21110" xr:uid="{00000000-0005-0000-0000-000048930000}"/>
    <cellStyle name="Normal 3 4 7 2 4 3 2" xfId="48243" xr:uid="{00000000-0005-0000-0000-000049930000}"/>
    <cellStyle name="Normal 3 4 7 2 4 4" xfId="34681" xr:uid="{00000000-0005-0000-0000-00004A930000}"/>
    <cellStyle name="Normal 3 4 7 2 5" xfId="10934" xr:uid="{00000000-0005-0000-0000-00004B930000}"/>
    <cellStyle name="Normal 3 4 7 2 5 2" xfId="24502" xr:uid="{00000000-0005-0000-0000-00004C930000}"/>
    <cellStyle name="Normal 3 4 7 2 5 2 2" xfId="51635" xr:uid="{00000000-0005-0000-0000-00004D930000}"/>
    <cellStyle name="Normal 3 4 7 2 5 3" xfId="38073" xr:uid="{00000000-0005-0000-0000-00004E930000}"/>
    <cellStyle name="Normal 3 4 7 2 6" xfId="17721" xr:uid="{00000000-0005-0000-0000-00004F930000}"/>
    <cellStyle name="Normal 3 4 7 2 6 2" xfId="44854" xr:uid="{00000000-0005-0000-0000-000050930000}"/>
    <cellStyle name="Normal 3 4 7 2 7" xfId="31292" xr:uid="{00000000-0005-0000-0000-000051930000}"/>
    <cellStyle name="Normal 3 4 7 3" xfId="6079" xr:uid="{00000000-0005-0000-0000-000052930000}"/>
    <cellStyle name="Normal 3 4 7 3 2" xfId="9622" xr:uid="{00000000-0005-0000-0000-000053930000}"/>
    <cellStyle name="Normal 3 4 7 3 2 2" xfId="16412" xr:uid="{00000000-0005-0000-0000-000054930000}"/>
    <cellStyle name="Normal 3 4 7 3 2 2 2" xfId="29980" xr:uid="{00000000-0005-0000-0000-000055930000}"/>
    <cellStyle name="Normal 3 4 7 3 2 2 2 2" xfId="57113" xr:uid="{00000000-0005-0000-0000-000056930000}"/>
    <cellStyle name="Normal 3 4 7 3 2 2 3" xfId="43551" xr:uid="{00000000-0005-0000-0000-000057930000}"/>
    <cellStyle name="Normal 3 4 7 3 2 3" xfId="23199" xr:uid="{00000000-0005-0000-0000-000058930000}"/>
    <cellStyle name="Normal 3 4 7 3 2 3 2" xfId="50332" xr:uid="{00000000-0005-0000-0000-000059930000}"/>
    <cellStyle name="Normal 3 4 7 3 2 4" xfId="36770" xr:uid="{00000000-0005-0000-0000-00005A930000}"/>
    <cellStyle name="Normal 3 4 7 3 3" xfId="13023" xr:uid="{00000000-0005-0000-0000-00005B930000}"/>
    <cellStyle name="Normal 3 4 7 3 3 2" xfId="26591" xr:uid="{00000000-0005-0000-0000-00005C930000}"/>
    <cellStyle name="Normal 3 4 7 3 3 2 2" xfId="53724" xr:uid="{00000000-0005-0000-0000-00005D930000}"/>
    <cellStyle name="Normal 3 4 7 3 3 3" xfId="40162" xr:uid="{00000000-0005-0000-0000-00005E930000}"/>
    <cellStyle name="Normal 3 4 7 3 4" xfId="19810" xr:uid="{00000000-0005-0000-0000-00005F930000}"/>
    <cellStyle name="Normal 3 4 7 3 4 2" xfId="46943" xr:uid="{00000000-0005-0000-0000-000060930000}"/>
    <cellStyle name="Normal 3 4 7 3 5" xfId="33381" xr:uid="{00000000-0005-0000-0000-000061930000}"/>
    <cellStyle name="Normal 3 4 7 4" xfId="6080" xr:uid="{00000000-0005-0000-0000-000062930000}"/>
    <cellStyle name="Normal 3 4 7 4 2" xfId="9623" xr:uid="{00000000-0005-0000-0000-000063930000}"/>
    <cellStyle name="Normal 3 4 7 4 2 2" xfId="16413" xr:uid="{00000000-0005-0000-0000-000064930000}"/>
    <cellStyle name="Normal 3 4 7 4 2 2 2" xfId="29981" xr:uid="{00000000-0005-0000-0000-000065930000}"/>
    <cellStyle name="Normal 3 4 7 4 2 2 2 2" xfId="57114" xr:uid="{00000000-0005-0000-0000-000066930000}"/>
    <cellStyle name="Normal 3 4 7 4 2 2 3" xfId="43552" xr:uid="{00000000-0005-0000-0000-000067930000}"/>
    <cellStyle name="Normal 3 4 7 4 2 3" xfId="23200" xr:uid="{00000000-0005-0000-0000-000068930000}"/>
    <cellStyle name="Normal 3 4 7 4 2 3 2" xfId="50333" xr:uid="{00000000-0005-0000-0000-000069930000}"/>
    <cellStyle name="Normal 3 4 7 4 2 4" xfId="36771" xr:uid="{00000000-0005-0000-0000-00006A930000}"/>
    <cellStyle name="Normal 3 4 7 4 3" xfId="13024" xr:uid="{00000000-0005-0000-0000-00006B930000}"/>
    <cellStyle name="Normal 3 4 7 4 3 2" xfId="26592" xr:uid="{00000000-0005-0000-0000-00006C930000}"/>
    <cellStyle name="Normal 3 4 7 4 3 2 2" xfId="53725" xr:uid="{00000000-0005-0000-0000-00006D930000}"/>
    <cellStyle name="Normal 3 4 7 4 3 3" xfId="40163" xr:uid="{00000000-0005-0000-0000-00006E930000}"/>
    <cellStyle name="Normal 3 4 7 4 4" xfId="19811" xr:uid="{00000000-0005-0000-0000-00006F930000}"/>
    <cellStyle name="Normal 3 4 7 4 4 2" xfId="46944" xr:uid="{00000000-0005-0000-0000-000070930000}"/>
    <cellStyle name="Normal 3 4 7 4 5" xfId="33382" xr:uid="{00000000-0005-0000-0000-000071930000}"/>
    <cellStyle name="Normal 3 4 7 5" xfId="7532" xr:uid="{00000000-0005-0000-0000-000072930000}"/>
    <cellStyle name="Normal 3 4 7 5 2" xfId="14322" xr:uid="{00000000-0005-0000-0000-000073930000}"/>
    <cellStyle name="Normal 3 4 7 5 2 2" xfId="27890" xr:uid="{00000000-0005-0000-0000-000074930000}"/>
    <cellStyle name="Normal 3 4 7 5 2 2 2" xfId="55023" xr:uid="{00000000-0005-0000-0000-000075930000}"/>
    <cellStyle name="Normal 3 4 7 5 2 3" xfId="41461" xr:uid="{00000000-0005-0000-0000-000076930000}"/>
    <cellStyle name="Normal 3 4 7 5 3" xfId="21109" xr:uid="{00000000-0005-0000-0000-000077930000}"/>
    <cellStyle name="Normal 3 4 7 5 3 2" xfId="48242" xr:uid="{00000000-0005-0000-0000-000078930000}"/>
    <cellStyle name="Normal 3 4 7 5 4" xfId="34680" xr:uid="{00000000-0005-0000-0000-000079930000}"/>
    <cellStyle name="Normal 3 4 7 6" xfId="10933" xr:uid="{00000000-0005-0000-0000-00007A930000}"/>
    <cellStyle name="Normal 3 4 7 6 2" xfId="24501" xr:uid="{00000000-0005-0000-0000-00007B930000}"/>
    <cellStyle name="Normal 3 4 7 6 2 2" xfId="51634" xr:uid="{00000000-0005-0000-0000-00007C930000}"/>
    <cellStyle name="Normal 3 4 7 6 3" xfId="38072" xr:uid="{00000000-0005-0000-0000-00007D930000}"/>
    <cellStyle name="Normal 3 4 7 7" xfId="17720" xr:uid="{00000000-0005-0000-0000-00007E930000}"/>
    <cellStyle name="Normal 3 4 7 7 2" xfId="44853" xr:uid="{00000000-0005-0000-0000-00007F930000}"/>
    <cellStyle name="Normal 3 4 7 8" xfId="31291" xr:uid="{00000000-0005-0000-0000-000080930000}"/>
    <cellStyle name="Normal 3 4 8" xfId="2721" xr:uid="{00000000-0005-0000-0000-000081930000}"/>
    <cellStyle name="Normal 3 4 8 2" xfId="2722" xr:uid="{00000000-0005-0000-0000-000082930000}"/>
    <cellStyle name="Normal 3 4 8 2 2" xfId="7535" xr:uid="{00000000-0005-0000-0000-000083930000}"/>
    <cellStyle name="Normal 3 4 8 2 2 2" xfId="14325" xr:uid="{00000000-0005-0000-0000-000084930000}"/>
    <cellStyle name="Normal 3 4 8 2 2 2 2" xfId="27893" xr:uid="{00000000-0005-0000-0000-000085930000}"/>
    <cellStyle name="Normal 3 4 8 2 2 2 2 2" xfId="55026" xr:uid="{00000000-0005-0000-0000-000086930000}"/>
    <cellStyle name="Normal 3 4 8 2 2 2 3" xfId="41464" xr:uid="{00000000-0005-0000-0000-000087930000}"/>
    <cellStyle name="Normal 3 4 8 2 2 3" xfId="21112" xr:uid="{00000000-0005-0000-0000-000088930000}"/>
    <cellStyle name="Normal 3 4 8 2 2 3 2" xfId="48245" xr:uid="{00000000-0005-0000-0000-000089930000}"/>
    <cellStyle name="Normal 3 4 8 2 2 4" xfId="34683" xr:uid="{00000000-0005-0000-0000-00008A930000}"/>
    <cellStyle name="Normal 3 4 8 2 3" xfId="10936" xr:uid="{00000000-0005-0000-0000-00008B930000}"/>
    <cellStyle name="Normal 3 4 8 2 3 2" xfId="24504" xr:uid="{00000000-0005-0000-0000-00008C930000}"/>
    <cellStyle name="Normal 3 4 8 2 3 2 2" xfId="51637" xr:uid="{00000000-0005-0000-0000-00008D930000}"/>
    <cellStyle name="Normal 3 4 8 2 3 3" xfId="38075" xr:uid="{00000000-0005-0000-0000-00008E930000}"/>
    <cellStyle name="Normal 3 4 8 2 4" xfId="17723" xr:uid="{00000000-0005-0000-0000-00008F930000}"/>
    <cellStyle name="Normal 3 4 8 2 4 2" xfId="44856" xr:uid="{00000000-0005-0000-0000-000090930000}"/>
    <cellStyle name="Normal 3 4 8 2 5" xfId="31294" xr:uid="{00000000-0005-0000-0000-000091930000}"/>
    <cellStyle name="Normal 3 4 8 3" xfId="6081" xr:uid="{00000000-0005-0000-0000-000092930000}"/>
    <cellStyle name="Normal 3 4 8 3 2" xfId="9624" xr:uid="{00000000-0005-0000-0000-000093930000}"/>
    <cellStyle name="Normal 3 4 8 3 2 2" xfId="16414" xr:uid="{00000000-0005-0000-0000-000094930000}"/>
    <cellStyle name="Normal 3 4 8 3 2 2 2" xfId="29982" xr:uid="{00000000-0005-0000-0000-000095930000}"/>
    <cellStyle name="Normal 3 4 8 3 2 2 2 2" xfId="57115" xr:uid="{00000000-0005-0000-0000-000096930000}"/>
    <cellStyle name="Normal 3 4 8 3 2 2 3" xfId="43553" xr:uid="{00000000-0005-0000-0000-000097930000}"/>
    <cellStyle name="Normal 3 4 8 3 2 3" xfId="23201" xr:uid="{00000000-0005-0000-0000-000098930000}"/>
    <cellStyle name="Normal 3 4 8 3 2 3 2" xfId="50334" xr:uid="{00000000-0005-0000-0000-000099930000}"/>
    <cellStyle name="Normal 3 4 8 3 2 4" xfId="36772" xr:uid="{00000000-0005-0000-0000-00009A930000}"/>
    <cellStyle name="Normal 3 4 8 3 3" xfId="13025" xr:uid="{00000000-0005-0000-0000-00009B930000}"/>
    <cellStyle name="Normal 3 4 8 3 3 2" xfId="26593" xr:uid="{00000000-0005-0000-0000-00009C930000}"/>
    <cellStyle name="Normal 3 4 8 3 3 2 2" xfId="53726" xr:uid="{00000000-0005-0000-0000-00009D930000}"/>
    <cellStyle name="Normal 3 4 8 3 3 3" xfId="40164" xr:uid="{00000000-0005-0000-0000-00009E930000}"/>
    <cellStyle name="Normal 3 4 8 3 4" xfId="19812" xr:uid="{00000000-0005-0000-0000-00009F930000}"/>
    <cellStyle name="Normal 3 4 8 3 4 2" xfId="46945" xr:uid="{00000000-0005-0000-0000-0000A0930000}"/>
    <cellStyle name="Normal 3 4 8 3 5" xfId="33383" xr:uid="{00000000-0005-0000-0000-0000A1930000}"/>
    <cellStyle name="Normal 3 4 8 4" xfId="7534" xr:uid="{00000000-0005-0000-0000-0000A2930000}"/>
    <cellStyle name="Normal 3 4 8 4 2" xfId="14324" xr:uid="{00000000-0005-0000-0000-0000A3930000}"/>
    <cellStyle name="Normal 3 4 8 4 2 2" xfId="27892" xr:uid="{00000000-0005-0000-0000-0000A4930000}"/>
    <cellStyle name="Normal 3 4 8 4 2 2 2" xfId="55025" xr:uid="{00000000-0005-0000-0000-0000A5930000}"/>
    <cellStyle name="Normal 3 4 8 4 2 3" xfId="41463" xr:uid="{00000000-0005-0000-0000-0000A6930000}"/>
    <cellStyle name="Normal 3 4 8 4 3" xfId="21111" xr:uid="{00000000-0005-0000-0000-0000A7930000}"/>
    <cellStyle name="Normal 3 4 8 4 3 2" xfId="48244" xr:uid="{00000000-0005-0000-0000-0000A8930000}"/>
    <cellStyle name="Normal 3 4 8 4 4" xfId="34682" xr:uid="{00000000-0005-0000-0000-0000A9930000}"/>
    <cellStyle name="Normal 3 4 8 5" xfId="10935" xr:uid="{00000000-0005-0000-0000-0000AA930000}"/>
    <cellStyle name="Normal 3 4 8 5 2" xfId="24503" xr:uid="{00000000-0005-0000-0000-0000AB930000}"/>
    <cellStyle name="Normal 3 4 8 5 2 2" xfId="51636" xr:uid="{00000000-0005-0000-0000-0000AC930000}"/>
    <cellStyle name="Normal 3 4 8 5 3" xfId="38074" xr:uid="{00000000-0005-0000-0000-0000AD930000}"/>
    <cellStyle name="Normal 3 4 8 6" xfId="17722" xr:uid="{00000000-0005-0000-0000-0000AE930000}"/>
    <cellStyle name="Normal 3 4 8 6 2" xfId="44855" xr:uid="{00000000-0005-0000-0000-0000AF930000}"/>
    <cellStyle name="Normal 3 4 8 7" xfId="31293" xr:uid="{00000000-0005-0000-0000-0000B0930000}"/>
    <cellStyle name="Normal 3 4 9" xfId="2723" xr:uid="{00000000-0005-0000-0000-0000B1930000}"/>
    <cellStyle name="Normal 3 4 9 2" xfId="6082" xr:uid="{00000000-0005-0000-0000-0000B2930000}"/>
    <cellStyle name="Normal 3 4 9 2 2" xfId="9625" xr:uid="{00000000-0005-0000-0000-0000B3930000}"/>
    <cellStyle name="Normal 3 4 9 2 2 2" xfId="16415" xr:uid="{00000000-0005-0000-0000-0000B4930000}"/>
    <cellStyle name="Normal 3 4 9 2 2 2 2" xfId="29983" xr:uid="{00000000-0005-0000-0000-0000B5930000}"/>
    <cellStyle name="Normal 3 4 9 2 2 2 2 2" xfId="57116" xr:uid="{00000000-0005-0000-0000-0000B6930000}"/>
    <cellStyle name="Normal 3 4 9 2 2 2 3" xfId="43554" xr:uid="{00000000-0005-0000-0000-0000B7930000}"/>
    <cellStyle name="Normal 3 4 9 2 2 3" xfId="23202" xr:uid="{00000000-0005-0000-0000-0000B8930000}"/>
    <cellStyle name="Normal 3 4 9 2 2 3 2" xfId="50335" xr:uid="{00000000-0005-0000-0000-0000B9930000}"/>
    <cellStyle name="Normal 3 4 9 2 2 4" xfId="36773" xr:uid="{00000000-0005-0000-0000-0000BA930000}"/>
    <cellStyle name="Normal 3 4 9 2 3" xfId="13026" xr:uid="{00000000-0005-0000-0000-0000BB930000}"/>
    <cellStyle name="Normal 3 4 9 2 3 2" xfId="26594" xr:uid="{00000000-0005-0000-0000-0000BC930000}"/>
    <cellStyle name="Normal 3 4 9 2 3 2 2" xfId="53727" xr:uid="{00000000-0005-0000-0000-0000BD930000}"/>
    <cellStyle name="Normal 3 4 9 2 3 3" xfId="40165" xr:uid="{00000000-0005-0000-0000-0000BE930000}"/>
    <cellStyle name="Normal 3 4 9 2 4" xfId="19813" xr:uid="{00000000-0005-0000-0000-0000BF930000}"/>
    <cellStyle name="Normal 3 4 9 2 4 2" xfId="46946" xr:uid="{00000000-0005-0000-0000-0000C0930000}"/>
    <cellStyle name="Normal 3 4 9 2 5" xfId="33384" xr:uid="{00000000-0005-0000-0000-0000C1930000}"/>
    <cellStyle name="Normal 3 4 9 3" xfId="6083" xr:uid="{00000000-0005-0000-0000-0000C2930000}"/>
    <cellStyle name="Normal 3 4 9 3 2" xfId="9626" xr:uid="{00000000-0005-0000-0000-0000C3930000}"/>
    <cellStyle name="Normal 3 4 9 3 2 2" xfId="16416" xr:uid="{00000000-0005-0000-0000-0000C4930000}"/>
    <cellStyle name="Normal 3 4 9 3 2 2 2" xfId="29984" xr:uid="{00000000-0005-0000-0000-0000C5930000}"/>
    <cellStyle name="Normal 3 4 9 3 2 2 2 2" xfId="57117" xr:uid="{00000000-0005-0000-0000-0000C6930000}"/>
    <cellStyle name="Normal 3 4 9 3 2 2 3" xfId="43555" xr:uid="{00000000-0005-0000-0000-0000C7930000}"/>
    <cellStyle name="Normal 3 4 9 3 2 3" xfId="23203" xr:uid="{00000000-0005-0000-0000-0000C8930000}"/>
    <cellStyle name="Normal 3 4 9 3 2 3 2" xfId="50336" xr:uid="{00000000-0005-0000-0000-0000C9930000}"/>
    <cellStyle name="Normal 3 4 9 3 2 4" xfId="36774" xr:uid="{00000000-0005-0000-0000-0000CA930000}"/>
    <cellStyle name="Normal 3 4 9 3 3" xfId="13027" xr:uid="{00000000-0005-0000-0000-0000CB930000}"/>
    <cellStyle name="Normal 3 4 9 3 3 2" xfId="26595" xr:uid="{00000000-0005-0000-0000-0000CC930000}"/>
    <cellStyle name="Normal 3 4 9 3 3 2 2" xfId="53728" xr:uid="{00000000-0005-0000-0000-0000CD930000}"/>
    <cellStyle name="Normal 3 4 9 3 3 3" xfId="40166" xr:uid="{00000000-0005-0000-0000-0000CE930000}"/>
    <cellStyle name="Normal 3 4 9 3 4" xfId="19814" xr:uid="{00000000-0005-0000-0000-0000CF930000}"/>
    <cellStyle name="Normal 3 4 9 3 4 2" xfId="46947" xr:uid="{00000000-0005-0000-0000-0000D0930000}"/>
    <cellStyle name="Normal 3 4 9 3 5" xfId="33385" xr:uid="{00000000-0005-0000-0000-0000D1930000}"/>
    <cellStyle name="Normal 3 4 9 4" xfId="7536" xr:uid="{00000000-0005-0000-0000-0000D2930000}"/>
    <cellStyle name="Normal 3 4 9 4 2" xfId="14326" xr:uid="{00000000-0005-0000-0000-0000D3930000}"/>
    <cellStyle name="Normal 3 4 9 4 2 2" xfId="27894" xr:uid="{00000000-0005-0000-0000-0000D4930000}"/>
    <cellStyle name="Normal 3 4 9 4 2 2 2" xfId="55027" xr:uid="{00000000-0005-0000-0000-0000D5930000}"/>
    <cellStyle name="Normal 3 4 9 4 2 3" xfId="41465" xr:uid="{00000000-0005-0000-0000-0000D6930000}"/>
    <cellStyle name="Normal 3 4 9 4 3" xfId="21113" xr:uid="{00000000-0005-0000-0000-0000D7930000}"/>
    <cellStyle name="Normal 3 4 9 4 3 2" xfId="48246" xr:uid="{00000000-0005-0000-0000-0000D8930000}"/>
    <cellStyle name="Normal 3 4 9 4 4" xfId="34684" xr:uid="{00000000-0005-0000-0000-0000D9930000}"/>
    <cellStyle name="Normal 3 4 9 5" xfId="10937" xr:uid="{00000000-0005-0000-0000-0000DA930000}"/>
    <cellStyle name="Normal 3 4 9 5 2" xfId="24505" xr:uid="{00000000-0005-0000-0000-0000DB930000}"/>
    <cellStyle name="Normal 3 4 9 5 2 2" xfId="51638" xr:uid="{00000000-0005-0000-0000-0000DC930000}"/>
    <cellStyle name="Normal 3 4 9 5 3" xfId="38076" xr:uid="{00000000-0005-0000-0000-0000DD930000}"/>
    <cellStyle name="Normal 3 4 9 6" xfId="17724" xr:uid="{00000000-0005-0000-0000-0000DE930000}"/>
    <cellStyle name="Normal 3 4 9 6 2" xfId="44857" xr:uid="{00000000-0005-0000-0000-0000DF930000}"/>
    <cellStyle name="Normal 3 4 9 7" xfId="31295" xr:uid="{00000000-0005-0000-0000-0000E0930000}"/>
    <cellStyle name="Normal 3 5" xfId="2724" xr:uid="{00000000-0005-0000-0000-0000E1930000}"/>
    <cellStyle name="Normal 3 5 10" xfId="6084" xr:uid="{00000000-0005-0000-0000-0000E2930000}"/>
    <cellStyle name="Normal 3 5 10 2" xfId="9627" xr:uid="{00000000-0005-0000-0000-0000E3930000}"/>
    <cellStyle name="Normal 3 5 10 2 2" xfId="16417" xr:uid="{00000000-0005-0000-0000-0000E4930000}"/>
    <cellStyle name="Normal 3 5 10 2 2 2" xfId="29985" xr:uid="{00000000-0005-0000-0000-0000E5930000}"/>
    <cellStyle name="Normal 3 5 10 2 2 2 2" xfId="57118" xr:uid="{00000000-0005-0000-0000-0000E6930000}"/>
    <cellStyle name="Normal 3 5 10 2 2 3" xfId="43556" xr:uid="{00000000-0005-0000-0000-0000E7930000}"/>
    <cellStyle name="Normal 3 5 10 2 3" xfId="23204" xr:uid="{00000000-0005-0000-0000-0000E8930000}"/>
    <cellStyle name="Normal 3 5 10 2 3 2" xfId="50337" xr:uid="{00000000-0005-0000-0000-0000E9930000}"/>
    <cellStyle name="Normal 3 5 10 2 4" xfId="36775" xr:uid="{00000000-0005-0000-0000-0000EA930000}"/>
    <cellStyle name="Normal 3 5 10 3" xfId="13028" xr:uid="{00000000-0005-0000-0000-0000EB930000}"/>
    <cellStyle name="Normal 3 5 10 3 2" xfId="26596" xr:uid="{00000000-0005-0000-0000-0000EC930000}"/>
    <cellStyle name="Normal 3 5 10 3 2 2" xfId="53729" xr:uid="{00000000-0005-0000-0000-0000ED930000}"/>
    <cellStyle name="Normal 3 5 10 3 3" xfId="40167" xr:uid="{00000000-0005-0000-0000-0000EE930000}"/>
    <cellStyle name="Normal 3 5 10 4" xfId="19815" xr:uid="{00000000-0005-0000-0000-0000EF930000}"/>
    <cellStyle name="Normal 3 5 10 4 2" xfId="46948" xr:uid="{00000000-0005-0000-0000-0000F0930000}"/>
    <cellStyle name="Normal 3 5 10 5" xfId="33386" xr:uid="{00000000-0005-0000-0000-0000F1930000}"/>
    <cellStyle name="Normal 3 5 11" xfId="7537" xr:uid="{00000000-0005-0000-0000-0000F2930000}"/>
    <cellStyle name="Normal 3 5 11 2" xfId="14327" xr:uid="{00000000-0005-0000-0000-0000F3930000}"/>
    <cellStyle name="Normal 3 5 11 2 2" xfId="27895" xr:uid="{00000000-0005-0000-0000-0000F4930000}"/>
    <cellStyle name="Normal 3 5 11 2 2 2" xfId="55028" xr:uid="{00000000-0005-0000-0000-0000F5930000}"/>
    <cellStyle name="Normal 3 5 11 2 3" xfId="41466" xr:uid="{00000000-0005-0000-0000-0000F6930000}"/>
    <cellStyle name="Normal 3 5 11 3" xfId="21114" xr:uid="{00000000-0005-0000-0000-0000F7930000}"/>
    <cellStyle name="Normal 3 5 11 3 2" xfId="48247" xr:uid="{00000000-0005-0000-0000-0000F8930000}"/>
    <cellStyle name="Normal 3 5 11 4" xfId="34685" xr:uid="{00000000-0005-0000-0000-0000F9930000}"/>
    <cellStyle name="Normal 3 5 12" xfId="10938" xr:uid="{00000000-0005-0000-0000-0000FA930000}"/>
    <cellStyle name="Normal 3 5 12 2" xfId="24506" xr:uid="{00000000-0005-0000-0000-0000FB930000}"/>
    <cellStyle name="Normal 3 5 12 2 2" xfId="51639" xr:uid="{00000000-0005-0000-0000-0000FC930000}"/>
    <cellStyle name="Normal 3 5 12 3" xfId="38077" xr:uid="{00000000-0005-0000-0000-0000FD930000}"/>
    <cellStyle name="Normal 3 5 13" xfId="17725" xr:uid="{00000000-0005-0000-0000-0000FE930000}"/>
    <cellStyle name="Normal 3 5 13 2" xfId="44858" xr:uid="{00000000-0005-0000-0000-0000FF930000}"/>
    <cellStyle name="Normal 3 5 14" xfId="31296" xr:uid="{00000000-0005-0000-0000-000000940000}"/>
    <cellStyle name="Normal 3 5 2" xfId="2725" xr:uid="{00000000-0005-0000-0000-000001940000}"/>
    <cellStyle name="Normal 3 5 2 10" xfId="10939" xr:uid="{00000000-0005-0000-0000-000002940000}"/>
    <cellStyle name="Normal 3 5 2 10 2" xfId="24507" xr:uid="{00000000-0005-0000-0000-000003940000}"/>
    <cellStyle name="Normal 3 5 2 10 2 2" xfId="51640" xr:uid="{00000000-0005-0000-0000-000004940000}"/>
    <cellStyle name="Normal 3 5 2 10 3" xfId="38078" xr:uid="{00000000-0005-0000-0000-000005940000}"/>
    <cellStyle name="Normal 3 5 2 11" xfId="17726" xr:uid="{00000000-0005-0000-0000-000006940000}"/>
    <cellStyle name="Normal 3 5 2 11 2" xfId="44859" xr:uid="{00000000-0005-0000-0000-000007940000}"/>
    <cellStyle name="Normal 3 5 2 12" xfId="31297" xr:uid="{00000000-0005-0000-0000-000008940000}"/>
    <cellStyle name="Normal 3 5 2 2" xfId="2726" xr:uid="{00000000-0005-0000-0000-000009940000}"/>
    <cellStyle name="Normal 3 5 2 2 10" xfId="31298" xr:uid="{00000000-0005-0000-0000-00000A940000}"/>
    <cellStyle name="Normal 3 5 2 2 2" xfId="6085" xr:uid="{00000000-0005-0000-0000-00000B940000}"/>
    <cellStyle name="Normal 3 5 2 2 2 2" xfId="6086" xr:uid="{00000000-0005-0000-0000-00000C940000}"/>
    <cellStyle name="Normal 3 5 2 2 2 2 2" xfId="6087" xr:uid="{00000000-0005-0000-0000-00000D940000}"/>
    <cellStyle name="Normal 3 5 2 2 2 2 2 2" xfId="9630" xr:uid="{00000000-0005-0000-0000-00000E940000}"/>
    <cellStyle name="Normal 3 5 2 2 2 2 2 2 2" xfId="16420" xr:uid="{00000000-0005-0000-0000-00000F940000}"/>
    <cellStyle name="Normal 3 5 2 2 2 2 2 2 2 2" xfId="29988" xr:uid="{00000000-0005-0000-0000-000010940000}"/>
    <cellStyle name="Normal 3 5 2 2 2 2 2 2 2 2 2" xfId="57121" xr:uid="{00000000-0005-0000-0000-000011940000}"/>
    <cellStyle name="Normal 3 5 2 2 2 2 2 2 2 3" xfId="43559" xr:uid="{00000000-0005-0000-0000-000012940000}"/>
    <cellStyle name="Normal 3 5 2 2 2 2 2 2 3" xfId="23207" xr:uid="{00000000-0005-0000-0000-000013940000}"/>
    <cellStyle name="Normal 3 5 2 2 2 2 2 2 3 2" xfId="50340" xr:uid="{00000000-0005-0000-0000-000014940000}"/>
    <cellStyle name="Normal 3 5 2 2 2 2 2 2 4" xfId="36778" xr:uid="{00000000-0005-0000-0000-000015940000}"/>
    <cellStyle name="Normal 3 5 2 2 2 2 2 3" xfId="13031" xr:uid="{00000000-0005-0000-0000-000016940000}"/>
    <cellStyle name="Normal 3 5 2 2 2 2 2 3 2" xfId="26599" xr:uid="{00000000-0005-0000-0000-000017940000}"/>
    <cellStyle name="Normal 3 5 2 2 2 2 2 3 2 2" xfId="53732" xr:uid="{00000000-0005-0000-0000-000018940000}"/>
    <cellStyle name="Normal 3 5 2 2 2 2 2 3 3" xfId="40170" xr:uid="{00000000-0005-0000-0000-000019940000}"/>
    <cellStyle name="Normal 3 5 2 2 2 2 2 4" xfId="19818" xr:uid="{00000000-0005-0000-0000-00001A940000}"/>
    <cellStyle name="Normal 3 5 2 2 2 2 2 4 2" xfId="46951" xr:uid="{00000000-0005-0000-0000-00001B940000}"/>
    <cellStyle name="Normal 3 5 2 2 2 2 2 5" xfId="33389" xr:uid="{00000000-0005-0000-0000-00001C940000}"/>
    <cellStyle name="Normal 3 5 2 2 2 2 3" xfId="6088" xr:uid="{00000000-0005-0000-0000-00001D940000}"/>
    <cellStyle name="Normal 3 5 2 2 2 2 3 2" xfId="9631" xr:uid="{00000000-0005-0000-0000-00001E940000}"/>
    <cellStyle name="Normal 3 5 2 2 2 2 3 2 2" xfId="16421" xr:uid="{00000000-0005-0000-0000-00001F940000}"/>
    <cellStyle name="Normal 3 5 2 2 2 2 3 2 2 2" xfId="29989" xr:uid="{00000000-0005-0000-0000-000020940000}"/>
    <cellStyle name="Normal 3 5 2 2 2 2 3 2 2 2 2" xfId="57122" xr:uid="{00000000-0005-0000-0000-000021940000}"/>
    <cellStyle name="Normal 3 5 2 2 2 2 3 2 2 3" xfId="43560" xr:uid="{00000000-0005-0000-0000-000022940000}"/>
    <cellStyle name="Normal 3 5 2 2 2 2 3 2 3" xfId="23208" xr:uid="{00000000-0005-0000-0000-000023940000}"/>
    <cellStyle name="Normal 3 5 2 2 2 2 3 2 3 2" xfId="50341" xr:uid="{00000000-0005-0000-0000-000024940000}"/>
    <cellStyle name="Normal 3 5 2 2 2 2 3 2 4" xfId="36779" xr:uid="{00000000-0005-0000-0000-000025940000}"/>
    <cellStyle name="Normal 3 5 2 2 2 2 3 3" xfId="13032" xr:uid="{00000000-0005-0000-0000-000026940000}"/>
    <cellStyle name="Normal 3 5 2 2 2 2 3 3 2" xfId="26600" xr:uid="{00000000-0005-0000-0000-000027940000}"/>
    <cellStyle name="Normal 3 5 2 2 2 2 3 3 2 2" xfId="53733" xr:uid="{00000000-0005-0000-0000-000028940000}"/>
    <cellStyle name="Normal 3 5 2 2 2 2 3 3 3" xfId="40171" xr:uid="{00000000-0005-0000-0000-000029940000}"/>
    <cellStyle name="Normal 3 5 2 2 2 2 3 4" xfId="19819" xr:uid="{00000000-0005-0000-0000-00002A940000}"/>
    <cellStyle name="Normal 3 5 2 2 2 2 3 4 2" xfId="46952" xr:uid="{00000000-0005-0000-0000-00002B940000}"/>
    <cellStyle name="Normal 3 5 2 2 2 2 3 5" xfId="33390" xr:uid="{00000000-0005-0000-0000-00002C940000}"/>
    <cellStyle name="Normal 3 5 2 2 2 2 4" xfId="9629" xr:uid="{00000000-0005-0000-0000-00002D940000}"/>
    <cellStyle name="Normal 3 5 2 2 2 2 4 2" xfId="16419" xr:uid="{00000000-0005-0000-0000-00002E940000}"/>
    <cellStyle name="Normal 3 5 2 2 2 2 4 2 2" xfId="29987" xr:uid="{00000000-0005-0000-0000-00002F940000}"/>
    <cellStyle name="Normal 3 5 2 2 2 2 4 2 2 2" xfId="57120" xr:uid="{00000000-0005-0000-0000-000030940000}"/>
    <cellStyle name="Normal 3 5 2 2 2 2 4 2 3" xfId="43558" xr:uid="{00000000-0005-0000-0000-000031940000}"/>
    <cellStyle name="Normal 3 5 2 2 2 2 4 3" xfId="23206" xr:uid="{00000000-0005-0000-0000-000032940000}"/>
    <cellStyle name="Normal 3 5 2 2 2 2 4 3 2" xfId="50339" xr:uid="{00000000-0005-0000-0000-000033940000}"/>
    <cellStyle name="Normal 3 5 2 2 2 2 4 4" xfId="36777" xr:uid="{00000000-0005-0000-0000-000034940000}"/>
    <cellStyle name="Normal 3 5 2 2 2 2 5" xfId="13030" xr:uid="{00000000-0005-0000-0000-000035940000}"/>
    <cellStyle name="Normal 3 5 2 2 2 2 5 2" xfId="26598" xr:uid="{00000000-0005-0000-0000-000036940000}"/>
    <cellStyle name="Normal 3 5 2 2 2 2 5 2 2" xfId="53731" xr:uid="{00000000-0005-0000-0000-000037940000}"/>
    <cellStyle name="Normal 3 5 2 2 2 2 5 3" xfId="40169" xr:uid="{00000000-0005-0000-0000-000038940000}"/>
    <cellStyle name="Normal 3 5 2 2 2 2 6" xfId="19817" xr:uid="{00000000-0005-0000-0000-000039940000}"/>
    <cellStyle name="Normal 3 5 2 2 2 2 6 2" xfId="46950" xr:uid="{00000000-0005-0000-0000-00003A940000}"/>
    <cellStyle name="Normal 3 5 2 2 2 2 7" xfId="33388" xr:uid="{00000000-0005-0000-0000-00003B940000}"/>
    <cellStyle name="Normal 3 5 2 2 2 3" xfId="6089" xr:uid="{00000000-0005-0000-0000-00003C940000}"/>
    <cellStyle name="Normal 3 5 2 2 2 3 2" xfId="6090" xr:uid="{00000000-0005-0000-0000-00003D940000}"/>
    <cellStyle name="Normal 3 5 2 2 2 3 2 2" xfId="9633" xr:uid="{00000000-0005-0000-0000-00003E940000}"/>
    <cellStyle name="Normal 3 5 2 2 2 3 2 2 2" xfId="16423" xr:uid="{00000000-0005-0000-0000-00003F940000}"/>
    <cellStyle name="Normal 3 5 2 2 2 3 2 2 2 2" xfId="29991" xr:uid="{00000000-0005-0000-0000-000040940000}"/>
    <cellStyle name="Normal 3 5 2 2 2 3 2 2 2 2 2" xfId="57124" xr:uid="{00000000-0005-0000-0000-000041940000}"/>
    <cellStyle name="Normal 3 5 2 2 2 3 2 2 2 3" xfId="43562" xr:uid="{00000000-0005-0000-0000-000042940000}"/>
    <cellStyle name="Normal 3 5 2 2 2 3 2 2 3" xfId="23210" xr:uid="{00000000-0005-0000-0000-000043940000}"/>
    <cellStyle name="Normal 3 5 2 2 2 3 2 2 3 2" xfId="50343" xr:uid="{00000000-0005-0000-0000-000044940000}"/>
    <cellStyle name="Normal 3 5 2 2 2 3 2 2 4" xfId="36781" xr:uid="{00000000-0005-0000-0000-000045940000}"/>
    <cellStyle name="Normal 3 5 2 2 2 3 2 3" xfId="13034" xr:uid="{00000000-0005-0000-0000-000046940000}"/>
    <cellStyle name="Normal 3 5 2 2 2 3 2 3 2" xfId="26602" xr:uid="{00000000-0005-0000-0000-000047940000}"/>
    <cellStyle name="Normal 3 5 2 2 2 3 2 3 2 2" xfId="53735" xr:uid="{00000000-0005-0000-0000-000048940000}"/>
    <cellStyle name="Normal 3 5 2 2 2 3 2 3 3" xfId="40173" xr:uid="{00000000-0005-0000-0000-000049940000}"/>
    <cellStyle name="Normal 3 5 2 2 2 3 2 4" xfId="19821" xr:uid="{00000000-0005-0000-0000-00004A940000}"/>
    <cellStyle name="Normal 3 5 2 2 2 3 2 4 2" xfId="46954" xr:uid="{00000000-0005-0000-0000-00004B940000}"/>
    <cellStyle name="Normal 3 5 2 2 2 3 2 5" xfId="33392" xr:uid="{00000000-0005-0000-0000-00004C940000}"/>
    <cellStyle name="Normal 3 5 2 2 2 3 3" xfId="9632" xr:uid="{00000000-0005-0000-0000-00004D940000}"/>
    <cellStyle name="Normal 3 5 2 2 2 3 3 2" xfId="16422" xr:uid="{00000000-0005-0000-0000-00004E940000}"/>
    <cellStyle name="Normal 3 5 2 2 2 3 3 2 2" xfId="29990" xr:uid="{00000000-0005-0000-0000-00004F940000}"/>
    <cellStyle name="Normal 3 5 2 2 2 3 3 2 2 2" xfId="57123" xr:uid="{00000000-0005-0000-0000-000050940000}"/>
    <cellStyle name="Normal 3 5 2 2 2 3 3 2 3" xfId="43561" xr:uid="{00000000-0005-0000-0000-000051940000}"/>
    <cellStyle name="Normal 3 5 2 2 2 3 3 3" xfId="23209" xr:uid="{00000000-0005-0000-0000-000052940000}"/>
    <cellStyle name="Normal 3 5 2 2 2 3 3 3 2" xfId="50342" xr:uid="{00000000-0005-0000-0000-000053940000}"/>
    <cellStyle name="Normal 3 5 2 2 2 3 3 4" xfId="36780" xr:uid="{00000000-0005-0000-0000-000054940000}"/>
    <cellStyle name="Normal 3 5 2 2 2 3 4" xfId="13033" xr:uid="{00000000-0005-0000-0000-000055940000}"/>
    <cellStyle name="Normal 3 5 2 2 2 3 4 2" xfId="26601" xr:uid="{00000000-0005-0000-0000-000056940000}"/>
    <cellStyle name="Normal 3 5 2 2 2 3 4 2 2" xfId="53734" xr:uid="{00000000-0005-0000-0000-000057940000}"/>
    <cellStyle name="Normal 3 5 2 2 2 3 4 3" xfId="40172" xr:uid="{00000000-0005-0000-0000-000058940000}"/>
    <cellStyle name="Normal 3 5 2 2 2 3 5" xfId="19820" xr:uid="{00000000-0005-0000-0000-000059940000}"/>
    <cellStyle name="Normal 3 5 2 2 2 3 5 2" xfId="46953" xr:uid="{00000000-0005-0000-0000-00005A940000}"/>
    <cellStyle name="Normal 3 5 2 2 2 3 6" xfId="33391" xr:uid="{00000000-0005-0000-0000-00005B940000}"/>
    <cellStyle name="Normal 3 5 2 2 2 4" xfId="6091" xr:uid="{00000000-0005-0000-0000-00005C940000}"/>
    <cellStyle name="Normal 3 5 2 2 2 4 2" xfId="9634" xr:uid="{00000000-0005-0000-0000-00005D940000}"/>
    <cellStyle name="Normal 3 5 2 2 2 4 2 2" xfId="16424" xr:uid="{00000000-0005-0000-0000-00005E940000}"/>
    <cellStyle name="Normal 3 5 2 2 2 4 2 2 2" xfId="29992" xr:uid="{00000000-0005-0000-0000-00005F940000}"/>
    <cellStyle name="Normal 3 5 2 2 2 4 2 2 2 2" xfId="57125" xr:uid="{00000000-0005-0000-0000-000060940000}"/>
    <cellStyle name="Normal 3 5 2 2 2 4 2 2 3" xfId="43563" xr:uid="{00000000-0005-0000-0000-000061940000}"/>
    <cellStyle name="Normal 3 5 2 2 2 4 2 3" xfId="23211" xr:uid="{00000000-0005-0000-0000-000062940000}"/>
    <cellStyle name="Normal 3 5 2 2 2 4 2 3 2" xfId="50344" xr:uid="{00000000-0005-0000-0000-000063940000}"/>
    <cellStyle name="Normal 3 5 2 2 2 4 2 4" xfId="36782" xr:uid="{00000000-0005-0000-0000-000064940000}"/>
    <cellStyle name="Normal 3 5 2 2 2 4 3" xfId="13035" xr:uid="{00000000-0005-0000-0000-000065940000}"/>
    <cellStyle name="Normal 3 5 2 2 2 4 3 2" xfId="26603" xr:uid="{00000000-0005-0000-0000-000066940000}"/>
    <cellStyle name="Normal 3 5 2 2 2 4 3 2 2" xfId="53736" xr:uid="{00000000-0005-0000-0000-000067940000}"/>
    <cellStyle name="Normal 3 5 2 2 2 4 3 3" xfId="40174" xr:uid="{00000000-0005-0000-0000-000068940000}"/>
    <cellStyle name="Normal 3 5 2 2 2 4 4" xfId="19822" xr:uid="{00000000-0005-0000-0000-000069940000}"/>
    <cellStyle name="Normal 3 5 2 2 2 4 4 2" xfId="46955" xr:uid="{00000000-0005-0000-0000-00006A940000}"/>
    <cellStyle name="Normal 3 5 2 2 2 4 5" xfId="33393" xr:uid="{00000000-0005-0000-0000-00006B940000}"/>
    <cellStyle name="Normal 3 5 2 2 2 5" xfId="6092" xr:uid="{00000000-0005-0000-0000-00006C940000}"/>
    <cellStyle name="Normal 3 5 2 2 2 5 2" xfId="9635" xr:uid="{00000000-0005-0000-0000-00006D940000}"/>
    <cellStyle name="Normal 3 5 2 2 2 5 2 2" xfId="16425" xr:uid="{00000000-0005-0000-0000-00006E940000}"/>
    <cellStyle name="Normal 3 5 2 2 2 5 2 2 2" xfId="29993" xr:uid="{00000000-0005-0000-0000-00006F940000}"/>
    <cellStyle name="Normal 3 5 2 2 2 5 2 2 2 2" xfId="57126" xr:uid="{00000000-0005-0000-0000-000070940000}"/>
    <cellStyle name="Normal 3 5 2 2 2 5 2 2 3" xfId="43564" xr:uid="{00000000-0005-0000-0000-000071940000}"/>
    <cellStyle name="Normal 3 5 2 2 2 5 2 3" xfId="23212" xr:uid="{00000000-0005-0000-0000-000072940000}"/>
    <cellStyle name="Normal 3 5 2 2 2 5 2 3 2" xfId="50345" xr:uid="{00000000-0005-0000-0000-000073940000}"/>
    <cellStyle name="Normal 3 5 2 2 2 5 2 4" xfId="36783" xr:uid="{00000000-0005-0000-0000-000074940000}"/>
    <cellStyle name="Normal 3 5 2 2 2 5 3" xfId="13036" xr:uid="{00000000-0005-0000-0000-000075940000}"/>
    <cellStyle name="Normal 3 5 2 2 2 5 3 2" xfId="26604" xr:uid="{00000000-0005-0000-0000-000076940000}"/>
    <cellStyle name="Normal 3 5 2 2 2 5 3 2 2" xfId="53737" xr:uid="{00000000-0005-0000-0000-000077940000}"/>
    <cellStyle name="Normal 3 5 2 2 2 5 3 3" xfId="40175" xr:uid="{00000000-0005-0000-0000-000078940000}"/>
    <cellStyle name="Normal 3 5 2 2 2 5 4" xfId="19823" xr:uid="{00000000-0005-0000-0000-000079940000}"/>
    <cellStyle name="Normal 3 5 2 2 2 5 4 2" xfId="46956" xr:uid="{00000000-0005-0000-0000-00007A940000}"/>
    <cellStyle name="Normal 3 5 2 2 2 5 5" xfId="33394" xr:uid="{00000000-0005-0000-0000-00007B940000}"/>
    <cellStyle name="Normal 3 5 2 2 2 6" xfId="9628" xr:uid="{00000000-0005-0000-0000-00007C940000}"/>
    <cellStyle name="Normal 3 5 2 2 2 6 2" xfId="16418" xr:uid="{00000000-0005-0000-0000-00007D940000}"/>
    <cellStyle name="Normal 3 5 2 2 2 6 2 2" xfId="29986" xr:uid="{00000000-0005-0000-0000-00007E940000}"/>
    <cellStyle name="Normal 3 5 2 2 2 6 2 2 2" xfId="57119" xr:uid="{00000000-0005-0000-0000-00007F940000}"/>
    <cellStyle name="Normal 3 5 2 2 2 6 2 3" xfId="43557" xr:uid="{00000000-0005-0000-0000-000080940000}"/>
    <cellStyle name="Normal 3 5 2 2 2 6 3" xfId="23205" xr:uid="{00000000-0005-0000-0000-000081940000}"/>
    <cellStyle name="Normal 3 5 2 2 2 6 3 2" xfId="50338" xr:uid="{00000000-0005-0000-0000-000082940000}"/>
    <cellStyle name="Normal 3 5 2 2 2 6 4" xfId="36776" xr:uid="{00000000-0005-0000-0000-000083940000}"/>
    <cellStyle name="Normal 3 5 2 2 2 7" xfId="13029" xr:uid="{00000000-0005-0000-0000-000084940000}"/>
    <cellStyle name="Normal 3 5 2 2 2 7 2" xfId="26597" xr:uid="{00000000-0005-0000-0000-000085940000}"/>
    <cellStyle name="Normal 3 5 2 2 2 7 2 2" xfId="53730" xr:uid="{00000000-0005-0000-0000-000086940000}"/>
    <cellStyle name="Normal 3 5 2 2 2 7 3" xfId="40168" xr:uid="{00000000-0005-0000-0000-000087940000}"/>
    <cellStyle name="Normal 3 5 2 2 2 8" xfId="19816" xr:uid="{00000000-0005-0000-0000-000088940000}"/>
    <cellStyle name="Normal 3 5 2 2 2 8 2" xfId="46949" xr:uid="{00000000-0005-0000-0000-000089940000}"/>
    <cellStyle name="Normal 3 5 2 2 2 9" xfId="33387" xr:uid="{00000000-0005-0000-0000-00008A940000}"/>
    <cellStyle name="Normal 3 5 2 2 3" xfId="6093" xr:uid="{00000000-0005-0000-0000-00008B940000}"/>
    <cellStyle name="Normal 3 5 2 2 3 2" xfId="6094" xr:uid="{00000000-0005-0000-0000-00008C940000}"/>
    <cellStyle name="Normal 3 5 2 2 3 2 2" xfId="9637" xr:uid="{00000000-0005-0000-0000-00008D940000}"/>
    <cellStyle name="Normal 3 5 2 2 3 2 2 2" xfId="16427" xr:uid="{00000000-0005-0000-0000-00008E940000}"/>
    <cellStyle name="Normal 3 5 2 2 3 2 2 2 2" xfId="29995" xr:uid="{00000000-0005-0000-0000-00008F940000}"/>
    <cellStyle name="Normal 3 5 2 2 3 2 2 2 2 2" xfId="57128" xr:uid="{00000000-0005-0000-0000-000090940000}"/>
    <cellStyle name="Normal 3 5 2 2 3 2 2 2 3" xfId="43566" xr:uid="{00000000-0005-0000-0000-000091940000}"/>
    <cellStyle name="Normal 3 5 2 2 3 2 2 3" xfId="23214" xr:uid="{00000000-0005-0000-0000-000092940000}"/>
    <cellStyle name="Normal 3 5 2 2 3 2 2 3 2" xfId="50347" xr:uid="{00000000-0005-0000-0000-000093940000}"/>
    <cellStyle name="Normal 3 5 2 2 3 2 2 4" xfId="36785" xr:uid="{00000000-0005-0000-0000-000094940000}"/>
    <cellStyle name="Normal 3 5 2 2 3 2 3" xfId="13038" xr:uid="{00000000-0005-0000-0000-000095940000}"/>
    <cellStyle name="Normal 3 5 2 2 3 2 3 2" xfId="26606" xr:uid="{00000000-0005-0000-0000-000096940000}"/>
    <cellStyle name="Normal 3 5 2 2 3 2 3 2 2" xfId="53739" xr:uid="{00000000-0005-0000-0000-000097940000}"/>
    <cellStyle name="Normal 3 5 2 2 3 2 3 3" xfId="40177" xr:uid="{00000000-0005-0000-0000-000098940000}"/>
    <cellStyle name="Normal 3 5 2 2 3 2 4" xfId="19825" xr:uid="{00000000-0005-0000-0000-000099940000}"/>
    <cellStyle name="Normal 3 5 2 2 3 2 4 2" xfId="46958" xr:uid="{00000000-0005-0000-0000-00009A940000}"/>
    <cellStyle name="Normal 3 5 2 2 3 2 5" xfId="33396" xr:uid="{00000000-0005-0000-0000-00009B940000}"/>
    <cellStyle name="Normal 3 5 2 2 3 3" xfId="6095" xr:uid="{00000000-0005-0000-0000-00009C940000}"/>
    <cellStyle name="Normal 3 5 2 2 3 3 2" xfId="9638" xr:uid="{00000000-0005-0000-0000-00009D940000}"/>
    <cellStyle name="Normal 3 5 2 2 3 3 2 2" xfId="16428" xr:uid="{00000000-0005-0000-0000-00009E940000}"/>
    <cellStyle name="Normal 3 5 2 2 3 3 2 2 2" xfId="29996" xr:uid="{00000000-0005-0000-0000-00009F940000}"/>
    <cellStyle name="Normal 3 5 2 2 3 3 2 2 2 2" xfId="57129" xr:uid="{00000000-0005-0000-0000-0000A0940000}"/>
    <cellStyle name="Normal 3 5 2 2 3 3 2 2 3" xfId="43567" xr:uid="{00000000-0005-0000-0000-0000A1940000}"/>
    <cellStyle name="Normal 3 5 2 2 3 3 2 3" xfId="23215" xr:uid="{00000000-0005-0000-0000-0000A2940000}"/>
    <cellStyle name="Normal 3 5 2 2 3 3 2 3 2" xfId="50348" xr:uid="{00000000-0005-0000-0000-0000A3940000}"/>
    <cellStyle name="Normal 3 5 2 2 3 3 2 4" xfId="36786" xr:uid="{00000000-0005-0000-0000-0000A4940000}"/>
    <cellStyle name="Normal 3 5 2 2 3 3 3" xfId="13039" xr:uid="{00000000-0005-0000-0000-0000A5940000}"/>
    <cellStyle name="Normal 3 5 2 2 3 3 3 2" xfId="26607" xr:uid="{00000000-0005-0000-0000-0000A6940000}"/>
    <cellStyle name="Normal 3 5 2 2 3 3 3 2 2" xfId="53740" xr:uid="{00000000-0005-0000-0000-0000A7940000}"/>
    <cellStyle name="Normal 3 5 2 2 3 3 3 3" xfId="40178" xr:uid="{00000000-0005-0000-0000-0000A8940000}"/>
    <cellStyle name="Normal 3 5 2 2 3 3 4" xfId="19826" xr:uid="{00000000-0005-0000-0000-0000A9940000}"/>
    <cellStyle name="Normal 3 5 2 2 3 3 4 2" xfId="46959" xr:uid="{00000000-0005-0000-0000-0000AA940000}"/>
    <cellStyle name="Normal 3 5 2 2 3 3 5" xfId="33397" xr:uid="{00000000-0005-0000-0000-0000AB940000}"/>
    <cellStyle name="Normal 3 5 2 2 3 4" xfId="9636" xr:uid="{00000000-0005-0000-0000-0000AC940000}"/>
    <cellStyle name="Normal 3 5 2 2 3 4 2" xfId="16426" xr:uid="{00000000-0005-0000-0000-0000AD940000}"/>
    <cellStyle name="Normal 3 5 2 2 3 4 2 2" xfId="29994" xr:uid="{00000000-0005-0000-0000-0000AE940000}"/>
    <cellStyle name="Normal 3 5 2 2 3 4 2 2 2" xfId="57127" xr:uid="{00000000-0005-0000-0000-0000AF940000}"/>
    <cellStyle name="Normal 3 5 2 2 3 4 2 3" xfId="43565" xr:uid="{00000000-0005-0000-0000-0000B0940000}"/>
    <cellStyle name="Normal 3 5 2 2 3 4 3" xfId="23213" xr:uid="{00000000-0005-0000-0000-0000B1940000}"/>
    <cellStyle name="Normal 3 5 2 2 3 4 3 2" xfId="50346" xr:uid="{00000000-0005-0000-0000-0000B2940000}"/>
    <cellStyle name="Normal 3 5 2 2 3 4 4" xfId="36784" xr:uid="{00000000-0005-0000-0000-0000B3940000}"/>
    <cellStyle name="Normal 3 5 2 2 3 5" xfId="13037" xr:uid="{00000000-0005-0000-0000-0000B4940000}"/>
    <cellStyle name="Normal 3 5 2 2 3 5 2" xfId="26605" xr:uid="{00000000-0005-0000-0000-0000B5940000}"/>
    <cellStyle name="Normal 3 5 2 2 3 5 2 2" xfId="53738" xr:uid="{00000000-0005-0000-0000-0000B6940000}"/>
    <cellStyle name="Normal 3 5 2 2 3 5 3" xfId="40176" xr:uid="{00000000-0005-0000-0000-0000B7940000}"/>
    <cellStyle name="Normal 3 5 2 2 3 6" xfId="19824" xr:uid="{00000000-0005-0000-0000-0000B8940000}"/>
    <cellStyle name="Normal 3 5 2 2 3 6 2" xfId="46957" xr:uid="{00000000-0005-0000-0000-0000B9940000}"/>
    <cellStyle name="Normal 3 5 2 2 3 7" xfId="33395" xr:uid="{00000000-0005-0000-0000-0000BA940000}"/>
    <cellStyle name="Normal 3 5 2 2 4" xfId="6096" xr:uid="{00000000-0005-0000-0000-0000BB940000}"/>
    <cellStyle name="Normal 3 5 2 2 4 2" xfId="6097" xr:uid="{00000000-0005-0000-0000-0000BC940000}"/>
    <cellStyle name="Normal 3 5 2 2 4 2 2" xfId="9640" xr:uid="{00000000-0005-0000-0000-0000BD940000}"/>
    <cellStyle name="Normal 3 5 2 2 4 2 2 2" xfId="16430" xr:uid="{00000000-0005-0000-0000-0000BE940000}"/>
    <cellStyle name="Normal 3 5 2 2 4 2 2 2 2" xfId="29998" xr:uid="{00000000-0005-0000-0000-0000BF940000}"/>
    <cellStyle name="Normal 3 5 2 2 4 2 2 2 2 2" xfId="57131" xr:uid="{00000000-0005-0000-0000-0000C0940000}"/>
    <cellStyle name="Normal 3 5 2 2 4 2 2 2 3" xfId="43569" xr:uid="{00000000-0005-0000-0000-0000C1940000}"/>
    <cellStyle name="Normal 3 5 2 2 4 2 2 3" xfId="23217" xr:uid="{00000000-0005-0000-0000-0000C2940000}"/>
    <cellStyle name="Normal 3 5 2 2 4 2 2 3 2" xfId="50350" xr:uid="{00000000-0005-0000-0000-0000C3940000}"/>
    <cellStyle name="Normal 3 5 2 2 4 2 2 4" xfId="36788" xr:uid="{00000000-0005-0000-0000-0000C4940000}"/>
    <cellStyle name="Normal 3 5 2 2 4 2 3" xfId="13041" xr:uid="{00000000-0005-0000-0000-0000C5940000}"/>
    <cellStyle name="Normal 3 5 2 2 4 2 3 2" xfId="26609" xr:uid="{00000000-0005-0000-0000-0000C6940000}"/>
    <cellStyle name="Normal 3 5 2 2 4 2 3 2 2" xfId="53742" xr:uid="{00000000-0005-0000-0000-0000C7940000}"/>
    <cellStyle name="Normal 3 5 2 2 4 2 3 3" xfId="40180" xr:uid="{00000000-0005-0000-0000-0000C8940000}"/>
    <cellStyle name="Normal 3 5 2 2 4 2 4" xfId="19828" xr:uid="{00000000-0005-0000-0000-0000C9940000}"/>
    <cellStyle name="Normal 3 5 2 2 4 2 4 2" xfId="46961" xr:uid="{00000000-0005-0000-0000-0000CA940000}"/>
    <cellStyle name="Normal 3 5 2 2 4 2 5" xfId="33399" xr:uid="{00000000-0005-0000-0000-0000CB940000}"/>
    <cellStyle name="Normal 3 5 2 2 4 3" xfId="9639" xr:uid="{00000000-0005-0000-0000-0000CC940000}"/>
    <cellStyle name="Normal 3 5 2 2 4 3 2" xfId="16429" xr:uid="{00000000-0005-0000-0000-0000CD940000}"/>
    <cellStyle name="Normal 3 5 2 2 4 3 2 2" xfId="29997" xr:uid="{00000000-0005-0000-0000-0000CE940000}"/>
    <cellStyle name="Normal 3 5 2 2 4 3 2 2 2" xfId="57130" xr:uid="{00000000-0005-0000-0000-0000CF940000}"/>
    <cellStyle name="Normal 3 5 2 2 4 3 2 3" xfId="43568" xr:uid="{00000000-0005-0000-0000-0000D0940000}"/>
    <cellStyle name="Normal 3 5 2 2 4 3 3" xfId="23216" xr:uid="{00000000-0005-0000-0000-0000D1940000}"/>
    <cellStyle name="Normal 3 5 2 2 4 3 3 2" xfId="50349" xr:uid="{00000000-0005-0000-0000-0000D2940000}"/>
    <cellStyle name="Normal 3 5 2 2 4 3 4" xfId="36787" xr:uid="{00000000-0005-0000-0000-0000D3940000}"/>
    <cellStyle name="Normal 3 5 2 2 4 4" xfId="13040" xr:uid="{00000000-0005-0000-0000-0000D4940000}"/>
    <cellStyle name="Normal 3 5 2 2 4 4 2" xfId="26608" xr:uid="{00000000-0005-0000-0000-0000D5940000}"/>
    <cellStyle name="Normal 3 5 2 2 4 4 2 2" xfId="53741" xr:uid="{00000000-0005-0000-0000-0000D6940000}"/>
    <cellStyle name="Normal 3 5 2 2 4 4 3" xfId="40179" xr:uid="{00000000-0005-0000-0000-0000D7940000}"/>
    <cellStyle name="Normal 3 5 2 2 4 5" xfId="19827" xr:uid="{00000000-0005-0000-0000-0000D8940000}"/>
    <cellStyle name="Normal 3 5 2 2 4 5 2" xfId="46960" xr:uid="{00000000-0005-0000-0000-0000D9940000}"/>
    <cellStyle name="Normal 3 5 2 2 4 6" xfId="33398" xr:uid="{00000000-0005-0000-0000-0000DA940000}"/>
    <cellStyle name="Normal 3 5 2 2 5" xfId="6098" xr:uid="{00000000-0005-0000-0000-0000DB940000}"/>
    <cellStyle name="Normal 3 5 2 2 5 2" xfId="9641" xr:uid="{00000000-0005-0000-0000-0000DC940000}"/>
    <cellStyle name="Normal 3 5 2 2 5 2 2" xfId="16431" xr:uid="{00000000-0005-0000-0000-0000DD940000}"/>
    <cellStyle name="Normal 3 5 2 2 5 2 2 2" xfId="29999" xr:uid="{00000000-0005-0000-0000-0000DE940000}"/>
    <cellStyle name="Normal 3 5 2 2 5 2 2 2 2" xfId="57132" xr:uid="{00000000-0005-0000-0000-0000DF940000}"/>
    <cellStyle name="Normal 3 5 2 2 5 2 2 3" xfId="43570" xr:uid="{00000000-0005-0000-0000-0000E0940000}"/>
    <cellStyle name="Normal 3 5 2 2 5 2 3" xfId="23218" xr:uid="{00000000-0005-0000-0000-0000E1940000}"/>
    <cellStyle name="Normal 3 5 2 2 5 2 3 2" xfId="50351" xr:uid="{00000000-0005-0000-0000-0000E2940000}"/>
    <cellStyle name="Normal 3 5 2 2 5 2 4" xfId="36789" xr:uid="{00000000-0005-0000-0000-0000E3940000}"/>
    <cellStyle name="Normal 3 5 2 2 5 3" xfId="13042" xr:uid="{00000000-0005-0000-0000-0000E4940000}"/>
    <cellStyle name="Normal 3 5 2 2 5 3 2" xfId="26610" xr:uid="{00000000-0005-0000-0000-0000E5940000}"/>
    <cellStyle name="Normal 3 5 2 2 5 3 2 2" xfId="53743" xr:uid="{00000000-0005-0000-0000-0000E6940000}"/>
    <cellStyle name="Normal 3 5 2 2 5 3 3" xfId="40181" xr:uid="{00000000-0005-0000-0000-0000E7940000}"/>
    <cellStyle name="Normal 3 5 2 2 5 4" xfId="19829" xr:uid="{00000000-0005-0000-0000-0000E8940000}"/>
    <cellStyle name="Normal 3 5 2 2 5 4 2" xfId="46962" xr:uid="{00000000-0005-0000-0000-0000E9940000}"/>
    <cellStyle name="Normal 3 5 2 2 5 5" xfId="33400" xr:uid="{00000000-0005-0000-0000-0000EA940000}"/>
    <cellStyle name="Normal 3 5 2 2 6" xfId="6099" xr:uid="{00000000-0005-0000-0000-0000EB940000}"/>
    <cellStyle name="Normal 3 5 2 2 6 2" xfId="9642" xr:uid="{00000000-0005-0000-0000-0000EC940000}"/>
    <cellStyle name="Normal 3 5 2 2 6 2 2" xfId="16432" xr:uid="{00000000-0005-0000-0000-0000ED940000}"/>
    <cellStyle name="Normal 3 5 2 2 6 2 2 2" xfId="30000" xr:uid="{00000000-0005-0000-0000-0000EE940000}"/>
    <cellStyle name="Normal 3 5 2 2 6 2 2 2 2" xfId="57133" xr:uid="{00000000-0005-0000-0000-0000EF940000}"/>
    <cellStyle name="Normal 3 5 2 2 6 2 2 3" xfId="43571" xr:uid="{00000000-0005-0000-0000-0000F0940000}"/>
    <cellStyle name="Normal 3 5 2 2 6 2 3" xfId="23219" xr:uid="{00000000-0005-0000-0000-0000F1940000}"/>
    <cellStyle name="Normal 3 5 2 2 6 2 3 2" xfId="50352" xr:uid="{00000000-0005-0000-0000-0000F2940000}"/>
    <cellStyle name="Normal 3 5 2 2 6 2 4" xfId="36790" xr:uid="{00000000-0005-0000-0000-0000F3940000}"/>
    <cellStyle name="Normal 3 5 2 2 6 3" xfId="13043" xr:uid="{00000000-0005-0000-0000-0000F4940000}"/>
    <cellStyle name="Normal 3 5 2 2 6 3 2" xfId="26611" xr:uid="{00000000-0005-0000-0000-0000F5940000}"/>
    <cellStyle name="Normal 3 5 2 2 6 3 2 2" xfId="53744" xr:uid="{00000000-0005-0000-0000-0000F6940000}"/>
    <cellStyle name="Normal 3 5 2 2 6 3 3" xfId="40182" xr:uid="{00000000-0005-0000-0000-0000F7940000}"/>
    <cellStyle name="Normal 3 5 2 2 6 4" xfId="19830" xr:uid="{00000000-0005-0000-0000-0000F8940000}"/>
    <cellStyle name="Normal 3 5 2 2 6 4 2" xfId="46963" xr:uid="{00000000-0005-0000-0000-0000F9940000}"/>
    <cellStyle name="Normal 3 5 2 2 6 5" xfId="33401" xr:uid="{00000000-0005-0000-0000-0000FA940000}"/>
    <cellStyle name="Normal 3 5 2 2 7" xfId="7539" xr:uid="{00000000-0005-0000-0000-0000FB940000}"/>
    <cellStyle name="Normal 3 5 2 2 7 2" xfId="14329" xr:uid="{00000000-0005-0000-0000-0000FC940000}"/>
    <cellStyle name="Normal 3 5 2 2 7 2 2" xfId="27897" xr:uid="{00000000-0005-0000-0000-0000FD940000}"/>
    <cellStyle name="Normal 3 5 2 2 7 2 2 2" xfId="55030" xr:uid="{00000000-0005-0000-0000-0000FE940000}"/>
    <cellStyle name="Normal 3 5 2 2 7 2 3" xfId="41468" xr:uid="{00000000-0005-0000-0000-0000FF940000}"/>
    <cellStyle name="Normal 3 5 2 2 7 3" xfId="21116" xr:uid="{00000000-0005-0000-0000-000000950000}"/>
    <cellStyle name="Normal 3 5 2 2 7 3 2" xfId="48249" xr:uid="{00000000-0005-0000-0000-000001950000}"/>
    <cellStyle name="Normal 3 5 2 2 7 4" xfId="34687" xr:uid="{00000000-0005-0000-0000-000002950000}"/>
    <cellStyle name="Normal 3 5 2 2 8" xfId="10940" xr:uid="{00000000-0005-0000-0000-000003950000}"/>
    <cellStyle name="Normal 3 5 2 2 8 2" xfId="24508" xr:uid="{00000000-0005-0000-0000-000004950000}"/>
    <cellStyle name="Normal 3 5 2 2 8 2 2" xfId="51641" xr:uid="{00000000-0005-0000-0000-000005950000}"/>
    <cellStyle name="Normal 3 5 2 2 8 3" xfId="38079" xr:uid="{00000000-0005-0000-0000-000006950000}"/>
    <cellStyle name="Normal 3 5 2 2 9" xfId="17727" xr:uid="{00000000-0005-0000-0000-000007950000}"/>
    <cellStyle name="Normal 3 5 2 2 9 2" xfId="44860" xr:uid="{00000000-0005-0000-0000-000008950000}"/>
    <cellStyle name="Normal 3 5 2 3" xfId="6100" xr:uid="{00000000-0005-0000-0000-000009950000}"/>
    <cellStyle name="Normal 3 5 2 3 2" xfId="6101" xr:uid="{00000000-0005-0000-0000-00000A950000}"/>
    <cellStyle name="Normal 3 5 2 3 2 2" xfId="6102" xr:uid="{00000000-0005-0000-0000-00000B950000}"/>
    <cellStyle name="Normal 3 5 2 3 2 2 2" xfId="9645" xr:uid="{00000000-0005-0000-0000-00000C950000}"/>
    <cellStyle name="Normal 3 5 2 3 2 2 2 2" xfId="16435" xr:uid="{00000000-0005-0000-0000-00000D950000}"/>
    <cellStyle name="Normal 3 5 2 3 2 2 2 2 2" xfId="30003" xr:uid="{00000000-0005-0000-0000-00000E950000}"/>
    <cellStyle name="Normal 3 5 2 3 2 2 2 2 2 2" xfId="57136" xr:uid="{00000000-0005-0000-0000-00000F950000}"/>
    <cellStyle name="Normal 3 5 2 3 2 2 2 2 3" xfId="43574" xr:uid="{00000000-0005-0000-0000-000010950000}"/>
    <cellStyle name="Normal 3 5 2 3 2 2 2 3" xfId="23222" xr:uid="{00000000-0005-0000-0000-000011950000}"/>
    <cellStyle name="Normal 3 5 2 3 2 2 2 3 2" xfId="50355" xr:uid="{00000000-0005-0000-0000-000012950000}"/>
    <cellStyle name="Normal 3 5 2 3 2 2 2 4" xfId="36793" xr:uid="{00000000-0005-0000-0000-000013950000}"/>
    <cellStyle name="Normal 3 5 2 3 2 2 3" xfId="13046" xr:uid="{00000000-0005-0000-0000-000014950000}"/>
    <cellStyle name="Normal 3 5 2 3 2 2 3 2" xfId="26614" xr:uid="{00000000-0005-0000-0000-000015950000}"/>
    <cellStyle name="Normal 3 5 2 3 2 2 3 2 2" xfId="53747" xr:uid="{00000000-0005-0000-0000-000016950000}"/>
    <cellStyle name="Normal 3 5 2 3 2 2 3 3" xfId="40185" xr:uid="{00000000-0005-0000-0000-000017950000}"/>
    <cellStyle name="Normal 3 5 2 3 2 2 4" xfId="19833" xr:uid="{00000000-0005-0000-0000-000018950000}"/>
    <cellStyle name="Normal 3 5 2 3 2 2 4 2" xfId="46966" xr:uid="{00000000-0005-0000-0000-000019950000}"/>
    <cellStyle name="Normal 3 5 2 3 2 2 5" xfId="33404" xr:uid="{00000000-0005-0000-0000-00001A950000}"/>
    <cellStyle name="Normal 3 5 2 3 2 3" xfId="6103" xr:uid="{00000000-0005-0000-0000-00001B950000}"/>
    <cellStyle name="Normal 3 5 2 3 2 3 2" xfId="9646" xr:uid="{00000000-0005-0000-0000-00001C950000}"/>
    <cellStyle name="Normal 3 5 2 3 2 3 2 2" xfId="16436" xr:uid="{00000000-0005-0000-0000-00001D950000}"/>
    <cellStyle name="Normal 3 5 2 3 2 3 2 2 2" xfId="30004" xr:uid="{00000000-0005-0000-0000-00001E950000}"/>
    <cellStyle name="Normal 3 5 2 3 2 3 2 2 2 2" xfId="57137" xr:uid="{00000000-0005-0000-0000-00001F950000}"/>
    <cellStyle name="Normal 3 5 2 3 2 3 2 2 3" xfId="43575" xr:uid="{00000000-0005-0000-0000-000020950000}"/>
    <cellStyle name="Normal 3 5 2 3 2 3 2 3" xfId="23223" xr:uid="{00000000-0005-0000-0000-000021950000}"/>
    <cellStyle name="Normal 3 5 2 3 2 3 2 3 2" xfId="50356" xr:uid="{00000000-0005-0000-0000-000022950000}"/>
    <cellStyle name="Normal 3 5 2 3 2 3 2 4" xfId="36794" xr:uid="{00000000-0005-0000-0000-000023950000}"/>
    <cellStyle name="Normal 3 5 2 3 2 3 3" xfId="13047" xr:uid="{00000000-0005-0000-0000-000024950000}"/>
    <cellStyle name="Normal 3 5 2 3 2 3 3 2" xfId="26615" xr:uid="{00000000-0005-0000-0000-000025950000}"/>
    <cellStyle name="Normal 3 5 2 3 2 3 3 2 2" xfId="53748" xr:uid="{00000000-0005-0000-0000-000026950000}"/>
    <cellStyle name="Normal 3 5 2 3 2 3 3 3" xfId="40186" xr:uid="{00000000-0005-0000-0000-000027950000}"/>
    <cellStyle name="Normal 3 5 2 3 2 3 4" xfId="19834" xr:uid="{00000000-0005-0000-0000-000028950000}"/>
    <cellStyle name="Normal 3 5 2 3 2 3 4 2" xfId="46967" xr:uid="{00000000-0005-0000-0000-000029950000}"/>
    <cellStyle name="Normal 3 5 2 3 2 3 5" xfId="33405" xr:uid="{00000000-0005-0000-0000-00002A950000}"/>
    <cellStyle name="Normal 3 5 2 3 2 4" xfId="9644" xr:uid="{00000000-0005-0000-0000-00002B950000}"/>
    <cellStyle name="Normal 3 5 2 3 2 4 2" xfId="16434" xr:uid="{00000000-0005-0000-0000-00002C950000}"/>
    <cellStyle name="Normal 3 5 2 3 2 4 2 2" xfId="30002" xr:uid="{00000000-0005-0000-0000-00002D950000}"/>
    <cellStyle name="Normal 3 5 2 3 2 4 2 2 2" xfId="57135" xr:uid="{00000000-0005-0000-0000-00002E950000}"/>
    <cellStyle name="Normal 3 5 2 3 2 4 2 3" xfId="43573" xr:uid="{00000000-0005-0000-0000-00002F950000}"/>
    <cellStyle name="Normal 3 5 2 3 2 4 3" xfId="23221" xr:uid="{00000000-0005-0000-0000-000030950000}"/>
    <cellStyle name="Normal 3 5 2 3 2 4 3 2" xfId="50354" xr:uid="{00000000-0005-0000-0000-000031950000}"/>
    <cellStyle name="Normal 3 5 2 3 2 4 4" xfId="36792" xr:uid="{00000000-0005-0000-0000-000032950000}"/>
    <cellStyle name="Normal 3 5 2 3 2 5" xfId="13045" xr:uid="{00000000-0005-0000-0000-000033950000}"/>
    <cellStyle name="Normal 3 5 2 3 2 5 2" xfId="26613" xr:uid="{00000000-0005-0000-0000-000034950000}"/>
    <cellStyle name="Normal 3 5 2 3 2 5 2 2" xfId="53746" xr:uid="{00000000-0005-0000-0000-000035950000}"/>
    <cellStyle name="Normal 3 5 2 3 2 5 3" xfId="40184" xr:uid="{00000000-0005-0000-0000-000036950000}"/>
    <cellStyle name="Normal 3 5 2 3 2 6" xfId="19832" xr:uid="{00000000-0005-0000-0000-000037950000}"/>
    <cellStyle name="Normal 3 5 2 3 2 6 2" xfId="46965" xr:uid="{00000000-0005-0000-0000-000038950000}"/>
    <cellStyle name="Normal 3 5 2 3 2 7" xfId="33403" xr:uid="{00000000-0005-0000-0000-000039950000}"/>
    <cellStyle name="Normal 3 5 2 3 3" xfId="6104" xr:uid="{00000000-0005-0000-0000-00003A950000}"/>
    <cellStyle name="Normal 3 5 2 3 3 2" xfId="6105" xr:uid="{00000000-0005-0000-0000-00003B950000}"/>
    <cellStyle name="Normal 3 5 2 3 3 2 2" xfId="9648" xr:uid="{00000000-0005-0000-0000-00003C950000}"/>
    <cellStyle name="Normal 3 5 2 3 3 2 2 2" xfId="16438" xr:uid="{00000000-0005-0000-0000-00003D950000}"/>
    <cellStyle name="Normal 3 5 2 3 3 2 2 2 2" xfId="30006" xr:uid="{00000000-0005-0000-0000-00003E950000}"/>
    <cellStyle name="Normal 3 5 2 3 3 2 2 2 2 2" xfId="57139" xr:uid="{00000000-0005-0000-0000-00003F950000}"/>
    <cellStyle name="Normal 3 5 2 3 3 2 2 2 3" xfId="43577" xr:uid="{00000000-0005-0000-0000-000040950000}"/>
    <cellStyle name="Normal 3 5 2 3 3 2 2 3" xfId="23225" xr:uid="{00000000-0005-0000-0000-000041950000}"/>
    <cellStyle name="Normal 3 5 2 3 3 2 2 3 2" xfId="50358" xr:uid="{00000000-0005-0000-0000-000042950000}"/>
    <cellStyle name="Normal 3 5 2 3 3 2 2 4" xfId="36796" xr:uid="{00000000-0005-0000-0000-000043950000}"/>
    <cellStyle name="Normal 3 5 2 3 3 2 3" xfId="13049" xr:uid="{00000000-0005-0000-0000-000044950000}"/>
    <cellStyle name="Normal 3 5 2 3 3 2 3 2" xfId="26617" xr:uid="{00000000-0005-0000-0000-000045950000}"/>
    <cellStyle name="Normal 3 5 2 3 3 2 3 2 2" xfId="53750" xr:uid="{00000000-0005-0000-0000-000046950000}"/>
    <cellStyle name="Normal 3 5 2 3 3 2 3 3" xfId="40188" xr:uid="{00000000-0005-0000-0000-000047950000}"/>
    <cellStyle name="Normal 3 5 2 3 3 2 4" xfId="19836" xr:uid="{00000000-0005-0000-0000-000048950000}"/>
    <cellStyle name="Normal 3 5 2 3 3 2 4 2" xfId="46969" xr:uid="{00000000-0005-0000-0000-000049950000}"/>
    <cellStyle name="Normal 3 5 2 3 3 2 5" xfId="33407" xr:uid="{00000000-0005-0000-0000-00004A950000}"/>
    <cellStyle name="Normal 3 5 2 3 3 3" xfId="9647" xr:uid="{00000000-0005-0000-0000-00004B950000}"/>
    <cellStyle name="Normal 3 5 2 3 3 3 2" xfId="16437" xr:uid="{00000000-0005-0000-0000-00004C950000}"/>
    <cellStyle name="Normal 3 5 2 3 3 3 2 2" xfId="30005" xr:uid="{00000000-0005-0000-0000-00004D950000}"/>
    <cellStyle name="Normal 3 5 2 3 3 3 2 2 2" xfId="57138" xr:uid="{00000000-0005-0000-0000-00004E950000}"/>
    <cellStyle name="Normal 3 5 2 3 3 3 2 3" xfId="43576" xr:uid="{00000000-0005-0000-0000-00004F950000}"/>
    <cellStyle name="Normal 3 5 2 3 3 3 3" xfId="23224" xr:uid="{00000000-0005-0000-0000-000050950000}"/>
    <cellStyle name="Normal 3 5 2 3 3 3 3 2" xfId="50357" xr:uid="{00000000-0005-0000-0000-000051950000}"/>
    <cellStyle name="Normal 3 5 2 3 3 3 4" xfId="36795" xr:uid="{00000000-0005-0000-0000-000052950000}"/>
    <cellStyle name="Normal 3 5 2 3 3 4" xfId="13048" xr:uid="{00000000-0005-0000-0000-000053950000}"/>
    <cellStyle name="Normal 3 5 2 3 3 4 2" xfId="26616" xr:uid="{00000000-0005-0000-0000-000054950000}"/>
    <cellStyle name="Normal 3 5 2 3 3 4 2 2" xfId="53749" xr:uid="{00000000-0005-0000-0000-000055950000}"/>
    <cellStyle name="Normal 3 5 2 3 3 4 3" xfId="40187" xr:uid="{00000000-0005-0000-0000-000056950000}"/>
    <cellStyle name="Normal 3 5 2 3 3 5" xfId="19835" xr:uid="{00000000-0005-0000-0000-000057950000}"/>
    <cellStyle name="Normal 3 5 2 3 3 5 2" xfId="46968" xr:uid="{00000000-0005-0000-0000-000058950000}"/>
    <cellStyle name="Normal 3 5 2 3 3 6" xfId="33406" xr:uid="{00000000-0005-0000-0000-000059950000}"/>
    <cellStyle name="Normal 3 5 2 3 4" xfId="6106" xr:uid="{00000000-0005-0000-0000-00005A950000}"/>
    <cellStyle name="Normal 3 5 2 3 4 2" xfId="9649" xr:uid="{00000000-0005-0000-0000-00005B950000}"/>
    <cellStyle name="Normal 3 5 2 3 4 2 2" xfId="16439" xr:uid="{00000000-0005-0000-0000-00005C950000}"/>
    <cellStyle name="Normal 3 5 2 3 4 2 2 2" xfId="30007" xr:uid="{00000000-0005-0000-0000-00005D950000}"/>
    <cellStyle name="Normal 3 5 2 3 4 2 2 2 2" xfId="57140" xr:uid="{00000000-0005-0000-0000-00005E950000}"/>
    <cellStyle name="Normal 3 5 2 3 4 2 2 3" xfId="43578" xr:uid="{00000000-0005-0000-0000-00005F950000}"/>
    <cellStyle name="Normal 3 5 2 3 4 2 3" xfId="23226" xr:uid="{00000000-0005-0000-0000-000060950000}"/>
    <cellStyle name="Normal 3 5 2 3 4 2 3 2" xfId="50359" xr:uid="{00000000-0005-0000-0000-000061950000}"/>
    <cellStyle name="Normal 3 5 2 3 4 2 4" xfId="36797" xr:uid="{00000000-0005-0000-0000-000062950000}"/>
    <cellStyle name="Normal 3 5 2 3 4 3" xfId="13050" xr:uid="{00000000-0005-0000-0000-000063950000}"/>
    <cellStyle name="Normal 3 5 2 3 4 3 2" xfId="26618" xr:uid="{00000000-0005-0000-0000-000064950000}"/>
    <cellStyle name="Normal 3 5 2 3 4 3 2 2" xfId="53751" xr:uid="{00000000-0005-0000-0000-000065950000}"/>
    <cellStyle name="Normal 3 5 2 3 4 3 3" xfId="40189" xr:uid="{00000000-0005-0000-0000-000066950000}"/>
    <cellStyle name="Normal 3 5 2 3 4 4" xfId="19837" xr:uid="{00000000-0005-0000-0000-000067950000}"/>
    <cellStyle name="Normal 3 5 2 3 4 4 2" xfId="46970" xr:uid="{00000000-0005-0000-0000-000068950000}"/>
    <cellStyle name="Normal 3 5 2 3 4 5" xfId="33408" xr:uid="{00000000-0005-0000-0000-000069950000}"/>
    <cellStyle name="Normal 3 5 2 3 5" xfId="6107" xr:uid="{00000000-0005-0000-0000-00006A950000}"/>
    <cellStyle name="Normal 3 5 2 3 5 2" xfId="9650" xr:uid="{00000000-0005-0000-0000-00006B950000}"/>
    <cellStyle name="Normal 3 5 2 3 5 2 2" xfId="16440" xr:uid="{00000000-0005-0000-0000-00006C950000}"/>
    <cellStyle name="Normal 3 5 2 3 5 2 2 2" xfId="30008" xr:uid="{00000000-0005-0000-0000-00006D950000}"/>
    <cellStyle name="Normal 3 5 2 3 5 2 2 2 2" xfId="57141" xr:uid="{00000000-0005-0000-0000-00006E950000}"/>
    <cellStyle name="Normal 3 5 2 3 5 2 2 3" xfId="43579" xr:uid="{00000000-0005-0000-0000-00006F950000}"/>
    <cellStyle name="Normal 3 5 2 3 5 2 3" xfId="23227" xr:uid="{00000000-0005-0000-0000-000070950000}"/>
    <cellStyle name="Normal 3 5 2 3 5 2 3 2" xfId="50360" xr:uid="{00000000-0005-0000-0000-000071950000}"/>
    <cellStyle name="Normal 3 5 2 3 5 2 4" xfId="36798" xr:uid="{00000000-0005-0000-0000-000072950000}"/>
    <cellStyle name="Normal 3 5 2 3 5 3" xfId="13051" xr:uid="{00000000-0005-0000-0000-000073950000}"/>
    <cellStyle name="Normal 3 5 2 3 5 3 2" xfId="26619" xr:uid="{00000000-0005-0000-0000-000074950000}"/>
    <cellStyle name="Normal 3 5 2 3 5 3 2 2" xfId="53752" xr:uid="{00000000-0005-0000-0000-000075950000}"/>
    <cellStyle name="Normal 3 5 2 3 5 3 3" xfId="40190" xr:uid="{00000000-0005-0000-0000-000076950000}"/>
    <cellStyle name="Normal 3 5 2 3 5 4" xfId="19838" xr:uid="{00000000-0005-0000-0000-000077950000}"/>
    <cellStyle name="Normal 3 5 2 3 5 4 2" xfId="46971" xr:uid="{00000000-0005-0000-0000-000078950000}"/>
    <cellStyle name="Normal 3 5 2 3 5 5" xfId="33409" xr:uid="{00000000-0005-0000-0000-000079950000}"/>
    <cellStyle name="Normal 3 5 2 3 6" xfId="9643" xr:uid="{00000000-0005-0000-0000-00007A950000}"/>
    <cellStyle name="Normal 3 5 2 3 6 2" xfId="16433" xr:uid="{00000000-0005-0000-0000-00007B950000}"/>
    <cellStyle name="Normal 3 5 2 3 6 2 2" xfId="30001" xr:uid="{00000000-0005-0000-0000-00007C950000}"/>
    <cellStyle name="Normal 3 5 2 3 6 2 2 2" xfId="57134" xr:uid="{00000000-0005-0000-0000-00007D950000}"/>
    <cellStyle name="Normal 3 5 2 3 6 2 3" xfId="43572" xr:uid="{00000000-0005-0000-0000-00007E950000}"/>
    <cellStyle name="Normal 3 5 2 3 6 3" xfId="23220" xr:uid="{00000000-0005-0000-0000-00007F950000}"/>
    <cellStyle name="Normal 3 5 2 3 6 3 2" xfId="50353" xr:uid="{00000000-0005-0000-0000-000080950000}"/>
    <cellStyle name="Normal 3 5 2 3 6 4" xfId="36791" xr:uid="{00000000-0005-0000-0000-000081950000}"/>
    <cellStyle name="Normal 3 5 2 3 7" xfId="13044" xr:uid="{00000000-0005-0000-0000-000082950000}"/>
    <cellStyle name="Normal 3 5 2 3 7 2" xfId="26612" xr:uid="{00000000-0005-0000-0000-000083950000}"/>
    <cellStyle name="Normal 3 5 2 3 7 2 2" xfId="53745" xr:uid="{00000000-0005-0000-0000-000084950000}"/>
    <cellStyle name="Normal 3 5 2 3 7 3" xfId="40183" xr:uid="{00000000-0005-0000-0000-000085950000}"/>
    <cellStyle name="Normal 3 5 2 3 8" xfId="19831" xr:uid="{00000000-0005-0000-0000-000086950000}"/>
    <cellStyle name="Normal 3 5 2 3 8 2" xfId="46964" xr:uid="{00000000-0005-0000-0000-000087950000}"/>
    <cellStyle name="Normal 3 5 2 3 9" xfId="33402" xr:uid="{00000000-0005-0000-0000-000088950000}"/>
    <cellStyle name="Normal 3 5 2 4" xfId="6108" xr:uid="{00000000-0005-0000-0000-000089950000}"/>
    <cellStyle name="Normal 3 5 2 4 2" xfId="6109" xr:uid="{00000000-0005-0000-0000-00008A950000}"/>
    <cellStyle name="Normal 3 5 2 4 2 2" xfId="6110" xr:uid="{00000000-0005-0000-0000-00008B950000}"/>
    <cellStyle name="Normal 3 5 2 4 2 2 2" xfId="9653" xr:uid="{00000000-0005-0000-0000-00008C950000}"/>
    <cellStyle name="Normal 3 5 2 4 2 2 2 2" xfId="16443" xr:uid="{00000000-0005-0000-0000-00008D950000}"/>
    <cellStyle name="Normal 3 5 2 4 2 2 2 2 2" xfId="30011" xr:uid="{00000000-0005-0000-0000-00008E950000}"/>
    <cellStyle name="Normal 3 5 2 4 2 2 2 2 2 2" xfId="57144" xr:uid="{00000000-0005-0000-0000-00008F950000}"/>
    <cellStyle name="Normal 3 5 2 4 2 2 2 2 3" xfId="43582" xr:uid="{00000000-0005-0000-0000-000090950000}"/>
    <cellStyle name="Normal 3 5 2 4 2 2 2 3" xfId="23230" xr:uid="{00000000-0005-0000-0000-000091950000}"/>
    <cellStyle name="Normal 3 5 2 4 2 2 2 3 2" xfId="50363" xr:uid="{00000000-0005-0000-0000-000092950000}"/>
    <cellStyle name="Normal 3 5 2 4 2 2 2 4" xfId="36801" xr:uid="{00000000-0005-0000-0000-000093950000}"/>
    <cellStyle name="Normal 3 5 2 4 2 2 3" xfId="13054" xr:uid="{00000000-0005-0000-0000-000094950000}"/>
    <cellStyle name="Normal 3 5 2 4 2 2 3 2" xfId="26622" xr:uid="{00000000-0005-0000-0000-000095950000}"/>
    <cellStyle name="Normal 3 5 2 4 2 2 3 2 2" xfId="53755" xr:uid="{00000000-0005-0000-0000-000096950000}"/>
    <cellStyle name="Normal 3 5 2 4 2 2 3 3" xfId="40193" xr:uid="{00000000-0005-0000-0000-000097950000}"/>
    <cellStyle name="Normal 3 5 2 4 2 2 4" xfId="19841" xr:uid="{00000000-0005-0000-0000-000098950000}"/>
    <cellStyle name="Normal 3 5 2 4 2 2 4 2" xfId="46974" xr:uid="{00000000-0005-0000-0000-000099950000}"/>
    <cellStyle name="Normal 3 5 2 4 2 2 5" xfId="33412" xr:uid="{00000000-0005-0000-0000-00009A950000}"/>
    <cellStyle name="Normal 3 5 2 4 2 3" xfId="6111" xr:uid="{00000000-0005-0000-0000-00009B950000}"/>
    <cellStyle name="Normal 3 5 2 4 2 3 2" xfId="9654" xr:uid="{00000000-0005-0000-0000-00009C950000}"/>
    <cellStyle name="Normal 3 5 2 4 2 3 2 2" xfId="16444" xr:uid="{00000000-0005-0000-0000-00009D950000}"/>
    <cellStyle name="Normal 3 5 2 4 2 3 2 2 2" xfId="30012" xr:uid="{00000000-0005-0000-0000-00009E950000}"/>
    <cellStyle name="Normal 3 5 2 4 2 3 2 2 2 2" xfId="57145" xr:uid="{00000000-0005-0000-0000-00009F950000}"/>
    <cellStyle name="Normal 3 5 2 4 2 3 2 2 3" xfId="43583" xr:uid="{00000000-0005-0000-0000-0000A0950000}"/>
    <cellStyle name="Normal 3 5 2 4 2 3 2 3" xfId="23231" xr:uid="{00000000-0005-0000-0000-0000A1950000}"/>
    <cellStyle name="Normal 3 5 2 4 2 3 2 3 2" xfId="50364" xr:uid="{00000000-0005-0000-0000-0000A2950000}"/>
    <cellStyle name="Normal 3 5 2 4 2 3 2 4" xfId="36802" xr:uid="{00000000-0005-0000-0000-0000A3950000}"/>
    <cellStyle name="Normal 3 5 2 4 2 3 3" xfId="13055" xr:uid="{00000000-0005-0000-0000-0000A4950000}"/>
    <cellStyle name="Normal 3 5 2 4 2 3 3 2" xfId="26623" xr:uid="{00000000-0005-0000-0000-0000A5950000}"/>
    <cellStyle name="Normal 3 5 2 4 2 3 3 2 2" xfId="53756" xr:uid="{00000000-0005-0000-0000-0000A6950000}"/>
    <cellStyle name="Normal 3 5 2 4 2 3 3 3" xfId="40194" xr:uid="{00000000-0005-0000-0000-0000A7950000}"/>
    <cellStyle name="Normal 3 5 2 4 2 3 4" xfId="19842" xr:uid="{00000000-0005-0000-0000-0000A8950000}"/>
    <cellStyle name="Normal 3 5 2 4 2 3 4 2" xfId="46975" xr:uid="{00000000-0005-0000-0000-0000A9950000}"/>
    <cellStyle name="Normal 3 5 2 4 2 3 5" xfId="33413" xr:uid="{00000000-0005-0000-0000-0000AA950000}"/>
    <cellStyle name="Normal 3 5 2 4 2 4" xfId="9652" xr:uid="{00000000-0005-0000-0000-0000AB950000}"/>
    <cellStyle name="Normal 3 5 2 4 2 4 2" xfId="16442" xr:uid="{00000000-0005-0000-0000-0000AC950000}"/>
    <cellStyle name="Normal 3 5 2 4 2 4 2 2" xfId="30010" xr:uid="{00000000-0005-0000-0000-0000AD950000}"/>
    <cellStyle name="Normal 3 5 2 4 2 4 2 2 2" xfId="57143" xr:uid="{00000000-0005-0000-0000-0000AE950000}"/>
    <cellStyle name="Normal 3 5 2 4 2 4 2 3" xfId="43581" xr:uid="{00000000-0005-0000-0000-0000AF950000}"/>
    <cellStyle name="Normal 3 5 2 4 2 4 3" xfId="23229" xr:uid="{00000000-0005-0000-0000-0000B0950000}"/>
    <cellStyle name="Normal 3 5 2 4 2 4 3 2" xfId="50362" xr:uid="{00000000-0005-0000-0000-0000B1950000}"/>
    <cellStyle name="Normal 3 5 2 4 2 4 4" xfId="36800" xr:uid="{00000000-0005-0000-0000-0000B2950000}"/>
    <cellStyle name="Normal 3 5 2 4 2 5" xfId="13053" xr:uid="{00000000-0005-0000-0000-0000B3950000}"/>
    <cellStyle name="Normal 3 5 2 4 2 5 2" xfId="26621" xr:uid="{00000000-0005-0000-0000-0000B4950000}"/>
    <cellStyle name="Normal 3 5 2 4 2 5 2 2" xfId="53754" xr:uid="{00000000-0005-0000-0000-0000B5950000}"/>
    <cellStyle name="Normal 3 5 2 4 2 5 3" xfId="40192" xr:uid="{00000000-0005-0000-0000-0000B6950000}"/>
    <cellStyle name="Normal 3 5 2 4 2 6" xfId="19840" xr:uid="{00000000-0005-0000-0000-0000B7950000}"/>
    <cellStyle name="Normal 3 5 2 4 2 6 2" xfId="46973" xr:uid="{00000000-0005-0000-0000-0000B8950000}"/>
    <cellStyle name="Normal 3 5 2 4 2 7" xfId="33411" xr:uid="{00000000-0005-0000-0000-0000B9950000}"/>
    <cellStyle name="Normal 3 5 2 4 3" xfId="6112" xr:uid="{00000000-0005-0000-0000-0000BA950000}"/>
    <cellStyle name="Normal 3 5 2 4 3 2" xfId="9655" xr:uid="{00000000-0005-0000-0000-0000BB950000}"/>
    <cellStyle name="Normal 3 5 2 4 3 2 2" xfId="16445" xr:uid="{00000000-0005-0000-0000-0000BC950000}"/>
    <cellStyle name="Normal 3 5 2 4 3 2 2 2" xfId="30013" xr:uid="{00000000-0005-0000-0000-0000BD950000}"/>
    <cellStyle name="Normal 3 5 2 4 3 2 2 2 2" xfId="57146" xr:uid="{00000000-0005-0000-0000-0000BE950000}"/>
    <cellStyle name="Normal 3 5 2 4 3 2 2 3" xfId="43584" xr:uid="{00000000-0005-0000-0000-0000BF950000}"/>
    <cellStyle name="Normal 3 5 2 4 3 2 3" xfId="23232" xr:uid="{00000000-0005-0000-0000-0000C0950000}"/>
    <cellStyle name="Normal 3 5 2 4 3 2 3 2" xfId="50365" xr:uid="{00000000-0005-0000-0000-0000C1950000}"/>
    <cellStyle name="Normal 3 5 2 4 3 2 4" xfId="36803" xr:uid="{00000000-0005-0000-0000-0000C2950000}"/>
    <cellStyle name="Normal 3 5 2 4 3 3" xfId="13056" xr:uid="{00000000-0005-0000-0000-0000C3950000}"/>
    <cellStyle name="Normal 3 5 2 4 3 3 2" xfId="26624" xr:uid="{00000000-0005-0000-0000-0000C4950000}"/>
    <cellStyle name="Normal 3 5 2 4 3 3 2 2" xfId="53757" xr:uid="{00000000-0005-0000-0000-0000C5950000}"/>
    <cellStyle name="Normal 3 5 2 4 3 3 3" xfId="40195" xr:uid="{00000000-0005-0000-0000-0000C6950000}"/>
    <cellStyle name="Normal 3 5 2 4 3 4" xfId="19843" xr:uid="{00000000-0005-0000-0000-0000C7950000}"/>
    <cellStyle name="Normal 3 5 2 4 3 4 2" xfId="46976" xr:uid="{00000000-0005-0000-0000-0000C8950000}"/>
    <cellStyle name="Normal 3 5 2 4 3 5" xfId="33414" xr:uid="{00000000-0005-0000-0000-0000C9950000}"/>
    <cellStyle name="Normal 3 5 2 4 4" xfId="6113" xr:uid="{00000000-0005-0000-0000-0000CA950000}"/>
    <cellStyle name="Normal 3 5 2 4 4 2" xfId="9656" xr:uid="{00000000-0005-0000-0000-0000CB950000}"/>
    <cellStyle name="Normal 3 5 2 4 4 2 2" xfId="16446" xr:uid="{00000000-0005-0000-0000-0000CC950000}"/>
    <cellStyle name="Normal 3 5 2 4 4 2 2 2" xfId="30014" xr:uid="{00000000-0005-0000-0000-0000CD950000}"/>
    <cellStyle name="Normal 3 5 2 4 4 2 2 2 2" xfId="57147" xr:uid="{00000000-0005-0000-0000-0000CE950000}"/>
    <cellStyle name="Normal 3 5 2 4 4 2 2 3" xfId="43585" xr:uid="{00000000-0005-0000-0000-0000CF950000}"/>
    <cellStyle name="Normal 3 5 2 4 4 2 3" xfId="23233" xr:uid="{00000000-0005-0000-0000-0000D0950000}"/>
    <cellStyle name="Normal 3 5 2 4 4 2 3 2" xfId="50366" xr:uid="{00000000-0005-0000-0000-0000D1950000}"/>
    <cellStyle name="Normal 3 5 2 4 4 2 4" xfId="36804" xr:uid="{00000000-0005-0000-0000-0000D2950000}"/>
    <cellStyle name="Normal 3 5 2 4 4 3" xfId="13057" xr:uid="{00000000-0005-0000-0000-0000D3950000}"/>
    <cellStyle name="Normal 3 5 2 4 4 3 2" xfId="26625" xr:uid="{00000000-0005-0000-0000-0000D4950000}"/>
    <cellStyle name="Normal 3 5 2 4 4 3 2 2" xfId="53758" xr:uid="{00000000-0005-0000-0000-0000D5950000}"/>
    <cellStyle name="Normal 3 5 2 4 4 3 3" xfId="40196" xr:uid="{00000000-0005-0000-0000-0000D6950000}"/>
    <cellStyle name="Normal 3 5 2 4 4 4" xfId="19844" xr:uid="{00000000-0005-0000-0000-0000D7950000}"/>
    <cellStyle name="Normal 3 5 2 4 4 4 2" xfId="46977" xr:uid="{00000000-0005-0000-0000-0000D8950000}"/>
    <cellStyle name="Normal 3 5 2 4 4 5" xfId="33415" xr:uid="{00000000-0005-0000-0000-0000D9950000}"/>
    <cellStyle name="Normal 3 5 2 4 5" xfId="9651" xr:uid="{00000000-0005-0000-0000-0000DA950000}"/>
    <cellStyle name="Normal 3 5 2 4 5 2" xfId="16441" xr:uid="{00000000-0005-0000-0000-0000DB950000}"/>
    <cellStyle name="Normal 3 5 2 4 5 2 2" xfId="30009" xr:uid="{00000000-0005-0000-0000-0000DC950000}"/>
    <cellStyle name="Normal 3 5 2 4 5 2 2 2" xfId="57142" xr:uid="{00000000-0005-0000-0000-0000DD950000}"/>
    <cellStyle name="Normal 3 5 2 4 5 2 3" xfId="43580" xr:uid="{00000000-0005-0000-0000-0000DE950000}"/>
    <cellStyle name="Normal 3 5 2 4 5 3" xfId="23228" xr:uid="{00000000-0005-0000-0000-0000DF950000}"/>
    <cellStyle name="Normal 3 5 2 4 5 3 2" xfId="50361" xr:uid="{00000000-0005-0000-0000-0000E0950000}"/>
    <cellStyle name="Normal 3 5 2 4 5 4" xfId="36799" xr:uid="{00000000-0005-0000-0000-0000E1950000}"/>
    <cellStyle name="Normal 3 5 2 4 6" xfId="13052" xr:uid="{00000000-0005-0000-0000-0000E2950000}"/>
    <cellStyle name="Normal 3 5 2 4 6 2" xfId="26620" xr:uid="{00000000-0005-0000-0000-0000E3950000}"/>
    <cellStyle name="Normal 3 5 2 4 6 2 2" xfId="53753" xr:uid="{00000000-0005-0000-0000-0000E4950000}"/>
    <cellStyle name="Normal 3 5 2 4 6 3" xfId="40191" xr:uid="{00000000-0005-0000-0000-0000E5950000}"/>
    <cellStyle name="Normal 3 5 2 4 7" xfId="19839" xr:uid="{00000000-0005-0000-0000-0000E6950000}"/>
    <cellStyle name="Normal 3 5 2 4 7 2" xfId="46972" xr:uid="{00000000-0005-0000-0000-0000E7950000}"/>
    <cellStyle name="Normal 3 5 2 4 8" xfId="33410" xr:uid="{00000000-0005-0000-0000-0000E8950000}"/>
    <cellStyle name="Normal 3 5 2 5" xfId="6114" xr:uid="{00000000-0005-0000-0000-0000E9950000}"/>
    <cellStyle name="Normal 3 5 2 5 2" xfId="6115" xr:uid="{00000000-0005-0000-0000-0000EA950000}"/>
    <cellStyle name="Normal 3 5 2 5 2 2" xfId="9658" xr:uid="{00000000-0005-0000-0000-0000EB950000}"/>
    <cellStyle name="Normal 3 5 2 5 2 2 2" xfId="16448" xr:uid="{00000000-0005-0000-0000-0000EC950000}"/>
    <cellStyle name="Normal 3 5 2 5 2 2 2 2" xfId="30016" xr:uid="{00000000-0005-0000-0000-0000ED950000}"/>
    <cellStyle name="Normal 3 5 2 5 2 2 2 2 2" xfId="57149" xr:uid="{00000000-0005-0000-0000-0000EE950000}"/>
    <cellStyle name="Normal 3 5 2 5 2 2 2 3" xfId="43587" xr:uid="{00000000-0005-0000-0000-0000EF950000}"/>
    <cellStyle name="Normal 3 5 2 5 2 2 3" xfId="23235" xr:uid="{00000000-0005-0000-0000-0000F0950000}"/>
    <cellStyle name="Normal 3 5 2 5 2 2 3 2" xfId="50368" xr:uid="{00000000-0005-0000-0000-0000F1950000}"/>
    <cellStyle name="Normal 3 5 2 5 2 2 4" xfId="36806" xr:uid="{00000000-0005-0000-0000-0000F2950000}"/>
    <cellStyle name="Normal 3 5 2 5 2 3" xfId="13059" xr:uid="{00000000-0005-0000-0000-0000F3950000}"/>
    <cellStyle name="Normal 3 5 2 5 2 3 2" xfId="26627" xr:uid="{00000000-0005-0000-0000-0000F4950000}"/>
    <cellStyle name="Normal 3 5 2 5 2 3 2 2" xfId="53760" xr:uid="{00000000-0005-0000-0000-0000F5950000}"/>
    <cellStyle name="Normal 3 5 2 5 2 3 3" xfId="40198" xr:uid="{00000000-0005-0000-0000-0000F6950000}"/>
    <cellStyle name="Normal 3 5 2 5 2 4" xfId="19846" xr:uid="{00000000-0005-0000-0000-0000F7950000}"/>
    <cellStyle name="Normal 3 5 2 5 2 4 2" xfId="46979" xr:uid="{00000000-0005-0000-0000-0000F8950000}"/>
    <cellStyle name="Normal 3 5 2 5 2 5" xfId="33417" xr:uid="{00000000-0005-0000-0000-0000F9950000}"/>
    <cellStyle name="Normal 3 5 2 5 3" xfId="6116" xr:uid="{00000000-0005-0000-0000-0000FA950000}"/>
    <cellStyle name="Normal 3 5 2 5 3 2" xfId="9659" xr:uid="{00000000-0005-0000-0000-0000FB950000}"/>
    <cellStyle name="Normal 3 5 2 5 3 2 2" xfId="16449" xr:uid="{00000000-0005-0000-0000-0000FC950000}"/>
    <cellStyle name="Normal 3 5 2 5 3 2 2 2" xfId="30017" xr:uid="{00000000-0005-0000-0000-0000FD950000}"/>
    <cellStyle name="Normal 3 5 2 5 3 2 2 2 2" xfId="57150" xr:uid="{00000000-0005-0000-0000-0000FE950000}"/>
    <cellStyle name="Normal 3 5 2 5 3 2 2 3" xfId="43588" xr:uid="{00000000-0005-0000-0000-0000FF950000}"/>
    <cellStyle name="Normal 3 5 2 5 3 2 3" xfId="23236" xr:uid="{00000000-0005-0000-0000-000000960000}"/>
    <cellStyle name="Normal 3 5 2 5 3 2 3 2" xfId="50369" xr:uid="{00000000-0005-0000-0000-000001960000}"/>
    <cellStyle name="Normal 3 5 2 5 3 2 4" xfId="36807" xr:uid="{00000000-0005-0000-0000-000002960000}"/>
    <cellStyle name="Normal 3 5 2 5 3 3" xfId="13060" xr:uid="{00000000-0005-0000-0000-000003960000}"/>
    <cellStyle name="Normal 3 5 2 5 3 3 2" xfId="26628" xr:uid="{00000000-0005-0000-0000-000004960000}"/>
    <cellStyle name="Normal 3 5 2 5 3 3 2 2" xfId="53761" xr:uid="{00000000-0005-0000-0000-000005960000}"/>
    <cellStyle name="Normal 3 5 2 5 3 3 3" xfId="40199" xr:uid="{00000000-0005-0000-0000-000006960000}"/>
    <cellStyle name="Normal 3 5 2 5 3 4" xfId="19847" xr:uid="{00000000-0005-0000-0000-000007960000}"/>
    <cellStyle name="Normal 3 5 2 5 3 4 2" xfId="46980" xr:uid="{00000000-0005-0000-0000-000008960000}"/>
    <cellStyle name="Normal 3 5 2 5 3 5" xfId="33418" xr:uid="{00000000-0005-0000-0000-000009960000}"/>
    <cellStyle name="Normal 3 5 2 5 4" xfId="9657" xr:uid="{00000000-0005-0000-0000-00000A960000}"/>
    <cellStyle name="Normal 3 5 2 5 4 2" xfId="16447" xr:uid="{00000000-0005-0000-0000-00000B960000}"/>
    <cellStyle name="Normal 3 5 2 5 4 2 2" xfId="30015" xr:uid="{00000000-0005-0000-0000-00000C960000}"/>
    <cellStyle name="Normal 3 5 2 5 4 2 2 2" xfId="57148" xr:uid="{00000000-0005-0000-0000-00000D960000}"/>
    <cellStyle name="Normal 3 5 2 5 4 2 3" xfId="43586" xr:uid="{00000000-0005-0000-0000-00000E960000}"/>
    <cellStyle name="Normal 3 5 2 5 4 3" xfId="23234" xr:uid="{00000000-0005-0000-0000-00000F960000}"/>
    <cellStyle name="Normal 3 5 2 5 4 3 2" xfId="50367" xr:uid="{00000000-0005-0000-0000-000010960000}"/>
    <cellStyle name="Normal 3 5 2 5 4 4" xfId="36805" xr:uid="{00000000-0005-0000-0000-000011960000}"/>
    <cellStyle name="Normal 3 5 2 5 5" xfId="13058" xr:uid="{00000000-0005-0000-0000-000012960000}"/>
    <cellStyle name="Normal 3 5 2 5 5 2" xfId="26626" xr:uid="{00000000-0005-0000-0000-000013960000}"/>
    <cellStyle name="Normal 3 5 2 5 5 2 2" xfId="53759" xr:uid="{00000000-0005-0000-0000-000014960000}"/>
    <cellStyle name="Normal 3 5 2 5 5 3" xfId="40197" xr:uid="{00000000-0005-0000-0000-000015960000}"/>
    <cellStyle name="Normal 3 5 2 5 6" xfId="19845" xr:uid="{00000000-0005-0000-0000-000016960000}"/>
    <cellStyle name="Normal 3 5 2 5 6 2" xfId="46978" xr:uid="{00000000-0005-0000-0000-000017960000}"/>
    <cellStyle name="Normal 3 5 2 5 7" xfId="33416" xr:uid="{00000000-0005-0000-0000-000018960000}"/>
    <cellStyle name="Normal 3 5 2 6" xfId="6117" xr:uid="{00000000-0005-0000-0000-000019960000}"/>
    <cellStyle name="Normal 3 5 2 6 2" xfId="6118" xr:uid="{00000000-0005-0000-0000-00001A960000}"/>
    <cellStyle name="Normal 3 5 2 6 2 2" xfId="9661" xr:uid="{00000000-0005-0000-0000-00001B960000}"/>
    <cellStyle name="Normal 3 5 2 6 2 2 2" xfId="16451" xr:uid="{00000000-0005-0000-0000-00001C960000}"/>
    <cellStyle name="Normal 3 5 2 6 2 2 2 2" xfId="30019" xr:uid="{00000000-0005-0000-0000-00001D960000}"/>
    <cellStyle name="Normal 3 5 2 6 2 2 2 2 2" xfId="57152" xr:uid="{00000000-0005-0000-0000-00001E960000}"/>
    <cellStyle name="Normal 3 5 2 6 2 2 2 3" xfId="43590" xr:uid="{00000000-0005-0000-0000-00001F960000}"/>
    <cellStyle name="Normal 3 5 2 6 2 2 3" xfId="23238" xr:uid="{00000000-0005-0000-0000-000020960000}"/>
    <cellStyle name="Normal 3 5 2 6 2 2 3 2" xfId="50371" xr:uid="{00000000-0005-0000-0000-000021960000}"/>
    <cellStyle name="Normal 3 5 2 6 2 2 4" xfId="36809" xr:uid="{00000000-0005-0000-0000-000022960000}"/>
    <cellStyle name="Normal 3 5 2 6 2 3" xfId="13062" xr:uid="{00000000-0005-0000-0000-000023960000}"/>
    <cellStyle name="Normal 3 5 2 6 2 3 2" xfId="26630" xr:uid="{00000000-0005-0000-0000-000024960000}"/>
    <cellStyle name="Normal 3 5 2 6 2 3 2 2" xfId="53763" xr:uid="{00000000-0005-0000-0000-000025960000}"/>
    <cellStyle name="Normal 3 5 2 6 2 3 3" xfId="40201" xr:uid="{00000000-0005-0000-0000-000026960000}"/>
    <cellStyle name="Normal 3 5 2 6 2 4" xfId="19849" xr:uid="{00000000-0005-0000-0000-000027960000}"/>
    <cellStyle name="Normal 3 5 2 6 2 4 2" xfId="46982" xr:uid="{00000000-0005-0000-0000-000028960000}"/>
    <cellStyle name="Normal 3 5 2 6 2 5" xfId="33420" xr:uid="{00000000-0005-0000-0000-000029960000}"/>
    <cellStyle name="Normal 3 5 2 6 3" xfId="6119" xr:uid="{00000000-0005-0000-0000-00002A960000}"/>
    <cellStyle name="Normal 3 5 2 6 3 2" xfId="9662" xr:uid="{00000000-0005-0000-0000-00002B960000}"/>
    <cellStyle name="Normal 3 5 2 6 3 2 2" xfId="16452" xr:uid="{00000000-0005-0000-0000-00002C960000}"/>
    <cellStyle name="Normal 3 5 2 6 3 2 2 2" xfId="30020" xr:uid="{00000000-0005-0000-0000-00002D960000}"/>
    <cellStyle name="Normal 3 5 2 6 3 2 2 2 2" xfId="57153" xr:uid="{00000000-0005-0000-0000-00002E960000}"/>
    <cellStyle name="Normal 3 5 2 6 3 2 2 3" xfId="43591" xr:uid="{00000000-0005-0000-0000-00002F960000}"/>
    <cellStyle name="Normal 3 5 2 6 3 2 3" xfId="23239" xr:uid="{00000000-0005-0000-0000-000030960000}"/>
    <cellStyle name="Normal 3 5 2 6 3 2 3 2" xfId="50372" xr:uid="{00000000-0005-0000-0000-000031960000}"/>
    <cellStyle name="Normal 3 5 2 6 3 2 4" xfId="36810" xr:uid="{00000000-0005-0000-0000-000032960000}"/>
    <cellStyle name="Normal 3 5 2 6 3 3" xfId="13063" xr:uid="{00000000-0005-0000-0000-000033960000}"/>
    <cellStyle name="Normal 3 5 2 6 3 3 2" xfId="26631" xr:uid="{00000000-0005-0000-0000-000034960000}"/>
    <cellStyle name="Normal 3 5 2 6 3 3 2 2" xfId="53764" xr:uid="{00000000-0005-0000-0000-000035960000}"/>
    <cellStyle name="Normal 3 5 2 6 3 3 3" xfId="40202" xr:uid="{00000000-0005-0000-0000-000036960000}"/>
    <cellStyle name="Normal 3 5 2 6 3 4" xfId="19850" xr:uid="{00000000-0005-0000-0000-000037960000}"/>
    <cellStyle name="Normal 3 5 2 6 3 4 2" xfId="46983" xr:uid="{00000000-0005-0000-0000-000038960000}"/>
    <cellStyle name="Normal 3 5 2 6 3 5" xfId="33421" xr:uid="{00000000-0005-0000-0000-000039960000}"/>
    <cellStyle name="Normal 3 5 2 6 4" xfId="9660" xr:uid="{00000000-0005-0000-0000-00003A960000}"/>
    <cellStyle name="Normal 3 5 2 6 4 2" xfId="16450" xr:uid="{00000000-0005-0000-0000-00003B960000}"/>
    <cellStyle name="Normal 3 5 2 6 4 2 2" xfId="30018" xr:uid="{00000000-0005-0000-0000-00003C960000}"/>
    <cellStyle name="Normal 3 5 2 6 4 2 2 2" xfId="57151" xr:uid="{00000000-0005-0000-0000-00003D960000}"/>
    <cellStyle name="Normal 3 5 2 6 4 2 3" xfId="43589" xr:uid="{00000000-0005-0000-0000-00003E960000}"/>
    <cellStyle name="Normal 3 5 2 6 4 3" xfId="23237" xr:uid="{00000000-0005-0000-0000-00003F960000}"/>
    <cellStyle name="Normal 3 5 2 6 4 3 2" xfId="50370" xr:uid="{00000000-0005-0000-0000-000040960000}"/>
    <cellStyle name="Normal 3 5 2 6 4 4" xfId="36808" xr:uid="{00000000-0005-0000-0000-000041960000}"/>
    <cellStyle name="Normal 3 5 2 6 5" xfId="13061" xr:uid="{00000000-0005-0000-0000-000042960000}"/>
    <cellStyle name="Normal 3 5 2 6 5 2" xfId="26629" xr:uid="{00000000-0005-0000-0000-000043960000}"/>
    <cellStyle name="Normal 3 5 2 6 5 2 2" xfId="53762" xr:uid="{00000000-0005-0000-0000-000044960000}"/>
    <cellStyle name="Normal 3 5 2 6 5 3" xfId="40200" xr:uid="{00000000-0005-0000-0000-000045960000}"/>
    <cellStyle name="Normal 3 5 2 6 6" xfId="19848" xr:uid="{00000000-0005-0000-0000-000046960000}"/>
    <cellStyle name="Normal 3 5 2 6 6 2" xfId="46981" xr:uid="{00000000-0005-0000-0000-000047960000}"/>
    <cellStyle name="Normal 3 5 2 6 7" xfId="33419" xr:uid="{00000000-0005-0000-0000-000048960000}"/>
    <cellStyle name="Normal 3 5 2 7" xfId="6120" xr:uid="{00000000-0005-0000-0000-000049960000}"/>
    <cellStyle name="Normal 3 5 2 7 2" xfId="9663" xr:uid="{00000000-0005-0000-0000-00004A960000}"/>
    <cellStyle name="Normal 3 5 2 7 2 2" xfId="16453" xr:uid="{00000000-0005-0000-0000-00004B960000}"/>
    <cellStyle name="Normal 3 5 2 7 2 2 2" xfId="30021" xr:uid="{00000000-0005-0000-0000-00004C960000}"/>
    <cellStyle name="Normal 3 5 2 7 2 2 2 2" xfId="57154" xr:uid="{00000000-0005-0000-0000-00004D960000}"/>
    <cellStyle name="Normal 3 5 2 7 2 2 3" xfId="43592" xr:uid="{00000000-0005-0000-0000-00004E960000}"/>
    <cellStyle name="Normal 3 5 2 7 2 3" xfId="23240" xr:uid="{00000000-0005-0000-0000-00004F960000}"/>
    <cellStyle name="Normal 3 5 2 7 2 3 2" xfId="50373" xr:uid="{00000000-0005-0000-0000-000050960000}"/>
    <cellStyle name="Normal 3 5 2 7 2 4" xfId="36811" xr:uid="{00000000-0005-0000-0000-000051960000}"/>
    <cellStyle name="Normal 3 5 2 7 3" xfId="13064" xr:uid="{00000000-0005-0000-0000-000052960000}"/>
    <cellStyle name="Normal 3 5 2 7 3 2" xfId="26632" xr:uid="{00000000-0005-0000-0000-000053960000}"/>
    <cellStyle name="Normal 3 5 2 7 3 2 2" xfId="53765" xr:uid="{00000000-0005-0000-0000-000054960000}"/>
    <cellStyle name="Normal 3 5 2 7 3 3" xfId="40203" xr:uid="{00000000-0005-0000-0000-000055960000}"/>
    <cellStyle name="Normal 3 5 2 7 4" xfId="19851" xr:uid="{00000000-0005-0000-0000-000056960000}"/>
    <cellStyle name="Normal 3 5 2 7 4 2" xfId="46984" xr:uid="{00000000-0005-0000-0000-000057960000}"/>
    <cellStyle name="Normal 3 5 2 7 5" xfId="33422" xr:uid="{00000000-0005-0000-0000-000058960000}"/>
    <cellStyle name="Normal 3 5 2 8" xfId="6121" xr:uid="{00000000-0005-0000-0000-000059960000}"/>
    <cellStyle name="Normal 3 5 2 8 2" xfId="9664" xr:uid="{00000000-0005-0000-0000-00005A960000}"/>
    <cellStyle name="Normal 3 5 2 8 2 2" xfId="16454" xr:uid="{00000000-0005-0000-0000-00005B960000}"/>
    <cellStyle name="Normal 3 5 2 8 2 2 2" xfId="30022" xr:uid="{00000000-0005-0000-0000-00005C960000}"/>
    <cellStyle name="Normal 3 5 2 8 2 2 2 2" xfId="57155" xr:uid="{00000000-0005-0000-0000-00005D960000}"/>
    <cellStyle name="Normal 3 5 2 8 2 2 3" xfId="43593" xr:uid="{00000000-0005-0000-0000-00005E960000}"/>
    <cellStyle name="Normal 3 5 2 8 2 3" xfId="23241" xr:uid="{00000000-0005-0000-0000-00005F960000}"/>
    <cellStyle name="Normal 3 5 2 8 2 3 2" xfId="50374" xr:uid="{00000000-0005-0000-0000-000060960000}"/>
    <cellStyle name="Normal 3 5 2 8 2 4" xfId="36812" xr:uid="{00000000-0005-0000-0000-000061960000}"/>
    <cellStyle name="Normal 3 5 2 8 3" xfId="13065" xr:uid="{00000000-0005-0000-0000-000062960000}"/>
    <cellStyle name="Normal 3 5 2 8 3 2" xfId="26633" xr:uid="{00000000-0005-0000-0000-000063960000}"/>
    <cellStyle name="Normal 3 5 2 8 3 2 2" xfId="53766" xr:uid="{00000000-0005-0000-0000-000064960000}"/>
    <cellStyle name="Normal 3 5 2 8 3 3" xfId="40204" xr:uid="{00000000-0005-0000-0000-000065960000}"/>
    <cellStyle name="Normal 3 5 2 8 4" xfId="19852" xr:uid="{00000000-0005-0000-0000-000066960000}"/>
    <cellStyle name="Normal 3 5 2 8 4 2" xfId="46985" xr:uid="{00000000-0005-0000-0000-000067960000}"/>
    <cellStyle name="Normal 3 5 2 8 5" xfId="33423" xr:uid="{00000000-0005-0000-0000-000068960000}"/>
    <cellStyle name="Normal 3 5 2 9" xfId="7538" xr:uid="{00000000-0005-0000-0000-000069960000}"/>
    <cellStyle name="Normal 3 5 2 9 2" xfId="14328" xr:uid="{00000000-0005-0000-0000-00006A960000}"/>
    <cellStyle name="Normal 3 5 2 9 2 2" xfId="27896" xr:uid="{00000000-0005-0000-0000-00006B960000}"/>
    <cellStyle name="Normal 3 5 2 9 2 2 2" xfId="55029" xr:uid="{00000000-0005-0000-0000-00006C960000}"/>
    <cellStyle name="Normal 3 5 2 9 2 3" xfId="41467" xr:uid="{00000000-0005-0000-0000-00006D960000}"/>
    <cellStyle name="Normal 3 5 2 9 3" xfId="21115" xr:uid="{00000000-0005-0000-0000-00006E960000}"/>
    <cellStyle name="Normal 3 5 2 9 3 2" xfId="48248" xr:uid="{00000000-0005-0000-0000-00006F960000}"/>
    <cellStyle name="Normal 3 5 2 9 4" xfId="34686" xr:uid="{00000000-0005-0000-0000-000070960000}"/>
    <cellStyle name="Normal 3 5 3" xfId="2727" xr:uid="{00000000-0005-0000-0000-000071960000}"/>
    <cellStyle name="Normal 3 5 3 10" xfId="31299" xr:uid="{00000000-0005-0000-0000-000072960000}"/>
    <cellStyle name="Normal 3 5 3 2" xfId="2728" xr:uid="{00000000-0005-0000-0000-000073960000}"/>
    <cellStyle name="Normal 3 5 3 2 2" xfId="6122" xr:uid="{00000000-0005-0000-0000-000074960000}"/>
    <cellStyle name="Normal 3 5 3 2 2 2" xfId="6123" xr:uid="{00000000-0005-0000-0000-000075960000}"/>
    <cellStyle name="Normal 3 5 3 2 2 2 2" xfId="9666" xr:uid="{00000000-0005-0000-0000-000076960000}"/>
    <cellStyle name="Normal 3 5 3 2 2 2 2 2" xfId="16456" xr:uid="{00000000-0005-0000-0000-000077960000}"/>
    <cellStyle name="Normal 3 5 3 2 2 2 2 2 2" xfId="30024" xr:uid="{00000000-0005-0000-0000-000078960000}"/>
    <cellStyle name="Normal 3 5 3 2 2 2 2 2 2 2" xfId="57157" xr:uid="{00000000-0005-0000-0000-000079960000}"/>
    <cellStyle name="Normal 3 5 3 2 2 2 2 2 3" xfId="43595" xr:uid="{00000000-0005-0000-0000-00007A960000}"/>
    <cellStyle name="Normal 3 5 3 2 2 2 2 3" xfId="23243" xr:uid="{00000000-0005-0000-0000-00007B960000}"/>
    <cellStyle name="Normal 3 5 3 2 2 2 2 3 2" xfId="50376" xr:uid="{00000000-0005-0000-0000-00007C960000}"/>
    <cellStyle name="Normal 3 5 3 2 2 2 2 4" xfId="36814" xr:uid="{00000000-0005-0000-0000-00007D960000}"/>
    <cellStyle name="Normal 3 5 3 2 2 2 3" xfId="13067" xr:uid="{00000000-0005-0000-0000-00007E960000}"/>
    <cellStyle name="Normal 3 5 3 2 2 2 3 2" xfId="26635" xr:uid="{00000000-0005-0000-0000-00007F960000}"/>
    <cellStyle name="Normal 3 5 3 2 2 2 3 2 2" xfId="53768" xr:uid="{00000000-0005-0000-0000-000080960000}"/>
    <cellStyle name="Normal 3 5 3 2 2 2 3 3" xfId="40206" xr:uid="{00000000-0005-0000-0000-000081960000}"/>
    <cellStyle name="Normal 3 5 3 2 2 2 4" xfId="19854" xr:uid="{00000000-0005-0000-0000-000082960000}"/>
    <cellStyle name="Normal 3 5 3 2 2 2 4 2" xfId="46987" xr:uid="{00000000-0005-0000-0000-000083960000}"/>
    <cellStyle name="Normal 3 5 3 2 2 2 5" xfId="33425" xr:uid="{00000000-0005-0000-0000-000084960000}"/>
    <cellStyle name="Normal 3 5 3 2 2 3" xfId="6124" xr:uid="{00000000-0005-0000-0000-000085960000}"/>
    <cellStyle name="Normal 3 5 3 2 2 3 2" xfId="9667" xr:uid="{00000000-0005-0000-0000-000086960000}"/>
    <cellStyle name="Normal 3 5 3 2 2 3 2 2" xfId="16457" xr:uid="{00000000-0005-0000-0000-000087960000}"/>
    <cellStyle name="Normal 3 5 3 2 2 3 2 2 2" xfId="30025" xr:uid="{00000000-0005-0000-0000-000088960000}"/>
    <cellStyle name="Normal 3 5 3 2 2 3 2 2 2 2" xfId="57158" xr:uid="{00000000-0005-0000-0000-000089960000}"/>
    <cellStyle name="Normal 3 5 3 2 2 3 2 2 3" xfId="43596" xr:uid="{00000000-0005-0000-0000-00008A960000}"/>
    <cellStyle name="Normal 3 5 3 2 2 3 2 3" xfId="23244" xr:uid="{00000000-0005-0000-0000-00008B960000}"/>
    <cellStyle name="Normal 3 5 3 2 2 3 2 3 2" xfId="50377" xr:uid="{00000000-0005-0000-0000-00008C960000}"/>
    <cellStyle name="Normal 3 5 3 2 2 3 2 4" xfId="36815" xr:uid="{00000000-0005-0000-0000-00008D960000}"/>
    <cellStyle name="Normal 3 5 3 2 2 3 3" xfId="13068" xr:uid="{00000000-0005-0000-0000-00008E960000}"/>
    <cellStyle name="Normal 3 5 3 2 2 3 3 2" xfId="26636" xr:uid="{00000000-0005-0000-0000-00008F960000}"/>
    <cellStyle name="Normal 3 5 3 2 2 3 3 2 2" xfId="53769" xr:uid="{00000000-0005-0000-0000-000090960000}"/>
    <cellStyle name="Normal 3 5 3 2 2 3 3 3" xfId="40207" xr:uid="{00000000-0005-0000-0000-000091960000}"/>
    <cellStyle name="Normal 3 5 3 2 2 3 4" xfId="19855" xr:uid="{00000000-0005-0000-0000-000092960000}"/>
    <cellStyle name="Normal 3 5 3 2 2 3 4 2" xfId="46988" xr:uid="{00000000-0005-0000-0000-000093960000}"/>
    <cellStyle name="Normal 3 5 3 2 2 3 5" xfId="33426" xr:uid="{00000000-0005-0000-0000-000094960000}"/>
    <cellStyle name="Normal 3 5 3 2 2 4" xfId="9665" xr:uid="{00000000-0005-0000-0000-000095960000}"/>
    <cellStyle name="Normal 3 5 3 2 2 4 2" xfId="16455" xr:uid="{00000000-0005-0000-0000-000096960000}"/>
    <cellStyle name="Normal 3 5 3 2 2 4 2 2" xfId="30023" xr:uid="{00000000-0005-0000-0000-000097960000}"/>
    <cellStyle name="Normal 3 5 3 2 2 4 2 2 2" xfId="57156" xr:uid="{00000000-0005-0000-0000-000098960000}"/>
    <cellStyle name="Normal 3 5 3 2 2 4 2 3" xfId="43594" xr:uid="{00000000-0005-0000-0000-000099960000}"/>
    <cellStyle name="Normal 3 5 3 2 2 4 3" xfId="23242" xr:uid="{00000000-0005-0000-0000-00009A960000}"/>
    <cellStyle name="Normal 3 5 3 2 2 4 3 2" xfId="50375" xr:uid="{00000000-0005-0000-0000-00009B960000}"/>
    <cellStyle name="Normal 3 5 3 2 2 4 4" xfId="36813" xr:uid="{00000000-0005-0000-0000-00009C960000}"/>
    <cellStyle name="Normal 3 5 3 2 2 5" xfId="13066" xr:uid="{00000000-0005-0000-0000-00009D960000}"/>
    <cellStyle name="Normal 3 5 3 2 2 5 2" xfId="26634" xr:uid="{00000000-0005-0000-0000-00009E960000}"/>
    <cellStyle name="Normal 3 5 3 2 2 5 2 2" xfId="53767" xr:uid="{00000000-0005-0000-0000-00009F960000}"/>
    <cellStyle name="Normal 3 5 3 2 2 5 3" xfId="40205" xr:uid="{00000000-0005-0000-0000-0000A0960000}"/>
    <cellStyle name="Normal 3 5 3 2 2 6" xfId="19853" xr:uid="{00000000-0005-0000-0000-0000A1960000}"/>
    <cellStyle name="Normal 3 5 3 2 2 6 2" xfId="46986" xr:uid="{00000000-0005-0000-0000-0000A2960000}"/>
    <cellStyle name="Normal 3 5 3 2 2 7" xfId="33424" xr:uid="{00000000-0005-0000-0000-0000A3960000}"/>
    <cellStyle name="Normal 3 5 3 2 3" xfId="6125" xr:uid="{00000000-0005-0000-0000-0000A4960000}"/>
    <cellStyle name="Normal 3 5 3 2 3 2" xfId="6126" xr:uid="{00000000-0005-0000-0000-0000A5960000}"/>
    <cellStyle name="Normal 3 5 3 2 3 2 2" xfId="9669" xr:uid="{00000000-0005-0000-0000-0000A6960000}"/>
    <cellStyle name="Normal 3 5 3 2 3 2 2 2" xfId="16459" xr:uid="{00000000-0005-0000-0000-0000A7960000}"/>
    <cellStyle name="Normal 3 5 3 2 3 2 2 2 2" xfId="30027" xr:uid="{00000000-0005-0000-0000-0000A8960000}"/>
    <cellStyle name="Normal 3 5 3 2 3 2 2 2 2 2" xfId="57160" xr:uid="{00000000-0005-0000-0000-0000A9960000}"/>
    <cellStyle name="Normal 3 5 3 2 3 2 2 2 3" xfId="43598" xr:uid="{00000000-0005-0000-0000-0000AA960000}"/>
    <cellStyle name="Normal 3 5 3 2 3 2 2 3" xfId="23246" xr:uid="{00000000-0005-0000-0000-0000AB960000}"/>
    <cellStyle name="Normal 3 5 3 2 3 2 2 3 2" xfId="50379" xr:uid="{00000000-0005-0000-0000-0000AC960000}"/>
    <cellStyle name="Normal 3 5 3 2 3 2 2 4" xfId="36817" xr:uid="{00000000-0005-0000-0000-0000AD960000}"/>
    <cellStyle name="Normal 3 5 3 2 3 2 3" xfId="13070" xr:uid="{00000000-0005-0000-0000-0000AE960000}"/>
    <cellStyle name="Normal 3 5 3 2 3 2 3 2" xfId="26638" xr:uid="{00000000-0005-0000-0000-0000AF960000}"/>
    <cellStyle name="Normal 3 5 3 2 3 2 3 2 2" xfId="53771" xr:uid="{00000000-0005-0000-0000-0000B0960000}"/>
    <cellStyle name="Normal 3 5 3 2 3 2 3 3" xfId="40209" xr:uid="{00000000-0005-0000-0000-0000B1960000}"/>
    <cellStyle name="Normal 3 5 3 2 3 2 4" xfId="19857" xr:uid="{00000000-0005-0000-0000-0000B2960000}"/>
    <cellStyle name="Normal 3 5 3 2 3 2 4 2" xfId="46990" xr:uid="{00000000-0005-0000-0000-0000B3960000}"/>
    <cellStyle name="Normal 3 5 3 2 3 2 5" xfId="33428" xr:uid="{00000000-0005-0000-0000-0000B4960000}"/>
    <cellStyle name="Normal 3 5 3 2 3 3" xfId="9668" xr:uid="{00000000-0005-0000-0000-0000B5960000}"/>
    <cellStyle name="Normal 3 5 3 2 3 3 2" xfId="16458" xr:uid="{00000000-0005-0000-0000-0000B6960000}"/>
    <cellStyle name="Normal 3 5 3 2 3 3 2 2" xfId="30026" xr:uid="{00000000-0005-0000-0000-0000B7960000}"/>
    <cellStyle name="Normal 3 5 3 2 3 3 2 2 2" xfId="57159" xr:uid="{00000000-0005-0000-0000-0000B8960000}"/>
    <cellStyle name="Normal 3 5 3 2 3 3 2 3" xfId="43597" xr:uid="{00000000-0005-0000-0000-0000B9960000}"/>
    <cellStyle name="Normal 3 5 3 2 3 3 3" xfId="23245" xr:uid="{00000000-0005-0000-0000-0000BA960000}"/>
    <cellStyle name="Normal 3 5 3 2 3 3 3 2" xfId="50378" xr:uid="{00000000-0005-0000-0000-0000BB960000}"/>
    <cellStyle name="Normal 3 5 3 2 3 3 4" xfId="36816" xr:uid="{00000000-0005-0000-0000-0000BC960000}"/>
    <cellStyle name="Normal 3 5 3 2 3 4" xfId="13069" xr:uid="{00000000-0005-0000-0000-0000BD960000}"/>
    <cellStyle name="Normal 3 5 3 2 3 4 2" xfId="26637" xr:uid="{00000000-0005-0000-0000-0000BE960000}"/>
    <cellStyle name="Normal 3 5 3 2 3 4 2 2" xfId="53770" xr:uid="{00000000-0005-0000-0000-0000BF960000}"/>
    <cellStyle name="Normal 3 5 3 2 3 4 3" xfId="40208" xr:uid="{00000000-0005-0000-0000-0000C0960000}"/>
    <cellStyle name="Normal 3 5 3 2 3 5" xfId="19856" xr:uid="{00000000-0005-0000-0000-0000C1960000}"/>
    <cellStyle name="Normal 3 5 3 2 3 5 2" xfId="46989" xr:uid="{00000000-0005-0000-0000-0000C2960000}"/>
    <cellStyle name="Normal 3 5 3 2 3 6" xfId="33427" xr:uid="{00000000-0005-0000-0000-0000C3960000}"/>
    <cellStyle name="Normal 3 5 3 2 4" xfId="6127" xr:uid="{00000000-0005-0000-0000-0000C4960000}"/>
    <cellStyle name="Normal 3 5 3 2 4 2" xfId="9670" xr:uid="{00000000-0005-0000-0000-0000C5960000}"/>
    <cellStyle name="Normal 3 5 3 2 4 2 2" xfId="16460" xr:uid="{00000000-0005-0000-0000-0000C6960000}"/>
    <cellStyle name="Normal 3 5 3 2 4 2 2 2" xfId="30028" xr:uid="{00000000-0005-0000-0000-0000C7960000}"/>
    <cellStyle name="Normal 3 5 3 2 4 2 2 2 2" xfId="57161" xr:uid="{00000000-0005-0000-0000-0000C8960000}"/>
    <cellStyle name="Normal 3 5 3 2 4 2 2 3" xfId="43599" xr:uid="{00000000-0005-0000-0000-0000C9960000}"/>
    <cellStyle name="Normal 3 5 3 2 4 2 3" xfId="23247" xr:uid="{00000000-0005-0000-0000-0000CA960000}"/>
    <cellStyle name="Normal 3 5 3 2 4 2 3 2" xfId="50380" xr:uid="{00000000-0005-0000-0000-0000CB960000}"/>
    <cellStyle name="Normal 3 5 3 2 4 2 4" xfId="36818" xr:uid="{00000000-0005-0000-0000-0000CC960000}"/>
    <cellStyle name="Normal 3 5 3 2 4 3" xfId="13071" xr:uid="{00000000-0005-0000-0000-0000CD960000}"/>
    <cellStyle name="Normal 3 5 3 2 4 3 2" xfId="26639" xr:uid="{00000000-0005-0000-0000-0000CE960000}"/>
    <cellStyle name="Normal 3 5 3 2 4 3 2 2" xfId="53772" xr:uid="{00000000-0005-0000-0000-0000CF960000}"/>
    <cellStyle name="Normal 3 5 3 2 4 3 3" xfId="40210" xr:uid="{00000000-0005-0000-0000-0000D0960000}"/>
    <cellStyle name="Normal 3 5 3 2 4 4" xfId="19858" xr:uid="{00000000-0005-0000-0000-0000D1960000}"/>
    <cellStyle name="Normal 3 5 3 2 4 4 2" xfId="46991" xr:uid="{00000000-0005-0000-0000-0000D2960000}"/>
    <cellStyle name="Normal 3 5 3 2 4 5" xfId="33429" xr:uid="{00000000-0005-0000-0000-0000D3960000}"/>
    <cellStyle name="Normal 3 5 3 2 5" xfId="6128" xr:uid="{00000000-0005-0000-0000-0000D4960000}"/>
    <cellStyle name="Normal 3 5 3 2 5 2" xfId="9671" xr:uid="{00000000-0005-0000-0000-0000D5960000}"/>
    <cellStyle name="Normal 3 5 3 2 5 2 2" xfId="16461" xr:uid="{00000000-0005-0000-0000-0000D6960000}"/>
    <cellStyle name="Normal 3 5 3 2 5 2 2 2" xfId="30029" xr:uid="{00000000-0005-0000-0000-0000D7960000}"/>
    <cellStyle name="Normal 3 5 3 2 5 2 2 2 2" xfId="57162" xr:uid="{00000000-0005-0000-0000-0000D8960000}"/>
    <cellStyle name="Normal 3 5 3 2 5 2 2 3" xfId="43600" xr:uid="{00000000-0005-0000-0000-0000D9960000}"/>
    <cellStyle name="Normal 3 5 3 2 5 2 3" xfId="23248" xr:uid="{00000000-0005-0000-0000-0000DA960000}"/>
    <cellStyle name="Normal 3 5 3 2 5 2 3 2" xfId="50381" xr:uid="{00000000-0005-0000-0000-0000DB960000}"/>
    <cellStyle name="Normal 3 5 3 2 5 2 4" xfId="36819" xr:uid="{00000000-0005-0000-0000-0000DC960000}"/>
    <cellStyle name="Normal 3 5 3 2 5 3" xfId="13072" xr:uid="{00000000-0005-0000-0000-0000DD960000}"/>
    <cellStyle name="Normal 3 5 3 2 5 3 2" xfId="26640" xr:uid="{00000000-0005-0000-0000-0000DE960000}"/>
    <cellStyle name="Normal 3 5 3 2 5 3 2 2" xfId="53773" xr:uid="{00000000-0005-0000-0000-0000DF960000}"/>
    <cellStyle name="Normal 3 5 3 2 5 3 3" xfId="40211" xr:uid="{00000000-0005-0000-0000-0000E0960000}"/>
    <cellStyle name="Normal 3 5 3 2 5 4" xfId="19859" xr:uid="{00000000-0005-0000-0000-0000E1960000}"/>
    <cellStyle name="Normal 3 5 3 2 5 4 2" xfId="46992" xr:uid="{00000000-0005-0000-0000-0000E2960000}"/>
    <cellStyle name="Normal 3 5 3 2 5 5" xfId="33430" xr:uid="{00000000-0005-0000-0000-0000E3960000}"/>
    <cellStyle name="Normal 3 5 3 2 6" xfId="7541" xr:uid="{00000000-0005-0000-0000-0000E4960000}"/>
    <cellStyle name="Normal 3 5 3 2 6 2" xfId="14331" xr:uid="{00000000-0005-0000-0000-0000E5960000}"/>
    <cellStyle name="Normal 3 5 3 2 6 2 2" xfId="27899" xr:uid="{00000000-0005-0000-0000-0000E6960000}"/>
    <cellStyle name="Normal 3 5 3 2 6 2 2 2" xfId="55032" xr:uid="{00000000-0005-0000-0000-0000E7960000}"/>
    <cellStyle name="Normal 3 5 3 2 6 2 3" xfId="41470" xr:uid="{00000000-0005-0000-0000-0000E8960000}"/>
    <cellStyle name="Normal 3 5 3 2 6 3" xfId="21118" xr:uid="{00000000-0005-0000-0000-0000E9960000}"/>
    <cellStyle name="Normal 3 5 3 2 6 3 2" xfId="48251" xr:uid="{00000000-0005-0000-0000-0000EA960000}"/>
    <cellStyle name="Normal 3 5 3 2 6 4" xfId="34689" xr:uid="{00000000-0005-0000-0000-0000EB960000}"/>
    <cellStyle name="Normal 3 5 3 2 7" xfId="10942" xr:uid="{00000000-0005-0000-0000-0000EC960000}"/>
    <cellStyle name="Normal 3 5 3 2 7 2" xfId="24510" xr:uid="{00000000-0005-0000-0000-0000ED960000}"/>
    <cellStyle name="Normal 3 5 3 2 7 2 2" xfId="51643" xr:uid="{00000000-0005-0000-0000-0000EE960000}"/>
    <cellStyle name="Normal 3 5 3 2 7 3" xfId="38081" xr:uid="{00000000-0005-0000-0000-0000EF960000}"/>
    <cellStyle name="Normal 3 5 3 2 8" xfId="17729" xr:uid="{00000000-0005-0000-0000-0000F0960000}"/>
    <cellStyle name="Normal 3 5 3 2 8 2" xfId="44862" xr:uid="{00000000-0005-0000-0000-0000F1960000}"/>
    <cellStyle name="Normal 3 5 3 2 9" xfId="31300" xr:uid="{00000000-0005-0000-0000-0000F2960000}"/>
    <cellStyle name="Normal 3 5 3 3" xfId="6129" xr:uid="{00000000-0005-0000-0000-0000F3960000}"/>
    <cellStyle name="Normal 3 5 3 3 2" xfId="6130" xr:uid="{00000000-0005-0000-0000-0000F4960000}"/>
    <cellStyle name="Normal 3 5 3 3 2 2" xfId="9673" xr:uid="{00000000-0005-0000-0000-0000F5960000}"/>
    <cellStyle name="Normal 3 5 3 3 2 2 2" xfId="16463" xr:uid="{00000000-0005-0000-0000-0000F6960000}"/>
    <cellStyle name="Normal 3 5 3 3 2 2 2 2" xfId="30031" xr:uid="{00000000-0005-0000-0000-0000F7960000}"/>
    <cellStyle name="Normal 3 5 3 3 2 2 2 2 2" xfId="57164" xr:uid="{00000000-0005-0000-0000-0000F8960000}"/>
    <cellStyle name="Normal 3 5 3 3 2 2 2 3" xfId="43602" xr:uid="{00000000-0005-0000-0000-0000F9960000}"/>
    <cellStyle name="Normal 3 5 3 3 2 2 3" xfId="23250" xr:uid="{00000000-0005-0000-0000-0000FA960000}"/>
    <cellStyle name="Normal 3 5 3 3 2 2 3 2" xfId="50383" xr:uid="{00000000-0005-0000-0000-0000FB960000}"/>
    <cellStyle name="Normal 3 5 3 3 2 2 4" xfId="36821" xr:uid="{00000000-0005-0000-0000-0000FC960000}"/>
    <cellStyle name="Normal 3 5 3 3 2 3" xfId="13074" xr:uid="{00000000-0005-0000-0000-0000FD960000}"/>
    <cellStyle name="Normal 3 5 3 3 2 3 2" xfId="26642" xr:uid="{00000000-0005-0000-0000-0000FE960000}"/>
    <cellStyle name="Normal 3 5 3 3 2 3 2 2" xfId="53775" xr:uid="{00000000-0005-0000-0000-0000FF960000}"/>
    <cellStyle name="Normal 3 5 3 3 2 3 3" xfId="40213" xr:uid="{00000000-0005-0000-0000-000000970000}"/>
    <cellStyle name="Normal 3 5 3 3 2 4" xfId="19861" xr:uid="{00000000-0005-0000-0000-000001970000}"/>
    <cellStyle name="Normal 3 5 3 3 2 4 2" xfId="46994" xr:uid="{00000000-0005-0000-0000-000002970000}"/>
    <cellStyle name="Normal 3 5 3 3 2 5" xfId="33432" xr:uid="{00000000-0005-0000-0000-000003970000}"/>
    <cellStyle name="Normal 3 5 3 3 3" xfId="6131" xr:uid="{00000000-0005-0000-0000-000004970000}"/>
    <cellStyle name="Normal 3 5 3 3 3 2" xfId="9674" xr:uid="{00000000-0005-0000-0000-000005970000}"/>
    <cellStyle name="Normal 3 5 3 3 3 2 2" xfId="16464" xr:uid="{00000000-0005-0000-0000-000006970000}"/>
    <cellStyle name="Normal 3 5 3 3 3 2 2 2" xfId="30032" xr:uid="{00000000-0005-0000-0000-000007970000}"/>
    <cellStyle name="Normal 3 5 3 3 3 2 2 2 2" xfId="57165" xr:uid="{00000000-0005-0000-0000-000008970000}"/>
    <cellStyle name="Normal 3 5 3 3 3 2 2 3" xfId="43603" xr:uid="{00000000-0005-0000-0000-000009970000}"/>
    <cellStyle name="Normal 3 5 3 3 3 2 3" xfId="23251" xr:uid="{00000000-0005-0000-0000-00000A970000}"/>
    <cellStyle name="Normal 3 5 3 3 3 2 3 2" xfId="50384" xr:uid="{00000000-0005-0000-0000-00000B970000}"/>
    <cellStyle name="Normal 3 5 3 3 3 2 4" xfId="36822" xr:uid="{00000000-0005-0000-0000-00000C970000}"/>
    <cellStyle name="Normal 3 5 3 3 3 3" xfId="13075" xr:uid="{00000000-0005-0000-0000-00000D970000}"/>
    <cellStyle name="Normal 3 5 3 3 3 3 2" xfId="26643" xr:uid="{00000000-0005-0000-0000-00000E970000}"/>
    <cellStyle name="Normal 3 5 3 3 3 3 2 2" xfId="53776" xr:uid="{00000000-0005-0000-0000-00000F970000}"/>
    <cellStyle name="Normal 3 5 3 3 3 3 3" xfId="40214" xr:uid="{00000000-0005-0000-0000-000010970000}"/>
    <cellStyle name="Normal 3 5 3 3 3 4" xfId="19862" xr:uid="{00000000-0005-0000-0000-000011970000}"/>
    <cellStyle name="Normal 3 5 3 3 3 4 2" xfId="46995" xr:uid="{00000000-0005-0000-0000-000012970000}"/>
    <cellStyle name="Normal 3 5 3 3 3 5" xfId="33433" xr:uid="{00000000-0005-0000-0000-000013970000}"/>
    <cellStyle name="Normal 3 5 3 3 4" xfId="9672" xr:uid="{00000000-0005-0000-0000-000014970000}"/>
    <cellStyle name="Normal 3 5 3 3 4 2" xfId="16462" xr:uid="{00000000-0005-0000-0000-000015970000}"/>
    <cellStyle name="Normal 3 5 3 3 4 2 2" xfId="30030" xr:uid="{00000000-0005-0000-0000-000016970000}"/>
    <cellStyle name="Normal 3 5 3 3 4 2 2 2" xfId="57163" xr:uid="{00000000-0005-0000-0000-000017970000}"/>
    <cellStyle name="Normal 3 5 3 3 4 2 3" xfId="43601" xr:uid="{00000000-0005-0000-0000-000018970000}"/>
    <cellStyle name="Normal 3 5 3 3 4 3" xfId="23249" xr:uid="{00000000-0005-0000-0000-000019970000}"/>
    <cellStyle name="Normal 3 5 3 3 4 3 2" xfId="50382" xr:uid="{00000000-0005-0000-0000-00001A970000}"/>
    <cellStyle name="Normal 3 5 3 3 4 4" xfId="36820" xr:uid="{00000000-0005-0000-0000-00001B970000}"/>
    <cellStyle name="Normal 3 5 3 3 5" xfId="13073" xr:uid="{00000000-0005-0000-0000-00001C970000}"/>
    <cellStyle name="Normal 3 5 3 3 5 2" xfId="26641" xr:uid="{00000000-0005-0000-0000-00001D970000}"/>
    <cellStyle name="Normal 3 5 3 3 5 2 2" xfId="53774" xr:uid="{00000000-0005-0000-0000-00001E970000}"/>
    <cellStyle name="Normal 3 5 3 3 5 3" xfId="40212" xr:uid="{00000000-0005-0000-0000-00001F970000}"/>
    <cellStyle name="Normal 3 5 3 3 6" xfId="19860" xr:uid="{00000000-0005-0000-0000-000020970000}"/>
    <cellStyle name="Normal 3 5 3 3 6 2" xfId="46993" xr:uid="{00000000-0005-0000-0000-000021970000}"/>
    <cellStyle name="Normal 3 5 3 3 7" xfId="33431" xr:uid="{00000000-0005-0000-0000-000022970000}"/>
    <cellStyle name="Normal 3 5 3 4" xfId="6132" xr:uid="{00000000-0005-0000-0000-000023970000}"/>
    <cellStyle name="Normal 3 5 3 4 2" xfId="6133" xr:uid="{00000000-0005-0000-0000-000024970000}"/>
    <cellStyle name="Normal 3 5 3 4 2 2" xfId="9676" xr:uid="{00000000-0005-0000-0000-000025970000}"/>
    <cellStyle name="Normal 3 5 3 4 2 2 2" xfId="16466" xr:uid="{00000000-0005-0000-0000-000026970000}"/>
    <cellStyle name="Normal 3 5 3 4 2 2 2 2" xfId="30034" xr:uid="{00000000-0005-0000-0000-000027970000}"/>
    <cellStyle name="Normal 3 5 3 4 2 2 2 2 2" xfId="57167" xr:uid="{00000000-0005-0000-0000-000028970000}"/>
    <cellStyle name="Normal 3 5 3 4 2 2 2 3" xfId="43605" xr:uid="{00000000-0005-0000-0000-000029970000}"/>
    <cellStyle name="Normal 3 5 3 4 2 2 3" xfId="23253" xr:uid="{00000000-0005-0000-0000-00002A970000}"/>
    <cellStyle name="Normal 3 5 3 4 2 2 3 2" xfId="50386" xr:uid="{00000000-0005-0000-0000-00002B970000}"/>
    <cellStyle name="Normal 3 5 3 4 2 2 4" xfId="36824" xr:uid="{00000000-0005-0000-0000-00002C970000}"/>
    <cellStyle name="Normal 3 5 3 4 2 3" xfId="13077" xr:uid="{00000000-0005-0000-0000-00002D970000}"/>
    <cellStyle name="Normal 3 5 3 4 2 3 2" xfId="26645" xr:uid="{00000000-0005-0000-0000-00002E970000}"/>
    <cellStyle name="Normal 3 5 3 4 2 3 2 2" xfId="53778" xr:uid="{00000000-0005-0000-0000-00002F970000}"/>
    <cellStyle name="Normal 3 5 3 4 2 3 3" xfId="40216" xr:uid="{00000000-0005-0000-0000-000030970000}"/>
    <cellStyle name="Normal 3 5 3 4 2 4" xfId="19864" xr:uid="{00000000-0005-0000-0000-000031970000}"/>
    <cellStyle name="Normal 3 5 3 4 2 4 2" xfId="46997" xr:uid="{00000000-0005-0000-0000-000032970000}"/>
    <cellStyle name="Normal 3 5 3 4 2 5" xfId="33435" xr:uid="{00000000-0005-0000-0000-000033970000}"/>
    <cellStyle name="Normal 3 5 3 4 3" xfId="9675" xr:uid="{00000000-0005-0000-0000-000034970000}"/>
    <cellStyle name="Normal 3 5 3 4 3 2" xfId="16465" xr:uid="{00000000-0005-0000-0000-000035970000}"/>
    <cellStyle name="Normal 3 5 3 4 3 2 2" xfId="30033" xr:uid="{00000000-0005-0000-0000-000036970000}"/>
    <cellStyle name="Normal 3 5 3 4 3 2 2 2" xfId="57166" xr:uid="{00000000-0005-0000-0000-000037970000}"/>
    <cellStyle name="Normal 3 5 3 4 3 2 3" xfId="43604" xr:uid="{00000000-0005-0000-0000-000038970000}"/>
    <cellStyle name="Normal 3 5 3 4 3 3" xfId="23252" xr:uid="{00000000-0005-0000-0000-000039970000}"/>
    <cellStyle name="Normal 3 5 3 4 3 3 2" xfId="50385" xr:uid="{00000000-0005-0000-0000-00003A970000}"/>
    <cellStyle name="Normal 3 5 3 4 3 4" xfId="36823" xr:uid="{00000000-0005-0000-0000-00003B970000}"/>
    <cellStyle name="Normal 3 5 3 4 4" xfId="13076" xr:uid="{00000000-0005-0000-0000-00003C970000}"/>
    <cellStyle name="Normal 3 5 3 4 4 2" xfId="26644" xr:uid="{00000000-0005-0000-0000-00003D970000}"/>
    <cellStyle name="Normal 3 5 3 4 4 2 2" xfId="53777" xr:uid="{00000000-0005-0000-0000-00003E970000}"/>
    <cellStyle name="Normal 3 5 3 4 4 3" xfId="40215" xr:uid="{00000000-0005-0000-0000-00003F970000}"/>
    <cellStyle name="Normal 3 5 3 4 5" xfId="19863" xr:uid="{00000000-0005-0000-0000-000040970000}"/>
    <cellStyle name="Normal 3 5 3 4 5 2" xfId="46996" xr:uid="{00000000-0005-0000-0000-000041970000}"/>
    <cellStyle name="Normal 3 5 3 4 6" xfId="33434" xr:uid="{00000000-0005-0000-0000-000042970000}"/>
    <cellStyle name="Normal 3 5 3 5" xfId="6134" xr:uid="{00000000-0005-0000-0000-000043970000}"/>
    <cellStyle name="Normal 3 5 3 5 2" xfId="9677" xr:uid="{00000000-0005-0000-0000-000044970000}"/>
    <cellStyle name="Normal 3 5 3 5 2 2" xfId="16467" xr:uid="{00000000-0005-0000-0000-000045970000}"/>
    <cellStyle name="Normal 3 5 3 5 2 2 2" xfId="30035" xr:uid="{00000000-0005-0000-0000-000046970000}"/>
    <cellStyle name="Normal 3 5 3 5 2 2 2 2" xfId="57168" xr:uid="{00000000-0005-0000-0000-000047970000}"/>
    <cellStyle name="Normal 3 5 3 5 2 2 3" xfId="43606" xr:uid="{00000000-0005-0000-0000-000048970000}"/>
    <cellStyle name="Normal 3 5 3 5 2 3" xfId="23254" xr:uid="{00000000-0005-0000-0000-000049970000}"/>
    <cellStyle name="Normal 3 5 3 5 2 3 2" xfId="50387" xr:uid="{00000000-0005-0000-0000-00004A970000}"/>
    <cellStyle name="Normal 3 5 3 5 2 4" xfId="36825" xr:uid="{00000000-0005-0000-0000-00004B970000}"/>
    <cellStyle name="Normal 3 5 3 5 3" xfId="13078" xr:uid="{00000000-0005-0000-0000-00004C970000}"/>
    <cellStyle name="Normal 3 5 3 5 3 2" xfId="26646" xr:uid="{00000000-0005-0000-0000-00004D970000}"/>
    <cellStyle name="Normal 3 5 3 5 3 2 2" xfId="53779" xr:uid="{00000000-0005-0000-0000-00004E970000}"/>
    <cellStyle name="Normal 3 5 3 5 3 3" xfId="40217" xr:uid="{00000000-0005-0000-0000-00004F970000}"/>
    <cellStyle name="Normal 3 5 3 5 4" xfId="19865" xr:uid="{00000000-0005-0000-0000-000050970000}"/>
    <cellStyle name="Normal 3 5 3 5 4 2" xfId="46998" xr:uid="{00000000-0005-0000-0000-000051970000}"/>
    <cellStyle name="Normal 3 5 3 5 5" xfId="33436" xr:uid="{00000000-0005-0000-0000-000052970000}"/>
    <cellStyle name="Normal 3 5 3 6" xfId="6135" xr:uid="{00000000-0005-0000-0000-000053970000}"/>
    <cellStyle name="Normal 3 5 3 6 2" xfId="9678" xr:uid="{00000000-0005-0000-0000-000054970000}"/>
    <cellStyle name="Normal 3 5 3 6 2 2" xfId="16468" xr:uid="{00000000-0005-0000-0000-000055970000}"/>
    <cellStyle name="Normal 3 5 3 6 2 2 2" xfId="30036" xr:uid="{00000000-0005-0000-0000-000056970000}"/>
    <cellStyle name="Normal 3 5 3 6 2 2 2 2" xfId="57169" xr:uid="{00000000-0005-0000-0000-000057970000}"/>
    <cellStyle name="Normal 3 5 3 6 2 2 3" xfId="43607" xr:uid="{00000000-0005-0000-0000-000058970000}"/>
    <cellStyle name="Normal 3 5 3 6 2 3" xfId="23255" xr:uid="{00000000-0005-0000-0000-000059970000}"/>
    <cellStyle name="Normal 3 5 3 6 2 3 2" xfId="50388" xr:uid="{00000000-0005-0000-0000-00005A970000}"/>
    <cellStyle name="Normal 3 5 3 6 2 4" xfId="36826" xr:uid="{00000000-0005-0000-0000-00005B970000}"/>
    <cellStyle name="Normal 3 5 3 6 3" xfId="13079" xr:uid="{00000000-0005-0000-0000-00005C970000}"/>
    <cellStyle name="Normal 3 5 3 6 3 2" xfId="26647" xr:uid="{00000000-0005-0000-0000-00005D970000}"/>
    <cellStyle name="Normal 3 5 3 6 3 2 2" xfId="53780" xr:uid="{00000000-0005-0000-0000-00005E970000}"/>
    <cellStyle name="Normal 3 5 3 6 3 3" xfId="40218" xr:uid="{00000000-0005-0000-0000-00005F970000}"/>
    <cellStyle name="Normal 3 5 3 6 4" xfId="19866" xr:uid="{00000000-0005-0000-0000-000060970000}"/>
    <cellStyle name="Normal 3 5 3 6 4 2" xfId="46999" xr:uid="{00000000-0005-0000-0000-000061970000}"/>
    <cellStyle name="Normal 3 5 3 6 5" xfId="33437" xr:uid="{00000000-0005-0000-0000-000062970000}"/>
    <cellStyle name="Normal 3 5 3 7" xfId="7540" xr:uid="{00000000-0005-0000-0000-000063970000}"/>
    <cellStyle name="Normal 3 5 3 7 2" xfId="14330" xr:uid="{00000000-0005-0000-0000-000064970000}"/>
    <cellStyle name="Normal 3 5 3 7 2 2" xfId="27898" xr:uid="{00000000-0005-0000-0000-000065970000}"/>
    <cellStyle name="Normal 3 5 3 7 2 2 2" xfId="55031" xr:uid="{00000000-0005-0000-0000-000066970000}"/>
    <cellStyle name="Normal 3 5 3 7 2 3" xfId="41469" xr:uid="{00000000-0005-0000-0000-000067970000}"/>
    <cellStyle name="Normal 3 5 3 7 3" xfId="21117" xr:uid="{00000000-0005-0000-0000-000068970000}"/>
    <cellStyle name="Normal 3 5 3 7 3 2" xfId="48250" xr:uid="{00000000-0005-0000-0000-000069970000}"/>
    <cellStyle name="Normal 3 5 3 7 4" xfId="34688" xr:uid="{00000000-0005-0000-0000-00006A970000}"/>
    <cellStyle name="Normal 3 5 3 8" xfId="10941" xr:uid="{00000000-0005-0000-0000-00006B970000}"/>
    <cellStyle name="Normal 3 5 3 8 2" xfId="24509" xr:uid="{00000000-0005-0000-0000-00006C970000}"/>
    <cellStyle name="Normal 3 5 3 8 2 2" xfId="51642" xr:uid="{00000000-0005-0000-0000-00006D970000}"/>
    <cellStyle name="Normal 3 5 3 8 3" xfId="38080" xr:uid="{00000000-0005-0000-0000-00006E970000}"/>
    <cellStyle name="Normal 3 5 3 9" xfId="17728" xr:uid="{00000000-0005-0000-0000-00006F970000}"/>
    <cellStyle name="Normal 3 5 3 9 2" xfId="44861" xr:uid="{00000000-0005-0000-0000-000070970000}"/>
    <cellStyle name="Normal 3 5 4" xfId="2729" xr:uid="{00000000-0005-0000-0000-000071970000}"/>
    <cellStyle name="Normal 3 5 4 2" xfId="2730" xr:uid="{00000000-0005-0000-0000-000072970000}"/>
    <cellStyle name="Normal 3 5 4 2 2" xfId="6136" xr:uid="{00000000-0005-0000-0000-000073970000}"/>
    <cellStyle name="Normal 3 5 4 2 2 2" xfId="9679" xr:uid="{00000000-0005-0000-0000-000074970000}"/>
    <cellStyle name="Normal 3 5 4 2 2 2 2" xfId="16469" xr:uid="{00000000-0005-0000-0000-000075970000}"/>
    <cellStyle name="Normal 3 5 4 2 2 2 2 2" xfId="30037" xr:uid="{00000000-0005-0000-0000-000076970000}"/>
    <cellStyle name="Normal 3 5 4 2 2 2 2 2 2" xfId="57170" xr:uid="{00000000-0005-0000-0000-000077970000}"/>
    <cellStyle name="Normal 3 5 4 2 2 2 2 3" xfId="43608" xr:uid="{00000000-0005-0000-0000-000078970000}"/>
    <cellStyle name="Normal 3 5 4 2 2 2 3" xfId="23256" xr:uid="{00000000-0005-0000-0000-000079970000}"/>
    <cellStyle name="Normal 3 5 4 2 2 2 3 2" xfId="50389" xr:uid="{00000000-0005-0000-0000-00007A970000}"/>
    <cellStyle name="Normal 3 5 4 2 2 2 4" xfId="36827" xr:uid="{00000000-0005-0000-0000-00007B970000}"/>
    <cellStyle name="Normal 3 5 4 2 2 3" xfId="13080" xr:uid="{00000000-0005-0000-0000-00007C970000}"/>
    <cellStyle name="Normal 3 5 4 2 2 3 2" xfId="26648" xr:uid="{00000000-0005-0000-0000-00007D970000}"/>
    <cellStyle name="Normal 3 5 4 2 2 3 2 2" xfId="53781" xr:uid="{00000000-0005-0000-0000-00007E970000}"/>
    <cellStyle name="Normal 3 5 4 2 2 3 3" xfId="40219" xr:uid="{00000000-0005-0000-0000-00007F970000}"/>
    <cellStyle name="Normal 3 5 4 2 2 4" xfId="19867" xr:uid="{00000000-0005-0000-0000-000080970000}"/>
    <cellStyle name="Normal 3 5 4 2 2 4 2" xfId="47000" xr:uid="{00000000-0005-0000-0000-000081970000}"/>
    <cellStyle name="Normal 3 5 4 2 2 5" xfId="33438" xr:uid="{00000000-0005-0000-0000-000082970000}"/>
    <cellStyle name="Normal 3 5 4 2 3" xfId="6137" xr:uid="{00000000-0005-0000-0000-000083970000}"/>
    <cellStyle name="Normal 3 5 4 2 3 2" xfId="9680" xr:uid="{00000000-0005-0000-0000-000084970000}"/>
    <cellStyle name="Normal 3 5 4 2 3 2 2" xfId="16470" xr:uid="{00000000-0005-0000-0000-000085970000}"/>
    <cellStyle name="Normal 3 5 4 2 3 2 2 2" xfId="30038" xr:uid="{00000000-0005-0000-0000-000086970000}"/>
    <cellStyle name="Normal 3 5 4 2 3 2 2 2 2" xfId="57171" xr:uid="{00000000-0005-0000-0000-000087970000}"/>
    <cellStyle name="Normal 3 5 4 2 3 2 2 3" xfId="43609" xr:uid="{00000000-0005-0000-0000-000088970000}"/>
    <cellStyle name="Normal 3 5 4 2 3 2 3" xfId="23257" xr:uid="{00000000-0005-0000-0000-000089970000}"/>
    <cellStyle name="Normal 3 5 4 2 3 2 3 2" xfId="50390" xr:uid="{00000000-0005-0000-0000-00008A970000}"/>
    <cellStyle name="Normal 3 5 4 2 3 2 4" xfId="36828" xr:uid="{00000000-0005-0000-0000-00008B970000}"/>
    <cellStyle name="Normal 3 5 4 2 3 3" xfId="13081" xr:uid="{00000000-0005-0000-0000-00008C970000}"/>
    <cellStyle name="Normal 3 5 4 2 3 3 2" xfId="26649" xr:uid="{00000000-0005-0000-0000-00008D970000}"/>
    <cellStyle name="Normal 3 5 4 2 3 3 2 2" xfId="53782" xr:uid="{00000000-0005-0000-0000-00008E970000}"/>
    <cellStyle name="Normal 3 5 4 2 3 3 3" xfId="40220" xr:uid="{00000000-0005-0000-0000-00008F970000}"/>
    <cellStyle name="Normal 3 5 4 2 3 4" xfId="19868" xr:uid="{00000000-0005-0000-0000-000090970000}"/>
    <cellStyle name="Normal 3 5 4 2 3 4 2" xfId="47001" xr:uid="{00000000-0005-0000-0000-000091970000}"/>
    <cellStyle name="Normal 3 5 4 2 3 5" xfId="33439" xr:uid="{00000000-0005-0000-0000-000092970000}"/>
    <cellStyle name="Normal 3 5 4 2 4" xfId="7543" xr:uid="{00000000-0005-0000-0000-000093970000}"/>
    <cellStyle name="Normal 3 5 4 2 4 2" xfId="14333" xr:uid="{00000000-0005-0000-0000-000094970000}"/>
    <cellStyle name="Normal 3 5 4 2 4 2 2" xfId="27901" xr:uid="{00000000-0005-0000-0000-000095970000}"/>
    <cellStyle name="Normal 3 5 4 2 4 2 2 2" xfId="55034" xr:uid="{00000000-0005-0000-0000-000096970000}"/>
    <cellStyle name="Normal 3 5 4 2 4 2 3" xfId="41472" xr:uid="{00000000-0005-0000-0000-000097970000}"/>
    <cellStyle name="Normal 3 5 4 2 4 3" xfId="21120" xr:uid="{00000000-0005-0000-0000-000098970000}"/>
    <cellStyle name="Normal 3 5 4 2 4 3 2" xfId="48253" xr:uid="{00000000-0005-0000-0000-000099970000}"/>
    <cellStyle name="Normal 3 5 4 2 4 4" xfId="34691" xr:uid="{00000000-0005-0000-0000-00009A970000}"/>
    <cellStyle name="Normal 3 5 4 2 5" xfId="10944" xr:uid="{00000000-0005-0000-0000-00009B970000}"/>
    <cellStyle name="Normal 3 5 4 2 5 2" xfId="24512" xr:uid="{00000000-0005-0000-0000-00009C970000}"/>
    <cellStyle name="Normal 3 5 4 2 5 2 2" xfId="51645" xr:uid="{00000000-0005-0000-0000-00009D970000}"/>
    <cellStyle name="Normal 3 5 4 2 5 3" xfId="38083" xr:uid="{00000000-0005-0000-0000-00009E970000}"/>
    <cellStyle name="Normal 3 5 4 2 6" xfId="17731" xr:uid="{00000000-0005-0000-0000-00009F970000}"/>
    <cellStyle name="Normal 3 5 4 2 6 2" xfId="44864" xr:uid="{00000000-0005-0000-0000-0000A0970000}"/>
    <cellStyle name="Normal 3 5 4 2 7" xfId="31302" xr:uid="{00000000-0005-0000-0000-0000A1970000}"/>
    <cellStyle name="Normal 3 5 4 3" xfId="6138" xr:uid="{00000000-0005-0000-0000-0000A2970000}"/>
    <cellStyle name="Normal 3 5 4 3 2" xfId="6139" xr:uid="{00000000-0005-0000-0000-0000A3970000}"/>
    <cellStyle name="Normal 3 5 4 3 2 2" xfId="9682" xr:uid="{00000000-0005-0000-0000-0000A4970000}"/>
    <cellStyle name="Normal 3 5 4 3 2 2 2" xfId="16472" xr:uid="{00000000-0005-0000-0000-0000A5970000}"/>
    <cellStyle name="Normal 3 5 4 3 2 2 2 2" xfId="30040" xr:uid="{00000000-0005-0000-0000-0000A6970000}"/>
    <cellStyle name="Normal 3 5 4 3 2 2 2 2 2" xfId="57173" xr:uid="{00000000-0005-0000-0000-0000A7970000}"/>
    <cellStyle name="Normal 3 5 4 3 2 2 2 3" xfId="43611" xr:uid="{00000000-0005-0000-0000-0000A8970000}"/>
    <cellStyle name="Normal 3 5 4 3 2 2 3" xfId="23259" xr:uid="{00000000-0005-0000-0000-0000A9970000}"/>
    <cellStyle name="Normal 3 5 4 3 2 2 3 2" xfId="50392" xr:uid="{00000000-0005-0000-0000-0000AA970000}"/>
    <cellStyle name="Normal 3 5 4 3 2 2 4" xfId="36830" xr:uid="{00000000-0005-0000-0000-0000AB970000}"/>
    <cellStyle name="Normal 3 5 4 3 2 3" xfId="13083" xr:uid="{00000000-0005-0000-0000-0000AC970000}"/>
    <cellStyle name="Normal 3 5 4 3 2 3 2" xfId="26651" xr:uid="{00000000-0005-0000-0000-0000AD970000}"/>
    <cellStyle name="Normal 3 5 4 3 2 3 2 2" xfId="53784" xr:uid="{00000000-0005-0000-0000-0000AE970000}"/>
    <cellStyle name="Normal 3 5 4 3 2 3 3" xfId="40222" xr:uid="{00000000-0005-0000-0000-0000AF970000}"/>
    <cellStyle name="Normal 3 5 4 3 2 4" xfId="19870" xr:uid="{00000000-0005-0000-0000-0000B0970000}"/>
    <cellStyle name="Normal 3 5 4 3 2 4 2" xfId="47003" xr:uid="{00000000-0005-0000-0000-0000B1970000}"/>
    <cellStyle name="Normal 3 5 4 3 2 5" xfId="33441" xr:uid="{00000000-0005-0000-0000-0000B2970000}"/>
    <cellStyle name="Normal 3 5 4 3 3" xfId="9681" xr:uid="{00000000-0005-0000-0000-0000B3970000}"/>
    <cellStyle name="Normal 3 5 4 3 3 2" xfId="16471" xr:uid="{00000000-0005-0000-0000-0000B4970000}"/>
    <cellStyle name="Normal 3 5 4 3 3 2 2" xfId="30039" xr:uid="{00000000-0005-0000-0000-0000B5970000}"/>
    <cellStyle name="Normal 3 5 4 3 3 2 2 2" xfId="57172" xr:uid="{00000000-0005-0000-0000-0000B6970000}"/>
    <cellStyle name="Normal 3 5 4 3 3 2 3" xfId="43610" xr:uid="{00000000-0005-0000-0000-0000B7970000}"/>
    <cellStyle name="Normal 3 5 4 3 3 3" xfId="23258" xr:uid="{00000000-0005-0000-0000-0000B8970000}"/>
    <cellStyle name="Normal 3 5 4 3 3 3 2" xfId="50391" xr:uid="{00000000-0005-0000-0000-0000B9970000}"/>
    <cellStyle name="Normal 3 5 4 3 3 4" xfId="36829" xr:uid="{00000000-0005-0000-0000-0000BA970000}"/>
    <cellStyle name="Normal 3 5 4 3 4" xfId="13082" xr:uid="{00000000-0005-0000-0000-0000BB970000}"/>
    <cellStyle name="Normal 3 5 4 3 4 2" xfId="26650" xr:uid="{00000000-0005-0000-0000-0000BC970000}"/>
    <cellStyle name="Normal 3 5 4 3 4 2 2" xfId="53783" xr:uid="{00000000-0005-0000-0000-0000BD970000}"/>
    <cellStyle name="Normal 3 5 4 3 4 3" xfId="40221" xr:uid="{00000000-0005-0000-0000-0000BE970000}"/>
    <cellStyle name="Normal 3 5 4 3 5" xfId="19869" xr:uid="{00000000-0005-0000-0000-0000BF970000}"/>
    <cellStyle name="Normal 3 5 4 3 5 2" xfId="47002" xr:uid="{00000000-0005-0000-0000-0000C0970000}"/>
    <cellStyle name="Normal 3 5 4 3 6" xfId="33440" xr:uid="{00000000-0005-0000-0000-0000C1970000}"/>
    <cellStyle name="Normal 3 5 4 4" xfId="6140" xr:uid="{00000000-0005-0000-0000-0000C2970000}"/>
    <cellStyle name="Normal 3 5 4 4 2" xfId="9683" xr:uid="{00000000-0005-0000-0000-0000C3970000}"/>
    <cellStyle name="Normal 3 5 4 4 2 2" xfId="16473" xr:uid="{00000000-0005-0000-0000-0000C4970000}"/>
    <cellStyle name="Normal 3 5 4 4 2 2 2" xfId="30041" xr:uid="{00000000-0005-0000-0000-0000C5970000}"/>
    <cellStyle name="Normal 3 5 4 4 2 2 2 2" xfId="57174" xr:uid="{00000000-0005-0000-0000-0000C6970000}"/>
    <cellStyle name="Normal 3 5 4 4 2 2 3" xfId="43612" xr:uid="{00000000-0005-0000-0000-0000C7970000}"/>
    <cellStyle name="Normal 3 5 4 4 2 3" xfId="23260" xr:uid="{00000000-0005-0000-0000-0000C8970000}"/>
    <cellStyle name="Normal 3 5 4 4 2 3 2" xfId="50393" xr:uid="{00000000-0005-0000-0000-0000C9970000}"/>
    <cellStyle name="Normal 3 5 4 4 2 4" xfId="36831" xr:uid="{00000000-0005-0000-0000-0000CA970000}"/>
    <cellStyle name="Normal 3 5 4 4 3" xfId="13084" xr:uid="{00000000-0005-0000-0000-0000CB970000}"/>
    <cellStyle name="Normal 3 5 4 4 3 2" xfId="26652" xr:uid="{00000000-0005-0000-0000-0000CC970000}"/>
    <cellStyle name="Normal 3 5 4 4 3 2 2" xfId="53785" xr:uid="{00000000-0005-0000-0000-0000CD970000}"/>
    <cellStyle name="Normal 3 5 4 4 3 3" xfId="40223" xr:uid="{00000000-0005-0000-0000-0000CE970000}"/>
    <cellStyle name="Normal 3 5 4 4 4" xfId="19871" xr:uid="{00000000-0005-0000-0000-0000CF970000}"/>
    <cellStyle name="Normal 3 5 4 4 4 2" xfId="47004" xr:uid="{00000000-0005-0000-0000-0000D0970000}"/>
    <cellStyle name="Normal 3 5 4 4 5" xfId="33442" xr:uid="{00000000-0005-0000-0000-0000D1970000}"/>
    <cellStyle name="Normal 3 5 4 5" xfId="6141" xr:uid="{00000000-0005-0000-0000-0000D2970000}"/>
    <cellStyle name="Normal 3 5 4 5 2" xfId="9684" xr:uid="{00000000-0005-0000-0000-0000D3970000}"/>
    <cellStyle name="Normal 3 5 4 5 2 2" xfId="16474" xr:uid="{00000000-0005-0000-0000-0000D4970000}"/>
    <cellStyle name="Normal 3 5 4 5 2 2 2" xfId="30042" xr:uid="{00000000-0005-0000-0000-0000D5970000}"/>
    <cellStyle name="Normal 3 5 4 5 2 2 2 2" xfId="57175" xr:uid="{00000000-0005-0000-0000-0000D6970000}"/>
    <cellStyle name="Normal 3 5 4 5 2 2 3" xfId="43613" xr:uid="{00000000-0005-0000-0000-0000D7970000}"/>
    <cellStyle name="Normal 3 5 4 5 2 3" xfId="23261" xr:uid="{00000000-0005-0000-0000-0000D8970000}"/>
    <cellStyle name="Normal 3 5 4 5 2 3 2" xfId="50394" xr:uid="{00000000-0005-0000-0000-0000D9970000}"/>
    <cellStyle name="Normal 3 5 4 5 2 4" xfId="36832" xr:uid="{00000000-0005-0000-0000-0000DA970000}"/>
    <cellStyle name="Normal 3 5 4 5 3" xfId="13085" xr:uid="{00000000-0005-0000-0000-0000DB970000}"/>
    <cellStyle name="Normal 3 5 4 5 3 2" xfId="26653" xr:uid="{00000000-0005-0000-0000-0000DC970000}"/>
    <cellStyle name="Normal 3 5 4 5 3 2 2" xfId="53786" xr:uid="{00000000-0005-0000-0000-0000DD970000}"/>
    <cellStyle name="Normal 3 5 4 5 3 3" xfId="40224" xr:uid="{00000000-0005-0000-0000-0000DE970000}"/>
    <cellStyle name="Normal 3 5 4 5 4" xfId="19872" xr:uid="{00000000-0005-0000-0000-0000DF970000}"/>
    <cellStyle name="Normal 3 5 4 5 4 2" xfId="47005" xr:uid="{00000000-0005-0000-0000-0000E0970000}"/>
    <cellStyle name="Normal 3 5 4 5 5" xfId="33443" xr:uid="{00000000-0005-0000-0000-0000E1970000}"/>
    <cellStyle name="Normal 3 5 4 6" xfId="7542" xr:uid="{00000000-0005-0000-0000-0000E2970000}"/>
    <cellStyle name="Normal 3 5 4 6 2" xfId="14332" xr:uid="{00000000-0005-0000-0000-0000E3970000}"/>
    <cellStyle name="Normal 3 5 4 6 2 2" xfId="27900" xr:uid="{00000000-0005-0000-0000-0000E4970000}"/>
    <cellStyle name="Normal 3 5 4 6 2 2 2" xfId="55033" xr:uid="{00000000-0005-0000-0000-0000E5970000}"/>
    <cellStyle name="Normal 3 5 4 6 2 3" xfId="41471" xr:uid="{00000000-0005-0000-0000-0000E6970000}"/>
    <cellStyle name="Normal 3 5 4 6 3" xfId="21119" xr:uid="{00000000-0005-0000-0000-0000E7970000}"/>
    <cellStyle name="Normal 3 5 4 6 3 2" xfId="48252" xr:uid="{00000000-0005-0000-0000-0000E8970000}"/>
    <cellStyle name="Normal 3 5 4 6 4" xfId="34690" xr:uid="{00000000-0005-0000-0000-0000E9970000}"/>
    <cellStyle name="Normal 3 5 4 7" xfId="10943" xr:uid="{00000000-0005-0000-0000-0000EA970000}"/>
    <cellStyle name="Normal 3 5 4 7 2" xfId="24511" xr:uid="{00000000-0005-0000-0000-0000EB970000}"/>
    <cellStyle name="Normal 3 5 4 7 2 2" xfId="51644" xr:uid="{00000000-0005-0000-0000-0000EC970000}"/>
    <cellStyle name="Normal 3 5 4 7 3" xfId="38082" xr:uid="{00000000-0005-0000-0000-0000ED970000}"/>
    <cellStyle name="Normal 3 5 4 8" xfId="17730" xr:uid="{00000000-0005-0000-0000-0000EE970000}"/>
    <cellStyle name="Normal 3 5 4 8 2" xfId="44863" xr:uid="{00000000-0005-0000-0000-0000EF970000}"/>
    <cellStyle name="Normal 3 5 4 9" xfId="31301" xr:uid="{00000000-0005-0000-0000-0000F0970000}"/>
    <cellStyle name="Normal 3 5 5" xfId="2731" xr:uid="{00000000-0005-0000-0000-0000F1970000}"/>
    <cellStyle name="Normal 3 5 5 2" xfId="2732" xr:uid="{00000000-0005-0000-0000-0000F2970000}"/>
    <cellStyle name="Normal 3 5 5 2 2" xfId="6142" xr:uid="{00000000-0005-0000-0000-0000F3970000}"/>
    <cellStyle name="Normal 3 5 5 2 2 2" xfId="9685" xr:uid="{00000000-0005-0000-0000-0000F4970000}"/>
    <cellStyle name="Normal 3 5 5 2 2 2 2" xfId="16475" xr:uid="{00000000-0005-0000-0000-0000F5970000}"/>
    <cellStyle name="Normal 3 5 5 2 2 2 2 2" xfId="30043" xr:uid="{00000000-0005-0000-0000-0000F6970000}"/>
    <cellStyle name="Normal 3 5 5 2 2 2 2 2 2" xfId="57176" xr:uid="{00000000-0005-0000-0000-0000F7970000}"/>
    <cellStyle name="Normal 3 5 5 2 2 2 2 3" xfId="43614" xr:uid="{00000000-0005-0000-0000-0000F8970000}"/>
    <cellStyle name="Normal 3 5 5 2 2 2 3" xfId="23262" xr:uid="{00000000-0005-0000-0000-0000F9970000}"/>
    <cellStyle name="Normal 3 5 5 2 2 2 3 2" xfId="50395" xr:uid="{00000000-0005-0000-0000-0000FA970000}"/>
    <cellStyle name="Normal 3 5 5 2 2 2 4" xfId="36833" xr:uid="{00000000-0005-0000-0000-0000FB970000}"/>
    <cellStyle name="Normal 3 5 5 2 2 3" xfId="13086" xr:uid="{00000000-0005-0000-0000-0000FC970000}"/>
    <cellStyle name="Normal 3 5 5 2 2 3 2" xfId="26654" xr:uid="{00000000-0005-0000-0000-0000FD970000}"/>
    <cellStyle name="Normal 3 5 5 2 2 3 2 2" xfId="53787" xr:uid="{00000000-0005-0000-0000-0000FE970000}"/>
    <cellStyle name="Normal 3 5 5 2 2 3 3" xfId="40225" xr:uid="{00000000-0005-0000-0000-0000FF970000}"/>
    <cellStyle name="Normal 3 5 5 2 2 4" xfId="19873" xr:uid="{00000000-0005-0000-0000-000000980000}"/>
    <cellStyle name="Normal 3 5 5 2 2 4 2" xfId="47006" xr:uid="{00000000-0005-0000-0000-000001980000}"/>
    <cellStyle name="Normal 3 5 5 2 2 5" xfId="33444" xr:uid="{00000000-0005-0000-0000-000002980000}"/>
    <cellStyle name="Normal 3 5 5 2 3" xfId="6143" xr:uid="{00000000-0005-0000-0000-000003980000}"/>
    <cellStyle name="Normal 3 5 5 2 3 2" xfId="9686" xr:uid="{00000000-0005-0000-0000-000004980000}"/>
    <cellStyle name="Normal 3 5 5 2 3 2 2" xfId="16476" xr:uid="{00000000-0005-0000-0000-000005980000}"/>
    <cellStyle name="Normal 3 5 5 2 3 2 2 2" xfId="30044" xr:uid="{00000000-0005-0000-0000-000006980000}"/>
    <cellStyle name="Normal 3 5 5 2 3 2 2 2 2" xfId="57177" xr:uid="{00000000-0005-0000-0000-000007980000}"/>
    <cellStyle name="Normal 3 5 5 2 3 2 2 3" xfId="43615" xr:uid="{00000000-0005-0000-0000-000008980000}"/>
    <cellStyle name="Normal 3 5 5 2 3 2 3" xfId="23263" xr:uid="{00000000-0005-0000-0000-000009980000}"/>
    <cellStyle name="Normal 3 5 5 2 3 2 3 2" xfId="50396" xr:uid="{00000000-0005-0000-0000-00000A980000}"/>
    <cellStyle name="Normal 3 5 5 2 3 2 4" xfId="36834" xr:uid="{00000000-0005-0000-0000-00000B980000}"/>
    <cellStyle name="Normal 3 5 5 2 3 3" xfId="13087" xr:uid="{00000000-0005-0000-0000-00000C980000}"/>
    <cellStyle name="Normal 3 5 5 2 3 3 2" xfId="26655" xr:uid="{00000000-0005-0000-0000-00000D980000}"/>
    <cellStyle name="Normal 3 5 5 2 3 3 2 2" xfId="53788" xr:uid="{00000000-0005-0000-0000-00000E980000}"/>
    <cellStyle name="Normal 3 5 5 2 3 3 3" xfId="40226" xr:uid="{00000000-0005-0000-0000-00000F980000}"/>
    <cellStyle name="Normal 3 5 5 2 3 4" xfId="19874" xr:uid="{00000000-0005-0000-0000-000010980000}"/>
    <cellStyle name="Normal 3 5 5 2 3 4 2" xfId="47007" xr:uid="{00000000-0005-0000-0000-000011980000}"/>
    <cellStyle name="Normal 3 5 5 2 3 5" xfId="33445" xr:uid="{00000000-0005-0000-0000-000012980000}"/>
    <cellStyle name="Normal 3 5 5 2 4" xfId="7545" xr:uid="{00000000-0005-0000-0000-000013980000}"/>
    <cellStyle name="Normal 3 5 5 2 4 2" xfId="14335" xr:uid="{00000000-0005-0000-0000-000014980000}"/>
    <cellStyle name="Normal 3 5 5 2 4 2 2" xfId="27903" xr:uid="{00000000-0005-0000-0000-000015980000}"/>
    <cellStyle name="Normal 3 5 5 2 4 2 2 2" xfId="55036" xr:uid="{00000000-0005-0000-0000-000016980000}"/>
    <cellStyle name="Normal 3 5 5 2 4 2 3" xfId="41474" xr:uid="{00000000-0005-0000-0000-000017980000}"/>
    <cellStyle name="Normal 3 5 5 2 4 3" xfId="21122" xr:uid="{00000000-0005-0000-0000-000018980000}"/>
    <cellStyle name="Normal 3 5 5 2 4 3 2" xfId="48255" xr:uid="{00000000-0005-0000-0000-000019980000}"/>
    <cellStyle name="Normal 3 5 5 2 4 4" xfId="34693" xr:uid="{00000000-0005-0000-0000-00001A980000}"/>
    <cellStyle name="Normal 3 5 5 2 5" xfId="10946" xr:uid="{00000000-0005-0000-0000-00001B980000}"/>
    <cellStyle name="Normal 3 5 5 2 5 2" xfId="24514" xr:uid="{00000000-0005-0000-0000-00001C980000}"/>
    <cellStyle name="Normal 3 5 5 2 5 2 2" xfId="51647" xr:uid="{00000000-0005-0000-0000-00001D980000}"/>
    <cellStyle name="Normal 3 5 5 2 5 3" xfId="38085" xr:uid="{00000000-0005-0000-0000-00001E980000}"/>
    <cellStyle name="Normal 3 5 5 2 6" xfId="17733" xr:uid="{00000000-0005-0000-0000-00001F980000}"/>
    <cellStyle name="Normal 3 5 5 2 6 2" xfId="44866" xr:uid="{00000000-0005-0000-0000-000020980000}"/>
    <cellStyle name="Normal 3 5 5 2 7" xfId="31304" xr:uid="{00000000-0005-0000-0000-000021980000}"/>
    <cellStyle name="Normal 3 5 5 3" xfId="6144" xr:uid="{00000000-0005-0000-0000-000022980000}"/>
    <cellStyle name="Normal 3 5 5 3 2" xfId="9687" xr:uid="{00000000-0005-0000-0000-000023980000}"/>
    <cellStyle name="Normal 3 5 5 3 2 2" xfId="16477" xr:uid="{00000000-0005-0000-0000-000024980000}"/>
    <cellStyle name="Normal 3 5 5 3 2 2 2" xfId="30045" xr:uid="{00000000-0005-0000-0000-000025980000}"/>
    <cellStyle name="Normal 3 5 5 3 2 2 2 2" xfId="57178" xr:uid="{00000000-0005-0000-0000-000026980000}"/>
    <cellStyle name="Normal 3 5 5 3 2 2 3" xfId="43616" xr:uid="{00000000-0005-0000-0000-000027980000}"/>
    <cellStyle name="Normal 3 5 5 3 2 3" xfId="23264" xr:uid="{00000000-0005-0000-0000-000028980000}"/>
    <cellStyle name="Normal 3 5 5 3 2 3 2" xfId="50397" xr:uid="{00000000-0005-0000-0000-000029980000}"/>
    <cellStyle name="Normal 3 5 5 3 2 4" xfId="36835" xr:uid="{00000000-0005-0000-0000-00002A980000}"/>
    <cellStyle name="Normal 3 5 5 3 3" xfId="13088" xr:uid="{00000000-0005-0000-0000-00002B980000}"/>
    <cellStyle name="Normal 3 5 5 3 3 2" xfId="26656" xr:uid="{00000000-0005-0000-0000-00002C980000}"/>
    <cellStyle name="Normal 3 5 5 3 3 2 2" xfId="53789" xr:uid="{00000000-0005-0000-0000-00002D980000}"/>
    <cellStyle name="Normal 3 5 5 3 3 3" xfId="40227" xr:uid="{00000000-0005-0000-0000-00002E980000}"/>
    <cellStyle name="Normal 3 5 5 3 4" xfId="19875" xr:uid="{00000000-0005-0000-0000-00002F980000}"/>
    <cellStyle name="Normal 3 5 5 3 4 2" xfId="47008" xr:uid="{00000000-0005-0000-0000-000030980000}"/>
    <cellStyle name="Normal 3 5 5 3 5" xfId="33446" xr:uid="{00000000-0005-0000-0000-000031980000}"/>
    <cellStyle name="Normal 3 5 5 4" xfId="6145" xr:uid="{00000000-0005-0000-0000-000032980000}"/>
    <cellStyle name="Normal 3 5 5 4 2" xfId="9688" xr:uid="{00000000-0005-0000-0000-000033980000}"/>
    <cellStyle name="Normal 3 5 5 4 2 2" xfId="16478" xr:uid="{00000000-0005-0000-0000-000034980000}"/>
    <cellStyle name="Normal 3 5 5 4 2 2 2" xfId="30046" xr:uid="{00000000-0005-0000-0000-000035980000}"/>
    <cellStyle name="Normal 3 5 5 4 2 2 2 2" xfId="57179" xr:uid="{00000000-0005-0000-0000-000036980000}"/>
    <cellStyle name="Normal 3 5 5 4 2 2 3" xfId="43617" xr:uid="{00000000-0005-0000-0000-000037980000}"/>
    <cellStyle name="Normal 3 5 5 4 2 3" xfId="23265" xr:uid="{00000000-0005-0000-0000-000038980000}"/>
    <cellStyle name="Normal 3 5 5 4 2 3 2" xfId="50398" xr:uid="{00000000-0005-0000-0000-000039980000}"/>
    <cellStyle name="Normal 3 5 5 4 2 4" xfId="36836" xr:uid="{00000000-0005-0000-0000-00003A980000}"/>
    <cellStyle name="Normal 3 5 5 4 3" xfId="13089" xr:uid="{00000000-0005-0000-0000-00003B980000}"/>
    <cellStyle name="Normal 3 5 5 4 3 2" xfId="26657" xr:uid="{00000000-0005-0000-0000-00003C980000}"/>
    <cellStyle name="Normal 3 5 5 4 3 2 2" xfId="53790" xr:uid="{00000000-0005-0000-0000-00003D980000}"/>
    <cellStyle name="Normal 3 5 5 4 3 3" xfId="40228" xr:uid="{00000000-0005-0000-0000-00003E980000}"/>
    <cellStyle name="Normal 3 5 5 4 4" xfId="19876" xr:uid="{00000000-0005-0000-0000-00003F980000}"/>
    <cellStyle name="Normal 3 5 5 4 4 2" xfId="47009" xr:uid="{00000000-0005-0000-0000-000040980000}"/>
    <cellStyle name="Normal 3 5 5 4 5" xfId="33447" xr:uid="{00000000-0005-0000-0000-000041980000}"/>
    <cellStyle name="Normal 3 5 5 5" xfId="7544" xr:uid="{00000000-0005-0000-0000-000042980000}"/>
    <cellStyle name="Normal 3 5 5 5 2" xfId="14334" xr:uid="{00000000-0005-0000-0000-000043980000}"/>
    <cellStyle name="Normal 3 5 5 5 2 2" xfId="27902" xr:uid="{00000000-0005-0000-0000-000044980000}"/>
    <cellStyle name="Normal 3 5 5 5 2 2 2" xfId="55035" xr:uid="{00000000-0005-0000-0000-000045980000}"/>
    <cellStyle name="Normal 3 5 5 5 2 3" xfId="41473" xr:uid="{00000000-0005-0000-0000-000046980000}"/>
    <cellStyle name="Normal 3 5 5 5 3" xfId="21121" xr:uid="{00000000-0005-0000-0000-000047980000}"/>
    <cellStyle name="Normal 3 5 5 5 3 2" xfId="48254" xr:uid="{00000000-0005-0000-0000-000048980000}"/>
    <cellStyle name="Normal 3 5 5 5 4" xfId="34692" xr:uid="{00000000-0005-0000-0000-000049980000}"/>
    <cellStyle name="Normal 3 5 5 6" xfId="10945" xr:uid="{00000000-0005-0000-0000-00004A980000}"/>
    <cellStyle name="Normal 3 5 5 6 2" xfId="24513" xr:uid="{00000000-0005-0000-0000-00004B980000}"/>
    <cellStyle name="Normal 3 5 5 6 2 2" xfId="51646" xr:uid="{00000000-0005-0000-0000-00004C980000}"/>
    <cellStyle name="Normal 3 5 5 6 3" xfId="38084" xr:uid="{00000000-0005-0000-0000-00004D980000}"/>
    <cellStyle name="Normal 3 5 5 7" xfId="17732" xr:uid="{00000000-0005-0000-0000-00004E980000}"/>
    <cellStyle name="Normal 3 5 5 7 2" xfId="44865" xr:uid="{00000000-0005-0000-0000-00004F980000}"/>
    <cellStyle name="Normal 3 5 5 8" xfId="31303" xr:uid="{00000000-0005-0000-0000-000050980000}"/>
    <cellStyle name="Normal 3 5 6" xfId="2733" xr:uid="{00000000-0005-0000-0000-000051980000}"/>
    <cellStyle name="Normal 3 5 6 2" xfId="2734" xr:uid="{00000000-0005-0000-0000-000052980000}"/>
    <cellStyle name="Normal 3 5 6 2 2" xfId="6146" xr:uid="{00000000-0005-0000-0000-000053980000}"/>
    <cellStyle name="Normal 3 5 6 2 2 2" xfId="9689" xr:uid="{00000000-0005-0000-0000-000054980000}"/>
    <cellStyle name="Normal 3 5 6 2 2 2 2" xfId="16479" xr:uid="{00000000-0005-0000-0000-000055980000}"/>
    <cellStyle name="Normal 3 5 6 2 2 2 2 2" xfId="30047" xr:uid="{00000000-0005-0000-0000-000056980000}"/>
    <cellStyle name="Normal 3 5 6 2 2 2 2 2 2" xfId="57180" xr:uid="{00000000-0005-0000-0000-000057980000}"/>
    <cellStyle name="Normal 3 5 6 2 2 2 2 3" xfId="43618" xr:uid="{00000000-0005-0000-0000-000058980000}"/>
    <cellStyle name="Normal 3 5 6 2 2 2 3" xfId="23266" xr:uid="{00000000-0005-0000-0000-000059980000}"/>
    <cellStyle name="Normal 3 5 6 2 2 2 3 2" xfId="50399" xr:uid="{00000000-0005-0000-0000-00005A980000}"/>
    <cellStyle name="Normal 3 5 6 2 2 2 4" xfId="36837" xr:uid="{00000000-0005-0000-0000-00005B980000}"/>
    <cellStyle name="Normal 3 5 6 2 2 3" xfId="13090" xr:uid="{00000000-0005-0000-0000-00005C980000}"/>
    <cellStyle name="Normal 3 5 6 2 2 3 2" xfId="26658" xr:uid="{00000000-0005-0000-0000-00005D980000}"/>
    <cellStyle name="Normal 3 5 6 2 2 3 2 2" xfId="53791" xr:uid="{00000000-0005-0000-0000-00005E980000}"/>
    <cellStyle name="Normal 3 5 6 2 2 3 3" xfId="40229" xr:uid="{00000000-0005-0000-0000-00005F980000}"/>
    <cellStyle name="Normal 3 5 6 2 2 4" xfId="19877" xr:uid="{00000000-0005-0000-0000-000060980000}"/>
    <cellStyle name="Normal 3 5 6 2 2 4 2" xfId="47010" xr:uid="{00000000-0005-0000-0000-000061980000}"/>
    <cellStyle name="Normal 3 5 6 2 2 5" xfId="33448" xr:uid="{00000000-0005-0000-0000-000062980000}"/>
    <cellStyle name="Normal 3 5 6 2 3" xfId="6147" xr:uid="{00000000-0005-0000-0000-000063980000}"/>
    <cellStyle name="Normal 3 5 6 2 3 2" xfId="9690" xr:uid="{00000000-0005-0000-0000-000064980000}"/>
    <cellStyle name="Normal 3 5 6 2 3 2 2" xfId="16480" xr:uid="{00000000-0005-0000-0000-000065980000}"/>
    <cellStyle name="Normal 3 5 6 2 3 2 2 2" xfId="30048" xr:uid="{00000000-0005-0000-0000-000066980000}"/>
    <cellStyle name="Normal 3 5 6 2 3 2 2 2 2" xfId="57181" xr:uid="{00000000-0005-0000-0000-000067980000}"/>
    <cellStyle name="Normal 3 5 6 2 3 2 2 3" xfId="43619" xr:uid="{00000000-0005-0000-0000-000068980000}"/>
    <cellStyle name="Normal 3 5 6 2 3 2 3" xfId="23267" xr:uid="{00000000-0005-0000-0000-000069980000}"/>
    <cellStyle name="Normal 3 5 6 2 3 2 3 2" xfId="50400" xr:uid="{00000000-0005-0000-0000-00006A980000}"/>
    <cellStyle name="Normal 3 5 6 2 3 2 4" xfId="36838" xr:uid="{00000000-0005-0000-0000-00006B980000}"/>
    <cellStyle name="Normal 3 5 6 2 3 3" xfId="13091" xr:uid="{00000000-0005-0000-0000-00006C980000}"/>
    <cellStyle name="Normal 3 5 6 2 3 3 2" xfId="26659" xr:uid="{00000000-0005-0000-0000-00006D980000}"/>
    <cellStyle name="Normal 3 5 6 2 3 3 2 2" xfId="53792" xr:uid="{00000000-0005-0000-0000-00006E980000}"/>
    <cellStyle name="Normal 3 5 6 2 3 3 3" xfId="40230" xr:uid="{00000000-0005-0000-0000-00006F980000}"/>
    <cellStyle name="Normal 3 5 6 2 3 4" xfId="19878" xr:uid="{00000000-0005-0000-0000-000070980000}"/>
    <cellStyle name="Normal 3 5 6 2 3 4 2" xfId="47011" xr:uid="{00000000-0005-0000-0000-000071980000}"/>
    <cellStyle name="Normal 3 5 6 2 3 5" xfId="33449" xr:uid="{00000000-0005-0000-0000-000072980000}"/>
    <cellStyle name="Normal 3 5 6 2 4" xfId="7547" xr:uid="{00000000-0005-0000-0000-000073980000}"/>
    <cellStyle name="Normal 3 5 6 2 4 2" xfId="14337" xr:uid="{00000000-0005-0000-0000-000074980000}"/>
    <cellStyle name="Normal 3 5 6 2 4 2 2" xfId="27905" xr:uid="{00000000-0005-0000-0000-000075980000}"/>
    <cellStyle name="Normal 3 5 6 2 4 2 2 2" xfId="55038" xr:uid="{00000000-0005-0000-0000-000076980000}"/>
    <cellStyle name="Normal 3 5 6 2 4 2 3" xfId="41476" xr:uid="{00000000-0005-0000-0000-000077980000}"/>
    <cellStyle name="Normal 3 5 6 2 4 3" xfId="21124" xr:uid="{00000000-0005-0000-0000-000078980000}"/>
    <cellStyle name="Normal 3 5 6 2 4 3 2" xfId="48257" xr:uid="{00000000-0005-0000-0000-000079980000}"/>
    <cellStyle name="Normal 3 5 6 2 4 4" xfId="34695" xr:uid="{00000000-0005-0000-0000-00007A980000}"/>
    <cellStyle name="Normal 3 5 6 2 5" xfId="10948" xr:uid="{00000000-0005-0000-0000-00007B980000}"/>
    <cellStyle name="Normal 3 5 6 2 5 2" xfId="24516" xr:uid="{00000000-0005-0000-0000-00007C980000}"/>
    <cellStyle name="Normal 3 5 6 2 5 2 2" xfId="51649" xr:uid="{00000000-0005-0000-0000-00007D980000}"/>
    <cellStyle name="Normal 3 5 6 2 5 3" xfId="38087" xr:uid="{00000000-0005-0000-0000-00007E980000}"/>
    <cellStyle name="Normal 3 5 6 2 6" xfId="17735" xr:uid="{00000000-0005-0000-0000-00007F980000}"/>
    <cellStyle name="Normal 3 5 6 2 6 2" xfId="44868" xr:uid="{00000000-0005-0000-0000-000080980000}"/>
    <cellStyle name="Normal 3 5 6 2 7" xfId="31306" xr:uid="{00000000-0005-0000-0000-000081980000}"/>
    <cellStyle name="Normal 3 5 6 3" xfId="6148" xr:uid="{00000000-0005-0000-0000-000082980000}"/>
    <cellStyle name="Normal 3 5 6 3 2" xfId="9691" xr:uid="{00000000-0005-0000-0000-000083980000}"/>
    <cellStyle name="Normal 3 5 6 3 2 2" xfId="16481" xr:uid="{00000000-0005-0000-0000-000084980000}"/>
    <cellStyle name="Normal 3 5 6 3 2 2 2" xfId="30049" xr:uid="{00000000-0005-0000-0000-000085980000}"/>
    <cellStyle name="Normal 3 5 6 3 2 2 2 2" xfId="57182" xr:uid="{00000000-0005-0000-0000-000086980000}"/>
    <cellStyle name="Normal 3 5 6 3 2 2 3" xfId="43620" xr:uid="{00000000-0005-0000-0000-000087980000}"/>
    <cellStyle name="Normal 3 5 6 3 2 3" xfId="23268" xr:uid="{00000000-0005-0000-0000-000088980000}"/>
    <cellStyle name="Normal 3 5 6 3 2 3 2" xfId="50401" xr:uid="{00000000-0005-0000-0000-000089980000}"/>
    <cellStyle name="Normal 3 5 6 3 2 4" xfId="36839" xr:uid="{00000000-0005-0000-0000-00008A980000}"/>
    <cellStyle name="Normal 3 5 6 3 3" xfId="13092" xr:uid="{00000000-0005-0000-0000-00008B980000}"/>
    <cellStyle name="Normal 3 5 6 3 3 2" xfId="26660" xr:uid="{00000000-0005-0000-0000-00008C980000}"/>
    <cellStyle name="Normal 3 5 6 3 3 2 2" xfId="53793" xr:uid="{00000000-0005-0000-0000-00008D980000}"/>
    <cellStyle name="Normal 3 5 6 3 3 3" xfId="40231" xr:uid="{00000000-0005-0000-0000-00008E980000}"/>
    <cellStyle name="Normal 3 5 6 3 4" xfId="19879" xr:uid="{00000000-0005-0000-0000-00008F980000}"/>
    <cellStyle name="Normal 3 5 6 3 4 2" xfId="47012" xr:uid="{00000000-0005-0000-0000-000090980000}"/>
    <cellStyle name="Normal 3 5 6 3 5" xfId="33450" xr:uid="{00000000-0005-0000-0000-000091980000}"/>
    <cellStyle name="Normal 3 5 6 4" xfId="6149" xr:uid="{00000000-0005-0000-0000-000092980000}"/>
    <cellStyle name="Normal 3 5 6 4 2" xfId="9692" xr:uid="{00000000-0005-0000-0000-000093980000}"/>
    <cellStyle name="Normal 3 5 6 4 2 2" xfId="16482" xr:uid="{00000000-0005-0000-0000-000094980000}"/>
    <cellStyle name="Normal 3 5 6 4 2 2 2" xfId="30050" xr:uid="{00000000-0005-0000-0000-000095980000}"/>
    <cellStyle name="Normal 3 5 6 4 2 2 2 2" xfId="57183" xr:uid="{00000000-0005-0000-0000-000096980000}"/>
    <cellStyle name="Normal 3 5 6 4 2 2 3" xfId="43621" xr:uid="{00000000-0005-0000-0000-000097980000}"/>
    <cellStyle name="Normal 3 5 6 4 2 3" xfId="23269" xr:uid="{00000000-0005-0000-0000-000098980000}"/>
    <cellStyle name="Normal 3 5 6 4 2 3 2" xfId="50402" xr:uid="{00000000-0005-0000-0000-000099980000}"/>
    <cellStyle name="Normal 3 5 6 4 2 4" xfId="36840" xr:uid="{00000000-0005-0000-0000-00009A980000}"/>
    <cellStyle name="Normal 3 5 6 4 3" xfId="13093" xr:uid="{00000000-0005-0000-0000-00009B980000}"/>
    <cellStyle name="Normal 3 5 6 4 3 2" xfId="26661" xr:uid="{00000000-0005-0000-0000-00009C980000}"/>
    <cellStyle name="Normal 3 5 6 4 3 2 2" xfId="53794" xr:uid="{00000000-0005-0000-0000-00009D980000}"/>
    <cellStyle name="Normal 3 5 6 4 3 3" xfId="40232" xr:uid="{00000000-0005-0000-0000-00009E980000}"/>
    <cellStyle name="Normal 3 5 6 4 4" xfId="19880" xr:uid="{00000000-0005-0000-0000-00009F980000}"/>
    <cellStyle name="Normal 3 5 6 4 4 2" xfId="47013" xr:uid="{00000000-0005-0000-0000-0000A0980000}"/>
    <cellStyle name="Normal 3 5 6 4 5" xfId="33451" xr:uid="{00000000-0005-0000-0000-0000A1980000}"/>
    <cellStyle name="Normal 3 5 6 5" xfId="7546" xr:uid="{00000000-0005-0000-0000-0000A2980000}"/>
    <cellStyle name="Normal 3 5 6 5 2" xfId="14336" xr:uid="{00000000-0005-0000-0000-0000A3980000}"/>
    <cellStyle name="Normal 3 5 6 5 2 2" xfId="27904" xr:uid="{00000000-0005-0000-0000-0000A4980000}"/>
    <cellStyle name="Normal 3 5 6 5 2 2 2" xfId="55037" xr:uid="{00000000-0005-0000-0000-0000A5980000}"/>
    <cellStyle name="Normal 3 5 6 5 2 3" xfId="41475" xr:uid="{00000000-0005-0000-0000-0000A6980000}"/>
    <cellStyle name="Normal 3 5 6 5 3" xfId="21123" xr:uid="{00000000-0005-0000-0000-0000A7980000}"/>
    <cellStyle name="Normal 3 5 6 5 3 2" xfId="48256" xr:uid="{00000000-0005-0000-0000-0000A8980000}"/>
    <cellStyle name="Normal 3 5 6 5 4" xfId="34694" xr:uid="{00000000-0005-0000-0000-0000A9980000}"/>
    <cellStyle name="Normal 3 5 6 6" xfId="10947" xr:uid="{00000000-0005-0000-0000-0000AA980000}"/>
    <cellStyle name="Normal 3 5 6 6 2" xfId="24515" xr:uid="{00000000-0005-0000-0000-0000AB980000}"/>
    <cellStyle name="Normal 3 5 6 6 2 2" xfId="51648" xr:uid="{00000000-0005-0000-0000-0000AC980000}"/>
    <cellStyle name="Normal 3 5 6 6 3" xfId="38086" xr:uid="{00000000-0005-0000-0000-0000AD980000}"/>
    <cellStyle name="Normal 3 5 6 7" xfId="17734" xr:uid="{00000000-0005-0000-0000-0000AE980000}"/>
    <cellStyle name="Normal 3 5 6 7 2" xfId="44867" xr:uid="{00000000-0005-0000-0000-0000AF980000}"/>
    <cellStyle name="Normal 3 5 6 8" xfId="31305" xr:uid="{00000000-0005-0000-0000-0000B0980000}"/>
    <cellStyle name="Normal 3 5 7" xfId="2735" xr:uid="{00000000-0005-0000-0000-0000B1980000}"/>
    <cellStyle name="Normal 3 5 7 2" xfId="2736" xr:uid="{00000000-0005-0000-0000-0000B2980000}"/>
    <cellStyle name="Normal 3 5 7 2 2" xfId="7549" xr:uid="{00000000-0005-0000-0000-0000B3980000}"/>
    <cellStyle name="Normal 3 5 7 2 2 2" xfId="14339" xr:uid="{00000000-0005-0000-0000-0000B4980000}"/>
    <cellStyle name="Normal 3 5 7 2 2 2 2" xfId="27907" xr:uid="{00000000-0005-0000-0000-0000B5980000}"/>
    <cellStyle name="Normal 3 5 7 2 2 2 2 2" xfId="55040" xr:uid="{00000000-0005-0000-0000-0000B6980000}"/>
    <cellStyle name="Normal 3 5 7 2 2 2 3" xfId="41478" xr:uid="{00000000-0005-0000-0000-0000B7980000}"/>
    <cellStyle name="Normal 3 5 7 2 2 3" xfId="21126" xr:uid="{00000000-0005-0000-0000-0000B8980000}"/>
    <cellStyle name="Normal 3 5 7 2 2 3 2" xfId="48259" xr:uid="{00000000-0005-0000-0000-0000B9980000}"/>
    <cellStyle name="Normal 3 5 7 2 2 4" xfId="34697" xr:uid="{00000000-0005-0000-0000-0000BA980000}"/>
    <cellStyle name="Normal 3 5 7 2 3" xfId="10950" xr:uid="{00000000-0005-0000-0000-0000BB980000}"/>
    <cellStyle name="Normal 3 5 7 2 3 2" xfId="24518" xr:uid="{00000000-0005-0000-0000-0000BC980000}"/>
    <cellStyle name="Normal 3 5 7 2 3 2 2" xfId="51651" xr:uid="{00000000-0005-0000-0000-0000BD980000}"/>
    <cellStyle name="Normal 3 5 7 2 3 3" xfId="38089" xr:uid="{00000000-0005-0000-0000-0000BE980000}"/>
    <cellStyle name="Normal 3 5 7 2 4" xfId="17737" xr:uid="{00000000-0005-0000-0000-0000BF980000}"/>
    <cellStyle name="Normal 3 5 7 2 4 2" xfId="44870" xr:uid="{00000000-0005-0000-0000-0000C0980000}"/>
    <cellStyle name="Normal 3 5 7 2 5" xfId="31308" xr:uid="{00000000-0005-0000-0000-0000C1980000}"/>
    <cellStyle name="Normal 3 5 7 3" xfId="6150" xr:uid="{00000000-0005-0000-0000-0000C2980000}"/>
    <cellStyle name="Normal 3 5 7 3 2" xfId="9693" xr:uid="{00000000-0005-0000-0000-0000C3980000}"/>
    <cellStyle name="Normal 3 5 7 3 2 2" xfId="16483" xr:uid="{00000000-0005-0000-0000-0000C4980000}"/>
    <cellStyle name="Normal 3 5 7 3 2 2 2" xfId="30051" xr:uid="{00000000-0005-0000-0000-0000C5980000}"/>
    <cellStyle name="Normal 3 5 7 3 2 2 2 2" xfId="57184" xr:uid="{00000000-0005-0000-0000-0000C6980000}"/>
    <cellStyle name="Normal 3 5 7 3 2 2 3" xfId="43622" xr:uid="{00000000-0005-0000-0000-0000C7980000}"/>
    <cellStyle name="Normal 3 5 7 3 2 3" xfId="23270" xr:uid="{00000000-0005-0000-0000-0000C8980000}"/>
    <cellStyle name="Normal 3 5 7 3 2 3 2" xfId="50403" xr:uid="{00000000-0005-0000-0000-0000C9980000}"/>
    <cellStyle name="Normal 3 5 7 3 2 4" xfId="36841" xr:uid="{00000000-0005-0000-0000-0000CA980000}"/>
    <cellStyle name="Normal 3 5 7 3 3" xfId="13094" xr:uid="{00000000-0005-0000-0000-0000CB980000}"/>
    <cellStyle name="Normal 3 5 7 3 3 2" xfId="26662" xr:uid="{00000000-0005-0000-0000-0000CC980000}"/>
    <cellStyle name="Normal 3 5 7 3 3 2 2" xfId="53795" xr:uid="{00000000-0005-0000-0000-0000CD980000}"/>
    <cellStyle name="Normal 3 5 7 3 3 3" xfId="40233" xr:uid="{00000000-0005-0000-0000-0000CE980000}"/>
    <cellStyle name="Normal 3 5 7 3 4" xfId="19881" xr:uid="{00000000-0005-0000-0000-0000CF980000}"/>
    <cellStyle name="Normal 3 5 7 3 4 2" xfId="47014" xr:uid="{00000000-0005-0000-0000-0000D0980000}"/>
    <cellStyle name="Normal 3 5 7 3 5" xfId="33452" xr:uid="{00000000-0005-0000-0000-0000D1980000}"/>
    <cellStyle name="Normal 3 5 7 4" xfId="7548" xr:uid="{00000000-0005-0000-0000-0000D2980000}"/>
    <cellStyle name="Normal 3 5 7 4 2" xfId="14338" xr:uid="{00000000-0005-0000-0000-0000D3980000}"/>
    <cellStyle name="Normal 3 5 7 4 2 2" xfId="27906" xr:uid="{00000000-0005-0000-0000-0000D4980000}"/>
    <cellStyle name="Normal 3 5 7 4 2 2 2" xfId="55039" xr:uid="{00000000-0005-0000-0000-0000D5980000}"/>
    <cellStyle name="Normal 3 5 7 4 2 3" xfId="41477" xr:uid="{00000000-0005-0000-0000-0000D6980000}"/>
    <cellStyle name="Normal 3 5 7 4 3" xfId="21125" xr:uid="{00000000-0005-0000-0000-0000D7980000}"/>
    <cellStyle name="Normal 3 5 7 4 3 2" xfId="48258" xr:uid="{00000000-0005-0000-0000-0000D8980000}"/>
    <cellStyle name="Normal 3 5 7 4 4" xfId="34696" xr:uid="{00000000-0005-0000-0000-0000D9980000}"/>
    <cellStyle name="Normal 3 5 7 5" xfId="10949" xr:uid="{00000000-0005-0000-0000-0000DA980000}"/>
    <cellStyle name="Normal 3 5 7 5 2" xfId="24517" xr:uid="{00000000-0005-0000-0000-0000DB980000}"/>
    <cellStyle name="Normal 3 5 7 5 2 2" xfId="51650" xr:uid="{00000000-0005-0000-0000-0000DC980000}"/>
    <cellStyle name="Normal 3 5 7 5 3" xfId="38088" xr:uid="{00000000-0005-0000-0000-0000DD980000}"/>
    <cellStyle name="Normal 3 5 7 6" xfId="17736" xr:uid="{00000000-0005-0000-0000-0000DE980000}"/>
    <cellStyle name="Normal 3 5 7 6 2" xfId="44869" xr:uid="{00000000-0005-0000-0000-0000DF980000}"/>
    <cellStyle name="Normal 3 5 7 7" xfId="31307" xr:uid="{00000000-0005-0000-0000-0000E0980000}"/>
    <cellStyle name="Normal 3 5 8" xfId="2737" xr:uid="{00000000-0005-0000-0000-0000E1980000}"/>
    <cellStyle name="Normal 3 5 8 2" xfId="2738" xr:uid="{00000000-0005-0000-0000-0000E2980000}"/>
    <cellStyle name="Normal 3 5 8 2 2" xfId="7551" xr:uid="{00000000-0005-0000-0000-0000E3980000}"/>
    <cellStyle name="Normal 3 5 8 2 2 2" xfId="14341" xr:uid="{00000000-0005-0000-0000-0000E4980000}"/>
    <cellStyle name="Normal 3 5 8 2 2 2 2" xfId="27909" xr:uid="{00000000-0005-0000-0000-0000E5980000}"/>
    <cellStyle name="Normal 3 5 8 2 2 2 2 2" xfId="55042" xr:uid="{00000000-0005-0000-0000-0000E6980000}"/>
    <cellStyle name="Normal 3 5 8 2 2 2 3" xfId="41480" xr:uid="{00000000-0005-0000-0000-0000E7980000}"/>
    <cellStyle name="Normal 3 5 8 2 2 3" xfId="21128" xr:uid="{00000000-0005-0000-0000-0000E8980000}"/>
    <cellStyle name="Normal 3 5 8 2 2 3 2" xfId="48261" xr:uid="{00000000-0005-0000-0000-0000E9980000}"/>
    <cellStyle name="Normal 3 5 8 2 2 4" xfId="34699" xr:uid="{00000000-0005-0000-0000-0000EA980000}"/>
    <cellStyle name="Normal 3 5 8 2 3" xfId="10952" xr:uid="{00000000-0005-0000-0000-0000EB980000}"/>
    <cellStyle name="Normal 3 5 8 2 3 2" xfId="24520" xr:uid="{00000000-0005-0000-0000-0000EC980000}"/>
    <cellStyle name="Normal 3 5 8 2 3 2 2" xfId="51653" xr:uid="{00000000-0005-0000-0000-0000ED980000}"/>
    <cellStyle name="Normal 3 5 8 2 3 3" xfId="38091" xr:uid="{00000000-0005-0000-0000-0000EE980000}"/>
    <cellStyle name="Normal 3 5 8 2 4" xfId="17739" xr:uid="{00000000-0005-0000-0000-0000EF980000}"/>
    <cellStyle name="Normal 3 5 8 2 4 2" xfId="44872" xr:uid="{00000000-0005-0000-0000-0000F0980000}"/>
    <cellStyle name="Normal 3 5 8 2 5" xfId="31310" xr:uid="{00000000-0005-0000-0000-0000F1980000}"/>
    <cellStyle name="Normal 3 5 8 3" xfId="6151" xr:uid="{00000000-0005-0000-0000-0000F2980000}"/>
    <cellStyle name="Normal 3 5 8 3 2" xfId="9694" xr:uid="{00000000-0005-0000-0000-0000F3980000}"/>
    <cellStyle name="Normal 3 5 8 3 2 2" xfId="16484" xr:uid="{00000000-0005-0000-0000-0000F4980000}"/>
    <cellStyle name="Normal 3 5 8 3 2 2 2" xfId="30052" xr:uid="{00000000-0005-0000-0000-0000F5980000}"/>
    <cellStyle name="Normal 3 5 8 3 2 2 2 2" xfId="57185" xr:uid="{00000000-0005-0000-0000-0000F6980000}"/>
    <cellStyle name="Normal 3 5 8 3 2 2 3" xfId="43623" xr:uid="{00000000-0005-0000-0000-0000F7980000}"/>
    <cellStyle name="Normal 3 5 8 3 2 3" xfId="23271" xr:uid="{00000000-0005-0000-0000-0000F8980000}"/>
    <cellStyle name="Normal 3 5 8 3 2 3 2" xfId="50404" xr:uid="{00000000-0005-0000-0000-0000F9980000}"/>
    <cellStyle name="Normal 3 5 8 3 2 4" xfId="36842" xr:uid="{00000000-0005-0000-0000-0000FA980000}"/>
    <cellStyle name="Normal 3 5 8 3 3" xfId="13095" xr:uid="{00000000-0005-0000-0000-0000FB980000}"/>
    <cellStyle name="Normal 3 5 8 3 3 2" xfId="26663" xr:uid="{00000000-0005-0000-0000-0000FC980000}"/>
    <cellStyle name="Normal 3 5 8 3 3 2 2" xfId="53796" xr:uid="{00000000-0005-0000-0000-0000FD980000}"/>
    <cellStyle name="Normal 3 5 8 3 3 3" xfId="40234" xr:uid="{00000000-0005-0000-0000-0000FE980000}"/>
    <cellStyle name="Normal 3 5 8 3 4" xfId="19882" xr:uid="{00000000-0005-0000-0000-0000FF980000}"/>
    <cellStyle name="Normal 3 5 8 3 4 2" xfId="47015" xr:uid="{00000000-0005-0000-0000-000000990000}"/>
    <cellStyle name="Normal 3 5 8 3 5" xfId="33453" xr:uid="{00000000-0005-0000-0000-000001990000}"/>
    <cellStyle name="Normal 3 5 8 4" xfId="7550" xr:uid="{00000000-0005-0000-0000-000002990000}"/>
    <cellStyle name="Normal 3 5 8 4 2" xfId="14340" xr:uid="{00000000-0005-0000-0000-000003990000}"/>
    <cellStyle name="Normal 3 5 8 4 2 2" xfId="27908" xr:uid="{00000000-0005-0000-0000-000004990000}"/>
    <cellStyle name="Normal 3 5 8 4 2 2 2" xfId="55041" xr:uid="{00000000-0005-0000-0000-000005990000}"/>
    <cellStyle name="Normal 3 5 8 4 2 3" xfId="41479" xr:uid="{00000000-0005-0000-0000-000006990000}"/>
    <cellStyle name="Normal 3 5 8 4 3" xfId="21127" xr:uid="{00000000-0005-0000-0000-000007990000}"/>
    <cellStyle name="Normal 3 5 8 4 3 2" xfId="48260" xr:uid="{00000000-0005-0000-0000-000008990000}"/>
    <cellStyle name="Normal 3 5 8 4 4" xfId="34698" xr:uid="{00000000-0005-0000-0000-000009990000}"/>
    <cellStyle name="Normal 3 5 8 5" xfId="10951" xr:uid="{00000000-0005-0000-0000-00000A990000}"/>
    <cellStyle name="Normal 3 5 8 5 2" xfId="24519" xr:uid="{00000000-0005-0000-0000-00000B990000}"/>
    <cellStyle name="Normal 3 5 8 5 2 2" xfId="51652" xr:uid="{00000000-0005-0000-0000-00000C990000}"/>
    <cellStyle name="Normal 3 5 8 5 3" xfId="38090" xr:uid="{00000000-0005-0000-0000-00000D990000}"/>
    <cellStyle name="Normal 3 5 8 6" xfId="17738" xr:uid="{00000000-0005-0000-0000-00000E990000}"/>
    <cellStyle name="Normal 3 5 8 6 2" xfId="44871" xr:uid="{00000000-0005-0000-0000-00000F990000}"/>
    <cellStyle name="Normal 3 5 8 7" xfId="31309" xr:uid="{00000000-0005-0000-0000-000010990000}"/>
    <cellStyle name="Normal 3 5 9" xfId="2739" xr:uid="{00000000-0005-0000-0000-000011990000}"/>
    <cellStyle name="Normal 3 5 9 2" xfId="7552" xr:uid="{00000000-0005-0000-0000-000012990000}"/>
    <cellStyle name="Normal 3 5 9 2 2" xfId="14342" xr:uid="{00000000-0005-0000-0000-000013990000}"/>
    <cellStyle name="Normal 3 5 9 2 2 2" xfId="27910" xr:uid="{00000000-0005-0000-0000-000014990000}"/>
    <cellStyle name="Normal 3 5 9 2 2 2 2" xfId="55043" xr:uid="{00000000-0005-0000-0000-000015990000}"/>
    <cellStyle name="Normal 3 5 9 2 2 3" xfId="41481" xr:uid="{00000000-0005-0000-0000-000016990000}"/>
    <cellStyle name="Normal 3 5 9 2 3" xfId="21129" xr:uid="{00000000-0005-0000-0000-000017990000}"/>
    <cellStyle name="Normal 3 5 9 2 3 2" xfId="48262" xr:uid="{00000000-0005-0000-0000-000018990000}"/>
    <cellStyle name="Normal 3 5 9 2 4" xfId="34700" xr:uid="{00000000-0005-0000-0000-000019990000}"/>
    <cellStyle name="Normal 3 5 9 3" xfId="10953" xr:uid="{00000000-0005-0000-0000-00001A990000}"/>
    <cellStyle name="Normal 3 5 9 3 2" xfId="24521" xr:uid="{00000000-0005-0000-0000-00001B990000}"/>
    <cellStyle name="Normal 3 5 9 3 2 2" xfId="51654" xr:uid="{00000000-0005-0000-0000-00001C990000}"/>
    <cellStyle name="Normal 3 5 9 3 3" xfId="38092" xr:uid="{00000000-0005-0000-0000-00001D990000}"/>
    <cellStyle name="Normal 3 5 9 4" xfId="17740" xr:uid="{00000000-0005-0000-0000-00001E990000}"/>
    <cellStyle name="Normal 3 5 9 4 2" xfId="44873" xr:uid="{00000000-0005-0000-0000-00001F990000}"/>
    <cellStyle name="Normal 3 5 9 5" xfId="31311" xr:uid="{00000000-0005-0000-0000-000020990000}"/>
    <cellStyle name="Normal 3 56" xfId="9" xr:uid="{00000000-0005-0000-0000-000021990000}"/>
    <cellStyle name="Normal 3 56 4" xfId="58381" xr:uid="{2BAA5403-242F-4E9B-AC00-9E5C1034432C}"/>
    <cellStyle name="Normal 3 6" xfId="2740" xr:uid="{00000000-0005-0000-0000-000022990000}"/>
    <cellStyle name="Normal 3 6 10" xfId="7553" xr:uid="{00000000-0005-0000-0000-000023990000}"/>
    <cellStyle name="Normal 3 6 10 2" xfId="14343" xr:uid="{00000000-0005-0000-0000-000024990000}"/>
    <cellStyle name="Normal 3 6 10 2 2" xfId="27911" xr:uid="{00000000-0005-0000-0000-000025990000}"/>
    <cellStyle name="Normal 3 6 10 2 2 2" xfId="55044" xr:uid="{00000000-0005-0000-0000-000026990000}"/>
    <cellStyle name="Normal 3 6 10 2 3" xfId="41482" xr:uid="{00000000-0005-0000-0000-000027990000}"/>
    <cellStyle name="Normal 3 6 10 3" xfId="21130" xr:uid="{00000000-0005-0000-0000-000028990000}"/>
    <cellStyle name="Normal 3 6 10 3 2" xfId="48263" xr:uid="{00000000-0005-0000-0000-000029990000}"/>
    <cellStyle name="Normal 3 6 10 4" xfId="34701" xr:uid="{00000000-0005-0000-0000-00002A990000}"/>
    <cellStyle name="Normal 3 6 11" xfId="10954" xr:uid="{00000000-0005-0000-0000-00002B990000}"/>
    <cellStyle name="Normal 3 6 11 2" xfId="24522" xr:uid="{00000000-0005-0000-0000-00002C990000}"/>
    <cellStyle name="Normal 3 6 11 2 2" xfId="51655" xr:uid="{00000000-0005-0000-0000-00002D990000}"/>
    <cellStyle name="Normal 3 6 11 3" xfId="38093" xr:uid="{00000000-0005-0000-0000-00002E990000}"/>
    <cellStyle name="Normal 3 6 12" xfId="17741" xr:uid="{00000000-0005-0000-0000-00002F990000}"/>
    <cellStyle name="Normal 3 6 12 2" xfId="44874" xr:uid="{00000000-0005-0000-0000-000030990000}"/>
    <cellStyle name="Normal 3 6 13" xfId="31312" xr:uid="{00000000-0005-0000-0000-000031990000}"/>
    <cellStyle name="Normal 3 6 2" xfId="2741" xr:uid="{00000000-0005-0000-0000-000032990000}"/>
    <cellStyle name="Normal 3 6 2 2" xfId="2742" xr:uid="{00000000-0005-0000-0000-000033990000}"/>
    <cellStyle name="Normal 3 6 2 2 2" xfId="7555" xr:uid="{00000000-0005-0000-0000-000034990000}"/>
    <cellStyle name="Normal 3 6 2 2 2 2" xfId="14345" xr:uid="{00000000-0005-0000-0000-000035990000}"/>
    <cellStyle name="Normal 3 6 2 2 2 2 2" xfId="27913" xr:uid="{00000000-0005-0000-0000-000036990000}"/>
    <cellStyle name="Normal 3 6 2 2 2 2 2 2" xfId="55046" xr:uid="{00000000-0005-0000-0000-000037990000}"/>
    <cellStyle name="Normal 3 6 2 2 2 2 3" xfId="41484" xr:uid="{00000000-0005-0000-0000-000038990000}"/>
    <cellStyle name="Normal 3 6 2 2 2 3" xfId="21132" xr:uid="{00000000-0005-0000-0000-000039990000}"/>
    <cellStyle name="Normal 3 6 2 2 2 3 2" xfId="48265" xr:uid="{00000000-0005-0000-0000-00003A990000}"/>
    <cellStyle name="Normal 3 6 2 2 2 4" xfId="34703" xr:uid="{00000000-0005-0000-0000-00003B990000}"/>
    <cellStyle name="Normal 3 6 2 2 3" xfId="10956" xr:uid="{00000000-0005-0000-0000-00003C990000}"/>
    <cellStyle name="Normal 3 6 2 2 3 2" xfId="24524" xr:uid="{00000000-0005-0000-0000-00003D990000}"/>
    <cellStyle name="Normal 3 6 2 2 3 2 2" xfId="51657" xr:uid="{00000000-0005-0000-0000-00003E990000}"/>
    <cellStyle name="Normal 3 6 2 2 3 3" xfId="38095" xr:uid="{00000000-0005-0000-0000-00003F990000}"/>
    <cellStyle name="Normal 3 6 2 2 4" xfId="17743" xr:uid="{00000000-0005-0000-0000-000040990000}"/>
    <cellStyle name="Normal 3 6 2 2 4 2" xfId="44876" xr:uid="{00000000-0005-0000-0000-000041990000}"/>
    <cellStyle name="Normal 3 6 2 2 5" xfId="31314" xr:uid="{00000000-0005-0000-0000-000042990000}"/>
    <cellStyle name="Normal 3 6 2 3" xfId="7554" xr:uid="{00000000-0005-0000-0000-000043990000}"/>
    <cellStyle name="Normal 3 6 2 3 2" xfId="14344" xr:uid="{00000000-0005-0000-0000-000044990000}"/>
    <cellStyle name="Normal 3 6 2 3 2 2" xfId="27912" xr:uid="{00000000-0005-0000-0000-000045990000}"/>
    <cellStyle name="Normal 3 6 2 3 2 2 2" xfId="55045" xr:uid="{00000000-0005-0000-0000-000046990000}"/>
    <cellStyle name="Normal 3 6 2 3 2 3" xfId="41483" xr:uid="{00000000-0005-0000-0000-000047990000}"/>
    <cellStyle name="Normal 3 6 2 3 3" xfId="21131" xr:uid="{00000000-0005-0000-0000-000048990000}"/>
    <cellStyle name="Normal 3 6 2 3 3 2" xfId="48264" xr:uid="{00000000-0005-0000-0000-000049990000}"/>
    <cellStyle name="Normal 3 6 2 3 4" xfId="34702" xr:uid="{00000000-0005-0000-0000-00004A990000}"/>
    <cellStyle name="Normal 3 6 2 4" xfId="10955" xr:uid="{00000000-0005-0000-0000-00004B990000}"/>
    <cellStyle name="Normal 3 6 2 4 2" xfId="24523" xr:uid="{00000000-0005-0000-0000-00004C990000}"/>
    <cellStyle name="Normal 3 6 2 4 2 2" xfId="51656" xr:uid="{00000000-0005-0000-0000-00004D990000}"/>
    <cellStyle name="Normal 3 6 2 4 3" xfId="38094" xr:uid="{00000000-0005-0000-0000-00004E990000}"/>
    <cellStyle name="Normal 3 6 2 5" xfId="17742" xr:uid="{00000000-0005-0000-0000-00004F990000}"/>
    <cellStyle name="Normal 3 6 2 5 2" xfId="44875" xr:uid="{00000000-0005-0000-0000-000050990000}"/>
    <cellStyle name="Normal 3 6 2 6" xfId="31313" xr:uid="{00000000-0005-0000-0000-000051990000}"/>
    <cellStyle name="Normal 3 6 3" xfId="2743" xr:uid="{00000000-0005-0000-0000-000052990000}"/>
    <cellStyle name="Normal 3 6 3 2" xfId="2744" xr:uid="{00000000-0005-0000-0000-000053990000}"/>
    <cellStyle name="Normal 3 6 3 2 2" xfId="7557" xr:uid="{00000000-0005-0000-0000-000054990000}"/>
    <cellStyle name="Normal 3 6 3 2 2 2" xfId="14347" xr:uid="{00000000-0005-0000-0000-000055990000}"/>
    <cellStyle name="Normal 3 6 3 2 2 2 2" xfId="27915" xr:uid="{00000000-0005-0000-0000-000056990000}"/>
    <cellStyle name="Normal 3 6 3 2 2 2 2 2" xfId="55048" xr:uid="{00000000-0005-0000-0000-000057990000}"/>
    <cellStyle name="Normal 3 6 3 2 2 2 3" xfId="41486" xr:uid="{00000000-0005-0000-0000-000058990000}"/>
    <cellStyle name="Normal 3 6 3 2 2 3" xfId="21134" xr:uid="{00000000-0005-0000-0000-000059990000}"/>
    <cellStyle name="Normal 3 6 3 2 2 3 2" xfId="48267" xr:uid="{00000000-0005-0000-0000-00005A990000}"/>
    <cellStyle name="Normal 3 6 3 2 2 4" xfId="34705" xr:uid="{00000000-0005-0000-0000-00005B990000}"/>
    <cellStyle name="Normal 3 6 3 2 3" xfId="10958" xr:uid="{00000000-0005-0000-0000-00005C990000}"/>
    <cellStyle name="Normal 3 6 3 2 3 2" xfId="24526" xr:uid="{00000000-0005-0000-0000-00005D990000}"/>
    <cellStyle name="Normal 3 6 3 2 3 2 2" xfId="51659" xr:uid="{00000000-0005-0000-0000-00005E990000}"/>
    <cellStyle name="Normal 3 6 3 2 3 3" xfId="38097" xr:uid="{00000000-0005-0000-0000-00005F990000}"/>
    <cellStyle name="Normal 3 6 3 2 4" xfId="17745" xr:uid="{00000000-0005-0000-0000-000060990000}"/>
    <cellStyle name="Normal 3 6 3 2 4 2" xfId="44878" xr:uid="{00000000-0005-0000-0000-000061990000}"/>
    <cellStyle name="Normal 3 6 3 2 5" xfId="31316" xr:uid="{00000000-0005-0000-0000-000062990000}"/>
    <cellStyle name="Normal 3 6 3 3" xfId="7556" xr:uid="{00000000-0005-0000-0000-000063990000}"/>
    <cellStyle name="Normal 3 6 3 3 2" xfId="14346" xr:uid="{00000000-0005-0000-0000-000064990000}"/>
    <cellStyle name="Normal 3 6 3 3 2 2" xfId="27914" xr:uid="{00000000-0005-0000-0000-000065990000}"/>
    <cellStyle name="Normal 3 6 3 3 2 2 2" xfId="55047" xr:uid="{00000000-0005-0000-0000-000066990000}"/>
    <cellStyle name="Normal 3 6 3 3 2 3" xfId="41485" xr:uid="{00000000-0005-0000-0000-000067990000}"/>
    <cellStyle name="Normal 3 6 3 3 3" xfId="21133" xr:uid="{00000000-0005-0000-0000-000068990000}"/>
    <cellStyle name="Normal 3 6 3 3 3 2" xfId="48266" xr:uid="{00000000-0005-0000-0000-000069990000}"/>
    <cellStyle name="Normal 3 6 3 3 4" xfId="34704" xr:uid="{00000000-0005-0000-0000-00006A990000}"/>
    <cellStyle name="Normal 3 6 3 4" xfId="10957" xr:uid="{00000000-0005-0000-0000-00006B990000}"/>
    <cellStyle name="Normal 3 6 3 4 2" xfId="24525" xr:uid="{00000000-0005-0000-0000-00006C990000}"/>
    <cellStyle name="Normal 3 6 3 4 2 2" xfId="51658" xr:uid="{00000000-0005-0000-0000-00006D990000}"/>
    <cellStyle name="Normal 3 6 3 4 3" xfId="38096" xr:uid="{00000000-0005-0000-0000-00006E990000}"/>
    <cellStyle name="Normal 3 6 3 5" xfId="17744" xr:uid="{00000000-0005-0000-0000-00006F990000}"/>
    <cellStyle name="Normal 3 6 3 5 2" xfId="44877" xr:uid="{00000000-0005-0000-0000-000070990000}"/>
    <cellStyle name="Normal 3 6 3 6" xfId="31315" xr:uid="{00000000-0005-0000-0000-000071990000}"/>
    <cellStyle name="Normal 3 6 4" xfId="2745" xr:uid="{00000000-0005-0000-0000-000072990000}"/>
    <cellStyle name="Normal 3 6 4 2" xfId="2746" xr:uid="{00000000-0005-0000-0000-000073990000}"/>
    <cellStyle name="Normal 3 6 4 2 2" xfId="7559" xr:uid="{00000000-0005-0000-0000-000074990000}"/>
    <cellStyle name="Normal 3 6 4 2 2 2" xfId="14349" xr:uid="{00000000-0005-0000-0000-000075990000}"/>
    <cellStyle name="Normal 3 6 4 2 2 2 2" xfId="27917" xr:uid="{00000000-0005-0000-0000-000076990000}"/>
    <cellStyle name="Normal 3 6 4 2 2 2 2 2" xfId="55050" xr:uid="{00000000-0005-0000-0000-000077990000}"/>
    <cellStyle name="Normal 3 6 4 2 2 2 3" xfId="41488" xr:uid="{00000000-0005-0000-0000-000078990000}"/>
    <cellStyle name="Normal 3 6 4 2 2 3" xfId="21136" xr:uid="{00000000-0005-0000-0000-000079990000}"/>
    <cellStyle name="Normal 3 6 4 2 2 3 2" xfId="48269" xr:uid="{00000000-0005-0000-0000-00007A990000}"/>
    <cellStyle name="Normal 3 6 4 2 2 4" xfId="34707" xr:uid="{00000000-0005-0000-0000-00007B990000}"/>
    <cellStyle name="Normal 3 6 4 2 3" xfId="10960" xr:uid="{00000000-0005-0000-0000-00007C990000}"/>
    <cellStyle name="Normal 3 6 4 2 3 2" xfId="24528" xr:uid="{00000000-0005-0000-0000-00007D990000}"/>
    <cellStyle name="Normal 3 6 4 2 3 2 2" xfId="51661" xr:uid="{00000000-0005-0000-0000-00007E990000}"/>
    <cellStyle name="Normal 3 6 4 2 3 3" xfId="38099" xr:uid="{00000000-0005-0000-0000-00007F990000}"/>
    <cellStyle name="Normal 3 6 4 2 4" xfId="17747" xr:uid="{00000000-0005-0000-0000-000080990000}"/>
    <cellStyle name="Normal 3 6 4 2 4 2" xfId="44880" xr:uid="{00000000-0005-0000-0000-000081990000}"/>
    <cellStyle name="Normal 3 6 4 2 5" xfId="31318" xr:uid="{00000000-0005-0000-0000-000082990000}"/>
    <cellStyle name="Normal 3 6 4 3" xfId="7558" xr:uid="{00000000-0005-0000-0000-000083990000}"/>
    <cellStyle name="Normal 3 6 4 3 2" xfId="14348" xr:uid="{00000000-0005-0000-0000-000084990000}"/>
    <cellStyle name="Normal 3 6 4 3 2 2" xfId="27916" xr:uid="{00000000-0005-0000-0000-000085990000}"/>
    <cellStyle name="Normal 3 6 4 3 2 2 2" xfId="55049" xr:uid="{00000000-0005-0000-0000-000086990000}"/>
    <cellStyle name="Normal 3 6 4 3 2 3" xfId="41487" xr:uid="{00000000-0005-0000-0000-000087990000}"/>
    <cellStyle name="Normal 3 6 4 3 3" xfId="21135" xr:uid="{00000000-0005-0000-0000-000088990000}"/>
    <cellStyle name="Normal 3 6 4 3 3 2" xfId="48268" xr:uid="{00000000-0005-0000-0000-000089990000}"/>
    <cellStyle name="Normal 3 6 4 3 4" xfId="34706" xr:uid="{00000000-0005-0000-0000-00008A990000}"/>
    <cellStyle name="Normal 3 6 4 4" xfId="10959" xr:uid="{00000000-0005-0000-0000-00008B990000}"/>
    <cellStyle name="Normal 3 6 4 4 2" xfId="24527" xr:uid="{00000000-0005-0000-0000-00008C990000}"/>
    <cellStyle name="Normal 3 6 4 4 2 2" xfId="51660" xr:uid="{00000000-0005-0000-0000-00008D990000}"/>
    <cellStyle name="Normal 3 6 4 4 3" xfId="38098" xr:uid="{00000000-0005-0000-0000-00008E990000}"/>
    <cellStyle name="Normal 3 6 4 5" xfId="17746" xr:uid="{00000000-0005-0000-0000-00008F990000}"/>
    <cellStyle name="Normal 3 6 4 5 2" xfId="44879" xr:uid="{00000000-0005-0000-0000-000090990000}"/>
    <cellStyle name="Normal 3 6 4 6" xfId="31317" xr:uid="{00000000-0005-0000-0000-000091990000}"/>
    <cellStyle name="Normal 3 6 5" xfId="2747" xr:uid="{00000000-0005-0000-0000-000092990000}"/>
    <cellStyle name="Normal 3 6 5 2" xfId="2748" xr:uid="{00000000-0005-0000-0000-000093990000}"/>
    <cellStyle name="Normal 3 6 5 2 2" xfId="7561" xr:uid="{00000000-0005-0000-0000-000094990000}"/>
    <cellStyle name="Normal 3 6 5 2 2 2" xfId="14351" xr:uid="{00000000-0005-0000-0000-000095990000}"/>
    <cellStyle name="Normal 3 6 5 2 2 2 2" xfId="27919" xr:uid="{00000000-0005-0000-0000-000096990000}"/>
    <cellStyle name="Normal 3 6 5 2 2 2 2 2" xfId="55052" xr:uid="{00000000-0005-0000-0000-000097990000}"/>
    <cellStyle name="Normal 3 6 5 2 2 2 3" xfId="41490" xr:uid="{00000000-0005-0000-0000-000098990000}"/>
    <cellStyle name="Normal 3 6 5 2 2 3" xfId="21138" xr:uid="{00000000-0005-0000-0000-000099990000}"/>
    <cellStyle name="Normal 3 6 5 2 2 3 2" xfId="48271" xr:uid="{00000000-0005-0000-0000-00009A990000}"/>
    <cellStyle name="Normal 3 6 5 2 2 4" xfId="34709" xr:uid="{00000000-0005-0000-0000-00009B990000}"/>
    <cellStyle name="Normal 3 6 5 2 3" xfId="10962" xr:uid="{00000000-0005-0000-0000-00009C990000}"/>
    <cellStyle name="Normal 3 6 5 2 3 2" xfId="24530" xr:uid="{00000000-0005-0000-0000-00009D990000}"/>
    <cellStyle name="Normal 3 6 5 2 3 2 2" xfId="51663" xr:uid="{00000000-0005-0000-0000-00009E990000}"/>
    <cellStyle name="Normal 3 6 5 2 3 3" xfId="38101" xr:uid="{00000000-0005-0000-0000-00009F990000}"/>
    <cellStyle name="Normal 3 6 5 2 4" xfId="17749" xr:uid="{00000000-0005-0000-0000-0000A0990000}"/>
    <cellStyle name="Normal 3 6 5 2 4 2" xfId="44882" xr:uid="{00000000-0005-0000-0000-0000A1990000}"/>
    <cellStyle name="Normal 3 6 5 2 5" xfId="31320" xr:uid="{00000000-0005-0000-0000-0000A2990000}"/>
    <cellStyle name="Normal 3 6 5 3" xfId="7560" xr:uid="{00000000-0005-0000-0000-0000A3990000}"/>
    <cellStyle name="Normal 3 6 5 3 2" xfId="14350" xr:uid="{00000000-0005-0000-0000-0000A4990000}"/>
    <cellStyle name="Normal 3 6 5 3 2 2" xfId="27918" xr:uid="{00000000-0005-0000-0000-0000A5990000}"/>
    <cellStyle name="Normal 3 6 5 3 2 2 2" xfId="55051" xr:uid="{00000000-0005-0000-0000-0000A6990000}"/>
    <cellStyle name="Normal 3 6 5 3 2 3" xfId="41489" xr:uid="{00000000-0005-0000-0000-0000A7990000}"/>
    <cellStyle name="Normal 3 6 5 3 3" xfId="21137" xr:uid="{00000000-0005-0000-0000-0000A8990000}"/>
    <cellStyle name="Normal 3 6 5 3 3 2" xfId="48270" xr:uid="{00000000-0005-0000-0000-0000A9990000}"/>
    <cellStyle name="Normal 3 6 5 3 4" xfId="34708" xr:uid="{00000000-0005-0000-0000-0000AA990000}"/>
    <cellStyle name="Normal 3 6 5 4" xfId="10961" xr:uid="{00000000-0005-0000-0000-0000AB990000}"/>
    <cellStyle name="Normal 3 6 5 4 2" xfId="24529" xr:uid="{00000000-0005-0000-0000-0000AC990000}"/>
    <cellStyle name="Normal 3 6 5 4 2 2" xfId="51662" xr:uid="{00000000-0005-0000-0000-0000AD990000}"/>
    <cellStyle name="Normal 3 6 5 4 3" xfId="38100" xr:uid="{00000000-0005-0000-0000-0000AE990000}"/>
    <cellStyle name="Normal 3 6 5 5" xfId="17748" xr:uid="{00000000-0005-0000-0000-0000AF990000}"/>
    <cellStyle name="Normal 3 6 5 5 2" xfId="44881" xr:uid="{00000000-0005-0000-0000-0000B0990000}"/>
    <cellStyle name="Normal 3 6 5 6" xfId="31319" xr:uid="{00000000-0005-0000-0000-0000B1990000}"/>
    <cellStyle name="Normal 3 6 6" xfId="2749" xr:uid="{00000000-0005-0000-0000-0000B2990000}"/>
    <cellStyle name="Normal 3 6 6 2" xfId="2750" xr:uid="{00000000-0005-0000-0000-0000B3990000}"/>
    <cellStyle name="Normal 3 6 6 2 2" xfId="7563" xr:uid="{00000000-0005-0000-0000-0000B4990000}"/>
    <cellStyle name="Normal 3 6 6 2 2 2" xfId="14353" xr:uid="{00000000-0005-0000-0000-0000B5990000}"/>
    <cellStyle name="Normal 3 6 6 2 2 2 2" xfId="27921" xr:uid="{00000000-0005-0000-0000-0000B6990000}"/>
    <cellStyle name="Normal 3 6 6 2 2 2 2 2" xfId="55054" xr:uid="{00000000-0005-0000-0000-0000B7990000}"/>
    <cellStyle name="Normal 3 6 6 2 2 2 3" xfId="41492" xr:uid="{00000000-0005-0000-0000-0000B8990000}"/>
    <cellStyle name="Normal 3 6 6 2 2 3" xfId="21140" xr:uid="{00000000-0005-0000-0000-0000B9990000}"/>
    <cellStyle name="Normal 3 6 6 2 2 3 2" xfId="48273" xr:uid="{00000000-0005-0000-0000-0000BA990000}"/>
    <cellStyle name="Normal 3 6 6 2 2 4" xfId="34711" xr:uid="{00000000-0005-0000-0000-0000BB990000}"/>
    <cellStyle name="Normal 3 6 6 2 3" xfId="10964" xr:uid="{00000000-0005-0000-0000-0000BC990000}"/>
    <cellStyle name="Normal 3 6 6 2 3 2" xfId="24532" xr:uid="{00000000-0005-0000-0000-0000BD990000}"/>
    <cellStyle name="Normal 3 6 6 2 3 2 2" xfId="51665" xr:uid="{00000000-0005-0000-0000-0000BE990000}"/>
    <cellStyle name="Normal 3 6 6 2 3 3" xfId="38103" xr:uid="{00000000-0005-0000-0000-0000BF990000}"/>
    <cellStyle name="Normal 3 6 6 2 4" xfId="17751" xr:uid="{00000000-0005-0000-0000-0000C0990000}"/>
    <cellStyle name="Normal 3 6 6 2 4 2" xfId="44884" xr:uid="{00000000-0005-0000-0000-0000C1990000}"/>
    <cellStyle name="Normal 3 6 6 2 5" xfId="31322" xr:uid="{00000000-0005-0000-0000-0000C2990000}"/>
    <cellStyle name="Normal 3 6 6 3" xfId="7562" xr:uid="{00000000-0005-0000-0000-0000C3990000}"/>
    <cellStyle name="Normal 3 6 6 3 2" xfId="14352" xr:uid="{00000000-0005-0000-0000-0000C4990000}"/>
    <cellStyle name="Normal 3 6 6 3 2 2" xfId="27920" xr:uid="{00000000-0005-0000-0000-0000C5990000}"/>
    <cellStyle name="Normal 3 6 6 3 2 2 2" xfId="55053" xr:uid="{00000000-0005-0000-0000-0000C6990000}"/>
    <cellStyle name="Normal 3 6 6 3 2 3" xfId="41491" xr:uid="{00000000-0005-0000-0000-0000C7990000}"/>
    <cellStyle name="Normal 3 6 6 3 3" xfId="21139" xr:uid="{00000000-0005-0000-0000-0000C8990000}"/>
    <cellStyle name="Normal 3 6 6 3 3 2" xfId="48272" xr:uid="{00000000-0005-0000-0000-0000C9990000}"/>
    <cellStyle name="Normal 3 6 6 3 4" xfId="34710" xr:uid="{00000000-0005-0000-0000-0000CA990000}"/>
    <cellStyle name="Normal 3 6 6 4" xfId="10963" xr:uid="{00000000-0005-0000-0000-0000CB990000}"/>
    <cellStyle name="Normal 3 6 6 4 2" xfId="24531" xr:uid="{00000000-0005-0000-0000-0000CC990000}"/>
    <cellStyle name="Normal 3 6 6 4 2 2" xfId="51664" xr:uid="{00000000-0005-0000-0000-0000CD990000}"/>
    <cellStyle name="Normal 3 6 6 4 3" xfId="38102" xr:uid="{00000000-0005-0000-0000-0000CE990000}"/>
    <cellStyle name="Normal 3 6 6 5" xfId="17750" xr:uid="{00000000-0005-0000-0000-0000CF990000}"/>
    <cellStyle name="Normal 3 6 6 5 2" xfId="44883" xr:uid="{00000000-0005-0000-0000-0000D0990000}"/>
    <cellStyle name="Normal 3 6 6 6" xfId="31321" xr:uid="{00000000-0005-0000-0000-0000D1990000}"/>
    <cellStyle name="Normal 3 6 7" xfId="2751" xr:uid="{00000000-0005-0000-0000-0000D2990000}"/>
    <cellStyle name="Normal 3 6 7 2" xfId="2752" xr:uid="{00000000-0005-0000-0000-0000D3990000}"/>
    <cellStyle name="Normal 3 6 7 2 2" xfId="7565" xr:uid="{00000000-0005-0000-0000-0000D4990000}"/>
    <cellStyle name="Normal 3 6 7 2 2 2" xfId="14355" xr:uid="{00000000-0005-0000-0000-0000D5990000}"/>
    <cellStyle name="Normal 3 6 7 2 2 2 2" xfId="27923" xr:uid="{00000000-0005-0000-0000-0000D6990000}"/>
    <cellStyle name="Normal 3 6 7 2 2 2 2 2" xfId="55056" xr:uid="{00000000-0005-0000-0000-0000D7990000}"/>
    <cellStyle name="Normal 3 6 7 2 2 2 3" xfId="41494" xr:uid="{00000000-0005-0000-0000-0000D8990000}"/>
    <cellStyle name="Normal 3 6 7 2 2 3" xfId="21142" xr:uid="{00000000-0005-0000-0000-0000D9990000}"/>
    <cellStyle name="Normal 3 6 7 2 2 3 2" xfId="48275" xr:uid="{00000000-0005-0000-0000-0000DA990000}"/>
    <cellStyle name="Normal 3 6 7 2 2 4" xfId="34713" xr:uid="{00000000-0005-0000-0000-0000DB990000}"/>
    <cellStyle name="Normal 3 6 7 2 3" xfId="10966" xr:uid="{00000000-0005-0000-0000-0000DC990000}"/>
    <cellStyle name="Normal 3 6 7 2 3 2" xfId="24534" xr:uid="{00000000-0005-0000-0000-0000DD990000}"/>
    <cellStyle name="Normal 3 6 7 2 3 2 2" xfId="51667" xr:uid="{00000000-0005-0000-0000-0000DE990000}"/>
    <cellStyle name="Normal 3 6 7 2 3 3" xfId="38105" xr:uid="{00000000-0005-0000-0000-0000DF990000}"/>
    <cellStyle name="Normal 3 6 7 2 4" xfId="17753" xr:uid="{00000000-0005-0000-0000-0000E0990000}"/>
    <cellStyle name="Normal 3 6 7 2 4 2" xfId="44886" xr:uid="{00000000-0005-0000-0000-0000E1990000}"/>
    <cellStyle name="Normal 3 6 7 2 5" xfId="31324" xr:uid="{00000000-0005-0000-0000-0000E2990000}"/>
    <cellStyle name="Normal 3 6 7 3" xfId="7564" xr:uid="{00000000-0005-0000-0000-0000E3990000}"/>
    <cellStyle name="Normal 3 6 7 3 2" xfId="14354" xr:uid="{00000000-0005-0000-0000-0000E4990000}"/>
    <cellStyle name="Normal 3 6 7 3 2 2" xfId="27922" xr:uid="{00000000-0005-0000-0000-0000E5990000}"/>
    <cellStyle name="Normal 3 6 7 3 2 2 2" xfId="55055" xr:uid="{00000000-0005-0000-0000-0000E6990000}"/>
    <cellStyle name="Normal 3 6 7 3 2 3" xfId="41493" xr:uid="{00000000-0005-0000-0000-0000E7990000}"/>
    <cellStyle name="Normal 3 6 7 3 3" xfId="21141" xr:uid="{00000000-0005-0000-0000-0000E8990000}"/>
    <cellStyle name="Normal 3 6 7 3 3 2" xfId="48274" xr:uid="{00000000-0005-0000-0000-0000E9990000}"/>
    <cellStyle name="Normal 3 6 7 3 4" xfId="34712" xr:uid="{00000000-0005-0000-0000-0000EA990000}"/>
    <cellStyle name="Normal 3 6 7 4" xfId="10965" xr:uid="{00000000-0005-0000-0000-0000EB990000}"/>
    <cellStyle name="Normal 3 6 7 4 2" xfId="24533" xr:uid="{00000000-0005-0000-0000-0000EC990000}"/>
    <cellStyle name="Normal 3 6 7 4 2 2" xfId="51666" xr:uid="{00000000-0005-0000-0000-0000ED990000}"/>
    <cellStyle name="Normal 3 6 7 4 3" xfId="38104" xr:uid="{00000000-0005-0000-0000-0000EE990000}"/>
    <cellStyle name="Normal 3 6 7 5" xfId="17752" xr:uid="{00000000-0005-0000-0000-0000EF990000}"/>
    <cellStyle name="Normal 3 6 7 5 2" xfId="44885" xr:uid="{00000000-0005-0000-0000-0000F0990000}"/>
    <cellStyle name="Normal 3 6 7 6" xfId="31323" xr:uid="{00000000-0005-0000-0000-0000F1990000}"/>
    <cellStyle name="Normal 3 6 8" xfId="2753" xr:uid="{00000000-0005-0000-0000-0000F2990000}"/>
    <cellStyle name="Normal 3 6 8 2" xfId="2754" xr:uid="{00000000-0005-0000-0000-0000F3990000}"/>
    <cellStyle name="Normal 3 6 8 2 2" xfId="7567" xr:uid="{00000000-0005-0000-0000-0000F4990000}"/>
    <cellStyle name="Normal 3 6 8 2 2 2" xfId="14357" xr:uid="{00000000-0005-0000-0000-0000F5990000}"/>
    <cellStyle name="Normal 3 6 8 2 2 2 2" xfId="27925" xr:uid="{00000000-0005-0000-0000-0000F6990000}"/>
    <cellStyle name="Normal 3 6 8 2 2 2 2 2" xfId="55058" xr:uid="{00000000-0005-0000-0000-0000F7990000}"/>
    <cellStyle name="Normal 3 6 8 2 2 2 3" xfId="41496" xr:uid="{00000000-0005-0000-0000-0000F8990000}"/>
    <cellStyle name="Normal 3 6 8 2 2 3" xfId="21144" xr:uid="{00000000-0005-0000-0000-0000F9990000}"/>
    <cellStyle name="Normal 3 6 8 2 2 3 2" xfId="48277" xr:uid="{00000000-0005-0000-0000-0000FA990000}"/>
    <cellStyle name="Normal 3 6 8 2 2 4" xfId="34715" xr:uid="{00000000-0005-0000-0000-0000FB990000}"/>
    <cellStyle name="Normal 3 6 8 2 3" xfId="10968" xr:uid="{00000000-0005-0000-0000-0000FC990000}"/>
    <cellStyle name="Normal 3 6 8 2 3 2" xfId="24536" xr:uid="{00000000-0005-0000-0000-0000FD990000}"/>
    <cellStyle name="Normal 3 6 8 2 3 2 2" xfId="51669" xr:uid="{00000000-0005-0000-0000-0000FE990000}"/>
    <cellStyle name="Normal 3 6 8 2 3 3" xfId="38107" xr:uid="{00000000-0005-0000-0000-0000FF990000}"/>
    <cellStyle name="Normal 3 6 8 2 4" xfId="17755" xr:uid="{00000000-0005-0000-0000-0000009A0000}"/>
    <cellStyle name="Normal 3 6 8 2 4 2" xfId="44888" xr:uid="{00000000-0005-0000-0000-0000019A0000}"/>
    <cellStyle name="Normal 3 6 8 2 5" xfId="31326" xr:uid="{00000000-0005-0000-0000-0000029A0000}"/>
    <cellStyle name="Normal 3 6 8 3" xfId="7566" xr:uid="{00000000-0005-0000-0000-0000039A0000}"/>
    <cellStyle name="Normal 3 6 8 3 2" xfId="14356" xr:uid="{00000000-0005-0000-0000-0000049A0000}"/>
    <cellStyle name="Normal 3 6 8 3 2 2" xfId="27924" xr:uid="{00000000-0005-0000-0000-0000059A0000}"/>
    <cellStyle name="Normal 3 6 8 3 2 2 2" xfId="55057" xr:uid="{00000000-0005-0000-0000-0000069A0000}"/>
    <cellStyle name="Normal 3 6 8 3 2 3" xfId="41495" xr:uid="{00000000-0005-0000-0000-0000079A0000}"/>
    <cellStyle name="Normal 3 6 8 3 3" xfId="21143" xr:uid="{00000000-0005-0000-0000-0000089A0000}"/>
    <cellStyle name="Normal 3 6 8 3 3 2" xfId="48276" xr:uid="{00000000-0005-0000-0000-0000099A0000}"/>
    <cellStyle name="Normal 3 6 8 3 4" xfId="34714" xr:uid="{00000000-0005-0000-0000-00000A9A0000}"/>
    <cellStyle name="Normal 3 6 8 4" xfId="10967" xr:uid="{00000000-0005-0000-0000-00000B9A0000}"/>
    <cellStyle name="Normal 3 6 8 4 2" xfId="24535" xr:uid="{00000000-0005-0000-0000-00000C9A0000}"/>
    <cellStyle name="Normal 3 6 8 4 2 2" xfId="51668" xr:uid="{00000000-0005-0000-0000-00000D9A0000}"/>
    <cellStyle name="Normal 3 6 8 4 3" xfId="38106" xr:uid="{00000000-0005-0000-0000-00000E9A0000}"/>
    <cellStyle name="Normal 3 6 8 5" xfId="17754" xr:uid="{00000000-0005-0000-0000-00000F9A0000}"/>
    <cellStyle name="Normal 3 6 8 5 2" xfId="44887" xr:uid="{00000000-0005-0000-0000-0000109A0000}"/>
    <cellStyle name="Normal 3 6 8 6" xfId="31325" xr:uid="{00000000-0005-0000-0000-0000119A0000}"/>
    <cellStyle name="Normal 3 6 9" xfId="2755" xr:uid="{00000000-0005-0000-0000-0000129A0000}"/>
    <cellStyle name="Normal 3 6 9 2" xfId="7568" xr:uid="{00000000-0005-0000-0000-0000139A0000}"/>
    <cellStyle name="Normal 3 6 9 2 2" xfId="14358" xr:uid="{00000000-0005-0000-0000-0000149A0000}"/>
    <cellStyle name="Normal 3 6 9 2 2 2" xfId="27926" xr:uid="{00000000-0005-0000-0000-0000159A0000}"/>
    <cellStyle name="Normal 3 6 9 2 2 2 2" xfId="55059" xr:uid="{00000000-0005-0000-0000-0000169A0000}"/>
    <cellStyle name="Normal 3 6 9 2 2 3" xfId="41497" xr:uid="{00000000-0005-0000-0000-0000179A0000}"/>
    <cellStyle name="Normal 3 6 9 2 3" xfId="21145" xr:uid="{00000000-0005-0000-0000-0000189A0000}"/>
    <cellStyle name="Normal 3 6 9 2 3 2" xfId="48278" xr:uid="{00000000-0005-0000-0000-0000199A0000}"/>
    <cellStyle name="Normal 3 6 9 2 4" xfId="34716" xr:uid="{00000000-0005-0000-0000-00001A9A0000}"/>
    <cellStyle name="Normal 3 6 9 3" xfId="10969" xr:uid="{00000000-0005-0000-0000-00001B9A0000}"/>
    <cellStyle name="Normal 3 6 9 3 2" xfId="24537" xr:uid="{00000000-0005-0000-0000-00001C9A0000}"/>
    <cellStyle name="Normal 3 6 9 3 2 2" xfId="51670" xr:uid="{00000000-0005-0000-0000-00001D9A0000}"/>
    <cellStyle name="Normal 3 6 9 3 3" xfId="38108" xr:uid="{00000000-0005-0000-0000-00001E9A0000}"/>
    <cellStyle name="Normal 3 6 9 4" xfId="17756" xr:uid="{00000000-0005-0000-0000-00001F9A0000}"/>
    <cellStyle name="Normal 3 6 9 4 2" xfId="44889" xr:uid="{00000000-0005-0000-0000-0000209A0000}"/>
    <cellStyle name="Normal 3 6 9 5" xfId="31327" xr:uid="{00000000-0005-0000-0000-0000219A0000}"/>
    <cellStyle name="Normal 3 7" xfId="2756" xr:uid="{00000000-0005-0000-0000-0000229A0000}"/>
    <cellStyle name="Normal 3 7 10" xfId="7569" xr:uid="{00000000-0005-0000-0000-0000239A0000}"/>
    <cellStyle name="Normal 3 7 10 2" xfId="14359" xr:uid="{00000000-0005-0000-0000-0000249A0000}"/>
    <cellStyle name="Normal 3 7 10 2 2" xfId="27927" xr:uid="{00000000-0005-0000-0000-0000259A0000}"/>
    <cellStyle name="Normal 3 7 10 2 2 2" xfId="55060" xr:uid="{00000000-0005-0000-0000-0000269A0000}"/>
    <cellStyle name="Normal 3 7 10 2 3" xfId="41498" xr:uid="{00000000-0005-0000-0000-0000279A0000}"/>
    <cellStyle name="Normal 3 7 10 3" xfId="21146" xr:uid="{00000000-0005-0000-0000-0000289A0000}"/>
    <cellStyle name="Normal 3 7 10 3 2" xfId="48279" xr:uid="{00000000-0005-0000-0000-0000299A0000}"/>
    <cellStyle name="Normal 3 7 10 4" xfId="34717" xr:uid="{00000000-0005-0000-0000-00002A9A0000}"/>
    <cellStyle name="Normal 3 7 11" xfId="10970" xr:uid="{00000000-0005-0000-0000-00002B9A0000}"/>
    <cellStyle name="Normal 3 7 11 2" xfId="24538" xr:uid="{00000000-0005-0000-0000-00002C9A0000}"/>
    <cellStyle name="Normal 3 7 11 2 2" xfId="51671" xr:uid="{00000000-0005-0000-0000-00002D9A0000}"/>
    <cellStyle name="Normal 3 7 11 3" xfId="38109" xr:uid="{00000000-0005-0000-0000-00002E9A0000}"/>
    <cellStyle name="Normal 3 7 12" xfId="17757" xr:uid="{00000000-0005-0000-0000-00002F9A0000}"/>
    <cellStyle name="Normal 3 7 12 2" xfId="44890" xr:uid="{00000000-0005-0000-0000-0000309A0000}"/>
    <cellStyle name="Normal 3 7 13" xfId="31328" xr:uid="{00000000-0005-0000-0000-0000319A0000}"/>
    <cellStyle name="Normal 3 7 2" xfId="2757" xr:uid="{00000000-0005-0000-0000-0000329A0000}"/>
    <cellStyle name="Normal 3 7 2 10" xfId="31329" xr:uid="{00000000-0005-0000-0000-0000339A0000}"/>
    <cellStyle name="Normal 3 7 2 2" xfId="6152" xr:uid="{00000000-0005-0000-0000-0000349A0000}"/>
    <cellStyle name="Normal 3 7 2 2 2" xfId="6153" xr:uid="{00000000-0005-0000-0000-0000359A0000}"/>
    <cellStyle name="Normal 3 7 2 2 2 2" xfId="6154" xr:uid="{00000000-0005-0000-0000-0000369A0000}"/>
    <cellStyle name="Normal 3 7 2 2 2 2 2" xfId="9697" xr:uid="{00000000-0005-0000-0000-0000379A0000}"/>
    <cellStyle name="Normal 3 7 2 2 2 2 2 2" xfId="16487" xr:uid="{00000000-0005-0000-0000-0000389A0000}"/>
    <cellStyle name="Normal 3 7 2 2 2 2 2 2 2" xfId="30055" xr:uid="{00000000-0005-0000-0000-0000399A0000}"/>
    <cellStyle name="Normal 3 7 2 2 2 2 2 2 2 2" xfId="57188" xr:uid="{00000000-0005-0000-0000-00003A9A0000}"/>
    <cellStyle name="Normal 3 7 2 2 2 2 2 2 3" xfId="43626" xr:uid="{00000000-0005-0000-0000-00003B9A0000}"/>
    <cellStyle name="Normal 3 7 2 2 2 2 2 3" xfId="23274" xr:uid="{00000000-0005-0000-0000-00003C9A0000}"/>
    <cellStyle name="Normal 3 7 2 2 2 2 2 3 2" xfId="50407" xr:uid="{00000000-0005-0000-0000-00003D9A0000}"/>
    <cellStyle name="Normal 3 7 2 2 2 2 2 4" xfId="36845" xr:uid="{00000000-0005-0000-0000-00003E9A0000}"/>
    <cellStyle name="Normal 3 7 2 2 2 2 3" xfId="13098" xr:uid="{00000000-0005-0000-0000-00003F9A0000}"/>
    <cellStyle name="Normal 3 7 2 2 2 2 3 2" xfId="26666" xr:uid="{00000000-0005-0000-0000-0000409A0000}"/>
    <cellStyle name="Normal 3 7 2 2 2 2 3 2 2" xfId="53799" xr:uid="{00000000-0005-0000-0000-0000419A0000}"/>
    <cellStyle name="Normal 3 7 2 2 2 2 3 3" xfId="40237" xr:uid="{00000000-0005-0000-0000-0000429A0000}"/>
    <cellStyle name="Normal 3 7 2 2 2 2 4" xfId="19885" xr:uid="{00000000-0005-0000-0000-0000439A0000}"/>
    <cellStyle name="Normal 3 7 2 2 2 2 4 2" xfId="47018" xr:uid="{00000000-0005-0000-0000-0000449A0000}"/>
    <cellStyle name="Normal 3 7 2 2 2 2 5" xfId="33456" xr:uid="{00000000-0005-0000-0000-0000459A0000}"/>
    <cellStyle name="Normal 3 7 2 2 2 3" xfId="6155" xr:uid="{00000000-0005-0000-0000-0000469A0000}"/>
    <cellStyle name="Normal 3 7 2 2 2 3 2" xfId="9698" xr:uid="{00000000-0005-0000-0000-0000479A0000}"/>
    <cellStyle name="Normal 3 7 2 2 2 3 2 2" xfId="16488" xr:uid="{00000000-0005-0000-0000-0000489A0000}"/>
    <cellStyle name="Normal 3 7 2 2 2 3 2 2 2" xfId="30056" xr:uid="{00000000-0005-0000-0000-0000499A0000}"/>
    <cellStyle name="Normal 3 7 2 2 2 3 2 2 2 2" xfId="57189" xr:uid="{00000000-0005-0000-0000-00004A9A0000}"/>
    <cellStyle name="Normal 3 7 2 2 2 3 2 2 3" xfId="43627" xr:uid="{00000000-0005-0000-0000-00004B9A0000}"/>
    <cellStyle name="Normal 3 7 2 2 2 3 2 3" xfId="23275" xr:uid="{00000000-0005-0000-0000-00004C9A0000}"/>
    <cellStyle name="Normal 3 7 2 2 2 3 2 3 2" xfId="50408" xr:uid="{00000000-0005-0000-0000-00004D9A0000}"/>
    <cellStyle name="Normal 3 7 2 2 2 3 2 4" xfId="36846" xr:uid="{00000000-0005-0000-0000-00004E9A0000}"/>
    <cellStyle name="Normal 3 7 2 2 2 3 3" xfId="13099" xr:uid="{00000000-0005-0000-0000-00004F9A0000}"/>
    <cellStyle name="Normal 3 7 2 2 2 3 3 2" xfId="26667" xr:uid="{00000000-0005-0000-0000-0000509A0000}"/>
    <cellStyle name="Normal 3 7 2 2 2 3 3 2 2" xfId="53800" xr:uid="{00000000-0005-0000-0000-0000519A0000}"/>
    <cellStyle name="Normal 3 7 2 2 2 3 3 3" xfId="40238" xr:uid="{00000000-0005-0000-0000-0000529A0000}"/>
    <cellStyle name="Normal 3 7 2 2 2 3 4" xfId="19886" xr:uid="{00000000-0005-0000-0000-0000539A0000}"/>
    <cellStyle name="Normal 3 7 2 2 2 3 4 2" xfId="47019" xr:uid="{00000000-0005-0000-0000-0000549A0000}"/>
    <cellStyle name="Normal 3 7 2 2 2 3 5" xfId="33457" xr:uid="{00000000-0005-0000-0000-0000559A0000}"/>
    <cellStyle name="Normal 3 7 2 2 2 4" xfId="9696" xr:uid="{00000000-0005-0000-0000-0000569A0000}"/>
    <cellStyle name="Normal 3 7 2 2 2 4 2" xfId="16486" xr:uid="{00000000-0005-0000-0000-0000579A0000}"/>
    <cellStyle name="Normal 3 7 2 2 2 4 2 2" xfId="30054" xr:uid="{00000000-0005-0000-0000-0000589A0000}"/>
    <cellStyle name="Normal 3 7 2 2 2 4 2 2 2" xfId="57187" xr:uid="{00000000-0005-0000-0000-0000599A0000}"/>
    <cellStyle name="Normal 3 7 2 2 2 4 2 3" xfId="43625" xr:uid="{00000000-0005-0000-0000-00005A9A0000}"/>
    <cellStyle name="Normal 3 7 2 2 2 4 3" xfId="23273" xr:uid="{00000000-0005-0000-0000-00005B9A0000}"/>
    <cellStyle name="Normal 3 7 2 2 2 4 3 2" xfId="50406" xr:uid="{00000000-0005-0000-0000-00005C9A0000}"/>
    <cellStyle name="Normal 3 7 2 2 2 4 4" xfId="36844" xr:uid="{00000000-0005-0000-0000-00005D9A0000}"/>
    <cellStyle name="Normal 3 7 2 2 2 5" xfId="13097" xr:uid="{00000000-0005-0000-0000-00005E9A0000}"/>
    <cellStyle name="Normal 3 7 2 2 2 5 2" xfId="26665" xr:uid="{00000000-0005-0000-0000-00005F9A0000}"/>
    <cellStyle name="Normal 3 7 2 2 2 5 2 2" xfId="53798" xr:uid="{00000000-0005-0000-0000-0000609A0000}"/>
    <cellStyle name="Normal 3 7 2 2 2 5 3" xfId="40236" xr:uid="{00000000-0005-0000-0000-0000619A0000}"/>
    <cellStyle name="Normal 3 7 2 2 2 6" xfId="19884" xr:uid="{00000000-0005-0000-0000-0000629A0000}"/>
    <cellStyle name="Normal 3 7 2 2 2 6 2" xfId="47017" xr:uid="{00000000-0005-0000-0000-0000639A0000}"/>
    <cellStyle name="Normal 3 7 2 2 2 7" xfId="33455" xr:uid="{00000000-0005-0000-0000-0000649A0000}"/>
    <cellStyle name="Normal 3 7 2 2 3" xfId="6156" xr:uid="{00000000-0005-0000-0000-0000659A0000}"/>
    <cellStyle name="Normal 3 7 2 2 3 2" xfId="6157" xr:uid="{00000000-0005-0000-0000-0000669A0000}"/>
    <cellStyle name="Normal 3 7 2 2 3 2 2" xfId="9700" xr:uid="{00000000-0005-0000-0000-0000679A0000}"/>
    <cellStyle name="Normal 3 7 2 2 3 2 2 2" xfId="16490" xr:uid="{00000000-0005-0000-0000-0000689A0000}"/>
    <cellStyle name="Normal 3 7 2 2 3 2 2 2 2" xfId="30058" xr:uid="{00000000-0005-0000-0000-0000699A0000}"/>
    <cellStyle name="Normal 3 7 2 2 3 2 2 2 2 2" xfId="57191" xr:uid="{00000000-0005-0000-0000-00006A9A0000}"/>
    <cellStyle name="Normal 3 7 2 2 3 2 2 2 3" xfId="43629" xr:uid="{00000000-0005-0000-0000-00006B9A0000}"/>
    <cellStyle name="Normal 3 7 2 2 3 2 2 3" xfId="23277" xr:uid="{00000000-0005-0000-0000-00006C9A0000}"/>
    <cellStyle name="Normal 3 7 2 2 3 2 2 3 2" xfId="50410" xr:uid="{00000000-0005-0000-0000-00006D9A0000}"/>
    <cellStyle name="Normal 3 7 2 2 3 2 2 4" xfId="36848" xr:uid="{00000000-0005-0000-0000-00006E9A0000}"/>
    <cellStyle name="Normal 3 7 2 2 3 2 3" xfId="13101" xr:uid="{00000000-0005-0000-0000-00006F9A0000}"/>
    <cellStyle name="Normal 3 7 2 2 3 2 3 2" xfId="26669" xr:uid="{00000000-0005-0000-0000-0000709A0000}"/>
    <cellStyle name="Normal 3 7 2 2 3 2 3 2 2" xfId="53802" xr:uid="{00000000-0005-0000-0000-0000719A0000}"/>
    <cellStyle name="Normal 3 7 2 2 3 2 3 3" xfId="40240" xr:uid="{00000000-0005-0000-0000-0000729A0000}"/>
    <cellStyle name="Normal 3 7 2 2 3 2 4" xfId="19888" xr:uid="{00000000-0005-0000-0000-0000739A0000}"/>
    <cellStyle name="Normal 3 7 2 2 3 2 4 2" xfId="47021" xr:uid="{00000000-0005-0000-0000-0000749A0000}"/>
    <cellStyle name="Normal 3 7 2 2 3 2 5" xfId="33459" xr:uid="{00000000-0005-0000-0000-0000759A0000}"/>
    <cellStyle name="Normal 3 7 2 2 3 3" xfId="9699" xr:uid="{00000000-0005-0000-0000-0000769A0000}"/>
    <cellStyle name="Normal 3 7 2 2 3 3 2" xfId="16489" xr:uid="{00000000-0005-0000-0000-0000779A0000}"/>
    <cellStyle name="Normal 3 7 2 2 3 3 2 2" xfId="30057" xr:uid="{00000000-0005-0000-0000-0000789A0000}"/>
    <cellStyle name="Normal 3 7 2 2 3 3 2 2 2" xfId="57190" xr:uid="{00000000-0005-0000-0000-0000799A0000}"/>
    <cellStyle name="Normal 3 7 2 2 3 3 2 3" xfId="43628" xr:uid="{00000000-0005-0000-0000-00007A9A0000}"/>
    <cellStyle name="Normal 3 7 2 2 3 3 3" xfId="23276" xr:uid="{00000000-0005-0000-0000-00007B9A0000}"/>
    <cellStyle name="Normal 3 7 2 2 3 3 3 2" xfId="50409" xr:uid="{00000000-0005-0000-0000-00007C9A0000}"/>
    <cellStyle name="Normal 3 7 2 2 3 3 4" xfId="36847" xr:uid="{00000000-0005-0000-0000-00007D9A0000}"/>
    <cellStyle name="Normal 3 7 2 2 3 4" xfId="13100" xr:uid="{00000000-0005-0000-0000-00007E9A0000}"/>
    <cellStyle name="Normal 3 7 2 2 3 4 2" xfId="26668" xr:uid="{00000000-0005-0000-0000-00007F9A0000}"/>
    <cellStyle name="Normal 3 7 2 2 3 4 2 2" xfId="53801" xr:uid="{00000000-0005-0000-0000-0000809A0000}"/>
    <cellStyle name="Normal 3 7 2 2 3 4 3" xfId="40239" xr:uid="{00000000-0005-0000-0000-0000819A0000}"/>
    <cellStyle name="Normal 3 7 2 2 3 5" xfId="19887" xr:uid="{00000000-0005-0000-0000-0000829A0000}"/>
    <cellStyle name="Normal 3 7 2 2 3 5 2" xfId="47020" xr:uid="{00000000-0005-0000-0000-0000839A0000}"/>
    <cellStyle name="Normal 3 7 2 2 3 6" xfId="33458" xr:uid="{00000000-0005-0000-0000-0000849A0000}"/>
    <cellStyle name="Normal 3 7 2 2 4" xfId="6158" xr:uid="{00000000-0005-0000-0000-0000859A0000}"/>
    <cellStyle name="Normal 3 7 2 2 4 2" xfId="9701" xr:uid="{00000000-0005-0000-0000-0000869A0000}"/>
    <cellStyle name="Normal 3 7 2 2 4 2 2" xfId="16491" xr:uid="{00000000-0005-0000-0000-0000879A0000}"/>
    <cellStyle name="Normal 3 7 2 2 4 2 2 2" xfId="30059" xr:uid="{00000000-0005-0000-0000-0000889A0000}"/>
    <cellStyle name="Normal 3 7 2 2 4 2 2 2 2" xfId="57192" xr:uid="{00000000-0005-0000-0000-0000899A0000}"/>
    <cellStyle name="Normal 3 7 2 2 4 2 2 3" xfId="43630" xr:uid="{00000000-0005-0000-0000-00008A9A0000}"/>
    <cellStyle name="Normal 3 7 2 2 4 2 3" xfId="23278" xr:uid="{00000000-0005-0000-0000-00008B9A0000}"/>
    <cellStyle name="Normal 3 7 2 2 4 2 3 2" xfId="50411" xr:uid="{00000000-0005-0000-0000-00008C9A0000}"/>
    <cellStyle name="Normal 3 7 2 2 4 2 4" xfId="36849" xr:uid="{00000000-0005-0000-0000-00008D9A0000}"/>
    <cellStyle name="Normal 3 7 2 2 4 3" xfId="13102" xr:uid="{00000000-0005-0000-0000-00008E9A0000}"/>
    <cellStyle name="Normal 3 7 2 2 4 3 2" xfId="26670" xr:uid="{00000000-0005-0000-0000-00008F9A0000}"/>
    <cellStyle name="Normal 3 7 2 2 4 3 2 2" xfId="53803" xr:uid="{00000000-0005-0000-0000-0000909A0000}"/>
    <cellStyle name="Normal 3 7 2 2 4 3 3" xfId="40241" xr:uid="{00000000-0005-0000-0000-0000919A0000}"/>
    <cellStyle name="Normal 3 7 2 2 4 4" xfId="19889" xr:uid="{00000000-0005-0000-0000-0000929A0000}"/>
    <cellStyle name="Normal 3 7 2 2 4 4 2" xfId="47022" xr:uid="{00000000-0005-0000-0000-0000939A0000}"/>
    <cellStyle name="Normal 3 7 2 2 4 5" xfId="33460" xr:uid="{00000000-0005-0000-0000-0000949A0000}"/>
    <cellStyle name="Normal 3 7 2 2 5" xfId="6159" xr:uid="{00000000-0005-0000-0000-0000959A0000}"/>
    <cellStyle name="Normal 3 7 2 2 5 2" xfId="9702" xr:uid="{00000000-0005-0000-0000-0000969A0000}"/>
    <cellStyle name="Normal 3 7 2 2 5 2 2" xfId="16492" xr:uid="{00000000-0005-0000-0000-0000979A0000}"/>
    <cellStyle name="Normal 3 7 2 2 5 2 2 2" xfId="30060" xr:uid="{00000000-0005-0000-0000-0000989A0000}"/>
    <cellStyle name="Normal 3 7 2 2 5 2 2 2 2" xfId="57193" xr:uid="{00000000-0005-0000-0000-0000999A0000}"/>
    <cellStyle name="Normal 3 7 2 2 5 2 2 3" xfId="43631" xr:uid="{00000000-0005-0000-0000-00009A9A0000}"/>
    <cellStyle name="Normal 3 7 2 2 5 2 3" xfId="23279" xr:uid="{00000000-0005-0000-0000-00009B9A0000}"/>
    <cellStyle name="Normal 3 7 2 2 5 2 3 2" xfId="50412" xr:uid="{00000000-0005-0000-0000-00009C9A0000}"/>
    <cellStyle name="Normal 3 7 2 2 5 2 4" xfId="36850" xr:uid="{00000000-0005-0000-0000-00009D9A0000}"/>
    <cellStyle name="Normal 3 7 2 2 5 3" xfId="13103" xr:uid="{00000000-0005-0000-0000-00009E9A0000}"/>
    <cellStyle name="Normal 3 7 2 2 5 3 2" xfId="26671" xr:uid="{00000000-0005-0000-0000-00009F9A0000}"/>
    <cellStyle name="Normal 3 7 2 2 5 3 2 2" xfId="53804" xr:uid="{00000000-0005-0000-0000-0000A09A0000}"/>
    <cellStyle name="Normal 3 7 2 2 5 3 3" xfId="40242" xr:uid="{00000000-0005-0000-0000-0000A19A0000}"/>
    <cellStyle name="Normal 3 7 2 2 5 4" xfId="19890" xr:uid="{00000000-0005-0000-0000-0000A29A0000}"/>
    <cellStyle name="Normal 3 7 2 2 5 4 2" xfId="47023" xr:uid="{00000000-0005-0000-0000-0000A39A0000}"/>
    <cellStyle name="Normal 3 7 2 2 5 5" xfId="33461" xr:uid="{00000000-0005-0000-0000-0000A49A0000}"/>
    <cellStyle name="Normal 3 7 2 2 6" xfId="9695" xr:uid="{00000000-0005-0000-0000-0000A59A0000}"/>
    <cellStyle name="Normal 3 7 2 2 6 2" xfId="16485" xr:uid="{00000000-0005-0000-0000-0000A69A0000}"/>
    <cellStyle name="Normal 3 7 2 2 6 2 2" xfId="30053" xr:uid="{00000000-0005-0000-0000-0000A79A0000}"/>
    <cellStyle name="Normal 3 7 2 2 6 2 2 2" xfId="57186" xr:uid="{00000000-0005-0000-0000-0000A89A0000}"/>
    <cellStyle name="Normal 3 7 2 2 6 2 3" xfId="43624" xr:uid="{00000000-0005-0000-0000-0000A99A0000}"/>
    <cellStyle name="Normal 3 7 2 2 6 3" xfId="23272" xr:uid="{00000000-0005-0000-0000-0000AA9A0000}"/>
    <cellStyle name="Normal 3 7 2 2 6 3 2" xfId="50405" xr:uid="{00000000-0005-0000-0000-0000AB9A0000}"/>
    <cellStyle name="Normal 3 7 2 2 6 4" xfId="36843" xr:uid="{00000000-0005-0000-0000-0000AC9A0000}"/>
    <cellStyle name="Normal 3 7 2 2 7" xfId="13096" xr:uid="{00000000-0005-0000-0000-0000AD9A0000}"/>
    <cellStyle name="Normal 3 7 2 2 7 2" xfId="26664" xr:uid="{00000000-0005-0000-0000-0000AE9A0000}"/>
    <cellStyle name="Normal 3 7 2 2 7 2 2" xfId="53797" xr:uid="{00000000-0005-0000-0000-0000AF9A0000}"/>
    <cellStyle name="Normal 3 7 2 2 7 3" xfId="40235" xr:uid="{00000000-0005-0000-0000-0000B09A0000}"/>
    <cellStyle name="Normal 3 7 2 2 8" xfId="19883" xr:uid="{00000000-0005-0000-0000-0000B19A0000}"/>
    <cellStyle name="Normal 3 7 2 2 8 2" xfId="47016" xr:uid="{00000000-0005-0000-0000-0000B29A0000}"/>
    <cellStyle name="Normal 3 7 2 2 9" xfId="33454" xr:uid="{00000000-0005-0000-0000-0000B39A0000}"/>
    <cellStyle name="Normal 3 7 2 3" xfId="6160" xr:uid="{00000000-0005-0000-0000-0000B49A0000}"/>
    <cellStyle name="Normal 3 7 2 3 2" xfId="6161" xr:uid="{00000000-0005-0000-0000-0000B59A0000}"/>
    <cellStyle name="Normal 3 7 2 3 2 2" xfId="9704" xr:uid="{00000000-0005-0000-0000-0000B69A0000}"/>
    <cellStyle name="Normal 3 7 2 3 2 2 2" xfId="16494" xr:uid="{00000000-0005-0000-0000-0000B79A0000}"/>
    <cellStyle name="Normal 3 7 2 3 2 2 2 2" xfId="30062" xr:uid="{00000000-0005-0000-0000-0000B89A0000}"/>
    <cellStyle name="Normal 3 7 2 3 2 2 2 2 2" xfId="57195" xr:uid="{00000000-0005-0000-0000-0000B99A0000}"/>
    <cellStyle name="Normal 3 7 2 3 2 2 2 3" xfId="43633" xr:uid="{00000000-0005-0000-0000-0000BA9A0000}"/>
    <cellStyle name="Normal 3 7 2 3 2 2 3" xfId="23281" xr:uid="{00000000-0005-0000-0000-0000BB9A0000}"/>
    <cellStyle name="Normal 3 7 2 3 2 2 3 2" xfId="50414" xr:uid="{00000000-0005-0000-0000-0000BC9A0000}"/>
    <cellStyle name="Normal 3 7 2 3 2 2 4" xfId="36852" xr:uid="{00000000-0005-0000-0000-0000BD9A0000}"/>
    <cellStyle name="Normal 3 7 2 3 2 3" xfId="13105" xr:uid="{00000000-0005-0000-0000-0000BE9A0000}"/>
    <cellStyle name="Normal 3 7 2 3 2 3 2" xfId="26673" xr:uid="{00000000-0005-0000-0000-0000BF9A0000}"/>
    <cellStyle name="Normal 3 7 2 3 2 3 2 2" xfId="53806" xr:uid="{00000000-0005-0000-0000-0000C09A0000}"/>
    <cellStyle name="Normal 3 7 2 3 2 3 3" xfId="40244" xr:uid="{00000000-0005-0000-0000-0000C19A0000}"/>
    <cellStyle name="Normal 3 7 2 3 2 4" xfId="19892" xr:uid="{00000000-0005-0000-0000-0000C29A0000}"/>
    <cellStyle name="Normal 3 7 2 3 2 4 2" xfId="47025" xr:uid="{00000000-0005-0000-0000-0000C39A0000}"/>
    <cellStyle name="Normal 3 7 2 3 2 5" xfId="33463" xr:uid="{00000000-0005-0000-0000-0000C49A0000}"/>
    <cellStyle name="Normal 3 7 2 3 3" xfId="6162" xr:uid="{00000000-0005-0000-0000-0000C59A0000}"/>
    <cellStyle name="Normal 3 7 2 3 3 2" xfId="9705" xr:uid="{00000000-0005-0000-0000-0000C69A0000}"/>
    <cellStyle name="Normal 3 7 2 3 3 2 2" xfId="16495" xr:uid="{00000000-0005-0000-0000-0000C79A0000}"/>
    <cellStyle name="Normal 3 7 2 3 3 2 2 2" xfId="30063" xr:uid="{00000000-0005-0000-0000-0000C89A0000}"/>
    <cellStyle name="Normal 3 7 2 3 3 2 2 2 2" xfId="57196" xr:uid="{00000000-0005-0000-0000-0000C99A0000}"/>
    <cellStyle name="Normal 3 7 2 3 3 2 2 3" xfId="43634" xr:uid="{00000000-0005-0000-0000-0000CA9A0000}"/>
    <cellStyle name="Normal 3 7 2 3 3 2 3" xfId="23282" xr:uid="{00000000-0005-0000-0000-0000CB9A0000}"/>
    <cellStyle name="Normal 3 7 2 3 3 2 3 2" xfId="50415" xr:uid="{00000000-0005-0000-0000-0000CC9A0000}"/>
    <cellStyle name="Normal 3 7 2 3 3 2 4" xfId="36853" xr:uid="{00000000-0005-0000-0000-0000CD9A0000}"/>
    <cellStyle name="Normal 3 7 2 3 3 3" xfId="13106" xr:uid="{00000000-0005-0000-0000-0000CE9A0000}"/>
    <cellStyle name="Normal 3 7 2 3 3 3 2" xfId="26674" xr:uid="{00000000-0005-0000-0000-0000CF9A0000}"/>
    <cellStyle name="Normal 3 7 2 3 3 3 2 2" xfId="53807" xr:uid="{00000000-0005-0000-0000-0000D09A0000}"/>
    <cellStyle name="Normal 3 7 2 3 3 3 3" xfId="40245" xr:uid="{00000000-0005-0000-0000-0000D19A0000}"/>
    <cellStyle name="Normal 3 7 2 3 3 4" xfId="19893" xr:uid="{00000000-0005-0000-0000-0000D29A0000}"/>
    <cellStyle name="Normal 3 7 2 3 3 4 2" xfId="47026" xr:uid="{00000000-0005-0000-0000-0000D39A0000}"/>
    <cellStyle name="Normal 3 7 2 3 3 5" xfId="33464" xr:uid="{00000000-0005-0000-0000-0000D49A0000}"/>
    <cellStyle name="Normal 3 7 2 3 4" xfId="9703" xr:uid="{00000000-0005-0000-0000-0000D59A0000}"/>
    <cellStyle name="Normal 3 7 2 3 4 2" xfId="16493" xr:uid="{00000000-0005-0000-0000-0000D69A0000}"/>
    <cellStyle name="Normal 3 7 2 3 4 2 2" xfId="30061" xr:uid="{00000000-0005-0000-0000-0000D79A0000}"/>
    <cellStyle name="Normal 3 7 2 3 4 2 2 2" xfId="57194" xr:uid="{00000000-0005-0000-0000-0000D89A0000}"/>
    <cellStyle name="Normal 3 7 2 3 4 2 3" xfId="43632" xr:uid="{00000000-0005-0000-0000-0000D99A0000}"/>
    <cellStyle name="Normal 3 7 2 3 4 3" xfId="23280" xr:uid="{00000000-0005-0000-0000-0000DA9A0000}"/>
    <cellStyle name="Normal 3 7 2 3 4 3 2" xfId="50413" xr:uid="{00000000-0005-0000-0000-0000DB9A0000}"/>
    <cellStyle name="Normal 3 7 2 3 4 4" xfId="36851" xr:uid="{00000000-0005-0000-0000-0000DC9A0000}"/>
    <cellStyle name="Normal 3 7 2 3 5" xfId="13104" xr:uid="{00000000-0005-0000-0000-0000DD9A0000}"/>
    <cellStyle name="Normal 3 7 2 3 5 2" xfId="26672" xr:uid="{00000000-0005-0000-0000-0000DE9A0000}"/>
    <cellStyle name="Normal 3 7 2 3 5 2 2" xfId="53805" xr:uid="{00000000-0005-0000-0000-0000DF9A0000}"/>
    <cellStyle name="Normal 3 7 2 3 5 3" xfId="40243" xr:uid="{00000000-0005-0000-0000-0000E09A0000}"/>
    <cellStyle name="Normal 3 7 2 3 6" xfId="19891" xr:uid="{00000000-0005-0000-0000-0000E19A0000}"/>
    <cellStyle name="Normal 3 7 2 3 6 2" xfId="47024" xr:uid="{00000000-0005-0000-0000-0000E29A0000}"/>
    <cellStyle name="Normal 3 7 2 3 7" xfId="33462" xr:uid="{00000000-0005-0000-0000-0000E39A0000}"/>
    <cellStyle name="Normal 3 7 2 4" xfId="6163" xr:uid="{00000000-0005-0000-0000-0000E49A0000}"/>
    <cellStyle name="Normal 3 7 2 4 2" xfId="6164" xr:uid="{00000000-0005-0000-0000-0000E59A0000}"/>
    <cellStyle name="Normal 3 7 2 4 2 2" xfId="9707" xr:uid="{00000000-0005-0000-0000-0000E69A0000}"/>
    <cellStyle name="Normal 3 7 2 4 2 2 2" xfId="16497" xr:uid="{00000000-0005-0000-0000-0000E79A0000}"/>
    <cellStyle name="Normal 3 7 2 4 2 2 2 2" xfId="30065" xr:uid="{00000000-0005-0000-0000-0000E89A0000}"/>
    <cellStyle name="Normal 3 7 2 4 2 2 2 2 2" xfId="57198" xr:uid="{00000000-0005-0000-0000-0000E99A0000}"/>
    <cellStyle name="Normal 3 7 2 4 2 2 2 3" xfId="43636" xr:uid="{00000000-0005-0000-0000-0000EA9A0000}"/>
    <cellStyle name="Normal 3 7 2 4 2 2 3" xfId="23284" xr:uid="{00000000-0005-0000-0000-0000EB9A0000}"/>
    <cellStyle name="Normal 3 7 2 4 2 2 3 2" xfId="50417" xr:uid="{00000000-0005-0000-0000-0000EC9A0000}"/>
    <cellStyle name="Normal 3 7 2 4 2 2 4" xfId="36855" xr:uid="{00000000-0005-0000-0000-0000ED9A0000}"/>
    <cellStyle name="Normal 3 7 2 4 2 3" xfId="13108" xr:uid="{00000000-0005-0000-0000-0000EE9A0000}"/>
    <cellStyle name="Normal 3 7 2 4 2 3 2" xfId="26676" xr:uid="{00000000-0005-0000-0000-0000EF9A0000}"/>
    <cellStyle name="Normal 3 7 2 4 2 3 2 2" xfId="53809" xr:uid="{00000000-0005-0000-0000-0000F09A0000}"/>
    <cellStyle name="Normal 3 7 2 4 2 3 3" xfId="40247" xr:uid="{00000000-0005-0000-0000-0000F19A0000}"/>
    <cellStyle name="Normal 3 7 2 4 2 4" xfId="19895" xr:uid="{00000000-0005-0000-0000-0000F29A0000}"/>
    <cellStyle name="Normal 3 7 2 4 2 4 2" xfId="47028" xr:uid="{00000000-0005-0000-0000-0000F39A0000}"/>
    <cellStyle name="Normal 3 7 2 4 2 5" xfId="33466" xr:uid="{00000000-0005-0000-0000-0000F49A0000}"/>
    <cellStyle name="Normal 3 7 2 4 3" xfId="9706" xr:uid="{00000000-0005-0000-0000-0000F59A0000}"/>
    <cellStyle name="Normal 3 7 2 4 3 2" xfId="16496" xr:uid="{00000000-0005-0000-0000-0000F69A0000}"/>
    <cellStyle name="Normal 3 7 2 4 3 2 2" xfId="30064" xr:uid="{00000000-0005-0000-0000-0000F79A0000}"/>
    <cellStyle name="Normal 3 7 2 4 3 2 2 2" xfId="57197" xr:uid="{00000000-0005-0000-0000-0000F89A0000}"/>
    <cellStyle name="Normal 3 7 2 4 3 2 3" xfId="43635" xr:uid="{00000000-0005-0000-0000-0000F99A0000}"/>
    <cellStyle name="Normal 3 7 2 4 3 3" xfId="23283" xr:uid="{00000000-0005-0000-0000-0000FA9A0000}"/>
    <cellStyle name="Normal 3 7 2 4 3 3 2" xfId="50416" xr:uid="{00000000-0005-0000-0000-0000FB9A0000}"/>
    <cellStyle name="Normal 3 7 2 4 3 4" xfId="36854" xr:uid="{00000000-0005-0000-0000-0000FC9A0000}"/>
    <cellStyle name="Normal 3 7 2 4 4" xfId="13107" xr:uid="{00000000-0005-0000-0000-0000FD9A0000}"/>
    <cellStyle name="Normal 3 7 2 4 4 2" xfId="26675" xr:uid="{00000000-0005-0000-0000-0000FE9A0000}"/>
    <cellStyle name="Normal 3 7 2 4 4 2 2" xfId="53808" xr:uid="{00000000-0005-0000-0000-0000FF9A0000}"/>
    <cellStyle name="Normal 3 7 2 4 4 3" xfId="40246" xr:uid="{00000000-0005-0000-0000-0000009B0000}"/>
    <cellStyle name="Normal 3 7 2 4 5" xfId="19894" xr:uid="{00000000-0005-0000-0000-0000019B0000}"/>
    <cellStyle name="Normal 3 7 2 4 5 2" xfId="47027" xr:uid="{00000000-0005-0000-0000-0000029B0000}"/>
    <cellStyle name="Normal 3 7 2 4 6" xfId="33465" xr:uid="{00000000-0005-0000-0000-0000039B0000}"/>
    <cellStyle name="Normal 3 7 2 5" xfId="6165" xr:uid="{00000000-0005-0000-0000-0000049B0000}"/>
    <cellStyle name="Normal 3 7 2 5 2" xfId="9708" xr:uid="{00000000-0005-0000-0000-0000059B0000}"/>
    <cellStyle name="Normal 3 7 2 5 2 2" xfId="16498" xr:uid="{00000000-0005-0000-0000-0000069B0000}"/>
    <cellStyle name="Normal 3 7 2 5 2 2 2" xfId="30066" xr:uid="{00000000-0005-0000-0000-0000079B0000}"/>
    <cellStyle name="Normal 3 7 2 5 2 2 2 2" xfId="57199" xr:uid="{00000000-0005-0000-0000-0000089B0000}"/>
    <cellStyle name="Normal 3 7 2 5 2 2 3" xfId="43637" xr:uid="{00000000-0005-0000-0000-0000099B0000}"/>
    <cellStyle name="Normal 3 7 2 5 2 3" xfId="23285" xr:uid="{00000000-0005-0000-0000-00000A9B0000}"/>
    <cellStyle name="Normal 3 7 2 5 2 3 2" xfId="50418" xr:uid="{00000000-0005-0000-0000-00000B9B0000}"/>
    <cellStyle name="Normal 3 7 2 5 2 4" xfId="36856" xr:uid="{00000000-0005-0000-0000-00000C9B0000}"/>
    <cellStyle name="Normal 3 7 2 5 3" xfId="13109" xr:uid="{00000000-0005-0000-0000-00000D9B0000}"/>
    <cellStyle name="Normal 3 7 2 5 3 2" xfId="26677" xr:uid="{00000000-0005-0000-0000-00000E9B0000}"/>
    <cellStyle name="Normal 3 7 2 5 3 2 2" xfId="53810" xr:uid="{00000000-0005-0000-0000-00000F9B0000}"/>
    <cellStyle name="Normal 3 7 2 5 3 3" xfId="40248" xr:uid="{00000000-0005-0000-0000-0000109B0000}"/>
    <cellStyle name="Normal 3 7 2 5 4" xfId="19896" xr:uid="{00000000-0005-0000-0000-0000119B0000}"/>
    <cellStyle name="Normal 3 7 2 5 4 2" xfId="47029" xr:uid="{00000000-0005-0000-0000-0000129B0000}"/>
    <cellStyle name="Normal 3 7 2 5 5" xfId="33467" xr:uid="{00000000-0005-0000-0000-0000139B0000}"/>
    <cellStyle name="Normal 3 7 2 6" xfId="6166" xr:uid="{00000000-0005-0000-0000-0000149B0000}"/>
    <cellStyle name="Normal 3 7 2 6 2" xfId="9709" xr:uid="{00000000-0005-0000-0000-0000159B0000}"/>
    <cellStyle name="Normal 3 7 2 6 2 2" xfId="16499" xr:uid="{00000000-0005-0000-0000-0000169B0000}"/>
    <cellStyle name="Normal 3 7 2 6 2 2 2" xfId="30067" xr:uid="{00000000-0005-0000-0000-0000179B0000}"/>
    <cellStyle name="Normal 3 7 2 6 2 2 2 2" xfId="57200" xr:uid="{00000000-0005-0000-0000-0000189B0000}"/>
    <cellStyle name="Normal 3 7 2 6 2 2 3" xfId="43638" xr:uid="{00000000-0005-0000-0000-0000199B0000}"/>
    <cellStyle name="Normal 3 7 2 6 2 3" xfId="23286" xr:uid="{00000000-0005-0000-0000-00001A9B0000}"/>
    <cellStyle name="Normal 3 7 2 6 2 3 2" xfId="50419" xr:uid="{00000000-0005-0000-0000-00001B9B0000}"/>
    <cellStyle name="Normal 3 7 2 6 2 4" xfId="36857" xr:uid="{00000000-0005-0000-0000-00001C9B0000}"/>
    <cellStyle name="Normal 3 7 2 6 3" xfId="13110" xr:uid="{00000000-0005-0000-0000-00001D9B0000}"/>
    <cellStyle name="Normal 3 7 2 6 3 2" xfId="26678" xr:uid="{00000000-0005-0000-0000-00001E9B0000}"/>
    <cellStyle name="Normal 3 7 2 6 3 2 2" xfId="53811" xr:uid="{00000000-0005-0000-0000-00001F9B0000}"/>
    <cellStyle name="Normal 3 7 2 6 3 3" xfId="40249" xr:uid="{00000000-0005-0000-0000-0000209B0000}"/>
    <cellStyle name="Normal 3 7 2 6 4" xfId="19897" xr:uid="{00000000-0005-0000-0000-0000219B0000}"/>
    <cellStyle name="Normal 3 7 2 6 4 2" xfId="47030" xr:uid="{00000000-0005-0000-0000-0000229B0000}"/>
    <cellStyle name="Normal 3 7 2 6 5" xfId="33468" xr:uid="{00000000-0005-0000-0000-0000239B0000}"/>
    <cellStyle name="Normal 3 7 2 7" xfId="7570" xr:uid="{00000000-0005-0000-0000-0000249B0000}"/>
    <cellStyle name="Normal 3 7 2 7 2" xfId="14360" xr:uid="{00000000-0005-0000-0000-0000259B0000}"/>
    <cellStyle name="Normal 3 7 2 7 2 2" xfId="27928" xr:uid="{00000000-0005-0000-0000-0000269B0000}"/>
    <cellStyle name="Normal 3 7 2 7 2 2 2" xfId="55061" xr:uid="{00000000-0005-0000-0000-0000279B0000}"/>
    <cellStyle name="Normal 3 7 2 7 2 3" xfId="41499" xr:uid="{00000000-0005-0000-0000-0000289B0000}"/>
    <cellStyle name="Normal 3 7 2 7 3" xfId="21147" xr:uid="{00000000-0005-0000-0000-0000299B0000}"/>
    <cellStyle name="Normal 3 7 2 7 3 2" xfId="48280" xr:uid="{00000000-0005-0000-0000-00002A9B0000}"/>
    <cellStyle name="Normal 3 7 2 7 4" xfId="34718" xr:uid="{00000000-0005-0000-0000-00002B9B0000}"/>
    <cellStyle name="Normal 3 7 2 8" xfId="10971" xr:uid="{00000000-0005-0000-0000-00002C9B0000}"/>
    <cellStyle name="Normal 3 7 2 8 2" xfId="24539" xr:uid="{00000000-0005-0000-0000-00002D9B0000}"/>
    <cellStyle name="Normal 3 7 2 8 2 2" xfId="51672" xr:uid="{00000000-0005-0000-0000-00002E9B0000}"/>
    <cellStyle name="Normal 3 7 2 8 3" xfId="38110" xr:uid="{00000000-0005-0000-0000-00002F9B0000}"/>
    <cellStyle name="Normal 3 7 2 9" xfId="17758" xr:uid="{00000000-0005-0000-0000-0000309B0000}"/>
    <cellStyle name="Normal 3 7 2 9 2" xfId="44891" xr:uid="{00000000-0005-0000-0000-0000319B0000}"/>
    <cellStyle name="Normal 3 7 3" xfId="6167" xr:uid="{00000000-0005-0000-0000-0000329B0000}"/>
    <cellStyle name="Normal 3 7 3 2" xfId="6168" xr:uid="{00000000-0005-0000-0000-0000339B0000}"/>
    <cellStyle name="Normal 3 7 3 2 2" xfId="6169" xr:uid="{00000000-0005-0000-0000-0000349B0000}"/>
    <cellStyle name="Normal 3 7 3 2 2 2" xfId="9712" xr:uid="{00000000-0005-0000-0000-0000359B0000}"/>
    <cellStyle name="Normal 3 7 3 2 2 2 2" xfId="16502" xr:uid="{00000000-0005-0000-0000-0000369B0000}"/>
    <cellStyle name="Normal 3 7 3 2 2 2 2 2" xfId="30070" xr:uid="{00000000-0005-0000-0000-0000379B0000}"/>
    <cellStyle name="Normal 3 7 3 2 2 2 2 2 2" xfId="57203" xr:uid="{00000000-0005-0000-0000-0000389B0000}"/>
    <cellStyle name="Normal 3 7 3 2 2 2 2 3" xfId="43641" xr:uid="{00000000-0005-0000-0000-0000399B0000}"/>
    <cellStyle name="Normal 3 7 3 2 2 2 3" xfId="23289" xr:uid="{00000000-0005-0000-0000-00003A9B0000}"/>
    <cellStyle name="Normal 3 7 3 2 2 2 3 2" xfId="50422" xr:uid="{00000000-0005-0000-0000-00003B9B0000}"/>
    <cellStyle name="Normal 3 7 3 2 2 2 4" xfId="36860" xr:uid="{00000000-0005-0000-0000-00003C9B0000}"/>
    <cellStyle name="Normal 3 7 3 2 2 3" xfId="13113" xr:uid="{00000000-0005-0000-0000-00003D9B0000}"/>
    <cellStyle name="Normal 3 7 3 2 2 3 2" xfId="26681" xr:uid="{00000000-0005-0000-0000-00003E9B0000}"/>
    <cellStyle name="Normal 3 7 3 2 2 3 2 2" xfId="53814" xr:uid="{00000000-0005-0000-0000-00003F9B0000}"/>
    <cellStyle name="Normal 3 7 3 2 2 3 3" xfId="40252" xr:uid="{00000000-0005-0000-0000-0000409B0000}"/>
    <cellStyle name="Normal 3 7 3 2 2 4" xfId="19900" xr:uid="{00000000-0005-0000-0000-0000419B0000}"/>
    <cellStyle name="Normal 3 7 3 2 2 4 2" xfId="47033" xr:uid="{00000000-0005-0000-0000-0000429B0000}"/>
    <cellStyle name="Normal 3 7 3 2 2 5" xfId="33471" xr:uid="{00000000-0005-0000-0000-0000439B0000}"/>
    <cellStyle name="Normal 3 7 3 2 3" xfId="6170" xr:uid="{00000000-0005-0000-0000-0000449B0000}"/>
    <cellStyle name="Normal 3 7 3 2 3 2" xfId="9713" xr:uid="{00000000-0005-0000-0000-0000459B0000}"/>
    <cellStyle name="Normal 3 7 3 2 3 2 2" xfId="16503" xr:uid="{00000000-0005-0000-0000-0000469B0000}"/>
    <cellStyle name="Normal 3 7 3 2 3 2 2 2" xfId="30071" xr:uid="{00000000-0005-0000-0000-0000479B0000}"/>
    <cellStyle name="Normal 3 7 3 2 3 2 2 2 2" xfId="57204" xr:uid="{00000000-0005-0000-0000-0000489B0000}"/>
    <cellStyle name="Normal 3 7 3 2 3 2 2 3" xfId="43642" xr:uid="{00000000-0005-0000-0000-0000499B0000}"/>
    <cellStyle name="Normal 3 7 3 2 3 2 3" xfId="23290" xr:uid="{00000000-0005-0000-0000-00004A9B0000}"/>
    <cellStyle name="Normal 3 7 3 2 3 2 3 2" xfId="50423" xr:uid="{00000000-0005-0000-0000-00004B9B0000}"/>
    <cellStyle name="Normal 3 7 3 2 3 2 4" xfId="36861" xr:uid="{00000000-0005-0000-0000-00004C9B0000}"/>
    <cellStyle name="Normal 3 7 3 2 3 3" xfId="13114" xr:uid="{00000000-0005-0000-0000-00004D9B0000}"/>
    <cellStyle name="Normal 3 7 3 2 3 3 2" xfId="26682" xr:uid="{00000000-0005-0000-0000-00004E9B0000}"/>
    <cellStyle name="Normal 3 7 3 2 3 3 2 2" xfId="53815" xr:uid="{00000000-0005-0000-0000-00004F9B0000}"/>
    <cellStyle name="Normal 3 7 3 2 3 3 3" xfId="40253" xr:uid="{00000000-0005-0000-0000-0000509B0000}"/>
    <cellStyle name="Normal 3 7 3 2 3 4" xfId="19901" xr:uid="{00000000-0005-0000-0000-0000519B0000}"/>
    <cellStyle name="Normal 3 7 3 2 3 4 2" xfId="47034" xr:uid="{00000000-0005-0000-0000-0000529B0000}"/>
    <cellStyle name="Normal 3 7 3 2 3 5" xfId="33472" xr:uid="{00000000-0005-0000-0000-0000539B0000}"/>
    <cellStyle name="Normal 3 7 3 2 4" xfId="9711" xr:uid="{00000000-0005-0000-0000-0000549B0000}"/>
    <cellStyle name="Normal 3 7 3 2 4 2" xfId="16501" xr:uid="{00000000-0005-0000-0000-0000559B0000}"/>
    <cellStyle name="Normal 3 7 3 2 4 2 2" xfId="30069" xr:uid="{00000000-0005-0000-0000-0000569B0000}"/>
    <cellStyle name="Normal 3 7 3 2 4 2 2 2" xfId="57202" xr:uid="{00000000-0005-0000-0000-0000579B0000}"/>
    <cellStyle name="Normal 3 7 3 2 4 2 3" xfId="43640" xr:uid="{00000000-0005-0000-0000-0000589B0000}"/>
    <cellStyle name="Normal 3 7 3 2 4 3" xfId="23288" xr:uid="{00000000-0005-0000-0000-0000599B0000}"/>
    <cellStyle name="Normal 3 7 3 2 4 3 2" xfId="50421" xr:uid="{00000000-0005-0000-0000-00005A9B0000}"/>
    <cellStyle name="Normal 3 7 3 2 4 4" xfId="36859" xr:uid="{00000000-0005-0000-0000-00005B9B0000}"/>
    <cellStyle name="Normal 3 7 3 2 5" xfId="13112" xr:uid="{00000000-0005-0000-0000-00005C9B0000}"/>
    <cellStyle name="Normal 3 7 3 2 5 2" xfId="26680" xr:uid="{00000000-0005-0000-0000-00005D9B0000}"/>
    <cellStyle name="Normal 3 7 3 2 5 2 2" xfId="53813" xr:uid="{00000000-0005-0000-0000-00005E9B0000}"/>
    <cellStyle name="Normal 3 7 3 2 5 3" xfId="40251" xr:uid="{00000000-0005-0000-0000-00005F9B0000}"/>
    <cellStyle name="Normal 3 7 3 2 6" xfId="19899" xr:uid="{00000000-0005-0000-0000-0000609B0000}"/>
    <cellStyle name="Normal 3 7 3 2 6 2" xfId="47032" xr:uid="{00000000-0005-0000-0000-0000619B0000}"/>
    <cellStyle name="Normal 3 7 3 2 7" xfId="33470" xr:uid="{00000000-0005-0000-0000-0000629B0000}"/>
    <cellStyle name="Normal 3 7 3 3" xfId="6171" xr:uid="{00000000-0005-0000-0000-0000639B0000}"/>
    <cellStyle name="Normal 3 7 3 3 2" xfId="6172" xr:uid="{00000000-0005-0000-0000-0000649B0000}"/>
    <cellStyle name="Normal 3 7 3 3 2 2" xfId="9715" xr:uid="{00000000-0005-0000-0000-0000659B0000}"/>
    <cellStyle name="Normal 3 7 3 3 2 2 2" xfId="16505" xr:uid="{00000000-0005-0000-0000-0000669B0000}"/>
    <cellStyle name="Normal 3 7 3 3 2 2 2 2" xfId="30073" xr:uid="{00000000-0005-0000-0000-0000679B0000}"/>
    <cellStyle name="Normal 3 7 3 3 2 2 2 2 2" xfId="57206" xr:uid="{00000000-0005-0000-0000-0000689B0000}"/>
    <cellStyle name="Normal 3 7 3 3 2 2 2 3" xfId="43644" xr:uid="{00000000-0005-0000-0000-0000699B0000}"/>
    <cellStyle name="Normal 3 7 3 3 2 2 3" xfId="23292" xr:uid="{00000000-0005-0000-0000-00006A9B0000}"/>
    <cellStyle name="Normal 3 7 3 3 2 2 3 2" xfId="50425" xr:uid="{00000000-0005-0000-0000-00006B9B0000}"/>
    <cellStyle name="Normal 3 7 3 3 2 2 4" xfId="36863" xr:uid="{00000000-0005-0000-0000-00006C9B0000}"/>
    <cellStyle name="Normal 3 7 3 3 2 3" xfId="13116" xr:uid="{00000000-0005-0000-0000-00006D9B0000}"/>
    <cellStyle name="Normal 3 7 3 3 2 3 2" xfId="26684" xr:uid="{00000000-0005-0000-0000-00006E9B0000}"/>
    <cellStyle name="Normal 3 7 3 3 2 3 2 2" xfId="53817" xr:uid="{00000000-0005-0000-0000-00006F9B0000}"/>
    <cellStyle name="Normal 3 7 3 3 2 3 3" xfId="40255" xr:uid="{00000000-0005-0000-0000-0000709B0000}"/>
    <cellStyle name="Normal 3 7 3 3 2 4" xfId="19903" xr:uid="{00000000-0005-0000-0000-0000719B0000}"/>
    <cellStyle name="Normal 3 7 3 3 2 4 2" xfId="47036" xr:uid="{00000000-0005-0000-0000-0000729B0000}"/>
    <cellStyle name="Normal 3 7 3 3 2 5" xfId="33474" xr:uid="{00000000-0005-0000-0000-0000739B0000}"/>
    <cellStyle name="Normal 3 7 3 3 3" xfId="9714" xr:uid="{00000000-0005-0000-0000-0000749B0000}"/>
    <cellStyle name="Normal 3 7 3 3 3 2" xfId="16504" xr:uid="{00000000-0005-0000-0000-0000759B0000}"/>
    <cellStyle name="Normal 3 7 3 3 3 2 2" xfId="30072" xr:uid="{00000000-0005-0000-0000-0000769B0000}"/>
    <cellStyle name="Normal 3 7 3 3 3 2 2 2" xfId="57205" xr:uid="{00000000-0005-0000-0000-0000779B0000}"/>
    <cellStyle name="Normal 3 7 3 3 3 2 3" xfId="43643" xr:uid="{00000000-0005-0000-0000-0000789B0000}"/>
    <cellStyle name="Normal 3 7 3 3 3 3" xfId="23291" xr:uid="{00000000-0005-0000-0000-0000799B0000}"/>
    <cellStyle name="Normal 3 7 3 3 3 3 2" xfId="50424" xr:uid="{00000000-0005-0000-0000-00007A9B0000}"/>
    <cellStyle name="Normal 3 7 3 3 3 4" xfId="36862" xr:uid="{00000000-0005-0000-0000-00007B9B0000}"/>
    <cellStyle name="Normal 3 7 3 3 4" xfId="13115" xr:uid="{00000000-0005-0000-0000-00007C9B0000}"/>
    <cellStyle name="Normal 3 7 3 3 4 2" xfId="26683" xr:uid="{00000000-0005-0000-0000-00007D9B0000}"/>
    <cellStyle name="Normal 3 7 3 3 4 2 2" xfId="53816" xr:uid="{00000000-0005-0000-0000-00007E9B0000}"/>
    <cellStyle name="Normal 3 7 3 3 4 3" xfId="40254" xr:uid="{00000000-0005-0000-0000-00007F9B0000}"/>
    <cellStyle name="Normal 3 7 3 3 5" xfId="19902" xr:uid="{00000000-0005-0000-0000-0000809B0000}"/>
    <cellStyle name="Normal 3 7 3 3 5 2" xfId="47035" xr:uid="{00000000-0005-0000-0000-0000819B0000}"/>
    <cellStyle name="Normal 3 7 3 3 6" xfId="33473" xr:uid="{00000000-0005-0000-0000-0000829B0000}"/>
    <cellStyle name="Normal 3 7 3 4" xfId="6173" xr:uid="{00000000-0005-0000-0000-0000839B0000}"/>
    <cellStyle name="Normal 3 7 3 4 2" xfId="9716" xr:uid="{00000000-0005-0000-0000-0000849B0000}"/>
    <cellStyle name="Normal 3 7 3 4 2 2" xfId="16506" xr:uid="{00000000-0005-0000-0000-0000859B0000}"/>
    <cellStyle name="Normal 3 7 3 4 2 2 2" xfId="30074" xr:uid="{00000000-0005-0000-0000-0000869B0000}"/>
    <cellStyle name="Normal 3 7 3 4 2 2 2 2" xfId="57207" xr:uid="{00000000-0005-0000-0000-0000879B0000}"/>
    <cellStyle name="Normal 3 7 3 4 2 2 3" xfId="43645" xr:uid="{00000000-0005-0000-0000-0000889B0000}"/>
    <cellStyle name="Normal 3 7 3 4 2 3" xfId="23293" xr:uid="{00000000-0005-0000-0000-0000899B0000}"/>
    <cellStyle name="Normal 3 7 3 4 2 3 2" xfId="50426" xr:uid="{00000000-0005-0000-0000-00008A9B0000}"/>
    <cellStyle name="Normal 3 7 3 4 2 4" xfId="36864" xr:uid="{00000000-0005-0000-0000-00008B9B0000}"/>
    <cellStyle name="Normal 3 7 3 4 3" xfId="13117" xr:uid="{00000000-0005-0000-0000-00008C9B0000}"/>
    <cellStyle name="Normal 3 7 3 4 3 2" xfId="26685" xr:uid="{00000000-0005-0000-0000-00008D9B0000}"/>
    <cellStyle name="Normal 3 7 3 4 3 2 2" xfId="53818" xr:uid="{00000000-0005-0000-0000-00008E9B0000}"/>
    <cellStyle name="Normal 3 7 3 4 3 3" xfId="40256" xr:uid="{00000000-0005-0000-0000-00008F9B0000}"/>
    <cellStyle name="Normal 3 7 3 4 4" xfId="19904" xr:uid="{00000000-0005-0000-0000-0000909B0000}"/>
    <cellStyle name="Normal 3 7 3 4 4 2" xfId="47037" xr:uid="{00000000-0005-0000-0000-0000919B0000}"/>
    <cellStyle name="Normal 3 7 3 4 5" xfId="33475" xr:uid="{00000000-0005-0000-0000-0000929B0000}"/>
    <cellStyle name="Normal 3 7 3 5" xfId="6174" xr:uid="{00000000-0005-0000-0000-0000939B0000}"/>
    <cellStyle name="Normal 3 7 3 5 2" xfId="9717" xr:uid="{00000000-0005-0000-0000-0000949B0000}"/>
    <cellStyle name="Normal 3 7 3 5 2 2" xfId="16507" xr:uid="{00000000-0005-0000-0000-0000959B0000}"/>
    <cellStyle name="Normal 3 7 3 5 2 2 2" xfId="30075" xr:uid="{00000000-0005-0000-0000-0000969B0000}"/>
    <cellStyle name="Normal 3 7 3 5 2 2 2 2" xfId="57208" xr:uid="{00000000-0005-0000-0000-0000979B0000}"/>
    <cellStyle name="Normal 3 7 3 5 2 2 3" xfId="43646" xr:uid="{00000000-0005-0000-0000-0000989B0000}"/>
    <cellStyle name="Normal 3 7 3 5 2 3" xfId="23294" xr:uid="{00000000-0005-0000-0000-0000999B0000}"/>
    <cellStyle name="Normal 3 7 3 5 2 3 2" xfId="50427" xr:uid="{00000000-0005-0000-0000-00009A9B0000}"/>
    <cellStyle name="Normal 3 7 3 5 2 4" xfId="36865" xr:uid="{00000000-0005-0000-0000-00009B9B0000}"/>
    <cellStyle name="Normal 3 7 3 5 3" xfId="13118" xr:uid="{00000000-0005-0000-0000-00009C9B0000}"/>
    <cellStyle name="Normal 3 7 3 5 3 2" xfId="26686" xr:uid="{00000000-0005-0000-0000-00009D9B0000}"/>
    <cellStyle name="Normal 3 7 3 5 3 2 2" xfId="53819" xr:uid="{00000000-0005-0000-0000-00009E9B0000}"/>
    <cellStyle name="Normal 3 7 3 5 3 3" xfId="40257" xr:uid="{00000000-0005-0000-0000-00009F9B0000}"/>
    <cellStyle name="Normal 3 7 3 5 4" xfId="19905" xr:uid="{00000000-0005-0000-0000-0000A09B0000}"/>
    <cellStyle name="Normal 3 7 3 5 4 2" xfId="47038" xr:uid="{00000000-0005-0000-0000-0000A19B0000}"/>
    <cellStyle name="Normal 3 7 3 5 5" xfId="33476" xr:uid="{00000000-0005-0000-0000-0000A29B0000}"/>
    <cellStyle name="Normal 3 7 3 6" xfId="9710" xr:uid="{00000000-0005-0000-0000-0000A39B0000}"/>
    <cellStyle name="Normal 3 7 3 6 2" xfId="16500" xr:uid="{00000000-0005-0000-0000-0000A49B0000}"/>
    <cellStyle name="Normal 3 7 3 6 2 2" xfId="30068" xr:uid="{00000000-0005-0000-0000-0000A59B0000}"/>
    <cellStyle name="Normal 3 7 3 6 2 2 2" xfId="57201" xr:uid="{00000000-0005-0000-0000-0000A69B0000}"/>
    <cellStyle name="Normal 3 7 3 6 2 3" xfId="43639" xr:uid="{00000000-0005-0000-0000-0000A79B0000}"/>
    <cellStyle name="Normal 3 7 3 6 3" xfId="23287" xr:uid="{00000000-0005-0000-0000-0000A89B0000}"/>
    <cellStyle name="Normal 3 7 3 6 3 2" xfId="50420" xr:uid="{00000000-0005-0000-0000-0000A99B0000}"/>
    <cellStyle name="Normal 3 7 3 6 4" xfId="36858" xr:uid="{00000000-0005-0000-0000-0000AA9B0000}"/>
    <cellStyle name="Normal 3 7 3 7" xfId="13111" xr:uid="{00000000-0005-0000-0000-0000AB9B0000}"/>
    <cellStyle name="Normal 3 7 3 7 2" xfId="26679" xr:uid="{00000000-0005-0000-0000-0000AC9B0000}"/>
    <cellStyle name="Normal 3 7 3 7 2 2" xfId="53812" xr:uid="{00000000-0005-0000-0000-0000AD9B0000}"/>
    <cellStyle name="Normal 3 7 3 7 3" xfId="40250" xr:uid="{00000000-0005-0000-0000-0000AE9B0000}"/>
    <cellStyle name="Normal 3 7 3 8" xfId="19898" xr:uid="{00000000-0005-0000-0000-0000AF9B0000}"/>
    <cellStyle name="Normal 3 7 3 8 2" xfId="47031" xr:uid="{00000000-0005-0000-0000-0000B09B0000}"/>
    <cellStyle name="Normal 3 7 3 9" xfId="33469" xr:uid="{00000000-0005-0000-0000-0000B19B0000}"/>
    <cellStyle name="Normal 3 7 4" xfId="6175" xr:uid="{00000000-0005-0000-0000-0000B29B0000}"/>
    <cellStyle name="Normal 3 7 4 2" xfId="6176" xr:uid="{00000000-0005-0000-0000-0000B39B0000}"/>
    <cellStyle name="Normal 3 7 4 2 2" xfId="6177" xr:uid="{00000000-0005-0000-0000-0000B49B0000}"/>
    <cellStyle name="Normal 3 7 4 2 2 2" xfId="9720" xr:uid="{00000000-0005-0000-0000-0000B59B0000}"/>
    <cellStyle name="Normal 3 7 4 2 2 2 2" xfId="16510" xr:uid="{00000000-0005-0000-0000-0000B69B0000}"/>
    <cellStyle name="Normal 3 7 4 2 2 2 2 2" xfId="30078" xr:uid="{00000000-0005-0000-0000-0000B79B0000}"/>
    <cellStyle name="Normal 3 7 4 2 2 2 2 2 2" xfId="57211" xr:uid="{00000000-0005-0000-0000-0000B89B0000}"/>
    <cellStyle name="Normal 3 7 4 2 2 2 2 3" xfId="43649" xr:uid="{00000000-0005-0000-0000-0000B99B0000}"/>
    <cellStyle name="Normal 3 7 4 2 2 2 3" xfId="23297" xr:uid="{00000000-0005-0000-0000-0000BA9B0000}"/>
    <cellStyle name="Normal 3 7 4 2 2 2 3 2" xfId="50430" xr:uid="{00000000-0005-0000-0000-0000BB9B0000}"/>
    <cellStyle name="Normal 3 7 4 2 2 2 4" xfId="36868" xr:uid="{00000000-0005-0000-0000-0000BC9B0000}"/>
    <cellStyle name="Normal 3 7 4 2 2 3" xfId="13121" xr:uid="{00000000-0005-0000-0000-0000BD9B0000}"/>
    <cellStyle name="Normal 3 7 4 2 2 3 2" xfId="26689" xr:uid="{00000000-0005-0000-0000-0000BE9B0000}"/>
    <cellStyle name="Normal 3 7 4 2 2 3 2 2" xfId="53822" xr:uid="{00000000-0005-0000-0000-0000BF9B0000}"/>
    <cellStyle name="Normal 3 7 4 2 2 3 3" xfId="40260" xr:uid="{00000000-0005-0000-0000-0000C09B0000}"/>
    <cellStyle name="Normal 3 7 4 2 2 4" xfId="19908" xr:uid="{00000000-0005-0000-0000-0000C19B0000}"/>
    <cellStyle name="Normal 3 7 4 2 2 4 2" xfId="47041" xr:uid="{00000000-0005-0000-0000-0000C29B0000}"/>
    <cellStyle name="Normal 3 7 4 2 2 5" xfId="33479" xr:uid="{00000000-0005-0000-0000-0000C39B0000}"/>
    <cellStyle name="Normal 3 7 4 2 3" xfId="6178" xr:uid="{00000000-0005-0000-0000-0000C49B0000}"/>
    <cellStyle name="Normal 3 7 4 2 3 2" xfId="9721" xr:uid="{00000000-0005-0000-0000-0000C59B0000}"/>
    <cellStyle name="Normal 3 7 4 2 3 2 2" xfId="16511" xr:uid="{00000000-0005-0000-0000-0000C69B0000}"/>
    <cellStyle name="Normal 3 7 4 2 3 2 2 2" xfId="30079" xr:uid="{00000000-0005-0000-0000-0000C79B0000}"/>
    <cellStyle name="Normal 3 7 4 2 3 2 2 2 2" xfId="57212" xr:uid="{00000000-0005-0000-0000-0000C89B0000}"/>
    <cellStyle name="Normal 3 7 4 2 3 2 2 3" xfId="43650" xr:uid="{00000000-0005-0000-0000-0000C99B0000}"/>
    <cellStyle name="Normal 3 7 4 2 3 2 3" xfId="23298" xr:uid="{00000000-0005-0000-0000-0000CA9B0000}"/>
    <cellStyle name="Normal 3 7 4 2 3 2 3 2" xfId="50431" xr:uid="{00000000-0005-0000-0000-0000CB9B0000}"/>
    <cellStyle name="Normal 3 7 4 2 3 2 4" xfId="36869" xr:uid="{00000000-0005-0000-0000-0000CC9B0000}"/>
    <cellStyle name="Normal 3 7 4 2 3 3" xfId="13122" xr:uid="{00000000-0005-0000-0000-0000CD9B0000}"/>
    <cellStyle name="Normal 3 7 4 2 3 3 2" xfId="26690" xr:uid="{00000000-0005-0000-0000-0000CE9B0000}"/>
    <cellStyle name="Normal 3 7 4 2 3 3 2 2" xfId="53823" xr:uid="{00000000-0005-0000-0000-0000CF9B0000}"/>
    <cellStyle name="Normal 3 7 4 2 3 3 3" xfId="40261" xr:uid="{00000000-0005-0000-0000-0000D09B0000}"/>
    <cellStyle name="Normal 3 7 4 2 3 4" xfId="19909" xr:uid="{00000000-0005-0000-0000-0000D19B0000}"/>
    <cellStyle name="Normal 3 7 4 2 3 4 2" xfId="47042" xr:uid="{00000000-0005-0000-0000-0000D29B0000}"/>
    <cellStyle name="Normal 3 7 4 2 3 5" xfId="33480" xr:uid="{00000000-0005-0000-0000-0000D39B0000}"/>
    <cellStyle name="Normal 3 7 4 2 4" xfId="9719" xr:uid="{00000000-0005-0000-0000-0000D49B0000}"/>
    <cellStyle name="Normal 3 7 4 2 4 2" xfId="16509" xr:uid="{00000000-0005-0000-0000-0000D59B0000}"/>
    <cellStyle name="Normal 3 7 4 2 4 2 2" xfId="30077" xr:uid="{00000000-0005-0000-0000-0000D69B0000}"/>
    <cellStyle name="Normal 3 7 4 2 4 2 2 2" xfId="57210" xr:uid="{00000000-0005-0000-0000-0000D79B0000}"/>
    <cellStyle name="Normal 3 7 4 2 4 2 3" xfId="43648" xr:uid="{00000000-0005-0000-0000-0000D89B0000}"/>
    <cellStyle name="Normal 3 7 4 2 4 3" xfId="23296" xr:uid="{00000000-0005-0000-0000-0000D99B0000}"/>
    <cellStyle name="Normal 3 7 4 2 4 3 2" xfId="50429" xr:uid="{00000000-0005-0000-0000-0000DA9B0000}"/>
    <cellStyle name="Normal 3 7 4 2 4 4" xfId="36867" xr:uid="{00000000-0005-0000-0000-0000DB9B0000}"/>
    <cellStyle name="Normal 3 7 4 2 5" xfId="13120" xr:uid="{00000000-0005-0000-0000-0000DC9B0000}"/>
    <cellStyle name="Normal 3 7 4 2 5 2" xfId="26688" xr:uid="{00000000-0005-0000-0000-0000DD9B0000}"/>
    <cellStyle name="Normal 3 7 4 2 5 2 2" xfId="53821" xr:uid="{00000000-0005-0000-0000-0000DE9B0000}"/>
    <cellStyle name="Normal 3 7 4 2 5 3" xfId="40259" xr:uid="{00000000-0005-0000-0000-0000DF9B0000}"/>
    <cellStyle name="Normal 3 7 4 2 6" xfId="19907" xr:uid="{00000000-0005-0000-0000-0000E09B0000}"/>
    <cellStyle name="Normal 3 7 4 2 6 2" xfId="47040" xr:uid="{00000000-0005-0000-0000-0000E19B0000}"/>
    <cellStyle name="Normal 3 7 4 2 7" xfId="33478" xr:uid="{00000000-0005-0000-0000-0000E29B0000}"/>
    <cellStyle name="Normal 3 7 4 3" xfId="6179" xr:uid="{00000000-0005-0000-0000-0000E39B0000}"/>
    <cellStyle name="Normal 3 7 4 3 2" xfId="9722" xr:uid="{00000000-0005-0000-0000-0000E49B0000}"/>
    <cellStyle name="Normal 3 7 4 3 2 2" xfId="16512" xr:uid="{00000000-0005-0000-0000-0000E59B0000}"/>
    <cellStyle name="Normal 3 7 4 3 2 2 2" xfId="30080" xr:uid="{00000000-0005-0000-0000-0000E69B0000}"/>
    <cellStyle name="Normal 3 7 4 3 2 2 2 2" xfId="57213" xr:uid="{00000000-0005-0000-0000-0000E79B0000}"/>
    <cellStyle name="Normal 3 7 4 3 2 2 3" xfId="43651" xr:uid="{00000000-0005-0000-0000-0000E89B0000}"/>
    <cellStyle name="Normal 3 7 4 3 2 3" xfId="23299" xr:uid="{00000000-0005-0000-0000-0000E99B0000}"/>
    <cellStyle name="Normal 3 7 4 3 2 3 2" xfId="50432" xr:uid="{00000000-0005-0000-0000-0000EA9B0000}"/>
    <cellStyle name="Normal 3 7 4 3 2 4" xfId="36870" xr:uid="{00000000-0005-0000-0000-0000EB9B0000}"/>
    <cellStyle name="Normal 3 7 4 3 3" xfId="13123" xr:uid="{00000000-0005-0000-0000-0000EC9B0000}"/>
    <cellStyle name="Normal 3 7 4 3 3 2" xfId="26691" xr:uid="{00000000-0005-0000-0000-0000ED9B0000}"/>
    <cellStyle name="Normal 3 7 4 3 3 2 2" xfId="53824" xr:uid="{00000000-0005-0000-0000-0000EE9B0000}"/>
    <cellStyle name="Normal 3 7 4 3 3 3" xfId="40262" xr:uid="{00000000-0005-0000-0000-0000EF9B0000}"/>
    <cellStyle name="Normal 3 7 4 3 4" xfId="19910" xr:uid="{00000000-0005-0000-0000-0000F09B0000}"/>
    <cellStyle name="Normal 3 7 4 3 4 2" xfId="47043" xr:uid="{00000000-0005-0000-0000-0000F19B0000}"/>
    <cellStyle name="Normal 3 7 4 3 5" xfId="33481" xr:uid="{00000000-0005-0000-0000-0000F29B0000}"/>
    <cellStyle name="Normal 3 7 4 4" xfId="6180" xr:uid="{00000000-0005-0000-0000-0000F39B0000}"/>
    <cellStyle name="Normal 3 7 4 4 2" xfId="9723" xr:uid="{00000000-0005-0000-0000-0000F49B0000}"/>
    <cellStyle name="Normal 3 7 4 4 2 2" xfId="16513" xr:uid="{00000000-0005-0000-0000-0000F59B0000}"/>
    <cellStyle name="Normal 3 7 4 4 2 2 2" xfId="30081" xr:uid="{00000000-0005-0000-0000-0000F69B0000}"/>
    <cellStyle name="Normal 3 7 4 4 2 2 2 2" xfId="57214" xr:uid="{00000000-0005-0000-0000-0000F79B0000}"/>
    <cellStyle name="Normal 3 7 4 4 2 2 3" xfId="43652" xr:uid="{00000000-0005-0000-0000-0000F89B0000}"/>
    <cellStyle name="Normal 3 7 4 4 2 3" xfId="23300" xr:uid="{00000000-0005-0000-0000-0000F99B0000}"/>
    <cellStyle name="Normal 3 7 4 4 2 3 2" xfId="50433" xr:uid="{00000000-0005-0000-0000-0000FA9B0000}"/>
    <cellStyle name="Normal 3 7 4 4 2 4" xfId="36871" xr:uid="{00000000-0005-0000-0000-0000FB9B0000}"/>
    <cellStyle name="Normal 3 7 4 4 3" xfId="13124" xr:uid="{00000000-0005-0000-0000-0000FC9B0000}"/>
    <cellStyle name="Normal 3 7 4 4 3 2" xfId="26692" xr:uid="{00000000-0005-0000-0000-0000FD9B0000}"/>
    <cellStyle name="Normal 3 7 4 4 3 2 2" xfId="53825" xr:uid="{00000000-0005-0000-0000-0000FE9B0000}"/>
    <cellStyle name="Normal 3 7 4 4 3 3" xfId="40263" xr:uid="{00000000-0005-0000-0000-0000FF9B0000}"/>
    <cellStyle name="Normal 3 7 4 4 4" xfId="19911" xr:uid="{00000000-0005-0000-0000-0000009C0000}"/>
    <cellStyle name="Normal 3 7 4 4 4 2" xfId="47044" xr:uid="{00000000-0005-0000-0000-0000019C0000}"/>
    <cellStyle name="Normal 3 7 4 4 5" xfId="33482" xr:uid="{00000000-0005-0000-0000-0000029C0000}"/>
    <cellStyle name="Normal 3 7 4 5" xfId="9718" xr:uid="{00000000-0005-0000-0000-0000039C0000}"/>
    <cellStyle name="Normal 3 7 4 5 2" xfId="16508" xr:uid="{00000000-0005-0000-0000-0000049C0000}"/>
    <cellStyle name="Normal 3 7 4 5 2 2" xfId="30076" xr:uid="{00000000-0005-0000-0000-0000059C0000}"/>
    <cellStyle name="Normal 3 7 4 5 2 2 2" xfId="57209" xr:uid="{00000000-0005-0000-0000-0000069C0000}"/>
    <cellStyle name="Normal 3 7 4 5 2 3" xfId="43647" xr:uid="{00000000-0005-0000-0000-0000079C0000}"/>
    <cellStyle name="Normal 3 7 4 5 3" xfId="23295" xr:uid="{00000000-0005-0000-0000-0000089C0000}"/>
    <cellStyle name="Normal 3 7 4 5 3 2" xfId="50428" xr:uid="{00000000-0005-0000-0000-0000099C0000}"/>
    <cellStyle name="Normal 3 7 4 5 4" xfId="36866" xr:uid="{00000000-0005-0000-0000-00000A9C0000}"/>
    <cellStyle name="Normal 3 7 4 6" xfId="13119" xr:uid="{00000000-0005-0000-0000-00000B9C0000}"/>
    <cellStyle name="Normal 3 7 4 6 2" xfId="26687" xr:uid="{00000000-0005-0000-0000-00000C9C0000}"/>
    <cellStyle name="Normal 3 7 4 6 2 2" xfId="53820" xr:uid="{00000000-0005-0000-0000-00000D9C0000}"/>
    <cellStyle name="Normal 3 7 4 6 3" xfId="40258" xr:uid="{00000000-0005-0000-0000-00000E9C0000}"/>
    <cellStyle name="Normal 3 7 4 7" xfId="19906" xr:uid="{00000000-0005-0000-0000-00000F9C0000}"/>
    <cellStyle name="Normal 3 7 4 7 2" xfId="47039" xr:uid="{00000000-0005-0000-0000-0000109C0000}"/>
    <cellStyle name="Normal 3 7 4 8" xfId="33477" xr:uid="{00000000-0005-0000-0000-0000119C0000}"/>
    <cellStyle name="Normal 3 7 5" xfId="6181" xr:uid="{00000000-0005-0000-0000-0000129C0000}"/>
    <cellStyle name="Normal 3 7 5 2" xfId="6182" xr:uid="{00000000-0005-0000-0000-0000139C0000}"/>
    <cellStyle name="Normal 3 7 5 2 2" xfId="6183" xr:uid="{00000000-0005-0000-0000-0000149C0000}"/>
    <cellStyle name="Normal 3 7 5 2 2 2" xfId="9726" xr:uid="{00000000-0005-0000-0000-0000159C0000}"/>
    <cellStyle name="Normal 3 7 5 2 2 2 2" xfId="16516" xr:uid="{00000000-0005-0000-0000-0000169C0000}"/>
    <cellStyle name="Normal 3 7 5 2 2 2 2 2" xfId="30084" xr:uid="{00000000-0005-0000-0000-0000179C0000}"/>
    <cellStyle name="Normal 3 7 5 2 2 2 2 2 2" xfId="57217" xr:uid="{00000000-0005-0000-0000-0000189C0000}"/>
    <cellStyle name="Normal 3 7 5 2 2 2 2 3" xfId="43655" xr:uid="{00000000-0005-0000-0000-0000199C0000}"/>
    <cellStyle name="Normal 3 7 5 2 2 2 3" xfId="23303" xr:uid="{00000000-0005-0000-0000-00001A9C0000}"/>
    <cellStyle name="Normal 3 7 5 2 2 2 3 2" xfId="50436" xr:uid="{00000000-0005-0000-0000-00001B9C0000}"/>
    <cellStyle name="Normal 3 7 5 2 2 2 4" xfId="36874" xr:uid="{00000000-0005-0000-0000-00001C9C0000}"/>
    <cellStyle name="Normal 3 7 5 2 2 3" xfId="13127" xr:uid="{00000000-0005-0000-0000-00001D9C0000}"/>
    <cellStyle name="Normal 3 7 5 2 2 3 2" xfId="26695" xr:uid="{00000000-0005-0000-0000-00001E9C0000}"/>
    <cellStyle name="Normal 3 7 5 2 2 3 2 2" xfId="53828" xr:uid="{00000000-0005-0000-0000-00001F9C0000}"/>
    <cellStyle name="Normal 3 7 5 2 2 3 3" xfId="40266" xr:uid="{00000000-0005-0000-0000-0000209C0000}"/>
    <cellStyle name="Normal 3 7 5 2 2 4" xfId="19914" xr:uid="{00000000-0005-0000-0000-0000219C0000}"/>
    <cellStyle name="Normal 3 7 5 2 2 4 2" xfId="47047" xr:uid="{00000000-0005-0000-0000-0000229C0000}"/>
    <cellStyle name="Normal 3 7 5 2 2 5" xfId="33485" xr:uid="{00000000-0005-0000-0000-0000239C0000}"/>
    <cellStyle name="Normal 3 7 5 2 3" xfId="6184" xr:uid="{00000000-0005-0000-0000-0000249C0000}"/>
    <cellStyle name="Normal 3 7 5 2 3 2" xfId="9727" xr:uid="{00000000-0005-0000-0000-0000259C0000}"/>
    <cellStyle name="Normal 3 7 5 2 3 2 2" xfId="16517" xr:uid="{00000000-0005-0000-0000-0000269C0000}"/>
    <cellStyle name="Normal 3 7 5 2 3 2 2 2" xfId="30085" xr:uid="{00000000-0005-0000-0000-0000279C0000}"/>
    <cellStyle name="Normal 3 7 5 2 3 2 2 2 2" xfId="57218" xr:uid="{00000000-0005-0000-0000-0000289C0000}"/>
    <cellStyle name="Normal 3 7 5 2 3 2 2 3" xfId="43656" xr:uid="{00000000-0005-0000-0000-0000299C0000}"/>
    <cellStyle name="Normal 3 7 5 2 3 2 3" xfId="23304" xr:uid="{00000000-0005-0000-0000-00002A9C0000}"/>
    <cellStyle name="Normal 3 7 5 2 3 2 3 2" xfId="50437" xr:uid="{00000000-0005-0000-0000-00002B9C0000}"/>
    <cellStyle name="Normal 3 7 5 2 3 2 4" xfId="36875" xr:uid="{00000000-0005-0000-0000-00002C9C0000}"/>
    <cellStyle name="Normal 3 7 5 2 3 3" xfId="13128" xr:uid="{00000000-0005-0000-0000-00002D9C0000}"/>
    <cellStyle name="Normal 3 7 5 2 3 3 2" xfId="26696" xr:uid="{00000000-0005-0000-0000-00002E9C0000}"/>
    <cellStyle name="Normal 3 7 5 2 3 3 2 2" xfId="53829" xr:uid="{00000000-0005-0000-0000-00002F9C0000}"/>
    <cellStyle name="Normal 3 7 5 2 3 3 3" xfId="40267" xr:uid="{00000000-0005-0000-0000-0000309C0000}"/>
    <cellStyle name="Normal 3 7 5 2 3 4" xfId="19915" xr:uid="{00000000-0005-0000-0000-0000319C0000}"/>
    <cellStyle name="Normal 3 7 5 2 3 4 2" xfId="47048" xr:uid="{00000000-0005-0000-0000-0000329C0000}"/>
    <cellStyle name="Normal 3 7 5 2 3 5" xfId="33486" xr:uid="{00000000-0005-0000-0000-0000339C0000}"/>
    <cellStyle name="Normal 3 7 5 2 4" xfId="9725" xr:uid="{00000000-0005-0000-0000-0000349C0000}"/>
    <cellStyle name="Normal 3 7 5 2 4 2" xfId="16515" xr:uid="{00000000-0005-0000-0000-0000359C0000}"/>
    <cellStyle name="Normal 3 7 5 2 4 2 2" xfId="30083" xr:uid="{00000000-0005-0000-0000-0000369C0000}"/>
    <cellStyle name="Normal 3 7 5 2 4 2 2 2" xfId="57216" xr:uid="{00000000-0005-0000-0000-0000379C0000}"/>
    <cellStyle name="Normal 3 7 5 2 4 2 3" xfId="43654" xr:uid="{00000000-0005-0000-0000-0000389C0000}"/>
    <cellStyle name="Normal 3 7 5 2 4 3" xfId="23302" xr:uid="{00000000-0005-0000-0000-0000399C0000}"/>
    <cellStyle name="Normal 3 7 5 2 4 3 2" xfId="50435" xr:uid="{00000000-0005-0000-0000-00003A9C0000}"/>
    <cellStyle name="Normal 3 7 5 2 4 4" xfId="36873" xr:uid="{00000000-0005-0000-0000-00003B9C0000}"/>
    <cellStyle name="Normal 3 7 5 2 5" xfId="13126" xr:uid="{00000000-0005-0000-0000-00003C9C0000}"/>
    <cellStyle name="Normal 3 7 5 2 5 2" xfId="26694" xr:uid="{00000000-0005-0000-0000-00003D9C0000}"/>
    <cellStyle name="Normal 3 7 5 2 5 2 2" xfId="53827" xr:uid="{00000000-0005-0000-0000-00003E9C0000}"/>
    <cellStyle name="Normal 3 7 5 2 5 3" xfId="40265" xr:uid="{00000000-0005-0000-0000-00003F9C0000}"/>
    <cellStyle name="Normal 3 7 5 2 6" xfId="19913" xr:uid="{00000000-0005-0000-0000-0000409C0000}"/>
    <cellStyle name="Normal 3 7 5 2 6 2" xfId="47046" xr:uid="{00000000-0005-0000-0000-0000419C0000}"/>
    <cellStyle name="Normal 3 7 5 2 7" xfId="33484" xr:uid="{00000000-0005-0000-0000-0000429C0000}"/>
    <cellStyle name="Normal 3 7 5 3" xfId="6185" xr:uid="{00000000-0005-0000-0000-0000439C0000}"/>
    <cellStyle name="Normal 3 7 5 3 2" xfId="9728" xr:uid="{00000000-0005-0000-0000-0000449C0000}"/>
    <cellStyle name="Normal 3 7 5 3 2 2" xfId="16518" xr:uid="{00000000-0005-0000-0000-0000459C0000}"/>
    <cellStyle name="Normal 3 7 5 3 2 2 2" xfId="30086" xr:uid="{00000000-0005-0000-0000-0000469C0000}"/>
    <cellStyle name="Normal 3 7 5 3 2 2 2 2" xfId="57219" xr:uid="{00000000-0005-0000-0000-0000479C0000}"/>
    <cellStyle name="Normal 3 7 5 3 2 2 3" xfId="43657" xr:uid="{00000000-0005-0000-0000-0000489C0000}"/>
    <cellStyle name="Normal 3 7 5 3 2 3" xfId="23305" xr:uid="{00000000-0005-0000-0000-0000499C0000}"/>
    <cellStyle name="Normal 3 7 5 3 2 3 2" xfId="50438" xr:uid="{00000000-0005-0000-0000-00004A9C0000}"/>
    <cellStyle name="Normal 3 7 5 3 2 4" xfId="36876" xr:uid="{00000000-0005-0000-0000-00004B9C0000}"/>
    <cellStyle name="Normal 3 7 5 3 3" xfId="13129" xr:uid="{00000000-0005-0000-0000-00004C9C0000}"/>
    <cellStyle name="Normal 3 7 5 3 3 2" xfId="26697" xr:uid="{00000000-0005-0000-0000-00004D9C0000}"/>
    <cellStyle name="Normal 3 7 5 3 3 2 2" xfId="53830" xr:uid="{00000000-0005-0000-0000-00004E9C0000}"/>
    <cellStyle name="Normal 3 7 5 3 3 3" xfId="40268" xr:uid="{00000000-0005-0000-0000-00004F9C0000}"/>
    <cellStyle name="Normal 3 7 5 3 4" xfId="19916" xr:uid="{00000000-0005-0000-0000-0000509C0000}"/>
    <cellStyle name="Normal 3 7 5 3 4 2" xfId="47049" xr:uid="{00000000-0005-0000-0000-0000519C0000}"/>
    <cellStyle name="Normal 3 7 5 3 5" xfId="33487" xr:uid="{00000000-0005-0000-0000-0000529C0000}"/>
    <cellStyle name="Normal 3 7 5 4" xfId="6186" xr:uid="{00000000-0005-0000-0000-0000539C0000}"/>
    <cellStyle name="Normal 3 7 5 4 2" xfId="9729" xr:uid="{00000000-0005-0000-0000-0000549C0000}"/>
    <cellStyle name="Normal 3 7 5 4 2 2" xfId="16519" xr:uid="{00000000-0005-0000-0000-0000559C0000}"/>
    <cellStyle name="Normal 3 7 5 4 2 2 2" xfId="30087" xr:uid="{00000000-0005-0000-0000-0000569C0000}"/>
    <cellStyle name="Normal 3 7 5 4 2 2 2 2" xfId="57220" xr:uid="{00000000-0005-0000-0000-0000579C0000}"/>
    <cellStyle name="Normal 3 7 5 4 2 2 3" xfId="43658" xr:uid="{00000000-0005-0000-0000-0000589C0000}"/>
    <cellStyle name="Normal 3 7 5 4 2 3" xfId="23306" xr:uid="{00000000-0005-0000-0000-0000599C0000}"/>
    <cellStyle name="Normal 3 7 5 4 2 3 2" xfId="50439" xr:uid="{00000000-0005-0000-0000-00005A9C0000}"/>
    <cellStyle name="Normal 3 7 5 4 2 4" xfId="36877" xr:uid="{00000000-0005-0000-0000-00005B9C0000}"/>
    <cellStyle name="Normal 3 7 5 4 3" xfId="13130" xr:uid="{00000000-0005-0000-0000-00005C9C0000}"/>
    <cellStyle name="Normal 3 7 5 4 3 2" xfId="26698" xr:uid="{00000000-0005-0000-0000-00005D9C0000}"/>
    <cellStyle name="Normal 3 7 5 4 3 2 2" xfId="53831" xr:uid="{00000000-0005-0000-0000-00005E9C0000}"/>
    <cellStyle name="Normal 3 7 5 4 3 3" xfId="40269" xr:uid="{00000000-0005-0000-0000-00005F9C0000}"/>
    <cellStyle name="Normal 3 7 5 4 4" xfId="19917" xr:uid="{00000000-0005-0000-0000-0000609C0000}"/>
    <cellStyle name="Normal 3 7 5 4 4 2" xfId="47050" xr:uid="{00000000-0005-0000-0000-0000619C0000}"/>
    <cellStyle name="Normal 3 7 5 4 5" xfId="33488" xr:uid="{00000000-0005-0000-0000-0000629C0000}"/>
    <cellStyle name="Normal 3 7 5 5" xfId="9724" xr:uid="{00000000-0005-0000-0000-0000639C0000}"/>
    <cellStyle name="Normal 3 7 5 5 2" xfId="16514" xr:uid="{00000000-0005-0000-0000-0000649C0000}"/>
    <cellStyle name="Normal 3 7 5 5 2 2" xfId="30082" xr:uid="{00000000-0005-0000-0000-0000659C0000}"/>
    <cellStyle name="Normal 3 7 5 5 2 2 2" xfId="57215" xr:uid="{00000000-0005-0000-0000-0000669C0000}"/>
    <cellStyle name="Normal 3 7 5 5 2 3" xfId="43653" xr:uid="{00000000-0005-0000-0000-0000679C0000}"/>
    <cellStyle name="Normal 3 7 5 5 3" xfId="23301" xr:uid="{00000000-0005-0000-0000-0000689C0000}"/>
    <cellStyle name="Normal 3 7 5 5 3 2" xfId="50434" xr:uid="{00000000-0005-0000-0000-0000699C0000}"/>
    <cellStyle name="Normal 3 7 5 5 4" xfId="36872" xr:uid="{00000000-0005-0000-0000-00006A9C0000}"/>
    <cellStyle name="Normal 3 7 5 6" xfId="13125" xr:uid="{00000000-0005-0000-0000-00006B9C0000}"/>
    <cellStyle name="Normal 3 7 5 6 2" xfId="26693" xr:uid="{00000000-0005-0000-0000-00006C9C0000}"/>
    <cellStyle name="Normal 3 7 5 6 2 2" xfId="53826" xr:uid="{00000000-0005-0000-0000-00006D9C0000}"/>
    <cellStyle name="Normal 3 7 5 6 3" xfId="40264" xr:uid="{00000000-0005-0000-0000-00006E9C0000}"/>
    <cellStyle name="Normal 3 7 5 7" xfId="19912" xr:uid="{00000000-0005-0000-0000-00006F9C0000}"/>
    <cellStyle name="Normal 3 7 5 7 2" xfId="47045" xr:uid="{00000000-0005-0000-0000-0000709C0000}"/>
    <cellStyle name="Normal 3 7 5 8" xfId="33483" xr:uid="{00000000-0005-0000-0000-0000719C0000}"/>
    <cellStyle name="Normal 3 7 6" xfId="6187" xr:uid="{00000000-0005-0000-0000-0000729C0000}"/>
    <cellStyle name="Normal 3 7 6 2" xfId="6188" xr:uid="{00000000-0005-0000-0000-0000739C0000}"/>
    <cellStyle name="Normal 3 7 6 2 2" xfId="9731" xr:uid="{00000000-0005-0000-0000-0000749C0000}"/>
    <cellStyle name="Normal 3 7 6 2 2 2" xfId="16521" xr:uid="{00000000-0005-0000-0000-0000759C0000}"/>
    <cellStyle name="Normal 3 7 6 2 2 2 2" xfId="30089" xr:uid="{00000000-0005-0000-0000-0000769C0000}"/>
    <cellStyle name="Normal 3 7 6 2 2 2 2 2" xfId="57222" xr:uid="{00000000-0005-0000-0000-0000779C0000}"/>
    <cellStyle name="Normal 3 7 6 2 2 2 3" xfId="43660" xr:uid="{00000000-0005-0000-0000-0000789C0000}"/>
    <cellStyle name="Normal 3 7 6 2 2 3" xfId="23308" xr:uid="{00000000-0005-0000-0000-0000799C0000}"/>
    <cellStyle name="Normal 3 7 6 2 2 3 2" xfId="50441" xr:uid="{00000000-0005-0000-0000-00007A9C0000}"/>
    <cellStyle name="Normal 3 7 6 2 2 4" xfId="36879" xr:uid="{00000000-0005-0000-0000-00007B9C0000}"/>
    <cellStyle name="Normal 3 7 6 2 3" xfId="13132" xr:uid="{00000000-0005-0000-0000-00007C9C0000}"/>
    <cellStyle name="Normal 3 7 6 2 3 2" xfId="26700" xr:uid="{00000000-0005-0000-0000-00007D9C0000}"/>
    <cellStyle name="Normal 3 7 6 2 3 2 2" xfId="53833" xr:uid="{00000000-0005-0000-0000-00007E9C0000}"/>
    <cellStyle name="Normal 3 7 6 2 3 3" xfId="40271" xr:uid="{00000000-0005-0000-0000-00007F9C0000}"/>
    <cellStyle name="Normal 3 7 6 2 4" xfId="19919" xr:uid="{00000000-0005-0000-0000-0000809C0000}"/>
    <cellStyle name="Normal 3 7 6 2 4 2" xfId="47052" xr:uid="{00000000-0005-0000-0000-0000819C0000}"/>
    <cellStyle name="Normal 3 7 6 2 5" xfId="33490" xr:uid="{00000000-0005-0000-0000-0000829C0000}"/>
    <cellStyle name="Normal 3 7 6 3" xfId="6189" xr:uid="{00000000-0005-0000-0000-0000839C0000}"/>
    <cellStyle name="Normal 3 7 6 3 2" xfId="9732" xr:uid="{00000000-0005-0000-0000-0000849C0000}"/>
    <cellStyle name="Normal 3 7 6 3 2 2" xfId="16522" xr:uid="{00000000-0005-0000-0000-0000859C0000}"/>
    <cellStyle name="Normal 3 7 6 3 2 2 2" xfId="30090" xr:uid="{00000000-0005-0000-0000-0000869C0000}"/>
    <cellStyle name="Normal 3 7 6 3 2 2 2 2" xfId="57223" xr:uid="{00000000-0005-0000-0000-0000879C0000}"/>
    <cellStyle name="Normal 3 7 6 3 2 2 3" xfId="43661" xr:uid="{00000000-0005-0000-0000-0000889C0000}"/>
    <cellStyle name="Normal 3 7 6 3 2 3" xfId="23309" xr:uid="{00000000-0005-0000-0000-0000899C0000}"/>
    <cellStyle name="Normal 3 7 6 3 2 3 2" xfId="50442" xr:uid="{00000000-0005-0000-0000-00008A9C0000}"/>
    <cellStyle name="Normal 3 7 6 3 2 4" xfId="36880" xr:uid="{00000000-0005-0000-0000-00008B9C0000}"/>
    <cellStyle name="Normal 3 7 6 3 3" xfId="13133" xr:uid="{00000000-0005-0000-0000-00008C9C0000}"/>
    <cellStyle name="Normal 3 7 6 3 3 2" xfId="26701" xr:uid="{00000000-0005-0000-0000-00008D9C0000}"/>
    <cellStyle name="Normal 3 7 6 3 3 2 2" xfId="53834" xr:uid="{00000000-0005-0000-0000-00008E9C0000}"/>
    <cellStyle name="Normal 3 7 6 3 3 3" xfId="40272" xr:uid="{00000000-0005-0000-0000-00008F9C0000}"/>
    <cellStyle name="Normal 3 7 6 3 4" xfId="19920" xr:uid="{00000000-0005-0000-0000-0000909C0000}"/>
    <cellStyle name="Normal 3 7 6 3 4 2" xfId="47053" xr:uid="{00000000-0005-0000-0000-0000919C0000}"/>
    <cellStyle name="Normal 3 7 6 3 5" xfId="33491" xr:uid="{00000000-0005-0000-0000-0000929C0000}"/>
    <cellStyle name="Normal 3 7 6 4" xfId="9730" xr:uid="{00000000-0005-0000-0000-0000939C0000}"/>
    <cellStyle name="Normal 3 7 6 4 2" xfId="16520" xr:uid="{00000000-0005-0000-0000-0000949C0000}"/>
    <cellStyle name="Normal 3 7 6 4 2 2" xfId="30088" xr:uid="{00000000-0005-0000-0000-0000959C0000}"/>
    <cellStyle name="Normal 3 7 6 4 2 2 2" xfId="57221" xr:uid="{00000000-0005-0000-0000-0000969C0000}"/>
    <cellStyle name="Normal 3 7 6 4 2 3" xfId="43659" xr:uid="{00000000-0005-0000-0000-0000979C0000}"/>
    <cellStyle name="Normal 3 7 6 4 3" xfId="23307" xr:uid="{00000000-0005-0000-0000-0000989C0000}"/>
    <cellStyle name="Normal 3 7 6 4 3 2" xfId="50440" xr:uid="{00000000-0005-0000-0000-0000999C0000}"/>
    <cellStyle name="Normal 3 7 6 4 4" xfId="36878" xr:uid="{00000000-0005-0000-0000-00009A9C0000}"/>
    <cellStyle name="Normal 3 7 6 5" xfId="13131" xr:uid="{00000000-0005-0000-0000-00009B9C0000}"/>
    <cellStyle name="Normal 3 7 6 5 2" xfId="26699" xr:uid="{00000000-0005-0000-0000-00009C9C0000}"/>
    <cellStyle name="Normal 3 7 6 5 2 2" xfId="53832" xr:uid="{00000000-0005-0000-0000-00009D9C0000}"/>
    <cellStyle name="Normal 3 7 6 5 3" xfId="40270" xr:uid="{00000000-0005-0000-0000-00009E9C0000}"/>
    <cellStyle name="Normal 3 7 6 6" xfId="19918" xr:uid="{00000000-0005-0000-0000-00009F9C0000}"/>
    <cellStyle name="Normal 3 7 6 6 2" xfId="47051" xr:uid="{00000000-0005-0000-0000-0000A09C0000}"/>
    <cellStyle name="Normal 3 7 6 7" xfId="33489" xr:uid="{00000000-0005-0000-0000-0000A19C0000}"/>
    <cellStyle name="Normal 3 7 7" xfId="6190" xr:uid="{00000000-0005-0000-0000-0000A29C0000}"/>
    <cellStyle name="Normal 3 7 7 2" xfId="6191" xr:uid="{00000000-0005-0000-0000-0000A39C0000}"/>
    <cellStyle name="Normal 3 7 7 2 2" xfId="9734" xr:uid="{00000000-0005-0000-0000-0000A49C0000}"/>
    <cellStyle name="Normal 3 7 7 2 2 2" xfId="16524" xr:uid="{00000000-0005-0000-0000-0000A59C0000}"/>
    <cellStyle name="Normal 3 7 7 2 2 2 2" xfId="30092" xr:uid="{00000000-0005-0000-0000-0000A69C0000}"/>
    <cellStyle name="Normal 3 7 7 2 2 2 2 2" xfId="57225" xr:uid="{00000000-0005-0000-0000-0000A79C0000}"/>
    <cellStyle name="Normal 3 7 7 2 2 2 3" xfId="43663" xr:uid="{00000000-0005-0000-0000-0000A89C0000}"/>
    <cellStyle name="Normal 3 7 7 2 2 3" xfId="23311" xr:uid="{00000000-0005-0000-0000-0000A99C0000}"/>
    <cellStyle name="Normal 3 7 7 2 2 3 2" xfId="50444" xr:uid="{00000000-0005-0000-0000-0000AA9C0000}"/>
    <cellStyle name="Normal 3 7 7 2 2 4" xfId="36882" xr:uid="{00000000-0005-0000-0000-0000AB9C0000}"/>
    <cellStyle name="Normal 3 7 7 2 3" xfId="13135" xr:uid="{00000000-0005-0000-0000-0000AC9C0000}"/>
    <cellStyle name="Normal 3 7 7 2 3 2" xfId="26703" xr:uid="{00000000-0005-0000-0000-0000AD9C0000}"/>
    <cellStyle name="Normal 3 7 7 2 3 2 2" xfId="53836" xr:uid="{00000000-0005-0000-0000-0000AE9C0000}"/>
    <cellStyle name="Normal 3 7 7 2 3 3" xfId="40274" xr:uid="{00000000-0005-0000-0000-0000AF9C0000}"/>
    <cellStyle name="Normal 3 7 7 2 4" xfId="19922" xr:uid="{00000000-0005-0000-0000-0000B09C0000}"/>
    <cellStyle name="Normal 3 7 7 2 4 2" xfId="47055" xr:uid="{00000000-0005-0000-0000-0000B19C0000}"/>
    <cellStyle name="Normal 3 7 7 2 5" xfId="33493" xr:uid="{00000000-0005-0000-0000-0000B29C0000}"/>
    <cellStyle name="Normal 3 7 7 3" xfId="6192" xr:uid="{00000000-0005-0000-0000-0000B39C0000}"/>
    <cellStyle name="Normal 3 7 7 3 2" xfId="9735" xr:uid="{00000000-0005-0000-0000-0000B49C0000}"/>
    <cellStyle name="Normal 3 7 7 3 2 2" xfId="16525" xr:uid="{00000000-0005-0000-0000-0000B59C0000}"/>
    <cellStyle name="Normal 3 7 7 3 2 2 2" xfId="30093" xr:uid="{00000000-0005-0000-0000-0000B69C0000}"/>
    <cellStyle name="Normal 3 7 7 3 2 2 2 2" xfId="57226" xr:uid="{00000000-0005-0000-0000-0000B79C0000}"/>
    <cellStyle name="Normal 3 7 7 3 2 2 3" xfId="43664" xr:uid="{00000000-0005-0000-0000-0000B89C0000}"/>
    <cellStyle name="Normal 3 7 7 3 2 3" xfId="23312" xr:uid="{00000000-0005-0000-0000-0000B99C0000}"/>
    <cellStyle name="Normal 3 7 7 3 2 3 2" xfId="50445" xr:uid="{00000000-0005-0000-0000-0000BA9C0000}"/>
    <cellStyle name="Normal 3 7 7 3 2 4" xfId="36883" xr:uid="{00000000-0005-0000-0000-0000BB9C0000}"/>
    <cellStyle name="Normal 3 7 7 3 3" xfId="13136" xr:uid="{00000000-0005-0000-0000-0000BC9C0000}"/>
    <cellStyle name="Normal 3 7 7 3 3 2" xfId="26704" xr:uid="{00000000-0005-0000-0000-0000BD9C0000}"/>
    <cellStyle name="Normal 3 7 7 3 3 2 2" xfId="53837" xr:uid="{00000000-0005-0000-0000-0000BE9C0000}"/>
    <cellStyle name="Normal 3 7 7 3 3 3" xfId="40275" xr:uid="{00000000-0005-0000-0000-0000BF9C0000}"/>
    <cellStyle name="Normal 3 7 7 3 4" xfId="19923" xr:uid="{00000000-0005-0000-0000-0000C09C0000}"/>
    <cellStyle name="Normal 3 7 7 3 4 2" xfId="47056" xr:uid="{00000000-0005-0000-0000-0000C19C0000}"/>
    <cellStyle name="Normal 3 7 7 3 5" xfId="33494" xr:uid="{00000000-0005-0000-0000-0000C29C0000}"/>
    <cellStyle name="Normal 3 7 7 4" xfId="9733" xr:uid="{00000000-0005-0000-0000-0000C39C0000}"/>
    <cellStyle name="Normal 3 7 7 4 2" xfId="16523" xr:uid="{00000000-0005-0000-0000-0000C49C0000}"/>
    <cellStyle name="Normal 3 7 7 4 2 2" xfId="30091" xr:uid="{00000000-0005-0000-0000-0000C59C0000}"/>
    <cellStyle name="Normal 3 7 7 4 2 2 2" xfId="57224" xr:uid="{00000000-0005-0000-0000-0000C69C0000}"/>
    <cellStyle name="Normal 3 7 7 4 2 3" xfId="43662" xr:uid="{00000000-0005-0000-0000-0000C79C0000}"/>
    <cellStyle name="Normal 3 7 7 4 3" xfId="23310" xr:uid="{00000000-0005-0000-0000-0000C89C0000}"/>
    <cellStyle name="Normal 3 7 7 4 3 2" xfId="50443" xr:uid="{00000000-0005-0000-0000-0000C99C0000}"/>
    <cellStyle name="Normal 3 7 7 4 4" xfId="36881" xr:uid="{00000000-0005-0000-0000-0000CA9C0000}"/>
    <cellStyle name="Normal 3 7 7 5" xfId="13134" xr:uid="{00000000-0005-0000-0000-0000CB9C0000}"/>
    <cellStyle name="Normal 3 7 7 5 2" xfId="26702" xr:uid="{00000000-0005-0000-0000-0000CC9C0000}"/>
    <cellStyle name="Normal 3 7 7 5 2 2" xfId="53835" xr:uid="{00000000-0005-0000-0000-0000CD9C0000}"/>
    <cellStyle name="Normal 3 7 7 5 3" xfId="40273" xr:uid="{00000000-0005-0000-0000-0000CE9C0000}"/>
    <cellStyle name="Normal 3 7 7 6" xfId="19921" xr:uid="{00000000-0005-0000-0000-0000CF9C0000}"/>
    <cellStyle name="Normal 3 7 7 6 2" xfId="47054" xr:uid="{00000000-0005-0000-0000-0000D09C0000}"/>
    <cellStyle name="Normal 3 7 7 7" xfId="33492" xr:uid="{00000000-0005-0000-0000-0000D19C0000}"/>
    <cellStyle name="Normal 3 7 8" xfId="6193" xr:uid="{00000000-0005-0000-0000-0000D29C0000}"/>
    <cellStyle name="Normal 3 7 8 2" xfId="9736" xr:uid="{00000000-0005-0000-0000-0000D39C0000}"/>
    <cellStyle name="Normal 3 7 8 2 2" xfId="16526" xr:uid="{00000000-0005-0000-0000-0000D49C0000}"/>
    <cellStyle name="Normal 3 7 8 2 2 2" xfId="30094" xr:uid="{00000000-0005-0000-0000-0000D59C0000}"/>
    <cellStyle name="Normal 3 7 8 2 2 2 2" xfId="57227" xr:uid="{00000000-0005-0000-0000-0000D69C0000}"/>
    <cellStyle name="Normal 3 7 8 2 2 3" xfId="43665" xr:uid="{00000000-0005-0000-0000-0000D79C0000}"/>
    <cellStyle name="Normal 3 7 8 2 3" xfId="23313" xr:uid="{00000000-0005-0000-0000-0000D89C0000}"/>
    <cellStyle name="Normal 3 7 8 2 3 2" xfId="50446" xr:uid="{00000000-0005-0000-0000-0000D99C0000}"/>
    <cellStyle name="Normal 3 7 8 2 4" xfId="36884" xr:uid="{00000000-0005-0000-0000-0000DA9C0000}"/>
    <cellStyle name="Normal 3 7 8 3" xfId="13137" xr:uid="{00000000-0005-0000-0000-0000DB9C0000}"/>
    <cellStyle name="Normal 3 7 8 3 2" xfId="26705" xr:uid="{00000000-0005-0000-0000-0000DC9C0000}"/>
    <cellStyle name="Normal 3 7 8 3 2 2" xfId="53838" xr:uid="{00000000-0005-0000-0000-0000DD9C0000}"/>
    <cellStyle name="Normal 3 7 8 3 3" xfId="40276" xr:uid="{00000000-0005-0000-0000-0000DE9C0000}"/>
    <cellStyle name="Normal 3 7 8 4" xfId="19924" xr:uid="{00000000-0005-0000-0000-0000DF9C0000}"/>
    <cellStyle name="Normal 3 7 8 4 2" xfId="47057" xr:uid="{00000000-0005-0000-0000-0000E09C0000}"/>
    <cellStyle name="Normal 3 7 8 5" xfId="33495" xr:uid="{00000000-0005-0000-0000-0000E19C0000}"/>
    <cellStyle name="Normal 3 7 9" xfId="6194" xr:uid="{00000000-0005-0000-0000-0000E29C0000}"/>
    <cellStyle name="Normal 3 7 9 2" xfId="9737" xr:uid="{00000000-0005-0000-0000-0000E39C0000}"/>
    <cellStyle name="Normal 3 7 9 2 2" xfId="16527" xr:uid="{00000000-0005-0000-0000-0000E49C0000}"/>
    <cellStyle name="Normal 3 7 9 2 2 2" xfId="30095" xr:uid="{00000000-0005-0000-0000-0000E59C0000}"/>
    <cellStyle name="Normal 3 7 9 2 2 2 2" xfId="57228" xr:uid="{00000000-0005-0000-0000-0000E69C0000}"/>
    <cellStyle name="Normal 3 7 9 2 2 3" xfId="43666" xr:uid="{00000000-0005-0000-0000-0000E79C0000}"/>
    <cellStyle name="Normal 3 7 9 2 3" xfId="23314" xr:uid="{00000000-0005-0000-0000-0000E89C0000}"/>
    <cellStyle name="Normal 3 7 9 2 3 2" xfId="50447" xr:uid="{00000000-0005-0000-0000-0000E99C0000}"/>
    <cellStyle name="Normal 3 7 9 2 4" xfId="36885" xr:uid="{00000000-0005-0000-0000-0000EA9C0000}"/>
    <cellStyle name="Normal 3 7 9 3" xfId="13138" xr:uid="{00000000-0005-0000-0000-0000EB9C0000}"/>
    <cellStyle name="Normal 3 7 9 3 2" xfId="26706" xr:uid="{00000000-0005-0000-0000-0000EC9C0000}"/>
    <cellStyle name="Normal 3 7 9 3 2 2" xfId="53839" xr:uid="{00000000-0005-0000-0000-0000ED9C0000}"/>
    <cellStyle name="Normal 3 7 9 3 3" xfId="40277" xr:uid="{00000000-0005-0000-0000-0000EE9C0000}"/>
    <cellStyle name="Normal 3 7 9 4" xfId="19925" xr:uid="{00000000-0005-0000-0000-0000EF9C0000}"/>
    <cellStyle name="Normal 3 7 9 4 2" xfId="47058" xr:uid="{00000000-0005-0000-0000-0000F09C0000}"/>
    <cellStyle name="Normal 3 7 9 5" xfId="33496" xr:uid="{00000000-0005-0000-0000-0000F19C0000}"/>
    <cellStyle name="Normal 3 8" xfId="2758" xr:uid="{00000000-0005-0000-0000-0000F29C0000}"/>
    <cellStyle name="Normal 3 8 10" xfId="17759" xr:uid="{00000000-0005-0000-0000-0000F39C0000}"/>
    <cellStyle name="Normal 3 8 10 2" xfId="44892" xr:uid="{00000000-0005-0000-0000-0000F49C0000}"/>
    <cellStyle name="Normal 3 8 11" xfId="31330" xr:uid="{00000000-0005-0000-0000-0000F59C0000}"/>
    <cellStyle name="Normal 3 8 2" xfId="2759" xr:uid="{00000000-0005-0000-0000-0000F69C0000}"/>
    <cellStyle name="Normal 3 8 2 2" xfId="6195" xr:uid="{00000000-0005-0000-0000-0000F79C0000}"/>
    <cellStyle name="Normal 3 8 2 2 2" xfId="6196" xr:uid="{00000000-0005-0000-0000-0000F89C0000}"/>
    <cellStyle name="Normal 3 8 2 2 2 2" xfId="9739" xr:uid="{00000000-0005-0000-0000-0000F99C0000}"/>
    <cellStyle name="Normal 3 8 2 2 2 2 2" xfId="16529" xr:uid="{00000000-0005-0000-0000-0000FA9C0000}"/>
    <cellStyle name="Normal 3 8 2 2 2 2 2 2" xfId="30097" xr:uid="{00000000-0005-0000-0000-0000FB9C0000}"/>
    <cellStyle name="Normal 3 8 2 2 2 2 2 2 2" xfId="57230" xr:uid="{00000000-0005-0000-0000-0000FC9C0000}"/>
    <cellStyle name="Normal 3 8 2 2 2 2 2 3" xfId="43668" xr:uid="{00000000-0005-0000-0000-0000FD9C0000}"/>
    <cellStyle name="Normal 3 8 2 2 2 2 3" xfId="23316" xr:uid="{00000000-0005-0000-0000-0000FE9C0000}"/>
    <cellStyle name="Normal 3 8 2 2 2 2 3 2" xfId="50449" xr:uid="{00000000-0005-0000-0000-0000FF9C0000}"/>
    <cellStyle name="Normal 3 8 2 2 2 2 4" xfId="36887" xr:uid="{00000000-0005-0000-0000-0000009D0000}"/>
    <cellStyle name="Normal 3 8 2 2 2 3" xfId="13140" xr:uid="{00000000-0005-0000-0000-0000019D0000}"/>
    <cellStyle name="Normal 3 8 2 2 2 3 2" xfId="26708" xr:uid="{00000000-0005-0000-0000-0000029D0000}"/>
    <cellStyle name="Normal 3 8 2 2 2 3 2 2" xfId="53841" xr:uid="{00000000-0005-0000-0000-0000039D0000}"/>
    <cellStyle name="Normal 3 8 2 2 2 3 3" xfId="40279" xr:uid="{00000000-0005-0000-0000-0000049D0000}"/>
    <cellStyle name="Normal 3 8 2 2 2 4" xfId="19927" xr:uid="{00000000-0005-0000-0000-0000059D0000}"/>
    <cellStyle name="Normal 3 8 2 2 2 4 2" xfId="47060" xr:uid="{00000000-0005-0000-0000-0000069D0000}"/>
    <cellStyle name="Normal 3 8 2 2 2 5" xfId="33498" xr:uid="{00000000-0005-0000-0000-0000079D0000}"/>
    <cellStyle name="Normal 3 8 2 2 3" xfId="6197" xr:uid="{00000000-0005-0000-0000-0000089D0000}"/>
    <cellStyle name="Normal 3 8 2 2 3 2" xfId="9740" xr:uid="{00000000-0005-0000-0000-0000099D0000}"/>
    <cellStyle name="Normal 3 8 2 2 3 2 2" xfId="16530" xr:uid="{00000000-0005-0000-0000-00000A9D0000}"/>
    <cellStyle name="Normal 3 8 2 2 3 2 2 2" xfId="30098" xr:uid="{00000000-0005-0000-0000-00000B9D0000}"/>
    <cellStyle name="Normal 3 8 2 2 3 2 2 2 2" xfId="57231" xr:uid="{00000000-0005-0000-0000-00000C9D0000}"/>
    <cellStyle name="Normal 3 8 2 2 3 2 2 3" xfId="43669" xr:uid="{00000000-0005-0000-0000-00000D9D0000}"/>
    <cellStyle name="Normal 3 8 2 2 3 2 3" xfId="23317" xr:uid="{00000000-0005-0000-0000-00000E9D0000}"/>
    <cellStyle name="Normal 3 8 2 2 3 2 3 2" xfId="50450" xr:uid="{00000000-0005-0000-0000-00000F9D0000}"/>
    <cellStyle name="Normal 3 8 2 2 3 2 4" xfId="36888" xr:uid="{00000000-0005-0000-0000-0000109D0000}"/>
    <cellStyle name="Normal 3 8 2 2 3 3" xfId="13141" xr:uid="{00000000-0005-0000-0000-0000119D0000}"/>
    <cellStyle name="Normal 3 8 2 2 3 3 2" xfId="26709" xr:uid="{00000000-0005-0000-0000-0000129D0000}"/>
    <cellStyle name="Normal 3 8 2 2 3 3 2 2" xfId="53842" xr:uid="{00000000-0005-0000-0000-0000139D0000}"/>
    <cellStyle name="Normal 3 8 2 2 3 3 3" xfId="40280" xr:uid="{00000000-0005-0000-0000-0000149D0000}"/>
    <cellStyle name="Normal 3 8 2 2 3 4" xfId="19928" xr:uid="{00000000-0005-0000-0000-0000159D0000}"/>
    <cellStyle name="Normal 3 8 2 2 3 4 2" xfId="47061" xr:uid="{00000000-0005-0000-0000-0000169D0000}"/>
    <cellStyle name="Normal 3 8 2 2 3 5" xfId="33499" xr:uid="{00000000-0005-0000-0000-0000179D0000}"/>
    <cellStyle name="Normal 3 8 2 2 4" xfId="9738" xr:uid="{00000000-0005-0000-0000-0000189D0000}"/>
    <cellStyle name="Normal 3 8 2 2 4 2" xfId="16528" xr:uid="{00000000-0005-0000-0000-0000199D0000}"/>
    <cellStyle name="Normal 3 8 2 2 4 2 2" xfId="30096" xr:uid="{00000000-0005-0000-0000-00001A9D0000}"/>
    <cellStyle name="Normal 3 8 2 2 4 2 2 2" xfId="57229" xr:uid="{00000000-0005-0000-0000-00001B9D0000}"/>
    <cellStyle name="Normal 3 8 2 2 4 2 3" xfId="43667" xr:uid="{00000000-0005-0000-0000-00001C9D0000}"/>
    <cellStyle name="Normal 3 8 2 2 4 3" xfId="23315" xr:uid="{00000000-0005-0000-0000-00001D9D0000}"/>
    <cellStyle name="Normal 3 8 2 2 4 3 2" xfId="50448" xr:uid="{00000000-0005-0000-0000-00001E9D0000}"/>
    <cellStyle name="Normal 3 8 2 2 4 4" xfId="36886" xr:uid="{00000000-0005-0000-0000-00001F9D0000}"/>
    <cellStyle name="Normal 3 8 2 2 5" xfId="13139" xr:uid="{00000000-0005-0000-0000-0000209D0000}"/>
    <cellStyle name="Normal 3 8 2 2 5 2" xfId="26707" xr:uid="{00000000-0005-0000-0000-0000219D0000}"/>
    <cellStyle name="Normal 3 8 2 2 5 2 2" xfId="53840" xr:uid="{00000000-0005-0000-0000-0000229D0000}"/>
    <cellStyle name="Normal 3 8 2 2 5 3" xfId="40278" xr:uid="{00000000-0005-0000-0000-0000239D0000}"/>
    <cellStyle name="Normal 3 8 2 2 6" xfId="19926" xr:uid="{00000000-0005-0000-0000-0000249D0000}"/>
    <cellStyle name="Normal 3 8 2 2 6 2" xfId="47059" xr:uid="{00000000-0005-0000-0000-0000259D0000}"/>
    <cellStyle name="Normal 3 8 2 2 7" xfId="33497" xr:uid="{00000000-0005-0000-0000-0000269D0000}"/>
    <cellStyle name="Normal 3 8 2 3" xfId="6198" xr:uid="{00000000-0005-0000-0000-0000279D0000}"/>
    <cellStyle name="Normal 3 8 2 3 2" xfId="6199" xr:uid="{00000000-0005-0000-0000-0000289D0000}"/>
    <cellStyle name="Normal 3 8 2 3 2 2" xfId="9742" xr:uid="{00000000-0005-0000-0000-0000299D0000}"/>
    <cellStyle name="Normal 3 8 2 3 2 2 2" xfId="16532" xr:uid="{00000000-0005-0000-0000-00002A9D0000}"/>
    <cellStyle name="Normal 3 8 2 3 2 2 2 2" xfId="30100" xr:uid="{00000000-0005-0000-0000-00002B9D0000}"/>
    <cellStyle name="Normal 3 8 2 3 2 2 2 2 2" xfId="57233" xr:uid="{00000000-0005-0000-0000-00002C9D0000}"/>
    <cellStyle name="Normal 3 8 2 3 2 2 2 3" xfId="43671" xr:uid="{00000000-0005-0000-0000-00002D9D0000}"/>
    <cellStyle name="Normal 3 8 2 3 2 2 3" xfId="23319" xr:uid="{00000000-0005-0000-0000-00002E9D0000}"/>
    <cellStyle name="Normal 3 8 2 3 2 2 3 2" xfId="50452" xr:uid="{00000000-0005-0000-0000-00002F9D0000}"/>
    <cellStyle name="Normal 3 8 2 3 2 2 4" xfId="36890" xr:uid="{00000000-0005-0000-0000-0000309D0000}"/>
    <cellStyle name="Normal 3 8 2 3 2 3" xfId="13143" xr:uid="{00000000-0005-0000-0000-0000319D0000}"/>
    <cellStyle name="Normal 3 8 2 3 2 3 2" xfId="26711" xr:uid="{00000000-0005-0000-0000-0000329D0000}"/>
    <cellStyle name="Normal 3 8 2 3 2 3 2 2" xfId="53844" xr:uid="{00000000-0005-0000-0000-0000339D0000}"/>
    <cellStyle name="Normal 3 8 2 3 2 3 3" xfId="40282" xr:uid="{00000000-0005-0000-0000-0000349D0000}"/>
    <cellStyle name="Normal 3 8 2 3 2 4" xfId="19930" xr:uid="{00000000-0005-0000-0000-0000359D0000}"/>
    <cellStyle name="Normal 3 8 2 3 2 4 2" xfId="47063" xr:uid="{00000000-0005-0000-0000-0000369D0000}"/>
    <cellStyle name="Normal 3 8 2 3 2 5" xfId="33501" xr:uid="{00000000-0005-0000-0000-0000379D0000}"/>
    <cellStyle name="Normal 3 8 2 3 3" xfId="9741" xr:uid="{00000000-0005-0000-0000-0000389D0000}"/>
    <cellStyle name="Normal 3 8 2 3 3 2" xfId="16531" xr:uid="{00000000-0005-0000-0000-0000399D0000}"/>
    <cellStyle name="Normal 3 8 2 3 3 2 2" xfId="30099" xr:uid="{00000000-0005-0000-0000-00003A9D0000}"/>
    <cellStyle name="Normal 3 8 2 3 3 2 2 2" xfId="57232" xr:uid="{00000000-0005-0000-0000-00003B9D0000}"/>
    <cellStyle name="Normal 3 8 2 3 3 2 3" xfId="43670" xr:uid="{00000000-0005-0000-0000-00003C9D0000}"/>
    <cellStyle name="Normal 3 8 2 3 3 3" xfId="23318" xr:uid="{00000000-0005-0000-0000-00003D9D0000}"/>
    <cellStyle name="Normal 3 8 2 3 3 3 2" xfId="50451" xr:uid="{00000000-0005-0000-0000-00003E9D0000}"/>
    <cellStyle name="Normal 3 8 2 3 3 4" xfId="36889" xr:uid="{00000000-0005-0000-0000-00003F9D0000}"/>
    <cellStyle name="Normal 3 8 2 3 4" xfId="13142" xr:uid="{00000000-0005-0000-0000-0000409D0000}"/>
    <cellStyle name="Normal 3 8 2 3 4 2" xfId="26710" xr:uid="{00000000-0005-0000-0000-0000419D0000}"/>
    <cellStyle name="Normal 3 8 2 3 4 2 2" xfId="53843" xr:uid="{00000000-0005-0000-0000-0000429D0000}"/>
    <cellStyle name="Normal 3 8 2 3 4 3" xfId="40281" xr:uid="{00000000-0005-0000-0000-0000439D0000}"/>
    <cellStyle name="Normal 3 8 2 3 5" xfId="19929" xr:uid="{00000000-0005-0000-0000-0000449D0000}"/>
    <cellStyle name="Normal 3 8 2 3 5 2" xfId="47062" xr:uid="{00000000-0005-0000-0000-0000459D0000}"/>
    <cellStyle name="Normal 3 8 2 3 6" xfId="33500" xr:uid="{00000000-0005-0000-0000-0000469D0000}"/>
    <cellStyle name="Normal 3 8 2 4" xfId="6200" xr:uid="{00000000-0005-0000-0000-0000479D0000}"/>
    <cellStyle name="Normal 3 8 2 4 2" xfId="9743" xr:uid="{00000000-0005-0000-0000-0000489D0000}"/>
    <cellStyle name="Normal 3 8 2 4 2 2" xfId="16533" xr:uid="{00000000-0005-0000-0000-0000499D0000}"/>
    <cellStyle name="Normal 3 8 2 4 2 2 2" xfId="30101" xr:uid="{00000000-0005-0000-0000-00004A9D0000}"/>
    <cellStyle name="Normal 3 8 2 4 2 2 2 2" xfId="57234" xr:uid="{00000000-0005-0000-0000-00004B9D0000}"/>
    <cellStyle name="Normal 3 8 2 4 2 2 3" xfId="43672" xr:uid="{00000000-0005-0000-0000-00004C9D0000}"/>
    <cellStyle name="Normal 3 8 2 4 2 3" xfId="23320" xr:uid="{00000000-0005-0000-0000-00004D9D0000}"/>
    <cellStyle name="Normal 3 8 2 4 2 3 2" xfId="50453" xr:uid="{00000000-0005-0000-0000-00004E9D0000}"/>
    <cellStyle name="Normal 3 8 2 4 2 4" xfId="36891" xr:uid="{00000000-0005-0000-0000-00004F9D0000}"/>
    <cellStyle name="Normal 3 8 2 4 3" xfId="13144" xr:uid="{00000000-0005-0000-0000-0000509D0000}"/>
    <cellStyle name="Normal 3 8 2 4 3 2" xfId="26712" xr:uid="{00000000-0005-0000-0000-0000519D0000}"/>
    <cellStyle name="Normal 3 8 2 4 3 2 2" xfId="53845" xr:uid="{00000000-0005-0000-0000-0000529D0000}"/>
    <cellStyle name="Normal 3 8 2 4 3 3" xfId="40283" xr:uid="{00000000-0005-0000-0000-0000539D0000}"/>
    <cellStyle name="Normal 3 8 2 4 4" xfId="19931" xr:uid="{00000000-0005-0000-0000-0000549D0000}"/>
    <cellStyle name="Normal 3 8 2 4 4 2" xfId="47064" xr:uid="{00000000-0005-0000-0000-0000559D0000}"/>
    <cellStyle name="Normal 3 8 2 4 5" xfId="33502" xr:uid="{00000000-0005-0000-0000-0000569D0000}"/>
    <cellStyle name="Normal 3 8 2 5" xfId="6201" xr:uid="{00000000-0005-0000-0000-0000579D0000}"/>
    <cellStyle name="Normal 3 8 2 5 2" xfId="9744" xr:uid="{00000000-0005-0000-0000-0000589D0000}"/>
    <cellStyle name="Normal 3 8 2 5 2 2" xfId="16534" xr:uid="{00000000-0005-0000-0000-0000599D0000}"/>
    <cellStyle name="Normal 3 8 2 5 2 2 2" xfId="30102" xr:uid="{00000000-0005-0000-0000-00005A9D0000}"/>
    <cellStyle name="Normal 3 8 2 5 2 2 2 2" xfId="57235" xr:uid="{00000000-0005-0000-0000-00005B9D0000}"/>
    <cellStyle name="Normal 3 8 2 5 2 2 3" xfId="43673" xr:uid="{00000000-0005-0000-0000-00005C9D0000}"/>
    <cellStyle name="Normal 3 8 2 5 2 3" xfId="23321" xr:uid="{00000000-0005-0000-0000-00005D9D0000}"/>
    <cellStyle name="Normal 3 8 2 5 2 3 2" xfId="50454" xr:uid="{00000000-0005-0000-0000-00005E9D0000}"/>
    <cellStyle name="Normal 3 8 2 5 2 4" xfId="36892" xr:uid="{00000000-0005-0000-0000-00005F9D0000}"/>
    <cellStyle name="Normal 3 8 2 5 3" xfId="13145" xr:uid="{00000000-0005-0000-0000-0000609D0000}"/>
    <cellStyle name="Normal 3 8 2 5 3 2" xfId="26713" xr:uid="{00000000-0005-0000-0000-0000619D0000}"/>
    <cellStyle name="Normal 3 8 2 5 3 2 2" xfId="53846" xr:uid="{00000000-0005-0000-0000-0000629D0000}"/>
    <cellStyle name="Normal 3 8 2 5 3 3" xfId="40284" xr:uid="{00000000-0005-0000-0000-0000639D0000}"/>
    <cellStyle name="Normal 3 8 2 5 4" xfId="19932" xr:uid="{00000000-0005-0000-0000-0000649D0000}"/>
    <cellStyle name="Normal 3 8 2 5 4 2" xfId="47065" xr:uid="{00000000-0005-0000-0000-0000659D0000}"/>
    <cellStyle name="Normal 3 8 2 5 5" xfId="33503" xr:uid="{00000000-0005-0000-0000-0000669D0000}"/>
    <cellStyle name="Normal 3 8 2 6" xfId="7572" xr:uid="{00000000-0005-0000-0000-0000679D0000}"/>
    <cellStyle name="Normal 3 8 2 6 2" xfId="14362" xr:uid="{00000000-0005-0000-0000-0000689D0000}"/>
    <cellStyle name="Normal 3 8 2 6 2 2" xfId="27930" xr:uid="{00000000-0005-0000-0000-0000699D0000}"/>
    <cellStyle name="Normal 3 8 2 6 2 2 2" xfId="55063" xr:uid="{00000000-0005-0000-0000-00006A9D0000}"/>
    <cellStyle name="Normal 3 8 2 6 2 3" xfId="41501" xr:uid="{00000000-0005-0000-0000-00006B9D0000}"/>
    <cellStyle name="Normal 3 8 2 6 3" xfId="21149" xr:uid="{00000000-0005-0000-0000-00006C9D0000}"/>
    <cellStyle name="Normal 3 8 2 6 3 2" xfId="48282" xr:uid="{00000000-0005-0000-0000-00006D9D0000}"/>
    <cellStyle name="Normal 3 8 2 6 4" xfId="34720" xr:uid="{00000000-0005-0000-0000-00006E9D0000}"/>
    <cellStyle name="Normal 3 8 2 7" xfId="10973" xr:uid="{00000000-0005-0000-0000-00006F9D0000}"/>
    <cellStyle name="Normal 3 8 2 7 2" xfId="24541" xr:uid="{00000000-0005-0000-0000-0000709D0000}"/>
    <cellStyle name="Normal 3 8 2 7 2 2" xfId="51674" xr:uid="{00000000-0005-0000-0000-0000719D0000}"/>
    <cellStyle name="Normal 3 8 2 7 3" xfId="38112" xr:uid="{00000000-0005-0000-0000-0000729D0000}"/>
    <cellStyle name="Normal 3 8 2 8" xfId="17760" xr:uid="{00000000-0005-0000-0000-0000739D0000}"/>
    <cellStyle name="Normal 3 8 2 8 2" xfId="44893" xr:uid="{00000000-0005-0000-0000-0000749D0000}"/>
    <cellStyle name="Normal 3 8 2 9" xfId="31331" xr:uid="{00000000-0005-0000-0000-0000759D0000}"/>
    <cellStyle name="Normal 3 8 3" xfId="6202" xr:uid="{00000000-0005-0000-0000-0000769D0000}"/>
    <cellStyle name="Normal 3 8 3 2" xfId="6203" xr:uid="{00000000-0005-0000-0000-0000779D0000}"/>
    <cellStyle name="Normal 3 8 3 2 2" xfId="6204" xr:uid="{00000000-0005-0000-0000-0000789D0000}"/>
    <cellStyle name="Normal 3 8 3 2 2 2" xfId="9747" xr:uid="{00000000-0005-0000-0000-0000799D0000}"/>
    <cellStyle name="Normal 3 8 3 2 2 2 2" xfId="16537" xr:uid="{00000000-0005-0000-0000-00007A9D0000}"/>
    <cellStyle name="Normal 3 8 3 2 2 2 2 2" xfId="30105" xr:uid="{00000000-0005-0000-0000-00007B9D0000}"/>
    <cellStyle name="Normal 3 8 3 2 2 2 2 2 2" xfId="57238" xr:uid="{00000000-0005-0000-0000-00007C9D0000}"/>
    <cellStyle name="Normal 3 8 3 2 2 2 2 3" xfId="43676" xr:uid="{00000000-0005-0000-0000-00007D9D0000}"/>
    <cellStyle name="Normal 3 8 3 2 2 2 3" xfId="23324" xr:uid="{00000000-0005-0000-0000-00007E9D0000}"/>
    <cellStyle name="Normal 3 8 3 2 2 2 3 2" xfId="50457" xr:uid="{00000000-0005-0000-0000-00007F9D0000}"/>
    <cellStyle name="Normal 3 8 3 2 2 2 4" xfId="36895" xr:uid="{00000000-0005-0000-0000-0000809D0000}"/>
    <cellStyle name="Normal 3 8 3 2 2 3" xfId="13148" xr:uid="{00000000-0005-0000-0000-0000819D0000}"/>
    <cellStyle name="Normal 3 8 3 2 2 3 2" xfId="26716" xr:uid="{00000000-0005-0000-0000-0000829D0000}"/>
    <cellStyle name="Normal 3 8 3 2 2 3 2 2" xfId="53849" xr:uid="{00000000-0005-0000-0000-0000839D0000}"/>
    <cellStyle name="Normal 3 8 3 2 2 3 3" xfId="40287" xr:uid="{00000000-0005-0000-0000-0000849D0000}"/>
    <cellStyle name="Normal 3 8 3 2 2 4" xfId="19935" xr:uid="{00000000-0005-0000-0000-0000859D0000}"/>
    <cellStyle name="Normal 3 8 3 2 2 4 2" xfId="47068" xr:uid="{00000000-0005-0000-0000-0000869D0000}"/>
    <cellStyle name="Normal 3 8 3 2 2 5" xfId="33506" xr:uid="{00000000-0005-0000-0000-0000879D0000}"/>
    <cellStyle name="Normal 3 8 3 2 3" xfId="6205" xr:uid="{00000000-0005-0000-0000-0000889D0000}"/>
    <cellStyle name="Normal 3 8 3 2 3 2" xfId="9748" xr:uid="{00000000-0005-0000-0000-0000899D0000}"/>
    <cellStyle name="Normal 3 8 3 2 3 2 2" xfId="16538" xr:uid="{00000000-0005-0000-0000-00008A9D0000}"/>
    <cellStyle name="Normal 3 8 3 2 3 2 2 2" xfId="30106" xr:uid="{00000000-0005-0000-0000-00008B9D0000}"/>
    <cellStyle name="Normal 3 8 3 2 3 2 2 2 2" xfId="57239" xr:uid="{00000000-0005-0000-0000-00008C9D0000}"/>
    <cellStyle name="Normal 3 8 3 2 3 2 2 3" xfId="43677" xr:uid="{00000000-0005-0000-0000-00008D9D0000}"/>
    <cellStyle name="Normal 3 8 3 2 3 2 3" xfId="23325" xr:uid="{00000000-0005-0000-0000-00008E9D0000}"/>
    <cellStyle name="Normal 3 8 3 2 3 2 3 2" xfId="50458" xr:uid="{00000000-0005-0000-0000-00008F9D0000}"/>
    <cellStyle name="Normal 3 8 3 2 3 2 4" xfId="36896" xr:uid="{00000000-0005-0000-0000-0000909D0000}"/>
    <cellStyle name="Normal 3 8 3 2 3 3" xfId="13149" xr:uid="{00000000-0005-0000-0000-0000919D0000}"/>
    <cellStyle name="Normal 3 8 3 2 3 3 2" xfId="26717" xr:uid="{00000000-0005-0000-0000-0000929D0000}"/>
    <cellStyle name="Normal 3 8 3 2 3 3 2 2" xfId="53850" xr:uid="{00000000-0005-0000-0000-0000939D0000}"/>
    <cellStyle name="Normal 3 8 3 2 3 3 3" xfId="40288" xr:uid="{00000000-0005-0000-0000-0000949D0000}"/>
    <cellStyle name="Normal 3 8 3 2 3 4" xfId="19936" xr:uid="{00000000-0005-0000-0000-0000959D0000}"/>
    <cellStyle name="Normal 3 8 3 2 3 4 2" xfId="47069" xr:uid="{00000000-0005-0000-0000-0000969D0000}"/>
    <cellStyle name="Normal 3 8 3 2 3 5" xfId="33507" xr:uid="{00000000-0005-0000-0000-0000979D0000}"/>
    <cellStyle name="Normal 3 8 3 2 4" xfId="9746" xr:uid="{00000000-0005-0000-0000-0000989D0000}"/>
    <cellStyle name="Normal 3 8 3 2 4 2" xfId="16536" xr:uid="{00000000-0005-0000-0000-0000999D0000}"/>
    <cellStyle name="Normal 3 8 3 2 4 2 2" xfId="30104" xr:uid="{00000000-0005-0000-0000-00009A9D0000}"/>
    <cellStyle name="Normal 3 8 3 2 4 2 2 2" xfId="57237" xr:uid="{00000000-0005-0000-0000-00009B9D0000}"/>
    <cellStyle name="Normal 3 8 3 2 4 2 3" xfId="43675" xr:uid="{00000000-0005-0000-0000-00009C9D0000}"/>
    <cellStyle name="Normal 3 8 3 2 4 3" xfId="23323" xr:uid="{00000000-0005-0000-0000-00009D9D0000}"/>
    <cellStyle name="Normal 3 8 3 2 4 3 2" xfId="50456" xr:uid="{00000000-0005-0000-0000-00009E9D0000}"/>
    <cellStyle name="Normal 3 8 3 2 4 4" xfId="36894" xr:uid="{00000000-0005-0000-0000-00009F9D0000}"/>
    <cellStyle name="Normal 3 8 3 2 5" xfId="13147" xr:uid="{00000000-0005-0000-0000-0000A09D0000}"/>
    <cellStyle name="Normal 3 8 3 2 5 2" xfId="26715" xr:uid="{00000000-0005-0000-0000-0000A19D0000}"/>
    <cellStyle name="Normal 3 8 3 2 5 2 2" xfId="53848" xr:uid="{00000000-0005-0000-0000-0000A29D0000}"/>
    <cellStyle name="Normal 3 8 3 2 5 3" xfId="40286" xr:uid="{00000000-0005-0000-0000-0000A39D0000}"/>
    <cellStyle name="Normal 3 8 3 2 6" xfId="19934" xr:uid="{00000000-0005-0000-0000-0000A49D0000}"/>
    <cellStyle name="Normal 3 8 3 2 6 2" xfId="47067" xr:uid="{00000000-0005-0000-0000-0000A59D0000}"/>
    <cellStyle name="Normal 3 8 3 2 7" xfId="33505" xr:uid="{00000000-0005-0000-0000-0000A69D0000}"/>
    <cellStyle name="Normal 3 8 3 3" xfId="6206" xr:uid="{00000000-0005-0000-0000-0000A79D0000}"/>
    <cellStyle name="Normal 3 8 3 3 2" xfId="9749" xr:uid="{00000000-0005-0000-0000-0000A89D0000}"/>
    <cellStyle name="Normal 3 8 3 3 2 2" xfId="16539" xr:uid="{00000000-0005-0000-0000-0000A99D0000}"/>
    <cellStyle name="Normal 3 8 3 3 2 2 2" xfId="30107" xr:uid="{00000000-0005-0000-0000-0000AA9D0000}"/>
    <cellStyle name="Normal 3 8 3 3 2 2 2 2" xfId="57240" xr:uid="{00000000-0005-0000-0000-0000AB9D0000}"/>
    <cellStyle name="Normal 3 8 3 3 2 2 3" xfId="43678" xr:uid="{00000000-0005-0000-0000-0000AC9D0000}"/>
    <cellStyle name="Normal 3 8 3 3 2 3" xfId="23326" xr:uid="{00000000-0005-0000-0000-0000AD9D0000}"/>
    <cellStyle name="Normal 3 8 3 3 2 3 2" xfId="50459" xr:uid="{00000000-0005-0000-0000-0000AE9D0000}"/>
    <cellStyle name="Normal 3 8 3 3 2 4" xfId="36897" xr:uid="{00000000-0005-0000-0000-0000AF9D0000}"/>
    <cellStyle name="Normal 3 8 3 3 3" xfId="13150" xr:uid="{00000000-0005-0000-0000-0000B09D0000}"/>
    <cellStyle name="Normal 3 8 3 3 3 2" xfId="26718" xr:uid="{00000000-0005-0000-0000-0000B19D0000}"/>
    <cellStyle name="Normal 3 8 3 3 3 2 2" xfId="53851" xr:uid="{00000000-0005-0000-0000-0000B29D0000}"/>
    <cellStyle name="Normal 3 8 3 3 3 3" xfId="40289" xr:uid="{00000000-0005-0000-0000-0000B39D0000}"/>
    <cellStyle name="Normal 3 8 3 3 4" xfId="19937" xr:uid="{00000000-0005-0000-0000-0000B49D0000}"/>
    <cellStyle name="Normal 3 8 3 3 4 2" xfId="47070" xr:uid="{00000000-0005-0000-0000-0000B59D0000}"/>
    <cellStyle name="Normal 3 8 3 3 5" xfId="33508" xr:uid="{00000000-0005-0000-0000-0000B69D0000}"/>
    <cellStyle name="Normal 3 8 3 4" xfId="6207" xr:uid="{00000000-0005-0000-0000-0000B79D0000}"/>
    <cellStyle name="Normal 3 8 3 4 2" xfId="9750" xr:uid="{00000000-0005-0000-0000-0000B89D0000}"/>
    <cellStyle name="Normal 3 8 3 4 2 2" xfId="16540" xr:uid="{00000000-0005-0000-0000-0000B99D0000}"/>
    <cellStyle name="Normal 3 8 3 4 2 2 2" xfId="30108" xr:uid="{00000000-0005-0000-0000-0000BA9D0000}"/>
    <cellStyle name="Normal 3 8 3 4 2 2 2 2" xfId="57241" xr:uid="{00000000-0005-0000-0000-0000BB9D0000}"/>
    <cellStyle name="Normal 3 8 3 4 2 2 3" xfId="43679" xr:uid="{00000000-0005-0000-0000-0000BC9D0000}"/>
    <cellStyle name="Normal 3 8 3 4 2 3" xfId="23327" xr:uid="{00000000-0005-0000-0000-0000BD9D0000}"/>
    <cellStyle name="Normal 3 8 3 4 2 3 2" xfId="50460" xr:uid="{00000000-0005-0000-0000-0000BE9D0000}"/>
    <cellStyle name="Normal 3 8 3 4 2 4" xfId="36898" xr:uid="{00000000-0005-0000-0000-0000BF9D0000}"/>
    <cellStyle name="Normal 3 8 3 4 3" xfId="13151" xr:uid="{00000000-0005-0000-0000-0000C09D0000}"/>
    <cellStyle name="Normal 3 8 3 4 3 2" xfId="26719" xr:uid="{00000000-0005-0000-0000-0000C19D0000}"/>
    <cellStyle name="Normal 3 8 3 4 3 2 2" xfId="53852" xr:uid="{00000000-0005-0000-0000-0000C29D0000}"/>
    <cellStyle name="Normal 3 8 3 4 3 3" xfId="40290" xr:uid="{00000000-0005-0000-0000-0000C39D0000}"/>
    <cellStyle name="Normal 3 8 3 4 4" xfId="19938" xr:uid="{00000000-0005-0000-0000-0000C49D0000}"/>
    <cellStyle name="Normal 3 8 3 4 4 2" xfId="47071" xr:uid="{00000000-0005-0000-0000-0000C59D0000}"/>
    <cellStyle name="Normal 3 8 3 4 5" xfId="33509" xr:uid="{00000000-0005-0000-0000-0000C69D0000}"/>
    <cellStyle name="Normal 3 8 3 5" xfId="9745" xr:uid="{00000000-0005-0000-0000-0000C79D0000}"/>
    <cellStyle name="Normal 3 8 3 5 2" xfId="16535" xr:uid="{00000000-0005-0000-0000-0000C89D0000}"/>
    <cellStyle name="Normal 3 8 3 5 2 2" xfId="30103" xr:uid="{00000000-0005-0000-0000-0000C99D0000}"/>
    <cellStyle name="Normal 3 8 3 5 2 2 2" xfId="57236" xr:uid="{00000000-0005-0000-0000-0000CA9D0000}"/>
    <cellStyle name="Normal 3 8 3 5 2 3" xfId="43674" xr:uid="{00000000-0005-0000-0000-0000CB9D0000}"/>
    <cellStyle name="Normal 3 8 3 5 3" xfId="23322" xr:uid="{00000000-0005-0000-0000-0000CC9D0000}"/>
    <cellStyle name="Normal 3 8 3 5 3 2" xfId="50455" xr:uid="{00000000-0005-0000-0000-0000CD9D0000}"/>
    <cellStyle name="Normal 3 8 3 5 4" xfId="36893" xr:uid="{00000000-0005-0000-0000-0000CE9D0000}"/>
    <cellStyle name="Normal 3 8 3 6" xfId="13146" xr:uid="{00000000-0005-0000-0000-0000CF9D0000}"/>
    <cellStyle name="Normal 3 8 3 6 2" xfId="26714" xr:uid="{00000000-0005-0000-0000-0000D09D0000}"/>
    <cellStyle name="Normal 3 8 3 6 2 2" xfId="53847" xr:uid="{00000000-0005-0000-0000-0000D19D0000}"/>
    <cellStyle name="Normal 3 8 3 6 3" xfId="40285" xr:uid="{00000000-0005-0000-0000-0000D29D0000}"/>
    <cellStyle name="Normal 3 8 3 7" xfId="19933" xr:uid="{00000000-0005-0000-0000-0000D39D0000}"/>
    <cellStyle name="Normal 3 8 3 7 2" xfId="47066" xr:uid="{00000000-0005-0000-0000-0000D49D0000}"/>
    <cellStyle name="Normal 3 8 3 8" xfId="33504" xr:uid="{00000000-0005-0000-0000-0000D59D0000}"/>
    <cellStyle name="Normal 3 8 4" xfId="6208" xr:uid="{00000000-0005-0000-0000-0000D69D0000}"/>
    <cellStyle name="Normal 3 8 4 2" xfId="6209" xr:uid="{00000000-0005-0000-0000-0000D79D0000}"/>
    <cellStyle name="Normal 3 8 4 2 2" xfId="9752" xr:uid="{00000000-0005-0000-0000-0000D89D0000}"/>
    <cellStyle name="Normal 3 8 4 2 2 2" xfId="16542" xr:uid="{00000000-0005-0000-0000-0000D99D0000}"/>
    <cellStyle name="Normal 3 8 4 2 2 2 2" xfId="30110" xr:uid="{00000000-0005-0000-0000-0000DA9D0000}"/>
    <cellStyle name="Normal 3 8 4 2 2 2 2 2" xfId="57243" xr:uid="{00000000-0005-0000-0000-0000DB9D0000}"/>
    <cellStyle name="Normal 3 8 4 2 2 2 3" xfId="43681" xr:uid="{00000000-0005-0000-0000-0000DC9D0000}"/>
    <cellStyle name="Normal 3 8 4 2 2 3" xfId="23329" xr:uid="{00000000-0005-0000-0000-0000DD9D0000}"/>
    <cellStyle name="Normal 3 8 4 2 2 3 2" xfId="50462" xr:uid="{00000000-0005-0000-0000-0000DE9D0000}"/>
    <cellStyle name="Normal 3 8 4 2 2 4" xfId="36900" xr:uid="{00000000-0005-0000-0000-0000DF9D0000}"/>
    <cellStyle name="Normal 3 8 4 2 3" xfId="13153" xr:uid="{00000000-0005-0000-0000-0000E09D0000}"/>
    <cellStyle name="Normal 3 8 4 2 3 2" xfId="26721" xr:uid="{00000000-0005-0000-0000-0000E19D0000}"/>
    <cellStyle name="Normal 3 8 4 2 3 2 2" xfId="53854" xr:uid="{00000000-0005-0000-0000-0000E29D0000}"/>
    <cellStyle name="Normal 3 8 4 2 3 3" xfId="40292" xr:uid="{00000000-0005-0000-0000-0000E39D0000}"/>
    <cellStyle name="Normal 3 8 4 2 4" xfId="19940" xr:uid="{00000000-0005-0000-0000-0000E49D0000}"/>
    <cellStyle name="Normal 3 8 4 2 4 2" xfId="47073" xr:uid="{00000000-0005-0000-0000-0000E59D0000}"/>
    <cellStyle name="Normal 3 8 4 2 5" xfId="33511" xr:uid="{00000000-0005-0000-0000-0000E69D0000}"/>
    <cellStyle name="Normal 3 8 4 3" xfId="6210" xr:uid="{00000000-0005-0000-0000-0000E79D0000}"/>
    <cellStyle name="Normal 3 8 4 3 2" xfId="9753" xr:uid="{00000000-0005-0000-0000-0000E89D0000}"/>
    <cellStyle name="Normal 3 8 4 3 2 2" xfId="16543" xr:uid="{00000000-0005-0000-0000-0000E99D0000}"/>
    <cellStyle name="Normal 3 8 4 3 2 2 2" xfId="30111" xr:uid="{00000000-0005-0000-0000-0000EA9D0000}"/>
    <cellStyle name="Normal 3 8 4 3 2 2 2 2" xfId="57244" xr:uid="{00000000-0005-0000-0000-0000EB9D0000}"/>
    <cellStyle name="Normal 3 8 4 3 2 2 3" xfId="43682" xr:uid="{00000000-0005-0000-0000-0000EC9D0000}"/>
    <cellStyle name="Normal 3 8 4 3 2 3" xfId="23330" xr:uid="{00000000-0005-0000-0000-0000ED9D0000}"/>
    <cellStyle name="Normal 3 8 4 3 2 3 2" xfId="50463" xr:uid="{00000000-0005-0000-0000-0000EE9D0000}"/>
    <cellStyle name="Normal 3 8 4 3 2 4" xfId="36901" xr:uid="{00000000-0005-0000-0000-0000EF9D0000}"/>
    <cellStyle name="Normal 3 8 4 3 3" xfId="13154" xr:uid="{00000000-0005-0000-0000-0000F09D0000}"/>
    <cellStyle name="Normal 3 8 4 3 3 2" xfId="26722" xr:uid="{00000000-0005-0000-0000-0000F19D0000}"/>
    <cellStyle name="Normal 3 8 4 3 3 2 2" xfId="53855" xr:uid="{00000000-0005-0000-0000-0000F29D0000}"/>
    <cellStyle name="Normal 3 8 4 3 3 3" xfId="40293" xr:uid="{00000000-0005-0000-0000-0000F39D0000}"/>
    <cellStyle name="Normal 3 8 4 3 4" xfId="19941" xr:uid="{00000000-0005-0000-0000-0000F49D0000}"/>
    <cellStyle name="Normal 3 8 4 3 4 2" xfId="47074" xr:uid="{00000000-0005-0000-0000-0000F59D0000}"/>
    <cellStyle name="Normal 3 8 4 3 5" xfId="33512" xr:uid="{00000000-0005-0000-0000-0000F69D0000}"/>
    <cellStyle name="Normal 3 8 4 4" xfId="9751" xr:uid="{00000000-0005-0000-0000-0000F79D0000}"/>
    <cellStyle name="Normal 3 8 4 4 2" xfId="16541" xr:uid="{00000000-0005-0000-0000-0000F89D0000}"/>
    <cellStyle name="Normal 3 8 4 4 2 2" xfId="30109" xr:uid="{00000000-0005-0000-0000-0000F99D0000}"/>
    <cellStyle name="Normal 3 8 4 4 2 2 2" xfId="57242" xr:uid="{00000000-0005-0000-0000-0000FA9D0000}"/>
    <cellStyle name="Normal 3 8 4 4 2 3" xfId="43680" xr:uid="{00000000-0005-0000-0000-0000FB9D0000}"/>
    <cellStyle name="Normal 3 8 4 4 3" xfId="23328" xr:uid="{00000000-0005-0000-0000-0000FC9D0000}"/>
    <cellStyle name="Normal 3 8 4 4 3 2" xfId="50461" xr:uid="{00000000-0005-0000-0000-0000FD9D0000}"/>
    <cellStyle name="Normal 3 8 4 4 4" xfId="36899" xr:uid="{00000000-0005-0000-0000-0000FE9D0000}"/>
    <cellStyle name="Normal 3 8 4 5" xfId="13152" xr:uid="{00000000-0005-0000-0000-0000FF9D0000}"/>
    <cellStyle name="Normal 3 8 4 5 2" xfId="26720" xr:uid="{00000000-0005-0000-0000-0000009E0000}"/>
    <cellStyle name="Normal 3 8 4 5 2 2" xfId="53853" xr:uid="{00000000-0005-0000-0000-0000019E0000}"/>
    <cellStyle name="Normal 3 8 4 5 3" xfId="40291" xr:uid="{00000000-0005-0000-0000-0000029E0000}"/>
    <cellStyle name="Normal 3 8 4 6" xfId="19939" xr:uid="{00000000-0005-0000-0000-0000039E0000}"/>
    <cellStyle name="Normal 3 8 4 6 2" xfId="47072" xr:uid="{00000000-0005-0000-0000-0000049E0000}"/>
    <cellStyle name="Normal 3 8 4 7" xfId="33510" xr:uid="{00000000-0005-0000-0000-0000059E0000}"/>
    <cellStyle name="Normal 3 8 5" xfId="6211" xr:uid="{00000000-0005-0000-0000-0000069E0000}"/>
    <cellStyle name="Normal 3 8 5 2" xfId="6212" xr:uid="{00000000-0005-0000-0000-0000079E0000}"/>
    <cellStyle name="Normal 3 8 5 2 2" xfId="9755" xr:uid="{00000000-0005-0000-0000-0000089E0000}"/>
    <cellStyle name="Normal 3 8 5 2 2 2" xfId="16545" xr:uid="{00000000-0005-0000-0000-0000099E0000}"/>
    <cellStyle name="Normal 3 8 5 2 2 2 2" xfId="30113" xr:uid="{00000000-0005-0000-0000-00000A9E0000}"/>
    <cellStyle name="Normal 3 8 5 2 2 2 2 2" xfId="57246" xr:uid="{00000000-0005-0000-0000-00000B9E0000}"/>
    <cellStyle name="Normal 3 8 5 2 2 2 3" xfId="43684" xr:uid="{00000000-0005-0000-0000-00000C9E0000}"/>
    <cellStyle name="Normal 3 8 5 2 2 3" xfId="23332" xr:uid="{00000000-0005-0000-0000-00000D9E0000}"/>
    <cellStyle name="Normal 3 8 5 2 2 3 2" xfId="50465" xr:uid="{00000000-0005-0000-0000-00000E9E0000}"/>
    <cellStyle name="Normal 3 8 5 2 2 4" xfId="36903" xr:uid="{00000000-0005-0000-0000-00000F9E0000}"/>
    <cellStyle name="Normal 3 8 5 2 3" xfId="13156" xr:uid="{00000000-0005-0000-0000-0000109E0000}"/>
    <cellStyle name="Normal 3 8 5 2 3 2" xfId="26724" xr:uid="{00000000-0005-0000-0000-0000119E0000}"/>
    <cellStyle name="Normal 3 8 5 2 3 2 2" xfId="53857" xr:uid="{00000000-0005-0000-0000-0000129E0000}"/>
    <cellStyle name="Normal 3 8 5 2 3 3" xfId="40295" xr:uid="{00000000-0005-0000-0000-0000139E0000}"/>
    <cellStyle name="Normal 3 8 5 2 4" xfId="19943" xr:uid="{00000000-0005-0000-0000-0000149E0000}"/>
    <cellStyle name="Normal 3 8 5 2 4 2" xfId="47076" xr:uid="{00000000-0005-0000-0000-0000159E0000}"/>
    <cellStyle name="Normal 3 8 5 2 5" xfId="33514" xr:uid="{00000000-0005-0000-0000-0000169E0000}"/>
    <cellStyle name="Normal 3 8 5 3" xfId="9754" xr:uid="{00000000-0005-0000-0000-0000179E0000}"/>
    <cellStyle name="Normal 3 8 5 3 2" xfId="16544" xr:uid="{00000000-0005-0000-0000-0000189E0000}"/>
    <cellStyle name="Normal 3 8 5 3 2 2" xfId="30112" xr:uid="{00000000-0005-0000-0000-0000199E0000}"/>
    <cellStyle name="Normal 3 8 5 3 2 2 2" xfId="57245" xr:uid="{00000000-0005-0000-0000-00001A9E0000}"/>
    <cellStyle name="Normal 3 8 5 3 2 3" xfId="43683" xr:uid="{00000000-0005-0000-0000-00001B9E0000}"/>
    <cellStyle name="Normal 3 8 5 3 3" xfId="23331" xr:uid="{00000000-0005-0000-0000-00001C9E0000}"/>
    <cellStyle name="Normal 3 8 5 3 3 2" xfId="50464" xr:uid="{00000000-0005-0000-0000-00001D9E0000}"/>
    <cellStyle name="Normal 3 8 5 3 4" xfId="36902" xr:uid="{00000000-0005-0000-0000-00001E9E0000}"/>
    <cellStyle name="Normal 3 8 5 4" xfId="13155" xr:uid="{00000000-0005-0000-0000-00001F9E0000}"/>
    <cellStyle name="Normal 3 8 5 4 2" xfId="26723" xr:uid="{00000000-0005-0000-0000-0000209E0000}"/>
    <cellStyle name="Normal 3 8 5 4 2 2" xfId="53856" xr:uid="{00000000-0005-0000-0000-0000219E0000}"/>
    <cellStyle name="Normal 3 8 5 4 3" xfId="40294" xr:uid="{00000000-0005-0000-0000-0000229E0000}"/>
    <cellStyle name="Normal 3 8 5 5" xfId="19942" xr:uid="{00000000-0005-0000-0000-0000239E0000}"/>
    <cellStyle name="Normal 3 8 5 5 2" xfId="47075" xr:uid="{00000000-0005-0000-0000-0000249E0000}"/>
    <cellStyle name="Normal 3 8 5 6" xfId="33513" xr:uid="{00000000-0005-0000-0000-0000259E0000}"/>
    <cellStyle name="Normal 3 8 6" xfId="6213" xr:uid="{00000000-0005-0000-0000-0000269E0000}"/>
    <cellStyle name="Normal 3 8 6 2" xfId="9756" xr:uid="{00000000-0005-0000-0000-0000279E0000}"/>
    <cellStyle name="Normal 3 8 6 2 2" xfId="16546" xr:uid="{00000000-0005-0000-0000-0000289E0000}"/>
    <cellStyle name="Normal 3 8 6 2 2 2" xfId="30114" xr:uid="{00000000-0005-0000-0000-0000299E0000}"/>
    <cellStyle name="Normal 3 8 6 2 2 2 2" xfId="57247" xr:uid="{00000000-0005-0000-0000-00002A9E0000}"/>
    <cellStyle name="Normal 3 8 6 2 2 3" xfId="43685" xr:uid="{00000000-0005-0000-0000-00002B9E0000}"/>
    <cellStyle name="Normal 3 8 6 2 3" xfId="23333" xr:uid="{00000000-0005-0000-0000-00002C9E0000}"/>
    <cellStyle name="Normal 3 8 6 2 3 2" xfId="50466" xr:uid="{00000000-0005-0000-0000-00002D9E0000}"/>
    <cellStyle name="Normal 3 8 6 2 4" xfId="36904" xr:uid="{00000000-0005-0000-0000-00002E9E0000}"/>
    <cellStyle name="Normal 3 8 6 3" xfId="13157" xr:uid="{00000000-0005-0000-0000-00002F9E0000}"/>
    <cellStyle name="Normal 3 8 6 3 2" xfId="26725" xr:uid="{00000000-0005-0000-0000-0000309E0000}"/>
    <cellStyle name="Normal 3 8 6 3 2 2" xfId="53858" xr:uid="{00000000-0005-0000-0000-0000319E0000}"/>
    <cellStyle name="Normal 3 8 6 3 3" xfId="40296" xr:uid="{00000000-0005-0000-0000-0000329E0000}"/>
    <cellStyle name="Normal 3 8 6 4" xfId="19944" xr:uid="{00000000-0005-0000-0000-0000339E0000}"/>
    <cellStyle name="Normal 3 8 6 4 2" xfId="47077" xr:uid="{00000000-0005-0000-0000-0000349E0000}"/>
    <cellStyle name="Normal 3 8 6 5" xfId="33515" xr:uid="{00000000-0005-0000-0000-0000359E0000}"/>
    <cellStyle name="Normal 3 8 7" xfId="6214" xr:uid="{00000000-0005-0000-0000-0000369E0000}"/>
    <cellStyle name="Normal 3 8 7 2" xfId="9757" xr:uid="{00000000-0005-0000-0000-0000379E0000}"/>
    <cellStyle name="Normal 3 8 7 2 2" xfId="16547" xr:uid="{00000000-0005-0000-0000-0000389E0000}"/>
    <cellStyle name="Normal 3 8 7 2 2 2" xfId="30115" xr:uid="{00000000-0005-0000-0000-0000399E0000}"/>
    <cellStyle name="Normal 3 8 7 2 2 2 2" xfId="57248" xr:uid="{00000000-0005-0000-0000-00003A9E0000}"/>
    <cellStyle name="Normal 3 8 7 2 2 3" xfId="43686" xr:uid="{00000000-0005-0000-0000-00003B9E0000}"/>
    <cellStyle name="Normal 3 8 7 2 3" xfId="23334" xr:uid="{00000000-0005-0000-0000-00003C9E0000}"/>
    <cellStyle name="Normal 3 8 7 2 3 2" xfId="50467" xr:uid="{00000000-0005-0000-0000-00003D9E0000}"/>
    <cellStyle name="Normal 3 8 7 2 4" xfId="36905" xr:uid="{00000000-0005-0000-0000-00003E9E0000}"/>
    <cellStyle name="Normal 3 8 7 3" xfId="13158" xr:uid="{00000000-0005-0000-0000-00003F9E0000}"/>
    <cellStyle name="Normal 3 8 7 3 2" xfId="26726" xr:uid="{00000000-0005-0000-0000-0000409E0000}"/>
    <cellStyle name="Normal 3 8 7 3 2 2" xfId="53859" xr:uid="{00000000-0005-0000-0000-0000419E0000}"/>
    <cellStyle name="Normal 3 8 7 3 3" xfId="40297" xr:uid="{00000000-0005-0000-0000-0000429E0000}"/>
    <cellStyle name="Normal 3 8 7 4" xfId="19945" xr:uid="{00000000-0005-0000-0000-0000439E0000}"/>
    <cellStyle name="Normal 3 8 7 4 2" xfId="47078" xr:uid="{00000000-0005-0000-0000-0000449E0000}"/>
    <cellStyle name="Normal 3 8 7 5" xfId="33516" xr:uid="{00000000-0005-0000-0000-0000459E0000}"/>
    <cellStyle name="Normal 3 8 8" xfId="7571" xr:uid="{00000000-0005-0000-0000-0000469E0000}"/>
    <cellStyle name="Normal 3 8 8 2" xfId="14361" xr:uid="{00000000-0005-0000-0000-0000479E0000}"/>
    <cellStyle name="Normal 3 8 8 2 2" xfId="27929" xr:uid="{00000000-0005-0000-0000-0000489E0000}"/>
    <cellStyle name="Normal 3 8 8 2 2 2" xfId="55062" xr:uid="{00000000-0005-0000-0000-0000499E0000}"/>
    <cellStyle name="Normal 3 8 8 2 3" xfId="41500" xr:uid="{00000000-0005-0000-0000-00004A9E0000}"/>
    <cellStyle name="Normal 3 8 8 3" xfId="21148" xr:uid="{00000000-0005-0000-0000-00004B9E0000}"/>
    <cellStyle name="Normal 3 8 8 3 2" xfId="48281" xr:uid="{00000000-0005-0000-0000-00004C9E0000}"/>
    <cellStyle name="Normal 3 8 8 4" xfId="34719" xr:uid="{00000000-0005-0000-0000-00004D9E0000}"/>
    <cellStyle name="Normal 3 8 9" xfId="10972" xr:uid="{00000000-0005-0000-0000-00004E9E0000}"/>
    <cellStyle name="Normal 3 8 9 2" xfId="24540" xr:uid="{00000000-0005-0000-0000-00004F9E0000}"/>
    <cellStyle name="Normal 3 8 9 2 2" xfId="51673" xr:uid="{00000000-0005-0000-0000-0000509E0000}"/>
    <cellStyle name="Normal 3 8 9 3" xfId="38111" xr:uid="{00000000-0005-0000-0000-0000519E0000}"/>
    <cellStyle name="Normal 3 9" xfId="2760" xr:uid="{00000000-0005-0000-0000-0000529E0000}"/>
    <cellStyle name="Normal 3 9 2" xfId="2761" xr:uid="{00000000-0005-0000-0000-0000539E0000}"/>
    <cellStyle name="Normal 3 9 2 2" xfId="6215" xr:uid="{00000000-0005-0000-0000-0000549E0000}"/>
    <cellStyle name="Normal 3 9 2 2 2" xfId="9758" xr:uid="{00000000-0005-0000-0000-0000559E0000}"/>
    <cellStyle name="Normal 3 9 2 2 2 2" xfId="16548" xr:uid="{00000000-0005-0000-0000-0000569E0000}"/>
    <cellStyle name="Normal 3 9 2 2 2 2 2" xfId="30116" xr:uid="{00000000-0005-0000-0000-0000579E0000}"/>
    <cellStyle name="Normal 3 9 2 2 2 2 2 2" xfId="57249" xr:uid="{00000000-0005-0000-0000-0000589E0000}"/>
    <cellStyle name="Normal 3 9 2 2 2 2 3" xfId="43687" xr:uid="{00000000-0005-0000-0000-0000599E0000}"/>
    <cellStyle name="Normal 3 9 2 2 2 3" xfId="23335" xr:uid="{00000000-0005-0000-0000-00005A9E0000}"/>
    <cellStyle name="Normal 3 9 2 2 2 3 2" xfId="50468" xr:uid="{00000000-0005-0000-0000-00005B9E0000}"/>
    <cellStyle name="Normal 3 9 2 2 2 4" xfId="36906" xr:uid="{00000000-0005-0000-0000-00005C9E0000}"/>
    <cellStyle name="Normal 3 9 2 2 3" xfId="13159" xr:uid="{00000000-0005-0000-0000-00005D9E0000}"/>
    <cellStyle name="Normal 3 9 2 2 3 2" xfId="26727" xr:uid="{00000000-0005-0000-0000-00005E9E0000}"/>
    <cellStyle name="Normal 3 9 2 2 3 2 2" xfId="53860" xr:uid="{00000000-0005-0000-0000-00005F9E0000}"/>
    <cellStyle name="Normal 3 9 2 2 3 3" xfId="40298" xr:uid="{00000000-0005-0000-0000-0000609E0000}"/>
    <cellStyle name="Normal 3 9 2 2 4" xfId="19946" xr:uid="{00000000-0005-0000-0000-0000619E0000}"/>
    <cellStyle name="Normal 3 9 2 2 4 2" xfId="47079" xr:uid="{00000000-0005-0000-0000-0000629E0000}"/>
    <cellStyle name="Normal 3 9 2 2 5" xfId="33517" xr:uid="{00000000-0005-0000-0000-0000639E0000}"/>
    <cellStyle name="Normal 3 9 2 3" xfId="6216" xr:uid="{00000000-0005-0000-0000-0000649E0000}"/>
    <cellStyle name="Normal 3 9 2 3 2" xfId="9759" xr:uid="{00000000-0005-0000-0000-0000659E0000}"/>
    <cellStyle name="Normal 3 9 2 3 2 2" xfId="16549" xr:uid="{00000000-0005-0000-0000-0000669E0000}"/>
    <cellStyle name="Normal 3 9 2 3 2 2 2" xfId="30117" xr:uid="{00000000-0005-0000-0000-0000679E0000}"/>
    <cellStyle name="Normal 3 9 2 3 2 2 2 2" xfId="57250" xr:uid="{00000000-0005-0000-0000-0000689E0000}"/>
    <cellStyle name="Normal 3 9 2 3 2 2 3" xfId="43688" xr:uid="{00000000-0005-0000-0000-0000699E0000}"/>
    <cellStyle name="Normal 3 9 2 3 2 3" xfId="23336" xr:uid="{00000000-0005-0000-0000-00006A9E0000}"/>
    <cellStyle name="Normal 3 9 2 3 2 3 2" xfId="50469" xr:uid="{00000000-0005-0000-0000-00006B9E0000}"/>
    <cellStyle name="Normal 3 9 2 3 2 4" xfId="36907" xr:uid="{00000000-0005-0000-0000-00006C9E0000}"/>
    <cellStyle name="Normal 3 9 2 3 3" xfId="13160" xr:uid="{00000000-0005-0000-0000-00006D9E0000}"/>
    <cellStyle name="Normal 3 9 2 3 3 2" xfId="26728" xr:uid="{00000000-0005-0000-0000-00006E9E0000}"/>
    <cellStyle name="Normal 3 9 2 3 3 2 2" xfId="53861" xr:uid="{00000000-0005-0000-0000-00006F9E0000}"/>
    <cellStyle name="Normal 3 9 2 3 3 3" xfId="40299" xr:uid="{00000000-0005-0000-0000-0000709E0000}"/>
    <cellStyle name="Normal 3 9 2 3 4" xfId="19947" xr:uid="{00000000-0005-0000-0000-0000719E0000}"/>
    <cellStyle name="Normal 3 9 2 3 4 2" xfId="47080" xr:uid="{00000000-0005-0000-0000-0000729E0000}"/>
    <cellStyle name="Normal 3 9 2 3 5" xfId="33518" xr:uid="{00000000-0005-0000-0000-0000739E0000}"/>
    <cellStyle name="Normal 3 9 2 4" xfId="7574" xr:uid="{00000000-0005-0000-0000-0000749E0000}"/>
    <cellStyle name="Normal 3 9 2 4 2" xfId="14364" xr:uid="{00000000-0005-0000-0000-0000759E0000}"/>
    <cellStyle name="Normal 3 9 2 4 2 2" xfId="27932" xr:uid="{00000000-0005-0000-0000-0000769E0000}"/>
    <cellStyle name="Normal 3 9 2 4 2 2 2" xfId="55065" xr:uid="{00000000-0005-0000-0000-0000779E0000}"/>
    <cellStyle name="Normal 3 9 2 4 2 3" xfId="41503" xr:uid="{00000000-0005-0000-0000-0000789E0000}"/>
    <cellStyle name="Normal 3 9 2 4 3" xfId="21151" xr:uid="{00000000-0005-0000-0000-0000799E0000}"/>
    <cellStyle name="Normal 3 9 2 4 3 2" xfId="48284" xr:uid="{00000000-0005-0000-0000-00007A9E0000}"/>
    <cellStyle name="Normal 3 9 2 4 4" xfId="34722" xr:uid="{00000000-0005-0000-0000-00007B9E0000}"/>
    <cellStyle name="Normal 3 9 2 5" xfId="10975" xr:uid="{00000000-0005-0000-0000-00007C9E0000}"/>
    <cellStyle name="Normal 3 9 2 5 2" xfId="24543" xr:uid="{00000000-0005-0000-0000-00007D9E0000}"/>
    <cellStyle name="Normal 3 9 2 5 2 2" xfId="51676" xr:uid="{00000000-0005-0000-0000-00007E9E0000}"/>
    <cellStyle name="Normal 3 9 2 5 3" xfId="38114" xr:uid="{00000000-0005-0000-0000-00007F9E0000}"/>
    <cellStyle name="Normal 3 9 2 6" xfId="17762" xr:uid="{00000000-0005-0000-0000-0000809E0000}"/>
    <cellStyle name="Normal 3 9 2 6 2" xfId="44895" xr:uid="{00000000-0005-0000-0000-0000819E0000}"/>
    <cellStyle name="Normal 3 9 2 7" xfId="31333" xr:uid="{00000000-0005-0000-0000-0000829E0000}"/>
    <cellStyle name="Normal 3 9 3" xfId="6217" xr:uid="{00000000-0005-0000-0000-0000839E0000}"/>
    <cellStyle name="Normal 3 9 3 2" xfId="6218" xr:uid="{00000000-0005-0000-0000-0000849E0000}"/>
    <cellStyle name="Normal 3 9 3 2 2" xfId="9761" xr:uid="{00000000-0005-0000-0000-0000859E0000}"/>
    <cellStyle name="Normal 3 9 3 2 2 2" xfId="16551" xr:uid="{00000000-0005-0000-0000-0000869E0000}"/>
    <cellStyle name="Normal 3 9 3 2 2 2 2" xfId="30119" xr:uid="{00000000-0005-0000-0000-0000879E0000}"/>
    <cellStyle name="Normal 3 9 3 2 2 2 2 2" xfId="57252" xr:uid="{00000000-0005-0000-0000-0000889E0000}"/>
    <cellStyle name="Normal 3 9 3 2 2 2 3" xfId="43690" xr:uid="{00000000-0005-0000-0000-0000899E0000}"/>
    <cellStyle name="Normal 3 9 3 2 2 3" xfId="23338" xr:uid="{00000000-0005-0000-0000-00008A9E0000}"/>
    <cellStyle name="Normal 3 9 3 2 2 3 2" xfId="50471" xr:uid="{00000000-0005-0000-0000-00008B9E0000}"/>
    <cellStyle name="Normal 3 9 3 2 2 4" xfId="36909" xr:uid="{00000000-0005-0000-0000-00008C9E0000}"/>
    <cellStyle name="Normal 3 9 3 2 3" xfId="13162" xr:uid="{00000000-0005-0000-0000-00008D9E0000}"/>
    <cellStyle name="Normal 3 9 3 2 3 2" xfId="26730" xr:uid="{00000000-0005-0000-0000-00008E9E0000}"/>
    <cellStyle name="Normal 3 9 3 2 3 2 2" xfId="53863" xr:uid="{00000000-0005-0000-0000-00008F9E0000}"/>
    <cellStyle name="Normal 3 9 3 2 3 3" xfId="40301" xr:uid="{00000000-0005-0000-0000-0000909E0000}"/>
    <cellStyle name="Normal 3 9 3 2 4" xfId="19949" xr:uid="{00000000-0005-0000-0000-0000919E0000}"/>
    <cellStyle name="Normal 3 9 3 2 4 2" xfId="47082" xr:uid="{00000000-0005-0000-0000-0000929E0000}"/>
    <cellStyle name="Normal 3 9 3 2 5" xfId="33520" xr:uid="{00000000-0005-0000-0000-0000939E0000}"/>
    <cellStyle name="Normal 3 9 3 3" xfId="9760" xr:uid="{00000000-0005-0000-0000-0000949E0000}"/>
    <cellStyle name="Normal 3 9 3 3 2" xfId="16550" xr:uid="{00000000-0005-0000-0000-0000959E0000}"/>
    <cellStyle name="Normal 3 9 3 3 2 2" xfId="30118" xr:uid="{00000000-0005-0000-0000-0000969E0000}"/>
    <cellStyle name="Normal 3 9 3 3 2 2 2" xfId="57251" xr:uid="{00000000-0005-0000-0000-0000979E0000}"/>
    <cellStyle name="Normal 3 9 3 3 2 3" xfId="43689" xr:uid="{00000000-0005-0000-0000-0000989E0000}"/>
    <cellStyle name="Normal 3 9 3 3 3" xfId="23337" xr:uid="{00000000-0005-0000-0000-0000999E0000}"/>
    <cellStyle name="Normal 3 9 3 3 3 2" xfId="50470" xr:uid="{00000000-0005-0000-0000-00009A9E0000}"/>
    <cellStyle name="Normal 3 9 3 3 4" xfId="36908" xr:uid="{00000000-0005-0000-0000-00009B9E0000}"/>
    <cellStyle name="Normal 3 9 3 4" xfId="13161" xr:uid="{00000000-0005-0000-0000-00009C9E0000}"/>
    <cellStyle name="Normal 3 9 3 4 2" xfId="26729" xr:uid="{00000000-0005-0000-0000-00009D9E0000}"/>
    <cellStyle name="Normal 3 9 3 4 2 2" xfId="53862" xr:uid="{00000000-0005-0000-0000-00009E9E0000}"/>
    <cellStyle name="Normal 3 9 3 4 3" xfId="40300" xr:uid="{00000000-0005-0000-0000-00009F9E0000}"/>
    <cellStyle name="Normal 3 9 3 5" xfId="19948" xr:uid="{00000000-0005-0000-0000-0000A09E0000}"/>
    <cellStyle name="Normal 3 9 3 5 2" xfId="47081" xr:uid="{00000000-0005-0000-0000-0000A19E0000}"/>
    <cellStyle name="Normal 3 9 3 6" xfId="33519" xr:uid="{00000000-0005-0000-0000-0000A29E0000}"/>
    <cellStyle name="Normal 3 9 4" xfId="6219" xr:uid="{00000000-0005-0000-0000-0000A39E0000}"/>
    <cellStyle name="Normal 3 9 4 2" xfId="9762" xr:uid="{00000000-0005-0000-0000-0000A49E0000}"/>
    <cellStyle name="Normal 3 9 4 2 2" xfId="16552" xr:uid="{00000000-0005-0000-0000-0000A59E0000}"/>
    <cellStyle name="Normal 3 9 4 2 2 2" xfId="30120" xr:uid="{00000000-0005-0000-0000-0000A69E0000}"/>
    <cellStyle name="Normal 3 9 4 2 2 2 2" xfId="57253" xr:uid="{00000000-0005-0000-0000-0000A79E0000}"/>
    <cellStyle name="Normal 3 9 4 2 2 3" xfId="43691" xr:uid="{00000000-0005-0000-0000-0000A89E0000}"/>
    <cellStyle name="Normal 3 9 4 2 3" xfId="23339" xr:uid="{00000000-0005-0000-0000-0000A99E0000}"/>
    <cellStyle name="Normal 3 9 4 2 3 2" xfId="50472" xr:uid="{00000000-0005-0000-0000-0000AA9E0000}"/>
    <cellStyle name="Normal 3 9 4 2 4" xfId="36910" xr:uid="{00000000-0005-0000-0000-0000AB9E0000}"/>
    <cellStyle name="Normal 3 9 4 3" xfId="13163" xr:uid="{00000000-0005-0000-0000-0000AC9E0000}"/>
    <cellStyle name="Normal 3 9 4 3 2" xfId="26731" xr:uid="{00000000-0005-0000-0000-0000AD9E0000}"/>
    <cellStyle name="Normal 3 9 4 3 2 2" xfId="53864" xr:uid="{00000000-0005-0000-0000-0000AE9E0000}"/>
    <cellStyle name="Normal 3 9 4 3 3" xfId="40302" xr:uid="{00000000-0005-0000-0000-0000AF9E0000}"/>
    <cellStyle name="Normal 3 9 4 4" xfId="19950" xr:uid="{00000000-0005-0000-0000-0000B09E0000}"/>
    <cellStyle name="Normal 3 9 4 4 2" xfId="47083" xr:uid="{00000000-0005-0000-0000-0000B19E0000}"/>
    <cellStyle name="Normal 3 9 4 5" xfId="33521" xr:uid="{00000000-0005-0000-0000-0000B29E0000}"/>
    <cellStyle name="Normal 3 9 5" xfId="6220" xr:uid="{00000000-0005-0000-0000-0000B39E0000}"/>
    <cellStyle name="Normal 3 9 5 2" xfId="9763" xr:uid="{00000000-0005-0000-0000-0000B49E0000}"/>
    <cellStyle name="Normal 3 9 5 2 2" xfId="16553" xr:uid="{00000000-0005-0000-0000-0000B59E0000}"/>
    <cellStyle name="Normal 3 9 5 2 2 2" xfId="30121" xr:uid="{00000000-0005-0000-0000-0000B69E0000}"/>
    <cellStyle name="Normal 3 9 5 2 2 2 2" xfId="57254" xr:uid="{00000000-0005-0000-0000-0000B79E0000}"/>
    <cellStyle name="Normal 3 9 5 2 2 3" xfId="43692" xr:uid="{00000000-0005-0000-0000-0000B89E0000}"/>
    <cellStyle name="Normal 3 9 5 2 3" xfId="23340" xr:uid="{00000000-0005-0000-0000-0000B99E0000}"/>
    <cellStyle name="Normal 3 9 5 2 3 2" xfId="50473" xr:uid="{00000000-0005-0000-0000-0000BA9E0000}"/>
    <cellStyle name="Normal 3 9 5 2 4" xfId="36911" xr:uid="{00000000-0005-0000-0000-0000BB9E0000}"/>
    <cellStyle name="Normal 3 9 5 3" xfId="13164" xr:uid="{00000000-0005-0000-0000-0000BC9E0000}"/>
    <cellStyle name="Normal 3 9 5 3 2" xfId="26732" xr:uid="{00000000-0005-0000-0000-0000BD9E0000}"/>
    <cellStyle name="Normal 3 9 5 3 2 2" xfId="53865" xr:uid="{00000000-0005-0000-0000-0000BE9E0000}"/>
    <cellStyle name="Normal 3 9 5 3 3" xfId="40303" xr:uid="{00000000-0005-0000-0000-0000BF9E0000}"/>
    <cellStyle name="Normal 3 9 5 4" xfId="19951" xr:uid="{00000000-0005-0000-0000-0000C09E0000}"/>
    <cellStyle name="Normal 3 9 5 4 2" xfId="47084" xr:uid="{00000000-0005-0000-0000-0000C19E0000}"/>
    <cellStyle name="Normal 3 9 5 5" xfId="33522" xr:uid="{00000000-0005-0000-0000-0000C29E0000}"/>
    <cellStyle name="Normal 3 9 6" xfId="7573" xr:uid="{00000000-0005-0000-0000-0000C39E0000}"/>
    <cellStyle name="Normal 3 9 6 2" xfId="14363" xr:uid="{00000000-0005-0000-0000-0000C49E0000}"/>
    <cellStyle name="Normal 3 9 6 2 2" xfId="27931" xr:uid="{00000000-0005-0000-0000-0000C59E0000}"/>
    <cellStyle name="Normal 3 9 6 2 2 2" xfId="55064" xr:uid="{00000000-0005-0000-0000-0000C69E0000}"/>
    <cellStyle name="Normal 3 9 6 2 3" xfId="41502" xr:uid="{00000000-0005-0000-0000-0000C79E0000}"/>
    <cellStyle name="Normal 3 9 6 3" xfId="21150" xr:uid="{00000000-0005-0000-0000-0000C89E0000}"/>
    <cellStyle name="Normal 3 9 6 3 2" xfId="48283" xr:uid="{00000000-0005-0000-0000-0000C99E0000}"/>
    <cellStyle name="Normal 3 9 6 4" xfId="34721" xr:uid="{00000000-0005-0000-0000-0000CA9E0000}"/>
    <cellStyle name="Normal 3 9 7" xfId="10974" xr:uid="{00000000-0005-0000-0000-0000CB9E0000}"/>
    <cellStyle name="Normal 3 9 7 2" xfId="24542" xr:uid="{00000000-0005-0000-0000-0000CC9E0000}"/>
    <cellStyle name="Normal 3 9 7 2 2" xfId="51675" xr:uid="{00000000-0005-0000-0000-0000CD9E0000}"/>
    <cellStyle name="Normal 3 9 7 3" xfId="38113" xr:uid="{00000000-0005-0000-0000-0000CE9E0000}"/>
    <cellStyle name="Normal 3 9 8" xfId="17761" xr:uid="{00000000-0005-0000-0000-0000CF9E0000}"/>
    <cellStyle name="Normal 3 9 8 2" xfId="44894" xr:uid="{00000000-0005-0000-0000-0000D09E0000}"/>
    <cellStyle name="Normal 3 9 9" xfId="31332" xr:uid="{00000000-0005-0000-0000-0000D19E0000}"/>
    <cellStyle name="Normal 3_CORREGIDO EVALUACION ARQUITECTURA MANTTO JK" xfId="6221" xr:uid="{00000000-0005-0000-0000-0000D29E0000}"/>
    <cellStyle name="Normal 30" xfId="2762" xr:uid="{00000000-0005-0000-0000-0000D39E0000}"/>
    <cellStyle name="Normal 30 2" xfId="6222" xr:uid="{00000000-0005-0000-0000-0000D49E0000}"/>
    <cellStyle name="Normal 30 3" xfId="7575" xr:uid="{00000000-0005-0000-0000-0000D59E0000}"/>
    <cellStyle name="Normal 30 3 2" xfId="14365" xr:uid="{00000000-0005-0000-0000-0000D69E0000}"/>
    <cellStyle name="Normal 30 3 2 2" xfId="27933" xr:uid="{00000000-0005-0000-0000-0000D79E0000}"/>
    <cellStyle name="Normal 30 3 2 2 2" xfId="55066" xr:uid="{00000000-0005-0000-0000-0000D89E0000}"/>
    <cellStyle name="Normal 30 3 2 3" xfId="41504" xr:uid="{00000000-0005-0000-0000-0000D99E0000}"/>
    <cellStyle name="Normal 30 3 3" xfId="21152" xr:uid="{00000000-0005-0000-0000-0000DA9E0000}"/>
    <cellStyle name="Normal 30 3 3 2" xfId="48285" xr:uid="{00000000-0005-0000-0000-0000DB9E0000}"/>
    <cellStyle name="Normal 30 3 4" xfId="34723" xr:uid="{00000000-0005-0000-0000-0000DC9E0000}"/>
    <cellStyle name="Normal 30 4" xfId="10976" xr:uid="{00000000-0005-0000-0000-0000DD9E0000}"/>
    <cellStyle name="Normal 30 4 2" xfId="24544" xr:uid="{00000000-0005-0000-0000-0000DE9E0000}"/>
    <cellStyle name="Normal 30 4 2 2" xfId="51677" xr:uid="{00000000-0005-0000-0000-0000DF9E0000}"/>
    <cellStyle name="Normal 30 4 3" xfId="38115" xr:uid="{00000000-0005-0000-0000-0000E09E0000}"/>
    <cellStyle name="Normal 30 5" xfId="17763" xr:uid="{00000000-0005-0000-0000-0000E19E0000}"/>
    <cellStyle name="Normal 30 5 2" xfId="44896" xr:uid="{00000000-0005-0000-0000-0000E29E0000}"/>
    <cellStyle name="Normal 30 6" xfId="31334" xr:uid="{00000000-0005-0000-0000-0000E39E0000}"/>
    <cellStyle name="Normal 31" xfId="2763" xr:uid="{00000000-0005-0000-0000-0000E49E0000}"/>
    <cellStyle name="Normal 31 2" xfId="2764" xr:uid="{00000000-0005-0000-0000-0000E59E0000}"/>
    <cellStyle name="Normal 31 3" xfId="6223" xr:uid="{00000000-0005-0000-0000-0000E69E0000}"/>
    <cellStyle name="Normal 31 3 2" xfId="9764" xr:uid="{00000000-0005-0000-0000-0000E79E0000}"/>
    <cellStyle name="Normal 31 3 2 2" xfId="16554" xr:uid="{00000000-0005-0000-0000-0000E89E0000}"/>
    <cellStyle name="Normal 31 3 2 2 2" xfId="30122" xr:uid="{00000000-0005-0000-0000-0000E99E0000}"/>
    <cellStyle name="Normal 31 3 2 2 2 2" xfId="57255" xr:uid="{00000000-0005-0000-0000-0000EA9E0000}"/>
    <cellStyle name="Normal 31 3 2 2 3" xfId="43693" xr:uid="{00000000-0005-0000-0000-0000EB9E0000}"/>
    <cellStyle name="Normal 31 3 2 3" xfId="23341" xr:uid="{00000000-0005-0000-0000-0000EC9E0000}"/>
    <cellStyle name="Normal 31 3 2 3 2" xfId="50474" xr:uid="{00000000-0005-0000-0000-0000ED9E0000}"/>
    <cellStyle name="Normal 31 3 2 4" xfId="36912" xr:uid="{00000000-0005-0000-0000-0000EE9E0000}"/>
    <cellStyle name="Normal 31 3 3" xfId="13165" xr:uid="{00000000-0005-0000-0000-0000EF9E0000}"/>
    <cellStyle name="Normal 31 3 3 2" xfId="26733" xr:uid="{00000000-0005-0000-0000-0000F09E0000}"/>
    <cellStyle name="Normal 31 3 3 2 2" xfId="53866" xr:uid="{00000000-0005-0000-0000-0000F19E0000}"/>
    <cellStyle name="Normal 31 3 3 3" xfId="40304" xr:uid="{00000000-0005-0000-0000-0000F29E0000}"/>
    <cellStyle name="Normal 31 3 4" xfId="19952" xr:uid="{00000000-0005-0000-0000-0000F39E0000}"/>
    <cellStyle name="Normal 31 3 4 2" xfId="47085" xr:uid="{00000000-0005-0000-0000-0000F49E0000}"/>
    <cellStyle name="Normal 31 3 5" xfId="33523" xr:uid="{00000000-0005-0000-0000-0000F59E0000}"/>
    <cellStyle name="Normal 32" xfId="2765" xr:uid="{00000000-0005-0000-0000-0000F69E0000}"/>
    <cellStyle name="Normal 32 2" xfId="2766" xr:uid="{00000000-0005-0000-0000-0000F79E0000}"/>
    <cellStyle name="Normal 33" xfId="2767" xr:uid="{00000000-0005-0000-0000-0000F89E0000}"/>
    <cellStyle name="Normal 33 2" xfId="6224" xr:uid="{00000000-0005-0000-0000-0000F99E0000}"/>
    <cellStyle name="Normal 33 2 2" xfId="9765" xr:uid="{00000000-0005-0000-0000-0000FA9E0000}"/>
    <cellStyle name="Normal 33 2 2 2" xfId="16555" xr:uid="{00000000-0005-0000-0000-0000FB9E0000}"/>
    <cellStyle name="Normal 33 2 2 2 2" xfId="30123" xr:uid="{00000000-0005-0000-0000-0000FC9E0000}"/>
    <cellStyle name="Normal 33 2 2 2 2 2" xfId="57256" xr:uid="{00000000-0005-0000-0000-0000FD9E0000}"/>
    <cellStyle name="Normal 33 2 2 2 3" xfId="43694" xr:uid="{00000000-0005-0000-0000-0000FE9E0000}"/>
    <cellStyle name="Normal 33 2 2 3" xfId="23342" xr:uid="{00000000-0005-0000-0000-0000FF9E0000}"/>
    <cellStyle name="Normal 33 2 2 3 2" xfId="50475" xr:uid="{00000000-0005-0000-0000-0000009F0000}"/>
    <cellStyle name="Normal 33 2 2 4" xfId="36913" xr:uid="{00000000-0005-0000-0000-0000019F0000}"/>
    <cellStyle name="Normal 33 2 3" xfId="13166" xr:uid="{00000000-0005-0000-0000-0000029F0000}"/>
    <cellStyle name="Normal 33 2 3 2" xfId="26734" xr:uid="{00000000-0005-0000-0000-0000039F0000}"/>
    <cellStyle name="Normal 33 2 3 2 2" xfId="53867" xr:uid="{00000000-0005-0000-0000-0000049F0000}"/>
    <cellStyle name="Normal 33 2 3 3" xfId="40305" xr:uid="{00000000-0005-0000-0000-0000059F0000}"/>
    <cellStyle name="Normal 33 2 4" xfId="19953" xr:uid="{00000000-0005-0000-0000-0000069F0000}"/>
    <cellStyle name="Normal 33 2 4 2" xfId="47086" xr:uid="{00000000-0005-0000-0000-0000079F0000}"/>
    <cellStyle name="Normal 33 2 5" xfId="33524" xr:uid="{00000000-0005-0000-0000-0000089F0000}"/>
    <cellStyle name="Normal 33 3" xfId="2768" xr:uid="{00000000-0005-0000-0000-0000099F0000}"/>
    <cellStyle name="Normal 33 3 2" xfId="7576" xr:uid="{00000000-0005-0000-0000-00000A9F0000}"/>
    <cellStyle name="Normal 33 3 2 2" xfId="14366" xr:uid="{00000000-0005-0000-0000-00000B9F0000}"/>
    <cellStyle name="Normal 33 3 2 2 2" xfId="27934" xr:uid="{00000000-0005-0000-0000-00000C9F0000}"/>
    <cellStyle name="Normal 33 3 2 2 2 2" xfId="55067" xr:uid="{00000000-0005-0000-0000-00000D9F0000}"/>
    <cellStyle name="Normal 33 3 2 2 3" xfId="41505" xr:uid="{00000000-0005-0000-0000-00000E9F0000}"/>
    <cellStyle name="Normal 33 3 2 3" xfId="21153" xr:uid="{00000000-0005-0000-0000-00000F9F0000}"/>
    <cellStyle name="Normal 33 3 2 3 2" xfId="48286" xr:uid="{00000000-0005-0000-0000-0000109F0000}"/>
    <cellStyle name="Normal 33 3 2 4" xfId="34724" xr:uid="{00000000-0005-0000-0000-0000119F0000}"/>
    <cellStyle name="Normal 33 3 3" xfId="10977" xr:uid="{00000000-0005-0000-0000-0000129F0000}"/>
    <cellStyle name="Normal 33 3 3 2" xfId="24545" xr:uid="{00000000-0005-0000-0000-0000139F0000}"/>
    <cellStyle name="Normal 33 3 3 2 2" xfId="51678" xr:uid="{00000000-0005-0000-0000-0000149F0000}"/>
    <cellStyle name="Normal 33 3 3 3" xfId="38116" xr:uid="{00000000-0005-0000-0000-0000159F0000}"/>
    <cellStyle name="Normal 33 3 4" xfId="17764" xr:uid="{00000000-0005-0000-0000-0000169F0000}"/>
    <cellStyle name="Normal 33 3 4 2" xfId="44897" xr:uid="{00000000-0005-0000-0000-0000179F0000}"/>
    <cellStyle name="Normal 33 3 5" xfId="31335" xr:uid="{00000000-0005-0000-0000-0000189F0000}"/>
    <cellStyle name="Normal 34" xfId="3421" xr:uid="{00000000-0005-0000-0000-0000199F0000}"/>
    <cellStyle name="Normal 34 2" xfId="7584" xr:uid="{00000000-0005-0000-0000-00001A9F0000}"/>
    <cellStyle name="Normal 34 2 2" xfId="14374" xr:uid="{00000000-0005-0000-0000-00001B9F0000}"/>
    <cellStyle name="Normal 34 2 2 2" xfId="27942" xr:uid="{00000000-0005-0000-0000-00001C9F0000}"/>
    <cellStyle name="Normal 34 2 2 2 2" xfId="55075" xr:uid="{00000000-0005-0000-0000-00001D9F0000}"/>
    <cellStyle name="Normal 34 2 2 3" xfId="41513" xr:uid="{00000000-0005-0000-0000-00001E9F0000}"/>
    <cellStyle name="Normal 34 2 3" xfId="21161" xr:uid="{00000000-0005-0000-0000-00001F9F0000}"/>
    <cellStyle name="Normal 34 2 3 2" xfId="48294" xr:uid="{00000000-0005-0000-0000-0000209F0000}"/>
    <cellStyle name="Normal 34 2 4" xfId="34732" xr:uid="{00000000-0005-0000-0000-0000219F0000}"/>
    <cellStyle name="Normal 34 3" xfId="10985" xr:uid="{00000000-0005-0000-0000-0000229F0000}"/>
    <cellStyle name="Normal 34 3 2" xfId="24553" xr:uid="{00000000-0005-0000-0000-0000239F0000}"/>
    <cellStyle name="Normal 34 3 2 2" xfId="51686" xr:uid="{00000000-0005-0000-0000-0000249F0000}"/>
    <cellStyle name="Normal 34 3 3" xfId="38124" xr:uid="{00000000-0005-0000-0000-0000259F0000}"/>
    <cellStyle name="Normal 34 4" xfId="17772" xr:uid="{00000000-0005-0000-0000-0000269F0000}"/>
    <cellStyle name="Normal 34 4 2" xfId="44905" xr:uid="{00000000-0005-0000-0000-0000279F0000}"/>
    <cellStyle name="Normal 34 5" xfId="31343" xr:uid="{00000000-0005-0000-0000-0000289F0000}"/>
    <cellStyle name="Normal 35" xfId="3423" xr:uid="{00000000-0005-0000-0000-0000299F0000}"/>
    <cellStyle name="Normal 35 2" xfId="7586" xr:uid="{00000000-0005-0000-0000-00002A9F0000}"/>
    <cellStyle name="Normal 35 2 2" xfId="14376" xr:uid="{00000000-0005-0000-0000-00002B9F0000}"/>
    <cellStyle name="Normal 35 2 2 2" xfId="27944" xr:uid="{00000000-0005-0000-0000-00002C9F0000}"/>
    <cellStyle name="Normal 35 2 2 2 2" xfId="55077" xr:uid="{00000000-0005-0000-0000-00002D9F0000}"/>
    <cellStyle name="Normal 35 2 2 3" xfId="41515" xr:uid="{00000000-0005-0000-0000-00002E9F0000}"/>
    <cellStyle name="Normal 35 2 3" xfId="21163" xr:uid="{00000000-0005-0000-0000-00002F9F0000}"/>
    <cellStyle name="Normal 35 2 3 2" xfId="48296" xr:uid="{00000000-0005-0000-0000-0000309F0000}"/>
    <cellStyle name="Normal 35 2 4" xfId="34734" xr:uid="{00000000-0005-0000-0000-0000319F0000}"/>
    <cellStyle name="Normal 35 3" xfId="10987" xr:uid="{00000000-0005-0000-0000-0000329F0000}"/>
    <cellStyle name="Normal 35 3 2" xfId="24555" xr:uid="{00000000-0005-0000-0000-0000339F0000}"/>
    <cellStyle name="Normal 35 3 2 2" xfId="51688" xr:uid="{00000000-0005-0000-0000-0000349F0000}"/>
    <cellStyle name="Normal 35 3 3" xfId="38126" xr:uid="{00000000-0005-0000-0000-0000359F0000}"/>
    <cellStyle name="Normal 35 4" xfId="17774" xr:uid="{00000000-0005-0000-0000-0000369F0000}"/>
    <cellStyle name="Normal 35 4 2" xfId="44907" xr:uid="{00000000-0005-0000-0000-0000379F0000}"/>
    <cellStyle name="Normal 35 5" xfId="31345" xr:uid="{00000000-0005-0000-0000-0000389F0000}"/>
    <cellStyle name="Normal 36" xfId="3427" xr:uid="{00000000-0005-0000-0000-0000399F0000}"/>
    <cellStyle name="Normal 37" xfId="7298" xr:uid="{00000000-0005-0000-0000-00003A9F0000}"/>
    <cellStyle name="Normal 37 2" xfId="10799" xr:uid="{00000000-0005-0000-0000-00003B9F0000}"/>
    <cellStyle name="Normal 37 2 2" xfId="17589" xr:uid="{00000000-0005-0000-0000-00003C9F0000}"/>
    <cellStyle name="Normal 37 2 2 2" xfId="31157" xr:uid="{00000000-0005-0000-0000-00003D9F0000}"/>
    <cellStyle name="Normal 37 2 2 2 2" xfId="58290" xr:uid="{00000000-0005-0000-0000-00003E9F0000}"/>
    <cellStyle name="Normal 37 2 2 3" xfId="44728" xr:uid="{00000000-0005-0000-0000-00003F9F0000}"/>
    <cellStyle name="Normal 37 2 3" xfId="24376" xr:uid="{00000000-0005-0000-0000-0000409F0000}"/>
    <cellStyle name="Normal 37 2 3 2" xfId="51509" xr:uid="{00000000-0005-0000-0000-0000419F0000}"/>
    <cellStyle name="Normal 37 2 4" xfId="37947" xr:uid="{00000000-0005-0000-0000-0000429F0000}"/>
    <cellStyle name="Normal 37 3" xfId="14200" xr:uid="{00000000-0005-0000-0000-0000439F0000}"/>
    <cellStyle name="Normal 37 3 2" xfId="27768" xr:uid="{00000000-0005-0000-0000-0000449F0000}"/>
    <cellStyle name="Normal 37 3 2 2" xfId="54901" xr:uid="{00000000-0005-0000-0000-0000459F0000}"/>
    <cellStyle name="Normal 37 3 3" xfId="41339" xr:uid="{00000000-0005-0000-0000-0000469F0000}"/>
    <cellStyle name="Normal 37 4" xfId="20987" xr:uid="{00000000-0005-0000-0000-0000479F0000}"/>
    <cellStyle name="Normal 37 4 2" xfId="48120" xr:uid="{00000000-0005-0000-0000-0000489F0000}"/>
    <cellStyle name="Normal 37 5" xfId="34558" xr:uid="{00000000-0005-0000-0000-0000499F0000}"/>
    <cellStyle name="Normal 38" xfId="7302" xr:uid="{00000000-0005-0000-0000-00004A9F0000}"/>
    <cellStyle name="Normal 38 2" xfId="10802" xr:uid="{00000000-0005-0000-0000-00004B9F0000}"/>
    <cellStyle name="Normal 38 2 2" xfId="17592" xr:uid="{00000000-0005-0000-0000-00004C9F0000}"/>
    <cellStyle name="Normal 38 2 2 2" xfId="31160" xr:uid="{00000000-0005-0000-0000-00004D9F0000}"/>
    <cellStyle name="Normal 38 2 2 2 2" xfId="58293" xr:uid="{00000000-0005-0000-0000-00004E9F0000}"/>
    <cellStyle name="Normal 38 2 2 3" xfId="44731" xr:uid="{00000000-0005-0000-0000-00004F9F0000}"/>
    <cellStyle name="Normal 38 2 3" xfId="24379" xr:uid="{00000000-0005-0000-0000-0000509F0000}"/>
    <cellStyle name="Normal 38 2 3 2" xfId="51512" xr:uid="{00000000-0005-0000-0000-0000519F0000}"/>
    <cellStyle name="Normal 38 2 4" xfId="37950" xr:uid="{00000000-0005-0000-0000-0000529F0000}"/>
    <cellStyle name="Normal 38 3" xfId="14203" xr:uid="{00000000-0005-0000-0000-0000539F0000}"/>
    <cellStyle name="Normal 38 3 2" xfId="27771" xr:uid="{00000000-0005-0000-0000-0000549F0000}"/>
    <cellStyle name="Normal 38 3 2 2" xfId="54904" xr:uid="{00000000-0005-0000-0000-0000559F0000}"/>
    <cellStyle name="Normal 38 3 3" xfId="41342" xr:uid="{00000000-0005-0000-0000-0000569F0000}"/>
    <cellStyle name="Normal 38 4" xfId="20990" xr:uid="{00000000-0005-0000-0000-0000579F0000}"/>
    <cellStyle name="Normal 38 4 2" xfId="48123" xr:uid="{00000000-0005-0000-0000-0000589F0000}"/>
    <cellStyle name="Normal 38 5" xfId="34561" xr:uid="{00000000-0005-0000-0000-0000599F0000}"/>
    <cellStyle name="Normal 39" xfId="7305" xr:uid="{00000000-0005-0000-0000-00005A9F0000}"/>
    <cellStyle name="Normal 39 2" xfId="10804" xr:uid="{00000000-0005-0000-0000-00005B9F0000}"/>
    <cellStyle name="Normal 39 2 2" xfId="17594" xr:uid="{00000000-0005-0000-0000-00005C9F0000}"/>
    <cellStyle name="Normal 39 2 2 2" xfId="31162" xr:uid="{00000000-0005-0000-0000-00005D9F0000}"/>
    <cellStyle name="Normal 39 2 2 2 2" xfId="58295" xr:uid="{00000000-0005-0000-0000-00005E9F0000}"/>
    <cellStyle name="Normal 39 2 2 3" xfId="44733" xr:uid="{00000000-0005-0000-0000-00005F9F0000}"/>
    <cellStyle name="Normal 39 2 3" xfId="24381" xr:uid="{00000000-0005-0000-0000-0000609F0000}"/>
    <cellStyle name="Normal 39 2 3 2" xfId="51514" xr:uid="{00000000-0005-0000-0000-0000619F0000}"/>
    <cellStyle name="Normal 39 2 4" xfId="37952" xr:uid="{00000000-0005-0000-0000-0000629F0000}"/>
    <cellStyle name="Normal 39 3" xfId="14205" xr:uid="{00000000-0005-0000-0000-0000639F0000}"/>
    <cellStyle name="Normal 39 3 2" xfId="27773" xr:uid="{00000000-0005-0000-0000-0000649F0000}"/>
    <cellStyle name="Normal 39 3 2 2" xfId="54906" xr:uid="{00000000-0005-0000-0000-0000659F0000}"/>
    <cellStyle name="Normal 39 3 3" xfId="41344" xr:uid="{00000000-0005-0000-0000-0000669F0000}"/>
    <cellStyle name="Normal 39 4" xfId="20992" xr:uid="{00000000-0005-0000-0000-0000679F0000}"/>
    <cellStyle name="Normal 39 4 2" xfId="48125" xr:uid="{00000000-0005-0000-0000-0000689F0000}"/>
    <cellStyle name="Normal 39 5" xfId="34563" xr:uid="{00000000-0005-0000-0000-0000699F0000}"/>
    <cellStyle name="Normal 4" xfId="79" xr:uid="{00000000-0005-0000-0000-00006A9F0000}"/>
    <cellStyle name="Normal 4 10" xfId="2769" xr:uid="{00000000-0005-0000-0000-00006B9F0000}"/>
    <cellStyle name="Normal 4 10 2" xfId="6225" xr:uid="{00000000-0005-0000-0000-00006C9F0000}"/>
    <cellStyle name="Normal 4 10 2 2" xfId="6226" xr:uid="{00000000-0005-0000-0000-00006D9F0000}"/>
    <cellStyle name="Normal 4 10 2 2 2" xfId="9767" xr:uid="{00000000-0005-0000-0000-00006E9F0000}"/>
    <cellStyle name="Normal 4 10 2 2 2 2" xfId="16557" xr:uid="{00000000-0005-0000-0000-00006F9F0000}"/>
    <cellStyle name="Normal 4 10 2 2 2 2 2" xfId="30125" xr:uid="{00000000-0005-0000-0000-0000709F0000}"/>
    <cellStyle name="Normal 4 10 2 2 2 2 2 2" xfId="57258" xr:uid="{00000000-0005-0000-0000-0000719F0000}"/>
    <cellStyle name="Normal 4 10 2 2 2 2 3" xfId="43696" xr:uid="{00000000-0005-0000-0000-0000729F0000}"/>
    <cellStyle name="Normal 4 10 2 2 2 3" xfId="23344" xr:uid="{00000000-0005-0000-0000-0000739F0000}"/>
    <cellStyle name="Normal 4 10 2 2 2 3 2" xfId="50477" xr:uid="{00000000-0005-0000-0000-0000749F0000}"/>
    <cellStyle name="Normal 4 10 2 2 2 4" xfId="36915" xr:uid="{00000000-0005-0000-0000-0000759F0000}"/>
    <cellStyle name="Normal 4 10 2 2 3" xfId="13168" xr:uid="{00000000-0005-0000-0000-0000769F0000}"/>
    <cellStyle name="Normal 4 10 2 2 3 2" xfId="26736" xr:uid="{00000000-0005-0000-0000-0000779F0000}"/>
    <cellStyle name="Normal 4 10 2 2 3 2 2" xfId="53869" xr:uid="{00000000-0005-0000-0000-0000789F0000}"/>
    <cellStyle name="Normal 4 10 2 2 3 3" xfId="40307" xr:uid="{00000000-0005-0000-0000-0000799F0000}"/>
    <cellStyle name="Normal 4 10 2 2 4" xfId="19955" xr:uid="{00000000-0005-0000-0000-00007A9F0000}"/>
    <cellStyle name="Normal 4 10 2 2 4 2" xfId="47088" xr:uid="{00000000-0005-0000-0000-00007B9F0000}"/>
    <cellStyle name="Normal 4 10 2 2 5" xfId="33526" xr:uid="{00000000-0005-0000-0000-00007C9F0000}"/>
    <cellStyle name="Normal 4 10 2 3" xfId="6227" xr:uid="{00000000-0005-0000-0000-00007D9F0000}"/>
    <cellStyle name="Normal 4 10 2 3 2" xfId="9768" xr:uid="{00000000-0005-0000-0000-00007E9F0000}"/>
    <cellStyle name="Normal 4 10 2 3 2 2" xfId="16558" xr:uid="{00000000-0005-0000-0000-00007F9F0000}"/>
    <cellStyle name="Normal 4 10 2 3 2 2 2" xfId="30126" xr:uid="{00000000-0005-0000-0000-0000809F0000}"/>
    <cellStyle name="Normal 4 10 2 3 2 2 2 2" xfId="57259" xr:uid="{00000000-0005-0000-0000-0000819F0000}"/>
    <cellStyle name="Normal 4 10 2 3 2 2 3" xfId="43697" xr:uid="{00000000-0005-0000-0000-0000829F0000}"/>
    <cellStyle name="Normal 4 10 2 3 2 3" xfId="23345" xr:uid="{00000000-0005-0000-0000-0000839F0000}"/>
    <cellStyle name="Normal 4 10 2 3 2 3 2" xfId="50478" xr:uid="{00000000-0005-0000-0000-0000849F0000}"/>
    <cellStyle name="Normal 4 10 2 3 2 4" xfId="36916" xr:uid="{00000000-0005-0000-0000-0000859F0000}"/>
    <cellStyle name="Normal 4 10 2 3 3" xfId="13169" xr:uid="{00000000-0005-0000-0000-0000869F0000}"/>
    <cellStyle name="Normal 4 10 2 3 3 2" xfId="26737" xr:uid="{00000000-0005-0000-0000-0000879F0000}"/>
    <cellStyle name="Normal 4 10 2 3 3 2 2" xfId="53870" xr:uid="{00000000-0005-0000-0000-0000889F0000}"/>
    <cellStyle name="Normal 4 10 2 3 3 3" xfId="40308" xr:uid="{00000000-0005-0000-0000-0000899F0000}"/>
    <cellStyle name="Normal 4 10 2 3 4" xfId="19956" xr:uid="{00000000-0005-0000-0000-00008A9F0000}"/>
    <cellStyle name="Normal 4 10 2 3 4 2" xfId="47089" xr:uid="{00000000-0005-0000-0000-00008B9F0000}"/>
    <cellStyle name="Normal 4 10 2 3 5" xfId="33527" xr:uid="{00000000-0005-0000-0000-00008C9F0000}"/>
    <cellStyle name="Normal 4 10 2 4" xfId="9766" xr:uid="{00000000-0005-0000-0000-00008D9F0000}"/>
    <cellStyle name="Normal 4 10 2 4 2" xfId="16556" xr:uid="{00000000-0005-0000-0000-00008E9F0000}"/>
    <cellStyle name="Normal 4 10 2 4 2 2" xfId="30124" xr:uid="{00000000-0005-0000-0000-00008F9F0000}"/>
    <cellStyle name="Normal 4 10 2 4 2 2 2" xfId="57257" xr:uid="{00000000-0005-0000-0000-0000909F0000}"/>
    <cellStyle name="Normal 4 10 2 4 2 3" xfId="43695" xr:uid="{00000000-0005-0000-0000-0000919F0000}"/>
    <cellStyle name="Normal 4 10 2 4 3" xfId="23343" xr:uid="{00000000-0005-0000-0000-0000929F0000}"/>
    <cellStyle name="Normal 4 10 2 4 3 2" xfId="50476" xr:uid="{00000000-0005-0000-0000-0000939F0000}"/>
    <cellStyle name="Normal 4 10 2 4 4" xfId="36914" xr:uid="{00000000-0005-0000-0000-0000949F0000}"/>
    <cellStyle name="Normal 4 10 2 5" xfId="13167" xr:uid="{00000000-0005-0000-0000-0000959F0000}"/>
    <cellStyle name="Normal 4 10 2 5 2" xfId="26735" xr:uid="{00000000-0005-0000-0000-0000969F0000}"/>
    <cellStyle name="Normal 4 10 2 5 2 2" xfId="53868" xr:uid="{00000000-0005-0000-0000-0000979F0000}"/>
    <cellStyle name="Normal 4 10 2 5 3" xfId="40306" xr:uid="{00000000-0005-0000-0000-0000989F0000}"/>
    <cellStyle name="Normal 4 10 2 6" xfId="19954" xr:uid="{00000000-0005-0000-0000-0000999F0000}"/>
    <cellStyle name="Normal 4 10 2 6 2" xfId="47087" xr:uid="{00000000-0005-0000-0000-00009A9F0000}"/>
    <cellStyle name="Normal 4 10 2 7" xfId="33525" xr:uid="{00000000-0005-0000-0000-00009B9F0000}"/>
    <cellStyle name="Normal 4 10 3" xfId="6228" xr:uid="{00000000-0005-0000-0000-00009C9F0000}"/>
    <cellStyle name="Normal 4 10 3 2" xfId="9769" xr:uid="{00000000-0005-0000-0000-00009D9F0000}"/>
    <cellStyle name="Normal 4 10 3 2 2" xfId="16559" xr:uid="{00000000-0005-0000-0000-00009E9F0000}"/>
    <cellStyle name="Normal 4 10 3 2 2 2" xfId="30127" xr:uid="{00000000-0005-0000-0000-00009F9F0000}"/>
    <cellStyle name="Normal 4 10 3 2 2 2 2" xfId="57260" xr:uid="{00000000-0005-0000-0000-0000A09F0000}"/>
    <cellStyle name="Normal 4 10 3 2 2 3" xfId="43698" xr:uid="{00000000-0005-0000-0000-0000A19F0000}"/>
    <cellStyle name="Normal 4 10 3 2 3" xfId="23346" xr:uid="{00000000-0005-0000-0000-0000A29F0000}"/>
    <cellStyle name="Normal 4 10 3 2 3 2" xfId="50479" xr:uid="{00000000-0005-0000-0000-0000A39F0000}"/>
    <cellStyle name="Normal 4 10 3 2 4" xfId="36917" xr:uid="{00000000-0005-0000-0000-0000A49F0000}"/>
    <cellStyle name="Normal 4 10 3 3" xfId="13170" xr:uid="{00000000-0005-0000-0000-0000A59F0000}"/>
    <cellStyle name="Normal 4 10 3 3 2" xfId="26738" xr:uid="{00000000-0005-0000-0000-0000A69F0000}"/>
    <cellStyle name="Normal 4 10 3 3 2 2" xfId="53871" xr:uid="{00000000-0005-0000-0000-0000A79F0000}"/>
    <cellStyle name="Normal 4 10 3 3 3" xfId="40309" xr:uid="{00000000-0005-0000-0000-0000A89F0000}"/>
    <cellStyle name="Normal 4 10 3 4" xfId="19957" xr:uid="{00000000-0005-0000-0000-0000A99F0000}"/>
    <cellStyle name="Normal 4 10 3 4 2" xfId="47090" xr:uid="{00000000-0005-0000-0000-0000AA9F0000}"/>
    <cellStyle name="Normal 4 10 3 5" xfId="33528" xr:uid="{00000000-0005-0000-0000-0000AB9F0000}"/>
    <cellStyle name="Normal 4 10 4" xfId="6229" xr:uid="{00000000-0005-0000-0000-0000AC9F0000}"/>
    <cellStyle name="Normal 4 10 4 2" xfId="9770" xr:uid="{00000000-0005-0000-0000-0000AD9F0000}"/>
    <cellStyle name="Normal 4 10 4 2 2" xfId="16560" xr:uid="{00000000-0005-0000-0000-0000AE9F0000}"/>
    <cellStyle name="Normal 4 10 4 2 2 2" xfId="30128" xr:uid="{00000000-0005-0000-0000-0000AF9F0000}"/>
    <cellStyle name="Normal 4 10 4 2 2 2 2" xfId="57261" xr:uid="{00000000-0005-0000-0000-0000B09F0000}"/>
    <cellStyle name="Normal 4 10 4 2 2 3" xfId="43699" xr:uid="{00000000-0005-0000-0000-0000B19F0000}"/>
    <cellStyle name="Normal 4 10 4 2 3" xfId="23347" xr:uid="{00000000-0005-0000-0000-0000B29F0000}"/>
    <cellStyle name="Normal 4 10 4 2 3 2" xfId="50480" xr:uid="{00000000-0005-0000-0000-0000B39F0000}"/>
    <cellStyle name="Normal 4 10 4 2 4" xfId="36918" xr:uid="{00000000-0005-0000-0000-0000B49F0000}"/>
    <cellStyle name="Normal 4 10 4 3" xfId="13171" xr:uid="{00000000-0005-0000-0000-0000B59F0000}"/>
    <cellStyle name="Normal 4 10 4 3 2" xfId="26739" xr:uid="{00000000-0005-0000-0000-0000B69F0000}"/>
    <cellStyle name="Normal 4 10 4 3 2 2" xfId="53872" xr:uid="{00000000-0005-0000-0000-0000B79F0000}"/>
    <cellStyle name="Normal 4 10 4 3 3" xfId="40310" xr:uid="{00000000-0005-0000-0000-0000B89F0000}"/>
    <cellStyle name="Normal 4 10 4 4" xfId="19958" xr:uid="{00000000-0005-0000-0000-0000B99F0000}"/>
    <cellStyle name="Normal 4 10 4 4 2" xfId="47091" xr:uid="{00000000-0005-0000-0000-0000BA9F0000}"/>
    <cellStyle name="Normal 4 10 4 5" xfId="33529" xr:uid="{00000000-0005-0000-0000-0000BB9F0000}"/>
    <cellStyle name="Normal 4 11" xfId="2770" xr:uid="{00000000-0005-0000-0000-0000BC9F0000}"/>
    <cellStyle name="Normal 4 11 2" xfId="6230" xr:uid="{00000000-0005-0000-0000-0000BD9F0000}"/>
    <cellStyle name="Normal 4 11 2 2" xfId="9771" xr:uid="{00000000-0005-0000-0000-0000BE9F0000}"/>
    <cellStyle name="Normal 4 11 2 2 2" xfId="16561" xr:uid="{00000000-0005-0000-0000-0000BF9F0000}"/>
    <cellStyle name="Normal 4 11 2 2 2 2" xfId="30129" xr:uid="{00000000-0005-0000-0000-0000C09F0000}"/>
    <cellStyle name="Normal 4 11 2 2 2 2 2" xfId="57262" xr:uid="{00000000-0005-0000-0000-0000C19F0000}"/>
    <cellStyle name="Normal 4 11 2 2 2 3" xfId="43700" xr:uid="{00000000-0005-0000-0000-0000C29F0000}"/>
    <cellStyle name="Normal 4 11 2 2 3" xfId="23348" xr:uid="{00000000-0005-0000-0000-0000C39F0000}"/>
    <cellStyle name="Normal 4 11 2 2 3 2" xfId="50481" xr:uid="{00000000-0005-0000-0000-0000C49F0000}"/>
    <cellStyle name="Normal 4 11 2 2 4" xfId="36919" xr:uid="{00000000-0005-0000-0000-0000C59F0000}"/>
    <cellStyle name="Normal 4 11 2 3" xfId="13172" xr:uid="{00000000-0005-0000-0000-0000C69F0000}"/>
    <cellStyle name="Normal 4 11 2 3 2" xfId="26740" xr:uid="{00000000-0005-0000-0000-0000C79F0000}"/>
    <cellStyle name="Normal 4 11 2 3 2 2" xfId="53873" xr:uid="{00000000-0005-0000-0000-0000C89F0000}"/>
    <cellStyle name="Normal 4 11 2 3 3" xfId="40311" xr:uid="{00000000-0005-0000-0000-0000C99F0000}"/>
    <cellStyle name="Normal 4 11 2 4" xfId="19959" xr:uid="{00000000-0005-0000-0000-0000CA9F0000}"/>
    <cellStyle name="Normal 4 11 2 4 2" xfId="47092" xr:uid="{00000000-0005-0000-0000-0000CB9F0000}"/>
    <cellStyle name="Normal 4 11 2 5" xfId="33530" xr:uid="{00000000-0005-0000-0000-0000CC9F0000}"/>
    <cellStyle name="Normal 4 12" xfId="2771" xr:uid="{00000000-0005-0000-0000-0000CD9F0000}"/>
    <cellStyle name="Normal 4 13" xfId="2772" xr:uid="{00000000-0005-0000-0000-0000CE9F0000}"/>
    <cellStyle name="Normal 4 13 2" xfId="7577" xr:uid="{00000000-0005-0000-0000-0000CF9F0000}"/>
    <cellStyle name="Normal 4 13 2 2" xfId="14367" xr:uid="{00000000-0005-0000-0000-0000D09F0000}"/>
    <cellStyle name="Normal 4 13 2 2 2" xfId="27935" xr:uid="{00000000-0005-0000-0000-0000D19F0000}"/>
    <cellStyle name="Normal 4 13 2 2 2 2" xfId="55068" xr:uid="{00000000-0005-0000-0000-0000D29F0000}"/>
    <cellStyle name="Normal 4 13 2 2 3" xfId="41506" xr:uid="{00000000-0005-0000-0000-0000D39F0000}"/>
    <cellStyle name="Normal 4 13 2 3" xfId="21154" xr:uid="{00000000-0005-0000-0000-0000D49F0000}"/>
    <cellStyle name="Normal 4 13 2 3 2" xfId="48287" xr:uid="{00000000-0005-0000-0000-0000D59F0000}"/>
    <cellStyle name="Normal 4 13 2 4" xfId="34725" xr:uid="{00000000-0005-0000-0000-0000D69F0000}"/>
    <cellStyle name="Normal 4 13 3" xfId="10978" xr:uid="{00000000-0005-0000-0000-0000D79F0000}"/>
    <cellStyle name="Normal 4 13 3 2" xfId="24546" xr:uid="{00000000-0005-0000-0000-0000D89F0000}"/>
    <cellStyle name="Normal 4 13 3 2 2" xfId="51679" xr:uid="{00000000-0005-0000-0000-0000D99F0000}"/>
    <cellStyle name="Normal 4 13 3 3" xfId="38117" xr:uid="{00000000-0005-0000-0000-0000DA9F0000}"/>
    <cellStyle name="Normal 4 13 4" xfId="17765" xr:uid="{00000000-0005-0000-0000-0000DB9F0000}"/>
    <cellStyle name="Normal 4 13 4 2" xfId="44898" xr:uid="{00000000-0005-0000-0000-0000DC9F0000}"/>
    <cellStyle name="Normal 4 13 5" xfId="31336" xr:uid="{00000000-0005-0000-0000-0000DD9F0000}"/>
    <cellStyle name="Normal 4 14" xfId="7425" xr:uid="{00000000-0005-0000-0000-0000DE9F0000}"/>
    <cellStyle name="Normal 4 15" xfId="7426" xr:uid="{00000000-0005-0000-0000-0000DF9F0000}"/>
    <cellStyle name="Normal 4 16" xfId="7427" xr:uid="{00000000-0005-0000-0000-0000E09F0000}"/>
    <cellStyle name="Normal 4 17" xfId="7428" xr:uid="{00000000-0005-0000-0000-0000E19F0000}"/>
    <cellStyle name="Normal 4 18" xfId="7429" xr:uid="{00000000-0005-0000-0000-0000E29F0000}"/>
    <cellStyle name="Normal 4 19" xfId="7430" xr:uid="{00000000-0005-0000-0000-0000E39F0000}"/>
    <cellStyle name="Normal 4 2" xfId="84" xr:uid="{00000000-0005-0000-0000-0000E49F0000}"/>
    <cellStyle name="Normal 4 2 2" xfId="2773" xr:uid="{00000000-0005-0000-0000-0000E59F0000}"/>
    <cellStyle name="Normal 4 2 2 2" xfId="6231" xr:uid="{00000000-0005-0000-0000-0000E69F0000}"/>
    <cellStyle name="Normal 4 2 2 2 2" xfId="6232" xr:uid="{00000000-0005-0000-0000-0000E79F0000}"/>
    <cellStyle name="Normal 4 2 2 3" xfId="7578" xr:uid="{00000000-0005-0000-0000-0000E89F0000}"/>
    <cellStyle name="Normal 4 2 2 3 2" xfId="14368" xr:uid="{00000000-0005-0000-0000-0000E99F0000}"/>
    <cellStyle name="Normal 4 2 2 3 2 2" xfId="27936" xr:uid="{00000000-0005-0000-0000-0000EA9F0000}"/>
    <cellStyle name="Normal 4 2 2 3 2 2 2" xfId="55069" xr:uid="{00000000-0005-0000-0000-0000EB9F0000}"/>
    <cellStyle name="Normal 4 2 2 3 2 3" xfId="41507" xr:uid="{00000000-0005-0000-0000-0000EC9F0000}"/>
    <cellStyle name="Normal 4 2 2 3 3" xfId="21155" xr:uid="{00000000-0005-0000-0000-0000ED9F0000}"/>
    <cellStyle name="Normal 4 2 2 3 3 2" xfId="48288" xr:uid="{00000000-0005-0000-0000-0000EE9F0000}"/>
    <cellStyle name="Normal 4 2 2 3 4" xfId="34726" xr:uid="{00000000-0005-0000-0000-0000EF9F0000}"/>
    <cellStyle name="Normal 4 2 2 4" xfId="10979" xr:uid="{00000000-0005-0000-0000-0000F09F0000}"/>
    <cellStyle name="Normal 4 2 2 4 2" xfId="24547" xr:uid="{00000000-0005-0000-0000-0000F19F0000}"/>
    <cellStyle name="Normal 4 2 2 4 2 2" xfId="51680" xr:uid="{00000000-0005-0000-0000-0000F29F0000}"/>
    <cellStyle name="Normal 4 2 2 4 3" xfId="38118" xr:uid="{00000000-0005-0000-0000-0000F39F0000}"/>
    <cellStyle name="Normal 4 2 2 5" xfId="17766" xr:uid="{00000000-0005-0000-0000-0000F49F0000}"/>
    <cellStyle name="Normal 4 2 2 5 2" xfId="44899" xr:uid="{00000000-0005-0000-0000-0000F59F0000}"/>
    <cellStyle name="Normal 4 2 2 6" xfId="31337" xr:uid="{00000000-0005-0000-0000-0000F69F0000}"/>
    <cellStyle name="Normal 4 2 3" xfId="6233" xr:uid="{00000000-0005-0000-0000-0000F79F0000}"/>
    <cellStyle name="Normal 4 2 4" xfId="6234" xr:uid="{00000000-0005-0000-0000-0000F89F0000}"/>
    <cellStyle name="Normal 4 20" xfId="7431" xr:uid="{00000000-0005-0000-0000-0000F99F0000}"/>
    <cellStyle name="Normal 4 21" xfId="7432" xr:uid="{00000000-0005-0000-0000-0000FA9F0000}"/>
    <cellStyle name="Normal 4 22" xfId="7433" xr:uid="{00000000-0005-0000-0000-0000FB9F0000}"/>
    <cellStyle name="Normal 4 23" xfId="7434" xr:uid="{00000000-0005-0000-0000-0000FC9F0000}"/>
    <cellStyle name="Normal 4 24" xfId="7435" xr:uid="{00000000-0005-0000-0000-0000FD9F0000}"/>
    <cellStyle name="Normal 4 25" xfId="7436" xr:uid="{00000000-0005-0000-0000-0000FE9F0000}"/>
    <cellStyle name="Normal 4 26" xfId="7437" xr:uid="{00000000-0005-0000-0000-0000FF9F0000}"/>
    <cellStyle name="Normal 4 27" xfId="7438" xr:uid="{00000000-0005-0000-0000-000000A00000}"/>
    <cellStyle name="Normal 4 28" xfId="7439" xr:uid="{00000000-0005-0000-0000-000001A00000}"/>
    <cellStyle name="Normal 4 29" xfId="7440" xr:uid="{00000000-0005-0000-0000-000002A00000}"/>
    <cellStyle name="Normal 4 3" xfId="201" xr:uid="{00000000-0005-0000-0000-000003A00000}"/>
    <cellStyle name="Normal 4 3 10" xfId="6235" xr:uid="{00000000-0005-0000-0000-000004A00000}"/>
    <cellStyle name="Normal 4 3 10 2" xfId="6236" xr:uid="{00000000-0005-0000-0000-000005A00000}"/>
    <cellStyle name="Normal 4 3 10 2 2" xfId="6237" xr:uid="{00000000-0005-0000-0000-000006A00000}"/>
    <cellStyle name="Normal 4 3 10 2 2 2" xfId="9774" xr:uid="{00000000-0005-0000-0000-000007A00000}"/>
    <cellStyle name="Normal 4 3 10 2 2 2 2" xfId="16564" xr:uid="{00000000-0005-0000-0000-000008A00000}"/>
    <cellStyle name="Normal 4 3 10 2 2 2 2 2" xfId="30132" xr:uid="{00000000-0005-0000-0000-000009A00000}"/>
    <cellStyle name="Normal 4 3 10 2 2 2 2 2 2" xfId="57265" xr:uid="{00000000-0005-0000-0000-00000AA00000}"/>
    <cellStyle name="Normal 4 3 10 2 2 2 2 3" xfId="43703" xr:uid="{00000000-0005-0000-0000-00000BA00000}"/>
    <cellStyle name="Normal 4 3 10 2 2 2 3" xfId="23351" xr:uid="{00000000-0005-0000-0000-00000CA00000}"/>
    <cellStyle name="Normal 4 3 10 2 2 2 3 2" xfId="50484" xr:uid="{00000000-0005-0000-0000-00000DA00000}"/>
    <cellStyle name="Normal 4 3 10 2 2 2 4" xfId="36922" xr:uid="{00000000-0005-0000-0000-00000EA00000}"/>
    <cellStyle name="Normal 4 3 10 2 2 3" xfId="13175" xr:uid="{00000000-0005-0000-0000-00000FA00000}"/>
    <cellStyle name="Normal 4 3 10 2 2 3 2" xfId="26743" xr:uid="{00000000-0005-0000-0000-000010A00000}"/>
    <cellStyle name="Normal 4 3 10 2 2 3 2 2" xfId="53876" xr:uid="{00000000-0005-0000-0000-000011A00000}"/>
    <cellStyle name="Normal 4 3 10 2 2 3 3" xfId="40314" xr:uid="{00000000-0005-0000-0000-000012A00000}"/>
    <cellStyle name="Normal 4 3 10 2 2 4" xfId="19962" xr:uid="{00000000-0005-0000-0000-000013A00000}"/>
    <cellStyle name="Normal 4 3 10 2 2 4 2" xfId="47095" xr:uid="{00000000-0005-0000-0000-000014A00000}"/>
    <cellStyle name="Normal 4 3 10 2 2 5" xfId="33533" xr:uid="{00000000-0005-0000-0000-000015A00000}"/>
    <cellStyle name="Normal 4 3 10 2 3" xfId="6238" xr:uid="{00000000-0005-0000-0000-000016A00000}"/>
    <cellStyle name="Normal 4 3 10 2 3 2" xfId="9775" xr:uid="{00000000-0005-0000-0000-000017A00000}"/>
    <cellStyle name="Normal 4 3 10 2 3 2 2" xfId="16565" xr:uid="{00000000-0005-0000-0000-000018A00000}"/>
    <cellStyle name="Normal 4 3 10 2 3 2 2 2" xfId="30133" xr:uid="{00000000-0005-0000-0000-000019A00000}"/>
    <cellStyle name="Normal 4 3 10 2 3 2 2 2 2" xfId="57266" xr:uid="{00000000-0005-0000-0000-00001AA00000}"/>
    <cellStyle name="Normal 4 3 10 2 3 2 2 3" xfId="43704" xr:uid="{00000000-0005-0000-0000-00001BA00000}"/>
    <cellStyle name="Normal 4 3 10 2 3 2 3" xfId="23352" xr:uid="{00000000-0005-0000-0000-00001CA00000}"/>
    <cellStyle name="Normal 4 3 10 2 3 2 3 2" xfId="50485" xr:uid="{00000000-0005-0000-0000-00001DA00000}"/>
    <cellStyle name="Normal 4 3 10 2 3 2 4" xfId="36923" xr:uid="{00000000-0005-0000-0000-00001EA00000}"/>
    <cellStyle name="Normal 4 3 10 2 3 3" xfId="13176" xr:uid="{00000000-0005-0000-0000-00001FA00000}"/>
    <cellStyle name="Normal 4 3 10 2 3 3 2" xfId="26744" xr:uid="{00000000-0005-0000-0000-000020A00000}"/>
    <cellStyle name="Normal 4 3 10 2 3 3 2 2" xfId="53877" xr:uid="{00000000-0005-0000-0000-000021A00000}"/>
    <cellStyle name="Normal 4 3 10 2 3 3 3" xfId="40315" xr:uid="{00000000-0005-0000-0000-000022A00000}"/>
    <cellStyle name="Normal 4 3 10 2 3 4" xfId="19963" xr:uid="{00000000-0005-0000-0000-000023A00000}"/>
    <cellStyle name="Normal 4 3 10 2 3 4 2" xfId="47096" xr:uid="{00000000-0005-0000-0000-000024A00000}"/>
    <cellStyle name="Normal 4 3 10 2 3 5" xfId="33534" xr:uid="{00000000-0005-0000-0000-000025A00000}"/>
    <cellStyle name="Normal 4 3 10 2 4" xfId="9773" xr:uid="{00000000-0005-0000-0000-000026A00000}"/>
    <cellStyle name="Normal 4 3 10 2 4 2" xfId="16563" xr:uid="{00000000-0005-0000-0000-000027A00000}"/>
    <cellStyle name="Normal 4 3 10 2 4 2 2" xfId="30131" xr:uid="{00000000-0005-0000-0000-000028A00000}"/>
    <cellStyle name="Normal 4 3 10 2 4 2 2 2" xfId="57264" xr:uid="{00000000-0005-0000-0000-000029A00000}"/>
    <cellStyle name="Normal 4 3 10 2 4 2 3" xfId="43702" xr:uid="{00000000-0005-0000-0000-00002AA00000}"/>
    <cellStyle name="Normal 4 3 10 2 4 3" xfId="23350" xr:uid="{00000000-0005-0000-0000-00002BA00000}"/>
    <cellStyle name="Normal 4 3 10 2 4 3 2" xfId="50483" xr:uid="{00000000-0005-0000-0000-00002CA00000}"/>
    <cellStyle name="Normal 4 3 10 2 4 4" xfId="36921" xr:uid="{00000000-0005-0000-0000-00002DA00000}"/>
    <cellStyle name="Normal 4 3 10 2 5" xfId="13174" xr:uid="{00000000-0005-0000-0000-00002EA00000}"/>
    <cellStyle name="Normal 4 3 10 2 5 2" xfId="26742" xr:uid="{00000000-0005-0000-0000-00002FA00000}"/>
    <cellStyle name="Normal 4 3 10 2 5 2 2" xfId="53875" xr:uid="{00000000-0005-0000-0000-000030A00000}"/>
    <cellStyle name="Normal 4 3 10 2 5 3" xfId="40313" xr:uid="{00000000-0005-0000-0000-000031A00000}"/>
    <cellStyle name="Normal 4 3 10 2 6" xfId="19961" xr:uid="{00000000-0005-0000-0000-000032A00000}"/>
    <cellStyle name="Normal 4 3 10 2 6 2" xfId="47094" xr:uid="{00000000-0005-0000-0000-000033A00000}"/>
    <cellStyle name="Normal 4 3 10 2 7" xfId="33532" xr:uid="{00000000-0005-0000-0000-000034A00000}"/>
    <cellStyle name="Normal 4 3 10 3" xfId="6239" xr:uid="{00000000-0005-0000-0000-000035A00000}"/>
    <cellStyle name="Normal 4 3 10 3 2" xfId="9776" xr:uid="{00000000-0005-0000-0000-000036A00000}"/>
    <cellStyle name="Normal 4 3 10 3 2 2" xfId="16566" xr:uid="{00000000-0005-0000-0000-000037A00000}"/>
    <cellStyle name="Normal 4 3 10 3 2 2 2" xfId="30134" xr:uid="{00000000-0005-0000-0000-000038A00000}"/>
    <cellStyle name="Normal 4 3 10 3 2 2 2 2" xfId="57267" xr:uid="{00000000-0005-0000-0000-000039A00000}"/>
    <cellStyle name="Normal 4 3 10 3 2 2 3" xfId="43705" xr:uid="{00000000-0005-0000-0000-00003AA00000}"/>
    <cellStyle name="Normal 4 3 10 3 2 3" xfId="23353" xr:uid="{00000000-0005-0000-0000-00003BA00000}"/>
    <cellStyle name="Normal 4 3 10 3 2 3 2" xfId="50486" xr:uid="{00000000-0005-0000-0000-00003CA00000}"/>
    <cellStyle name="Normal 4 3 10 3 2 4" xfId="36924" xr:uid="{00000000-0005-0000-0000-00003DA00000}"/>
    <cellStyle name="Normal 4 3 10 3 3" xfId="13177" xr:uid="{00000000-0005-0000-0000-00003EA00000}"/>
    <cellStyle name="Normal 4 3 10 3 3 2" xfId="26745" xr:uid="{00000000-0005-0000-0000-00003FA00000}"/>
    <cellStyle name="Normal 4 3 10 3 3 2 2" xfId="53878" xr:uid="{00000000-0005-0000-0000-000040A00000}"/>
    <cellStyle name="Normal 4 3 10 3 3 3" xfId="40316" xr:uid="{00000000-0005-0000-0000-000041A00000}"/>
    <cellStyle name="Normal 4 3 10 3 4" xfId="19964" xr:uid="{00000000-0005-0000-0000-000042A00000}"/>
    <cellStyle name="Normal 4 3 10 3 4 2" xfId="47097" xr:uid="{00000000-0005-0000-0000-000043A00000}"/>
    <cellStyle name="Normal 4 3 10 3 5" xfId="33535" xr:uid="{00000000-0005-0000-0000-000044A00000}"/>
    <cellStyle name="Normal 4 3 10 4" xfId="6240" xr:uid="{00000000-0005-0000-0000-000045A00000}"/>
    <cellStyle name="Normal 4 3 10 4 2" xfId="9777" xr:uid="{00000000-0005-0000-0000-000046A00000}"/>
    <cellStyle name="Normal 4 3 10 4 2 2" xfId="16567" xr:uid="{00000000-0005-0000-0000-000047A00000}"/>
    <cellStyle name="Normal 4 3 10 4 2 2 2" xfId="30135" xr:uid="{00000000-0005-0000-0000-000048A00000}"/>
    <cellStyle name="Normal 4 3 10 4 2 2 2 2" xfId="57268" xr:uid="{00000000-0005-0000-0000-000049A00000}"/>
    <cellStyle name="Normal 4 3 10 4 2 2 3" xfId="43706" xr:uid="{00000000-0005-0000-0000-00004AA00000}"/>
    <cellStyle name="Normal 4 3 10 4 2 3" xfId="23354" xr:uid="{00000000-0005-0000-0000-00004BA00000}"/>
    <cellStyle name="Normal 4 3 10 4 2 3 2" xfId="50487" xr:uid="{00000000-0005-0000-0000-00004CA00000}"/>
    <cellStyle name="Normal 4 3 10 4 2 4" xfId="36925" xr:uid="{00000000-0005-0000-0000-00004DA00000}"/>
    <cellStyle name="Normal 4 3 10 4 3" xfId="13178" xr:uid="{00000000-0005-0000-0000-00004EA00000}"/>
    <cellStyle name="Normal 4 3 10 4 3 2" xfId="26746" xr:uid="{00000000-0005-0000-0000-00004FA00000}"/>
    <cellStyle name="Normal 4 3 10 4 3 2 2" xfId="53879" xr:uid="{00000000-0005-0000-0000-000050A00000}"/>
    <cellStyle name="Normal 4 3 10 4 3 3" xfId="40317" xr:uid="{00000000-0005-0000-0000-000051A00000}"/>
    <cellStyle name="Normal 4 3 10 4 4" xfId="19965" xr:uid="{00000000-0005-0000-0000-000052A00000}"/>
    <cellStyle name="Normal 4 3 10 4 4 2" xfId="47098" xr:uid="{00000000-0005-0000-0000-000053A00000}"/>
    <cellStyle name="Normal 4 3 10 4 5" xfId="33536" xr:uid="{00000000-0005-0000-0000-000054A00000}"/>
    <cellStyle name="Normal 4 3 10 5" xfId="9772" xr:uid="{00000000-0005-0000-0000-000055A00000}"/>
    <cellStyle name="Normal 4 3 10 5 2" xfId="16562" xr:uid="{00000000-0005-0000-0000-000056A00000}"/>
    <cellStyle name="Normal 4 3 10 5 2 2" xfId="30130" xr:uid="{00000000-0005-0000-0000-000057A00000}"/>
    <cellStyle name="Normal 4 3 10 5 2 2 2" xfId="57263" xr:uid="{00000000-0005-0000-0000-000058A00000}"/>
    <cellStyle name="Normal 4 3 10 5 2 3" xfId="43701" xr:uid="{00000000-0005-0000-0000-000059A00000}"/>
    <cellStyle name="Normal 4 3 10 5 3" xfId="23349" xr:uid="{00000000-0005-0000-0000-00005AA00000}"/>
    <cellStyle name="Normal 4 3 10 5 3 2" xfId="50482" xr:uid="{00000000-0005-0000-0000-00005BA00000}"/>
    <cellStyle name="Normal 4 3 10 5 4" xfId="36920" xr:uid="{00000000-0005-0000-0000-00005CA00000}"/>
    <cellStyle name="Normal 4 3 10 6" xfId="13173" xr:uid="{00000000-0005-0000-0000-00005DA00000}"/>
    <cellStyle name="Normal 4 3 10 6 2" xfId="26741" xr:uid="{00000000-0005-0000-0000-00005EA00000}"/>
    <cellStyle name="Normal 4 3 10 6 2 2" xfId="53874" xr:uid="{00000000-0005-0000-0000-00005FA00000}"/>
    <cellStyle name="Normal 4 3 10 6 3" xfId="40312" xr:uid="{00000000-0005-0000-0000-000060A00000}"/>
    <cellStyle name="Normal 4 3 10 7" xfId="19960" xr:uid="{00000000-0005-0000-0000-000061A00000}"/>
    <cellStyle name="Normal 4 3 10 7 2" xfId="47093" xr:uid="{00000000-0005-0000-0000-000062A00000}"/>
    <cellStyle name="Normal 4 3 10 8" xfId="33531" xr:uid="{00000000-0005-0000-0000-000063A00000}"/>
    <cellStyle name="Normal 4 3 11" xfId="6241" xr:uid="{00000000-0005-0000-0000-000064A00000}"/>
    <cellStyle name="Normal 4 3 11 2" xfId="6242" xr:uid="{00000000-0005-0000-0000-000065A00000}"/>
    <cellStyle name="Normal 4 3 11 2 2" xfId="6243" xr:uid="{00000000-0005-0000-0000-000066A00000}"/>
    <cellStyle name="Normal 4 3 11 2 2 2" xfId="9780" xr:uid="{00000000-0005-0000-0000-000067A00000}"/>
    <cellStyle name="Normal 4 3 11 2 2 2 2" xfId="16570" xr:uid="{00000000-0005-0000-0000-000068A00000}"/>
    <cellStyle name="Normal 4 3 11 2 2 2 2 2" xfId="30138" xr:uid="{00000000-0005-0000-0000-000069A00000}"/>
    <cellStyle name="Normal 4 3 11 2 2 2 2 2 2" xfId="57271" xr:uid="{00000000-0005-0000-0000-00006AA00000}"/>
    <cellStyle name="Normal 4 3 11 2 2 2 2 3" xfId="43709" xr:uid="{00000000-0005-0000-0000-00006BA00000}"/>
    <cellStyle name="Normal 4 3 11 2 2 2 3" xfId="23357" xr:uid="{00000000-0005-0000-0000-00006CA00000}"/>
    <cellStyle name="Normal 4 3 11 2 2 2 3 2" xfId="50490" xr:uid="{00000000-0005-0000-0000-00006DA00000}"/>
    <cellStyle name="Normal 4 3 11 2 2 2 4" xfId="36928" xr:uid="{00000000-0005-0000-0000-00006EA00000}"/>
    <cellStyle name="Normal 4 3 11 2 2 3" xfId="13181" xr:uid="{00000000-0005-0000-0000-00006FA00000}"/>
    <cellStyle name="Normal 4 3 11 2 2 3 2" xfId="26749" xr:uid="{00000000-0005-0000-0000-000070A00000}"/>
    <cellStyle name="Normal 4 3 11 2 2 3 2 2" xfId="53882" xr:uid="{00000000-0005-0000-0000-000071A00000}"/>
    <cellStyle name="Normal 4 3 11 2 2 3 3" xfId="40320" xr:uid="{00000000-0005-0000-0000-000072A00000}"/>
    <cellStyle name="Normal 4 3 11 2 2 4" xfId="19968" xr:uid="{00000000-0005-0000-0000-000073A00000}"/>
    <cellStyle name="Normal 4 3 11 2 2 4 2" xfId="47101" xr:uid="{00000000-0005-0000-0000-000074A00000}"/>
    <cellStyle name="Normal 4 3 11 2 2 5" xfId="33539" xr:uid="{00000000-0005-0000-0000-000075A00000}"/>
    <cellStyle name="Normal 4 3 11 2 3" xfId="6244" xr:uid="{00000000-0005-0000-0000-000076A00000}"/>
    <cellStyle name="Normal 4 3 11 2 3 2" xfId="9781" xr:uid="{00000000-0005-0000-0000-000077A00000}"/>
    <cellStyle name="Normal 4 3 11 2 3 2 2" xfId="16571" xr:uid="{00000000-0005-0000-0000-000078A00000}"/>
    <cellStyle name="Normal 4 3 11 2 3 2 2 2" xfId="30139" xr:uid="{00000000-0005-0000-0000-000079A00000}"/>
    <cellStyle name="Normal 4 3 11 2 3 2 2 2 2" xfId="57272" xr:uid="{00000000-0005-0000-0000-00007AA00000}"/>
    <cellStyle name="Normal 4 3 11 2 3 2 2 3" xfId="43710" xr:uid="{00000000-0005-0000-0000-00007BA00000}"/>
    <cellStyle name="Normal 4 3 11 2 3 2 3" xfId="23358" xr:uid="{00000000-0005-0000-0000-00007CA00000}"/>
    <cellStyle name="Normal 4 3 11 2 3 2 3 2" xfId="50491" xr:uid="{00000000-0005-0000-0000-00007DA00000}"/>
    <cellStyle name="Normal 4 3 11 2 3 2 4" xfId="36929" xr:uid="{00000000-0005-0000-0000-00007EA00000}"/>
    <cellStyle name="Normal 4 3 11 2 3 3" xfId="13182" xr:uid="{00000000-0005-0000-0000-00007FA00000}"/>
    <cellStyle name="Normal 4 3 11 2 3 3 2" xfId="26750" xr:uid="{00000000-0005-0000-0000-000080A00000}"/>
    <cellStyle name="Normal 4 3 11 2 3 3 2 2" xfId="53883" xr:uid="{00000000-0005-0000-0000-000081A00000}"/>
    <cellStyle name="Normal 4 3 11 2 3 3 3" xfId="40321" xr:uid="{00000000-0005-0000-0000-000082A00000}"/>
    <cellStyle name="Normal 4 3 11 2 3 4" xfId="19969" xr:uid="{00000000-0005-0000-0000-000083A00000}"/>
    <cellStyle name="Normal 4 3 11 2 3 4 2" xfId="47102" xr:uid="{00000000-0005-0000-0000-000084A00000}"/>
    <cellStyle name="Normal 4 3 11 2 3 5" xfId="33540" xr:uid="{00000000-0005-0000-0000-000085A00000}"/>
    <cellStyle name="Normal 4 3 11 2 4" xfId="9779" xr:uid="{00000000-0005-0000-0000-000086A00000}"/>
    <cellStyle name="Normal 4 3 11 2 4 2" xfId="16569" xr:uid="{00000000-0005-0000-0000-000087A00000}"/>
    <cellStyle name="Normal 4 3 11 2 4 2 2" xfId="30137" xr:uid="{00000000-0005-0000-0000-000088A00000}"/>
    <cellStyle name="Normal 4 3 11 2 4 2 2 2" xfId="57270" xr:uid="{00000000-0005-0000-0000-000089A00000}"/>
    <cellStyle name="Normal 4 3 11 2 4 2 3" xfId="43708" xr:uid="{00000000-0005-0000-0000-00008AA00000}"/>
    <cellStyle name="Normal 4 3 11 2 4 3" xfId="23356" xr:uid="{00000000-0005-0000-0000-00008BA00000}"/>
    <cellStyle name="Normal 4 3 11 2 4 3 2" xfId="50489" xr:uid="{00000000-0005-0000-0000-00008CA00000}"/>
    <cellStyle name="Normal 4 3 11 2 4 4" xfId="36927" xr:uid="{00000000-0005-0000-0000-00008DA00000}"/>
    <cellStyle name="Normal 4 3 11 2 5" xfId="13180" xr:uid="{00000000-0005-0000-0000-00008EA00000}"/>
    <cellStyle name="Normal 4 3 11 2 5 2" xfId="26748" xr:uid="{00000000-0005-0000-0000-00008FA00000}"/>
    <cellStyle name="Normal 4 3 11 2 5 2 2" xfId="53881" xr:uid="{00000000-0005-0000-0000-000090A00000}"/>
    <cellStyle name="Normal 4 3 11 2 5 3" xfId="40319" xr:uid="{00000000-0005-0000-0000-000091A00000}"/>
    <cellStyle name="Normal 4 3 11 2 6" xfId="19967" xr:uid="{00000000-0005-0000-0000-000092A00000}"/>
    <cellStyle name="Normal 4 3 11 2 6 2" xfId="47100" xr:uid="{00000000-0005-0000-0000-000093A00000}"/>
    <cellStyle name="Normal 4 3 11 2 7" xfId="33538" xr:uid="{00000000-0005-0000-0000-000094A00000}"/>
    <cellStyle name="Normal 4 3 11 3" xfId="6245" xr:uid="{00000000-0005-0000-0000-000095A00000}"/>
    <cellStyle name="Normal 4 3 11 3 2" xfId="9782" xr:uid="{00000000-0005-0000-0000-000096A00000}"/>
    <cellStyle name="Normal 4 3 11 3 2 2" xfId="16572" xr:uid="{00000000-0005-0000-0000-000097A00000}"/>
    <cellStyle name="Normal 4 3 11 3 2 2 2" xfId="30140" xr:uid="{00000000-0005-0000-0000-000098A00000}"/>
    <cellStyle name="Normal 4 3 11 3 2 2 2 2" xfId="57273" xr:uid="{00000000-0005-0000-0000-000099A00000}"/>
    <cellStyle name="Normal 4 3 11 3 2 2 3" xfId="43711" xr:uid="{00000000-0005-0000-0000-00009AA00000}"/>
    <cellStyle name="Normal 4 3 11 3 2 3" xfId="23359" xr:uid="{00000000-0005-0000-0000-00009BA00000}"/>
    <cellStyle name="Normal 4 3 11 3 2 3 2" xfId="50492" xr:uid="{00000000-0005-0000-0000-00009CA00000}"/>
    <cellStyle name="Normal 4 3 11 3 2 4" xfId="36930" xr:uid="{00000000-0005-0000-0000-00009DA00000}"/>
    <cellStyle name="Normal 4 3 11 3 3" xfId="13183" xr:uid="{00000000-0005-0000-0000-00009EA00000}"/>
    <cellStyle name="Normal 4 3 11 3 3 2" xfId="26751" xr:uid="{00000000-0005-0000-0000-00009FA00000}"/>
    <cellStyle name="Normal 4 3 11 3 3 2 2" xfId="53884" xr:uid="{00000000-0005-0000-0000-0000A0A00000}"/>
    <cellStyle name="Normal 4 3 11 3 3 3" xfId="40322" xr:uid="{00000000-0005-0000-0000-0000A1A00000}"/>
    <cellStyle name="Normal 4 3 11 3 4" xfId="19970" xr:uid="{00000000-0005-0000-0000-0000A2A00000}"/>
    <cellStyle name="Normal 4 3 11 3 4 2" xfId="47103" xr:uid="{00000000-0005-0000-0000-0000A3A00000}"/>
    <cellStyle name="Normal 4 3 11 3 5" xfId="33541" xr:uid="{00000000-0005-0000-0000-0000A4A00000}"/>
    <cellStyle name="Normal 4 3 11 4" xfId="6246" xr:uid="{00000000-0005-0000-0000-0000A5A00000}"/>
    <cellStyle name="Normal 4 3 11 4 2" xfId="9783" xr:uid="{00000000-0005-0000-0000-0000A6A00000}"/>
    <cellStyle name="Normal 4 3 11 4 2 2" xfId="16573" xr:uid="{00000000-0005-0000-0000-0000A7A00000}"/>
    <cellStyle name="Normal 4 3 11 4 2 2 2" xfId="30141" xr:uid="{00000000-0005-0000-0000-0000A8A00000}"/>
    <cellStyle name="Normal 4 3 11 4 2 2 2 2" xfId="57274" xr:uid="{00000000-0005-0000-0000-0000A9A00000}"/>
    <cellStyle name="Normal 4 3 11 4 2 2 3" xfId="43712" xr:uid="{00000000-0005-0000-0000-0000AAA00000}"/>
    <cellStyle name="Normal 4 3 11 4 2 3" xfId="23360" xr:uid="{00000000-0005-0000-0000-0000ABA00000}"/>
    <cellStyle name="Normal 4 3 11 4 2 3 2" xfId="50493" xr:uid="{00000000-0005-0000-0000-0000ACA00000}"/>
    <cellStyle name="Normal 4 3 11 4 2 4" xfId="36931" xr:uid="{00000000-0005-0000-0000-0000ADA00000}"/>
    <cellStyle name="Normal 4 3 11 4 3" xfId="13184" xr:uid="{00000000-0005-0000-0000-0000AEA00000}"/>
    <cellStyle name="Normal 4 3 11 4 3 2" xfId="26752" xr:uid="{00000000-0005-0000-0000-0000AFA00000}"/>
    <cellStyle name="Normal 4 3 11 4 3 2 2" xfId="53885" xr:uid="{00000000-0005-0000-0000-0000B0A00000}"/>
    <cellStyle name="Normal 4 3 11 4 3 3" xfId="40323" xr:uid="{00000000-0005-0000-0000-0000B1A00000}"/>
    <cellStyle name="Normal 4 3 11 4 4" xfId="19971" xr:uid="{00000000-0005-0000-0000-0000B2A00000}"/>
    <cellStyle name="Normal 4 3 11 4 4 2" xfId="47104" xr:uid="{00000000-0005-0000-0000-0000B3A00000}"/>
    <cellStyle name="Normal 4 3 11 4 5" xfId="33542" xr:uid="{00000000-0005-0000-0000-0000B4A00000}"/>
    <cellStyle name="Normal 4 3 11 5" xfId="9778" xr:uid="{00000000-0005-0000-0000-0000B5A00000}"/>
    <cellStyle name="Normal 4 3 11 5 2" xfId="16568" xr:uid="{00000000-0005-0000-0000-0000B6A00000}"/>
    <cellStyle name="Normal 4 3 11 5 2 2" xfId="30136" xr:uid="{00000000-0005-0000-0000-0000B7A00000}"/>
    <cellStyle name="Normal 4 3 11 5 2 2 2" xfId="57269" xr:uid="{00000000-0005-0000-0000-0000B8A00000}"/>
    <cellStyle name="Normal 4 3 11 5 2 3" xfId="43707" xr:uid="{00000000-0005-0000-0000-0000B9A00000}"/>
    <cellStyle name="Normal 4 3 11 5 3" xfId="23355" xr:uid="{00000000-0005-0000-0000-0000BAA00000}"/>
    <cellStyle name="Normal 4 3 11 5 3 2" xfId="50488" xr:uid="{00000000-0005-0000-0000-0000BBA00000}"/>
    <cellStyle name="Normal 4 3 11 5 4" xfId="36926" xr:uid="{00000000-0005-0000-0000-0000BCA00000}"/>
    <cellStyle name="Normal 4 3 11 6" xfId="13179" xr:uid="{00000000-0005-0000-0000-0000BDA00000}"/>
    <cellStyle name="Normal 4 3 11 6 2" xfId="26747" xr:uid="{00000000-0005-0000-0000-0000BEA00000}"/>
    <cellStyle name="Normal 4 3 11 6 2 2" xfId="53880" xr:uid="{00000000-0005-0000-0000-0000BFA00000}"/>
    <cellStyle name="Normal 4 3 11 6 3" xfId="40318" xr:uid="{00000000-0005-0000-0000-0000C0A00000}"/>
    <cellStyle name="Normal 4 3 11 7" xfId="19966" xr:uid="{00000000-0005-0000-0000-0000C1A00000}"/>
    <cellStyle name="Normal 4 3 11 7 2" xfId="47099" xr:uid="{00000000-0005-0000-0000-0000C2A00000}"/>
    <cellStyle name="Normal 4 3 11 8" xfId="33537" xr:uid="{00000000-0005-0000-0000-0000C3A00000}"/>
    <cellStyle name="Normal 4 3 12" xfId="6247" xr:uid="{00000000-0005-0000-0000-0000C4A00000}"/>
    <cellStyle name="Normal 4 3 12 2" xfId="6248" xr:uid="{00000000-0005-0000-0000-0000C5A00000}"/>
    <cellStyle name="Normal 4 3 12 2 2" xfId="9785" xr:uid="{00000000-0005-0000-0000-0000C6A00000}"/>
    <cellStyle name="Normal 4 3 12 2 2 2" xfId="16575" xr:uid="{00000000-0005-0000-0000-0000C7A00000}"/>
    <cellStyle name="Normal 4 3 12 2 2 2 2" xfId="30143" xr:uid="{00000000-0005-0000-0000-0000C8A00000}"/>
    <cellStyle name="Normal 4 3 12 2 2 2 2 2" xfId="57276" xr:uid="{00000000-0005-0000-0000-0000C9A00000}"/>
    <cellStyle name="Normal 4 3 12 2 2 2 3" xfId="43714" xr:uid="{00000000-0005-0000-0000-0000CAA00000}"/>
    <cellStyle name="Normal 4 3 12 2 2 3" xfId="23362" xr:uid="{00000000-0005-0000-0000-0000CBA00000}"/>
    <cellStyle name="Normal 4 3 12 2 2 3 2" xfId="50495" xr:uid="{00000000-0005-0000-0000-0000CCA00000}"/>
    <cellStyle name="Normal 4 3 12 2 2 4" xfId="36933" xr:uid="{00000000-0005-0000-0000-0000CDA00000}"/>
    <cellStyle name="Normal 4 3 12 2 3" xfId="13186" xr:uid="{00000000-0005-0000-0000-0000CEA00000}"/>
    <cellStyle name="Normal 4 3 12 2 3 2" xfId="26754" xr:uid="{00000000-0005-0000-0000-0000CFA00000}"/>
    <cellStyle name="Normal 4 3 12 2 3 2 2" xfId="53887" xr:uid="{00000000-0005-0000-0000-0000D0A00000}"/>
    <cellStyle name="Normal 4 3 12 2 3 3" xfId="40325" xr:uid="{00000000-0005-0000-0000-0000D1A00000}"/>
    <cellStyle name="Normal 4 3 12 2 4" xfId="19973" xr:uid="{00000000-0005-0000-0000-0000D2A00000}"/>
    <cellStyle name="Normal 4 3 12 2 4 2" xfId="47106" xr:uid="{00000000-0005-0000-0000-0000D3A00000}"/>
    <cellStyle name="Normal 4 3 12 2 5" xfId="33544" xr:uid="{00000000-0005-0000-0000-0000D4A00000}"/>
    <cellStyle name="Normal 4 3 12 3" xfId="9784" xr:uid="{00000000-0005-0000-0000-0000D5A00000}"/>
    <cellStyle name="Normal 4 3 12 3 2" xfId="16574" xr:uid="{00000000-0005-0000-0000-0000D6A00000}"/>
    <cellStyle name="Normal 4 3 12 3 2 2" xfId="30142" xr:uid="{00000000-0005-0000-0000-0000D7A00000}"/>
    <cellStyle name="Normal 4 3 12 3 2 2 2" xfId="57275" xr:uid="{00000000-0005-0000-0000-0000D8A00000}"/>
    <cellStyle name="Normal 4 3 12 3 2 3" xfId="43713" xr:uid="{00000000-0005-0000-0000-0000D9A00000}"/>
    <cellStyle name="Normal 4 3 12 3 3" xfId="23361" xr:uid="{00000000-0005-0000-0000-0000DAA00000}"/>
    <cellStyle name="Normal 4 3 12 3 3 2" xfId="50494" xr:uid="{00000000-0005-0000-0000-0000DBA00000}"/>
    <cellStyle name="Normal 4 3 12 3 4" xfId="36932" xr:uid="{00000000-0005-0000-0000-0000DCA00000}"/>
    <cellStyle name="Normal 4 3 12 4" xfId="13185" xr:uid="{00000000-0005-0000-0000-0000DDA00000}"/>
    <cellStyle name="Normal 4 3 12 4 2" xfId="26753" xr:uid="{00000000-0005-0000-0000-0000DEA00000}"/>
    <cellStyle name="Normal 4 3 12 4 2 2" xfId="53886" xr:uid="{00000000-0005-0000-0000-0000DFA00000}"/>
    <cellStyle name="Normal 4 3 12 4 3" xfId="40324" xr:uid="{00000000-0005-0000-0000-0000E0A00000}"/>
    <cellStyle name="Normal 4 3 12 5" xfId="19972" xr:uid="{00000000-0005-0000-0000-0000E1A00000}"/>
    <cellStyle name="Normal 4 3 12 5 2" xfId="47105" xr:uid="{00000000-0005-0000-0000-0000E2A00000}"/>
    <cellStyle name="Normal 4 3 12 6" xfId="33543" xr:uid="{00000000-0005-0000-0000-0000E3A00000}"/>
    <cellStyle name="Normal 4 3 13" xfId="6249" xr:uid="{00000000-0005-0000-0000-0000E4A00000}"/>
    <cellStyle name="Normal 4 3 13 2" xfId="9786" xr:uid="{00000000-0005-0000-0000-0000E5A00000}"/>
    <cellStyle name="Normal 4 3 13 2 2" xfId="16576" xr:uid="{00000000-0005-0000-0000-0000E6A00000}"/>
    <cellStyle name="Normal 4 3 13 2 2 2" xfId="30144" xr:uid="{00000000-0005-0000-0000-0000E7A00000}"/>
    <cellStyle name="Normal 4 3 13 2 2 2 2" xfId="57277" xr:uid="{00000000-0005-0000-0000-0000E8A00000}"/>
    <cellStyle name="Normal 4 3 13 2 2 3" xfId="43715" xr:uid="{00000000-0005-0000-0000-0000E9A00000}"/>
    <cellStyle name="Normal 4 3 13 2 3" xfId="23363" xr:uid="{00000000-0005-0000-0000-0000EAA00000}"/>
    <cellStyle name="Normal 4 3 13 2 3 2" xfId="50496" xr:uid="{00000000-0005-0000-0000-0000EBA00000}"/>
    <cellStyle name="Normal 4 3 13 2 4" xfId="36934" xr:uid="{00000000-0005-0000-0000-0000ECA00000}"/>
    <cellStyle name="Normal 4 3 13 3" xfId="13187" xr:uid="{00000000-0005-0000-0000-0000EDA00000}"/>
    <cellStyle name="Normal 4 3 13 3 2" xfId="26755" xr:uid="{00000000-0005-0000-0000-0000EEA00000}"/>
    <cellStyle name="Normal 4 3 13 3 2 2" xfId="53888" xr:uid="{00000000-0005-0000-0000-0000EFA00000}"/>
    <cellStyle name="Normal 4 3 13 3 3" xfId="40326" xr:uid="{00000000-0005-0000-0000-0000F0A00000}"/>
    <cellStyle name="Normal 4 3 13 4" xfId="19974" xr:uid="{00000000-0005-0000-0000-0000F1A00000}"/>
    <cellStyle name="Normal 4 3 13 4 2" xfId="47107" xr:uid="{00000000-0005-0000-0000-0000F2A00000}"/>
    <cellStyle name="Normal 4 3 13 5" xfId="33545" xr:uid="{00000000-0005-0000-0000-0000F3A00000}"/>
    <cellStyle name="Normal 4 3 14" xfId="6250" xr:uid="{00000000-0005-0000-0000-0000F4A00000}"/>
    <cellStyle name="Normal 4 3 14 2" xfId="9787" xr:uid="{00000000-0005-0000-0000-0000F5A00000}"/>
    <cellStyle name="Normal 4 3 14 2 2" xfId="16577" xr:uid="{00000000-0005-0000-0000-0000F6A00000}"/>
    <cellStyle name="Normal 4 3 14 2 2 2" xfId="30145" xr:uid="{00000000-0005-0000-0000-0000F7A00000}"/>
    <cellStyle name="Normal 4 3 14 2 2 2 2" xfId="57278" xr:uid="{00000000-0005-0000-0000-0000F8A00000}"/>
    <cellStyle name="Normal 4 3 14 2 2 3" xfId="43716" xr:uid="{00000000-0005-0000-0000-0000F9A00000}"/>
    <cellStyle name="Normal 4 3 14 2 3" xfId="23364" xr:uid="{00000000-0005-0000-0000-0000FAA00000}"/>
    <cellStyle name="Normal 4 3 14 2 3 2" xfId="50497" xr:uid="{00000000-0005-0000-0000-0000FBA00000}"/>
    <cellStyle name="Normal 4 3 14 2 4" xfId="36935" xr:uid="{00000000-0005-0000-0000-0000FCA00000}"/>
    <cellStyle name="Normal 4 3 14 3" xfId="13188" xr:uid="{00000000-0005-0000-0000-0000FDA00000}"/>
    <cellStyle name="Normal 4 3 14 3 2" xfId="26756" xr:uid="{00000000-0005-0000-0000-0000FEA00000}"/>
    <cellStyle name="Normal 4 3 14 3 2 2" xfId="53889" xr:uid="{00000000-0005-0000-0000-0000FFA00000}"/>
    <cellStyle name="Normal 4 3 14 3 3" xfId="40327" xr:uid="{00000000-0005-0000-0000-000000A10000}"/>
    <cellStyle name="Normal 4 3 14 4" xfId="19975" xr:uid="{00000000-0005-0000-0000-000001A10000}"/>
    <cellStyle name="Normal 4 3 14 4 2" xfId="47108" xr:uid="{00000000-0005-0000-0000-000002A10000}"/>
    <cellStyle name="Normal 4 3 14 5" xfId="33546" xr:uid="{00000000-0005-0000-0000-000003A10000}"/>
    <cellStyle name="Normal 4 3 2" xfId="2774" xr:uid="{00000000-0005-0000-0000-000004A10000}"/>
    <cellStyle name="Normal 4 3 2 2" xfId="7579" xr:uid="{00000000-0005-0000-0000-000005A10000}"/>
    <cellStyle name="Normal 4 3 2 2 2" xfId="14369" xr:uid="{00000000-0005-0000-0000-000006A10000}"/>
    <cellStyle name="Normal 4 3 2 2 2 2" xfId="27937" xr:uid="{00000000-0005-0000-0000-000007A10000}"/>
    <cellStyle name="Normal 4 3 2 2 2 2 2" xfId="55070" xr:uid="{00000000-0005-0000-0000-000008A10000}"/>
    <cellStyle name="Normal 4 3 2 2 2 3" xfId="41508" xr:uid="{00000000-0005-0000-0000-000009A10000}"/>
    <cellStyle name="Normal 4 3 2 2 3" xfId="21156" xr:uid="{00000000-0005-0000-0000-00000AA10000}"/>
    <cellStyle name="Normal 4 3 2 2 3 2" xfId="48289" xr:uid="{00000000-0005-0000-0000-00000BA10000}"/>
    <cellStyle name="Normal 4 3 2 2 4" xfId="34727" xr:uid="{00000000-0005-0000-0000-00000CA10000}"/>
    <cellStyle name="Normal 4 3 2 3" xfId="10980" xr:uid="{00000000-0005-0000-0000-00000DA10000}"/>
    <cellStyle name="Normal 4 3 2 3 2" xfId="24548" xr:uid="{00000000-0005-0000-0000-00000EA10000}"/>
    <cellStyle name="Normal 4 3 2 3 2 2" xfId="51681" xr:uid="{00000000-0005-0000-0000-00000FA10000}"/>
    <cellStyle name="Normal 4 3 2 3 3" xfId="38119" xr:uid="{00000000-0005-0000-0000-000010A10000}"/>
    <cellStyle name="Normal 4 3 2 4" xfId="17767" xr:uid="{00000000-0005-0000-0000-000011A10000}"/>
    <cellStyle name="Normal 4 3 2 4 2" xfId="44900" xr:uid="{00000000-0005-0000-0000-000012A10000}"/>
    <cellStyle name="Normal 4 3 2 5" xfId="31338" xr:uid="{00000000-0005-0000-0000-000013A10000}"/>
    <cellStyle name="Normal 4 3 3" xfId="6251" xr:uid="{00000000-0005-0000-0000-000014A10000}"/>
    <cellStyle name="Normal 4 3 4" xfId="6252" xr:uid="{00000000-0005-0000-0000-000015A10000}"/>
    <cellStyle name="Normal 4 3 4 2" xfId="6253" xr:uid="{00000000-0005-0000-0000-000016A10000}"/>
    <cellStyle name="Normal 4 3 5" xfId="6254" xr:uid="{00000000-0005-0000-0000-000017A10000}"/>
    <cellStyle name="Normal 4 3 6" xfId="6255" xr:uid="{00000000-0005-0000-0000-000018A10000}"/>
    <cellStyle name="Normal 4 3 6 10" xfId="9788" xr:uid="{00000000-0005-0000-0000-000019A10000}"/>
    <cellStyle name="Normal 4 3 6 10 2" xfId="16578" xr:uid="{00000000-0005-0000-0000-00001AA10000}"/>
    <cellStyle name="Normal 4 3 6 10 2 2" xfId="30146" xr:uid="{00000000-0005-0000-0000-00001BA10000}"/>
    <cellStyle name="Normal 4 3 6 10 2 2 2" xfId="57279" xr:uid="{00000000-0005-0000-0000-00001CA10000}"/>
    <cellStyle name="Normal 4 3 6 10 2 3" xfId="43717" xr:uid="{00000000-0005-0000-0000-00001DA10000}"/>
    <cellStyle name="Normal 4 3 6 10 3" xfId="23365" xr:uid="{00000000-0005-0000-0000-00001EA10000}"/>
    <cellStyle name="Normal 4 3 6 10 3 2" xfId="50498" xr:uid="{00000000-0005-0000-0000-00001FA10000}"/>
    <cellStyle name="Normal 4 3 6 10 4" xfId="36936" xr:uid="{00000000-0005-0000-0000-000020A10000}"/>
    <cellStyle name="Normal 4 3 6 11" xfId="13189" xr:uid="{00000000-0005-0000-0000-000021A10000}"/>
    <cellStyle name="Normal 4 3 6 11 2" xfId="26757" xr:uid="{00000000-0005-0000-0000-000022A10000}"/>
    <cellStyle name="Normal 4 3 6 11 2 2" xfId="53890" xr:uid="{00000000-0005-0000-0000-000023A10000}"/>
    <cellStyle name="Normal 4 3 6 11 3" xfId="40328" xr:uid="{00000000-0005-0000-0000-000024A10000}"/>
    <cellStyle name="Normal 4 3 6 12" xfId="19976" xr:uid="{00000000-0005-0000-0000-000025A10000}"/>
    <cellStyle name="Normal 4 3 6 12 2" xfId="47109" xr:uid="{00000000-0005-0000-0000-000026A10000}"/>
    <cellStyle name="Normal 4 3 6 13" xfId="33547" xr:uid="{00000000-0005-0000-0000-000027A10000}"/>
    <cellStyle name="Normal 4 3 6 2" xfId="6256" xr:uid="{00000000-0005-0000-0000-000028A10000}"/>
    <cellStyle name="Normal 4 3 6 2 10" xfId="33548" xr:uid="{00000000-0005-0000-0000-000029A10000}"/>
    <cellStyle name="Normal 4 3 6 2 2" xfId="6257" xr:uid="{00000000-0005-0000-0000-00002AA10000}"/>
    <cellStyle name="Normal 4 3 6 2 2 2" xfId="6258" xr:uid="{00000000-0005-0000-0000-00002BA10000}"/>
    <cellStyle name="Normal 4 3 6 2 2 2 2" xfId="6259" xr:uid="{00000000-0005-0000-0000-00002CA10000}"/>
    <cellStyle name="Normal 4 3 6 2 2 2 2 2" xfId="9792" xr:uid="{00000000-0005-0000-0000-00002DA10000}"/>
    <cellStyle name="Normal 4 3 6 2 2 2 2 2 2" xfId="16582" xr:uid="{00000000-0005-0000-0000-00002EA10000}"/>
    <cellStyle name="Normal 4 3 6 2 2 2 2 2 2 2" xfId="30150" xr:uid="{00000000-0005-0000-0000-00002FA10000}"/>
    <cellStyle name="Normal 4 3 6 2 2 2 2 2 2 2 2" xfId="57283" xr:uid="{00000000-0005-0000-0000-000030A10000}"/>
    <cellStyle name="Normal 4 3 6 2 2 2 2 2 2 3" xfId="43721" xr:uid="{00000000-0005-0000-0000-000031A10000}"/>
    <cellStyle name="Normal 4 3 6 2 2 2 2 2 3" xfId="23369" xr:uid="{00000000-0005-0000-0000-000032A10000}"/>
    <cellStyle name="Normal 4 3 6 2 2 2 2 2 3 2" xfId="50502" xr:uid="{00000000-0005-0000-0000-000033A10000}"/>
    <cellStyle name="Normal 4 3 6 2 2 2 2 2 4" xfId="36940" xr:uid="{00000000-0005-0000-0000-000034A10000}"/>
    <cellStyle name="Normal 4 3 6 2 2 2 2 3" xfId="13193" xr:uid="{00000000-0005-0000-0000-000035A10000}"/>
    <cellStyle name="Normal 4 3 6 2 2 2 2 3 2" xfId="26761" xr:uid="{00000000-0005-0000-0000-000036A10000}"/>
    <cellStyle name="Normal 4 3 6 2 2 2 2 3 2 2" xfId="53894" xr:uid="{00000000-0005-0000-0000-000037A10000}"/>
    <cellStyle name="Normal 4 3 6 2 2 2 2 3 3" xfId="40332" xr:uid="{00000000-0005-0000-0000-000038A10000}"/>
    <cellStyle name="Normal 4 3 6 2 2 2 2 4" xfId="19980" xr:uid="{00000000-0005-0000-0000-000039A10000}"/>
    <cellStyle name="Normal 4 3 6 2 2 2 2 4 2" xfId="47113" xr:uid="{00000000-0005-0000-0000-00003AA10000}"/>
    <cellStyle name="Normal 4 3 6 2 2 2 2 5" xfId="33551" xr:uid="{00000000-0005-0000-0000-00003BA10000}"/>
    <cellStyle name="Normal 4 3 6 2 2 2 3" xfId="6260" xr:uid="{00000000-0005-0000-0000-00003CA10000}"/>
    <cellStyle name="Normal 4 3 6 2 2 2 3 2" xfId="9793" xr:uid="{00000000-0005-0000-0000-00003DA10000}"/>
    <cellStyle name="Normal 4 3 6 2 2 2 3 2 2" xfId="16583" xr:uid="{00000000-0005-0000-0000-00003EA10000}"/>
    <cellStyle name="Normal 4 3 6 2 2 2 3 2 2 2" xfId="30151" xr:uid="{00000000-0005-0000-0000-00003FA10000}"/>
    <cellStyle name="Normal 4 3 6 2 2 2 3 2 2 2 2" xfId="57284" xr:uid="{00000000-0005-0000-0000-000040A10000}"/>
    <cellStyle name="Normal 4 3 6 2 2 2 3 2 2 3" xfId="43722" xr:uid="{00000000-0005-0000-0000-000041A10000}"/>
    <cellStyle name="Normal 4 3 6 2 2 2 3 2 3" xfId="23370" xr:uid="{00000000-0005-0000-0000-000042A10000}"/>
    <cellStyle name="Normal 4 3 6 2 2 2 3 2 3 2" xfId="50503" xr:uid="{00000000-0005-0000-0000-000043A10000}"/>
    <cellStyle name="Normal 4 3 6 2 2 2 3 2 4" xfId="36941" xr:uid="{00000000-0005-0000-0000-000044A10000}"/>
    <cellStyle name="Normal 4 3 6 2 2 2 3 3" xfId="13194" xr:uid="{00000000-0005-0000-0000-000045A10000}"/>
    <cellStyle name="Normal 4 3 6 2 2 2 3 3 2" xfId="26762" xr:uid="{00000000-0005-0000-0000-000046A10000}"/>
    <cellStyle name="Normal 4 3 6 2 2 2 3 3 2 2" xfId="53895" xr:uid="{00000000-0005-0000-0000-000047A10000}"/>
    <cellStyle name="Normal 4 3 6 2 2 2 3 3 3" xfId="40333" xr:uid="{00000000-0005-0000-0000-000048A10000}"/>
    <cellStyle name="Normal 4 3 6 2 2 2 3 4" xfId="19981" xr:uid="{00000000-0005-0000-0000-000049A10000}"/>
    <cellStyle name="Normal 4 3 6 2 2 2 3 4 2" xfId="47114" xr:uid="{00000000-0005-0000-0000-00004AA10000}"/>
    <cellStyle name="Normal 4 3 6 2 2 2 3 5" xfId="33552" xr:uid="{00000000-0005-0000-0000-00004BA10000}"/>
    <cellStyle name="Normal 4 3 6 2 2 2 4" xfId="9791" xr:uid="{00000000-0005-0000-0000-00004CA10000}"/>
    <cellStyle name="Normal 4 3 6 2 2 2 4 2" xfId="16581" xr:uid="{00000000-0005-0000-0000-00004DA10000}"/>
    <cellStyle name="Normal 4 3 6 2 2 2 4 2 2" xfId="30149" xr:uid="{00000000-0005-0000-0000-00004EA10000}"/>
    <cellStyle name="Normal 4 3 6 2 2 2 4 2 2 2" xfId="57282" xr:uid="{00000000-0005-0000-0000-00004FA10000}"/>
    <cellStyle name="Normal 4 3 6 2 2 2 4 2 3" xfId="43720" xr:uid="{00000000-0005-0000-0000-000050A10000}"/>
    <cellStyle name="Normal 4 3 6 2 2 2 4 3" xfId="23368" xr:uid="{00000000-0005-0000-0000-000051A10000}"/>
    <cellStyle name="Normal 4 3 6 2 2 2 4 3 2" xfId="50501" xr:uid="{00000000-0005-0000-0000-000052A10000}"/>
    <cellStyle name="Normal 4 3 6 2 2 2 4 4" xfId="36939" xr:uid="{00000000-0005-0000-0000-000053A10000}"/>
    <cellStyle name="Normal 4 3 6 2 2 2 5" xfId="13192" xr:uid="{00000000-0005-0000-0000-000054A10000}"/>
    <cellStyle name="Normal 4 3 6 2 2 2 5 2" xfId="26760" xr:uid="{00000000-0005-0000-0000-000055A10000}"/>
    <cellStyle name="Normal 4 3 6 2 2 2 5 2 2" xfId="53893" xr:uid="{00000000-0005-0000-0000-000056A10000}"/>
    <cellStyle name="Normal 4 3 6 2 2 2 5 3" xfId="40331" xr:uid="{00000000-0005-0000-0000-000057A10000}"/>
    <cellStyle name="Normal 4 3 6 2 2 2 6" xfId="19979" xr:uid="{00000000-0005-0000-0000-000058A10000}"/>
    <cellStyle name="Normal 4 3 6 2 2 2 6 2" xfId="47112" xr:uid="{00000000-0005-0000-0000-000059A10000}"/>
    <cellStyle name="Normal 4 3 6 2 2 2 7" xfId="33550" xr:uid="{00000000-0005-0000-0000-00005AA10000}"/>
    <cellStyle name="Normal 4 3 6 2 2 3" xfId="6261" xr:uid="{00000000-0005-0000-0000-00005BA10000}"/>
    <cellStyle name="Normal 4 3 6 2 2 3 2" xfId="6262" xr:uid="{00000000-0005-0000-0000-00005CA10000}"/>
    <cellStyle name="Normal 4 3 6 2 2 3 2 2" xfId="9795" xr:uid="{00000000-0005-0000-0000-00005DA10000}"/>
    <cellStyle name="Normal 4 3 6 2 2 3 2 2 2" xfId="16585" xr:uid="{00000000-0005-0000-0000-00005EA10000}"/>
    <cellStyle name="Normal 4 3 6 2 2 3 2 2 2 2" xfId="30153" xr:uid="{00000000-0005-0000-0000-00005FA10000}"/>
    <cellStyle name="Normal 4 3 6 2 2 3 2 2 2 2 2" xfId="57286" xr:uid="{00000000-0005-0000-0000-000060A10000}"/>
    <cellStyle name="Normal 4 3 6 2 2 3 2 2 2 3" xfId="43724" xr:uid="{00000000-0005-0000-0000-000061A10000}"/>
    <cellStyle name="Normal 4 3 6 2 2 3 2 2 3" xfId="23372" xr:uid="{00000000-0005-0000-0000-000062A10000}"/>
    <cellStyle name="Normal 4 3 6 2 2 3 2 2 3 2" xfId="50505" xr:uid="{00000000-0005-0000-0000-000063A10000}"/>
    <cellStyle name="Normal 4 3 6 2 2 3 2 2 4" xfId="36943" xr:uid="{00000000-0005-0000-0000-000064A10000}"/>
    <cellStyle name="Normal 4 3 6 2 2 3 2 3" xfId="13196" xr:uid="{00000000-0005-0000-0000-000065A10000}"/>
    <cellStyle name="Normal 4 3 6 2 2 3 2 3 2" xfId="26764" xr:uid="{00000000-0005-0000-0000-000066A10000}"/>
    <cellStyle name="Normal 4 3 6 2 2 3 2 3 2 2" xfId="53897" xr:uid="{00000000-0005-0000-0000-000067A10000}"/>
    <cellStyle name="Normal 4 3 6 2 2 3 2 3 3" xfId="40335" xr:uid="{00000000-0005-0000-0000-000068A10000}"/>
    <cellStyle name="Normal 4 3 6 2 2 3 2 4" xfId="19983" xr:uid="{00000000-0005-0000-0000-000069A10000}"/>
    <cellStyle name="Normal 4 3 6 2 2 3 2 4 2" xfId="47116" xr:uid="{00000000-0005-0000-0000-00006AA10000}"/>
    <cellStyle name="Normal 4 3 6 2 2 3 2 5" xfId="33554" xr:uid="{00000000-0005-0000-0000-00006BA10000}"/>
    <cellStyle name="Normal 4 3 6 2 2 3 3" xfId="9794" xr:uid="{00000000-0005-0000-0000-00006CA10000}"/>
    <cellStyle name="Normal 4 3 6 2 2 3 3 2" xfId="16584" xr:uid="{00000000-0005-0000-0000-00006DA10000}"/>
    <cellStyle name="Normal 4 3 6 2 2 3 3 2 2" xfId="30152" xr:uid="{00000000-0005-0000-0000-00006EA10000}"/>
    <cellStyle name="Normal 4 3 6 2 2 3 3 2 2 2" xfId="57285" xr:uid="{00000000-0005-0000-0000-00006FA10000}"/>
    <cellStyle name="Normal 4 3 6 2 2 3 3 2 3" xfId="43723" xr:uid="{00000000-0005-0000-0000-000070A10000}"/>
    <cellStyle name="Normal 4 3 6 2 2 3 3 3" xfId="23371" xr:uid="{00000000-0005-0000-0000-000071A10000}"/>
    <cellStyle name="Normal 4 3 6 2 2 3 3 3 2" xfId="50504" xr:uid="{00000000-0005-0000-0000-000072A10000}"/>
    <cellStyle name="Normal 4 3 6 2 2 3 3 4" xfId="36942" xr:uid="{00000000-0005-0000-0000-000073A10000}"/>
    <cellStyle name="Normal 4 3 6 2 2 3 4" xfId="13195" xr:uid="{00000000-0005-0000-0000-000074A10000}"/>
    <cellStyle name="Normal 4 3 6 2 2 3 4 2" xfId="26763" xr:uid="{00000000-0005-0000-0000-000075A10000}"/>
    <cellStyle name="Normal 4 3 6 2 2 3 4 2 2" xfId="53896" xr:uid="{00000000-0005-0000-0000-000076A10000}"/>
    <cellStyle name="Normal 4 3 6 2 2 3 4 3" xfId="40334" xr:uid="{00000000-0005-0000-0000-000077A10000}"/>
    <cellStyle name="Normal 4 3 6 2 2 3 5" xfId="19982" xr:uid="{00000000-0005-0000-0000-000078A10000}"/>
    <cellStyle name="Normal 4 3 6 2 2 3 5 2" xfId="47115" xr:uid="{00000000-0005-0000-0000-000079A10000}"/>
    <cellStyle name="Normal 4 3 6 2 2 3 6" xfId="33553" xr:uid="{00000000-0005-0000-0000-00007AA10000}"/>
    <cellStyle name="Normal 4 3 6 2 2 4" xfId="6263" xr:uid="{00000000-0005-0000-0000-00007BA10000}"/>
    <cellStyle name="Normal 4 3 6 2 2 4 2" xfId="9796" xr:uid="{00000000-0005-0000-0000-00007CA10000}"/>
    <cellStyle name="Normal 4 3 6 2 2 4 2 2" xfId="16586" xr:uid="{00000000-0005-0000-0000-00007DA10000}"/>
    <cellStyle name="Normal 4 3 6 2 2 4 2 2 2" xfId="30154" xr:uid="{00000000-0005-0000-0000-00007EA10000}"/>
    <cellStyle name="Normal 4 3 6 2 2 4 2 2 2 2" xfId="57287" xr:uid="{00000000-0005-0000-0000-00007FA10000}"/>
    <cellStyle name="Normal 4 3 6 2 2 4 2 2 3" xfId="43725" xr:uid="{00000000-0005-0000-0000-000080A10000}"/>
    <cellStyle name="Normal 4 3 6 2 2 4 2 3" xfId="23373" xr:uid="{00000000-0005-0000-0000-000081A10000}"/>
    <cellStyle name="Normal 4 3 6 2 2 4 2 3 2" xfId="50506" xr:uid="{00000000-0005-0000-0000-000082A10000}"/>
    <cellStyle name="Normal 4 3 6 2 2 4 2 4" xfId="36944" xr:uid="{00000000-0005-0000-0000-000083A10000}"/>
    <cellStyle name="Normal 4 3 6 2 2 4 3" xfId="13197" xr:uid="{00000000-0005-0000-0000-000084A10000}"/>
    <cellStyle name="Normal 4 3 6 2 2 4 3 2" xfId="26765" xr:uid="{00000000-0005-0000-0000-000085A10000}"/>
    <cellStyle name="Normal 4 3 6 2 2 4 3 2 2" xfId="53898" xr:uid="{00000000-0005-0000-0000-000086A10000}"/>
    <cellStyle name="Normal 4 3 6 2 2 4 3 3" xfId="40336" xr:uid="{00000000-0005-0000-0000-000087A10000}"/>
    <cellStyle name="Normal 4 3 6 2 2 4 4" xfId="19984" xr:uid="{00000000-0005-0000-0000-000088A10000}"/>
    <cellStyle name="Normal 4 3 6 2 2 4 4 2" xfId="47117" xr:uid="{00000000-0005-0000-0000-000089A10000}"/>
    <cellStyle name="Normal 4 3 6 2 2 4 5" xfId="33555" xr:uid="{00000000-0005-0000-0000-00008AA10000}"/>
    <cellStyle name="Normal 4 3 6 2 2 5" xfId="6264" xr:uid="{00000000-0005-0000-0000-00008BA10000}"/>
    <cellStyle name="Normal 4 3 6 2 2 5 2" xfId="9797" xr:uid="{00000000-0005-0000-0000-00008CA10000}"/>
    <cellStyle name="Normal 4 3 6 2 2 5 2 2" xfId="16587" xr:uid="{00000000-0005-0000-0000-00008DA10000}"/>
    <cellStyle name="Normal 4 3 6 2 2 5 2 2 2" xfId="30155" xr:uid="{00000000-0005-0000-0000-00008EA10000}"/>
    <cellStyle name="Normal 4 3 6 2 2 5 2 2 2 2" xfId="57288" xr:uid="{00000000-0005-0000-0000-00008FA10000}"/>
    <cellStyle name="Normal 4 3 6 2 2 5 2 2 3" xfId="43726" xr:uid="{00000000-0005-0000-0000-000090A10000}"/>
    <cellStyle name="Normal 4 3 6 2 2 5 2 3" xfId="23374" xr:uid="{00000000-0005-0000-0000-000091A10000}"/>
    <cellStyle name="Normal 4 3 6 2 2 5 2 3 2" xfId="50507" xr:uid="{00000000-0005-0000-0000-000092A10000}"/>
    <cellStyle name="Normal 4 3 6 2 2 5 2 4" xfId="36945" xr:uid="{00000000-0005-0000-0000-000093A10000}"/>
    <cellStyle name="Normal 4 3 6 2 2 5 3" xfId="13198" xr:uid="{00000000-0005-0000-0000-000094A10000}"/>
    <cellStyle name="Normal 4 3 6 2 2 5 3 2" xfId="26766" xr:uid="{00000000-0005-0000-0000-000095A10000}"/>
    <cellStyle name="Normal 4 3 6 2 2 5 3 2 2" xfId="53899" xr:uid="{00000000-0005-0000-0000-000096A10000}"/>
    <cellStyle name="Normal 4 3 6 2 2 5 3 3" xfId="40337" xr:uid="{00000000-0005-0000-0000-000097A10000}"/>
    <cellStyle name="Normal 4 3 6 2 2 5 4" xfId="19985" xr:uid="{00000000-0005-0000-0000-000098A10000}"/>
    <cellStyle name="Normal 4 3 6 2 2 5 4 2" xfId="47118" xr:uid="{00000000-0005-0000-0000-000099A10000}"/>
    <cellStyle name="Normal 4 3 6 2 2 5 5" xfId="33556" xr:uid="{00000000-0005-0000-0000-00009AA10000}"/>
    <cellStyle name="Normal 4 3 6 2 2 6" xfId="9790" xr:uid="{00000000-0005-0000-0000-00009BA10000}"/>
    <cellStyle name="Normal 4 3 6 2 2 6 2" xfId="16580" xr:uid="{00000000-0005-0000-0000-00009CA10000}"/>
    <cellStyle name="Normal 4 3 6 2 2 6 2 2" xfId="30148" xr:uid="{00000000-0005-0000-0000-00009DA10000}"/>
    <cellStyle name="Normal 4 3 6 2 2 6 2 2 2" xfId="57281" xr:uid="{00000000-0005-0000-0000-00009EA10000}"/>
    <cellStyle name="Normal 4 3 6 2 2 6 2 3" xfId="43719" xr:uid="{00000000-0005-0000-0000-00009FA10000}"/>
    <cellStyle name="Normal 4 3 6 2 2 6 3" xfId="23367" xr:uid="{00000000-0005-0000-0000-0000A0A10000}"/>
    <cellStyle name="Normal 4 3 6 2 2 6 3 2" xfId="50500" xr:uid="{00000000-0005-0000-0000-0000A1A10000}"/>
    <cellStyle name="Normal 4 3 6 2 2 6 4" xfId="36938" xr:uid="{00000000-0005-0000-0000-0000A2A10000}"/>
    <cellStyle name="Normal 4 3 6 2 2 7" xfId="13191" xr:uid="{00000000-0005-0000-0000-0000A3A10000}"/>
    <cellStyle name="Normal 4 3 6 2 2 7 2" xfId="26759" xr:uid="{00000000-0005-0000-0000-0000A4A10000}"/>
    <cellStyle name="Normal 4 3 6 2 2 7 2 2" xfId="53892" xr:uid="{00000000-0005-0000-0000-0000A5A10000}"/>
    <cellStyle name="Normal 4 3 6 2 2 7 3" xfId="40330" xr:uid="{00000000-0005-0000-0000-0000A6A10000}"/>
    <cellStyle name="Normal 4 3 6 2 2 8" xfId="19978" xr:uid="{00000000-0005-0000-0000-0000A7A10000}"/>
    <cellStyle name="Normal 4 3 6 2 2 8 2" xfId="47111" xr:uid="{00000000-0005-0000-0000-0000A8A10000}"/>
    <cellStyle name="Normal 4 3 6 2 2 9" xfId="33549" xr:uid="{00000000-0005-0000-0000-0000A9A10000}"/>
    <cellStyle name="Normal 4 3 6 2 3" xfId="6265" xr:uid="{00000000-0005-0000-0000-0000AAA10000}"/>
    <cellStyle name="Normal 4 3 6 2 3 2" xfId="6266" xr:uid="{00000000-0005-0000-0000-0000ABA10000}"/>
    <cellStyle name="Normal 4 3 6 2 3 2 2" xfId="9799" xr:uid="{00000000-0005-0000-0000-0000ACA10000}"/>
    <cellStyle name="Normal 4 3 6 2 3 2 2 2" xfId="16589" xr:uid="{00000000-0005-0000-0000-0000ADA10000}"/>
    <cellStyle name="Normal 4 3 6 2 3 2 2 2 2" xfId="30157" xr:uid="{00000000-0005-0000-0000-0000AEA10000}"/>
    <cellStyle name="Normal 4 3 6 2 3 2 2 2 2 2" xfId="57290" xr:uid="{00000000-0005-0000-0000-0000AFA10000}"/>
    <cellStyle name="Normal 4 3 6 2 3 2 2 2 3" xfId="43728" xr:uid="{00000000-0005-0000-0000-0000B0A10000}"/>
    <cellStyle name="Normal 4 3 6 2 3 2 2 3" xfId="23376" xr:uid="{00000000-0005-0000-0000-0000B1A10000}"/>
    <cellStyle name="Normal 4 3 6 2 3 2 2 3 2" xfId="50509" xr:uid="{00000000-0005-0000-0000-0000B2A10000}"/>
    <cellStyle name="Normal 4 3 6 2 3 2 2 4" xfId="36947" xr:uid="{00000000-0005-0000-0000-0000B3A10000}"/>
    <cellStyle name="Normal 4 3 6 2 3 2 3" xfId="13200" xr:uid="{00000000-0005-0000-0000-0000B4A10000}"/>
    <cellStyle name="Normal 4 3 6 2 3 2 3 2" xfId="26768" xr:uid="{00000000-0005-0000-0000-0000B5A10000}"/>
    <cellStyle name="Normal 4 3 6 2 3 2 3 2 2" xfId="53901" xr:uid="{00000000-0005-0000-0000-0000B6A10000}"/>
    <cellStyle name="Normal 4 3 6 2 3 2 3 3" xfId="40339" xr:uid="{00000000-0005-0000-0000-0000B7A10000}"/>
    <cellStyle name="Normal 4 3 6 2 3 2 4" xfId="19987" xr:uid="{00000000-0005-0000-0000-0000B8A10000}"/>
    <cellStyle name="Normal 4 3 6 2 3 2 4 2" xfId="47120" xr:uid="{00000000-0005-0000-0000-0000B9A10000}"/>
    <cellStyle name="Normal 4 3 6 2 3 2 5" xfId="33558" xr:uid="{00000000-0005-0000-0000-0000BAA10000}"/>
    <cellStyle name="Normal 4 3 6 2 3 3" xfId="6267" xr:uid="{00000000-0005-0000-0000-0000BBA10000}"/>
    <cellStyle name="Normal 4 3 6 2 3 3 2" xfId="9800" xr:uid="{00000000-0005-0000-0000-0000BCA10000}"/>
    <cellStyle name="Normal 4 3 6 2 3 3 2 2" xfId="16590" xr:uid="{00000000-0005-0000-0000-0000BDA10000}"/>
    <cellStyle name="Normal 4 3 6 2 3 3 2 2 2" xfId="30158" xr:uid="{00000000-0005-0000-0000-0000BEA10000}"/>
    <cellStyle name="Normal 4 3 6 2 3 3 2 2 2 2" xfId="57291" xr:uid="{00000000-0005-0000-0000-0000BFA10000}"/>
    <cellStyle name="Normal 4 3 6 2 3 3 2 2 3" xfId="43729" xr:uid="{00000000-0005-0000-0000-0000C0A10000}"/>
    <cellStyle name="Normal 4 3 6 2 3 3 2 3" xfId="23377" xr:uid="{00000000-0005-0000-0000-0000C1A10000}"/>
    <cellStyle name="Normal 4 3 6 2 3 3 2 3 2" xfId="50510" xr:uid="{00000000-0005-0000-0000-0000C2A10000}"/>
    <cellStyle name="Normal 4 3 6 2 3 3 2 4" xfId="36948" xr:uid="{00000000-0005-0000-0000-0000C3A10000}"/>
    <cellStyle name="Normal 4 3 6 2 3 3 3" xfId="13201" xr:uid="{00000000-0005-0000-0000-0000C4A10000}"/>
    <cellStyle name="Normal 4 3 6 2 3 3 3 2" xfId="26769" xr:uid="{00000000-0005-0000-0000-0000C5A10000}"/>
    <cellStyle name="Normal 4 3 6 2 3 3 3 2 2" xfId="53902" xr:uid="{00000000-0005-0000-0000-0000C6A10000}"/>
    <cellStyle name="Normal 4 3 6 2 3 3 3 3" xfId="40340" xr:uid="{00000000-0005-0000-0000-0000C7A10000}"/>
    <cellStyle name="Normal 4 3 6 2 3 3 4" xfId="19988" xr:uid="{00000000-0005-0000-0000-0000C8A10000}"/>
    <cellStyle name="Normal 4 3 6 2 3 3 4 2" xfId="47121" xr:uid="{00000000-0005-0000-0000-0000C9A10000}"/>
    <cellStyle name="Normal 4 3 6 2 3 3 5" xfId="33559" xr:uid="{00000000-0005-0000-0000-0000CAA10000}"/>
    <cellStyle name="Normal 4 3 6 2 3 4" xfId="9798" xr:uid="{00000000-0005-0000-0000-0000CBA10000}"/>
    <cellStyle name="Normal 4 3 6 2 3 4 2" xfId="16588" xr:uid="{00000000-0005-0000-0000-0000CCA10000}"/>
    <cellStyle name="Normal 4 3 6 2 3 4 2 2" xfId="30156" xr:uid="{00000000-0005-0000-0000-0000CDA10000}"/>
    <cellStyle name="Normal 4 3 6 2 3 4 2 2 2" xfId="57289" xr:uid="{00000000-0005-0000-0000-0000CEA10000}"/>
    <cellStyle name="Normal 4 3 6 2 3 4 2 3" xfId="43727" xr:uid="{00000000-0005-0000-0000-0000CFA10000}"/>
    <cellStyle name="Normal 4 3 6 2 3 4 3" xfId="23375" xr:uid="{00000000-0005-0000-0000-0000D0A10000}"/>
    <cellStyle name="Normal 4 3 6 2 3 4 3 2" xfId="50508" xr:uid="{00000000-0005-0000-0000-0000D1A10000}"/>
    <cellStyle name="Normal 4 3 6 2 3 4 4" xfId="36946" xr:uid="{00000000-0005-0000-0000-0000D2A10000}"/>
    <cellStyle name="Normal 4 3 6 2 3 5" xfId="13199" xr:uid="{00000000-0005-0000-0000-0000D3A10000}"/>
    <cellStyle name="Normal 4 3 6 2 3 5 2" xfId="26767" xr:uid="{00000000-0005-0000-0000-0000D4A10000}"/>
    <cellStyle name="Normal 4 3 6 2 3 5 2 2" xfId="53900" xr:uid="{00000000-0005-0000-0000-0000D5A10000}"/>
    <cellStyle name="Normal 4 3 6 2 3 5 3" xfId="40338" xr:uid="{00000000-0005-0000-0000-0000D6A10000}"/>
    <cellStyle name="Normal 4 3 6 2 3 6" xfId="19986" xr:uid="{00000000-0005-0000-0000-0000D7A10000}"/>
    <cellStyle name="Normal 4 3 6 2 3 6 2" xfId="47119" xr:uid="{00000000-0005-0000-0000-0000D8A10000}"/>
    <cellStyle name="Normal 4 3 6 2 3 7" xfId="33557" xr:uid="{00000000-0005-0000-0000-0000D9A10000}"/>
    <cellStyle name="Normal 4 3 6 2 4" xfId="6268" xr:uid="{00000000-0005-0000-0000-0000DAA10000}"/>
    <cellStyle name="Normal 4 3 6 2 4 2" xfId="6269" xr:uid="{00000000-0005-0000-0000-0000DBA10000}"/>
    <cellStyle name="Normal 4 3 6 2 4 2 2" xfId="9802" xr:uid="{00000000-0005-0000-0000-0000DCA10000}"/>
    <cellStyle name="Normal 4 3 6 2 4 2 2 2" xfId="16592" xr:uid="{00000000-0005-0000-0000-0000DDA10000}"/>
    <cellStyle name="Normal 4 3 6 2 4 2 2 2 2" xfId="30160" xr:uid="{00000000-0005-0000-0000-0000DEA10000}"/>
    <cellStyle name="Normal 4 3 6 2 4 2 2 2 2 2" xfId="57293" xr:uid="{00000000-0005-0000-0000-0000DFA10000}"/>
    <cellStyle name="Normal 4 3 6 2 4 2 2 2 3" xfId="43731" xr:uid="{00000000-0005-0000-0000-0000E0A10000}"/>
    <cellStyle name="Normal 4 3 6 2 4 2 2 3" xfId="23379" xr:uid="{00000000-0005-0000-0000-0000E1A10000}"/>
    <cellStyle name="Normal 4 3 6 2 4 2 2 3 2" xfId="50512" xr:uid="{00000000-0005-0000-0000-0000E2A10000}"/>
    <cellStyle name="Normal 4 3 6 2 4 2 2 4" xfId="36950" xr:uid="{00000000-0005-0000-0000-0000E3A10000}"/>
    <cellStyle name="Normal 4 3 6 2 4 2 3" xfId="13203" xr:uid="{00000000-0005-0000-0000-0000E4A10000}"/>
    <cellStyle name="Normal 4 3 6 2 4 2 3 2" xfId="26771" xr:uid="{00000000-0005-0000-0000-0000E5A10000}"/>
    <cellStyle name="Normal 4 3 6 2 4 2 3 2 2" xfId="53904" xr:uid="{00000000-0005-0000-0000-0000E6A10000}"/>
    <cellStyle name="Normal 4 3 6 2 4 2 3 3" xfId="40342" xr:uid="{00000000-0005-0000-0000-0000E7A10000}"/>
    <cellStyle name="Normal 4 3 6 2 4 2 4" xfId="19990" xr:uid="{00000000-0005-0000-0000-0000E8A10000}"/>
    <cellStyle name="Normal 4 3 6 2 4 2 4 2" xfId="47123" xr:uid="{00000000-0005-0000-0000-0000E9A10000}"/>
    <cellStyle name="Normal 4 3 6 2 4 2 5" xfId="33561" xr:uid="{00000000-0005-0000-0000-0000EAA10000}"/>
    <cellStyle name="Normal 4 3 6 2 4 3" xfId="9801" xr:uid="{00000000-0005-0000-0000-0000EBA10000}"/>
    <cellStyle name="Normal 4 3 6 2 4 3 2" xfId="16591" xr:uid="{00000000-0005-0000-0000-0000ECA10000}"/>
    <cellStyle name="Normal 4 3 6 2 4 3 2 2" xfId="30159" xr:uid="{00000000-0005-0000-0000-0000EDA10000}"/>
    <cellStyle name="Normal 4 3 6 2 4 3 2 2 2" xfId="57292" xr:uid="{00000000-0005-0000-0000-0000EEA10000}"/>
    <cellStyle name="Normal 4 3 6 2 4 3 2 3" xfId="43730" xr:uid="{00000000-0005-0000-0000-0000EFA10000}"/>
    <cellStyle name="Normal 4 3 6 2 4 3 3" xfId="23378" xr:uid="{00000000-0005-0000-0000-0000F0A10000}"/>
    <cellStyle name="Normal 4 3 6 2 4 3 3 2" xfId="50511" xr:uid="{00000000-0005-0000-0000-0000F1A10000}"/>
    <cellStyle name="Normal 4 3 6 2 4 3 4" xfId="36949" xr:uid="{00000000-0005-0000-0000-0000F2A10000}"/>
    <cellStyle name="Normal 4 3 6 2 4 4" xfId="13202" xr:uid="{00000000-0005-0000-0000-0000F3A10000}"/>
    <cellStyle name="Normal 4 3 6 2 4 4 2" xfId="26770" xr:uid="{00000000-0005-0000-0000-0000F4A10000}"/>
    <cellStyle name="Normal 4 3 6 2 4 4 2 2" xfId="53903" xr:uid="{00000000-0005-0000-0000-0000F5A10000}"/>
    <cellStyle name="Normal 4 3 6 2 4 4 3" xfId="40341" xr:uid="{00000000-0005-0000-0000-0000F6A10000}"/>
    <cellStyle name="Normal 4 3 6 2 4 5" xfId="19989" xr:uid="{00000000-0005-0000-0000-0000F7A10000}"/>
    <cellStyle name="Normal 4 3 6 2 4 5 2" xfId="47122" xr:uid="{00000000-0005-0000-0000-0000F8A10000}"/>
    <cellStyle name="Normal 4 3 6 2 4 6" xfId="33560" xr:uid="{00000000-0005-0000-0000-0000F9A10000}"/>
    <cellStyle name="Normal 4 3 6 2 5" xfId="6270" xr:uid="{00000000-0005-0000-0000-0000FAA10000}"/>
    <cellStyle name="Normal 4 3 6 2 5 2" xfId="9803" xr:uid="{00000000-0005-0000-0000-0000FBA10000}"/>
    <cellStyle name="Normal 4 3 6 2 5 2 2" xfId="16593" xr:uid="{00000000-0005-0000-0000-0000FCA10000}"/>
    <cellStyle name="Normal 4 3 6 2 5 2 2 2" xfId="30161" xr:uid="{00000000-0005-0000-0000-0000FDA10000}"/>
    <cellStyle name="Normal 4 3 6 2 5 2 2 2 2" xfId="57294" xr:uid="{00000000-0005-0000-0000-0000FEA10000}"/>
    <cellStyle name="Normal 4 3 6 2 5 2 2 3" xfId="43732" xr:uid="{00000000-0005-0000-0000-0000FFA10000}"/>
    <cellStyle name="Normal 4 3 6 2 5 2 3" xfId="23380" xr:uid="{00000000-0005-0000-0000-000000A20000}"/>
    <cellStyle name="Normal 4 3 6 2 5 2 3 2" xfId="50513" xr:uid="{00000000-0005-0000-0000-000001A20000}"/>
    <cellStyle name="Normal 4 3 6 2 5 2 4" xfId="36951" xr:uid="{00000000-0005-0000-0000-000002A20000}"/>
    <cellStyle name="Normal 4 3 6 2 5 3" xfId="13204" xr:uid="{00000000-0005-0000-0000-000003A20000}"/>
    <cellStyle name="Normal 4 3 6 2 5 3 2" xfId="26772" xr:uid="{00000000-0005-0000-0000-000004A20000}"/>
    <cellStyle name="Normal 4 3 6 2 5 3 2 2" xfId="53905" xr:uid="{00000000-0005-0000-0000-000005A20000}"/>
    <cellStyle name="Normal 4 3 6 2 5 3 3" xfId="40343" xr:uid="{00000000-0005-0000-0000-000006A20000}"/>
    <cellStyle name="Normal 4 3 6 2 5 4" xfId="19991" xr:uid="{00000000-0005-0000-0000-000007A20000}"/>
    <cellStyle name="Normal 4 3 6 2 5 4 2" xfId="47124" xr:uid="{00000000-0005-0000-0000-000008A20000}"/>
    <cellStyle name="Normal 4 3 6 2 5 5" xfId="33562" xr:uid="{00000000-0005-0000-0000-000009A20000}"/>
    <cellStyle name="Normal 4 3 6 2 6" xfId="6271" xr:uid="{00000000-0005-0000-0000-00000AA20000}"/>
    <cellStyle name="Normal 4 3 6 2 6 2" xfId="9804" xr:uid="{00000000-0005-0000-0000-00000BA20000}"/>
    <cellStyle name="Normal 4 3 6 2 6 2 2" xfId="16594" xr:uid="{00000000-0005-0000-0000-00000CA20000}"/>
    <cellStyle name="Normal 4 3 6 2 6 2 2 2" xfId="30162" xr:uid="{00000000-0005-0000-0000-00000DA20000}"/>
    <cellStyle name="Normal 4 3 6 2 6 2 2 2 2" xfId="57295" xr:uid="{00000000-0005-0000-0000-00000EA20000}"/>
    <cellStyle name="Normal 4 3 6 2 6 2 2 3" xfId="43733" xr:uid="{00000000-0005-0000-0000-00000FA20000}"/>
    <cellStyle name="Normal 4 3 6 2 6 2 3" xfId="23381" xr:uid="{00000000-0005-0000-0000-000010A20000}"/>
    <cellStyle name="Normal 4 3 6 2 6 2 3 2" xfId="50514" xr:uid="{00000000-0005-0000-0000-000011A20000}"/>
    <cellStyle name="Normal 4 3 6 2 6 2 4" xfId="36952" xr:uid="{00000000-0005-0000-0000-000012A20000}"/>
    <cellStyle name="Normal 4 3 6 2 6 3" xfId="13205" xr:uid="{00000000-0005-0000-0000-000013A20000}"/>
    <cellStyle name="Normal 4 3 6 2 6 3 2" xfId="26773" xr:uid="{00000000-0005-0000-0000-000014A20000}"/>
    <cellStyle name="Normal 4 3 6 2 6 3 2 2" xfId="53906" xr:uid="{00000000-0005-0000-0000-000015A20000}"/>
    <cellStyle name="Normal 4 3 6 2 6 3 3" xfId="40344" xr:uid="{00000000-0005-0000-0000-000016A20000}"/>
    <cellStyle name="Normal 4 3 6 2 6 4" xfId="19992" xr:uid="{00000000-0005-0000-0000-000017A20000}"/>
    <cellStyle name="Normal 4 3 6 2 6 4 2" xfId="47125" xr:uid="{00000000-0005-0000-0000-000018A20000}"/>
    <cellStyle name="Normal 4 3 6 2 6 5" xfId="33563" xr:uid="{00000000-0005-0000-0000-000019A20000}"/>
    <cellStyle name="Normal 4 3 6 2 7" xfId="9789" xr:uid="{00000000-0005-0000-0000-00001AA20000}"/>
    <cellStyle name="Normal 4 3 6 2 7 2" xfId="16579" xr:uid="{00000000-0005-0000-0000-00001BA20000}"/>
    <cellStyle name="Normal 4 3 6 2 7 2 2" xfId="30147" xr:uid="{00000000-0005-0000-0000-00001CA20000}"/>
    <cellStyle name="Normal 4 3 6 2 7 2 2 2" xfId="57280" xr:uid="{00000000-0005-0000-0000-00001DA20000}"/>
    <cellStyle name="Normal 4 3 6 2 7 2 3" xfId="43718" xr:uid="{00000000-0005-0000-0000-00001EA20000}"/>
    <cellStyle name="Normal 4 3 6 2 7 3" xfId="23366" xr:uid="{00000000-0005-0000-0000-00001FA20000}"/>
    <cellStyle name="Normal 4 3 6 2 7 3 2" xfId="50499" xr:uid="{00000000-0005-0000-0000-000020A20000}"/>
    <cellStyle name="Normal 4 3 6 2 7 4" xfId="36937" xr:uid="{00000000-0005-0000-0000-000021A20000}"/>
    <cellStyle name="Normal 4 3 6 2 8" xfId="13190" xr:uid="{00000000-0005-0000-0000-000022A20000}"/>
    <cellStyle name="Normal 4 3 6 2 8 2" xfId="26758" xr:uid="{00000000-0005-0000-0000-000023A20000}"/>
    <cellStyle name="Normal 4 3 6 2 8 2 2" xfId="53891" xr:uid="{00000000-0005-0000-0000-000024A20000}"/>
    <cellStyle name="Normal 4 3 6 2 8 3" xfId="40329" xr:uid="{00000000-0005-0000-0000-000025A20000}"/>
    <cellStyle name="Normal 4 3 6 2 9" xfId="19977" xr:uid="{00000000-0005-0000-0000-000026A20000}"/>
    <cellStyle name="Normal 4 3 6 2 9 2" xfId="47110" xr:uid="{00000000-0005-0000-0000-000027A20000}"/>
    <cellStyle name="Normal 4 3 6 3" xfId="6272" xr:uid="{00000000-0005-0000-0000-000028A20000}"/>
    <cellStyle name="Normal 4 3 6 3 2" xfId="6273" xr:uid="{00000000-0005-0000-0000-000029A20000}"/>
    <cellStyle name="Normal 4 3 6 3 2 2" xfId="6274" xr:uid="{00000000-0005-0000-0000-00002AA20000}"/>
    <cellStyle name="Normal 4 3 6 3 2 2 2" xfId="9807" xr:uid="{00000000-0005-0000-0000-00002BA20000}"/>
    <cellStyle name="Normal 4 3 6 3 2 2 2 2" xfId="16597" xr:uid="{00000000-0005-0000-0000-00002CA20000}"/>
    <cellStyle name="Normal 4 3 6 3 2 2 2 2 2" xfId="30165" xr:uid="{00000000-0005-0000-0000-00002DA20000}"/>
    <cellStyle name="Normal 4 3 6 3 2 2 2 2 2 2" xfId="57298" xr:uid="{00000000-0005-0000-0000-00002EA20000}"/>
    <cellStyle name="Normal 4 3 6 3 2 2 2 2 3" xfId="43736" xr:uid="{00000000-0005-0000-0000-00002FA20000}"/>
    <cellStyle name="Normal 4 3 6 3 2 2 2 3" xfId="23384" xr:uid="{00000000-0005-0000-0000-000030A20000}"/>
    <cellStyle name="Normal 4 3 6 3 2 2 2 3 2" xfId="50517" xr:uid="{00000000-0005-0000-0000-000031A20000}"/>
    <cellStyle name="Normal 4 3 6 3 2 2 2 4" xfId="36955" xr:uid="{00000000-0005-0000-0000-000032A20000}"/>
    <cellStyle name="Normal 4 3 6 3 2 2 3" xfId="13208" xr:uid="{00000000-0005-0000-0000-000033A20000}"/>
    <cellStyle name="Normal 4 3 6 3 2 2 3 2" xfId="26776" xr:uid="{00000000-0005-0000-0000-000034A20000}"/>
    <cellStyle name="Normal 4 3 6 3 2 2 3 2 2" xfId="53909" xr:uid="{00000000-0005-0000-0000-000035A20000}"/>
    <cellStyle name="Normal 4 3 6 3 2 2 3 3" xfId="40347" xr:uid="{00000000-0005-0000-0000-000036A20000}"/>
    <cellStyle name="Normal 4 3 6 3 2 2 4" xfId="19995" xr:uid="{00000000-0005-0000-0000-000037A20000}"/>
    <cellStyle name="Normal 4 3 6 3 2 2 4 2" xfId="47128" xr:uid="{00000000-0005-0000-0000-000038A20000}"/>
    <cellStyle name="Normal 4 3 6 3 2 2 5" xfId="33566" xr:uid="{00000000-0005-0000-0000-000039A20000}"/>
    <cellStyle name="Normal 4 3 6 3 2 3" xfId="6275" xr:uid="{00000000-0005-0000-0000-00003AA20000}"/>
    <cellStyle name="Normal 4 3 6 3 2 3 2" xfId="9808" xr:uid="{00000000-0005-0000-0000-00003BA20000}"/>
    <cellStyle name="Normal 4 3 6 3 2 3 2 2" xfId="16598" xr:uid="{00000000-0005-0000-0000-00003CA20000}"/>
    <cellStyle name="Normal 4 3 6 3 2 3 2 2 2" xfId="30166" xr:uid="{00000000-0005-0000-0000-00003DA20000}"/>
    <cellStyle name="Normal 4 3 6 3 2 3 2 2 2 2" xfId="57299" xr:uid="{00000000-0005-0000-0000-00003EA20000}"/>
    <cellStyle name="Normal 4 3 6 3 2 3 2 2 3" xfId="43737" xr:uid="{00000000-0005-0000-0000-00003FA20000}"/>
    <cellStyle name="Normal 4 3 6 3 2 3 2 3" xfId="23385" xr:uid="{00000000-0005-0000-0000-000040A20000}"/>
    <cellStyle name="Normal 4 3 6 3 2 3 2 3 2" xfId="50518" xr:uid="{00000000-0005-0000-0000-000041A20000}"/>
    <cellStyle name="Normal 4 3 6 3 2 3 2 4" xfId="36956" xr:uid="{00000000-0005-0000-0000-000042A20000}"/>
    <cellStyle name="Normal 4 3 6 3 2 3 3" xfId="13209" xr:uid="{00000000-0005-0000-0000-000043A20000}"/>
    <cellStyle name="Normal 4 3 6 3 2 3 3 2" xfId="26777" xr:uid="{00000000-0005-0000-0000-000044A20000}"/>
    <cellStyle name="Normal 4 3 6 3 2 3 3 2 2" xfId="53910" xr:uid="{00000000-0005-0000-0000-000045A20000}"/>
    <cellStyle name="Normal 4 3 6 3 2 3 3 3" xfId="40348" xr:uid="{00000000-0005-0000-0000-000046A20000}"/>
    <cellStyle name="Normal 4 3 6 3 2 3 4" xfId="19996" xr:uid="{00000000-0005-0000-0000-000047A20000}"/>
    <cellStyle name="Normal 4 3 6 3 2 3 4 2" xfId="47129" xr:uid="{00000000-0005-0000-0000-000048A20000}"/>
    <cellStyle name="Normal 4 3 6 3 2 3 5" xfId="33567" xr:uid="{00000000-0005-0000-0000-000049A20000}"/>
    <cellStyle name="Normal 4 3 6 3 2 4" xfId="9806" xr:uid="{00000000-0005-0000-0000-00004AA20000}"/>
    <cellStyle name="Normal 4 3 6 3 2 4 2" xfId="16596" xr:uid="{00000000-0005-0000-0000-00004BA20000}"/>
    <cellStyle name="Normal 4 3 6 3 2 4 2 2" xfId="30164" xr:uid="{00000000-0005-0000-0000-00004CA20000}"/>
    <cellStyle name="Normal 4 3 6 3 2 4 2 2 2" xfId="57297" xr:uid="{00000000-0005-0000-0000-00004DA20000}"/>
    <cellStyle name="Normal 4 3 6 3 2 4 2 3" xfId="43735" xr:uid="{00000000-0005-0000-0000-00004EA20000}"/>
    <cellStyle name="Normal 4 3 6 3 2 4 3" xfId="23383" xr:uid="{00000000-0005-0000-0000-00004FA20000}"/>
    <cellStyle name="Normal 4 3 6 3 2 4 3 2" xfId="50516" xr:uid="{00000000-0005-0000-0000-000050A20000}"/>
    <cellStyle name="Normal 4 3 6 3 2 4 4" xfId="36954" xr:uid="{00000000-0005-0000-0000-000051A20000}"/>
    <cellStyle name="Normal 4 3 6 3 2 5" xfId="13207" xr:uid="{00000000-0005-0000-0000-000052A20000}"/>
    <cellStyle name="Normal 4 3 6 3 2 5 2" xfId="26775" xr:uid="{00000000-0005-0000-0000-000053A20000}"/>
    <cellStyle name="Normal 4 3 6 3 2 5 2 2" xfId="53908" xr:uid="{00000000-0005-0000-0000-000054A20000}"/>
    <cellStyle name="Normal 4 3 6 3 2 5 3" xfId="40346" xr:uid="{00000000-0005-0000-0000-000055A20000}"/>
    <cellStyle name="Normal 4 3 6 3 2 6" xfId="19994" xr:uid="{00000000-0005-0000-0000-000056A20000}"/>
    <cellStyle name="Normal 4 3 6 3 2 6 2" xfId="47127" xr:uid="{00000000-0005-0000-0000-000057A20000}"/>
    <cellStyle name="Normal 4 3 6 3 2 7" xfId="33565" xr:uid="{00000000-0005-0000-0000-000058A20000}"/>
    <cellStyle name="Normal 4 3 6 3 3" xfId="6276" xr:uid="{00000000-0005-0000-0000-000059A20000}"/>
    <cellStyle name="Normal 4 3 6 3 3 2" xfId="6277" xr:uid="{00000000-0005-0000-0000-00005AA20000}"/>
    <cellStyle name="Normal 4 3 6 3 3 2 2" xfId="9810" xr:uid="{00000000-0005-0000-0000-00005BA20000}"/>
    <cellStyle name="Normal 4 3 6 3 3 2 2 2" xfId="16600" xr:uid="{00000000-0005-0000-0000-00005CA20000}"/>
    <cellStyle name="Normal 4 3 6 3 3 2 2 2 2" xfId="30168" xr:uid="{00000000-0005-0000-0000-00005DA20000}"/>
    <cellStyle name="Normal 4 3 6 3 3 2 2 2 2 2" xfId="57301" xr:uid="{00000000-0005-0000-0000-00005EA20000}"/>
    <cellStyle name="Normal 4 3 6 3 3 2 2 2 3" xfId="43739" xr:uid="{00000000-0005-0000-0000-00005FA20000}"/>
    <cellStyle name="Normal 4 3 6 3 3 2 2 3" xfId="23387" xr:uid="{00000000-0005-0000-0000-000060A20000}"/>
    <cellStyle name="Normal 4 3 6 3 3 2 2 3 2" xfId="50520" xr:uid="{00000000-0005-0000-0000-000061A20000}"/>
    <cellStyle name="Normal 4 3 6 3 3 2 2 4" xfId="36958" xr:uid="{00000000-0005-0000-0000-000062A20000}"/>
    <cellStyle name="Normal 4 3 6 3 3 2 3" xfId="13211" xr:uid="{00000000-0005-0000-0000-000063A20000}"/>
    <cellStyle name="Normal 4 3 6 3 3 2 3 2" xfId="26779" xr:uid="{00000000-0005-0000-0000-000064A20000}"/>
    <cellStyle name="Normal 4 3 6 3 3 2 3 2 2" xfId="53912" xr:uid="{00000000-0005-0000-0000-000065A20000}"/>
    <cellStyle name="Normal 4 3 6 3 3 2 3 3" xfId="40350" xr:uid="{00000000-0005-0000-0000-000066A20000}"/>
    <cellStyle name="Normal 4 3 6 3 3 2 4" xfId="19998" xr:uid="{00000000-0005-0000-0000-000067A20000}"/>
    <cellStyle name="Normal 4 3 6 3 3 2 4 2" xfId="47131" xr:uid="{00000000-0005-0000-0000-000068A20000}"/>
    <cellStyle name="Normal 4 3 6 3 3 2 5" xfId="33569" xr:uid="{00000000-0005-0000-0000-000069A20000}"/>
    <cellStyle name="Normal 4 3 6 3 3 3" xfId="9809" xr:uid="{00000000-0005-0000-0000-00006AA20000}"/>
    <cellStyle name="Normal 4 3 6 3 3 3 2" xfId="16599" xr:uid="{00000000-0005-0000-0000-00006BA20000}"/>
    <cellStyle name="Normal 4 3 6 3 3 3 2 2" xfId="30167" xr:uid="{00000000-0005-0000-0000-00006CA20000}"/>
    <cellStyle name="Normal 4 3 6 3 3 3 2 2 2" xfId="57300" xr:uid="{00000000-0005-0000-0000-00006DA20000}"/>
    <cellStyle name="Normal 4 3 6 3 3 3 2 3" xfId="43738" xr:uid="{00000000-0005-0000-0000-00006EA20000}"/>
    <cellStyle name="Normal 4 3 6 3 3 3 3" xfId="23386" xr:uid="{00000000-0005-0000-0000-00006FA20000}"/>
    <cellStyle name="Normal 4 3 6 3 3 3 3 2" xfId="50519" xr:uid="{00000000-0005-0000-0000-000070A20000}"/>
    <cellStyle name="Normal 4 3 6 3 3 3 4" xfId="36957" xr:uid="{00000000-0005-0000-0000-000071A20000}"/>
    <cellStyle name="Normal 4 3 6 3 3 4" xfId="13210" xr:uid="{00000000-0005-0000-0000-000072A20000}"/>
    <cellStyle name="Normal 4 3 6 3 3 4 2" xfId="26778" xr:uid="{00000000-0005-0000-0000-000073A20000}"/>
    <cellStyle name="Normal 4 3 6 3 3 4 2 2" xfId="53911" xr:uid="{00000000-0005-0000-0000-000074A20000}"/>
    <cellStyle name="Normal 4 3 6 3 3 4 3" xfId="40349" xr:uid="{00000000-0005-0000-0000-000075A20000}"/>
    <cellStyle name="Normal 4 3 6 3 3 5" xfId="19997" xr:uid="{00000000-0005-0000-0000-000076A20000}"/>
    <cellStyle name="Normal 4 3 6 3 3 5 2" xfId="47130" xr:uid="{00000000-0005-0000-0000-000077A20000}"/>
    <cellStyle name="Normal 4 3 6 3 3 6" xfId="33568" xr:uid="{00000000-0005-0000-0000-000078A20000}"/>
    <cellStyle name="Normal 4 3 6 3 4" xfId="6278" xr:uid="{00000000-0005-0000-0000-000079A20000}"/>
    <cellStyle name="Normal 4 3 6 3 4 2" xfId="9811" xr:uid="{00000000-0005-0000-0000-00007AA20000}"/>
    <cellStyle name="Normal 4 3 6 3 4 2 2" xfId="16601" xr:uid="{00000000-0005-0000-0000-00007BA20000}"/>
    <cellStyle name="Normal 4 3 6 3 4 2 2 2" xfId="30169" xr:uid="{00000000-0005-0000-0000-00007CA20000}"/>
    <cellStyle name="Normal 4 3 6 3 4 2 2 2 2" xfId="57302" xr:uid="{00000000-0005-0000-0000-00007DA20000}"/>
    <cellStyle name="Normal 4 3 6 3 4 2 2 3" xfId="43740" xr:uid="{00000000-0005-0000-0000-00007EA20000}"/>
    <cellStyle name="Normal 4 3 6 3 4 2 3" xfId="23388" xr:uid="{00000000-0005-0000-0000-00007FA20000}"/>
    <cellStyle name="Normal 4 3 6 3 4 2 3 2" xfId="50521" xr:uid="{00000000-0005-0000-0000-000080A20000}"/>
    <cellStyle name="Normal 4 3 6 3 4 2 4" xfId="36959" xr:uid="{00000000-0005-0000-0000-000081A20000}"/>
    <cellStyle name="Normal 4 3 6 3 4 3" xfId="13212" xr:uid="{00000000-0005-0000-0000-000082A20000}"/>
    <cellStyle name="Normal 4 3 6 3 4 3 2" xfId="26780" xr:uid="{00000000-0005-0000-0000-000083A20000}"/>
    <cellStyle name="Normal 4 3 6 3 4 3 2 2" xfId="53913" xr:uid="{00000000-0005-0000-0000-000084A20000}"/>
    <cellStyle name="Normal 4 3 6 3 4 3 3" xfId="40351" xr:uid="{00000000-0005-0000-0000-000085A20000}"/>
    <cellStyle name="Normal 4 3 6 3 4 4" xfId="19999" xr:uid="{00000000-0005-0000-0000-000086A20000}"/>
    <cellStyle name="Normal 4 3 6 3 4 4 2" xfId="47132" xr:uid="{00000000-0005-0000-0000-000087A20000}"/>
    <cellStyle name="Normal 4 3 6 3 4 5" xfId="33570" xr:uid="{00000000-0005-0000-0000-000088A20000}"/>
    <cellStyle name="Normal 4 3 6 3 5" xfId="6279" xr:uid="{00000000-0005-0000-0000-000089A20000}"/>
    <cellStyle name="Normal 4 3 6 3 5 2" xfId="9812" xr:uid="{00000000-0005-0000-0000-00008AA20000}"/>
    <cellStyle name="Normal 4 3 6 3 5 2 2" xfId="16602" xr:uid="{00000000-0005-0000-0000-00008BA20000}"/>
    <cellStyle name="Normal 4 3 6 3 5 2 2 2" xfId="30170" xr:uid="{00000000-0005-0000-0000-00008CA20000}"/>
    <cellStyle name="Normal 4 3 6 3 5 2 2 2 2" xfId="57303" xr:uid="{00000000-0005-0000-0000-00008DA20000}"/>
    <cellStyle name="Normal 4 3 6 3 5 2 2 3" xfId="43741" xr:uid="{00000000-0005-0000-0000-00008EA20000}"/>
    <cellStyle name="Normal 4 3 6 3 5 2 3" xfId="23389" xr:uid="{00000000-0005-0000-0000-00008FA20000}"/>
    <cellStyle name="Normal 4 3 6 3 5 2 3 2" xfId="50522" xr:uid="{00000000-0005-0000-0000-000090A20000}"/>
    <cellStyle name="Normal 4 3 6 3 5 2 4" xfId="36960" xr:uid="{00000000-0005-0000-0000-000091A20000}"/>
    <cellStyle name="Normal 4 3 6 3 5 3" xfId="13213" xr:uid="{00000000-0005-0000-0000-000092A20000}"/>
    <cellStyle name="Normal 4 3 6 3 5 3 2" xfId="26781" xr:uid="{00000000-0005-0000-0000-000093A20000}"/>
    <cellStyle name="Normal 4 3 6 3 5 3 2 2" xfId="53914" xr:uid="{00000000-0005-0000-0000-000094A20000}"/>
    <cellStyle name="Normal 4 3 6 3 5 3 3" xfId="40352" xr:uid="{00000000-0005-0000-0000-000095A20000}"/>
    <cellStyle name="Normal 4 3 6 3 5 4" xfId="20000" xr:uid="{00000000-0005-0000-0000-000096A20000}"/>
    <cellStyle name="Normal 4 3 6 3 5 4 2" xfId="47133" xr:uid="{00000000-0005-0000-0000-000097A20000}"/>
    <cellStyle name="Normal 4 3 6 3 5 5" xfId="33571" xr:uid="{00000000-0005-0000-0000-000098A20000}"/>
    <cellStyle name="Normal 4 3 6 3 6" xfId="9805" xr:uid="{00000000-0005-0000-0000-000099A20000}"/>
    <cellStyle name="Normal 4 3 6 3 6 2" xfId="16595" xr:uid="{00000000-0005-0000-0000-00009AA20000}"/>
    <cellStyle name="Normal 4 3 6 3 6 2 2" xfId="30163" xr:uid="{00000000-0005-0000-0000-00009BA20000}"/>
    <cellStyle name="Normal 4 3 6 3 6 2 2 2" xfId="57296" xr:uid="{00000000-0005-0000-0000-00009CA20000}"/>
    <cellStyle name="Normal 4 3 6 3 6 2 3" xfId="43734" xr:uid="{00000000-0005-0000-0000-00009DA20000}"/>
    <cellStyle name="Normal 4 3 6 3 6 3" xfId="23382" xr:uid="{00000000-0005-0000-0000-00009EA20000}"/>
    <cellStyle name="Normal 4 3 6 3 6 3 2" xfId="50515" xr:uid="{00000000-0005-0000-0000-00009FA20000}"/>
    <cellStyle name="Normal 4 3 6 3 6 4" xfId="36953" xr:uid="{00000000-0005-0000-0000-0000A0A20000}"/>
    <cellStyle name="Normal 4 3 6 3 7" xfId="13206" xr:uid="{00000000-0005-0000-0000-0000A1A20000}"/>
    <cellStyle name="Normal 4 3 6 3 7 2" xfId="26774" xr:uid="{00000000-0005-0000-0000-0000A2A20000}"/>
    <cellStyle name="Normal 4 3 6 3 7 2 2" xfId="53907" xr:uid="{00000000-0005-0000-0000-0000A3A20000}"/>
    <cellStyle name="Normal 4 3 6 3 7 3" xfId="40345" xr:uid="{00000000-0005-0000-0000-0000A4A20000}"/>
    <cellStyle name="Normal 4 3 6 3 8" xfId="19993" xr:uid="{00000000-0005-0000-0000-0000A5A20000}"/>
    <cellStyle name="Normal 4 3 6 3 8 2" xfId="47126" xr:uid="{00000000-0005-0000-0000-0000A6A20000}"/>
    <cellStyle name="Normal 4 3 6 3 9" xfId="33564" xr:uid="{00000000-0005-0000-0000-0000A7A20000}"/>
    <cellStyle name="Normal 4 3 6 4" xfId="6280" xr:uid="{00000000-0005-0000-0000-0000A8A20000}"/>
    <cellStyle name="Normal 4 3 6 4 2" xfId="6281" xr:uid="{00000000-0005-0000-0000-0000A9A20000}"/>
    <cellStyle name="Normal 4 3 6 4 2 2" xfId="6282" xr:uid="{00000000-0005-0000-0000-0000AAA20000}"/>
    <cellStyle name="Normal 4 3 6 4 2 2 2" xfId="9815" xr:uid="{00000000-0005-0000-0000-0000ABA20000}"/>
    <cellStyle name="Normal 4 3 6 4 2 2 2 2" xfId="16605" xr:uid="{00000000-0005-0000-0000-0000ACA20000}"/>
    <cellStyle name="Normal 4 3 6 4 2 2 2 2 2" xfId="30173" xr:uid="{00000000-0005-0000-0000-0000ADA20000}"/>
    <cellStyle name="Normal 4 3 6 4 2 2 2 2 2 2" xfId="57306" xr:uid="{00000000-0005-0000-0000-0000AEA20000}"/>
    <cellStyle name="Normal 4 3 6 4 2 2 2 2 3" xfId="43744" xr:uid="{00000000-0005-0000-0000-0000AFA20000}"/>
    <cellStyle name="Normal 4 3 6 4 2 2 2 3" xfId="23392" xr:uid="{00000000-0005-0000-0000-0000B0A20000}"/>
    <cellStyle name="Normal 4 3 6 4 2 2 2 3 2" xfId="50525" xr:uid="{00000000-0005-0000-0000-0000B1A20000}"/>
    <cellStyle name="Normal 4 3 6 4 2 2 2 4" xfId="36963" xr:uid="{00000000-0005-0000-0000-0000B2A20000}"/>
    <cellStyle name="Normal 4 3 6 4 2 2 3" xfId="13216" xr:uid="{00000000-0005-0000-0000-0000B3A20000}"/>
    <cellStyle name="Normal 4 3 6 4 2 2 3 2" xfId="26784" xr:uid="{00000000-0005-0000-0000-0000B4A20000}"/>
    <cellStyle name="Normal 4 3 6 4 2 2 3 2 2" xfId="53917" xr:uid="{00000000-0005-0000-0000-0000B5A20000}"/>
    <cellStyle name="Normal 4 3 6 4 2 2 3 3" xfId="40355" xr:uid="{00000000-0005-0000-0000-0000B6A20000}"/>
    <cellStyle name="Normal 4 3 6 4 2 2 4" xfId="20003" xr:uid="{00000000-0005-0000-0000-0000B7A20000}"/>
    <cellStyle name="Normal 4 3 6 4 2 2 4 2" xfId="47136" xr:uid="{00000000-0005-0000-0000-0000B8A20000}"/>
    <cellStyle name="Normal 4 3 6 4 2 2 5" xfId="33574" xr:uid="{00000000-0005-0000-0000-0000B9A20000}"/>
    <cellStyle name="Normal 4 3 6 4 2 3" xfId="6283" xr:uid="{00000000-0005-0000-0000-0000BAA20000}"/>
    <cellStyle name="Normal 4 3 6 4 2 3 2" xfId="9816" xr:uid="{00000000-0005-0000-0000-0000BBA20000}"/>
    <cellStyle name="Normal 4 3 6 4 2 3 2 2" xfId="16606" xr:uid="{00000000-0005-0000-0000-0000BCA20000}"/>
    <cellStyle name="Normal 4 3 6 4 2 3 2 2 2" xfId="30174" xr:uid="{00000000-0005-0000-0000-0000BDA20000}"/>
    <cellStyle name="Normal 4 3 6 4 2 3 2 2 2 2" xfId="57307" xr:uid="{00000000-0005-0000-0000-0000BEA20000}"/>
    <cellStyle name="Normal 4 3 6 4 2 3 2 2 3" xfId="43745" xr:uid="{00000000-0005-0000-0000-0000BFA20000}"/>
    <cellStyle name="Normal 4 3 6 4 2 3 2 3" xfId="23393" xr:uid="{00000000-0005-0000-0000-0000C0A20000}"/>
    <cellStyle name="Normal 4 3 6 4 2 3 2 3 2" xfId="50526" xr:uid="{00000000-0005-0000-0000-0000C1A20000}"/>
    <cellStyle name="Normal 4 3 6 4 2 3 2 4" xfId="36964" xr:uid="{00000000-0005-0000-0000-0000C2A20000}"/>
    <cellStyle name="Normal 4 3 6 4 2 3 3" xfId="13217" xr:uid="{00000000-0005-0000-0000-0000C3A20000}"/>
    <cellStyle name="Normal 4 3 6 4 2 3 3 2" xfId="26785" xr:uid="{00000000-0005-0000-0000-0000C4A20000}"/>
    <cellStyle name="Normal 4 3 6 4 2 3 3 2 2" xfId="53918" xr:uid="{00000000-0005-0000-0000-0000C5A20000}"/>
    <cellStyle name="Normal 4 3 6 4 2 3 3 3" xfId="40356" xr:uid="{00000000-0005-0000-0000-0000C6A20000}"/>
    <cellStyle name="Normal 4 3 6 4 2 3 4" xfId="20004" xr:uid="{00000000-0005-0000-0000-0000C7A20000}"/>
    <cellStyle name="Normal 4 3 6 4 2 3 4 2" xfId="47137" xr:uid="{00000000-0005-0000-0000-0000C8A20000}"/>
    <cellStyle name="Normal 4 3 6 4 2 3 5" xfId="33575" xr:uid="{00000000-0005-0000-0000-0000C9A20000}"/>
    <cellStyle name="Normal 4 3 6 4 2 4" xfId="9814" xr:uid="{00000000-0005-0000-0000-0000CAA20000}"/>
    <cellStyle name="Normal 4 3 6 4 2 4 2" xfId="16604" xr:uid="{00000000-0005-0000-0000-0000CBA20000}"/>
    <cellStyle name="Normal 4 3 6 4 2 4 2 2" xfId="30172" xr:uid="{00000000-0005-0000-0000-0000CCA20000}"/>
    <cellStyle name="Normal 4 3 6 4 2 4 2 2 2" xfId="57305" xr:uid="{00000000-0005-0000-0000-0000CDA20000}"/>
    <cellStyle name="Normal 4 3 6 4 2 4 2 3" xfId="43743" xr:uid="{00000000-0005-0000-0000-0000CEA20000}"/>
    <cellStyle name="Normal 4 3 6 4 2 4 3" xfId="23391" xr:uid="{00000000-0005-0000-0000-0000CFA20000}"/>
    <cellStyle name="Normal 4 3 6 4 2 4 3 2" xfId="50524" xr:uid="{00000000-0005-0000-0000-0000D0A20000}"/>
    <cellStyle name="Normal 4 3 6 4 2 4 4" xfId="36962" xr:uid="{00000000-0005-0000-0000-0000D1A20000}"/>
    <cellStyle name="Normal 4 3 6 4 2 5" xfId="13215" xr:uid="{00000000-0005-0000-0000-0000D2A20000}"/>
    <cellStyle name="Normal 4 3 6 4 2 5 2" xfId="26783" xr:uid="{00000000-0005-0000-0000-0000D3A20000}"/>
    <cellStyle name="Normal 4 3 6 4 2 5 2 2" xfId="53916" xr:uid="{00000000-0005-0000-0000-0000D4A20000}"/>
    <cellStyle name="Normal 4 3 6 4 2 5 3" xfId="40354" xr:uid="{00000000-0005-0000-0000-0000D5A20000}"/>
    <cellStyle name="Normal 4 3 6 4 2 6" xfId="20002" xr:uid="{00000000-0005-0000-0000-0000D6A20000}"/>
    <cellStyle name="Normal 4 3 6 4 2 6 2" xfId="47135" xr:uid="{00000000-0005-0000-0000-0000D7A20000}"/>
    <cellStyle name="Normal 4 3 6 4 2 7" xfId="33573" xr:uid="{00000000-0005-0000-0000-0000D8A20000}"/>
    <cellStyle name="Normal 4 3 6 4 3" xfId="6284" xr:uid="{00000000-0005-0000-0000-0000D9A20000}"/>
    <cellStyle name="Normal 4 3 6 4 3 2" xfId="9817" xr:uid="{00000000-0005-0000-0000-0000DAA20000}"/>
    <cellStyle name="Normal 4 3 6 4 3 2 2" xfId="16607" xr:uid="{00000000-0005-0000-0000-0000DBA20000}"/>
    <cellStyle name="Normal 4 3 6 4 3 2 2 2" xfId="30175" xr:uid="{00000000-0005-0000-0000-0000DCA20000}"/>
    <cellStyle name="Normal 4 3 6 4 3 2 2 2 2" xfId="57308" xr:uid="{00000000-0005-0000-0000-0000DDA20000}"/>
    <cellStyle name="Normal 4 3 6 4 3 2 2 3" xfId="43746" xr:uid="{00000000-0005-0000-0000-0000DEA20000}"/>
    <cellStyle name="Normal 4 3 6 4 3 2 3" xfId="23394" xr:uid="{00000000-0005-0000-0000-0000DFA20000}"/>
    <cellStyle name="Normal 4 3 6 4 3 2 3 2" xfId="50527" xr:uid="{00000000-0005-0000-0000-0000E0A20000}"/>
    <cellStyle name="Normal 4 3 6 4 3 2 4" xfId="36965" xr:uid="{00000000-0005-0000-0000-0000E1A20000}"/>
    <cellStyle name="Normal 4 3 6 4 3 3" xfId="13218" xr:uid="{00000000-0005-0000-0000-0000E2A20000}"/>
    <cellStyle name="Normal 4 3 6 4 3 3 2" xfId="26786" xr:uid="{00000000-0005-0000-0000-0000E3A20000}"/>
    <cellStyle name="Normal 4 3 6 4 3 3 2 2" xfId="53919" xr:uid="{00000000-0005-0000-0000-0000E4A20000}"/>
    <cellStyle name="Normal 4 3 6 4 3 3 3" xfId="40357" xr:uid="{00000000-0005-0000-0000-0000E5A20000}"/>
    <cellStyle name="Normal 4 3 6 4 3 4" xfId="20005" xr:uid="{00000000-0005-0000-0000-0000E6A20000}"/>
    <cellStyle name="Normal 4 3 6 4 3 4 2" xfId="47138" xr:uid="{00000000-0005-0000-0000-0000E7A20000}"/>
    <cellStyle name="Normal 4 3 6 4 3 5" xfId="33576" xr:uid="{00000000-0005-0000-0000-0000E8A20000}"/>
    <cellStyle name="Normal 4 3 6 4 4" xfId="6285" xr:uid="{00000000-0005-0000-0000-0000E9A20000}"/>
    <cellStyle name="Normal 4 3 6 4 4 2" xfId="9818" xr:uid="{00000000-0005-0000-0000-0000EAA20000}"/>
    <cellStyle name="Normal 4 3 6 4 4 2 2" xfId="16608" xr:uid="{00000000-0005-0000-0000-0000EBA20000}"/>
    <cellStyle name="Normal 4 3 6 4 4 2 2 2" xfId="30176" xr:uid="{00000000-0005-0000-0000-0000ECA20000}"/>
    <cellStyle name="Normal 4 3 6 4 4 2 2 2 2" xfId="57309" xr:uid="{00000000-0005-0000-0000-0000EDA20000}"/>
    <cellStyle name="Normal 4 3 6 4 4 2 2 3" xfId="43747" xr:uid="{00000000-0005-0000-0000-0000EEA20000}"/>
    <cellStyle name="Normal 4 3 6 4 4 2 3" xfId="23395" xr:uid="{00000000-0005-0000-0000-0000EFA20000}"/>
    <cellStyle name="Normal 4 3 6 4 4 2 3 2" xfId="50528" xr:uid="{00000000-0005-0000-0000-0000F0A20000}"/>
    <cellStyle name="Normal 4 3 6 4 4 2 4" xfId="36966" xr:uid="{00000000-0005-0000-0000-0000F1A20000}"/>
    <cellStyle name="Normal 4 3 6 4 4 3" xfId="13219" xr:uid="{00000000-0005-0000-0000-0000F2A20000}"/>
    <cellStyle name="Normal 4 3 6 4 4 3 2" xfId="26787" xr:uid="{00000000-0005-0000-0000-0000F3A20000}"/>
    <cellStyle name="Normal 4 3 6 4 4 3 2 2" xfId="53920" xr:uid="{00000000-0005-0000-0000-0000F4A20000}"/>
    <cellStyle name="Normal 4 3 6 4 4 3 3" xfId="40358" xr:uid="{00000000-0005-0000-0000-0000F5A20000}"/>
    <cellStyle name="Normal 4 3 6 4 4 4" xfId="20006" xr:uid="{00000000-0005-0000-0000-0000F6A20000}"/>
    <cellStyle name="Normal 4 3 6 4 4 4 2" xfId="47139" xr:uid="{00000000-0005-0000-0000-0000F7A20000}"/>
    <cellStyle name="Normal 4 3 6 4 4 5" xfId="33577" xr:uid="{00000000-0005-0000-0000-0000F8A20000}"/>
    <cellStyle name="Normal 4 3 6 4 5" xfId="9813" xr:uid="{00000000-0005-0000-0000-0000F9A20000}"/>
    <cellStyle name="Normal 4 3 6 4 5 2" xfId="16603" xr:uid="{00000000-0005-0000-0000-0000FAA20000}"/>
    <cellStyle name="Normal 4 3 6 4 5 2 2" xfId="30171" xr:uid="{00000000-0005-0000-0000-0000FBA20000}"/>
    <cellStyle name="Normal 4 3 6 4 5 2 2 2" xfId="57304" xr:uid="{00000000-0005-0000-0000-0000FCA20000}"/>
    <cellStyle name="Normal 4 3 6 4 5 2 3" xfId="43742" xr:uid="{00000000-0005-0000-0000-0000FDA20000}"/>
    <cellStyle name="Normal 4 3 6 4 5 3" xfId="23390" xr:uid="{00000000-0005-0000-0000-0000FEA20000}"/>
    <cellStyle name="Normal 4 3 6 4 5 3 2" xfId="50523" xr:uid="{00000000-0005-0000-0000-0000FFA20000}"/>
    <cellStyle name="Normal 4 3 6 4 5 4" xfId="36961" xr:uid="{00000000-0005-0000-0000-000000A30000}"/>
    <cellStyle name="Normal 4 3 6 4 6" xfId="13214" xr:uid="{00000000-0005-0000-0000-000001A30000}"/>
    <cellStyle name="Normal 4 3 6 4 6 2" xfId="26782" xr:uid="{00000000-0005-0000-0000-000002A30000}"/>
    <cellStyle name="Normal 4 3 6 4 6 2 2" xfId="53915" xr:uid="{00000000-0005-0000-0000-000003A30000}"/>
    <cellStyle name="Normal 4 3 6 4 6 3" xfId="40353" xr:uid="{00000000-0005-0000-0000-000004A30000}"/>
    <cellStyle name="Normal 4 3 6 4 7" xfId="20001" xr:uid="{00000000-0005-0000-0000-000005A30000}"/>
    <cellStyle name="Normal 4 3 6 4 7 2" xfId="47134" xr:uid="{00000000-0005-0000-0000-000006A30000}"/>
    <cellStyle name="Normal 4 3 6 4 8" xfId="33572" xr:uid="{00000000-0005-0000-0000-000007A30000}"/>
    <cellStyle name="Normal 4 3 6 5" xfId="6286" xr:uid="{00000000-0005-0000-0000-000008A30000}"/>
    <cellStyle name="Normal 4 3 6 5 2" xfId="6287" xr:uid="{00000000-0005-0000-0000-000009A30000}"/>
    <cellStyle name="Normal 4 3 6 5 2 2" xfId="6288" xr:uid="{00000000-0005-0000-0000-00000AA30000}"/>
    <cellStyle name="Normal 4 3 6 5 2 2 2" xfId="9821" xr:uid="{00000000-0005-0000-0000-00000BA30000}"/>
    <cellStyle name="Normal 4 3 6 5 2 2 2 2" xfId="16611" xr:uid="{00000000-0005-0000-0000-00000CA30000}"/>
    <cellStyle name="Normal 4 3 6 5 2 2 2 2 2" xfId="30179" xr:uid="{00000000-0005-0000-0000-00000DA30000}"/>
    <cellStyle name="Normal 4 3 6 5 2 2 2 2 2 2" xfId="57312" xr:uid="{00000000-0005-0000-0000-00000EA30000}"/>
    <cellStyle name="Normal 4 3 6 5 2 2 2 2 3" xfId="43750" xr:uid="{00000000-0005-0000-0000-00000FA30000}"/>
    <cellStyle name="Normal 4 3 6 5 2 2 2 3" xfId="23398" xr:uid="{00000000-0005-0000-0000-000010A30000}"/>
    <cellStyle name="Normal 4 3 6 5 2 2 2 3 2" xfId="50531" xr:uid="{00000000-0005-0000-0000-000011A30000}"/>
    <cellStyle name="Normal 4 3 6 5 2 2 2 4" xfId="36969" xr:uid="{00000000-0005-0000-0000-000012A30000}"/>
    <cellStyle name="Normal 4 3 6 5 2 2 3" xfId="13222" xr:uid="{00000000-0005-0000-0000-000013A30000}"/>
    <cellStyle name="Normal 4 3 6 5 2 2 3 2" xfId="26790" xr:uid="{00000000-0005-0000-0000-000014A30000}"/>
    <cellStyle name="Normal 4 3 6 5 2 2 3 2 2" xfId="53923" xr:uid="{00000000-0005-0000-0000-000015A30000}"/>
    <cellStyle name="Normal 4 3 6 5 2 2 3 3" xfId="40361" xr:uid="{00000000-0005-0000-0000-000016A30000}"/>
    <cellStyle name="Normal 4 3 6 5 2 2 4" xfId="20009" xr:uid="{00000000-0005-0000-0000-000017A30000}"/>
    <cellStyle name="Normal 4 3 6 5 2 2 4 2" xfId="47142" xr:uid="{00000000-0005-0000-0000-000018A30000}"/>
    <cellStyle name="Normal 4 3 6 5 2 2 5" xfId="33580" xr:uid="{00000000-0005-0000-0000-000019A30000}"/>
    <cellStyle name="Normal 4 3 6 5 2 3" xfId="6289" xr:uid="{00000000-0005-0000-0000-00001AA30000}"/>
    <cellStyle name="Normal 4 3 6 5 2 3 2" xfId="9822" xr:uid="{00000000-0005-0000-0000-00001BA30000}"/>
    <cellStyle name="Normal 4 3 6 5 2 3 2 2" xfId="16612" xr:uid="{00000000-0005-0000-0000-00001CA30000}"/>
    <cellStyle name="Normal 4 3 6 5 2 3 2 2 2" xfId="30180" xr:uid="{00000000-0005-0000-0000-00001DA30000}"/>
    <cellStyle name="Normal 4 3 6 5 2 3 2 2 2 2" xfId="57313" xr:uid="{00000000-0005-0000-0000-00001EA30000}"/>
    <cellStyle name="Normal 4 3 6 5 2 3 2 2 3" xfId="43751" xr:uid="{00000000-0005-0000-0000-00001FA30000}"/>
    <cellStyle name="Normal 4 3 6 5 2 3 2 3" xfId="23399" xr:uid="{00000000-0005-0000-0000-000020A30000}"/>
    <cellStyle name="Normal 4 3 6 5 2 3 2 3 2" xfId="50532" xr:uid="{00000000-0005-0000-0000-000021A30000}"/>
    <cellStyle name="Normal 4 3 6 5 2 3 2 4" xfId="36970" xr:uid="{00000000-0005-0000-0000-000022A30000}"/>
    <cellStyle name="Normal 4 3 6 5 2 3 3" xfId="13223" xr:uid="{00000000-0005-0000-0000-000023A30000}"/>
    <cellStyle name="Normal 4 3 6 5 2 3 3 2" xfId="26791" xr:uid="{00000000-0005-0000-0000-000024A30000}"/>
    <cellStyle name="Normal 4 3 6 5 2 3 3 2 2" xfId="53924" xr:uid="{00000000-0005-0000-0000-000025A30000}"/>
    <cellStyle name="Normal 4 3 6 5 2 3 3 3" xfId="40362" xr:uid="{00000000-0005-0000-0000-000026A30000}"/>
    <cellStyle name="Normal 4 3 6 5 2 3 4" xfId="20010" xr:uid="{00000000-0005-0000-0000-000027A30000}"/>
    <cellStyle name="Normal 4 3 6 5 2 3 4 2" xfId="47143" xr:uid="{00000000-0005-0000-0000-000028A30000}"/>
    <cellStyle name="Normal 4 3 6 5 2 3 5" xfId="33581" xr:uid="{00000000-0005-0000-0000-000029A30000}"/>
    <cellStyle name="Normal 4 3 6 5 2 4" xfId="9820" xr:uid="{00000000-0005-0000-0000-00002AA30000}"/>
    <cellStyle name="Normal 4 3 6 5 2 4 2" xfId="16610" xr:uid="{00000000-0005-0000-0000-00002BA30000}"/>
    <cellStyle name="Normal 4 3 6 5 2 4 2 2" xfId="30178" xr:uid="{00000000-0005-0000-0000-00002CA30000}"/>
    <cellStyle name="Normal 4 3 6 5 2 4 2 2 2" xfId="57311" xr:uid="{00000000-0005-0000-0000-00002DA30000}"/>
    <cellStyle name="Normal 4 3 6 5 2 4 2 3" xfId="43749" xr:uid="{00000000-0005-0000-0000-00002EA30000}"/>
    <cellStyle name="Normal 4 3 6 5 2 4 3" xfId="23397" xr:uid="{00000000-0005-0000-0000-00002FA30000}"/>
    <cellStyle name="Normal 4 3 6 5 2 4 3 2" xfId="50530" xr:uid="{00000000-0005-0000-0000-000030A30000}"/>
    <cellStyle name="Normal 4 3 6 5 2 4 4" xfId="36968" xr:uid="{00000000-0005-0000-0000-000031A30000}"/>
    <cellStyle name="Normal 4 3 6 5 2 5" xfId="13221" xr:uid="{00000000-0005-0000-0000-000032A30000}"/>
    <cellStyle name="Normal 4 3 6 5 2 5 2" xfId="26789" xr:uid="{00000000-0005-0000-0000-000033A30000}"/>
    <cellStyle name="Normal 4 3 6 5 2 5 2 2" xfId="53922" xr:uid="{00000000-0005-0000-0000-000034A30000}"/>
    <cellStyle name="Normal 4 3 6 5 2 5 3" xfId="40360" xr:uid="{00000000-0005-0000-0000-000035A30000}"/>
    <cellStyle name="Normal 4 3 6 5 2 6" xfId="20008" xr:uid="{00000000-0005-0000-0000-000036A30000}"/>
    <cellStyle name="Normal 4 3 6 5 2 6 2" xfId="47141" xr:uid="{00000000-0005-0000-0000-000037A30000}"/>
    <cellStyle name="Normal 4 3 6 5 2 7" xfId="33579" xr:uid="{00000000-0005-0000-0000-000038A30000}"/>
    <cellStyle name="Normal 4 3 6 5 3" xfId="6290" xr:uid="{00000000-0005-0000-0000-000039A30000}"/>
    <cellStyle name="Normal 4 3 6 5 3 2" xfId="9823" xr:uid="{00000000-0005-0000-0000-00003AA30000}"/>
    <cellStyle name="Normal 4 3 6 5 3 2 2" xfId="16613" xr:uid="{00000000-0005-0000-0000-00003BA30000}"/>
    <cellStyle name="Normal 4 3 6 5 3 2 2 2" xfId="30181" xr:uid="{00000000-0005-0000-0000-00003CA30000}"/>
    <cellStyle name="Normal 4 3 6 5 3 2 2 2 2" xfId="57314" xr:uid="{00000000-0005-0000-0000-00003DA30000}"/>
    <cellStyle name="Normal 4 3 6 5 3 2 2 3" xfId="43752" xr:uid="{00000000-0005-0000-0000-00003EA30000}"/>
    <cellStyle name="Normal 4 3 6 5 3 2 3" xfId="23400" xr:uid="{00000000-0005-0000-0000-00003FA30000}"/>
    <cellStyle name="Normal 4 3 6 5 3 2 3 2" xfId="50533" xr:uid="{00000000-0005-0000-0000-000040A30000}"/>
    <cellStyle name="Normal 4 3 6 5 3 2 4" xfId="36971" xr:uid="{00000000-0005-0000-0000-000041A30000}"/>
    <cellStyle name="Normal 4 3 6 5 3 3" xfId="13224" xr:uid="{00000000-0005-0000-0000-000042A30000}"/>
    <cellStyle name="Normal 4 3 6 5 3 3 2" xfId="26792" xr:uid="{00000000-0005-0000-0000-000043A30000}"/>
    <cellStyle name="Normal 4 3 6 5 3 3 2 2" xfId="53925" xr:uid="{00000000-0005-0000-0000-000044A30000}"/>
    <cellStyle name="Normal 4 3 6 5 3 3 3" xfId="40363" xr:uid="{00000000-0005-0000-0000-000045A30000}"/>
    <cellStyle name="Normal 4 3 6 5 3 4" xfId="20011" xr:uid="{00000000-0005-0000-0000-000046A30000}"/>
    <cellStyle name="Normal 4 3 6 5 3 4 2" xfId="47144" xr:uid="{00000000-0005-0000-0000-000047A30000}"/>
    <cellStyle name="Normal 4 3 6 5 3 5" xfId="33582" xr:uid="{00000000-0005-0000-0000-000048A30000}"/>
    <cellStyle name="Normal 4 3 6 5 4" xfId="6291" xr:uid="{00000000-0005-0000-0000-000049A30000}"/>
    <cellStyle name="Normal 4 3 6 5 4 2" xfId="9824" xr:uid="{00000000-0005-0000-0000-00004AA30000}"/>
    <cellStyle name="Normal 4 3 6 5 4 2 2" xfId="16614" xr:uid="{00000000-0005-0000-0000-00004BA30000}"/>
    <cellStyle name="Normal 4 3 6 5 4 2 2 2" xfId="30182" xr:uid="{00000000-0005-0000-0000-00004CA30000}"/>
    <cellStyle name="Normal 4 3 6 5 4 2 2 2 2" xfId="57315" xr:uid="{00000000-0005-0000-0000-00004DA30000}"/>
    <cellStyle name="Normal 4 3 6 5 4 2 2 3" xfId="43753" xr:uid="{00000000-0005-0000-0000-00004EA30000}"/>
    <cellStyle name="Normal 4 3 6 5 4 2 3" xfId="23401" xr:uid="{00000000-0005-0000-0000-00004FA30000}"/>
    <cellStyle name="Normal 4 3 6 5 4 2 3 2" xfId="50534" xr:uid="{00000000-0005-0000-0000-000050A30000}"/>
    <cellStyle name="Normal 4 3 6 5 4 2 4" xfId="36972" xr:uid="{00000000-0005-0000-0000-000051A30000}"/>
    <cellStyle name="Normal 4 3 6 5 4 3" xfId="13225" xr:uid="{00000000-0005-0000-0000-000052A30000}"/>
    <cellStyle name="Normal 4 3 6 5 4 3 2" xfId="26793" xr:uid="{00000000-0005-0000-0000-000053A30000}"/>
    <cellStyle name="Normal 4 3 6 5 4 3 2 2" xfId="53926" xr:uid="{00000000-0005-0000-0000-000054A30000}"/>
    <cellStyle name="Normal 4 3 6 5 4 3 3" xfId="40364" xr:uid="{00000000-0005-0000-0000-000055A30000}"/>
    <cellStyle name="Normal 4 3 6 5 4 4" xfId="20012" xr:uid="{00000000-0005-0000-0000-000056A30000}"/>
    <cellStyle name="Normal 4 3 6 5 4 4 2" xfId="47145" xr:uid="{00000000-0005-0000-0000-000057A30000}"/>
    <cellStyle name="Normal 4 3 6 5 4 5" xfId="33583" xr:uid="{00000000-0005-0000-0000-000058A30000}"/>
    <cellStyle name="Normal 4 3 6 5 5" xfId="9819" xr:uid="{00000000-0005-0000-0000-000059A30000}"/>
    <cellStyle name="Normal 4 3 6 5 5 2" xfId="16609" xr:uid="{00000000-0005-0000-0000-00005AA30000}"/>
    <cellStyle name="Normal 4 3 6 5 5 2 2" xfId="30177" xr:uid="{00000000-0005-0000-0000-00005BA30000}"/>
    <cellStyle name="Normal 4 3 6 5 5 2 2 2" xfId="57310" xr:uid="{00000000-0005-0000-0000-00005CA30000}"/>
    <cellStyle name="Normal 4 3 6 5 5 2 3" xfId="43748" xr:uid="{00000000-0005-0000-0000-00005DA30000}"/>
    <cellStyle name="Normal 4 3 6 5 5 3" xfId="23396" xr:uid="{00000000-0005-0000-0000-00005EA30000}"/>
    <cellStyle name="Normal 4 3 6 5 5 3 2" xfId="50529" xr:uid="{00000000-0005-0000-0000-00005FA30000}"/>
    <cellStyle name="Normal 4 3 6 5 5 4" xfId="36967" xr:uid="{00000000-0005-0000-0000-000060A30000}"/>
    <cellStyle name="Normal 4 3 6 5 6" xfId="13220" xr:uid="{00000000-0005-0000-0000-000061A30000}"/>
    <cellStyle name="Normal 4 3 6 5 6 2" xfId="26788" xr:uid="{00000000-0005-0000-0000-000062A30000}"/>
    <cellStyle name="Normal 4 3 6 5 6 2 2" xfId="53921" xr:uid="{00000000-0005-0000-0000-000063A30000}"/>
    <cellStyle name="Normal 4 3 6 5 6 3" xfId="40359" xr:uid="{00000000-0005-0000-0000-000064A30000}"/>
    <cellStyle name="Normal 4 3 6 5 7" xfId="20007" xr:uid="{00000000-0005-0000-0000-000065A30000}"/>
    <cellStyle name="Normal 4 3 6 5 7 2" xfId="47140" xr:uid="{00000000-0005-0000-0000-000066A30000}"/>
    <cellStyle name="Normal 4 3 6 5 8" xfId="33578" xr:uid="{00000000-0005-0000-0000-000067A30000}"/>
    <cellStyle name="Normal 4 3 6 6" xfId="6292" xr:uid="{00000000-0005-0000-0000-000068A30000}"/>
    <cellStyle name="Normal 4 3 6 6 2" xfId="6293" xr:uid="{00000000-0005-0000-0000-000069A30000}"/>
    <cellStyle name="Normal 4 3 6 6 2 2" xfId="9826" xr:uid="{00000000-0005-0000-0000-00006AA30000}"/>
    <cellStyle name="Normal 4 3 6 6 2 2 2" xfId="16616" xr:uid="{00000000-0005-0000-0000-00006BA30000}"/>
    <cellStyle name="Normal 4 3 6 6 2 2 2 2" xfId="30184" xr:uid="{00000000-0005-0000-0000-00006CA30000}"/>
    <cellStyle name="Normal 4 3 6 6 2 2 2 2 2" xfId="57317" xr:uid="{00000000-0005-0000-0000-00006DA30000}"/>
    <cellStyle name="Normal 4 3 6 6 2 2 2 3" xfId="43755" xr:uid="{00000000-0005-0000-0000-00006EA30000}"/>
    <cellStyle name="Normal 4 3 6 6 2 2 3" xfId="23403" xr:uid="{00000000-0005-0000-0000-00006FA30000}"/>
    <cellStyle name="Normal 4 3 6 6 2 2 3 2" xfId="50536" xr:uid="{00000000-0005-0000-0000-000070A30000}"/>
    <cellStyle name="Normal 4 3 6 6 2 2 4" xfId="36974" xr:uid="{00000000-0005-0000-0000-000071A30000}"/>
    <cellStyle name="Normal 4 3 6 6 2 3" xfId="13227" xr:uid="{00000000-0005-0000-0000-000072A30000}"/>
    <cellStyle name="Normal 4 3 6 6 2 3 2" xfId="26795" xr:uid="{00000000-0005-0000-0000-000073A30000}"/>
    <cellStyle name="Normal 4 3 6 6 2 3 2 2" xfId="53928" xr:uid="{00000000-0005-0000-0000-000074A30000}"/>
    <cellStyle name="Normal 4 3 6 6 2 3 3" xfId="40366" xr:uid="{00000000-0005-0000-0000-000075A30000}"/>
    <cellStyle name="Normal 4 3 6 6 2 4" xfId="20014" xr:uid="{00000000-0005-0000-0000-000076A30000}"/>
    <cellStyle name="Normal 4 3 6 6 2 4 2" xfId="47147" xr:uid="{00000000-0005-0000-0000-000077A30000}"/>
    <cellStyle name="Normal 4 3 6 6 2 5" xfId="33585" xr:uid="{00000000-0005-0000-0000-000078A30000}"/>
    <cellStyle name="Normal 4 3 6 6 3" xfId="6294" xr:uid="{00000000-0005-0000-0000-000079A30000}"/>
    <cellStyle name="Normal 4 3 6 6 3 2" xfId="9827" xr:uid="{00000000-0005-0000-0000-00007AA30000}"/>
    <cellStyle name="Normal 4 3 6 6 3 2 2" xfId="16617" xr:uid="{00000000-0005-0000-0000-00007BA30000}"/>
    <cellStyle name="Normal 4 3 6 6 3 2 2 2" xfId="30185" xr:uid="{00000000-0005-0000-0000-00007CA30000}"/>
    <cellStyle name="Normal 4 3 6 6 3 2 2 2 2" xfId="57318" xr:uid="{00000000-0005-0000-0000-00007DA30000}"/>
    <cellStyle name="Normal 4 3 6 6 3 2 2 3" xfId="43756" xr:uid="{00000000-0005-0000-0000-00007EA30000}"/>
    <cellStyle name="Normal 4 3 6 6 3 2 3" xfId="23404" xr:uid="{00000000-0005-0000-0000-00007FA30000}"/>
    <cellStyle name="Normal 4 3 6 6 3 2 3 2" xfId="50537" xr:uid="{00000000-0005-0000-0000-000080A30000}"/>
    <cellStyle name="Normal 4 3 6 6 3 2 4" xfId="36975" xr:uid="{00000000-0005-0000-0000-000081A30000}"/>
    <cellStyle name="Normal 4 3 6 6 3 3" xfId="13228" xr:uid="{00000000-0005-0000-0000-000082A30000}"/>
    <cellStyle name="Normal 4 3 6 6 3 3 2" xfId="26796" xr:uid="{00000000-0005-0000-0000-000083A30000}"/>
    <cellStyle name="Normal 4 3 6 6 3 3 2 2" xfId="53929" xr:uid="{00000000-0005-0000-0000-000084A30000}"/>
    <cellStyle name="Normal 4 3 6 6 3 3 3" xfId="40367" xr:uid="{00000000-0005-0000-0000-000085A30000}"/>
    <cellStyle name="Normal 4 3 6 6 3 4" xfId="20015" xr:uid="{00000000-0005-0000-0000-000086A30000}"/>
    <cellStyle name="Normal 4 3 6 6 3 4 2" xfId="47148" xr:uid="{00000000-0005-0000-0000-000087A30000}"/>
    <cellStyle name="Normal 4 3 6 6 3 5" xfId="33586" xr:uid="{00000000-0005-0000-0000-000088A30000}"/>
    <cellStyle name="Normal 4 3 6 6 4" xfId="9825" xr:uid="{00000000-0005-0000-0000-000089A30000}"/>
    <cellStyle name="Normal 4 3 6 6 4 2" xfId="16615" xr:uid="{00000000-0005-0000-0000-00008AA30000}"/>
    <cellStyle name="Normal 4 3 6 6 4 2 2" xfId="30183" xr:uid="{00000000-0005-0000-0000-00008BA30000}"/>
    <cellStyle name="Normal 4 3 6 6 4 2 2 2" xfId="57316" xr:uid="{00000000-0005-0000-0000-00008CA30000}"/>
    <cellStyle name="Normal 4 3 6 6 4 2 3" xfId="43754" xr:uid="{00000000-0005-0000-0000-00008DA30000}"/>
    <cellStyle name="Normal 4 3 6 6 4 3" xfId="23402" xr:uid="{00000000-0005-0000-0000-00008EA30000}"/>
    <cellStyle name="Normal 4 3 6 6 4 3 2" xfId="50535" xr:uid="{00000000-0005-0000-0000-00008FA30000}"/>
    <cellStyle name="Normal 4 3 6 6 4 4" xfId="36973" xr:uid="{00000000-0005-0000-0000-000090A30000}"/>
    <cellStyle name="Normal 4 3 6 6 5" xfId="13226" xr:uid="{00000000-0005-0000-0000-000091A30000}"/>
    <cellStyle name="Normal 4 3 6 6 5 2" xfId="26794" xr:uid="{00000000-0005-0000-0000-000092A30000}"/>
    <cellStyle name="Normal 4 3 6 6 5 2 2" xfId="53927" xr:uid="{00000000-0005-0000-0000-000093A30000}"/>
    <cellStyle name="Normal 4 3 6 6 5 3" xfId="40365" xr:uid="{00000000-0005-0000-0000-000094A30000}"/>
    <cellStyle name="Normal 4 3 6 6 6" xfId="20013" xr:uid="{00000000-0005-0000-0000-000095A30000}"/>
    <cellStyle name="Normal 4 3 6 6 6 2" xfId="47146" xr:uid="{00000000-0005-0000-0000-000096A30000}"/>
    <cellStyle name="Normal 4 3 6 6 7" xfId="33584" xr:uid="{00000000-0005-0000-0000-000097A30000}"/>
    <cellStyle name="Normal 4 3 6 7" xfId="6295" xr:uid="{00000000-0005-0000-0000-000098A30000}"/>
    <cellStyle name="Normal 4 3 6 7 2" xfId="6296" xr:uid="{00000000-0005-0000-0000-000099A30000}"/>
    <cellStyle name="Normal 4 3 6 7 2 2" xfId="9829" xr:uid="{00000000-0005-0000-0000-00009AA30000}"/>
    <cellStyle name="Normal 4 3 6 7 2 2 2" xfId="16619" xr:uid="{00000000-0005-0000-0000-00009BA30000}"/>
    <cellStyle name="Normal 4 3 6 7 2 2 2 2" xfId="30187" xr:uid="{00000000-0005-0000-0000-00009CA30000}"/>
    <cellStyle name="Normal 4 3 6 7 2 2 2 2 2" xfId="57320" xr:uid="{00000000-0005-0000-0000-00009DA30000}"/>
    <cellStyle name="Normal 4 3 6 7 2 2 2 3" xfId="43758" xr:uid="{00000000-0005-0000-0000-00009EA30000}"/>
    <cellStyle name="Normal 4 3 6 7 2 2 3" xfId="23406" xr:uid="{00000000-0005-0000-0000-00009FA30000}"/>
    <cellStyle name="Normal 4 3 6 7 2 2 3 2" xfId="50539" xr:uid="{00000000-0005-0000-0000-0000A0A30000}"/>
    <cellStyle name="Normal 4 3 6 7 2 2 4" xfId="36977" xr:uid="{00000000-0005-0000-0000-0000A1A30000}"/>
    <cellStyle name="Normal 4 3 6 7 2 3" xfId="13230" xr:uid="{00000000-0005-0000-0000-0000A2A30000}"/>
    <cellStyle name="Normal 4 3 6 7 2 3 2" xfId="26798" xr:uid="{00000000-0005-0000-0000-0000A3A30000}"/>
    <cellStyle name="Normal 4 3 6 7 2 3 2 2" xfId="53931" xr:uid="{00000000-0005-0000-0000-0000A4A30000}"/>
    <cellStyle name="Normal 4 3 6 7 2 3 3" xfId="40369" xr:uid="{00000000-0005-0000-0000-0000A5A30000}"/>
    <cellStyle name="Normal 4 3 6 7 2 4" xfId="20017" xr:uid="{00000000-0005-0000-0000-0000A6A30000}"/>
    <cellStyle name="Normal 4 3 6 7 2 4 2" xfId="47150" xr:uid="{00000000-0005-0000-0000-0000A7A30000}"/>
    <cellStyle name="Normal 4 3 6 7 2 5" xfId="33588" xr:uid="{00000000-0005-0000-0000-0000A8A30000}"/>
    <cellStyle name="Normal 4 3 6 7 3" xfId="6297" xr:uid="{00000000-0005-0000-0000-0000A9A30000}"/>
    <cellStyle name="Normal 4 3 6 7 3 2" xfId="9830" xr:uid="{00000000-0005-0000-0000-0000AAA30000}"/>
    <cellStyle name="Normal 4 3 6 7 3 2 2" xfId="16620" xr:uid="{00000000-0005-0000-0000-0000ABA30000}"/>
    <cellStyle name="Normal 4 3 6 7 3 2 2 2" xfId="30188" xr:uid="{00000000-0005-0000-0000-0000ACA30000}"/>
    <cellStyle name="Normal 4 3 6 7 3 2 2 2 2" xfId="57321" xr:uid="{00000000-0005-0000-0000-0000ADA30000}"/>
    <cellStyle name="Normal 4 3 6 7 3 2 2 3" xfId="43759" xr:uid="{00000000-0005-0000-0000-0000AEA30000}"/>
    <cellStyle name="Normal 4 3 6 7 3 2 3" xfId="23407" xr:uid="{00000000-0005-0000-0000-0000AFA30000}"/>
    <cellStyle name="Normal 4 3 6 7 3 2 3 2" xfId="50540" xr:uid="{00000000-0005-0000-0000-0000B0A30000}"/>
    <cellStyle name="Normal 4 3 6 7 3 2 4" xfId="36978" xr:uid="{00000000-0005-0000-0000-0000B1A30000}"/>
    <cellStyle name="Normal 4 3 6 7 3 3" xfId="13231" xr:uid="{00000000-0005-0000-0000-0000B2A30000}"/>
    <cellStyle name="Normal 4 3 6 7 3 3 2" xfId="26799" xr:uid="{00000000-0005-0000-0000-0000B3A30000}"/>
    <cellStyle name="Normal 4 3 6 7 3 3 2 2" xfId="53932" xr:uid="{00000000-0005-0000-0000-0000B4A30000}"/>
    <cellStyle name="Normal 4 3 6 7 3 3 3" xfId="40370" xr:uid="{00000000-0005-0000-0000-0000B5A30000}"/>
    <cellStyle name="Normal 4 3 6 7 3 4" xfId="20018" xr:uid="{00000000-0005-0000-0000-0000B6A30000}"/>
    <cellStyle name="Normal 4 3 6 7 3 4 2" xfId="47151" xr:uid="{00000000-0005-0000-0000-0000B7A30000}"/>
    <cellStyle name="Normal 4 3 6 7 3 5" xfId="33589" xr:uid="{00000000-0005-0000-0000-0000B8A30000}"/>
    <cellStyle name="Normal 4 3 6 7 4" xfId="9828" xr:uid="{00000000-0005-0000-0000-0000B9A30000}"/>
    <cellStyle name="Normal 4 3 6 7 4 2" xfId="16618" xr:uid="{00000000-0005-0000-0000-0000BAA30000}"/>
    <cellStyle name="Normal 4 3 6 7 4 2 2" xfId="30186" xr:uid="{00000000-0005-0000-0000-0000BBA30000}"/>
    <cellStyle name="Normal 4 3 6 7 4 2 2 2" xfId="57319" xr:uid="{00000000-0005-0000-0000-0000BCA30000}"/>
    <cellStyle name="Normal 4 3 6 7 4 2 3" xfId="43757" xr:uid="{00000000-0005-0000-0000-0000BDA30000}"/>
    <cellStyle name="Normal 4 3 6 7 4 3" xfId="23405" xr:uid="{00000000-0005-0000-0000-0000BEA30000}"/>
    <cellStyle name="Normal 4 3 6 7 4 3 2" xfId="50538" xr:uid="{00000000-0005-0000-0000-0000BFA30000}"/>
    <cellStyle name="Normal 4 3 6 7 4 4" xfId="36976" xr:uid="{00000000-0005-0000-0000-0000C0A30000}"/>
    <cellStyle name="Normal 4 3 6 7 5" xfId="13229" xr:uid="{00000000-0005-0000-0000-0000C1A30000}"/>
    <cellStyle name="Normal 4 3 6 7 5 2" xfId="26797" xr:uid="{00000000-0005-0000-0000-0000C2A30000}"/>
    <cellStyle name="Normal 4 3 6 7 5 2 2" xfId="53930" xr:uid="{00000000-0005-0000-0000-0000C3A30000}"/>
    <cellStyle name="Normal 4 3 6 7 5 3" xfId="40368" xr:uid="{00000000-0005-0000-0000-0000C4A30000}"/>
    <cellStyle name="Normal 4 3 6 7 6" xfId="20016" xr:uid="{00000000-0005-0000-0000-0000C5A30000}"/>
    <cellStyle name="Normal 4 3 6 7 6 2" xfId="47149" xr:uid="{00000000-0005-0000-0000-0000C6A30000}"/>
    <cellStyle name="Normal 4 3 6 7 7" xfId="33587" xr:uid="{00000000-0005-0000-0000-0000C7A30000}"/>
    <cellStyle name="Normal 4 3 6 8" xfId="6298" xr:uid="{00000000-0005-0000-0000-0000C8A30000}"/>
    <cellStyle name="Normal 4 3 6 8 2" xfId="9831" xr:uid="{00000000-0005-0000-0000-0000C9A30000}"/>
    <cellStyle name="Normal 4 3 6 8 2 2" xfId="16621" xr:uid="{00000000-0005-0000-0000-0000CAA30000}"/>
    <cellStyle name="Normal 4 3 6 8 2 2 2" xfId="30189" xr:uid="{00000000-0005-0000-0000-0000CBA30000}"/>
    <cellStyle name="Normal 4 3 6 8 2 2 2 2" xfId="57322" xr:uid="{00000000-0005-0000-0000-0000CCA30000}"/>
    <cellStyle name="Normal 4 3 6 8 2 2 3" xfId="43760" xr:uid="{00000000-0005-0000-0000-0000CDA30000}"/>
    <cellStyle name="Normal 4 3 6 8 2 3" xfId="23408" xr:uid="{00000000-0005-0000-0000-0000CEA30000}"/>
    <cellStyle name="Normal 4 3 6 8 2 3 2" xfId="50541" xr:uid="{00000000-0005-0000-0000-0000CFA30000}"/>
    <cellStyle name="Normal 4 3 6 8 2 4" xfId="36979" xr:uid="{00000000-0005-0000-0000-0000D0A30000}"/>
    <cellStyle name="Normal 4 3 6 8 3" xfId="13232" xr:uid="{00000000-0005-0000-0000-0000D1A30000}"/>
    <cellStyle name="Normal 4 3 6 8 3 2" xfId="26800" xr:uid="{00000000-0005-0000-0000-0000D2A30000}"/>
    <cellStyle name="Normal 4 3 6 8 3 2 2" xfId="53933" xr:uid="{00000000-0005-0000-0000-0000D3A30000}"/>
    <cellStyle name="Normal 4 3 6 8 3 3" xfId="40371" xr:uid="{00000000-0005-0000-0000-0000D4A30000}"/>
    <cellStyle name="Normal 4 3 6 8 4" xfId="20019" xr:uid="{00000000-0005-0000-0000-0000D5A30000}"/>
    <cellStyle name="Normal 4 3 6 8 4 2" xfId="47152" xr:uid="{00000000-0005-0000-0000-0000D6A30000}"/>
    <cellStyle name="Normal 4 3 6 8 5" xfId="33590" xr:uid="{00000000-0005-0000-0000-0000D7A30000}"/>
    <cellStyle name="Normal 4 3 6 9" xfId="6299" xr:uid="{00000000-0005-0000-0000-0000D8A30000}"/>
    <cellStyle name="Normal 4 3 6 9 2" xfId="9832" xr:uid="{00000000-0005-0000-0000-0000D9A30000}"/>
    <cellStyle name="Normal 4 3 6 9 2 2" xfId="16622" xr:uid="{00000000-0005-0000-0000-0000DAA30000}"/>
    <cellStyle name="Normal 4 3 6 9 2 2 2" xfId="30190" xr:uid="{00000000-0005-0000-0000-0000DBA30000}"/>
    <cellStyle name="Normal 4 3 6 9 2 2 2 2" xfId="57323" xr:uid="{00000000-0005-0000-0000-0000DCA30000}"/>
    <cellStyle name="Normal 4 3 6 9 2 2 3" xfId="43761" xr:uid="{00000000-0005-0000-0000-0000DDA30000}"/>
    <cellStyle name="Normal 4 3 6 9 2 3" xfId="23409" xr:uid="{00000000-0005-0000-0000-0000DEA30000}"/>
    <cellStyle name="Normal 4 3 6 9 2 3 2" xfId="50542" xr:uid="{00000000-0005-0000-0000-0000DFA30000}"/>
    <cellStyle name="Normal 4 3 6 9 2 4" xfId="36980" xr:uid="{00000000-0005-0000-0000-0000E0A30000}"/>
    <cellStyle name="Normal 4 3 6 9 3" xfId="13233" xr:uid="{00000000-0005-0000-0000-0000E1A30000}"/>
    <cellStyle name="Normal 4 3 6 9 3 2" xfId="26801" xr:uid="{00000000-0005-0000-0000-0000E2A30000}"/>
    <cellStyle name="Normal 4 3 6 9 3 2 2" xfId="53934" xr:uid="{00000000-0005-0000-0000-0000E3A30000}"/>
    <cellStyle name="Normal 4 3 6 9 3 3" xfId="40372" xr:uid="{00000000-0005-0000-0000-0000E4A30000}"/>
    <cellStyle name="Normal 4 3 6 9 4" xfId="20020" xr:uid="{00000000-0005-0000-0000-0000E5A30000}"/>
    <cellStyle name="Normal 4 3 6 9 4 2" xfId="47153" xr:uid="{00000000-0005-0000-0000-0000E6A30000}"/>
    <cellStyle name="Normal 4 3 6 9 5" xfId="33591" xr:uid="{00000000-0005-0000-0000-0000E7A30000}"/>
    <cellStyle name="Normal 4 3 7" xfId="6300" xr:uid="{00000000-0005-0000-0000-0000E8A30000}"/>
    <cellStyle name="Normal 4 3 7 10" xfId="9833" xr:uid="{00000000-0005-0000-0000-0000E9A30000}"/>
    <cellStyle name="Normal 4 3 7 10 2" xfId="16623" xr:uid="{00000000-0005-0000-0000-0000EAA30000}"/>
    <cellStyle name="Normal 4 3 7 10 2 2" xfId="30191" xr:uid="{00000000-0005-0000-0000-0000EBA30000}"/>
    <cellStyle name="Normal 4 3 7 10 2 2 2" xfId="57324" xr:uid="{00000000-0005-0000-0000-0000ECA30000}"/>
    <cellStyle name="Normal 4 3 7 10 2 3" xfId="43762" xr:uid="{00000000-0005-0000-0000-0000EDA30000}"/>
    <cellStyle name="Normal 4 3 7 10 3" xfId="23410" xr:uid="{00000000-0005-0000-0000-0000EEA30000}"/>
    <cellStyle name="Normal 4 3 7 10 3 2" xfId="50543" xr:uid="{00000000-0005-0000-0000-0000EFA30000}"/>
    <cellStyle name="Normal 4 3 7 10 4" xfId="36981" xr:uid="{00000000-0005-0000-0000-0000F0A30000}"/>
    <cellStyle name="Normal 4 3 7 11" xfId="13234" xr:uid="{00000000-0005-0000-0000-0000F1A30000}"/>
    <cellStyle name="Normal 4 3 7 11 2" xfId="26802" xr:uid="{00000000-0005-0000-0000-0000F2A30000}"/>
    <cellStyle name="Normal 4 3 7 11 2 2" xfId="53935" xr:uid="{00000000-0005-0000-0000-0000F3A30000}"/>
    <cellStyle name="Normal 4 3 7 11 3" xfId="40373" xr:uid="{00000000-0005-0000-0000-0000F4A30000}"/>
    <cellStyle name="Normal 4 3 7 12" xfId="20021" xr:uid="{00000000-0005-0000-0000-0000F5A30000}"/>
    <cellStyle name="Normal 4 3 7 12 2" xfId="47154" xr:uid="{00000000-0005-0000-0000-0000F6A30000}"/>
    <cellStyle name="Normal 4 3 7 13" xfId="33592" xr:uid="{00000000-0005-0000-0000-0000F7A30000}"/>
    <cellStyle name="Normal 4 3 7 2" xfId="6301" xr:uid="{00000000-0005-0000-0000-0000F8A30000}"/>
    <cellStyle name="Normal 4 3 7 2 10" xfId="33593" xr:uid="{00000000-0005-0000-0000-0000F9A30000}"/>
    <cellStyle name="Normal 4 3 7 2 2" xfId="6302" xr:uid="{00000000-0005-0000-0000-0000FAA30000}"/>
    <cellStyle name="Normal 4 3 7 2 2 2" xfId="6303" xr:uid="{00000000-0005-0000-0000-0000FBA30000}"/>
    <cellStyle name="Normal 4 3 7 2 2 2 2" xfId="6304" xr:uid="{00000000-0005-0000-0000-0000FCA30000}"/>
    <cellStyle name="Normal 4 3 7 2 2 2 2 2" xfId="9837" xr:uid="{00000000-0005-0000-0000-0000FDA30000}"/>
    <cellStyle name="Normal 4 3 7 2 2 2 2 2 2" xfId="16627" xr:uid="{00000000-0005-0000-0000-0000FEA30000}"/>
    <cellStyle name="Normal 4 3 7 2 2 2 2 2 2 2" xfId="30195" xr:uid="{00000000-0005-0000-0000-0000FFA30000}"/>
    <cellStyle name="Normal 4 3 7 2 2 2 2 2 2 2 2" xfId="57328" xr:uid="{00000000-0005-0000-0000-000000A40000}"/>
    <cellStyle name="Normal 4 3 7 2 2 2 2 2 2 3" xfId="43766" xr:uid="{00000000-0005-0000-0000-000001A40000}"/>
    <cellStyle name="Normal 4 3 7 2 2 2 2 2 3" xfId="23414" xr:uid="{00000000-0005-0000-0000-000002A40000}"/>
    <cellStyle name="Normal 4 3 7 2 2 2 2 2 3 2" xfId="50547" xr:uid="{00000000-0005-0000-0000-000003A40000}"/>
    <cellStyle name="Normal 4 3 7 2 2 2 2 2 4" xfId="36985" xr:uid="{00000000-0005-0000-0000-000004A40000}"/>
    <cellStyle name="Normal 4 3 7 2 2 2 2 3" xfId="13238" xr:uid="{00000000-0005-0000-0000-000005A40000}"/>
    <cellStyle name="Normal 4 3 7 2 2 2 2 3 2" xfId="26806" xr:uid="{00000000-0005-0000-0000-000006A40000}"/>
    <cellStyle name="Normal 4 3 7 2 2 2 2 3 2 2" xfId="53939" xr:uid="{00000000-0005-0000-0000-000007A40000}"/>
    <cellStyle name="Normal 4 3 7 2 2 2 2 3 3" xfId="40377" xr:uid="{00000000-0005-0000-0000-000008A40000}"/>
    <cellStyle name="Normal 4 3 7 2 2 2 2 4" xfId="20025" xr:uid="{00000000-0005-0000-0000-000009A40000}"/>
    <cellStyle name="Normal 4 3 7 2 2 2 2 4 2" xfId="47158" xr:uid="{00000000-0005-0000-0000-00000AA40000}"/>
    <cellStyle name="Normal 4 3 7 2 2 2 2 5" xfId="33596" xr:uid="{00000000-0005-0000-0000-00000BA40000}"/>
    <cellStyle name="Normal 4 3 7 2 2 2 3" xfId="6305" xr:uid="{00000000-0005-0000-0000-00000CA40000}"/>
    <cellStyle name="Normal 4 3 7 2 2 2 3 2" xfId="9838" xr:uid="{00000000-0005-0000-0000-00000DA40000}"/>
    <cellStyle name="Normal 4 3 7 2 2 2 3 2 2" xfId="16628" xr:uid="{00000000-0005-0000-0000-00000EA40000}"/>
    <cellStyle name="Normal 4 3 7 2 2 2 3 2 2 2" xfId="30196" xr:uid="{00000000-0005-0000-0000-00000FA40000}"/>
    <cellStyle name="Normal 4 3 7 2 2 2 3 2 2 2 2" xfId="57329" xr:uid="{00000000-0005-0000-0000-000010A40000}"/>
    <cellStyle name="Normal 4 3 7 2 2 2 3 2 2 3" xfId="43767" xr:uid="{00000000-0005-0000-0000-000011A40000}"/>
    <cellStyle name="Normal 4 3 7 2 2 2 3 2 3" xfId="23415" xr:uid="{00000000-0005-0000-0000-000012A40000}"/>
    <cellStyle name="Normal 4 3 7 2 2 2 3 2 3 2" xfId="50548" xr:uid="{00000000-0005-0000-0000-000013A40000}"/>
    <cellStyle name="Normal 4 3 7 2 2 2 3 2 4" xfId="36986" xr:uid="{00000000-0005-0000-0000-000014A40000}"/>
    <cellStyle name="Normal 4 3 7 2 2 2 3 3" xfId="13239" xr:uid="{00000000-0005-0000-0000-000015A40000}"/>
    <cellStyle name="Normal 4 3 7 2 2 2 3 3 2" xfId="26807" xr:uid="{00000000-0005-0000-0000-000016A40000}"/>
    <cellStyle name="Normal 4 3 7 2 2 2 3 3 2 2" xfId="53940" xr:uid="{00000000-0005-0000-0000-000017A40000}"/>
    <cellStyle name="Normal 4 3 7 2 2 2 3 3 3" xfId="40378" xr:uid="{00000000-0005-0000-0000-000018A40000}"/>
    <cellStyle name="Normal 4 3 7 2 2 2 3 4" xfId="20026" xr:uid="{00000000-0005-0000-0000-000019A40000}"/>
    <cellStyle name="Normal 4 3 7 2 2 2 3 4 2" xfId="47159" xr:uid="{00000000-0005-0000-0000-00001AA40000}"/>
    <cellStyle name="Normal 4 3 7 2 2 2 3 5" xfId="33597" xr:uid="{00000000-0005-0000-0000-00001BA40000}"/>
    <cellStyle name="Normal 4 3 7 2 2 2 4" xfId="9836" xr:uid="{00000000-0005-0000-0000-00001CA40000}"/>
    <cellStyle name="Normal 4 3 7 2 2 2 4 2" xfId="16626" xr:uid="{00000000-0005-0000-0000-00001DA40000}"/>
    <cellStyle name="Normal 4 3 7 2 2 2 4 2 2" xfId="30194" xr:uid="{00000000-0005-0000-0000-00001EA40000}"/>
    <cellStyle name="Normal 4 3 7 2 2 2 4 2 2 2" xfId="57327" xr:uid="{00000000-0005-0000-0000-00001FA40000}"/>
    <cellStyle name="Normal 4 3 7 2 2 2 4 2 3" xfId="43765" xr:uid="{00000000-0005-0000-0000-000020A40000}"/>
    <cellStyle name="Normal 4 3 7 2 2 2 4 3" xfId="23413" xr:uid="{00000000-0005-0000-0000-000021A40000}"/>
    <cellStyle name="Normal 4 3 7 2 2 2 4 3 2" xfId="50546" xr:uid="{00000000-0005-0000-0000-000022A40000}"/>
    <cellStyle name="Normal 4 3 7 2 2 2 4 4" xfId="36984" xr:uid="{00000000-0005-0000-0000-000023A40000}"/>
    <cellStyle name="Normal 4 3 7 2 2 2 5" xfId="13237" xr:uid="{00000000-0005-0000-0000-000024A40000}"/>
    <cellStyle name="Normal 4 3 7 2 2 2 5 2" xfId="26805" xr:uid="{00000000-0005-0000-0000-000025A40000}"/>
    <cellStyle name="Normal 4 3 7 2 2 2 5 2 2" xfId="53938" xr:uid="{00000000-0005-0000-0000-000026A40000}"/>
    <cellStyle name="Normal 4 3 7 2 2 2 5 3" xfId="40376" xr:uid="{00000000-0005-0000-0000-000027A40000}"/>
    <cellStyle name="Normal 4 3 7 2 2 2 6" xfId="20024" xr:uid="{00000000-0005-0000-0000-000028A40000}"/>
    <cellStyle name="Normal 4 3 7 2 2 2 6 2" xfId="47157" xr:uid="{00000000-0005-0000-0000-000029A40000}"/>
    <cellStyle name="Normal 4 3 7 2 2 2 7" xfId="33595" xr:uid="{00000000-0005-0000-0000-00002AA40000}"/>
    <cellStyle name="Normal 4 3 7 2 2 3" xfId="6306" xr:uid="{00000000-0005-0000-0000-00002BA40000}"/>
    <cellStyle name="Normal 4 3 7 2 2 3 2" xfId="6307" xr:uid="{00000000-0005-0000-0000-00002CA40000}"/>
    <cellStyle name="Normal 4 3 7 2 2 3 2 2" xfId="9840" xr:uid="{00000000-0005-0000-0000-00002DA40000}"/>
    <cellStyle name="Normal 4 3 7 2 2 3 2 2 2" xfId="16630" xr:uid="{00000000-0005-0000-0000-00002EA40000}"/>
    <cellStyle name="Normal 4 3 7 2 2 3 2 2 2 2" xfId="30198" xr:uid="{00000000-0005-0000-0000-00002FA40000}"/>
    <cellStyle name="Normal 4 3 7 2 2 3 2 2 2 2 2" xfId="57331" xr:uid="{00000000-0005-0000-0000-000030A40000}"/>
    <cellStyle name="Normal 4 3 7 2 2 3 2 2 2 3" xfId="43769" xr:uid="{00000000-0005-0000-0000-000031A40000}"/>
    <cellStyle name="Normal 4 3 7 2 2 3 2 2 3" xfId="23417" xr:uid="{00000000-0005-0000-0000-000032A40000}"/>
    <cellStyle name="Normal 4 3 7 2 2 3 2 2 3 2" xfId="50550" xr:uid="{00000000-0005-0000-0000-000033A40000}"/>
    <cellStyle name="Normal 4 3 7 2 2 3 2 2 4" xfId="36988" xr:uid="{00000000-0005-0000-0000-000034A40000}"/>
    <cellStyle name="Normal 4 3 7 2 2 3 2 3" xfId="13241" xr:uid="{00000000-0005-0000-0000-000035A40000}"/>
    <cellStyle name="Normal 4 3 7 2 2 3 2 3 2" xfId="26809" xr:uid="{00000000-0005-0000-0000-000036A40000}"/>
    <cellStyle name="Normal 4 3 7 2 2 3 2 3 2 2" xfId="53942" xr:uid="{00000000-0005-0000-0000-000037A40000}"/>
    <cellStyle name="Normal 4 3 7 2 2 3 2 3 3" xfId="40380" xr:uid="{00000000-0005-0000-0000-000038A40000}"/>
    <cellStyle name="Normal 4 3 7 2 2 3 2 4" xfId="20028" xr:uid="{00000000-0005-0000-0000-000039A40000}"/>
    <cellStyle name="Normal 4 3 7 2 2 3 2 4 2" xfId="47161" xr:uid="{00000000-0005-0000-0000-00003AA40000}"/>
    <cellStyle name="Normal 4 3 7 2 2 3 2 5" xfId="33599" xr:uid="{00000000-0005-0000-0000-00003BA40000}"/>
    <cellStyle name="Normal 4 3 7 2 2 3 3" xfId="9839" xr:uid="{00000000-0005-0000-0000-00003CA40000}"/>
    <cellStyle name="Normal 4 3 7 2 2 3 3 2" xfId="16629" xr:uid="{00000000-0005-0000-0000-00003DA40000}"/>
    <cellStyle name="Normal 4 3 7 2 2 3 3 2 2" xfId="30197" xr:uid="{00000000-0005-0000-0000-00003EA40000}"/>
    <cellStyle name="Normal 4 3 7 2 2 3 3 2 2 2" xfId="57330" xr:uid="{00000000-0005-0000-0000-00003FA40000}"/>
    <cellStyle name="Normal 4 3 7 2 2 3 3 2 3" xfId="43768" xr:uid="{00000000-0005-0000-0000-000040A40000}"/>
    <cellStyle name="Normal 4 3 7 2 2 3 3 3" xfId="23416" xr:uid="{00000000-0005-0000-0000-000041A40000}"/>
    <cellStyle name="Normal 4 3 7 2 2 3 3 3 2" xfId="50549" xr:uid="{00000000-0005-0000-0000-000042A40000}"/>
    <cellStyle name="Normal 4 3 7 2 2 3 3 4" xfId="36987" xr:uid="{00000000-0005-0000-0000-000043A40000}"/>
    <cellStyle name="Normal 4 3 7 2 2 3 4" xfId="13240" xr:uid="{00000000-0005-0000-0000-000044A40000}"/>
    <cellStyle name="Normal 4 3 7 2 2 3 4 2" xfId="26808" xr:uid="{00000000-0005-0000-0000-000045A40000}"/>
    <cellStyle name="Normal 4 3 7 2 2 3 4 2 2" xfId="53941" xr:uid="{00000000-0005-0000-0000-000046A40000}"/>
    <cellStyle name="Normal 4 3 7 2 2 3 4 3" xfId="40379" xr:uid="{00000000-0005-0000-0000-000047A40000}"/>
    <cellStyle name="Normal 4 3 7 2 2 3 5" xfId="20027" xr:uid="{00000000-0005-0000-0000-000048A40000}"/>
    <cellStyle name="Normal 4 3 7 2 2 3 5 2" xfId="47160" xr:uid="{00000000-0005-0000-0000-000049A40000}"/>
    <cellStyle name="Normal 4 3 7 2 2 3 6" xfId="33598" xr:uid="{00000000-0005-0000-0000-00004AA40000}"/>
    <cellStyle name="Normal 4 3 7 2 2 4" xfId="6308" xr:uid="{00000000-0005-0000-0000-00004BA40000}"/>
    <cellStyle name="Normal 4 3 7 2 2 4 2" xfId="9841" xr:uid="{00000000-0005-0000-0000-00004CA40000}"/>
    <cellStyle name="Normal 4 3 7 2 2 4 2 2" xfId="16631" xr:uid="{00000000-0005-0000-0000-00004DA40000}"/>
    <cellStyle name="Normal 4 3 7 2 2 4 2 2 2" xfId="30199" xr:uid="{00000000-0005-0000-0000-00004EA40000}"/>
    <cellStyle name="Normal 4 3 7 2 2 4 2 2 2 2" xfId="57332" xr:uid="{00000000-0005-0000-0000-00004FA40000}"/>
    <cellStyle name="Normal 4 3 7 2 2 4 2 2 3" xfId="43770" xr:uid="{00000000-0005-0000-0000-000050A40000}"/>
    <cellStyle name="Normal 4 3 7 2 2 4 2 3" xfId="23418" xr:uid="{00000000-0005-0000-0000-000051A40000}"/>
    <cellStyle name="Normal 4 3 7 2 2 4 2 3 2" xfId="50551" xr:uid="{00000000-0005-0000-0000-000052A40000}"/>
    <cellStyle name="Normal 4 3 7 2 2 4 2 4" xfId="36989" xr:uid="{00000000-0005-0000-0000-000053A40000}"/>
    <cellStyle name="Normal 4 3 7 2 2 4 3" xfId="13242" xr:uid="{00000000-0005-0000-0000-000054A40000}"/>
    <cellStyle name="Normal 4 3 7 2 2 4 3 2" xfId="26810" xr:uid="{00000000-0005-0000-0000-000055A40000}"/>
    <cellStyle name="Normal 4 3 7 2 2 4 3 2 2" xfId="53943" xr:uid="{00000000-0005-0000-0000-000056A40000}"/>
    <cellStyle name="Normal 4 3 7 2 2 4 3 3" xfId="40381" xr:uid="{00000000-0005-0000-0000-000057A40000}"/>
    <cellStyle name="Normal 4 3 7 2 2 4 4" xfId="20029" xr:uid="{00000000-0005-0000-0000-000058A40000}"/>
    <cellStyle name="Normal 4 3 7 2 2 4 4 2" xfId="47162" xr:uid="{00000000-0005-0000-0000-000059A40000}"/>
    <cellStyle name="Normal 4 3 7 2 2 4 5" xfId="33600" xr:uid="{00000000-0005-0000-0000-00005AA40000}"/>
    <cellStyle name="Normal 4 3 7 2 2 5" xfId="6309" xr:uid="{00000000-0005-0000-0000-00005BA40000}"/>
    <cellStyle name="Normal 4 3 7 2 2 5 2" xfId="9842" xr:uid="{00000000-0005-0000-0000-00005CA40000}"/>
    <cellStyle name="Normal 4 3 7 2 2 5 2 2" xfId="16632" xr:uid="{00000000-0005-0000-0000-00005DA40000}"/>
    <cellStyle name="Normal 4 3 7 2 2 5 2 2 2" xfId="30200" xr:uid="{00000000-0005-0000-0000-00005EA40000}"/>
    <cellStyle name="Normal 4 3 7 2 2 5 2 2 2 2" xfId="57333" xr:uid="{00000000-0005-0000-0000-00005FA40000}"/>
    <cellStyle name="Normal 4 3 7 2 2 5 2 2 3" xfId="43771" xr:uid="{00000000-0005-0000-0000-000060A40000}"/>
    <cellStyle name="Normal 4 3 7 2 2 5 2 3" xfId="23419" xr:uid="{00000000-0005-0000-0000-000061A40000}"/>
    <cellStyle name="Normal 4 3 7 2 2 5 2 3 2" xfId="50552" xr:uid="{00000000-0005-0000-0000-000062A40000}"/>
    <cellStyle name="Normal 4 3 7 2 2 5 2 4" xfId="36990" xr:uid="{00000000-0005-0000-0000-000063A40000}"/>
    <cellStyle name="Normal 4 3 7 2 2 5 3" xfId="13243" xr:uid="{00000000-0005-0000-0000-000064A40000}"/>
    <cellStyle name="Normal 4 3 7 2 2 5 3 2" xfId="26811" xr:uid="{00000000-0005-0000-0000-000065A40000}"/>
    <cellStyle name="Normal 4 3 7 2 2 5 3 2 2" xfId="53944" xr:uid="{00000000-0005-0000-0000-000066A40000}"/>
    <cellStyle name="Normal 4 3 7 2 2 5 3 3" xfId="40382" xr:uid="{00000000-0005-0000-0000-000067A40000}"/>
    <cellStyle name="Normal 4 3 7 2 2 5 4" xfId="20030" xr:uid="{00000000-0005-0000-0000-000068A40000}"/>
    <cellStyle name="Normal 4 3 7 2 2 5 4 2" xfId="47163" xr:uid="{00000000-0005-0000-0000-000069A40000}"/>
    <cellStyle name="Normal 4 3 7 2 2 5 5" xfId="33601" xr:uid="{00000000-0005-0000-0000-00006AA40000}"/>
    <cellStyle name="Normal 4 3 7 2 2 6" xfId="9835" xr:uid="{00000000-0005-0000-0000-00006BA40000}"/>
    <cellStyle name="Normal 4 3 7 2 2 6 2" xfId="16625" xr:uid="{00000000-0005-0000-0000-00006CA40000}"/>
    <cellStyle name="Normal 4 3 7 2 2 6 2 2" xfId="30193" xr:uid="{00000000-0005-0000-0000-00006DA40000}"/>
    <cellStyle name="Normal 4 3 7 2 2 6 2 2 2" xfId="57326" xr:uid="{00000000-0005-0000-0000-00006EA40000}"/>
    <cellStyle name="Normal 4 3 7 2 2 6 2 3" xfId="43764" xr:uid="{00000000-0005-0000-0000-00006FA40000}"/>
    <cellStyle name="Normal 4 3 7 2 2 6 3" xfId="23412" xr:uid="{00000000-0005-0000-0000-000070A40000}"/>
    <cellStyle name="Normal 4 3 7 2 2 6 3 2" xfId="50545" xr:uid="{00000000-0005-0000-0000-000071A40000}"/>
    <cellStyle name="Normal 4 3 7 2 2 6 4" xfId="36983" xr:uid="{00000000-0005-0000-0000-000072A40000}"/>
    <cellStyle name="Normal 4 3 7 2 2 7" xfId="13236" xr:uid="{00000000-0005-0000-0000-000073A40000}"/>
    <cellStyle name="Normal 4 3 7 2 2 7 2" xfId="26804" xr:uid="{00000000-0005-0000-0000-000074A40000}"/>
    <cellStyle name="Normal 4 3 7 2 2 7 2 2" xfId="53937" xr:uid="{00000000-0005-0000-0000-000075A40000}"/>
    <cellStyle name="Normal 4 3 7 2 2 7 3" xfId="40375" xr:uid="{00000000-0005-0000-0000-000076A40000}"/>
    <cellStyle name="Normal 4 3 7 2 2 8" xfId="20023" xr:uid="{00000000-0005-0000-0000-000077A40000}"/>
    <cellStyle name="Normal 4 3 7 2 2 8 2" xfId="47156" xr:uid="{00000000-0005-0000-0000-000078A40000}"/>
    <cellStyle name="Normal 4 3 7 2 2 9" xfId="33594" xr:uid="{00000000-0005-0000-0000-000079A40000}"/>
    <cellStyle name="Normal 4 3 7 2 3" xfId="6310" xr:uid="{00000000-0005-0000-0000-00007AA40000}"/>
    <cellStyle name="Normal 4 3 7 2 3 2" xfId="6311" xr:uid="{00000000-0005-0000-0000-00007BA40000}"/>
    <cellStyle name="Normal 4 3 7 2 3 2 2" xfId="9844" xr:uid="{00000000-0005-0000-0000-00007CA40000}"/>
    <cellStyle name="Normal 4 3 7 2 3 2 2 2" xfId="16634" xr:uid="{00000000-0005-0000-0000-00007DA40000}"/>
    <cellStyle name="Normal 4 3 7 2 3 2 2 2 2" xfId="30202" xr:uid="{00000000-0005-0000-0000-00007EA40000}"/>
    <cellStyle name="Normal 4 3 7 2 3 2 2 2 2 2" xfId="57335" xr:uid="{00000000-0005-0000-0000-00007FA40000}"/>
    <cellStyle name="Normal 4 3 7 2 3 2 2 2 3" xfId="43773" xr:uid="{00000000-0005-0000-0000-000080A40000}"/>
    <cellStyle name="Normal 4 3 7 2 3 2 2 3" xfId="23421" xr:uid="{00000000-0005-0000-0000-000081A40000}"/>
    <cellStyle name="Normal 4 3 7 2 3 2 2 3 2" xfId="50554" xr:uid="{00000000-0005-0000-0000-000082A40000}"/>
    <cellStyle name="Normal 4 3 7 2 3 2 2 4" xfId="36992" xr:uid="{00000000-0005-0000-0000-000083A40000}"/>
    <cellStyle name="Normal 4 3 7 2 3 2 3" xfId="13245" xr:uid="{00000000-0005-0000-0000-000084A40000}"/>
    <cellStyle name="Normal 4 3 7 2 3 2 3 2" xfId="26813" xr:uid="{00000000-0005-0000-0000-000085A40000}"/>
    <cellStyle name="Normal 4 3 7 2 3 2 3 2 2" xfId="53946" xr:uid="{00000000-0005-0000-0000-000086A40000}"/>
    <cellStyle name="Normal 4 3 7 2 3 2 3 3" xfId="40384" xr:uid="{00000000-0005-0000-0000-000087A40000}"/>
    <cellStyle name="Normal 4 3 7 2 3 2 4" xfId="20032" xr:uid="{00000000-0005-0000-0000-000088A40000}"/>
    <cellStyle name="Normal 4 3 7 2 3 2 4 2" xfId="47165" xr:uid="{00000000-0005-0000-0000-000089A40000}"/>
    <cellStyle name="Normal 4 3 7 2 3 2 5" xfId="33603" xr:uid="{00000000-0005-0000-0000-00008AA40000}"/>
    <cellStyle name="Normal 4 3 7 2 3 3" xfId="6312" xr:uid="{00000000-0005-0000-0000-00008BA40000}"/>
    <cellStyle name="Normal 4 3 7 2 3 3 2" xfId="9845" xr:uid="{00000000-0005-0000-0000-00008CA40000}"/>
    <cellStyle name="Normal 4 3 7 2 3 3 2 2" xfId="16635" xr:uid="{00000000-0005-0000-0000-00008DA40000}"/>
    <cellStyle name="Normal 4 3 7 2 3 3 2 2 2" xfId="30203" xr:uid="{00000000-0005-0000-0000-00008EA40000}"/>
    <cellStyle name="Normal 4 3 7 2 3 3 2 2 2 2" xfId="57336" xr:uid="{00000000-0005-0000-0000-00008FA40000}"/>
    <cellStyle name="Normal 4 3 7 2 3 3 2 2 3" xfId="43774" xr:uid="{00000000-0005-0000-0000-000090A40000}"/>
    <cellStyle name="Normal 4 3 7 2 3 3 2 3" xfId="23422" xr:uid="{00000000-0005-0000-0000-000091A40000}"/>
    <cellStyle name="Normal 4 3 7 2 3 3 2 3 2" xfId="50555" xr:uid="{00000000-0005-0000-0000-000092A40000}"/>
    <cellStyle name="Normal 4 3 7 2 3 3 2 4" xfId="36993" xr:uid="{00000000-0005-0000-0000-000093A40000}"/>
    <cellStyle name="Normal 4 3 7 2 3 3 3" xfId="13246" xr:uid="{00000000-0005-0000-0000-000094A40000}"/>
    <cellStyle name="Normal 4 3 7 2 3 3 3 2" xfId="26814" xr:uid="{00000000-0005-0000-0000-000095A40000}"/>
    <cellStyle name="Normal 4 3 7 2 3 3 3 2 2" xfId="53947" xr:uid="{00000000-0005-0000-0000-000096A40000}"/>
    <cellStyle name="Normal 4 3 7 2 3 3 3 3" xfId="40385" xr:uid="{00000000-0005-0000-0000-000097A40000}"/>
    <cellStyle name="Normal 4 3 7 2 3 3 4" xfId="20033" xr:uid="{00000000-0005-0000-0000-000098A40000}"/>
    <cellStyle name="Normal 4 3 7 2 3 3 4 2" xfId="47166" xr:uid="{00000000-0005-0000-0000-000099A40000}"/>
    <cellStyle name="Normal 4 3 7 2 3 3 5" xfId="33604" xr:uid="{00000000-0005-0000-0000-00009AA40000}"/>
    <cellStyle name="Normal 4 3 7 2 3 4" xfId="9843" xr:uid="{00000000-0005-0000-0000-00009BA40000}"/>
    <cellStyle name="Normal 4 3 7 2 3 4 2" xfId="16633" xr:uid="{00000000-0005-0000-0000-00009CA40000}"/>
    <cellStyle name="Normal 4 3 7 2 3 4 2 2" xfId="30201" xr:uid="{00000000-0005-0000-0000-00009DA40000}"/>
    <cellStyle name="Normal 4 3 7 2 3 4 2 2 2" xfId="57334" xr:uid="{00000000-0005-0000-0000-00009EA40000}"/>
    <cellStyle name="Normal 4 3 7 2 3 4 2 3" xfId="43772" xr:uid="{00000000-0005-0000-0000-00009FA40000}"/>
    <cellStyle name="Normal 4 3 7 2 3 4 3" xfId="23420" xr:uid="{00000000-0005-0000-0000-0000A0A40000}"/>
    <cellStyle name="Normal 4 3 7 2 3 4 3 2" xfId="50553" xr:uid="{00000000-0005-0000-0000-0000A1A40000}"/>
    <cellStyle name="Normal 4 3 7 2 3 4 4" xfId="36991" xr:uid="{00000000-0005-0000-0000-0000A2A40000}"/>
    <cellStyle name="Normal 4 3 7 2 3 5" xfId="13244" xr:uid="{00000000-0005-0000-0000-0000A3A40000}"/>
    <cellStyle name="Normal 4 3 7 2 3 5 2" xfId="26812" xr:uid="{00000000-0005-0000-0000-0000A4A40000}"/>
    <cellStyle name="Normal 4 3 7 2 3 5 2 2" xfId="53945" xr:uid="{00000000-0005-0000-0000-0000A5A40000}"/>
    <cellStyle name="Normal 4 3 7 2 3 5 3" xfId="40383" xr:uid="{00000000-0005-0000-0000-0000A6A40000}"/>
    <cellStyle name="Normal 4 3 7 2 3 6" xfId="20031" xr:uid="{00000000-0005-0000-0000-0000A7A40000}"/>
    <cellStyle name="Normal 4 3 7 2 3 6 2" xfId="47164" xr:uid="{00000000-0005-0000-0000-0000A8A40000}"/>
    <cellStyle name="Normal 4 3 7 2 3 7" xfId="33602" xr:uid="{00000000-0005-0000-0000-0000A9A40000}"/>
    <cellStyle name="Normal 4 3 7 2 4" xfId="6313" xr:uid="{00000000-0005-0000-0000-0000AAA40000}"/>
    <cellStyle name="Normal 4 3 7 2 4 2" xfId="6314" xr:uid="{00000000-0005-0000-0000-0000ABA40000}"/>
    <cellStyle name="Normal 4 3 7 2 4 2 2" xfId="9847" xr:uid="{00000000-0005-0000-0000-0000ACA40000}"/>
    <cellStyle name="Normal 4 3 7 2 4 2 2 2" xfId="16637" xr:uid="{00000000-0005-0000-0000-0000ADA40000}"/>
    <cellStyle name="Normal 4 3 7 2 4 2 2 2 2" xfId="30205" xr:uid="{00000000-0005-0000-0000-0000AEA40000}"/>
    <cellStyle name="Normal 4 3 7 2 4 2 2 2 2 2" xfId="57338" xr:uid="{00000000-0005-0000-0000-0000AFA40000}"/>
    <cellStyle name="Normal 4 3 7 2 4 2 2 2 3" xfId="43776" xr:uid="{00000000-0005-0000-0000-0000B0A40000}"/>
    <cellStyle name="Normal 4 3 7 2 4 2 2 3" xfId="23424" xr:uid="{00000000-0005-0000-0000-0000B1A40000}"/>
    <cellStyle name="Normal 4 3 7 2 4 2 2 3 2" xfId="50557" xr:uid="{00000000-0005-0000-0000-0000B2A40000}"/>
    <cellStyle name="Normal 4 3 7 2 4 2 2 4" xfId="36995" xr:uid="{00000000-0005-0000-0000-0000B3A40000}"/>
    <cellStyle name="Normal 4 3 7 2 4 2 3" xfId="13248" xr:uid="{00000000-0005-0000-0000-0000B4A40000}"/>
    <cellStyle name="Normal 4 3 7 2 4 2 3 2" xfId="26816" xr:uid="{00000000-0005-0000-0000-0000B5A40000}"/>
    <cellStyle name="Normal 4 3 7 2 4 2 3 2 2" xfId="53949" xr:uid="{00000000-0005-0000-0000-0000B6A40000}"/>
    <cellStyle name="Normal 4 3 7 2 4 2 3 3" xfId="40387" xr:uid="{00000000-0005-0000-0000-0000B7A40000}"/>
    <cellStyle name="Normal 4 3 7 2 4 2 4" xfId="20035" xr:uid="{00000000-0005-0000-0000-0000B8A40000}"/>
    <cellStyle name="Normal 4 3 7 2 4 2 4 2" xfId="47168" xr:uid="{00000000-0005-0000-0000-0000B9A40000}"/>
    <cellStyle name="Normal 4 3 7 2 4 2 5" xfId="33606" xr:uid="{00000000-0005-0000-0000-0000BAA40000}"/>
    <cellStyle name="Normal 4 3 7 2 4 3" xfId="9846" xr:uid="{00000000-0005-0000-0000-0000BBA40000}"/>
    <cellStyle name="Normal 4 3 7 2 4 3 2" xfId="16636" xr:uid="{00000000-0005-0000-0000-0000BCA40000}"/>
    <cellStyle name="Normal 4 3 7 2 4 3 2 2" xfId="30204" xr:uid="{00000000-0005-0000-0000-0000BDA40000}"/>
    <cellStyle name="Normal 4 3 7 2 4 3 2 2 2" xfId="57337" xr:uid="{00000000-0005-0000-0000-0000BEA40000}"/>
    <cellStyle name="Normal 4 3 7 2 4 3 2 3" xfId="43775" xr:uid="{00000000-0005-0000-0000-0000BFA40000}"/>
    <cellStyle name="Normal 4 3 7 2 4 3 3" xfId="23423" xr:uid="{00000000-0005-0000-0000-0000C0A40000}"/>
    <cellStyle name="Normal 4 3 7 2 4 3 3 2" xfId="50556" xr:uid="{00000000-0005-0000-0000-0000C1A40000}"/>
    <cellStyle name="Normal 4 3 7 2 4 3 4" xfId="36994" xr:uid="{00000000-0005-0000-0000-0000C2A40000}"/>
    <cellStyle name="Normal 4 3 7 2 4 4" xfId="13247" xr:uid="{00000000-0005-0000-0000-0000C3A40000}"/>
    <cellStyle name="Normal 4 3 7 2 4 4 2" xfId="26815" xr:uid="{00000000-0005-0000-0000-0000C4A40000}"/>
    <cellStyle name="Normal 4 3 7 2 4 4 2 2" xfId="53948" xr:uid="{00000000-0005-0000-0000-0000C5A40000}"/>
    <cellStyle name="Normal 4 3 7 2 4 4 3" xfId="40386" xr:uid="{00000000-0005-0000-0000-0000C6A40000}"/>
    <cellStyle name="Normal 4 3 7 2 4 5" xfId="20034" xr:uid="{00000000-0005-0000-0000-0000C7A40000}"/>
    <cellStyle name="Normal 4 3 7 2 4 5 2" xfId="47167" xr:uid="{00000000-0005-0000-0000-0000C8A40000}"/>
    <cellStyle name="Normal 4 3 7 2 4 6" xfId="33605" xr:uid="{00000000-0005-0000-0000-0000C9A40000}"/>
    <cellStyle name="Normal 4 3 7 2 5" xfId="6315" xr:uid="{00000000-0005-0000-0000-0000CAA40000}"/>
    <cellStyle name="Normal 4 3 7 2 5 2" xfId="9848" xr:uid="{00000000-0005-0000-0000-0000CBA40000}"/>
    <cellStyle name="Normal 4 3 7 2 5 2 2" xfId="16638" xr:uid="{00000000-0005-0000-0000-0000CCA40000}"/>
    <cellStyle name="Normal 4 3 7 2 5 2 2 2" xfId="30206" xr:uid="{00000000-0005-0000-0000-0000CDA40000}"/>
    <cellStyle name="Normal 4 3 7 2 5 2 2 2 2" xfId="57339" xr:uid="{00000000-0005-0000-0000-0000CEA40000}"/>
    <cellStyle name="Normal 4 3 7 2 5 2 2 3" xfId="43777" xr:uid="{00000000-0005-0000-0000-0000CFA40000}"/>
    <cellStyle name="Normal 4 3 7 2 5 2 3" xfId="23425" xr:uid="{00000000-0005-0000-0000-0000D0A40000}"/>
    <cellStyle name="Normal 4 3 7 2 5 2 3 2" xfId="50558" xr:uid="{00000000-0005-0000-0000-0000D1A40000}"/>
    <cellStyle name="Normal 4 3 7 2 5 2 4" xfId="36996" xr:uid="{00000000-0005-0000-0000-0000D2A40000}"/>
    <cellStyle name="Normal 4 3 7 2 5 3" xfId="13249" xr:uid="{00000000-0005-0000-0000-0000D3A40000}"/>
    <cellStyle name="Normal 4 3 7 2 5 3 2" xfId="26817" xr:uid="{00000000-0005-0000-0000-0000D4A40000}"/>
    <cellStyle name="Normal 4 3 7 2 5 3 2 2" xfId="53950" xr:uid="{00000000-0005-0000-0000-0000D5A40000}"/>
    <cellStyle name="Normal 4 3 7 2 5 3 3" xfId="40388" xr:uid="{00000000-0005-0000-0000-0000D6A40000}"/>
    <cellStyle name="Normal 4 3 7 2 5 4" xfId="20036" xr:uid="{00000000-0005-0000-0000-0000D7A40000}"/>
    <cellStyle name="Normal 4 3 7 2 5 4 2" xfId="47169" xr:uid="{00000000-0005-0000-0000-0000D8A40000}"/>
    <cellStyle name="Normal 4 3 7 2 5 5" xfId="33607" xr:uid="{00000000-0005-0000-0000-0000D9A40000}"/>
    <cellStyle name="Normal 4 3 7 2 6" xfId="6316" xr:uid="{00000000-0005-0000-0000-0000DAA40000}"/>
    <cellStyle name="Normal 4 3 7 2 6 2" xfId="9849" xr:uid="{00000000-0005-0000-0000-0000DBA40000}"/>
    <cellStyle name="Normal 4 3 7 2 6 2 2" xfId="16639" xr:uid="{00000000-0005-0000-0000-0000DCA40000}"/>
    <cellStyle name="Normal 4 3 7 2 6 2 2 2" xfId="30207" xr:uid="{00000000-0005-0000-0000-0000DDA40000}"/>
    <cellStyle name="Normal 4 3 7 2 6 2 2 2 2" xfId="57340" xr:uid="{00000000-0005-0000-0000-0000DEA40000}"/>
    <cellStyle name="Normal 4 3 7 2 6 2 2 3" xfId="43778" xr:uid="{00000000-0005-0000-0000-0000DFA40000}"/>
    <cellStyle name="Normal 4 3 7 2 6 2 3" xfId="23426" xr:uid="{00000000-0005-0000-0000-0000E0A40000}"/>
    <cellStyle name="Normal 4 3 7 2 6 2 3 2" xfId="50559" xr:uid="{00000000-0005-0000-0000-0000E1A40000}"/>
    <cellStyle name="Normal 4 3 7 2 6 2 4" xfId="36997" xr:uid="{00000000-0005-0000-0000-0000E2A40000}"/>
    <cellStyle name="Normal 4 3 7 2 6 3" xfId="13250" xr:uid="{00000000-0005-0000-0000-0000E3A40000}"/>
    <cellStyle name="Normal 4 3 7 2 6 3 2" xfId="26818" xr:uid="{00000000-0005-0000-0000-0000E4A40000}"/>
    <cellStyle name="Normal 4 3 7 2 6 3 2 2" xfId="53951" xr:uid="{00000000-0005-0000-0000-0000E5A40000}"/>
    <cellStyle name="Normal 4 3 7 2 6 3 3" xfId="40389" xr:uid="{00000000-0005-0000-0000-0000E6A40000}"/>
    <cellStyle name="Normal 4 3 7 2 6 4" xfId="20037" xr:uid="{00000000-0005-0000-0000-0000E7A40000}"/>
    <cellStyle name="Normal 4 3 7 2 6 4 2" xfId="47170" xr:uid="{00000000-0005-0000-0000-0000E8A40000}"/>
    <cellStyle name="Normal 4 3 7 2 6 5" xfId="33608" xr:uid="{00000000-0005-0000-0000-0000E9A40000}"/>
    <cellStyle name="Normal 4 3 7 2 7" xfId="9834" xr:uid="{00000000-0005-0000-0000-0000EAA40000}"/>
    <cellStyle name="Normal 4 3 7 2 7 2" xfId="16624" xr:uid="{00000000-0005-0000-0000-0000EBA40000}"/>
    <cellStyle name="Normal 4 3 7 2 7 2 2" xfId="30192" xr:uid="{00000000-0005-0000-0000-0000ECA40000}"/>
    <cellStyle name="Normal 4 3 7 2 7 2 2 2" xfId="57325" xr:uid="{00000000-0005-0000-0000-0000EDA40000}"/>
    <cellStyle name="Normal 4 3 7 2 7 2 3" xfId="43763" xr:uid="{00000000-0005-0000-0000-0000EEA40000}"/>
    <cellStyle name="Normal 4 3 7 2 7 3" xfId="23411" xr:uid="{00000000-0005-0000-0000-0000EFA40000}"/>
    <cellStyle name="Normal 4 3 7 2 7 3 2" xfId="50544" xr:uid="{00000000-0005-0000-0000-0000F0A40000}"/>
    <cellStyle name="Normal 4 3 7 2 7 4" xfId="36982" xr:uid="{00000000-0005-0000-0000-0000F1A40000}"/>
    <cellStyle name="Normal 4 3 7 2 8" xfId="13235" xr:uid="{00000000-0005-0000-0000-0000F2A40000}"/>
    <cellStyle name="Normal 4 3 7 2 8 2" xfId="26803" xr:uid="{00000000-0005-0000-0000-0000F3A40000}"/>
    <cellStyle name="Normal 4 3 7 2 8 2 2" xfId="53936" xr:uid="{00000000-0005-0000-0000-0000F4A40000}"/>
    <cellStyle name="Normal 4 3 7 2 8 3" xfId="40374" xr:uid="{00000000-0005-0000-0000-0000F5A40000}"/>
    <cellStyle name="Normal 4 3 7 2 9" xfId="20022" xr:uid="{00000000-0005-0000-0000-0000F6A40000}"/>
    <cellStyle name="Normal 4 3 7 2 9 2" xfId="47155" xr:uid="{00000000-0005-0000-0000-0000F7A40000}"/>
    <cellStyle name="Normal 4 3 7 3" xfId="6317" xr:uid="{00000000-0005-0000-0000-0000F8A40000}"/>
    <cellStyle name="Normal 4 3 7 3 2" xfId="6318" xr:uid="{00000000-0005-0000-0000-0000F9A40000}"/>
    <cellStyle name="Normal 4 3 7 3 2 2" xfId="6319" xr:uid="{00000000-0005-0000-0000-0000FAA40000}"/>
    <cellStyle name="Normal 4 3 7 3 2 2 2" xfId="9852" xr:uid="{00000000-0005-0000-0000-0000FBA40000}"/>
    <cellStyle name="Normal 4 3 7 3 2 2 2 2" xfId="16642" xr:uid="{00000000-0005-0000-0000-0000FCA40000}"/>
    <cellStyle name="Normal 4 3 7 3 2 2 2 2 2" xfId="30210" xr:uid="{00000000-0005-0000-0000-0000FDA40000}"/>
    <cellStyle name="Normal 4 3 7 3 2 2 2 2 2 2" xfId="57343" xr:uid="{00000000-0005-0000-0000-0000FEA40000}"/>
    <cellStyle name="Normal 4 3 7 3 2 2 2 2 3" xfId="43781" xr:uid="{00000000-0005-0000-0000-0000FFA40000}"/>
    <cellStyle name="Normal 4 3 7 3 2 2 2 3" xfId="23429" xr:uid="{00000000-0005-0000-0000-000000A50000}"/>
    <cellStyle name="Normal 4 3 7 3 2 2 2 3 2" xfId="50562" xr:uid="{00000000-0005-0000-0000-000001A50000}"/>
    <cellStyle name="Normal 4 3 7 3 2 2 2 4" xfId="37000" xr:uid="{00000000-0005-0000-0000-000002A50000}"/>
    <cellStyle name="Normal 4 3 7 3 2 2 3" xfId="13253" xr:uid="{00000000-0005-0000-0000-000003A50000}"/>
    <cellStyle name="Normal 4 3 7 3 2 2 3 2" xfId="26821" xr:uid="{00000000-0005-0000-0000-000004A50000}"/>
    <cellStyle name="Normal 4 3 7 3 2 2 3 2 2" xfId="53954" xr:uid="{00000000-0005-0000-0000-000005A50000}"/>
    <cellStyle name="Normal 4 3 7 3 2 2 3 3" xfId="40392" xr:uid="{00000000-0005-0000-0000-000006A50000}"/>
    <cellStyle name="Normal 4 3 7 3 2 2 4" xfId="20040" xr:uid="{00000000-0005-0000-0000-000007A50000}"/>
    <cellStyle name="Normal 4 3 7 3 2 2 4 2" xfId="47173" xr:uid="{00000000-0005-0000-0000-000008A50000}"/>
    <cellStyle name="Normal 4 3 7 3 2 2 5" xfId="33611" xr:uid="{00000000-0005-0000-0000-000009A50000}"/>
    <cellStyle name="Normal 4 3 7 3 2 3" xfId="6320" xr:uid="{00000000-0005-0000-0000-00000AA50000}"/>
    <cellStyle name="Normal 4 3 7 3 2 3 2" xfId="9853" xr:uid="{00000000-0005-0000-0000-00000BA50000}"/>
    <cellStyle name="Normal 4 3 7 3 2 3 2 2" xfId="16643" xr:uid="{00000000-0005-0000-0000-00000CA50000}"/>
    <cellStyle name="Normal 4 3 7 3 2 3 2 2 2" xfId="30211" xr:uid="{00000000-0005-0000-0000-00000DA50000}"/>
    <cellStyle name="Normal 4 3 7 3 2 3 2 2 2 2" xfId="57344" xr:uid="{00000000-0005-0000-0000-00000EA50000}"/>
    <cellStyle name="Normal 4 3 7 3 2 3 2 2 3" xfId="43782" xr:uid="{00000000-0005-0000-0000-00000FA50000}"/>
    <cellStyle name="Normal 4 3 7 3 2 3 2 3" xfId="23430" xr:uid="{00000000-0005-0000-0000-000010A50000}"/>
    <cellStyle name="Normal 4 3 7 3 2 3 2 3 2" xfId="50563" xr:uid="{00000000-0005-0000-0000-000011A50000}"/>
    <cellStyle name="Normal 4 3 7 3 2 3 2 4" xfId="37001" xr:uid="{00000000-0005-0000-0000-000012A50000}"/>
    <cellStyle name="Normal 4 3 7 3 2 3 3" xfId="13254" xr:uid="{00000000-0005-0000-0000-000013A50000}"/>
    <cellStyle name="Normal 4 3 7 3 2 3 3 2" xfId="26822" xr:uid="{00000000-0005-0000-0000-000014A50000}"/>
    <cellStyle name="Normal 4 3 7 3 2 3 3 2 2" xfId="53955" xr:uid="{00000000-0005-0000-0000-000015A50000}"/>
    <cellStyle name="Normal 4 3 7 3 2 3 3 3" xfId="40393" xr:uid="{00000000-0005-0000-0000-000016A50000}"/>
    <cellStyle name="Normal 4 3 7 3 2 3 4" xfId="20041" xr:uid="{00000000-0005-0000-0000-000017A50000}"/>
    <cellStyle name="Normal 4 3 7 3 2 3 4 2" xfId="47174" xr:uid="{00000000-0005-0000-0000-000018A50000}"/>
    <cellStyle name="Normal 4 3 7 3 2 3 5" xfId="33612" xr:uid="{00000000-0005-0000-0000-000019A50000}"/>
    <cellStyle name="Normal 4 3 7 3 2 4" xfId="9851" xr:uid="{00000000-0005-0000-0000-00001AA50000}"/>
    <cellStyle name="Normal 4 3 7 3 2 4 2" xfId="16641" xr:uid="{00000000-0005-0000-0000-00001BA50000}"/>
    <cellStyle name="Normal 4 3 7 3 2 4 2 2" xfId="30209" xr:uid="{00000000-0005-0000-0000-00001CA50000}"/>
    <cellStyle name="Normal 4 3 7 3 2 4 2 2 2" xfId="57342" xr:uid="{00000000-0005-0000-0000-00001DA50000}"/>
    <cellStyle name="Normal 4 3 7 3 2 4 2 3" xfId="43780" xr:uid="{00000000-0005-0000-0000-00001EA50000}"/>
    <cellStyle name="Normal 4 3 7 3 2 4 3" xfId="23428" xr:uid="{00000000-0005-0000-0000-00001FA50000}"/>
    <cellStyle name="Normal 4 3 7 3 2 4 3 2" xfId="50561" xr:uid="{00000000-0005-0000-0000-000020A50000}"/>
    <cellStyle name="Normal 4 3 7 3 2 4 4" xfId="36999" xr:uid="{00000000-0005-0000-0000-000021A50000}"/>
    <cellStyle name="Normal 4 3 7 3 2 5" xfId="13252" xr:uid="{00000000-0005-0000-0000-000022A50000}"/>
    <cellStyle name="Normal 4 3 7 3 2 5 2" xfId="26820" xr:uid="{00000000-0005-0000-0000-000023A50000}"/>
    <cellStyle name="Normal 4 3 7 3 2 5 2 2" xfId="53953" xr:uid="{00000000-0005-0000-0000-000024A50000}"/>
    <cellStyle name="Normal 4 3 7 3 2 5 3" xfId="40391" xr:uid="{00000000-0005-0000-0000-000025A50000}"/>
    <cellStyle name="Normal 4 3 7 3 2 6" xfId="20039" xr:uid="{00000000-0005-0000-0000-000026A50000}"/>
    <cellStyle name="Normal 4 3 7 3 2 6 2" xfId="47172" xr:uid="{00000000-0005-0000-0000-000027A50000}"/>
    <cellStyle name="Normal 4 3 7 3 2 7" xfId="33610" xr:uid="{00000000-0005-0000-0000-000028A50000}"/>
    <cellStyle name="Normal 4 3 7 3 3" xfId="6321" xr:uid="{00000000-0005-0000-0000-000029A50000}"/>
    <cellStyle name="Normal 4 3 7 3 3 2" xfId="6322" xr:uid="{00000000-0005-0000-0000-00002AA50000}"/>
    <cellStyle name="Normal 4 3 7 3 3 2 2" xfId="9855" xr:uid="{00000000-0005-0000-0000-00002BA50000}"/>
    <cellStyle name="Normal 4 3 7 3 3 2 2 2" xfId="16645" xr:uid="{00000000-0005-0000-0000-00002CA50000}"/>
    <cellStyle name="Normal 4 3 7 3 3 2 2 2 2" xfId="30213" xr:uid="{00000000-0005-0000-0000-00002DA50000}"/>
    <cellStyle name="Normal 4 3 7 3 3 2 2 2 2 2" xfId="57346" xr:uid="{00000000-0005-0000-0000-00002EA50000}"/>
    <cellStyle name="Normal 4 3 7 3 3 2 2 2 3" xfId="43784" xr:uid="{00000000-0005-0000-0000-00002FA50000}"/>
    <cellStyle name="Normal 4 3 7 3 3 2 2 3" xfId="23432" xr:uid="{00000000-0005-0000-0000-000030A50000}"/>
    <cellStyle name="Normal 4 3 7 3 3 2 2 3 2" xfId="50565" xr:uid="{00000000-0005-0000-0000-000031A50000}"/>
    <cellStyle name="Normal 4 3 7 3 3 2 2 4" xfId="37003" xr:uid="{00000000-0005-0000-0000-000032A50000}"/>
    <cellStyle name="Normal 4 3 7 3 3 2 3" xfId="13256" xr:uid="{00000000-0005-0000-0000-000033A50000}"/>
    <cellStyle name="Normal 4 3 7 3 3 2 3 2" xfId="26824" xr:uid="{00000000-0005-0000-0000-000034A50000}"/>
    <cellStyle name="Normal 4 3 7 3 3 2 3 2 2" xfId="53957" xr:uid="{00000000-0005-0000-0000-000035A50000}"/>
    <cellStyle name="Normal 4 3 7 3 3 2 3 3" xfId="40395" xr:uid="{00000000-0005-0000-0000-000036A50000}"/>
    <cellStyle name="Normal 4 3 7 3 3 2 4" xfId="20043" xr:uid="{00000000-0005-0000-0000-000037A50000}"/>
    <cellStyle name="Normal 4 3 7 3 3 2 4 2" xfId="47176" xr:uid="{00000000-0005-0000-0000-000038A50000}"/>
    <cellStyle name="Normal 4 3 7 3 3 2 5" xfId="33614" xr:uid="{00000000-0005-0000-0000-000039A50000}"/>
    <cellStyle name="Normal 4 3 7 3 3 3" xfId="9854" xr:uid="{00000000-0005-0000-0000-00003AA50000}"/>
    <cellStyle name="Normal 4 3 7 3 3 3 2" xfId="16644" xr:uid="{00000000-0005-0000-0000-00003BA50000}"/>
    <cellStyle name="Normal 4 3 7 3 3 3 2 2" xfId="30212" xr:uid="{00000000-0005-0000-0000-00003CA50000}"/>
    <cellStyle name="Normal 4 3 7 3 3 3 2 2 2" xfId="57345" xr:uid="{00000000-0005-0000-0000-00003DA50000}"/>
    <cellStyle name="Normal 4 3 7 3 3 3 2 3" xfId="43783" xr:uid="{00000000-0005-0000-0000-00003EA50000}"/>
    <cellStyle name="Normal 4 3 7 3 3 3 3" xfId="23431" xr:uid="{00000000-0005-0000-0000-00003FA50000}"/>
    <cellStyle name="Normal 4 3 7 3 3 3 3 2" xfId="50564" xr:uid="{00000000-0005-0000-0000-000040A50000}"/>
    <cellStyle name="Normal 4 3 7 3 3 3 4" xfId="37002" xr:uid="{00000000-0005-0000-0000-000041A50000}"/>
    <cellStyle name="Normal 4 3 7 3 3 4" xfId="13255" xr:uid="{00000000-0005-0000-0000-000042A50000}"/>
    <cellStyle name="Normal 4 3 7 3 3 4 2" xfId="26823" xr:uid="{00000000-0005-0000-0000-000043A50000}"/>
    <cellStyle name="Normal 4 3 7 3 3 4 2 2" xfId="53956" xr:uid="{00000000-0005-0000-0000-000044A50000}"/>
    <cellStyle name="Normal 4 3 7 3 3 4 3" xfId="40394" xr:uid="{00000000-0005-0000-0000-000045A50000}"/>
    <cellStyle name="Normal 4 3 7 3 3 5" xfId="20042" xr:uid="{00000000-0005-0000-0000-000046A50000}"/>
    <cellStyle name="Normal 4 3 7 3 3 5 2" xfId="47175" xr:uid="{00000000-0005-0000-0000-000047A50000}"/>
    <cellStyle name="Normal 4 3 7 3 3 6" xfId="33613" xr:uid="{00000000-0005-0000-0000-000048A50000}"/>
    <cellStyle name="Normal 4 3 7 3 4" xfId="6323" xr:uid="{00000000-0005-0000-0000-000049A50000}"/>
    <cellStyle name="Normal 4 3 7 3 4 2" xfId="9856" xr:uid="{00000000-0005-0000-0000-00004AA50000}"/>
    <cellStyle name="Normal 4 3 7 3 4 2 2" xfId="16646" xr:uid="{00000000-0005-0000-0000-00004BA50000}"/>
    <cellStyle name="Normal 4 3 7 3 4 2 2 2" xfId="30214" xr:uid="{00000000-0005-0000-0000-00004CA50000}"/>
    <cellStyle name="Normal 4 3 7 3 4 2 2 2 2" xfId="57347" xr:uid="{00000000-0005-0000-0000-00004DA50000}"/>
    <cellStyle name="Normal 4 3 7 3 4 2 2 3" xfId="43785" xr:uid="{00000000-0005-0000-0000-00004EA50000}"/>
    <cellStyle name="Normal 4 3 7 3 4 2 3" xfId="23433" xr:uid="{00000000-0005-0000-0000-00004FA50000}"/>
    <cellStyle name="Normal 4 3 7 3 4 2 3 2" xfId="50566" xr:uid="{00000000-0005-0000-0000-000050A50000}"/>
    <cellStyle name="Normal 4 3 7 3 4 2 4" xfId="37004" xr:uid="{00000000-0005-0000-0000-000051A50000}"/>
    <cellStyle name="Normal 4 3 7 3 4 3" xfId="13257" xr:uid="{00000000-0005-0000-0000-000052A50000}"/>
    <cellStyle name="Normal 4 3 7 3 4 3 2" xfId="26825" xr:uid="{00000000-0005-0000-0000-000053A50000}"/>
    <cellStyle name="Normal 4 3 7 3 4 3 2 2" xfId="53958" xr:uid="{00000000-0005-0000-0000-000054A50000}"/>
    <cellStyle name="Normal 4 3 7 3 4 3 3" xfId="40396" xr:uid="{00000000-0005-0000-0000-000055A50000}"/>
    <cellStyle name="Normal 4 3 7 3 4 4" xfId="20044" xr:uid="{00000000-0005-0000-0000-000056A50000}"/>
    <cellStyle name="Normal 4 3 7 3 4 4 2" xfId="47177" xr:uid="{00000000-0005-0000-0000-000057A50000}"/>
    <cellStyle name="Normal 4 3 7 3 4 5" xfId="33615" xr:uid="{00000000-0005-0000-0000-000058A50000}"/>
    <cellStyle name="Normal 4 3 7 3 5" xfId="6324" xr:uid="{00000000-0005-0000-0000-000059A50000}"/>
    <cellStyle name="Normal 4 3 7 3 5 2" xfId="9857" xr:uid="{00000000-0005-0000-0000-00005AA50000}"/>
    <cellStyle name="Normal 4 3 7 3 5 2 2" xfId="16647" xr:uid="{00000000-0005-0000-0000-00005BA50000}"/>
    <cellStyle name="Normal 4 3 7 3 5 2 2 2" xfId="30215" xr:uid="{00000000-0005-0000-0000-00005CA50000}"/>
    <cellStyle name="Normal 4 3 7 3 5 2 2 2 2" xfId="57348" xr:uid="{00000000-0005-0000-0000-00005DA50000}"/>
    <cellStyle name="Normal 4 3 7 3 5 2 2 3" xfId="43786" xr:uid="{00000000-0005-0000-0000-00005EA50000}"/>
    <cellStyle name="Normal 4 3 7 3 5 2 3" xfId="23434" xr:uid="{00000000-0005-0000-0000-00005FA50000}"/>
    <cellStyle name="Normal 4 3 7 3 5 2 3 2" xfId="50567" xr:uid="{00000000-0005-0000-0000-000060A50000}"/>
    <cellStyle name="Normal 4 3 7 3 5 2 4" xfId="37005" xr:uid="{00000000-0005-0000-0000-000061A50000}"/>
    <cellStyle name="Normal 4 3 7 3 5 3" xfId="13258" xr:uid="{00000000-0005-0000-0000-000062A50000}"/>
    <cellStyle name="Normal 4 3 7 3 5 3 2" xfId="26826" xr:uid="{00000000-0005-0000-0000-000063A50000}"/>
    <cellStyle name="Normal 4 3 7 3 5 3 2 2" xfId="53959" xr:uid="{00000000-0005-0000-0000-000064A50000}"/>
    <cellStyle name="Normal 4 3 7 3 5 3 3" xfId="40397" xr:uid="{00000000-0005-0000-0000-000065A50000}"/>
    <cellStyle name="Normal 4 3 7 3 5 4" xfId="20045" xr:uid="{00000000-0005-0000-0000-000066A50000}"/>
    <cellStyle name="Normal 4 3 7 3 5 4 2" xfId="47178" xr:uid="{00000000-0005-0000-0000-000067A50000}"/>
    <cellStyle name="Normal 4 3 7 3 5 5" xfId="33616" xr:uid="{00000000-0005-0000-0000-000068A50000}"/>
    <cellStyle name="Normal 4 3 7 3 6" xfId="9850" xr:uid="{00000000-0005-0000-0000-000069A50000}"/>
    <cellStyle name="Normal 4 3 7 3 6 2" xfId="16640" xr:uid="{00000000-0005-0000-0000-00006AA50000}"/>
    <cellStyle name="Normal 4 3 7 3 6 2 2" xfId="30208" xr:uid="{00000000-0005-0000-0000-00006BA50000}"/>
    <cellStyle name="Normal 4 3 7 3 6 2 2 2" xfId="57341" xr:uid="{00000000-0005-0000-0000-00006CA50000}"/>
    <cellStyle name="Normal 4 3 7 3 6 2 3" xfId="43779" xr:uid="{00000000-0005-0000-0000-00006DA50000}"/>
    <cellStyle name="Normal 4 3 7 3 6 3" xfId="23427" xr:uid="{00000000-0005-0000-0000-00006EA50000}"/>
    <cellStyle name="Normal 4 3 7 3 6 3 2" xfId="50560" xr:uid="{00000000-0005-0000-0000-00006FA50000}"/>
    <cellStyle name="Normal 4 3 7 3 6 4" xfId="36998" xr:uid="{00000000-0005-0000-0000-000070A50000}"/>
    <cellStyle name="Normal 4 3 7 3 7" xfId="13251" xr:uid="{00000000-0005-0000-0000-000071A50000}"/>
    <cellStyle name="Normal 4 3 7 3 7 2" xfId="26819" xr:uid="{00000000-0005-0000-0000-000072A50000}"/>
    <cellStyle name="Normal 4 3 7 3 7 2 2" xfId="53952" xr:uid="{00000000-0005-0000-0000-000073A50000}"/>
    <cellStyle name="Normal 4 3 7 3 7 3" xfId="40390" xr:uid="{00000000-0005-0000-0000-000074A50000}"/>
    <cellStyle name="Normal 4 3 7 3 8" xfId="20038" xr:uid="{00000000-0005-0000-0000-000075A50000}"/>
    <cellStyle name="Normal 4 3 7 3 8 2" xfId="47171" xr:uid="{00000000-0005-0000-0000-000076A50000}"/>
    <cellStyle name="Normal 4 3 7 3 9" xfId="33609" xr:uid="{00000000-0005-0000-0000-000077A50000}"/>
    <cellStyle name="Normal 4 3 7 4" xfId="6325" xr:uid="{00000000-0005-0000-0000-000078A50000}"/>
    <cellStyle name="Normal 4 3 7 4 2" xfId="6326" xr:uid="{00000000-0005-0000-0000-000079A50000}"/>
    <cellStyle name="Normal 4 3 7 4 2 2" xfId="6327" xr:uid="{00000000-0005-0000-0000-00007AA50000}"/>
    <cellStyle name="Normal 4 3 7 4 2 2 2" xfId="9860" xr:uid="{00000000-0005-0000-0000-00007BA50000}"/>
    <cellStyle name="Normal 4 3 7 4 2 2 2 2" xfId="16650" xr:uid="{00000000-0005-0000-0000-00007CA50000}"/>
    <cellStyle name="Normal 4 3 7 4 2 2 2 2 2" xfId="30218" xr:uid="{00000000-0005-0000-0000-00007DA50000}"/>
    <cellStyle name="Normal 4 3 7 4 2 2 2 2 2 2" xfId="57351" xr:uid="{00000000-0005-0000-0000-00007EA50000}"/>
    <cellStyle name="Normal 4 3 7 4 2 2 2 2 3" xfId="43789" xr:uid="{00000000-0005-0000-0000-00007FA50000}"/>
    <cellStyle name="Normal 4 3 7 4 2 2 2 3" xfId="23437" xr:uid="{00000000-0005-0000-0000-000080A50000}"/>
    <cellStyle name="Normal 4 3 7 4 2 2 2 3 2" xfId="50570" xr:uid="{00000000-0005-0000-0000-000081A50000}"/>
    <cellStyle name="Normal 4 3 7 4 2 2 2 4" xfId="37008" xr:uid="{00000000-0005-0000-0000-000082A50000}"/>
    <cellStyle name="Normal 4 3 7 4 2 2 3" xfId="13261" xr:uid="{00000000-0005-0000-0000-000083A50000}"/>
    <cellStyle name="Normal 4 3 7 4 2 2 3 2" xfId="26829" xr:uid="{00000000-0005-0000-0000-000084A50000}"/>
    <cellStyle name="Normal 4 3 7 4 2 2 3 2 2" xfId="53962" xr:uid="{00000000-0005-0000-0000-000085A50000}"/>
    <cellStyle name="Normal 4 3 7 4 2 2 3 3" xfId="40400" xr:uid="{00000000-0005-0000-0000-000086A50000}"/>
    <cellStyle name="Normal 4 3 7 4 2 2 4" xfId="20048" xr:uid="{00000000-0005-0000-0000-000087A50000}"/>
    <cellStyle name="Normal 4 3 7 4 2 2 4 2" xfId="47181" xr:uid="{00000000-0005-0000-0000-000088A50000}"/>
    <cellStyle name="Normal 4 3 7 4 2 2 5" xfId="33619" xr:uid="{00000000-0005-0000-0000-000089A50000}"/>
    <cellStyle name="Normal 4 3 7 4 2 3" xfId="6328" xr:uid="{00000000-0005-0000-0000-00008AA50000}"/>
    <cellStyle name="Normal 4 3 7 4 2 3 2" xfId="9861" xr:uid="{00000000-0005-0000-0000-00008BA50000}"/>
    <cellStyle name="Normal 4 3 7 4 2 3 2 2" xfId="16651" xr:uid="{00000000-0005-0000-0000-00008CA50000}"/>
    <cellStyle name="Normal 4 3 7 4 2 3 2 2 2" xfId="30219" xr:uid="{00000000-0005-0000-0000-00008DA50000}"/>
    <cellStyle name="Normal 4 3 7 4 2 3 2 2 2 2" xfId="57352" xr:uid="{00000000-0005-0000-0000-00008EA50000}"/>
    <cellStyle name="Normal 4 3 7 4 2 3 2 2 3" xfId="43790" xr:uid="{00000000-0005-0000-0000-00008FA50000}"/>
    <cellStyle name="Normal 4 3 7 4 2 3 2 3" xfId="23438" xr:uid="{00000000-0005-0000-0000-000090A50000}"/>
    <cellStyle name="Normal 4 3 7 4 2 3 2 3 2" xfId="50571" xr:uid="{00000000-0005-0000-0000-000091A50000}"/>
    <cellStyle name="Normal 4 3 7 4 2 3 2 4" xfId="37009" xr:uid="{00000000-0005-0000-0000-000092A50000}"/>
    <cellStyle name="Normal 4 3 7 4 2 3 3" xfId="13262" xr:uid="{00000000-0005-0000-0000-000093A50000}"/>
    <cellStyle name="Normal 4 3 7 4 2 3 3 2" xfId="26830" xr:uid="{00000000-0005-0000-0000-000094A50000}"/>
    <cellStyle name="Normal 4 3 7 4 2 3 3 2 2" xfId="53963" xr:uid="{00000000-0005-0000-0000-000095A50000}"/>
    <cellStyle name="Normal 4 3 7 4 2 3 3 3" xfId="40401" xr:uid="{00000000-0005-0000-0000-000096A50000}"/>
    <cellStyle name="Normal 4 3 7 4 2 3 4" xfId="20049" xr:uid="{00000000-0005-0000-0000-000097A50000}"/>
    <cellStyle name="Normal 4 3 7 4 2 3 4 2" xfId="47182" xr:uid="{00000000-0005-0000-0000-000098A50000}"/>
    <cellStyle name="Normal 4 3 7 4 2 3 5" xfId="33620" xr:uid="{00000000-0005-0000-0000-000099A50000}"/>
    <cellStyle name="Normal 4 3 7 4 2 4" xfId="9859" xr:uid="{00000000-0005-0000-0000-00009AA50000}"/>
    <cellStyle name="Normal 4 3 7 4 2 4 2" xfId="16649" xr:uid="{00000000-0005-0000-0000-00009BA50000}"/>
    <cellStyle name="Normal 4 3 7 4 2 4 2 2" xfId="30217" xr:uid="{00000000-0005-0000-0000-00009CA50000}"/>
    <cellStyle name="Normal 4 3 7 4 2 4 2 2 2" xfId="57350" xr:uid="{00000000-0005-0000-0000-00009DA50000}"/>
    <cellStyle name="Normal 4 3 7 4 2 4 2 3" xfId="43788" xr:uid="{00000000-0005-0000-0000-00009EA50000}"/>
    <cellStyle name="Normal 4 3 7 4 2 4 3" xfId="23436" xr:uid="{00000000-0005-0000-0000-00009FA50000}"/>
    <cellStyle name="Normal 4 3 7 4 2 4 3 2" xfId="50569" xr:uid="{00000000-0005-0000-0000-0000A0A50000}"/>
    <cellStyle name="Normal 4 3 7 4 2 4 4" xfId="37007" xr:uid="{00000000-0005-0000-0000-0000A1A50000}"/>
    <cellStyle name="Normal 4 3 7 4 2 5" xfId="13260" xr:uid="{00000000-0005-0000-0000-0000A2A50000}"/>
    <cellStyle name="Normal 4 3 7 4 2 5 2" xfId="26828" xr:uid="{00000000-0005-0000-0000-0000A3A50000}"/>
    <cellStyle name="Normal 4 3 7 4 2 5 2 2" xfId="53961" xr:uid="{00000000-0005-0000-0000-0000A4A50000}"/>
    <cellStyle name="Normal 4 3 7 4 2 5 3" xfId="40399" xr:uid="{00000000-0005-0000-0000-0000A5A50000}"/>
    <cellStyle name="Normal 4 3 7 4 2 6" xfId="20047" xr:uid="{00000000-0005-0000-0000-0000A6A50000}"/>
    <cellStyle name="Normal 4 3 7 4 2 6 2" xfId="47180" xr:uid="{00000000-0005-0000-0000-0000A7A50000}"/>
    <cellStyle name="Normal 4 3 7 4 2 7" xfId="33618" xr:uid="{00000000-0005-0000-0000-0000A8A50000}"/>
    <cellStyle name="Normal 4 3 7 4 3" xfId="6329" xr:uid="{00000000-0005-0000-0000-0000A9A50000}"/>
    <cellStyle name="Normal 4 3 7 4 3 2" xfId="9862" xr:uid="{00000000-0005-0000-0000-0000AAA50000}"/>
    <cellStyle name="Normal 4 3 7 4 3 2 2" xfId="16652" xr:uid="{00000000-0005-0000-0000-0000ABA50000}"/>
    <cellStyle name="Normal 4 3 7 4 3 2 2 2" xfId="30220" xr:uid="{00000000-0005-0000-0000-0000ACA50000}"/>
    <cellStyle name="Normal 4 3 7 4 3 2 2 2 2" xfId="57353" xr:uid="{00000000-0005-0000-0000-0000ADA50000}"/>
    <cellStyle name="Normal 4 3 7 4 3 2 2 3" xfId="43791" xr:uid="{00000000-0005-0000-0000-0000AEA50000}"/>
    <cellStyle name="Normal 4 3 7 4 3 2 3" xfId="23439" xr:uid="{00000000-0005-0000-0000-0000AFA50000}"/>
    <cellStyle name="Normal 4 3 7 4 3 2 3 2" xfId="50572" xr:uid="{00000000-0005-0000-0000-0000B0A50000}"/>
    <cellStyle name="Normal 4 3 7 4 3 2 4" xfId="37010" xr:uid="{00000000-0005-0000-0000-0000B1A50000}"/>
    <cellStyle name="Normal 4 3 7 4 3 3" xfId="13263" xr:uid="{00000000-0005-0000-0000-0000B2A50000}"/>
    <cellStyle name="Normal 4 3 7 4 3 3 2" xfId="26831" xr:uid="{00000000-0005-0000-0000-0000B3A50000}"/>
    <cellStyle name="Normal 4 3 7 4 3 3 2 2" xfId="53964" xr:uid="{00000000-0005-0000-0000-0000B4A50000}"/>
    <cellStyle name="Normal 4 3 7 4 3 3 3" xfId="40402" xr:uid="{00000000-0005-0000-0000-0000B5A50000}"/>
    <cellStyle name="Normal 4 3 7 4 3 4" xfId="20050" xr:uid="{00000000-0005-0000-0000-0000B6A50000}"/>
    <cellStyle name="Normal 4 3 7 4 3 4 2" xfId="47183" xr:uid="{00000000-0005-0000-0000-0000B7A50000}"/>
    <cellStyle name="Normal 4 3 7 4 3 5" xfId="33621" xr:uid="{00000000-0005-0000-0000-0000B8A50000}"/>
    <cellStyle name="Normal 4 3 7 4 4" xfId="6330" xr:uid="{00000000-0005-0000-0000-0000B9A50000}"/>
    <cellStyle name="Normal 4 3 7 4 4 2" xfId="9863" xr:uid="{00000000-0005-0000-0000-0000BAA50000}"/>
    <cellStyle name="Normal 4 3 7 4 4 2 2" xfId="16653" xr:uid="{00000000-0005-0000-0000-0000BBA50000}"/>
    <cellStyle name="Normal 4 3 7 4 4 2 2 2" xfId="30221" xr:uid="{00000000-0005-0000-0000-0000BCA50000}"/>
    <cellStyle name="Normal 4 3 7 4 4 2 2 2 2" xfId="57354" xr:uid="{00000000-0005-0000-0000-0000BDA50000}"/>
    <cellStyle name="Normal 4 3 7 4 4 2 2 3" xfId="43792" xr:uid="{00000000-0005-0000-0000-0000BEA50000}"/>
    <cellStyle name="Normal 4 3 7 4 4 2 3" xfId="23440" xr:uid="{00000000-0005-0000-0000-0000BFA50000}"/>
    <cellStyle name="Normal 4 3 7 4 4 2 3 2" xfId="50573" xr:uid="{00000000-0005-0000-0000-0000C0A50000}"/>
    <cellStyle name="Normal 4 3 7 4 4 2 4" xfId="37011" xr:uid="{00000000-0005-0000-0000-0000C1A50000}"/>
    <cellStyle name="Normal 4 3 7 4 4 3" xfId="13264" xr:uid="{00000000-0005-0000-0000-0000C2A50000}"/>
    <cellStyle name="Normal 4 3 7 4 4 3 2" xfId="26832" xr:uid="{00000000-0005-0000-0000-0000C3A50000}"/>
    <cellStyle name="Normal 4 3 7 4 4 3 2 2" xfId="53965" xr:uid="{00000000-0005-0000-0000-0000C4A50000}"/>
    <cellStyle name="Normal 4 3 7 4 4 3 3" xfId="40403" xr:uid="{00000000-0005-0000-0000-0000C5A50000}"/>
    <cellStyle name="Normal 4 3 7 4 4 4" xfId="20051" xr:uid="{00000000-0005-0000-0000-0000C6A50000}"/>
    <cellStyle name="Normal 4 3 7 4 4 4 2" xfId="47184" xr:uid="{00000000-0005-0000-0000-0000C7A50000}"/>
    <cellStyle name="Normal 4 3 7 4 4 5" xfId="33622" xr:uid="{00000000-0005-0000-0000-0000C8A50000}"/>
    <cellStyle name="Normal 4 3 7 4 5" xfId="9858" xr:uid="{00000000-0005-0000-0000-0000C9A50000}"/>
    <cellStyle name="Normal 4 3 7 4 5 2" xfId="16648" xr:uid="{00000000-0005-0000-0000-0000CAA50000}"/>
    <cellStyle name="Normal 4 3 7 4 5 2 2" xfId="30216" xr:uid="{00000000-0005-0000-0000-0000CBA50000}"/>
    <cellStyle name="Normal 4 3 7 4 5 2 2 2" xfId="57349" xr:uid="{00000000-0005-0000-0000-0000CCA50000}"/>
    <cellStyle name="Normal 4 3 7 4 5 2 3" xfId="43787" xr:uid="{00000000-0005-0000-0000-0000CDA50000}"/>
    <cellStyle name="Normal 4 3 7 4 5 3" xfId="23435" xr:uid="{00000000-0005-0000-0000-0000CEA50000}"/>
    <cellStyle name="Normal 4 3 7 4 5 3 2" xfId="50568" xr:uid="{00000000-0005-0000-0000-0000CFA50000}"/>
    <cellStyle name="Normal 4 3 7 4 5 4" xfId="37006" xr:uid="{00000000-0005-0000-0000-0000D0A50000}"/>
    <cellStyle name="Normal 4 3 7 4 6" xfId="13259" xr:uid="{00000000-0005-0000-0000-0000D1A50000}"/>
    <cellStyle name="Normal 4 3 7 4 6 2" xfId="26827" xr:uid="{00000000-0005-0000-0000-0000D2A50000}"/>
    <cellStyle name="Normal 4 3 7 4 6 2 2" xfId="53960" xr:uid="{00000000-0005-0000-0000-0000D3A50000}"/>
    <cellStyle name="Normal 4 3 7 4 6 3" xfId="40398" xr:uid="{00000000-0005-0000-0000-0000D4A50000}"/>
    <cellStyle name="Normal 4 3 7 4 7" xfId="20046" xr:uid="{00000000-0005-0000-0000-0000D5A50000}"/>
    <cellStyle name="Normal 4 3 7 4 7 2" xfId="47179" xr:uid="{00000000-0005-0000-0000-0000D6A50000}"/>
    <cellStyle name="Normal 4 3 7 4 8" xfId="33617" xr:uid="{00000000-0005-0000-0000-0000D7A50000}"/>
    <cellStyle name="Normal 4 3 7 5" xfId="6331" xr:uid="{00000000-0005-0000-0000-0000D8A50000}"/>
    <cellStyle name="Normal 4 3 7 5 2" xfId="6332" xr:uid="{00000000-0005-0000-0000-0000D9A50000}"/>
    <cellStyle name="Normal 4 3 7 5 2 2" xfId="6333" xr:uid="{00000000-0005-0000-0000-0000DAA50000}"/>
    <cellStyle name="Normal 4 3 7 5 2 2 2" xfId="9866" xr:uid="{00000000-0005-0000-0000-0000DBA50000}"/>
    <cellStyle name="Normal 4 3 7 5 2 2 2 2" xfId="16656" xr:uid="{00000000-0005-0000-0000-0000DCA50000}"/>
    <cellStyle name="Normal 4 3 7 5 2 2 2 2 2" xfId="30224" xr:uid="{00000000-0005-0000-0000-0000DDA50000}"/>
    <cellStyle name="Normal 4 3 7 5 2 2 2 2 2 2" xfId="57357" xr:uid="{00000000-0005-0000-0000-0000DEA50000}"/>
    <cellStyle name="Normal 4 3 7 5 2 2 2 2 3" xfId="43795" xr:uid="{00000000-0005-0000-0000-0000DFA50000}"/>
    <cellStyle name="Normal 4 3 7 5 2 2 2 3" xfId="23443" xr:uid="{00000000-0005-0000-0000-0000E0A50000}"/>
    <cellStyle name="Normal 4 3 7 5 2 2 2 3 2" xfId="50576" xr:uid="{00000000-0005-0000-0000-0000E1A50000}"/>
    <cellStyle name="Normal 4 3 7 5 2 2 2 4" xfId="37014" xr:uid="{00000000-0005-0000-0000-0000E2A50000}"/>
    <cellStyle name="Normal 4 3 7 5 2 2 3" xfId="13267" xr:uid="{00000000-0005-0000-0000-0000E3A50000}"/>
    <cellStyle name="Normal 4 3 7 5 2 2 3 2" xfId="26835" xr:uid="{00000000-0005-0000-0000-0000E4A50000}"/>
    <cellStyle name="Normal 4 3 7 5 2 2 3 2 2" xfId="53968" xr:uid="{00000000-0005-0000-0000-0000E5A50000}"/>
    <cellStyle name="Normal 4 3 7 5 2 2 3 3" xfId="40406" xr:uid="{00000000-0005-0000-0000-0000E6A50000}"/>
    <cellStyle name="Normal 4 3 7 5 2 2 4" xfId="20054" xr:uid="{00000000-0005-0000-0000-0000E7A50000}"/>
    <cellStyle name="Normal 4 3 7 5 2 2 4 2" xfId="47187" xr:uid="{00000000-0005-0000-0000-0000E8A50000}"/>
    <cellStyle name="Normal 4 3 7 5 2 2 5" xfId="33625" xr:uid="{00000000-0005-0000-0000-0000E9A50000}"/>
    <cellStyle name="Normal 4 3 7 5 2 3" xfId="6334" xr:uid="{00000000-0005-0000-0000-0000EAA50000}"/>
    <cellStyle name="Normal 4 3 7 5 2 3 2" xfId="9867" xr:uid="{00000000-0005-0000-0000-0000EBA50000}"/>
    <cellStyle name="Normal 4 3 7 5 2 3 2 2" xfId="16657" xr:uid="{00000000-0005-0000-0000-0000ECA50000}"/>
    <cellStyle name="Normal 4 3 7 5 2 3 2 2 2" xfId="30225" xr:uid="{00000000-0005-0000-0000-0000EDA50000}"/>
    <cellStyle name="Normal 4 3 7 5 2 3 2 2 2 2" xfId="57358" xr:uid="{00000000-0005-0000-0000-0000EEA50000}"/>
    <cellStyle name="Normal 4 3 7 5 2 3 2 2 3" xfId="43796" xr:uid="{00000000-0005-0000-0000-0000EFA50000}"/>
    <cellStyle name="Normal 4 3 7 5 2 3 2 3" xfId="23444" xr:uid="{00000000-0005-0000-0000-0000F0A50000}"/>
    <cellStyle name="Normal 4 3 7 5 2 3 2 3 2" xfId="50577" xr:uid="{00000000-0005-0000-0000-0000F1A50000}"/>
    <cellStyle name="Normal 4 3 7 5 2 3 2 4" xfId="37015" xr:uid="{00000000-0005-0000-0000-0000F2A50000}"/>
    <cellStyle name="Normal 4 3 7 5 2 3 3" xfId="13268" xr:uid="{00000000-0005-0000-0000-0000F3A50000}"/>
    <cellStyle name="Normal 4 3 7 5 2 3 3 2" xfId="26836" xr:uid="{00000000-0005-0000-0000-0000F4A50000}"/>
    <cellStyle name="Normal 4 3 7 5 2 3 3 2 2" xfId="53969" xr:uid="{00000000-0005-0000-0000-0000F5A50000}"/>
    <cellStyle name="Normal 4 3 7 5 2 3 3 3" xfId="40407" xr:uid="{00000000-0005-0000-0000-0000F6A50000}"/>
    <cellStyle name="Normal 4 3 7 5 2 3 4" xfId="20055" xr:uid="{00000000-0005-0000-0000-0000F7A50000}"/>
    <cellStyle name="Normal 4 3 7 5 2 3 4 2" xfId="47188" xr:uid="{00000000-0005-0000-0000-0000F8A50000}"/>
    <cellStyle name="Normal 4 3 7 5 2 3 5" xfId="33626" xr:uid="{00000000-0005-0000-0000-0000F9A50000}"/>
    <cellStyle name="Normal 4 3 7 5 2 4" xfId="9865" xr:uid="{00000000-0005-0000-0000-0000FAA50000}"/>
    <cellStyle name="Normal 4 3 7 5 2 4 2" xfId="16655" xr:uid="{00000000-0005-0000-0000-0000FBA50000}"/>
    <cellStyle name="Normal 4 3 7 5 2 4 2 2" xfId="30223" xr:uid="{00000000-0005-0000-0000-0000FCA50000}"/>
    <cellStyle name="Normal 4 3 7 5 2 4 2 2 2" xfId="57356" xr:uid="{00000000-0005-0000-0000-0000FDA50000}"/>
    <cellStyle name="Normal 4 3 7 5 2 4 2 3" xfId="43794" xr:uid="{00000000-0005-0000-0000-0000FEA50000}"/>
    <cellStyle name="Normal 4 3 7 5 2 4 3" xfId="23442" xr:uid="{00000000-0005-0000-0000-0000FFA50000}"/>
    <cellStyle name="Normal 4 3 7 5 2 4 3 2" xfId="50575" xr:uid="{00000000-0005-0000-0000-000000A60000}"/>
    <cellStyle name="Normal 4 3 7 5 2 4 4" xfId="37013" xr:uid="{00000000-0005-0000-0000-000001A60000}"/>
    <cellStyle name="Normal 4 3 7 5 2 5" xfId="13266" xr:uid="{00000000-0005-0000-0000-000002A60000}"/>
    <cellStyle name="Normal 4 3 7 5 2 5 2" xfId="26834" xr:uid="{00000000-0005-0000-0000-000003A60000}"/>
    <cellStyle name="Normal 4 3 7 5 2 5 2 2" xfId="53967" xr:uid="{00000000-0005-0000-0000-000004A60000}"/>
    <cellStyle name="Normal 4 3 7 5 2 5 3" xfId="40405" xr:uid="{00000000-0005-0000-0000-000005A60000}"/>
    <cellStyle name="Normal 4 3 7 5 2 6" xfId="20053" xr:uid="{00000000-0005-0000-0000-000006A60000}"/>
    <cellStyle name="Normal 4 3 7 5 2 6 2" xfId="47186" xr:uid="{00000000-0005-0000-0000-000007A60000}"/>
    <cellStyle name="Normal 4 3 7 5 2 7" xfId="33624" xr:uid="{00000000-0005-0000-0000-000008A60000}"/>
    <cellStyle name="Normal 4 3 7 5 3" xfId="6335" xr:uid="{00000000-0005-0000-0000-000009A60000}"/>
    <cellStyle name="Normal 4 3 7 5 3 2" xfId="9868" xr:uid="{00000000-0005-0000-0000-00000AA60000}"/>
    <cellStyle name="Normal 4 3 7 5 3 2 2" xfId="16658" xr:uid="{00000000-0005-0000-0000-00000BA60000}"/>
    <cellStyle name="Normal 4 3 7 5 3 2 2 2" xfId="30226" xr:uid="{00000000-0005-0000-0000-00000CA60000}"/>
    <cellStyle name="Normal 4 3 7 5 3 2 2 2 2" xfId="57359" xr:uid="{00000000-0005-0000-0000-00000DA60000}"/>
    <cellStyle name="Normal 4 3 7 5 3 2 2 3" xfId="43797" xr:uid="{00000000-0005-0000-0000-00000EA60000}"/>
    <cellStyle name="Normal 4 3 7 5 3 2 3" xfId="23445" xr:uid="{00000000-0005-0000-0000-00000FA60000}"/>
    <cellStyle name="Normal 4 3 7 5 3 2 3 2" xfId="50578" xr:uid="{00000000-0005-0000-0000-000010A60000}"/>
    <cellStyle name="Normal 4 3 7 5 3 2 4" xfId="37016" xr:uid="{00000000-0005-0000-0000-000011A60000}"/>
    <cellStyle name="Normal 4 3 7 5 3 3" xfId="13269" xr:uid="{00000000-0005-0000-0000-000012A60000}"/>
    <cellStyle name="Normal 4 3 7 5 3 3 2" xfId="26837" xr:uid="{00000000-0005-0000-0000-000013A60000}"/>
    <cellStyle name="Normal 4 3 7 5 3 3 2 2" xfId="53970" xr:uid="{00000000-0005-0000-0000-000014A60000}"/>
    <cellStyle name="Normal 4 3 7 5 3 3 3" xfId="40408" xr:uid="{00000000-0005-0000-0000-000015A60000}"/>
    <cellStyle name="Normal 4 3 7 5 3 4" xfId="20056" xr:uid="{00000000-0005-0000-0000-000016A60000}"/>
    <cellStyle name="Normal 4 3 7 5 3 4 2" xfId="47189" xr:uid="{00000000-0005-0000-0000-000017A60000}"/>
    <cellStyle name="Normal 4 3 7 5 3 5" xfId="33627" xr:uid="{00000000-0005-0000-0000-000018A60000}"/>
    <cellStyle name="Normal 4 3 7 5 4" xfId="6336" xr:uid="{00000000-0005-0000-0000-000019A60000}"/>
    <cellStyle name="Normal 4 3 7 5 4 2" xfId="9869" xr:uid="{00000000-0005-0000-0000-00001AA60000}"/>
    <cellStyle name="Normal 4 3 7 5 4 2 2" xfId="16659" xr:uid="{00000000-0005-0000-0000-00001BA60000}"/>
    <cellStyle name="Normal 4 3 7 5 4 2 2 2" xfId="30227" xr:uid="{00000000-0005-0000-0000-00001CA60000}"/>
    <cellStyle name="Normal 4 3 7 5 4 2 2 2 2" xfId="57360" xr:uid="{00000000-0005-0000-0000-00001DA60000}"/>
    <cellStyle name="Normal 4 3 7 5 4 2 2 3" xfId="43798" xr:uid="{00000000-0005-0000-0000-00001EA60000}"/>
    <cellStyle name="Normal 4 3 7 5 4 2 3" xfId="23446" xr:uid="{00000000-0005-0000-0000-00001FA60000}"/>
    <cellStyle name="Normal 4 3 7 5 4 2 3 2" xfId="50579" xr:uid="{00000000-0005-0000-0000-000020A60000}"/>
    <cellStyle name="Normal 4 3 7 5 4 2 4" xfId="37017" xr:uid="{00000000-0005-0000-0000-000021A60000}"/>
    <cellStyle name="Normal 4 3 7 5 4 3" xfId="13270" xr:uid="{00000000-0005-0000-0000-000022A60000}"/>
    <cellStyle name="Normal 4 3 7 5 4 3 2" xfId="26838" xr:uid="{00000000-0005-0000-0000-000023A60000}"/>
    <cellStyle name="Normal 4 3 7 5 4 3 2 2" xfId="53971" xr:uid="{00000000-0005-0000-0000-000024A60000}"/>
    <cellStyle name="Normal 4 3 7 5 4 3 3" xfId="40409" xr:uid="{00000000-0005-0000-0000-000025A60000}"/>
    <cellStyle name="Normal 4 3 7 5 4 4" xfId="20057" xr:uid="{00000000-0005-0000-0000-000026A60000}"/>
    <cellStyle name="Normal 4 3 7 5 4 4 2" xfId="47190" xr:uid="{00000000-0005-0000-0000-000027A60000}"/>
    <cellStyle name="Normal 4 3 7 5 4 5" xfId="33628" xr:uid="{00000000-0005-0000-0000-000028A60000}"/>
    <cellStyle name="Normal 4 3 7 5 5" xfId="9864" xr:uid="{00000000-0005-0000-0000-000029A60000}"/>
    <cellStyle name="Normal 4 3 7 5 5 2" xfId="16654" xr:uid="{00000000-0005-0000-0000-00002AA60000}"/>
    <cellStyle name="Normal 4 3 7 5 5 2 2" xfId="30222" xr:uid="{00000000-0005-0000-0000-00002BA60000}"/>
    <cellStyle name="Normal 4 3 7 5 5 2 2 2" xfId="57355" xr:uid="{00000000-0005-0000-0000-00002CA60000}"/>
    <cellStyle name="Normal 4 3 7 5 5 2 3" xfId="43793" xr:uid="{00000000-0005-0000-0000-00002DA60000}"/>
    <cellStyle name="Normal 4 3 7 5 5 3" xfId="23441" xr:uid="{00000000-0005-0000-0000-00002EA60000}"/>
    <cellStyle name="Normal 4 3 7 5 5 3 2" xfId="50574" xr:uid="{00000000-0005-0000-0000-00002FA60000}"/>
    <cellStyle name="Normal 4 3 7 5 5 4" xfId="37012" xr:uid="{00000000-0005-0000-0000-000030A60000}"/>
    <cellStyle name="Normal 4 3 7 5 6" xfId="13265" xr:uid="{00000000-0005-0000-0000-000031A60000}"/>
    <cellStyle name="Normal 4 3 7 5 6 2" xfId="26833" xr:uid="{00000000-0005-0000-0000-000032A60000}"/>
    <cellStyle name="Normal 4 3 7 5 6 2 2" xfId="53966" xr:uid="{00000000-0005-0000-0000-000033A60000}"/>
    <cellStyle name="Normal 4 3 7 5 6 3" xfId="40404" xr:uid="{00000000-0005-0000-0000-000034A60000}"/>
    <cellStyle name="Normal 4 3 7 5 7" xfId="20052" xr:uid="{00000000-0005-0000-0000-000035A60000}"/>
    <cellStyle name="Normal 4 3 7 5 7 2" xfId="47185" xr:uid="{00000000-0005-0000-0000-000036A60000}"/>
    <cellStyle name="Normal 4 3 7 5 8" xfId="33623" xr:uid="{00000000-0005-0000-0000-000037A60000}"/>
    <cellStyle name="Normal 4 3 7 6" xfId="6337" xr:uid="{00000000-0005-0000-0000-000038A60000}"/>
    <cellStyle name="Normal 4 3 7 6 2" xfId="6338" xr:uid="{00000000-0005-0000-0000-000039A60000}"/>
    <cellStyle name="Normal 4 3 7 6 2 2" xfId="9871" xr:uid="{00000000-0005-0000-0000-00003AA60000}"/>
    <cellStyle name="Normal 4 3 7 6 2 2 2" xfId="16661" xr:uid="{00000000-0005-0000-0000-00003BA60000}"/>
    <cellStyle name="Normal 4 3 7 6 2 2 2 2" xfId="30229" xr:uid="{00000000-0005-0000-0000-00003CA60000}"/>
    <cellStyle name="Normal 4 3 7 6 2 2 2 2 2" xfId="57362" xr:uid="{00000000-0005-0000-0000-00003DA60000}"/>
    <cellStyle name="Normal 4 3 7 6 2 2 2 3" xfId="43800" xr:uid="{00000000-0005-0000-0000-00003EA60000}"/>
    <cellStyle name="Normal 4 3 7 6 2 2 3" xfId="23448" xr:uid="{00000000-0005-0000-0000-00003FA60000}"/>
    <cellStyle name="Normal 4 3 7 6 2 2 3 2" xfId="50581" xr:uid="{00000000-0005-0000-0000-000040A60000}"/>
    <cellStyle name="Normal 4 3 7 6 2 2 4" xfId="37019" xr:uid="{00000000-0005-0000-0000-000041A60000}"/>
    <cellStyle name="Normal 4 3 7 6 2 3" xfId="13272" xr:uid="{00000000-0005-0000-0000-000042A60000}"/>
    <cellStyle name="Normal 4 3 7 6 2 3 2" xfId="26840" xr:uid="{00000000-0005-0000-0000-000043A60000}"/>
    <cellStyle name="Normal 4 3 7 6 2 3 2 2" xfId="53973" xr:uid="{00000000-0005-0000-0000-000044A60000}"/>
    <cellStyle name="Normal 4 3 7 6 2 3 3" xfId="40411" xr:uid="{00000000-0005-0000-0000-000045A60000}"/>
    <cellStyle name="Normal 4 3 7 6 2 4" xfId="20059" xr:uid="{00000000-0005-0000-0000-000046A60000}"/>
    <cellStyle name="Normal 4 3 7 6 2 4 2" xfId="47192" xr:uid="{00000000-0005-0000-0000-000047A60000}"/>
    <cellStyle name="Normal 4 3 7 6 2 5" xfId="33630" xr:uid="{00000000-0005-0000-0000-000048A60000}"/>
    <cellStyle name="Normal 4 3 7 6 3" xfId="6339" xr:uid="{00000000-0005-0000-0000-000049A60000}"/>
    <cellStyle name="Normal 4 3 7 6 3 2" xfId="9872" xr:uid="{00000000-0005-0000-0000-00004AA60000}"/>
    <cellStyle name="Normal 4 3 7 6 3 2 2" xfId="16662" xr:uid="{00000000-0005-0000-0000-00004BA60000}"/>
    <cellStyle name="Normal 4 3 7 6 3 2 2 2" xfId="30230" xr:uid="{00000000-0005-0000-0000-00004CA60000}"/>
    <cellStyle name="Normal 4 3 7 6 3 2 2 2 2" xfId="57363" xr:uid="{00000000-0005-0000-0000-00004DA60000}"/>
    <cellStyle name="Normal 4 3 7 6 3 2 2 3" xfId="43801" xr:uid="{00000000-0005-0000-0000-00004EA60000}"/>
    <cellStyle name="Normal 4 3 7 6 3 2 3" xfId="23449" xr:uid="{00000000-0005-0000-0000-00004FA60000}"/>
    <cellStyle name="Normal 4 3 7 6 3 2 3 2" xfId="50582" xr:uid="{00000000-0005-0000-0000-000050A60000}"/>
    <cellStyle name="Normal 4 3 7 6 3 2 4" xfId="37020" xr:uid="{00000000-0005-0000-0000-000051A60000}"/>
    <cellStyle name="Normal 4 3 7 6 3 3" xfId="13273" xr:uid="{00000000-0005-0000-0000-000052A60000}"/>
    <cellStyle name="Normal 4 3 7 6 3 3 2" xfId="26841" xr:uid="{00000000-0005-0000-0000-000053A60000}"/>
    <cellStyle name="Normal 4 3 7 6 3 3 2 2" xfId="53974" xr:uid="{00000000-0005-0000-0000-000054A60000}"/>
    <cellStyle name="Normal 4 3 7 6 3 3 3" xfId="40412" xr:uid="{00000000-0005-0000-0000-000055A60000}"/>
    <cellStyle name="Normal 4 3 7 6 3 4" xfId="20060" xr:uid="{00000000-0005-0000-0000-000056A60000}"/>
    <cellStyle name="Normal 4 3 7 6 3 4 2" xfId="47193" xr:uid="{00000000-0005-0000-0000-000057A60000}"/>
    <cellStyle name="Normal 4 3 7 6 3 5" xfId="33631" xr:uid="{00000000-0005-0000-0000-000058A60000}"/>
    <cellStyle name="Normal 4 3 7 6 4" xfId="9870" xr:uid="{00000000-0005-0000-0000-000059A60000}"/>
    <cellStyle name="Normal 4 3 7 6 4 2" xfId="16660" xr:uid="{00000000-0005-0000-0000-00005AA60000}"/>
    <cellStyle name="Normal 4 3 7 6 4 2 2" xfId="30228" xr:uid="{00000000-0005-0000-0000-00005BA60000}"/>
    <cellStyle name="Normal 4 3 7 6 4 2 2 2" xfId="57361" xr:uid="{00000000-0005-0000-0000-00005CA60000}"/>
    <cellStyle name="Normal 4 3 7 6 4 2 3" xfId="43799" xr:uid="{00000000-0005-0000-0000-00005DA60000}"/>
    <cellStyle name="Normal 4 3 7 6 4 3" xfId="23447" xr:uid="{00000000-0005-0000-0000-00005EA60000}"/>
    <cellStyle name="Normal 4 3 7 6 4 3 2" xfId="50580" xr:uid="{00000000-0005-0000-0000-00005FA60000}"/>
    <cellStyle name="Normal 4 3 7 6 4 4" xfId="37018" xr:uid="{00000000-0005-0000-0000-000060A60000}"/>
    <cellStyle name="Normal 4 3 7 6 5" xfId="13271" xr:uid="{00000000-0005-0000-0000-000061A60000}"/>
    <cellStyle name="Normal 4 3 7 6 5 2" xfId="26839" xr:uid="{00000000-0005-0000-0000-000062A60000}"/>
    <cellStyle name="Normal 4 3 7 6 5 2 2" xfId="53972" xr:uid="{00000000-0005-0000-0000-000063A60000}"/>
    <cellStyle name="Normal 4 3 7 6 5 3" xfId="40410" xr:uid="{00000000-0005-0000-0000-000064A60000}"/>
    <cellStyle name="Normal 4 3 7 6 6" xfId="20058" xr:uid="{00000000-0005-0000-0000-000065A60000}"/>
    <cellStyle name="Normal 4 3 7 6 6 2" xfId="47191" xr:uid="{00000000-0005-0000-0000-000066A60000}"/>
    <cellStyle name="Normal 4 3 7 6 7" xfId="33629" xr:uid="{00000000-0005-0000-0000-000067A60000}"/>
    <cellStyle name="Normal 4 3 7 7" xfId="6340" xr:uid="{00000000-0005-0000-0000-000068A60000}"/>
    <cellStyle name="Normal 4 3 7 7 2" xfId="6341" xr:uid="{00000000-0005-0000-0000-000069A60000}"/>
    <cellStyle name="Normal 4 3 7 7 2 2" xfId="9874" xr:uid="{00000000-0005-0000-0000-00006AA60000}"/>
    <cellStyle name="Normal 4 3 7 7 2 2 2" xfId="16664" xr:uid="{00000000-0005-0000-0000-00006BA60000}"/>
    <cellStyle name="Normal 4 3 7 7 2 2 2 2" xfId="30232" xr:uid="{00000000-0005-0000-0000-00006CA60000}"/>
    <cellStyle name="Normal 4 3 7 7 2 2 2 2 2" xfId="57365" xr:uid="{00000000-0005-0000-0000-00006DA60000}"/>
    <cellStyle name="Normal 4 3 7 7 2 2 2 3" xfId="43803" xr:uid="{00000000-0005-0000-0000-00006EA60000}"/>
    <cellStyle name="Normal 4 3 7 7 2 2 3" xfId="23451" xr:uid="{00000000-0005-0000-0000-00006FA60000}"/>
    <cellStyle name="Normal 4 3 7 7 2 2 3 2" xfId="50584" xr:uid="{00000000-0005-0000-0000-000070A60000}"/>
    <cellStyle name="Normal 4 3 7 7 2 2 4" xfId="37022" xr:uid="{00000000-0005-0000-0000-000071A60000}"/>
    <cellStyle name="Normal 4 3 7 7 2 3" xfId="13275" xr:uid="{00000000-0005-0000-0000-000072A60000}"/>
    <cellStyle name="Normal 4 3 7 7 2 3 2" xfId="26843" xr:uid="{00000000-0005-0000-0000-000073A60000}"/>
    <cellStyle name="Normal 4 3 7 7 2 3 2 2" xfId="53976" xr:uid="{00000000-0005-0000-0000-000074A60000}"/>
    <cellStyle name="Normal 4 3 7 7 2 3 3" xfId="40414" xr:uid="{00000000-0005-0000-0000-000075A60000}"/>
    <cellStyle name="Normal 4 3 7 7 2 4" xfId="20062" xr:uid="{00000000-0005-0000-0000-000076A60000}"/>
    <cellStyle name="Normal 4 3 7 7 2 4 2" xfId="47195" xr:uid="{00000000-0005-0000-0000-000077A60000}"/>
    <cellStyle name="Normal 4 3 7 7 2 5" xfId="33633" xr:uid="{00000000-0005-0000-0000-000078A60000}"/>
    <cellStyle name="Normal 4 3 7 7 3" xfId="9873" xr:uid="{00000000-0005-0000-0000-000079A60000}"/>
    <cellStyle name="Normal 4 3 7 7 3 2" xfId="16663" xr:uid="{00000000-0005-0000-0000-00007AA60000}"/>
    <cellStyle name="Normal 4 3 7 7 3 2 2" xfId="30231" xr:uid="{00000000-0005-0000-0000-00007BA60000}"/>
    <cellStyle name="Normal 4 3 7 7 3 2 2 2" xfId="57364" xr:uid="{00000000-0005-0000-0000-00007CA60000}"/>
    <cellStyle name="Normal 4 3 7 7 3 2 3" xfId="43802" xr:uid="{00000000-0005-0000-0000-00007DA60000}"/>
    <cellStyle name="Normal 4 3 7 7 3 3" xfId="23450" xr:uid="{00000000-0005-0000-0000-00007EA60000}"/>
    <cellStyle name="Normal 4 3 7 7 3 3 2" xfId="50583" xr:uid="{00000000-0005-0000-0000-00007FA60000}"/>
    <cellStyle name="Normal 4 3 7 7 3 4" xfId="37021" xr:uid="{00000000-0005-0000-0000-000080A60000}"/>
    <cellStyle name="Normal 4 3 7 7 4" xfId="13274" xr:uid="{00000000-0005-0000-0000-000081A60000}"/>
    <cellStyle name="Normal 4 3 7 7 4 2" xfId="26842" xr:uid="{00000000-0005-0000-0000-000082A60000}"/>
    <cellStyle name="Normal 4 3 7 7 4 2 2" xfId="53975" xr:uid="{00000000-0005-0000-0000-000083A60000}"/>
    <cellStyle name="Normal 4 3 7 7 4 3" xfId="40413" xr:uid="{00000000-0005-0000-0000-000084A60000}"/>
    <cellStyle name="Normal 4 3 7 7 5" xfId="20061" xr:uid="{00000000-0005-0000-0000-000085A60000}"/>
    <cellStyle name="Normal 4 3 7 7 5 2" xfId="47194" xr:uid="{00000000-0005-0000-0000-000086A60000}"/>
    <cellStyle name="Normal 4 3 7 7 6" xfId="33632" xr:uid="{00000000-0005-0000-0000-000087A60000}"/>
    <cellStyle name="Normal 4 3 7 8" xfId="6342" xr:uid="{00000000-0005-0000-0000-000088A60000}"/>
    <cellStyle name="Normal 4 3 7 8 2" xfId="9875" xr:uid="{00000000-0005-0000-0000-000089A60000}"/>
    <cellStyle name="Normal 4 3 7 8 2 2" xfId="16665" xr:uid="{00000000-0005-0000-0000-00008AA60000}"/>
    <cellStyle name="Normal 4 3 7 8 2 2 2" xfId="30233" xr:uid="{00000000-0005-0000-0000-00008BA60000}"/>
    <cellStyle name="Normal 4 3 7 8 2 2 2 2" xfId="57366" xr:uid="{00000000-0005-0000-0000-00008CA60000}"/>
    <cellStyle name="Normal 4 3 7 8 2 2 3" xfId="43804" xr:uid="{00000000-0005-0000-0000-00008DA60000}"/>
    <cellStyle name="Normal 4 3 7 8 2 3" xfId="23452" xr:uid="{00000000-0005-0000-0000-00008EA60000}"/>
    <cellStyle name="Normal 4 3 7 8 2 3 2" xfId="50585" xr:uid="{00000000-0005-0000-0000-00008FA60000}"/>
    <cellStyle name="Normal 4 3 7 8 2 4" xfId="37023" xr:uid="{00000000-0005-0000-0000-000090A60000}"/>
    <cellStyle name="Normal 4 3 7 8 3" xfId="13276" xr:uid="{00000000-0005-0000-0000-000091A60000}"/>
    <cellStyle name="Normal 4 3 7 8 3 2" xfId="26844" xr:uid="{00000000-0005-0000-0000-000092A60000}"/>
    <cellStyle name="Normal 4 3 7 8 3 2 2" xfId="53977" xr:uid="{00000000-0005-0000-0000-000093A60000}"/>
    <cellStyle name="Normal 4 3 7 8 3 3" xfId="40415" xr:uid="{00000000-0005-0000-0000-000094A60000}"/>
    <cellStyle name="Normal 4 3 7 8 4" xfId="20063" xr:uid="{00000000-0005-0000-0000-000095A60000}"/>
    <cellStyle name="Normal 4 3 7 8 4 2" xfId="47196" xr:uid="{00000000-0005-0000-0000-000096A60000}"/>
    <cellStyle name="Normal 4 3 7 8 5" xfId="33634" xr:uid="{00000000-0005-0000-0000-000097A60000}"/>
    <cellStyle name="Normal 4 3 7 9" xfId="6343" xr:uid="{00000000-0005-0000-0000-000098A60000}"/>
    <cellStyle name="Normal 4 3 7 9 2" xfId="9876" xr:uid="{00000000-0005-0000-0000-000099A60000}"/>
    <cellStyle name="Normal 4 3 7 9 2 2" xfId="16666" xr:uid="{00000000-0005-0000-0000-00009AA60000}"/>
    <cellStyle name="Normal 4 3 7 9 2 2 2" xfId="30234" xr:uid="{00000000-0005-0000-0000-00009BA60000}"/>
    <cellStyle name="Normal 4 3 7 9 2 2 2 2" xfId="57367" xr:uid="{00000000-0005-0000-0000-00009CA60000}"/>
    <cellStyle name="Normal 4 3 7 9 2 2 3" xfId="43805" xr:uid="{00000000-0005-0000-0000-00009DA60000}"/>
    <cellStyle name="Normal 4 3 7 9 2 3" xfId="23453" xr:uid="{00000000-0005-0000-0000-00009EA60000}"/>
    <cellStyle name="Normal 4 3 7 9 2 3 2" xfId="50586" xr:uid="{00000000-0005-0000-0000-00009FA60000}"/>
    <cellStyle name="Normal 4 3 7 9 2 4" xfId="37024" xr:uid="{00000000-0005-0000-0000-0000A0A60000}"/>
    <cellStyle name="Normal 4 3 7 9 3" xfId="13277" xr:uid="{00000000-0005-0000-0000-0000A1A60000}"/>
    <cellStyle name="Normal 4 3 7 9 3 2" xfId="26845" xr:uid="{00000000-0005-0000-0000-0000A2A60000}"/>
    <cellStyle name="Normal 4 3 7 9 3 2 2" xfId="53978" xr:uid="{00000000-0005-0000-0000-0000A3A60000}"/>
    <cellStyle name="Normal 4 3 7 9 3 3" xfId="40416" xr:uid="{00000000-0005-0000-0000-0000A4A60000}"/>
    <cellStyle name="Normal 4 3 7 9 4" xfId="20064" xr:uid="{00000000-0005-0000-0000-0000A5A60000}"/>
    <cellStyle name="Normal 4 3 7 9 4 2" xfId="47197" xr:uid="{00000000-0005-0000-0000-0000A6A60000}"/>
    <cellStyle name="Normal 4 3 7 9 5" xfId="33635" xr:uid="{00000000-0005-0000-0000-0000A7A60000}"/>
    <cellStyle name="Normal 4 3 8" xfId="6344" xr:uid="{00000000-0005-0000-0000-0000A8A60000}"/>
    <cellStyle name="Normal 4 3 8 10" xfId="33636" xr:uid="{00000000-0005-0000-0000-0000A9A60000}"/>
    <cellStyle name="Normal 4 3 8 2" xfId="6345" xr:uid="{00000000-0005-0000-0000-0000AAA60000}"/>
    <cellStyle name="Normal 4 3 8 2 2" xfId="6346" xr:uid="{00000000-0005-0000-0000-0000ABA60000}"/>
    <cellStyle name="Normal 4 3 8 2 2 2" xfId="6347" xr:uid="{00000000-0005-0000-0000-0000ACA60000}"/>
    <cellStyle name="Normal 4 3 8 2 2 2 2" xfId="9880" xr:uid="{00000000-0005-0000-0000-0000ADA60000}"/>
    <cellStyle name="Normal 4 3 8 2 2 2 2 2" xfId="16670" xr:uid="{00000000-0005-0000-0000-0000AEA60000}"/>
    <cellStyle name="Normal 4 3 8 2 2 2 2 2 2" xfId="30238" xr:uid="{00000000-0005-0000-0000-0000AFA60000}"/>
    <cellStyle name="Normal 4 3 8 2 2 2 2 2 2 2" xfId="57371" xr:uid="{00000000-0005-0000-0000-0000B0A60000}"/>
    <cellStyle name="Normal 4 3 8 2 2 2 2 2 3" xfId="43809" xr:uid="{00000000-0005-0000-0000-0000B1A60000}"/>
    <cellStyle name="Normal 4 3 8 2 2 2 2 3" xfId="23457" xr:uid="{00000000-0005-0000-0000-0000B2A60000}"/>
    <cellStyle name="Normal 4 3 8 2 2 2 2 3 2" xfId="50590" xr:uid="{00000000-0005-0000-0000-0000B3A60000}"/>
    <cellStyle name="Normal 4 3 8 2 2 2 2 4" xfId="37028" xr:uid="{00000000-0005-0000-0000-0000B4A60000}"/>
    <cellStyle name="Normal 4 3 8 2 2 2 3" xfId="13281" xr:uid="{00000000-0005-0000-0000-0000B5A60000}"/>
    <cellStyle name="Normal 4 3 8 2 2 2 3 2" xfId="26849" xr:uid="{00000000-0005-0000-0000-0000B6A60000}"/>
    <cellStyle name="Normal 4 3 8 2 2 2 3 2 2" xfId="53982" xr:uid="{00000000-0005-0000-0000-0000B7A60000}"/>
    <cellStyle name="Normal 4 3 8 2 2 2 3 3" xfId="40420" xr:uid="{00000000-0005-0000-0000-0000B8A60000}"/>
    <cellStyle name="Normal 4 3 8 2 2 2 4" xfId="20068" xr:uid="{00000000-0005-0000-0000-0000B9A60000}"/>
    <cellStyle name="Normal 4 3 8 2 2 2 4 2" xfId="47201" xr:uid="{00000000-0005-0000-0000-0000BAA60000}"/>
    <cellStyle name="Normal 4 3 8 2 2 2 5" xfId="33639" xr:uid="{00000000-0005-0000-0000-0000BBA60000}"/>
    <cellStyle name="Normal 4 3 8 2 2 3" xfId="6348" xr:uid="{00000000-0005-0000-0000-0000BCA60000}"/>
    <cellStyle name="Normal 4 3 8 2 2 3 2" xfId="9881" xr:uid="{00000000-0005-0000-0000-0000BDA60000}"/>
    <cellStyle name="Normal 4 3 8 2 2 3 2 2" xfId="16671" xr:uid="{00000000-0005-0000-0000-0000BEA60000}"/>
    <cellStyle name="Normal 4 3 8 2 2 3 2 2 2" xfId="30239" xr:uid="{00000000-0005-0000-0000-0000BFA60000}"/>
    <cellStyle name="Normal 4 3 8 2 2 3 2 2 2 2" xfId="57372" xr:uid="{00000000-0005-0000-0000-0000C0A60000}"/>
    <cellStyle name="Normal 4 3 8 2 2 3 2 2 3" xfId="43810" xr:uid="{00000000-0005-0000-0000-0000C1A60000}"/>
    <cellStyle name="Normal 4 3 8 2 2 3 2 3" xfId="23458" xr:uid="{00000000-0005-0000-0000-0000C2A60000}"/>
    <cellStyle name="Normal 4 3 8 2 2 3 2 3 2" xfId="50591" xr:uid="{00000000-0005-0000-0000-0000C3A60000}"/>
    <cellStyle name="Normal 4 3 8 2 2 3 2 4" xfId="37029" xr:uid="{00000000-0005-0000-0000-0000C4A60000}"/>
    <cellStyle name="Normal 4 3 8 2 2 3 3" xfId="13282" xr:uid="{00000000-0005-0000-0000-0000C5A60000}"/>
    <cellStyle name="Normal 4 3 8 2 2 3 3 2" xfId="26850" xr:uid="{00000000-0005-0000-0000-0000C6A60000}"/>
    <cellStyle name="Normal 4 3 8 2 2 3 3 2 2" xfId="53983" xr:uid="{00000000-0005-0000-0000-0000C7A60000}"/>
    <cellStyle name="Normal 4 3 8 2 2 3 3 3" xfId="40421" xr:uid="{00000000-0005-0000-0000-0000C8A60000}"/>
    <cellStyle name="Normal 4 3 8 2 2 3 4" xfId="20069" xr:uid="{00000000-0005-0000-0000-0000C9A60000}"/>
    <cellStyle name="Normal 4 3 8 2 2 3 4 2" xfId="47202" xr:uid="{00000000-0005-0000-0000-0000CAA60000}"/>
    <cellStyle name="Normal 4 3 8 2 2 3 5" xfId="33640" xr:uid="{00000000-0005-0000-0000-0000CBA60000}"/>
    <cellStyle name="Normal 4 3 8 2 2 4" xfId="9879" xr:uid="{00000000-0005-0000-0000-0000CCA60000}"/>
    <cellStyle name="Normal 4 3 8 2 2 4 2" xfId="16669" xr:uid="{00000000-0005-0000-0000-0000CDA60000}"/>
    <cellStyle name="Normal 4 3 8 2 2 4 2 2" xfId="30237" xr:uid="{00000000-0005-0000-0000-0000CEA60000}"/>
    <cellStyle name="Normal 4 3 8 2 2 4 2 2 2" xfId="57370" xr:uid="{00000000-0005-0000-0000-0000CFA60000}"/>
    <cellStyle name="Normal 4 3 8 2 2 4 2 3" xfId="43808" xr:uid="{00000000-0005-0000-0000-0000D0A60000}"/>
    <cellStyle name="Normal 4 3 8 2 2 4 3" xfId="23456" xr:uid="{00000000-0005-0000-0000-0000D1A60000}"/>
    <cellStyle name="Normal 4 3 8 2 2 4 3 2" xfId="50589" xr:uid="{00000000-0005-0000-0000-0000D2A60000}"/>
    <cellStyle name="Normal 4 3 8 2 2 4 4" xfId="37027" xr:uid="{00000000-0005-0000-0000-0000D3A60000}"/>
    <cellStyle name="Normal 4 3 8 2 2 5" xfId="13280" xr:uid="{00000000-0005-0000-0000-0000D4A60000}"/>
    <cellStyle name="Normal 4 3 8 2 2 5 2" xfId="26848" xr:uid="{00000000-0005-0000-0000-0000D5A60000}"/>
    <cellStyle name="Normal 4 3 8 2 2 5 2 2" xfId="53981" xr:uid="{00000000-0005-0000-0000-0000D6A60000}"/>
    <cellStyle name="Normal 4 3 8 2 2 5 3" xfId="40419" xr:uid="{00000000-0005-0000-0000-0000D7A60000}"/>
    <cellStyle name="Normal 4 3 8 2 2 6" xfId="20067" xr:uid="{00000000-0005-0000-0000-0000D8A60000}"/>
    <cellStyle name="Normal 4 3 8 2 2 6 2" xfId="47200" xr:uid="{00000000-0005-0000-0000-0000D9A60000}"/>
    <cellStyle name="Normal 4 3 8 2 2 7" xfId="33638" xr:uid="{00000000-0005-0000-0000-0000DAA60000}"/>
    <cellStyle name="Normal 4 3 8 2 3" xfId="6349" xr:uid="{00000000-0005-0000-0000-0000DBA60000}"/>
    <cellStyle name="Normal 4 3 8 2 3 2" xfId="6350" xr:uid="{00000000-0005-0000-0000-0000DCA60000}"/>
    <cellStyle name="Normal 4 3 8 2 3 2 2" xfId="9883" xr:uid="{00000000-0005-0000-0000-0000DDA60000}"/>
    <cellStyle name="Normal 4 3 8 2 3 2 2 2" xfId="16673" xr:uid="{00000000-0005-0000-0000-0000DEA60000}"/>
    <cellStyle name="Normal 4 3 8 2 3 2 2 2 2" xfId="30241" xr:uid="{00000000-0005-0000-0000-0000DFA60000}"/>
    <cellStyle name="Normal 4 3 8 2 3 2 2 2 2 2" xfId="57374" xr:uid="{00000000-0005-0000-0000-0000E0A60000}"/>
    <cellStyle name="Normal 4 3 8 2 3 2 2 2 3" xfId="43812" xr:uid="{00000000-0005-0000-0000-0000E1A60000}"/>
    <cellStyle name="Normal 4 3 8 2 3 2 2 3" xfId="23460" xr:uid="{00000000-0005-0000-0000-0000E2A60000}"/>
    <cellStyle name="Normal 4 3 8 2 3 2 2 3 2" xfId="50593" xr:uid="{00000000-0005-0000-0000-0000E3A60000}"/>
    <cellStyle name="Normal 4 3 8 2 3 2 2 4" xfId="37031" xr:uid="{00000000-0005-0000-0000-0000E4A60000}"/>
    <cellStyle name="Normal 4 3 8 2 3 2 3" xfId="13284" xr:uid="{00000000-0005-0000-0000-0000E5A60000}"/>
    <cellStyle name="Normal 4 3 8 2 3 2 3 2" xfId="26852" xr:uid="{00000000-0005-0000-0000-0000E6A60000}"/>
    <cellStyle name="Normal 4 3 8 2 3 2 3 2 2" xfId="53985" xr:uid="{00000000-0005-0000-0000-0000E7A60000}"/>
    <cellStyle name="Normal 4 3 8 2 3 2 3 3" xfId="40423" xr:uid="{00000000-0005-0000-0000-0000E8A60000}"/>
    <cellStyle name="Normal 4 3 8 2 3 2 4" xfId="20071" xr:uid="{00000000-0005-0000-0000-0000E9A60000}"/>
    <cellStyle name="Normal 4 3 8 2 3 2 4 2" xfId="47204" xr:uid="{00000000-0005-0000-0000-0000EAA60000}"/>
    <cellStyle name="Normal 4 3 8 2 3 2 5" xfId="33642" xr:uid="{00000000-0005-0000-0000-0000EBA60000}"/>
    <cellStyle name="Normal 4 3 8 2 3 3" xfId="9882" xr:uid="{00000000-0005-0000-0000-0000ECA60000}"/>
    <cellStyle name="Normal 4 3 8 2 3 3 2" xfId="16672" xr:uid="{00000000-0005-0000-0000-0000EDA60000}"/>
    <cellStyle name="Normal 4 3 8 2 3 3 2 2" xfId="30240" xr:uid="{00000000-0005-0000-0000-0000EEA60000}"/>
    <cellStyle name="Normal 4 3 8 2 3 3 2 2 2" xfId="57373" xr:uid="{00000000-0005-0000-0000-0000EFA60000}"/>
    <cellStyle name="Normal 4 3 8 2 3 3 2 3" xfId="43811" xr:uid="{00000000-0005-0000-0000-0000F0A60000}"/>
    <cellStyle name="Normal 4 3 8 2 3 3 3" xfId="23459" xr:uid="{00000000-0005-0000-0000-0000F1A60000}"/>
    <cellStyle name="Normal 4 3 8 2 3 3 3 2" xfId="50592" xr:uid="{00000000-0005-0000-0000-0000F2A60000}"/>
    <cellStyle name="Normal 4 3 8 2 3 3 4" xfId="37030" xr:uid="{00000000-0005-0000-0000-0000F3A60000}"/>
    <cellStyle name="Normal 4 3 8 2 3 4" xfId="13283" xr:uid="{00000000-0005-0000-0000-0000F4A60000}"/>
    <cellStyle name="Normal 4 3 8 2 3 4 2" xfId="26851" xr:uid="{00000000-0005-0000-0000-0000F5A60000}"/>
    <cellStyle name="Normal 4 3 8 2 3 4 2 2" xfId="53984" xr:uid="{00000000-0005-0000-0000-0000F6A60000}"/>
    <cellStyle name="Normal 4 3 8 2 3 4 3" xfId="40422" xr:uid="{00000000-0005-0000-0000-0000F7A60000}"/>
    <cellStyle name="Normal 4 3 8 2 3 5" xfId="20070" xr:uid="{00000000-0005-0000-0000-0000F8A60000}"/>
    <cellStyle name="Normal 4 3 8 2 3 5 2" xfId="47203" xr:uid="{00000000-0005-0000-0000-0000F9A60000}"/>
    <cellStyle name="Normal 4 3 8 2 3 6" xfId="33641" xr:uid="{00000000-0005-0000-0000-0000FAA60000}"/>
    <cellStyle name="Normal 4 3 8 2 4" xfId="6351" xr:uid="{00000000-0005-0000-0000-0000FBA60000}"/>
    <cellStyle name="Normal 4 3 8 2 4 2" xfId="9884" xr:uid="{00000000-0005-0000-0000-0000FCA60000}"/>
    <cellStyle name="Normal 4 3 8 2 4 2 2" xfId="16674" xr:uid="{00000000-0005-0000-0000-0000FDA60000}"/>
    <cellStyle name="Normal 4 3 8 2 4 2 2 2" xfId="30242" xr:uid="{00000000-0005-0000-0000-0000FEA60000}"/>
    <cellStyle name="Normal 4 3 8 2 4 2 2 2 2" xfId="57375" xr:uid="{00000000-0005-0000-0000-0000FFA60000}"/>
    <cellStyle name="Normal 4 3 8 2 4 2 2 3" xfId="43813" xr:uid="{00000000-0005-0000-0000-000000A70000}"/>
    <cellStyle name="Normal 4 3 8 2 4 2 3" xfId="23461" xr:uid="{00000000-0005-0000-0000-000001A70000}"/>
    <cellStyle name="Normal 4 3 8 2 4 2 3 2" xfId="50594" xr:uid="{00000000-0005-0000-0000-000002A70000}"/>
    <cellStyle name="Normal 4 3 8 2 4 2 4" xfId="37032" xr:uid="{00000000-0005-0000-0000-000003A70000}"/>
    <cellStyle name="Normal 4 3 8 2 4 3" xfId="13285" xr:uid="{00000000-0005-0000-0000-000004A70000}"/>
    <cellStyle name="Normal 4 3 8 2 4 3 2" xfId="26853" xr:uid="{00000000-0005-0000-0000-000005A70000}"/>
    <cellStyle name="Normal 4 3 8 2 4 3 2 2" xfId="53986" xr:uid="{00000000-0005-0000-0000-000006A70000}"/>
    <cellStyle name="Normal 4 3 8 2 4 3 3" xfId="40424" xr:uid="{00000000-0005-0000-0000-000007A70000}"/>
    <cellStyle name="Normal 4 3 8 2 4 4" xfId="20072" xr:uid="{00000000-0005-0000-0000-000008A70000}"/>
    <cellStyle name="Normal 4 3 8 2 4 4 2" xfId="47205" xr:uid="{00000000-0005-0000-0000-000009A70000}"/>
    <cellStyle name="Normal 4 3 8 2 4 5" xfId="33643" xr:uid="{00000000-0005-0000-0000-00000AA70000}"/>
    <cellStyle name="Normal 4 3 8 2 5" xfId="6352" xr:uid="{00000000-0005-0000-0000-00000BA70000}"/>
    <cellStyle name="Normal 4 3 8 2 5 2" xfId="9885" xr:uid="{00000000-0005-0000-0000-00000CA70000}"/>
    <cellStyle name="Normal 4 3 8 2 5 2 2" xfId="16675" xr:uid="{00000000-0005-0000-0000-00000DA70000}"/>
    <cellStyle name="Normal 4 3 8 2 5 2 2 2" xfId="30243" xr:uid="{00000000-0005-0000-0000-00000EA70000}"/>
    <cellStyle name="Normal 4 3 8 2 5 2 2 2 2" xfId="57376" xr:uid="{00000000-0005-0000-0000-00000FA70000}"/>
    <cellStyle name="Normal 4 3 8 2 5 2 2 3" xfId="43814" xr:uid="{00000000-0005-0000-0000-000010A70000}"/>
    <cellStyle name="Normal 4 3 8 2 5 2 3" xfId="23462" xr:uid="{00000000-0005-0000-0000-000011A70000}"/>
    <cellStyle name="Normal 4 3 8 2 5 2 3 2" xfId="50595" xr:uid="{00000000-0005-0000-0000-000012A70000}"/>
    <cellStyle name="Normal 4 3 8 2 5 2 4" xfId="37033" xr:uid="{00000000-0005-0000-0000-000013A70000}"/>
    <cellStyle name="Normal 4 3 8 2 5 3" xfId="13286" xr:uid="{00000000-0005-0000-0000-000014A70000}"/>
    <cellStyle name="Normal 4 3 8 2 5 3 2" xfId="26854" xr:uid="{00000000-0005-0000-0000-000015A70000}"/>
    <cellStyle name="Normal 4 3 8 2 5 3 2 2" xfId="53987" xr:uid="{00000000-0005-0000-0000-000016A70000}"/>
    <cellStyle name="Normal 4 3 8 2 5 3 3" xfId="40425" xr:uid="{00000000-0005-0000-0000-000017A70000}"/>
    <cellStyle name="Normal 4 3 8 2 5 4" xfId="20073" xr:uid="{00000000-0005-0000-0000-000018A70000}"/>
    <cellStyle name="Normal 4 3 8 2 5 4 2" xfId="47206" xr:uid="{00000000-0005-0000-0000-000019A70000}"/>
    <cellStyle name="Normal 4 3 8 2 5 5" xfId="33644" xr:uid="{00000000-0005-0000-0000-00001AA70000}"/>
    <cellStyle name="Normal 4 3 8 2 6" xfId="9878" xr:uid="{00000000-0005-0000-0000-00001BA70000}"/>
    <cellStyle name="Normal 4 3 8 2 6 2" xfId="16668" xr:uid="{00000000-0005-0000-0000-00001CA70000}"/>
    <cellStyle name="Normal 4 3 8 2 6 2 2" xfId="30236" xr:uid="{00000000-0005-0000-0000-00001DA70000}"/>
    <cellStyle name="Normal 4 3 8 2 6 2 2 2" xfId="57369" xr:uid="{00000000-0005-0000-0000-00001EA70000}"/>
    <cellStyle name="Normal 4 3 8 2 6 2 3" xfId="43807" xr:uid="{00000000-0005-0000-0000-00001FA70000}"/>
    <cellStyle name="Normal 4 3 8 2 6 3" xfId="23455" xr:uid="{00000000-0005-0000-0000-000020A70000}"/>
    <cellStyle name="Normal 4 3 8 2 6 3 2" xfId="50588" xr:uid="{00000000-0005-0000-0000-000021A70000}"/>
    <cellStyle name="Normal 4 3 8 2 6 4" xfId="37026" xr:uid="{00000000-0005-0000-0000-000022A70000}"/>
    <cellStyle name="Normal 4 3 8 2 7" xfId="13279" xr:uid="{00000000-0005-0000-0000-000023A70000}"/>
    <cellStyle name="Normal 4 3 8 2 7 2" xfId="26847" xr:uid="{00000000-0005-0000-0000-000024A70000}"/>
    <cellStyle name="Normal 4 3 8 2 7 2 2" xfId="53980" xr:uid="{00000000-0005-0000-0000-000025A70000}"/>
    <cellStyle name="Normal 4 3 8 2 7 3" xfId="40418" xr:uid="{00000000-0005-0000-0000-000026A70000}"/>
    <cellStyle name="Normal 4 3 8 2 8" xfId="20066" xr:uid="{00000000-0005-0000-0000-000027A70000}"/>
    <cellStyle name="Normal 4 3 8 2 8 2" xfId="47199" xr:uid="{00000000-0005-0000-0000-000028A70000}"/>
    <cellStyle name="Normal 4 3 8 2 9" xfId="33637" xr:uid="{00000000-0005-0000-0000-000029A70000}"/>
    <cellStyle name="Normal 4 3 8 3" xfId="6353" xr:uid="{00000000-0005-0000-0000-00002AA70000}"/>
    <cellStyle name="Normal 4 3 8 3 2" xfId="6354" xr:uid="{00000000-0005-0000-0000-00002BA70000}"/>
    <cellStyle name="Normal 4 3 8 3 2 2" xfId="9887" xr:uid="{00000000-0005-0000-0000-00002CA70000}"/>
    <cellStyle name="Normal 4 3 8 3 2 2 2" xfId="16677" xr:uid="{00000000-0005-0000-0000-00002DA70000}"/>
    <cellStyle name="Normal 4 3 8 3 2 2 2 2" xfId="30245" xr:uid="{00000000-0005-0000-0000-00002EA70000}"/>
    <cellStyle name="Normal 4 3 8 3 2 2 2 2 2" xfId="57378" xr:uid="{00000000-0005-0000-0000-00002FA70000}"/>
    <cellStyle name="Normal 4 3 8 3 2 2 2 3" xfId="43816" xr:uid="{00000000-0005-0000-0000-000030A70000}"/>
    <cellStyle name="Normal 4 3 8 3 2 2 3" xfId="23464" xr:uid="{00000000-0005-0000-0000-000031A70000}"/>
    <cellStyle name="Normal 4 3 8 3 2 2 3 2" xfId="50597" xr:uid="{00000000-0005-0000-0000-000032A70000}"/>
    <cellStyle name="Normal 4 3 8 3 2 2 4" xfId="37035" xr:uid="{00000000-0005-0000-0000-000033A70000}"/>
    <cellStyle name="Normal 4 3 8 3 2 3" xfId="13288" xr:uid="{00000000-0005-0000-0000-000034A70000}"/>
    <cellStyle name="Normal 4 3 8 3 2 3 2" xfId="26856" xr:uid="{00000000-0005-0000-0000-000035A70000}"/>
    <cellStyle name="Normal 4 3 8 3 2 3 2 2" xfId="53989" xr:uid="{00000000-0005-0000-0000-000036A70000}"/>
    <cellStyle name="Normal 4 3 8 3 2 3 3" xfId="40427" xr:uid="{00000000-0005-0000-0000-000037A70000}"/>
    <cellStyle name="Normal 4 3 8 3 2 4" xfId="20075" xr:uid="{00000000-0005-0000-0000-000038A70000}"/>
    <cellStyle name="Normal 4 3 8 3 2 4 2" xfId="47208" xr:uid="{00000000-0005-0000-0000-000039A70000}"/>
    <cellStyle name="Normal 4 3 8 3 2 5" xfId="33646" xr:uid="{00000000-0005-0000-0000-00003AA70000}"/>
    <cellStyle name="Normal 4 3 8 3 3" xfId="6355" xr:uid="{00000000-0005-0000-0000-00003BA70000}"/>
    <cellStyle name="Normal 4 3 8 3 3 2" xfId="9888" xr:uid="{00000000-0005-0000-0000-00003CA70000}"/>
    <cellStyle name="Normal 4 3 8 3 3 2 2" xfId="16678" xr:uid="{00000000-0005-0000-0000-00003DA70000}"/>
    <cellStyle name="Normal 4 3 8 3 3 2 2 2" xfId="30246" xr:uid="{00000000-0005-0000-0000-00003EA70000}"/>
    <cellStyle name="Normal 4 3 8 3 3 2 2 2 2" xfId="57379" xr:uid="{00000000-0005-0000-0000-00003FA70000}"/>
    <cellStyle name="Normal 4 3 8 3 3 2 2 3" xfId="43817" xr:uid="{00000000-0005-0000-0000-000040A70000}"/>
    <cellStyle name="Normal 4 3 8 3 3 2 3" xfId="23465" xr:uid="{00000000-0005-0000-0000-000041A70000}"/>
    <cellStyle name="Normal 4 3 8 3 3 2 3 2" xfId="50598" xr:uid="{00000000-0005-0000-0000-000042A70000}"/>
    <cellStyle name="Normal 4 3 8 3 3 2 4" xfId="37036" xr:uid="{00000000-0005-0000-0000-000043A70000}"/>
    <cellStyle name="Normal 4 3 8 3 3 3" xfId="13289" xr:uid="{00000000-0005-0000-0000-000044A70000}"/>
    <cellStyle name="Normal 4 3 8 3 3 3 2" xfId="26857" xr:uid="{00000000-0005-0000-0000-000045A70000}"/>
    <cellStyle name="Normal 4 3 8 3 3 3 2 2" xfId="53990" xr:uid="{00000000-0005-0000-0000-000046A70000}"/>
    <cellStyle name="Normal 4 3 8 3 3 3 3" xfId="40428" xr:uid="{00000000-0005-0000-0000-000047A70000}"/>
    <cellStyle name="Normal 4 3 8 3 3 4" xfId="20076" xr:uid="{00000000-0005-0000-0000-000048A70000}"/>
    <cellStyle name="Normal 4 3 8 3 3 4 2" xfId="47209" xr:uid="{00000000-0005-0000-0000-000049A70000}"/>
    <cellStyle name="Normal 4 3 8 3 3 5" xfId="33647" xr:uid="{00000000-0005-0000-0000-00004AA70000}"/>
    <cellStyle name="Normal 4 3 8 3 4" xfId="9886" xr:uid="{00000000-0005-0000-0000-00004BA70000}"/>
    <cellStyle name="Normal 4 3 8 3 4 2" xfId="16676" xr:uid="{00000000-0005-0000-0000-00004CA70000}"/>
    <cellStyle name="Normal 4 3 8 3 4 2 2" xfId="30244" xr:uid="{00000000-0005-0000-0000-00004DA70000}"/>
    <cellStyle name="Normal 4 3 8 3 4 2 2 2" xfId="57377" xr:uid="{00000000-0005-0000-0000-00004EA70000}"/>
    <cellStyle name="Normal 4 3 8 3 4 2 3" xfId="43815" xr:uid="{00000000-0005-0000-0000-00004FA70000}"/>
    <cellStyle name="Normal 4 3 8 3 4 3" xfId="23463" xr:uid="{00000000-0005-0000-0000-000050A70000}"/>
    <cellStyle name="Normal 4 3 8 3 4 3 2" xfId="50596" xr:uid="{00000000-0005-0000-0000-000051A70000}"/>
    <cellStyle name="Normal 4 3 8 3 4 4" xfId="37034" xr:uid="{00000000-0005-0000-0000-000052A70000}"/>
    <cellStyle name="Normal 4 3 8 3 5" xfId="13287" xr:uid="{00000000-0005-0000-0000-000053A70000}"/>
    <cellStyle name="Normal 4 3 8 3 5 2" xfId="26855" xr:uid="{00000000-0005-0000-0000-000054A70000}"/>
    <cellStyle name="Normal 4 3 8 3 5 2 2" xfId="53988" xr:uid="{00000000-0005-0000-0000-000055A70000}"/>
    <cellStyle name="Normal 4 3 8 3 5 3" xfId="40426" xr:uid="{00000000-0005-0000-0000-000056A70000}"/>
    <cellStyle name="Normal 4 3 8 3 6" xfId="20074" xr:uid="{00000000-0005-0000-0000-000057A70000}"/>
    <cellStyle name="Normal 4 3 8 3 6 2" xfId="47207" xr:uid="{00000000-0005-0000-0000-000058A70000}"/>
    <cellStyle name="Normal 4 3 8 3 7" xfId="33645" xr:uid="{00000000-0005-0000-0000-000059A70000}"/>
    <cellStyle name="Normal 4 3 8 4" xfId="6356" xr:uid="{00000000-0005-0000-0000-00005AA70000}"/>
    <cellStyle name="Normal 4 3 8 4 2" xfId="6357" xr:uid="{00000000-0005-0000-0000-00005BA70000}"/>
    <cellStyle name="Normal 4 3 8 4 2 2" xfId="9890" xr:uid="{00000000-0005-0000-0000-00005CA70000}"/>
    <cellStyle name="Normal 4 3 8 4 2 2 2" xfId="16680" xr:uid="{00000000-0005-0000-0000-00005DA70000}"/>
    <cellStyle name="Normal 4 3 8 4 2 2 2 2" xfId="30248" xr:uid="{00000000-0005-0000-0000-00005EA70000}"/>
    <cellStyle name="Normal 4 3 8 4 2 2 2 2 2" xfId="57381" xr:uid="{00000000-0005-0000-0000-00005FA70000}"/>
    <cellStyle name="Normal 4 3 8 4 2 2 2 3" xfId="43819" xr:uid="{00000000-0005-0000-0000-000060A70000}"/>
    <cellStyle name="Normal 4 3 8 4 2 2 3" xfId="23467" xr:uid="{00000000-0005-0000-0000-000061A70000}"/>
    <cellStyle name="Normal 4 3 8 4 2 2 3 2" xfId="50600" xr:uid="{00000000-0005-0000-0000-000062A70000}"/>
    <cellStyle name="Normal 4 3 8 4 2 2 4" xfId="37038" xr:uid="{00000000-0005-0000-0000-000063A70000}"/>
    <cellStyle name="Normal 4 3 8 4 2 3" xfId="13291" xr:uid="{00000000-0005-0000-0000-000064A70000}"/>
    <cellStyle name="Normal 4 3 8 4 2 3 2" xfId="26859" xr:uid="{00000000-0005-0000-0000-000065A70000}"/>
    <cellStyle name="Normal 4 3 8 4 2 3 2 2" xfId="53992" xr:uid="{00000000-0005-0000-0000-000066A70000}"/>
    <cellStyle name="Normal 4 3 8 4 2 3 3" xfId="40430" xr:uid="{00000000-0005-0000-0000-000067A70000}"/>
    <cellStyle name="Normal 4 3 8 4 2 4" xfId="20078" xr:uid="{00000000-0005-0000-0000-000068A70000}"/>
    <cellStyle name="Normal 4 3 8 4 2 4 2" xfId="47211" xr:uid="{00000000-0005-0000-0000-000069A70000}"/>
    <cellStyle name="Normal 4 3 8 4 2 5" xfId="33649" xr:uid="{00000000-0005-0000-0000-00006AA70000}"/>
    <cellStyle name="Normal 4 3 8 4 3" xfId="9889" xr:uid="{00000000-0005-0000-0000-00006BA70000}"/>
    <cellStyle name="Normal 4 3 8 4 3 2" xfId="16679" xr:uid="{00000000-0005-0000-0000-00006CA70000}"/>
    <cellStyle name="Normal 4 3 8 4 3 2 2" xfId="30247" xr:uid="{00000000-0005-0000-0000-00006DA70000}"/>
    <cellStyle name="Normal 4 3 8 4 3 2 2 2" xfId="57380" xr:uid="{00000000-0005-0000-0000-00006EA70000}"/>
    <cellStyle name="Normal 4 3 8 4 3 2 3" xfId="43818" xr:uid="{00000000-0005-0000-0000-00006FA70000}"/>
    <cellStyle name="Normal 4 3 8 4 3 3" xfId="23466" xr:uid="{00000000-0005-0000-0000-000070A70000}"/>
    <cellStyle name="Normal 4 3 8 4 3 3 2" xfId="50599" xr:uid="{00000000-0005-0000-0000-000071A70000}"/>
    <cellStyle name="Normal 4 3 8 4 3 4" xfId="37037" xr:uid="{00000000-0005-0000-0000-000072A70000}"/>
    <cellStyle name="Normal 4 3 8 4 4" xfId="13290" xr:uid="{00000000-0005-0000-0000-000073A70000}"/>
    <cellStyle name="Normal 4 3 8 4 4 2" xfId="26858" xr:uid="{00000000-0005-0000-0000-000074A70000}"/>
    <cellStyle name="Normal 4 3 8 4 4 2 2" xfId="53991" xr:uid="{00000000-0005-0000-0000-000075A70000}"/>
    <cellStyle name="Normal 4 3 8 4 4 3" xfId="40429" xr:uid="{00000000-0005-0000-0000-000076A70000}"/>
    <cellStyle name="Normal 4 3 8 4 5" xfId="20077" xr:uid="{00000000-0005-0000-0000-000077A70000}"/>
    <cellStyle name="Normal 4 3 8 4 5 2" xfId="47210" xr:uid="{00000000-0005-0000-0000-000078A70000}"/>
    <cellStyle name="Normal 4 3 8 4 6" xfId="33648" xr:uid="{00000000-0005-0000-0000-000079A70000}"/>
    <cellStyle name="Normal 4 3 8 5" xfId="6358" xr:uid="{00000000-0005-0000-0000-00007AA70000}"/>
    <cellStyle name="Normal 4 3 8 5 2" xfId="9891" xr:uid="{00000000-0005-0000-0000-00007BA70000}"/>
    <cellStyle name="Normal 4 3 8 5 2 2" xfId="16681" xr:uid="{00000000-0005-0000-0000-00007CA70000}"/>
    <cellStyle name="Normal 4 3 8 5 2 2 2" xfId="30249" xr:uid="{00000000-0005-0000-0000-00007DA70000}"/>
    <cellStyle name="Normal 4 3 8 5 2 2 2 2" xfId="57382" xr:uid="{00000000-0005-0000-0000-00007EA70000}"/>
    <cellStyle name="Normal 4 3 8 5 2 2 3" xfId="43820" xr:uid="{00000000-0005-0000-0000-00007FA70000}"/>
    <cellStyle name="Normal 4 3 8 5 2 3" xfId="23468" xr:uid="{00000000-0005-0000-0000-000080A70000}"/>
    <cellStyle name="Normal 4 3 8 5 2 3 2" xfId="50601" xr:uid="{00000000-0005-0000-0000-000081A70000}"/>
    <cellStyle name="Normal 4 3 8 5 2 4" xfId="37039" xr:uid="{00000000-0005-0000-0000-000082A70000}"/>
    <cellStyle name="Normal 4 3 8 5 3" xfId="13292" xr:uid="{00000000-0005-0000-0000-000083A70000}"/>
    <cellStyle name="Normal 4 3 8 5 3 2" xfId="26860" xr:uid="{00000000-0005-0000-0000-000084A70000}"/>
    <cellStyle name="Normal 4 3 8 5 3 2 2" xfId="53993" xr:uid="{00000000-0005-0000-0000-000085A70000}"/>
    <cellStyle name="Normal 4 3 8 5 3 3" xfId="40431" xr:uid="{00000000-0005-0000-0000-000086A70000}"/>
    <cellStyle name="Normal 4 3 8 5 4" xfId="20079" xr:uid="{00000000-0005-0000-0000-000087A70000}"/>
    <cellStyle name="Normal 4 3 8 5 4 2" xfId="47212" xr:uid="{00000000-0005-0000-0000-000088A70000}"/>
    <cellStyle name="Normal 4 3 8 5 5" xfId="33650" xr:uid="{00000000-0005-0000-0000-000089A70000}"/>
    <cellStyle name="Normal 4 3 8 6" xfId="6359" xr:uid="{00000000-0005-0000-0000-00008AA70000}"/>
    <cellStyle name="Normal 4 3 8 6 2" xfId="9892" xr:uid="{00000000-0005-0000-0000-00008BA70000}"/>
    <cellStyle name="Normal 4 3 8 6 2 2" xfId="16682" xr:uid="{00000000-0005-0000-0000-00008CA70000}"/>
    <cellStyle name="Normal 4 3 8 6 2 2 2" xfId="30250" xr:uid="{00000000-0005-0000-0000-00008DA70000}"/>
    <cellStyle name="Normal 4 3 8 6 2 2 2 2" xfId="57383" xr:uid="{00000000-0005-0000-0000-00008EA70000}"/>
    <cellStyle name="Normal 4 3 8 6 2 2 3" xfId="43821" xr:uid="{00000000-0005-0000-0000-00008FA70000}"/>
    <cellStyle name="Normal 4 3 8 6 2 3" xfId="23469" xr:uid="{00000000-0005-0000-0000-000090A70000}"/>
    <cellStyle name="Normal 4 3 8 6 2 3 2" xfId="50602" xr:uid="{00000000-0005-0000-0000-000091A70000}"/>
    <cellStyle name="Normal 4 3 8 6 2 4" xfId="37040" xr:uid="{00000000-0005-0000-0000-000092A70000}"/>
    <cellStyle name="Normal 4 3 8 6 3" xfId="13293" xr:uid="{00000000-0005-0000-0000-000093A70000}"/>
    <cellStyle name="Normal 4 3 8 6 3 2" xfId="26861" xr:uid="{00000000-0005-0000-0000-000094A70000}"/>
    <cellStyle name="Normal 4 3 8 6 3 2 2" xfId="53994" xr:uid="{00000000-0005-0000-0000-000095A70000}"/>
    <cellStyle name="Normal 4 3 8 6 3 3" xfId="40432" xr:uid="{00000000-0005-0000-0000-000096A70000}"/>
    <cellStyle name="Normal 4 3 8 6 4" xfId="20080" xr:uid="{00000000-0005-0000-0000-000097A70000}"/>
    <cellStyle name="Normal 4 3 8 6 4 2" xfId="47213" xr:uid="{00000000-0005-0000-0000-000098A70000}"/>
    <cellStyle name="Normal 4 3 8 6 5" xfId="33651" xr:uid="{00000000-0005-0000-0000-000099A70000}"/>
    <cellStyle name="Normal 4 3 8 7" xfId="9877" xr:uid="{00000000-0005-0000-0000-00009AA70000}"/>
    <cellStyle name="Normal 4 3 8 7 2" xfId="16667" xr:uid="{00000000-0005-0000-0000-00009BA70000}"/>
    <cellStyle name="Normal 4 3 8 7 2 2" xfId="30235" xr:uid="{00000000-0005-0000-0000-00009CA70000}"/>
    <cellStyle name="Normal 4 3 8 7 2 2 2" xfId="57368" xr:uid="{00000000-0005-0000-0000-00009DA70000}"/>
    <cellStyle name="Normal 4 3 8 7 2 3" xfId="43806" xr:uid="{00000000-0005-0000-0000-00009EA70000}"/>
    <cellStyle name="Normal 4 3 8 7 3" xfId="23454" xr:uid="{00000000-0005-0000-0000-00009FA70000}"/>
    <cellStyle name="Normal 4 3 8 7 3 2" xfId="50587" xr:uid="{00000000-0005-0000-0000-0000A0A70000}"/>
    <cellStyle name="Normal 4 3 8 7 4" xfId="37025" xr:uid="{00000000-0005-0000-0000-0000A1A70000}"/>
    <cellStyle name="Normal 4 3 8 8" xfId="13278" xr:uid="{00000000-0005-0000-0000-0000A2A70000}"/>
    <cellStyle name="Normal 4 3 8 8 2" xfId="26846" xr:uid="{00000000-0005-0000-0000-0000A3A70000}"/>
    <cellStyle name="Normal 4 3 8 8 2 2" xfId="53979" xr:uid="{00000000-0005-0000-0000-0000A4A70000}"/>
    <cellStyle name="Normal 4 3 8 8 3" xfId="40417" xr:uid="{00000000-0005-0000-0000-0000A5A70000}"/>
    <cellStyle name="Normal 4 3 8 9" xfId="20065" xr:uid="{00000000-0005-0000-0000-0000A6A70000}"/>
    <cellStyle name="Normal 4 3 8 9 2" xfId="47198" xr:uid="{00000000-0005-0000-0000-0000A7A70000}"/>
    <cellStyle name="Normal 4 3 9" xfId="6360" xr:uid="{00000000-0005-0000-0000-0000A8A70000}"/>
    <cellStyle name="Normal 4 3 9 2" xfId="6361" xr:uid="{00000000-0005-0000-0000-0000A9A70000}"/>
    <cellStyle name="Normal 4 3 9 2 2" xfId="6362" xr:uid="{00000000-0005-0000-0000-0000AAA70000}"/>
    <cellStyle name="Normal 4 3 9 2 2 2" xfId="9895" xr:uid="{00000000-0005-0000-0000-0000ABA70000}"/>
    <cellStyle name="Normal 4 3 9 2 2 2 2" xfId="16685" xr:uid="{00000000-0005-0000-0000-0000ACA70000}"/>
    <cellStyle name="Normal 4 3 9 2 2 2 2 2" xfId="30253" xr:uid="{00000000-0005-0000-0000-0000ADA70000}"/>
    <cellStyle name="Normal 4 3 9 2 2 2 2 2 2" xfId="57386" xr:uid="{00000000-0005-0000-0000-0000AEA70000}"/>
    <cellStyle name="Normal 4 3 9 2 2 2 2 3" xfId="43824" xr:uid="{00000000-0005-0000-0000-0000AFA70000}"/>
    <cellStyle name="Normal 4 3 9 2 2 2 3" xfId="23472" xr:uid="{00000000-0005-0000-0000-0000B0A70000}"/>
    <cellStyle name="Normal 4 3 9 2 2 2 3 2" xfId="50605" xr:uid="{00000000-0005-0000-0000-0000B1A70000}"/>
    <cellStyle name="Normal 4 3 9 2 2 2 4" xfId="37043" xr:uid="{00000000-0005-0000-0000-0000B2A70000}"/>
    <cellStyle name="Normal 4 3 9 2 2 3" xfId="13296" xr:uid="{00000000-0005-0000-0000-0000B3A70000}"/>
    <cellStyle name="Normal 4 3 9 2 2 3 2" xfId="26864" xr:uid="{00000000-0005-0000-0000-0000B4A70000}"/>
    <cellStyle name="Normal 4 3 9 2 2 3 2 2" xfId="53997" xr:uid="{00000000-0005-0000-0000-0000B5A70000}"/>
    <cellStyle name="Normal 4 3 9 2 2 3 3" xfId="40435" xr:uid="{00000000-0005-0000-0000-0000B6A70000}"/>
    <cellStyle name="Normal 4 3 9 2 2 4" xfId="20083" xr:uid="{00000000-0005-0000-0000-0000B7A70000}"/>
    <cellStyle name="Normal 4 3 9 2 2 4 2" xfId="47216" xr:uid="{00000000-0005-0000-0000-0000B8A70000}"/>
    <cellStyle name="Normal 4 3 9 2 2 5" xfId="33654" xr:uid="{00000000-0005-0000-0000-0000B9A70000}"/>
    <cellStyle name="Normal 4 3 9 2 3" xfId="6363" xr:uid="{00000000-0005-0000-0000-0000BAA70000}"/>
    <cellStyle name="Normal 4 3 9 2 3 2" xfId="9896" xr:uid="{00000000-0005-0000-0000-0000BBA70000}"/>
    <cellStyle name="Normal 4 3 9 2 3 2 2" xfId="16686" xr:uid="{00000000-0005-0000-0000-0000BCA70000}"/>
    <cellStyle name="Normal 4 3 9 2 3 2 2 2" xfId="30254" xr:uid="{00000000-0005-0000-0000-0000BDA70000}"/>
    <cellStyle name="Normal 4 3 9 2 3 2 2 2 2" xfId="57387" xr:uid="{00000000-0005-0000-0000-0000BEA70000}"/>
    <cellStyle name="Normal 4 3 9 2 3 2 2 3" xfId="43825" xr:uid="{00000000-0005-0000-0000-0000BFA70000}"/>
    <cellStyle name="Normal 4 3 9 2 3 2 3" xfId="23473" xr:uid="{00000000-0005-0000-0000-0000C0A70000}"/>
    <cellStyle name="Normal 4 3 9 2 3 2 3 2" xfId="50606" xr:uid="{00000000-0005-0000-0000-0000C1A70000}"/>
    <cellStyle name="Normal 4 3 9 2 3 2 4" xfId="37044" xr:uid="{00000000-0005-0000-0000-0000C2A70000}"/>
    <cellStyle name="Normal 4 3 9 2 3 3" xfId="13297" xr:uid="{00000000-0005-0000-0000-0000C3A70000}"/>
    <cellStyle name="Normal 4 3 9 2 3 3 2" xfId="26865" xr:uid="{00000000-0005-0000-0000-0000C4A70000}"/>
    <cellStyle name="Normal 4 3 9 2 3 3 2 2" xfId="53998" xr:uid="{00000000-0005-0000-0000-0000C5A70000}"/>
    <cellStyle name="Normal 4 3 9 2 3 3 3" xfId="40436" xr:uid="{00000000-0005-0000-0000-0000C6A70000}"/>
    <cellStyle name="Normal 4 3 9 2 3 4" xfId="20084" xr:uid="{00000000-0005-0000-0000-0000C7A70000}"/>
    <cellStyle name="Normal 4 3 9 2 3 4 2" xfId="47217" xr:uid="{00000000-0005-0000-0000-0000C8A70000}"/>
    <cellStyle name="Normal 4 3 9 2 3 5" xfId="33655" xr:uid="{00000000-0005-0000-0000-0000C9A70000}"/>
    <cellStyle name="Normal 4 3 9 2 4" xfId="9894" xr:uid="{00000000-0005-0000-0000-0000CAA70000}"/>
    <cellStyle name="Normal 4 3 9 2 4 2" xfId="16684" xr:uid="{00000000-0005-0000-0000-0000CBA70000}"/>
    <cellStyle name="Normal 4 3 9 2 4 2 2" xfId="30252" xr:uid="{00000000-0005-0000-0000-0000CCA70000}"/>
    <cellStyle name="Normal 4 3 9 2 4 2 2 2" xfId="57385" xr:uid="{00000000-0005-0000-0000-0000CDA70000}"/>
    <cellStyle name="Normal 4 3 9 2 4 2 3" xfId="43823" xr:uid="{00000000-0005-0000-0000-0000CEA70000}"/>
    <cellStyle name="Normal 4 3 9 2 4 3" xfId="23471" xr:uid="{00000000-0005-0000-0000-0000CFA70000}"/>
    <cellStyle name="Normal 4 3 9 2 4 3 2" xfId="50604" xr:uid="{00000000-0005-0000-0000-0000D0A70000}"/>
    <cellStyle name="Normal 4 3 9 2 4 4" xfId="37042" xr:uid="{00000000-0005-0000-0000-0000D1A70000}"/>
    <cellStyle name="Normal 4 3 9 2 5" xfId="13295" xr:uid="{00000000-0005-0000-0000-0000D2A70000}"/>
    <cellStyle name="Normal 4 3 9 2 5 2" xfId="26863" xr:uid="{00000000-0005-0000-0000-0000D3A70000}"/>
    <cellStyle name="Normal 4 3 9 2 5 2 2" xfId="53996" xr:uid="{00000000-0005-0000-0000-0000D4A70000}"/>
    <cellStyle name="Normal 4 3 9 2 5 3" xfId="40434" xr:uid="{00000000-0005-0000-0000-0000D5A70000}"/>
    <cellStyle name="Normal 4 3 9 2 6" xfId="20082" xr:uid="{00000000-0005-0000-0000-0000D6A70000}"/>
    <cellStyle name="Normal 4 3 9 2 6 2" xfId="47215" xr:uid="{00000000-0005-0000-0000-0000D7A70000}"/>
    <cellStyle name="Normal 4 3 9 2 7" xfId="33653" xr:uid="{00000000-0005-0000-0000-0000D8A70000}"/>
    <cellStyle name="Normal 4 3 9 3" xfId="6364" xr:uid="{00000000-0005-0000-0000-0000D9A70000}"/>
    <cellStyle name="Normal 4 3 9 3 2" xfId="6365" xr:uid="{00000000-0005-0000-0000-0000DAA70000}"/>
    <cellStyle name="Normal 4 3 9 3 2 2" xfId="9898" xr:uid="{00000000-0005-0000-0000-0000DBA70000}"/>
    <cellStyle name="Normal 4 3 9 3 2 2 2" xfId="16688" xr:uid="{00000000-0005-0000-0000-0000DCA70000}"/>
    <cellStyle name="Normal 4 3 9 3 2 2 2 2" xfId="30256" xr:uid="{00000000-0005-0000-0000-0000DDA70000}"/>
    <cellStyle name="Normal 4 3 9 3 2 2 2 2 2" xfId="57389" xr:uid="{00000000-0005-0000-0000-0000DEA70000}"/>
    <cellStyle name="Normal 4 3 9 3 2 2 2 3" xfId="43827" xr:uid="{00000000-0005-0000-0000-0000DFA70000}"/>
    <cellStyle name="Normal 4 3 9 3 2 2 3" xfId="23475" xr:uid="{00000000-0005-0000-0000-0000E0A70000}"/>
    <cellStyle name="Normal 4 3 9 3 2 2 3 2" xfId="50608" xr:uid="{00000000-0005-0000-0000-0000E1A70000}"/>
    <cellStyle name="Normal 4 3 9 3 2 2 4" xfId="37046" xr:uid="{00000000-0005-0000-0000-0000E2A70000}"/>
    <cellStyle name="Normal 4 3 9 3 2 3" xfId="13299" xr:uid="{00000000-0005-0000-0000-0000E3A70000}"/>
    <cellStyle name="Normal 4 3 9 3 2 3 2" xfId="26867" xr:uid="{00000000-0005-0000-0000-0000E4A70000}"/>
    <cellStyle name="Normal 4 3 9 3 2 3 2 2" xfId="54000" xr:uid="{00000000-0005-0000-0000-0000E5A70000}"/>
    <cellStyle name="Normal 4 3 9 3 2 3 3" xfId="40438" xr:uid="{00000000-0005-0000-0000-0000E6A70000}"/>
    <cellStyle name="Normal 4 3 9 3 2 4" xfId="20086" xr:uid="{00000000-0005-0000-0000-0000E7A70000}"/>
    <cellStyle name="Normal 4 3 9 3 2 4 2" xfId="47219" xr:uid="{00000000-0005-0000-0000-0000E8A70000}"/>
    <cellStyle name="Normal 4 3 9 3 2 5" xfId="33657" xr:uid="{00000000-0005-0000-0000-0000E9A70000}"/>
    <cellStyle name="Normal 4 3 9 3 3" xfId="9897" xr:uid="{00000000-0005-0000-0000-0000EAA70000}"/>
    <cellStyle name="Normal 4 3 9 3 3 2" xfId="16687" xr:uid="{00000000-0005-0000-0000-0000EBA70000}"/>
    <cellStyle name="Normal 4 3 9 3 3 2 2" xfId="30255" xr:uid="{00000000-0005-0000-0000-0000ECA70000}"/>
    <cellStyle name="Normal 4 3 9 3 3 2 2 2" xfId="57388" xr:uid="{00000000-0005-0000-0000-0000EDA70000}"/>
    <cellStyle name="Normal 4 3 9 3 3 2 3" xfId="43826" xr:uid="{00000000-0005-0000-0000-0000EEA70000}"/>
    <cellStyle name="Normal 4 3 9 3 3 3" xfId="23474" xr:uid="{00000000-0005-0000-0000-0000EFA70000}"/>
    <cellStyle name="Normal 4 3 9 3 3 3 2" xfId="50607" xr:uid="{00000000-0005-0000-0000-0000F0A70000}"/>
    <cellStyle name="Normal 4 3 9 3 3 4" xfId="37045" xr:uid="{00000000-0005-0000-0000-0000F1A70000}"/>
    <cellStyle name="Normal 4 3 9 3 4" xfId="13298" xr:uid="{00000000-0005-0000-0000-0000F2A70000}"/>
    <cellStyle name="Normal 4 3 9 3 4 2" xfId="26866" xr:uid="{00000000-0005-0000-0000-0000F3A70000}"/>
    <cellStyle name="Normal 4 3 9 3 4 2 2" xfId="53999" xr:uid="{00000000-0005-0000-0000-0000F4A70000}"/>
    <cellStyle name="Normal 4 3 9 3 4 3" xfId="40437" xr:uid="{00000000-0005-0000-0000-0000F5A70000}"/>
    <cellStyle name="Normal 4 3 9 3 5" xfId="20085" xr:uid="{00000000-0005-0000-0000-0000F6A70000}"/>
    <cellStyle name="Normal 4 3 9 3 5 2" xfId="47218" xr:uid="{00000000-0005-0000-0000-0000F7A70000}"/>
    <cellStyle name="Normal 4 3 9 3 6" xfId="33656" xr:uid="{00000000-0005-0000-0000-0000F8A70000}"/>
    <cellStyle name="Normal 4 3 9 4" xfId="6366" xr:uid="{00000000-0005-0000-0000-0000F9A70000}"/>
    <cellStyle name="Normal 4 3 9 4 2" xfId="9899" xr:uid="{00000000-0005-0000-0000-0000FAA70000}"/>
    <cellStyle name="Normal 4 3 9 4 2 2" xfId="16689" xr:uid="{00000000-0005-0000-0000-0000FBA70000}"/>
    <cellStyle name="Normal 4 3 9 4 2 2 2" xfId="30257" xr:uid="{00000000-0005-0000-0000-0000FCA70000}"/>
    <cellStyle name="Normal 4 3 9 4 2 2 2 2" xfId="57390" xr:uid="{00000000-0005-0000-0000-0000FDA70000}"/>
    <cellStyle name="Normal 4 3 9 4 2 2 3" xfId="43828" xr:uid="{00000000-0005-0000-0000-0000FEA70000}"/>
    <cellStyle name="Normal 4 3 9 4 2 3" xfId="23476" xr:uid="{00000000-0005-0000-0000-0000FFA70000}"/>
    <cellStyle name="Normal 4 3 9 4 2 3 2" xfId="50609" xr:uid="{00000000-0005-0000-0000-000000A80000}"/>
    <cellStyle name="Normal 4 3 9 4 2 4" xfId="37047" xr:uid="{00000000-0005-0000-0000-000001A80000}"/>
    <cellStyle name="Normal 4 3 9 4 3" xfId="13300" xr:uid="{00000000-0005-0000-0000-000002A80000}"/>
    <cellStyle name="Normal 4 3 9 4 3 2" xfId="26868" xr:uid="{00000000-0005-0000-0000-000003A80000}"/>
    <cellStyle name="Normal 4 3 9 4 3 2 2" xfId="54001" xr:uid="{00000000-0005-0000-0000-000004A80000}"/>
    <cellStyle name="Normal 4 3 9 4 3 3" xfId="40439" xr:uid="{00000000-0005-0000-0000-000005A80000}"/>
    <cellStyle name="Normal 4 3 9 4 4" xfId="20087" xr:uid="{00000000-0005-0000-0000-000006A80000}"/>
    <cellStyle name="Normal 4 3 9 4 4 2" xfId="47220" xr:uid="{00000000-0005-0000-0000-000007A80000}"/>
    <cellStyle name="Normal 4 3 9 4 5" xfId="33658" xr:uid="{00000000-0005-0000-0000-000008A80000}"/>
    <cellStyle name="Normal 4 3 9 5" xfId="6367" xr:uid="{00000000-0005-0000-0000-000009A80000}"/>
    <cellStyle name="Normal 4 3 9 5 2" xfId="9900" xr:uid="{00000000-0005-0000-0000-00000AA80000}"/>
    <cellStyle name="Normal 4 3 9 5 2 2" xfId="16690" xr:uid="{00000000-0005-0000-0000-00000BA80000}"/>
    <cellStyle name="Normal 4 3 9 5 2 2 2" xfId="30258" xr:uid="{00000000-0005-0000-0000-00000CA80000}"/>
    <cellStyle name="Normal 4 3 9 5 2 2 2 2" xfId="57391" xr:uid="{00000000-0005-0000-0000-00000DA80000}"/>
    <cellStyle name="Normal 4 3 9 5 2 2 3" xfId="43829" xr:uid="{00000000-0005-0000-0000-00000EA80000}"/>
    <cellStyle name="Normal 4 3 9 5 2 3" xfId="23477" xr:uid="{00000000-0005-0000-0000-00000FA80000}"/>
    <cellStyle name="Normal 4 3 9 5 2 3 2" xfId="50610" xr:uid="{00000000-0005-0000-0000-000010A80000}"/>
    <cellStyle name="Normal 4 3 9 5 2 4" xfId="37048" xr:uid="{00000000-0005-0000-0000-000011A80000}"/>
    <cellStyle name="Normal 4 3 9 5 3" xfId="13301" xr:uid="{00000000-0005-0000-0000-000012A80000}"/>
    <cellStyle name="Normal 4 3 9 5 3 2" xfId="26869" xr:uid="{00000000-0005-0000-0000-000013A80000}"/>
    <cellStyle name="Normal 4 3 9 5 3 2 2" xfId="54002" xr:uid="{00000000-0005-0000-0000-000014A80000}"/>
    <cellStyle name="Normal 4 3 9 5 3 3" xfId="40440" xr:uid="{00000000-0005-0000-0000-000015A80000}"/>
    <cellStyle name="Normal 4 3 9 5 4" xfId="20088" xr:uid="{00000000-0005-0000-0000-000016A80000}"/>
    <cellStyle name="Normal 4 3 9 5 4 2" xfId="47221" xr:uid="{00000000-0005-0000-0000-000017A80000}"/>
    <cellStyle name="Normal 4 3 9 5 5" xfId="33659" xr:uid="{00000000-0005-0000-0000-000018A80000}"/>
    <cellStyle name="Normal 4 3 9 6" xfId="9893" xr:uid="{00000000-0005-0000-0000-000019A80000}"/>
    <cellStyle name="Normal 4 3 9 6 2" xfId="16683" xr:uid="{00000000-0005-0000-0000-00001AA80000}"/>
    <cellStyle name="Normal 4 3 9 6 2 2" xfId="30251" xr:uid="{00000000-0005-0000-0000-00001BA80000}"/>
    <cellStyle name="Normal 4 3 9 6 2 2 2" xfId="57384" xr:uid="{00000000-0005-0000-0000-00001CA80000}"/>
    <cellStyle name="Normal 4 3 9 6 2 3" xfId="43822" xr:uid="{00000000-0005-0000-0000-00001DA80000}"/>
    <cellStyle name="Normal 4 3 9 6 3" xfId="23470" xr:uid="{00000000-0005-0000-0000-00001EA80000}"/>
    <cellStyle name="Normal 4 3 9 6 3 2" xfId="50603" xr:uid="{00000000-0005-0000-0000-00001FA80000}"/>
    <cellStyle name="Normal 4 3 9 6 4" xfId="37041" xr:uid="{00000000-0005-0000-0000-000020A80000}"/>
    <cellStyle name="Normal 4 3 9 7" xfId="13294" xr:uid="{00000000-0005-0000-0000-000021A80000}"/>
    <cellStyle name="Normal 4 3 9 7 2" xfId="26862" xr:uid="{00000000-0005-0000-0000-000022A80000}"/>
    <cellStyle name="Normal 4 3 9 7 2 2" xfId="53995" xr:uid="{00000000-0005-0000-0000-000023A80000}"/>
    <cellStyle name="Normal 4 3 9 7 3" xfId="40433" xr:uid="{00000000-0005-0000-0000-000024A80000}"/>
    <cellStyle name="Normal 4 3 9 8" xfId="20081" xr:uid="{00000000-0005-0000-0000-000025A80000}"/>
    <cellStyle name="Normal 4 3 9 8 2" xfId="47214" xr:uid="{00000000-0005-0000-0000-000026A80000}"/>
    <cellStyle name="Normal 4 3 9 9" xfId="33652" xr:uid="{00000000-0005-0000-0000-000027A80000}"/>
    <cellStyle name="Normal 4 30" xfId="7441" xr:uid="{00000000-0005-0000-0000-000028A80000}"/>
    <cellStyle name="Normal 4 31" xfId="7442" xr:uid="{00000000-0005-0000-0000-000029A80000}"/>
    <cellStyle name="Normal 4 32" xfId="7443" xr:uid="{00000000-0005-0000-0000-00002AA80000}"/>
    <cellStyle name="Normal 4 33" xfId="7444" xr:uid="{00000000-0005-0000-0000-00002BA80000}"/>
    <cellStyle name="Normal 4 34" xfId="7445" xr:uid="{00000000-0005-0000-0000-00002CA80000}"/>
    <cellStyle name="Normal 4 35" xfId="7446" xr:uid="{00000000-0005-0000-0000-00002DA80000}"/>
    <cellStyle name="Normal 4 36" xfId="7447" xr:uid="{00000000-0005-0000-0000-00002EA80000}"/>
    <cellStyle name="Normal 4 37" xfId="7448" xr:uid="{00000000-0005-0000-0000-00002FA80000}"/>
    <cellStyle name="Normal 4 4" xfId="2775" xr:uid="{00000000-0005-0000-0000-000030A80000}"/>
    <cellStyle name="Normal 4 4 10" xfId="6368" xr:uid="{00000000-0005-0000-0000-000031A80000}"/>
    <cellStyle name="Normal 4 4 10 2" xfId="9901" xr:uid="{00000000-0005-0000-0000-000032A80000}"/>
    <cellStyle name="Normal 4 4 10 2 2" xfId="16691" xr:uid="{00000000-0005-0000-0000-000033A80000}"/>
    <cellStyle name="Normal 4 4 10 2 2 2" xfId="30259" xr:uid="{00000000-0005-0000-0000-000034A80000}"/>
    <cellStyle name="Normal 4 4 10 2 2 2 2" xfId="57392" xr:uid="{00000000-0005-0000-0000-000035A80000}"/>
    <cellStyle name="Normal 4 4 10 2 2 3" xfId="43830" xr:uid="{00000000-0005-0000-0000-000036A80000}"/>
    <cellStyle name="Normal 4 4 10 2 3" xfId="23478" xr:uid="{00000000-0005-0000-0000-000037A80000}"/>
    <cellStyle name="Normal 4 4 10 2 3 2" xfId="50611" xr:uid="{00000000-0005-0000-0000-000038A80000}"/>
    <cellStyle name="Normal 4 4 10 2 4" xfId="37049" xr:uid="{00000000-0005-0000-0000-000039A80000}"/>
    <cellStyle name="Normal 4 4 10 3" xfId="13302" xr:uid="{00000000-0005-0000-0000-00003AA80000}"/>
    <cellStyle name="Normal 4 4 10 3 2" xfId="26870" xr:uid="{00000000-0005-0000-0000-00003BA80000}"/>
    <cellStyle name="Normal 4 4 10 3 2 2" xfId="54003" xr:uid="{00000000-0005-0000-0000-00003CA80000}"/>
    <cellStyle name="Normal 4 4 10 3 3" xfId="40441" xr:uid="{00000000-0005-0000-0000-00003DA80000}"/>
    <cellStyle name="Normal 4 4 10 4" xfId="20089" xr:uid="{00000000-0005-0000-0000-00003EA80000}"/>
    <cellStyle name="Normal 4 4 10 4 2" xfId="47222" xr:uid="{00000000-0005-0000-0000-00003FA80000}"/>
    <cellStyle name="Normal 4 4 10 5" xfId="33660" xr:uid="{00000000-0005-0000-0000-000040A80000}"/>
    <cellStyle name="Normal 4 4 11" xfId="6369" xr:uid="{00000000-0005-0000-0000-000041A80000}"/>
    <cellStyle name="Normal 4 4 11 2" xfId="9902" xr:uid="{00000000-0005-0000-0000-000042A80000}"/>
    <cellStyle name="Normal 4 4 11 2 2" xfId="16692" xr:uid="{00000000-0005-0000-0000-000043A80000}"/>
    <cellStyle name="Normal 4 4 11 2 2 2" xfId="30260" xr:uid="{00000000-0005-0000-0000-000044A80000}"/>
    <cellStyle name="Normal 4 4 11 2 2 2 2" xfId="57393" xr:uid="{00000000-0005-0000-0000-000045A80000}"/>
    <cellStyle name="Normal 4 4 11 2 2 3" xfId="43831" xr:uid="{00000000-0005-0000-0000-000046A80000}"/>
    <cellStyle name="Normal 4 4 11 2 3" xfId="23479" xr:uid="{00000000-0005-0000-0000-000047A80000}"/>
    <cellStyle name="Normal 4 4 11 2 3 2" xfId="50612" xr:uid="{00000000-0005-0000-0000-000048A80000}"/>
    <cellStyle name="Normal 4 4 11 2 4" xfId="37050" xr:uid="{00000000-0005-0000-0000-000049A80000}"/>
    <cellStyle name="Normal 4 4 11 3" xfId="13303" xr:uid="{00000000-0005-0000-0000-00004AA80000}"/>
    <cellStyle name="Normal 4 4 11 3 2" xfId="26871" xr:uid="{00000000-0005-0000-0000-00004BA80000}"/>
    <cellStyle name="Normal 4 4 11 3 2 2" xfId="54004" xr:uid="{00000000-0005-0000-0000-00004CA80000}"/>
    <cellStyle name="Normal 4 4 11 3 3" xfId="40442" xr:uid="{00000000-0005-0000-0000-00004DA80000}"/>
    <cellStyle name="Normal 4 4 11 4" xfId="20090" xr:uid="{00000000-0005-0000-0000-00004EA80000}"/>
    <cellStyle name="Normal 4 4 11 4 2" xfId="47223" xr:uid="{00000000-0005-0000-0000-00004FA80000}"/>
    <cellStyle name="Normal 4 4 11 5" xfId="33661" xr:uid="{00000000-0005-0000-0000-000050A80000}"/>
    <cellStyle name="Normal 4 4 12" xfId="7580" xr:uid="{00000000-0005-0000-0000-000051A80000}"/>
    <cellStyle name="Normal 4 4 12 2" xfId="14370" xr:uid="{00000000-0005-0000-0000-000052A80000}"/>
    <cellStyle name="Normal 4 4 12 2 2" xfId="27938" xr:uid="{00000000-0005-0000-0000-000053A80000}"/>
    <cellStyle name="Normal 4 4 12 2 2 2" xfId="55071" xr:uid="{00000000-0005-0000-0000-000054A80000}"/>
    <cellStyle name="Normal 4 4 12 2 3" xfId="41509" xr:uid="{00000000-0005-0000-0000-000055A80000}"/>
    <cellStyle name="Normal 4 4 12 3" xfId="21157" xr:uid="{00000000-0005-0000-0000-000056A80000}"/>
    <cellStyle name="Normal 4 4 12 3 2" xfId="48290" xr:uid="{00000000-0005-0000-0000-000057A80000}"/>
    <cellStyle name="Normal 4 4 12 4" xfId="34728" xr:uid="{00000000-0005-0000-0000-000058A80000}"/>
    <cellStyle name="Normal 4 4 13" xfId="10981" xr:uid="{00000000-0005-0000-0000-000059A80000}"/>
    <cellStyle name="Normal 4 4 13 2" xfId="24549" xr:uid="{00000000-0005-0000-0000-00005AA80000}"/>
    <cellStyle name="Normal 4 4 13 2 2" xfId="51682" xr:uid="{00000000-0005-0000-0000-00005BA80000}"/>
    <cellStyle name="Normal 4 4 13 3" xfId="38120" xr:uid="{00000000-0005-0000-0000-00005CA80000}"/>
    <cellStyle name="Normal 4 4 14" xfId="17768" xr:uid="{00000000-0005-0000-0000-00005DA80000}"/>
    <cellStyle name="Normal 4 4 14 2" xfId="44901" xr:uid="{00000000-0005-0000-0000-00005EA80000}"/>
    <cellStyle name="Normal 4 4 15" xfId="31339" xr:uid="{00000000-0005-0000-0000-00005FA80000}"/>
    <cellStyle name="Normal 4 4 2" xfId="2776" xr:uid="{00000000-0005-0000-0000-000060A80000}"/>
    <cellStyle name="Normal 4 4 2 2" xfId="7581" xr:uid="{00000000-0005-0000-0000-000061A80000}"/>
    <cellStyle name="Normal 4 4 2 2 2" xfId="14371" xr:uid="{00000000-0005-0000-0000-000062A80000}"/>
    <cellStyle name="Normal 4 4 2 2 2 2" xfId="27939" xr:uid="{00000000-0005-0000-0000-000063A80000}"/>
    <cellStyle name="Normal 4 4 2 2 2 2 2" xfId="55072" xr:uid="{00000000-0005-0000-0000-000064A80000}"/>
    <cellStyle name="Normal 4 4 2 2 2 3" xfId="41510" xr:uid="{00000000-0005-0000-0000-000065A80000}"/>
    <cellStyle name="Normal 4 4 2 2 3" xfId="21158" xr:uid="{00000000-0005-0000-0000-000066A80000}"/>
    <cellStyle name="Normal 4 4 2 2 3 2" xfId="48291" xr:uid="{00000000-0005-0000-0000-000067A80000}"/>
    <cellStyle name="Normal 4 4 2 2 4" xfId="34729" xr:uid="{00000000-0005-0000-0000-000068A80000}"/>
    <cellStyle name="Normal 4 4 2 3" xfId="10982" xr:uid="{00000000-0005-0000-0000-000069A80000}"/>
    <cellStyle name="Normal 4 4 2 3 2" xfId="24550" xr:uid="{00000000-0005-0000-0000-00006AA80000}"/>
    <cellStyle name="Normal 4 4 2 3 2 2" xfId="51683" xr:uid="{00000000-0005-0000-0000-00006BA80000}"/>
    <cellStyle name="Normal 4 4 2 3 3" xfId="38121" xr:uid="{00000000-0005-0000-0000-00006CA80000}"/>
    <cellStyle name="Normal 4 4 2 4" xfId="17769" xr:uid="{00000000-0005-0000-0000-00006DA80000}"/>
    <cellStyle name="Normal 4 4 2 4 2" xfId="44902" xr:uid="{00000000-0005-0000-0000-00006EA80000}"/>
    <cellStyle name="Normal 4 4 2 5" xfId="31340" xr:uid="{00000000-0005-0000-0000-00006FA80000}"/>
    <cellStyle name="Normal 4 4 3" xfId="6370" xr:uid="{00000000-0005-0000-0000-000070A80000}"/>
    <cellStyle name="Normal 4 4 3 10" xfId="9903" xr:uid="{00000000-0005-0000-0000-000071A80000}"/>
    <cellStyle name="Normal 4 4 3 10 2" xfId="16693" xr:uid="{00000000-0005-0000-0000-000072A80000}"/>
    <cellStyle name="Normal 4 4 3 10 2 2" xfId="30261" xr:uid="{00000000-0005-0000-0000-000073A80000}"/>
    <cellStyle name="Normal 4 4 3 10 2 2 2" xfId="57394" xr:uid="{00000000-0005-0000-0000-000074A80000}"/>
    <cellStyle name="Normal 4 4 3 10 2 3" xfId="43832" xr:uid="{00000000-0005-0000-0000-000075A80000}"/>
    <cellStyle name="Normal 4 4 3 10 3" xfId="23480" xr:uid="{00000000-0005-0000-0000-000076A80000}"/>
    <cellStyle name="Normal 4 4 3 10 3 2" xfId="50613" xr:uid="{00000000-0005-0000-0000-000077A80000}"/>
    <cellStyle name="Normal 4 4 3 10 4" xfId="37051" xr:uid="{00000000-0005-0000-0000-000078A80000}"/>
    <cellStyle name="Normal 4 4 3 11" xfId="13304" xr:uid="{00000000-0005-0000-0000-000079A80000}"/>
    <cellStyle name="Normal 4 4 3 11 2" xfId="26872" xr:uid="{00000000-0005-0000-0000-00007AA80000}"/>
    <cellStyle name="Normal 4 4 3 11 2 2" xfId="54005" xr:uid="{00000000-0005-0000-0000-00007BA80000}"/>
    <cellStyle name="Normal 4 4 3 11 3" xfId="40443" xr:uid="{00000000-0005-0000-0000-00007CA80000}"/>
    <cellStyle name="Normal 4 4 3 12" xfId="20091" xr:uid="{00000000-0005-0000-0000-00007DA80000}"/>
    <cellStyle name="Normal 4 4 3 12 2" xfId="47224" xr:uid="{00000000-0005-0000-0000-00007EA80000}"/>
    <cellStyle name="Normal 4 4 3 13" xfId="33662" xr:uid="{00000000-0005-0000-0000-00007FA80000}"/>
    <cellStyle name="Normal 4 4 3 2" xfId="6371" xr:uid="{00000000-0005-0000-0000-000080A80000}"/>
    <cellStyle name="Normal 4 4 3 2 10" xfId="33663" xr:uid="{00000000-0005-0000-0000-000081A80000}"/>
    <cellStyle name="Normal 4 4 3 2 2" xfId="6372" xr:uid="{00000000-0005-0000-0000-000082A80000}"/>
    <cellStyle name="Normal 4 4 3 2 2 2" xfId="6373" xr:uid="{00000000-0005-0000-0000-000083A80000}"/>
    <cellStyle name="Normal 4 4 3 2 2 2 2" xfId="6374" xr:uid="{00000000-0005-0000-0000-000084A80000}"/>
    <cellStyle name="Normal 4 4 3 2 2 2 2 2" xfId="9907" xr:uid="{00000000-0005-0000-0000-000085A80000}"/>
    <cellStyle name="Normal 4 4 3 2 2 2 2 2 2" xfId="16697" xr:uid="{00000000-0005-0000-0000-000086A80000}"/>
    <cellStyle name="Normal 4 4 3 2 2 2 2 2 2 2" xfId="30265" xr:uid="{00000000-0005-0000-0000-000087A80000}"/>
    <cellStyle name="Normal 4 4 3 2 2 2 2 2 2 2 2" xfId="57398" xr:uid="{00000000-0005-0000-0000-000088A80000}"/>
    <cellStyle name="Normal 4 4 3 2 2 2 2 2 2 3" xfId="43836" xr:uid="{00000000-0005-0000-0000-000089A80000}"/>
    <cellStyle name="Normal 4 4 3 2 2 2 2 2 3" xfId="23484" xr:uid="{00000000-0005-0000-0000-00008AA80000}"/>
    <cellStyle name="Normal 4 4 3 2 2 2 2 2 3 2" xfId="50617" xr:uid="{00000000-0005-0000-0000-00008BA80000}"/>
    <cellStyle name="Normal 4 4 3 2 2 2 2 2 4" xfId="37055" xr:uid="{00000000-0005-0000-0000-00008CA80000}"/>
    <cellStyle name="Normal 4 4 3 2 2 2 2 3" xfId="13308" xr:uid="{00000000-0005-0000-0000-00008DA80000}"/>
    <cellStyle name="Normal 4 4 3 2 2 2 2 3 2" xfId="26876" xr:uid="{00000000-0005-0000-0000-00008EA80000}"/>
    <cellStyle name="Normal 4 4 3 2 2 2 2 3 2 2" xfId="54009" xr:uid="{00000000-0005-0000-0000-00008FA80000}"/>
    <cellStyle name="Normal 4 4 3 2 2 2 2 3 3" xfId="40447" xr:uid="{00000000-0005-0000-0000-000090A80000}"/>
    <cellStyle name="Normal 4 4 3 2 2 2 2 4" xfId="20095" xr:uid="{00000000-0005-0000-0000-000091A80000}"/>
    <cellStyle name="Normal 4 4 3 2 2 2 2 4 2" xfId="47228" xr:uid="{00000000-0005-0000-0000-000092A80000}"/>
    <cellStyle name="Normal 4 4 3 2 2 2 2 5" xfId="33666" xr:uid="{00000000-0005-0000-0000-000093A80000}"/>
    <cellStyle name="Normal 4 4 3 2 2 2 3" xfId="6375" xr:uid="{00000000-0005-0000-0000-000094A80000}"/>
    <cellStyle name="Normal 4 4 3 2 2 2 3 2" xfId="9908" xr:uid="{00000000-0005-0000-0000-000095A80000}"/>
    <cellStyle name="Normal 4 4 3 2 2 2 3 2 2" xfId="16698" xr:uid="{00000000-0005-0000-0000-000096A80000}"/>
    <cellStyle name="Normal 4 4 3 2 2 2 3 2 2 2" xfId="30266" xr:uid="{00000000-0005-0000-0000-000097A80000}"/>
    <cellStyle name="Normal 4 4 3 2 2 2 3 2 2 2 2" xfId="57399" xr:uid="{00000000-0005-0000-0000-000098A80000}"/>
    <cellStyle name="Normal 4 4 3 2 2 2 3 2 2 3" xfId="43837" xr:uid="{00000000-0005-0000-0000-000099A80000}"/>
    <cellStyle name="Normal 4 4 3 2 2 2 3 2 3" xfId="23485" xr:uid="{00000000-0005-0000-0000-00009AA80000}"/>
    <cellStyle name="Normal 4 4 3 2 2 2 3 2 3 2" xfId="50618" xr:uid="{00000000-0005-0000-0000-00009BA80000}"/>
    <cellStyle name="Normal 4 4 3 2 2 2 3 2 4" xfId="37056" xr:uid="{00000000-0005-0000-0000-00009CA80000}"/>
    <cellStyle name="Normal 4 4 3 2 2 2 3 3" xfId="13309" xr:uid="{00000000-0005-0000-0000-00009DA80000}"/>
    <cellStyle name="Normal 4 4 3 2 2 2 3 3 2" xfId="26877" xr:uid="{00000000-0005-0000-0000-00009EA80000}"/>
    <cellStyle name="Normal 4 4 3 2 2 2 3 3 2 2" xfId="54010" xr:uid="{00000000-0005-0000-0000-00009FA80000}"/>
    <cellStyle name="Normal 4 4 3 2 2 2 3 3 3" xfId="40448" xr:uid="{00000000-0005-0000-0000-0000A0A80000}"/>
    <cellStyle name="Normal 4 4 3 2 2 2 3 4" xfId="20096" xr:uid="{00000000-0005-0000-0000-0000A1A80000}"/>
    <cellStyle name="Normal 4 4 3 2 2 2 3 4 2" xfId="47229" xr:uid="{00000000-0005-0000-0000-0000A2A80000}"/>
    <cellStyle name="Normal 4 4 3 2 2 2 3 5" xfId="33667" xr:uid="{00000000-0005-0000-0000-0000A3A80000}"/>
    <cellStyle name="Normal 4 4 3 2 2 2 4" xfId="9906" xr:uid="{00000000-0005-0000-0000-0000A4A80000}"/>
    <cellStyle name="Normal 4 4 3 2 2 2 4 2" xfId="16696" xr:uid="{00000000-0005-0000-0000-0000A5A80000}"/>
    <cellStyle name="Normal 4 4 3 2 2 2 4 2 2" xfId="30264" xr:uid="{00000000-0005-0000-0000-0000A6A80000}"/>
    <cellStyle name="Normal 4 4 3 2 2 2 4 2 2 2" xfId="57397" xr:uid="{00000000-0005-0000-0000-0000A7A80000}"/>
    <cellStyle name="Normal 4 4 3 2 2 2 4 2 3" xfId="43835" xr:uid="{00000000-0005-0000-0000-0000A8A80000}"/>
    <cellStyle name="Normal 4 4 3 2 2 2 4 3" xfId="23483" xr:uid="{00000000-0005-0000-0000-0000A9A80000}"/>
    <cellStyle name="Normal 4 4 3 2 2 2 4 3 2" xfId="50616" xr:uid="{00000000-0005-0000-0000-0000AAA80000}"/>
    <cellStyle name="Normal 4 4 3 2 2 2 4 4" xfId="37054" xr:uid="{00000000-0005-0000-0000-0000ABA80000}"/>
    <cellStyle name="Normal 4 4 3 2 2 2 5" xfId="13307" xr:uid="{00000000-0005-0000-0000-0000ACA80000}"/>
    <cellStyle name="Normal 4 4 3 2 2 2 5 2" xfId="26875" xr:uid="{00000000-0005-0000-0000-0000ADA80000}"/>
    <cellStyle name="Normal 4 4 3 2 2 2 5 2 2" xfId="54008" xr:uid="{00000000-0005-0000-0000-0000AEA80000}"/>
    <cellStyle name="Normal 4 4 3 2 2 2 5 3" xfId="40446" xr:uid="{00000000-0005-0000-0000-0000AFA80000}"/>
    <cellStyle name="Normal 4 4 3 2 2 2 6" xfId="20094" xr:uid="{00000000-0005-0000-0000-0000B0A80000}"/>
    <cellStyle name="Normal 4 4 3 2 2 2 6 2" xfId="47227" xr:uid="{00000000-0005-0000-0000-0000B1A80000}"/>
    <cellStyle name="Normal 4 4 3 2 2 2 7" xfId="33665" xr:uid="{00000000-0005-0000-0000-0000B2A80000}"/>
    <cellStyle name="Normal 4 4 3 2 2 3" xfId="6376" xr:uid="{00000000-0005-0000-0000-0000B3A80000}"/>
    <cellStyle name="Normal 4 4 3 2 2 3 2" xfId="6377" xr:uid="{00000000-0005-0000-0000-0000B4A80000}"/>
    <cellStyle name="Normal 4 4 3 2 2 3 2 2" xfId="9910" xr:uid="{00000000-0005-0000-0000-0000B5A80000}"/>
    <cellStyle name="Normal 4 4 3 2 2 3 2 2 2" xfId="16700" xr:uid="{00000000-0005-0000-0000-0000B6A80000}"/>
    <cellStyle name="Normal 4 4 3 2 2 3 2 2 2 2" xfId="30268" xr:uid="{00000000-0005-0000-0000-0000B7A80000}"/>
    <cellStyle name="Normal 4 4 3 2 2 3 2 2 2 2 2" xfId="57401" xr:uid="{00000000-0005-0000-0000-0000B8A80000}"/>
    <cellStyle name="Normal 4 4 3 2 2 3 2 2 2 3" xfId="43839" xr:uid="{00000000-0005-0000-0000-0000B9A80000}"/>
    <cellStyle name="Normal 4 4 3 2 2 3 2 2 3" xfId="23487" xr:uid="{00000000-0005-0000-0000-0000BAA80000}"/>
    <cellStyle name="Normal 4 4 3 2 2 3 2 2 3 2" xfId="50620" xr:uid="{00000000-0005-0000-0000-0000BBA80000}"/>
    <cellStyle name="Normal 4 4 3 2 2 3 2 2 4" xfId="37058" xr:uid="{00000000-0005-0000-0000-0000BCA80000}"/>
    <cellStyle name="Normal 4 4 3 2 2 3 2 3" xfId="13311" xr:uid="{00000000-0005-0000-0000-0000BDA80000}"/>
    <cellStyle name="Normal 4 4 3 2 2 3 2 3 2" xfId="26879" xr:uid="{00000000-0005-0000-0000-0000BEA80000}"/>
    <cellStyle name="Normal 4 4 3 2 2 3 2 3 2 2" xfId="54012" xr:uid="{00000000-0005-0000-0000-0000BFA80000}"/>
    <cellStyle name="Normal 4 4 3 2 2 3 2 3 3" xfId="40450" xr:uid="{00000000-0005-0000-0000-0000C0A80000}"/>
    <cellStyle name="Normal 4 4 3 2 2 3 2 4" xfId="20098" xr:uid="{00000000-0005-0000-0000-0000C1A80000}"/>
    <cellStyle name="Normal 4 4 3 2 2 3 2 4 2" xfId="47231" xr:uid="{00000000-0005-0000-0000-0000C2A80000}"/>
    <cellStyle name="Normal 4 4 3 2 2 3 2 5" xfId="33669" xr:uid="{00000000-0005-0000-0000-0000C3A80000}"/>
    <cellStyle name="Normal 4 4 3 2 2 3 3" xfId="9909" xr:uid="{00000000-0005-0000-0000-0000C4A80000}"/>
    <cellStyle name="Normal 4 4 3 2 2 3 3 2" xfId="16699" xr:uid="{00000000-0005-0000-0000-0000C5A80000}"/>
    <cellStyle name="Normal 4 4 3 2 2 3 3 2 2" xfId="30267" xr:uid="{00000000-0005-0000-0000-0000C6A80000}"/>
    <cellStyle name="Normal 4 4 3 2 2 3 3 2 2 2" xfId="57400" xr:uid="{00000000-0005-0000-0000-0000C7A80000}"/>
    <cellStyle name="Normal 4 4 3 2 2 3 3 2 3" xfId="43838" xr:uid="{00000000-0005-0000-0000-0000C8A80000}"/>
    <cellStyle name="Normal 4 4 3 2 2 3 3 3" xfId="23486" xr:uid="{00000000-0005-0000-0000-0000C9A80000}"/>
    <cellStyle name="Normal 4 4 3 2 2 3 3 3 2" xfId="50619" xr:uid="{00000000-0005-0000-0000-0000CAA80000}"/>
    <cellStyle name="Normal 4 4 3 2 2 3 3 4" xfId="37057" xr:uid="{00000000-0005-0000-0000-0000CBA80000}"/>
    <cellStyle name="Normal 4 4 3 2 2 3 4" xfId="13310" xr:uid="{00000000-0005-0000-0000-0000CCA80000}"/>
    <cellStyle name="Normal 4 4 3 2 2 3 4 2" xfId="26878" xr:uid="{00000000-0005-0000-0000-0000CDA80000}"/>
    <cellStyle name="Normal 4 4 3 2 2 3 4 2 2" xfId="54011" xr:uid="{00000000-0005-0000-0000-0000CEA80000}"/>
    <cellStyle name="Normal 4 4 3 2 2 3 4 3" xfId="40449" xr:uid="{00000000-0005-0000-0000-0000CFA80000}"/>
    <cellStyle name="Normal 4 4 3 2 2 3 5" xfId="20097" xr:uid="{00000000-0005-0000-0000-0000D0A80000}"/>
    <cellStyle name="Normal 4 4 3 2 2 3 5 2" xfId="47230" xr:uid="{00000000-0005-0000-0000-0000D1A80000}"/>
    <cellStyle name="Normal 4 4 3 2 2 3 6" xfId="33668" xr:uid="{00000000-0005-0000-0000-0000D2A80000}"/>
    <cellStyle name="Normal 4 4 3 2 2 4" xfId="6378" xr:uid="{00000000-0005-0000-0000-0000D3A80000}"/>
    <cellStyle name="Normal 4 4 3 2 2 4 2" xfId="9911" xr:uid="{00000000-0005-0000-0000-0000D4A80000}"/>
    <cellStyle name="Normal 4 4 3 2 2 4 2 2" xfId="16701" xr:uid="{00000000-0005-0000-0000-0000D5A80000}"/>
    <cellStyle name="Normal 4 4 3 2 2 4 2 2 2" xfId="30269" xr:uid="{00000000-0005-0000-0000-0000D6A80000}"/>
    <cellStyle name="Normal 4 4 3 2 2 4 2 2 2 2" xfId="57402" xr:uid="{00000000-0005-0000-0000-0000D7A80000}"/>
    <cellStyle name="Normal 4 4 3 2 2 4 2 2 3" xfId="43840" xr:uid="{00000000-0005-0000-0000-0000D8A80000}"/>
    <cellStyle name="Normal 4 4 3 2 2 4 2 3" xfId="23488" xr:uid="{00000000-0005-0000-0000-0000D9A80000}"/>
    <cellStyle name="Normal 4 4 3 2 2 4 2 3 2" xfId="50621" xr:uid="{00000000-0005-0000-0000-0000DAA80000}"/>
    <cellStyle name="Normal 4 4 3 2 2 4 2 4" xfId="37059" xr:uid="{00000000-0005-0000-0000-0000DBA80000}"/>
    <cellStyle name="Normal 4 4 3 2 2 4 3" xfId="13312" xr:uid="{00000000-0005-0000-0000-0000DCA80000}"/>
    <cellStyle name="Normal 4 4 3 2 2 4 3 2" xfId="26880" xr:uid="{00000000-0005-0000-0000-0000DDA80000}"/>
    <cellStyle name="Normal 4 4 3 2 2 4 3 2 2" xfId="54013" xr:uid="{00000000-0005-0000-0000-0000DEA80000}"/>
    <cellStyle name="Normal 4 4 3 2 2 4 3 3" xfId="40451" xr:uid="{00000000-0005-0000-0000-0000DFA80000}"/>
    <cellStyle name="Normal 4 4 3 2 2 4 4" xfId="20099" xr:uid="{00000000-0005-0000-0000-0000E0A80000}"/>
    <cellStyle name="Normal 4 4 3 2 2 4 4 2" xfId="47232" xr:uid="{00000000-0005-0000-0000-0000E1A80000}"/>
    <cellStyle name="Normal 4 4 3 2 2 4 5" xfId="33670" xr:uid="{00000000-0005-0000-0000-0000E2A80000}"/>
    <cellStyle name="Normal 4 4 3 2 2 5" xfId="6379" xr:uid="{00000000-0005-0000-0000-0000E3A80000}"/>
    <cellStyle name="Normal 4 4 3 2 2 5 2" xfId="9912" xr:uid="{00000000-0005-0000-0000-0000E4A80000}"/>
    <cellStyle name="Normal 4 4 3 2 2 5 2 2" xfId="16702" xr:uid="{00000000-0005-0000-0000-0000E5A80000}"/>
    <cellStyle name="Normal 4 4 3 2 2 5 2 2 2" xfId="30270" xr:uid="{00000000-0005-0000-0000-0000E6A80000}"/>
    <cellStyle name="Normal 4 4 3 2 2 5 2 2 2 2" xfId="57403" xr:uid="{00000000-0005-0000-0000-0000E7A80000}"/>
    <cellStyle name="Normal 4 4 3 2 2 5 2 2 3" xfId="43841" xr:uid="{00000000-0005-0000-0000-0000E8A80000}"/>
    <cellStyle name="Normal 4 4 3 2 2 5 2 3" xfId="23489" xr:uid="{00000000-0005-0000-0000-0000E9A80000}"/>
    <cellStyle name="Normal 4 4 3 2 2 5 2 3 2" xfId="50622" xr:uid="{00000000-0005-0000-0000-0000EAA80000}"/>
    <cellStyle name="Normal 4 4 3 2 2 5 2 4" xfId="37060" xr:uid="{00000000-0005-0000-0000-0000EBA80000}"/>
    <cellStyle name="Normal 4 4 3 2 2 5 3" xfId="13313" xr:uid="{00000000-0005-0000-0000-0000ECA80000}"/>
    <cellStyle name="Normal 4 4 3 2 2 5 3 2" xfId="26881" xr:uid="{00000000-0005-0000-0000-0000EDA80000}"/>
    <cellStyle name="Normal 4 4 3 2 2 5 3 2 2" xfId="54014" xr:uid="{00000000-0005-0000-0000-0000EEA80000}"/>
    <cellStyle name="Normal 4 4 3 2 2 5 3 3" xfId="40452" xr:uid="{00000000-0005-0000-0000-0000EFA80000}"/>
    <cellStyle name="Normal 4 4 3 2 2 5 4" xfId="20100" xr:uid="{00000000-0005-0000-0000-0000F0A80000}"/>
    <cellStyle name="Normal 4 4 3 2 2 5 4 2" xfId="47233" xr:uid="{00000000-0005-0000-0000-0000F1A80000}"/>
    <cellStyle name="Normal 4 4 3 2 2 5 5" xfId="33671" xr:uid="{00000000-0005-0000-0000-0000F2A80000}"/>
    <cellStyle name="Normal 4 4 3 2 2 6" xfId="9905" xr:uid="{00000000-0005-0000-0000-0000F3A80000}"/>
    <cellStyle name="Normal 4 4 3 2 2 6 2" xfId="16695" xr:uid="{00000000-0005-0000-0000-0000F4A80000}"/>
    <cellStyle name="Normal 4 4 3 2 2 6 2 2" xfId="30263" xr:uid="{00000000-0005-0000-0000-0000F5A80000}"/>
    <cellStyle name="Normal 4 4 3 2 2 6 2 2 2" xfId="57396" xr:uid="{00000000-0005-0000-0000-0000F6A80000}"/>
    <cellStyle name="Normal 4 4 3 2 2 6 2 3" xfId="43834" xr:uid="{00000000-0005-0000-0000-0000F7A80000}"/>
    <cellStyle name="Normal 4 4 3 2 2 6 3" xfId="23482" xr:uid="{00000000-0005-0000-0000-0000F8A80000}"/>
    <cellStyle name="Normal 4 4 3 2 2 6 3 2" xfId="50615" xr:uid="{00000000-0005-0000-0000-0000F9A80000}"/>
    <cellStyle name="Normal 4 4 3 2 2 6 4" xfId="37053" xr:uid="{00000000-0005-0000-0000-0000FAA80000}"/>
    <cellStyle name="Normal 4 4 3 2 2 7" xfId="13306" xr:uid="{00000000-0005-0000-0000-0000FBA80000}"/>
    <cellStyle name="Normal 4 4 3 2 2 7 2" xfId="26874" xr:uid="{00000000-0005-0000-0000-0000FCA80000}"/>
    <cellStyle name="Normal 4 4 3 2 2 7 2 2" xfId="54007" xr:uid="{00000000-0005-0000-0000-0000FDA80000}"/>
    <cellStyle name="Normal 4 4 3 2 2 7 3" xfId="40445" xr:uid="{00000000-0005-0000-0000-0000FEA80000}"/>
    <cellStyle name="Normal 4 4 3 2 2 8" xfId="20093" xr:uid="{00000000-0005-0000-0000-0000FFA80000}"/>
    <cellStyle name="Normal 4 4 3 2 2 8 2" xfId="47226" xr:uid="{00000000-0005-0000-0000-000000A90000}"/>
    <cellStyle name="Normal 4 4 3 2 2 9" xfId="33664" xr:uid="{00000000-0005-0000-0000-000001A90000}"/>
    <cellStyle name="Normal 4 4 3 2 3" xfId="6380" xr:uid="{00000000-0005-0000-0000-000002A90000}"/>
    <cellStyle name="Normal 4 4 3 2 3 2" xfId="6381" xr:uid="{00000000-0005-0000-0000-000003A90000}"/>
    <cellStyle name="Normal 4 4 3 2 3 2 2" xfId="9914" xr:uid="{00000000-0005-0000-0000-000004A90000}"/>
    <cellStyle name="Normal 4 4 3 2 3 2 2 2" xfId="16704" xr:uid="{00000000-0005-0000-0000-000005A90000}"/>
    <cellStyle name="Normal 4 4 3 2 3 2 2 2 2" xfId="30272" xr:uid="{00000000-0005-0000-0000-000006A90000}"/>
    <cellStyle name="Normal 4 4 3 2 3 2 2 2 2 2" xfId="57405" xr:uid="{00000000-0005-0000-0000-000007A90000}"/>
    <cellStyle name="Normal 4 4 3 2 3 2 2 2 3" xfId="43843" xr:uid="{00000000-0005-0000-0000-000008A90000}"/>
    <cellStyle name="Normal 4 4 3 2 3 2 2 3" xfId="23491" xr:uid="{00000000-0005-0000-0000-000009A90000}"/>
    <cellStyle name="Normal 4 4 3 2 3 2 2 3 2" xfId="50624" xr:uid="{00000000-0005-0000-0000-00000AA90000}"/>
    <cellStyle name="Normal 4 4 3 2 3 2 2 4" xfId="37062" xr:uid="{00000000-0005-0000-0000-00000BA90000}"/>
    <cellStyle name="Normal 4 4 3 2 3 2 3" xfId="13315" xr:uid="{00000000-0005-0000-0000-00000CA90000}"/>
    <cellStyle name="Normal 4 4 3 2 3 2 3 2" xfId="26883" xr:uid="{00000000-0005-0000-0000-00000DA90000}"/>
    <cellStyle name="Normal 4 4 3 2 3 2 3 2 2" xfId="54016" xr:uid="{00000000-0005-0000-0000-00000EA90000}"/>
    <cellStyle name="Normal 4 4 3 2 3 2 3 3" xfId="40454" xr:uid="{00000000-0005-0000-0000-00000FA90000}"/>
    <cellStyle name="Normal 4 4 3 2 3 2 4" xfId="20102" xr:uid="{00000000-0005-0000-0000-000010A90000}"/>
    <cellStyle name="Normal 4 4 3 2 3 2 4 2" xfId="47235" xr:uid="{00000000-0005-0000-0000-000011A90000}"/>
    <cellStyle name="Normal 4 4 3 2 3 2 5" xfId="33673" xr:uid="{00000000-0005-0000-0000-000012A90000}"/>
    <cellStyle name="Normal 4 4 3 2 3 3" xfId="6382" xr:uid="{00000000-0005-0000-0000-000013A90000}"/>
    <cellStyle name="Normal 4 4 3 2 3 3 2" xfId="9915" xr:uid="{00000000-0005-0000-0000-000014A90000}"/>
    <cellStyle name="Normal 4 4 3 2 3 3 2 2" xfId="16705" xr:uid="{00000000-0005-0000-0000-000015A90000}"/>
    <cellStyle name="Normal 4 4 3 2 3 3 2 2 2" xfId="30273" xr:uid="{00000000-0005-0000-0000-000016A90000}"/>
    <cellStyle name="Normal 4 4 3 2 3 3 2 2 2 2" xfId="57406" xr:uid="{00000000-0005-0000-0000-000017A90000}"/>
    <cellStyle name="Normal 4 4 3 2 3 3 2 2 3" xfId="43844" xr:uid="{00000000-0005-0000-0000-000018A90000}"/>
    <cellStyle name="Normal 4 4 3 2 3 3 2 3" xfId="23492" xr:uid="{00000000-0005-0000-0000-000019A90000}"/>
    <cellStyle name="Normal 4 4 3 2 3 3 2 3 2" xfId="50625" xr:uid="{00000000-0005-0000-0000-00001AA90000}"/>
    <cellStyle name="Normal 4 4 3 2 3 3 2 4" xfId="37063" xr:uid="{00000000-0005-0000-0000-00001BA90000}"/>
    <cellStyle name="Normal 4 4 3 2 3 3 3" xfId="13316" xr:uid="{00000000-0005-0000-0000-00001CA90000}"/>
    <cellStyle name="Normal 4 4 3 2 3 3 3 2" xfId="26884" xr:uid="{00000000-0005-0000-0000-00001DA90000}"/>
    <cellStyle name="Normal 4 4 3 2 3 3 3 2 2" xfId="54017" xr:uid="{00000000-0005-0000-0000-00001EA90000}"/>
    <cellStyle name="Normal 4 4 3 2 3 3 3 3" xfId="40455" xr:uid="{00000000-0005-0000-0000-00001FA90000}"/>
    <cellStyle name="Normal 4 4 3 2 3 3 4" xfId="20103" xr:uid="{00000000-0005-0000-0000-000020A90000}"/>
    <cellStyle name="Normal 4 4 3 2 3 3 4 2" xfId="47236" xr:uid="{00000000-0005-0000-0000-000021A90000}"/>
    <cellStyle name="Normal 4 4 3 2 3 3 5" xfId="33674" xr:uid="{00000000-0005-0000-0000-000022A90000}"/>
    <cellStyle name="Normal 4 4 3 2 3 4" xfId="9913" xr:uid="{00000000-0005-0000-0000-000023A90000}"/>
    <cellStyle name="Normal 4 4 3 2 3 4 2" xfId="16703" xr:uid="{00000000-0005-0000-0000-000024A90000}"/>
    <cellStyle name="Normal 4 4 3 2 3 4 2 2" xfId="30271" xr:uid="{00000000-0005-0000-0000-000025A90000}"/>
    <cellStyle name="Normal 4 4 3 2 3 4 2 2 2" xfId="57404" xr:uid="{00000000-0005-0000-0000-000026A90000}"/>
    <cellStyle name="Normal 4 4 3 2 3 4 2 3" xfId="43842" xr:uid="{00000000-0005-0000-0000-000027A90000}"/>
    <cellStyle name="Normal 4 4 3 2 3 4 3" xfId="23490" xr:uid="{00000000-0005-0000-0000-000028A90000}"/>
    <cellStyle name="Normal 4 4 3 2 3 4 3 2" xfId="50623" xr:uid="{00000000-0005-0000-0000-000029A90000}"/>
    <cellStyle name="Normal 4 4 3 2 3 4 4" xfId="37061" xr:uid="{00000000-0005-0000-0000-00002AA90000}"/>
    <cellStyle name="Normal 4 4 3 2 3 5" xfId="13314" xr:uid="{00000000-0005-0000-0000-00002BA90000}"/>
    <cellStyle name="Normal 4 4 3 2 3 5 2" xfId="26882" xr:uid="{00000000-0005-0000-0000-00002CA90000}"/>
    <cellStyle name="Normal 4 4 3 2 3 5 2 2" xfId="54015" xr:uid="{00000000-0005-0000-0000-00002DA90000}"/>
    <cellStyle name="Normal 4 4 3 2 3 5 3" xfId="40453" xr:uid="{00000000-0005-0000-0000-00002EA90000}"/>
    <cellStyle name="Normal 4 4 3 2 3 6" xfId="20101" xr:uid="{00000000-0005-0000-0000-00002FA90000}"/>
    <cellStyle name="Normal 4 4 3 2 3 6 2" xfId="47234" xr:uid="{00000000-0005-0000-0000-000030A90000}"/>
    <cellStyle name="Normal 4 4 3 2 3 7" xfId="33672" xr:uid="{00000000-0005-0000-0000-000031A90000}"/>
    <cellStyle name="Normal 4 4 3 2 4" xfId="6383" xr:uid="{00000000-0005-0000-0000-000032A90000}"/>
    <cellStyle name="Normal 4 4 3 2 4 2" xfId="6384" xr:uid="{00000000-0005-0000-0000-000033A90000}"/>
    <cellStyle name="Normal 4 4 3 2 4 2 2" xfId="9917" xr:uid="{00000000-0005-0000-0000-000034A90000}"/>
    <cellStyle name="Normal 4 4 3 2 4 2 2 2" xfId="16707" xr:uid="{00000000-0005-0000-0000-000035A90000}"/>
    <cellStyle name="Normal 4 4 3 2 4 2 2 2 2" xfId="30275" xr:uid="{00000000-0005-0000-0000-000036A90000}"/>
    <cellStyle name="Normal 4 4 3 2 4 2 2 2 2 2" xfId="57408" xr:uid="{00000000-0005-0000-0000-000037A90000}"/>
    <cellStyle name="Normal 4 4 3 2 4 2 2 2 3" xfId="43846" xr:uid="{00000000-0005-0000-0000-000038A90000}"/>
    <cellStyle name="Normal 4 4 3 2 4 2 2 3" xfId="23494" xr:uid="{00000000-0005-0000-0000-000039A90000}"/>
    <cellStyle name="Normal 4 4 3 2 4 2 2 3 2" xfId="50627" xr:uid="{00000000-0005-0000-0000-00003AA90000}"/>
    <cellStyle name="Normal 4 4 3 2 4 2 2 4" xfId="37065" xr:uid="{00000000-0005-0000-0000-00003BA90000}"/>
    <cellStyle name="Normal 4 4 3 2 4 2 3" xfId="13318" xr:uid="{00000000-0005-0000-0000-00003CA90000}"/>
    <cellStyle name="Normal 4 4 3 2 4 2 3 2" xfId="26886" xr:uid="{00000000-0005-0000-0000-00003DA90000}"/>
    <cellStyle name="Normal 4 4 3 2 4 2 3 2 2" xfId="54019" xr:uid="{00000000-0005-0000-0000-00003EA90000}"/>
    <cellStyle name="Normal 4 4 3 2 4 2 3 3" xfId="40457" xr:uid="{00000000-0005-0000-0000-00003FA90000}"/>
    <cellStyle name="Normal 4 4 3 2 4 2 4" xfId="20105" xr:uid="{00000000-0005-0000-0000-000040A90000}"/>
    <cellStyle name="Normal 4 4 3 2 4 2 4 2" xfId="47238" xr:uid="{00000000-0005-0000-0000-000041A90000}"/>
    <cellStyle name="Normal 4 4 3 2 4 2 5" xfId="33676" xr:uid="{00000000-0005-0000-0000-000042A90000}"/>
    <cellStyle name="Normal 4 4 3 2 4 3" xfId="9916" xr:uid="{00000000-0005-0000-0000-000043A90000}"/>
    <cellStyle name="Normal 4 4 3 2 4 3 2" xfId="16706" xr:uid="{00000000-0005-0000-0000-000044A90000}"/>
    <cellStyle name="Normal 4 4 3 2 4 3 2 2" xfId="30274" xr:uid="{00000000-0005-0000-0000-000045A90000}"/>
    <cellStyle name="Normal 4 4 3 2 4 3 2 2 2" xfId="57407" xr:uid="{00000000-0005-0000-0000-000046A90000}"/>
    <cellStyle name="Normal 4 4 3 2 4 3 2 3" xfId="43845" xr:uid="{00000000-0005-0000-0000-000047A90000}"/>
    <cellStyle name="Normal 4 4 3 2 4 3 3" xfId="23493" xr:uid="{00000000-0005-0000-0000-000048A90000}"/>
    <cellStyle name="Normal 4 4 3 2 4 3 3 2" xfId="50626" xr:uid="{00000000-0005-0000-0000-000049A90000}"/>
    <cellStyle name="Normal 4 4 3 2 4 3 4" xfId="37064" xr:uid="{00000000-0005-0000-0000-00004AA90000}"/>
    <cellStyle name="Normal 4 4 3 2 4 4" xfId="13317" xr:uid="{00000000-0005-0000-0000-00004BA90000}"/>
    <cellStyle name="Normal 4 4 3 2 4 4 2" xfId="26885" xr:uid="{00000000-0005-0000-0000-00004CA90000}"/>
    <cellStyle name="Normal 4 4 3 2 4 4 2 2" xfId="54018" xr:uid="{00000000-0005-0000-0000-00004DA90000}"/>
    <cellStyle name="Normal 4 4 3 2 4 4 3" xfId="40456" xr:uid="{00000000-0005-0000-0000-00004EA90000}"/>
    <cellStyle name="Normal 4 4 3 2 4 5" xfId="20104" xr:uid="{00000000-0005-0000-0000-00004FA90000}"/>
    <cellStyle name="Normal 4 4 3 2 4 5 2" xfId="47237" xr:uid="{00000000-0005-0000-0000-000050A90000}"/>
    <cellStyle name="Normal 4 4 3 2 4 6" xfId="33675" xr:uid="{00000000-0005-0000-0000-000051A90000}"/>
    <cellStyle name="Normal 4 4 3 2 5" xfId="6385" xr:uid="{00000000-0005-0000-0000-000052A90000}"/>
    <cellStyle name="Normal 4 4 3 2 5 2" xfId="9918" xr:uid="{00000000-0005-0000-0000-000053A90000}"/>
    <cellStyle name="Normal 4 4 3 2 5 2 2" xfId="16708" xr:uid="{00000000-0005-0000-0000-000054A90000}"/>
    <cellStyle name="Normal 4 4 3 2 5 2 2 2" xfId="30276" xr:uid="{00000000-0005-0000-0000-000055A90000}"/>
    <cellStyle name="Normal 4 4 3 2 5 2 2 2 2" xfId="57409" xr:uid="{00000000-0005-0000-0000-000056A90000}"/>
    <cellStyle name="Normal 4 4 3 2 5 2 2 3" xfId="43847" xr:uid="{00000000-0005-0000-0000-000057A90000}"/>
    <cellStyle name="Normal 4 4 3 2 5 2 3" xfId="23495" xr:uid="{00000000-0005-0000-0000-000058A90000}"/>
    <cellStyle name="Normal 4 4 3 2 5 2 3 2" xfId="50628" xr:uid="{00000000-0005-0000-0000-000059A90000}"/>
    <cellStyle name="Normal 4 4 3 2 5 2 4" xfId="37066" xr:uid="{00000000-0005-0000-0000-00005AA90000}"/>
    <cellStyle name="Normal 4 4 3 2 5 3" xfId="13319" xr:uid="{00000000-0005-0000-0000-00005BA90000}"/>
    <cellStyle name="Normal 4 4 3 2 5 3 2" xfId="26887" xr:uid="{00000000-0005-0000-0000-00005CA90000}"/>
    <cellStyle name="Normal 4 4 3 2 5 3 2 2" xfId="54020" xr:uid="{00000000-0005-0000-0000-00005DA90000}"/>
    <cellStyle name="Normal 4 4 3 2 5 3 3" xfId="40458" xr:uid="{00000000-0005-0000-0000-00005EA90000}"/>
    <cellStyle name="Normal 4 4 3 2 5 4" xfId="20106" xr:uid="{00000000-0005-0000-0000-00005FA90000}"/>
    <cellStyle name="Normal 4 4 3 2 5 4 2" xfId="47239" xr:uid="{00000000-0005-0000-0000-000060A90000}"/>
    <cellStyle name="Normal 4 4 3 2 5 5" xfId="33677" xr:uid="{00000000-0005-0000-0000-000061A90000}"/>
    <cellStyle name="Normal 4 4 3 2 6" xfId="6386" xr:uid="{00000000-0005-0000-0000-000062A90000}"/>
    <cellStyle name="Normal 4 4 3 2 6 2" xfId="9919" xr:uid="{00000000-0005-0000-0000-000063A90000}"/>
    <cellStyle name="Normal 4 4 3 2 6 2 2" xfId="16709" xr:uid="{00000000-0005-0000-0000-000064A90000}"/>
    <cellStyle name="Normal 4 4 3 2 6 2 2 2" xfId="30277" xr:uid="{00000000-0005-0000-0000-000065A90000}"/>
    <cellStyle name="Normal 4 4 3 2 6 2 2 2 2" xfId="57410" xr:uid="{00000000-0005-0000-0000-000066A90000}"/>
    <cellStyle name="Normal 4 4 3 2 6 2 2 3" xfId="43848" xr:uid="{00000000-0005-0000-0000-000067A90000}"/>
    <cellStyle name="Normal 4 4 3 2 6 2 3" xfId="23496" xr:uid="{00000000-0005-0000-0000-000068A90000}"/>
    <cellStyle name="Normal 4 4 3 2 6 2 3 2" xfId="50629" xr:uid="{00000000-0005-0000-0000-000069A90000}"/>
    <cellStyle name="Normal 4 4 3 2 6 2 4" xfId="37067" xr:uid="{00000000-0005-0000-0000-00006AA90000}"/>
    <cellStyle name="Normal 4 4 3 2 6 3" xfId="13320" xr:uid="{00000000-0005-0000-0000-00006BA90000}"/>
    <cellStyle name="Normal 4 4 3 2 6 3 2" xfId="26888" xr:uid="{00000000-0005-0000-0000-00006CA90000}"/>
    <cellStyle name="Normal 4 4 3 2 6 3 2 2" xfId="54021" xr:uid="{00000000-0005-0000-0000-00006DA90000}"/>
    <cellStyle name="Normal 4 4 3 2 6 3 3" xfId="40459" xr:uid="{00000000-0005-0000-0000-00006EA90000}"/>
    <cellStyle name="Normal 4 4 3 2 6 4" xfId="20107" xr:uid="{00000000-0005-0000-0000-00006FA90000}"/>
    <cellStyle name="Normal 4 4 3 2 6 4 2" xfId="47240" xr:uid="{00000000-0005-0000-0000-000070A90000}"/>
    <cellStyle name="Normal 4 4 3 2 6 5" xfId="33678" xr:uid="{00000000-0005-0000-0000-000071A90000}"/>
    <cellStyle name="Normal 4 4 3 2 7" xfId="9904" xr:uid="{00000000-0005-0000-0000-000072A90000}"/>
    <cellStyle name="Normal 4 4 3 2 7 2" xfId="16694" xr:uid="{00000000-0005-0000-0000-000073A90000}"/>
    <cellStyle name="Normal 4 4 3 2 7 2 2" xfId="30262" xr:uid="{00000000-0005-0000-0000-000074A90000}"/>
    <cellStyle name="Normal 4 4 3 2 7 2 2 2" xfId="57395" xr:uid="{00000000-0005-0000-0000-000075A90000}"/>
    <cellStyle name="Normal 4 4 3 2 7 2 3" xfId="43833" xr:uid="{00000000-0005-0000-0000-000076A90000}"/>
    <cellStyle name="Normal 4 4 3 2 7 3" xfId="23481" xr:uid="{00000000-0005-0000-0000-000077A90000}"/>
    <cellStyle name="Normal 4 4 3 2 7 3 2" xfId="50614" xr:uid="{00000000-0005-0000-0000-000078A90000}"/>
    <cellStyle name="Normal 4 4 3 2 7 4" xfId="37052" xr:uid="{00000000-0005-0000-0000-000079A90000}"/>
    <cellStyle name="Normal 4 4 3 2 8" xfId="13305" xr:uid="{00000000-0005-0000-0000-00007AA90000}"/>
    <cellStyle name="Normal 4 4 3 2 8 2" xfId="26873" xr:uid="{00000000-0005-0000-0000-00007BA90000}"/>
    <cellStyle name="Normal 4 4 3 2 8 2 2" xfId="54006" xr:uid="{00000000-0005-0000-0000-00007CA90000}"/>
    <cellStyle name="Normal 4 4 3 2 8 3" xfId="40444" xr:uid="{00000000-0005-0000-0000-00007DA90000}"/>
    <cellStyle name="Normal 4 4 3 2 9" xfId="20092" xr:uid="{00000000-0005-0000-0000-00007EA90000}"/>
    <cellStyle name="Normal 4 4 3 2 9 2" xfId="47225" xr:uid="{00000000-0005-0000-0000-00007FA90000}"/>
    <cellStyle name="Normal 4 4 3 3" xfId="6387" xr:uid="{00000000-0005-0000-0000-000080A90000}"/>
    <cellStyle name="Normal 4 4 3 3 2" xfId="6388" xr:uid="{00000000-0005-0000-0000-000081A90000}"/>
    <cellStyle name="Normal 4 4 3 3 2 2" xfId="6389" xr:uid="{00000000-0005-0000-0000-000082A90000}"/>
    <cellStyle name="Normal 4 4 3 3 2 2 2" xfId="9922" xr:uid="{00000000-0005-0000-0000-000083A90000}"/>
    <cellStyle name="Normal 4 4 3 3 2 2 2 2" xfId="16712" xr:uid="{00000000-0005-0000-0000-000084A90000}"/>
    <cellStyle name="Normal 4 4 3 3 2 2 2 2 2" xfId="30280" xr:uid="{00000000-0005-0000-0000-000085A90000}"/>
    <cellStyle name="Normal 4 4 3 3 2 2 2 2 2 2" xfId="57413" xr:uid="{00000000-0005-0000-0000-000086A90000}"/>
    <cellStyle name="Normal 4 4 3 3 2 2 2 2 3" xfId="43851" xr:uid="{00000000-0005-0000-0000-000087A90000}"/>
    <cellStyle name="Normal 4 4 3 3 2 2 2 3" xfId="23499" xr:uid="{00000000-0005-0000-0000-000088A90000}"/>
    <cellStyle name="Normal 4 4 3 3 2 2 2 3 2" xfId="50632" xr:uid="{00000000-0005-0000-0000-000089A90000}"/>
    <cellStyle name="Normal 4 4 3 3 2 2 2 4" xfId="37070" xr:uid="{00000000-0005-0000-0000-00008AA90000}"/>
    <cellStyle name="Normal 4 4 3 3 2 2 3" xfId="13323" xr:uid="{00000000-0005-0000-0000-00008BA90000}"/>
    <cellStyle name="Normal 4 4 3 3 2 2 3 2" xfId="26891" xr:uid="{00000000-0005-0000-0000-00008CA90000}"/>
    <cellStyle name="Normal 4 4 3 3 2 2 3 2 2" xfId="54024" xr:uid="{00000000-0005-0000-0000-00008DA90000}"/>
    <cellStyle name="Normal 4 4 3 3 2 2 3 3" xfId="40462" xr:uid="{00000000-0005-0000-0000-00008EA90000}"/>
    <cellStyle name="Normal 4 4 3 3 2 2 4" xfId="20110" xr:uid="{00000000-0005-0000-0000-00008FA90000}"/>
    <cellStyle name="Normal 4 4 3 3 2 2 4 2" xfId="47243" xr:uid="{00000000-0005-0000-0000-000090A90000}"/>
    <cellStyle name="Normal 4 4 3 3 2 2 5" xfId="33681" xr:uid="{00000000-0005-0000-0000-000091A90000}"/>
    <cellStyle name="Normal 4 4 3 3 2 3" xfId="6390" xr:uid="{00000000-0005-0000-0000-000092A90000}"/>
    <cellStyle name="Normal 4 4 3 3 2 3 2" xfId="9923" xr:uid="{00000000-0005-0000-0000-000093A90000}"/>
    <cellStyle name="Normal 4 4 3 3 2 3 2 2" xfId="16713" xr:uid="{00000000-0005-0000-0000-000094A90000}"/>
    <cellStyle name="Normal 4 4 3 3 2 3 2 2 2" xfId="30281" xr:uid="{00000000-0005-0000-0000-000095A90000}"/>
    <cellStyle name="Normal 4 4 3 3 2 3 2 2 2 2" xfId="57414" xr:uid="{00000000-0005-0000-0000-000096A90000}"/>
    <cellStyle name="Normal 4 4 3 3 2 3 2 2 3" xfId="43852" xr:uid="{00000000-0005-0000-0000-000097A90000}"/>
    <cellStyle name="Normal 4 4 3 3 2 3 2 3" xfId="23500" xr:uid="{00000000-0005-0000-0000-000098A90000}"/>
    <cellStyle name="Normal 4 4 3 3 2 3 2 3 2" xfId="50633" xr:uid="{00000000-0005-0000-0000-000099A90000}"/>
    <cellStyle name="Normal 4 4 3 3 2 3 2 4" xfId="37071" xr:uid="{00000000-0005-0000-0000-00009AA90000}"/>
    <cellStyle name="Normal 4 4 3 3 2 3 3" xfId="13324" xr:uid="{00000000-0005-0000-0000-00009BA90000}"/>
    <cellStyle name="Normal 4 4 3 3 2 3 3 2" xfId="26892" xr:uid="{00000000-0005-0000-0000-00009CA90000}"/>
    <cellStyle name="Normal 4 4 3 3 2 3 3 2 2" xfId="54025" xr:uid="{00000000-0005-0000-0000-00009DA90000}"/>
    <cellStyle name="Normal 4 4 3 3 2 3 3 3" xfId="40463" xr:uid="{00000000-0005-0000-0000-00009EA90000}"/>
    <cellStyle name="Normal 4 4 3 3 2 3 4" xfId="20111" xr:uid="{00000000-0005-0000-0000-00009FA90000}"/>
    <cellStyle name="Normal 4 4 3 3 2 3 4 2" xfId="47244" xr:uid="{00000000-0005-0000-0000-0000A0A90000}"/>
    <cellStyle name="Normal 4 4 3 3 2 3 5" xfId="33682" xr:uid="{00000000-0005-0000-0000-0000A1A90000}"/>
    <cellStyle name="Normal 4 4 3 3 2 4" xfId="9921" xr:uid="{00000000-0005-0000-0000-0000A2A90000}"/>
    <cellStyle name="Normal 4 4 3 3 2 4 2" xfId="16711" xr:uid="{00000000-0005-0000-0000-0000A3A90000}"/>
    <cellStyle name="Normal 4 4 3 3 2 4 2 2" xfId="30279" xr:uid="{00000000-0005-0000-0000-0000A4A90000}"/>
    <cellStyle name="Normal 4 4 3 3 2 4 2 2 2" xfId="57412" xr:uid="{00000000-0005-0000-0000-0000A5A90000}"/>
    <cellStyle name="Normal 4 4 3 3 2 4 2 3" xfId="43850" xr:uid="{00000000-0005-0000-0000-0000A6A90000}"/>
    <cellStyle name="Normal 4 4 3 3 2 4 3" xfId="23498" xr:uid="{00000000-0005-0000-0000-0000A7A90000}"/>
    <cellStyle name="Normal 4 4 3 3 2 4 3 2" xfId="50631" xr:uid="{00000000-0005-0000-0000-0000A8A90000}"/>
    <cellStyle name="Normal 4 4 3 3 2 4 4" xfId="37069" xr:uid="{00000000-0005-0000-0000-0000A9A90000}"/>
    <cellStyle name="Normal 4 4 3 3 2 5" xfId="13322" xr:uid="{00000000-0005-0000-0000-0000AAA90000}"/>
    <cellStyle name="Normal 4 4 3 3 2 5 2" xfId="26890" xr:uid="{00000000-0005-0000-0000-0000ABA90000}"/>
    <cellStyle name="Normal 4 4 3 3 2 5 2 2" xfId="54023" xr:uid="{00000000-0005-0000-0000-0000ACA90000}"/>
    <cellStyle name="Normal 4 4 3 3 2 5 3" xfId="40461" xr:uid="{00000000-0005-0000-0000-0000ADA90000}"/>
    <cellStyle name="Normal 4 4 3 3 2 6" xfId="20109" xr:uid="{00000000-0005-0000-0000-0000AEA90000}"/>
    <cellStyle name="Normal 4 4 3 3 2 6 2" xfId="47242" xr:uid="{00000000-0005-0000-0000-0000AFA90000}"/>
    <cellStyle name="Normal 4 4 3 3 2 7" xfId="33680" xr:uid="{00000000-0005-0000-0000-0000B0A90000}"/>
    <cellStyle name="Normal 4 4 3 3 3" xfId="6391" xr:uid="{00000000-0005-0000-0000-0000B1A90000}"/>
    <cellStyle name="Normal 4 4 3 3 3 2" xfId="6392" xr:uid="{00000000-0005-0000-0000-0000B2A90000}"/>
    <cellStyle name="Normal 4 4 3 3 3 2 2" xfId="9925" xr:uid="{00000000-0005-0000-0000-0000B3A90000}"/>
    <cellStyle name="Normal 4 4 3 3 3 2 2 2" xfId="16715" xr:uid="{00000000-0005-0000-0000-0000B4A90000}"/>
    <cellStyle name="Normal 4 4 3 3 3 2 2 2 2" xfId="30283" xr:uid="{00000000-0005-0000-0000-0000B5A90000}"/>
    <cellStyle name="Normal 4 4 3 3 3 2 2 2 2 2" xfId="57416" xr:uid="{00000000-0005-0000-0000-0000B6A90000}"/>
    <cellStyle name="Normal 4 4 3 3 3 2 2 2 3" xfId="43854" xr:uid="{00000000-0005-0000-0000-0000B7A90000}"/>
    <cellStyle name="Normal 4 4 3 3 3 2 2 3" xfId="23502" xr:uid="{00000000-0005-0000-0000-0000B8A90000}"/>
    <cellStyle name="Normal 4 4 3 3 3 2 2 3 2" xfId="50635" xr:uid="{00000000-0005-0000-0000-0000B9A90000}"/>
    <cellStyle name="Normal 4 4 3 3 3 2 2 4" xfId="37073" xr:uid="{00000000-0005-0000-0000-0000BAA90000}"/>
    <cellStyle name="Normal 4 4 3 3 3 2 3" xfId="13326" xr:uid="{00000000-0005-0000-0000-0000BBA90000}"/>
    <cellStyle name="Normal 4 4 3 3 3 2 3 2" xfId="26894" xr:uid="{00000000-0005-0000-0000-0000BCA90000}"/>
    <cellStyle name="Normal 4 4 3 3 3 2 3 2 2" xfId="54027" xr:uid="{00000000-0005-0000-0000-0000BDA90000}"/>
    <cellStyle name="Normal 4 4 3 3 3 2 3 3" xfId="40465" xr:uid="{00000000-0005-0000-0000-0000BEA90000}"/>
    <cellStyle name="Normal 4 4 3 3 3 2 4" xfId="20113" xr:uid="{00000000-0005-0000-0000-0000BFA90000}"/>
    <cellStyle name="Normal 4 4 3 3 3 2 4 2" xfId="47246" xr:uid="{00000000-0005-0000-0000-0000C0A90000}"/>
    <cellStyle name="Normal 4 4 3 3 3 2 5" xfId="33684" xr:uid="{00000000-0005-0000-0000-0000C1A90000}"/>
    <cellStyle name="Normal 4 4 3 3 3 3" xfId="9924" xr:uid="{00000000-0005-0000-0000-0000C2A90000}"/>
    <cellStyle name="Normal 4 4 3 3 3 3 2" xfId="16714" xr:uid="{00000000-0005-0000-0000-0000C3A90000}"/>
    <cellStyle name="Normal 4 4 3 3 3 3 2 2" xfId="30282" xr:uid="{00000000-0005-0000-0000-0000C4A90000}"/>
    <cellStyle name="Normal 4 4 3 3 3 3 2 2 2" xfId="57415" xr:uid="{00000000-0005-0000-0000-0000C5A90000}"/>
    <cellStyle name="Normal 4 4 3 3 3 3 2 3" xfId="43853" xr:uid="{00000000-0005-0000-0000-0000C6A90000}"/>
    <cellStyle name="Normal 4 4 3 3 3 3 3" xfId="23501" xr:uid="{00000000-0005-0000-0000-0000C7A90000}"/>
    <cellStyle name="Normal 4 4 3 3 3 3 3 2" xfId="50634" xr:uid="{00000000-0005-0000-0000-0000C8A90000}"/>
    <cellStyle name="Normal 4 4 3 3 3 3 4" xfId="37072" xr:uid="{00000000-0005-0000-0000-0000C9A90000}"/>
    <cellStyle name="Normal 4 4 3 3 3 4" xfId="13325" xr:uid="{00000000-0005-0000-0000-0000CAA90000}"/>
    <cellStyle name="Normal 4 4 3 3 3 4 2" xfId="26893" xr:uid="{00000000-0005-0000-0000-0000CBA90000}"/>
    <cellStyle name="Normal 4 4 3 3 3 4 2 2" xfId="54026" xr:uid="{00000000-0005-0000-0000-0000CCA90000}"/>
    <cellStyle name="Normal 4 4 3 3 3 4 3" xfId="40464" xr:uid="{00000000-0005-0000-0000-0000CDA90000}"/>
    <cellStyle name="Normal 4 4 3 3 3 5" xfId="20112" xr:uid="{00000000-0005-0000-0000-0000CEA90000}"/>
    <cellStyle name="Normal 4 4 3 3 3 5 2" xfId="47245" xr:uid="{00000000-0005-0000-0000-0000CFA90000}"/>
    <cellStyle name="Normal 4 4 3 3 3 6" xfId="33683" xr:uid="{00000000-0005-0000-0000-0000D0A90000}"/>
    <cellStyle name="Normal 4 4 3 3 4" xfId="6393" xr:uid="{00000000-0005-0000-0000-0000D1A90000}"/>
    <cellStyle name="Normal 4 4 3 3 4 2" xfId="9926" xr:uid="{00000000-0005-0000-0000-0000D2A90000}"/>
    <cellStyle name="Normal 4 4 3 3 4 2 2" xfId="16716" xr:uid="{00000000-0005-0000-0000-0000D3A90000}"/>
    <cellStyle name="Normal 4 4 3 3 4 2 2 2" xfId="30284" xr:uid="{00000000-0005-0000-0000-0000D4A90000}"/>
    <cellStyle name="Normal 4 4 3 3 4 2 2 2 2" xfId="57417" xr:uid="{00000000-0005-0000-0000-0000D5A90000}"/>
    <cellStyle name="Normal 4 4 3 3 4 2 2 3" xfId="43855" xr:uid="{00000000-0005-0000-0000-0000D6A90000}"/>
    <cellStyle name="Normal 4 4 3 3 4 2 3" xfId="23503" xr:uid="{00000000-0005-0000-0000-0000D7A90000}"/>
    <cellStyle name="Normal 4 4 3 3 4 2 3 2" xfId="50636" xr:uid="{00000000-0005-0000-0000-0000D8A90000}"/>
    <cellStyle name="Normal 4 4 3 3 4 2 4" xfId="37074" xr:uid="{00000000-0005-0000-0000-0000D9A90000}"/>
    <cellStyle name="Normal 4 4 3 3 4 3" xfId="13327" xr:uid="{00000000-0005-0000-0000-0000DAA90000}"/>
    <cellStyle name="Normal 4 4 3 3 4 3 2" xfId="26895" xr:uid="{00000000-0005-0000-0000-0000DBA90000}"/>
    <cellStyle name="Normal 4 4 3 3 4 3 2 2" xfId="54028" xr:uid="{00000000-0005-0000-0000-0000DCA90000}"/>
    <cellStyle name="Normal 4 4 3 3 4 3 3" xfId="40466" xr:uid="{00000000-0005-0000-0000-0000DDA90000}"/>
    <cellStyle name="Normal 4 4 3 3 4 4" xfId="20114" xr:uid="{00000000-0005-0000-0000-0000DEA90000}"/>
    <cellStyle name="Normal 4 4 3 3 4 4 2" xfId="47247" xr:uid="{00000000-0005-0000-0000-0000DFA90000}"/>
    <cellStyle name="Normal 4 4 3 3 4 5" xfId="33685" xr:uid="{00000000-0005-0000-0000-0000E0A90000}"/>
    <cellStyle name="Normal 4 4 3 3 5" xfId="6394" xr:uid="{00000000-0005-0000-0000-0000E1A90000}"/>
    <cellStyle name="Normal 4 4 3 3 5 2" xfId="9927" xr:uid="{00000000-0005-0000-0000-0000E2A90000}"/>
    <cellStyle name="Normal 4 4 3 3 5 2 2" xfId="16717" xr:uid="{00000000-0005-0000-0000-0000E3A90000}"/>
    <cellStyle name="Normal 4 4 3 3 5 2 2 2" xfId="30285" xr:uid="{00000000-0005-0000-0000-0000E4A90000}"/>
    <cellStyle name="Normal 4 4 3 3 5 2 2 2 2" xfId="57418" xr:uid="{00000000-0005-0000-0000-0000E5A90000}"/>
    <cellStyle name="Normal 4 4 3 3 5 2 2 3" xfId="43856" xr:uid="{00000000-0005-0000-0000-0000E6A90000}"/>
    <cellStyle name="Normal 4 4 3 3 5 2 3" xfId="23504" xr:uid="{00000000-0005-0000-0000-0000E7A90000}"/>
    <cellStyle name="Normal 4 4 3 3 5 2 3 2" xfId="50637" xr:uid="{00000000-0005-0000-0000-0000E8A90000}"/>
    <cellStyle name="Normal 4 4 3 3 5 2 4" xfId="37075" xr:uid="{00000000-0005-0000-0000-0000E9A90000}"/>
    <cellStyle name="Normal 4 4 3 3 5 3" xfId="13328" xr:uid="{00000000-0005-0000-0000-0000EAA90000}"/>
    <cellStyle name="Normal 4 4 3 3 5 3 2" xfId="26896" xr:uid="{00000000-0005-0000-0000-0000EBA90000}"/>
    <cellStyle name="Normal 4 4 3 3 5 3 2 2" xfId="54029" xr:uid="{00000000-0005-0000-0000-0000ECA90000}"/>
    <cellStyle name="Normal 4 4 3 3 5 3 3" xfId="40467" xr:uid="{00000000-0005-0000-0000-0000EDA90000}"/>
    <cellStyle name="Normal 4 4 3 3 5 4" xfId="20115" xr:uid="{00000000-0005-0000-0000-0000EEA90000}"/>
    <cellStyle name="Normal 4 4 3 3 5 4 2" xfId="47248" xr:uid="{00000000-0005-0000-0000-0000EFA90000}"/>
    <cellStyle name="Normal 4 4 3 3 5 5" xfId="33686" xr:uid="{00000000-0005-0000-0000-0000F0A90000}"/>
    <cellStyle name="Normal 4 4 3 3 6" xfId="9920" xr:uid="{00000000-0005-0000-0000-0000F1A90000}"/>
    <cellStyle name="Normal 4 4 3 3 6 2" xfId="16710" xr:uid="{00000000-0005-0000-0000-0000F2A90000}"/>
    <cellStyle name="Normal 4 4 3 3 6 2 2" xfId="30278" xr:uid="{00000000-0005-0000-0000-0000F3A90000}"/>
    <cellStyle name="Normal 4 4 3 3 6 2 2 2" xfId="57411" xr:uid="{00000000-0005-0000-0000-0000F4A90000}"/>
    <cellStyle name="Normal 4 4 3 3 6 2 3" xfId="43849" xr:uid="{00000000-0005-0000-0000-0000F5A90000}"/>
    <cellStyle name="Normal 4 4 3 3 6 3" xfId="23497" xr:uid="{00000000-0005-0000-0000-0000F6A90000}"/>
    <cellStyle name="Normal 4 4 3 3 6 3 2" xfId="50630" xr:uid="{00000000-0005-0000-0000-0000F7A90000}"/>
    <cellStyle name="Normal 4 4 3 3 6 4" xfId="37068" xr:uid="{00000000-0005-0000-0000-0000F8A90000}"/>
    <cellStyle name="Normal 4 4 3 3 7" xfId="13321" xr:uid="{00000000-0005-0000-0000-0000F9A90000}"/>
    <cellStyle name="Normal 4 4 3 3 7 2" xfId="26889" xr:uid="{00000000-0005-0000-0000-0000FAA90000}"/>
    <cellStyle name="Normal 4 4 3 3 7 2 2" xfId="54022" xr:uid="{00000000-0005-0000-0000-0000FBA90000}"/>
    <cellStyle name="Normal 4 4 3 3 7 3" xfId="40460" xr:uid="{00000000-0005-0000-0000-0000FCA90000}"/>
    <cellStyle name="Normal 4 4 3 3 8" xfId="20108" xr:uid="{00000000-0005-0000-0000-0000FDA90000}"/>
    <cellStyle name="Normal 4 4 3 3 8 2" xfId="47241" xr:uid="{00000000-0005-0000-0000-0000FEA90000}"/>
    <cellStyle name="Normal 4 4 3 3 9" xfId="33679" xr:uid="{00000000-0005-0000-0000-0000FFA90000}"/>
    <cellStyle name="Normal 4 4 3 4" xfId="6395" xr:uid="{00000000-0005-0000-0000-000000AA0000}"/>
    <cellStyle name="Normal 4 4 3 4 2" xfId="6396" xr:uid="{00000000-0005-0000-0000-000001AA0000}"/>
    <cellStyle name="Normal 4 4 3 4 2 2" xfId="6397" xr:uid="{00000000-0005-0000-0000-000002AA0000}"/>
    <cellStyle name="Normal 4 4 3 4 2 2 2" xfId="9930" xr:uid="{00000000-0005-0000-0000-000003AA0000}"/>
    <cellStyle name="Normal 4 4 3 4 2 2 2 2" xfId="16720" xr:uid="{00000000-0005-0000-0000-000004AA0000}"/>
    <cellStyle name="Normal 4 4 3 4 2 2 2 2 2" xfId="30288" xr:uid="{00000000-0005-0000-0000-000005AA0000}"/>
    <cellStyle name="Normal 4 4 3 4 2 2 2 2 2 2" xfId="57421" xr:uid="{00000000-0005-0000-0000-000006AA0000}"/>
    <cellStyle name="Normal 4 4 3 4 2 2 2 2 3" xfId="43859" xr:uid="{00000000-0005-0000-0000-000007AA0000}"/>
    <cellStyle name="Normal 4 4 3 4 2 2 2 3" xfId="23507" xr:uid="{00000000-0005-0000-0000-000008AA0000}"/>
    <cellStyle name="Normal 4 4 3 4 2 2 2 3 2" xfId="50640" xr:uid="{00000000-0005-0000-0000-000009AA0000}"/>
    <cellStyle name="Normal 4 4 3 4 2 2 2 4" xfId="37078" xr:uid="{00000000-0005-0000-0000-00000AAA0000}"/>
    <cellStyle name="Normal 4 4 3 4 2 2 3" xfId="13331" xr:uid="{00000000-0005-0000-0000-00000BAA0000}"/>
    <cellStyle name="Normal 4 4 3 4 2 2 3 2" xfId="26899" xr:uid="{00000000-0005-0000-0000-00000CAA0000}"/>
    <cellStyle name="Normal 4 4 3 4 2 2 3 2 2" xfId="54032" xr:uid="{00000000-0005-0000-0000-00000DAA0000}"/>
    <cellStyle name="Normal 4 4 3 4 2 2 3 3" xfId="40470" xr:uid="{00000000-0005-0000-0000-00000EAA0000}"/>
    <cellStyle name="Normal 4 4 3 4 2 2 4" xfId="20118" xr:uid="{00000000-0005-0000-0000-00000FAA0000}"/>
    <cellStyle name="Normal 4 4 3 4 2 2 4 2" xfId="47251" xr:uid="{00000000-0005-0000-0000-000010AA0000}"/>
    <cellStyle name="Normal 4 4 3 4 2 2 5" xfId="33689" xr:uid="{00000000-0005-0000-0000-000011AA0000}"/>
    <cellStyle name="Normal 4 4 3 4 2 3" xfId="6398" xr:uid="{00000000-0005-0000-0000-000012AA0000}"/>
    <cellStyle name="Normal 4 4 3 4 2 3 2" xfId="9931" xr:uid="{00000000-0005-0000-0000-000013AA0000}"/>
    <cellStyle name="Normal 4 4 3 4 2 3 2 2" xfId="16721" xr:uid="{00000000-0005-0000-0000-000014AA0000}"/>
    <cellStyle name="Normal 4 4 3 4 2 3 2 2 2" xfId="30289" xr:uid="{00000000-0005-0000-0000-000015AA0000}"/>
    <cellStyle name="Normal 4 4 3 4 2 3 2 2 2 2" xfId="57422" xr:uid="{00000000-0005-0000-0000-000016AA0000}"/>
    <cellStyle name="Normal 4 4 3 4 2 3 2 2 3" xfId="43860" xr:uid="{00000000-0005-0000-0000-000017AA0000}"/>
    <cellStyle name="Normal 4 4 3 4 2 3 2 3" xfId="23508" xr:uid="{00000000-0005-0000-0000-000018AA0000}"/>
    <cellStyle name="Normal 4 4 3 4 2 3 2 3 2" xfId="50641" xr:uid="{00000000-0005-0000-0000-000019AA0000}"/>
    <cellStyle name="Normal 4 4 3 4 2 3 2 4" xfId="37079" xr:uid="{00000000-0005-0000-0000-00001AAA0000}"/>
    <cellStyle name="Normal 4 4 3 4 2 3 3" xfId="13332" xr:uid="{00000000-0005-0000-0000-00001BAA0000}"/>
    <cellStyle name="Normal 4 4 3 4 2 3 3 2" xfId="26900" xr:uid="{00000000-0005-0000-0000-00001CAA0000}"/>
    <cellStyle name="Normal 4 4 3 4 2 3 3 2 2" xfId="54033" xr:uid="{00000000-0005-0000-0000-00001DAA0000}"/>
    <cellStyle name="Normal 4 4 3 4 2 3 3 3" xfId="40471" xr:uid="{00000000-0005-0000-0000-00001EAA0000}"/>
    <cellStyle name="Normal 4 4 3 4 2 3 4" xfId="20119" xr:uid="{00000000-0005-0000-0000-00001FAA0000}"/>
    <cellStyle name="Normal 4 4 3 4 2 3 4 2" xfId="47252" xr:uid="{00000000-0005-0000-0000-000020AA0000}"/>
    <cellStyle name="Normal 4 4 3 4 2 3 5" xfId="33690" xr:uid="{00000000-0005-0000-0000-000021AA0000}"/>
    <cellStyle name="Normal 4 4 3 4 2 4" xfId="9929" xr:uid="{00000000-0005-0000-0000-000022AA0000}"/>
    <cellStyle name="Normal 4 4 3 4 2 4 2" xfId="16719" xr:uid="{00000000-0005-0000-0000-000023AA0000}"/>
    <cellStyle name="Normal 4 4 3 4 2 4 2 2" xfId="30287" xr:uid="{00000000-0005-0000-0000-000024AA0000}"/>
    <cellStyle name="Normal 4 4 3 4 2 4 2 2 2" xfId="57420" xr:uid="{00000000-0005-0000-0000-000025AA0000}"/>
    <cellStyle name="Normal 4 4 3 4 2 4 2 3" xfId="43858" xr:uid="{00000000-0005-0000-0000-000026AA0000}"/>
    <cellStyle name="Normal 4 4 3 4 2 4 3" xfId="23506" xr:uid="{00000000-0005-0000-0000-000027AA0000}"/>
    <cellStyle name="Normal 4 4 3 4 2 4 3 2" xfId="50639" xr:uid="{00000000-0005-0000-0000-000028AA0000}"/>
    <cellStyle name="Normal 4 4 3 4 2 4 4" xfId="37077" xr:uid="{00000000-0005-0000-0000-000029AA0000}"/>
    <cellStyle name="Normal 4 4 3 4 2 5" xfId="13330" xr:uid="{00000000-0005-0000-0000-00002AAA0000}"/>
    <cellStyle name="Normal 4 4 3 4 2 5 2" xfId="26898" xr:uid="{00000000-0005-0000-0000-00002BAA0000}"/>
    <cellStyle name="Normal 4 4 3 4 2 5 2 2" xfId="54031" xr:uid="{00000000-0005-0000-0000-00002CAA0000}"/>
    <cellStyle name="Normal 4 4 3 4 2 5 3" xfId="40469" xr:uid="{00000000-0005-0000-0000-00002DAA0000}"/>
    <cellStyle name="Normal 4 4 3 4 2 6" xfId="20117" xr:uid="{00000000-0005-0000-0000-00002EAA0000}"/>
    <cellStyle name="Normal 4 4 3 4 2 6 2" xfId="47250" xr:uid="{00000000-0005-0000-0000-00002FAA0000}"/>
    <cellStyle name="Normal 4 4 3 4 2 7" xfId="33688" xr:uid="{00000000-0005-0000-0000-000030AA0000}"/>
    <cellStyle name="Normal 4 4 3 4 3" xfId="6399" xr:uid="{00000000-0005-0000-0000-000031AA0000}"/>
    <cellStyle name="Normal 4 4 3 4 3 2" xfId="9932" xr:uid="{00000000-0005-0000-0000-000032AA0000}"/>
    <cellStyle name="Normal 4 4 3 4 3 2 2" xfId="16722" xr:uid="{00000000-0005-0000-0000-000033AA0000}"/>
    <cellStyle name="Normal 4 4 3 4 3 2 2 2" xfId="30290" xr:uid="{00000000-0005-0000-0000-000034AA0000}"/>
    <cellStyle name="Normal 4 4 3 4 3 2 2 2 2" xfId="57423" xr:uid="{00000000-0005-0000-0000-000035AA0000}"/>
    <cellStyle name="Normal 4 4 3 4 3 2 2 3" xfId="43861" xr:uid="{00000000-0005-0000-0000-000036AA0000}"/>
    <cellStyle name="Normal 4 4 3 4 3 2 3" xfId="23509" xr:uid="{00000000-0005-0000-0000-000037AA0000}"/>
    <cellStyle name="Normal 4 4 3 4 3 2 3 2" xfId="50642" xr:uid="{00000000-0005-0000-0000-000038AA0000}"/>
    <cellStyle name="Normal 4 4 3 4 3 2 4" xfId="37080" xr:uid="{00000000-0005-0000-0000-000039AA0000}"/>
    <cellStyle name="Normal 4 4 3 4 3 3" xfId="13333" xr:uid="{00000000-0005-0000-0000-00003AAA0000}"/>
    <cellStyle name="Normal 4 4 3 4 3 3 2" xfId="26901" xr:uid="{00000000-0005-0000-0000-00003BAA0000}"/>
    <cellStyle name="Normal 4 4 3 4 3 3 2 2" xfId="54034" xr:uid="{00000000-0005-0000-0000-00003CAA0000}"/>
    <cellStyle name="Normal 4 4 3 4 3 3 3" xfId="40472" xr:uid="{00000000-0005-0000-0000-00003DAA0000}"/>
    <cellStyle name="Normal 4 4 3 4 3 4" xfId="20120" xr:uid="{00000000-0005-0000-0000-00003EAA0000}"/>
    <cellStyle name="Normal 4 4 3 4 3 4 2" xfId="47253" xr:uid="{00000000-0005-0000-0000-00003FAA0000}"/>
    <cellStyle name="Normal 4 4 3 4 3 5" xfId="33691" xr:uid="{00000000-0005-0000-0000-000040AA0000}"/>
    <cellStyle name="Normal 4 4 3 4 4" xfId="6400" xr:uid="{00000000-0005-0000-0000-000041AA0000}"/>
    <cellStyle name="Normal 4 4 3 4 4 2" xfId="9933" xr:uid="{00000000-0005-0000-0000-000042AA0000}"/>
    <cellStyle name="Normal 4 4 3 4 4 2 2" xfId="16723" xr:uid="{00000000-0005-0000-0000-000043AA0000}"/>
    <cellStyle name="Normal 4 4 3 4 4 2 2 2" xfId="30291" xr:uid="{00000000-0005-0000-0000-000044AA0000}"/>
    <cellStyle name="Normal 4 4 3 4 4 2 2 2 2" xfId="57424" xr:uid="{00000000-0005-0000-0000-000045AA0000}"/>
    <cellStyle name="Normal 4 4 3 4 4 2 2 3" xfId="43862" xr:uid="{00000000-0005-0000-0000-000046AA0000}"/>
    <cellStyle name="Normal 4 4 3 4 4 2 3" xfId="23510" xr:uid="{00000000-0005-0000-0000-000047AA0000}"/>
    <cellStyle name="Normal 4 4 3 4 4 2 3 2" xfId="50643" xr:uid="{00000000-0005-0000-0000-000048AA0000}"/>
    <cellStyle name="Normal 4 4 3 4 4 2 4" xfId="37081" xr:uid="{00000000-0005-0000-0000-000049AA0000}"/>
    <cellStyle name="Normal 4 4 3 4 4 3" xfId="13334" xr:uid="{00000000-0005-0000-0000-00004AAA0000}"/>
    <cellStyle name="Normal 4 4 3 4 4 3 2" xfId="26902" xr:uid="{00000000-0005-0000-0000-00004BAA0000}"/>
    <cellStyle name="Normal 4 4 3 4 4 3 2 2" xfId="54035" xr:uid="{00000000-0005-0000-0000-00004CAA0000}"/>
    <cellStyle name="Normal 4 4 3 4 4 3 3" xfId="40473" xr:uid="{00000000-0005-0000-0000-00004DAA0000}"/>
    <cellStyle name="Normal 4 4 3 4 4 4" xfId="20121" xr:uid="{00000000-0005-0000-0000-00004EAA0000}"/>
    <cellStyle name="Normal 4 4 3 4 4 4 2" xfId="47254" xr:uid="{00000000-0005-0000-0000-00004FAA0000}"/>
    <cellStyle name="Normal 4 4 3 4 4 5" xfId="33692" xr:uid="{00000000-0005-0000-0000-000050AA0000}"/>
    <cellStyle name="Normal 4 4 3 4 5" xfId="9928" xr:uid="{00000000-0005-0000-0000-000051AA0000}"/>
    <cellStyle name="Normal 4 4 3 4 5 2" xfId="16718" xr:uid="{00000000-0005-0000-0000-000052AA0000}"/>
    <cellStyle name="Normal 4 4 3 4 5 2 2" xfId="30286" xr:uid="{00000000-0005-0000-0000-000053AA0000}"/>
    <cellStyle name="Normal 4 4 3 4 5 2 2 2" xfId="57419" xr:uid="{00000000-0005-0000-0000-000054AA0000}"/>
    <cellStyle name="Normal 4 4 3 4 5 2 3" xfId="43857" xr:uid="{00000000-0005-0000-0000-000055AA0000}"/>
    <cellStyle name="Normal 4 4 3 4 5 3" xfId="23505" xr:uid="{00000000-0005-0000-0000-000056AA0000}"/>
    <cellStyle name="Normal 4 4 3 4 5 3 2" xfId="50638" xr:uid="{00000000-0005-0000-0000-000057AA0000}"/>
    <cellStyle name="Normal 4 4 3 4 5 4" xfId="37076" xr:uid="{00000000-0005-0000-0000-000058AA0000}"/>
    <cellStyle name="Normal 4 4 3 4 6" xfId="13329" xr:uid="{00000000-0005-0000-0000-000059AA0000}"/>
    <cellStyle name="Normal 4 4 3 4 6 2" xfId="26897" xr:uid="{00000000-0005-0000-0000-00005AAA0000}"/>
    <cellStyle name="Normal 4 4 3 4 6 2 2" xfId="54030" xr:uid="{00000000-0005-0000-0000-00005BAA0000}"/>
    <cellStyle name="Normal 4 4 3 4 6 3" xfId="40468" xr:uid="{00000000-0005-0000-0000-00005CAA0000}"/>
    <cellStyle name="Normal 4 4 3 4 7" xfId="20116" xr:uid="{00000000-0005-0000-0000-00005DAA0000}"/>
    <cellStyle name="Normal 4 4 3 4 7 2" xfId="47249" xr:uid="{00000000-0005-0000-0000-00005EAA0000}"/>
    <cellStyle name="Normal 4 4 3 4 8" xfId="33687" xr:uid="{00000000-0005-0000-0000-00005FAA0000}"/>
    <cellStyle name="Normal 4 4 3 5" xfId="6401" xr:uid="{00000000-0005-0000-0000-000060AA0000}"/>
    <cellStyle name="Normal 4 4 3 5 2" xfId="6402" xr:uid="{00000000-0005-0000-0000-000061AA0000}"/>
    <cellStyle name="Normal 4 4 3 5 2 2" xfId="6403" xr:uid="{00000000-0005-0000-0000-000062AA0000}"/>
    <cellStyle name="Normal 4 4 3 5 2 2 2" xfId="9936" xr:uid="{00000000-0005-0000-0000-000063AA0000}"/>
    <cellStyle name="Normal 4 4 3 5 2 2 2 2" xfId="16726" xr:uid="{00000000-0005-0000-0000-000064AA0000}"/>
    <cellStyle name="Normal 4 4 3 5 2 2 2 2 2" xfId="30294" xr:uid="{00000000-0005-0000-0000-000065AA0000}"/>
    <cellStyle name="Normal 4 4 3 5 2 2 2 2 2 2" xfId="57427" xr:uid="{00000000-0005-0000-0000-000066AA0000}"/>
    <cellStyle name="Normal 4 4 3 5 2 2 2 2 3" xfId="43865" xr:uid="{00000000-0005-0000-0000-000067AA0000}"/>
    <cellStyle name="Normal 4 4 3 5 2 2 2 3" xfId="23513" xr:uid="{00000000-0005-0000-0000-000068AA0000}"/>
    <cellStyle name="Normal 4 4 3 5 2 2 2 3 2" xfId="50646" xr:uid="{00000000-0005-0000-0000-000069AA0000}"/>
    <cellStyle name="Normal 4 4 3 5 2 2 2 4" xfId="37084" xr:uid="{00000000-0005-0000-0000-00006AAA0000}"/>
    <cellStyle name="Normal 4 4 3 5 2 2 3" xfId="13337" xr:uid="{00000000-0005-0000-0000-00006BAA0000}"/>
    <cellStyle name="Normal 4 4 3 5 2 2 3 2" xfId="26905" xr:uid="{00000000-0005-0000-0000-00006CAA0000}"/>
    <cellStyle name="Normal 4 4 3 5 2 2 3 2 2" xfId="54038" xr:uid="{00000000-0005-0000-0000-00006DAA0000}"/>
    <cellStyle name="Normal 4 4 3 5 2 2 3 3" xfId="40476" xr:uid="{00000000-0005-0000-0000-00006EAA0000}"/>
    <cellStyle name="Normal 4 4 3 5 2 2 4" xfId="20124" xr:uid="{00000000-0005-0000-0000-00006FAA0000}"/>
    <cellStyle name="Normal 4 4 3 5 2 2 4 2" xfId="47257" xr:uid="{00000000-0005-0000-0000-000070AA0000}"/>
    <cellStyle name="Normal 4 4 3 5 2 2 5" xfId="33695" xr:uid="{00000000-0005-0000-0000-000071AA0000}"/>
    <cellStyle name="Normal 4 4 3 5 2 3" xfId="6404" xr:uid="{00000000-0005-0000-0000-000072AA0000}"/>
    <cellStyle name="Normal 4 4 3 5 2 3 2" xfId="9937" xr:uid="{00000000-0005-0000-0000-000073AA0000}"/>
    <cellStyle name="Normal 4 4 3 5 2 3 2 2" xfId="16727" xr:uid="{00000000-0005-0000-0000-000074AA0000}"/>
    <cellStyle name="Normal 4 4 3 5 2 3 2 2 2" xfId="30295" xr:uid="{00000000-0005-0000-0000-000075AA0000}"/>
    <cellStyle name="Normal 4 4 3 5 2 3 2 2 2 2" xfId="57428" xr:uid="{00000000-0005-0000-0000-000076AA0000}"/>
    <cellStyle name="Normal 4 4 3 5 2 3 2 2 3" xfId="43866" xr:uid="{00000000-0005-0000-0000-000077AA0000}"/>
    <cellStyle name="Normal 4 4 3 5 2 3 2 3" xfId="23514" xr:uid="{00000000-0005-0000-0000-000078AA0000}"/>
    <cellStyle name="Normal 4 4 3 5 2 3 2 3 2" xfId="50647" xr:uid="{00000000-0005-0000-0000-000079AA0000}"/>
    <cellStyle name="Normal 4 4 3 5 2 3 2 4" xfId="37085" xr:uid="{00000000-0005-0000-0000-00007AAA0000}"/>
    <cellStyle name="Normal 4 4 3 5 2 3 3" xfId="13338" xr:uid="{00000000-0005-0000-0000-00007BAA0000}"/>
    <cellStyle name="Normal 4 4 3 5 2 3 3 2" xfId="26906" xr:uid="{00000000-0005-0000-0000-00007CAA0000}"/>
    <cellStyle name="Normal 4 4 3 5 2 3 3 2 2" xfId="54039" xr:uid="{00000000-0005-0000-0000-00007DAA0000}"/>
    <cellStyle name="Normal 4 4 3 5 2 3 3 3" xfId="40477" xr:uid="{00000000-0005-0000-0000-00007EAA0000}"/>
    <cellStyle name="Normal 4 4 3 5 2 3 4" xfId="20125" xr:uid="{00000000-0005-0000-0000-00007FAA0000}"/>
    <cellStyle name="Normal 4 4 3 5 2 3 4 2" xfId="47258" xr:uid="{00000000-0005-0000-0000-000080AA0000}"/>
    <cellStyle name="Normal 4 4 3 5 2 3 5" xfId="33696" xr:uid="{00000000-0005-0000-0000-000081AA0000}"/>
    <cellStyle name="Normal 4 4 3 5 2 4" xfId="9935" xr:uid="{00000000-0005-0000-0000-000082AA0000}"/>
    <cellStyle name="Normal 4 4 3 5 2 4 2" xfId="16725" xr:uid="{00000000-0005-0000-0000-000083AA0000}"/>
    <cellStyle name="Normal 4 4 3 5 2 4 2 2" xfId="30293" xr:uid="{00000000-0005-0000-0000-000084AA0000}"/>
    <cellStyle name="Normal 4 4 3 5 2 4 2 2 2" xfId="57426" xr:uid="{00000000-0005-0000-0000-000085AA0000}"/>
    <cellStyle name="Normal 4 4 3 5 2 4 2 3" xfId="43864" xr:uid="{00000000-0005-0000-0000-000086AA0000}"/>
    <cellStyle name="Normal 4 4 3 5 2 4 3" xfId="23512" xr:uid="{00000000-0005-0000-0000-000087AA0000}"/>
    <cellStyle name="Normal 4 4 3 5 2 4 3 2" xfId="50645" xr:uid="{00000000-0005-0000-0000-000088AA0000}"/>
    <cellStyle name="Normal 4 4 3 5 2 4 4" xfId="37083" xr:uid="{00000000-0005-0000-0000-000089AA0000}"/>
    <cellStyle name="Normal 4 4 3 5 2 5" xfId="13336" xr:uid="{00000000-0005-0000-0000-00008AAA0000}"/>
    <cellStyle name="Normal 4 4 3 5 2 5 2" xfId="26904" xr:uid="{00000000-0005-0000-0000-00008BAA0000}"/>
    <cellStyle name="Normal 4 4 3 5 2 5 2 2" xfId="54037" xr:uid="{00000000-0005-0000-0000-00008CAA0000}"/>
    <cellStyle name="Normal 4 4 3 5 2 5 3" xfId="40475" xr:uid="{00000000-0005-0000-0000-00008DAA0000}"/>
    <cellStyle name="Normal 4 4 3 5 2 6" xfId="20123" xr:uid="{00000000-0005-0000-0000-00008EAA0000}"/>
    <cellStyle name="Normal 4 4 3 5 2 6 2" xfId="47256" xr:uid="{00000000-0005-0000-0000-00008FAA0000}"/>
    <cellStyle name="Normal 4 4 3 5 2 7" xfId="33694" xr:uid="{00000000-0005-0000-0000-000090AA0000}"/>
    <cellStyle name="Normal 4 4 3 5 3" xfId="6405" xr:uid="{00000000-0005-0000-0000-000091AA0000}"/>
    <cellStyle name="Normal 4 4 3 5 3 2" xfId="9938" xr:uid="{00000000-0005-0000-0000-000092AA0000}"/>
    <cellStyle name="Normal 4 4 3 5 3 2 2" xfId="16728" xr:uid="{00000000-0005-0000-0000-000093AA0000}"/>
    <cellStyle name="Normal 4 4 3 5 3 2 2 2" xfId="30296" xr:uid="{00000000-0005-0000-0000-000094AA0000}"/>
    <cellStyle name="Normal 4 4 3 5 3 2 2 2 2" xfId="57429" xr:uid="{00000000-0005-0000-0000-000095AA0000}"/>
    <cellStyle name="Normal 4 4 3 5 3 2 2 3" xfId="43867" xr:uid="{00000000-0005-0000-0000-000096AA0000}"/>
    <cellStyle name="Normal 4 4 3 5 3 2 3" xfId="23515" xr:uid="{00000000-0005-0000-0000-000097AA0000}"/>
    <cellStyle name="Normal 4 4 3 5 3 2 3 2" xfId="50648" xr:uid="{00000000-0005-0000-0000-000098AA0000}"/>
    <cellStyle name="Normal 4 4 3 5 3 2 4" xfId="37086" xr:uid="{00000000-0005-0000-0000-000099AA0000}"/>
    <cellStyle name="Normal 4 4 3 5 3 3" xfId="13339" xr:uid="{00000000-0005-0000-0000-00009AAA0000}"/>
    <cellStyle name="Normal 4 4 3 5 3 3 2" xfId="26907" xr:uid="{00000000-0005-0000-0000-00009BAA0000}"/>
    <cellStyle name="Normal 4 4 3 5 3 3 2 2" xfId="54040" xr:uid="{00000000-0005-0000-0000-00009CAA0000}"/>
    <cellStyle name="Normal 4 4 3 5 3 3 3" xfId="40478" xr:uid="{00000000-0005-0000-0000-00009DAA0000}"/>
    <cellStyle name="Normal 4 4 3 5 3 4" xfId="20126" xr:uid="{00000000-0005-0000-0000-00009EAA0000}"/>
    <cellStyle name="Normal 4 4 3 5 3 4 2" xfId="47259" xr:uid="{00000000-0005-0000-0000-00009FAA0000}"/>
    <cellStyle name="Normal 4 4 3 5 3 5" xfId="33697" xr:uid="{00000000-0005-0000-0000-0000A0AA0000}"/>
    <cellStyle name="Normal 4 4 3 5 4" xfId="6406" xr:uid="{00000000-0005-0000-0000-0000A1AA0000}"/>
    <cellStyle name="Normal 4 4 3 5 4 2" xfId="9939" xr:uid="{00000000-0005-0000-0000-0000A2AA0000}"/>
    <cellStyle name="Normal 4 4 3 5 4 2 2" xfId="16729" xr:uid="{00000000-0005-0000-0000-0000A3AA0000}"/>
    <cellStyle name="Normal 4 4 3 5 4 2 2 2" xfId="30297" xr:uid="{00000000-0005-0000-0000-0000A4AA0000}"/>
    <cellStyle name="Normal 4 4 3 5 4 2 2 2 2" xfId="57430" xr:uid="{00000000-0005-0000-0000-0000A5AA0000}"/>
    <cellStyle name="Normal 4 4 3 5 4 2 2 3" xfId="43868" xr:uid="{00000000-0005-0000-0000-0000A6AA0000}"/>
    <cellStyle name="Normal 4 4 3 5 4 2 3" xfId="23516" xr:uid="{00000000-0005-0000-0000-0000A7AA0000}"/>
    <cellStyle name="Normal 4 4 3 5 4 2 3 2" xfId="50649" xr:uid="{00000000-0005-0000-0000-0000A8AA0000}"/>
    <cellStyle name="Normal 4 4 3 5 4 2 4" xfId="37087" xr:uid="{00000000-0005-0000-0000-0000A9AA0000}"/>
    <cellStyle name="Normal 4 4 3 5 4 3" xfId="13340" xr:uid="{00000000-0005-0000-0000-0000AAAA0000}"/>
    <cellStyle name="Normal 4 4 3 5 4 3 2" xfId="26908" xr:uid="{00000000-0005-0000-0000-0000ABAA0000}"/>
    <cellStyle name="Normal 4 4 3 5 4 3 2 2" xfId="54041" xr:uid="{00000000-0005-0000-0000-0000ACAA0000}"/>
    <cellStyle name="Normal 4 4 3 5 4 3 3" xfId="40479" xr:uid="{00000000-0005-0000-0000-0000ADAA0000}"/>
    <cellStyle name="Normal 4 4 3 5 4 4" xfId="20127" xr:uid="{00000000-0005-0000-0000-0000AEAA0000}"/>
    <cellStyle name="Normal 4 4 3 5 4 4 2" xfId="47260" xr:uid="{00000000-0005-0000-0000-0000AFAA0000}"/>
    <cellStyle name="Normal 4 4 3 5 4 5" xfId="33698" xr:uid="{00000000-0005-0000-0000-0000B0AA0000}"/>
    <cellStyle name="Normal 4 4 3 5 5" xfId="9934" xr:uid="{00000000-0005-0000-0000-0000B1AA0000}"/>
    <cellStyle name="Normal 4 4 3 5 5 2" xfId="16724" xr:uid="{00000000-0005-0000-0000-0000B2AA0000}"/>
    <cellStyle name="Normal 4 4 3 5 5 2 2" xfId="30292" xr:uid="{00000000-0005-0000-0000-0000B3AA0000}"/>
    <cellStyle name="Normal 4 4 3 5 5 2 2 2" xfId="57425" xr:uid="{00000000-0005-0000-0000-0000B4AA0000}"/>
    <cellStyle name="Normal 4 4 3 5 5 2 3" xfId="43863" xr:uid="{00000000-0005-0000-0000-0000B5AA0000}"/>
    <cellStyle name="Normal 4 4 3 5 5 3" xfId="23511" xr:uid="{00000000-0005-0000-0000-0000B6AA0000}"/>
    <cellStyle name="Normal 4 4 3 5 5 3 2" xfId="50644" xr:uid="{00000000-0005-0000-0000-0000B7AA0000}"/>
    <cellStyle name="Normal 4 4 3 5 5 4" xfId="37082" xr:uid="{00000000-0005-0000-0000-0000B8AA0000}"/>
    <cellStyle name="Normal 4 4 3 5 6" xfId="13335" xr:uid="{00000000-0005-0000-0000-0000B9AA0000}"/>
    <cellStyle name="Normal 4 4 3 5 6 2" xfId="26903" xr:uid="{00000000-0005-0000-0000-0000BAAA0000}"/>
    <cellStyle name="Normal 4 4 3 5 6 2 2" xfId="54036" xr:uid="{00000000-0005-0000-0000-0000BBAA0000}"/>
    <cellStyle name="Normal 4 4 3 5 6 3" xfId="40474" xr:uid="{00000000-0005-0000-0000-0000BCAA0000}"/>
    <cellStyle name="Normal 4 4 3 5 7" xfId="20122" xr:uid="{00000000-0005-0000-0000-0000BDAA0000}"/>
    <cellStyle name="Normal 4 4 3 5 7 2" xfId="47255" xr:uid="{00000000-0005-0000-0000-0000BEAA0000}"/>
    <cellStyle name="Normal 4 4 3 5 8" xfId="33693" xr:uid="{00000000-0005-0000-0000-0000BFAA0000}"/>
    <cellStyle name="Normal 4 4 3 6" xfId="6407" xr:uid="{00000000-0005-0000-0000-0000C0AA0000}"/>
    <cellStyle name="Normal 4 4 3 6 2" xfId="6408" xr:uid="{00000000-0005-0000-0000-0000C1AA0000}"/>
    <cellStyle name="Normal 4 4 3 6 2 2" xfId="9941" xr:uid="{00000000-0005-0000-0000-0000C2AA0000}"/>
    <cellStyle name="Normal 4 4 3 6 2 2 2" xfId="16731" xr:uid="{00000000-0005-0000-0000-0000C3AA0000}"/>
    <cellStyle name="Normal 4 4 3 6 2 2 2 2" xfId="30299" xr:uid="{00000000-0005-0000-0000-0000C4AA0000}"/>
    <cellStyle name="Normal 4 4 3 6 2 2 2 2 2" xfId="57432" xr:uid="{00000000-0005-0000-0000-0000C5AA0000}"/>
    <cellStyle name="Normal 4 4 3 6 2 2 2 3" xfId="43870" xr:uid="{00000000-0005-0000-0000-0000C6AA0000}"/>
    <cellStyle name="Normal 4 4 3 6 2 2 3" xfId="23518" xr:uid="{00000000-0005-0000-0000-0000C7AA0000}"/>
    <cellStyle name="Normal 4 4 3 6 2 2 3 2" xfId="50651" xr:uid="{00000000-0005-0000-0000-0000C8AA0000}"/>
    <cellStyle name="Normal 4 4 3 6 2 2 4" xfId="37089" xr:uid="{00000000-0005-0000-0000-0000C9AA0000}"/>
    <cellStyle name="Normal 4 4 3 6 2 3" xfId="13342" xr:uid="{00000000-0005-0000-0000-0000CAAA0000}"/>
    <cellStyle name="Normal 4 4 3 6 2 3 2" xfId="26910" xr:uid="{00000000-0005-0000-0000-0000CBAA0000}"/>
    <cellStyle name="Normal 4 4 3 6 2 3 2 2" xfId="54043" xr:uid="{00000000-0005-0000-0000-0000CCAA0000}"/>
    <cellStyle name="Normal 4 4 3 6 2 3 3" xfId="40481" xr:uid="{00000000-0005-0000-0000-0000CDAA0000}"/>
    <cellStyle name="Normal 4 4 3 6 2 4" xfId="20129" xr:uid="{00000000-0005-0000-0000-0000CEAA0000}"/>
    <cellStyle name="Normal 4 4 3 6 2 4 2" xfId="47262" xr:uid="{00000000-0005-0000-0000-0000CFAA0000}"/>
    <cellStyle name="Normal 4 4 3 6 2 5" xfId="33700" xr:uid="{00000000-0005-0000-0000-0000D0AA0000}"/>
    <cellStyle name="Normal 4 4 3 6 3" xfId="6409" xr:uid="{00000000-0005-0000-0000-0000D1AA0000}"/>
    <cellStyle name="Normal 4 4 3 6 3 2" xfId="9942" xr:uid="{00000000-0005-0000-0000-0000D2AA0000}"/>
    <cellStyle name="Normal 4 4 3 6 3 2 2" xfId="16732" xr:uid="{00000000-0005-0000-0000-0000D3AA0000}"/>
    <cellStyle name="Normal 4 4 3 6 3 2 2 2" xfId="30300" xr:uid="{00000000-0005-0000-0000-0000D4AA0000}"/>
    <cellStyle name="Normal 4 4 3 6 3 2 2 2 2" xfId="57433" xr:uid="{00000000-0005-0000-0000-0000D5AA0000}"/>
    <cellStyle name="Normal 4 4 3 6 3 2 2 3" xfId="43871" xr:uid="{00000000-0005-0000-0000-0000D6AA0000}"/>
    <cellStyle name="Normal 4 4 3 6 3 2 3" xfId="23519" xr:uid="{00000000-0005-0000-0000-0000D7AA0000}"/>
    <cellStyle name="Normal 4 4 3 6 3 2 3 2" xfId="50652" xr:uid="{00000000-0005-0000-0000-0000D8AA0000}"/>
    <cellStyle name="Normal 4 4 3 6 3 2 4" xfId="37090" xr:uid="{00000000-0005-0000-0000-0000D9AA0000}"/>
    <cellStyle name="Normal 4 4 3 6 3 3" xfId="13343" xr:uid="{00000000-0005-0000-0000-0000DAAA0000}"/>
    <cellStyle name="Normal 4 4 3 6 3 3 2" xfId="26911" xr:uid="{00000000-0005-0000-0000-0000DBAA0000}"/>
    <cellStyle name="Normal 4 4 3 6 3 3 2 2" xfId="54044" xr:uid="{00000000-0005-0000-0000-0000DCAA0000}"/>
    <cellStyle name="Normal 4 4 3 6 3 3 3" xfId="40482" xr:uid="{00000000-0005-0000-0000-0000DDAA0000}"/>
    <cellStyle name="Normal 4 4 3 6 3 4" xfId="20130" xr:uid="{00000000-0005-0000-0000-0000DEAA0000}"/>
    <cellStyle name="Normal 4 4 3 6 3 4 2" xfId="47263" xr:uid="{00000000-0005-0000-0000-0000DFAA0000}"/>
    <cellStyle name="Normal 4 4 3 6 3 5" xfId="33701" xr:uid="{00000000-0005-0000-0000-0000E0AA0000}"/>
    <cellStyle name="Normal 4 4 3 6 4" xfId="9940" xr:uid="{00000000-0005-0000-0000-0000E1AA0000}"/>
    <cellStyle name="Normal 4 4 3 6 4 2" xfId="16730" xr:uid="{00000000-0005-0000-0000-0000E2AA0000}"/>
    <cellStyle name="Normal 4 4 3 6 4 2 2" xfId="30298" xr:uid="{00000000-0005-0000-0000-0000E3AA0000}"/>
    <cellStyle name="Normal 4 4 3 6 4 2 2 2" xfId="57431" xr:uid="{00000000-0005-0000-0000-0000E4AA0000}"/>
    <cellStyle name="Normal 4 4 3 6 4 2 3" xfId="43869" xr:uid="{00000000-0005-0000-0000-0000E5AA0000}"/>
    <cellStyle name="Normal 4 4 3 6 4 3" xfId="23517" xr:uid="{00000000-0005-0000-0000-0000E6AA0000}"/>
    <cellStyle name="Normal 4 4 3 6 4 3 2" xfId="50650" xr:uid="{00000000-0005-0000-0000-0000E7AA0000}"/>
    <cellStyle name="Normal 4 4 3 6 4 4" xfId="37088" xr:uid="{00000000-0005-0000-0000-0000E8AA0000}"/>
    <cellStyle name="Normal 4 4 3 6 5" xfId="13341" xr:uid="{00000000-0005-0000-0000-0000E9AA0000}"/>
    <cellStyle name="Normal 4 4 3 6 5 2" xfId="26909" xr:uid="{00000000-0005-0000-0000-0000EAAA0000}"/>
    <cellStyle name="Normal 4 4 3 6 5 2 2" xfId="54042" xr:uid="{00000000-0005-0000-0000-0000EBAA0000}"/>
    <cellStyle name="Normal 4 4 3 6 5 3" xfId="40480" xr:uid="{00000000-0005-0000-0000-0000ECAA0000}"/>
    <cellStyle name="Normal 4 4 3 6 6" xfId="20128" xr:uid="{00000000-0005-0000-0000-0000EDAA0000}"/>
    <cellStyle name="Normal 4 4 3 6 6 2" xfId="47261" xr:uid="{00000000-0005-0000-0000-0000EEAA0000}"/>
    <cellStyle name="Normal 4 4 3 6 7" xfId="33699" xr:uid="{00000000-0005-0000-0000-0000EFAA0000}"/>
    <cellStyle name="Normal 4 4 3 7" xfId="6410" xr:uid="{00000000-0005-0000-0000-0000F0AA0000}"/>
    <cellStyle name="Normal 4 4 3 7 2" xfId="6411" xr:uid="{00000000-0005-0000-0000-0000F1AA0000}"/>
    <cellStyle name="Normal 4 4 3 7 2 2" xfId="9944" xr:uid="{00000000-0005-0000-0000-0000F2AA0000}"/>
    <cellStyle name="Normal 4 4 3 7 2 2 2" xfId="16734" xr:uid="{00000000-0005-0000-0000-0000F3AA0000}"/>
    <cellStyle name="Normal 4 4 3 7 2 2 2 2" xfId="30302" xr:uid="{00000000-0005-0000-0000-0000F4AA0000}"/>
    <cellStyle name="Normal 4 4 3 7 2 2 2 2 2" xfId="57435" xr:uid="{00000000-0005-0000-0000-0000F5AA0000}"/>
    <cellStyle name="Normal 4 4 3 7 2 2 2 3" xfId="43873" xr:uid="{00000000-0005-0000-0000-0000F6AA0000}"/>
    <cellStyle name="Normal 4 4 3 7 2 2 3" xfId="23521" xr:uid="{00000000-0005-0000-0000-0000F7AA0000}"/>
    <cellStyle name="Normal 4 4 3 7 2 2 3 2" xfId="50654" xr:uid="{00000000-0005-0000-0000-0000F8AA0000}"/>
    <cellStyle name="Normal 4 4 3 7 2 2 4" xfId="37092" xr:uid="{00000000-0005-0000-0000-0000F9AA0000}"/>
    <cellStyle name="Normal 4 4 3 7 2 3" xfId="13345" xr:uid="{00000000-0005-0000-0000-0000FAAA0000}"/>
    <cellStyle name="Normal 4 4 3 7 2 3 2" xfId="26913" xr:uid="{00000000-0005-0000-0000-0000FBAA0000}"/>
    <cellStyle name="Normal 4 4 3 7 2 3 2 2" xfId="54046" xr:uid="{00000000-0005-0000-0000-0000FCAA0000}"/>
    <cellStyle name="Normal 4 4 3 7 2 3 3" xfId="40484" xr:uid="{00000000-0005-0000-0000-0000FDAA0000}"/>
    <cellStyle name="Normal 4 4 3 7 2 4" xfId="20132" xr:uid="{00000000-0005-0000-0000-0000FEAA0000}"/>
    <cellStyle name="Normal 4 4 3 7 2 4 2" xfId="47265" xr:uid="{00000000-0005-0000-0000-0000FFAA0000}"/>
    <cellStyle name="Normal 4 4 3 7 2 5" xfId="33703" xr:uid="{00000000-0005-0000-0000-000000AB0000}"/>
    <cellStyle name="Normal 4 4 3 7 3" xfId="6412" xr:uid="{00000000-0005-0000-0000-000001AB0000}"/>
    <cellStyle name="Normal 4 4 3 7 3 2" xfId="9945" xr:uid="{00000000-0005-0000-0000-000002AB0000}"/>
    <cellStyle name="Normal 4 4 3 7 3 2 2" xfId="16735" xr:uid="{00000000-0005-0000-0000-000003AB0000}"/>
    <cellStyle name="Normal 4 4 3 7 3 2 2 2" xfId="30303" xr:uid="{00000000-0005-0000-0000-000004AB0000}"/>
    <cellStyle name="Normal 4 4 3 7 3 2 2 2 2" xfId="57436" xr:uid="{00000000-0005-0000-0000-000005AB0000}"/>
    <cellStyle name="Normal 4 4 3 7 3 2 2 3" xfId="43874" xr:uid="{00000000-0005-0000-0000-000006AB0000}"/>
    <cellStyle name="Normal 4 4 3 7 3 2 3" xfId="23522" xr:uid="{00000000-0005-0000-0000-000007AB0000}"/>
    <cellStyle name="Normal 4 4 3 7 3 2 3 2" xfId="50655" xr:uid="{00000000-0005-0000-0000-000008AB0000}"/>
    <cellStyle name="Normal 4 4 3 7 3 2 4" xfId="37093" xr:uid="{00000000-0005-0000-0000-000009AB0000}"/>
    <cellStyle name="Normal 4 4 3 7 3 3" xfId="13346" xr:uid="{00000000-0005-0000-0000-00000AAB0000}"/>
    <cellStyle name="Normal 4 4 3 7 3 3 2" xfId="26914" xr:uid="{00000000-0005-0000-0000-00000BAB0000}"/>
    <cellStyle name="Normal 4 4 3 7 3 3 2 2" xfId="54047" xr:uid="{00000000-0005-0000-0000-00000CAB0000}"/>
    <cellStyle name="Normal 4 4 3 7 3 3 3" xfId="40485" xr:uid="{00000000-0005-0000-0000-00000DAB0000}"/>
    <cellStyle name="Normal 4 4 3 7 3 4" xfId="20133" xr:uid="{00000000-0005-0000-0000-00000EAB0000}"/>
    <cellStyle name="Normal 4 4 3 7 3 4 2" xfId="47266" xr:uid="{00000000-0005-0000-0000-00000FAB0000}"/>
    <cellStyle name="Normal 4 4 3 7 3 5" xfId="33704" xr:uid="{00000000-0005-0000-0000-000010AB0000}"/>
    <cellStyle name="Normal 4 4 3 7 4" xfId="9943" xr:uid="{00000000-0005-0000-0000-000011AB0000}"/>
    <cellStyle name="Normal 4 4 3 7 4 2" xfId="16733" xr:uid="{00000000-0005-0000-0000-000012AB0000}"/>
    <cellStyle name="Normal 4 4 3 7 4 2 2" xfId="30301" xr:uid="{00000000-0005-0000-0000-000013AB0000}"/>
    <cellStyle name="Normal 4 4 3 7 4 2 2 2" xfId="57434" xr:uid="{00000000-0005-0000-0000-000014AB0000}"/>
    <cellStyle name="Normal 4 4 3 7 4 2 3" xfId="43872" xr:uid="{00000000-0005-0000-0000-000015AB0000}"/>
    <cellStyle name="Normal 4 4 3 7 4 3" xfId="23520" xr:uid="{00000000-0005-0000-0000-000016AB0000}"/>
    <cellStyle name="Normal 4 4 3 7 4 3 2" xfId="50653" xr:uid="{00000000-0005-0000-0000-000017AB0000}"/>
    <cellStyle name="Normal 4 4 3 7 4 4" xfId="37091" xr:uid="{00000000-0005-0000-0000-000018AB0000}"/>
    <cellStyle name="Normal 4 4 3 7 5" xfId="13344" xr:uid="{00000000-0005-0000-0000-000019AB0000}"/>
    <cellStyle name="Normal 4 4 3 7 5 2" xfId="26912" xr:uid="{00000000-0005-0000-0000-00001AAB0000}"/>
    <cellStyle name="Normal 4 4 3 7 5 2 2" xfId="54045" xr:uid="{00000000-0005-0000-0000-00001BAB0000}"/>
    <cellStyle name="Normal 4 4 3 7 5 3" xfId="40483" xr:uid="{00000000-0005-0000-0000-00001CAB0000}"/>
    <cellStyle name="Normal 4 4 3 7 6" xfId="20131" xr:uid="{00000000-0005-0000-0000-00001DAB0000}"/>
    <cellStyle name="Normal 4 4 3 7 6 2" xfId="47264" xr:uid="{00000000-0005-0000-0000-00001EAB0000}"/>
    <cellStyle name="Normal 4 4 3 7 7" xfId="33702" xr:uid="{00000000-0005-0000-0000-00001FAB0000}"/>
    <cellStyle name="Normal 4 4 3 8" xfId="6413" xr:uid="{00000000-0005-0000-0000-000020AB0000}"/>
    <cellStyle name="Normal 4 4 3 8 2" xfId="9946" xr:uid="{00000000-0005-0000-0000-000021AB0000}"/>
    <cellStyle name="Normal 4 4 3 8 2 2" xfId="16736" xr:uid="{00000000-0005-0000-0000-000022AB0000}"/>
    <cellStyle name="Normal 4 4 3 8 2 2 2" xfId="30304" xr:uid="{00000000-0005-0000-0000-000023AB0000}"/>
    <cellStyle name="Normal 4 4 3 8 2 2 2 2" xfId="57437" xr:uid="{00000000-0005-0000-0000-000024AB0000}"/>
    <cellStyle name="Normal 4 4 3 8 2 2 3" xfId="43875" xr:uid="{00000000-0005-0000-0000-000025AB0000}"/>
    <cellStyle name="Normal 4 4 3 8 2 3" xfId="23523" xr:uid="{00000000-0005-0000-0000-000026AB0000}"/>
    <cellStyle name="Normal 4 4 3 8 2 3 2" xfId="50656" xr:uid="{00000000-0005-0000-0000-000027AB0000}"/>
    <cellStyle name="Normal 4 4 3 8 2 4" xfId="37094" xr:uid="{00000000-0005-0000-0000-000028AB0000}"/>
    <cellStyle name="Normal 4 4 3 8 3" xfId="13347" xr:uid="{00000000-0005-0000-0000-000029AB0000}"/>
    <cellStyle name="Normal 4 4 3 8 3 2" xfId="26915" xr:uid="{00000000-0005-0000-0000-00002AAB0000}"/>
    <cellStyle name="Normal 4 4 3 8 3 2 2" xfId="54048" xr:uid="{00000000-0005-0000-0000-00002BAB0000}"/>
    <cellStyle name="Normal 4 4 3 8 3 3" xfId="40486" xr:uid="{00000000-0005-0000-0000-00002CAB0000}"/>
    <cellStyle name="Normal 4 4 3 8 4" xfId="20134" xr:uid="{00000000-0005-0000-0000-00002DAB0000}"/>
    <cellStyle name="Normal 4 4 3 8 4 2" xfId="47267" xr:uid="{00000000-0005-0000-0000-00002EAB0000}"/>
    <cellStyle name="Normal 4 4 3 8 5" xfId="33705" xr:uid="{00000000-0005-0000-0000-00002FAB0000}"/>
    <cellStyle name="Normal 4 4 3 9" xfId="6414" xr:uid="{00000000-0005-0000-0000-000030AB0000}"/>
    <cellStyle name="Normal 4 4 3 9 2" xfId="9947" xr:uid="{00000000-0005-0000-0000-000031AB0000}"/>
    <cellStyle name="Normal 4 4 3 9 2 2" xfId="16737" xr:uid="{00000000-0005-0000-0000-000032AB0000}"/>
    <cellStyle name="Normal 4 4 3 9 2 2 2" xfId="30305" xr:uid="{00000000-0005-0000-0000-000033AB0000}"/>
    <cellStyle name="Normal 4 4 3 9 2 2 2 2" xfId="57438" xr:uid="{00000000-0005-0000-0000-000034AB0000}"/>
    <cellStyle name="Normal 4 4 3 9 2 2 3" xfId="43876" xr:uid="{00000000-0005-0000-0000-000035AB0000}"/>
    <cellStyle name="Normal 4 4 3 9 2 3" xfId="23524" xr:uid="{00000000-0005-0000-0000-000036AB0000}"/>
    <cellStyle name="Normal 4 4 3 9 2 3 2" xfId="50657" xr:uid="{00000000-0005-0000-0000-000037AB0000}"/>
    <cellStyle name="Normal 4 4 3 9 2 4" xfId="37095" xr:uid="{00000000-0005-0000-0000-000038AB0000}"/>
    <cellStyle name="Normal 4 4 3 9 3" xfId="13348" xr:uid="{00000000-0005-0000-0000-000039AB0000}"/>
    <cellStyle name="Normal 4 4 3 9 3 2" xfId="26916" xr:uid="{00000000-0005-0000-0000-00003AAB0000}"/>
    <cellStyle name="Normal 4 4 3 9 3 2 2" xfId="54049" xr:uid="{00000000-0005-0000-0000-00003BAB0000}"/>
    <cellStyle name="Normal 4 4 3 9 3 3" xfId="40487" xr:uid="{00000000-0005-0000-0000-00003CAB0000}"/>
    <cellStyle name="Normal 4 4 3 9 4" xfId="20135" xr:uid="{00000000-0005-0000-0000-00003DAB0000}"/>
    <cellStyle name="Normal 4 4 3 9 4 2" xfId="47268" xr:uid="{00000000-0005-0000-0000-00003EAB0000}"/>
    <cellStyle name="Normal 4 4 3 9 5" xfId="33706" xr:uid="{00000000-0005-0000-0000-00003FAB0000}"/>
    <cellStyle name="Normal 4 4 4" xfId="6415" xr:uid="{00000000-0005-0000-0000-000040AB0000}"/>
    <cellStyle name="Normal 4 4 4 10" xfId="13349" xr:uid="{00000000-0005-0000-0000-000041AB0000}"/>
    <cellStyle name="Normal 4 4 4 10 2" xfId="26917" xr:uid="{00000000-0005-0000-0000-000042AB0000}"/>
    <cellStyle name="Normal 4 4 4 10 2 2" xfId="54050" xr:uid="{00000000-0005-0000-0000-000043AB0000}"/>
    <cellStyle name="Normal 4 4 4 10 3" xfId="40488" xr:uid="{00000000-0005-0000-0000-000044AB0000}"/>
    <cellStyle name="Normal 4 4 4 11" xfId="20136" xr:uid="{00000000-0005-0000-0000-000045AB0000}"/>
    <cellStyle name="Normal 4 4 4 11 2" xfId="47269" xr:uid="{00000000-0005-0000-0000-000046AB0000}"/>
    <cellStyle name="Normal 4 4 4 12" xfId="33707" xr:uid="{00000000-0005-0000-0000-000047AB0000}"/>
    <cellStyle name="Normal 4 4 4 2" xfId="6416" xr:uid="{00000000-0005-0000-0000-000048AB0000}"/>
    <cellStyle name="Normal 4 4 4 2 10" xfId="33708" xr:uid="{00000000-0005-0000-0000-000049AB0000}"/>
    <cellStyle name="Normal 4 4 4 2 2" xfId="6417" xr:uid="{00000000-0005-0000-0000-00004AAB0000}"/>
    <cellStyle name="Normal 4 4 4 2 2 2" xfId="6418" xr:uid="{00000000-0005-0000-0000-00004BAB0000}"/>
    <cellStyle name="Normal 4 4 4 2 2 2 2" xfId="6419" xr:uid="{00000000-0005-0000-0000-00004CAB0000}"/>
    <cellStyle name="Normal 4 4 4 2 2 2 2 2" xfId="9952" xr:uid="{00000000-0005-0000-0000-00004DAB0000}"/>
    <cellStyle name="Normal 4 4 4 2 2 2 2 2 2" xfId="16742" xr:uid="{00000000-0005-0000-0000-00004EAB0000}"/>
    <cellStyle name="Normal 4 4 4 2 2 2 2 2 2 2" xfId="30310" xr:uid="{00000000-0005-0000-0000-00004FAB0000}"/>
    <cellStyle name="Normal 4 4 4 2 2 2 2 2 2 2 2" xfId="57443" xr:uid="{00000000-0005-0000-0000-000050AB0000}"/>
    <cellStyle name="Normal 4 4 4 2 2 2 2 2 2 3" xfId="43881" xr:uid="{00000000-0005-0000-0000-000051AB0000}"/>
    <cellStyle name="Normal 4 4 4 2 2 2 2 2 3" xfId="23529" xr:uid="{00000000-0005-0000-0000-000052AB0000}"/>
    <cellStyle name="Normal 4 4 4 2 2 2 2 2 3 2" xfId="50662" xr:uid="{00000000-0005-0000-0000-000053AB0000}"/>
    <cellStyle name="Normal 4 4 4 2 2 2 2 2 4" xfId="37100" xr:uid="{00000000-0005-0000-0000-000054AB0000}"/>
    <cellStyle name="Normal 4 4 4 2 2 2 2 3" xfId="13353" xr:uid="{00000000-0005-0000-0000-000055AB0000}"/>
    <cellStyle name="Normal 4 4 4 2 2 2 2 3 2" xfId="26921" xr:uid="{00000000-0005-0000-0000-000056AB0000}"/>
    <cellStyle name="Normal 4 4 4 2 2 2 2 3 2 2" xfId="54054" xr:uid="{00000000-0005-0000-0000-000057AB0000}"/>
    <cellStyle name="Normal 4 4 4 2 2 2 2 3 3" xfId="40492" xr:uid="{00000000-0005-0000-0000-000058AB0000}"/>
    <cellStyle name="Normal 4 4 4 2 2 2 2 4" xfId="20140" xr:uid="{00000000-0005-0000-0000-000059AB0000}"/>
    <cellStyle name="Normal 4 4 4 2 2 2 2 4 2" xfId="47273" xr:uid="{00000000-0005-0000-0000-00005AAB0000}"/>
    <cellStyle name="Normal 4 4 4 2 2 2 2 5" xfId="33711" xr:uid="{00000000-0005-0000-0000-00005BAB0000}"/>
    <cellStyle name="Normal 4 4 4 2 2 2 3" xfId="6420" xr:uid="{00000000-0005-0000-0000-00005CAB0000}"/>
    <cellStyle name="Normal 4 4 4 2 2 2 3 2" xfId="9953" xr:uid="{00000000-0005-0000-0000-00005DAB0000}"/>
    <cellStyle name="Normal 4 4 4 2 2 2 3 2 2" xfId="16743" xr:uid="{00000000-0005-0000-0000-00005EAB0000}"/>
    <cellStyle name="Normal 4 4 4 2 2 2 3 2 2 2" xfId="30311" xr:uid="{00000000-0005-0000-0000-00005FAB0000}"/>
    <cellStyle name="Normal 4 4 4 2 2 2 3 2 2 2 2" xfId="57444" xr:uid="{00000000-0005-0000-0000-000060AB0000}"/>
    <cellStyle name="Normal 4 4 4 2 2 2 3 2 2 3" xfId="43882" xr:uid="{00000000-0005-0000-0000-000061AB0000}"/>
    <cellStyle name="Normal 4 4 4 2 2 2 3 2 3" xfId="23530" xr:uid="{00000000-0005-0000-0000-000062AB0000}"/>
    <cellStyle name="Normal 4 4 4 2 2 2 3 2 3 2" xfId="50663" xr:uid="{00000000-0005-0000-0000-000063AB0000}"/>
    <cellStyle name="Normal 4 4 4 2 2 2 3 2 4" xfId="37101" xr:uid="{00000000-0005-0000-0000-000064AB0000}"/>
    <cellStyle name="Normal 4 4 4 2 2 2 3 3" xfId="13354" xr:uid="{00000000-0005-0000-0000-000065AB0000}"/>
    <cellStyle name="Normal 4 4 4 2 2 2 3 3 2" xfId="26922" xr:uid="{00000000-0005-0000-0000-000066AB0000}"/>
    <cellStyle name="Normal 4 4 4 2 2 2 3 3 2 2" xfId="54055" xr:uid="{00000000-0005-0000-0000-000067AB0000}"/>
    <cellStyle name="Normal 4 4 4 2 2 2 3 3 3" xfId="40493" xr:uid="{00000000-0005-0000-0000-000068AB0000}"/>
    <cellStyle name="Normal 4 4 4 2 2 2 3 4" xfId="20141" xr:uid="{00000000-0005-0000-0000-000069AB0000}"/>
    <cellStyle name="Normal 4 4 4 2 2 2 3 4 2" xfId="47274" xr:uid="{00000000-0005-0000-0000-00006AAB0000}"/>
    <cellStyle name="Normal 4 4 4 2 2 2 3 5" xfId="33712" xr:uid="{00000000-0005-0000-0000-00006BAB0000}"/>
    <cellStyle name="Normal 4 4 4 2 2 2 4" xfId="9951" xr:uid="{00000000-0005-0000-0000-00006CAB0000}"/>
    <cellStyle name="Normal 4 4 4 2 2 2 4 2" xfId="16741" xr:uid="{00000000-0005-0000-0000-00006DAB0000}"/>
    <cellStyle name="Normal 4 4 4 2 2 2 4 2 2" xfId="30309" xr:uid="{00000000-0005-0000-0000-00006EAB0000}"/>
    <cellStyle name="Normal 4 4 4 2 2 2 4 2 2 2" xfId="57442" xr:uid="{00000000-0005-0000-0000-00006FAB0000}"/>
    <cellStyle name="Normal 4 4 4 2 2 2 4 2 3" xfId="43880" xr:uid="{00000000-0005-0000-0000-000070AB0000}"/>
    <cellStyle name="Normal 4 4 4 2 2 2 4 3" xfId="23528" xr:uid="{00000000-0005-0000-0000-000071AB0000}"/>
    <cellStyle name="Normal 4 4 4 2 2 2 4 3 2" xfId="50661" xr:uid="{00000000-0005-0000-0000-000072AB0000}"/>
    <cellStyle name="Normal 4 4 4 2 2 2 4 4" xfId="37099" xr:uid="{00000000-0005-0000-0000-000073AB0000}"/>
    <cellStyle name="Normal 4 4 4 2 2 2 5" xfId="13352" xr:uid="{00000000-0005-0000-0000-000074AB0000}"/>
    <cellStyle name="Normal 4 4 4 2 2 2 5 2" xfId="26920" xr:uid="{00000000-0005-0000-0000-000075AB0000}"/>
    <cellStyle name="Normal 4 4 4 2 2 2 5 2 2" xfId="54053" xr:uid="{00000000-0005-0000-0000-000076AB0000}"/>
    <cellStyle name="Normal 4 4 4 2 2 2 5 3" xfId="40491" xr:uid="{00000000-0005-0000-0000-000077AB0000}"/>
    <cellStyle name="Normal 4 4 4 2 2 2 6" xfId="20139" xr:uid="{00000000-0005-0000-0000-000078AB0000}"/>
    <cellStyle name="Normal 4 4 4 2 2 2 6 2" xfId="47272" xr:uid="{00000000-0005-0000-0000-000079AB0000}"/>
    <cellStyle name="Normal 4 4 4 2 2 2 7" xfId="33710" xr:uid="{00000000-0005-0000-0000-00007AAB0000}"/>
    <cellStyle name="Normal 4 4 4 2 2 3" xfId="6421" xr:uid="{00000000-0005-0000-0000-00007BAB0000}"/>
    <cellStyle name="Normal 4 4 4 2 2 3 2" xfId="6422" xr:uid="{00000000-0005-0000-0000-00007CAB0000}"/>
    <cellStyle name="Normal 4 4 4 2 2 3 2 2" xfId="9955" xr:uid="{00000000-0005-0000-0000-00007DAB0000}"/>
    <cellStyle name="Normal 4 4 4 2 2 3 2 2 2" xfId="16745" xr:uid="{00000000-0005-0000-0000-00007EAB0000}"/>
    <cellStyle name="Normal 4 4 4 2 2 3 2 2 2 2" xfId="30313" xr:uid="{00000000-0005-0000-0000-00007FAB0000}"/>
    <cellStyle name="Normal 4 4 4 2 2 3 2 2 2 2 2" xfId="57446" xr:uid="{00000000-0005-0000-0000-000080AB0000}"/>
    <cellStyle name="Normal 4 4 4 2 2 3 2 2 2 3" xfId="43884" xr:uid="{00000000-0005-0000-0000-000081AB0000}"/>
    <cellStyle name="Normal 4 4 4 2 2 3 2 2 3" xfId="23532" xr:uid="{00000000-0005-0000-0000-000082AB0000}"/>
    <cellStyle name="Normal 4 4 4 2 2 3 2 2 3 2" xfId="50665" xr:uid="{00000000-0005-0000-0000-000083AB0000}"/>
    <cellStyle name="Normal 4 4 4 2 2 3 2 2 4" xfId="37103" xr:uid="{00000000-0005-0000-0000-000084AB0000}"/>
    <cellStyle name="Normal 4 4 4 2 2 3 2 3" xfId="13356" xr:uid="{00000000-0005-0000-0000-000085AB0000}"/>
    <cellStyle name="Normal 4 4 4 2 2 3 2 3 2" xfId="26924" xr:uid="{00000000-0005-0000-0000-000086AB0000}"/>
    <cellStyle name="Normal 4 4 4 2 2 3 2 3 2 2" xfId="54057" xr:uid="{00000000-0005-0000-0000-000087AB0000}"/>
    <cellStyle name="Normal 4 4 4 2 2 3 2 3 3" xfId="40495" xr:uid="{00000000-0005-0000-0000-000088AB0000}"/>
    <cellStyle name="Normal 4 4 4 2 2 3 2 4" xfId="20143" xr:uid="{00000000-0005-0000-0000-000089AB0000}"/>
    <cellStyle name="Normal 4 4 4 2 2 3 2 4 2" xfId="47276" xr:uid="{00000000-0005-0000-0000-00008AAB0000}"/>
    <cellStyle name="Normal 4 4 4 2 2 3 2 5" xfId="33714" xr:uid="{00000000-0005-0000-0000-00008BAB0000}"/>
    <cellStyle name="Normal 4 4 4 2 2 3 3" xfId="9954" xr:uid="{00000000-0005-0000-0000-00008CAB0000}"/>
    <cellStyle name="Normal 4 4 4 2 2 3 3 2" xfId="16744" xr:uid="{00000000-0005-0000-0000-00008DAB0000}"/>
    <cellStyle name="Normal 4 4 4 2 2 3 3 2 2" xfId="30312" xr:uid="{00000000-0005-0000-0000-00008EAB0000}"/>
    <cellStyle name="Normal 4 4 4 2 2 3 3 2 2 2" xfId="57445" xr:uid="{00000000-0005-0000-0000-00008FAB0000}"/>
    <cellStyle name="Normal 4 4 4 2 2 3 3 2 3" xfId="43883" xr:uid="{00000000-0005-0000-0000-000090AB0000}"/>
    <cellStyle name="Normal 4 4 4 2 2 3 3 3" xfId="23531" xr:uid="{00000000-0005-0000-0000-000091AB0000}"/>
    <cellStyle name="Normal 4 4 4 2 2 3 3 3 2" xfId="50664" xr:uid="{00000000-0005-0000-0000-000092AB0000}"/>
    <cellStyle name="Normal 4 4 4 2 2 3 3 4" xfId="37102" xr:uid="{00000000-0005-0000-0000-000093AB0000}"/>
    <cellStyle name="Normal 4 4 4 2 2 3 4" xfId="13355" xr:uid="{00000000-0005-0000-0000-000094AB0000}"/>
    <cellStyle name="Normal 4 4 4 2 2 3 4 2" xfId="26923" xr:uid="{00000000-0005-0000-0000-000095AB0000}"/>
    <cellStyle name="Normal 4 4 4 2 2 3 4 2 2" xfId="54056" xr:uid="{00000000-0005-0000-0000-000096AB0000}"/>
    <cellStyle name="Normal 4 4 4 2 2 3 4 3" xfId="40494" xr:uid="{00000000-0005-0000-0000-000097AB0000}"/>
    <cellStyle name="Normal 4 4 4 2 2 3 5" xfId="20142" xr:uid="{00000000-0005-0000-0000-000098AB0000}"/>
    <cellStyle name="Normal 4 4 4 2 2 3 5 2" xfId="47275" xr:uid="{00000000-0005-0000-0000-000099AB0000}"/>
    <cellStyle name="Normal 4 4 4 2 2 3 6" xfId="33713" xr:uid="{00000000-0005-0000-0000-00009AAB0000}"/>
    <cellStyle name="Normal 4 4 4 2 2 4" xfId="6423" xr:uid="{00000000-0005-0000-0000-00009BAB0000}"/>
    <cellStyle name="Normal 4 4 4 2 2 4 2" xfId="9956" xr:uid="{00000000-0005-0000-0000-00009CAB0000}"/>
    <cellStyle name="Normal 4 4 4 2 2 4 2 2" xfId="16746" xr:uid="{00000000-0005-0000-0000-00009DAB0000}"/>
    <cellStyle name="Normal 4 4 4 2 2 4 2 2 2" xfId="30314" xr:uid="{00000000-0005-0000-0000-00009EAB0000}"/>
    <cellStyle name="Normal 4 4 4 2 2 4 2 2 2 2" xfId="57447" xr:uid="{00000000-0005-0000-0000-00009FAB0000}"/>
    <cellStyle name="Normal 4 4 4 2 2 4 2 2 3" xfId="43885" xr:uid="{00000000-0005-0000-0000-0000A0AB0000}"/>
    <cellStyle name="Normal 4 4 4 2 2 4 2 3" xfId="23533" xr:uid="{00000000-0005-0000-0000-0000A1AB0000}"/>
    <cellStyle name="Normal 4 4 4 2 2 4 2 3 2" xfId="50666" xr:uid="{00000000-0005-0000-0000-0000A2AB0000}"/>
    <cellStyle name="Normal 4 4 4 2 2 4 2 4" xfId="37104" xr:uid="{00000000-0005-0000-0000-0000A3AB0000}"/>
    <cellStyle name="Normal 4 4 4 2 2 4 3" xfId="13357" xr:uid="{00000000-0005-0000-0000-0000A4AB0000}"/>
    <cellStyle name="Normal 4 4 4 2 2 4 3 2" xfId="26925" xr:uid="{00000000-0005-0000-0000-0000A5AB0000}"/>
    <cellStyle name="Normal 4 4 4 2 2 4 3 2 2" xfId="54058" xr:uid="{00000000-0005-0000-0000-0000A6AB0000}"/>
    <cellStyle name="Normal 4 4 4 2 2 4 3 3" xfId="40496" xr:uid="{00000000-0005-0000-0000-0000A7AB0000}"/>
    <cellStyle name="Normal 4 4 4 2 2 4 4" xfId="20144" xr:uid="{00000000-0005-0000-0000-0000A8AB0000}"/>
    <cellStyle name="Normal 4 4 4 2 2 4 4 2" xfId="47277" xr:uid="{00000000-0005-0000-0000-0000A9AB0000}"/>
    <cellStyle name="Normal 4 4 4 2 2 4 5" xfId="33715" xr:uid="{00000000-0005-0000-0000-0000AAAB0000}"/>
    <cellStyle name="Normal 4 4 4 2 2 5" xfId="6424" xr:uid="{00000000-0005-0000-0000-0000ABAB0000}"/>
    <cellStyle name="Normal 4 4 4 2 2 5 2" xfId="9957" xr:uid="{00000000-0005-0000-0000-0000ACAB0000}"/>
    <cellStyle name="Normal 4 4 4 2 2 5 2 2" xfId="16747" xr:uid="{00000000-0005-0000-0000-0000ADAB0000}"/>
    <cellStyle name="Normal 4 4 4 2 2 5 2 2 2" xfId="30315" xr:uid="{00000000-0005-0000-0000-0000AEAB0000}"/>
    <cellStyle name="Normal 4 4 4 2 2 5 2 2 2 2" xfId="57448" xr:uid="{00000000-0005-0000-0000-0000AFAB0000}"/>
    <cellStyle name="Normal 4 4 4 2 2 5 2 2 3" xfId="43886" xr:uid="{00000000-0005-0000-0000-0000B0AB0000}"/>
    <cellStyle name="Normal 4 4 4 2 2 5 2 3" xfId="23534" xr:uid="{00000000-0005-0000-0000-0000B1AB0000}"/>
    <cellStyle name="Normal 4 4 4 2 2 5 2 3 2" xfId="50667" xr:uid="{00000000-0005-0000-0000-0000B2AB0000}"/>
    <cellStyle name="Normal 4 4 4 2 2 5 2 4" xfId="37105" xr:uid="{00000000-0005-0000-0000-0000B3AB0000}"/>
    <cellStyle name="Normal 4 4 4 2 2 5 3" xfId="13358" xr:uid="{00000000-0005-0000-0000-0000B4AB0000}"/>
    <cellStyle name="Normal 4 4 4 2 2 5 3 2" xfId="26926" xr:uid="{00000000-0005-0000-0000-0000B5AB0000}"/>
    <cellStyle name="Normal 4 4 4 2 2 5 3 2 2" xfId="54059" xr:uid="{00000000-0005-0000-0000-0000B6AB0000}"/>
    <cellStyle name="Normal 4 4 4 2 2 5 3 3" xfId="40497" xr:uid="{00000000-0005-0000-0000-0000B7AB0000}"/>
    <cellStyle name="Normal 4 4 4 2 2 5 4" xfId="20145" xr:uid="{00000000-0005-0000-0000-0000B8AB0000}"/>
    <cellStyle name="Normal 4 4 4 2 2 5 4 2" xfId="47278" xr:uid="{00000000-0005-0000-0000-0000B9AB0000}"/>
    <cellStyle name="Normal 4 4 4 2 2 5 5" xfId="33716" xr:uid="{00000000-0005-0000-0000-0000BAAB0000}"/>
    <cellStyle name="Normal 4 4 4 2 2 6" xfId="9950" xr:uid="{00000000-0005-0000-0000-0000BBAB0000}"/>
    <cellStyle name="Normal 4 4 4 2 2 6 2" xfId="16740" xr:uid="{00000000-0005-0000-0000-0000BCAB0000}"/>
    <cellStyle name="Normal 4 4 4 2 2 6 2 2" xfId="30308" xr:uid="{00000000-0005-0000-0000-0000BDAB0000}"/>
    <cellStyle name="Normal 4 4 4 2 2 6 2 2 2" xfId="57441" xr:uid="{00000000-0005-0000-0000-0000BEAB0000}"/>
    <cellStyle name="Normal 4 4 4 2 2 6 2 3" xfId="43879" xr:uid="{00000000-0005-0000-0000-0000BFAB0000}"/>
    <cellStyle name="Normal 4 4 4 2 2 6 3" xfId="23527" xr:uid="{00000000-0005-0000-0000-0000C0AB0000}"/>
    <cellStyle name="Normal 4 4 4 2 2 6 3 2" xfId="50660" xr:uid="{00000000-0005-0000-0000-0000C1AB0000}"/>
    <cellStyle name="Normal 4 4 4 2 2 6 4" xfId="37098" xr:uid="{00000000-0005-0000-0000-0000C2AB0000}"/>
    <cellStyle name="Normal 4 4 4 2 2 7" xfId="13351" xr:uid="{00000000-0005-0000-0000-0000C3AB0000}"/>
    <cellStyle name="Normal 4 4 4 2 2 7 2" xfId="26919" xr:uid="{00000000-0005-0000-0000-0000C4AB0000}"/>
    <cellStyle name="Normal 4 4 4 2 2 7 2 2" xfId="54052" xr:uid="{00000000-0005-0000-0000-0000C5AB0000}"/>
    <cellStyle name="Normal 4 4 4 2 2 7 3" xfId="40490" xr:uid="{00000000-0005-0000-0000-0000C6AB0000}"/>
    <cellStyle name="Normal 4 4 4 2 2 8" xfId="20138" xr:uid="{00000000-0005-0000-0000-0000C7AB0000}"/>
    <cellStyle name="Normal 4 4 4 2 2 8 2" xfId="47271" xr:uid="{00000000-0005-0000-0000-0000C8AB0000}"/>
    <cellStyle name="Normal 4 4 4 2 2 9" xfId="33709" xr:uid="{00000000-0005-0000-0000-0000C9AB0000}"/>
    <cellStyle name="Normal 4 4 4 2 3" xfId="6425" xr:uid="{00000000-0005-0000-0000-0000CAAB0000}"/>
    <cellStyle name="Normal 4 4 4 2 3 2" xfId="6426" xr:uid="{00000000-0005-0000-0000-0000CBAB0000}"/>
    <cellStyle name="Normal 4 4 4 2 3 2 2" xfId="9959" xr:uid="{00000000-0005-0000-0000-0000CCAB0000}"/>
    <cellStyle name="Normal 4 4 4 2 3 2 2 2" xfId="16749" xr:uid="{00000000-0005-0000-0000-0000CDAB0000}"/>
    <cellStyle name="Normal 4 4 4 2 3 2 2 2 2" xfId="30317" xr:uid="{00000000-0005-0000-0000-0000CEAB0000}"/>
    <cellStyle name="Normal 4 4 4 2 3 2 2 2 2 2" xfId="57450" xr:uid="{00000000-0005-0000-0000-0000CFAB0000}"/>
    <cellStyle name="Normal 4 4 4 2 3 2 2 2 3" xfId="43888" xr:uid="{00000000-0005-0000-0000-0000D0AB0000}"/>
    <cellStyle name="Normal 4 4 4 2 3 2 2 3" xfId="23536" xr:uid="{00000000-0005-0000-0000-0000D1AB0000}"/>
    <cellStyle name="Normal 4 4 4 2 3 2 2 3 2" xfId="50669" xr:uid="{00000000-0005-0000-0000-0000D2AB0000}"/>
    <cellStyle name="Normal 4 4 4 2 3 2 2 4" xfId="37107" xr:uid="{00000000-0005-0000-0000-0000D3AB0000}"/>
    <cellStyle name="Normal 4 4 4 2 3 2 3" xfId="13360" xr:uid="{00000000-0005-0000-0000-0000D4AB0000}"/>
    <cellStyle name="Normal 4 4 4 2 3 2 3 2" xfId="26928" xr:uid="{00000000-0005-0000-0000-0000D5AB0000}"/>
    <cellStyle name="Normal 4 4 4 2 3 2 3 2 2" xfId="54061" xr:uid="{00000000-0005-0000-0000-0000D6AB0000}"/>
    <cellStyle name="Normal 4 4 4 2 3 2 3 3" xfId="40499" xr:uid="{00000000-0005-0000-0000-0000D7AB0000}"/>
    <cellStyle name="Normal 4 4 4 2 3 2 4" xfId="20147" xr:uid="{00000000-0005-0000-0000-0000D8AB0000}"/>
    <cellStyle name="Normal 4 4 4 2 3 2 4 2" xfId="47280" xr:uid="{00000000-0005-0000-0000-0000D9AB0000}"/>
    <cellStyle name="Normal 4 4 4 2 3 2 5" xfId="33718" xr:uid="{00000000-0005-0000-0000-0000DAAB0000}"/>
    <cellStyle name="Normal 4 4 4 2 3 3" xfId="6427" xr:uid="{00000000-0005-0000-0000-0000DBAB0000}"/>
    <cellStyle name="Normal 4 4 4 2 3 3 2" xfId="9960" xr:uid="{00000000-0005-0000-0000-0000DCAB0000}"/>
    <cellStyle name="Normal 4 4 4 2 3 3 2 2" xfId="16750" xr:uid="{00000000-0005-0000-0000-0000DDAB0000}"/>
    <cellStyle name="Normal 4 4 4 2 3 3 2 2 2" xfId="30318" xr:uid="{00000000-0005-0000-0000-0000DEAB0000}"/>
    <cellStyle name="Normal 4 4 4 2 3 3 2 2 2 2" xfId="57451" xr:uid="{00000000-0005-0000-0000-0000DFAB0000}"/>
    <cellStyle name="Normal 4 4 4 2 3 3 2 2 3" xfId="43889" xr:uid="{00000000-0005-0000-0000-0000E0AB0000}"/>
    <cellStyle name="Normal 4 4 4 2 3 3 2 3" xfId="23537" xr:uid="{00000000-0005-0000-0000-0000E1AB0000}"/>
    <cellStyle name="Normal 4 4 4 2 3 3 2 3 2" xfId="50670" xr:uid="{00000000-0005-0000-0000-0000E2AB0000}"/>
    <cellStyle name="Normal 4 4 4 2 3 3 2 4" xfId="37108" xr:uid="{00000000-0005-0000-0000-0000E3AB0000}"/>
    <cellStyle name="Normal 4 4 4 2 3 3 3" xfId="13361" xr:uid="{00000000-0005-0000-0000-0000E4AB0000}"/>
    <cellStyle name="Normal 4 4 4 2 3 3 3 2" xfId="26929" xr:uid="{00000000-0005-0000-0000-0000E5AB0000}"/>
    <cellStyle name="Normal 4 4 4 2 3 3 3 2 2" xfId="54062" xr:uid="{00000000-0005-0000-0000-0000E6AB0000}"/>
    <cellStyle name="Normal 4 4 4 2 3 3 3 3" xfId="40500" xr:uid="{00000000-0005-0000-0000-0000E7AB0000}"/>
    <cellStyle name="Normal 4 4 4 2 3 3 4" xfId="20148" xr:uid="{00000000-0005-0000-0000-0000E8AB0000}"/>
    <cellStyle name="Normal 4 4 4 2 3 3 4 2" xfId="47281" xr:uid="{00000000-0005-0000-0000-0000E9AB0000}"/>
    <cellStyle name="Normal 4 4 4 2 3 3 5" xfId="33719" xr:uid="{00000000-0005-0000-0000-0000EAAB0000}"/>
    <cellStyle name="Normal 4 4 4 2 3 4" xfId="9958" xr:uid="{00000000-0005-0000-0000-0000EBAB0000}"/>
    <cellStyle name="Normal 4 4 4 2 3 4 2" xfId="16748" xr:uid="{00000000-0005-0000-0000-0000ECAB0000}"/>
    <cellStyle name="Normal 4 4 4 2 3 4 2 2" xfId="30316" xr:uid="{00000000-0005-0000-0000-0000EDAB0000}"/>
    <cellStyle name="Normal 4 4 4 2 3 4 2 2 2" xfId="57449" xr:uid="{00000000-0005-0000-0000-0000EEAB0000}"/>
    <cellStyle name="Normal 4 4 4 2 3 4 2 3" xfId="43887" xr:uid="{00000000-0005-0000-0000-0000EFAB0000}"/>
    <cellStyle name="Normal 4 4 4 2 3 4 3" xfId="23535" xr:uid="{00000000-0005-0000-0000-0000F0AB0000}"/>
    <cellStyle name="Normal 4 4 4 2 3 4 3 2" xfId="50668" xr:uid="{00000000-0005-0000-0000-0000F1AB0000}"/>
    <cellStyle name="Normal 4 4 4 2 3 4 4" xfId="37106" xr:uid="{00000000-0005-0000-0000-0000F2AB0000}"/>
    <cellStyle name="Normal 4 4 4 2 3 5" xfId="13359" xr:uid="{00000000-0005-0000-0000-0000F3AB0000}"/>
    <cellStyle name="Normal 4 4 4 2 3 5 2" xfId="26927" xr:uid="{00000000-0005-0000-0000-0000F4AB0000}"/>
    <cellStyle name="Normal 4 4 4 2 3 5 2 2" xfId="54060" xr:uid="{00000000-0005-0000-0000-0000F5AB0000}"/>
    <cellStyle name="Normal 4 4 4 2 3 5 3" xfId="40498" xr:uid="{00000000-0005-0000-0000-0000F6AB0000}"/>
    <cellStyle name="Normal 4 4 4 2 3 6" xfId="20146" xr:uid="{00000000-0005-0000-0000-0000F7AB0000}"/>
    <cellStyle name="Normal 4 4 4 2 3 6 2" xfId="47279" xr:uid="{00000000-0005-0000-0000-0000F8AB0000}"/>
    <cellStyle name="Normal 4 4 4 2 3 7" xfId="33717" xr:uid="{00000000-0005-0000-0000-0000F9AB0000}"/>
    <cellStyle name="Normal 4 4 4 2 4" xfId="6428" xr:uid="{00000000-0005-0000-0000-0000FAAB0000}"/>
    <cellStyle name="Normal 4 4 4 2 4 2" xfId="6429" xr:uid="{00000000-0005-0000-0000-0000FBAB0000}"/>
    <cellStyle name="Normal 4 4 4 2 4 2 2" xfId="9962" xr:uid="{00000000-0005-0000-0000-0000FCAB0000}"/>
    <cellStyle name="Normal 4 4 4 2 4 2 2 2" xfId="16752" xr:uid="{00000000-0005-0000-0000-0000FDAB0000}"/>
    <cellStyle name="Normal 4 4 4 2 4 2 2 2 2" xfId="30320" xr:uid="{00000000-0005-0000-0000-0000FEAB0000}"/>
    <cellStyle name="Normal 4 4 4 2 4 2 2 2 2 2" xfId="57453" xr:uid="{00000000-0005-0000-0000-0000FFAB0000}"/>
    <cellStyle name="Normal 4 4 4 2 4 2 2 2 3" xfId="43891" xr:uid="{00000000-0005-0000-0000-000000AC0000}"/>
    <cellStyle name="Normal 4 4 4 2 4 2 2 3" xfId="23539" xr:uid="{00000000-0005-0000-0000-000001AC0000}"/>
    <cellStyle name="Normal 4 4 4 2 4 2 2 3 2" xfId="50672" xr:uid="{00000000-0005-0000-0000-000002AC0000}"/>
    <cellStyle name="Normal 4 4 4 2 4 2 2 4" xfId="37110" xr:uid="{00000000-0005-0000-0000-000003AC0000}"/>
    <cellStyle name="Normal 4 4 4 2 4 2 3" xfId="13363" xr:uid="{00000000-0005-0000-0000-000004AC0000}"/>
    <cellStyle name="Normal 4 4 4 2 4 2 3 2" xfId="26931" xr:uid="{00000000-0005-0000-0000-000005AC0000}"/>
    <cellStyle name="Normal 4 4 4 2 4 2 3 2 2" xfId="54064" xr:uid="{00000000-0005-0000-0000-000006AC0000}"/>
    <cellStyle name="Normal 4 4 4 2 4 2 3 3" xfId="40502" xr:uid="{00000000-0005-0000-0000-000007AC0000}"/>
    <cellStyle name="Normal 4 4 4 2 4 2 4" xfId="20150" xr:uid="{00000000-0005-0000-0000-000008AC0000}"/>
    <cellStyle name="Normal 4 4 4 2 4 2 4 2" xfId="47283" xr:uid="{00000000-0005-0000-0000-000009AC0000}"/>
    <cellStyle name="Normal 4 4 4 2 4 2 5" xfId="33721" xr:uid="{00000000-0005-0000-0000-00000AAC0000}"/>
    <cellStyle name="Normal 4 4 4 2 4 3" xfId="9961" xr:uid="{00000000-0005-0000-0000-00000BAC0000}"/>
    <cellStyle name="Normal 4 4 4 2 4 3 2" xfId="16751" xr:uid="{00000000-0005-0000-0000-00000CAC0000}"/>
    <cellStyle name="Normal 4 4 4 2 4 3 2 2" xfId="30319" xr:uid="{00000000-0005-0000-0000-00000DAC0000}"/>
    <cellStyle name="Normal 4 4 4 2 4 3 2 2 2" xfId="57452" xr:uid="{00000000-0005-0000-0000-00000EAC0000}"/>
    <cellStyle name="Normal 4 4 4 2 4 3 2 3" xfId="43890" xr:uid="{00000000-0005-0000-0000-00000FAC0000}"/>
    <cellStyle name="Normal 4 4 4 2 4 3 3" xfId="23538" xr:uid="{00000000-0005-0000-0000-000010AC0000}"/>
    <cellStyle name="Normal 4 4 4 2 4 3 3 2" xfId="50671" xr:uid="{00000000-0005-0000-0000-000011AC0000}"/>
    <cellStyle name="Normal 4 4 4 2 4 3 4" xfId="37109" xr:uid="{00000000-0005-0000-0000-000012AC0000}"/>
    <cellStyle name="Normal 4 4 4 2 4 4" xfId="13362" xr:uid="{00000000-0005-0000-0000-000013AC0000}"/>
    <cellStyle name="Normal 4 4 4 2 4 4 2" xfId="26930" xr:uid="{00000000-0005-0000-0000-000014AC0000}"/>
    <cellStyle name="Normal 4 4 4 2 4 4 2 2" xfId="54063" xr:uid="{00000000-0005-0000-0000-000015AC0000}"/>
    <cellStyle name="Normal 4 4 4 2 4 4 3" xfId="40501" xr:uid="{00000000-0005-0000-0000-000016AC0000}"/>
    <cellStyle name="Normal 4 4 4 2 4 5" xfId="20149" xr:uid="{00000000-0005-0000-0000-000017AC0000}"/>
    <cellStyle name="Normal 4 4 4 2 4 5 2" xfId="47282" xr:uid="{00000000-0005-0000-0000-000018AC0000}"/>
    <cellStyle name="Normal 4 4 4 2 4 6" xfId="33720" xr:uid="{00000000-0005-0000-0000-000019AC0000}"/>
    <cellStyle name="Normal 4 4 4 2 5" xfId="6430" xr:uid="{00000000-0005-0000-0000-00001AAC0000}"/>
    <cellStyle name="Normal 4 4 4 2 5 2" xfId="9963" xr:uid="{00000000-0005-0000-0000-00001BAC0000}"/>
    <cellStyle name="Normal 4 4 4 2 5 2 2" xfId="16753" xr:uid="{00000000-0005-0000-0000-00001CAC0000}"/>
    <cellStyle name="Normal 4 4 4 2 5 2 2 2" xfId="30321" xr:uid="{00000000-0005-0000-0000-00001DAC0000}"/>
    <cellStyle name="Normal 4 4 4 2 5 2 2 2 2" xfId="57454" xr:uid="{00000000-0005-0000-0000-00001EAC0000}"/>
    <cellStyle name="Normal 4 4 4 2 5 2 2 3" xfId="43892" xr:uid="{00000000-0005-0000-0000-00001FAC0000}"/>
    <cellStyle name="Normal 4 4 4 2 5 2 3" xfId="23540" xr:uid="{00000000-0005-0000-0000-000020AC0000}"/>
    <cellStyle name="Normal 4 4 4 2 5 2 3 2" xfId="50673" xr:uid="{00000000-0005-0000-0000-000021AC0000}"/>
    <cellStyle name="Normal 4 4 4 2 5 2 4" xfId="37111" xr:uid="{00000000-0005-0000-0000-000022AC0000}"/>
    <cellStyle name="Normal 4 4 4 2 5 3" xfId="13364" xr:uid="{00000000-0005-0000-0000-000023AC0000}"/>
    <cellStyle name="Normal 4 4 4 2 5 3 2" xfId="26932" xr:uid="{00000000-0005-0000-0000-000024AC0000}"/>
    <cellStyle name="Normal 4 4 4 2 5 3 2 2" xfId="54065" xr:uid="{00000000-0005-0000-0000-000025AC0000}"/>
    <cellStyle name="Normal 4 4 4 2 5 3 3" xfId="40503" xr:uid="{00000000-0005-0000-0000-000026AC0000}"/>
    <cellStyle name="Normal 4 4 4 2 5 4" xfId="20151" xr:uid="{00000000-0005-0000-0000-000027AC0000}"/>
    <cellStyle name="Normal 4 4 4 2 5 4 2" xfId="47284" xr:uid="{00000000-0005-0000-0000-000028AC0000}"/>
    <cellStyle name="Normal 4 4 4 2 5 5" xfId="33722" xr:uid="{00000000-0005-0000-0000-000029AC0000}"/>
    <cellStyle name="Normal 4 4 4 2 6" xfId="6431" xr:uid="{00000000-0005-0000-0000-00002AAC0000}"/>
    <cellStyle name="Normal 4 4 4 2 6 2" xfId="9964" xr:uid="{00000000-0005-0000-0000-00002BAC0000}"/>
    <cellStyle name="Normal 4 4 4 2 6 2 2" xfId="16754" xr:uid="{00000000-0005-0000-0000-00002CAC0000}"/>
    <cellStyle name="Normal 4 4 4 2 6 2 2 2" xfId="30322" xr:uid="{00000000-0005-0000-0000-00002DAC0000}"/>
    <cellStyle name="Normal 4 4 4 2 6 2 2 2 2" xfId="57455" xr:uid="{00000000-0005-0000-0000-00002EAC0000}"/>
    <cellStyle name="Normal 4 4 4 2 6 2 2 3" xfId="43893" xr:uid="{00000000-0005-0000-0000-00002FAC0000}"/>
    <cellStyle name="Normal 4 4 4 2 6 2 3" xfId="23541" xr:uid="{00000000-0005-0000-0000-000030AC0000}"/>
    <cellStyle name="Normal 4 4 4 2 6 2 3 2" xfId="50674" xr:uid="{00000000-0005-0000-0000-000031AC0000}"/>
    <cellStyle name="Normal 4 4 4 2 6 2 4" xfId="37112" xr:uid="{00000000-0005-0000-0000-000032AC0000}"/>
    <cellStyle name="Normal 4 4 4 2 6 3" xfId="13365" xr:uid="{00000000-0005-0000-0000-000033AC0000}"/>
    <cellStyle name="Normal 4 4 4 2 6 3 2" xfId="26933" xr:uid="{00000000-0005-0000-0000-000034AC0000}"/>
    <cellStyle name="Normal 4 4 4 2 6 3 2 2" xfId="54066" xr:uid="{00000000-0005-0000-0000-000035AC0000}"/>
    <cellStyle name="Normal 4 4 4 2 6 3 3" xfId="40504" xr:uid="{00000000-0005-0000-0000-000036AC0000}"/>
    <cellStyle name="Normal 4 4 4 2 6 4" xfId="20152" xr:uid="{00000000-0005-0000-0000-000037AC0000}"/>
    <cellStyle name="Normal 4 4 4 2 6 4 2" xfId="47285" xr:uid="{00000000-0005-0000-0000-000038AC0000}"/>
    <cellStyle name="Normal 4 4 4 2 6 5" xfId="33723" xr:uid="{00000000-0005-0000-0000-000039AC0000}"/>
    <cellStyle name="Normal 4 4 4 2 7" xfId="9949" xr:uid="{00000000-0005-0000-0000-00003AAC0000}"/>
    <cellStyle name="Normal 4 4 4 2 7 2" xfId="16739" xr:uid="{00000000-0005-0000-0000-00003BAC0000}"/>
    <cellStyle name="Normal 4 4 4 2 7 2 2" xfId="30307" xr:uid="{00000000-0005-0000-0000-00003CAC0000}"/>
    <cellStyle name="Normal 4 4 4 2 7 2 2 2" xfId="57440" xr:uid="{00000000-0005-0000-0000-00003DAC0000}"/>
    <cellStyle name="Normal 4 4 4 2 7 2 3" xfId="43878" xr:uid="{00000000-0005-0000-0000-00003EAC0000}"/>
    <cellStyle name="Normal 4 4 4 2 7 3" xfId="23526" xr:uid="{00000000-0005-0000-0000-00003FAC0000}"/>
    <cellStyle name="Normal 4 4 4 2 7 3 2" xfId="50659" xr:uid="{00000000-0005-0000-0000-000040AC0000}"/>
    <cellStyle name="Normal 4 4 4 2 7 4" xfId="37097" xr:uid="{00000000-0005-0000-0000-000041AC0000}"/>
    <cellStyle name="Normal 4 4 4 2 8" xfId="13350" xr:uid="{00000000-0005-0000-0000-000042AC0000}"/>
    <cellStyle name="Normal 4 4 4 2 8 2" xfId="26918" xr:uid="{00000000-0005-0000-0000-000043AC0000}"/>
    <cellStyle name="Normal 4 4 4 2 8 2 2" xfId="54051" xr:uid="{00000000-0005-0000-0000-000044AC0000}"/>
    <cellStyle name="Normal 4 4 4 2 8 3" xfId="40489" xr:uid="{00000000-0005-0000-0000-000045AC0000}"/>
    <cellStyle name="Normal 4 4 4 2 9" xfId="20137" xr:uid="{00000000-0005-0000-0000-000046AC0000}"/>
    <cellStyle name="Normal 4 4 4 2 9 2" xfId="47270" xr:uid="{00000000-0005-0000-0000-000047AC0000}"/>
    <cellStyle name="Normal 4 4 4 3" xfId="6432" xr:uid="{00000000-0005-0000-0000-000048AC0000}"/>
    <cellStyle name="Normal 4 4 4 3 2" xfId="6433" xr:uid="{00000000-0005-0000-0000-000049AC0000}"/>
    <cellStyle name="Normal 4 4 4 3 2 2" xfId="6434" xr:uid="{00000000-0005-0000-0000-00004AAC0000}"/>
    <cellStyle name="Normal 4 4 4 3 2 2 2" xfId="9967" xr:uid="{00000000-0005-0000-0000-00004BAC0000}"/>
    <cellStyle name="Normal 4 4 4 3 2 2 2 2" xfId="16757" xr:uid="{00000000-0005-0000-0000-00004CAC0000}"/>
    <cellStyle name="Normal 4 4 4 3 2 2 2 2 2" xfId="30325" xr:uid="{00000000-0005-0000-0000-00004DAC0000}"/>
    <cellStyle name="Normal 4 4 4 3 2 2 2 2 2 2" xfId="57458" xr:uid="{00000000-0005-0000-0000-00004EAC0000}"/>
    <cellStyle name="Normal 4 4 4 3 2 2 2 2 3" xfId="43896" xr:uid="{00000000-0005-0000-0000-00004FAC0000}"/>
    <cellStyle name="Normal 4 4 4 3 2 2 2 3" xfId="23544" xr:uid="{00000000-0005-0000-0000-000050AC0000}"/>
    <cellStyle name="Normal 4 4 4 3 2 2 2 3 2" xfId="50677" xr:uid="{00000000-0005-0000-0000-000051AC0000}"/>
    <cellStyle name="Normal 4 4 4 3 2 2 2 4" xfId="37115" xr:uid="{00000000-0005-0000-0000-000052AC0000}"/>
    <cellStyle name="Normal 4 4 4 3 2 2 3" xfId="13368" xr:uid="{00000000-0005-0000-0000-000053AC0000}"/>
    <cellStyle name="Normal 4 4 4 3 2 2 3 2" xfId="26936" xr:uid="{00000000-0005-0000-0000-000054AC0000}"/>
    <cellStyle name="Normal 4 4 4 3 2 2 3 2 2" xfId="54069" xr:uid="{00000000-0005-0000-0000-000055AC0000}"/>
    <cellStyle name="Normal 4 4 4 3 2 2 3 3" xfId="40507" xr:uid="{00000000-0005-0000-0000-000056AC0000}"/>
    <cellStyle name="Normal 4 4 4 3 2 2 4" xfId="20155" xr:uid="{00000000-0005-0000-0000-000057AC0000}"/>
    <cellStyle name="Normal 4 4 4 3 2 2 4 2" xfId="47288" xr:uid="{00000000-0005-0000-0000-000058AC0000}"/>
    <cellStyle name="Normal 4 4 4 3 2 2 5" xfId="33726" xr:uid="{00000000-0005-0000-0000-000059AC0000}"/>
    <cellStyle name="Normal 4 4 4 3 2 3" xfId="6435" xr:uid="{00000000-0005-0000-0000-00005AAC0000}"/>
    <cellStyle name="Normal 4 4 4 3 2 3 2" xfId="9968" xr:uid="{00000000-0005-0000-0000-00005BAC0000}"/>
    <cellStyle name="Normal 4 4 4 3 2 3 2 2" xfId="16758" xr:uid="{00000000-0005-0000-0000-00005CAC0000}"/>
    <cellStyle name="Normal 4 4 4 3 2 3 2 2 2" xfId="30326" xr:uid="{00000000-0005-0000-0000-00005DAC0000}"/>
    <cellStyle name="Normal 4 4 4 3 2 3 2 2 2 2" xfId="57459" xr:uid="{00000000-0005-0000-0000-00005EAC0000}"/>
    <cellStyle name="Normal 4 4 4 3 2 3 2 2 3" xfId="43897" xr:uid="{00000000-0005-0000-0000-00005FAC0000}"/>
    <cellStyle name="Normal 4 4 4 3 2 3 2 3" xfId="23545" xr:uid="{00000000-0005-0000-0000-000060AC0000}"/>
    <cellStyle name="Normal 4 4 4 3 2 3 2 3 2" xfId="50678" xr:uid="{00000000-0005-0000-0000-000061AC0000}"/>
    <cellStyle name="Normal 4 4 4 3 2 3 2 4" xfId="37116" xr:uid="{00000000-0005-0000-0000-000062AC0000}"/>
    <cellStyle name="Normal 4 4 4 3 2 3 3" xfId="13369" xr:uid="{00000000-0005-0000-0000-000063AC0000}"/>
    <cellStyle name="Normal 4 4 4 3 2 3 3 2" xfId="26937" xr:uid="{00000000-0005-0000-0000-000064AC0000}"/>
    <cellStyle name="Normal 4 4 4 3 2 3 3 2 2" xfId="54070" xr:uid="{00000000-0005-0000-0000-000065AC0000}"/>
    <cellStyle name="Normal 4 4 4 3 2 3 3 3" xfId="40508" xr:uid="{00000000-0005-0000-0000-000066AC0000}"/>
    <cellStyle name="Normal 4 4 4 3 2 3 4" xfId="20156" xr:uid="{00000000-0005-0000-0000-000067AC0000}"/>
    <cellStyle name="Normal 4 4 4 3 2 3 4 2" xfId="47289" xr:uid="{00000000-0005-0000-0000-000068AC0000}"/>
    <cellStyle name="Normal 4 4 4 3 2 3 5" xfId="33727" xr:uid="{00000000-0005-0000-0000-000069AC0000}"/>
    <cellStyle name="Normal 4 4 4 3 2 4" xfId="9966" xr:uid="{00000000-0005-0000-0000-00006AAC0000}"/>
    <cellStyle name="Normal 4 4 4 3 2 4 2" xfId="16756" xr:uid="{00000000-0005-0000-0000-00006BAC0000}"/>
    <cellStyle name="Normal 4 4 4 3 2 4 2 2" xfId="30324" xr:uid="{00000000-0005-0000-0000-00006CAC0000}"/>
    <cellStyle name="Normal 4 4 4 3 2 4 2 2 2" xfId="57457" xr:uid="{00000000-0005-0000-0000-00006DAC0000}"/>
    <cellStyle name="Normal 4 4 4 3 2 4 2 3" xfId="43895" xr:uid="{00000000-0005-0000-0000-00006EAC0000}"/>
    <cellStyle name="Normal 4 4 4 3 2 4 3" xfId="23543" xr:uid="{00000000-0005-0000-0000-00006FAC0000}"/>
    <cellStyle name="Normal 4 4 4 3 2 4 3 2" xfId="50676" xr:uid="{00000000-0005-0000-0000-000070AC0000}"/>
    <cellStyle name="Normal 4 4 4 3 2 4 4" xfId="37114" xr:uid="{00000000-0005-0000-0000-000071AC0000}"/>
    <cellStyle name="Normal 4 4 4 3 2 5" xfId="13367" xr:uid="{00000000-0005-0000-0000-000072AC0000}"/>
    <cellStyle name="Normal 4 4 4 3 2 5 2" xfId="26935" xr:uid="{00000000-0005-0000-0000-000073AC0000}"/>
    <cellStyle name="Normal 4 4 4 3 2 5 2 2" xfId="54068" xr:uid="{00000000-0005-0000-0000-000074AC0000}"/>
    <cellStyle name="Normal 4 4 4 3 2 5 3" xfId="40506" xr:uid="{00000000-0005-0000-0000-000075AC0000}"/>
    <cellStyle name="Normal 4 4 4 3 2 6" xfId="20154" xr:uid="{00000000-0005-0000-0000-000076AC0000}"/>
    <cellStyle name="Normal 4 4 4 3 2 6 2" xfId="47287" xr:uid="{00000000-0005-0000-0000-000077AC0000}"/>
    <cellStyle name="Normal 4 4 4 3 2 7" xfId="33725" xr:uid="{00000000-0005-0000-0000-000078AC0000}"/>
    <cellStyle name="Normal 4 4 4 3 3" xfId="6436" xr:uid="{00000000-0005-0000-0000-000079AC0000}"/>
    <cellStyle name="Normal 4 4 4 3 3 2" xfId="6437" xr:uid="{00000000-0005-0000-0000-00007AAC0000}"/>
    <cellStyle name="Normal 4 4 4 3 3 2 2" xfId="9970" xr:uid="{00000000-0005-0000-0000-00007BAC0000}"/>
    <cellStyle name="Normal 4 4 4 3 3 2 2 2" xfId="16760" xr:uid="{00000000-0005-0000-0000-00007CAC0000}"/>
    <cellStyle name="Normal 4 4 4 3 3 2 2 2 2" xfId="30328" xr:uid="{00000000-0005-0000-0000-00007DAC0000}"/>
    <cellStyle name="Normal 4 4 4 3 3 2 2 2 2 2" xfId="57461" xr:uid="{00000000-0005-0000-0000-00007EAC0000}"/>
    <cellStyle name="Normal 4 4 4 3 3 2 2 2 3" xfId="43899" xr:uid="{00000000-0005-0000-0000-00007FAC0000}"/>
    <cellStyle name="Normal 4 4 4 3 3 2 2 3" xfId="23547" xr:uid="{00000000-0005-0000-0000-000080AC0000}"/>
    <cellStyle name="Normal 4 4 4 3 3 2 2 3 2" xfId="50680" xr:uid="{00000000-0005-0000-0000-000081AC0000}"/>
    <cellStyle name="Normal 4 4 4 3 3 2 2 4" xfId="37118" xr:uid="{00000000-0005-0000-0000-000082AC0000}"/>
    <cellStyle name="Normal 4 4 4 3 3 2 3" xfId="13371" xr:uid="{00000000-0005-0000-0000-000083AC0000}"/>
    <cellStyle name="Normal 4 4 4 3 3 2 3 2" xfId="26939" xr:uid="{00000000-0005-0000-0000-000084AC0000}"/>
    <cellStyle name="Normal 4 4 4 3 3 2 3 2 2" xfId="54072" xr:uid="{00000000-0005-0000-0000-000085AC0000}"/>
    <cellStyle name="Normal 4 4 4 3 3 2 3 3" xfId="40510" xr:uid="{00000000-0005-0000-0000-000086AC0000}"/>
    <cellStyle name="Normal 4 4 4 3 3 2 4" xfId="20158" xr:uid="{00000000-0005-0000-0000-000087AC0000}"/>
    <cellStyle name="Normal 4 4 4 3 3 2 4 2" xfId="47291" xr:uid="{00000000-0005-0000-0000-000088AC0000}"/>
    <cellStyle name="Normal 4 4 4 3 3 2 5" xfId="33729" xr:uid="{00000000-0005-0000-0000-000089AC0000}"/>
    <cellStyle name="Normal 4 4 4 3 3 3" xfId="9969" xr:uid="{00000000-0005-0000-0000-00008AAC0000}"/>
    <cellStyle name="Normal 4 4 4 3 3 3 2" xfId="16759" xr:uid="{00000000-0005-0000-0000-00008BAC0000}"/>
    <cellStyle name="Normal 4 4 4 3 3 3 2 2" xfId="30327" xr:uid="{00000000-0005-0000-0000-00008CAC0000}"/>
    <cellStyle name="Normal 4 4 4 3 3 3 2 2 2" xfId="57460" xr:uid="{00000000-0005-0000-0000-00008DAC0000}"/>
    <cellStyle name="Normal 4 4 4 3 3 3 2 3" xfId="43898" xr:uid="{00000000-0005-0000-0000-00008EAC0000}"/>
    <cellStyle name="Normal 4 4 4 3 3 3 3" xfId="23546" xr:uid="{00000000-0005-0000-0000-00008FAC0000}"/>
    <cellStyle name="Normal 4 4 4 3 3 3 3 2" xfId="50679" xr:uid="{00000000-0005-0000-0000-000090AC0000}"/>
    <cellStyle name="Normal 4 4 4 3 3 3 4" xfId="37117" xr:uid="{00000000-0005-0000-0000-000091AC0000}"/>
    <cellStyle name="Normal 4 4 4 3 3 4" xfId="13370" xr:uid="{00000000-0005-0000-0000-000092AC0000}"/>
    <cellStyle name="Normal 4 4 4 3 3 4 2" xfId="26938" xr:uid="{00000000-0005-0000-0000-000093AC0000}"/>
    <cellStyle name="Normal 4 4 4 3 3 4 2 2" xfId="54071" xr:uid="{00000000-0005-0000-0000-000094AC0000}"/>
    <cellStyle name="Normal 4 4 4 3 3 4 3" xfId="40509" xr:uid="{00000000-0005-0000-0000-000095AC0000}"/>
    <cellStyle name="Normal 4 4 4 3 3 5" xfId="20157" xr:uid="{00000000-0005-0000-0000-000096AC0000}"/>
    <cellStyle name="Normal 4 4 4 3 3 5 2" xfId="47290" xr:uid="{00000000-0005-0000-0000-000097AC0000}"/>
    <cellStyle name="Normal 4 4 4 3 3 6" xfId="33728" xr:uid="{00000000-0005-0000-0000-000098AC0000}"/>
    <cellStyle name="Normal 4 4 4 3 4" xfId="6438" xr:uid="{00000000-0005-0000-0000-000099AC0000}"/>
    <cellStyle name="Normal 4 4 4 3 4 2" xfId="9971" xr:uid="{00000000-0005-0000-0000-00009AAC0000}"/>
    <cellStyle name="Normal 4 4 4 3 4 2 2" xfId="16761" xr:uid="{00000000-0005-0000-0000-00009BAC0000}"/>
    <cellStyle name="Normal 4 4 4 3 4 2 2 2" xfId="30329" xr:uid="{00000000-0005-0000-0000-00009CAC0000}"/>
    <cellStyle name="Normal 4 4 4 3 4 2 2 2 2" xfId="57462" xr:uid="{00000000-0005-0000-0000-00009DAC0000}"/>
    <cellStyle name="Normal 4 4 4 3 4 2 2 3" xfId="43900" xr:uid="{00000000-0005-0000-0000-00009EAC0000}"/>
    <cellStyle name="Normal 4 4 4 3 4 2 3" xfId="23548" xr:uid="{00000000-0005-0000-0000-00009FAC0000}"/>
    <cellStyle name="Normal 4 4 4 3 4 2 3 2" xfId="50681" xr:uid="{00000000-0005-0000-0000-0000A0AC0000}"/>
    <cellStyle name="Normal 4 4 4 3 4 2 4" xfId="37119" xr:uid="{00000000-0005-0000-0000-0000A1AC0000}"/>
    <cellStyle name="Normal 4 4 4 3 4 3" xfId="13372" xr:uid="{00000000-0005-0000-0000-0000A2AC0000}"/>
    <cellStyle name="Normal 4 4 4 3 4 3 2" xfId="26940" xr:uid="{00000000-0005-0000-0000-0000A3AC0000}"/>
    <cellStyle name="Normal 4 4 4 3 4 3 2 2" xfId="54073" xr:uid="{00000000-0005-0000-0000-0000A4AC0000}"/>
    <cellStyle name="Normal 4 4 4 3 4 3 3" xfId="40511" xr:uid="{00000000-0005-0000-0000-0000A5AC0000}"/>
    <cellStyle name="Normal 4 4 4 3 4 4" xfId="20159" xr:uid="{00000000-0005-0000-0000-0000A6AC0000}"/>
    <cellStyle name="Normal 4 4 4 3 4 4 2" xfId="47292" xr:uid="{00000000-0005-0000-0000-0000A7AC0000}"/>
    <cellStyle name="Normal 4 4 4 3 4 5" xfId="33730" xr:uid="{00000000-0005-0000-0000-0000A8AC0000}"/>
    <cellStyle name="Normal 4 4 4 3 5" xfId="6439" xr:uid="{00000000-0005-0000-0000-0000A9AC0000}"/>
    <cellStyle name="Normal 4 4 4 3 5 2" xfId="9972" xr:uid="{00000000-0005-0000-0000-0000AAAC0000}"/>
    <cellStyle name="Normal 4 4 4 3 5 2 2" xfId="16762" xr:uid="{00000000-0005-0000-0000-0000ABAC0000}"/>
    <cellStyle name="Normal 4 4 4 3 5 2 2 2" xfId="30330" xr:uid="{00000000-0005-0000-0000-0000ACAC0000}"/>
    <cellStyle name="Normal 4 4 4 3 5 2 2 2 2" xfId="57463" xr:uid="{00000000-0005-0000-0000-0000ADAC0000}"/>
    <cellStyle name="Normal 4 4 4 3 5 2 2 3" xfId="43901" xr:uid="{00000000-0005-0000-0000-0000AEAC0000}"/>
    <cellStyle name="Normal 4 4 4 3 5 2 3" xfId="23549" xr:uid="{00000000-0005-0000-0000-0000AFAC0000}"/>
    <cellStyle name="Normal 4 4 4 3 5 2 3 2" xfId="50682" xr:uid="{00000000-0005-0000-0000-0000B0AC0000}"/>
    <cellStyle name="Normal 4 4 4 3 5 2 4" xfId="37120" xr:uid="{00000000-0005-0000-0000-0000B1AC0000}"/>
    <cellStyle name="Normal 4 4 4 3 5 3" xfId="13373" xr:uid="{00000000-0005-0000-0000-0000B2AC0000}"/>
    <cellStyle name="Normal 4 4 4 3 5 3 2" xfId="26941" xr:uid="{00000000-0005-0000-0000-0000B3AC0000}"/>
    <cellStyle name="Normal 4 4 4 3 5 3 2 2" xfId="54074" xr:uid="{00000000-0005-0000-0000-0000B4AC0000}"/>
    <cellStyle name="Normal 4 4 4 3 5 3 3" xfId="40512" xr:uid="{00000000-0005-0000-0000-0000B5AC0000}"/>
    <cellStyle name="Normal 4 4 4 3 5 4" xfId="20160" xr:uid="{00000000-0005-0000-0000-0000B6AC0000}"/>
    <cellStyle name="Normal 4 4 4 3 5 4 2" xfId="47293" xr:uid="{00000000-0005-0000-0000-0000B7AC0000}"/>
    <cellStyle name="Normal 4 4 4 3 5 5" xfId="33731" xr:uid="{00000000-0005-0000-0000-0000B8AC0000}"/>
    <cellStyle name="Normal 4 4 4 3 6" xfId="9965" xr:uid="{00000000-0005-0000-0000-0000B9AC0000}"/>
    <cellStyle name="Normal 4 4 4 3 6 2" xfId="16755" xr:uid="{00000000-0005-0000-0000-0000BAAC0000}"/>
    <cellStyle name="Normal 4 4 4 3 6 2 2" xfId="30323" xr:uid="{00000000-0005-0000-0000-0000BBAC0000}"/>
    <cellStyle name="Normal 4 4 4 3 6 2 2 2" xfId="57456" xr:uid="{00000000-0005-0000-0000-0000BCAC0000}"/>
    <cellStyle name="Normal 4 4 4 3 6 2 3" xfId="43894" xr:uid="{00000000-0005-0000-0000-0000BDAC0000}"/>
    <cellStyle name="Normal 4 4 4 3 6 3" xfId="23542" xr:uid="{00000000-0005-0000-0000-0000BEAC0000}"/>
    <cellStyle name="Normal 4 4 4 3 6 3 2" xfId="50675" xr:uid="{00000000-0005-0000-0000-0000BFAC0000}"/>
    <cellStyle name="Normal 4 4 4 3 6 4" xfId="37113" xr:uid="{00000000-0005-0000-0000-0000C0AC0000}"/>
    <cellStyle name="Normal 4 4 4 3 7" xfId="13366" xr:uid="{00000000-0005-0000-0000-0000C1AC0000}"/>
    <cellStyle name="Normal 4 4 4 3 7 2" xfId="26934" xr:uid="{00000000-0005-0000-0000-0000C2AC0000}"/>
    <cellStyle name="Normal 4 4 4 3 7 2 2" xfId="54067" xr:uid="{00000000-0005-0000-0000-0000C3AC0000}"/>
    <cellStyle name="Normal 4 4 4 3 7 3" xfId="40505" xr:uid="{00000000-0005-0000-0000-0000C4AC0000}"/>
    <cellStyle name="Normal 4 4 4 3 8" xfId="20153" xr:uid="{00000000-0005-0000-0000-0000C5AC0000}"/>
    <cellStyle name="Normal 4 4 4 3 8 2" xfId="47286" xr:uid="{00000000-0005-0000-0000-0000C6AC0000}"/>
    <cellStyle name="Normal 4 4 4 3 9" xfId="33724" xr:uid="{00000000-0005-0000-0000-0000C7AC0000}"/>
    <cellStyle name="Normal 4 4 4 4" xfId="6440" xr:uid="{00000000-0005-0000-0000-0000C8AC0000}"/>
    <cellStyle name="Normal 4 4 4 4 2" xfId="6441" xr:uid="{00000000-0005-0000-0000-0000C9AC0000}"/>
    <cellStyle name="Normal 4 4 4 4 2 2" xfId="6442" xr:uid="{00000000-0005-0000-0000-0000CAAC0000}"/>
    <cellStyle name="Normal 4 4 4 4 2 2 2" xfId="9975" xr:uid="{00000000-0005-0000-0000-0000CBAC0000}"/>
    <cellStyle name="Normal 4 4 4 4 2 2 2 2" xfId="16765" xr:uid="{00000000-0005-0000-0000-0000CCAC0000}"/>
    <cellStyle name="Normal 4 4 4 4 2 2 2 2 2" xfId="30333" xr:uid="{00000000-0005-0000-0000-0000CDAC0000}"/>
    <cellStyle name="Normal 4 4 4 4 2 2 2 2 2 2" xfId="57466" xr:uid="{00000000-0005-0000-0000-0000CEAC0000}"/>
    <cellStyle name="Normal 4 4 4 4 2 2 2 2 3" xfId="43904" xr:uid="{00000000-0005-0000-0000-0000CFAC0000}"/>
    <cellStyle name="Normal 4 4 4 4 2 2 2 3" xfId="23552" xr:uid="{00000000-0005-0000-0000-0000D0AC0000}"/>
    <cellStyle name="Normal 4 4 4 4 2 2 2 3 2" xfId="50685" xr:uid="{00000000-0005-0000-0000-0000D1AC0000}"/>
    <cellStyle name="Normal 4 4 4 4 2 2 2 4" xfId="37123" xr:uid="{00000000-0005-0000-0000-0000D2AC0000}"/>
    <cellStyle name="Normal 4 4 4 4 2 2 3" xfId="13376" xr:uid="{00000000-0005-0000-0000-0000D3AC0000}"/>
    <cellStyle name="Normal 4 4 4 4 2 2 3 2" xfId="26944" xr:uid="{00000000-0005-0000-0000-0000D4AC0000}"/>
    <cellStyle name="Normal 4 4 4 4 2 2 3 2 2" xfId="54077" xr:uid="{00000000-0005-0000-0000-0000D5AC0000}"/>
    <cellStyle name="Normal 4 4 4 4 2 2 3 3" xfId="40515" xr:uid="{00000000-0005-0000-0000-0000D6AC0000}"/>
    <cellStyle name="Normal 4 4 4 4 2 2 4" xfId="20163" xr:uid="{00000000-0005-0000-0000-0000D7AC0000}"/>
    <cellStyle name="Normal 4 4 4 4 2 2 4 2" xfId="47296" xr:uid="{00000000-0005-0000-0000-0000D8AC0000}"/>
    <cellStyle name="Normal 4 4 4 4 2 2 5" xfId="33734" xr:uid="{00000000-0005-0000-0000-0000D9AC0000}"/>
    <cellStyle name="Normal 4 4 4 4 2 3" xfId="6443" xr:uid="{00000000-0005-0000-0000-0000DAAC0000}"/>
    <cellStyle name="Normal 4 4 4 4 2 3 2" xfId="9976" xr:uid="{00000000-0005-0000-0000-0000DBAC0000}"/>
    <cellStyle name="Normal 4 4 4 4 2 3 2 2" xfId="16766" xr:uid="{00000000-0005-0000-0000-0000DCAC0000}"/>
    <cellStyle name="Normal 4 4 4 4 2 3 2 2 2" xfId="30334" xr:uid="{00000000-0005-0000-0000-0000DDAC0000}"/>
    <cellStyle name="Normal 4 4 4 4 2 3 2 2 2 2" xfId="57467" xr:uid="{00000000-0005-0000-0000-0000DEAC0000}"/>
    <cellStyle name="Normal 4 4 4 4 2 3 2 2 3" xfId="43905" xr:uid="{00000000-0005-0000-0000-0000DFAC0000}"/>
    <cellStyle name="Normal 4 4 4 4 2 3 2 3" xfId="23553" xr:uid="{00000000-0005-0000-0000-0000E0AC0000}"/>
    <cellStyle name="Normal 4 4 4 4 2 3 2 3 2" xfId="50686" xr:uid="{00000000-0005-0000-0000-0000E1AC0000}"/>
    <cellStyle name="Normal 4 4 4 4 2 3 2 4" xfId="37124" xr:uid="{00000000-0005-0000-0000-0000E2AC0000}"/>
    <cellStyle name="Normal 4 4 4 4 2 3 3" xfId="13377" xr:uid="{00000000-0005-0000-0000-0000E3AC0000}"/>
    <cellStyle name="Normal 4 4 4 4 2 3 3 2" xfId="26945" xr:uid="{00000000-0005-0000-0000-0000E4AC0000}"/>
    <cellStyle name="Normal 4 4 4 4 2 3 3 2 2" xfId="54078" xr:uid="{00000000-0005-0000-0000-0000E5AC0000}"/>
    <cellStyle name="Normal 4 4 4 4 2 3 3 3" xfId="40516" xr:uid="{00000000-0005-0000-0000-0000E6AC0000}"/>
    <cellStyle name="Normal 4 4 4 4 2 3 4" xfId="20164" xr:uid="{00000000-0005-0000-0000-0000E7AC0000}"/>
    <cellStyle name="Normal 4 4 4 4 2 3 4 2" xfId="47297" xr:uid="{00000000-0005-0000-0000-0000E8AC0000}"/>
    <cellStyle name="Normal 4 4 4 4 2 3 5" xfId="33735" xr:uid="{00000000-0005-0000-0000-0000E9AC0000}"/>
    <cellStyle name="Normal 4 4 4 4 2 4" xfId="9974" xr:uid="{00000000-0005-0000-0000-0000EAAC0000}"/>
    <cellStyle name="Normal 4 4 4 4 2 4 2" xfId="16764" xr:uid="{00000000-0005-0000-0000-0000EBAC0000}"/>
    <cellStyle name="Normal 4 4 4 4 2 4 2 2" xfId="30332" xr:uid="{00000000-0005-0000-0000-0000ECAC0000}"/>
    <cellStyle name="Normal 4 4 4 4 2 4 2 2 2" xfId="57465" xr:uid="{00000000-0005-0000-0000-0000EDAC0000}"/>
    <cellStyle name="Normal 4 4 4 4 2 4 2 3" xfId="43903" xr:uid="{00000000-0005-0000-0000-0000EEAC0000}"/>
    <cellStyle name="Normal 4 4 4 4 2 4 3" xfId="23551" xr:uid="{00000000-0005-0000-0000-0000EFAC0000}"/>
    <cellStyle name="Normal 4 4 4 4 2 4 3 2" xfId="50684" xr:uid="{00000000-0005-0000-0000-0000F0AC0000}"/>
    <cellStyle name="Normal 4 4 4 4 2 4 4" xfId="37122" xr:uid="{00000000-0005-0000-0000-0000F1AC0000}"/>
    <cellStyle name="Normal 4 4 4 4 2 5" xfId="13375" xr:uid="{00000000-0005-0000-0000-0000F2AC0000}"/>
    <cellStyle name="Normal 4 4 4 4 2 5 2" xfId="26943" xr:uid="{00000000-0005-0000-0000-0000F3AC0000}"/>
    <cellStyle name="Normal 4 4 4 4 2 5 2 2" xfId="54076" xr:uid="{00000000-0005-0000-0000-0000F4AC0000}"/>
    <cellStyle name="Normal 4 4 4 4 2 5 3" xfId="40514" xr:uid="{00000000-0005-0000-0000-0000F5AC0000}"/>
    <cellStyle name="Normal 4 4 4 4 2 6" xfId="20162" xr:uid="{00000000-0005-0000-0000-0000F6AC0000}"/>
    <cellStyle name="Normal 4 4 4 4 2 6 2" xfId="47295" xr:uid="{00000000-0005-0000-0000-0000F7AC0000}"/>
    <cellStyle name="Normal 4 4 4 4 2 7" xfId="33733" xr:uid="{00000000-0005-0000-0000-0000F8AC0000}"/>
    <cellStyle name="Normal 4 4 4 4 3" xfId="6444" xr:uid="{00000000-0005-0000-0000-0000F9AC0000}"/>
    <cellStyle name="Normal 4 4 4 4 3 2" xfId="9977" xr:uid="{00000000-0005-0000-0000-0000FAAC0000}"/>
    <cellStyle name="Normal 4 4 4 4 3 2 2" xfId="16767" xr:uid="{00000000-0005-0000-0000-0000FBAC0000}"/>
    <cellStyle name="Normal 4 4 4 4 3 2 2 2" xfId="30335" xr:uid="{00000000-0005-0000-0000-0000FCAC0000}"/>
    <cellStyle name="Normal 4 4 4 4 3 2 2 2 2" xfId="57468" xr:uid="{00000000-0005-0000-0000-0000FDAC0000}"/>
    <cellStyle name="Normal 4 4 4 4 3 2 2 3" xfId="43906" xr:uid="{00000000-0005-0000-0000-0000FEAC0000}"/>
    <cellStyle name="Normal 4 4 4 4 3 2 3" xfId="23554" xr:uid="{00000000-0005-0000-0000-0000FFAC0000}"/>
    <cellStyle name="Normal 4 4 4 4 3 2 3 2" xfId="50687" xr:uid="{00000000-0005-0000-0000-000000AD0000}"/>
    <cellStyle name="Normal 4 4 4 4 3 2 4" xfId="37125" xr:uid="{00000000-0005-0000-0000-000001AD0000}"/>
    <cellStyle name="Normal 4 4 4 4 3 3" xfId="13378" xr:uid="{00000000-0005-0000-0000-000002AD0000}"/>
    <cellStyle name="Normal 4 4 4 4 3 3 2" xfId="26946" xr:uid="{00000000-0005-0000-0000-000003AD0000}"/>
    <cellStyle name="Normal 4 4 4 4 3 3 2 2" xfId="54079" xr:uid="{00000000-0005-0000-0000-000004AD0000}"/>
    <cellStyle name="Normal 4 4 4 4 3 3 3" xfId="40517" xr:uid="{00000000-0005-0000-0000-000005AD0000}"/>
    <cellStyle name="Normal 4 4 4 4 3 4" xfId="20165" xr:uid="{00000000-0005-0000-0000-000006AD0000}"/>
    <cellStyle name="Normal 4 4 4 4 3 4 2" xfId="47298" xr:uid="{00000000-0005-0000-0000-000007AD0000}"/>
    <cellStyle name="Normal 4 4 4 4 3 5" xfId="33736" xr:uid="{00000000-0005-0000-0000-000008AD0000}"/>
    <cellStyle name="Normal 4 4 4 4 4" xfId="6445" xr:uid="{00000000-0005-0000-0000-000009AD0000}"/>
    <cellStyle name="Normal 4 4 4 4 4 2" xfId="9978" xr:uid="{00000000-0005-0000-0000-00000AAD0000}"/>
    <cellStyle name="Normal 4 4 4 4 4 2 2" xfId="16768" xr:uid="{00000000-0005-0000-0000-00000BAD0000}"/>
    <cellStyle name="Normal 4 4 4 4 4 2 2 2" xfId="30336" xr:uid="{00000000-0005-0000-0000-00000CAD0000}"/>
    <cellStyle name="Normal 4 4 4 4 4 2 2 2 2" xfId="57469" xr:uid="{00000000-0005-0000-0000-00000DAD0000}"/>
    <cellStyle name="Normal 4 4 4 4 4 2 2 3" xfId="43907" xr:uid="{00000000-0005-0000-0000-00000EAD0000}"/>
    <cellStyle name="Normal 4 4 4 4 4 2 3" xfId="23555" xr:uid="{00000000-0005-0000-0000-00000FAD0000}"/>
    <cellStyle name="Normal 4 4 4 4 4 2 3 2" xfId="50688" xr:uid="{00000000-0005-0000-0000-000010AD0000}"/>
    <cellStyle name="Normal 4 4 4 4 4 2 4" xfId="37126" xr:uid="{00000000-0005-0000-0000-000011AD0000}"/>
    <cellStyle name="Normal 4 4 4 4 4 3" xfId="13379" xr:uid="{00000000-0005-0000-0000-000012AD0000}"/>
    <cellStyle name="Normal 4 4 4 4 4 3 2" xfId="26947" xr:uid="{00000000-0005-0000-0000-000013AD0000}"/>
    <cellStyle name="Normal 4 4 4 4 4 3 2 2" xfId="54080" xr:uid="{00000000-0005-0000-0000-000014AD0000}"/>
    <cellStyle name="Normal 4 4 4 4 4 3 3" xfId="40518" xr:uid="{00000000-0005-0000-0000-000015AD0000}"/>
    <cellStyle name="Normal 4 4 4 4 4 4" xfId="20166" xr:uid="{00000000-0005-0000-0000-000016AD0000}"/>
    <cellStyle name="Normal 4 4 4 4 4 4 2" xfId="47299" xr:uid="{00000000-0005-0000-0000-000017AD0000}"/>
    <cellStyle name="Normal 4 4 4 4 4 5" xfId="33737" xr:uid="{00000000-0005-0000-0000-000018AD0000}"/>
    <cellStyle name="Normal 4 4 4 4 5" xfId="9973" xr:uid="{00000000-0005-0000-0000-000019AD0000}"/>
    <cellStyle name="Normal 4 4 4 4 5 2" xfId="16763" xr:uid="{00000000-0005-0000-0000-00001AAD0000}"/>
    <cellStyle name="Normal 4 4 4 4 5 2 2" xfId="30331" xr:uid="{00000000-0005-0000-0000-00001BAD0000}"/>
    <cellStyle name="Normal 4 4 4 4 5 2 2 2" xfId="57464" xr:uid="{00000000-0005-0000-0000-00001CAD0000}"/>
    <cellStyle name="Normal 4 4 4 4 5 2 3" xfId="43902" xr:uid="{00000000-0005-0000-0000-00001DAD0000}"/>
    <cellStyle name="Normal 4 4 4 4 5 3" xfId="23550" xr:uid="{00000000-0005-0000-0000-00001EAD0000}"/>
    <cellStyle name="Normal 4 4 4 4 5 3 2" xfId="50683" xr:uid="{00000000-0005-0000-0000-00001FAD0000}"/>
    <cellStyle name="Normal 4 4 4 4 5 4" xfId="37121" xr:uid="{00000000-0005-0000-0000-000020AD0000}"/>
    <cellStyle name="Normal 4 4 4 4 6" xfId="13374" xr:uid="{00000000-0005-0000-0000-000021AD0000}"/>
    <cellStyle name="Normal 4 4 4 4 6 2" xfId="26942" xr:uid="{00000000-0005-0000-0000-000022AD0000}"/>
    <cellStyle name="Normal 4 4 4 4 6 2 2" xfId="54075" xr:uid="{00000000-0005-0000-0000-000023AD0000}"/>
    <cellStyle name="Normal 4 4 4 4 6 3" xfId="40513" xr:uid="{00000000-0005-0000-0000-000024AD0000}"/>
    <cellStyle name="Normal 4 4 4 4 7" xfId="20161" xr:uid="{00000000-0005-0000-0000-000025AD0000}"/>
    <cellStyle name="Normal 4 4 4 4 7 2" xfId="47294" xr:uid="{00000000-0005-0000-0000-000026AD0000}"/>
    <cellStyle name="Normal 4 4 4 4 8" xfId="33732" xr:uid="{00000000-0005-0000-0000-000027AD0000}"/>
    <cellStyle name="Normal 4 4 4 5" xfId="6446" xr:uid="{00000000-0005-0000-0000-000028AD0000}"/>
    <cellStyle name="Normal 4 4 4 5 2" xfId="6447" xr:uid="{00000000-0005-0000-0000-000029AD0000}"/>
    <cellStyle name="Normal 4 4 4 5 2 2" xfId="9980" xr:uid="{00000000-0005-0000-0000-00002AAD0000}"/>
    <cellStyle name="Normal 4 4 4 5 2 2 2" xfId="16770" xr:uid="{00000000-0005-0000-0000-00002BAD0000}"/>
    <cellStyle name="Normal 4 4 4 5 2 2 2 2" xfId="30338" xr:uid="{00000000-0005-0000-0000-00002CAD0000}"/>
    <cellStyle name="Normal 4 4 4 5 2 2 2 2 2" xfId="57471" xr:uid="{00000000-0005-0000-0000-00002DAD0000}"/>
    <cellStyle name="Normal 4 4 4 5 2 2 2 3" xfId="43909" xr:uid="{00000000-0005-0000-0000-00002EAD0000}"/>
    <cellStyle name="Normal 4 4 4 5 2 2 3" xfId="23557" xr:uid="{00000000-0005-0000-0000-00002FAD0000}"/>
    <cellStyle name="Normal 4 4 4 5 2 2 3 2" xfId="50690" xr:uid="{00000000-0005-0000-0000-000030AD0000}"/>
    <cellStyle name="Normal 4 4 4 5 2 2 4" xfId="37128" xr:uid="{00000000-0005-0000-0000-000031AD0000}"/>
    <cellStyle name="Normal 4 4 4 5 2 3" xfId="13381" xr:uid="{00000000-0005-0000-0000-000032AD0000}"/>
    <cellStyle name="Normal 4 4 4 5 2 3 2" xfId="26949" xr:uid="{00000000-0005-0000-0000-000033AD0000}"/>
    <cellStyle name="Normal 4 4 4 5 2 3 2 2" xfId="54082" xr:uid="{00000000-0005-0000-0000-000034AD0000}"/>
    <cellStyle name="Normal 4 4 4 5 2 3 3" xfId="40520" xr:uid="{00000000-0005-0000-0000-000035AD0000}"/>
    <cellStyle name="Normal 4 4 4 5 2 4" xfId="20168" xr:uid="{00000000-0005-0000-0000-000036AD0000}"/>
    <cellStyle name="Normal 4 4 4 5 2 4 2" xfId="47301" xr:uid="{00000000-0005-0000-0000-000037AD0000}"/>
    <cellStyle name="Normal 4 4 4 5 2 5" xfId="33739" xr:uid="{00000000-0005-0000-0000-000038AD0000}"/>
    <cellStyle name="Normal 4 4 4 5 3" xfId="6448" xr:uid="{00000000-0005-0000-0000-000039AD0000}"/>
    <cellStyle name="Normal 4 4 4 5 3 2" xfId="9981" xr:uid="{00000000-0005-0000-0000-00003AAD0000}"/>
    <cellStyle name="Normal 4 4 4 5 3 2 2" xfId="16771" xr:uid="{00000000-0005-0000-0000-00003BAD0000}"/>
    <cellStyle name="Normal 4 4 4 5 3 2 2 2" xfId="30339" xr:uid="{00000000-0005-0000-0000-00003CAD0000}"/>
    <cellStyle name="Normal 4 4 4 5 3 2 2 2 2" xfId="57472" xr:uid="{00000000-0005-0000-0000-00003DAD0000}"/>
    <cellStyle name="Normal 4 4 4 5 3 2 2 3" xfId="43910" xr:uid="{00000000-0005-0000-0000-00003EAD0000}"/>
    <cellStyle name="Normal 4 4 4 5 3 2 3" xfId="23558" xr:uid="{00000000-0005-0000-0000-00003FAD0000}"/>
    <cellStyle name="Normal 4 4 4 5 3 2 3 2" xfId="50691" xr:uid="{00000000-0005-0000-0000-000040AD0000}"/>
    <cellStyle name="Normal 4 4 4 5 3 2 4" xfId="37129" xr:uid="{00000000-0005-0000-0000-000041AD0000}"/>
    <cellStyle name="Normal 4 4 4 5 3 3" xfId="13382" xr:uid="{00000000-0005-0000-0000-000042AD0000}"/>
    <cellStyle name="Normal 4 4 4 5 3 3 2" xfId="26950" xr:uid="{00000000-0005-0000-0000-000043AD0000}"/>
    <cellStyle name="Normal 4 4 4 5 3 3 2 2" xfId="54083" xr:uid="{00000000-0005-0000-0000-000044AD0000}"/>
    <cellStyle name="Normal 4 4 4 5 3 3 3" xfId="40521" xr:uid="{00000000-0005-0000-0000-000045AD0000}"/>
    <cellStyle name="Normal 4 4 4 5 3 4" xfId="20169" xr:uid="{00000000-0005-0000-0000-000046AD0000}"/>
    <cellStyle name="Normal 4 4 4 5 3 4 2" xfId="47302" xr:uid="{00000000-0005-0000-0000-000047AD0000}"/>
    <cellStyle name="Normal 4 4 4 5 3 5" xfId="33740" xr:uid="{00000000-0005-0000-0000-000048AD0000}"/>
    <cellStyle name="Normal 4 4 4 5 4" xfId="9979" xr:uid="{00000000-0005-0000-0000-000049AD0000}"/>
    <cellStyle name="Normal 4 4 4 5 4 2" xfId="16769" xr:uid="{00000000-0005-0000-0000-00004AAD0000}"/>
    <cellStyle name="Normal 4 4 4 5 4 2 2" xfId="30337" xr:uid="{00000000-0005-0000-0000-00004BAD0000}"/>
    <cellStyle name="Normal 4 4 4 5 4 2 2 2" xfId="57470" xr:uid="{00000000-0005-0000-0000-00004CAD0000}"/>
    <cellStyle name="Normal 4 4 4 5 4 2 3" xfId="43908" xr:uid="{00000000-0005-0000-0000-00004DAD0000}"/>
    <cellStyle name="Normal 4 4 4 5 4 3" xfId="23556" xr:uid="{00000000-0005-0000-0000-00004EAD0000}"/>
    <cellStyle name="Normal 4 4 4 5 4 3 2" xfId="50689" xr:uid="{00000000-0005-0000-0000-00004FAD0000}"/>
    <cellStyle name="Normal 4 4 4 5 4 4" xfId="37127" xr:uid="{00000000-0005-0000-0000-000050AD0000}"/>
    <cellStyle name="Normal 4 4 4 5 5" xfId="13380" xr:uid="{00000000-0005-0000-0000-000051AD0000}"/>
    <cellStyle name="Normal 4 4 4 5 5 2" xfId="26948" xr:uid="{00000000-0005-0000-0000-000052AD0000}"/>
    <cellStyle name="Normal 4 4 4 5 5 2 2" xfId="54081" xr:uid="{00000000-0005-0000-0000-000053AD0000}"/>
    <cellStyle name="Normal 4 4 4 5 5 3" xfId="40519" xr:uid="{00000000-0005-0000-0000-000054AD0000}"/>
    <cellStyle name="Normal 4 4 4 5 6" xfId="20167" xr:uid="{00000000-0005-0000-0000-000055AD0000}"/>
    <cellStyle name="Normal 4 4 4 5 6 2" xfId="47300" xr:uid="{00000000-0005-0000-0000-000056AD0000}"/>
    <cellStyle name="Normal 4 4 4 5 7" xfId="33738" xr:uid="{00000000-0005-0000-0000-000057AD0000}"/>
    <cellStyle name="Normal 4 4 4 6" xfId="6449" xr:uid="{00000000-0005-0000-0000-000058AD0000}"/>
    <cellStyle name="Normal 4 4 4 6 2" xfId="6450" xr:uid="{00000000-0005-0000-0000-000059AD0000}"/>
    <cellStyle name="Normal 4 4 4 6 2 2" xfId="9983" xr:uid="{00000000-0005-0000-0000-00005AAD0000}"/>
    <cellStyle name="Normal 4 4 4 6 2 2 2" xfId="16773" xr:uid="{00000000-0005-0000-0000-00005BAD0000}"/>
    <cellStyle name="Normal 4 4 4 6 2 2 2 2" xfId="30341" xr:uid="{00000000-0005-0000-0000-00005CAD0000}"/>
    <cellStyle name="Normal 4 4 4 6 2 2 2 2 2" xfId="57474" xr:uid="{00000000-0005-0000-0000-00005DAD0000}"/>
    <cellStyle name="Normal 4 4 4 6 2 2 2 3" xfId="43912" xr:uid="{00000000-0005-0000-0000-00005EAD0000}"/>
    <cellStyle name="Normal 4 4 4 6 2 2 3" xfId="23560" xr:uid="{00000000-0005-0000-0000-00005FAD0000}"/>
    <cellStyle name="Normal 4 4 4 6 2 2 3 2" xfId="50693" xr:uid="{00000000-0005-0000-0000-000060AD0000}"/>
    <cellStyle name="Normal 4 4 4 6 2 2 4" xfId="37131" xr:uid="{00000000-0005-0000-0000-000061AD0000}"/>
    <cellStyle name="Normal 4 4 4 6 2 3" xfId="13384" xr:uid="{00000000-0005-0000-0000-000062AD0000}"/>
    <cellStyle name="Normal 4 4 4 6 2 3 2" xfId="26952" xr:uid="{00000000-0005-0000-0000-000063AD0000}"/>
    <cellStyle name="Normal 4 4 4 6 2 3 2 2" xfId="54085" xr:uid="{00000000-0005-0000-0000-000064AD0000}"/>
    <cellStyle name="Normal 4 4 4 6 2 3 3" xfId="40523" xr:uid="{00000000-0005-0000-0000-000065AD0000}"/>
    <cellStyle name="Normal 4 4 4 6 2 4" xfId="20171" xr:uid="{00000000-0005-0000-0000-000066AD0000}"/>
    <cellStyle name="Normal 4 4 4 6 2 4 2" xfId="47304" xr:uid="{00000000-0005-0000-0000-000067AD0000}"/>
    <cellStyle name="Normal 4 4 4 6 2 5" xfId="33742" xr:uid="{00000000-0005-0000-0000-000068AD0000}"/>
    <cellStyle name="Normal 4 4 4 6 3" xfId="9982" xr:uid="{00000000-0005-0000-0000-000069AD0000}"/>
    <cellStyle name="Normal 4 4 4 6 3 2" xfId="16772" xr:uid="{00000000-0005-0000-0000-00006AAD0000}"/>
    <cellStyle name="Normal 4 4 4 6 3 2 2" xfId="30340" xr:uid="{00000000-0005-0000-0000-00006BAD0000}"/>
    <cellStyle name="Normal 4 4 4 6 3 2 2 2" xfId="57473" xr:uid="{00000000-0005-0000-0000-00006CAD0000}"/>
    <cellStyle name="Normal 4 4 4 6 3 2 3" xfId="43911" xr:uid="{00000000-0005-0000-0000-00006DAD0000}"/>
    <cellStyle name="Normal 4 4 4 6 3 3" xfId="23559" xr:uid="{00000000-0005-0000-0000-00006EAD0000}"/>
    <cellStyle name="Normal 4 4 4 6 3 3 2" xfId="50692" xr:uid="{00000000-0005-0000-0000-00006FAD0000}"/>
    <cellStyle name="Normal 4 4 4 6 3 4" xfId="37130" xr:uid="{00000000-0005-0000-0000-000070AD0000}"/>
    <cellStyle name="Normal 4 4 4 6 4" xfId="13383" xr:uid="{00000000-0005-0000-0000-000071AD0000}"/>
    <cellStyle name="Normal 4 4 4 6 4 2" xfId="26951" xr:uid="{00000000-0005-0000-0000-000072AD0000}"/>
    <cellStyle name="Normal 4 4 4 6 4 2 2" xfId="54084" xr:uid="{00000000-0005-0000-0000-000073AD0000}"/>
    <cellStyle name="Normal 4 4 4 6 4 3" xfId="40522" xr:uid="{00000000-0005-0000-0000-000074AD0000}"/>
    <cellStyle name="Normal 4 4 4 6 5" xfId="20170" xr:uid="{00000000-0005-0000-0000-000075AD0000}"/>
    <cellStyle name="Normal 4 4 4 6 5 2" xfId="47303" xr:uid="{00000000-0005-0000-0000-000076AD0000}"/>
    <cellStyle name="Normal 4 4 4 6 6" xfId="33741" xr:uid="{00000000-0005-0000-0000-000077AD0000}"/>
    <cellStyle name="Normal 4 4 4 7" xfId="6451" xr:uid="{00000000-0005-0000-0000-000078AD0000}"/>
    <cellStyle name="Normal 4 4 4 7 2" xfId="9984" xr:uid="{00000000-0005-0000-0000-000079AD0000}"/>
    <cellStyle name="Normal 4 4 4 7 2 2" xfId="16774" xr:uid="{00000000-0005-0000-0000-00007AAD0000}"/>
    <cellStyle name="Normal 4 4 4 7 2 2 2" xfId="30342" xr:uid="{00000000-0005-0000-0000-00007BAD0000}"/>
    <cellStyle name="Normal 4 4 4 7 2 2 2 2" xfId="57475" xr:uid="{00000000-0005-0000-0000-00007CAD0000}"/>
    <cellStyle name="Normal 4 4 4 7 2 2 3" xfId="43913" xr:uid="{00000000-0005-0000-0000-00007DAD0000}"/>
    <cellStyle name="Normal 4 4 4 7 2 3" xfId="23561" xr:uid="{00000000-0005-0000-0000-00007EAD0000}"/>
    <cellStyle name="Normal 4 4 4 7 2 3 2" xfId="50694" xr:uid="{00000000-0005-0000-0000-00007FAD0000}"/>
    <cellStyle name="Normal 4 4 4 7 2 4" xfId="37132" xr:uid="{00000000-0005-0000-0000-000080AD0000}"/>
    <cellStyle name="Normal 4 4 4 7 3" xfId="13385" xr:uid="{00000000-0005-0000-0000-000081AD0000}"/>
    <cellStyle name="Normal 4 4 4 7 3 2" xfId="26953" xr:uid="{00000000-0005-0000-0000-000082AD0000}"/>
    <cellStyle name="Normal 4 4 4 7 3 2 2" xfId="54086" xr:uid="{00000000-0005-0000-0000-000083AD0000}"/>
    <cellStyle name="Normal 4 4 4 7 3 3" xfId="40524" xr:uid="{00000000-0005-0000-0000-000084AD0000}"/>
    <cellStyle name="Normal 4 4 4 7 4" xfId="20172" xr:uid="{00000000-0005-0000-0000-000085AD0000}"/>
    <cellStyle name="Normal 4 4 4 7 4 2" xfId="47305" xr:uid="{00000000-0005-0000-0000-000086AD0000}"/>
    <cellStyle name="Normal 4 4 4 7 5" xfId="33743" xr:uid="{00000000-0005-0000-0000-000087AD0000}"/>
    <cellStyle name="Normal 4 4 4 8" xfId="6452" xr:uid="{00000000-0005-0000-0000-000088AD0000}"/>
    <cellStyle name="Normal 4 4 4 8 2" xfId="9985" xr:uid="{00000000-0005-0000-0000-000089AD0000}"/>
    <cellStyle name="Normal 4 4 4 8 2 2" xfId="16775" xr:uid="{00000000-0005-0000-0000-00008AAD0000}"/>
    <cellStyle name="Normal 4 4 4 8 2 2 2" xfId="30343" xr:uid="{00000000-0005-0000-0000-00008BAD0000}"/>
    <cellStyle name="Normal 4 4 4 8 2 2 2 2" xfId="57476" xr:uid="{00000000-0005-0000-0000-00008CAD0000}"/>
    <cellStyle name="Normal 4 4 4 8 2 2 3" xfId="43914" xr:uid="{00000000-0005-0000-0000-00008DAD0000}"/>
    <cellStyle name="Normal 4 4 4 8 2 3" xfId="23562" xr:uid="{00000000-0005-0000-0000-00008EAD0000}"/>
    <cellStyle name="Normal 4 4 4 8 2 3 2" xfId="50695" xr:uid="{00000000-0005-0000-0000-00008FAD0000}"/>
    <cellStyle name="Normal 4 4 4 8 2 4" xfId="37133" xr:uid="{00000000-0005-0000-0000-000090AD0000}"/>
    <cellStyle name="Normal 4 4 4 8 3" xfId="13386" xr:uid="{00000000-0005-0000-0000-000091AD0000}"/>
    <cellStyle name="Normal 4 4 4 8 3 2" xfId="26954" xr:uid="{00000000-0005-0000-0000-000092AD0000}"/>
    <cellStyle name="Normal 4 4 4 8 3 2 2" xfId="54087" xr:uid="{00000000-0005-0000-0000-000093AD0000}"/>
    <cellStyle name="Normal 4 4 4 8 3 3" xfId="40525" xr:uid="{00000000-0005-0000-0000-000094AD0000}"/>
    <cellStyle name="Normal 4 4 4 8 4" xfId="20173" xr:uid="{00000000-0005-0000-0000-000095AD0000}"/>
    <cellStyle name="Normal 4 4 4 8 4 2" xfId="47306" xr:uid="{00000000-0005-0000-0000-000096AD0000}"/>
    <cellStyle name="Normal 4 4 4 8 5" xfId="33744" xr:uid="{00000000-0005-0000-0000-000097AD0000}"/>
    <cellStyle name="Normal 4 4 4 9" xfId="9948" xr:uid="{00000000-0005-0000-0000-000098AD0000}"/>
    <cellStyle name="Normal 4 4 4 9 2" xfId="16738" xr:uid="{00000000-0005-0000-0000-000099AD0000}"/>
    <cellStyle name="Normal 4 4 4 9 2 2" xfId="30306" xr:uid="{00000000-0005-0000-0000-00009AAD0000}"/>
    <cellStyle name="Normal 4 4 4 9 2 2 2" xfId="57439" xr:uid="{00000000-0005-0000-0000-00009BAD0000}"/>
    <cellStyle name="Normal 4 4 4 9 2 3" xfId="43877" xr:uid="{00000000-0005-0000-0000-00009CAD0000}"/>
    <cellStyle name="Normal 4 4 4 9 3" xfId="23525" xr:uid="{00000000-0005-0000-0000-00009DAD0000}"/>
    <cellStyle name="Normal 4 4 4 9 3 2" xfId="50658" xr:uid="{00000000-0005-0000-0000-00009EAD0000}"/>
    <cellStyle name="Normal 4 4 4 9 4" xfId="37096" xr:uid="{00000000-0005-0000-0000-00009FAD0000}"/>
    <cellStyle name="Normal 4 4 5" xfId="6453" xr:uid="{00000000-0005-0000-0000-0000A0AD0000}"/>
    <cellStyle name="Normal 4 4 5 10" xfId="33745" xr:uid="{00000000-0005-0000-0000-0000A1AD0000}"/>
    <cellStyle name="Normal 4 4 5 2" xfId="6454" xr:uid="{00000000-0005-0000-0000-0000A2AD0000}"/>
    <cellStyle name="Normal 4 4 5 2 2" xfId="6455" xr:uid="{00000000-0005-0000-0000-0000A3AD0000}"/>
    <cellStyle name="Normal 4 4 5 2 2 2" xfId="6456" xr:uid="{00000000-0005-0000-0000-0000A4AD0000}"/>
    <cellStyle name="Normal 4 4 5 2 2 2 2" xfId="9989" xr:uid="{00000000-0005-0000-0000-0000A5AD0000}"/>
    <cellStyle name="Normal 4 4 5 2 2 2 2 2" xfId="16779" xr:uid="{00000000-0005-0000-0000-0000A6AD0000}"/>
    <cellStyle name="Normal 4 4 5 2 2 2 2 2 2" xfId="30347" xr:uid="{00000000-0005-0000-0000-0000A7AD0000}"/>
    <cellStyle name="Normal 4 4 5 2 2 2 2 2 2 2" xfId="57480" xr:uid="{00000000-0005-0000-0000-0000A8AD0000}"/>
    <cellStyle name="Normal 4 4 5 2 2 2 2 2 3" xfId="43918" xr:uid="{00000000-0005-0000-0000-0000A9AD0000}"/>
    <cellStyle name="Normal 4 4 5 2 2 2 2 3" xfId="23566" xr:uid="{00000000-0005-0000-0000-0000AAAD0000}"/>
    <cellStyle name="Normal 4 4 5 2 2 2 2 3 2" xfId="50699" xr:uid="{00000000-0005-0000-0000-0000ABAD0000}"/>
    <cellStyle name="Normal 4 4 5 2 2 2 2 4" xfId="37137" xr:uid="{00000000-0005-0000-0000-0000ACAD0000}"/>
    <cellStyle name="Normal 4 4 5 2 2 2 3" xfId="13390" xr:uid="{00000000-0005-0000-0000-0000ADAD0000}"/>
    <cellStyle name="Normal 4 4 5 2 2 2 3 2" xfId="26958" xr:uid="{00000000-0005-0000-0000-0000AEAD0000}"/>
    <cellStyle name="Normal 4 4 5 2 2 2 3 2 2" xfId="54091" xr:uid="{00000000-0005-0000-0000-0000AFAD0000}"/>
    <cellStyle name="Normal 4 4 5 2 2 2 3 3" xfId="40529" xr:uid="{00000000-0005-0000-0000-0000B0AD0000}"/>
    <cellStyle name="Normal 4 4 5 2 2 2 4" xfId="20177" xr:uid="{00000000-0005-0000-0000-0000B1AD0000}"/>
    <cellStyle name="Normal 4 4 5 2 2 2 4 2" xfId="47310" xr:uid="{00000000-0005-0000-0000-0000B2AD0000}"/>
    <cellStyle name="Normal 4 4 5 2 2 2 5" xfId="33748" xr:uid="{00000000-0005-0000-0000-0000B3AD0000}"/>
    <cellStyle name="Normal 4 4 5 2 2 3" xfId="6457" xr:uid="{00000000-0005-0000-0000-0000B4AD0000}"/>
    <cellStyle name="Normal 4 4 5 2 2 3 2" xfId="9990" xr:uid="{00000000-0005-0000-0000-0000B5AD0000}"/>
    <cellStyle name="Normal 4 4 5 2 2 3 2 2" xfId="16780" xr:uid="{00000000-0005-0000-0000-0000B6AD0000}"/>
    <cellStyle name="Normal 4 4 5 2 2 3 2 2 2" xfId="30348" xr:uid="{00000000-0005-0000-0000-0000B7AD0000}"/>
    <cellStyle name="Normal 4 4 5 2 2 3 2 2 2 2" xfId="57481" xr:uid="{00000000-0005-0000-0000-0000B8AD0000}"/>
    <cellStyle name="Normal 4 4 5 2 2 3 2 2 3" xfId="43919" xr:uid="{00000000-0005-0000-0000-0000B9AD0000}"/>
    <cellStyle name="Normal 4 4 5 2 2 3 2 3" xfId="23567" xr:uid="{00000000-0005-0000-0000-0000BAAD0000}"/>
    <cellStyle name="Normal 4 4 5 2 2 3 2 3 2" xfId="50700" xr:uid="{00000000-0005-0000-0000-0000BBAD0000}"/>
    <cellStyle name="Normal 4 4 5 2 2 3 2 4" xfId="37138" xr:uid="{00000000-0005-0000-0000-0000BCAD0000}"/>
    <cellStyle name="Normal 4 4 5 2 2 3 3" xfId="13391" xr:uid="{00000000-0005-0000-0000-0000BDAD0000}"/>
    <cellStyle name="Normal 4 4 5 2 2 3 3 2" xfId="26959" xr:uid="{00000000-0005-0000-0000-0000BEAD0000}"/>
    <cellStyle name="Normal 4 4 5 2 2 3 3 2 2" xfId="54092" xr:uid="{00000000-0005-0000-0000-0000BFAD0000}"/>
    <cellStyle name="Normal 4 4 5 2 2 3 3 3" xfId="40530" xr:uid="{00000000-0005-0000-0000-0000C0AD0000}"/>
    <cellStyle name="Normal 4 4 5 2 2 3 4" xfId="20178" xr:uid="{00000000-0005-0000-0000-0000C1AD0000}"/>
    <cellStyle name="Normal 4 4 5 2 2 3 4 2" xfId="47311" xr:uid="{00000000-0005-0000-0000-0000C2AD0000}"/>
    <cellStyle name="Normal 4 4 5 2 2 3 5" xfId="33749" xr:uid="{00000000-0005-0000-0000-0000C3AD0000}"/>
    <cellStyle name="Normal 4 4 5 2 2 4" xfId="9988" xr:uid="{00000000-0005-0000-0000-0000C4AD0000}"/>
    <cellStyle name="Normal 4 4 5 2 2 4 2" xfId="16778" xr:uid="{00000000-0005-0000-0000-0000C5AD0000}"/>
    <cellStyle name="Normal 4 4 5 2 2 4 2 2" xfId="30346" xr:uid="{00000000-0005-0000-0000-0000C6AD0000}"/>
    <cellStyle name="Normal 4 4 5 2 2 4 2 2 2" xfId="57479" xr:uid="{00000000-0005-0000-0000-0000C7AD0000}"/>
    <cellStyle name="Normal 4 4 5 2 2 4 2 3" xfId="43917" xr:uid="{00000000-0005-0000-0000-0000C8AD0000}"/>
    <cellStyle name="Normal 4 4 5 2 2 4 3" xfId="23565" xr:uid="{00000000-0005-0000-0000-0000C9AD0000}"/>
    <cellStyle name="Normal 4 4 5 2 2 4 3 2" xfId="50698" xr:uid="{00000000-0005-0000-0000-0000CAAD0000}"/>
    <cellStyle name="Normal 4 4 5 2 2 4 4" xfId="37136" xr:uid="{00000000-0005-0000-0000-0000CBAD0000}"/>
    <cellStyle name="Normal 4 4 5 2 2 5" xfId="13389" xr:uid="{00000000-0005-0000-0000-0000CCAD0000}"/>
    <cellStyle name="Normal 4 4 5 2 2 5 2" xfId="26957" xr:uid="{00000000-0005-0000-0000-0000CDAD0000}"/>
    <cellStyle name="Normal 4 4 5 2 2 5 2 2" xfId="54090" xr:uid="{00000000-0005-0000-0000-0000CEAD0000}"/>
    <cellStyle name="Normal 4 4 5 2 2 5 3" xfId="40528" xr:uid="{00000000-0005-0000-0000-0000CFAD0000}"/>
    <cellStyle name="Normal 4 4 5 2 2 6" xfId="20176" xr:uid="{00000000-0005-0000-0000-0000D0AD0000}"/>
    <cellStyle name="Normal 4 4 5 2 2 6 2" xfId="47309" xr:uid="{00000000-0005-0000-0000-0000D1AD0000}"/>
    <cellStyle name="Normal 4 4 5 2 2 7" xfId="33747" xr:uid="{00000000-0005-0000-0000-0000D2AD0000}"/>
    <cellStyle name="Normal 4 4 5 2 3" xfId="6458" xr:uid="{00000000-0005-0000-0000-0000D3AD0000}"/>
    <cellStyle name="Normal 4 4 5 2 3 2" xfId="6459" xr:uid="{00000000-0005-0000-0000-0000D4AD0000}"/>
    <cellStyle name="Normal 4 4 5 2 3 2 2" xfId="9992" xr:uid="{00000000-0005-0000-0000-0000D5AD0000}"/>
    <cellStyle name="Normal 4 4 5 2 3 2 2 2" xfId="16782" xr:uid="{00000000-0005-0000-0000-0000D6AD0000}"/>
    <cellStyle name="Normal 4 4 5 2 3 2 2 2 2" xfId="30350" xr:uid="{00000000-0005-0000-0000-0000D7AD0000}"/>
    <cellStyle name="Normal 4 4 5 2 3 2 2 2 2 2" xfId="57483" xr:uid="{00000000-0005-0000-0000-0000D8AD0000}"/>
    <cellStyle name="Normal 4 4 5 2 3 2 2 2 3" xfId="43921" xr:uid="{00000000-0005-0000-0000-0000D9AD0000}"/>
    <cellStyle name="Normal 4 4 5 2 3 2 2 3" xfId="23569" xr:uid="{00000000-0005-0000-0000-0000DAAD0000}"/>
    <cellStyle name="Normal 4 4 5 2 3 2 2 3 2" xfId="50702" xr:uid="{00000000-0005-0000-0000-0000DBAD0000}"/>
    <cellStyle name="Normal 4 4 5 2 3 2 2 4" xfId="37140" xr:uid="{00000000-0005-0000-0000-0000DCAD0000}"/>
    <cellStyle name="Normal 4 4 5 2 3 2 3" xfId="13393" xr:uid="{00000000-0005-0000-0000-0000DDAD0000}"/>
    <cellStyle name="Normal 4 4 5 2 3 2 3 2" xfId="26961" xr:uid="{00000000-0005-0000-0000-0000DEAD0000}"/>
    <cellStyle name="Normal 4 4 5 2 3 2 3 2 2" xfId="54094" xr:uid="{00000000-0005-0000-0000-0000DFAD0000}"/>
    <cellStyle name="Normal 4 4 5 2 3 2 3 3" xfId="40532" xr:uid="{00000000-0005-0000-0000-0000E0AD0000}"/>
    <cellStyle name="Normal 4 4 5 2 3 2 4" xfId="20180" xr:uid="{00000000-0005-0000-0000-0000E1AD0000}"/>
    <cellStyle name="Normal 4 4 5 2 3 2 4 2" xfId="47313" xr:uid="{00000000-0005-0000-0000-0000E2AD0000}"/>
    <cellStyle name="Normal 4 4 5 2 3 2 5" xfId="33751" xr:uid="{00000000-0005-0000-0000-0000E3AD0000}"/>
    <cellStyle name="Normal 4 4 5 2 3 3" xfId="9991" xr:uid="{00000000-0005-0000-0000-0000E4AD0000}"/>
    <cellStyle name="Normal 4 4 5 2 3 3 2" xfId="16781" xr:uid="{00000000-0005-0000-0000-0000E5AD0000}"/>
    <cellStyle name="Normal 4 4 5 2 3 3 2 2" xfId="30349" xr:uid="{00000000-0005-0000-0000-0000E6AD0000}"/>
    <cellStyle name="Normal 4 4 5 2 3 3 2 2 2" xfId="57482" xr:uid="{00000000-0005-0000-0000-0000E7AD0000}"/>
    <cellStyle name="Normal 4 4 5 2 3 3 2 3" xfId="43920" xr:uid="{00000000-0005-0000-0000-0000E8AD0000}"/>
    <cellStyle name="Normal 4 4 5 2 3 3 3" xfId="23568" xr:uid="{00000000-0005-0000-0000-0000E9AD0000}"/>
    <cellStyle name="Normal 4 4 5 2 3 3 3 2" xfId="50701" xr:uid="{00000000-0005-0000-0000-0000EAAD0000}"/>
    <cellStyle name="Normal 4 4 5 2 3 3 4" xfId="37139" xr:uid="{00000000-0005-0000-0000-0000EBAD0000}"/>
    <cellStyle name="Normal 4 4 5 2 3 4" xfId="13392" xr:uid="{00000000-0005-0000-0000-0000ECAD0000}"/>
    <cellStyle name="Normal 4 4 5 2 3 4 2" xfId="26960" xr:uid="{00000000-0005-0000-0000-0000EDAD0000}"/>
    <cellStyle name="Normal 4 4 5 2 3 4 2 2" xfId="54093" xr:uid="{00000000-0005-0000-0000-0000EEAD0000}"/>
    <cellStyle name="Normal 4 4 5 2 3 4 3" xfId="40531" xr:uid="{00000000-0005-0000-0000-0000EFAD0000}"/>
    <cellStyle name="Normal 4 4 5 2 3 5" xfId="20179" xr:uid="{00000000-0005-0000-0000-0000F0AD0000}"/>
    <cellStyle name="Normal 4 4 5 2 3 5 2" xfId="47312" xr:uid="{00000000-0005-0000-0000-0000F1AD0000}"/>
    <cellStyle name="Normal 4 4 5 2 3 6" xfId="33750" xr:uid="{00000000-0005-0000-0000-0000F2AD0000}"/>
    <cellStyle name="Normal 4 4 5 2 4" xfId="6460" xr:uid="{00000000-0005-0000-0000-0000F3AD0000}"/>
    <cellStyle name="Normal 4 4 5 2 4 2" xfId="9993" xr:uid="{00000000-0005-0000-0000-0000F4AD0000}"/>
    <cellStyle name="Normal 4 4 5 2 4 2 2" xfId="16783" xr:uid="{00000000-0005-0000-0000-0000F5AD0000}"/>
    <cellStyle name="Normal 4 4 5 2 4 2 2 2" xfId="30351" xr:uid="{00000000-0005-0000-0000-0000F6AD0000}"/>
    <cellStyle name="Normal 4 4 5 2 4 2 2 2 2" xfId="57484" xr:uid="{00000000-0005-0000-0000-0000F7AD0000}"/>
    <cellStyle name="Normal 4 4 5 2 4 2 2 3" xfId="43922" xr:uid="{00000000-0005-0000-0000-0000F8AD0000}"/>
    <cellStyle name="Normal 4 4 5 2 4 2 3" xfId="23570" xr:uid="{00000000-0005-0000-0000-0000F9AD0000}"/>
    <cellStyle name="Normal 4 4 5 2 4 2 3 2" xfId="50703" xr:uid="{00000000-0005-0000-0000-0000FAAD0000}"/>
    <cellStyle name="Normal 4 4 5 2 4 2 4" xfId="37141" xr:uid="{00000000-0005-0000-0000-0000FBAD0000}"/>
    <cellStyle name="Normal 4 4 5 2 4 3" xfId="13394" xr:uid="{00000000-0005-0000-0000-0000FCAD0000}"/>
    <cellStyle name="Normal 4 4 5 2 4 3 2" xfId="26962" xr:uid="{00000000-0005-0000-0000-0000FDAD0000}"/>
    <cellStyle name="Normal 4 4 5 2 4 3 2 2" xfId="54095" xr:uid="{00000000-0005-0000-0000-0000FEAD0000}"/>
    <cellStyle name="Normal 4 4 5 2 4 3 3" xfId="40533" xr:uid="{00000000-0005-0000-0000-0000FFAD0000}"/>
    <cellStyle name="Normal 4 4 5 2 4 4" xfId="20181" xr:uid="{00000000-0005-0000-0000-000000AE0000}"/>
    <cellStyle name="Normal 4 4 5 2 4 4 2" xfId="47314" xr:uid="{00000000-0005-0000-0000-000001AE0000}"/>
    <cellStyle name="Normal 4 4 5 2 4 5" xfId="33752" xr:uid="{00000000-0005-0000-0000-000002AE0000}"/>
    <cellStyle name="Normal 4 4 5 2 5" xfId="6461" xr:uid="{00000000-0005-0000-0000-000003AE0000}"/>
    <cellStyle name="Normal 4 4 5 2 5 2" xfId="9994" xr:uid="{00000000-0005-0000-0000-000004AE0000}"/>
    <cellStyle name="Normal 4 4 5 2 5 2 2" xfId="16784" xr:uid="{00000000-0005-0000-0000-000005AE0000}"/>
    <cellStyle name="Normal 4 4 5 2 5 2 2 2" xfId="30352" xr:uid="{00000000-0005-0000-0000-000006AE0000}"/>
    <cellStyle name="Normal 4 4 5 2 5 2 2 2 2" xfId="57485" xr:uid="{00000000-0005-0000-0000-000007AE0000}"/>
    <cellStyle name="Normal 4 4 5 2 5 2 2 3" xfId="43923" xr:uid="{00000000-0005-0000-0000-000008AE0000}"/>
    <cellStyle name="Normal 4 4 5 2 5 2 3" xfId="23571" xr:uid="{00000000-0005-0000-0000-000009AE0000}"/>
    <cellStyle name="Normal 4 4 5 2 5 2 3 2" xfId="50704" xr:uid="{00000000-0005-0000-0000-00000AAE0000}"/>
    <cellStyle name="Normal 4 4 5 2 5 2 4" xfId="37142" xr:uid="{00000000-0005-0000-0000-00000BAE0000}"/>
    <cellStyle name="Normal 4 4 5 2 5 3" xfId="13395" xr:uid="{00000000-0005-0000-0000-00000CAE0000}"/>
    <cellStyle name="Normal 4 4 5 2 5 3 2" xfId="26963" xr:uid="{00000000-0005-0000-0000-00000DAE0000}"/>
    <cellStyle name="Normal 4 4 5 2 5 3 2 2" xfId="54096" xr:uid="{00000000-0005-0000-0000-00000EAE0000}"/>
    <cellStyle name="Normal 4 4 5 2 5 3 3" xfId="40534" xr:uid="{00000000-0005-0000-0000-00000FAE0000}"/>
    <cellStyle name="Normal 4 4 5 2 5 4" xfId="20182" xr:uid="{00000000-0005-0000-0000-000010AE0000}"/>
    <cellStyle name="Normal 4 4 5 2 5 4 2" xfId="47315" xr:uid="{00000000-0005-0000-0000-000011AE0000}"/>
    <cellStyle name="Normal 4 4 5 2 5 5" xfId="33753" xr:uid="{00000000-0005-0000-0000-000012AE0000}"/>
    <cellStyle name="Normal 4 4 5 2 6" xfId="9987" xr:uid="{00000000-0005-0000-0000-000013AE0000}"/>
    <cellStyle name="Normal 4 4 5 2 6 2" xfId="16777" xr:uid="{00000000-0005-0000-0000-000014AE0000}"/>
    <cellStyle name="Normal 4 4 5 2 6 2 2" xfId="30345" xr:uid="{00000000-0005-0000-0000-000015AE0000}"/>
    <cellStyle name="Normal 4 4 5 2 6 2 2 2" xfId="57478" xr:uid="{00000000-0005-0000-0000-000016AE0000}"/>
    <cellStyle name="Normal 4 4 5 2 6 2 3" xfId="43916" xr:uid="{00000000-0005-0000-0000-000017AE0000}"/>
    <cellStyle name="Normal 4 4 5 2 6 3" xfId="23564" xr:uid="{00000000-0005-0000-0000-000018AE0000}"/>
    <cellStyle name="Normal 4 4 5 2 6 3 2" xfId="50697" xr:uid="{00000000-0005-0000-0000-000019AE0000}"/>
    <cellStyle name="Normal 4 4 5 2 6 4" xfId="37135" xr:uid="{00000000-0005-0000-0000-00001AAE0000}"/>
    <cellStyle name="Normal 4 4 5 2 7" xfId="13388" xr:uid="{00000000-0005-0000-0000-00001BAE0000}"/>
    <cellStyle name="Normal 4 4 5 2 7 2" xfId="26956" xr:uid="{00000000-0005-0000-0000-00001CAE0000}"/>
    <cellStyle name="Normal 4 4 5 2 7 2 2" xfId="54089" xr:uid="{00000000-0005-0000-0000-00001DAE0000}"/>
    <cellStyle name="Normal 4 4 5 2 7 3" xfId="40527" xr:uid="{00000000-0005-0000-0000-00001EAE0000}"/>
    <cellStyle name="Normal 4 4 5 2 8" xfId="20175" xr:uid="{00000000-0005-0000-0000-00001FAE0000}"/>
    <cellStyle name="Normal 4 4 5 2 8 2" xfId="47308" xr:uid="{00000000-0005-0000-0000-000020AE0000}"/>
    <cellStyle name="Normal 4 4 5 2 9" xfId="33746" xr:uid="{00000000-0005-0000-0000-000021AE0000}"/>
    <cellStyle name="Normal 4 4 5 3" xfId="6462" xr:uid="{00000000-0005-0000-0000-000022AE0000}"/>
    <cellStyle name="Normal 4 4 5 3 2" xfId="6463" xr:uid="{00000000-0005-0000-0000-000023AE0000}"/>
    <cellStyle name="Normal 4 4 5 3 2 2" xfId="9996" xr:uid="{00000000-0005-0000-0000-000024AE0000}"/>
    <cellStyle name="Normal 4 4 5 3 2 2 2" xfId="16786" xr:uid="{00000000-0005-0000-0000-000025AE0000}"/>
    <cellStyle name="Normal 4 4 5 3 2 2 2 2" xfId="30354" xr:uid="{00000000-0005-0000-0000-000026AE0000}"/>
    <cellStyle name="Normal 4 4 5 3 2 2 2 2 2" xfId="57487" xr:uid="{00000000-0005-0000-0000-000027AE0000}"/>
    <cellStyle name="Normal 4 4 5 3 2 2 2 3" xfId="43925" xr:uid="{00000000-0005-0000-0000-000028AE0000}"/>
    <cellStyle name="Normal 4 4 5 3 2 2 3" xfId="23573" xr:uid="{00000000-0005-0000-0000-000029AE0000}"/>
    <cellStyle name="Normal 4 4 5 3 2 2 3 2" xfId="50706" xr:uid="{00000000-0005-0000-0000-00002AAE0000}"/>
    <cellStyle name="Normal 4 4 5 3 2 2 4" xfId="37144" xr:uid="{00000000-0005-0000-0000-00002BAE0000}"/>
    <cellStyle name="Normal 4 4 5 3 2 3" xfId="13397" xr:uid="{00000000-0005-0000-0000-00002CAE0000}"/>
    <cellStyle name="Normal 4 4 5 3 2 3 2" xfId="26965" xr:uid="{00000000-0005-0000-0000-00002DAE0000}"/>
    <cellStyle name="Normal 4 4 5 3 2 3 2 2" xfId="54098" xr:uid="{00000000-0005-0000-0000-00002EAE0000}"/>
    <cellStyle name="Normal 4 4 5 3 2 3 3" xfId="40536" xr:uid="{00000000-0005-0000-0000-00002FAE0000}"/>
    <cellStyle name="Normal 4 4 5 3 2 4" xfId="20184" xr:uid="{00000000-0005-0000-0000-000030AE0000}"/>
    <cellStyle name="Normal 4 4 5 3 2 4 2" xfId="47317" xr:uid="{00000000-0005-0000-0000-000031AE0000}"/>
    <cellStyle name="Normal 4 4 5 3 2 5" xfId="33755" xr:uid="{00000000-0005-0000-0000-000032AE0000}"/>
    <cellStyle name="Normal 4 4 5 3 3" xfId="6464" xr:uid="{00000000-0005-0000-0000-000033AE0000}"/>
    <cellStyle name="Normal 4 4 5 3 3 2" xfId="9997" xr:uid="{00000000-0005-0000-0000-000034AE0000}"/>
    <cellStyle name="Normal 4 4 5 3 3 2 2" xfId="16787" xr:uid="{00000000-0005-0000-0000-000035AE0000}"/>
    <cellStyle name="Normal 4 4 5 3 3 2 2 2" xfId="30355" xr:uid="{00000000-0005-0000-0000-000036AE0000}"/>
    <cellStyle name="Normal 4 4 5 3 3 2 2 2 2" xfId="57488" xr:uid="{00000000-0005-0000-0000-000037AE0000}"/>
    <cellStyle name="Normal 4 4 5 3 3 2 2 3" xfId="43926" xr:uid="{00000000-0005-0000-0000-000038AE0000}"/>
    <cellStyle name="Normal 4 4 5 3 3 2 3" xfId="23574" xr:uid="{00000000-0005-0000-0000-000039AE0000}"/>
    <cellStyle name="Normal 4 4 5 3 3 2 3 2" xfId="50707" xr:uid="{00000000-0005-0000-0000-00003AAE0000}"/>
    <cellStyle name="Normal 4 4 5 3 3 2 4" xfId="37145" xr:uid="{00000000-0005-0000-0000-00003BAE0000}"/>
    <cellStyle name="Normal 4 4 5 3 3 3" xfId="13398" xr:uid="{00000000-0005-0000-0000-00003CAE0000}"/>
    <cellStyle name="Normal 4 4 5 3 3 3 2" xfId="26966" xr:uid="{00000000-0005-0000-0000-00003DAE0000}"/>
    <cellStyle name="Normal 4 4 5 3 3 3 2 2" xfId="54099" xr:uid="{00000000-0005-0000-0000-00003EAE0000}"/>
    <cellStyle name="Normal 4 4 5 3 3 3 3" xfId="40537" xr:uid="{00000000-0005-0000-0000-00003FAE0000}"/>
    <cellStyle name="Normal 4 4 5 3 3 4" xfId="20185" xr:uid="{00000000-0005-0000-0000-000040AE0000}"/>
    <cellStyle name="Normal 4 4 5 3 3 4 2" xfId="47318" xr:uid="{00000000-0005-0000-0000-000041AE0000}"/>
    <cellStyle name="Normal 4 4 5 3 3 5" xfId="33756" xr:uid="{00000000-0005-0000-0000-000042AE0000}"/>
    <cellStyle name="Normal 4 4 5 3 4" xfId="9995" xr:uid="{00000000-0005-0000-0000-000043AE0000}"/>
    <cellStyle name="Normal 4 4 5 3 4 2" xfId="16785" xr:uid="{00000000-0005-0000-0000-000044AE0000}"/>
    <cellStyle name="Normal 4 4 5 3 4 2 2" xfId="30353" xr:uid="{00000000-0005-0000-0000-000045AE0000}"/>
    <cellStyle name="Normal 4 4 5 3 4 2 2 2" xfId="57486" xr:uid="{00000000-0005-0000-0000-000046AE0000}"/>
    <cellStyle name="Normal 4 4 5 3 4 2 3" xfId="43924" xr:uid="{00000000-0005-0000-0000-000047AE0000}"/>
    <cellStyle name="Normal 4 4 5 3 4 3" xfId="23572" xr:uid="{00000000-0005-0000-0000-000048AE0000}"/>
    <cellStyle name="Normal 4 4 5 3 4 3 2" xfId="50705" xr:uid="{00000000-0005-0000-0000-000049AE0000}"/>
    <cellStyle name="Normal 4 4 5 3 4 4" xfId="37143" xr:uid="{00000000-0005-0000-0000-00004AAE0000}"/>
    <cellStyle name="Normal 4 4 5 3 5" xfId="13396" xr:uid="{00000000-0005-0000-0000-00004BAE0000}"/>
    <cellStyle name="Normal 4 4 5 3 5 2" xfId="26964" xr:uid="{00000000-0005-0000-0000-00004CAE0000}"/>
    <cellStyle name="Normal 4 4 5 3 5 2 2" xfId="54097" xr:uid="{00000000-0005-0000-0000-00004DAE0000}"/>
    <cellStyle name="Normal 4 4 5 3 5 3" xfId="40535" xr:uid="{00000000-0005-0000-0000-00004EAE0000}"/>
    <cellStyle name="Normal 4 4 5 3 6" xfId="20183" xr:uid="{00000000-0005-0000-0000-00004FAE0000}"/>
    <cellStyle name="Normal 4 4 5 3 6 2" xfId="47316" xr:uid="{00000000-0005-0000-0000-000050AE0000}"/>
    <cellStyle name="Normal 4 4 5 3 7" xfId="33754" xr:uid="{00000000-0005-0000-0000-000051AE0000}"/>
    <cellStyle name="Normal 4 4 5 4" xfId="6465" xr:uid="{00000000-0005-0000-0000-000052AE0000}"/>
    <cellStyle name="Normal 4 4 5 4 2" xfId="6466" xr:uid="{00000000-0005-0000-0000-000053AE0000}"/>
    <cellStyle name="Normal 4 4 5 4 2 2" xfId="9999" xr:uid="{00000000-0005-0000-0000-000054AE0000}"/>
    <cellStyle name="Normal 4 4 5 4 2 2 2" xfId="16789" xr:uid="{00000000-0005-0000-0000-000055AE0000}"/>
    <cellStyle name="Normal 4 4 5 4 2 2 2 2" xfId="30357" xr:uid="{00000000-0005-0000-0000-000056AE0000}"/>
    <cellStyle name="Normal 4 4 5 4 2 2 2 2 2" xfId="57490" xr:uid="{00000000-0005-0000-0000-000057AE0000}"/>
    <cellStyle name="Normal 4 4 5 4 2 2 2 3" xfId="43928" xr:uid="{00000000-0005-0000-0000-000058AE0000}"/>
    <cellStyle name="Normal 4 4 5 4 2 2 3" xfId="23576" xr:uid="{00000000-0005-0000-0000-000059AE0000}"/>
    <cellStyle name="Normal 4 4 5 4 2 2 3 2" xfId="50709" xr:uid="{00000000-0005-0000-0000-00005AAE0000}"/>
    <cellStyle name="Normal 4 4 5 4 2 2 4" xfId="37147" xr:uid="{00000000-0005-0000-0000-00005BAE0000}"/>
    <cellStyle name="Normal 4 4 5 4 2 3" xfId="13400" xr:uid="{00000000-0005-0000-0000-00005CAE0000}"/>
    <cellStyle name="Normal 4 4 5 4 2 3 2" xfId="26968" xr:uid="{00000000-0005-0000-0000-00005DAE0000}"/>
    <cellStyle name="Normal 4 4 5 4 2 3 2 2" xfId="54101" xr:uid="{00000000-0005-0000-0000-00005EAE0000}"/>
    <cellStyle name="Normal 4 4 5 4 2 3 3" xfId="40539" xr:uid="{00000000-0005-0000-0000-00005FAE0000}"/>
    <cellStyle name="Normal 4 4 5 4 2 4" xfId="20187" xr:uid="{00000000-0005-0000-0000-000060AE0000}"/>
    <cellStyle name="Normal 4 4 5 4 2 4 2" xfId="47320" xr:uid="{00000000-0005-0000-0000-000061AE0000}"/>
    <cellStyle name="Normal 4 4 5 4 2 5" xfId="33758" xr:uid="{00000000-0005-0000-0000-000062AE0000}"/>
    <cellStyle name="Normal 4 4 5 4 3" xfId="9998" xr:uid="{00000000-0005-0000-0000-000063AE0000}"/>
    <cellStyle name="Normal 4 4 5 4 3 2" xfId="16788" xr:uid="{00000000-0005-0000-0000-000064AE0000}"/>
    <cellStyle name="Normal 4 4 5 4 3 2 2" xfId="30356" xr:uid="{00000000-0005-0000-0000-000065AE0000}"/>
    <cellStyle name="Normal 4 4 5 4 3 2 2 2" xfId="57489" xr:uid="{00000000-0005-0000-0000-000066AE0000}"/>
    <cellStyle name="Normal 4 4 5 4 3 2 3" xfId="43927" xr:uid="{00000000-0005-0000-0000-000067AE0000}"/>
    <cellStyle name="Normal 4 4 5 4 3 3" xfId="23575" xr:uid="{00000000-0005-0000-0000-000068AE0000}"/>
    <cellStyle name="Normal 4 4 5 4 3 3 2" xfId="50708" xr:uid="{00000000-0005-0000-0000-000069AE0000}"/>
    <cellStyle name="Normal 4 4 5 4 3 4" xfId="37146" xr:uid="{00000000-0005-0000-0000-00006AAE0000}"/>
    <cellStyle name="Normal 4 4 5 4 4" xfId="13399" xr:uid="{00000000-0005-0000-0000-00006BAE0000}"/>
    <cellStyle name="Normal 4 4 5 4 4 2" xfId="26967" xr:uid="{00000000-0005-0000-0000-00006CAE0000}"/>
    <cellStyle name="Normal 4 4 5 4 4 2 2" xfId="54100" xr:uid="{00000000-0005-0000-0000-00006DAE0000}"/>
    <cellStyle name="Normal 4 4 5 4 4 3" xfId="40538" xr:uid="{00000000-0005-0000-0000-00006EAE0000}"/>
    <cellStyle name="Normal 4 4 5 4 5" xfId="20186" xr:uid="{00000000-0005-0000-0000-00006FAE0000}"/>
    <cellStyle name="Normal 4 4 5 4 5 2" xfId="47319" xr:uid="{00000000-0005-0000-0000-000070AE0000}"/>
    <cellStyle name="Normal 4 4 5 4 6" xfId="33757" xr:uid="{00000000-0005-0000-0000-000071AE0000}"/>
    <cellStyle name="Normal 4 4 5 5" xfId="6467" xr:uid="{00000000-0005-0000-0000-000072AE0000}"/>
    <cellStyle name="Normal 4 4 5 5 2" xfId="10000" xr:uid="{00000000-0005-0000-0000-000073AE0000}"/>
    <cellStyle name="Normal 4 4 5 5 2 2" xfId="16790" xr:uid="{00000000-0005-0000-0000-000074AE0000}"/>
    <cellStyle name="Normal 4 4 5 5 2 2 2" xfId="30358" xr:uid="{00000000-0005-0000-0000-000075AE0000}"/>
    <cellStyle name="Normal 4 4 5 5 2 2 2 2" xfId="57491" xr:uid="{00000000-0005-0000-0000-000076AE0000}"/>
    <cellStyle name="Normal 4 4 5 5 2 2 3" xfId="43929" xr:uid="{00000000-0005-0000-0000-000077AE0000}"/>
    <cellStyle name="Normal 4 4 5 5 2 3" xfId="23577" xr:uid="{00000000-0005-0000-0000-000078AE0000}"/>
    <cellStyle name="Normal 4 4 5 5 2 3 2" xfId="50710" xr:uid="{00000000-0005-0000-0000-000079AE0000}"/>
    <cellStyle name="Normal 4 4 5 5 2 4" xfId="37148" xr:uid="{00000000-0005-0000-0000-00007AAE0000}"/>
    <cellStyle name="Normal 4 4 5 5 3" xfId="13401" xr:uid="{00000000-0005-0000-0000-00007BAE0000}"/>
    <cellStyle name="Normal 4 4 5 5 3 2" xfId="26969" xr:uid="{00000000-0005-0000-0000-00007CAE0000}"/>
    <cellStyle name="Normal 4 4 5 5 3 2 2" xfId="54102" xr:uid="{00000000-0005-0000-0000-00007DAE0000}"/>
    <cellStyle name="Normal 4 4 5 5 3 3" xfId="40540" xr:uid="{00000000-0005-0000-0000-00007EAE0000}"/>
    <cellStyle name="Normal 4 4 5 5 4" xfId="20188" xr:uid="{00000000-0005-0000-0000-00007FAE0000}"/>
    <cellStyle name="Normal 4 4 5 5 4 2" xfId="47321" xr:uid="{00000000-0005-0000-0000-000080AE0000}"/>
    <cellStyle name="Normal 4 4 5 5 5" xfId="33759" xr:uid="{00000000-0005-0000-0000-000081AE0000}"/>
    <cellStyle name="Normal 4 4 5 6" xfId="6468" xr:uid="{00000000-0005-0000-0000-000082AE0000}"/>
    <cellStyle name="Normal 4 4 5 6 2" xfId="10001" xr:uid="{00000000-0005-0000-0000-000083AE0000}"/>
    <cellStyle name="Normal 4 4 5 6 2 2" xfId="16791" xr:uid="{00000000-0005-0000-0000-000084AE0000}"/>
    <cellStyle name="Normal 4 4 5 6 2 2 2" xfId="30359" xr:uid="{00000000-0005-0000-0000-000085AE0000}"/>
    <cellStyle name="Normal 4 4 5 6 2 2 2 2" xfId="57492" xr:uid="{00000000-0005-0000-0000-000086AE0000}"/>
    <cellStyle name="Normal 4 4 5 6 2 2 3" xfId="43930" xr:uid="{00000000-0005-0000-0000-000087AE0000}"/>
    <cellStyle name="Normal 4 4 5 6 2 3" xfId="23578" xr:uid="{00000000-0005-0000-0000-000088AE0000}"/>
    <cellStyle name="Normal 4 4 5 6 2 3 2" xfId="50711" xr:uid="{00000000-0005-0000-0000-000089AE0000}"/>
    <cellStyle name="Normal 4 4 5 6 2 4" xfId="37149" xr:uid="{00000000-0005-0000-0000-00008AAE0000}"/>
    <cellStyle name="Normal 4 4 5 6 3" xfId="13402" xr:uid="{00000000-0005-0000-0000-00008BAE0000}"/>
    <cellStyle name="Normal 4 4 5 6 3 2" xfId="26970" xr:uid="{00000000-0005-0000-0000-00008CAE0000}"/>
    <cellStyle name="Normal 4 4 5 6 3 2 2" xfId="54103" xr:uid="{00000000-0005-0000-0000-00008DAE0000}"/>
    <cellStyle name="Normal 4 4 5 6 3 3" xfId="40541" xr:uid="{00000000-0005-0000-0000-00008EAE0000}"/>
    <cellStyle name="Normal 4 4 5 6 4" xfId="20189" xr:uid="{00000000-0005-0000-0000-00008FAE0000}"/>
    <cellStyle name="Normal 4 4 5 6 4 2" xfId="47322" xr:uid="{00000000-0005-0000-0000-000090AE0000}"/>
    <cellStyle name="Normal 4 4 5 6 5" xfId="33760" xr:uid="{00000000-0005-0000-0000-000091AE0000}"/>
    <cellStyle name="Normal 4 4 5 7" xfId="9986" xr:uid="{00000000-0005-0000-0000-000092AE0000}"/>
    <cellStyle name="Normal 4 4 5 7 2" xfId="16776" xr:uid="{00000000-0005-0000-0000-000093AE0000}"/>
    <cellStyle name="Normal 4 4 5 7 2 2" xfId="30344" xr:uid="{00000000-0005-0000-0000-000094AE0000}"/>
    <cellStyle name="Normal 4 4 5 7 2 2 2" xfId="57477" xr:uid="{00000000-0005-0000-0000-000095AE0000}"/>
    <cellStyle name="Normal 4 4 5 7 2 3" xfId="43915" xr:uid="{00000000-0005-0000-0000-000096AE0000}"/>
    <cellStyle name="Normal 4 4 5 7 3" xfId="23563" xr:uid="{00000000-0005-0000-0000-000097AE0000}"/>
    <cellStyle name="Normal 4 4 5 7 3 2" xfId="50696" xr:uid="{00000000-0005-0000-0000-000098AE0000}"/>
    <cellStyle name="Normal 4 4 5 7 4" xfId="37134" xr:uid="{00000000-0005-0000-0000-000099AE0000}"/>
    <cellStyle name="Normal 4 4 5 8" xfId="13387" xr:uid="{00000000-0005-0000-0000-00009AAE0000}"/>
    <cellStyle name="Normal 4 4 5 8 2" xfId="26955" xr:uid="{00000000-0005-0000-0000-00009BAE0000}"/>
    <cellStyle name="Normal 4 4 5 8 2 2" xfId="54088" xr:uid="{00000000-0005-0000-0000-00009CAE0000}"/>
    <cellStyle name="Normal 4 4 5 8 3" xfId="40526" xr:uid="{00000000-0005-0000-0000-00009DAE0000}"/>
    <cellStyle name="Normal 4 4 5 9" xfId="20174" xr:uid="{00000000-0005-0000-0000-00009EAE0000}"/>
    <cellStyle name="Normal 4 4 5 9 2" xfId="47307" xr:uid="{00000000-0005-0000-0000-00009FAE0000}"/>
    <cellStyle name="Normal 4 4 6" xfId="6469" xr:uid="{00000000-0005-0000-0000-0000A0AE0000}"/>
    <cellStyle name="Normal 4 4 6 2" xfId="6470" xr:uid="{00000000-0005-0000-0000-0000A1AE0000}"/>
    <cellStyle name="Normal 4 4 6 2 2" xfId="6471" xr:uid="{00000000-0005-0000-0000-0000A2AE0000}"/>
    <cellStyle name="Normal 4 4 6 2 2 2" xfId="10004" xr:uid="{00000000-0005-0000-0000-0000A3AE0000}"/>
    <cellStyle name="Normal 4 4 6 2 2 2 2" xfId="16794" xr:uid="{00000000-0005-0000-0000-0000A4AE0000}"/>
    <cellStyle name="Normal 4 4 6 2 2 2 2 2" xfId="30362" xr:uid="{00000000-0005-0000-0000-0000A5AE0000}"/>
    <cellStyle name="Normal 4 4 6 2 2 2 2 2 2" xfId="57495" xr:uid="{00000000-0005-0000-0000-0000A6AE0000}"/>
    <cellStyle name="Normal 4 4 6 2 2 2 2 3" xfId="43933" xr:uid="{00000000-0005-0000-0000-0000A7AE0000}"/>
    <cellStyle name="Normal 4 4 6 2 2 2 3" xfId="23581" xr:uid="{00000000-0005-0000-0000-0000A8AE0000}"/>
    <cellStyle name="Normal 4 4 6 2 2 2 3 2" xfId="50714" xr:uid="{00000000-0005-0000-0000-0000A9AE0000}"/>
    <cellStyle name="Normal 4 4 6 2 2 2 4" xfId="37152" xr:uid="{00000000-0005-0000-0000-0000AAAE0000}"/>
    <cellStyle name="Normal 4 4 6 2 2 3" xfId="13405" xr:uid="{00000000-0005-0000-0000-0000ABAE0000}"/>
    <cellStyle name="Normal 4 4 6 2 2 3 2" xfId="26973" xr:uid="{00000000-0005-0000-0000-0000ACAE0000}"/>
    <cellStyle name="Normal 4 4 6 2 2 3 2 2" xfId="54106" xr:uid="{00000000-0005-0000-0000-0000ADAE0000}"/>
    <cellStyle name="Normal 4 4 6 2 2 3 3" xfId="40544" xr:uid="{00000000-0005-0000-0000-0000AEAE0000}"/>
    <cellStyle name="Normal 4 4 6 2 2 4" xfId="20192" xr:uid="{00000000-0005-0000-0000-0000AFAE0000}"/>
    <cellStyle name="Normal 4 4 6 2 2 4 2" xfId="47325" xr:uid="{00000000-0005-0000-0000-0000B0AE0000}"/>
    <cellStyle name="Normal 4 4 6 2 2 5" xfId="33763" xr:uid="{00000000-0005-0000-0000-0000B1AE0000}"/>
    <cellStyle name="Normal 4 4 6 2 3" xfId="6472" xr:uid="{00000000-0005-0000-0000-0000B2AE0000}"/>
    <cellStyle name="Normal 4 4 6 2 3 2" xfId="10005" xr:uid="{00000000-0005-0000-0000-0000B3AE0000}"/>
    <cellStyle name="Normal 4 4 6 2 3 2 2" xfId="16795" xr:uid="{00000000-0005-0000-0000-0000B4AE0000}"/>
    <cellStyle name="Normal 4 4 6 2 3 2 2 2" xfId="30363" xr:uid="{00000000-0005-0000-0000-0000B5AE0000}"/>
    <cellStyle name="Normal 4 4 6 2 3 2 2 2 2" xfId="57496" xr:uid="{00000000-0005-0000-0000-0000B6AE0000}"/>
    <cellStyle name="Normal 4 4 6 2 3 2 2 3" xfId="43934" xr:uid="{00000000-0005-0000-0000-0000B7AE0000}"/>
    <cellStyle name="Normal 4 4 6 2 3 2 3" xfId="23582" xr:uid="{00000000-0005-0000-0000-0000B8AE0000}"/>
    <cellStyle name="Normal 4 4 6 2 3 2 3 2" xfId="50715" xr:uid="{00000000-0005-0000-0000-0000B9AE0000}"/>
    <cellStyle name="Normal 4 4 6 2 3 2 4" xfId="37153" xr:uid="{00000000-0005-0000-0000-0000BAAE0000}"/>
    <cellStyle name="Normal 4 4 6 2 3 3" xfId="13406" xr:uid="{00000000-0005-0000-0000-0000BBAE0000}"/>
    <cellStyle name="Normal 4 4 6 2 3 3 2" xfId="26974" xr:uid="{00000000-0005-0000-0000-0000BCAE0000}"/>
    <cellStyle name="Normal 4 4 6 2 3 3 2 2" xfId="54107" xr:uid="{00000000-0005-0000-0000-0000BDAE0000}"/>
    <cellStyle name="Normal 4 4 6 2 3 3 3" xfId="40545" xr:uid="{00000000-0005-0000-0000-0000BEAE0000}"/>
    <cellStyle name="Normal 4 4 6 2 3 4" xfId="20193" xr:uid="{00000000-0005-0000-0000-0000BFAE0000}"/>
    <cellStyle name="Normal 4 4 6 2 3 4 2" xfId="47326" xr:uid="{00000000-0005-0000-0000-0000C0AE0000}"/>
    <cellStyle name="Normal 4 4 6 2 3 5" xfId="33764" xr:uid="{00000000-0005-0000-0000-0000C1AE0000}"/>
    <cellStyle name="Normal 4 4 6 2 4" xfId="10003" xr:uid="{00000000-0005-0000-0000-0000C2AE0000}"/>
    <cellStyle name="Normal 4 4 6 2 4 2" xfId="16793" xr:uid="{00000000-0005-0000-0000-0000C3AE0000}"/>
    <cellStyle name="Normal 4 4 6 2 4 2 2" xfId="30361" xr:uid="{00000000-0005-0000-0000-0000C4AE0000}"/>
    <cellStyle name="Normal 4 4 6 2 4 2 2 2" xfId="57494" xr:uid="{00000000-0005-0000-0000-0000C5AE0000}"/>
    <cellStyle name="Normal 4 4 6 2 4 2 3" xfId="43932" xr:uid="{00000000-0005-0000-0000-0000C6AE0000}"/>
    <cellStyle name="Normal 4 4 6 2 4 3" xfId="23580" xr:uid="{00000000-0005-0000-0000-0000C7AE0000}"/>
    <cellStyle name="Normal 4 4 6 2 4 3 2" xfId="50713" xr:uid="{00000000-0005-0000-0000-0000C8AE0000}"/>
    <cellStyle name="Normal 4 4 6 2 4 4" xfId="37151" xr:uid="{00000000-0005-0000-0000-0000C9AE0000}"/>
    <cellStyle name="Normal 4 4 6 2 5" xfId="13404" xr:uid="{00000000-0005-0000-0000-0000CAAE0000}"/>
    <cellStyle name="Normal 4 4 6 2 5 2" xfId="26972" xr:uid="{00000000-0005-0000-0000-0000CBAE0000}"/>
    <cellStyle name="Normal 4 4 6 2 5 2 2" xfId="54105" xr:uid="{00000000-0005-0000-0000-0000CCAE0000}"/>
    <cellStyle name="Normal 4 4 6 2 5 3" xfId="40543" xr:uid="{00000000-0005-0000-0000-0000CDAE0000}"/>
    <cellStyle name="Normal 4 4 6 2 6" xfId="20191" xr:uid="{00000000-0005-0000-0000-0000CEAE0000}"/>
    <cellStyle name="Normal 4 4 6 2 6 2" xfId="47324" xr:uid="{00000000-0005-0000-0000-0000CFAE0000}"/>
    <cellStyle name="Normal 4 4 6 2 7" xfId="33762" xr:uid="{00000000-0005-0000-0000-0000D0AE0000}"/>
    <cellStyle name="Normal 4 4 6 3" xfId="6473" xr:uid="{00000000-0005-0000-0000-0000D1AE0000}"/>
    <cellStyle name="Normal 4 4 6 3 2" xfId="6474" xr:uid="{00000000-0005-0000-0000-0000D2AE0000}"/>
    <cellStyle name="Normal 4 4 6 3 2 2" xfId="10007" xr:uid="{00000000-0005-0000-0000-0000D3AE0000}"/>
    <cellStyle name="Normal 4 4 6 3 2 2 2" xfId="16797" xr:uid="{00000000-0005-0000-0000-0000D4AE0000}"/>
    <cellStyle name="Normal 4 4 6 3 2 2 2 2" xfId="30365" xr:uid="{00000000-0005-0000-0000-0000D5AE0000}"/>
    <cellStyle name="Normal 4 4 6 3 2 2 2 2 2" xfId="57498" xr:uid="{00000000-0005-0000-0000-0000D6AE0000}"/>
    <cellStyle name="Normal 4 4 6 3 2 2 2 3" xfId="43936" xr:uid="{00000000-0005-0000-0000-0000D7AE0000}"/>
    <cellStyle name="Normal 4 4 6 3 2 2 3" xfId="23584" xr:uid="{00000000-0005-0000-0000-0000D8AE0000}"/>
    <cellStyle name="Normal 4 4 6 3 2 2 3 2" xfId="50717" xr:uid="{00000000-0005-0000-0000-0000D9AE0000}"/>
    <cellStyle name="Normal 4 4 6 3 2 2 4" xfId="37155" xr:uid="{00000000-0005-0000-0000-0000DAAE0000}"/>
    <cellStyle name="Normal 4 4 6 3 2 3" xfId="13408" xr:uid="{00000000-0005-0000-0000-0000DBAE0000}"/>
    <cellStyle name="Normal 4 4 6 3 2 3 2" xfId="26976" xr:uid="{00000000-0005-0000-0000-0000DCAE0000}"/>
    <cellStyle name="Normal 4 4 6 3 2 3 2 2" xfId="54109" xr:uid="{00000000-0005-0000-0000-0000DDAE0000}"/>
    <cellStyle name="Normal 4 4 6 3 2 3 3" xfId="40547" xr:uid="{00000000-0005-0000-0000-0000DEAE0000}"/>
    <cellStyle name="Normal 4 4 6 3 2 4" xfId="20195" xr:uid="{00000000-0005-0000-0000-0000DFAE0000}"/>
    <cellStyle name="Normal 4 4 6 3 2 4 2" xfId="47328" xr:uid="{00000000-0005-0000-0000-0000E0AE0000}"/>
    <cellStyle name="Normal 4 4 6 3 2 5" xfId="33766" xr:uid="{00000000-0005-0000-0000-0000E1AE0000}"/>
    <cellStyle name="Normal 4 4 6 3 3" xfId="10006" xr:uid="{00000000-0005-0000-0000-0000E2AE0000}"/>
    <cellStyle name="Normal 4 4 6 3 3 2" xfId="16796" xr:uid="{00000000-0005-0000-0000-0000E3AE0000}"/>
    <cellStyle name="Normal 4 4 6 3 3 2 2" xfId="30364" xr:uid="{00000000-0005-0000-0000-0000E4AE0000}"/>
    <cellStyle name="Normal 4 4 6 3 3 2 2 2" xfId="57497" xr:uid="{00000000-0005-0000-0000-0000E5AE0000}"/>
    <cellStyle name="Normal 4 4 6 3 3 2 3" xfId="43935" xr:uid="{00000000-0005-0000-0000-0000E6AE0000}"/>
    <cellStyle name="Normal 4 4 6 3 3 3" xfId="23583" xr:uid="{00000000-0005-0000-0000-0000E7AE0000}"/>
    <cellStyle name="Normal 4 4 6 3 3 3 2" xfId="50716" xr:uid="{00000000-0005-0000-0000-0000E8AE0000}"/>
    <cellStyle name="Normal 4 4 6 3 3 4" xfId="37154" xr:uid="{00000000-0005-0000-0000-0000E9AE0000}"/>
    <cellStyle name="Normal 4 4 6 3 4" xfId="13407" xr:uid="{00000000-0005-0000-0000-0000EAAE0000}"/>
    <cellStyle name="Normal 4 4 6 3 4 2" xfId="26975" xr:uid="{00000000-0005-0000-0000-0000EBAE0000}"/>
    <cellStyle name="Normal 4 4 6 3 4 2 2" xfId="54108" xr:uid="{00000000-0005-0000-0000-0000ECAE0000}"/>
    <cellStyle name="Normal 4 4 6 3 4 3" xfId="40546" xr:uid="{00000000-0005-0000-0000-0000EDAE0000}"/>
    <cellStyle name="Normal 4 4 6 3 5" xfId="20194" xr:uid="{00000000-0005-0000-0000-0000EEAE0000}"/>
    <cellStyle name="Normal 4 4 6 3 5 2" xfId="47327" xr:uid="{00000000-0005-0000-0000-0000EFAE0000}"/>
    <cellStyle name="Normal 4 4 6 3 6" xfId="33765" xr:uid="{00000000-0005-0000-0000-0000F0AE0000}"/>
    <cellStyle name="Normal 4 4 6 4" xfId="6475" xr:uid="{00000000-0005-0000-0000-0000F1AE0000}"/>
    <cellStyle name="Normal 4 4 6 4 2" xfId="10008" xr:uid="{00000000-0005-0000-0000-0000F2AE0000}"/>
    <cellStyle name="Normal 4 4 6 4 2 2" xfId="16798" xr:uid="{00000000-0005-0000-0000-0000F3AE0000}"/>
    <cellStyle name="Normal 4 4 6 4 2 2 2" xfId="30366" xr:uid="{00000000-0005-0000-0000-0000F4AE0000}"/>
    <cellStyle name="Normal 4 4 6 4 2 2 2 2" xfId="57499" xr:uid="{00000000-0005-0000-0000-0000F5AE0000}"/>
    <cellStyle name="Normal 4 4 6 4 2 2 3" xfId="43937" xr:uid="{00000000-0005-0000-0000-0000F6AE0000}"/>
    <cellStyle name="Normal 4 4 6 4 2 3" xfId="23585" xr:uid="{00000000-0005-0000-0000-0000F7AE0000}"/>
    <cellStyle name="Normal 4 4 6 4 2 3 2" xfId="50718" xr:uid="{00000000-0005-0000-0000-0000F8AE0000}"/>
    <cellStyle name="Normal 4 4 6 4 2 4" xfId="37156" xr:uid="{00000000-0005-0000-0000-0000F9AE0000}"/>
    <cellStyle name="Normal 4 4 6 4 3" xfId="13409" xr:uid="{00000000-0005-0000-0000-0000FAAE0000}"/>
    <cellStyle name="Normal 4 4 6 4 3 2" xfId="26977" xr:uid="{00000000-0005-0000-0000-0000FBAE0000}"/>
    <cellStyle name="Normal 4 4 6 4 3 2 2" xfId="54110" xr:uid="{00000000-0005-0000-0000-0000FCAE0000}"/>
    <cellStyle name="Normal 4 4 6 4 3 3" xfId="40548" xr:uid="{00000000-0005-0000-0000-0000FDAE0000}"/>
    <cellStyle name="Normal 4 4 6 4 4" xfId="20196" xr:uid="{00000000-0005-0000-0000-0000FEAE0000}"/>
    <cellStyle name="Normal 4 4 6 4 4 2" xfId="47329" xr:uid="{00000000-0005-0000-0000-0000FFAE0000}"/>
    <cellStyle name="Normal 4 4 6 4 5" xfId="33767" xr:uid="{00000000-0005-0000-0000-000000AF0000}"/>
    <cellStyle name="Normal 4 4 6 5" xfId="6476" xr:uid="{00000000-0005-0000-0000-000001AF0000}"/>
    <cellStyle name="Normal 4 4 6 5 2" xfId="10009" xr:uid="{00000000-0005-0000-0000-000002AF0000}"/>
    <cellStyle name="Normal 4 4 6 5 2 2" xfId="16799" xr:uid="{00000000-0005-0000-0000-000003AF0000}"/>
    <cellStyle name="Normal 4 4 6 5 2 2 2" xfId="30367" xr:uid="{00000000-0005-0000-0000-000004AF0000}"/>
    <cellStyle name="Normal 4 4 6 5 2 2 2 2" xfId="57500" xr:uid="{00000000-0005-0000-0000-000005AF0000}"/>
    <cellStyle name="Normal 4 4 6 5 2 2 3" xfId="43938" xr:uid="{00000000-0005-0000-0000-000006AF0000}"/>
    <cellStyle name="Normal 4 4 6 5 2 3" xfId="23586" xr:uid="{00000000-0005-0000-0000-000007AF0000}"/>
    <cellStyle name="Normal 4 4 6 5 2 3 2" xfId="50719" xr:uid="{00000000-0005-0000-0000-000008AF0000}"/>
    <cellStyle name="Normal 4 4 6 5 2 4" xfId="37157" xr:uid="{00000000-0005-0000-0000-000009AF0000}"/>
    <cellStyle name="Normal 4 4 6 5 3" xfId="13410" xr:uid="{00000000-0005-0000-0000-00000AAF0000}"/>
    <cellStyle name="Normal 4 4 6 5 3 2" xfId="26978" xr:uid="{00000000-0005-0000-0000-00000BAF0000}"/>
    <cellStyle name="Normal 4 4 6 5 3 2 2" xfId="54111" xr:uid="{00000000-0005-0000-0000-00000CAF0000}"/>
    <cellStyle name="Normal 4 4 6 5 3 3" xfId="40549" xr:uid="{00000000-0005-0000-0000-00000DAF0000}"/>
    <cellStyle name="Normal 4 4 6 5 4" xfId="20197" xr:uid="{00000000-0005-0000-0000-00000EAF0000}"/>
    <cellStyle name="Normal 4 4 6 5 4 2" xfId="47330" xr:uid="{00000000-0005-0000-0000-00000FAF0000}"/>
    <cellStyle name="Normal 4 4 6 5 5" xfId="33768" xr:uid="{00000000-0005-0000-0000-000010AF0000}"/>
    <cellStyle name="Normal 4 4 6 6" xfId="10002" xr:uid="{00000000-0005-0000-0000-000011AF0000}"/>
    <cellStyle name="Normal 4 4 6 6 2" xfId="16792" xr:uid="{00000000-0005-0000-0000-000012AF0000}"/>
    <cellStyle name="Normal 4 4 6 6 2 2" xfId="30360" xr:uid="{00000000-0005-0000-0000-000013AF0000}"/>
    <cellStyle name="Normal 4 4 6 6 2 2 2" xfId="57493" xr:uid="{00000000-0005-0000-0000-000014AF0000}"/>
    <cellStyle name="Normal 4 4 6 6 2 3" xfId="43931" xr:uid="{00000000-0005-0000-0000-000015AF0000}"/>
    <cellStyle name="Normal 4 4 6 6 3" xfId="23579" xr:uid="{00000000-0005-0000-0000-000016AF0000}"/>
    <cellStyle name="Normal 4 4 6 6 3 2" xfId="50712" xr:uid="{00000000-0005-0000-0000-000017AF0000}"/>
    <cellStyle name="Normal 4 4 6 6 4" xfId="37150" xr:uid="{00000000-0005-0000-0000-000018AF0000}"/>
    <cellStyle name="Normal 4 4 6 7" xfId="13403" xr:uid="{00000000-0005-0000-0000-000019AF0000}"/>
    <cellStyle name="Normal 4 4 6 7 2" xfId="26971" xr:uid="{00000000-0005-0000-0000-00001AAF0000}"/>
    <cellStyle name="Normal 4 4 6 7 2 2" xfId="54104" xr:uid="{00000000-0005-0000-0000-00001BAF0000}"/>
    <cellStyle name="Normal 4 4 6 7 3" xfId="40542" xr:uid="{00000000-0005-0000-0000-00001CAF0000}"/>
    <cellStyle name="Normal 4 4 6 8" xfId="20190" xr:uid="{00000000-0005-0000-0000-00001DAF0000}"/>
    <cellStyle name="Normal 4 4 6 8 2" xfId="47323" xr:uid="{00000000-0005-0000-0000-00001EAF0000}"/>
    <cellStyle name="Normal 4 4 6 9" xfId="33761" xr:uid="{00000000-0005-0000-0000-00001FAF0000}"/>
    <cellStyle name="Normal 4 4 7" xfId="6477" xr:uid="{00000000-0005-0000-0000-000020AF0000}"/>
    <cellStyle name="Normal 4 4 7 2" xfId="6478" xr:uid="{00000000-0005-0000-0000-000021AF0000}"/>
    <cellStyle name="Normal 4 4 7 2 2" xfId="6479" xr:uid="{00000000-0005-0000-0000-000022AF0000}"/>
    <cellStyle name="Normal 4 4 7 2 2 2" xfId="10012" xr:uid="{00000000-0005-0000-0000-000023AF0000}"/>
    <cellStyle name="Normal 4 4 7 2 2 2 2" xfId="16802" xr:uid="{00000000-0005-0000-0000-000024AF0000}"/>
    <cellStyle name="Normal 4 4 7 2 2 2 2 2" xfId="30370" xr:uid="{00000000-0005-0000-0000-000025AF0000}"/>
    <cellStyle name="Normal 4 4 7 2 2 2 2 2 2" xfId="57503" xr:uid="{00000000-0005-0000-0000-000026AF0000}"/>
    <cellStyle name="Normal 4 4 7 2 2 2 2 3" xfId="43941" xr:uid="{00000000-0005-0000-0000-000027AF0000}"/>
    <cellStyle name="Normal 4 4 7 2 2 2 3" xfId="23589" xr:uid="{00000000-0005-0000-0000-000028AF0000}"/>
    <cellStyle name="Normal 4 4 7 2 2 2 3 2" xfId="50722" xr:uid="{00000000-0005-0000-0000-000029AF0000}"/>
    <cellStyle name="Normal 4 4 7 2 2 2 4" xfId="37160" xr:uid="{00000000-0005-0000-0000-00002AAF0000}"/>
    <cellStyle name="Normal 4 4 7 2 2 3" xfId="13413" xr:uid="{00000000-0005-0000-0000-00002BAF0000}"/>
    <cellStyle name="Normal 4 4 7 2 2 3 2" xfId="26981" xr:uid="{00000000-0005-0000-0000-00002CAF0000}"/>
    <cellStyle name="Normal 4 4 7 2 2 3 2 2" xfId="54114" xr:uid="{00000000-0005-0000-0000-00002DAF0000}"/>
    <cellStyle name="Normal 4 4 7 2 2 3 3" xfId="40552" xr:uid="{00000000-0005-0000-0000-00002EAF0000}"/>
    <cellStyle name="Normal 4 4 7 2 2 4" xfId="20200" xr:uid="{00000000-0005-0000-0000-00002FAF0000}"/>
    <cellStyle name="Normal 4 4 7 2 2 4 2" xfId="47333" xr:uid="{00000000-0005-0000-0000-000030AF0000}"/>
    <cellStyle name="Normal 4 4 7 2 2 5" xfId="33771" xr:uid="{00000000-0005-0000-0000-000031AF0000}"/>
    <cellStyle name="Normal 4 4 7 2 3" xfId="6480" xr:uid="{00000000-0005-0000-0000-000032AF0000}"/>
    <cellStyle name="Normal 4 4 7 2 3 2" xfId="10013" xr:uid="{00000000-0005-0000-0000-000033AF0000}"/>
    <cellStyle name="Normal 4 4 7 2 3 2 2" xfId="16803" xr:uid="{00000000-0005-0000-0000-000034AF0000}"/>
    <cellStyle name="Normal 4 4 7 2 3 2 2 2" xfId="30371" xr:uid="{00000000-0005-0000-0000-000035AF0000}"/>
    <cellStyle name="Normal 4 4 7 2 3 2 2 2 2" xfId="57504" xr:uid="{00000000-0005-0000-0000-000036AF0000}"/>
    <cellStyle name="Normal 4 4 7 2 3 2 2 3" xfId="43942" xr:uid="{00000000-0005-0000-0000-000037AF0000}"/>
    <cellStyle name="Normal 4 4 7 2 3 2 3" xfId="23590" xr:uid="{00000000-0005-0000-0000-000038AF0000}"/>
    <cellStyle name="Normal 4 4 7 2 3 2 3 2" xfId="50723" xr:uid="{00000000-0005-0000-0000-000039AF0000}"/>
    <cellStyle name="Normal 4 4 7 2 3 2 4" xfId="37161" xr:uid="{00000000-0005-0000-0000-00003AAF0000}"/>
    <cellStyle name="Normal 4 4 7 2 3 3" xfId="13414" xr:uid="{00000000-0005-0000-0000-00003BAF0000}"/>
    <cellStyle name="Normal 4 4 7 2 3 3 2" xfId="26982" xr:uid="{00000000-0005-0000-0000-00003CAF0000}"/>
    <cellStyle name="Normal 4 4 7 2 3 3 2 2" xfId="54115" xr:uid="{00000000-0005-0000-0000-00003DAF0000}"/>
    <cellStyle name="Normal 4 4 7 2 3 3 3" xfId="40553" xr:uid="{00000000-0005-0000-0000-00003EAF0000}"/>
    <cellStyle name="Normal 4 4 7 2 3 4" xfId="20201" xr:uid="{00000000-0005-0000-0000-00003FAF0000}"/>
    <cellStyle name="Normal 4 4 7 2 3 4 2" xfId="47334" xr:uid="{00000000-0005-0000-0000-000040AF0000}"/>
    <cellStyle name="Normal 4 4 7 2 3 5" xfId="33772" xr:uid="{00000000-0005-0000-0000-000041AF0000}"/>
    <cellStyle name="Normal 4 4 7 2 4" xfId="10011" xr:uid="{00000000-0005-0000-0000-000042AF0000}"/>
    <cellStyle name="Normal 4 4 7 2 4 2" xfId="16801" xr:uid="{00000000-0005-0000-0000-000043AF0000}"/>
    <cellStyle name="Normal 4 4 7 2 4 2 2" xfId="30369" xr:uid="{00000000-0005-0000-0000-000044AF0000}"/>
    <cellStyle name="Normal 4 4 7 2 4 2 2 2" xfId="57502" xr:uid="{00000000-0005-0000-0000-000045AF0000}"/>
    <cellStyle name="Normal 4 4 7 2 4 2 3" xfId="43940" xr:uid="{00000000-0005-0000-0000-000046AF0000}"/>
    <cellStyle name="Normal 4 4 7 2 4 3" xfId="23588" xr:uid="{00000000-0005-0000-0000-000047AF0000}"/>
    <cellStyle name="Normal 4 4 7 2 4 3 2" xfId="50721" xr:uid="{00000000-0005-0000-0000-000048AF0000}"/>
    <cellStyle name="Normal 4 4 7 2 4 4" xfId="37159" xr:uid="{00000000-0005-0000-0000-000049AF0000}"/>
    <cellStyle name="Normal 4 4 7 2 5" xfId="13412" xr:uid="{00000000-0005-0000-0000-00004AAF0000}"/>
    <cellStyle name="Normal 4 4 7 2 5 2" xfId="26980" xr:uid="{00000000-0005-0000-0000-00004BAF0000}"/>
    <cellStyle name="Normal 4 4 7 2 5 2 2" xfId="54113" xr:uid="{00000000-0005-0000-0000-00004CAF0000}"/>
    <cellStyle name="Normal 4 4 7 2 5 3" xfId="40551" xr:uid="{00000000-0005-0000-0000-00004DAF0000}"/>
    <cellStyle name="Normal 4 4 7 2 6" xfId="20199" xr:uid="{00000000-0005-0000-0000-00004EAF0000}"/>
    <cellStyle name="Normal 4 4 7 2 6 2" xfId="47332" xr:uid="{00000000-0005-0000-0000-00004FAF0000}"/>
    <cellStyle name="Normal 4 4 7 2 7" xfId="33770" xr:uid="{00000000-0005-0000-0000-000050AF0000}"/>
    <cellStyle name="Normal 4 4 7 3" xfId="6481" xr:uid="{00000000-0005-0000-0000-000051AF0000}"/>
    <cellStyle name="Normal 4 4 7 3 2" xfId="10014" xr:uid="{00000000-0005-0000-0000-000052AF0000}"/>
    <cellStyle name="Normal 4 4 7 3 2 2" xfId="16804" xr:uid="{00000000-0005-0000-0000-000053AF0000}"/>
    <cellStyle name="Normal 4 4 7 3 2 2 2" xfId="30372" xr:uid="{00000000-0005-0000-0000-000054AF0000}"/>
    <cellStyle name="Normal 4 4 7 3 2 2 2 2" xfId="57505" xr:uid="{00000000-0005-0000-0000-000055AF0000}"/>
    <cellStyle name="Normal 4 4 7 3 2 2 3" xfId="43943" xr:uid="{00000000-0005-0000-0000-000056AF0000}"/>
    <cellStyle name="Normal 4 4 7 3 2 3" xfId="23591" xr:uid="{00000000-0005-0000-0000-000057AF0000}"/>
    <cellStyle name="Normal 4 4 7 3 2 3 2" xfId="50724" xr:uid="{00000000-0005-0000-0000-000058AF0000}"/>
    <cellStyle name="Normal 4 4 7 3 2 4" xfId="37162" xr:uid="{00000000-0005-0000-0000-000059AF0000}"/>
    <cellStyle name="Normal 4 4 7 3 3" xfId="13415" xr:uid="{00000000-0005-0000-0000-00005AAF0000}"/>
    <cellStyle name="Normal 4 4 7 3 3 2" xfId="26983" xr:uid="{00000000-0005-0000-0000-00005BAF0000}"/>
    <cellStyle name="Normal 4 4 7 3 3 2 2" xfId="54116" xr:uid="{00000000-0005-0000-0000-00005CAF0000}"/>
    <cellStyle name="Normal 4 4 7 3 3 3" xfId="40554" xr:uid="{00000000-0005-0000-0000-00005DAF0000}"/>
    <cellStyle name="Normal 4 4 7 3 4" xfId="20202" xr:uid="{00000000-0005-0000-0000-00005EAF0000}"/>
    <cellStyle name="Normal 4 4 7 3 4 2" xfId="47335" xr:uid="{00000000-0005-0000-0000-00005FAF0000}"/>
    <cellStyle name="Normal 4 4 7 3 5" xfId="33773" xr:uid="{00000000-0005-0000-0000-000060AF0000}"/>
    <cellStyle name="Normal 4 4 7 4" xfId="6482" xr:uid="{00000000-0005-0000-0000-000061AF0000}"/>
    <cellStyle name="Normal 4 4 7 4 2" xfId="10015" xr:uid="{00000000-0005-0000-0000-000062AF0000}"/>
    <cellStyle name="Normal 4 4 7 4 2 2" xfId="16805" xr:uid="{00000000-0005-0000-0000-000063AF0000}"/>
    <cellStyle name="Normal 4 4 7 4 2 2 2" xfId="30373" xr:uid="{00000000-0005-0000-0000-000064AF0000}"/>
    <cellStyle name="Normal 4 4 7 4 2 2 2 2" xfId="57506" xr:uid="{00000000-0005-0000-0000-000065AF0000}"/>
    <cellStyle name="Normal 4 4 7 4 2 2 3" xfId="43944" xr:uid="{00000000-0005-0000-0000-000066AF0000}"/>
    <cellStyle name="Normal 4 4 7 4 2 3" xfId="23592" xr:uid="{00000000-0005-0000-0000-000067AF0000}"/>
    <cellStyle name="Normal 4 4 7 4 2 3 2" xfId="50725" xr:uid="{00000000-0005-0000-0000-000068AF0000}"/>
    <cellStyle name="Normal 4 4 7 4 2 4" xfId="37163" xr:uid="{00000000-0005-0000-0000-000069AF0000}"/>
    <cellStyle name="Normal 4 4 7 4 3" xfId="13416" xr:uid="{00000000-0005-0000-0000-00006AAF0000}"/>
    <cellStyle name="Normal 4 4 7 4 3 2" xfId="26984" xr:uid="{00000000-0005-0000-0000-00006BAF0000}"/>
    <cellStyle name="Normal 4 4 7 4 3 2 2" xfId="54117" xr:uid="{00000000-0005-0000-0000-00006CAF0000}"/>
    <cellStyle name="Normal 4 4 7 4 3 3" xfId="40555" xr:uid="{00000000-0005-0000-0000-00006DAF0000}"/>
    <cellStyle name="Normal 4 4 7 4 4" xfId="20203" xr:uid="{00000000-0005-0000-0000-00006EAF0000}"/>
    <cellStyle name="Normal 4 4 7 4 4 2" xfId="47336" xr:uid="{00000000-0005-0000-0000-00006FAF0000}"/>
    <cellStyle name="Normal 4 4 7 4 5" xfId="33774" xr:uid="{00000000-0005-0000-0000-000070AF0000}"/>
    <cellStyle name="Normal 4 4 7 5" xfId="10010" xr:uid="{00000000-0005-0000-0000-000071AF0000}"/>
    <cellStyle name="Normal 4 4 7 5 2" xfId="16800" xr:uid="{00000000-0005-0000-0000-000072AF0000}"/>
    <cellStyle name="Normal 4 4 7 5 2 2" xfId="30368" xr:uid="{00000000-0005-0000-0000-000073AF0000}"/>
    <cellStyle name="Normal 4 4 7 5 2 2 2" xfId="57501" xr:uid="{00000000-0005-0000-0000-000074AF0000}"/>
    <cellStyle name="Normal 4 4 7 5 2 3" xfId="43939" xr:uid="{00000000-0005-0000-0000-000075AF0000}"/>
    <cellStyle name="Normal 4 4 7 5 3" xfId="23587" xr:uid="{00000000-0005-0000-0000-000076AF0000}"/>
    <cellStyle name="Normal 4 4 7 5 3 2" xfId="50720" xr:uid="{00000000-0005-0000-0000-000077AF0000}"/>
    <cellStyle name="Normal 4 4 7 5 4" xfId="37158" xr:uid="{00000000-0005-0000-0000-000078AF0000}"/>
    <cellStyle name="Normal 4 4 7 6" xfId="13411" xr:uid="{00000000-0005-0000-0000-000079AF0000}"/>
    <cellStyle name="Normal 4 4 7 6 2" xfId="26979" xr:uid="{00000000-0005-0000-0000-00007AAF0000}"/>
    <cellStyle name="Normal 4 4 7 6 2 2" xfId="54112" xr:uid="{00000000-0005-0000-0000-00007BAF0000}"/>
    <cellStyle name="Normal 4 4 7 6 3" xfId="40550" xr:uid="{00000000-0005-0000-0000-00007CAF0000}"/>
    <cellStyle name="Normal 4 4 7 7" xfId="20198" xr:uid="{00000000-0005-0000-0000-00007DAF0000}"/>
    <cellStyle name="Normal 4 4 7 7 2" xfId="47331" xr:uid="{00000000-0005-0000-0000-00007EAF0000}"/>
    <cellStyle name="Normal 4 4 7 8" xfId="33769" xr:uid="{00000000-0005-0000-0000-00007FAF0000}"/>
    <cellStyle name="Normal 4 4 8" xfId="6483" xr:uid="{00000000-0005-0000-0000-000080AF0000}"/>
    <cellStyle name="Normal 4 4 8 2" xfId="6484" xr:uid="{00000000-0005-0000-0000-000081AF0000}"/>
    <cellStyle name="Normal 4 4 8 2 2" xfId="6485" xr:uid="{00000000-0005-0000-0000-000082AF0000}"/>
    <cellStyle name="Normal 4 4 8 2 2 2" xfId="10018" xr:uid="{00000000-0005-0000-0000-000083AF0000}"/>
    <cellStyle name="Normal 4 4 8 2 2 2 2" xfId="16808" xr:uid="{00000000-0005-0000-0000-000084AF0000}"/>
    <cellStyle name="Normal 4 4 8 2 2 2 2 2" xfId="30376" xr:uid="{00000000-0005-0000-0000-000085AF0000}"/>
    <cellStyle name="Normal 4 4 8 2 2 2 2 2 2" xfId="57509" xr:uid="{00000000-0005-0000-0000-000086AF0000}"/>
    <cellStyle name="Normal 4 4 8 2 2 2 2 3" xfId="43947" xr:uid="{00000000-0005-0000-0000-000087AF0000}"/>
    <cellStyle name="Normal 4 4 8 2 2 2 3" xfId="23595" xr:uid="{00000000-0005-0000-0000-000088AF0000}"/>
    <cellStyle name="Normal 4 4 8 2 2 2 3 2" xfId="50728" xr:uid="{00000000-0005-0000-0000-000089AF0000}"/>
    <cellStyle name="Normal 4 4 8 2 2 2 4" xfId="37166" xr:uid="{00000000-0005-0000-0000-00008AAF0000}"/>
    <cellStyle name="Normal 4 4 8 2 2 3" xfId="13419" xr:uid="{00000000-0005-0000-0000-00008BAF0000}"/>
    <cellStyle name="Normal 4 4 8 2 2 3 2" xfId="26987" xr:uid="{00000000-0005-0000-0000-00008CAF0000}"/>
    <cellStyle name="Normal 4 4 8 2 2 3 2 2" xfId="54120" xr:uid="{00000000-0005-0000-0000-00008DAF0000}"/>
    <cellStyle name="Normal 4 4 8 2 2 3 3" xfId="40558" xr:uid="{00000000-0005-0000-0000-00008EAF0000}"/>
    <cellStyle name="Normal 4 4 8 2 2 4" xfId="20206" xr:uid="{00000000-0005-0000-0000-00008FAF0000}"/>
    <cellStyle name="Normal 4 4 8 2 2 4 2" xfId="47339" xr:uid="{00000000-0005-0000-0000-000090AF0000}"/>
    <cellStyle name="Normal 4 4 8 2 2 5" xfId="33777" xr:uid="{00000000-0005-0000-0000-000091AF0000}"/>
    <cellStyle name="Normal 4 4 8 2 3" xfId="6486" xr:uid="{00000000-0005-0000-0000-000092AF0000}"/>
    <cellStyle name="Normal 4 4 8 2 3 2" xfId="10019" xr:uid="{00000000-0005-0000-0000-000093AF0000}"/>
    <cellStyle name="Normal 4 4 8 2 3 2 2" xfId="16809" xr:uid="{00000000-0005-0000-0000-000094AF0000}"/>
    <cellStyle name="Normal 4 4 8 2 3 2 2 2" xfId="30377" xr:uid="{00000000-0005-0000-0000-000095AF0000}"/>
    <cellStyle name="Normal 4 4 8 2 3 2 2 2 2" xfId="57510" xr:uid="{00000000-0005-0000-0000-000096AF0000}"/>
    <cellStyle name="Normal 4 4 8 2 3 2 2 3" xfId="43948" xr:uid="{00000000-0005-0000-0000-000097AF0000}"/>
    <cellStyle name="Normal 4 4 8 2 3 2 3" xfId="23596" xr:uid="{00000000-0005-0000-0000-000098AF0000}"/>
    <cellStyle name="Normal 4 4 8 2 3 2 3 2" xfId="50729" xr:uid="{00000000-0005-0000-0000-000099AF0000}"/>
    <cellStyle name="Normal 4 4 8 2 3 2 4" xfId="37167" xr:uid="{00000000-0005-0000-0000-00009AAF0000}"/>
    <cellStyle name="Normal 4 4 8 2 3 3" xfId="13420" xr:uid="{00000000-0005-0000-0000-00009BAF0000}"/>
    <cellStyle name="Normal 4 4 8 2 3 3 2" xfId="26988" xr:uid="{00000000-0005-0000-0000-00009CAF0000}"/>
    <cellStyle name="Normal 4 4 8 2 3 3 2 2" xfId="54121" xr:uid="{00000000-0005-0000-0000-00009DAF0000}"/>
    <cellStyle name="Normal 4 4 8 2 3 3 3" xfId="40559" xr:uid="{00000000-0005-0000-0000-00009EAF0000}"/>
    <cellStyle name="Normal 4 4 8 2 3 4" xfId="20207" xr:uid="{00000000-0005-0000-0000-00009FAF0000}"/>
    <cellStyle name="Normal 4 4 8 2 3 4 2" xfId="47340" xr:uid="{00000000-0005-0000-0000-0000A0AF0000}"/>
    <cellStyle name="Normal 4 4 8 2 3 5" xfId="33778" xr:uid="{00000000-0005-0000-0000-0000A1AF0000}"/>
    <cellStyle name="Normal 4 4 8 2 4" xfId="10017" xr:uid="{00000000-0005-0000-0000-0000A2AF0000}"/>
    <cellStyle name="Normal 4 4 8 2 4 2" xfId="16807" xr:uid="{00000000-0005-0000-0000-0000A3AF0000}"/>
    <cellStyle name="Normal 4 4 8 2 4 2 2" xfId="30375" xr:uid="{00000000-0005-0000-0000-0000A4AF0000}"/>
    <cellStyle name="Normal 4 4 8 2 4 2 2 2" xfId="57508" xr:uid="{00000000-0005-0000-0000-0000A5AF0000}"/>
    <cellStyle name="Normal 4 4 8 2 4 2 3" xfId="43946" xr:uid="{00000000-0005-0000-0000-0000A6AF0000}"/>
    <cellStyle name="Normal 4 4 8 2 4 3" xfId="23594" xr:uid="{00000000-0005-0000-0000-0000A7AF0000}"/>
    <cellStyle name="Normal 4 4 8 2 4 3 2" xfId="50727" xr:uid="{00000000-0005-0000-0000-0000A8AF0000}"/>
    <cellStyle name="Normal 4 4 8 2 4 4" xfId="37165" xr:uid="{00000000-0005-0000-0000-0000A9AF0000}"/>
    <cellStyle name="Normal 4 4 8 2 5" xfId="13418" xr:uid="{00000000-0005-0000-0000-0000AAAF0000}"/>
    <cellStyle name="Normal 4 4 8 2 5 2" xfId="26986" xr:uid="{00000000-0005-0000-0000-0000ABAF0000}"/>
    <cellStyle name="Normal 4 4 8 2 5 2 2" xfId="54119" xr:uid="{00000000-0005-0000-0000-0000ACAF0000}"/>
    <cellStyle name="Normal 4 4 8 2 5 3" xfId="40557" xr:uid="{00000000-0005-0000-0000-0000ADAF0000}"/>
    <cellStyle name="Normal 4 4 8 2 6" xfId="20205" xr:uid="{00000000-0005-0000-0000-0000AEAF0000}"/>
    <cellStyle name="Normal 4 4 8 2 6 2" xfId="47338" xr:uid="{00000000-0005-0000-0000-0000AFAF0000}"/>
    <cellStyle name="Normal 4 4 8 2 7" xfId="33776" xr:uid="{00000000-0005-0000-0000-0000B0AF0000}"/>
    <cellStyle name="Normal 4 4 8 3" xfId="6487" xr:uid="{00000000-0005-0000-0000-0000B1AF0000}"/>
    <cellStyle name="Normal 4 4 8 3 2" xfId="10020" xr:uid="{00000000-0005-0000-0000-0000B2AF0000}"/>
    <cellStyle name="Normal 4 4 8 3 2 2" xfId="16810" xr:uid="{00000000-0005-0000-0000-0000B3AF0000}"/>
    <cellStyle name="Normal 4 4 8 3 2 2 2" xfId="30378" xr:uid="{00000000-0005-0000-0000-0000B4AF0000}"/>
    <cellStyle name="Normal 4 4 8 3 2 2 2 2" xfId="57511" xr:uid="{00000000-0005-0000-0000-0000B5AF0000}"/>
    <cellStyle name="Normal 4 4 8 3 2 2 3" xfId="43949" xr:uid="{00000000-0005-0000-0000-0000B6AF0000}"/>
    <cellStyle name="Normal 4 4 8 3 2 3" xfId="23597" xr:uid="{00000000-0005-0000-0000-0000B7AF0000}"/>
    <cellStyle name="Normal 4 4 8 3 2 3 2" xfId="50730" xr:uid="{00000000-0005-0000-0000-0000B8AF0000}"/>
    <cellStyle name="Normal 4 4 8 3 2 4" xfId="37168" xr:uid="{00000000-0005-0000-0000-0000B9AF0000}"/>
    <cellStyle name="Normal 4 4 8 3 3" xfId="13421" xr:uid="{00000000-0005-0000-0000-0000BAAF0000}"/>
    <cellStyle name="Normal 4 4 8 3 3 2" xfId="26989" xr:uid="{00000000-0005-0000-0000-0000BBAF0000}"/>
    <cellStyle name="Normal 4 4 8 3 3 2 2" xfId="54122" xr:uid="{00000000-0005-0000-0000-0000BCAF0000}"/>
    <cellStyle name="Normal 4 4 8 3 3 3" xfId="40560" xr:uid="{00000000-0005-0000-0000-0000BDAF0000}"/>
    <cellStyle name="Normal 4 4 8 3 4" xfId="20208" xr:uid="{00000000-0005-0000-0000-0000BEAF0000}"/>
    <cellStyle name="Normal 4 4 8 3 4 2" xfId="47341" xr:uid="{00000000-0005-0000-0000-0000BFAF0000}"/>
    <cellStyle name="Normal 4 4 8 3 5" xfId="33779" xr:uid="{00000000-0005-0000-0000-0000C0AF0000}"/>
    <cellStyle name="Normal 4 4 8 4" xfId="6488" xr:uid="{00000000-0005-0000-0000-0000C1AF0000}"/>
    <cellStyle name="Normal 4 4 8 4 2" xfId="10021" xr:uid="{00000000-0005-0000-0000-0000C2AF0000}"/>
    <cellStyle name="Normal 4 4 8 4 2 2" xfId="16811" xr:uid="{00000000-0005-0000-0000-0000C3AF0000}"/>
    <cellStyle name="Normal 4 4 8 4 2 2 2" xfId="30379" xr:uid="{00000000-0005-0000-0000-0000C4AF0000}"/>
    <cellStyle name="Normal 4 4 8 4 2 2 2 2" xfId="57512" xr:uid="{00000000-0005-0000-0000-0000C5AF0000}"/>
    <cellStyle name="Normal 4 4 8 4 2 2 3" xfId="43950" xr:uid="{00000000-0005-0000-0000-0000C6AF0000}"/>
    <cellStyle name="Normal 4 4 8 4 2 3" xfId="23598" xr:uid="{00000000-0005-0000-0000-0000C7AF0000}"/>
    <cellStyle name="Normal 4 4 8 4 2 3 2" xfId="50731" xr:uid="{00000000-0005-0000-0000-0000C8AF0000}"/>
    <cellStyle name="Normal 4 4 8 4 2 4" xfId="37169" xr:uid="{00000000-0005-0000-0000-0000C9AF0000}"/>
    <cellStyle name="Normal 4 4 8 4 3" xfId="13422" xr:uid="{00000000-0005-0000-0000-0000CAAF0000}"/>
    <cellStyle name="Normal 4 4 8 4 3 2" xfId="26990" xr:uid="{00000000-0005-0000-0000-0000CBAF0000}"/>
    <cellStyle name="Normal 4 4 8 4 3 2 2" xfId="54123" xr:uid="{00000000-0005-0000-0000-0000CCAF0000}"/>
    <cellStyle name="Normal 4 4 8 4 3 3" xfId="40561" xr:uid="{00000000-0005-0000-0000-0000CDAF0000}"/>
    <cellStyle name="Normal 4 4 8 4 4" xfId="20209" xr:uid="{00000000-0005-0000-0000-0000CEAF0000}"/>
    <cellStyle name="Normal 4 4 8 4 4 2" xfId="47342" xr:uid="{00000000-0005-0000-0000-0000CFAF0000}"/>
    <cellStyle name="Normal 4 4 8 4 5" xfId="33780" xr:uid="{00000000-0005-0000-0000-0000D0AF0000}"/>
    <cellStyle name="Normal 4 4 8 5" xfId="10016" xr:uid="{00000000-0005-0000-0000-0000D1AF0000}"/>
    <cellStyle name="Normal 4 4 8 5 2" xfId="16806" xr:uid="{00000000-0005-0000-0000-0000D2AF0000}"/>
    <cellStyle name="Normal 4 4 8 5 2 2" xfId="30374" xr:uid="{00000000-0005-0000-0000-0000D3AF0000}"/>
    <cellStyle name="Normal 4 4 8 5 2 2 2" xfId="57507" xr:uid="{00000000-0005-0000-0000-0000D4AF0000}"/>
    <cellStyle name="Normal 4 4 8 5 2 3" xfId="43945" xr:uid="{00000000-0005-0000-0000-0000D5AF0000}"/>
    <cellStyle name="Normal 4 4 8 5 3" xfId="23593" xr:uid="{00000000-0005-0000-0000-0000D6AF0000}"/>
    <cellStyle name="Normal 4 4 8 5 3 2" xfId="50726" xr:uid="{00000000-0005-0000-0000-0000D7AF0000}"/>
    <cellStyle name="Normal 4 4 8 5 4" xfId="37164" xr:uid="{00000000-0005-0000-0000-0000D8AF0000}"/>
    <cellStyle name="Normal 4 4 8 6" xfId="13417" xr:uid="{00000000-0005-0000-0000-0000D9AF0000}"/>
    <cellStyle name="Normal 4 4 8 6 2" xfId="26985" xr:uid="{00000000-0005-0000-0000-0000DAAF0000}"/>
    <cellStyle name="Normal 4 4 8 6 2 2" xfId="54118" xr:uid="{00000000-0005-0000-0000-0000DBAF0000}"/>
    <cellStyle name="Normal 4 4 8 6 3" xfId="40556" xr:uid="{00000000-0005-0000-0000-0000DCAF0000}"/>
    <cellStyle name="Normal 4 4 8 7" xfId="20204" xr:uid="{00000000-0005-0000-0000-0000DDAF0000}"/>
    <cellStyle name="Normal 4 4 8 7 2" xfId="47337" xr:uid="{00000000-0005-0000-0000-0000DEAF0000}"/>
    <cellStyle name="Normal 4 4 8 8" xfId="33775" xr:uid="{00000000-0005-0000-0000-0000DFAF0000}"/>
    <cellStyle name="Normal 4 4 9" xfId="6489" xr:uid="{00000000-0005-0000-0000-0000E0AF0000}"/>
    <cellStyle name="Normal 4 4 9 2" xfId="6490" xr:uid="{00000000-0005-0000-0000-0000E1AF0000}"/>
    <cellStyle name="Normal 4 4 9 2 2" xfId="10023" xr:uid="{00000000-0005-0000-0000-0000E2AF0000}"/>
    <cellStyle name="Normal 4 4 9 2 2 2" xfId="16813" xr:uid="{00000000-0005-0000-0000-0000E3AF0000}"/>
    <cellStyle name="Normal 4 4 9 2 2 2 2" xfId="30381" xr:uid="{00000000-0005-0000-0000-0000E4AF0000}"/>
    <cellStyle name="Normal 4 4 9 2 2 2 2 2" xfId="57514" xr:uid="{00000000-0005-0000-0000-0000E5AF0000}"/>
    <cellStyle name="Normal 4 4 9 2 2 2 3" xfId="43952" xr:uid="{00000000-0005-0000-0000-0000E6AF0000}"/>
    <cellStyle name="Normal 4 4 9 2 2 3" xfId="23600" xr:uid="{00000000-0005-0000-0000-0000E7AF0000}"/>
    <cellStyle name="Normal 4 4 9 2 2 3 2" xfId="50733" xr:uid="{00000000-0005-0000-0000-0000E8AF0000}"/>
    <cellStyle name="Normal 4 4 9 2 2 4" xfId="37171" xr:uid="{00000000-0005-0000-0000-0000E9AF0000}"/>
    <cellStyle name="Normal 4 4 9 2 3" xfId="13424" xr:uid="{00000000-0005-0000-0000-0000EAAF0000}"/>
    <cellStyle name="Normal 4 4 9 2 3 2" xfId="26992" xr:uid="{00000000-0005-0000-0000-0000EBAF0000}"/>
    <cellStyle name="Normal 4 4 9 2 3 2 2" xfId="54125" xr:uid="{00000000-0005-0000-0000-0000ECAF0000}"/>
    <cellStyle name="Normal 4 4 9 2 3 3" xfId="40563" xr:uid="{00000000-0005-0000-0000-0000EDAF0000}"/>
    <cellStyle name="Normal 4 4 9 2 4" xfId="20211" xr:uid="{00000000-0005-0000-0000-0000EEAF0000}"/>
    <cellStyle name="Normal 4 4 9 2 4 2" xfId="47344" xr:uid="{00000000-0005-0000-0000-0000EFAF0000}"/>
    <cellStyle name="Normal 4 4 9 2 5" xfId="33782" xr:uid="{00000000-0005-0000-0000-0000F0AF0000}"/>
    <cellStyle name="Normal 4 4 9 3" xfId="10022" xr:uid="{00000000-0005-0000-0000-0000F1AF0000}"/>
    <cellStyle name="Normal 4 4 9 3 2" xfId="16812" xr:uid="{00000000-0005-0000-0000-0000F2AF0000}"/>
    <cellStyle name="Normal 4 4 9 3 2 2" xfId="30380" xr:uid="{00000000-0005-0000-0000-0000F3AF0000}"/>
    <cellStyle name="Normal 4 4 9 3 2 2 2" xfId="57513" xr:uid="{00000000-0005-0000-0000-0000F4AF0000}"/>
    <cellStyle name="Normal 4 4 9 3 2 3" xfId="43951" xr:uid="{00000000-0005-0000-0000-0000F5AF0000}"/>
    <cellStyle name="Normal 4 4 9 3 3" xfId="23599" xr:uid="{00000000-0005-0000-0000-0000F6AF0000}"/>
    <cellStyle name="Normal 4 4 9 3 3 2" xfId="50732" xr:uid="{00000000-0005-0000-0000-0000F7AF0000}"/>
    <cellStyle name="Normal 4 4 9 3 4" xfId="37170" xr:uid="{00000000-0005-0000-0000-0000F8AF0000}"/>
    <cellStyle name="Normal 4 4 9 4" xfId="13423" xr:uid="{00000000-0005-0000-0000-0000F9AF0000}"/>
    <cellStyle name="Normal 4 4 9 4 2" xfId="26991" xr:uid="{00000000-0005-0000-0000-0000FAAF0000}"/>
    <cellStyle name="Normal 4 4 9 4 2 2" xfId="54124" xr:uid="{00000000-0005-0000-0000-0000FBAF0000}"/>
    <cellStyle name="Normal 4 4 9 4 3" xfId="40562" xr:uid="{00000000-0005-0000-0000-0000FCAF0000}"/>
    <cellStyle name="Normal 4 4 9 5" xfId="20210" xr:uid="{00000000-0005-0000-0000-0000FDAF0000}"/>
    <cellStyle name="Normal 4 4 9 5 2" xfId="47343" xr:uid="{00000000-0005-0000-0000-0000FEAF0000}"/>
    <cellStyle name="Normal 4 4 9 6" xfId="33781" xr:uid="{00000000-0005-0000-0000-0000FFAF0000}"/>
    <cellStyle name="Normal 4 5" xfId="2777" xr:uid="{00000000-0005-0000-0000-000000B00000}"/>
    <cellStyle name="Normal 4 5 10" xfId="6491" xr:uid="{00000000-0005-0000-0000-000001B00000}"/>
    <cellStyle name="Normal 4 5 10 2" xfId="10024" xr:uid="{00000000-0005-0000-0000-000002B00000}"/>
    <cellStyle name="Normal 4 5 10 2 2" xfId="16814" xr:uid="{00000000-0005-0000-0000-000003B00000}"/>
    <cellStyle name="Normal 4 5 10 2 2 2" xfId="30382" xr:uid="{00000000-0005-0000-0000-000004B00000}"/>
    <cellStyle name="Normal 4 5 10 2 2 2 2" xfId="57515" xr:uid="{00000000-0005-0000-0000-000005B00000}"/>
    <cellStyle name="Normal 4 5 10 2 2 3" xfId="43953" xr:uid="{00000000-0005-0000-0000-000006B00000}"/>
    <cellStyle name="Normal 4 5 10 2 3" xfId="23601" xr:uid="{00000000-0005-0000-0000-000007B00000}"/>
    <cellStyle name="Normal 4 5 10 2 3 2" xfId="50734" xr:uid="{00000000-0005-0000-0000-000008B00000}"/>
    <cellStyle name="Normal 4 5 10 2 4" xfId="37172" xr:uid="{00000000-0005-0000-0000-000009B00000}"/>
    <cellStyle name="Normal 4 5 10 3" xfId="13425" xr:uid="{00000000-0005-0000-0000-00000AB00000}"/>
    <cellStyle name="Normal 4 5 10 3 2" xfId="26993" xr:uid="{00000000-0005-0000-0000-00000BB00000}"/>
    <cellStyle name="Normal 4 5 10 3 2 2" xfId="54126" xr:uid="{00000000-0005-0000-0000-00000CB00000}"/>
    <cellStyle name="Normal 4 5 10 3 3" xfId="40564" xr:uid="{00000000-0005-0000-0000-00000DB00000}"/>
    <cellStyle name="Normal 4 5 10 4" xfId="20212" xr:uid="{00000000-0005-0000-0000-00000EB00000}"/>
    <cellStyle name="Normal 4 5 10 4 2" xfId="47345" xr:uid="{00000000-0005-0000-0000-00000FB00000}"/>
    <cellStyle name="Normal 4 5 10 5" xfId="33783" xr:uid="{00000000-0005-0000-0000-000010B00000}"/>
    <cellStyle name="Normal 4 5 11" xfId="6492" xr:uid="{00000000-0005-0000-0000-000011B00000}"/>
    <cellStyle name="Normal 4 5 11 2" xfId="10025" xr:uid="{00000000-0005-0000-0000-000012B00000}"/>
    <cellStyle name="Normal 4 5 11 2 2" xfId="16815" xr:uid="{00000000-0005-0000-0000-000013B00000}"/>
    <cellStyle name="Normal 4 5 11 2 2 2" xfId="30383" xr:uid="{00000000-0005-0000-0000-000014B00000}"/>
    <cellStyle name="Normal 4 5 11 2 2 2 2" xfId="57516" xr:uid="{00000000-0005-0000-0000-000015B00000}"/>
    <cellStyle name="Normal 4 5 11 2 2 3" xfId="43954" xr:uid="{00000000-0005-0000-0000-000016B00000}"/>
    <cellStyle name="Normal 4 5 11 2 3" xfId="23602" xr:uid="{00000000-0005-0000-0000-000017B00000}"/>
    <cellStyle name="Normal 4 5 11 2 3 2" xfId="50735" xr:uid="{00000000-0005-0000-0000-000018B00000}"/>
    <cellStyle name="Normal 4 5 11 2 4" xfId="37173" xr:uid="{00000000-0005-0000-0000-000019B00000}"/>
    <cellStyle name="Normal 4 5 11 3" xfId="13426" xr:uid="{00000000-0005-0000-0000-00001AB00000}"/>
    <cellStyle name="Normal 4 5 11 3 2" xfId="26994" xr:uid="{00000000-0005-0000-0000-00001BB00000}"/>
    <cellStyle name="Normal 4 5 11 3 2 2" xfId="54127" xr:uid="{00000000-0005-0000-0000-00001CB00000}"/>
    <cellStyle name="Normal 4 5 11 3 3" xfId="40565" xr:uid="{00000000-0005-0000-0000-00001DB00000}"/>
    <cellStyle name="Normal 4 5 11 4" xfId="20213" xr:uid="{00000000-0005-0000-0000-00001EB00000}"/>
    <cellStyle name="Normal 4 5 11 4 2" xfId="47346" xr:uid="{00000000-0005-0000-0000-00001FB00000}"/>
    <cellStyle name="Normal 4 5 11 5" xfId="33784" xr:uid="{00000000-0005-0000-0000-000020B00000}"/>
    <cellStyle name="Normal 4 5 12" xfId="7582" xr:uid="{00000000-0005-0000-0000-000021B00000}"/>
    <cellStyle name="Normal 4 5 12 2" xfId="14372" xr:uid="{00000000-0005-0000-0000-000022B00000}"/>
    <cellStyle name="Normal 4 5 12 2 2" xfId="27940" xr:uid="{00000000-0005-0000-0000-000023B00000}"/>
    <cellStyle name="Normal 4 5 12 2 2 2" xfId="55073" xr:uid="{00000000-0005-0000-0000-000024B00000}"/>
    <cellStyle name="Normal 4 5 12 2 3" xfId="41511" xr:uid="{00000000-0005-0000-0000-000025B00000}"/>
    <cellStyle name="Normal 4 5 12 3" xfId="21159" xr:uid="{00000000-0005-0000-0000-000026B00000}"/>
    <cellStyle name="Normal 4 5 12 3 2" xfId="48292" xr:uid="{00000000-0005-0000-0000-000027B00000}"/>
    <cellStyle name="Normal 4 5 12 4" xfId="34730" xr:uid="{00000000-0005-0000-0000-000028B00000}"/>
    <cellStyle name="Normal 4 5 13" xfId="10983" xr:uid="{00000000-0005-0000-0000-000029B00000}"/>
    <cellStyle name="Normal 4 5 13 2" xfId="24551" xr:uid="{00000000-0005-0000-0000-00002AB00000}"/>
    <cellStyle name="Normal 4 5 13 2 2" xfId="51684" xr:uid="{00000000-0005-0000-0000-00002BB00000}"/>
    <cellStyle name="Normal 4 5 13 3" xfId="38122" xr:uid="{00000000-0005-0000-0000-00002CB00000}"/>
    <cellStyle name="Normal 4 5 14" xfId="17770" xr:uid="{00000000-0005-0000-0000-00002DB00000}"/>
    <cellStyle name="Normal 4 5 14 2" xfId="44903" xr:uid="{00000000-0005-0000-0000-00002EB00000}"/>
    <cellStyle name="Normal 4 5 15" xfId="31341" xr:uid="{00000000-0005-0000-0000-00002FB00000}"/>
    <cellStyle name="Normal 4 5 2" xfId="2778" xr:uid="{00000000-0005-0000-0000-000030B00000}"/>
    <cellStyle name="Normal 4 5 2 2" xfId="7583" xr:uid="{00000000-0005-0000-0000-000031B00000}"/>
    <cellStyle name="Normal 4 5 2 2 2" xfId="14373" xr:uid="{00000000-0005-0000-0000-000032B00000}"/>
    <cellStyle name="Normal 4 5 2 2 2 2" xfId="27941" xr:uid="{00000000-0005-0000-0000-000033B00000}"/>
    <cellStyle name="Normal 4 5 2 2 2 2 2" xfId="55074" xr:uid="{00000000-0005-0000-0000-000034B00000}"/>
    <cellStyle name="Normal 4 5 2 2 2 3" xfId="41512" xr:uid="{00000000-0005-0000-0000-000035B00000}"/>
    <cellStyle name="Normal 4 5 2 2 3" xfId="21160" xr:uid="{00000000-0005-0000-0000-000036B00000}"/>
    <cellStyle name="Normal 4 5 2 2 3 2" xfId="48293" xr:uid="{00000000-0005-0000-0000-000037B00000}"/>
    <cellStyle name="Normal 4 5 2 2 4" xfId="34731" xr:uid="{00000000-0005-0000-0000-000038B00000}"/>
    <cellStyle name="Normal 4 5 2 3" xfId="10984" xr:uid="{00000000-0005-0000-0000-000039B00000}"/>
    <cellStyle name="Normal 4 5 2 3 2" xfId="24552" xr:uid="{00000000-0005-0000-0000-00003AB00000}"/>
    <cellStyle name="Normal 4 5 2 3 2 2" xfId="51685" xr:uid="{00000000-0005-0000-0000-00003BB00000}"/>
    <cellStyle name="Normal 4 5 2 3 3" xfId="38123" xr:uid="{00000000-0005-0000-0000-00003CB00000}"/>
    <cellStyle name="Normal 4 5 2 4" xfId="17771" xr:uid="{00000000-0005-0000-0000-00003DB00000}"/>
    <cellStyle name="Normal 4 5 2 4 2" xfId="44904" xr:uid="{00000000-0005-0000-0000-00003EB00000}"/>
    <cellStyle name="Normal 4 5 2 5" xfId="31342" xr:uid="{00000000-0005-0000-0000-00003FB00000}"/>
    <cellStyle name="Normal 4 5 3" xfId="6493" xr:uid="{00000000-0005-0000-0000-000040B00000}"/>
    <cellStyle name="Normal 4 5 4" xfId="6494" xr:uid="{00000000-0005-0000-0000-000041B00000}"/>
    <cellStyle name="Normal 4 5 4 10" xfId="13427" xr:uid="{00000000-0005-0000-0000-000042B00000}"/>
    <cellStyle name="Normal 4 5 4 10 2" xfId="26995" xr:uid="{00000000-0005-0000-0000-000043B00000}"/>
    <cellStyle name="Normal 4 5 4 10 2 2" xfId="54128" xr:uid="{00000000-0005-0000-0000-000044B00000}"/>
    <cellStyle name="Normal 4 5 4 10 3" xfId="40566" xr:uid="{00000000-0005-0000-0000-000045B00000}"/>
    <cellStyle name="Normal 4 5 4 11" xfId="20214" xr:uid="{00000000-0005-0000-0000-000046B00000}"/>
    <cellStyle name="Normal 4 5 4 11 2" xfId="47347" xr:uid="{00000000-0005-0000-0000-000047B00000}"/>
    <cellStyle name="Normal 4 5 4 12" xfId="33785" xr:uid="{00000000-0005-0000-0000-000048B00000}"/>
    <cellStyle name="Normal 4 5 4 2" xfId="6495" xr:uid="{00000000-0005-0000-0000-000049B00000}"/>
    <cellStyle name="Normal 4 5 4 2 10" xfId="33786" xr:uid="{00000000-0005-0000-0000-00004AB00000}"/>
    <cellStyle name="Normal 4 5 4 2 2" xfId="6496" xr:uid="{00000000-0005-0000-0000-00004BB00000}"/>
    <cellStyle name="Normal 4 5 4 2 2 2" xfId="6497" xr:uid="{00000000-0005-0000-0000-00004CB00000}"/>
    <cellStyle name="Normal 4 5 4 2 2 2 2" xfId="6498" xr:uid="{00000000-0005-0000-0000-00004DB00000}"/>
    <cellStyle name="Normal 4 5 4 2 2 2 2 2" xfId="10030" xr:uid="{00000000-0005-0000-0000-00004EB00000}"/>
    <cellStyle name="Normal 4 5 4 2 2 2 2 2 2" xfId="16820" xr:uid="{00000000-0005-0000-0000-00004FB00000}"/>
    <cellStyle name="Normal 4 5 4 2 2 2 2 2 2 2" xfId="30388" xr:uid="{00000000-0005-0000-0000-000050B00000}"/>
    <cellStyle name="Normal 4 5 4 2 2 2 2 2 2 2 2" xfId="57521" xr:uid="{00000000-0005-0000-0000-000051B00000}"/>
    <cellStyle name="Normal 4 5 4 2 2 2 2 2 2 3" xfId="43959" xr:uid="{00000000-0005-0000-0000-000052B00000}"/>
    <cellStyle name="Normal 4 5 4 2 2 2 2 2 3" xfId="23607" xr:uid="{00000000-0005-0000-0000-000053B00000}"/>
    <cellStyle name="Normal 4 5 4 2 2 2 2 2 3 2" xfId="50740" xr:uid="{00000000-0005-0000-0000-000054B00000}"/>
    <cellStyle name="Normal 4 5 4 2 2 2 2 2 4" xfId="37178" xr:uid="{00000000-0005-0000-0000-000055B00000}"/>
    <cellStyle name="Normal 4 5 4 2 2 2 2 3" xfId="13431" xr:uid="{00000000-0005-0000-0000-000056B00000}"/>
    <cellStyle name="Normal 4 5 4 2 2 2 2 3 2" xfId="26999" xr:uid="{00000000-0005-0000-0000-000057B00000}"/>
    <cellStyle name="Normal 4 5 4 2 2 2 2 3 2 2" xfId="54132" xr:uid="{00000000-0005-0000-0000-000058B00000}"/>
    <cellStyle name="Normal 4 5 4 2 2 2 2 3 3" xfId="40570" xr:uid="{00000000-0005-0000-0000-000059B00000}"/>
    <cellStyle name="Normal 4 5 4 2 2 2 2 4" xfId="20218" xr:uid="{00000000-0005-0000-0000-00005AB00000}"/>
    <cellStyle name="Normal 4 5 4 2 2 2 2 4 2" xfId="47351" xr:uid="{00000000-0005-0000-0000-00005BB00000}"/>
    <cellStyle name="Normal 4 5 4 2 2 2 2 5" xfId="33789" xr:uid="{00000000-0005-0000-0000-00005CB00000}"/>
    <cellStyle name="Normal 4 5 4 2 2 2 3" xfId="6499" xr:uid="{00000000-0005-0000-0000-00005DB00000}"/>
    <cellStyle name="Normal 4 5 4 2 2 2 3 2" xfId="10031" xr:uid="{00000000-0005-0000-0000-00005EB00000}"/>
    <cellStyle name="Normal 4 5 4 2 2 2 3 2 2" xfId="16821" xr:uid="{00000000-0005-0000-0000-00005FB00000}"/>
    <cellStyle name="Normal 4 5 4 2 2 2 3 2 2 2" xfId="30389" xr:uid="{00000000-0005-0000-0000-000060B00000}"/>
    <cellStyle name="Normal 4 5 4 2 2 2 3 2 2 2 2" xfId="57522" xr:uid="{00000000-0005-0000-0000-000061B00000}"/>
    <cellStyle name="Normal 4 5 4 2 2 2 3 2 2 3" xfId="43960" xr:uid="{00000000-0005-0000-0000-000062B00000}"/>
    <cellStyle name="Normal 4 5 4 2 2 2 3 2 3" xfId="23608" xr:uid="{00000000-0005-0000-0000-000063B00000}"/>
    <cellStyle name="Normal 4 5 4 2 2 2 3 2 3 2" xfId="50741" xr:uid="{00000000-0005-0000-0000-000064B00000}"/>
    <cellStyle name="Normal 4 5 4 2 2 2 3 2 4" xfId="37179" xr:uid="{00000000-0005-0000-0000-000065B00000}"/>
    <cellStyle name="Normal 4 5 4 2 2 2 3 3" xfId="13432" xr:uid="{00000000-0005-0000-0000-000066B00000}"/>
    <cellStyle name="Normal 4 5 4 2 2 2 3 3 2" xfId="27000" xr:uid="{00000000-0005-0000-0000-000067B00000}"/>
    <cellStyle name="Normal 4 5 4 2 2 2 3 3 2 2" xfId="54133" xr:uid="{00000000-0005-0000-0000-000068B00000}"/>
    <cellStyle name="Normal 4 5 4 2 2 2 3 3 3" xfId="40571" xr:uid="{00000000-0005-0000-0000-000069B00000}"/>
    <cellStyle name="Normal 4 5 4 2 2 2 3 4" xfId="20219" xr:uid="{00000000-0005-0000-0000-00006AB00000}"/>
    <cellStyle name="Normal 4 5 4 2 2 2 3 4 2" xfId="47352" xr:uid="{00000000-0005-0000-0000-00006BB00000}"/>
    <cellStyle name="Normal 4 5 4 2 2 2 3 5" xfId="33790" xr:uid="{00000000-0005-0000-0000-00006CB00000}"/>
    <cellStyle name="Normal 4 5 4 2 2 2 4" xfId="10029" xr:uid="{00000000-0005-0000-0000-00006DB00000}"/>
    <cellStyle name="Normal 4 5 4 2 2 2 4 2" xfId="16819" xr:uid="{00000000-0005-0000-0000-00006EB00000}"/>
    <cellStyle name="Normal 4 5 4 2 2 2 4 2 2" xfId="30387" xr:uid="{00000000-0005-0000-0000-00006FB00000}"/>
    <cellStyle name="Normal 4 5 4 2 2 2 4 2 2 2" xfId="57520" xr:uid="{00000000-0005-0000-0000-000070B00000}"/>
    <cellStyle name="Normal 4 5 4 2 2 2 4 2 3" xfId="43958" xr:uid="{00000000-0005-0000-0000-000071B00000}"/>
    <cellStyle name="Normal 4 5 4 2 2 2 4 3" xfId="23606" xr:uid="{00000000-0005-0000-0000-000072B00000}"/>
    <cellStyle name="Normal 4 5 4 2 2 2 4 3 2" xfId="50739" xr:uid="{00000000-0005-0000-0000-000073B00000}"/>
    <cellStyle name="Normal 4 5 4 2 2 2 4 4" xfId="37177" xr:uid="{00000000-0005-0000-0000-000074B00000}"/>
    <cellStyle name="Normal 4 5 4 2 2 2 5" xfId="13430" xr:uid="{00000000-0005-0000-0000-000075B00000}"/>
    <cellStyle name="Normal 4 5 4 2 2 2 5 2" xfId="26998" xr:uid="{00000000-0005-0000-0000-000076B00000}"/>
    <cellStyle name="Normal 4 5 4 2 2 2 5 2 2" xfId="54131" xr:uid="{00000000-0005-0000-0000-000077B00000}"/>
    <cellStyle name="Normal 4 5 4 2 2 2 5 3" xfId="40569" xr:uid="{00000000-0005-0000-0000-000078B00000}"/>
    <cellStyle name="Normal 4 5 4 2 2 2 6" xfId="20217" xr:uid="{00000000-0005-0000-0000-000079B00000}"/>
    <cellStyle name="Normal 4 5 4 2 2 2 6 2" xfId="47350" xr:uid="{00000000-0005-0000-0000-00007AB00000}"/>
    <cellStyle name="Normal 4 5 4 2 2 2 7" xfId="33788" xr:uid="{00000000-0005-0000-0000-00007BB00000}"/>
    <cellStyle name="Normal 4 5 4 2 2 3" xfId="6500" xr:uid="{00000000-0005-0000-0000-00007CB00000}"/>
    <cellStyle name="Normal 4 5 4 2 2 3 2" xfId="6501" xr:uid="{00000000-0005-0000-0000-00007DB00000}"/>
    <cellStyle name="Normal 4 5 4 2 2 3 2 2" xfId="10033" xr:uid="{00000000-0005-0000-0000-00007EB00000}"/>
    <cellStyle name="Normal 4 5 4 2 2 3 2 2 2" xfId="16823" xr:uid="{00000000-0005-0000-0000-00007FB00000}"/>
    <cellStyle name="Normal 4 5 4 2 2 3 2 2 2 2" xfId="30391" xr:uid="{00000000-0005-0000-0000-000080B00000}"/>
    <cellStyle name="Normal 4 5 4 2 2 3 2 2 2 2 2" xfId="57524" xr:uid="{00000000-0005-0000-0000-000081B00000}"/>
    <cellStyle name="Normal 4 5 4 2 2 3 2 2 2 3" xfId="43962" xr:uid="{00000000-0005-0000-0000-000082B00000}"/>
    <cellStyle name="Normal 4 5 4 2 2 3 2 2 3" xfId="23610" xr:uid="{00000000-0005-0000-0000-000083B00000}"/>
    <cellStyle name="Normal 4 5 4 2 2 3 2 2 3 2" xfId="50743" xr:uid="{00000000-0005-0000-0000-000084B00000}"/>
    <cellStyle name="Normal 4 5 4 2 2 3 2 2 4" xfId="37181" xr:uid="{00000000-0005-0000-0000-000085B00000}"/>
    <cellStyle name="Normal 4 5 4 2 2 3 2 3" xfId="13434" xr:uid="{00000000-0005-0000-0000-000086B00000}"/>
    <cellStyle name="Normal 4 5 4 2 2 3 2 3 2" xfId="27002" xr:uid="{00000000-0005-0000-0000-000087B00000}"/>
    <cellStyle name="Normal 4 5 4 2 2 3 2 3 2 2" xfId="54135" xr:uid="{00000000-0005-0000-0000-000088B00000}"/>
    <cellStyle name="Normal 4 5 4 2 2 3 2 3 3" xfId="40573" xr:uid="{00000000-0005-0000-0000-000089B00000}"/>
    <cellStyle name="Normal 4 5 4 2 2 3 2 4" xfId="20221" xr:uid="{00000000-0005-0000-0000-00008AB00000}"/>
    <cellStyle name="Normal 4 5 4 2 2 3 2 4 2" xfId="47354" xr:uid="{00000000-0005-0000-0000-00008BB00000}"/>
    <cellStyle name="Normal 4 5 4 2 2 3 2 5" xfId="33792" xr:uid="{00000000-0005-0000-0000-00008CB00000}"/>
    <cellStyle name="Normal 4 5 4 2 2 3 3" xfId="10032" xr:uid="{00000000-0005-0000-0000-00008DB00000}"/>
    <cellStyle name="Normal 4 5 4 2 2 3 3 2" xfId="16822" xr:uid="{00000000-0005-0000-0000-00008EB00000}"/>
    <cellStyle name="Normal 4 5 4 2 2 3 3 2 2" xfId="30390" xr:uid="{00000000-0005-0000-0000-00008FB00000}"/>
    <cellStyle name="Normal 4 5 4 2 2 3 3 2 2 2" xfId="57523" xr:uid="{00000000-0005-0000-0000-000090B00000}"/>
    <cellStyle name="Normal 4 5 4 2 2 3 3 2 3" xfId="43961" xr:uid="{00000000-0005-0000-0000-000091B00000}"/>
    <cellStyle name="Normal 4 5 4 2 2 3 3 3" xfId="23609" xr:uid="{00000000-0005-0000-0000-000092B00000}"/>
    <cellStyle name="Normal 4 5 4 2 2 3 3 3 2" xfId="50742" xr:uid="{00000000-0005-0000-0000-000093B00000}"/>
    <cellStyle name="Normal 4 5 4 2 2 3 3 4" xfId="37180" xr:uid="{00000000-0005-0000-0000-000094B00000}"/>
    <cellStyle name="Normal 4 5 4 2 2 3 4" xfId="13433" xr:uid="{00000000-0005-0000-0000-000095B00000}"/>
    <cellStyle name="Normal 4 5 4 2 2 3 4 2" xfId="27001" xr:uid="{00000000-0005-0000-0000-000096B00000}"/>
    <cellStyle name="Normal 4 5 4 2 2 3 4 2 2" xfId="54134" xr:uid="{00000000-0005-0000-0000-000097B00000}"/>
    <cellStyle name="Normal 4 5 4 2 2 3 4 3" xfId="40572" xr:uid="{00000000-0005-0000-0000-000098B00000}"/>
    <cellStyle name="Normal 4 5 4 2 2 3 5" xfId="20220" xr:uid="{00000000-0005-0000-0000-000099B00000}"/>
    <cellStyle name="Normal 4 5 4 2 2 3 5 2" xfId="47353" xr:uid="{00000000-0005-0000-0000-00009AB00000}"/>
    <cellStyle name="Normal 4 5 4 2 2 3 6" xfId="33791" xr:uid="{00000000-0005-0000-0000-00009BB00000}"/>
    <cellStyle name="Normal 4 5 4 2 2 4" xfId="6502" xr:uid="{00000000-0005-0000-0000-00009CB00000}"/>
    <cellStyle name="Normal 4 5 4 2 2 4 2" xfId="10034" xr:uid="{00000000-0005-0000-0000-00009DB00000}"/>
    <cellStyle name="Normal 4 5 4 2 2 4 2 2" xfId="16824" xr:uid="{00000000-0005-0000-0000-00009EB00000}"/>
    <cellStyle name="Normal 4 5 4 2 2 4 2 2 2" xfId="30392" xr:uid="{00000000-0005-0000-0000-00009FB00000}"/>
    <cellStyle name="Normal 4 5 4 2 2 4 2 2 2 2" xfId="57525" xr:uid="{00000000-0005-0000-0000-0000A0B00000}"/>
    <cellStyle name="Normal 4 5 4 2 2 4 2 2 3" xfId="43963" xr:uid="{00000000-0005-0000-0000-0000A1B00000}"/>
    <cellStyle name="Normal 4 5 4 2 2 4 2 3" xfId="23611" xr:uid="{00000000-0005-0000-0000-0000A2B00000}"/>
    <cellStyle name="Normal 4 5 4 2 2 4 2 3 2" xfId="50744" xr:uid="{00000000-0005-0000-0000-0000A3B00000}"/>
    <cellStyle name="Normal 4 5 4 2 2 4 2 4" xfId="37182" xr:uid="{00000000-0005-0000-0000-0000A4B00000}"/>
    <cellStyle name="Normal 4 5 4 2 2 4 3" xfId="13435" xr:uid="{00000000-0005-0000-0000-0000A5B00000}"/>
    <cellStyle name="Normal 4 5 4 2 2 4 3 2" xfId="27003" xr:uid="{00000000-0005-0000-0000-0000A6B00000}"/>
    <cellStyle name="Normal 4 5 4 2 2 4 3 2 2" xfId="54136" xr:uid="{00000000-0005-0000-0000-0000A7B00000}"/>
    <cellStyle name="Normal 4 5 4 2 2 4 3 3" xfId="40574" xr:uid="{00000000-0005-0000-0000-0000A8B00000}"/>
    <cellStyle name="Normal 4 5 4 2 2 4 4" xfId="20222" xr:uid="{00000000-0005-0000-0000-0000A9B00000}"/>
    <cellStyle name="Normal 4 5 4 2 2 4 4 2" xfId="47355" xr:uid="{00000000-0005-0000-0000-0000AAB00000}"/>
    <cellStyle name="Normal 4 5 4 2 2 4 5" xfId="33793" xr:uid="{00000000-0005-0000-0000-0000ABB00000}"/>
    <cellStyle name="Normal 4 5 4 2 2 5" xfId="6503" xr:uid="{00000000-0005-0000-0000-0000ACB00000}"/>
    <cellStyle name="Normal 4 5 4 2 2 5 2" xfId="10035" xr:uid="{00000000-0005-0000-0000-0000ADB00000}"/>
    <cellStyle name="Normal 4 5 4 2 2 5 2 2" xfId="16825" xr:uid="{00000000-0005-0000-0000-0000AEB00000}"/>
    <cellStyle name="Normal 4 5 4 2 2 5 2 2 2" xfId="30393" xr:uid="{00000000-0005-0000-0000-0000AFB00000}"/>
    <cellStyle name="Normal 4 5 4 2 2 5 2 2 2 2" xfId="57526" xr:uid="{00000000-0005-0000-0000-0000B0B00000}"/>
    <cellStyle name="Normal 4 5 4 2 2 5 2 2 3" xfId="43964" xr:uid="{00000000-0005-0000-0000-0000B1B00000}"/>
    <cellStyle name="Normal 4 5 4 2 2 5 2 3" xfId="23612" xr:uid="{00000000-0005-0000-0000-0000B2B00000}"/>
    <cellStyle name="Normal 4 5 4 2 2 5 2 3 2" xfId="50745" xr:uid="{00000000-0005-0000-0000-0000B3B00000}"/>
    <cellStyle name="Normal 4 5 4 2 2 5 2 4" xfId="37183" xr:uid="{00000000-0005-0000-0000-0000B4B00000}"/>
    <cellStyle name="Normal 4 5 4 2 2 5 3" xfId="13436" xr:uid="{00000000-0005-0000-0000-0000B5B00000}"/>
    <cellStyle name="Normal 4 5 4 2 2 5 3 2" xfId="27004" xr:uid="{00000000-0005-0000-0000-0000B6B00000}"/>
    <cellStyle name="Normal 4 5 4 2 2 5 3 2 2" xfId="54137" xr:uid="{00000000-0005-0000-0000-0000B7B00000}"/>
    <cellStyle name="Normal 4 5 4 2 2 5 3 3" xfId="40575" xr:uid="{00000000-0005-0000-0000-0000B8B00000}"/>
    <cellStyle name="Normal 4 5 4 2 2 5 4" xfId="20223" xr:uid="{00000000-0005-0000-0000-0000B9B00000}"/>
    <cellStyle name="Normal 4 5 4 2 2 5 4 2" xfId="47356" xr:uid="{00000000-0005-0000-0000-0000BAB00000}"/>
    <cellStyle name="Normal 4 5 4 2 2 5 5" xfId="33794" xr:uid="{00000000-0005-0000-0000-0000BBB00000}"/>
    <cellStyle name="Normal 4 5 4 2 2 6" xfId="10028" xr:uid="{00000000-0005-0000-0000-0000BCB00000}"/>
    <cellStyle name="Normal 4 5 4 2 2 6 2" xfId="16818" xr:uid="{00000000-0005-0000-0000-0000BDB00000}"/>
    <cellStyle name="Normal 4 5 4 2 2 6 2 2" xfId="30386" xr:uid="{00000000-0005-0000-0000-0000BEB00000}"/>
    <cellStyle name="Normal 4 5 4 2 2 6 2 2 2" xfId="57519" xr:uid="{00000000-0005-0000-0000-0000BFB00000}"/>
    <cellStyle name="Normal 4 5 4 2 2 6 2 3" xfId="43957" xr:uid="{00000000-0005-0000-0000-0000C0B00000}"/>
    <cellStyle name="Normal 4 5 4 2 2 6 3" xfId="23605" xr:uid="{00000000-0005-0000-0000-0000C1B00000}"/>
    <cellStyle name="Normal 4 5 4 2 2 6 3 2" xfId="50738" xr:uid="{00000000-0005-0000-0000-0000C2B00000}"/>
    <cellStyle name="Normal 4 5 4 2 2 6 4" xfId="37176" xr:uid="{00000000-0005-0000-0000-0000C3B00000}"/>
    <cellStyle name="Normal 4 5 4 2 2 7" xfId="13429" xr:uid="{00000000-0005-0000-0000-0000C4B00000}"/>
    <cellStyle name="Normal 4 5 4 2 2 7 2" xfId="26997" xr:uid="{00000000-0005-0000-0000-0000C5B00000}"/>
    <cellStyle name="Normal 4 5 4 2 2 7 2 2" xfId="54130" xr:uid="{00000000-0005-0000-0000-0000C6B00000}"/>
    <cellStyle name="Normal 4 5 4 2 2 7 3" xfId="40568" xr:uid="{00000000-0005-0000-0000-0000C7B00000}"/>
    <cellStyle name="Normal 4 5 4 2 2 8" xfId="20216" xr:uid="{00000000-0005-0000-0000-0000C8B00000}"/>
    <cellStyle name="Normal 4 5 4 2 2 8 2" xfId="47349" xr:uid="{00000000-0005-0000-0000-0000C9B00000}"/>
    <cellStyle name="Normal 4 5 4 2 2 9" xfId="33787" xr:uid="{00000000-0005-0000-0000-0000CAB00000}"/>
    <cellStyle name="Normal 4 5 4 2 3" xfId="6504" xr:uid="{00000000-0005-0000-0000-0000CBB00000}"/>
    <cellStyle name="Normal 4 5 4 2 3 2" xfId="6505" xr:uid="{00000000-0005-0000-0000-0000CCB00000}"/>
    <cellStyle name="Normal 4 5 4 2 3 2 2" xfId="10037" xr:uid="{00000000-0005-0000-0000-0000CDB00000}"/>
    <cellStyle name="Normal 4 5 4 2 3 2 2 2" xfId="16827" xr:uid="{00000000-0005-0000-0000-0000CEB00000}"/>
    <cellStyle name="Normal 4 5 4 2 3 2 2 2 2" xfId="30395" xr:uid="{00000000-0005-0000-0000-0000CFB00000}"/>
    <cellStyle name="Normal 4 5 4 2 3 2 2 2 2 2" xfId="57528" xr:uid="{00000000-0005-0000-0000-0000D0B00000}"/>
    <cellStyle name="Normal 4 5 4 2 3 2 2 2 3" xfId="43966" xr:uid="{00000000-0005-0000-0000-0000D1B00000}"/>
    <cellStyle name="Normal 4 5 4 2 3 2 2 3" xfId="23614" xr:uid="{00000000-0005-0000-0000-0000D2B00000}"/>
    <cellStyle name="Normal 4 5 4 2 3 2 2 3 2" xfId="50747" xr:uid="{00000000-0005-0000-0000-0000D3B00000}"/>
    <cellStyle name="Normal 4 5 4 2 3 2 2 4" xfId="37185" xr:uid="{00000000-0005-0000-0000-0000D4B00000}"/>
    <cellStyle name="Normal 4 5 4 2 3 2 3" xfId="13438" xr:uid="{00000000-0005-0000-0000-0000D5B00000}"/>
    <cellStyle name="Normal 4 5 4 2 3 2 3 2" xfId="27006" xr:uid="{00000000-0005-0000-0000-0000D6B00000}"/>
    <cellStyle name="Normal 4 5 4 2 3 2 3 2 2" xfId="54139" xr:uid="{00000000-0005-0000-0000-0000D7B00000}"/>
    <cellStyle name="Normal 4 5 4 2 3 2 3 3" xfId="40577" xr:uid="{00000000-0005-0000-0000-0000D8B00000}"/>
    <cellStyle name="Normal 4 5 4 2 3 2 4" xfId="20225" xr:uid="{00000000-0005-0000-0000-0000D9B00000}"/>
    <cellStyle name="Normal 4 5 4 2 3 2 4 2" xfId="47358" xr:uid="{00000000-0005-0000-0000-0000DAB00000}"/>
    <cellStyle name="Normal 4 5 4 2 3 2 5" xfId="33796" xr:uid="{00000000-0005-0000-0000-0000DBB00000}"/>
    <cellStyle name="Normal 4 5 4 2 3 3" xfId="6506" xr:uid="{00000000-0005-0000-0000-0000DCB00000}"/>
    <cellStyle name="Normal 4 5 4 2 3 3 2" xfId="10038" xr:uid="{00000000-0005-0000-0000-0000DDB00000}"/>
    <cellStyle name="Normal 4 5 4 2 3 3 2 2" xfId="16828" xr:uid="{00000000-0005-0000-0000-0000DEB00000}"/>
    <cellStyle name="Normal 4 5 4 2 3 3 2 2 2" xfId="30396" xr:uid="{00000000-0005-0000-0000-0000DFB00000}"/>
    <cellStyle name="Normal 4 5 4 2 3 3 2 2 2 2" xfId="57529" xr:uid="{00000000-0005-0000-0000-0000E0B00000}"/>
    <cellStyle name="Normal 4 5 4 2 3 3 2 2 3" xfId="43967" xr:uid="{00000000-0005-0000-0000-0000E1B00000}"/>
    <cellStyle name="Normal 4 5 4 2 3 3 2 3" xfId="23615" xr:uid="{00000000-0005-0000-0000-0000E2B00000}"/>
    <cellStyle name="Normal 4 5 4 2 3 3 2 3 2" xfId="50748" xr:uid="{00000000-0005-0000-0000-0000E3B00000}"/>
    <cellStyle name="Normal 4 5 4 2 3 3 2 4" xfId="37186" xr:uid="{00000000-0005-0000-0000-0000E4B00000}"/>
    <cellStyle name="Normal 4 5 4 2 3 3 3" xfId="13439" xr:uid="{00000000-0005-0000-0000-0000E5B00000}"/>
    <cellStyle name="Normal 4 5 4 2 3 3 3 2" xfId="27007" xr:uid="{00000000-0005-0000-0000-0000E6B00000}"/>
    <cellStyle name="Normal 4 5 4 2 3 3 3 2 2" xfId="54140" xr:uid="{00000000-0005-0000-0000-0000E7B00000}"/>
    <cellStyle name="Normal 4 5 4 2 3 3 3 3" xfId="40578" xr:uid="{00000000-0005-0000-0000-0000E8B00000}"/>
    <cellStyle name="Normal 4 5 4 2 3 3 4" xfId="20226" xr:uid="{00000000-0005-0000-0000-0000E9B00000}"/>
    <cellStyle name="Normal 4 5 4 2 3 3 4 2" xfId="47359" xr:uid="{00000000-0005-0000-0000-0000EAB00000}"/>
    <cellStyle name="Normal 4 5 4 2 3 3 5" xfId="33797" xr:uid="{00000000-0005-0000-0000-0000EBB00000}"/>
    <cellStyle name="Normal 4 5 4 2 3 4" xfId="10036" xr:uid="{00000000-0005-0000-0000-0000ECB00000}"/>
    <cellStyle name="Normal 4 5 4 2 3 4 2" xfId="16826" xr:uid="{00000000-0005-0000-0000-0000EDB00000}"/>
    <cellStyle name="Normal 4 5 4 2 3 4 2 2" xfId="30394" xr:uid="{00000000-0005-0000-0000-0000EEB00000}"/>
    <cellStyle name="Normal 4 5 4 2 3 4 2 2 2" xfId="57527" xr:uid="{00000000-0005-0000-0000-0000EFB00000}"/>
    <cellStyle name="Normal 4 5 4 2 3 4 2 3" xfId="43965" xr:uid="{00000000-0005-0000-0000-0000F0B00000}"/>
    <cellStyle name="Normal 4 5 4 2 3 4 3" xfId="23613" xr:uid="{00000000-0005-0000-0000-0000F1B00000}"/>
    <cellStyle name="Normal 4 5 4 2 3 4 3 2" xfId="50746" xr:uid="{00000000-0005-0000-0000-0000F2B00000}"/>
    <cellStyle name="Normal 4 5 4 2 3 4 4" xfId="37184" xr:uid="{00000000-0005-0000-0000-0000F3B00000}"/>
    <cellStyle name="Normal 4 5 4 2 3 5" xfId="13437" xr:uid="{00000000-0005-0000-0000-0000F4B00000}"/>
    <cellStyle name="Normal 4 5 4 2 3 5 2" xfId="27005" xr:uid="{00000000-0005-0000-0000-0000F5B00000}"/>
    <cellStyle name="Normal 4 5 4 2 3 5 2 2" xfId="54138" xr:uid="{00000000-0005-0000-0000-0000F6B00000}"/>
    <cellStyle name="Normal 4 5 4 2 3 5 3" xfId="40576" xr:uid="{00000000-0005-0000-0000-0000F7B00000}"/>
    <cellStyle name="Normal 4 5 4 2 3 6" xfId="20224" xr:uid="{00000000-0005-0000-0000-0000F8B00000}"/>
    <cellStyle name="Normal 4 5 4 2 3 6 2" xfId="47357" xr:uid="{00000000-0005-0000-0000-0000F9B00000}"/>
    <cellStyle name="Normal 4 5 4 2 3 7" xfId="33795" xr:uid="{00000000-0005-0000-0000-0000FAB00000}"/>
    <cellStyle name="Normal 4 5 4 2 4" xfId="6507" xr:uid="{00000000-0005-0000-0000-0000FBB00000}"/>
    <cellStyle name="Normal 4 5 4 2 4 2" xfId="6508" xr:uid="{00000000-0005-0000-0000-0000FCB00000}"/>
    <cellStyle name="Normal 4 5 4 2 4 2 2" xfId="10040" xr:uid="{00000000-0005-0000-0000-0000FDB00000}"/>
    <cellStyle name="Normal 4 5 4 2 4 2 2 2" xfId="16830" xr:uid="{00000000-0005-0000-0000-0000FEB00000}"/>
    <cellStyle name="Normal 4 5 4 2 4 2 2 2 2" xfId="30398" xr:uid="{00000000-0005-0000-0000-0000FFB00000}"/>
    <cellStyle name="Normal 4 5 4 2 4 2 2 2 2 2" xfId="57531" xr:uid="{00000000-0005-0000-0000-000000B10000}"/>
    <cellStyle name="Normal 4 5 4 2 4 2 2 2 3" xfId="43969" xr:uid="{00000000-0005-0000-0000-000001B10000}"/>
    <cellStyle name="Normal 4 5 4 2 4 2 2 3" xfId="23617" xr:uid="{00000000-0005-0000-0000-000002B10000}"/>
    <cellStyle name="Normal 4 5 4 2 4 2 2 3 2" xfId="50750" xr:uid="{00000000-0005-0000-0000-000003B10000}"/>
    <cellStyle name="Normal 4 5 4 2 4 2 2 4" xfId="37188" xr:uid="{00000000-0005-0000-0000-000004B10000}"/>
    <cellStyle name="Normal 4 5 4 2 4 2 3" xfId="13441" xr:uid="{00000000-0005-0000-0000-000005B10000}"/>
    <cellStyle name="Normal 4 5 4 2 4 2 3 2" xfId="27009" xr:uid="{00000000-0005-0000-0000-000006B10000}"/>
    <cellStyle name="Normal 4 5 4 2 4 2 3 2 2" xfId="54142" xr:uid="{00000000-0005-0000-0000-000007B10000}"/>
    <cellStyle name="Normal 4 5 4 2 4 2 3 3" xfId="40580" xr:uid="{00000000-0005-0000-0000-000008B10000}"/>
    <cellStyle name="Normal 4 5 4 2 4 2 4" xfId="20228" xr:uid="{00000000-0005-0000-0000-000009B10000}"/>
    <cellStyle name="Normal 4 5 4 2 4 2 4 2" xfId="47361" xr:uid="{00000000-0005-0000-0000-00000AB10000}"/>
    <cellStyle name="Normal 4 5 4 2 4 2 5" xfId="33799" xr:uid="{00000000-0005-0000-0000-00000BB10000}"/>
    <cellStyle name="Normal 4 5 4 2 4 3" xfId="10039" xr:uid="{00000000-0005-0000-0000-00000CB10000}"/>
    <cellStyle name="Normal 4 5 4 2 4 3 2" xfId="16829" xr:uid="{00000000-0005-0000-0000-00000DB10000}"/>
    <cellStyle name="Normal 4 5 4 2 4 3 2 2" xfId="30397" xr:uid="{00000000-0005-0000-0000-00000EB10000}"/>
    <cellStyle name="Normal 4 5 4 2 4 3 2 2 2" xfId="57530" xr:uid="{00000000-0005-0000-0000-00000FB10000}"/>
    <cellStyle name="Normal 4 5 4 2 4 3 2 3" xfId="43968" xr:uid="{00000000-0005-0000-0000-000010B10000}"/>
    <cellStyle name="Normal 4 5 4 2 4 3 3" xfId="23616" xr:uid="{00000000-0005-0000-0000-000011B10000}"/>
    <cellStyle name="Normal 4 5 4 2 4 3 3 2" xfId="50749" xr:uid="{00000000-0005-0000-0000-000012B10000}"/>
    <cellStyle name="Normal 4 5 4 2 4 3 4" xfId="37187" xr:uid="{00000000-0005-0000-0000-000013B10000}"/>
    <cellStyle name="Normal 4 5 4 2 4 4" xfId="13440" xr:uid="{00000000-0005-0000-0000-000014B10000}"/>
    <cellStyle name="Normal 4 5 4 2 4 4 2" xfId="27008" xr:uid="{00000000-0005-0000-0000-000015B10000}"/>
    <cellStyle name="Normal 4 5 4 2 4 4 2 2" xfId="54141" xr:uid="{00000000-0005-0000-0000-000016B10000}"/>
    <cellStyle name="Normal 4 5 4 2 4 4 3" xfId="40579" xr:uid="{00000000-0005-0000-0000-000017B10000}"/>
    <cellStyle name="Normal 4 5 4 2 4 5" xfId="20227" xr:uid="{00000000-0005-0000-0000-000018B10000}"/>
    <cellStyle name="Normal 4 5 4 2 4 5 2" xfId="47360" xr:uid="{00000000-0005-0000-0000-000019B10000}"/>
    <cellStyle name="Normal 4 5 4 2 4 6" xfId="33798" xr:uid="{00000000-0005-0000-0000-00001AB10000}"/>
    <cellStyle name="Normal 4 5 4 2 5" xfId="6509" xr:uid="{00000000-0005-0000-0000-00001BB10000}"/>
    <cellStyle name="Normal 4 5 4 2 5 2" xfId="10041" xr:uid="{00000000-0005-0000-0000-00001CB10000}"/>
    <cellStyle name="Normal 4 5 4 2 5 2 2" xfId="16831" xr:uid="{00000000-0005-0000-0000-00001DB10000}"/>
    <cellStyle name="Normal 4 5 4 2 5 2 2 2" xfId="30399" xr:uid="{00000000-0005-0000-0000-00001EB10000}"/>
    <cellStyle name="Normal 4 5 4 2 5 2 2 2 2" xfId="57532" xr:uid="{00000000-0005-0000-0000-00001FB10000}"/>
    <cellStyle name="Normal 4 5 4 2 5 2 2 3" xfId="43970" xr:uid="{00000000-0005-0000-0000-000020B10000}"/>
    <cellStyle name="Normal 4 5 4 2 5 2 3" xfId="23618" xr:uid="{00000000-0005-0000-0000-000021B10000}"/>
    <cellStyle name="Normal 4 5 4 2 5 2 3 2" xfId="50751" xr:uid="{00000000-0005-0000-0000-000022B10000}"/>
    <cellStyle name="Normal 4 5 4 2 5 2 4" xfId="37189" xr:uid="{00000000-0005-0000-0000-000023B10000}"/>
    <cellStyle name="Normal 4 5 4 2 5 3" xfId="13442" xr:uid="{00000000-0005-0000-0000-000024B10000}"/>
    <cellStyle name="Normal 4 5 4 2 5 3 2" xfId="27010" xr:uid="{00000000-0005-0000-0000-000025B10000}"/>
    <cellStyle name="Normal 4 5 4 2 5 3 2 2" xfId="54143" xr:uid="{00000000-0005-0000-0000-000026B10000}"/>
    <cellStyle name="Normal 4 5 4 2 5 3 3" xfId="40581" xr:uid="{00000000-0005-0000-0000-000027B10000}"/>
    <cellStyle name="Normal 4 5 4 2 5 4" xfId="20229" xr:uid="{00000000-0005-0000-0000-000028B10000}"/>
    <cellStyle name="Normal 4 5 4 2 5 4 2" xfId="47362" xr:uid="{00000000-0005-0000-0000-000029B10000}"/>
    <cellStyle name="Normal 4 5 4 2 5 5" xfId="33800" xr:uid="{00000000-0005-0000-0000-00002AB10000}"/>
    <cellStyle name="Normal 4 5 4 2 6" xfId="6510" xr:uid="{00000000-0005-0000-0000-00002BB10000}"/>
    <cellStyle name="Normal 4 5 4 2 6 2" xfId="10042" xr:uid="{00000000-0005-0000-0000-00002CB10000}"/>
    <cellStyle name="Normal 4 5 4 2 6 2 2" xfId="16832" xr:uid="{00000000-0005-0000-0000-00002DB10000}"/>
    <cellStyle name="Normal 4 5 4 2 6 2 2 2" xfId="30400" xr:uid="{00000000-0005-0000-0000-00002EB10000}"/>
    <cellStyle name="Normal 4 5 4 2 6 2 2 2 2" xfId="57533" xr:uid="{00000000-0005-0000-0000-00002FB10000}"/>
    <cellStyle name="Normal 4 5 4 2 6 2 2 3" xfId="43971" xr:uid="{00000000-0005-0000-0000-000030B10000}"/>
    <cellStyle name="Normal 4 5 4 2 6 2 3" xfId="23619" xr:uid="{00000000-0005-0000-0000-000031B10000}"/>
    <cellStyle name="Normal 4 5 4 2 6 2 3 2" xfId="50752" xr:uid="{00000000-0005-0000-0000-000032B10000}"/>
    <cellStyle name="Normal 4 5 4 2 6 2 4" xfId="37190" xr:uid="{00000000-0005-0000-0000-000033B10000}"/>
    <cellStyle name="Normal 4 5 4 2 6 3" xfId="13443" xr:uid="{00000000-0005-0000-0000-000034B10000}"/>
    <cellStyle name="Normal 4 5 4 2 6 3 2" xfId="27011" xr:uid="{00000000-0005-0000-0000-000035B10000}"/>
    <cellStyle name="Normal 4 5 4 2 6 3 2 2" xfId="54144" xr:uid="{00000000-0005-0000-0000-000036B10000}"/>
    <cellStyle name="Normal 4 5 4 2 6 3 3" xfId="40582" xr:uid="{00000000-0005-0000-0000-000037B10000}"/>
    <cellStyle name="Normal 4 5 4 2 6 4" xfId="20230" xr:uid="{00000000-0005-0000-0000-000038B10000}"/>
    <cellStyle name="Normal 4 5 4 2 6 4 2" xfId="47363" xr:uid="{00000000-0005-0000-0000-000039B10000}"/>
    <cellStyle name="Normal 4 5 4 2 6 5" xfId="33801" xr:uid="{00000000-0005-0000-0000-00003AB10000}"/>
    <cellStyle name="Normal 4 5 4 2 7" xfId="10027" xr:uid="{00000000-0005-0000-0000-00003BB10000}"/>
    <cellStyle name="Normal 4 5 4 2 7 2" xfId="16817" xr:uid="{00000000-0005-0000-0000-00003CB10000}"/>
    <cellStyle name="Normal 4 5 4 2 7 2 2" xfId="30385" xr:uid="{00000000-0005-0000-0000-00003DB10000}"/>
    <cellStyle name="Normal 4 5 4 2 7 2 2 2" xfId="57518" xr:uid="{00000000-0005-0000-0000-00003EB10000}"/>
    <cellStyle name="Normal 4 5 4 2 7 2 3" xfId="43956" xr:uid="{00000000-0005-0000-0000-00003FB10000}"/>
    <cellStyle name="Normal 4 5 4 2 7 3" xfId="23604" xr:uid="{00000000-0005-0000-0000-000040B10000}"/>
    <cellStyle name="Normal 4 5 4 2 7 3 2" xfId="50737" xr:uid="{00000000-0005-0000-0000-000041B10000}"/>
    <cellStyle name="Normal 4 5 4 2 7 4" xfId="37175" xr:uid="{00000000-0005-0000-0000-000042B10000}"/>
    <cellStyle name="Normal 4 5 4 2 8" xfId="13428" xr:uid="{00000000-0005-0000-0000-000043B10000}"/>
    <cellStyle name="Normal 4 5 4 2 8 2" xfId="26996" xr:uid="{00000000-0005-0000-0000-000044B10000}"/>
    <cellStyle name="Normal 4 5 4 2 8 2 2" xfId="54129" xr:uid="{00000000-0005-0000-0000-000045B10000}"/>
    <cellStyle name="Normal 4 5 4 2 8 3" xfId="40567" xr:uid="{00000000-0005-0000-0000-000046B10000}"/>
    <cellStyle name="Normal 4 5 4 2 9" xfId="20215" xr:uid="{00000000-0005-0000-0000-000047B10000}"/>
    <cellStyle name="Normal 4 5 4 2 9 2" xfId="47348" xr:uid="{00000000-0005-0000-0000-000048B10000}"/>
    <cellStyle name="Normal 4 5 4 3" xfId="6511" xr:uid="{00000000-0005-0000-0000-000049B10000}"/>
    <cellStyle name="Normal 4 5 4 3 2" xfId="6512" xr:uid="{00000000-0005-0000-0000-00004AB10000}"/>
    <cellStyle name="Normal 4 5 4 3 2 2" xfId="6513" xr:uid="{00000000-0005-0000-0000-00004BB10000}"/>
    <cellStyle name="Normal 4 5 4 3 2 2 2" xfId="10045" xr:uid="{00000000-0005-0000-0000-00004CB10000}"/>
    <cellStyle name="Normal 4 5 4 3 2 2 2 2" xfId="16835" xr:uid="{00000000-0005-0000-0000-00004DB10000}"/>
    <cellStyle name="Normal 4 5 4 3 2 2 2 2 2" xfId="30403" xr:uid="{00000000-0005-0000-0000-00004EB10000}"/>
    <cellStyle name="Normal 4 5 4 3 2 2 2 2 2 2" xfId="57536" xr:uid="{00000000-0005-0000-0000-00004FB10000}"/>
    <cellStyle name="Normal 4 5 4 3 2 2 2 2 3" xfId="43974" xr:uid="{00000000-0005-0000-0000-000050B10000}"/>
    <cellStyle name="Normal 4 5 4 3 2 2 2 3" xfId="23622" xr:uid="{00000000-0005-0000-0000-000051B10000}"/>
    <cellStyle name="Normal 4 5 4 3 2 2 2 3 2" xfId="50755" xr:uid="{00000000-0005-0000-0000-000052B10000}"/>
    <cellStyle name="Normal 4 5 4 3 2 2 2 4" xfId="37193" xr:uid="{00000000-0005-0000-0000-000053B10000}"/>
    <cellStyle name="Normal 4 5 4 3 2 2 3" xfId="13446" xr:uid="{00000000-0005-0000-0000-000054B10000}"/>
    <cellStyle name="Normal 4 5 4 3 2 2 3 2" xfId="27014" xr:uid="{00000000-0005-0000-0000-000055B10000}"/>
    <cellStyle name="Normal 4 5 4 3 2 2 3 2 2" xfId="54147" xr:uid="{00000000-0005-0000-0000-000056B10000}"/>
    <cellStyle name="Normal 4 5 4 3 2 2 3 3" xfId="40585" xr:uid="{00000000-0005-0000-0000-000057B10000}"/>
    <cellStyle name="Normal 4 5 4 3 2 2 4" xfId="20233" xr:uid="{00000000-0005-0000-0000-000058B10000}"/>
    <cellStyle name="Normal 4 5 4 3 2 2 4 2" xfId="47366" xr:uid="{00000000-0005-0000-0000-000059B10000}"/>
    <cellStyle name="Normal 4 5 4 3 2 2 5" xfId="33804" xr:uid="{00000000-0005-0000-0000-00005AB10000}"/>
    <cellStyle name="Normal 4 5 4 3 2 3" xfId="6514" xr:uid="{00000000-0005-0000-0000-00005BB10000}"/>
    <cellStyle name="Normal 4 5 4 3 2 3 2" xfId="10046" xr:uid="{00000000-0005-0000-0000-00005CB10000}"/>
    <cellStyle name="Normal 4 5 4 3 2 3 2 2" xfId="16836" xr:uid="{00000000-0005-0000-0000-00005DB10000}"/>
    <cellStyle name="Normal 4 5 4 3 2 3 2 2 2" xfId="30404" xr:uid="{00000000-0005-0000-0000-00005EB10000}"/>
    <cellStyle name="Normal 4 5 4 3 2 3 2 2 2 2" xfId="57537" xr:uid="{00000000-0005-0000-0000-00005FB10000}"/>
    <cellStyle name="Normal 4 5 4 3 2 3 2 2 3" xfId="43975" xr:uid="{00000000-0005-0000-0000-000060B10000}"/>
    <cellStyle name="Normal 4 5 4 3 2 3 2 3" xfId="23623" xr:uid="{00000000-0005-0000-0000-000061B10000}"/>
    <cellStyle name="Normal 4 5 4 3 2 3 2 3 2" xfId="50756" xr:uid="{00000000-0005-0000-0000-000062B10000}"/>
    <cellStyle name="Normal 4 5 4 3 2 3 2 4" xfId="37194" xr:uid="{00000000-0005-0000-0000-000063B10000}"/>
    <cellStyle name="Normal 4 5 4 3 2 3 3" xfId="13447" xr:uid="{00000000-0005-0000-0000-000064B10000}"/>
    <cellStyle name="Normal 4 5 4 3 2 3 3 2" xfId="27015" xr:uid="{00000000-0005-0000-0000-000065B10000}"/>
    <cellStyle name="Normal 4 5 4 3 2 3 3 2 2" xfId="54148" xr:uid="{00000000-0005-0000-0000-000066B10000}"/>
    <cellStyle name="Normal 4 5 4 3 2 3 3 3" xfId="40586" xr:uid="{00000000-0005-0000-0000-000067B10000}"/>
    <cellStyle name="Normal 4 5 4 3 2 3 4" xfId="20234" xr:uid="{00000000-0005-0000-0000-000068B10000}"/>
    <cellStyle name="Normal 4 5 4 3 2 3 4 2" xfId="47367" xr:uid="{00000000-0005-0000-0000-000069B10000}"/>
    <cellStyle name="Normal 4 5 4 3 2 3 5" xfId="33805" xr:uid="{00000000-0005-0000-0000-00006AB10000}"/>
    <cellStyle name="Normal 4 5 4 3 2 4" xfId="10044" xr:uid="{00000000-0005-0000-0000-00006BB10000}"/>
    <cellStyle name="Normal 4 5 4 3 2 4 2" xfId="16834" xr:uid="{00000000-0005-0000-0000-00006CB10000}"/>
    <cellStyle name="Normal 4 5 4 3 2 4 2 2" xfId="30402" xr:uid="{00000000-0005-0000-0000-00006DB10000}"/>
    <cellStyle name="Normal 4 5 4 3 2 4 2 2 2" xfId="57535" xr:uid="{00000000-0005-0000-0000-00006EB10000}"/>
    <cellStyle name="Normal 4 5 4 3 2 4 2 3" xfId="43973" xr:uid="{00000000-0005-0000-0000-00006FB10000}"/>
    <cellStyle name="Normal 4 5 4 3 2 4 3" xfId="23621" xr:uid="{00000000-0005-0000-0000-000070B10000}"/>
    <cellStyle name="Normal 4 5 4 3 2 4 3 2" xfId="50754" xr:uid="{00000000-0005-0000-0000-000071B10000}"/>
    <cellStyle name="Normal 4 5 4 3 2 4 4" xfId="37192" xr:uid="{00000000-0005-0000-0000-000072B10000}"/>
    <cellStyle name="Normal 4 5 4 3 2 5" xfId="13445" xr:uid="{00000000-0005-0000-0000-000073B10000}"/>
    <cellStyle name="Normal 4 5 4 3 2 5 2" xfId="27013" xr:uid="{00000000-0005-0000-0000-000074B10000}"/>
    <cellStyle name="Normal 4 5 4 3 2 5 2 2" xfId="54146" xr:uid="{00000000-0005-0000-0000-000075B10000}"/>
    <cellStyle name="Normal 4 5 4 3 2 5 3" xfId="40584" xr:uid="{00000000-0005-0000-0000-000076B10000}"/>
    <cellStyle name="Normal 4 5 4 3 2 6" xfId="20232" xr:uid="{00000000-0005-0000-0000-000077B10000}"/>
    <cellStyle name="Normal 4 5 4 3 2 6 2" xfId="47365" xr:uid="{00000000-0005-0000-0000-000078B10000}"/>
    <cellStyle name="Normal 4 5 4 3 2 7" xfId="33803" xr:uid="{00000000-0005-0000-0000-000079B10000}"/>
    <cellStyle name="Normal 4 5 4 3 3" xfId="6515" xr:uid="{00000000-0005-0000-0000-00007AB10000}"/>
    <cellStyle name="Normal 4 5 4 3 3 2" xfId="6516" xr:uid="{00000000-0005-0000-0000-00007BB10000}"/>
    <cellStyle name="Normal 4 5 4 3 3 2 2" xfId="10048" xr:uid="{00000000-0005-0000-0000-00007CB10000}"/>
    <cellStyle name="Normal 4 5 4 3 3 2 2 2" xfId="16838" xr:uid="{00000000-0005-0000-0000-00007DB10000}"/>
    <cellStyle name="Normal 4 5 4 3 3 2 2 2 2" xfId="30406" xr:uid="{00000000-0005-0000-0000-00007EB10000}"/>
    <cellStyle name="Normal 4 5 4 3 3 2 2 2 2 2" xfId="57539" xr:uid="{00000000-0005-0000-0000-00007FB10000}"/>
    <cellStyle name="Normal 4 5 4 3 3 2 2 2 3" xfId="43977" xr:uid="{00000000-0005-0000-0000-000080B10000}"/>
    <cellStyle name="Normal 4 5 4 3 3 2 2 3" xfId="23625" xr:uid="{00000000-0005-0000-0000-000081B10000}"/>
    <cellStyle name="Normal 4 5 4 3 3 2 2 3 2" xfId="50758" xr:uid="{00000000-0005-0000-0000-000082B10000}"/>
    <cellStyle name="Normal 4 5 4 3 3 2 2 4" xfId="37196" xr:uid="{00000000-0005-0000-0000-000083B10000}"/>
    <cellStyle name="Normal 4 5 4 3 3 2 3" xfId="13449" xr:uid="{00000000-0005-0000-0000-000084B10000}"/>
    <cellStyle name="Normal 4 5 4 3 3 2 3 2" xfId="27017" xr:uid="{00000000-0005-0000-0000-000085B10000}"/>
    <cellStyle name="Normal 4 5 4 3 3 2 3 2 2" xfId="54150" xr:uid="{00000000-0005-0000-0000-000086B10000}"/>
    <cellStyle name="Normal 4 5 4 3 3 2 3 3" xfId="40588" xr:uid="{00000000-0005-0000-0000-000087B10000}"/>
    <cellStyle name="Normal 4 5 4 3 3 2 4" xfId="20236" xr:uid="{00000000-0005-0000-0000-000088B10000}"/>
    <cellStyle name="Normal 4 5 4 3 3 2 4 2" xfId="47369" xr:uid="{00000000-0005-0000-0000-000089B10000}"/>
    <cellStyle name="Normal 4 5 4 3 3 2 5" xfId="33807" xr:uid="{00000000-0005-0000-0000-00008AB10000}"/>
    <cellStyle name="Normal 4 5 4 3 3 3" xfId="10047" xr:uid="{00000000-0005-0000-0000-00008BB10000}"/>
    <cellStyle name="Normal 4 5 4 3 3 3 2" xfId="16837" xr:uid="{00000000-0005-0000-0000-00008CB10000}"/>
    <cellStyle name="Normal 4 5 4 3 3 3 2 2" xfId="30405" xr:uid="{00000000-0005-0000-0000-00008DB10000}"/>
    <cellStyle name="Normal 4 5 4 3 3 3 2 2 2" xfId="57538" xr:uid="{00000000-0005-0000-0000-00008EB10000}"/>
    <cellStyle name="Normal 4 5 4 3 3 3 2 3" xfId="43976" xr:uid="{00000000-0005-0000-0000-00008FB10000}"/>
    <cellStyle name="Normal 4 5 4 3 3 3 3" xfId="23624" xr:uid="{00000000-0005-0000-0000-000090B10000}"/>
    <cellStyle name="Normal 4 5 4 3 3 3 3 2" xfId="50757" xr:uid="{00000000-0005-0000-0000-000091B10000}"/>
    <cellStyle name="Normal 4 5 4 3 3 3 4" xfId="37195" xr:uid="{00000000-0005-0000-0000-000092B10000}"/>
    <cellStyle name="Normal 4 5 4 3 3 4" xfId="13448" xr:uid="{00000000-0005-0000-0000-000093B10000}"/>
    <cellStyle name="Normal 4 5 4 3 3 4 2" xfId="27016" xr:uid="{00000000-0005-0000-0000-000094B10000}"/>
    <cellStyle name="Normal 4 5 4 3 3 4 2 2" xfId="54149" xr:uid="{00000000-0005-0000-0000-000095B10000}"/>
    <cellStyle name="Normal 4 5 4 3 3 4 3" xfId="40587" xr:uid="{00000000-0005-0000-0000-000096B10000}"/>
    <cellStyle name="Normal 4 5 4 3 3 5" xfId="20235" xr:uid="{00000000-0005-0000-0000-000097B10000}"/>
    <cellStyle name="Normal 4 5 4 3 3 5 2" xfId="47368" xr:uid="{00000000-0005-0000-0000-000098B10000}"/>
    <cellStyle name="Normal 4 5 4 3 3 6" xfId="33806" xr:uid="{00000000-0005-0000-0000-000099B10000}"/>
    <cellStyle name="Normal 4 5 4 3 4" xfId="6517" xr:uid="{00000000-0005-0000-0000-00009AB10000}"/>
    <cellStyle name="Normal 4 5 4 3 4 2" xfId="10049" xr:uid="{00000000-0005-0000-0000-00009BB10000}"/>
    <cellStyle name="Normal 4 5 4 3 4 2 2" xfId="16839" xr:uid="{00000000-0005-0000-0000-00009CB10000}"/>
    <cellStyle name="Normal 4 5 4 3 4 2 2 2" xfId="30407" xr:uid="{00000000-0005-0000-0000-00009DB10000}"/>
    <cellStyle name="Normal 4 5 4 3 4 2 2 2 2" xfId="57540" xr:uid="{00000000-0005-0000-0000-00009EB10000}"/>
    <cellStyle name="Normal 4 5 4 3 4 2 2 3" xfId="43978" xr:uid="{00000000-0005-0000-0000-00009FB10000}"/>
    <cellStyle name="Normal 4 5 4 3 4 2 3" xfId="23626" xr:uid="{00000000-0005-0000-0000-0000A0B10000}"/>
    <cellStyle name="Normal 4 5 4 3 4 2 3 2" xfId="50759" xr:uid="{00000000-0005-0000-0000-0000A1B10000}"/>
    <cellStyle name="Normal 4 5 4 3 4 2 4" xfId="37197" xr:uid="{00000000-0005-0000-0000-0000A2B10000}"/>
    <cellStyle name="Normal 4 5 4 3 4 3" xfId="13450" xr:uid="{00000000-0005-0000-0000-0000A3B10000}"/>
    <cellStyle name="Normal 4 5 4 3 4 3 2" xfId="27018" xr:uid="{00000000-0005-0000-0000-0000A4B10000}"/>
    <cellStyle name="Normal 4 5 4 3 4 3 2 2" xfId="54151" xr:uid="{00000000-0005-0000-0000-0000A5B10000}"/>
    <cellStyle name="Normal 4 5 4 3 4 3 3" xfId="40589" xr:uid="{00000000-0005-0000-0000-0000A6B10000}"/>
    <cellStyle name="Normal 4 5 4 3 4 4" xfId="20237" xr:uid="{00000000-0005-0000-0000-0000A7B10000}"/>
    <cellStyle name="Normal 4 5 4 3 4 4 2" xfId="47370" xr:uid="{00000000-0005-0000-0000-0000A8B10000}"/>
    <cellStyle name="Normal 4 5 4 3 4 5" xfId="33808" xr:uid="{00000000-0005-0000-0000-0000A9B10000}"/>
    <cellStyle name="Normal 4 5 4 3 5" xfId="6518" xr:uid="{00000000-0005-0000-0000-0000AAB10000}"/>
    <cellStyle name="Normal 4 5 4 3 5 2" xfId="10050" xr:uid="{00000000-0005-0000-0000-0000ABB10000}"/>
    <cellStyle name="Normal 4 5 4 3 5 2 2" xfId="16840" xr:uid="{00000000-0005-0000-0000-0000ACB10000}"/>
    <cellStyle name="Normal 4 5 4 3 5 2 2 2" xfId="30408" xr:uid="{00000000-0005-0000-0000-0000ADB10000}"/>
    <cellStyle name="Normal 4 5 4 3 5 2 2 2 2" xfId="57541" xr:uid="{00000000-0005-0000-0000-0000AEB10000}"/>
    <cellStyle name="Normal 4 5 4 3 5 2 2 3" xfId="43979" xr:uid="{00000000-0005-0000-0000-0000AFB10000}"/>
    <cellStyle name="Normal 4 5 4 3 5 2 3" xfId="23627" xr:uid="{00000000-0005-0000-0000-0000B0B10000}"/>
    <cellStyle name="Normal 4 5 4 3 5 2 3 2" xfId="50760" xr:uid="{00000000-0005-0000-0000-0000B1B10000}"/>
    <cellStyle name="Normal 4 5 4 3 5 2 4" xfId="37198" xr:uid="{00000000-0005-0000-0000-0000B2B10000}"/>
    <cellStyle name="Normal 4 5 4 3 5 3" xfId="13451" xr:uid="{00000000-0005-0000-0000-0000B3B10000}"/>
    <cellStyle name="Normal 4 5 4 3 5 3 2" xfId="27019" xr:uid="{00000000-0005-0000-0000-0000B4B10000}"/>
    <cellStyle name="Normal 4 5 4 3 5 3 2 2" xfId="54152" xr:uid="{00000000-0005-0000-0000-0000B5B10000}"/>
    <cellStyle name="Normal 4 5 4 3 5 3 3" xfId="40590" xr:uid="{00000000-0005-0000-0000-0000B6B10000}"/>
    <cellStyle name="Normal 4 5 4 3 5 4" xfId="20238" xr:uid="{00000000-0005-0000-0000-0000B7B10000}"/>
    <cellStyle name="Normal 4 5 4 3 5 4 2" xfId="47371" xr:uid="{00000000-0005-0000-0000-0000B8B10000}"/>
    <cellStyle name="Normal 4 5 4 3 5 5" xfId="33809" xr:uid="{00000000-0005-0000-0000-0000B9B10000}"/>
    <cellStyle name="Normal 4 5 4 3 6" xfId="10043" xr:uid="{00000000-0005-0000-0000-0000BAB10000}"/>
    <cellStyle name="Normal 4 5 4 3 6 2" xfId="16833" xr:uid="{00000000-0005-0000-0000-0000BBB10000}"/>
    <cellStyle name="Normal 4 5 4 3 6 2 2" xfId="30401" xr:uid="{00000000-0005-0000-0000-0000BCB10000}"/>
    <cellStyle name="Normal 4 5 4 3 6 2 2 2" xfId="57534" xr:uid="{00000000-0005-0000-0000-0000BDB10000}"/>
    <cellStyle name="Normal 4 5 4 3 6 2 3" xfId="43972" xr:uid="{00000000-0005-0000-0000-0000BEB10000}"/>
    <cellStyle name="Normal 4 5 4 3 6 3" xfId="23620" xr:uid="{00000000-0005-0000-0000-0000BFB10000}"/>
    <cellStyle name="Normal 4 5 4 3 6 3 2" xfId="50753" xr:uid="{00000000-0005-0000-0000-0000C0B10000}"/>
    <cellStyle name="Normal 4 5 4 3 6 4" xfId="37191" xr:uid="{00000000-0005-0000-0000-0000C1B10000}"/>
    <cellStyle name="Normal 4 5 4 3 7" xfId="13444" xr:uid="{00000000-0005-0000-0000-0000C2B10000}"/>
    <cellStyle name="Normal 4 5 4 3 7 2" xfId="27012" xr:uid="{00000000-0005-0000-0000-0000C3B10000}"/>
    <cellStyle name="Normal 4 5 4 3 7 2 2" xfId="54145" xr:uid="{00000000-0005-0000-0000-0000C4B10000}"/>
    <cellStyle name="Normal 4 5 4 3 7 3" xfId="40583" xr:uid="{00000000-0005-0000-0000-0000C5B10000}"/>
    <cellStyle name="Normal 4 5 4 3 8" xfId="20231" xr:uid="{00000000-0005-0000-0000-0000C6B10000}"/>
    <cellStyle name="Normal 4 5 4 3 8 2" xfId="47364" xr:uid="{00000000-0005-0000-0000-0000C7B10000}"/>
    <cellStyle name="Normal 4 5 4 3 9" xfId="33802" xr:uid="{00000000-0005-0000-0000-0000C8B10000}"/>
    <cellStyle name="Normal 4 5 4 4" xfId="6519" xr:uid="{00000000-0005-0000-0000-0000C9B10000}"/>
    <cellStyle name="Normal 4 5 4 4 2" xfId="6520" xr:uid="{00000000-0005-0000-0000-0000CAB10000}"/>
    <cellStyle name="Normal 4 5 4 4 2 2" xfId="6521" xr:uid="{00000000-0005-0000-0000-0000CBB10000}"/>
    <cellStyle name="Normal 4 5 4 4 2 2 2" xfId="10053" xr:uid="{00000000-0005-0000-0000-0000CCB10000}"/>
    <cellStyle name="Normal 4 5 4 4 2 2 2 2" xfId="16843" xr:uid="{00000000-0005-0000-0000-0000CDB10000}"/>
    <cellStyle name="Normal 4 5 4 4 2 2 2 2 2" xfId="30411" xr:uid="{00000000-0005-0000-0000-0000CEB10000}"/>
    <cellStyle name="Normal 4 5 4 4 2 2 2 2 2 2" xfId="57544" xr:uid="{00000000-0005-0000-0000-0000CFB10000}"/>
    <cellStyle name="Normal 4 5 4 4 2 2 2 2 3" xfId="43982" xr:uid="{00000000-0005-0000-0000-0000D0B10000}"/>
    <cellStyle name="Normal 4 5 4 4 2 2 2 3" xfId="23630" xr:uid="{00000000-0005-0000-0000-0000D1B10000}"/>
    <cellStyle name="Normal 4 5 4 4 2 2 2 3 2" xfId="50763" xr:uid="{00000000-0005-0000-0000-0000D2B10000}"/>
    <cellStyle name="Normal 4 5 4 4 2 2 2 4" xfId="37201" xr:uid="{00000000-0005-0000-0000-0000D3B10000}"/>
    <cellStyle name="Normal 4 5 4 4 2 2 3" xfId="13454" xr:uid="{00000000-0005-0000-0000-0000D4B10000}"/>
    <cellStyle name="Normal 4 5 4 4 2 2 3 2" xfId="27022" xr:uid="{00000000-0005-0000-0000-0000D5B10000}"/>
    <cellStyle name="Normal 4 5 4 4 2 2 3 2 2" xfId="54155" xr:uid="{00000000-0005-0000-0000-0000D6B10000}"/>
    <cellStyle name="Normal 4 5 4 4 2 2 3 3" xfId="40593" xr:uid="{00000000-0005-0000-0000-0000D7B10000}"/>
    <cellStyle name="Normal 4 5 4 4 2 2 4" xfId="20241" xr:uid="{00000000-0005-0000-0000-0000D8B10000}"/>
    <cellStyle name="Normal 4 5 4 4 2 2 4 2" xfId="47374" xr:uid="{00000000-0005-0000-0000-0000D9B10000}"/>
    <cellStyle name="Normal 4 5 4 4 2 2 5" xfId="33812" xr:uid="{00000000-0005-0000-0000-0000DAB10000}"/>
    <cellStyle name="Normal 4 5 4 4 2 3" xfId="6522" xr:uid="{00000000-0005-0000-0000-0000DBB10000}"/>
    <cellStyle name="Normal 4 5 4 4 2 3 2" xfId="10054" xr:uid="{00000000-0005-0000-0000-0000DCB10000}"/>
    <cellStyle name="Normal 4 5 4 4 2 3 2 2" xfId="16844" xr:uid="{00000000-0005-0000-0000-0000DDB10000}"/>
    <cellStyle name="Normal 4 5 4 4 2 3 2 2 2" xfId="30412" xr:uid="{00000000-0005-0000-0000-0000DEB10000}"/>
    <cellStyle name="Normal 4 5 4 4 2 3 2 2 2 2" xfId="57545" xr:uid="{00000000-0005-0000-0000-0000DFB10000}"/>
    <cellStyle name="Normal 4 5 4 4 2 3 2 2 3" xfId="43983" xr:uid="{00000000-0005-0000-0000-0000E0B10000}"/>
    <cellStyle name="Normal 4 5 4 4 2 3 2 3" xfId="23631" xr:uid="{00000000-0005-0000-0000-0000E1B10000}"/>
    <cellStyle name="Normal 4 5 4 4 2 3 2 3 2" xfId="50764" xr:uid="{00000000-0005-0000-0000-0000E2B10000}"/>
    <cellStyle name="Normal 4 5 4 4 2 3 2 4" xfId="37202" xr:uid="{00000000-0005-0000-0000-0000E3B10000}"/>
    <cellStyle name="Normal 4 5 4 4 2 3 3" xfId="13455" xr:uid="{00000000-0005-0000-0000-0000E4B10000}"/>
    <cellStyle name="Normal 4 5 4 4 2 3 3 2" xfId="27023" xr:uid="{00000000-0005-0000-0000-0000E5B10000}"/>
    <cellStyle name="Normal 4 5 4 4 2 3 3 2 2" xfId="54156" xr:uid="{00000000-0005-0000-0000-0000E6B10000}"/>
    <cellStyle name="Normal 4 5 4 4 2 3 3 3" xfId="40594" xr:uid="{00000000-0005-0000-0000-0000E7B10000}"/>
    <cellStyle name="Normal 4 5 4 4 2 3 4" xfId="20242" xr:uid="{00000000-0005-0000-0000-0000E8B10000}"/>
    <cellStyle name="Normal 4 5 4 4 2 3 4 2" xfId="47375" xr:uid="{00000000-0005-0000-0000-0000E9B10000}"/>
    <cellStyle name="Normal 4 5 4 4 2 3 5" xfId="33813" xr:uid="{00000000-0005-0000-0000-0000EAB10000}"/>
    <cellStyle name="Normal 4 5 4 4 2 4" xfId="10052" xr:uid="{00000000-0005-0000-0000-0000EBB10000}"/>
    <cellStyle name="Normal 4 5 4 4 2 4 2" xfId="16842" xr:uid="{00000000-0005-0000-0000-0000ECB10000}"/>
    <cellStyle name="Normal 4 5 4 4 2 4 2 2" xfId="30410" xr:uid="{00000000-0005-0000-0000-0000EDB10000}"/>
    <cellStyle name="Normal 4 5 4 4 2 4 2 2 2" xfId="57543" xr:uid="{00000000-0005-0000-0000-0000EEB10000}"/>
    <cellStyle name="Normal 4 5 4 4 2 4 2 3" xfId="43981" xr:uid="{00000000-0005-0000-0000-0000EFB10000}"/>
    <cellStyle name="Normal 4 5 4 4 2 4 3" xfId="23629" xr:uid="{00000000-0005-0000-0000-0000F0B10000}"/>
    <cellStyle name="Normal 4 5 4 4 2 4 3 2" xfId="50762" xr:uid="{00000000-0005-0000-0000-0000F1B10000}"/>
    <cellStyle name="Normal 4 5 4 4 2 4 4" xfId="37200" xr:uid="{00000000-0005-0000-0000-0000F2B10000}"/>
    <cellStyle name="Normal 4 5 4 4 2 5" xfId="13453" xr:uid="{00000000-0005-0000-0000-0000F3B10000}"/>
    <cellStyle name="Normal 4 5 4 4 2 5 2" xfId="27021" xr:uid="{00000000-0005-0000-0000-0000F4B10000}"/>
    <cellStyle name="Normal 4 5 4 4 2 5 2 2" xfId="54154" xr:uid="{00000000-0005-0000-0000-0000F5B10000}"/>
    <cellStyle name="Normal 4 5 4 4 2 5 3" xfId="40592" xr:uid="{00000000-0005-0000-0000-0000F6B10000}"/>
    <cellStyle name="Normal 4 5 4 4 2 6" xfId="20240" xr:uid="{00000000-0005-0000-0000-0000F7B10000}"/>
    <cellStyle name="Normal 4 5 4 4 2 6 2" xfId="47373" xr:uid="{00000000-0005-0000-0000-0000F8B10000}"/>
    <cellStyle name="Normal 4 5 4 4 2 7" xfId="33811" xr:uid="{00000000-0005-0000-0000-0000F9B10000}"/>
    <cellStyle name="Normal 4 5 4 4 3" xfId="6523" xr:uid="{00000000-0005-0000-0000-0000FAB10000}"/>
    <cellStyle name="Normal 4 5 4 4 3 2" xfId="10055" xr:uid="{00000000-0005-0000-0000-0000FBB10000}"/>
    <cellStyle name="Normal 4 5 4 4 3 2 2" xfId="16845" xr:uid="{00000000-0005-0000-0000-0000FCB10000}"/>
    <cellStyle name="Normal 4 5 4 4 3 2 2 2" xfId="30413" xr:uid="{00000000-0005-0000-0000-0000FDB10000}"/>
    <cellStyle name="Normal 4 5 4 4 3 2 2 2 2" xfId="57546" xr:uid="{00000000-0005-0000-0000-0000FEB10000}"/>
    <cellStyle name="Normal 4 5 4 4 3 2 2 3" xfId="43984" xr:uid="{00000000-0005-0000-0000-0000FFB10000}"/>
    <cellStyle name="Normal 4 5 4 4 3 2 3" xfId="23632" xr:uid="{00000000-0005-0000-0000-000000B20000}"/>
    <cellStyle name="Normal 4 5 4 4 3 2 3 2" xfId="50765" xr:uid="{00000000-0005-0000-0000-000001B20000}"/>
    <cellStyle name="Normal 4 5 4 4 3 2 4" xfId="37203" xr:uid="{00000000-0005-0000-0000-000002B20000}"/>
    <cellStyle name="Normal 4 5 4 4 3 3" xfId="13456" xr:uid="{00000000-0005-0000-0000-000003B20000}"/>
    <cellStyle name="Normal 4 5 4 4 3 3 2" xfId="27024" xr:uid="{00000000-0005-0000-0000-000004B20000}"/>
    <cellStyle name="Normal 4 5 4 4 3 3 2 2" xfId="54157" xr:uid="{00000000-0005-0000-0000-000005B20000}"/>
    <cellStyle name="Normal 4 5 4 4 3 3 3" xfId="40595" xr:uid="{00000000-0005-0000-0000-000006B20000}"/>
    <cellStyle name="Normal 4 5 4 4 3 4" xfId="20243" xr:uid="{00000000-0005-0000-0000-000007B20000}"/>
    <cellStyle name="Normal 4 5 4 4 3 4 2" xfId="47376" xr:uid="{00000000-0005-0000-0000-000008B20000}"/>
    <cellStyle name="Normal 4 5 4 4 3 5" xfId="33814" xr:uid="{00000000-0005-0000-0000-000009B20000}"/>
    <cellStyle name="Normal 4 5 4 4 4" xfId="6524" xr:uid="{00000000-0005-0000-0000-00000AB20000}"/>
    <cellStyle name="Normal 4 5 4 4 4 2" xfId="10056" xr:uid="{00000000-0005-0000-0000-00000BB20000}"/>
    <cellStyle name="Normal 4 5 4 4 4 2 2" xfId="16846" xr:uid="{00000000-0005-0000-0000-00000CB20000}"/>
    <cellStyle name="Normal 4 5 4 4 4 2 2 2" xfId="30414" xr:uid="{00000000-0005-0000-0000-00000DB20000}"/>
    <cellStyle name="Normal 4 5 4 4 4 2 2 2 2" xfId="57547" xr:uid="{00000000-0005-0000-0000-00000EB20000}"/>
    <cellStyle name="Normal 4 5 4 4 4 2 2 3" xfId="43985" xr:uid="{00000000-0005-0000-0000-00000FB20000}"/>
    <cellStyle name="Normal 4 5 4 4 4 2 3" xfId="23633" xr:uid="{00000000-0005-0000-0000-000010B20000}"/>
    <cellStyle name="Normal 4 5 4 4 4 2 3 2" xfId="50766" xr:uid="{00000000-0005-0000-0000-000011B20000}"/>
    <cellStyle name="Normal 4 5 4 4 4 2 4" xfId="37204" xr:uid="{00000000-0005-0000-0000-000012B20000}"/>
    <cellStyle name="Normal 4 5 4 4 4 3" xfId="13457" xr:uid="{00000000-0005-0000-0000-000013B20000}"/>
    <cellStyle name="Normal 4 5 4 4 4 3 2" xfId="27025" xr:uid="{00000000-0005-0000-0000-000014B20000}"/>
    <cellStyle name="Normal 4 5 4 4 4 3 2 2" xfId="54158" xr:uid="{00000000-0005-0000-0000-000015B20000}"/>
    <cellStyle name="Normal 4 5 4 4 4 3 3" xfId="40596" xr:uid="{00000000-0005-0000-0000-000016B20000}"/>
    <cellStyle name="Normal 4 5 4 4 4 4" xfId="20244" xr:uid="{00000000-0005-0000-0000-000017B20000}"/>
    <cellStyle name="Normal 4 5 4 4 4 4 2" xfId="47377" xr:uid="{00000000-0005-0000-0000-000018B20000}"/>
    <cellStyle name="Normal 4 5 4 4 4 5" xfId="33815" xr:uid="{00000000-0005-0000-0000-000019B20000}"/>
    <cellStyle name="Normal 4 5 4 4 5" xfId="10051" xr:uid="{00000000-0005-0000-0000-00001AB20000}"/>
    <cellStyle name="Normal 4 5 4 4 5 2" xfId="16841" xr:uid="{00000000-0005-0000-0000-00001BB20000}"/>
    <cellStyle name="Normal 4 5 4 4 5 2 2" xfId="30409" xr:uid="{00000000-0005-0000-0000-00001CB20000}"/>
    <cellStyle name="Normal 4 5 4 4 5 2 2 2" xfId="57542" xr:uid="{00000000-0005-0000-0000-00001DB20000}"/>
    <cellStyle name="Normal 4 5 4 4 5 2 3" xfId="43980" xr:uid="{00000000-0005-0000-0000-00001EB20000}"/>
    <cellStyle name="Normal 4 5 4 4 5 3" xfId="23628" xr:uid="{00000000-0005-0000-0000-00001FB20000}"/>
    <cellStyle name="Normal 4 5 4 4 5 3 2" xfId="50761" xr:uid="{00000000-0005-0000-0000-000020B20000}"/>
    <cellStyle name="Normal 4 5 4 4 5 4" xfId="37199" xr:uid="{00000000-0005-0000-0000-000021B20000}"/>
    <cellStyle name="Normal 4 5 4 4 6" xfId="13452" xr:uid="{00000000-0005-0000-0000-000022B20000}"/>
    <cellStyle name="Normal 4 5 4 4 6 2" xfId="27020" xr:uid="{00000000-0005-0000-0000-000023B20000}"/>
    <cellStyle name="Normal 4 5 4 4 6 2 2" xfId="54153" xr:uid="{00000000-0005-0000-0000-000024B20000}"/>
    <cellStyle name="Normal 4 5 4 4 6 3" xfId="40591" xr:uid="{00000000-0005-0000-0000-000025B20000}"/>
    <cellStyle name="Normal 4 5 4 4 7" xfId="20239" xr:uid="{00000000-0005-0000-0000-000026B20000}"/>
    <cellStyle name="Normal 4 5 4 4 7 2" xfId="47372" xr:uid="{00000000-0005-0000-0000-000027B20000}"/>
    <cellStyle name="Normal 4 5 4 4 8" xfId="33810" xr:uid="{00000000-0005-0000-0000-000028B20000}"/>
    <cellStyle name="Normal 4 5 4 5" xfId="6525" xr:uid="{00000000-0005-0000-0000-000029B20000}"/>
    <cellStyle name="Normal 4 5 4 5 2" xfId="6526" xr:uid="{00000000-0005-0000-0000-00002AB20000}"/>
    <cellStyle name="Normal 4 5 4 5 2 2" xfId="10058" xr:uid="{00000000-0005-0000-0000-00002BB20000}"/>
    <cellStyle name="Normal 4 5 4 5 2 2 2" xfId="16848" xr:uid="{00000000-0005-0000-0000-00002CB20000}"/>
    <cellStyle name="Normal 4 5 4 5 2 2 2 2" xfId="30416" xr:uid="{00000000-0005-0000-0000-00002DB20000}"/>
    <cellStyle name="Normal 4 5 4 5 2 2 2 2 2" xfId="57549" xr:uid="{00000000-0005-0000-0000-00002EB20000}"/>
    <cellStyle name="Normal 4 5 4 5 2 2 2 3" xfId="43987" xr:uid="{00000000-0005-0000-0000-00002FB20000}"/>
    <cellStyle name="Normal 4 5 4 5 2 2 3" xfId="23635" xr:uid="{00000000-0005-0000-0000-000030B20000}"/>
    <cellStyle name="Normal 4 5 4 5 2 2 3 2" xfId="50768" xr:uid="{00000000-0005-0000-0000-000031B20000}"/>
    <cellStyle name="Normal 4 5 4 5 2 2 4" xfId="37206" xr:uid="{00000000-0005-0000-0000-000032B20000}"/>
    <cellStyle name="Normal 4 5 4 5 2 3" xfId="13459" xr:uid="{00000000-0005-0000-0000-000033B20000}"/>
    <cellStyle name="Normal 4 5 4 5 2 3 2" xfId="27027" xr:uid="{00000000-0005-0000-0000-000034B20000}"/>
    <cellStyle name="Normal 4 5 4 5 2 3 2 2" xfId="54160" xr:uid="{00000000-0005-0000-0000-000035B20000}"/>
    <cellStyle name="Normal 4 5 4 5 2 3 3" xfId="40598" xr:uid="{00000000-0005-0000-0000-000036B20000}"/>
    <cellStyle name="Normal 4 5 4 5 2 4" xfId="20246" xr:uid="{00000000-0005-0000-0000-000037B20000}"/>
    <cellStyle name="Normal 4 5 4 5 2 4 2" xfId="47379" xr:uid="{00000000-0005-0000-0000-000038B20000}"/>
    <cellStyle name="Normal 4 5 4 5 2 5" xfId="33817" xr:uid="{00000000-0005-0000-0000-000039B20000}"/>
    <cellStyle name="Normal 4 5 4 5 3" xfId="6527" xr:uid="{00000000-0005-0000-0000-00003AB20000}"/>
    <cellStyle name="Normal 4 5 4 5 3 2" xfId="10059" xr:uid="{00000000-0005-0000-0000-00003BB20000}"/>
    <cellStyle name="Normal 4 5 4 5 3 2 2" xfId="16849" xr:uid="{00000000-0005-0000-0000-00003CB20000}"/>
    <cellStyle name="Normal 4 5 4 5 3 2 2 2" xfId="30417" xr:uid="{00000000-0005-0000-0000-00003DB20000}"/>
    <cellStyle name="Normal 4 5 4 5 3 2 2 2 2" xfId="57550" xr:uid="{00000000-0005-0000-0000-00003EB20000}"/>
    <cellStyle name="Normal 4 5 4 5 3 2 2 3" xfId="43988" xr:uid="{00000000-0005-0000-0000-00003FB20000}"/>
    <cellStyle name="Normal 4 5 4 5 3 2 3" xfId="23636" xr:uid="{00000000-0005-0000-0000-000040B20000}"/>
    <cellStyle name="Normal 4 5 4 5 3 2 3 2" xfId="50769" xr:uid="{00000000-0005-0000-0000-000041B20000}"/>
    <cellStyle name="Normal 4 5 4 5 3 2 4" xfId="37207" xr:uid="{00000000-0005-0000-0000-000042B20000}"/>
    <cellStyle name="Normal 4 5 4 5 3 3" xfId="13460" xr:uid="{00000000-0005-0000-0000-000043B20000}"/>
    <cellStyle name="Normal 4 5 4 5 3 3 2" xfId="27028" xr:uid="{00000000-0005-0000-0000-000044B20000}"/>
    <cellStyle name="Normal 4 5 4 5 3 3 2 2" xfId="54161" xr:uid="{00000000-0005-0000-0000-000045B20000}"/>
    <cellStyle name="Normal 4 5 4 5 3 3 3" xfId="40599" xr:uid="{00000000-0005-0000-0000-000046B20000}"/>
    <cellStyle name="Normal 4 5 4 5 3 4" xfId="20247" xr:uid="{00000000-0005-0000-0000-000047B20000}"/>
    <cellStyle name="Normal 4 5 4 5 3 4 2" xfId="47380" xr:uid="{00000000-0005-0000-0000-000048B20000}"/>
    <cellStyle name="Normal 4 5 4 5 3 5" xfId="33818" xr:uid="{00000000-0005-0000-0000-000049B20000}"/>
    <cellStyle name="Normal 4 5 4 5 4" xfId="10057" xr:uid="{00000000-0005-0000-0000-00004AB20000}"/>
    <cellStyle name="Normal 4 5 4 5 4 2" xfId="16847" xr:uid="{00000000-0005-0000-0000-00004BB20000}"/>
    <cellStyle name="Normal 4 5 4 5 4 2 2" xfId="30415" xr:uid="{00000000-0005-0000-0000-00004CB20000}"/>
    <cellStyle name="Normal 4 5 4 5 4 2 2 2" xfId="57548" xr:uid="{00000000-0005-0000-0000-00004DB20000}"/>
    <cellStyle name="Normal 4 5 4 5 4 2 3" xfId="43986" xr:uid="{00000000-0005-0000-0000-00004EB20000}"/>
    <cellStyle name="Normal 4 5 4 5 4 3" xfId="23634" xr:uid="{00000000-0005-0000-0000-00004FB20000}"/>
    <cellStyle name="Normal 4 5 4 5 4 3 2" xfId="50767" xr:uid="{00000000-0005-0000-0000-000050B20000}"/>
    <cellStyle name="Normal 4 5 4 5 4 4" xfId="37205" xr:uid="{00000000-0005-0000-0000-000051B20000}"/>
    <cellStyle name="Normal 4 5 4 5 5" xfId="13458" xr:uid="{00000000-0005-0000-0000-000052B20000}"/>
    <cellStyle name="Normal 4 5 4 5 5 2" xfId="27026" xr:uid="{00000000-0005-0000-0000-000053B20000}"/>
    <cellStyle name="Normal 4 5 4 5 5 2 2" xfId="54159" xr:uid="{00000000-0005-0000-0000-000054B20000}"/>
    <cellStyle name="Normal 4 5 4 5 5 3" xfId="40597" xr:uid="{00000000-0005-0000-0000-000055B20000}"/>
    <cellStyle name="Normal 4 5 4 5 6" xfId="20245" xr:uid="{00000000-0005-0000-0000-000056B20000}"/>
    <cellStyle name="Normal 4 5 4 5 6 2" xfId="47378" xr:uid="{00000000-0005-0000-0000-000057B20000}"/>
    <cellStyle name="Normal 4 5 4 5 7" xfId="33816" xr:uid="{00000000-0005-0000-0000-000058B20000}"/>
    <cellStyle name="Normal 4 5 4 6" xfId="6528" xr:uid="{00000000-0005-0000-0000-000059B20000}"/>
    <cellStyle name="Normal 4 5 4 6 2" xfId="6529" xr:uid="{00000000-0005-0000-0000-00005AB20000}"/>
    <cellStyle name="Normal 4 5 4 6 2 2" xfId="10061" xr:uid="{00000000-0005-0000-0000-00005BB20000}"/>
    <cellStyle name="Normal 4 5 4 6 2 2 2" xfId="16851" xr:uid="{00000000-0005-0000-0000-00005CB20000}"/>
    <cellStyle name="Normal 4 5 4 6 2 2 2 2" xfId="30419" xr:uid="{00000000-0005-0000-0000-00005DB20000}"/>
    <cellStyle name="Normal 4 5 4 6 2 2 2 2 2" xfId="57552" xr:uid="{00000000-0005-0000-0000-00005EB20000}"/>
    <cellStyle name="Normal 4 5 4 6 2 2 2 3" xfId="43990" xr:uid="{00000000-0005-0000-0000-00005FB20000}"/>
    <cellStyle name="Normal 4 5 4 6 2 2 3" xfId="23638" xr:uid="{00000000-0005-0000-0000-000060B20000}"/>
    <cellStyle name="Normal 4 5 4 6 2 2 3 2" xfId="50771" xr:uid="{00000000-0005-0000-0000-000061B20000}"/>
    <cellStyle name="Normal 4 5 4 6 2 2 4" xfId="37209" xr:uid="{00000000-0005-0000-0000-000062B20000}"/>
    <cellStyle name="Normal 4 5 4 6 2 3" xfId="13462" xr:uid="{00000000-0005-0000-0000-000063B20000}"/>
    <cellStyle name="Normal 4 5 4 6 2 3 2" xfId="27030" xr:uid="{00000000-0005-0000-0000-000064B20000}"/>
    <cellStyle name="Normal 4 5 4 6 2 3 2 2" xfId="54163" xr:uid="{00000000-0005-0000-0000-000065B20000}"/>
    <cellStyle name="Normal 4 5 4 6 2 3 3" xfId="40601" xr:uid="{00000000-0005-0000-0000-000066B20000}"/>
    <cellStyle name="Normal 4 5 4 6 2 4" xfId="20249" xr:uid="{00000000-0005-0000-0000-000067B20000}"/>
    <cellStyle name="Normal 4 5 4 6 2 4 2" xfId="47382" xr:uid="{00000000-0005-0000-0000-000068B20000}"/>
    <cellStyle name="Normal 4 5 4 6 2 5" xfId="33820" xr:uid="{00000000-0005-0000-0000-000069B20000}"/>
    <cellStyle name="Normal 4 5 4 6 3" xfId="6530" xr:uid="{00000000-0005-0000-0000-00006AB20000}"/>
    <cellStyle name="Normal 4 5 4 6 3 2" xfId="10062" xr:uid="{00000000-0005-0000-0000-00006BB20000}"/>
    <cellStyle name="Normal 4 5 4 6 3 2 2" xfId="16852" xr:uid="{00000000-0005-0000-0000-00006CB20000}"/>
    <cellStyle name="Normal 4 5 4 6 3 2 2 2" xfId="30420" xr:uid="{00000000-0005-0000-0000-00006DB20000}"/>
    <cellStyle name="Normal 4 5 4 6 3 2 2 2 2" xfId="57553" xr:uid="{00000000-0005-0000-0000-00006EB20000}"/>
    <cellStyle name="Normal 4 5 4 6 3 2 2 3" xfId="43991" xr:uid="{00000000-0005-0000-0000-00006FB20000}"/>
    <cellStyle name="Normal 4 5 4 6 3 2 3" xfId="23639" xr:uid="{00000000-0005-0000-0000-000070B20000}"/>
    <cellStyle name="Normal 4 5 4 6 3 2 3 2" xfId="50772" xr:uid="{00000000-0005-0000-0000-000071B20000}"/>
    <cellStyle name="Normal 4 5 4 6 3 2 4" xfId="37210" xr:uid="{00000000-0005-0000-0000-000072B20000}"/>
    <cellStyle name="Normal 4 5 4 6 3 3" xfId="13463" xr:uid="{00000000-0005-0000-0000-000073B20000}"/>
    <cellStyle name="Normal 4 5 4 6 3 3 2" xfId="27031" xr:uid="{00000000-0005-0000-0000-000074B20000}"/>
    <cellStyle name="Normal 4 5 4 6 3 3 2 2" xfId="54164" xr:uid="{00000000-0005-0000-0000-000075B20000}"/>
    <cellStyle name="Normal 4 5 4 6 3 3 3" xfId="40602" xr:uid="{00000000-0005-0000-0000-000076B20000}"/>
    <cellStyle name="Normal 4 5 4 6 3 4" xfId="20250" xr:uid="{00000000-0005-0000-0000-000077B20000}"/>
    <cellStyle name="Normal 4 5 4 6 3 4 2" xfId="47383" xr:uid="{00000000-0005-0000-0000-000078B20000}"/>
    <cellStyle name="Normal 4 5 4 6 3 5" xfId="33821" xr:uid="{00000000-0005-0000-0000-000079B20000}"/>
    <cellStyle name="Normal 4 5 4 6 4" xfId="10060" xr:uid="{00000000-0005-0000-0000-00007AB20000}"/>
    <cellStyle name="Normal 4 5 4 6 4 2" xfId="16850" xr:uid="{00000000-0005-0000-0000-00007BB20000}"/>
    <cellStyle name="Normal 4 5 4 6 4 2 2" xfId="30418" xr:uid="{00000000-0005-0000-0000-00007CB20000}"/>
    <cellStyle name="Normal 4 5 4 6 4 2 2 2" xfId="57551" xr:uid="{00000000-0005-0000-0000-00007DB20000}"/>
    <cellStyle name="Normal 4 5 4 6 4 2 3" xfId="43989" xr:uid="{00000000-0005-0000-0000-00007EB20000}"/>
    <cellStyle name="Normal 4 5 4 6 4 3" xfId="23637" xr:uid="{00000000-0005-0000-0000-00007FB20000}"/>
    <cellStyle name="Normal 4 5 4 6 4 3 2" xfId="50770" xr:uid="{00000000-0005-0000-0000-000080B20000}"/>
    <cellStyle name="Normal 4 5 4 6 4 4" xfId="37208" xr:uid="{00000000-0005-0000-0000-000081B20000}"/>
    <cellStyle name="Normal 4 5 4 6 5" xfId="13461" xr:uid="{00000000-0005-0000-0000-000082B20000}"/>
    <cellStyle name="Normal 4 5 4 6 5 2" xfId="27029" xr:uid="{00000000-0005-0000-0000-000083B20000}"/>
    <cellStyle name="Normal 4 5 4 6 5 2 2" xfId="54162" xr:uid="{00000000-0005-0000-0000-000084B20000}"/>
    <cellStyle name="Normal 4 5 4 6 5 3" xfId="40600" xr:uid="{00000000-0005-0000-0000-000085B20000}"/>
    <cellStyle name="Normal 4 5 4 6 6" xfId="20248" xr:uid="{00000000-0005-0000-0000-000086B20000}"/>
    <cellStyle name="Normal 4 5 4 6 6 2" xfId="47381" xr:uid="{00000000-0005-0000-0000-000087B20000}"/>
    <cellStyle name="Normal 4 5 4 6 7" xfId="33819" xr:uid="{00000000-0005-0000-0000-000088B20000}"/>
    <cellStyle name="Normal 4 5 4 7" xfId="6531" xr:uid="{00000000-0005-0000-0000-000089B20000}"/>
    <cellStyle name="Normal 4 5 4 7 2" xfId="10063" xr:uid="{00000000-0005-0000-0000-00008AB20000}"/>
    <cellStyle name="Normal 4 5 4 7 2 2" xfId="16853" xr:uid="{00000000-0005-0000-0000-00008BB20000}"/>
    <cellStyle name="Normal 4 5 4 7 2 2 2" xfId="30421" xr:uid="{00000000-0005-0000-0000-00008CB20000}"/>
    <cellStyle name="Normal 4 5 4 7 2 2 2 2" xfId="57554" xr:uid="{00000000-0005-0000-0000-00008DB20000}"/>
    <cellStyle name="Normal 4 5 4 7 2 2 3" xfId="43992" xr:uid="{00000000-0005-0000-0000-00008EB20000}"/>
    <cellStyle name="Normal 4 5 4 7 2 3" xfId="23640" xr:uid="{00000000-0005-0000-0000-00008FB20000}"/>
    <cellStyle name="Normal 4 5 4 7 2 3 2" xfId="50773" xr:uid="{00000000-0005-0000-0000-000090B20000}"/>
    <cellStyle name="Normal 4 5 4 7 2 4" xfId="37211" xr:uid="{00000000-0005-0000-0000-000091B20000}"/>
    <cellStyle name="Normal 4 5 4 7 3" xfId="13464" xr:uid="{00000000-0005-0000-0000-000092B20000}"/>
    <cellStyle name="Normal 4 5 4 7 3 2" xfId="27032" xr:uid="{00000000-0005-0000-0000-000093B20000}"/>
    <cellStyle name="Normal 4 5 4 7 3 2 2" xfId="54165" xr:uid="{00000000-0005-0000-0000-000094B20000}"/>
    <cellStyle name="Normal 4 5 4 7 3 3" xfId="40603" xr:uid="{00000000-0005-0000-0000-000095B20000}"/>
    <cellStyle name="Normal 4 5 4 7 4" xfId="20251" xr:uid="{00000000-0005-0000-0000-000096B20000}"/>
    <cellStyle name="Normal 4 5 4 7 4 2" xfId="47384" xr:uid="{00000000-0005-0000-0000-000097B20000}"/>
    <cellStyle name="Normal 4 5 4 7 5" xfId="33822" xr:uid="{00000000-0005-0000-0000-000098B20000}"/>
    <cellStyle name="Normal 4 5 4 8" xfId="6532" xr:uid="{00000000-0005-0000-0000-000099B20000}"/>
    <cellStyle name="Normal 4 5 4 8 2" xfId="10064" xr:uid="{00000000-0005-0000-0000-00009AB20000}"/>
    <cellStyle name="Normal 4 5 4 8 2 2" xfId="16854" xr:uid="{00000000-0005-0000-0000-00009BB20000}"/>
    <cellStyle name="Normal 4 5 4 8 2 2 2" xfId="30422" xr:uid="{00000000-0005-0000-0000-00009CB20000}"/>
    <cellStyle name="Normal 4 5 4 8 2 2 2 2" xfId="57555" xr:uid="{00000000-0005-0000-0000-00009DB20000}"/>
    <cellStyle name="Normal 4 5 4 8 2 2 3" xfId="43993" xr:uid="{00000000-0005-0000-0000-00009EB20000}"/>
    <cellStyle name="Normal 4 5 4 8 2 3" xfId="23641" xr:uid="{00000000-0005-0000-0000-00009FB20000}"/>
    <cellStyle name="Normal 4 5 4 8 2 3 2" xfId="50774" xr:uid="{00000000-0005-0000-0000-0000A0B20000}"/>
    <cellStyle name="Normal 4 5 4 8 2 4" xfId="37212" xr:uid="{00000000-0005-0000-0000-0000A1B20000}"/>
    <cellStyle name="Normal 4 5 4 8 3" xfId="13465" xr:uid="{00000000-0005-0000-0000-0000A2B20000}"/>
    <cellStyle name="Normal 4 5 4 8 3 2" xfId="27033" xr:uid="{00000000-0005-0000-0000-0000A3B20000}"/>
    <cellStyle name="Normal 4 5 4 8 3 2 2" xfId="54166" xr:uid="{00000000-0005-0000-0000-0000A4B20000}"/>
    <cellStyle name="Normal 4 5 4 8 3 3" xfId="40604" xr:uid="{00000000-0005-0000-0000-0000A5B20000}"/>
    <cellStyle name="Normal 4 5 4 8 4" xfId="20252" xr:uid="{00000000-0005-0000-0000-0000A6B20000}"/>
    <cellStyle name="Normal 4 5 4 8 4 2" xfId="47385" xr:uid="{00000000-0005-0000-0000-0000A7B20000}"/>
    <cellStyle name="Normal 4 5 4 8 5" xfId="33823" xr:uid="{00000000-0005-0000-0000-0000A8B20000}"/>
    <cellStyle name="Normal 4 5 4 9" xfId="10026" xr:uid="{00000000-0005-0000-0000-0000A9B20000}"/>
    <cellStyle name="Normal 4 5 4 9 2" xfId="16816" xr:uid="{00000000-0005-0000-0000-0000AAB20000}"/>
    <cellStyle name="Normal 4 5 4 9 2 2" xfId="30384" xr:uid="{00000000-0005-0000-0000-0000ABB20000}"/>
    <cellStyle name="Normal 4 5 4 9 2 2 2" xfId="57517" xr:uid="{00000000-0005-0000-0000-0000ACB20000}"/>
    <cellStyle name="Normal 4 5 4 9 2 3" xfId="43955" xr:uid="{00000000-0005-0000-0000-0000ADB20000}"/>
    <cellStyle name="Normal 4 5 4 9 3" xfId="23603" xr:uid="{00000000-0005-0000-0000-0000AEB20000}"/>
    <cellStyle name="Normal 4 5 4 9 3 2" xfId="50736" xr:uid="{00000000-0005-0000-0000-0000AFB20000}"/>
    <cellStyle name="Normal 4 5 4 9 4" xfId="37174" xr:uid="{00000000-0005-0000-0000-0000B0B20000}"/>
    <cellStyle name="Normal 4 5 5" xfId="6533" xr:uid="{00000000-0005-0000-0000-0000B1B20000}"/>
    <cellStyle name="Normal 4 5 5 10" xfId="33824" xr:uid="{00000000-0005-0000-0000-0000B2B20000}"/>
    <cellStyle name="Normal 4 5 5 2" xfId="6534" xr:uid="{00000000-0005-0000-0000-0000B3B20000}"/>
    <cellStyle name="Normal 4 5 5 2 2" xfId="6535" xr:uid="{00000000-0005-0000-0000-0000B4B20000}"/>
    <cellStyle name="Normal 4 5 5 2 2 2" xfId="6536" xr:uid="{00000000-0005-0000-0000-0000B5B20000}"/>
    <cellStyle name="Normal 4 5 5 2 2 2 2" xfId="10068" xr:uid="{00000000-0005-0000-0000-0000B6B20000}"/>
    <cellStyle name="Normal 4 5 5 2 2 2 2 2" xfId="16858" xr:uid="{00000000-0005-0000-0000-0000B7B20000}"/>
    <cellStyle name="Normal 4 5 5 2 2 2 2 2 2" xfId="30426" xr:uid="{00000000-0005-0000-0000-0000B8B20000}"/>
    <cellStyle name="Normal 4 5 5 2 2 2 2 2 2 2" xfId="57559" xr:uid="{00000000-0005-0000-0000-0000B9B20000}"/>
    <cellStyle name="Normal 4 5 5 2 2 2 2 2 3" xfId="43997" xr:uid="{00000000-0005-0000-0000-0000BAB20000}"/>
    <cellStyle name="Normal 4 5 5 2 2 2 2 3" xfId="23645" xr:uid="{00000000-0005-0000-0000-0000BBB20000}"/>
    <cellStyle name="Normal 4 5 5 2 2 2 2 3 2" xfId="50778" xr:uid="{00000000-0005-0000-0000-0000BCB20000}"/>
    <cellStyle name="Normal 4 5 5 2 2 2 2 4" xfId="37216" xr:uid="{00000000-0005-0000-0000-0000BDB20000}"/>
    <cellStyle name="Normal 4 5 5 2 2 2 3" xfId="13469" xr:uid="{00000000-0005-0000-0000-0000BEB20000}"/>
    <cellStyle name="Normal 4 5 5 2 2 2 3 2" xfId="27037" xr:uid="{00000000-0005-0000-0000-0000BFB20000}"/>
    <cellStyle name="Normal 4 5 5 2 2 2 3 2 2" xfId="54170" xr:uid="{00000000-0005-0000-0000-0000C0B20000}"/>
    <cellStyle name="Normal 4 5 5 2 2 2 3 3" xfId="40608" xr:uid="{00000000-0005-0000-0000-0000C1B20000}"/>
    <cellStyle name="Normal 4 5 5 2 2 2 4" xfId="20256" xr:uid="{00000000-0005-0000-0000-0000C2B20000}"/>
    <cellStyle name="Normal 4 5 5 2 2 2 4 2" xfId="47389" xr:uid="{00000000-0005-0000-0000-0000C3B20000}"/>
    <cellStyle name="Normal 4 5 5 2 2 2 5" xfId="33827" xr:uid="{00000000-0005-0000-0000-0000C4B20000}"/>
    <cellStyle name="Normal 4 5 5 2 2 3" xfId="6537" xr:uid="{00000000-0005-0000-0000-0000C5B20000}"/>
    <cellStyle name="Normal 4 5 5 2 2 3 2" xfId="10069" xr:uid="{00000000-0005-0000-0000-0000C6B20000}"/>
    <cellStyle name="Normal 4 5 5 2 2 3 2 2" xfId="16859" xr:uid="{00000000-0005-0000-0000-0000C7B20000}"/>
    <cellStyle name="Normal 4 5 5 2 2 3 2 2 2" xfId="30427" xr:uid="{00000000-0005-0000-0000-0000C8B20000}"/>
    <cellStyle name="Normal 4 5 5 2 2 3 2 2 2 2" xfId="57560" xr:uid="{00000000-0005-0000-0000-0000C9B20000}"/>
    <cellStyle name="Normal 4 5 5 2 2 3 2 2 3" xfId="43998" xr:uid="{00000000-0005-0000-0000-0000CAB20000}"/>
    <cellStyle name="Normal 4 5 5 2 2 3 2 3" xfId="23646" xr:uid="{00000000-0005-0000-0000-0000CBB20000}"/>
    <cellStyle name="Normal 4 5 5 2 2 3 2 3 2" xfId="50779" xr:uid="{00000000-0005-0000-0000-0000CCB20000}"/>
    <cellStyle name="Normal 4 5 5 2 2 3 2 4" xfId="37217" xr:uid="{00000000-0005-0000-0000-0000CDB20000}"/>
    <cellStyle name="Normal 4 5 5 2 2 3 3" xfId="13470" xr:uid="{00000000-0005-0000-0000-0000CEB20000}"/>
    <cellStyle name="Normal 4 5 5 2 2 3 3 2" xfId="27038" xr:uid="{00000000-0005-0000-0000-0000CFB20000}"/>
    <cellStyle name="Normal 4 5 5 2 2 3 3 2 2" xfId="54171" xr:uid="{00000000-0005-0000-0000-0000D0B20000}"/>
    <cellStyle name="Normal 4 5 5 2 2 3 3 3" xfId="40609" xr:uid="{00000000-0005-0000-0000-0000D1B20000}"/>
    <cellStyle name="Normal 4 5 5 2 2 3 4" xfId="20257" xr:uid="{00000000-0005-0000-0000-0000D2B20000}"/>
    <cellStyle name="Normal 4 5 5 2 2 3 4 2" xfId="47390" xr:uid="{00000000-0005-0000-0000-0000D3B20000}"/>
    <cellStyle name="Normal 4 5 5 2 2 3 5" xfId="33828" xr:uid="{00000000-0005-0000-0000-0000D4B20000}"/>
    <cellStyle name="Normal 4 5 5 2 2 4" xfId="10067" xr:uid="{00000000-0005-0000-0000-0000D5B20000}"/>
    <cellStyle name="Normal 4 5 5 2 2 4 2" xfId="16857" xr:uid="{00000000-0005-0000-0000-0000D6B20000}"/>
    <cellStyle name="Normal 4 5 5 2 2 4 2 2" xfId="30425" xr:uid="{00000000-0005-0000-0000-0000D7B20000}"/>
    <cellStyle name="Normal 4 5 5 2 2 4 2 2 2" xfId="57558" xr:uid="{00000000-0005-0000-0000-0000D8B20000}"/>
    <cellStyle name="Normal 4 5 5 2 2 4 2 3" xfId="43996" xr:uid="{00000000-0005-0000-0000-0000D9B20000}"/>
    <cellStyle name="Normal 4 5 5 2 2 4 3" xfId="23644" xr:uid="{00000000-0005-0000-0000-0000DAB20000}"/>
    <cellStyle name="Normal 4 5 5 2 2 4 3 2" xfId="50777" xr:uid="{00000000-0005-0000-0000-0000DBB20000}"/>
    <cellStyle name="Normal 4 5 5 2 2 4 4" xfId="37215" xr:uid="{00000000-0005-0000-0000-0000DCB20000}"/>
    <cellStyle name="Normal 4 5 5 2 2 5" xfId="13468" xr:uid="{00000000-0005-0000-0000-0000DDB20000}"/>
    <cellStyle name="Normal 4 5 5 2 2 5 2" xfId="27036" xr:uid="{00000000-0005-0000-0000-0000DEB20000}"/>
    <cellStyle name="Normal 4 5 5 2 2 5 2 2" xfId="54169" xr:uid="{00000000-0005-0000-0000-0000DFB20000}"/>
    <cellStyle name="Normal 4 5 5 2 2 5 3" xfId="40607" xr:uid="{00000000-0005-0000-0000-0000E0B20000}"/>
    <cellStyle name="Normal 4 5 5 2 2 6" xfId="20255" xr:uid="{00000000-0005-0000-0000-0000E1B20000}"/>
    <cellStyle name="Normal 4 5 5 2 2 6 2" xfId="47388" xr:uid="{00000000-0005-0000-0000-0000E2B20000}"/>
    <cellStyle name="Normal 4 5 5 2 2 7" xfId="33826" xr:uid="{00000000-0005-0000-0000-0000E3B20000}"/>
    <cellStyle name="Normal 4 5 5 2 3" xfId="6538" xr:uid="{00000000-0005-0000-0000-0000E4B20000}"/>
    <cellStyle name="Normal 4 5 5 2 3 2" xfId="6539" xr:uid="{00000000-0005-0000-0000-0000E5B20000}"/>
    <cellStyle name="Normal 4 5 5 2 3 2 2" xfId="10071" xr:uid="{00000000-0005-0000-0000-0000E6B20000}"/>
    <cellStyle name="Normal 4 5 5 2 3 2 2 2" xfId="16861" xr:uid="{00000000-0005-0000-0000-0000E7B20000}"/>
    <cellStyle name="Normal 4 5 5 2 3 2 2 2 2" xfId="30429" xr:uid="{00000000-0005-0000-0000-0000E8B20000}"/>
    <cellStyle name="Normal 4 5 5 2 3 2 2 2 2 2" xfId="57562" xr:uid="{00000000-0005-0000-0000-0000E9B20000}"/>
    <cellStyle name="Normal 4 5 5 2 3 2 2 2 3" xfId="44000" xr:uid="{00000000-0005-0000-0000-0000EAB20000}"/>
    <cellStyle name="Normal 4 5 5 2 3 2 2 3" xfId="23648" xr:uid="{00000000-0005-0000-0000-0000EBB20000}"/>
    <cellStyle name="Normal 4 5 5 2 3 2 2 3 2" xfId="50781" xr:uid="{00000000-0005-0000-0000-0000ECB20000}"/>
    <cellStyle name="Normal 4 5 5 2 3 2 2 4" xfId="37219" xr:uid="{00000000-0005-0000-0000-0000EDB20000}"/>
    <cellStyle name="Normal 4 5 5 2 3 2 3" xfId="13472" xr:uid="{00000000-0005-0000-0000-0000EEB20000}"/>
    <cellStyle name="Normal 4 5 5 2 3 2 3 2" xfId="27040" xr:uid="{00000000-0005-0000-0000-0000EFB20000}"/>
    <cellStyle name="Normal 4 5 5 2 3 2 3 2 2" xfId="54173" xr:uid="{00000000-0005-0000-0000-0000F0B20000}"/>
    <cellStyle name="Normal 4 5 5 2 3 2 3 3" xfId="40611" xr:uid="{00000000-0005-0000-0000-0000F1B20000}"/>
    <cellStyle name="Normal 4 5 5 2 3 2 4" xfId="20259" xr:uid="{00000000-0005-0000-0000-0000F2B20000}"/>
    <cellStyle name="Normal 4 5 5 2 3 2 4 2" xfId="47392" xr:uid="{00000000-0005-0000-0000-0000F3B20000}"/>
    <cellStyle name="Normal 4 5 5 2 3 2 5" xfId="33830" xr:uid="{00000000-0005-0000-0000-0000F4B20000}"/>
    <cellStyle name="Normal 4 5 5 2 3 3" xfId="10070" xr:uid="{00000000-0005-0000-0000-0000F5B20000}"/>
    <cellStyle name="Normal 4 5 5 2 3 3 2" xfId="16860" xr:uid="{00000000-0005-0000-0000-0000F6B20000}"/>
    <cellStyle name="Normal 4 5 5 2 3 3 2 2" xfId="30428" xr:uid="{00000000-0005-0000-0000-0000F7B20000}"/>
    <cellStyle name="Normal 4 5 5 2 3 3 2 2 2" xfId="57561" xr:uid="{00000000-0005-0000-0000-0000F8B20000}"/>
    <cellStyle name="Normal 4 5 5 2 3 3 2 3" xfId="43999" xr:uid="{00000000-0005-0000-0000-0000F9B20000}"/>
    <cellStyle name="Normal 4 5 5 2 3 3 3" xfId="23647" xr:uid="{00000000-0005-0000-0000-0000FAB20000}"/>
    <cellStyle name="Normal 4 5 5 2 3 3 3 2" xfId="50780" xr:uid="{00000000-0005-0000-0000-0000FBB20000}"/>
    <cellStyle name="Normal 4 5 5 2 3 3 4" xfId="37218" xr:uid="{00000000-0005-0000-0000-0000FCB20000}"/>
    <cellStyle name="Normal 4 5 5 2 3 4" xfId="13471" xr:uid="{00000000-0005-0000-0000-0000FDB20000}"/>
    <cellStyle name="Normal 4 5 5 2 3 4 2" xfId="27039" xr:uid="{00000000-0005-0000-0000-0000FEB20000}"/>
    <cellStyle name="Normal 4 5 5 2 3 4 2 2" xfId="54172" xr:uid="{00000000-0005-0000-0000-0000FFB20000}"/>
    <cellStyle name="Normal 4 5 5 2 3 4 3" xfId="40610" xr:uid="{00000000-0005-0000-0000-000000B30000}"/>
    <cellStyle name="Normal 4 5 5 2 3 5" xfId="20258" xr:uid="{00000000-0005-0000-0000-000001B30000}"/>
    <cellStyle name="Normal 4 5 5 2 3 5 2" xfId="47391" xr:uid="{00000000-0005-0000-0000-000002B30000}"/>
    <cellStyle name="Normal 4 5 5 2 3 6" xfId="33829" xr:uid="{00000000-0005-0000-0000-000003B30000}"/>
    <cellStyle name="Normal 4 5 5 2 4" xfId="6540" xr:uid="{00000000-0005-0000-0000-000004B30000}"/>
    <cellStyle name="Normal 4 5 5 2 4 2" xfId="10072" xr:uid="{00000000-0005-0000-0000-000005B30000}"/>
    <cellStyle name="Normal 4 5 5 2 4 2 2" xfId="16862" xr:uid="{00000000-0005-0000-0000-000006B30000}"/>
    <cellStyle name="Normal 4 5 5 2 4 2 2 2" xfId="30430" xr:uid="{00000000-0005-0000-0000-000007B30000}"/>
    <cellStyle name="Normal 4 5 5 2 4 2 2 2 2" xfId="57563" xr:uid="{00000000-0005-0000-0000-000008B30000}"/>
    <cellStyle name="Normal 4 5 5 2 4 2 2 3" xfId="44001" xr:uid="{00000000-0005-0000-0000-000009B30000}"/>
    <cellStyle name="Normal 4 5 5 2 4 2 3" xfId="23649" xr:uid="{00000000-0005-0000-0000-00000AB30000}"/>
    <cellStyle name="Normal 4 5 5 2 4 2 3 2" xfId="50782" xr:uid="{00000000-0005-0000-0000-00000BB30000}"/>
    <cellStyle name="Normal 4 5 5 2 4 2 4" xfId="37220" xr:uid="{00000000-0005-0000-0000-00000CB30000}"/>
    <cellStyle name="Normal 4 5 5 2 4 3" xfId="13473" xr:uid="{00000000-0005-0000-0000-00000DB30000}"/>
    <cellStyle name="Normal 4 5 5 2 4 3 2" xfId="27041" xr:uid="{00000000-0005-0000-0000-00000EB30000}"/>
    <cellStyle name="Normal 4 5 5 2 4 3 2 2" xfId="54174" xr:uid="{00000000-0005-0000-0000-00000FB30000}"/>
    <cellStyle name="Normal 4 5 5 2 4 3 3" xfId="40612" xr:uid="{00000000-0005-0000-0000-000010B30000}"/>
    <cellStyle name="Normal 4 5 5 2 4 4" xfId="20260" xr:uid="{00000000-0005-0000-0000-000011B30000}"/>
    <cellStyle name="Normal 4 5 5 2 4 4 2" xfId="47393" xr:uid="{00000000-0005-0000-0000-000012B30000}"/>
    <cellStyle name="Normal 4 5 5 2 4 5" xfId="33831" xr:uid="{00000000-0005-0000-0000-000013B30000}"/>
    <cellStyle name="Normal 4 5 5 2 5" xfId="6541" xr:uid="{00000000-0005-0000-0000-000014B30000}"/>
    <cellStyle name="Normal 4 5 5 2 5 2" xfId="10073" xr:uid="{00000000-0005-0000-0000-000015B30000}"/>
    <cellStyle name="Normal 4 5 5 2 5 2 2" xfId="16863" xr:uid="{00000000-0005-0000-0000-000016B30000}"/>
    <cellStyle name="Normal 4 5 5 2 5 2 2 2" xfId="30431" xr:uid="{00000000-0005-0000-0000-000017B30000}"/>
    <cellStyle name="Normal 4 5 5 2 5 2 2 2 2" xfId="57564" xr:uid="{00000000-0005-0000-0000-000018B30000}"/>
    <cellStyle name="Normal 4 5 5 2 5 2 2 3" xfId="44002" xr:uid="{00000000-0005-0000-0000-000019B30000}"/>
    <cellStyle name="Normal 4 5 5 2 5 2 3" xfId="23650" xr:uid="{00000000-0005-0000-0000-00001AB30000}"/>
    <cellStyle name="Normal 4 5 5 2 5 2 3 2" xfId="50783" xr:uid="{00000000-0005-0000-0000-00001BB30000}"/>
    <cellStyle name="Normal 4 5 5 2 5 2 4" xfId="37221" xr:uid="{00000000-0005-0000-0000-00001CB30000}"/>
    <cellStyle name="Normal 4 5 5 2 5 3" xfId="13474" xr:uid="{00000000-0005-0000-0000-00001DB30000}"/>
    <cellStyle name="Normal 4 5 5 2 5 3 2" xfId="27042" xr:uid="{00000000-0005-0000-0000-00001EB30000}"/>
    <cellStyle name="Normal 4 5 5 2 5 3 2 2" xfId="54175" xr:uid="{00000000-0005-0000-0000-00001FB30000}"/>
    <cellStyle name="Normal 4 5 5 2 5 3 3" xfId="40613" xr:uid="{00000000-0005-0000-0000-000020B30000}"/>
    <cellStyle name="Normal 4 5 5 2 5 4" xfId="20261" xr:uid="{00000000-0005-0000-0000-000021B30000}"/>
    <cellStyle name="Normal 4 5 5 2 5 4 2" xfId="47394" xr:uid="{00000000-0005-0000-0000-000022B30000}"/>
    <cellStyle name="Normal 4 5 5 2 5 5" xfId="33832" xr:uid="{00000000-0005-0000-0000-000023B30000}"/>
    <cellStyle name="Normal 4 5 5 2 6" xfId="10066" xr:uid="{00000000-0005-0000-0000-000024B30000}"/>
    <cellStyle name="Normal 4 5 5 2 6 2" xfId="16856" xr:uid="{00000000-0005-0000-0000-000025B30000}"/>
    <cellStyle name="Normal 4 5 5 2 6 2 2" xfId="30424" xr:uid="{00000000-0005-0000-0000-000026B30000}"/>
    <cellStyle name="Normal 4 5 5 2 6 2 2 2" xfId="57557" xr:uid="{00000000-0005-0000-0000-000027B30000}"/>
    <cellStyle name="Normal 4 5 5 2 6 2 3" xfId="43995" xr:uid="{00000000-0005-0000-0000-000028B30000}"/>
    <cellStyle name="Normal 4 5 5 2 6 3" xfId="23643" xr:uid="{00000000-0005-0000-0000-000029B30000}"/>
    <cellStyle name="Normal 4 5 5 2 6 3 2" xfId="50776" xr:uid="{00000000-0005-0000-0000-00002AB30000}"/>
    <cellStyle name="Normal 4 5 5 2 6 4" xfId="37214" xr:uid="{00000000-0005-0000-0000-00002BB30000}"/>
    <cellStyle name="Normal 4 5 5 2 7" xfId="13467" xr:uid="{00000000-0005-0000-0000-00002CB30000}"/>
    <cellStyle name="Normal 4 5 5 2 7 2" xfId="27035" xr:uid="{00000000-0005-0000-0000-00002DB30000}"/>
    <cellStyle name="Normal 4 5 5 2 7 2 2" xfId="54168" xr:uid="{00000000-0005-0000-0000-00002EB30000}"/>
    <cellStyle name="Normal 4 5 5 2 7 3" xfId="40606" xr:uid="{00000000-0005-0000-0000-00002FB30000}"/>
    <cellStyle name="Normal 4 5 5 2 8" xfId="20254" xr:uid="{00000000-0005-0000-0000-000030B30000}"/>
    <cellStyle name="Normal 4 5 5 2 8 2" xfId="47387" xr:uid="{00000000-0005-0000-0000-000031B30000}"/>
    <cellStyle name="Normal 4 5 5 2 9" xfId="33825" xr:uid="{00000000-0005-0000-0000-000032B30000}"/>
    <cellStyle name="Normal 4 5 5 3" xfId="6542" xr:uid="{00000000-0005-0000-0000-000033B30000}"/>
    <cellStyle name="Normal 4 5 5 3 2" xfId="6543" xr:uid="{00000000-0005-0000-0000-000034B30000}"/>
    <cellStyle name="Normal 4 5 5 3 2 2" xfId="10075" xr:uid="{00000000-0005-0000-0000-000035B30000}"/>
    <cellStyle name="Normal 4 5 5 3 2 2 2" xfId="16865" xr:uid="{00000000-0005-0000-0000-000036B30000}"/>
    <cellStyle name="Normal 4 5 5 3 2 2 2 2" xfId="30433" xr:uid="{00000000-0005-0000-0000-000037B30000}"/>
    <cellStyle name="Normal 4 5 5 3 2 2 2 2 2" xfId="57566" xr:uid="{00000000-0005-0000-0000-000038B30000}"/>
    <cellStyle name="Normal 4 5 5 3 2 2 2 3" xfId="44004" xr:uid="{00000000-0005-0000-0000-000039B30000}"/>
    <cellStyle name="Normal 4 5 5 3 2 2 3" xfId="23652" xr:uid="{00000000-0005-0000-0000-00003AB30000}"/>
    <cellStyle name="Normal 4 5 5 3 2 2 3 2" xfId="50785" xr:uid="{00000000-0005-0000-0000-00003BB30000}"/>
    <cellStyle name="Normal 4 5 5 3 2 2 4" xfId="37223" xr:uid="{00000000-0005-0000-0000-00003CB30000}"/>
    <cellStyle name="Normal 4 5 5 3 2 3" xfId="13476" xr:uid="{00000000-0005-0000-0000-00003DB30000}"/>
    <cellStyle name="Normal 4 5 5 3 2 3 2" xfId="27044" xr:uid="{00000000-0005-0000-0000-00003EB30000}"/>
    <cellStyle name="Normal 4 5 5 3 2 3 2 2" xfId="54177" xr:uid="{00000000-0005-0000-0000-00003FB30000}"/>
    <cellStyle name="Normal 4 5 5 3 2 3 3" xfId="40615" xr:uid="{00000000-0005-0000-0000-000040B30000}"/>
    <cellStyle name="Normal 4 5 5 3 2 4" xfId="20263" xr:uid="{00000000-0005-0000-0000-000041B30000}"/>
    <cellStyle name="Normal 4 5 5 3 2 4 2" xfId="47396" xr:uid="{00000000-0005-0000-0000-000042B30000}"/>
    <cellStyle name="Normal 4 5 5 3 2 5" xfId="33834" xr:uid="{00000000-0005-0000-0000-000043B30000}"/>
    <cellStyle name="Normal 4 5 5 3 3" xfId="6544" xr:uid="{00000000-0005-0000-0000-000044B30000}"/>
    <cellStyle name="Normal 4 5 5 3 3 2" xfId="10076" xr:uid="{00000000-0005-0000-0000-000045B30000}"/>
    <cellStyle name="Normal 4 5 5 3 3 2 2" xfId="16866" xr:uid="{00000000-0005-0000-0000-000046B30000}"/>
    <cellStyle name="Normal 4 5 5 3 3 2 2 2" xfId="30434" xr:uid="{00000000-0005-0000-0000-000047B30000}"/>
    <cellStyle name="Normal 4 5 5 3 3 2 2 2 2" xfId="57567" xr:uid="{00000000-0005-0000-0000-000048B30000}"/>
    <cellStyle name="Normal 4 5 5 3 3 2 2 3" xfId="44005" xr:uid="{00000000-0005-0000-0000-000049B30000}"/>
    <cellStyle name="Normal 4 5 5 3 3 2 3" xfId="23653" xr:uid="{00000000-0005-0000-0000-00004AB30000}"/>
    <cellStyle name="Normal 4 5 5 3 3 2 3 2" xfId="50786" xr:uid="{00000000-0005-0000-0000-00004BB30000}"/>
    <cellStyle name="Normal 4 5 5 3 3 2 4" xfId="37224" xr:uid="{00000000-0005-0000-0000-00004CB30000}"/>
    <cellStyle name="Normal 4 5 5 3 3 3" xfId="13477" xr:uid="{00000000-0005-0000-0000-00004DB30000}"/>
    <cellStyle name="Normal 4 5 5 3 3 3 2" xfId="27045" xr:uid="{00000000-0005-0000-0000-00004EB30000}"/>
    <cellStyle name="Normal 4 5 5 3 3 3 2 2" xfId="54178" xr:uid="{00000000-0005-0000-0000-00004FB30000}"/>
    <cellStyle name="Normal 4 5 5 3 3 3 3" xfId="40616" xr:uid="{00000000-0005-0000-0000-000050B30000}"/>
    <cellStyle name="Normal 4 5 5 3 3 4" xfId="20264" xr:uid="{00000000-0005-0000-0000-000051B30000}"/>
    <cellStyle name="Normal 4 5 5 3 3 4 2" xfId="47397" xr:uid="{00000000-0005-0000-0000-000052B30000}"/>
    <cellStyle name="Normal 4 5 5 3 3 5" xfId="33835" xr:uid="{00000000-0005-0000-0000-000053B30000}"/>
    <cellStyle name="Normal 4 5 5 3 4" xfId="10074" xr:uid="{00000000-0005-0000-0000-000054B30000}"/>
    <cellStyle name="Normal 4 5 5 3 4 2" xfId="16864" xr:uid="{00000000-0005-0000-0000-000055B30000}"/>
    <cellStyle name="Normal 4 5 5 3 4 2 2" xfId="30432" xr:uid="{00000000-0005-0000-0000-000056B30000}"/>
    <cellStyle name="Normal 4 5 5 3 4 2 2 2" xfId="57565" xr:uid="{00000000-0005-0000-0000-000057B30000}"/>
    <cellStyle name="Normal 4 5 5 3 4 2 3" xfId="44003" xr:uid="{00000000-0005-0000-0000-000058B30000}"/>
    <cellStyle name="Normal 4 5 5 3 4 3" xfId="23651" xr:uid="{00000000-0005-0000-0000-000059B30000}"/>
    <cellStyle name="Normal 4 5 5 3 4 3 2" xfId="50784" xr:uid="{00000000-0005-0000-0000-00005AB30000}"/>
    <cellStyle name="Normal 4 5 5 3 4 4" xfId="37222" xr:uid="{00000000-0005-0000-0000-00005BB30000}"/>
    <cellStyle name="Normal 4 5 5 3 5" xfId="13475" xr:uid="{00000000-0005-0000-0000-00005CB30000}"/>
    <cellStyle name="Normal 4 5 5 3 5 2" xfId="27043" xr:uid="{00000000-0005-0000-0000-00005DB30000}"/>
    <cellStyle name="Normal 4 5 5 3 5 2 2" xfId="54176" xr:uid="{00000000-0005-0000-0000-00005EB30000}"/>
    <cellStyle name="Normal 4 5 5 3 5 3" xfId="40614" xr:uid="{00000000-0005-0000-0000-00005FB30000}"/>
    <cellStyle name="Normal 4 5 5 3 6" xfId="20262" xr:uid="{00000000-0005-0000-0000-000060B30000}"/>
    <cellStyle name="Normal 4 5 5 3 6 2" xfId="47395" xr:uid="{00000000-0005-0000-0000-000061B30000}"/>
    <cellStyle name="Normal 4 5 5 3 7" xfId="33833" xr:uid="{00000000-0005-0000-0000-000062B30000}"/>
    <cellStyle name="Normal 4 5 5 4" xfId="6545" xr:uid="{00000000-0005-0000-0000-000063B30000}"/>
    <cellStyle name="Normal 4 5 5 4 2" xfId="6546" xr:uid="{00000000-0005-0000-0000-000064B30000}"/>
    <cellStyle name="Normal 4 5 5 4 2 2" xfId="10078" xr:uid="{00000000-0005-0000-0000-000065B30000}"/>
    <cellStyle name="Normal 4 5 5 4 2 2 2" xfId="16868" xr:uid="{00000000-0005-0000-0000-000066B30000}"/>
    <cellStyle name="Normal 4 5 5 4 2 2 2 2" xfId="30436" xr:uid="{00000000-0005-0000-0000-000067B30000}"/>
    <cellStyle name="Normal 4 5 5 4 2 2 2 2 2" xfId="57569" xr:uid="{00000000-0005-0000-0000-000068B30000}"/>
    <cellStyle name="Normal 4 5 5 4 2 2 2 3" xfId="44007" xr:uid="{00000000-0005-0000-0000-000069B30000}"/>
    <cellStyle name="Normal 4 5 5 4 2 2 3" xfId="23655" xr:uid="{00000000-0005-0000-0000-00006AB30000}"/>
    <cellStyle name="Normal 4 5 5 4 2 2 3 2" xfId="50788" xr:uid="{00000000-0005-0000-0000-00006BB30000}"/>
    <cellStyle name="Normal 4 5 5 4 2 2 4" xfId="37226" xr:uid="{00000000-0005-0000-0000-00006CB30000}"/>
    <cellStyle name="Normal 4 5 5 4 2 3" xfId="13479" xr:uid="{00000000-0005-0000-0000-00006DB30000}"/>
    <cellStyle name="Normal 4 5 5 4 2 3 2" xfId="27047" xr:uid="{00000000-0005-0000-0000-00006EB30000}"/>
    <cellStyle name="Normal 4 5 5 4 2 3 2 2" xfId="54180" xr:uid="{00000000-0005-0000-0000-00006FB30000}"/>
    <cellStyle name="Normal 4 5 5 4 2 3 3" xfId="40618" xr:uid="{00000000-0005-0000-0000-000070B30000}"/>
    <cellStyle name="Normal 4 5 5 4 2 4" xfId="20266" xr:uid="{00000000-0005-0000-0000-000071B30000}"/>
    <cellStyle name="Normal 4 5 5 4 2 4 2" xfId="47399" xr:uid="{00000000-0005-0000-0000-000072B30000}"/>
    <cellStyle name="Normal 4 5 5 4 2 5" xfId="33837" xr:uid="{00000000-0005-0000-0000-000073B30000}"/>
    <cellStyle name="Normal 4 5 5 4 3" xfId="10077" xr:uid="{00000000-0005-0000-0000-000074B30000}"/>
    <cellStyle name="Normal 4 5 5 4 3 2" xfId="16867" xr:uid="{00000000-0005-0000-0000-000075B30000}"/>
    <cellStyle name="Normal 4 5 5 4 3 2 2" xfId="30435" xr:uid="{00000000-0005-0000-0000-000076B30000}"/>
    <cellStyle name="Normal 4 5 5 4 3 2 2 2" xfId="57568" xr:uid="{00000000-0005-0000-0000-000077B30000}"/>
    <cellStyle name="Normal 4 5 5 4 3 2 3" xfId="44006" xr:uid="{00000000-0005-0000-0000-000078B30000}"/>
    <cellStyle name="Normal 4 5 5 4 3 3" xfId="23654" xr:uid="{00000000-0005-0000-0000-000079B30000}"/>
    <cellStyle name="Normal 4 5 5 4 3 3 2" xfId="50787" xr:uid="{00000000-0005-0000-0000-00007AB30000}"/>
    <cellStyle name="Normal 4 5 5 4 3 4" xfId="37225" xr:uid="{00000000-0005-0000-0000-00007BB30000}"/>
    <cellStyle name="Normal 4 5 5 4 4" xfId="13478" xr:uid="{00000000-0005-0000-0000-00007CB30000}"/>
    <cellStyle name="Normal 4 5 5 4 4 2" xfId="27046" xr:uid="{00000000-0005-0000-0000-00007DB30000}"/>
    <cellStyle name="Normal 4 5 5 4 4 2 2" xfId="54179" xr:uid="{00000000-0005-0000-0000-00007EB30000}"/>
    <cellStyle name="Normal 4 5 5 4 4 3" xfId="40617" xr:uid="{00000000-0005-0000-0000-00007FB30000}"/>
    <cellStyle name="Normal 4 5 5 4 5" xfId="20265" xr:uid="{00000000-0005-0000-0000-000080B30000}"/>
    <cellStyle name="Normal 4 5 5 4 5 2" xfId="47398" xr:uid="{00000000-0005-0000-0000-000081B30000}"/>
    <cellStyle name="Normal 4 5 5 4 6" xfId="33836" xr:uid="{00000000-0005-0000-0000-000082B30000}"/>
    <cellStyle name="Normal 4 5 5 5" xfId="6547" xr:uid="{00000000-0005-0000-0000-000083B30000}"/>
    <cellStyle name="Normal 4 5 5 5 2" xfId="10079" xr:uid="{00000000-0005-0000-0000-000084B30000}"/>
    <cellStyle name="Normal 4 5 5 5 2 2" xfId="16869" xr:uid="{00000000-0005-0000-0000-000085B30000}"/>
    <cellStyle name="Normal 4 5 5 5 2 2 2" xfId="30437" xr:uid="{00000000-0005-0000-0000-000086B30000}"/>
    <cellStyle name="Normal 4 5 5 5 2 2 2 2" xfId="57570" xr:uid="{00000000-0005-0000-0000-000087B30000}"/>
    <cellStyle name="Normal 4 5 5 5 2 2 3" xfId="44008" xr:uid="{00000000-0005-0000-0000-000088B30000}"/>
    <cellStyle name="Normal 4 5 5 5 2 3" xfId="23656" xr:uid="{00000000-0005-0000-0000-000089B30000}"/>
    <cellStyle name="Normal 4 5 5 5 2 3 2" xfId="50789" xr:uid="{00000000-0005-0000-0000-00008AB30000}"/>
    <cellStyle name="Normal 4 5 5 5 2 4" xfId="37227" xr:uid="{00000000-0005-0000-0000-00008BB30000}"/>
    <cellStyle name="Normal 4 5 5 5 3" xfId="13480" xr:uid="{00000000-0005-0000-0000-00008CB30000}"/>
    <cellStyle name="Normal 4 5 5 5 3 2" xfId="27048" xr:uid="{00000000-0005-0000-0000-00008DB30000}"/>
    <cellStyle name="Normal 4 5 5 5 3 2 2" xfId="54181" xr:uid="{00000000-0005-0000-0000-00008EB30000}"/>
    <cellStyle name="Normal 4 5 5 5 3 3" xfId="40619" xr:uid="{00000000-0005-0000-0000-00008FB30000}"/>
    <cellStyle name="Normal 4 5 5 5 4" xfId="20267" xr:uid="{00000000-0005-0000-0000-000090B30000}"/>
    <cellStyle name="Normal 4 5 5 5 4 2" xfId="47400" xr:uid="{00000000-0005-0000-0000-000091B30000}"/>
    <cellStyle name="Normal 4 5 5 5 5" xfId="33838" xr:uid="{00000000-0005-0000-0000-000092B30000}"/>
    <cellStyle name="Normal 4 5 5 6" xfId="6548" xr:uid="{00000000-0005-0000-0000-000093B30000}"/>
    <cellStyle name="Normal 4 5 5 6 2" xfId="10080" xr:uid="{00000000-0005-0000-0000-000094B30000}"/>
    <cellStyle name="Normal 4 5 5 6 2 2" xfId="16870" xr:uid="{00000000-0005-0000-0000-000095B30000}"/>
    <cellStyle name="Normal 4 5 5 6 2 2 2" xfId="30438" xr:uid="{00000000-0005-0000-0000-000096B30000}"/>
    <cellStyle name="Normal 4 5 5 6 2 2 2 2" xfId="57571" xr:uid="{00000000-0005-0000-0000-000097B30000}"/>
    <cellStyle name="Normal 4 5 5 6 2 2 3" xfId="44009" xr:uid="{00000000-0005-0000-0000-000098B30000}"/>
    <cellStyle name="Normal 4 5 5 6 2 3" xfId="23657" xr:uid="{00000000-0005-0000-0000-000099B30000}"/>
    <cellStyle name="Normal 4 5 5 6 2 3 2" xfId="50790" xr:uid="{00000000-0005-0000-0000-00009AB30000}"/>
    <cellStyle name="Normal 4 5 5 6 2 4" xfId="37228" xr:uid="{00000000-0005-0000-0000-00009BB30000}"/>
    <cellStyle name="Normal 4 5 5 6 3" xfId="13481" xr:uid="{00000000-0005-0000-0000-00009CB30000}"/>
    <cellStyle name="Normal 4 5 5 6 3 2" xfId="27049" xr:uid="{00000000-0005-0000-0000-00009DB30000}"/>
    <cellStyle name="Normal 4 5 5 6 3 2 2" xfId="54182" xr:uid="{00000000-0005-0000-0000-00009EB30000}"/>
    <cellStyle name="Normal 4 5 5 6 3 3" xfId="40620" xr:uid="{00000000-0005-0000-0000-00009FB30000}"/>
    <cellStyle name="Normal 4 5 5 6 4" xfId="20268" xr:uid="{00000000-0005-0000-0000-0000A0B30000}"/>
    <cellStyle name="Normal 4 5 5 6 4 2" xfId="47401" xr:uid="{00000000-0005-0000-0000-0000A1B30000}"/>
    <cellStyle name="Normal 4 5 5 6 5" xfId="33839" xr:uid="{00000000-0005-0000-0000-0000A2B30000}"/>
    <cellStyle name="Normal 4 5 5 7" xfId="10065" xr:uid="{00000000-0005-0000-0000-0000A3B30000}"/>
    <cellStyle name="Normal 4 5 5 7 2" xfId="16855" xr:uid="{00000000-0005-0000-0000-0000A4B30000}"/>
    <cellStyle name="Normal 4 5 5 7 2 2" xfId="30423" xr:uid="{00000000-0005-0000-0000-0000A5B30000}"/>
    <cellStyle name="Normal 4 5 5 7 2 2 2" xfId="57556" xr:uid="{00000000-0005-0000-0000-0000A6B30000}"/>
    <cellStyle name="Normal 4 5 5 7 2 3" xfId="43994" xr:uid="{00000000-0005-0000-0000-0000A7B30000}"/>
    <cellStyle name="Normal 4 5 5 7 3" xfId="23642" xr:uid="{00000000-0005-0000-0000-0000A8B30000}"/>
    <cellStyle name="Normal 4 5 5 7 3 2" xfId="50775" xr:uid="{00000000-0005-0000-0000-0000A9B30000}"/>
    <cellStyle name="Normal 4 5 5 7 4" xfId="37213" xr:uid="{00000000-0005-0000-0000-0000AAB30000}"/>
    <cellStyle name="Normal 4 5 5 8" xfId="13466" xr:uid="{00000000-0005-0000-0000-0000ABB30000}"/>
    <cellStyle name="Normal 4 5 5 8 2" xfId="27034" xr:uid="{00000000-0005-0000-0000-0000ACB30000}"/>
    <cellStyle name="Normal 4 5 5 8 2 2" xfId="54167" xr:uid="{00000000-0005-0000-0000-0000ADB30000}"/>
    <cellStyle name="Normal 4 5 5 8 3" xfId="40605" xr:uid="{00000000-0005-0000-0000-0000AEB30000}"/>
    <cellStyle name="Normal 4 5 5 9" xfId="20253" xr:uid="{00000000-0005-0000-0000-0000AFB30000}"/>
    <cellStyle name="Normal 4 5 5 9 2" xfId="47386" xr:uid="{00000000-0005-0000-0000-0000B0B30000}"/>
    <cellStyle name="Normal 4 5 6" xfId="6549" xr:uid="{00000000-0005-0000-0000-0000B1B30000}"/>
    <cellStyle name="Normal 4 5 6 2" xfId="6550" xr:uid="{00000000-0005-0000-0000-0000B2B30000}"/>
    <cellStyle name="Normal 4 5 6 2 2" xfId="6551" xr:uid="{00000000-0005-0000-0000-0000B3B30000}"/>
    <cellStyle name="Normal 4 5 6 2 2 2" xfId="10083" xr:uid="{00000000-0005-0000-0000-0000B4B30000}"/>
    <cellStyle name="Normal 4 5 6 2 2 2 2" xfId="16873" xr:uid="{00000000-0005-0000-0000-0000B5B30000}"/>
    <cellStyle name="Normal 4 5 6 2 2 2 2 2" xfId="30441" xr:uid="{00000000-0005-0000-0000-0000B6B30000}"/>
    <cellStyle name="Normal 4 5 6 2 2 2 2 2 2" xfId="57574" xr:uid="{00000000-0005-0000-0000-0000B7B30000}"/>
    <cellStyle name="Normal 4 5 6 2 2 2 2 3" xfId="44012" xr:uid="{00000000-0005-0000-0000-0000B8B30000}"/>
    <cellStyle name="Normal 4 5 6 2 2 2 3" xfId="23660" xr:uid="{00000000-0005-0000-0000-0000B9B30000}"/>
    <cellStyle name="Normal 4 5 6 2 2 2 3 2" xfId="50793" xr:uid="{00000000-0005-0000-0000-0000BAB30000}"/>
    <cellStyle name="Normal 4 5 6 2 2 2 4" xfId="37231" xr:uid="{00000000-0005-0000-0000-0000BBB30000}"/>
    <cellStyle name="Normal 4 5 6 2 2 3" xfId="13484" xr:uid="{00000000-0005-0000-0000-0000BCB30000}"/>
    <cellStyle name="Normal 4 5 6 2 2 3 2" xfId="27052" xr:uid="{00000000-0005-0000-0000-0000BDB30000}"/>
    <cellStyle name="Normal 4 5 6 2 2 3 2 2" xfId="54185" xr:uid="{00000000-0005-0000-0000-0000BEB30000}"/>
    <cellStyle name="Normal 4 5 6 2 2 3 3" xfId="40623" xr:uid="{00000000-0005-0000-0000-0000BFB30000}"/>
    <cellStyle name="Normal 4 5 6 2 2 4" xfId="20271" xr:uid="{00000000-0005-0000-0000-0000C0B30000}"/>
    <cellStyle name="Normal 4 5 6 2 2 4 2" xfId="47404" xr:uid="{00000000-0005-0000-0000-0000C1B30000}"/>
    <cellStyle name="Normal 4 5 6 2 2 5" xfId="33842" xr:uid="{00000000-0005-0000-0000-0000C2B30000}"/>
    <cellStyle name="Normal 4 5 6 2 3" xfId="6552" xr:uid="{00000000-0005-0000-0000-0000C3B30000}"/>
    <cellStyle name="Normal 4 5 6 2 3 2" xfId="10084" xr:uid="{00000000-0005-0000-0000-0000C4B30000}"/>
    <cellStyle name="Normal 4 5 6 2 3 2 2" xfId="16874" xr:uid="{00000000-0005-0000-0000-0000C5B30000}"/>
    <cellStyle name="Normal 4 5 6 2 3 2 2 2" xfId="30442" xr:uid="{00000000-0005-0000-0000-0000C6B30000}"/>
    <cellStyle name="Normal 4 5 6 2 3 2 2 2 2" xfId="57575" xr:uid="{00000000-0005-0000-0000-0000C7B30000}"/>
    <cellStyle name="Normal 4 5 6 2 3 2 2 3" xfId="44013" xr:uid="{00000000-0005-0000-0000-0000C8B30000}"/>
    <cellStyle name="Normal 4 5 6 2 3 2 3" xfId="23661" xr:uid="{00000000-0005-0000-0000-0000C9B30000}"/>
    <cellStyle name="Normal 4 5 6 2 3 2 3 2" xfId="50794" xr:uid="{00000000-0005-0000-0000-0000CAB30000}"/>
    <cellStyle name="Normal 4 5 6 2 3 2 4" xfId="37232" xr:uid="{00000000-0005-0000-0000-0000CBB30000}"/>
    <cellStyle name="Normal 4 5 6 2 3 3" xfId="13485" xr:uid="{00000000-0005-0000-0000-0000CCB30000}"/>
    <cellStyle name="Normal 4 5 6 2 3 3 2" xfId="27053" xr:uid="{00000000-0005-0000-0000-0000CDB30000}"/>
    <cellStyle name="Normal 4 5 6 2 3 3 2 2" xfId="54186" xr:uid="{00000000-0005-0000-0000-0000CEB30000}"/>
    <cellStyle name="Normal 4 5 6 2 3 3 3" xfId="40624" xr:uid="{00000000-0005-0000-0000-0000CFB30000}"/>
    <cellStyle name="Normal 4 5 6 2 3 4" xfId="20272" xr:uid="{00000000-0005-0000-0000-0000D0B30000}"/>
    <cellStyle name="Normal 4 5 6 2 3 4 2" xfId="47405" xr:uid="{00000000-0005-0000-0000-0000D1B30000}"/>
    <cellStyle name="Normal 4 5 6 2 3 5" xfId="33843" xr:uid="{00000000-0005-0000-0000-0000D2B30000}"/>
    <cellStyle name="Normal 4 5 6 2 4" xfId="10082" xr:uid="{00000000-0005-0000-0000-0000D3B30000}"/>
    <cellStyle name="Normal 4 5 6 2 4 2" xfId="16872" xr:uid="{00000000-0005-0000-0000-0000D4B30000}"/>
    <cellStyle name="Normal 4 5 6 2 4 2 2" xfId="30440" xr:uid="{00000000-0005-0000-0000-0000D5B30000}"/>
    <cellStyle name="Normal 4 5 6 2 4 2 2 2" xfId="57573" xr:uid="{00000000-0005-0000-0000-0000D6B30000}"/>
    <cellStyle name="Normal 4 5 6 2 4 2 3" xfId="44011" xr:uid="{00000000-0005-0000-0000-0000D7B30000}"/>
    <cellStyle name="Normal 4 5 6 2 4 3" xfId="23659" xr:uid="{00000000-0005-0000-0000-0000D8B30000}"/>
    <cellStyle name="Normal 4 5 6 2 4 3 2" xfId="50792" xr:uid="{00000000-0005-0000-0000-0000D9B30000}"/>
    <cellStyle name="Normal 4 5 6 2 4 4" xfId="37230" xr:uid="{00000000-0005-0000-0000-0000DAB30000}"/>
    <cellStyle name="Normal 4 5 6 2 5" xfId="13483" xr:uid="{00000000-0005-0000-0000-0000DBB30000}"/>
    <cellStyle name="Normal 4 5 6 2 5 2" xfId="27051" xr:uid="{00000000-0005-0000-0000-0000DCB30000}"/>
    <cellStyle name="Normal 4 5 6 2 5 2 2" xfId="54184" xr:uid="{00000000-0005-0000-0000-0000DDB30000}"/>
    <cellStyle name="Normal 4 5 6 2 5 3" xfId="40622" xr:uid="{00000000-0005-0000-0000-0000DEB30000}"/>
    <cellStyle name="Normal 4 5 6 2 6" xfId="20270" xr:uid="{00000000-0005-0000-0000-0000DFB30000}"/>
    <cellStyle name="Normal 4 5 6 2 6 2" xfId="47403" xr:uid="{00000000-0005-0000-0000-0000E0B30000}"/>
    <cellStyle name="Normal 4 5 6 2 7" xfId="33841" xr:uid="{00000000-0005-0000-0000-0000E1B30000}"/>
    <cellStyle name="Normal 4 5 6 3" xfId="6553" xr:uid="{00000000-0005-0000-0000-0000E2B30000}"/>
    <cellStyle name="Normal 4 5 6 3 2" xfId="6554" xr:uid="{00000000-0005-0000-0000-0000E3B30000}"/>
    <cellStyle name="Normal 4 5 6 3 2 2" xfId="10086" xr:uid="{00000000-0005-0000-0000-0000E4B30000}"/>
    <cellStyle name="Normal 4 5 6 3 2 2 2" xfId="16876" xr:uid="{00000000-0005-0000-0000-0000E5B30000}"/>
    <cellStyle name="Normal 4 5 6 3 2 2 2 2" xfId="30444" xr:uid="{00000000-0005-0000-0000-0000E6B30000}"/>
    <cellStyle name="Normal 4 5 6 3 2 2 2 2 2" xfId="57577" xr:uid="{00000000-0005-0000-0000-0000E7B30000}"/>
    <cellStyle name="Normal 4 5 6 3 2 2 2 3" xfId="44015" xr:uid="{00000000-0005-0000-0000-0000E8B30000}"/>
    <cellStyle name="Normal 4 5 6 3 2 2 3" xfId="23663" xr:uid="{00000000-0005-0000-0000-0000E9B30000}"/>
    <cellStyle name="Normal 4 5 6 3 2 2 3 2" xfId="50796" xr:uid="{00000000-0005-0000-0000-0000EAB30000}"/>
    <cellStyle name="Normal 4 5 6 3 2 2 4" xfId="37234" xr:uid="{00000000-0005-0000-0000-0000EBB30000}"/>
    <cellStyle name="Normal 4 5 6 3 2 3" xfId="13487" xr:uid="{00000000-0005-0000-0000-0000ECB30000}"/>
    <cellStyle name="Normal 4 5 6 3 2 3 2" xfId="27055" xr:uid="{00000000-0005-0000-0000-0000EDB30000}"/>
    <cellStyle name="Normal 4 5 6 3 2 3 2 2" xfId="54188" xr:uid="{00000000-0005-0000-0000-0000EEB30000}"/>
    <cellStyle name="Normal 4 5 6 3 2 3 3" xfId="40626" xr:uid="{00000000-0005-0000-0000-0000EFB30000}"/>
    <cellStyle name="Normal 4 5 6 3 2 4" xfId="20274" xr:uid="{00000000-0005-0000-0000-0000F0B30000}"/>
    <cellStyle name="Normal 4 5 6 3 2 4 2" xfId="47407" xr:uid="{00000000-0005-0000-0000-0000F1B30000}"/>
    <cellStyle name="Normal 4 5 6 3 2 5" xfId="33845" xr:uid="{00000000-0005-0000-0000-0000F2B30000}"/>
    <cellStyle name="Normal 4 5 6 3 3" xfId="10085" xr:uid="{00000000-0005-0000-0000-0000F3B30000}"/>
    <cellStyle name="Normal 4 5 6 3 3 2" xfId="16875" xr:uid="{00000000-0005-0000-0000-0000F4B30000}"/>
    <cellStyle name="Normal 4 5 6 3 3 2 2" xfId="30443" xr:uid="{00000000-0005-0000-0000-0000F5B30000}"/>
    <cellStyle name="Normal 4 5 6 3 3 2 2 2" xfId="57576" xr:uid="{00000000-0005-0000-0000-0000F6B30000}"/>
    <cellStyle name="Normal 4 5 6 3 3 2 3" xfId="44014" xr:uid="{00000000-0005-0000-0000-0000F7B30000}"/>
    <cellStyle name="Normal 4 5 6 3 3 3" xfId="23662" xr:uid="{00000000-0005-0000-0000-0000F8B30000}"/>
    <cellStyle name="Normal 4 5 6 3 3 3 2" xfId="50795" xr:uid="{00000000-0005-0000-0000-0000F9B30000}"/>
    <cellStyle name="Normal 4 5 6 3 3 4" xfId="37233" xr:uid="{00000000-0005-0000-0000-0000FAB30000}"/>
    <cellStyle name="Normal 4 5 6 3 4" xfId="13486" xr:uid="{00000000-0005-0000-0000-0000FBB30000}"/>
    <cellStyle name="Normal 4 5 6 3 4 2" xfId="27054" xr:uid="{00000000-0005-0000-0000-0000FCB30000}"/>
    <cellStyle name="Normal 4 5 6 3 4 2 2" xfId="54187" xr:uid="{00000000-0005-0000-0000-0000FDB30000}"/>
    <cellStyle name="Normal 4 5 6 3 4 3" xfId="40625" xr:uid="{00000000-0005-0000-0000-0000FEB30000}"/>
    <cellStyle name="Normal 4 5 6 3 5" xfId="20273" xr:uid="{00000000-0005-0000-0000-0000FFB30000}"/>
    <cellStyle name="Normal 4 5 6 3 5 2" xfId="47406" xr:uid="{00000000-0005-0000-0000-000000B40000}"/>
    <cellStyle name="Normal 4 5 6 3 6" xfId="33844" xr:uid="{00000000-0005-0000-0000-000001B40000}"/>
    <cellStyle name="Normal 4 5 6 4" xfId="6555" xr:uid="{00000000-0005-0000-0000-000002B40000}"/>
    <cellStyle name="Normal 4 5 6 4 2" xfId="10087" xr:uid="{00000000-0005-0000-0000-000003B40000}"/>
    <cellStyle name="Normal 4 5 6 4 2 2" xfId="16877" xr:uid="{00000000-0005-0000-0000-000004B40000}"/>
    <cellStyle name="Normal 4 5 6 4 2 2 2" xfId="30445" xr:uid="{00000000-0005-0000-0000-000005B40000}"/>
    <cellStyle name="Normal 4 5 6 4 2 2 2 2" xfId="57578" xr:uid="{00000000-0005-0000-0000-000006B40000}"/>
    <cellStyle name="Normal 4 5 6 4 2 2 3" xfId="44016" xr:uid="{00000000-0005-0000-0000-000007B40000}"/>
    <cellStyle name="Normal 4 5 6 4 2 3" xfId="23664" xr:uid="{00000000-0005-0000-0000-000008B40000}"/>
    <cellStyle name="Normal 4 5 6 4 2 3 2" xfId="50797" xr:uid="{00000000-0005-0000-0000-000009B40000}"/>
    <cellStyle name="Normal 4 5 6 4 2 4" xfId="37235" xr:uid="{00000000-0005-0000-0000-00000AB40000}"/>
    <cellStyle name="Normal 4 5 6 4 3" xfId="13488" xr:uid="{00000000-0005-0000-0000-00000BB40000}"/>
    <cellStyle name="Normal 4 5 6 4 3 2" xfId="27056" xr:uid="{00000000-0005-0000-0000-00000CB40000}"/>
    <cellStyle name="Normal 4 5 6 4 3 2 2" xfId="54189" xr:uid="{00000000-0005-0000-0000-00000DB40000}"/>
    <cellStyle name="Normal 4 5 6 4 3 3" xfId="40627" xr:uid="{00000000-0005-0000-0000-00000EB40000}"/>
    <cellStyle name="Normal 4 5 6 4 4" xfId="20275" xr:uid="{00000000-0005-0000-0000-00000FB40000}"/>
    <cellStyle name="Normal 4 5 6 4 4 2" xfId="47408" xr:uid="{00000000-0005-0000-0000-000010B40000}"/>
    <cellStyle name="Normal 4 5 6 4 5" xfId="33846" xr:uid="{00000000-0005-0000-0000-000011B40000}"/>
    <cellStyle name="Normal 4 5 6 5" xfId="6556" xr:uid="{00000000-0005-0000-0000-000012B40000}"/>
    <cellStyle name="Normal 4 5 6 5 2" xfId="10088" xr:uid="{00000000-0005-0000-0000-000013B40000}"/>
    <cellStyle name="Normal 4 5 6 5 2 2" xfId="16878" xr:uid="{00000000-0005-0000-0000-000014B40000}"/>
    <cellStyle name="Normal 4 5 6 5 2 2 2" xfId="30446" xr:uid="{00000000-0005-0000-0000-000015B40000}"/>
    <cellStyle name="Normal 4 5 6 5 2 2 2 2" xfId="57579" xr:uid="{00000000-0005-0000-0000-000016B40000}"/>
    <cellStyle name="Normal 4 5 6 5 2 2 3" xfId="44017" xr:uid="{00000000-0005-0000-0000-000017B40000}"/>
    <cellStyle name="Normal 4 5 6 5 2 3" xfId="23665" xr:uid="{00000000-0005-0000-0000-000018B40000}"/>
    <cellStyle name="Normal 4 5 6 5 2 3 2" xfId="50798" xr:uid="{00000000-0005-0000-0000-000019B40000}"/>
    <cellStyle name="Normal 4 5 6 5 2 4" xfId="37236" xr:uid="{00000000-0005-0000-0000-00001AB40000}"/>
    <cellStyle name="Normal 4 5 6 5 3" xfId="13489" xr:uid="{00000000-0005-0000-0000-00001BB40000}"/>
    <cellStyle name="Normal 4 5 6 5 3 2" xfId="27057" xr:uid="{00000000-0005-0000-0000-00001CB40000}"/>
    <cellStyle name="Normal 4 5 6 5 3 2 2" xfId="54190" xr:uid="{00000000-0005-0000-0000-00001DB40000}"/>
    <cellStyle name="Normal 4 5 6 5 3 3" xfId="40628" xr:uid="{00000000-0005-0000-0000-00001EB40000}"/>
    <cellStyle name="Normal 4 5 6 5 4" xfId="20276" xr:uid="{00000000-0005-0000-0000-00001FB40000}"/>
    <cellStyle name="Normal 4 5 6 5 4 2" xfId="47409" xr:uid="{00000000-0005-0000-0000-000020B40000}"/>
    <cellStyle name="Normal 4 5 6 5 5" xfId="33847" xr:uid="{00000000-0005-0000-0000-000021B40000}"/>
    <cellStyle name="Normal 4 5 6 6" xfId="10081" xr:uid="{00000000-0005-0000-0000-000022B40000}"/>
    <cellStyle name="Normal 4 5 6 6 2" xfId="16871" xr:uid="{00000000-0005-0000-0000-000023B40000}"/>
    <cellStyle name="Normal 4 5 6 6 2 2" xfId="30439" xr:uid="{00000000-0005-0000-0000-000024B40000}"/>
    <cellStyle name="Normal 4 5 6 6 2 2 2" xfId="57572" xr:uid="{00000000-0005-0000-0000-000025B40000}"/>
    <cellStyle name="Normal 4 5 6 6 2 3" xfId="44010" xr:uid="{00000000-0005-0000-0000-000026B40000}"/>
    <cellStyle name="Normal 4 5 6 6 3" xfId="23658" xr:uid="{00000000-0005-0000-0000-000027B40000}"/>
    <cellStyle name="Normal 4 5 6 6 3 2" xfId="50791" xr:uid="{00000000-0005-0000-0000-000028B40000}"/>
    <cellStyle name="Normal 4 5 6 6 4" xfId="37229" xr:uid="{00000000-0005-0000-0000-000029B40000}"/>
    <cellStyle name="Normal 4 5 6 7" xfId="13482" xr:uid="{00000000-0005-0000-0000-00002AB40000}"/>
    <cellStyle name="Normal 4 5 6 7 2" xfId="27050" xr:uid="{00000000-0005-0000-0000-00002BB40000}"/>
    <cellStyle name="Normal 4 5 6 7 2 2" xfId="54183" xr:uid="{00000000-0005-0000-0000-00002CB40000}"/>
    <cellStyle name="Normal 4 5 6 7 3" xfId="40621" xr:uid="{00000000-0005-0000-0000-00002DB40000}"/>
    <cellStyle name="Normal 4 5 6 8" xfId="20269" xr:uid="{00000000-0005-0000-0000-00002EB40000}"/>
    <cellStyle name="Normal 4 5 6 8 2" xfId="47402" xr:uid="{00000000-0005-0000-0000-00002FB40000}"/>
    <cellStyle name="Normal 4 5 6 9" xfId="33840" xr:uid="{00000000-0005-0000-0000-000030B40000}"/>
    <cellStyle name="Normal 4 5 7" xfId="6557" xr:uid="{00000000-0005-0000-0000-000031B40000}"/>
    <cellStyle name="Normal 4 5 7 2" xfId="6558" xr:uid="{00000000-0005-0000-0000-000032B40000}"/>
    <cellStyle name="Normal 4 5 7 2 2" xfId="6559" xr:uid="{00000000-0005-0000-0000-000033B40000}"/>
    <cellStyle name="Normal 4 5 7 2 2 2" xfId="10091" xr:uid="{00000000-0005-0000-0000-000034B40000}"/>
    <cellStyle name="Normal 4 5 7 2 2 2 2" xfId="16881" xr:uid="{00000000-0005-0000-0000-000035B40000}"/>
    <cellStyle name="Normal 4 5 7 2 2 2 2 2" xfId="30449" xr:uid="{00000000-0005-0000-0000-000036B40000}"/>
    <cellStyle name="Normal 4 5 7 2 2 2 2 2 2" xfId="57582" xr:uid="{00000000-0005-0000-0000-000037B40000}"/>
    <cellStyle name="Normal 4 5 7 2 2 2 2 3" xfId="44020" xr:uid="{00000000-0005-0000-0000-000038B40000}"/>
    <cellStyle name="Normal 4 5 7 2 2 2 3" xfId="23668" xr:uid="{00000000-0005-0000-0000-000039B40000}"/>
    <cellStyle name="Normal 4 5 7 2 2 2 3 2" xfId="50801" xr:uid="{00000000-0005-0000-0000-00003AB40000}"/>
    <cellStyle name="Normal 4 5 7 2 2 2 4" xfId="37239" xr:uid="{00000000-0005-0000-0000-00003BB40000}"/>
    <cellStyle name="Normal 4 5 7 2 2 3" xfId="13492" xr:uid="{00000000-0005-0000-0000-00003CB40000}"/>
    <cellStyle name="Normal 4 5 7 2 2 3 2" xfId="27060" xr:uid="{00000000-0005-0000-0000-00003DB40000}"/>
    <cellStyle name="Normal 4 5 7 2 2 3 2 2" xfId="54193" xr:uid="{00000000-0005-0000-0000-00003EB40000}"/>
    <cellStyle name="Normal 4 5 7 2 2 3 3" xfId="40631" xr:uid="{00000000-0005-0000-0000-00003FB40000}"/>
    <cellStyle name="Normal 4 5 7 2 2 4" xfId="20279" xr:uid="{00000000-0005-0000-0000-000040B40000}"/>
    <cellStyle name="Normal 4 5 7 2 2 4 2" xfId="47412" xr:uid="{00000000-0005-0000-0000-000041B40000}"/>
    <cellStyle name="Normal 4 5 7 2 2 5" xfId="33850" xr:uid="{00000000-0005-0000-0000-000042B40000}"/>
    <cellStyle name="Normal 4 5 7 2 3" xfId="6560" xr:uid="{00000000-0005-0000-0000-000043B40000}"/>
    <cellStyle name="Normal 4 5 7 2 3 2" xfId="10092" xr:uid="{00000000-0005-0000-0000-000044B40000}"/>
    <cellStyle name="Normal 4 5 7 2 3 2 2" xfId="16882" xr:uid="{00000000-0005-0000-0000-000045B40000}"/>
    <cellStyle name="Normal 4 5 7 2 3 2 2 2" xfId="30450" xr:uid="{00000000-0005-0000-0000-000046B40000}"/>
    <cellStyle name="Normal 4 5 7 2 3 2 2 2 2" xfId="57583" xr:uid="{00000000-0005-0000-0000-000047B40000}"/>
    <cellStyle name="Normal 4 5 7 2 3 2 2 3" xfId="44021" xr:uid="{00000000-0005-0000-0000-000048B40000}"/>
    <cellStyle name="Normal 4 5 7 2 3 2 3" xfId="23669" xr:uid="{00000000-0005-0000-0000-000049B40000}"/>
    <cellStyle name="Normal 4 5 7 2 3 2 3 2" xfId="50802" xr:uid="{00000000-0005-0000-0000-00004AB40000}"/>
    <cellStyle name="Normal 4 5 7 2 3 2 4" xfId="37240" xr:uid="{00000000-0005-0000-0000-00004BB40000}"/>
    <cellStyle name="Normal 4 5 7 2 3 3" xfId="13493" xr:uid="{00000000-0005-0000-0000-00004CB40000}"/>
    <cellStyle name="Normal 4 5 7 2 3 3 2" xfId="27061" xr:uid="{00000000-0005-0000-0000-00004DB40000}"/>
    <cellStyle name="Normal 4 5 7 2 3 3 2 2" xfId="54194" xr:uid="{00000000-0005-0000-0000-00004EB40000}"/>
    <cellStyle name="Normal 4 5 7 2 3 3 3" xfId="40632" xr:uid="{00000000-0005-0000-0000-00004FB40000}"/>
    <cellStyle name="Normal 4 5 7 2 3 4" xfId="20280" xr:uid="{00000000-0005-0000-0000-000050B40000}"/>
    <cellStyle name="Normal 4 5 7 2 3 4 2" xfId="47413" xr:uid="{00000000-0005-0000-0000-000051B40000}"/>
    <cellStyle name="Normal 4 5 7 2 3 5" xfId="33851" xr:uid="{00000000-0005-0000-0000-000052B40000}"/>
    <cellStyle name="Normal 4 5 7 2 4" xfId="10090" xr:uid="{00000000-0005-0000-0000-000053B40000}"/>
    <cellStyle name="Normal 4 5 7 2 4 2" xfId="16880" xr:uid="{00000000-0005-0000-0000-000054B40000}"/>
    <cellStyle name="Normal 4 5 7 2 4 2 2" xfId="30448" xr:uid="{00000000-0005-0000-0000-000055B40000}"/>
    <cellStyle name="Normal 4 5 7 2 4 2 2 2" xfId="57581" xr:uid="{00000000-0005-0000-0000-000056B40000}"/>
    <cellStyle name="Normal 4 5 7 2 4 2 3" xfId="44019" xr:uid="{00000000-0005-0000-0000-000057B40000}"/>
    <cellStyle name="Normal 4 5 7 2 4 3" xfId="23667" xr:uid="{00000000-0005-0000-0000-000058B40000}"/>
    <cellStyle name="Normal 4 5 7 2 4 3 2" xfId="50800" xr:uid="{00000000-0005-0000-0000-000059B40000}"/>
    <cellStyle name="Normal 4 5 7 2 4 4" xfId="37238" xr:uid="{00000000-0005-0000-0000-00005AB40000}"/>
    <cellStyle name="Normal 4 5 7 2 5" xfId="13491" xr:uid="{00000000-0005-0000-0000-00005BB40000}"/>
    <cellStyle name="Normal 4 5 7 2 5 2" xfId="27059" xr:uid="{00000000-0005-0000-0000-00005CB40000}"/>
    <cellStyle name="Normal 4 5 7 2 5 2 2" xfId="54192" xr:uid="{00000000-0005-0000-0000-00005DB40000}"/>
    <cellStyle name="Normal 4 5 7 2 5 3" xfId="40630" xr:uid="{00000000-0005-0000-0000-00005EB40000}"/>
    <cellStyle name="Normal 4 5 7 2 6" xfId="20278" xr:uid="{00000000-0005-0000-0000-00005FB40000}"/>
    <cellStyle name="Normal 4 5 7 2 6 2" xfId="47411" xr:uid="{00000000-0005-0000-0000-000060B40000}"/>
    <cellStyle name="Normal 4 5 7 2 7" xfId="33849" xr:uid="{00000000-0005-0000-0000-000061B40000}"/>
    <cellStyle name="Normal 4 5 7 3" xfId="6561" xr:uid="{00000000-0005-0000-0000-000062B40000}"/>
    <cellStyle name="Normal 4 5 7 3 2" xfId="10093" xr:uid="{00000000-0005-0000-0000-000063B40000}"/>
    <cellStyle name="Normal 4 5 7 3 2 2" xfId="16883" xr:uid="{00000000-0005-0000-0000-000064B40000}"/>
    <cellStyle name="Normal 4 5 7 3 2 2 2" xfId="30451" xr:uid="{00000000-0005-0000-0000-000065B40000}"/>
    <cellStyle name="Normal 4 5 7 3 2 2 2 2" xfId="57584" xr:uid="{00000000-0005-0000-0000-000066B40000}"/>
    <cellStyle name="Normal 4 5 7 3 2 2 3" xfId="44022" xr:uid="{00000000-0005-0000-0000-000067B40000}"/>
    <cellStyle name="Normal 4 5 7 3 2 3" xfId="23670" xr:uid="{00000000-0005-0000-0000-000068B40000}"/>
    <cellStyle name="Normal 4 5 7 3 2 3 2" xfId="50803" xr:uid="{00000000-0005-0000-0000-000069B40000}"/>
    <cellStyle name="Normal 4 5 7 3 2 4" xfId="37241" xr:uid="{00000000-0005-0000-0000-00006AB40000}"/>
    <cellStyle name="Normal 4 5 7 3 3" xfId="13494" xr:uid="{00000000-0005-0000-0000-00006BB40000}"/>
    <cellStyle name="Normal 4 5 7 3 3 2" xfId="27062" xr:uid="{00000000-0005-0000-0000-00006CB40000}"/>
    <cellStyle name="Normal 4 5 7 3 3 2 2" xfId="54195" xr:uid="{00000000-0005-0000-0000-00006DB40000}"/>
    <cellStyle name="Normal 4 5 7 3 3 3" xfId="40633" xr:uid="{00000000-0005-0000-0000-00006EB40000}"/>
    <cellStyle name="Normal 4 5 7 3 4" xfId="20281" xr:uid="{00000000-0005-0000-0000-00006FB40000}"/>
    <cellStyle name="Normal 4 5 7 3 4 2" xfId="47414" xr:uid="{00000000-0005-0000-0000-000070B40000}"/>
    <cellStyle name="Normal 4 5 7 3 5" xfId="33852" xr:uid="{00000000-0005-0000-0000-000071B40000}"/>
    <cellStyle name="Normal 4 5 7 4" xfId="6562" xr:uid="{00000000-0005-0000-0000-000072B40000}"/>
    <cellStyle name="Normal 4 5 7 4 2" xfId="10094" xr:uid="{00000000-0005-0000-0000-000073B40000}"/>
    <cellStyle name="Normal 4 5 7 4 2 2" xfId="16884" xr:uid="{00000000-0005-0000-0000-000074B40000}"/>
    <cellStyle name="Normal 4 5 7 4 2 2 2" xfId="30452" xr:uid="{00000000-0005-0000-0000-000075B40000}"/>
    <cellStyle name="Normal 4 5 7 4 2 2 2 2" xfId="57585" xr:uid="{00000000-0005-0000-0000-000076B40000}"/>
    <cellStyle name="Normal 4 5 7 4 2 2 3" xfId="44023" xr:uid="{00000000-0005-0000-0000-000077B40000}"/>
    <cellStyle name="Normal 4 5 7 4 2 3" xfId="23671" xr:uid="{00000000-0005-0000-0000-000078B40000}"/>
    <cellStyle name="Normal 4 5 7 4 2 3 2" xfId="50804" xr:uid="{00000000-0005-0000-0000-000079B40000}"/>
    <cellStyle name="Normal 4 5 7 4 2 4" xfId="37242" xr:uid="{00000000-0005-0000-0000-00007AB40000}"/>
    <cellStyle name="Normal 4 5 7 4 3" xfId="13495" xr:uid="{00000000-0005-0000-0000-00007BB40000}"/>
    <cellStyle name="Normal 4 5 7 4 3 2" xfId="27063" xr:uid="{00000000-0005-0000-0000-00007CB40000}"/>
    <cellStyle name="Normal 4 5 7 4 3 2 2" xfId="54196" xr:uid="{00000000-0005-0000-0000-00007DB40000}"/>
    <cellStyle name="Normal 4 5 7 4 3 3" xfId="40634" xr:uid="{00000000-0005-0000-0000-00007EB40000}"/>
    <cellStyle name="Normal 4 5 7 4 4" xfId="20282" xr:uid="{00000000-0005-0000-0000-00007FB40000}"/>
    <cellStyle name="Normal 4 5 7 4 4 2" xfId="47415" xr:uid="{00000000-0005-0000-0000-000080B40000}"/>
    <cellStyle name="Normal 4 5 7 4 5" xfId="33853" xr:uid="{00000000-0005-0000-0000-000081B40000}"/>
    <cellStyle name="Normal 4 5 7 5" xfId="10089" xr:uid="{00000000-0005-0000-0000-000082B40000}"/>
    <cellStyle name="Normal 4 5 7 5 2" xfId="16879" xr:uid="{00000000-0005-0000-0000-000083B40000}"/>
    <cellStyle name="Normal 4 5 7 5 2 2" xfId="30447" xr:uid="{00000000-0005-0000-0000-000084B40000}"/>
    <cellStyle name="Normal 4 5 7 5 2 2 2" xfId="57580" xr:uid="{00000000-0005-0000-0000-000085B40000}"/>
    <cellStyle name="Normal 4 5 7 5 2 3" xfId="44018" xr:uid="{00000000-0005-0000-0000-000086B40000}"/>
    <cellStyle name="Normal 4 5 7 5 3" xfId="23666" xr:uid="{00000000-0005-0000-0000-000087B40000}"/>
    <cellStyle name="Normal 4 5 7 5 3 2" xfId="50799" xr:uid="{00000000-0005-0000-0000-000088B40000}"/>
    <cellStyle name="Normal 4 5 7 5 4" xfId="37237" xr:uid="{00000000-0005-0000-0000-000089B40000}"/>
    <cellStyle name="Normal 4 5 7 6" xfId="13490" xr:uid="{00000000-0005-0000-0000-00008AB40000}"/>
    <cellStyle name="Normal 4 5 7 6 2" xfId="27058" xr:uid="{00000000-0005-0000-0000-00008BB40000}"/>
    <cellStyle name="Normal 4 5 7 6 2 2" xfId="54191" xr:uid="{00000000-0005-0000-0000-00008CB40000}"/>
    <cellStyle name="Normal 4 5 7 6 3" xfId="40629" xr:uid="{00000000-0005-0000-0000-00008DB40000}"/>
    <cellStyle name="Normal 4 5 7 7" xfId="20277" xr:uid="{00000000-0005-0000-0000-00008EB40000}"/>
    <cellStyle name="Normal 4 5 7 7 2" xfId="47410" xr:uid="{00000000-0005-0000-0000-00008FB40000}"/>
    <cellStyle name="Normal 4 5 7 8" xfId="33848" xr:uid="{00000000-0005-0000-0000-000090B40000}"/>
    <cellStyle name="Normal 4 5 8" xfId="6563" xr:uid="{00000000-0005-0000-0000-000091B40000}"/>
    <cellStyle name="Normal 4 5 8 2" xfId="6564" xr:uid="{00000000-0005-0000-0000-000092B40000}"/>
    <cellStyle name="Normal 4 5 8 2 2" xfId="6565" xr:uid="{00000000-0005-0000-0000-000093B40000}"/>
    <cellStyle name="Normal 4 5 8 2 2 2" xfId="10097" xr:uid="{00000000-0005-0000-0000-000094B40000}"/>
    <cellStyle name="Normal 4 5 8 2 2 2 2" xfId="16887" xr:uid="{00000000-0005-0000-0000-000095B40000}"/>
    <cellStyle name="Normal 4 5 8 2 2 2 2 2" xfId="30455" xr:uid="{00000000-0005-0000-0000-000096B40000}"/>
    <cellStyle name="Normal 4 5 8 2 2 2 2 2 2" xfId="57588" xr:uid="{00000000-0005-0000-0000-000097B40000}"/>
    <cellStyle name="Normal 4 5 8 2 2 2 2 3" xfId="44026" xr:uid="{00000000-0005-0000-0000-000098B40000}"/>
    <cellStyle name="Normal 4 5 8 2 2 2 3" xfId="23674" xr:uid="{00000000-0005-0000-0000-000099B40000}"/>
    <cellStyle name="Normal 4 5 8 2 2 2 3 2" xfId="50807" xr:uid="{00000000-0005-0000-0000-00009AB40000}"/>
    <cellStyle name="Normal 4 5 8 2 2 2 4" xfId="37245" xr:uid="{00000000-0005-0000-0000-00009BB40000}"/>
    <cellStyle name="Normal 4 5 8 2 2 3" xfId="13498" xr:uid="{00000000-0005-0000-0000-00009CB40000}"/>
    <cellStyle name="Normal 4 5 8 2 2 3 2" xfId="27066" xr:uid="{00000000-0005-0000-0000-00009DB40000}"/>
    <cellStyle name="Normal 4 5 8 2 2 3 2 2" xfId="54199" xr:uid="{00000000-0005-0000-0000-00009EB40000}"/>
    <cellStyle name="Normal 4 5 8 2 2 3 3" xfId="40637" xr:uid="{00000000-0005-0000-0000-00009FB40000}"/>
    <cellStyle name="Normal 4 5 8 2 2 4" xfId="20285" xr:uid="{00000000-0005-0000-0000-0000A0B40000}"/>
    <cellStyle name="Normal 4 5 8 2 2 4 2" xfId="47418" xr:uid="{00000000-0005-0000-0000-0000A1B40000}"/>
    <cellStyle name="Normal 4 5 8 2 2 5" xfId="33856" xr:uid="{00000000-0005-0000-0000-0000A2B40000}"/>
    <cellStyle name="Normal 4 5 8 2 3" xfId="6566" xr:uid="{00000000-0005-0000-0000-0000A3B40000}"/>
    <cellStyle name="Normal 4 5 8 2 3 2" xfId="10098" xr:uid="{00000000-0005-0000-0000-0000A4B40000}"/>
    <cellStyle name="Normal 4 5 8 2 3 2 2" xfId="16888" xr:uid="{00000000-0005-0000-0000-0000A5B40000}"/>
    <cellStyle name="Normal 4 5 8 2 3 2 2 2" xfId="30456" xr:uid="{00000000-0005-0000-0000-0000A6B40000}"/>
    <cellStyle name="Normal 4 5 8 2 3 2 2 2 2" xfId="57589" xr:uid="{00000000-0005-0000-0000-0000A7B40000}"/>
    <cellStyle name="Normal 4 5 8 2 3 2 2 3" xfId="44027" xr:uid="{00000000-0005-0000-0000-0000A8B40000}"/>
    <cellStyle name="Normal 4 5 8 2 3 2 3" xfId="23675" xr:uid="{00000000-0005-0000-0000-0000A9B40000}"/>
    <cellStyle name="Normal 4 5 8 2 3 2 3 2" xfId="50808" xr:uid="{00000000-0005-0000-0000-0000AAB40000}"/>
    <cellStyle name="Normal 4 5 8 2 3 2 4" xfId="37246" xr:uid="{00000000-0005-0000-0000-0000ABB40000}"/>
    <cellStyle name="Normal 4 5 8 2 3 3" xfId="13499" xr:uid="{00000000-0005-0000-0000-0000ACB40000}"/>
    <cellStyle name="Normal 4 5 8 2 3 3 2" xfId="27067" xr:uid="{00000000-0005-0000-0000-0000ADB40000}"/>
    <cellStyle name="Normal 4 5 8 2 3 3 2 2" xfId="54200" xr:uid="{00000000-0005-0000-0000-0000AEB40000}"/>
    <cellStyle name="Normal 4 5 8 2 3 3 3" xfId="40638" xr:uid="{00000000-0005-0000-0000-0000AFB40000}"/>
    <cellStyle name="Normal 4 5 8 2 3 4" xfId="20286" xr:uid="{00000000-0005-0000-0000-0000B0B40000}"/>
    <cellStyle name="Normal 4 5 8 2 3 4 2" xfId="47419" xr:uid="{00000000-0005-0000-0000-0000B1B40000}"/>
    <cellStyle name="Normal 4 5 8 2 3 5" xfId="33857" xr:uid="{00000000-0005-0000-0000-0000B2B40000}"/>
    <cellStyle name="Normal 4 5 8 2 4" xfId="10096" xr:uid="{00000000-0005-0000-0000-0000B3B40000}"/>
    <cellStyle name="Normal 4 5 8 2 4 2" xfId="16886" xr:uid="{00000000-0005-0000-0000-0000B4B40000}"/>
    <cellStyle name="Normal 4 5 8 2 4 2 2" xfId="30454" xr:uid="{00000000-0005-0000-0000-0000B5B40000}"/>
    <cellStyle name="Normal 4 5 8 2 4 2 2 2" xfId="57587" xr:uid="{00000000-0005-0000-0000-0000B6B40000}"/>
    <cellStyle name="Normal 4 5 8 2 4 2 3" xfId="44025" xr:uid="{00000000-0005-0000-0000-0000B7B40000}"/>
    <cellStyle name="Normal 4 5 8 2 4 3" xfId="23673" xr:uid="{00000000-0005-0000-0000-0000B8B40000}"/>
    <cellStyle name="Normal 4 5 8 2 4 3 2" xfId="50806" xr:uid="{00000000-0005-0000-0000-0000B9B40000}"/>
    <cellStyle name="Normal 4 5 8 2 4 4" xfId="37244" xr:uid="{00000000-0005-0000-0000-0000BAB40000}"/>
    <cellStyle name="Normal 4 5 8 2 5" xfId="13497" xr:uid="{00000000-0005-0000-0000-0000BBB40000}"/>
    <cellStyle name="Normal 4 5 8 2 5 2" xfId="27065" xr:uid="{00000000-0005-0000-0000-0000BCB40000}"/>
    <cellStyle name="Normal 4 5 8 2 5 2 2" xfId="54198" xr:uid="{00000000-0005-0000-0000-0000BDB40000}"/>
    <cellStyle name="Normal 4 5 8 2 5 3" xfId="40636" xr:uid="{00000000-0005-0000-0000-0000BEB40000}"/>
    <cellStyle name="Normal 4 5 8 2 6" xfId="20284" xr:uid="{00000000-0005-0000-0000-0000BFB40000}"/>
    <cellStyle name="Normal 4 5 8 2 6 2" xfId="47417" xr:uid="{00000000-0005-0000-0000-0000C0B40000}"/>
    <cellStyle name="Normal 4 5 8 2 7" xfId="33855" xr:uid="{00000000-0005-0000-0000-0000C1B40000}"/>
    <cellStyle name="Normal 4 5 8 3" xfId="6567" xr:uid="{00000000-0005-0000-0000-0000C2B40000}"/>
    <cellStyle name="Normal 4 5 8 3 2" xfId="10099" xr:uid="{00000000-0005-0000-0000-0000C3B40000}"/>
    <cellStyle name="Normal 4 5 8 3 2 2" xfId="16889" xr:uid="{00000000-0005-0000-0000-0000C4B40000}"/>
    <cellStyle name="Normal 4 5 8 3 2 2 2" xfId="30457" xr:uid="{00000000-0005-0000-0000-0000C5B40000}"/>
    <cellStyle name="Normal 4 5 8 3 2 2 2 2" xfId="57590" xr:uid="{00000000-0005-0000-0000-0000C6B40000}"/>
    <cellStyle name="Normal 4 5 8 3 2 2 3" xfId="44028" xr:uid="{00000000-0005-0000-0000-0000C7B40000}"/>
    <cellStyle name="Normal 4 5 8 3 2 3" xfId="23676" xr:uid="{00000000-0005-0000-0000-0000C8B40000}"/>
    <cellStyle name="Normal 4 5 8 3 2 3 2" xfId="50809" xr:uid="{00000000-0005-0000-0000-0000C9B40000}"/>
    <cellStyle name="Normal 4 5 8 3 2 4" xfId="37247" xr:uid="{00000000-0005-0000-0000-0000CAB40000}"/>
    <cellStyle name="Normal 4 5 8 3 3" xfId="13500" xr:uid="{00000000-0005-0000-0000-0000CBB40000}"/>
    <cellStyle name="Normal 4 5 8 3 3 2" xfId="27068" xr:uid="{00000000-0005-0000-0000-0000CCB40000}"/>
    <cellStyle name="Normal 4 5 8 3 3 2 2" xfId="54201" xr:uid="{00000000-0005-0000-0000-0000CDB40000}"/>
    <cellStyle name="Normal 4 5 8 3 3 3" xfId="40639" xr:uid="{00000000-0005-0000-0000-0000CEB40000}"/>
    <cellStyle name="Normal 4 5 8 3 4" xfId="20287" xr:uid="{00000000-0005-0000-0000-0000CFB40000}"/>
    <cellStyle name="Normal 4 5 8 3 4 2" xfId="47420" xr:uid="{00000000-0005-0000-0000-0000D0B40000}"/>
    <cellStyle name="Normal 4 5 8 3 5" xfId="33858" xr:uid="{00000000-0005-0000-0000-0000D1B40000}"/>
    <cellStyle name="Normal 4 5 8 4" xfId="6568" xr:uid="{00000000-0005-0000-0000-0000D2B40000}"/>
    <cellStyle name="Normal 4 5 8 4 2" xfId="10100" xr:uid="{00000000-0005-0000-0000-0000D3B40000}"/>
    <cellStyle name="Normal 4 5 8 4 2 2" xfId="16890" xr:uid="{00000000-0005-0000-0000-0000D4B40000}"/>
    <cellStyle name="Normal 4 5 8 4 2 2 2" xfId="30458" xr:uid="{00000000-0005-0000-0000-0000D5B40000}"/>
    <cellStyle name="Normal 4 5 8 4 2 2 2 2" xfId="57591" xr:uid="{00000000-0005-0000-0000-0000D6B40000}"/>
    <cellStyle name="Normal 4 5 8 4 2 2 3" xfId="44029" xr:uid="{00000000-0005-0000-0000-0000D7B40000}"/>
    <cellStyle name="Normal 4 5 8 4 2 3" xfId="23677" xr:uid="{00000000-0005-0000-0000-0000D8B40000}"/>
    <cellStyle name="Normal 4 5 8 4 2 3 2" xfId="50810" xr:uid="{00000000-0005-0000-0000-0000D9B40000}"/>
    <cellStyle name="Normal 4 5 8 4 2 4" xfId="37248" xr:uid="{00000000-0005-0000-0000-0000DAB40000}"/>
    <cellStyle name="Normal 4 5 8 4 3" xfId="13501" xr:uid="{00000000-0005-0000-0000-0000DBB40000}"/>
    <cellStyle name="Normal 4 5 8 4 3 2" xfId="27069" xr:uid="{00000000-0005-0000-0000-0000DCB40000}"/>
    <cellStyle name="Normal 4 5 8 4 3 2 2" xfId="54202" xr:uid="{00000000-0005-0000-0000-0000DDB40000}"/>
    <cellStyle name="Normal 4 5 8 4 3 3" xfId="40640" xr:uid="{00000000-0005-0000-0000-0000DEB40000}"/>
    <cellStyle name="Normal 4 5 8 4 4" xfId="20288" xr:uid="{00000000-0005-0000-0000-0000DFB40000}"/>
    <cellStyle name="Normal 4 5 8 4 4 2" xfId="47421" xr:uid="{00000000-0005-0000-0000-0000E0B40000}"/>
    <cellStyle name="Normal 4 5 8 4 5" xfId="33859" xr:uid="{00000000-0005-0000-0000-0000E1B40000}"/>
    <cellStyle name="Normal 4 5 8 5" xfId="10095" xr:uid="{00000000-0005-0000-0000-0000E2B40000}"/>
    <cellStyle name="Normal 4 5 8 5 2" xfId="16885" xr:uid="{00000000-0005-0000-0000-0000E3B40000}"/>
    <cellStyle name="Normal 4 5 8 5 2 2" xfId="30453" xr:uid="{00000000-0005-0000-0000-0000E4B40000}"/>
    <cellStyle name="Normal 4 5 8 5 2 2 2" xfId="57586" xr:uid="{00000000-0005-0000-0000-0000E5B40000}"/>
    <cellStyle name="Normal 4 5 8 5 2 3" xfId="44024" xr:uid="{00000000-0005-0000-0000-0000E6B40000}"/>
    <cellStyle name="Normal 4 5 8 5 3" xfId="23672" xr:uid="{00000000-0005-0000-0000-0000E7B40000}"/>
    <cellStyle name="Normal 4 5 8 5 3 2" xfId="50805" xr:uid="{00000000-0005-0000-0000-0000E8B40000}"/>
    <cellStyle name="Normal 4 5 8 5 4" xfId="37243" xr:uid="{00000000-0005-0000-0000-0000E9B40000}"/>
    <cellStyle name="Normal 4 5 8 6" xfId="13496" xr:uid="{00000000-0005-0000-0000-0000EAB40000}"/>
    <cellStyle name="Normal 4 5 8 6 2" xfId="27064" xr:uid="{00000000-0005-0000-0000-0000EBB40000}"/>
    <cellStyle name="Normal 4 5 8 6 2 2" xfId="54197" xr:uid="{00000000-0005-0000-0000-0000ECB40000}"/>
    <cellStyle name="Normal 4 5 8 6 3" xfId="40635" xr:uid="{00000000-0005-0000-0000-0000EDB40000}"/>
    <cellStyle name="Normal 4 5 8 7" xfId="20283" xr:uid="{00000000-0005-0000-0000-0000EEB40000}"/>
    <cellStyle name="Normal 4 5 8 7 2" xfId="47416" xr:uid="{00000000-0005-0000-0000-0000EFB40000}"/>
    <cellStyle name="Normal 4 5 8 8" xfId="33854" xr:uid="{00000000-0005-0000-0000-0000F0B40000}"/>
    <cellStyle name="Normal 4 5 9" xfId="6569" xr:uid="{00000000-0005-0000-0000-0000F1B40000}"/>
    <cellStyle name="Normal 4 5 9 2" xfId="6570" xr:uid="{00000000-0005-0000-0000-0000F2B40000}"/>
    <cellStyle name="Normal 4 5 9 2 2" xfId="10102" xr:uid="{00000000-0005-0000-0000-0000F3B40000}"/>
    <cellStyle name="Normal 4 5 9 2 2 2" xfId="16892" xr:uid="{00000000-0005-0000-0000-0000F4B40000}"/>
    <cellStyle name="Normal 4 5 9 2 2 2 2" xfId="30460" xr:uid="{00000000-0005-0000-0000-0000F5B40000}"/>
    <cellStyle name="Normal 4 5 9 2 2 2 2 2" xfId="57593" xr:uid="{00000000-0005-0000-0000-0000F6B40000}"/>
    <cellStyle name="Normal 4 5 9 2 2 2 3" xfId="44031" xr:uid="{00000000-0005-0000-0000-0000F7B40000}"/>
    <cellStyle name="Normal 4 5 9 2 2 3" xfId="23679" xr:uid="{00000000-0005-0000-0000-0000F8B40000}"/>
    <cellStyle name="Normal 4 5 9 2 2 3 2" xfId="50812" xr:uid="{00000000-0005-0000-0000-0000F9B40000}"/>
    <cellStyle name="Normal 4 5 9 2 2 4" xfId="37250" xr:uid="{00000000-0005-0000-0000-0000FAB40000}"/>
    <cellStyle name="Normal 4 5 9 2 3" xfId="13503" xr:uid="{00000000-0005-0000-0000-0000FBB40000}"/>
    <cellStyle name="Normal 4 5 9 2 3 2" xfId="27071" xr:uid="{00000000-0005-0000-0000-0000FCB40000}"/>
    <cellStyle name="Normal 4 5 9 2 3 2 2" xfId="54204" xr:uid="{00000000-0005-0000-0000-0000FDB40000}"/>
    <cellStyle name="Normal 4 5 9 2 3 3" xfId="40642" xr:uid="{00000000-0005-0000-0000-0000FEB40000}"/>
    <cellStyle name="Normal 4 5 9 2 4" xfId="20290" xr:uid="{00000000-0005-0000-0000-0000FFB40000}"/>
    <cellStyle name="Normal 4 5 9 2 4 2" xfId="47423" xr:uid="{00000000-0005-0000-0000-000000B50000}"/>
    <cellStyle name="Normal 4 5 9 2 5" xfId="33861" xr:uid="{00000000-0005-0000-0000-000001B50000}"/>
    <cellStyle name="Normal 4 5 9 3" xfId="10101" xr:uid="{00000000-0005-0000-0000-000002B50000}"/>
    <cellStyle name="Normal 4 5 9 3 2" xfId="16891" xr:uid="{00000000-0005-0000-0000-000003B50000}"/>
    <cellStyle name="Normal 4 5 9 3 2 2" xfId="30459" xr:uid="{00000000-0005-0000-0000-000004B50000}"/>
    <cellStyle name="Normal 4 5 9 3 2 2 2" xfId="57592" xr:uid="{00000000-0005-0000-0000-000005B50000}"/>
    <cellStyle name="Normal 4 5 9 3 2 3" xfId="44030" xr:uid="{00000000-0005-0000-0000-000006B50000}"/>
    <cellStyle name="Normal 4 5 9 3 3" xfId="23678" xr:uid="{00000000-0005-0000-0000-000007B50000}"/>
    <cellStyle name="Normal 4 5 9 3 3 2" xfId="50811" xr:uid="{00000000-0005-0000-0000-000008B50000}"/>
    <cellStyle name="Normal 4 5 9 3 4" xfId="37249" xr:uid="{00000000-0005-0000-0000-000009B50000}"/>
    <cellStyle name="Normal 4 5 9 4" xfId="13502" xr:uid="{00000000-0005-0000-0000-00000AB50000}"/>
    <cellStyle name="Normal 4 5 9 4 2" xfId="27070" xr:uid="{00000000-0005-0000-0000-00000BB50000}"/>
    <cellStyle name="Normal 4 5 9 4 2 2" xfId="54203" xr:uid="{00000000-0005-0000-0000-00000CB50000}"/>
    <cellStyle name="Normal 4 5 9 4 3" xfId="40641" xr:uid="{00000000-0005-0000-0000-00000DB50000}"/>
    <cellStyle name="Normal 4 5 9 5" xfId="20289" xr:uid="{00000000-0005-0000-0000-00000EB50000}"/>
    <cellStyle name="Normal 4 5 9 5 2" xfId="47422" xr:uid="{00000000-0005-0000-0000-00000FB50000}"/>
    <cellStyle name="Normal 4 5 9 6" xfId="33860" xr:uid="{00000000-0005-0000-0000-000010B50000}"/>
    <cellStyle name="Normal 4 6" xfId="2779" xr:uid="{00000000-0005-0000-0000-000011B50000}"/>
    <cellStyle name="Normal 4 6 2" xfId="6571" xr:uid="{00000000-0005-0000-0000-000012B50000}"/>
    <cellStyle name="Normal 4 6 2 10" xfId="33862" xr:uid="{00000000-0005-0000-0000-000013B50000}"/>
    <cellStyle name="Normal 4 6 2 2" xfId="6572" xr:uid="{00000000-0005-0000-0000-000014B50000}"/>
    <cellStyle name="Normal 4 6 2 2 2" xfId="6573" xr:uid="{00000000-0005-0000-0000-000015B50000}"/>
    <cellStyle name="Normal 4 6 2 2 2 2" xfId="6574" xr:uid="{00000000-0005-0000-0000-000016B50000}"/>
    <cellStyle name="Normal 4 6 2 2 2 2 2" xfId="10106" xr:uid="{00000000-0005-0000-0000-000017B50000}"/>
    <cellStyle name="Normal 4 6 2 2 2 2 2 2" xfId="16896" xr:uid="{00000000-0005-0000-0000-000018B50000}"/>
    <cellStyle name="Normal 4 6 2 2 2 2 2 2 2" xfId="30464" xr:uid="{00000000-0005-0000-0000-000019B50000}"/>
    <cellStyle name="Normal 4 6 2 2 2 2 2 2 2 2" xfId="57597" xr:uid="{00000000-0005-0000-0000-00001AB50000}"/>
    <cellStyle name="Normal 4 6 2 2 2 2 2 2 3" xfId="44035" xr:uid="{00000000-0005-0000-0000-00001BB50000}"/>
    <cellStyle name="Normal 4 6 2 2 2 2 2 3" xfId="23683" xr:uid="{00000000-0005-0000-0000-00001CB50000}"/>
    <cellStyle name="Normal 4 6 2 2 2 2 2 3 2" xfId="50816" xr:uid="{00000000-0005-0000-0000-00001DB50000}"/>
    <cellStyle name="Normal 4 6 2 2 2 2 2 4" xfId="37254" xr:uid="{00000000-0005-0000-0000-00001EB50000}"/>
    <cellStyle name="Normal 4 6 2 2 2 2 3" xfId="13507" xr:uid="{00000000-0005-0000-0000-00001FB50000}"/>
    <cellStyle name="Normal 4 6 2 2 2 2 3 2" xfId="27075" xr:uid="{00000000-0005-0000-0000-000020B50000}"/>
    <cellStyle name="Normal 4 6 2 2 2 2 3 2 2" xfId="54208" xr:uid="{00000000-0005-0000-0000-000021B50000}"/>
    <cellStyle name="Normal 4 6 2 2 2 2 3 3" xfId="40646" xr:uid="{00000000-0005-0000-0000-000022B50000}"/>
    <cellStyle name="Normal 4 6 2 2 2 2 4" xfId="20294" xr:uid="{00000000-0005-0000-0000-000023B50000}"/>
    <cellStyle name="Normal 4 6 2 2 2 2 4 2" xfId="47427" xr:uid="{00000000-0005-0000-0000-000024B50000}"/>
    <cellStyle name="Normal 4 6 2 2 2 2 5" xfId="33865" xr:uid="{00000000-0005-0000-0000-000025B50000}"/>
    <cellStyle name="Normal 4 6 2 2 2 3" xfId="6575" xr:uid="{00000000-0005-0000-0000-000026B50000}"/>
    <cellStyle name="Normal 4 6 2 2 2 3 2" xfId="10107" xr:uid="{00000000-0005-0000-0000-000027B50000}"/>
    <cellStyle name="Normal 4 6 2 2 2 3 2 2" xfId="16897" xr:uid="{00000000-0005-0000-0000-000028B50000}"/>
    <cellStyle name="Normal 4 6 2 2 2 3 2 2 2" xfId="30465" xr:uid="{00000000-0005-0000-0000-000029B50000}"/>
    <cellStyle name="Normal 4 6 2 2 2 3 2 2 2 2" xfId="57598" xr:uid="{00000000-0005-0000-0000-00002AB50000}"/>
    <cellStyle name="Normal 4 6 2 2 2 3 2 2 3" xfId="44036" xr:uid="{00000000-0005-0000-0000-00002BB50000}"/>
    <cellStyle name="Normal 4 6 2 2 2 3 2 3" xfId="23684" xr:uid="{00000000-0005-0000-0000-00002CB50000}"/>
    <cellStyle name="Normal 4 6 2 2 2 3 2 3 2" xfId="50817" xr:uid="{00000000-0005-0000-0000-00002DB50000}"/>
    <cellStyle name="Normal 4 6 2 2 2 3 2 4" xfId="37255" xr:uid="{00000000-0005-0000-0000-00002EB50000}"/>
    <cellStyle name="Normal 4 6 2 2 2 3 3" xfId="13508" xr:uid="{00000000-0005-0000-0000-00002FB50000}"/>
    <cellStyle name="Normal 4 6 2 2 2 3 3 2" xfId="27076" xr:uid="{00000000-0005-0000-0000-000030B50000}"/>
    <cellStyle name="Normal 4 6 2 2 2 3 3 2 2" xfId="54209" xr:uid="{00000000-0005-0000-0000-000031B50000}"/>
    <cellStyle name="Normal 4 6 2 2 2 3 3 3" xfId="40647" xr:uid="{00000000-0005-0000-0000-000032B50000}"/>
    <cellStyle name="Normal 4 6 2 2 2 3 4" xfId="20295" xr:uid="{00000000-0005-0000-0000-000033B50000}"/>
    <cellStyle name="Normal 4 6 2 2 2 3 4 2" xfId="47428" xr:uid="{00000000-0005-0000-0000-000034B50000}"/>
    <cellStyle name="Normal 4 6 2 2 2 3 5" xfId="33866" xr:uid="{00000000-0005-0000-0000-000035B50000}"/>
    <cellStyle name="Normal 4 6 2 2 2 4" xfId="10105" xr:uid="{00000000-0005-0000-0000-000036B50000}"/>
    <cellStyle name="Normal 4 6 2 2 2 4 2" xfId="16895" xr:uid="{00000000-0005-0000-0000-000037B50000}"/>
    <cellStyle name="Normal 4 6 2 2 2 4 2 2" xfId="30463" xr:uid="{00000000-0005-0000-0000-000038B50000}"/>
    <cellStyle name="Normal 4 6 2 2 2 4 2 2 2" xfId="57596" xr:uid="{00000000-0005-0000-0000-000039B50000}"/>
    <cellStyle name="Normal 4 6 2 2 2 4 2 3" xfId="44034" xr:uid="{00000000-0005-0000-0000-00003AB50000}"/>
    <cellStyle name="Normal 4 6 2 2 2 4 3" xfId="23682" xr:uid="{00000000-0005-0000-0000-00003BB50000}"/>
    <cellStyle name="Normal 4 6 2 2 2 4 3 2" xfId="50815" xr:uid="{00000000-0005-0000-0000-00003CB50000}"/>
    <cellStyle name="Normal 4 6 2 2 2 4 4" xfId="37253" xr:uid="{00000000-0005-0000-0000-00003DB50000}"/>
    <cellStyle name="Normal 4 6 2 2 2 5" xfId="13506" xr:uid="{00000000-0005-0000-0000-00003EB50000}"/>
    <cellStyle name="Normal 4 6 2 2 2 5 2" xfId="27074" xr:uid="{00000000-0005-0000-0000-00003FB50000}"/>
    <cellStyle name="Normal 4 6 2 2 2 5 2 2" xfId="54207" xr:uid="{00000000-0005-0000-0000-000040B50000}"/>
    <cellStyle name="Normal 4 6 2 2 2 5 3" xfId="40645" xr:uid="{00000000-0005-0000-0000-000041B50000}"/>
    <cellStyle name="Normal 4 6 2 2 2 6" xfId="20293" xr:uid="{00000000-0005-0000-0000-000042B50000}"/>
    <cellStyle name="Normal 4 6 2 2 2 6 2" xfId="47426" xr:uid="{00000000-0005-0000-0000-000043B50000}"/>
    <cellStyle name="Normal 4 6 2 2 2 7" xfId="33864" xr:uid="{00000000-0005-0000-0000-000044B50000}"/>
    <cellStyle name="Normal 4 6 2 2 3" xfId="6576" xr:uid="{00000000-0005-0000-0000-000045B50000}"/>
    <cellStyle name="Normal 4 6 2 2 3 2" xfId="6577" xr:uid="{00000000-0005-0000-0000-000046B50000}"/>
    <cellStyle name="Normal 4 6 2 2 3 2 2" xfId="10109" xr:uid="{00000000-0005-0000-0000-000047B50000}"/>
    <cellStyle name="Normal 4 6 2 2 3 2 2 2" xfId="16899" xr:uid="{00000000-0005-0000-0000-000048B50000}"/>
    <cellStyle name="Normal 4 6 2 2 3 2 2 2 2" xfId="30467" xr:uid="{00000000-0005-0000-0000-000049B50000}"/>
    <cellStyle name="Normal 4 6 2 2 3 2 2 2 2 2" xfId="57600" xr:uid="{00000000-0005-0000-0000-00004AB50000}"/>
    <cellStyle name="Normal 4 6 2 2 3 2 2 2 3" xfId="44038" xr:uid="{00000000-0005-0000-0000-00004BB50000}"/>
    <cellStyle name="Normal 4 6 2 2 3 2 2 3" xfId="23686" xr:uid="{00000000-0005-0000-0000-00004CB50000}"/>
    <cellStyle name="Normal 4 6 2 2 3 2 2 3 2" xfId="50819" xr:uid="{00000000-0005-0000-0000-00004DB50000}"/>
    <cellStyle name="Normal 4 6 2 2 3 2 2 4" xfId="37257" xr:uid="{00000000-0005-0000-0000-00004EB50000}"/>
    <cellStyle name="Normal 4 6 2 2 3 2 3" xfId="13510" xr:uid="{00000000-0005-0000-0000-00004FB50000}"/>
    <cellStyle name="Normal 4 6 2 2 3 2 3 2" xfId="27078" xr:uid="{00000000-0005-0000-0000-000050B50000}"/>
    <cellStyle name="Normal 4 6 2 2 3 2 3 2 2" xfId="54211" xr:uid="{00000000-0005-0000-0000-000051B50000}"/>
    <cellStyle name="Normal 4 6 2 2 3 2 3 3" xfId="40649" xr:uid="{00000000-0005-0000-0000-000052B50000}"/>
    <cellStyle name="Normal 4 6 2 2 3 2 4" xfId="20297" xr:uid="{00000000-0005-0000-0000-000053B50000}"/>
    <cellStyle name="Normal 4 6 2 2 3 2 4 2" xfId="47430" xr:uid="{00000000-0005-0000-0000-000054B50000}"/>
    <cellStyle name="Normal 4 6 2 2 3 2 5" xfId="33868" xr:uid="{00000000-0005-0000-0000-000055B50000}"/>
    <cellStyle name="Normal 4 6 2 2 3 3" xfId="10108" xr:uid="{00000000-0005-0000-0000-000056B50000}"/>
    <cellStyle name="Normal 4 6 2 2 3 3 2" xfId="16898" xr:uid="{00000000-0005-0000-0000-000057B50000}"/>
    <cellStyle name="Normal 4 6 2 2 3 3 2 2" xfId="30466" xr:uid="{00000000-0005-0000-0000-000058B50000}"/>
    <cellStyle name="Normal 4 6 2 2 3 3 2 2 2" xfId="57599" xr:uid="{00000000-0005-0000-0000-000059B50000}"/>
    <cellStyle name="Normal 4 6 2 2 3 3 2 3" xfId="44037" xr:uid="{00000000-0005-0000-0000-00005AB50000}"/>
    <cellStyle name="Normal 4 6 2 2 3 3 3" xfId="23685" xr:uid="{00000000-0005-0000-0000-00005BB50000}"/>
    <cellStyle name="Normal 4 6 2 2 3 3 3 2" xfId="50818" xr:uid="{00000000-0005-0000-0000-00005CB50000}"/>
    <cellStyle name="Normal 4 6 2 2 3 3 4" xfId="37256" xr:uid="{00000000-0005-0000-0000-00005DB50000}"/>
    <cellStyle name="Normal 4 6 2 2 3 4" xfId="13509" xr:uid="{00000000-0005-0000-0000-00005EB50000}"/>
    <cellStyle name="Normal 4 6 2 2 3 4 2" xfId="27077" xr:uid="{00000000-0005-0000-0000-00005FB50000}"/>
    <cellStyle name="Normal 4 6 2 2 3 4 2 2" xfId="54210" xr:uid="{00000000-0005-0000-0000-000060B50000}"/>
    <cellStyle name="Normal 4 6 2 2 3 4 3" xfId="40648" xr:uid="{00000000-0005-0000-0000-000061B50000}"/>
    <cellStyle name="Normal 4 6 2 2 3 5" xfId="20296" xr:uid="{00000000-0005-0000-0000-000062B50000}"/>
    <cellStyle name="Normal 4 6 2 2 3 5 2" xfId="47429" xr:uid="{00000000-0005-0000-0000-000063B50000}"/>
    <cellStyle name="Normal 4 6 2 2 3 6" xfId="33867" xr:uid="{00000000-0005-0000-0000-000064B50000}"/>
    <cellStyle name="Normal 4 6 2 2 4" xfId="6578" xr:uid="{00000000-0005-0000-0000-000065B50000}"/>
    <cellStyle name="Normal 4 6 2 2 4 2" xfId="10110" xr:uid="{00000000-0005-0000-0000-000066B50000}"/>
    <cellStyle name="Normal 4 6 2 2 4 2 2" xfId="16900" xr:uid="{00000000-0005-0000-0000-000067B50000}"/>
    <cellStyle name="Normal 4 6 2 2 4 2 2 2" xfId="30468" xr:uid="{00000000-0005-0000-0000-000068B50000}"/>
    <cellStyle name="Normal 4 6 2 2 4 2 2 2 2" xfId="57601" xr:uid="{00000000-0005-0000-0000-000069B50000}"/>
    <cellStyle name="Normal 4 6 2 2 4 2 2 3" xfId="44039" xr:uid="{00000000-0005-0000-0000-00006AB50000}"/>
    <cellStyle name="Normal 4 6 2 2 4 2 3" xfId="23687" xr:uid="{00000000-0005-0000-0000-00006BB50000}"/>
    <cellStyle name="Normal 4 6 2 2 4 2 3 2" xfId="50820" xr:uid="{00000000-0005-0000-0000-00006CB50000}"/>
    <cellStyle name="Normal 4 6 2 2 4 2 4" xfId="37258" xr:uid="{00000000-0005-0000-0000-00006DB50000}"/>
    <cellStyle name="Normal 4 6 2 2 4 3" xfId="13511" xr:uid="{00000000-0005-0000-0000-00006EB50000}"/>
    <cellStyle name="Normal 4 6 2 2 4 3 2" xfId="27079" xr:uid="{00000000-0005-0000-0000-00006FB50000}"/>
    <cellStyle name="Normal 4 6 2 2 4 3 2 2" xfId="54212" xr:uid="{00000000-0005-0000-0000-000070B50000}"/>
    <cellStyle name="Normal 4 6 2 2 4 3 3" xfId="40650" xr:uid="{00000000-0005-0000-0000-000071B50000}"/>
    <cellStyle name="Normal 4 6 2 2 4 4" xfId="20298" xr:uid="{00000000-0005-0000-0000-000072B50000}"/>
    <cellStyle name="Normal 4 6 2 2 4 4 2" xfId="47431" xr:uid="{00000000-0005-0000-0000-000073B50000}"/>
    <cellStyle name="Normal 4 6 2 2 4 5" xfId="33869" xr:uid="{00000000-0005-0000-0000-000074B50000}"/>
    <cellStyle name="Normal 4 6 2 2 5" xfId="6579" xr:uid="{00000000-0005-0000-0000-000075B50000}"/>
    <cellStyle name="Normal 4 6 2 2 5 2" xfId="10111" xr:uid="{00000000-0005-0000-0000-000076B50000}"/>
    <cellStyle name="Normal 4 6 2 2 5 2 2" xfId="16901" xr:uid="{00000000-0005-0000-0000-000077B50000}"/>
    <cellStyle name="Normal 4 6 2 2 5 2 2 2" xfId="30469" xr:uid="{00000000-0005-0000-0000-000078B50000}"/>
    <cellStyle name="Normal 4 6 2 2 5 2 2 2 2" xfId="57602" xr:uid="{00000000-0005-0000-0000-000079B50000}"/>
    <cellStyle name="Normal 4 6 2 2 5 2 2 3" xfId="44040" xr:uid="{00000000-0005-0000-0000-00007AB50000}"/>
    <cellStyle name="Normal 4 6 2 2 5 2 3" xfId="23688" xr:uid="{00000000-0005-0000-0000-00007BB50000}"/>
    <cellStyle name="Normal 4 6 2 2 5 2 3 2" xfId="50821" xr:uid="{00000000-0005-0000-0000-00007CB50000}"/>
    <cellStyle name="Normal 4 6 2 2 5 2 4" xfId="37259" xr:uid="{00000000-0005-0000-0000-00007DB50000}"/>
    <cellStyle name="Normal 4 6 2 2 5 3" xfId="13512" xr:uid="{00000000-0005-0000-0000-00007EB50000}"/>
    <cellStyle name="Normal 4 6 2 2 5 3 2" xfId="27080" xr:uid="{00000000-0005-0000-0000-00007FB50000}"/>
    <cellStyle name="Normal 4 6 2 2 5 3 2 2" xfId="54213" xr:uid="{00000000-0005-0000-0000-000080B50000}"/>
    <cellStyle name="Normal 4 6 2 2 5 3 3" xfId="40651" xr:uid="{00000000-0005-0000-0000-000081B50000}"/>
    <cellStyle name="Normal 4 6 2 2 5 4" xfId="20299" xr:uid="{00000000-0005-0000-0000-000082B50000}"/>
    <cellStyle name="Normal 4 6 2 2 5 4 2" xfId="47432" xr:uid="{00000000-0005-0000-0000-000083B50000}"/>
    <cellStyle name="Normal 4 6 2 2 5 5" xfId="33870" xr:uid="{00000000-0005-0000-0000-000084B50000}"/>
    <cellStyle name="Normal 4 6 2 2 6" xfId="10104" xr:uid="{00000000-0005-0000-0000-000085B50000}"/>
    <cellStyle name="Normal 4 6 2 2 6 2" xfId="16894" xr:uid="{00000000-0005-0000-0000-000086B50000}"/>
    <cellStyle name="Normal 4 6 2 2 6 2 2" xfId="30462" xr:uid="{00000000-0005-0000-0000-000087B50000}"/>
    <cellStyle name="Normal 4 6 2 2 6 2 2 2" xfId="57595" xr:uid="{00000000-0005-0000-0000-000088B50000}"/>
    <cellStyle name="Normal 4 6 2 2 6 2 3" xfId="44033" xr:uid="{00000000-0005-0000-0000-000089B50000}"/>
    <cellStyle name="Normal 4 6 2 2 6 3" xfId="23681" xr:uid="{00000000-0005-0000-0000-00008AB50000}"/>
    <cellStyle name="Normal 4 6 2 2 6 3 2" xfId="50814" xr:uid="{00000000-0005-0000-0000-00008BB50000}"/>
    <cellStyle name="Normal 4 6 2 2 6 4" xfId="37252" xr:uid="{00000000-0005-0000-0000-00008CB50000}"/>
    <cellStyle name="Normal 4 6 2 2 7" xfId="13505" xr:uid="{00000000-0005-0000-0000-00008DB50000}"/>
    <cellStyle name="Normal 4 6 2 2 7 2" xfId="27073" xr:uid="{00000000-0005-0000-0000-00008EB50000}"/>
    <cellStyle name="Normal 4 6 2 2 7 2 2" xfId="54206" xr:uid="{00000000-0005-0000-0000-00008FB50000}"/>
    <cellStyle name="Normal 4 6 2 2 7 3" xfId="40644" xr:uid="{00000000-0005-0000-0000-000090B50000}"/>
    <cellStyle name="Normal 4 6 2 2 8" xfId="20292" xr:uid="{00000000-0005-0000-0000-000091B50000}"/>
    <cellStyle name="Normal 4 6 2 2 8 2" xfId="47425" xr:uid="{00000000-0005-0000-0000-000092B50000}"/>
    <cellStyle name="Normal 4 6 2 2 9" xfId="33863" xr:uid="{00000000-0005-0000-0000-000093B50000}"/>
    <cellStyle name="Normal 4 6 2 3" xfId="6580" xr:uid="{00000000-0005-0000-0000-000094B50000}"/>
    <cellStyle name="Normal 4 6 2 3 2" xfId="6581" xr:uid="{00000000-0005-0000-0000-000095B50000}"/>
    <cellStyle name="Normal 4 6 2 3 2 2" xfId="10113" xr:uid="{00000000-0005-0000-0000-000096B50000}"/>
    <cellStyle name="Normal 4 6 2 3 2 2 2" xfId="16903" xr:uid="{00000000-0005-0000-0000-000097B50000}"/>
    <cellStyle name="Normal 4 6 2 3 2 2 2 2" xfId="30471" xr:uid="{00000000-0005-0000-0000-000098B50000}"/>
    <cellStyle name="Normal 4 6 2 3 2 2 2 2 2" xfId="57604" xr:uid="{00000000-0005-0000-0000-000099B50000}"/>
    <cellStyle name="Normal 4 6 2 3 2 2 2 3" xfId="44042" xr:uid="{00000000-0005-0000-0000-00009AB50000}"/>
    <cellStyle name="Normal 4 6 2 3 2 2 3" xfId="23690" xr:uid="{00000000-0005-0000-0000-00009BB50000}"/>
    <cellStyle name="Normal 4 6 2 3 2 2 3 2" xfId="50823" xr:uid="{00000000-0005-0000-0000-00009CB50000}"/>
    <cellStyle name="Normal 4 6 2 3 2 2 4" xfId="37261" xr:uid="{00000000-0005-0000-0000-00009DB50000}"/>
    <cellStyle name="Normal 4 6 2 3 2 3" xfId="13514" xr:uid="{00000000-0005-0000-0000-00009EB50000}"/>
    <cellStyle name="Normal 4 6 2 3 2 3 2" xfId="27082" xr:uid="{00000000-0005-0000-0000-00009FB50000}"/>
    <cellStyle name="Normal 4 6 2 3 2 3 2 2" xfId="54215" xr:uid="{00000000-0005-0000-0000-0000A0B50000}"/>
    <cellStyle name="Normal 4 6 2 3 2 3 3" xfId="40653" xr:uid="{00000000-0005-0000-0000-0000A1B50000}"/>
    <cellStyle name="Normal 4 6 2 3 2 4" xfId="20301" xr:uid="{00000000-0005-0000-0000-0000A2B50000}"/>
    <cellStyle name="Normal 4 6 2 3 2 4 2" xfId="47434" xr:uid="{00000000-0005-0000-0000-0000A3B50000}"/>
    <cellStyle name="Normal 4 6 2 3 2 5" xfId="33872" xr:uid="{00000000-0005-0000-0000-0000A4B50000}"/>
    <cellStyle name="Normal 4 6 2 3 3" xfId="6582" xr:uid="{00000000-0005-0000-0000-0000A5B50000}"/>
    <cellStyle name="Normal 4 6 2 3 3 2" xfId="10114" xr:uid="{00000000-0005-0000-0000-0000A6B50000}"/>
    <cellStyle name="Normal 4 6 2 3 3 2 2" xfId="16904" xr:uid="{00000000-0005-0000-0000-0000A7B50000}"/>
    <cellStyle name="Normal 4 6 2 3 3 2 2 2" xfId="30472" xr:uid="{00000000-0005-0000-0000-0000A8B50000}"/>
    <cellStyle name="Normal 4 6 2 3 3 2 2 2 2" xfId="57605" xr:uid="{00000000-0005-0000-0000-0000A9B50000}"/>
    <cellStyle name="Normal 4 6 2 3 3 2 2 3" xfId="44043" xr:uid="{00000000-0005-0000-0000-0000AAB50000}"/>
    <cellStyle name="Normal 4 6 2 3 3 2 3" xfId="23691" xr:uid="{00000000-0005-0000-0000-0000ABB50000}"/>
    <cellStyle name="Normal 4 6 2 3 3 2 3 2" xfId="50824" xr:uid="{00000000-0005-0000-0000-0000ACB50000}"/>
    <cellStyle name="Normal 4 6 2 3 3 2 4" xfId="37262" xr:uid="{00000000-0005-0000-0000-0000ADB50000}"/>
    <cellStyle name="Normal 4 6 2 3 3 3" xfId="13515" xr:uid="{00000000-0005-0000-0000-0000AEB50000}"/>
    <cellStyle name="Normal 4 6 2 3 3 3 2" xfId="27083" xr:uid="{00000000-0005-0000-0000-0000AFB50000}"/>
    <cellStyle name="Normal 4 6 2 3 3 3 2 2" xfId="54216" xr:uid="{00000000-0005-0000-0000-0000B0B50000}"/>
    <cellStyle name="Normal 4 6 2 3 3 3 3" xfId="40654" xr:uid="{00000000-0005-0000-0000-0000B1B50000}"/>
    <cellStyle name="Normal 4 6 2 3 3 4" xfId="20302" xr:uid="{00000000-0005-0000-0000-0000B2B50000}"/>
    <cellStyle name="Normal 4 6 2 3 3 4 2" xfId="47435" xr:uid="{00000000-0005-0000-0000-0000B3B50000}"/>
    <cellStyle name="Normal 4 6 2 3 3 5" xfId="33873" xr:uid="{00000000-0005-0000-0000-0000B4B50000}"/>
    <cellStyle name="Normal 4 6 2 3 4" xfId="10112" xr:uid="{00000000-0005-0000-0000-0000B5B50000}"/>
    <cellStyle name="Normal 4 6 2 3 4 2" xfId="16902" xr:uid="{00000000-0005-0000-0000-0000B6B50000}"/>
    <cellStyle name="Normal 4 6 2 3 4 2 2" xfId="30470" xr:uid="{00000000-0005-0000-0000-0000B7B50000}"/>
    <cellStyle name="Normal 4 6 2 3 4 2 2 2" xfId="57603" xr:uid="{00000000-0005-0000-0000-0000B8B50000}"/>
    <cellStyle name="Normal 4 6 2 3 4 2 3" xfId="44041" xr:uid="{00000000-0005-0000-0000-0000B9B50000}"/>
    <cellStyle name="Normal 4 6 2 3 4 3" xfId="23689" xr:uid="{00000000-0005-0000-0000-0000BAB50000}"/>
    <cellStyle name="Normal 4 6 2 3 4 3 2" xfId="50822" xr:uid="{00000000-0005-0000-0000-0000BBB50000}"/>
    <cellStyle name="Normal 4 6 2 3 4 4" xfId="37260" xr:uid="{00000000-0005-0000-0000-0000BCB50000}"/>
    <cellStyle name="Normal 4 6 2 3 5" xfId="13513" xr:uid="{00000000-0005-0000-0000-0000BDB50000}"/>
    <cellStyle name="Normal 4 6 2 3 5 2" xfId="27081" xr:uid="{00000000-0005-0000-0000-0000BEB50000}"/>
    <cellStyle name="Normal 4 6 2 3 5 2 2" xfId="54214" xr:uid="{00000000-0005-0000-0000-0000BFB50000}"/>
    <cellStyle name="Normal 4 6 2 3 5 3" xfId="40652" xr:uid="{00000000-0005-0000-0000-0000C0B50000}"/>
    <cellStyle name="Normal 4 6 2 3 6" xfId="20300" xr:uid="{00000000-0005-0000-0000-0000C1B50000}"/>
    <cellStyle name="Normal 4 6 2 3 6 2" xfId="47433" xr:uid="{00000000-0005-0000-0000-0000C2B50000}"/>
    <cellStyle name="Normal 4 6 2 3 7" xfId="33871" xr:uid="{00000000-0005-0000-0000-0000C3B50000}"/>
    <cellStyle name="Normal 4 6 2 4" xfId="6583" xr:uid="{00000000-0005-0000-0000-0000C4B50000}"/>
    <cellStyle name="Normal 4 6 2 4 2" xfId="6584" xr:uid="{00000000-0005-0000-0000-0000C5B50000}"/>
    <cellStyle name="Normal 4 6 2 4 2 2" xfId="10116" xr:uid="{00000000-0005-0000-0000-0000C6B50000}"/>
    <cellStyle name="Normal 4 6 2 4 2 2 2" xfId="16906" xr:uid="{00000000-0005-0000-0000-0000C7B50000}"/>
    <cellStyle name="Normal 4 6 2 4 2 2 2 2" xfId="30474" xr:uid="{00000000-0005-0000-0000-0000C8B50000}"/>
    <cellStyle name="Normal 4 6 2 4 2 2 2 2 2" xfId="57607" xr:uid="{00000000-0005-0000-0000-0000C9B50000}"/>
    <cellStyle name="Normal 4 6 2 4 2 2 2 3" xfId="44045" xr:uid="{00000000-0005-0000-0000-0000CAB50000}"/>
    <cellStyle name="Normal 4 6 2 4 2 2 3" xfId="23693" xr:uid="{00000000-0005-0000-0000-0000CBB50000}"/>
    <cellStyle name="Normal 4 6 2 4 2 2 3 2" xfId="50826" xr:uid="{00000000-0005-0000-0000-0000CCB50000}"/>
    <cellStyle name="Normal 4 6 2 4 2 2 4" xfId="37264" xr:uid="{00000000-0005-0000-0000-0000CDB50000}"/>
    <cellStyle name="Normal 4 6 2 4 2 3" xfId="13517" xr:uid="{00000000-0005-0000-0000-0000CEB50000}"/>
    <cellStyle name="Normal 4 6 2 4 2 3 2" xfId="27085" xr:uid="{00000000-0005-0000-0000-0000CFB50000}"/>
    <cellStyle name="Normal 4 6 2 4 2 3 2 2" xfId="54218" xr:uid="{00000000-0005-0000-0000-0000D0B50000}"/>
    <cellStyle name="Normal 4 6 2 4 2 3 3" xfId="40656" xr:uid="{00000000-0005-0000-0000-0000D1B50000}"/>
    <cellStyle name="Normal 4 6 2 4 2 4" xfId="20304" xr:uid="{00000000-0005-0000-0000-0000D2B50000}"/>
    <cellStyle name="Normal 4 6 2 4 2 4 2" xfId="47437" xr:uid="{00000000-0005-0000-0000-0000D3B50000}"/>
    <cellStyle name="Normal 4 6 2 4 2 5" xfId="33875" xr:uid="{00000000-0005-0000-0000-0000D4B50000}"/>
    <cellStyle name="Normal 4 6 2 4 3" xfId="10115" xr:uid="{00000000-0005-0000-0000-0000D5B50000}"/>
    <cellStyle name="Normal 4 6 2 4 3 2" xfId="16905" xr:uid="{00000000-0005-0000-0000-0000D6B50000}"/>
    <cellStyle name="Normal 4 6 2 4 3 2 2" xfId="30473" xr:uid="{00000000-0005-0000-0000-0000D7B50000}"/>
    <cellStyle name="Normal 4 6 2 4 3 2 2 2" xfId="57606" xr:uid="{00000000-0005-0000-0000-0000D8B50000}"/>
    <cellStyle name="Normal 4 6 2 4 3 2 3" xfId="44044" xr:uid="{00000000-0005-0000-0000-0000D9B50000}"/>
    <cellStyle name="Normal 4 6 2 4 3 3" xfId="23692" xr:uid="{00000000-0005-0000-0000-0000DAB50000}"/>
    <cellStyle name="Normal 4 6 2 4 3 3 2" xfId="50825" xr:uid="{00000000-0005-0000-0000-0000DBB50000}"/>
    <cellStyle name="Normal 4 6 2 4 3 4" xfId="37263" xr:uid="{00000000-0005-0000-0000-0000DCB50000}"/>
    <cellStyle name="Normal 4 6 2 4 4" xfId="13516" xr:uid="{00000000-0005-0000-0000-0000DDB50000}"/>
    <cellStyle name="Normal 4 6 2 4 4 2" xfId="27084" xr:uid="{00000000-0005-0000-0000-0000DEB50000}"/>
    <cellStyle name="Normal 4 6 2 4 4 2 2" xfId="54217" xr:uid="{00000000-0005-0000-0000-0000DFB50000}"/>
    <cellStyle name="Normal 4 6 2 4 4 3" xfId="40655" xr:uid="{00000000-0005-0000-0000-0000E0B50000}"/>
    <cellStyle name="Normal 4 6 2 4 5" xfId="20303" xr:uid="{00000000-0005-0000-0000-0000E1B50000}"/>
    <cellStyle name="Normal 4 6 2 4 5 2" xfId="47436" xr:uid="{00000000-0005-0000-0000-0000E2B50000}"/>
    <cellStyle name="Normal 4 6 2 4 6" xfId="33874" xr:uid="{00000000-0005-0000-0000-0000E3B50000}"/>
    <cellStyle name="Normal 4 6 2 5" xfId="6585" xr:uid="{00000000-0005-0000-0000-0000E4B50000}"/>
    <cellStyle name="Normal 4 6 2 5 2" xfId="10117" xr:uid="{00000000-0005-0000-0000-0000E5B50000}"/>
    <cellStyle name="Normal 4 6 2 5 2 2" xfId="16907" xr:uid="{00000000-0005-0000-0000-0000E6B50000}"/>
    <cellStyle name="Normal 4 6 2 5 2 2 2" xfId="30475" xr:uid="{00000000-0005-0000-0000-0000E7B50000}"/>
    <cellStyle name="Normal 4 6 2 5 2 2 2 2" xfId="57608" xr:uid="{00000000-0005-0000-0000-0000E8B50000}"/>
    <cellStyle name="Normal 4 6 2 5 2 2 3" xfId="44046" xr:uid="{00000000-0005-0000-0000-0000E9B50000}"/>
    <cellStyle name="Normal 4 6 2 5 2 3" xfId="23694" xr:uid="{00000000-0005-0000-0000-0000EAB50000}"/>
    <cellStyle name="Normal 4 6 2 5 2 3 2" xfId="50827" xr:uid="{00000000-0005-0000-0000-0000EBB50000}"/>
    <cellStyle name="Normal 4 6 2 5 2 4" xfId="37265" xr:uid="{00000000-0005-0000-0000-0000ECB50000}"/>
    <cellStyle name="Normal 4 6 2 5 3" xfId="13518" xr:uid="{00000000-0005-0000-0000-0000EDB50000}"/>
    <cellStyle name="Normal 4 6 2 5 3 2" xfId="27086" xr:uid="{00000000-0005-0000-0000-0000EEB50000}"/>
    <cellStyle name="Normal 4 6 2 5 3 2 2" xfId="54219" xr:uid="{00000000-0005-0000-0000-0000EFB50000}"/>
    <cellStyle name="Normal 4 6 2 5 3 3" xfId="40657" xr:uid="{00000000-0005-0000-0000-0000F0B50000}"/>
    <cellStyle name="Normal 4 6 2 5 4" xfId="20305" xr:uid="{00000000-0005-0000-0000-0000F1B50000}"/>
    <cellStyle name="Normal 4 6 2 5 4 2" xfId="47438" xr:uid="{00000000-0005-0000-0000-0000F2B50000}"/>
    <cellStyle name="Normal 4 6 2 5 5" xfId="33876" xr:uid="{00000000-0005-0000-0000-0000F3B50000}"/>
    <cellStyle name="Normal 4 6 2 6" xfId="6586" xr:uid="{00000000-0005-0000-0000-0000F4B50000}"/>
    <cellStyle name="Normal 4 6 2 6 2" xfId="10118" xr:uid="{00000000-0005-0000-0000-0000F5B50000}"/>
    <cellStyle name="Normal 4 6 2 6 2 2" xfId="16908" xr:uid="{00000000-0005-0000-0000-0000F6B50000}"/>
    <cellStyle name="Normal 4 6 2 6 2 2 2" xfId="30476" xr:uid="{00000000-0005-0000-0000-0000F7B50000}"/>
    <cellStyle name="Normal 4 6 2 6 2 2 2 2" xfId="57609" xr:uid="{00000000-0005-0000-0000-0000F8B50000}"/>
    <cellStyle name="Normal 4 6 2 6 2 2 3" xfId="44047" xr:uid="{00000000-0005-0000-0000-0000F9B50000}"/>
    <cellStyle name="Normal 4 6 2 6 2 3" xfId="23695" xr:uid="{00000000-0005-0000-0000-0000FAB50000}"/>
    <cellStyle name="Normal 4 6 2 6 2 3 2" xfId="50828" xr:uid="{00000000-0005-0000-0000-0000FBB50000}"/>
    <cellStyle name="Normal 4 6 2 6 2 4" xfId="37266" xr:uid="{00000000-0005-0000-0000-0000FCB50000}"/>
    <cellStyle name="Normal 4 6 2 6 3" xfId="13519" xr:uid="{00000000-0005-0000-0000-0000FDB50000}"/>
    <cellStyle name="Normal 4 6 2 6 3 2" xfId="27087" xr:uid="{00000000-0005-0000-0000-0000FEB50000}"/>
    <cellStyle name="Normal 4 6 2 6 3 2 2" xfId="54220" xr:uid="{00000000-0005-0000-0000-0000FFB50000}"/>
    <cellStyle name="Normal 4 6 2 6 3 3" xfId="40658" xr:uid="{00000000-0005-0000-0000-000000B60000}"/>
    <cellStyle name="Normal 4 6 2 6 4" xfId="20306" xr:uid="{00000000-0005-0000-0000-000001B60000}"/>
    <cellStyle name="Normal 4 6 2 6 4 2" xfId="47439" xr:uid="{00000000-0005-0000-0000-000002B60000}"/>
    <cellStyle name="Normal 4 6 2 6 5" xfId="33877" xr:uid="{00000000-0005-0000-0000-000003B60000}"/>
    <cellStyle name="Normal 4 6 2 7" xfId="10103" xr:uid="{00000000-0005-0000-0000-000004B60000}"/>
    <cellStyle name="Normal 4 6 2 7 2" xfId="16893" xr:uid="{00000000-0005-0000-0000-000005B60000}"/>
    <cellStyle name="Normal 4 6 2 7 2 2" xfId="30461" xr:uid="{00000000-0005-0000-0000-000006B60000}"/>
    <cellStyle name="Normal 4 6 2 7 2 2 2" xfId="57594" xr:uid="{00000000-0005-0000-0000-000007B60000}"/>
    <cellStyle name="Normal 4 6 2 7 2 3" xfId="44032" xr:uid="{00000000-0005-0000-0000-000008B60000}"/>
    <cellStyle name="Normal 4 6 2 7 3" xfId="23680" xr:uid="{00000000-0005-0000-0000-000009B60000}"/>
    <cellStyle name="Normal 4 6 2 7 3 2" xfId="50813" xr:uid="{00000000-0005-0000-0000-00000AB60000}"/>
    <cellStyle name="Normal 4 6 2 7 4" xfId="37251" xr:uid="{00000000-0005-0000-0000-00000BB60000}"/>
    <cellStyle name="Normal 4 6 2 8" xfId="13504" xr:uid="{00000000-0005-0000-0000-00000CB60000}"/>
    <cellStyle name="Normal 4 6 2 8 2" xfId="27072" xr:uid="{00000000-0005-0000-0000-00000DB60000}"/>
    <cellStyle name="Normal 4 6 2 8 2 2" xfId="54205" xr:uid="{00000000-0005-0000-0000-00000EB60000}"/>
    <cellStyle name="Normal 4 6 2 8 3" xfId="40643" xr:uid="{00000000-0005-0000-0000-00000FB60000}"/>
    <cellStyle name="Normal 4 6 2 9" xfId="20291" xr:uid="{00000000-0005-0000-0000-000010B60000}"/>
    <cellStyle name="Normal 4 6 2 9 2" xfId="47424" xr:uid="{00000000-0005-0000-0000-000011B60000}"/>
    <cellStyle name="Normal 4 6 3" xfId="6587" xr:uid="{00000000-0005-0000-0000-000012B60000}"/>
    <cellStyle name="Normal 4 6 3 2" xfId="6588" xr:uid="{00000000-0005-0000-0000-000013B60000}"/>
    <cellStyle name="Normal 4 6 3 2 2" xfId="6589" xr:uid="{00000000-0005-0000-0000-000014B60000}"/>
    <cellStyle name="Normal 4 6 3 2 2 2" xfId="10121" xr:uid="{00000000-0005-0000-0000-000015B60000}"/>
    <cellStyle name="Normal 4 6 3 2 2 2 2" xfId="16911" xr:uid="{00000000-0005-0000-0000-000016B60000}"/>
    <cellStyle name="Normal 4 6 3 2 2 2 2 2" xfId="30479" xr:uid="{00000000-0005-0000-0000-000017B60000}"/>
    <cellStyle name="Normal 4 6 3 2 2 2 2 2 2" xfId="57612" xr:uid="{00000000-0005-0000-0000-000018B60000}"/>
    <cellStyle name="Normal 4 6 3 2 2 2 2 3" xfId="44050" xr:uid="{00000000-0005-0000-0000-000019B60000}"/>
    <cellStyle name="Normal 4 6 3 2 2 2 3" xfId="23698" xr:uid="{00000000-0005-0000-0000-00001AB60000}"/>
    <cellStyle name="Normal 4 6 3 2 2 2 3 2" xfId="50831" xr:uid="{00000000-0005-0000-0000-00001BB60000}"/>
    <cellStyle name="Normal 4 6 3 2 2 2 4" xfId="37269" xr:uid="{00000000-0005-0000-0000-00001CB60000}"/>
    <cellStyle name="Normal 4 6 3 2 2 3" xfId="13522" xr:uid="{00000000-0005-0000-0000-00001DB60000}"/>
    <cellStyle name="Normal 4 6 3 2 2 3 2" xfId="27090" xr:uid="{00000000-0005-0000-0000-00001EB60000}"/>
    <cellStyle name="Normal 4 6 3 2 2 3 2 2" xfId="54223" xr:uid="{00000000-0005-0000-0000-00001FB60000}"/>
    <cellStyle name="Normal 4 6 3 2 2 3 3" xfId="40661" xr:uid="{00000000-0005-0000-0000-000020B60000}"/>
    <cellStyle name="Normal 4 6 3 2 2 4" xfId="20309" xr:uid="{00000000-0005-0000-0000-000021B60000}"/>
    <cellStyle name="Normal 4 6 3 2 2 4 2" xfId="47442" xr:uid="{00000000-0005-0000-0000-000022B60000}"/>
    <cellStyle name="Normal 4 6 3 2 2 5" xfId="33880" xr:uid="{00000000-0005-0000-0000-000023B60000}"/>
    <cellStyle name="Normal 4 6 3 2 3" xfId="6590" xr:uid="{00000000-0005-0000-0000-000024B60000}"/>
    <cellStyle name="Normal 4 6 3 2 3 2" xfId="10122" xr:uid="{00000000-0005-0000-0000-000025B60000}"/>
    <cellStyle name="Normal 4 6 3 2 3 2 2" xfId="16912" xr:uid="{00000000-0005-0000-0000-000026B60000}"/>
    <cellStyle name="Normal 4 6 3 2 3 2 2 2" xfId="30480" xr:uid="{00000000-0005-0000-0000-000027B60000}"/>
    <cellStyle name="Normal 4 6 3 2 3 2 2 2 2" xfId="57613" xr:uid="{00000000-0005-0000-0000-000028B60000}"/>
    <cellStyle name="Normal 4 6 3 2 3 2 2 3" xfId="44051" xr:uid="{00000000-0005-0000-0000-000029B60000}"/>
    <cellStyle name="Normal 4 6 3 2 3 2 3" xfId="23699" xr:uid="{00000000-0005-0000-0000-00002AB60000}"/>
    <cellStyle name="Normal 4 6 3 2 3 2 3 2" xfId="50832" xr:uid="{00000000-0005-0000-0000-00002BB60000}"/>
    <cellStyle name="Normal 4 6 3 2 3 2 4" xfId="37270" xr:uid="{00000000-0005-0000-0000-00002CB60000}"/>
    <cellStyle name="Normal 4 6 3 2 3 3" xfId="13523" xr:uid="{00000000-0005-0000-0000-00002DB60000}"/>
    <cellStyle name="Normal 4 6 3 2 3 3 2" xfId="27091" xr:uid="{00000000-0005-0000-0000-00002EB60000}"/>
    <cellStyle name="Normal 4 6 3 2 3 3 2 2" xfId="54224" xr:uid="{00000000-0005-0000-0000-00002FB60000}"/>
    <cellStyle name="Normal 4 6 3 2 3 3 3" xfId="40662" xr:uid="{00000000-0005-0000-0000-000030B60000}"/>
    <cellStyle name="Normal 4 6 3 2 3 4" xfId="20310" xr:uid="{00000000-0005-0000-0000-000031B60000}"/>
    <cellStyle name="Normal 4 6 3 2 3 4 2" xfId="47443" xr:uid="{00000000-0005-0000-0000-000032B60000}"/>
    <cellStyle name="Normal 4 6 3 2 3 5" xfId="33881" xr:uid="{00000000-0005-0000-0000-000033B60000}"/>
    <cellStyle name="Normal 4 6 3 2 4" xfId="10120" xr:uid="{00000000-0005-0000-0000-000034B60000}"/>
    <cellStyle name="Normal 4 6 3 2 4 2" xfId="16910" xr:uid="{00000000-0005-0000-0000-000035B60000}"/>
    <cellStyle name="Normal 4 6 3 2 4 2 2" xfId="30478" xr:uid="{00000000-0005-0000-0000-000036B60000}"/>
    <cellStyle name="Normal 4 6 3 2 4 2 2 2" xfId="57611" xr:uid="{00000000-0005-0000-0000-000037B60000}"/>
    <cellStyle name="Normal 4 6 3 2 4 2 3" xfId="44049" xr:uid="{00000000-0005-0000-0000-000038B60000}"/>
    <cellStyle name="Normal 4 6 3 2 4 3" xfId="23697" xr:uid="{00000000-0005-0000-0000-000039B60000}"/>
    <cellStyle name="Normal 4 6 3 2 4 3 2" xfId="50830" xr:uid="{00000000-0005-0000-0000-00003AB60000}"/>
    <cellStyle name="Normal 4 6 3 2 4 4" xfId="37268" xr:uid="{00000000-0005-0000-0000-00003BB60000}"/>
    <cellStyle name="Normal 4 6 3 2 5" xfId="13521" xr:uid="{00000000-0005-0000-0000-00003CB60000}"/>
    <cellStyle name="Normal 4 6 3 2 5 2" xfId="27089" xr:uid="{00000000-0005-0000-0000-00003DB60000}"/>
    <cellStyle name="Normal 4 6 3 2 5 2 2" xfId="54222" xr:uid="{00000000-0005-0000-0000-00003EB60000}"/>
    <cellStyle name="Normal 4 6 3 2 5 3" xfId="40660" xr:uid="{00000000-0005-0000-0000-00003FB60000}"/>
    <cellStyle name="Normal 4 6 3 2 6" xfId="20308" xr:uid="{00000000-0005-0000-0000-000040B60000}"/>
    <cellStyle name="Normal 4 6 3 2 6 2" xfId="47441" xr:uid="{00000000-0005-0000-0000-000041B60000}"/>
    <cellStyle name="Normal 4 6 3 2 7" xfId="33879" xr:uid="{00000000-0005-0000-0000-000042B60000}"/>
    <cellStyle name="Normal 4 6 3 3" xfId="6591" xr:uid="{00000000-0005-0000-0000-000043B60000}"/>
    <cellStyle name="Normal 4 6 3 3 2" xfId="6592" xr:uid="{00000000-0005-0000-0000-000044B60000}"/>
    <cellStyle name="Normal 4 6 3 3 2 2" xfId="10124" xr:uid="{00000000-0005-0000-0000-000045B60000}"/>
    <cellStyle name="Normal 4 6 3 3 2 2 2" xfId="16914" xr:uid="{00000000-0005-0000-0000-000046B60000}"/>
    <cellStyle name="Normal 4 6 3 3 2 2 2 2" xfId="30482" xr:uid="{00000000-0005-0000-0000-000047B60000}"/>
    <cellStyle name="Normal 4 6 3 3 2 2 2 2 2" xfId="57615" xr:uid="{00000000-0005-0000-0000-000048B60000}"/>
    <cellStyle name="Normal 4 6 3 3 2 2 2 3" xfId="44053" xr:uid="{00000000-0005-0000-0000-000049B60000}"/>
    <cellStyle name="Normal 4 6 3 3 2 2 3" xfId="23701" xr:uid="{00000000-0005-0000-0000-00004AB60000}"/>
    <cellStyle name="Normal 4 6 3 3 2 2 3 2" xfId="50834" xr:uid="{00000000-0005-0000-0000-00004BB60000}"/>
    <cellStyle name="Normal 4 6 3 3 2 2 4" xfId="37272" xr:uid="{00000000-0005-0000-0000-00004CB60000}"/>
    <cellStyle name="Normal 4 6 3 3 2 3" xfId="13525" xr:uid="{00000000-0005-0000-0000-00004DB60000}"/>
    <cellStyle name="Normal 4 6 3 3 2 3 2" xfId="27093" xr:uid="{00000000-0005-0000-0000-00004EB60000}"/>
    <cellStyle name="Normal 4 6 3 3 2 3 2 2" xfId="54226" xr:uid="{00000000-0005-0000-0000-00004FB60000}"/>
    <cellStyle name="Normal 4 6 3 3 2 3 3" xfId="40664" xr:uid="{00000000-0005-0000-0000-000050B60000}"/>
    <cellStyle name="Normal 4 6 3 3 2 4" xfId="20312" xr:uid="{00000000-0005-0000-0000-000051B60000}"/>
    <cellStyle name="Normal 4 6 3 3 2 4 2" xfId="47445" xr:uid="{00000000-0005-0000-0000-000052B60000}"/>
    <cellStyle name="Normal 4 6 3 3 2 5" xfId="33883" xr:uid="{00000000-0005-0000-0000-000053B60000}"/>
    <cellStyle name="Normal 4 6 3 3 3" xfId="10123" xr:uid="{00000000-0005-0000-0000-000054B60000}"/>
    <cellStyle name="Normal 4 6 3 3 3 2" xfId="16913" xr:uid="{00000000-0005-0000-0000-000055B60000}"/>
    <cellStyle name="Normal 4 6 3 3 3 2 2" xfId="30481" xr:uid="{00000000-0005-0000-0000-000056B60000}"/>
    <cellStyle name="Normal 4 6 3 3 3 2 2 2" xfId="57614" xr:uid="{00000000-0005-0000-0000-000057B60000}"/>
    <cellStyle name="Normal 4 6 3 3 3 2 3" xfId="44052" xr:uid="{00000000-0005-0000-0000-000058B60000}"/>
    <cellStyle name="Normal 4 6 3 3 3 3" xfId="23700" xr:uid="{00000000-0005-0000-0000-000059B60000}"/>
    <cellStyle name="Normal 4 6 3 3 3 3 2" xfId="50833" xr:uid="{00000000-0005-0000-0000-00005AB60000}"/>
    <cellStyle name="Normal 4 6 3 3 3 4" xfId="37271" xr:uid="{00000000-0005-0000-0000-00005BB60000}"/>
    <cellStyle name="Normal 4 6 3 3 4" xfId="13524" xr:uid="{00000000-0005-0000-0000-00005CB60000}"/>
    <cellStyle name="Normal 4 6 3 3 4 2" xfId="27092" xr:uid="{00000000-0005-0000-0000-00005DB60000}"/>
    <cellStyle name="Normal 4 6 3 3 4 2 2" xfId="54225" xr:uid="{00000000-0005-0000-0000-00005EB60000}"/>
    <cellStyle name="Normal 4 6 3 3 4 3" xfId="40663" xr:uid="{00000000-0005-0000-0000-00005FB60000}"/>
    <cellStyle name="Normal 4 6 3 3 5" xfId="20311" xr:uid="{00000000-0005-0000-0000-000060B60000}"/>
    <cellStyle name="Normal 4 6 3 3 5 2" xfId="47444" xr:uid="{00000000-0005-0000-0000-000061B60000}"/>
    <cellStyle name="Normal 4 6 3 3 6" xfId="33882" xr:uid="{00000000-0005-0000-0000-000062B60000}"/>
    <cellStyle name="Normal 4 6 3 4" xfId="6593" xr:uid="{00000000-0005-0000-0000-000063B60000}"/>
    <cellStyle name="Normal 4 6 3 4 2" xfId="10125" xr:uid="{00000000-0005-0000-0000-000064B60000}"/>
    <cellStyle name="Normal 4 6 3 4 2 2" xfId="16915" xr:uid="{00000000-0005-0000-0000-000065B60000}"/>
    <cellStyle name="Normal 4 6 3 4 2 2 2" xfId="30483" xr:uid="{00000000-0005-0000-0000-000066B60000}"/>
    <cellStyle name="Normal 4 6 3 4 2 2 2 2" xfId="57616" xr:uid="{00000000-0005-0000-0000-000067B60000}"/>
    <cellStyle name="Normal 4 6 3 4 2 2 3" xfId="44054" xr:uid="{00000000-0005-0000-0000-000068B60000}"/>
    <cellStyle name="Normal 4 6 3 4 2 3" xfId="23702" xr:uid="{00000000-0005-0000-0000-000069B60000}"/>
    <cellStyle name="Normal 4 6 3 4 2 3 2" xfId="50835" xr:uid="{00000000-0005-0000-0000-00006AB60000}"/>
    <cellStyle name="Normal 4 6 3 4 2 4" xfId="37273" xr:uid="{00000000-0005-0000-0000-00006BB60000}"/>
    <cellStyle name="Normal 4 6 3 4 3" xfId="13526" xr:uid="{00000000-0005-0000-0000-00006CB60000}"/>
    <cellStyle name="Normal 4 6 3 4 3 2" xfId="27094" xr:uid="{00000000-0005-0000-0000-00006DB60000}"/>
    <cellStyle name="Normal 4 6 3 4 3 2 2" xfId="54227" xr:uid="{00000000-0005-0000-0000-00006EB60000}"/>
    <cellStyle name="Normal 4 6 3 4 3 3" xfId="40665" xr:uid="{00000000-0005-0000-0000-00006FB60000}"/>
    <cellStyle name="Normal 4 6 3 4 4" xfId="20313" xr:uid="{00000000-0005-0000-0000-000070B60000}"/>
    <cellStyle name="Normal 4 6 3 4 4 2" xfId="47446" xr:uid="{00000000-0005-0000-0000-000071B60000}"/>
    <cellStyle name="Normal 4 6 3 4 5" xfId="33884" xr:uid="{00000000-0005-0000-0000-000072B60000}"/>
    <cellStyle name="Normal 4 6 3 5" xfId="6594" xr:uid="{00000000-0005-0000-0000-000073B60000}"/>
    <cellStyle name="Normal 4 6 3 5 2" xfId="10126" xr:uid="{00000000-0005-0000-0000-000074B60000}"/>
    <cellStyle name="Normal 4 6 3 5 2 2" xfId="16916" xr:uid="{00000000-0005-0000-0000-000075B60000}"/>
    <cellStyle name="Normal 4 6 3 5 2 2 2" xfId="30484" xr:uid="{00000000-0005-0000-0000-000076B60000}"/>
    <cellStyle name="Normal 4 6 3 5 2 2 2 2" xfId="57617" xr:uid="{00000000-0005-0000-0000-000077B60000}"/>
    <cellStyle name="Normal 4 6 3 5 2 2 3" xfId="44055" xr:uid="{00000000-0005-0000-0000-000078B60000}"/>
    <cellStyle name="Normal 4 6 3 5 2 3" xfId="23703" xr:uid="{00000000-0005-0000-0000-000079B60000}"/>
    <cellStyle name="Normal 4 6 3 5 2 3 2" xfId="50836" xr:uid="{00000000-0005-0000-0000-00007AB60000}"/>
    <cellStyle name="Normal 4 6 3 5 2 4" xfId="37274" xr:uid="{00000000-0005-0000-0000-00007BB60000}"/>
    <cellStyle name="Normal 4 6 3 5 3" xfId="13527" xr:uid="{00000000-0005-0000-0000-00007CB60000}"/>
    <cellStyle name="Normal 4 6 3 5 3 2" xfId="27095" xr:uid="{00000000-0005-0000-0000-00007DB60000}"/>
    <cellStyle name="Normal 4 6 3 5 3 2 2" xfId="54228" xr:uid="{00000000-0005-0000-0000-00007EB60000}"/>
    <cellStyle name="Normal 4 6 3 5 3 3" xfId="40666" xr:uid="{00000000-0005-0000-0000-00007FB60000}"/>
    <cellStyle name="Normal 4 6 3 5 4" xfId="20314" xr:uid="{00000000-0005-0000-0000-000080B60000}"/>
    <cellStyle name="Normal 4 6 3 5 4 2" xfId="47447" xr:uid="{00000000-0005-0000-0000-000081B60000}"/>
    <cellStyle name="Normal 4 6 3 5 5" xfId="33885" xr:uid="{00000000-0005-0000-0000-000082B60000}"/>
    <cellStyle name="Normal 4 6 3 6" xfId="10119" xr:uid="{00000000-0005-0000-0000-000083B60000}"/>
    <cellStyle name="Normal 4 6 3 6 2" xfId="16909" xr:uid="{00000000-0005-0000-0000-000084B60000}"/>
    <cellStyle name="Normal 4 6 3 6 2 2" xfId="30477" xr:uid="{00000000-0005-0000-0000-000085B60000}"/>
    <cellStyle name="Normal 4 6 3 6 2 2 2" xfId="57610" xr:uid="{00000000-0005-0000-0000-000086B60000}"/>
    <cellStyle name="Normal 4 6 3 6 2 3" xfId="44048" xr:uid="{00000000-0005-0000-0000-000087B60000}"/>
    <cellStyle name="Normal 4 6 3 6 3" xfId="23696" xr:uid="{00000000-0005-0000-0000-000088B60000}"/>
    <cellStyle name="Normal 4 6 3 6 3 2" xfId="50829" xr:uid="{00000000-0005-0000-0000-000089B60000}"/>
    <cellStyle name="Normal 4 6 3 6 4" xfId="37267" xr:uid="{00000000-0005-0000-0000-00008AB60000}"/>
    <cellStyle name="Normal 4 6 3 7" xfId="13520" xr:uid="{00000000-0005-0000-0000-00008BB60000}"/>
    <cellStyle name="Normal 4 6 3 7 2" xfId="27088" xr:uid="{00000000-0005-0000-0000-00008CB60000}"/>
    <cellStyle name="Normal 4 6 3 7 2 2" xfId="54221" xr:uid="{00000000-0005-0000-0000-00008DB60000}"/>
    <cellStyle name="Normal 4 6 3 7 3" xfId="40659" xr:uid="{00000000-0005-0000-0000-00008EB60000}"/>
    <cellStyle name="Normal 4 6 3 8" xfId="20307" xr:uid="{00000000-0005-0000-0000-00008FB60000}"/>
    <cellStyle name="Normal 4 6 3 8 2" xfId="47440" xr:uid="{00000000-0005-0000-0000-000090B60000}"/>
    <cellStyle name="Normal 4 6 3 9" xfId="33878" xr:uid="{00000000-0005-0000-0000-000091B60000}"/>
    <cellStyle name="Normal 4 6 4" xfId="6595" xr:uid="{00000000-0005-0000-0000-000092B60000}"/>
    <cellStyle name="Normal 4 6 4 2" xfId="6596" xr:uid="{00000000-0005-0000-0000-000093B60000}"/>
    <cellStyle name="Normal 4 6 4 2 2" xfId="6597" xr:uid="{00000000-0005-0000-0000-000094B60000}"/>
    <cellStyle name="Normal 4 6 4 2 2 2" xfId="10129" xr:uid="{00000000-0005-0000-0000-000095B60000}"/>
    <cellStyle name="Normal 4 6 4 2 2 2 2" xfId="16919" xr:uid="{00000000-0005-0000-0000-000096B60000}"/>
    <cellStyle name="Normal 4 6 4 2 2 2 2 2" xfId="30487" xr:uid="{00000000-0005-0000-0000-000097B60000}"/>
    <cellStyle name="Normal 4 6 4 2 2 2 2 2 2" xfId="57620" xr:uid="{00000000-0005-0000-0000-000098B60000}"/>
    <cellStyle name="Normal 4 6 4 2 2 2 2 3" xfId="44058" xr:uid="{00000000-0005-0000-0000-000099B60000}"/>
    <cellStyle name="Normal 4 6 4 2 2 2 3" xfId="23706" xr:uid="{00000000-0005-0000-0000-00009AB60000}"/>
    <cellStyle name="Normal 4 6 4 2 2 2 3 2" xfId="50839" xr:uid="{00000000-0005-0000-0000-00009BB60000}"/>
    <cellStyle name="Normal 4 6 4 2 2 2 4" xfId="37277" xr:uid="{00000000-0005-0000-0000-00009CB60000}"/>
    <cellStyle name="Normal 4 6 4 2 2 3" xfId="13530" xr:uid="{00000000-0005-0000-0000-00009DB60000}"/>
    <cellStyle name="Normal 4 6 4 2 2 3 2" xfId="27098" xr:uid="{00000000-0005-0000-0000-00009EB60000}"/>
    <cellStyle name="Normal 4 6 4 2 2 3 2 2" xfId="54231" xr:uid="{00000000-0005-0000-0000-00009FB60000}"/>
    <cellStyle name="Normal 4 6 4 2 2 3 3" xfId="40669" xr:uid="{00000000-0005-0000-0000-0000A0B60000}"/>
    <cellStyle name="Normal 4 6 4 2 2 4" xfId="20317" xr:uid="{00000000-0005-0000-0000-0000A1B60000}"/>
    <cellStyle name="Normal 4 6 4 2 2 4 2" xfId="47450" xr:uid="{00000000-0005-0000-0000-0000A2B60000}"/>
    <cellStyle name="Normal 4 6 4 2 2 5" xfId="33888" xr:uid="{00000000-0005-0000-0000-0000A3B60000}"/>
    <cellStyle name="Normal 4 6 4 2 3" xfId="6598" xr:uid="{00000000-0005-0000-0000-0000A4B60000}"/>
    <cellStyle name="Normal 4 6 4 2 3 2" xfId="10130" xr:uid="{00000000-0005-0000-0000-0000A5B60000}"/>
    <cellStyle name="Normal 4 6 4 2 3 2 2" xfId="16920" xr:uid="{00000000-0005-0000-0000-0000A6B60000}"/>
    <cellStyle name="Normal 4 6 4 2 3 2 2 2" xfId="30488" xr:uid="{00000000-0005-0000-0000-0000A7B60000}"/>
    <cellStyle name="Normal 4 6 4 2 3 2 2 2 2" xfId="57621" xr:uid="{00000000-0005-0000-0000-0000A8B60000}"/>
    <cellStyle name="Normal 4 6 4 2 3 2 2 3" xfId="44059" xr:uid="{00000000-0005-0000-0000-0000A9B60000}"/>
    <cellStyle name="Normal 4 6 4 2 3 2 3" xfId="23707" xr:uid="{00000000-0005-0000-0000-0000AAB60000}"/>
    <cellStyle name="Normal 4 6 4 2 3 2 3 2" xfId="50840" xr:uid="{00000000-0005-0000-0000-0000ABB60000}"/>
    <cellStyle name="Normal 4 6 4 2 3 2 4" xfId="37278" xr:uid="{00000000-0005-0000-0000-0000ACB60000}"/>
    <cellStyle name="Normal 4 6 4 2 3 3" xfId="13531" xr:uid="{00000000-0005-0000-0000-0000ADB60000}"/>
    <cellStyle name="Normal 4 6 4 2 3 3 2" xfId="27099" xr:uid="{00000000-0005-0000-0000-0000AEB60000}"/>
    <cellStyle name="Normal 4 6 4 2 3 3 2 2" xfId="54232" xr:uid="{00000000-0005-0000-0000-0000AFB60000}"/>
    <cellStyle name="Normal 4 6 4 2 3 3 3" xfId="40670" xr:uid="{00000000-0005-0000-0000-0000B0B60000}"/>
    <cellStyle name="Normal 4 6 4 2 3 4" xfId="20318" xr:uid="{00000000-0005-0000-0000-0000B1B60000}"/>
    <cellStyle name="Normal 4 6 4 2 3 4 2" xfId="47451" xr:uid="{00000000-0005-0000-0000-0000B2B60000}"/>
    <cellStyle name="Normal 4 6 4 2 3 5" xfId="33889" xr:uid="{00000000-0005-0000-0000-0000B3B60000}"/>
    <cellStyle name="Normal 4 6 4 2 4" xfId="10128" xr:uid="{00000000-0005-0000-0000-0000B4B60000}"/>
    <cellStyle name="Normal 4 6 4 2 4 2" xfId="16918" xr:uid="{00000000-0005-0000-0000-0000B5B60000}"/>
    <cellStyle name="Normal 4 6 4 2 4 2 2" xfId="30486" xr:uid="{00000000-0005-0000-0000-0000B6B60000}"/>
    <cellStyle name="Normal 4 6 4 2 4 2 2 2" xfId="57619" xr:uid="{00000000-0005-0000-0000-0000B7B60000}"/>
    <cellStyle name="Normal 4 6 4 2 4 2 3" xfId="44057" xr:uid="{00000000-0005-0000-0000-0000B8B60000}"/>
    <cellStyle name="Normal 4 6 4 2 4 3" xfId="23705" xr:uid="{00000000-0005-0000-0000-0000B9B60000}"/>
    <cellStyle name="Normal 4 6 4 2 4 3 2" xfId="50838" xr:uid="{00000000-0005-0000-0000-0000BAB60000}"/>
    <cellStyle name="Normal 4 6 4 2 4 4" xfId="37276" xr:uid="{00000000-0005-0000-0000-0000BBB60000}"/>
    <cellStyle name="Normal 4 6 4 2 5" xfId="13529" xr:uid="{00000000-0005-0000-0000-0000BCB60000}"/>
    <cellStyle name="Normal 4 6 4 2 5 2" xfId="27097" xr:uid="{00000000-0005-0000-0000-0000BDB60000}"/>
    <cellStyle name="Normal 4 6 4 2 5 2 2" xfId="54230" xr:uid="{00000000-0005-0000-0000-0000BEB60000}"/>
    <cellStyle name="Normal 4 6 4 2 5 3" xfId="40668" xr:uid="{00000000-0005-0000-0000-0000BFB60000}"/>
    <cellStyle name="Normal 4 6 4 2 6" xfId="20316" xr:uid="{00000000-0005-0000-0000-0000C0B60000}"/>
    <cellStyle name="Normal 4 6 4 2 6 2" xfId="47449" xr:uid="{00000000-0005-0000-0000-0000C1B60000}"/>
    <cellStyle name="Normal 4 6 4 2 7" xfId="33887" xr:uid="{00000000-0005-0000-0000-0000C2B60000}"/>
    <cellStyle name="Normal 4 6 4 3" xfId="6599" xr:uid="{00000000-0005-0000-0000-0000C3B60000}"/>
    <cellStyle name="Normal 4 6 4 3 2" xfId="10131" xr:uid="{00000000-0005-0000-0000-0000C4B60000}"/>
    <cellStyle name="Normal 4 6 4 3 2 2" xfId="16921" xr:uid="{00000000-0005-0000-0000-0000C5B60000}"/>
    <cellStyle name="Normal 4 6 4 3 2 2 2" xfId="30489" xr:uid="{00000000-0005-0000-0000-0000C6B60000}"/>
    <cellStyle name="Normal 4 6 4 3 2 2 2 2" xfId="57622" xr:uid="{00000000-0005-0000-0000-0000C7B60000}"/>
    <cellStyle name="Normal 4 6 4 3 2 2 3" xfId="44060" xr:uid="{00000000-0005-0000-0000-0000C8B60000}"/>
    <cellStyle name="Normal 4 6 4 3 2 3" xfId="23708" xr:uid="{00000000-0005-0000-0000-0000C9B60000}"/>
    <cellStyle name="Normal 4 6 4 3 2 3 2" xfId="50841" xr:uid="{00000000-0005-0000-0000-0000CAB60000}"/>
    <cellStyle name="Normal 4 6 4 3 2 4" xfId="37279" xr:uid="{00000000-0005-0000-0000-0000CBB60000}"/>
    <cellStyle name="Normal 4 6 4 3 3" xfId="13532" xr:uid="{00000000-0005-0000-0000-0000CCB60000}"/>
    <cellStyle name="Normal 4 6 4 3 3 2" xfId="27100" xr:uid="{00000000-0005-0000-0000-0000CDB60000}"/>
    <cellStyle name="Normal 4 6 4 3 3 2 2" xfId="54233" xr:uid="{00000000-0005-0000-0000-0000CEB60000}"/>
    <cellStyle name="Normal 4 6 4 3 3 3" xfId="40671" xr:uid="{00000000-0005-0000-0000-0000CFB60000}"/>
    <cellStyle name="Normal 4 6 4 3 4" xfId="20319" xr:uid="{00000000-0005-0000-0000-0000D0B60000}"/>
    <cellStyle name="Normal 4 6 4 3 4 2" xfId="47452" xr:uid="{00000000-0005-0000-0000-0000D1B60000}"/>
    <cellStyle name="Normal 4 6 4 3 5" xfId="33890" xr:uid="{00000000-0005-0000-0000-0000D2B60000}"/>
    <cellStyle name="Normal 4 6 4 4" xfId="6600" xr:uid="{00000000-0005-0000-0000-0000D3B60000}"/>
    <cellStyle name="Normal 4 6 4 4 2" xfId="10132" xr:uid="{00000000-0005-0000-0000-0000D4B60000}"/>
    <cellStyle name="Normal 4 6 4 4 2 2" xfId="16922" xr:uid="{00000000-0005-0000-0000-0000D5B60000}"/>
    <cellStyle name="Normal 4 6 4 4 2 2 2" xfId="30490" xr:uid="{00000000-0005-0000-0000-0000D6B60000}"/>
    <cellStyle name="Normal 4 6 4 4 2 2 2 2" xfId="57623" xr:uid="{00000000-0005-0000-0000-0000D7B60000}"/>
    <cellStyle name="Normal 4 6 4 4 2 2 3" xfId="44061" xr:uid="{00000000-0005-0000-0000-0000D8B60000}"/>
    <cellStyle name="Normal 4 6 4 4 2 3" xfId="23709" xr:uid="{00000000-0005-0000-0000-0000D9B60000}"/>
    <cellStyle name="Normal 4 6 4 4 2 3 2" xfId="50842" xr:uid="{00000000-0005-0000-0000-0000DAB60000}"/>
    <cellStyle name="Normal 4 6 4 4 2 4" xfId="37280" xr:uid="{00000000-0005-0000-0000-0000DBB60000}"/>
    <cellStyle name="Normal 4 6 4 4 3" xfId="13533" xr:uid="{00000000-0005-0000-0000-0000DCB60000}"/>
    <cellStyle name="Normal 4 6 4 4 3 2" xfId="27101" xr:uid="{00000000-0005-0000-0000-0000DDB60000}"/>
    <cellStyle name="Normal 4 6 4 4 3 2 2" xfId="54234" xr:uid="{00000000-0005-0000-0000-0000DEB60000}"/>
    <cellStyle name="Normal 4 6 4 4 3 3" xfId="40672" xr:uid="{00000000-0005-0000-0000-0000DFB60000}"/>
    <cellStyle name="Normal 4 6 4 4 4" xfId="20320" xr:uid="{00000000-0005-0000-0000-0000E0B60000}"/>
    <cellStyle name="Normal 4 6 4 4 4 2" xfId="47453" xr:uid="{00000000-0005-0000-0000-0000E1B60000}"/>
    <cellStyle name="Normal 4 6 4 4 5" xfId="33891" xr:uid="{00000000-0005-0000-0000-0000E2B60000}"/>
    <cellStyle name="Normal 4 6 4 5" xfId="10127" xr:uid="{00000000-0005-0000-0000-0000E3B60000}"/>
    <cellStyle name="Normal 4 6 4 5 2" xfId="16917" xr:uid="{00000000-0005-0000-0000-0000E4B60000}"/>
    <cellStyle name="Normal 4 6 4 5 2 2" xfId="30485" xr:uid="{00000000-0005-0000-0000-0000E5B60000}"/>
    <cellStyle name="Normal 4 6 4 5 2 2 2" xfId="57618" xr:uid="{00000000-0005-0000-0000-0000E6B60000}"/>
    <cellStyle name="Normal 4 6 4 5 2 3" xfId="44056" xr:uid="{00000000-0005-0000-0000-0000E7B60000}"/>
    <cellStyle name="Normal 4 6 4 5 3" xfId="23704" xr:uid="{00000000-0005-0000-0000-0000E8B60000}"/>
    <cellStyle name="Normal 4 6 4 5 3 2" xfId="50837" xr:uid="{00000000-0005-0000-0000-0000E9B60000}"/>
    <cellStyle name="Normal 4 6 4 5 4" xfId="37275" xr:uid="{00000000-0005-0000-0000-0000EAB60000}"/>
    <cellStyle name="Normal 4 6 4 6" xfId="13528" xr:uid="{00000000-0005-0000-0000-0000EBB60000}"/>
    <cellStyle name="Normal 4 6 4 6 2" xfId="27096" xr:uid="{00000000-0005-0000-0000-0000ECB60000}"/>
    <cellStyle name="Normal 4 6 4 6 2 2" xfId="54229" xr:uid="{00000000-0005-0000-0000-0000EDB60000}"/>
    <cellStyle name="Normal 4 6 4 6 3" xfId="40667" xr:uid="{00000000-0005-0000-0000-0000EEB60000}"/>
    <cellStyle name="Normal 4 6 4 7" xfId="20315" xr:uid="{00000000-0005-0000-0000-0000EFB60000}"/>
    <cellStyle name="Normal 4 6 4 7 2" xfId="47448" xr:uid="{00000000-0005-0000-0000-0000F0B60000}"/>
    <cellStyle name="Normal 4 6 4 8" xfId="33886" xr:uid="{00000000-0005-0000-0000-0000F1B60000}"/>
    <cellStyle name="Normal 4 6 5" xfId="6601" xr:uid="{00000000-0005-0000-0000-0000F2B60000}"/>
    <cellStyle name="Normal 4 6 5 2" xfId="6602" xr:uid="{00000000-0005-0000-0000-0000F3B60000}"/>
    <cellStyle name="Normal 4 6 5 2 2" xfId="6603" xr:uid="{00000000-0005-0000-0000-0000F4B60000}"/>
    <cellStyle name="Normal 4 6 5 2 2 2" xfId="10135" xr:uid="{00000000-0005-0000-0000-0000F5B60000}"/>
    <cellStyle name="Normal 4 6 5 2 2 2 2" xfId="16925" xr:uid="{00000000-0005-0000-0000-0000F6B60000}"/>
    <cellStyle name="Normal 4 6 5 2 2 2 2 2" xfId="30493" xr:uid="{00000000-0005-0000-0000-0000F7B60000}"/>
    <cellStyle name="Normal 4 6 5 2 2 2 2 2 2" xfId="57626" xr:uid="{00000000-0005-0000-0000-0000F8B60000}"/>
    <cellStyle name="Normal 4 6 5 2 2 2 2 3" xfId="44064" xr:uid="{00000000-0005-0000-0000-0000F9B60000}"/>
    <cellStyle name="Normal 4 6 5 2 2 2 3" xfId="23712" xr:uid="{00000000-0005-0000-0000-0000FAB60000}"/>
    <cellStyle name="Normal 4 6 5 2 2 2 3 2" xfId="50845" xr:uid="{00000000-0005-0000-0000-0000FBB60000}"/>
    <cellStyle name="Normal 4 6 5 2 2 2 4" xfId="37283" xr:uid="{00000000-0005-0000-0000-0000FCB60000}"/>
    <cellStyle name="Normal 4 6 5 2 2 3" xfId="13536" xr:uid="{00000000-0005-0000-0000-0000FDB60000}"/>
    <cellStyle name="Normal 4 6 5 2 2 3 2" xfId="27104" xr:uid="{00000000-0005-0000-0000-0000FEB60000}"/>
    <cellStyle name="Normal 4 6 5 2 2 3 2 2" xfId="54237" xr:uid="{00000000-0005-0000-0000-0000FFB60000}"/>
    <cellStyle name="Normal 4 6 5 2 2 3 3" xfId="40675" xr:uid="{00000000-0005-0000-0000-000000B70000}"/>
    <cellStyle name="Normal 4 6 5 2 2 4" xfId="20323" xr:uid="{00000000-0005-0000-0000-000001B70000}"/>
    <cellStyle name="Normal 4 6 5 2 2 4 2" xfId="47456" xr:uid="{00000000-0005-0000-0000-000002B70000}"/>
    <cellStyle name="Normal 4 6 5 2 2 5" xfId="33894" xr:uid="{00000000-0005-0000-0000-000003B70000}"/>
    <cellStyle name="Normal 4 6 5 2 3" xfId="6604" xr:uid="{00000000-0005-0000-0000-000004B70000}"/>
    <cellStyle name="Normal 4 6 5 2 3 2" xfId="10136" xr:uid="{00000000-0005-0000-0000-000005B70000}"/>
    <cellStyle name="Normal 4 6 5 2 3 2 2" xfId="16926" xr:uid="{00000000-0005-0000-0000-000006B70000}"/>
    <cellStyle name="Normal 4 6 5 2 3 2 2 2" xfId="30494" xr:uid="{00000000-0005-0000-0000-000007B70000}"/>
    <cellStyle name="Normal 4 6 5 2 3 2 2 2 2" xfId="57627" xr:uid="{00000000-0005-0000-0000-000008B70000}"/>
    <cellStyle name="Normal 4 6 5 2 3 2 2 3" xfId="44065" xr:uid="{00000000-0005-0000-0000-000009B70000}"/>
    <cellStyle name="Normal 4 6 5 2 3 2 3" xfId="23713" xr:uid="{00000000-0005-0000-0000-00000AB70000}"/>
    <cellStyle name="Normal 4 6 5 2 3 2 3 2" xfId="50846" xr:uid="{00000000-0005-0000-0000-00000BB70000}"/>
    <cellStyle name="Normal 4 6 5 2 3 2 4" xfId="37284" xr:uid="{00000000-0005-0000-0000-00000CB70000}"/>
    <cellStyle name="Normal 4 6 5 2 3 3" xfId="13537" xr:uid="{00000000-0005-0000-0000-00000DB70000}"/>
    <cellStyle name="Normal 4 6 5 2 3 3 2" xfId="27105" xr:uid="{00000000-0005-0000-0000-00000EB70000}"/>
    <cellStyle name="Normal 4 6 5 2 3 3 2 2" xfId="54238" xr:uid="{00000000-0005-0000-0000-00000FB70000}"/>
    <cellStyle name="Normal 4 6 5 2 3 3 3" xfId="40676" xr:uid="{00000000-0005-0000-0000-000010B70000}"/>
    <cellStyle name="Normal 4 6 5 2 3 4" xfId="20324" xr:uid="{00000000-0005-0000-0000-000011B70000}"/>
    <cellStyle name="Normal 4 6 5 2 3 4 2" xfId="47457" xr:uid="{00000000-0005-0000-0000-000012B70000}"/>
    <cellStyle name="Normal 4 6 5 2 3 5" xfId="33895" xr:uid="{00000000-0005-0000-0000-000013B70000}"/>
    <cellStyle name="Normal 4 6 5 2 4" xfId="10134" xr:uid="{00000000-0005-0000-0000-000014B70000}"/>
    <cellStyle name="Normal 4 6 5 2 4 2" xfId="16924" xr:uid="{00000000-0005-0000-0000-000015B70000}"/>
    <cellStyle name="Normal 4 6 5 2 4 2 2" xfId="30492" xr:uid="{00000000-0005-0000-0000-000016B70000}"/>
    <cellStyle name="Normal 4 6 5 2 4 2 2 2" xfId="57625" xr:uid="{00000000-0005-0000-0000-000017B70000}"/>
    <cellStyle name="Normal 4 6 5 2 4 2 3" xfId="44063" xr:uid="{00000000-0005-0000-0000-000018B70000}"/>
    <cellStyle name="Normal 4 6 5 2 4 3" xfId="23711" xr:uid="{00000000-0005-0000-0000-000019B70000}"/>
    <cellStyle name="Normal 4 6 5 2 4 3 2" xfId="50844" xr:uid="{00000000-0005-0000-0000-00001AB70000}"/>
    <cellStyle name="Normal 4 6 5 2 4 4" xfId="37282" xr:uid="{00000000-0005-0000-0000-00001BB70000}"/>
    <cellStyle name="Normal 4 6 5 2 5" xfId="13535" xr:uid="{00000000-0005-0000-0000-00001CB70000}"/>
    <cellStyle name="Normal 4 6 5 2 5 2" xfId="27103" xr:uid="{00000000-0005-0000-0000-00001DB70000}"/>
    <cellStyle name="Normal 4 6 5 2 5 2 2" xfId="54236" xr:uid="{00000000-0005-0000-0000-00001EB70000}"/>
    <cellStyle name="Normal 4 6 5 2 5 3" xfId="40674" xr:uid="{00000000-0005-0000-0000-00001FB70000}"/>
    <cellStyle name="Normal 4 6 5 2 6" xfId="20322" xr:uid="{00000000-0005-0000-0000-000020B70000}"/>
    <cellStyle name="Normal 4 6 5 2 6 2" xfId="47455" xr:uid="{00000000-0005-0000-0000-000021B70000}"/>
    <cellStyle name="Normal 4 6 5 2 7" xfId="33893" xr:uid="{00000000-0005-0000-0000-000022B70000}"/>
    <cellStyle name="Normal 4 6 5 3" xfId="6605" xr:uid="{00000000-0005-0000-0000-000023B70000}"/>
    <cellStyle name="Normal 4 6 5 3 2" xfId="10137" xr:uid="{00000000-0005-0000-0000-000024B70000}"/>
    <cellStyle name="Normal 4 6 5 3 2 2" xfId="16927" xr:uid="{00000000-0005-0000-0000-000025B70000}"/>
    <cellStyle name="Normal 4 6 5 3 2 2 2" xfId="30495" xr:uid="{00000000-0005-0000-0000-000026B70000}"/>
    <cellStyle name="Normal 4 6 5 3 2 2 2 2" xfId="57628" xr:uid="{00000000-0005-0000-0000-000027B70000}"/>
    <cellStyle name="Normal 4 6 5 3 2 2 3" xfId="44066" xr:uid="{00000000-0005-0000-0000-000028B70000}"/>
    <cellStyle name="Normal 4 6 5 3 2 3" xfId="23714" xr:uid="{00000000-0005-0000-0000-000029B70000}"/>
    <cellStyle name="Normal 4 6 5 3 2 3 2" xfId="50847" xr:uid="{00000000-0005-0000-0000-00002AB70000}"/>
    <cellStyle name="Normal 4 6 5 3 2 4" xfId="37285" xr:uid="{00000000-0005-0000-0000-00002BB70000}"/>
    <cellStyle name="Normal 4 6 5 3 3" xfId="13538" xr:uid="{00000000-0005-0000-0000-00002CB70000}"/>
    <cellStyle name="Normal 4 6 5 3 3 2" xfId="27106" xr:uid="{00000000-0005-0000-0000-00002DB70000}"/>
    <cellStyle name="Normal 4 6 5 3 3 2 2" xfId="54239" xr:uid="{00000000-0005-0000-0000-00002EB70000}"/>
    <cellStyle name="Normal 4 6 5 3 3 3" xfId="40677" xr:uid="{00000000-0005-0000-0000-00002FB70000}"/>
    <cellStyle name="Normal 4 6 5 3 4" xfId="20325" xr:uid="{00000000-0005-0000-0000-000030B70000}"/>
    <cellStyle name="Normal 4 6 5 3 4 2" xfId="47458" xr:uid="{00000000-0005-0000-0000-000031B70000}"/>
    <cellStyle name="Normal 4 6 5 3 5" xfId="33896" xr:uid="{00000000-0005-0000-0000-000032B70000}"/>
    <cellStyle name="Normal 4 6 5 4" xfId="6606" xr:uid="{00000000-0005-0000-0000-000033B70000}"/>
    <cellStyle name="Normal 4 6 5 4 2" xfId="10138" xr:uid="{00000000-0005-0000-0000-000034B70000}"/>
    <cellStyle name="Normal 4 6 5 4 2 2" xfId="16928" xr:uid="{00000000-0005-0000-0000-000035B70000}"/>
    <cellStyle name="Normal 4 6 5 4 2 2 2" xfId="30496" xr:uid="{00000000-0005-0000-0000-000036B70000}"/>
    <cellStyle name="Normal 4 6 5 4 2 2 2 2" xfId="57629" xr:uid="{00000000-0005-0000-0000-000037B70000}"/>
    <cellStyle name="Normal 4 6 5 4 2 2 3" xfId="44067" xr:uid="{00000000-0005-0000-0000-000038B70000}"/>
    <cellStyle name="Normal 4 6 5 4 2 3" xfId="23715" xr:uid="{00000000-0005-0000-0000-000039B70000}"/>
    <cellStyle name="Normal 4 6 5 4 2 3 2" xfId="50848" xr:uid="{00000000-0005-0000-0000-00003AB70000}"/>
    <cellStyle name="Normal 4 6 5 4 2 4" xfId="37286" xr:uid="{00000000-0005-0000-0000-00003BB70000}"/>
    <cellStyle name="Normal 4 6 5 4 3" xfId="13539" xr:uid="{00000000-0005-0000-0000-00003CB70000}"/>
    <cellStyle name="Normal 4 6 5 4 3 2" xfId="27107" xr:uid="{00000000-0005-0000-0000-00003DB70000}"/>
    <cellStyle name="Normal 4 6 5 4 3 2 2" xfId="54240" xr:uid="{00000000-0005-0000-0000-00003EB70000}"/>
    <cellStyle name="Normal 4 6 5 4 3 3" xfId="40678" xr:uid="{00000000-0005-0000-0000-00003FB70000}"/>
    <cellStyle name="Normal 4 6 5 4 4" xfId="20326" xr:uid="{00000000-0005-0000-0000-000040B70000}"/>
    <cellStyle name="Normal 4 6 5 4 4 2" xfId="47459" xr:uid="{00000000-0005-0000-0000-000041B70000}"/>
    <cellStyle name="Normal 4 6 5 4 5" xfId="33897" xr:uid="{00000000-0005-0000-0000-000042B70000}"/>
    <cellStyle name="Normal 4 6 5 5" xfId="10133" xr:uid="{00000000-0005-0000-0000-000043B70000}"/>
    <cellStyle name="Normal 4 6 5 5 2" xfId="16923" xr:uid="{00000000-0005-0000-0000-000044B70000}"/>
    <cellStyle name="Normal 4 6 5 5 2 2" xfId="30491" xr:uid="{00000000-0005-0000-0000-000045B70000}"/>
    <cellStyle name="Normal 4 6 5 5 2 2 2" xfId="57624" xr:uid="{00000000-0005-0000-0000-000046B70000}"/>
    <cellStyle name="Normal 4 6 5 5 2 3" xfId="44062" xr:uid="{00000000-0005-0000-0000-000047B70000}"/>
    <cellStyle name="Normal 4 6 5 5 3" xfId="23710" xr:uid="{00000000-0005-0000-0000-000048B70000}"/>
    <cellStyle name="Normal 4 6 5 5 3 2" xfId="50843" xr:uid="{00000000-0005-0000-0000-000049B70000}"/>
    <cellStyle name="Normal 4 6 5 5 4" xfId="37281" xr:uid="{00000000-0005-0000-0000-00004AB70000}"/>
    <cellStyle name="Normal 4 6 5 6" xfId="13534" xr:uid="{00000000-0005-0000-0000-00004BB70000}"/>
    <cellStyle name="Normal 4 6 5 6 2" xfId="27102" xr:uid="{00000000-0005-0000-0000-00004CB70000}"/>
    <cellStyle name="Normal 4 6 5 6 2 2" xfId="54235" xr:uid="{00000000-0005-0000-0000-00004DB70000}"/>
    <cellStyle name="Normal 4 6 5 6 3" xfId="40673" xr:uid="{00000000-0005-0000-0000-00004EB70000}"/>
    <cellStyle name="Normal 4 6 5 7" xfId="20321" xr:uid="{00000000-0005-0000-0000-00004FB70000}"/>
    <cellStyle name="Normal 4 6 5 7 2" xfId="47454" xr:uid="{00000000-0005-0000-0000-000050B70000}"/>
    <cellStyle name="Normal 4 6 5 8" xfId="33892" xr:uid="{00000000-0005-0000-0000-000051B70000}"/>
    <cellStyle name="Normal 4 6 6" xfId="6607" xr:uid="{00000000-0005-0000-0000-000052B70000}"/>
    <cellStyle name="Normal 4 6 6 2" xfId="6608" xr:uid="{00000000-0005-0000-0000-000053B70000}"/>
    <cellStyle name="Normal 4 6 6 2 2" xfId="10140" xr:uid="{00000000-0005-0000-0000-000054B70000}"/>
    <cellStyle name="Normal 4 6 6 2 2 2" xfId="16930" xr:uid="{00000000-0005-0000-0000-000055B70000}"/>
    <cellStyle name="Normal 4 6 6 2 2 2 2" xfId="30498" xr:uid="{00000000-0005-0000-0000-000056B70000}"/>
    <cellStyle name="Normal 4 6 6 2 2 2 2 2" xfId="57631" xr:uid="{00000000-0005-0000-0000-000057B70000}"/>
    <cellStyle name="Normal 4 6 6 2 2 2 3" xfId="44069" xr:uid="{00000000-0005-0000-0000-000058B70000}"/>
    <cellStyle name="Normal 4 6 6 2 2 3" xfId="23717" xr:uid="{00000000-0005-0000-0000-000059B70000}"/>
    <cellStyle name="Normal 4 6 6 2 2 3 2" xfId="50850" xr:uid="{00000000-0005-0000-0000-00005AB70000}"/>
    <cellStyle name="Normal 4 6 6 2 2 4" xfId="37288" xr:uid="{00000000-0005-0000-0000-00005BB70000}"/>
    <cellStyle name="Normal 4 6 6 2 3" xfId="13541" xr:uid="{00000000-0005-0000-0000-00005CB70000}"/>
    <cellStyle name="Normal 4 6 6 2 3 2" xfId="27109" xr:uid="{00000000-0005-0000-0000-00005DB70000}"/>
    <cellStyle name="Normal 4 6 6 2 3 2 2" xfId="54242" xr:uid="{00000000-0005-0000-0000-00005EB70000}"/>
    <cellStyle name="Normal 4 6 6 2 3 3" xfId="40680" xr:uid="{00000000-0005-0000-0000-00005FB70000}"/>
    <cellStyle name="Normal 4 6 6 2 4" xfId="20328" xr:uid="{00000000-0005-0000-0000-000060B70000}"/>
    <cellStyle name="Normal 4 6 6 2 4 2" xfId="47461" xr:uid="{00000000-0005-0000-0000-000061B70000}"/>
    <cellStyle name="Normal 4 6 6 2 5" xfId="33899" xr:uid="{00000000-0005-0000-0000-000062B70000}"/>
    <cellStyle name="Normal 4 6 6 3" xfId="6609" xr:uid="{00000000-0005-0000-0000-000063B70000}"/>
    <cellStyle name="Normal 4 6 6 3 2" xfId="10141" xr:uid="{00000000-0005-0000-0000-000064B70000}"/>
    <cellStyle name="Normal 4 6 6 3 2 2" xfId="16931" xr:uid="{00000000-0005-0000-0000-000065B70000}"/>
    <cellStyle name="Normal 4 6 6 3 2 2 2" xfId="30499" xr:uid="{00000000-0005-0000-0000-000066B70000}"/>
    <cellStyle name="Normal 4 6 6 3 2 2 2 2" xfId="57632" xr:uid="{00000000-0005-0000-0000-000067B70000}"/>
    <cellStyle name="Normal 4 6 6 3 2 2 3" xfId="44070" xr:uid="{00000000-0005-0000-0000-000068B70000}"/>
    <cellStyle name="Normal 4 6 6 3 2 3" xfId="23718" xr:uid="{00000000-0005-0000-0000-000069B70000}"/>
    <cellStyle name="Normal 4 6 6 3 2 3 2" xfId="50851" xr:uid="{00000000-0005-0000-0000-00006AB70000}"/>
    <cellStyle name="Normal 4 6 6 3 2 4" xfId="37289" xr:uid="{00000000-0005-0000-0000-00006BB70000}"/>
    <cellStyle name="Normal 4 6 6 3 3" xfId="13542" xr:uid="{00000000-0005-0000-0000-00006CB70000}"/>
    <cellStyle name="Normal 4 6 6 3 3 2" xfId="27110" xr:uid="{00000000-0005-0000-0000-00006DB70000}"/>
    <cellStyle name="Normal 4 6 6 3 3 2 2" xfId="54243" xr:uid="{00000000-0005-0000-0000-00006EB70000}"/>
    <cellStyle name="Normal 4 6 6 3 3 3" xfId="40681" xr:uid="{00000000-0005-0000-0000-00006FB70000}"/>
    <cellStyle name="Normal 4 6 6 3 4" xfId="20329" xr:uid="{00000000-0005-0000-0000-000070B70000}"/>
    <cellStyle name="Normal 4 6 6 3 4 2" xfId="47462" xr:uid="{00000000-0005-0000-0000-000071B70000}"/>
    <cellStyle name="Normal 4 6 6 3 5" xfId="33900" xr:uid="{00000000-0005-0000-0000-000072B70000}"/>
    <cellStyle name="Normal 4 6 6 4" xfId="10139" xr:uid="{00000000-0005-0000-0000-000073B70000}"/>
    <cellStyle name="Normal 4 6 6 4 2" xfId="16929" xr:uid="{00000000-0005-0000-0000-000074B70000}"/>
    <cellStyle name="Normal 4 6 6 4 2 2" xfId="30497" xr:uid="{00000000-0005-0000-0000-000075B70000}"/>
    <cellStyle name="Normal 4 6 6 4 2 2 2" xfId="57630" xr:uid="{00000000-0005-0000-0000-000076B70000}"/>
    <cellStyle name="Normal 4 6 6 4 2 3" xfId="44068" xr:uid="{00000000-0005-0000-0000-000077B70000}"/>
    <cellStyle name="Normal 4 6 6 4 3" xfId="23716" xr:uid="{00000000-0005-0000-0000-000078B70000}"/>
    <cellStyle name="Normal 4 6 6 4 3 2" xfId="50849" xr:uid="{00000000-0005-0000-0000-000079B70000}"/>
    <cellStyle name="Normal 4 6 6 4 4" xfId="37287" xr:uid="{00000000-0005-0000-0000-00007AB70000}"/>
    <cellStyle name="Normal 4 6 6 5" xfId="13540" xr:uid="{00000000-0005-0000-0000-00007BB70000}"/>
    <cellStyle name="Normal 4 6 6 5 2" xfId="27108" xr:uid="{00000000-0005-0000-0000-00007CB70000}"/>
    <cellStyle name="Normal 4 6 6 5 2 2" xfId="54241" xr:uid="{00000000-0005-0000-0000-00007DB70000}"/>
    <cellStyle name="Normal 4 6 6 5 3" xfId="40679" xr:uid="{00000000-0005-0000-0000-00007EB70000}"/>
    <cellStyle name="Normal 4 6 6 6" xfId="20327" xr:uid="{00000000-0005-0000-0000-00007FB70000}"/>
    <cellStyle name="Normal 4 6 6 6 2" xfId="47460" xr:uid="{00000000-0005-0000-0000-000080B70000}"/>
    <cellStyle name="Normal 4 6 6 7" xfId="33898" xr:uid="{00000000-0005-0000-0000-000081B70000}"/>
    <cellStyle name="Normal 4 6 7" xfId="6610" xr:uid="{00000000-0005-0000-0000-000082B70000}"/>
    <cellStyle name="Normal 4 6 7 2" xfId="6611" xr:uid="{00000000-0005-0000-0000-000083B70000}"/>
    <cellStyle name="Normal 4 6 7 2 2" xfId="10143" xr:uid="{00000000-0005-0000-0000-000084B70000}"/>
    <cellStyle name="Normal 4 6 7 2 2 2" xfId="16933" xr:uid="{00000000-0005-0000-0000-000085B70000}"/>
    <cellStyle name="Normal 4 6 7 2 2 2 2" xfId="30501" xr:uid="{00000000-0005-0000-0000-000086B70000}"/>
    <cellStyle name="Normal 4 6 7 2 2 2 2 2" xfId="57634" xr:uid="{00000000-0005-0000-0000-000087B70000}"/>
    <cellStyle name="Normal 4 6 7 2 2 2 3" xfId="44072" xr:uid="{00000000-0005-0000-0000-000088B70000}"/>
    <cellStyle name="Normal 4 6 7 2 2 3" xfId="23720" xr:uid="{00000000-0005-0000-0000-000089B70000}"/>
    <cellStyle name="Normal 4 6 7 2 2 3 2" xfId="50853" xr:uid="{00000000-0005-0000-0000-00008AB70000}"/>
    <cellStyle name="Normal 4 6 7 2 2 4" xfId="37291" xr:uid="{00000000-0005-0000-0000-00008BB70000}"/>
    <cellStyle name="Normal 4 6 7 2 3" xfId="13544" xr:uid="{00000000-0005-0000-0000-00008CB70000}"/>
    <cellStyle name="Normal 4 6 7 2 3 2" xfId="27112" xr:uid="{00000000-0005-0000-0000-00008DB70000}"/>
    <cellStyle name="Normal 4 6 7 2 3 2 2" xfId="54245" xr:uid="{00000000-0005-0000-0000-00008EB70000}"/>
    <cellStyle name="Normal 4 6 7 2 3 3" xfId="40683" xr:uid="{00000000-0005-0000-0000-00008FB70000}"/>
    <cellStyle name="Normal 4 6 7 2 4" xfId="20331" xr:uid="{00000000-0005-0000-0000-000090B70000}"/>
    <cellStyle name="Normal 4 6 7 2 4 2" xfId="47464" xr:uid="{00000000-0005-0000-0000-000091B70000}"/>
    <cellStyle name="Normal 4 6 7 2 5" xfId="33902" xr:uid="{00000000-0005-0000-0000-000092B70000}"/>
    <cellStyle name="Normal 4 6 7 3" xfId="6612" xr:uid="{00000000-0005-0000-0000-000093B70000}"/>
    <cellStyle name="Normal 4 6 7 3 2" xfId="10144" xr:uid="{00000000-0005-0000-0000-000094B70000}"/>
    <cellStyle name="Normal 4 6 7 3 2 2" xfId="16934" xr:uid="{00000000-0005-0000-0000-000095B70000}"/>
    <cellStyle name="Normal 4 6 7 3 2 2 2" xfId="30502" xr:uid="{00000000-0005-0000-0000-000096B70000}"/>
    <cellStyle name="Normal 4 6 7 3 2 2 2 2" xfId="57635" xr:uid="{00000000-0005-0000-0000-000097B70000}"/>
    <cellStyle name="Normal 4 6 7 3 2 2 3" xfId="44073" xr:uid="{00000000-0005-0000-0000-000098B70000}"/>
    <cellStyle name="Normal 4 6 7 3 2 3" xfId="23721" xr:uid="{00000000-0005-0000-0000-000099B70000}"/>
    <cellStyle name="Normal 4 6 7 3 2 3 2" xfId="50854" xr:uid="{00000000-0005-0000-0000-00009AB70000}"/>
    <cellStyle name="Normal 4 6 7 3 2 4" xfId="37292" xr:uid="{00000000-0005-0000-0000-00009BB70000}"/>
    <cellStyle name="Normal 4 6 7 3 3" xfId="13545" xr:uid="{00000000-0005-0000-0000-00009CB70000}"/>
    <cellStyle name="Normal 4 6 7 3 3 2" xfId="27113" xr:uid="{00000000-0005-0000-0000-00009DB70000}"/>
    <cellStyle name="Normal 4 6 7 3 3 2 2" xfId="54246" xr:uid="{00000000-0005-0000-0000-00009EB70000}"/>
    <cellStyle name="Normal 4 6 7 3 3 3" xfId="40684" xr:uid="{00000000-0005-0000-0000-00009FB70000}"/>
    <cellStyle name="Normal 4 6 7 3 4" xfId="20332" xr:uid="{00000000-0005-0000-0000-0000A0B70000}"/>
    <cellStyle name="Normal 4 6 7 3 4 2" xfId="47465" xr:uid="{00000000-0005-0000-0000-0000A1B70000}"/>
    <cellStyle name="Normal 4 6 7 3 5" xfId="33903" xr:uid="{00000000-0005-0000-0000-0000A2B70000}"/>
    <cellStyle name="Normal 4 6 7 4" xfId="10142" xr:uid="{00000000-0005-0000-0000-0000A3B70000}"/>
    <cellStyle name="Normal 4 6 7 4 2" xfId="16932" xr:uid="{00000000-0005-0000-0000-0000A4B70000}"/>
    <cellStyle name="Normal 4 6 7 4 2 2" xfId="30500" xr:uid="{00000000-0005-0000-0000-0000A5B70000}"/>
    <cellStyle name="Normal 4 6 7 4 2 2 2" xfId="57633" xr:uid="{00000000-0005-0000-0000-0000A6B70000}"/>
    <cellStyle name="Normal 4 6 7 4 2 3" xfId="44071" xr:uid="{00000000-0005-0000-0000-0000A7B70000}"/>
    <cellStyle name="Normal 4 6 7 4 3" xfId="23719" xr:uid="{00000000-0005-0000-0000-0000A8B70000}"/>
    <cellStyle name="Normal 4 6 7 4 3 2" xfId="50852" xr:uid="{00000000-0005-0000-0000-0000A9B70000}"/>
    <cellStyle name="Normal 4 6 7 4 4" xfId="37290" xr:uid="{00000000-0005-0000-0000-0000AAB70000}"/>
    <cellStyle name="Normal 4 6 7 5" xfId="13543" xr:uid="{00000000-0005-0000-0000-0000ABB70000}"/>
    <cellStyle name="Normal 4 6 7 5 2" xfId="27111" xr:uid="{00000000-0005-0000-0000-0000ACB70000}"/>
    <cellStyle name="Normal 4 6 7 5 2 2" xfId="54244" xr:uid="{00000000-0005-0000-0000-0000ADB70000}"/>
    <cellStyle name="Normal 4 6 7 5 3" xfId="40682" xr:uid="{00000000-0005-0000-0000-0000AEB70000}"/>
    <cellStyle name="Normal 4 6 7 6" xfId="20330" xr:uid="{00000000-0005-0000-0000-0000AFB70000}"/>
    <cellStyle name="Normal 4 6 7 6 2" xfId="47463" xr:uid="{00000000-0005-0000-0000-0000B0B70000}"/>
    <cellStyle name="Normal 4 6 7 7" xfId="33901" xr:uid="{00000000-0005-0000-0000-0000B1B70000}"/>
    <cellStyle name="Normal 4 6 8" xfId="6613" xr:uid="{00000000-0005-0000-0000-0000B2B70000}"/>
    <cellStyle name="Normal 4 6 8 2" xfId="10145" xr:uid="{00000000-0005-0000-0000-0000B3B70000}"/>
    <cellStyle name="Normal 4 6 8 2 2" xfId="16935" xr:uid="{00000000-0005-0000-0000-0000B4B70000}"/>
    <cellStyle name="Normal 4 6 8 2 2 2" xfId="30503" xr:uid="{00000000-0005-0000-0000-0000B5B70000}"/>
    <cellStyle name="Normal 4 6 8 2 2 2 2" xfId="57636" xr:uid="{00000000-0005-0000-0000-0000B6B70000}"/>
    <cellStyle name="Normal 4 6 8 2 2 3" xfId="44074" xr:uid="{00000000-0005-0000-0000-0000B7B70000}"/>
    <cellStyle name="Normal 4 6 8 2 3" xfId="23722" xr:uid="{00000000-0005-0000-0000-0000B8B70000}"/>
    <cellStyle name="Normal 4 6 8 2 3 2" xfId="50855" xr:uid="{00000000-0005-0000-0000-0000B9B70000}"/>
    <cellStyle name="Normal 4 6 8 2 4" xfId="37293" xr:uid="{00000000-0005-0000-0000-0000BAB70000}"/>
    <cellStyle name="Normal 4 6 8 3" xfId="13546" xr:uid="{00000000-0005-0000-0000-0000BBB70000}"/>
    <cellStyle name="Normal 4 6 8 3 2" xfId="27114" xr:uid="{00000000-0005-0000-0000-0000BCB70000}"/>
    <cellStyle name="Normal 4 6 8 3 2 2" xfId="54247" xr:uid="{00000000-0005-0000-0000-0000BDB70000}"/>
    <cellStyle name="Normal 4 6 8 3 3" xfId="40685" xr:uid="{00000000-0005-0000-0000-0000BEB70000}"/>
    <cellStyle name="Normal 4 6 8 4" xfId="20333" xr:uid="{00000000-0005-0000-0000-0000BFB70000}"/>
    <cellStyle name="Normal 4 6 8 4 2" xfId="47466" xr:uid="{00000000-0005-0000-0000-0000C0B70000}"/>
    <cellStyle name="Normal 4 6 8 5" xfId="33904" xr:uid="{00000000-0005-0000-0000-0000C1B70000}"/>
    <cellStyle name="Normal 4 6 9" xfId="6614" xr:uid="{00000000-0005-0000-0000-0000C2B70000}"/>
    <cellStyle name="Normal 4 6 9 2" xfId="10146" xr:uid="{00000000-0005-0000-0000-0000C3B70000}"/>
    <cellStyle name="Normal 4 6 9 2 2" xfId="16936" xr:uid="{00000000-0005-0000-0000-0000C4B70000}"/>
    <cellStyle name="Normal 4 6 9 2 2 2" xfId="30504" xr:uid="{00000000-0005-0000-0000-0000C5B70000}"/>
    <cellStyle name="Normal 4 6 9 2 2 2 2" xfId="57637" xr:uid="{00000000-0005-0000-0000-0000C6B70000}"/>
    <cellStyle name="Normal 4 6 9 2 2 3" xfId="44075" xr:uid="{00000000-0005-0000-0000-0000C7B70000}"/>
    <cellStyle name="Normal 4 6 9 2 3" xfId="23723" xr:uid="{00000000-0005-0000-0000-0000C8B70000}"/>
    <cellStyle name="Normal 4 6 9 2 3 2" xfId="50856" xr:uid="{00000000-0005-0000-0000-0000C9B70000}"/>
    <cellStyle name="Normal 4 6 9 2 4" xfId="37294" xr:uid="{00000000-0005-0000-0000-0000CAB70000}"/>
    <cellStyle name="Normal 4 6 9 3" xfId="13547" xr:uid="{00000000-0005-0000-0000-0000CBB70000}"/>
    <cellStyle name="Normal 4 6 9 3 2" xfId="27115" xr:uid="{00000000-0005-0000-0000-0000CCB70000}"/>
    <cellStyle name="Normal 4 6 9 3 2 2" xfId="54248" xr:uid="{00000000-0005-0000-0000-0000CDB70000}"/>
    <cellStyle name="Normal 4 6 9 3 3" xfId="40686" xr:uid="{00000000-0005-0000-0000-0000CEB70000}"/>
    <cellStyle name="Normal 4 6 9 4" xfId="20334" xr:uid="{00000000-0005-0000-0000-0000CFB70000}"/>
    <cellStyle name="Normal 4 6 9 4 2" xfId="47467" xr:uid="{00000000-0005-0000-0000-0000D0B70000}"/>
    <cellStyle name="Normal 4 6 9 5" xfId="33905" xr:uid="{00000000-0005-0000-0000-0000D1B70000}"/>
    <cellStyle name="Normal 4 7" xfId="2780" xr:uid="{00000000-0005-0000-0000-0000D2B70000}"/>
    <cellStyle name="Normal 4 7 2" xfId="6615" xr:uid="{00000000-0005-0000-0000-0000D3B70000}"/>
    <cellStyle name="Normal 4 7 2 2" xfId="6616" xr:uid="{00000000-0005-0000-0000-0000D4B70000}"/>
    <cellStyle name="Normal 4 7 2 2 2" xfId="6617" xr:uid="{00000000-0005-0000-0000-0000D5B70000}"/>
    <cellStyle name="Normal 4 7 2 2 2 2" xfId="10149" xr:uid="{00000000-0005-0000-0000-0000D6B70000}"/>
    <cellStyle name="Normal 4 7 2 2 2 2 2" xfId="16939" xr:uid="{00000000-0005-0000-0000-0000D7B70000}"/>
    <cellStyle name="Normal 4 7 2 2 2 2 2 2" xfId="30507" xr:uid="{00000000-0005-0000-0000-0000D8B70000}"/>
    <cellStyle name="Normal 4 7 2 2 2 2 2 2 2" xfId="57640" xr:uid="{00000000-0005-0000-0000-0000D9B70000}"/>
    <cellStyle name="Normal 4 7 2 2 2 2 2 3" xfId="44078" xr:uid="{00000000-0005-0000-0000-0000DAB70000}"/>
    <cellStyle name="Normal 4 7 2 2 2 2 3" xfId="23726" xr:uid="{00000000-0005-0000-0000-0000DBB70000}"/>
    <cellStyle name="Normal 4 7 2 2 2 2 3 2" xfId="50859" xr:uid="{00000000-0005-0000-0000-0000DCB70000}"/>
    <cellStyle name="Normal 4 7 2 2 2 2 4" xfId="37297" xr:uid="{00000000-0005-0000-0000-0000DDB70000}"/>
    <cellStyle name="Normal 4 7 2 2 2 3" xfId="13550" xr:uid="{00000000-0005-0000-0000-0000DEB70000}"/>
    <cellStyle name="Normal 4 7 2 2 2 3 2" xfId="27118" xr:uid="{00000000-0005-0000-0000-0000DFB70000}"/>
    <cellStyle name="Normal 4 7 2 2 2 3 2 2" xfId="54251" xr:uid="{00000000-0005-0000-0000-0000E0B70000}"/>
    <cellStyle name="Normal 4 7 2 2 2 3 3" xfId="40689" xr:uid="{00000000-0005-0000-0000-0000E1B70000}"/>
    <cellStyle name="Normal 4 7 2 2 2 4" xfId="20337" xr:uid="{00000000-0005-0000-0000-0000E2B70000}"/>
    <cellStyle name="Normal 4 7 2 2 2 4 2" xfId="47470" xr:uid="{00000000-0005-0000-0000-0000E3B70000}"/>
    <cellStyle name="Normal 4 7 2 2 2 5" xfId="33908" xr:uid="{00000000-0005-0000-0000-0000E4B70000}"/>
    <cellStyle name="Normal 4 7 2 2 3" xfId="6618" xr:uid="{00000000-0005-0000-0000-0000E5B70000}"/>
    <cellStyle name="Normal 4 7 2 2 3 2" xfId="10150" xr:uid="{00000000-0005-0000-0000-0000E6B70000}"/>
    <cellStyle name="Normal 4 7 2 2 3 2 2" xfId="16940" xr:uid="{00000000-0005-0000-0000-0000E7B70000}"/>
    <cellStyle name="Normal 4 7 2 2 3 2 2 2" xfId="30508" xr:uid="{00000000-0005-0000-0000-0000E8B70000}"/>
    <cellStyle name="Normal 4 7 2 2 3 2 2 2 2" xfId="57641" xr:uid="{00000000-0005-0000-0000-0000E9B70000}"/>
    <cellStyle name="Normal 4 7 2 2 3 2 2 3" xfId="44079" xr:uid="{00000000-0005-0000-0000-0000EAB70000}"/>
    <cellStyle name="Normal 4 7 2 2 3 2 3" xfId="23727" xr:uid="{00000000-0005-0000-0000-0000EBB70000}"/>
    <cellStyle name="Normal 4 7 2 2 3 2 3 2" xfId="50860" xr:uid="{00000000-0005-0000-0000-0000ECB70000}"/>
    <cellStyle name="Normal 4 7 2 2 3 2 4" xfId="37298" xr:uid="{00000000-0005-0000-0000-0000EDB70000}"/>
    <cellStyle name="Normal 4 7 2 2 3 3" xfId="13551" xr:uid="{00000000-0005-0000-0000-0000EEB70000}"/>
    <cellStyle name="Normal 4 7 2 2 3 3 2" xfId="27119" xr:uid="{00000000-0005-0000-0000-0000EFB70000}"/>
    <cellStyle name="Normal 4 7 2 2 3 3 2 2" xfId="54252" xr:uid="{00000000-0005-0000-0000-0000F0B70000}"/>
    <cellStyle name="Normal 4 7 2 2 3 3 3" xfId="40690" xr:uid="{00000000-0005-0000-0000-0000F1B70000}"/>
    <cellStyle name="Normal 4 7 2 2 3 4" xfId="20338" xr:uid="{00000000-0005-0000-0000-0000F2B70000}"/>
    <cellStyle name="Normal 4 7 2 2 3 4 2" xfId="47471" xr:uid="{00000000-0005-0000-0000-0000F3B70000}"/>
    <cellStyle name="Normal 4 7 2 2 3 5" xfId="33909" xr:uid="{00000000-0005-0000-0000-0000F4B70000}"/>
    <cellStyle name="Normal 4 7 2 2 4" xfId="10148" xr:uid="{00000000-0005-0000-0000-0000F5B70000}"/>
    <cellStyle name="Normal 4 7 2 2 4 2" xfId="16938" xr:uid="{00000000-0005-0000-0000-0000F6B70000}"/>
    <cellStyle name="Normal 4 7 2 2 4 2 2" xfId="30506" xr:uid="{00000000-0005-0000-0000-0000F7B70000}"/>
    <cellStyle name="Normal 4 7 2 2 4 2 2 2" xfId="57639" xr:uid="{00000000-0005-0000-0000-0000F8B70000}"/>
    <cellStyle name="Normal 4 7 2 2 4 2 3" xfId="44077" xr:uid="{00000000-0005-0000-0000-0000F9B70000}"/>
    <cellStyle name="Normal 4 7 2 2 4 3" xfId="23725" xr:uid="{00000000-0005-0000-0000-0000FAB70000}"/>
    <cellStyle name="Normal 4 7 2 2 4 3 2" xfId="50858" xr:uid="{00000000-0005-0000-0000-0000FBB70000}"/>
    <cellStyle name="Normal 4 7 2 2 4 4" xfId="37296" xr:uid="{00000000-0005-0000-0000-0000FCB70000}"/>
    <cellStyle name="Normal 4 7 2 2 5" xfId="13549" xr:uid="{00000000-0005-0000-0000-0000FDB70000}"/>
    <cellStyle name="Normal 4 7 2 2 5 2" xfId="27117" xr:uid="{00000000-0005-0000-0000-0000FEB70000}"/>
    <cellStyle name="Normal 4 7 2 2 5 2 2" xfId="54250" xr:uid="{00000000-0005-0000-0000-0000FFB70000}"/>
    <cellStyle name="Normal 4 7 2 2 5 3" xfId="40688" xr:uid="{00000000-0005-0000-0000-000000B80000}"/>
    <cellStyle name="Normal 4 7 2 2 6" xfId="20336" xr:uid="{00000000-0005-0000-0000-000001B80000}"/>
    <cellStyle name="Normal 4 7 2 2 6 2" xfId="47469" xr:uid="{00000000-0005-0000-0000-000002B80000}"/>
    <cellStyle name="Normal 4 7 2 2 7" xfId="33907" xr:uid="{00000000-0005-0000-0000-000003B80000}"/>
    <cellStyle name="Normal 4 7 2 3" xfId="6619" xr:uid="{00000000-0005-0000-0000-000004B80000}"/>
    <cellStyle name="Normal 4 7 2 3 2" xfId="6620" xr:uid="{00000000-0005-0000-0000-000005B80000}"/>
    <cellStyle name="Normal 4 7 2 3 2 2" xfId="10152" xr:uid="{00000000-0005-0000-0000-000006B80000}"/>
    <cellStyle name="Normal 4 7 2 3 2 2 2" xfId="16942" xr:uid="{00000000-0005-0000-0000-000007B80000}"/>
    <cellStyle name="Normal 4 7 2 3 2 2 2 2" xfId="30510" xr:uid="{00000000-0005-0000-0000-000008B80000}"/>
    <cellStyle name="Normal 4 7 2 3 2 2 2 2 2" xfId="57643" xr:uid="{00000000-0005-0000-0000-000009B80000}"/>
    <cellStyle name="Normal 4 7 2 3 2 2 2 3" xfId="44081" xr:uid="{00000000-0005-0000-0000-00000AB80000}"/>
    <cellStyle name="Normal 4 7 2 3 2 2 3" xfId="23729" xr:uid="{00000000-0005-0000-0000-00000BB80000}"/>
    <cellStyle name="Normal 4 7 2 3 2 2 3 2" xfId="50862" xr:uid="{00000000-0005-0000-0000-00000CB80000}"/>
    <cellStyle name="Normal 4 7 2 3 2 2 4" xfId="37300" xr:uid="{00000000-0005-0000-0000-00000DB80000}"/>
    <cellStyle name="Normal 4 7 2 3 2 3" xfId="13553" xr:uid="{00000000-0005-0000-0000-00000EB80000}"/>
    <cellStyle name="Normal 4 7 2 3 2 3 2" xfId="27121" xr:uid="{00000000-0005-0000-0000-00000FB80000}"/>
    <cellStyle name="Normal 4 7 2 3 2 3 2 2" xfId="54254" xr:uid="{00000000-0005-0000-0000-000010B80000}"/>
    <cellStyle name="Normal 4 7 2 3 2 3 3" xfId="40692" xr:uid="{00000000-0005-0000-0000-000011B80000}"/>
    <cellStyle name="Normal 4 7 2 3 2 4" xfId="20340" xr:uid="{00000000-0005-0000-0000-000012B80000}"/>
    <cellStyle name="Normal 4 7 2 3 2 4 2" xfId="47473" xr:uid="{00000000-0005-0000-0000-000013B80000}"/>
    <cellStyle name="Normal 4 7 2 3 2 5" xfId="33911" xr:uid="{00000000-0005-0000-0000-000014B80000}"/>
    <cellStyle name="Normal 4 7 2 3 3" xfId="10151" xr:uid="{00000000-0005-0000-0000-000015B80000}"/>
    <cellStyle name="Normal 4 7 2 3 3 2" xfId="16941" xr:uid="{00000000-0005-0000-0000-000016B80000}"/>
    <cellStyle name="Normal 4 7 2 3 3 2 2" xfId="30509" xr:uid="{00000000-0005-0000-0000-000017B80000}"/>
    <cellStyle name="Normal 4 7 2 3 3 2 2 2" xfId="57642" xr:uid="{00000000-0005-0000-0000-000018B80000}"/>
    <cellStyle name="Normal 4 7 2 3 3 2 3" xfId="44080" xr:uid="{00000000-0005-0000-0000-000019B80000}"/>
    <cellStyle name="Normal 4 7 2 3 3 3" xfId="23728" xr:uid="{00000000-0005-0000-0000-00001AB80000}"/>
    <cellStyle name="Normal 4 7 2 3 3 3 2" xfId="50861" xr:uid="{00000000-0005-0000-0000-00001BB80000}"/>
    <cellStyle name="Normal 4 7 2 3 3 4" xfId="37299" xr:uid="{00000000-0005-0000-0000-00001CB80000}"/>
    <cellStyle name="Normal 4 7 2 3 4" xfId="13552" xr:uid="{00000000-0005-0000-0000-00001DB80000}"/>
    <cellStyle name="Normal 4 7 2 3 4 2" xfId="27120" xr:uid="{00000000-0005-0000-0000-00001EB80000}"/>
    <cellStyle name="Normal 4 7 2 3 4 2 2" xfId="54253" xr:uid="{00000000-0005-0000-0000-00001FB80000}"/>
    <cellStyle name="Normal 4 7 2 3 4 3" xfId="40691" xr:uid="{00000000-0005-0000-0000-000020B80000}"/>
    <cellStyle name="Normal 4 7 2 3 5" xfId="20339" xr:uid="{00000000-0005-0000-0000-000021B80000}"/>
    <cellStyle name="Normal 4 7 2 3 5 2" xfId="47472" xr:uid="{00000000-0005-0000-0000-000022B80000}"/>
    <cellStyle name="Normal 4 7 2 3 6" xfId="33910" xr:uid="{00000000-0005-0000-0000-000023B80000}"/>
    <cellStyle name="Normal 4 7 2 4" xfId="6621" xr:uid="{00000000-0005-0000-0000-000024B80000}"/>
    <cellStyle name="Normal 4 7 2 4 2" xfId="10153" xr:uid="{00000000-0005-0000-0000-000025B80000}"/>
    <cellStyle name="Normal 4 7 2 4 2 2" xfId="16943" xr:uid="{00000000-0005-0000-0000-000026B80000}"/>
    <cellStyle name="Normal 4 7 2 4 2 2 2" xfId="30511" xr:uid="{00000000-0005-0000-0000-000027B80000}"/>
    <cellStyle name="Normal 4 7 2 4 2 2 2 2" xfId="57644" xr:uid="{00000000-0005-0000-0000-000028B80000}"/>
    <cellStyle name="Normal 4 7 2 4 2 2 3" xfId="44082" xr:uid="{00000000-0005-0000-0000-000029B80000}"/>
    <cellStyle name="Normal 4 7 2 4 2 3" xfId="23730" xr:uid="{00000000-0005-0000-0000-00002AB80000}"/>
    <cellStyle name="Normal 4 7 2 4 2 3 2" xfId="50863" xr:uid="{00000000-0005-0000-0000-00002BB80000}"/>
    <cellStyle name="Normal 4 7 2 4 2 4" xfId="37301" xr:uid="{00000000-0005-0000-0000-00002CB80000}"/>
    <cellStyle name="Normal 4 7 2 4 3" xfId="13554" xr:uid="{00000000-0005-0000-0000-00002DB80000}"/>
    <cellStyle name="Normal 4 7 2 4 3 2" xfId="27122" xr:uid="{00000000-0005-0000-0000-00002EB80000}"/>
    <cellStyle name="Normal 4 7 2 4 3 2 2" xfId="54255" xr:uid="{00000000-0005-0000-0000-00002FB80000}"/>
    <cellStyle name="Normal 4 7 2 4 3 3" xfId="40693" xr:uid="{00000000-0005-0000-0000-000030B80000}"/>
    <cellStyle name="Normal 4 7 2 4 4" xfId="20341" xr:uid="{00000000-0005-0000-0000-000031B80000}"/>
    <cellStyle name="Normal 4 7 2 4 4 2" xfId="47474" xr:uid="{00000000-0005-0000-0000-000032B80000}"/>
    <cellStyle name="Normal 4 7 2 4 5" xfId="33912" xr:uid="{00000000-0005-0000-0000-000033B80000}"/>
    <cellStyle name="Normal 4 7 2 5" xfId="6622" xr:uid="{00000000-0005-0000-0000-000034B80000}"/>
    <cellStyle name="Normal 4 7 2 5 2" xfId="10154" xr:uid="{00000000-0005-0000-0000-000035B80000}"/>
    <cellStyle name="Normal 4 7 2 5 2 2" xfId="16944" xr:uid="{00000000-0005-0000-0000-000036B80000}"/>
    <cellStyle name="Normal 4 7 2 5 2 2 2" xfId="30512" xr:uid="{00000000-0005-0000-0000-000037B80000}"/>
    <cellStyle name="Normal 4 7 2 5 2 2 2 2" xfId="57645" xr:uid="{00000000-0005-0000-0000-000038B80000}"/>
    <cellStyle name="Normal 4 7 2 5 2 2 3" xfId="44083" xr:uid="{00000000-0005-0000-0000-000039B80000}"/>
    <cellStyle name="Normal 4 7 2 5 2 3" xfId="23731" xr:uid="{00000000-0005-0000-0000-00003AB80000}"/>
    <cellStyle name="Normal 4 7 2 5 2 3 2" xfId="50864" xr:uid="{00000000-0005-0000-0000-00003BB80000}"/>
    <cellStyle name="Normal 4 7 2 5 2 4" xfId="37302" xr:uid="{00000000-0005-0000-0000-00003CB80000}"/>
    <cellStyle name="Normal 4 7 2 5 3" xfId="13555" xr:uid="{00000000-0005-0000-0000-00003DB80000}"/>
    <cellStyle name="Normal 4 7 2 5 3 2" xfId="27123" xr:uid="{00000000-0005-0000-0000-00003EB80000}"/>
    <cellStyle name="Normal 4 7 2 5 3 2 2" xfId="54256" xr:uid="{00000000-0005-0000-0000-00003FB80000}"/>
    <cellStyle name="Normal 4 7 2 5 3 3" xfId="40694" xr:uid="{00000000-0005-0000-0000-000040B80000}"/>
    <cellStyle name="Normal 4 7 2 5 4" xfId="20342" xr:uid="{00000000-0005-0000-0000-000041B80000}"/>
    <cellStyle name="Normal 4 7 2 5 4 2" xfId="47475" xr:uid="{00000000-0005-0000-0000-000042B80000}"/>
    <cellStyle name="Normal 4 7 2 5 5" xfId="33913" xr:uid="{00000000-0005-0000-0000-000043B80000}"/>
    <cellStyle name="Normal 4 7 2 6" xfId="10147" xr:uid="{00000000-0005-0000-0000-000044B80000}"/>
    <cellStyle name="Normal 4 7 2 6 2" xfId="16937" xr:uid="{00000000-0005-0000-0000-000045B80000}"/>
    <cellStyle name="Normal 4 7 2 6 2 2" xfId="30505" xr:uid="{00000000-0005-0000-0000-000046B80000}"/>
    <cellStyle name="Normal 4 7 2 6 2 2 2" xfId="57638" xr:uid="{00000000-0005-0000-0000-000047B80000}"/>
    <cellStyle name="Normal 4 7 2 6 2 3" xfId="44076" xr:uid="{00000000-0005-0000-0000-000048B80000}"/>
    <cellStyle name="Normal 4 7 2 6 3" xfId="23724" xr:uid="{00000000-0005-0000-0000-000049B80000}"/>
    <cellStyle name="Normal 4 7 2 6 3 2" xfId="50857" xr:uid="{00000000-0005-0000-0000-00004AB80000}"/>
    <cellStyle name="Normal 4 7 2 6 4" xfId="37295" xr:uid="{00000000-0005-0000-0000-00004BB80000}"/>
    <cellStyle name="Normal 4 7 2 7" xfId="13548" xr:uid="{00000000-0005-0000-0000-00004CB80000}"/>
    <cellStyle name="Normal 4 7 2 7 2" xfId="27116" xr:uid="{00000000-0005-0000-0000-00004DB80000}"/>
    <cellStyle name="Normal 4 7 2 7 2 2" xfId="54249" xr:uid="{00000000-0005-0000-0000-00004EB80000}"/>
    <cellStyle name="Normal 4 7 2 7 3" xfId="40687" xr:uid="{00000000-0005-0000-0000-00004FB80000}"/>
    <cellStyle name="Normal 4 7 2 8" xfId="20335" xr:uid="{00000000-0005-0000-0000-000050B80000}"/>
    <cellStyle name="Normal 4 7 2 8 2" xfId="47468" xr:uid="{00000000-0005-0000-0000-000051B80000}"/>
    <cellStyle name="Normal 4 7 2 9" xfId="33906" xr:uid="{00000000-0005-0000-0000-000052B80000}"/>
    <cellStyle name="Normal 4 7 3" xfId="6623" xr:uid="{00000000-0005-0000-0000-000053B80000}"/>
    <cellStyle name="Normal 4 7 3 2" xfId="6624" xr:uid="{00000000-0005-0000-0000-000054B80000}"/>
    <cellStyle name="Normal 4 7 3 2 2" xfId="6625" xr:uid="{00000000-0005-0000-0000-000055B80000}"/>
    <cellStyle name="Normal 4 7 3 2 2 2" xfId="10157" xr:uid="{00000000-0005-0000-0000-000056B80000}"/>
    <cellStyle name="Normal 4 7 3 2 2 2 2" xfId="16947" xr:uid="{00000000-0005-0000-0000-000057B80000}"/>
    <cellStyle name="Normal 4 7 3 2 2 2 2 2" xfId="30515" xr:uid="{00000000-0005-0000-0000-000058B80000}"/>
    <cellStyle name="Normal 4 7 3 2 2 2 2 2 2" xfId="57648" xr:uid="{00000000-0005-0000-0000-000059B80000}"/>
    <cellStyle name="Normal 4 7 3 2 2 2 2 3" xfId="44086" xr:uid="{00000000-0005-0000-0000-00005AB80000}"/>
    <cellStyle name="Normal 4 7 3 2 2 2 3" xfId="23734" xr:uid="{00000000-0005-0000-0000-00005BB80000}"/>
    <cellStyle name="Normal 4 7 3 2 2 2 3 2" xfId="50867" xr:uid="{00000000-0005-0000-0000-00005CB80000}"/>
    <cellStyle name="Normal 4 7 3 2 2 2 4" xfId="37305" xr:uid="{00000000-0005-0000-0000-00005DB80000}"/>
    <cellStyle name="Normal 4 7 3 2 2 3" xfId="13558" xr:uid="{00000000-0005-0000-0000-00005EB80000}"/>
    <cellStyle name="Normal 4 7 3 2 2 3 2" xfId="27126" xr:uid="{00000000-0005-0000-0000-00005FB80000}"/>
    <cellStyle name="Normal 4 7 3 2 2 3 2 2" xfId="54259" xr:uid="{00000000-0005-0000-0000-000060B80000}"/>
    <cellStyle name="Normal 4 7 3 2 2 3 3" xfId="40697" xr:uid="{00000000-0005-0000-0000-000061B80000}"/>
    <cellStyle name="Normal 4 7 3 2 2 4" xfId="20345" xr:uid="{00000000-0005-0000-0000-000062B80000}"/>
    <cellStyle name="Normal 4 7 3 2 2 4 2" xfId="47478" xr:uid="{00000000-0005-0000-0000-000063B80000}"/>
    <cellStyle name="Normal 4 7 3 2 2 5" xfId="33916" xr:uid="{00000000-0005-0000-0000-000064B80000}"/>
    <cellStyle name="Normal 4 7 3 2 3" xfId="6626" xr:uid="{00000000-0005-0000-0000-000065B80000}"/>
    <cellStyle name="Normal 4 7 3 2 3 2" xfId="10158" xr:uid="{00000000-0005-0000-0000-000066B80000}"/>
    <cellStyle name="Normal 4 7 3 2 3 2 2" xfId="16948" xr:uid="{00000000-0005-0000-0000-000067B80000}"/>
    <cellStyle name="Normal 4 7 3 2 3 2 2 2" xfId="30516" xr:uid="{00000000-0005-0000-0000-000068B80000}"/>
    <cellStyle name="Normal 4 7 3 2 3 2 2 2 2" xfId="57649" xr:uid="{00000000-0005-0000-0000-000069B80000}"/>
    <cellStyle name="Normal 4 7 3 2 3 2 2 3" xfId="44087" xr:uid="{00000000-0005-0000-0000-00006AB80000}"/>
    <cellStyle name="Normal 4 7 3 2 3 2 3" xfId="23735" xr:uid="{00000000-0005-0000-0000-00006BB80000}"/>
    <cellStyle name="Normal 4 7 3 2 3 2 3 2" xfId="50868" xr:uid="{00000000-0005-0000-0000-00006CB80000}"/>
    <cellStyle name="Normal 4 7 3 2 3 2 4" xfId="37306" xr:uid="{00000000-0005-0000-0000-00006DB80000}"/>
    <cellStyle name="Normal 4 7 3 2 3 3" xfId="13559" xr:uid="{00000000-0005-0000-0000-00006EB80000}"/>
    <cellStyle name="Normal 4 7 3 2 3 3 2" xfId="27127" xr:uid="{00000000-0005-0000-0000-00006FB80000}"/>
    <cellStyle name="Normal 4 7 3 2 3 3 2 2" xfId="54260" xr:uid="{00000000-0005-0000-0000-000070B80000}"/>
    <cellStyle name="Normal 4 7 3 2 3 3 3" xfId="40698" xr:uid="{00000000-0005-0000-0000-000071B80000}"/>
    <cellStyle name="Normal 4 7 3 2 3 4" xfId="20346" xr:uid="{00000000-0005-0000-0000-000072B80000}"/>
    <cellStyle name="Normal 4 7 3 2 3 4 2" xfId="47479" xr:uid="{00000000-0005-0000-0000-000073B80000}"/>
    <cellStyle name="Normal 4 7 3 2 3 5" xfId="33917" xr:uid="{00000000-0005-0000-0000-000074B80000}"/>
    <cellStyle name="Normal 4 7 3 2 4" xfId="10156" xr:uid="{00000000-0005-0000-0000-000075B80000}"/>
    <cellStyle name="Normal 4 7 3 2 4 2" xfId="16946" xr:uid="{00000000-0005-0000-0000-000076B80000}"/>
    <cellStyle name="Normal 4 7 3 2 4 2 2" xfId="30514" xr:uid="{00000000-0005-0000-0000-000077B80000}"/>
    <cellStyle name="Normal 4 7 3 2 4 2 2 2" xfId="57647" xr:uid="{00000000-0005-0000-0000-000078B80000}"/>
    <cellStyle name="Normal 4 7 3 2 4 2 3" xfId="44085" xr:uid="{00000000-0005-0000-0000-000079B80000}"/>
    <cellStyle name="Normal 4 7 3 2 4 3" xfId="23733" xr:uid="{00000000-0005-0000-0000-00007AB80000}"/>
    <cellStyle name="Normal 4 7 3 2 4 3 2" xfId="50866" xr:uid="{00000000-0005-0000-0000-00007BB80000}"/>
    <cellStyle name="Normal 4 7 3 2 4 4" xfId="37304" xr:uid="{00000000-0005-0000-0000-00007CB80000}"/>
    <cellStyle name="Normal 4 7 3 2 5" xfId="13557" xr:uid="{00000000-0005-0000-0000-00007DB80000}"/>
    <cellStyle name="Normal 4 7 3 2 5 2" xfId="27125" xr:uid="{00000000-0005-0000-0000-00007EB80000}"/>
    <cellStyle name="Normal 4 7 3 2 5 2 2" xfId="54258" xr:uid="{00000000-0005-0000-0000-00007FB80000}"/>
    <cellStyle name="Normal 4 7 3 2 5 3" xfId="40696" xr:uid="{00000000-0005-0000-0000-000080B80000}"/>
    <cellStyle name="Normal 4 7 3 2 6" xfId="20344" xr:uid="{00000000-0005-0000-0000-000081B80000}"/>
    <cellStyle name="Normal 4 7 3 2 6 2" xfId="47477" xr:uid="{00000000-0005-0000-0000-000082B80000}"/>
    <cellStyle name="Normal 4 7 3 2 7" xfId="33915" xr:uid="{00000000-0005-0000-0000-000083B80000}"/>
    <cellStyle name="Normal 4 7 3 3" xfId="6627" xr:uid="{00000000-0005-0000-0000-000084B80000}"/>
    <cellStyle name="Normal 4 7 3 3 2" xfId="10159" xr:uid="{00000000-0005-0000-0000-000085B80000}"/>
    <cellStyle name="Normal 4 7 3 3 2 2" xfId="16949" xr:uid="{00000000-0005-0000-0000-000086B80000}"/>
    <cellStyle name="Normal 4 7 3 3 2 2 2" xfId="30517" xr:uid="{00000000-0005-0000-0000-000087B80000}"/>
    <cellStyle name="Normal 4 7 3 3 2 2 2 2" xfId="57650" xr:uid="{00000000-0005-0000-0000-000088B80000}"/>
    <cellStyle name="Normal 4 7 3 3 2 2 3" xfId="44088" xr:uid="{00000000-0005-0000-0000-000089B80000}"/>
    <cellStyle name="Normal 4 7 3 3 2 3" xfId="23736" xr:uid="{00000000-0005-0000-0000-00008AB80000}"/>
    <cellStyle name="Normal 4 7 3 3 2 3 2" xfId="50869" xr:uid="{00000000-0005-0000-0000-00008BB80000}"/>
    <cellStyle name="Normal 4 7 3 3 2 4" xfId="37307" xr:uid="{00000000-0005-0000-0000-00008CB80000}"/>
    <cellStyle name="Normal 4 7 3 3 3" xfId="13560" xr:uid="{00000000-0005-0000-0000-00008DB80000}"/>
    <cellStyle name="Normal 4 7 3 3 3 2" xfId="27128" xr:uid="{00000000-0005-0000-0000-00008EB80000}"/>
    <cellStyle name="Normal 4 7 3 3 3 2 2" xfId="54261" xr:uid="{00000000-0005-0000-0000-00008FB80000}"/>
    <cellStyle name="Normal 4 7 3 3 3 3" xfId="40699" xr:uid="{00000000-0005-0000-0000-000090B80000}"/>
    <cellStyle name="Normal 4 7 3 3 4" xfId="20347" xr:uid="{00000000-0005-0000-0000-000091B80000}"/>
    <cellStyle name="Normal 4 7 3 3 4 2" xfId="47480" xr:uid="{00000000-0005-0000-0000-000092B80000}"/>
    <cellStyle name="Normal 4 7 3 3 5" xfId="33918" xr:uid="{00000000-0005-0000-0000-000093B80000}"/>
    <cellStyle name="Normal 4 7 3 4" xfId="6628" xr:uid="{00000000-0005-0000-0000-000094B80000}"/>
    <cellStyle name="Normal 4 7 3 4 2" xfId="10160" xr:uid="{00000000-0005-0000-0000-000095B80000}"/>
    <cellStyle name="Normal 4 7 3 4 2 2" xfId="16950" xr:uid="{00000000-0005-0000-0000-000096B80000}"/>
    <cellStyle name="Normal 4 7 3 4 2 2 2" xfId="30518" xr:uid="{00000000-0005-0000-0000-000097B80000}"/>
    <cellStyle name="Normal 4 7 3 4 2 2 2 2" xfId="57651" xr:uid="{00000000-0005-0000-0000-000098B80000}"/>
    <cellStyle name="Normal 4 7 3 4 2 2 3" xfId="44089" xr:uid="{00000000-0005-0000-0000-000099B80000}"/>
    <cellStyle name="Normal 4 7 3 4 2 3" xfId="23737" xr:uid="{00000000-0005-0000-0000-00009AB80000}"/>
    <cellStyle name="Normal 4 7 3 4 2 3 2" xfId="50870" xr:uid="{00000000-0005-0000-0000-00009BB80000}"/>
    <cellStyle name="Normal 4 7 3 4 2 4" xfId="37308" xr:uid="{00000000-0005-0000-0000-00009CB80000}"/>
    <cellStyle name="Normal 4 7 3 4 3" xfId="13561" xr:uid="{00000000-0005-0000-0000-00009DB80000}"/>
    <cellStyle name="Normal 4 7 3 4 3 2" xfId="27129" xr:uid="{00000000-0005-0000-0000-00009EB80000}"/>
    <cellStyle name="Normal 4 7 3 4 3 2 2" xfId="54262" xr:uid="{00000000-0005-0000-0000-00009FB80000}"/>
    <cellStyle name="Normal 4 7 3 4 3 3" xfId="40700" xr:uid="{00000000-0005-0000-0000-0000A0B80000}"/>
    <cellStyle name="Normal 4 7 3 4 4" xfId="20348" xr:uid="{00000000-0005-0000-0000-0000A1B80000}"/>
    <cellStyle name="Normal 4 7 3 4 4 2" xfId="47481" xr:uid="{00000000-0005-0000-0000-0000A2B80000}"/>
    <cellStyle name="Normal 4 7 3 4 5" xfId="33919" xr:uid="{00000000-0005-0000-0000-0000A3B80000}"/>
    <cellStyle name="Normal 4 7 3 5" xfId="10155" xr:uid="{00000000-0005-0000-0000-0000A4B80000}"/>
    <cellStyle name="Normal 4 7 3 5 2" xfId="16945" xr:uid="{00000000-0005-0000-0000-0000A5B80000}"/>
    <cellStyle name="Normal 4 7 3 5 2 2" xfId="30513" xr:uid="{00000000-0005-0000-0000-0000A6B80000}"/>
    <cellStyle name="Normal 4 7 3 5 2 2 2" xfId="57646" xr:uid="{00000000-0005-0000-0000-0000A7B80000}"/>
    <cellStyle name="Normal 4 7 3 5 2 3" xfId="44084" xr:uid="{00000000-0005-0000-0000-0000A8B80000}"/>
    <cellStyle name="Normal 4 7 3 5 3" xfId="23732" xr:uid="{00000000-0005-0000-0000-0000A9B80000}"/>
    <cellStyle name="Normal 4 7 3 5 3 2" xfId="50865" xr:uid="{00000000-0005-0000-0000-0000AAB80000}"/>
    <cellStyle name="Normal 4 7 3 5 4" xfId="37303" xr:uid="{00000000-0005-0000-0000-0000ABB80000}"/>
    <cellStyle name="Normal 4 7 3 6" xfId="13556" xr:uid="{00000000-0005-0000-0000-0000ACB80000}"/>
    <cellStyle name="Normal 4 7 3 6 2" xfId="27124" xr:uid="{00000000-0005-0000-0000-0000ADB80000}"/>
    <cellStyle name="Normal 4 7 3 6 2 2" xfId="54257" xr:uid="{00000000-0005-0000-0000-0000AEB80000}"/>
    <cellStyle name="Normal 4 7 3 6 3" xfId="40695" xr:uid="{00000000-0005-0000-0000-0000AFB80000}"/>
    <cellStyle name="Normal 4 7 3 7" xfId="20343" xr:uid="{00000000-0005-0000-0000-0000B0B80000}"/>
    <cellStyle name="Normal 4 7 3 7 2" xfId="47476" xr:uid="{00000000-0005-0000-0000-0000B1B80000}"/>
    <cellStyle name="Normal 4 7 3 8" xfId="33914" xr:uid="{00000000-0005-0000-0000-0000B2B80000}"/>
    <cellStyle name="Normal 4 7 4" xfId="6629" xr:uid="{00000000-0005-0000-0000-0000B3B80000}"/>
    <cellStyle name="Normal 4 7 4 2" xfId="6630" xr:uid="{00000000-0005-0000-0000-0000B4B80000}"/>
    <cellStyle name="Normal 4 7 4 2 2" xfId="10162" xr:uid="{00000000-0005-0000-0000-0000B5B80000}"/>
    <cellStyle name="Normal 4 7 4 2 2 2" xfId="16952" xr:uid="{00000000-0005-0000-0000-0000B6B80000}"/>
    <cellStyle name="Normal 4 7 4 2 2 2 2" xfId="30520" xr:uid="{00000000-0005-0000-0000-0000B7B80000}"/>
    <cellStyle name="Normal 4 7 4 2 2 2 2 2" xfId="57653" xr:uid="{00000000-0005-0000-0000-0000B8B80000}"/>
    <cellStyle name="Normal 4 7 4 2 2 2 3" xfId="44091" xr:uid="{00000000-0005-0000-0000-0000B9B80000}"/>
    <cellStyle name="Normal 4 7 4 2 2 3" xfId="23739" xr:uid="{00000000-0005-0000-0000-0000BAB80000}"/>
    <cellStyle name="Normal 4 7 4 2 2 3 2" xfId="50872" xr:uid="{00000000-0005-0000-0000-0000BBB80000}"/>
    <cellStyle name="Normal 4 7 4 2 2 4" xfId="37310" xr:uid="{00000000-0005-0000-0000-0000BCB80000}"/>
    <cellStyle name="Normal 4 7 4 2 3" xfId="13563" xr:uid="{00000000-0005-0000-0000-0000BDB80000}"/>
    <cellStyle name="Normal 4 7 4 2 3 2" xfId="27131" xr:uid="{00000000-0005-0000-0000-0000BEB80000}"/>
    <cellStyle name="Normal 4 7 4 2 3 2 2" xfId="54264" xr:uid="{00000000-0005-0000-0000-0000BFB80000}"/>
    <cellStyle name="Normal 4 7 4 2 3 3" xfId="40702" xr:uid="{00000000-0005-0000-0000-0000C0B80000}"/>
    <cellStyle name="Normal 4 7 4 2 4" xfId="20350" xr:uid="{00000000-0005-0000-0000-0000C1B80000}"/>
    <cellStyle name="Normal 4 7 4 2 4 2" xfId="47483" xr:uid="{00000000-0005-0000-0000-0000C2B80000}"/>
    <cellStyle name="Normal 4 7 4 2 5" xfId="33921" xr:uid="{00000000-0005-0000-0000-0000C3B80000}"/>
    <cellStyle name="Normal 4 7 4 3" xfId="6631" xr:uid="{00000000-0005-0000-0000-0000C4B80000}"/>
    <cellStyle name="Normal 4 7 4 3 2" xfId="10163" xr:uid="{00000000-0005-0000-0000-0000C5B80000}"/>
    <cellStyle name="Normal 4 7 4 3 2 2" xfId="16953" xr:uid="{00000000-0005-0000-0000-0000C6B80000}"/>
    <cellStyle name="Normal 4 7 4 3 2 2 2" xfId="30521" xr:uid="{00000000-0005-0000-0000-0000C7B80000}"/>
    <cellStyle name="Normal 4 7 4 3 2 2 2 2" xfId="57654" xr:uid="{00000000-0005-0000-0000-0000C8B80000}"/>
    <cellStyle name="Normal 4 7 4 3 2 2 3" xfId="44092" xr:uid="{00000000-0005-0000-0000-0000C9B80000}"/>
    <cellStyle name="Normal 4 7 4 3 2 3" xfId="23740" xr:uid="{00000000-0005-0000-0000-0000CAB80000}"/>
    <cellStyle name="Normal 4 7 4 3 2 3 2" xfId="50873" xr:uid="{00000000-0005-0000-0000-0000CBB80000}"/>
    <cellStyle name="Normal 4 7 4 3 2 4" xfId="37311" xr:uid="{00000000-0005-0000-0000-0000CCB80000}"/>
    <cellStyle name="Normal 4 7 4 3 3" xfId="13564" xr:uid="{00000000-0005-0000-0000-0000CDB80000}"/>
    <cellStyle name="Normal 4 7 4 3 3 2" xfId="27132" xr:uid="{00000000-0005-0000-0000-0000CEB80000}"/>
    <cellStyle name="Normal 4 7 4 3 3 2 2" xfId="54265" xr:uid="{00000000-0005-0000-0000-0000CFB80000}"/>
    <cellStyle name="Normal 4 7 4 3 3 3" xfId="40703" xr:uid="{00000000-0005-0000-0000-0000D0B80000}"/>
    <cellStyle name="Normal 4 7 4 3 4" xfId="20351" xr:uid="{00000000-0005-0000-0000-0000D1B80000}"/>
    <cellStyle name="Normal 4 7 4 3 4 2" xfId="47484" xr:uid="{00000000-0005-0000-0000-0000D2B80000}"/>
    <cellStyle name="Normal 4 7 4 3 5" xfId="33922" xr:uid="{00000000-0005-0000-0000-0000D3B80000}"/>
    <cellStyle name="Normal 4 7 4 4" xfId="10161" xr:uid="{00000000-0005-0000-0000-0000D4B80000}"/>
    <cellStyle name="Normal 4 7 4 4 2" xfId="16951" xr:uid="{00000000-0005-0000-0000-0000D5B80000}"/>
    <cellStyle name="Normal 4 7 4 4 2 2" xfId="30519" xr:uid="{00000000-0005-0000-0000-0000D6B80000}"/>
    <cellStyle name="Normal 4 7 4 4 2 2 2" xfId="57652" xr:uid="{00000000-0005-0000-0000-0000D7B80000}"/>
    <cellStyle name="Normal 4 7 4 4 2 3" xfId="44090" xr:uid="{00000000-0005-0000-0000-0000D8B80000}"/>
    <cellStyle name="Normal 4 7 4 4 3" xfId="23738" xr:uid="{00000000-0005-0000-0000-0000D9B80000}"/>
    <cellStyle name="Normal 4 7 4 4 3 2" xfId="50871" xr:uid="{00000000-0005-0000-0000-0000DAB80000}"/>
    <cellStyle name="Normal 4 7 4 4 4" xfId="37309" xr:uid="{00000000-0005-0000-0000-0000DBB80000}"/>
    <cellStyle name="Normal 4 7 4 5" xfId="13562" xr:uid="{00000000-0005-0000-0000-0000DCB80000}"/>
    <cellStyle name="Normal 4 7 4 5 2" xfId="27130" xr:uid="{00000000-0005-0000-0000-0000DDB80000}"/>
    <cellStyle name="Normal 4 7 4 5 2 2" xfId="54263" xr:uid="{00000000-0005-0000-0000-0000DEB80000}"/>
    <cellStyle name="Normal 4 7 4 5 3" xfId="40701" xr:uid="{00000000-0005-0000-0000-0000DFB80000}"/>
    <cellStyle name="Normal 4 7 4 6" xfId="20349" xr:uid="{00000000-0005-0000-0000-0000E0B80000}"/>
    <cellStyle name="Normal 4 7 4 6 2" xfId="47482" xr:uid="{00000000-0005-0000-0000-0000E1B80000}"/>
    <cellStyle name="Normal 4 7 4 7" xfId="33920" xr:uid="{00000000-0005-0000-0000-0000E2B80000}"/>
    <cellStyle name="Normal 4 7 5" xfId="6632" xr:uid="{00000000-0005-0000-0000-0000E3B80000}"/>
    <cellStyle name="Normal 4 7 5 2" xfId="6633" xr:uid="{00000000-0005-0000-0000-0000E4B80000}"/>
    <cellStyle name="Normal 4 7 5 2 2" xfId="10165" xr:uid="{00000000-0005-0000-0000-0000E5B80000}"/>
    <cellStyle name="Normal 4 7 5 2 2 2" xfId="16955" xr:uid="{00000000-0005-0000-0000-0000E6B80000}"/>
    <cellStyle name="Normal 4 7 5 2 2 2 2" xfId="30523" xr:uid="{00000000-0005-0000-0000-0000E7B80000}"/>
    <cellStyle name="Normal 4 7 5 2 2 2 2 2" xfId="57656" xr:uid="{00000000-0005-0000-0000-0000E8B80000}"/>
    <cellStyle name="Normal 4 7 5 2 2 2 3" xfId="44094" xr:uid="{00000000-0005-0000-0000-0000E9B80000}"/>
    <cellStyle name="Normal 4 7 5 2 2 3" xfId="23742" xr:uid="{00000000-0005-0000-0000-0000EAB80000}"/>
    <cellStyle name="Normal 4 7 5 2 2 3 2" xfId="50875" xr:uid="{00000000-0005-0000-0000-0000EBB80000}"/>
    <cellStyle name="Normal 4 7 5 2 2 4" xfId="37313" xr:uid="{00000000-0005-0000-0000-0000ECB80000}"/>
    <cellStyle name="Normal 4 7 5 2 3" xfId="13566" xr:uid="{00000000-0005-0000-0000-0000EDB80000}"/>
    <cellStyle name="Normal 4 7 5 2 3 2" xfId="27134" xr:uid="{00000000-0005-0000-0000-0000EEB80000}"/>
    <cellStyle name="Normal 4 7 5 2 3 2 2" xfId="54267" xr:uid="{00000000-0005-0000-0000-0000EFB80000}"/>
    <cellStyle name="Normal 4 7 5 2 3 3" xfId="40705" xr:uid="{00000000-0005-0000-0000-0000F0B80000}"/>
    <cellStyle name="Normal 4 7 5 2 4" xfId="20353" xr:uid="{00000000-0005-0000-0000-0000F1B80000}"/>
    <cellStyle name="Normal 4 7 5 2 4 2" xfId="47486" xr:uid="{00000000-0005-0000-0000-0000F2B80000}"/>
    <cellStyle name="Normal 4 7 5 2 5" xfId="33924" xr:uid="{00000000-0005-0000-0000-0000F3B80000}"/>
    <cellStyle name="Normal 4 7 5 3" xfId="10164" xr:uid="{00000000-0005-0000-0000-0000F4B80000}"/>
    <cellStyle name="Normal 4 7 5 3 2" xfId="16954" xr:uid="{00000000-0005-0000-0000-0000F5B80000}"/>
    <cellStyle name="Normal 4 7 5 3 2 2" xfId="30522" xr:uid="{00000000-0005-0000-0000-0000F6B80000}"/>
    <cellStyle name="Normal 4 7 5 3 2 2 2" xfId="57655" xr:uid="{00000000-0005-0000-0000-0000F7B80000}"/>
    <cellStyle name="Normal 4 7 5 3 2 3" xfId="44093" xr:uid="{00000000-0005-0000-0000-0000F8B80000}"/>
    <cellStyle name="Normal 4 7 5 3 3" xfId="23741" xr:uid="{00000000-0005-0000-0000-0000F9B80000}"/>
    <cellStyle name="Normal 4 7 5 3 3 2" xfId="50874" xr:uid="{00000000-0005-0000-0000-0000FAB80000}"/>
    <cellStyle name="Normal 4 7 5 3 4" xfId="37312" xr:uid="{00000000-0005-0000-0000-0000FBB80000}"/>
    <cellStyle name="Normal 4 7 5 4" xfId="13565" xr:uid="{00000000-0005-0000-0000-0000FCB80000}"/>
    <cellStyle name="Normal 4 7 5 4 2" xfId="27133" xr:uid="{00000000-0005-0000-0000-0000FDB80000}"/>
    <cellStyle name="Normal 4 7 5 4 2 2" xfId="54266" xr:uid="{00000000-0005-0000-0000-0000FEB80000}"/>
    <cellStyle name="Normal 4 7 5 4 3" xfId="40704" xr:uid="{00000000-0005-0000-0000-0000FFB80000}"/>
    <cellStyle name="Normal 4 7 5 5" xfId="20352" xr:uid="{00000000-0005-0000-0000-000000B90000}"/>
    <cellStyle name="Normal 4 7 5 5 2" xfId="47485" xr:uid="{00000000-0005-0000-0000-000001B90000}"/>
    <cellStyle name="Normal 4 7 5 6" xfId="33923" xr:uid="{00000000-0005-0000-0000-000002B90000}"/>
    <cellStyle name="Normal 4 7 6" xfId="6634" xr:uid="{00000000-0005-0000-0000-000003B90000}"/>
    <cellStyle name="Normal 4 7 6 2" xfId="10166" xr:uid="{00000000-0005-0000-0000-000004B90000}"/>
    <cellStyle name="Normal 4 7 6 2 2" xfId="16956" xr:uid="{00000000-0005-0000-0000-000005B90000}"/>
    <cellStyle name="Normal 4 7 6 2 2 2" xfId="30524" xr:uid="{00000000-0005-0000-0000-000006B90000}"/>
    <cellStyle name="Normal 4 7 6 2 2 2 2" xfId="57657" xr:uid="{00000000-0005-0000-0000-000007B90000}"/>
    <cellStyle name="Normal 4 7 6 2 2 3" xfId="44095" xr:uid="{00000000-0005-0000-0000-000008B90000}"/>
    <cellStyle name="Normal 4 7 6 2 3" xfId="23743" xr:uid="{00000000-0005-0000-0000-000009B90000}"/>
    <cellStyle name="Normal 4 7 6 2 3 2" xfId="50876" xr:uid="{00000000-0005-0000-0000-00000AB90000}"/>
    <cellStyle name="Normal 4 7 6 2 4" xfId="37314" xr:uid="{00000000-0005-0000-0000-00000BB90000}"/>
    <cellStyle name="Normal 4 7 6 3" xfId="13567" xr:uid="{00000000-0005-0000-0000-00000CB90000}"/>
    <cellStyle name="Normal 4 7 6 3 2" xfId="27135" xr:uid="{00000000-0005-0000-0000-00000DB90000}"/>
    <cellStyle name="Normal 4 7 6 3 2 2" xfId="54268" xr:uid="{00000000-0005-0000-0000-00000EB90000}"/>
    <cellStyle name="Normal 4 7 6 3 3" xfId="40706" xr:uid="{00000000-0005-0000-0000-00000FB90000}"/>
    <cellStyle name="Normal 4 7 6 4" xfId="20354" xr:uid="{00000000-0005-0000-0000-000010B90000}"/>
    <cellStyle name="Normal 4 7 6 4 2" xfId="47487" xr:uid="{00000000-0005-0000-0000-000011B90000}"/>
    <cellStyle name="Normal 4 7 6 5" xfId="33925" xr:uid="{00000000-0005-0000-0000-000012B90000}"/>
    <cellStyle name="Normal 4 7 7" xfId="6635" xr:uid="{00000000-0005-0000-0000-000013B90000}"/>
    <cellStyle name="Normal 4 7 7 2" xfId="10167" xr:uid="{00000000-0005-0000-0000-000014B90000}"/>
    <cellStyle name="Normal 4 7 7 2 2" xfId="16957" xr:uid="{00000000-0005-0000-0000-000015B90000}"/>
    <cellStyle name="Normal 4 7 7 2 2 2" xfId="30525" xr:uid="{00000000-0005-0000-0000-000016B90000}"/>
    <cellStyle name="Normal 4 7 7 2 2 2 2" xfId="57658" xr:uid="{00000000-0005-0000-0000-000017B90000}"/>
    <cellStyle name="Normal 4 7 7 2 2 3" xfId="44096" xr:uid="{00000000-0005-0000-0000-000018B90000}"/>
    <cellStyle name="Normal 4 7 7 2 3" xfId="23744" xr:uid="{00000000-0005-0000-0000-000019B90000}"/>
    <cellStyle name="Normal 4 7 7 2 3 2" xfId="50877" xr:uid="{00000000-0005-0000-0000-00001AB90000}"/>
    <cellStyle name="Normal 4 7 7 2 4" xfId="37315" xr:uid="{00000000-0005-0000-0000-00001BB90000}"/>
    <cellStyle name="Normal 4 7 7 3" xfId="13568" xr:uid="{00000000-0005-0000-0000-00001CB90000}"/>
    <cellStyle name="Normal 4 7 7 3 2" xfId="27136" xr:uid="{00000000-0005-0000-0000-00001DB90000}"/>
    <cellStyle name="Normal 4 7 7 3 2 2" xfId="54269" xr:uid="{00000000-0005-0000-0000-00001EB90000}"/>
    <cellStyle name="Normal 4 7 7 3 3" xfId="40707" xr:uid="{00000000-0005-0000-0000-00001FB90000}"/>
    <cellStyle name="Normal 4 7 7 4" xfId="20355" xr:uid="{00000000-0005-0000-0000-000020B90000}"/>
    <cellStyle name="Normal 4 7 7 4 2" xfId="47488" xr:uid="{00000000-0005-0000-0000-000021B90000}"/>
    <cellStyle name="Normal 4 7 7 5" xfId="33926" xr:uid="{00000000-0005-0000-0000-000022B90000}"/>
    <cellStyle name="Normal 4 8" xfId="2781" xr:uid="{00000000-0005-0000-0000-000023B90000}"/>
    <cellStyle name="Normal 4 8 2" xfId="6636" xr:uid="{00000000-0005-0000-0000-000024B90000}"/>
    <cellStyle name="Normal 4 8 2 2" xfId="6637" xr:uid="{00000000-0005-0000-0000-000025B90000}"/>
    <cellStyle name="Normal 4 8 2 2 2" xfId="10169" xr:uid="{00000000-0005-0000-0000-000026B90000}"/>
    <cellStyle name="Normal 4 8 2 2 2 2" xfId="16959" xr:uid="{00000000-0005-0000-0000-000027B90000}"/>
    <cellStyle name="Normal 4 8 2 2 2 2 2" xfId="30527" xr:uid="{00000000-0005-0000-0000-000028B90000}"/>
    <cellStyle name="Normal 4 8 2 2 2 2 2 2" xfId="57660" xr:uid="{00000000-0005-0000-0000-000029B90000}"/>
    <cellStyle name="Normal 4 8 2 2 2 2 3" xfId="44098" xr:uid="{00000000-0005-0000-0000-00002AB90000}"/>
    <cellStyle name="Normal 4 8 2 2 2 3" xfId="23746" xr:uid="{00000000-0005-0000-0000-00002BB90000}"/>
    <cellStyle name="Normal 4 8 2 2 2 3 2" xfId="50879" xr:uid="{00000000-0005-0000-0000-00002CB90000}"/>
    <cellStyle name="Normal 4 8 2 2 2 4" xfId="37317" xr:uid="{00000000-0005-0000-0000-00002DB90000}"/>
    <cellStyle name="Normal 4 8 2 2 3" xfId="13570" xr:uid="{00000000-0005-0000-0000-00002EB90000}"/>
    <cellStyle name="Normal 4 8 2 2 3 2" xfId="27138" xr:uid="{00000000-0005-0000-0000-00002FB90000}"/>
    <cellStyle name="Normal 4 8 2 2 3 2 2" xfId="54271" xr:uid="{00000000-0005-0000-0000-000030B90000}"/>
    <cellStyle name="Normal 4 8 2 2 3 3" xfId="40709" xr:uid="{00000000-0005-0000-0000-000031B90000}"/>
    <cellStyle name="Normal 4 8 2 2 4" xfId="20357" xr:uid="{00000000-0005-0000-0000-000032B90000}"/>
    <cellStyle name="Normal 4 8 2 2 4 2" xfId="47490" xr:uid="{00000000-0005-0000-0000-000033B90000}"/>
    <cellStyle name="Normal 4 8 2 2 5" xfId="33928" xr:uid="{00000000-0005-0000-0000-000034B90000}"/>
    <cellStyle name="Normal 4 8 2 3" xfId="6638" xr:uid="{00000000-0005-0000-0000-000035B90000}"/>
    <cellStyle name="Normal 4 8 2 3 2" xfId="10170" xr:uid="{00000000-0005-0000-0000-000036B90000}"/>
    <cellStyle name="Normal 4 8 2 3 2 2" xfId="16960" xr:uid="{00000000-0005-0000-0000-000037B90000}"/>
    <cellStyle name="Normal 4 8 2 3 2 2 2" xfId="30528" xr:uid="{00000000-0005-0000-0000-000038B90000}"/>
    <cellStyle name="Normal 4 8 2 3 2 2 2 2" xfId="57661" xr:uid="{00000000-0005-0000-0000-000039B90000}"/>
    <cellStyle name="Normal 4 8 2 3 2 2 3" xfId="44099" xr:uid="{00000000-0005-0000-0000-00003AB90000}"/>
    <cellStyle name="Normal 4 8 2 3 2 3" xfId="23747" xr:uid="{00000000-0005-0000-0000-00003BB90000}"/>
    <cellStyle name="Normal 4 8 2 3 2 3 2" xfId="50880" xr:uid="{00000000-0005-0000-0000-00003CB90000}"/>
    <cellStyle name="Normal 4 8 2 3 2 4" xfId="37318" xr:uid="{00000000-0005-0000-0000-00003DB90000}"/>
    <cellStyle name="Normal 4 8 2 3 3" xfId="13571" xr:uid="{00000000-0005-0000-0000-00003EB90000}"/>
    <cellStyle name="Normal 4 8 2 3 3 2" xfId="27139" xr:uid="{00000000-0005-0000-0000-00003FB90000}"/>
    <cellStyle name="Normal 4 8 2 3 3 2 2" xfId="54272" xr:uid="{00000000-0005-0000-0000-000040B90000}"/>
    <cellStyle name="Normal 4 8 2 3 3 3" xfId="40710" xr:uid="{00000000-0005-0000-0000-000041B90000}"/>
    <cellStyle name="Normal 4 8 2 3 4" xfId="20358" xr:uid="{00000000-0005-0000-0000-000042B90000}"/>
    <cellStyle name="Normal 4 8 2 3 4 2" xfId="47491" xr:uid="{00000000-0005-0000-0000-000043B90000}"/>
    <cellStyle name="Normal 4 8 2 3 5" xfId="33929" xr:uid="{00000000-0005-0000-0000-000044B90000}"/>
    <cellStyle name="Normal 4 8 2 4" xfId="10168" xr:uid="{00000000-0005-0000-0000-000045B90000}"/>
    <cellStyle name="Normal 4 8 2 4 2" xfId="16958" xr:uid="{00000000-0005-0000-0000-000046B90000}"/>
    <cellStyle name="Normal 4 8 2 4 2 2" xfId="30526" xr:uid="{00000000-0005-0000-0000-000047B90000}"/>
    <cellStyle name="Normal 4 8 2 4 2 2 2" xfId="57659" xr:uid="{00000000-0005-0000-0000-000048B90000}"/>
    <cellStyle name="Normal 4 8 2 4 2 3" xfId="44097" xr:uid="{00000000-0005-0000-0000-000049B90000}"/>
    <cellStyle name="Normal 4 8 2 4 3" xfId="23745" xr:uid="{00000000-0005-0000-0000-00004AB90000}"/>
    <cellStyle name="Normal 4 8 2 4 3 2" xfId="50878" xr:uid="{00000000-0005-0000-0000-00004BB90000}"/>
    <cellStyle name="Normal 4 8 2 4 4" xfId="37316" xr:uid="{00000000-0005-0000-0000-00004CB90000}"/>
    <cellStyle name="Normal 4 8 2 5" xfId="13569" xr:uid="{00000000-0005-0000-0000-00004DB90000}"/>
    <cellStyle name="Normal 4 8 2 5 2" xfId="27137" xr:uid="{00000000-0005-0000-0000-00004EB90000}"/>
    <cellStyle name="Normal 4 8 2 5 2 2" xfId="54270" xr:uid="{00000000-0005-0000-0000-00004FB90000}"/>
    <cellStyle name="Normal 4 8 2 5 3" xfId="40708" xr:uid="{00000000-0005-0000-0000-000050B90000}"/>
    <cellStyle name="Normal 4 8 2 6" xfId="20356" xr:uid="{00000000-0005-0000-0000-000051B90000}"/>
    <cellStyle name="Normal 4 8 2 6 2" xfId="47489" xr:uid="{00000000-0005-0000-0000-000052B90000}"/>
    <cellStyle name="Normal 4 8 2 7" xfId="33927" xr:uid="{00000000-0005-0000-0000-000053B90000}"/>
    <cellStyle name="Normal 4 8 3" xfId="6639" xr:uid="{00000000-0005-0000-0000-000054B90000}"/>
    <cellStyle name="Normal 4 8 3 2" xfId="6640" xr:uid="{00000000-0005-0000-0000-000055B90000}"/>
    <cellStyle name="Normal 4 8 3 2 2" xfId="10172" xr:uid="{00000000-0005-0000-0000-000056B90000}"/>
    <cellStyle name="Normal 4 8 3 2 2 2" xfId="16962" xr:uid="{00000000-0005-0000-0000-000057B90000}"/>
    <cellStyle name="Normal 4 8 3 2 2 2 2" xfId="30530" xr:uid="{00000000-0005-0000-0000-000058B90000}"/>
    <cellStyle name="Normal 4 8 3 2 2 2 2 2" xfId="57663" xr:uid="{00000000-0005-0000-0000-000059B90000}"/>
    <cellStyle name="Normal 4 8 3 2 2 2 3" xfId="44101" xr:uid="{00000000-0005-0000-0000-00005AB90000}"/>
    <cellStyle name="Normal 4 8 3 2 2 3" xfId="23749" xr:uid="{00000000-0005-0000-0000-00005BB90000}"/>
    <cellStyle name="Normal 4 8 3 2 2 3 2" xfId="50882" xr:uid="{00000000-0005-0000-0000-00005CB90000}"/>
    <cellStyle name="Normal 4 8 3 2 2 4" xfId="37320" xr:uid="{00000000-0005-0000-0000-00005DB90000}"/>
    <cellStyle name="Normal 4 8 3 2 3" xfId="13573" xr:uid="{00000000-0005-0000-0000-00005EB90000}"/>
    <cellStyle name="Normal 4 8 3 2 3 2" xfId="27141" xr:uid="{00000000-0005-0000-0000-00005FB90000}"/>
    <cellStyle name="Normal 4 8 3 2 3 2 2" xfId="54274" xr:uid="{00000000-0005-0000-0000-000060B90000}"/>
    <cellStyle name="Normal 4 8 3 2 3 3" xfId="40712" xr:uid="{00000000-0005-0000-0000-000061B90000}"/>
    <cellStyle name="Normal 4 8 3 2 4" xfId="20360" xr:uid="{00000000-0005-0000-0000-000062B90000}"/>
    <cellStyle name="Normal 4 8 3 2 4 2" xfId="47493" xr:uid="{00000000-0005-0000-0000-000063B90000}"/>
    <cellStyle name="Normal 4 8 3 2 5" xfId="33931" xr:uid="{00000000-0005-0000-0000-000064B90000}"/>
    <cellStyle name="Normal 4 8 3 3" xfId="10171" xr:uid="{00000000-0005-0000-0000-000065B90000}"/>
    <cellStyle name="Normal 4 8 3 3 2" xfId="16961" xr:uid="{00000000-0005-0000-0000-000066B90000}"/>
    <cellStyle name="Normal 4 8 3 3 2 2" xfId="30529" xr:uid="{00000000-0005-0000-0000-000067B90000}"/>
    <cellStyle name="Normal 4 8 3 3 2 2 2" xfId="57662" xr:uid="{00000000-0005-0000-0000-000068B90000}"/>
    <cellStyle name="Normal 4 8 3 3 2 3" xfId="44100" xr:uid="{00000000-0005-0000-0000-000069B90000}"/>
    <cellStyle name="Normal 4 8 3 3 3" xfId="23748" xr:uid="{00000000-0005-0000-0000-00006AB90000}"/>
    <cellStyle name="Normal 4 8 3 3 3 2" xfId="50881" xr:uid="{00000000-0005-0000-0000-00006BB90000}"/>
    <cellStyle name="Normal 4 8 3 3 4" xfId="37319" xr:uid="{00000000-0005-0000-0000-00006CB90000}"/>
    <cellStyle name="Normal 4 8 3 4" xfId="13572" xr:uid="{00000000-0005-0000-0000-00006DB90000}"/>
    <cellStyle name="Normal 4 8 3 4 2" xfId="27140" xr:uid="{00000000-0005-0000-0000-00006EB90000}"/>
    <cellStyle name="Normal 4 8 3 4 2 2" xfId="54273" xr:uid="{00000000-0005-0000-0000-00006FB90000}"/>
    <cellStyle name="Normal 4 8 3 4 3" xfId="40711" xr:uid="{00000000-0005-0000-0000-000070B90000}"/>
    <cellStyle name="Normal 4 8 3 5" xfId="20359" xr:uid="{00000000-0005-0000-0000-000071B90000}"/>
    <cellStyle name="Normal 4 8 3 5 2" xfId="47492" xr:uid="{00000000-0005-0000-0000-000072B90000}"/>
    <cellStyle name="Normal 4 8 3 6" xfId="33930" xr:uid="{00000000-0005-0000-0000-000073B90000}"/>
    <cellStyle name="Normal 4 8 4" xfId="6641" xr:uid="{00000000-0005-0000-0000-000074B90000}"/>
    <cellStyle name="Normal 4 8 4 2" xfId="10173" xr:uid="{00000000-0005-0000-0000-000075B90000}"/>
    <cellStyle name="Normal 4 8 4 2 2" xfId="16963" xr:uid="{00000000-0005-0000-0000-000076B90000}"/>
    <cellStyle name="Normal 4 8 4 2 2 2" xfId="30531" xr:uid="{00000000-0005-0000-0000-000077B90000}"/>
    <cellStyle name="Normal 4 8 4 2 2 2 2" xfId="57664" xr:uid="{00000000-0005-0000-0000-000078B90000}"/>
    <cellStyle name="Normal 4 8 4 2 2 3" xfId="44102" xr:uid="{00000000-0005-0000-0000-000079B90000}"/>
    <cellStyle name="Normal 4 8 4 2 3" xfId="23750" xr:uid="{00000000-0005-0000-0000-00007AB90000}"/>
    <cellStyle name="Normal 4 8 4 2 3 2" xfId="50883" xr:uid="{00000000-0005-0000-0000-00007BB90000}"/>
    <cellStyle name="Normal 4 8 4 2 4" xfId="37321" xr:uid="{00000000-0005-0000-0000-00007CB90000}"/>
    <cellStyle name="Normal 4 8 4 3" xfId="13574" xr:uid="{00000000-0005-0000-0000-00007DB90000}"/>
    <cellStyle name="Normal 4 8 4 3 2" xfId="27142" xr:uid="{00000000-0005-0000-0000-00007EB90000}"/>
    <cellStyle name="Normal 4 8 4 3 2 2" xfId="54275" xr:uid="{00000000-0005-0000-0000-00007FB90000}"/>
    <cellStyle name="Normal 4 8 4 3 3" xfId="40713" xr:uid="{00000000-0005-0000-0000-000080B90000}"/>
    <cellStyle name="Normal 4 8 4 4" xfId="20361" xr:uid="{00000000-0005-0000-0000-000081B90000}"/>
    <cellStyle name="Normal 4 8 4 4 2" xfId="47494" xr:uid="{00000000-0005-0000-0000-000082B90000}"/>
    <cellStyle name="Normal 4 8 4 5" xfId="33932" xr:uid="{00000000-0005-0000-0000-000083B90000}"/>
    <cellStyle name="Normal 4 8 5" xfId="6642" xr:uid="{00000000-0005-0000-0000-000084B90000}"/>
    <cellStyle name="Normal 4 8 5 2" xfId="10174" xr:uid="{00000000-0005-0000-0000-000085B90000}"/>
    <cellStyle name="Normal 4 8 5 2 2" xfId="16964" xr:uid="{00000000-0005-0000-0000-000086B90000}"/>
    <cellStyle name="Normal 4 8 5 2 2 2" xfId="30532" xr:uid="{00000000-0005-0000-0000-000087B90000}"/>
    <cellStyle name="Normal 4 8 5 2 2 2 2" xfId="57665" xr:uid="{00000000-0005-0000-0000-000088B90000}"/>
    <cellStyle name="Normal 4 8 5 2 2 3" xfId="44103" xr:uid="{00000000-0005-0000-0000-000089B90000}"/>
    <cellStyle name="Normal 4 8 5 2 3" xfId="23751" xr:uid="{00000000-0005-0000-0000-00008AB90000}"/>
    <cellStyle name="Normal 4 8 5 2 3 2" xfId="50884" xr:uid="{00000000-0005-0000-0000-00008BB90000}"/>
    <cellStyle name="Normal 4 8 5 2 4" xfId="37322" xr:uid="{00000000-0005-0000-0000-00008CB90000}"/>
    <cellStyle name="Normal 4 8 5 3" xfId="13575" xr:uid="{00000000-0005-0000-0000-00008DB90000}"/>
    <cellStyle name="Normal 4 8 5 3 2" xfId="27143" xr:uid="{00000000-0005-0000-0000-00008EB90000}"/>
    <cellStyle name="Normal 4 8 5 3 2 2" xfId="54276" xr:uid="{00000000-0005-0000-0000-00008FB90000}"/>
    <cellStyle name="Normal 4 8 5 3 3" xfId="40714" xr:uid="{00000000-0005-0000-0000-000090B90000}"/>
    <cellStyle name="Normal 4 8 5 4" xfId="20362" xr:uid="{00000000-0005-0000-0000-000091B90000}"/>
    <cellStyle name="Normal 4 8 5 4 2" xfId="47495" xr:uid="{00000000-0005-0000-0000-000092B90000}"/>
    <cellStyle name="Normal 4 8 5 5" xfId="33933" xr:uid="{00000000-0005-0000-0000-000093B90000}"/>
    <cellStyle name="Normal 4 9" xfId="2782" xr:uid="{00000000-0005-0000-0000-000094B90000}"/>
    <cellStyle name="Normal 4 9 2" xfId="6643" xr:uid="{00000000-0005-0000-0000-000095B90000}"/>
    <cellStyle name="Normal 4 9 2 2" xfId="6644" xr:uid="{00000000-0005-0000-0000-000096B90000}"/>
    <cellStyle name="Normal 4 9 2 2 2" xfId="10176" xr:uid="{00000000-0005-0000-0000-000097B90000}"/>
    <cellStyle name="Normal 4 9 2 2 2 2" xfId="16966" xr:uid="{00000000-0005-0000-0000-000098B90000}"/>
    <cellStyle name="Normal 4 9 2 2 2 2 2" xfId="30534" xr:uid="{00000000-0005-0000-0000-000099B90000}"/>
    <cellStyle name="Normal 4 9 2 2 2 2 2 2" xfId="57667" xr:uid="{00000000-0005-0000-0000-00009AB90000}"/>
    <cellStyle name="Normal 4 9 2 2 2 2 3" xfId="44105" xr:uid="{00000000-0005-0000-0000-00009BB90000}"/>
    <cellStyle name="Normal 4 9 2 2 2 3" xfId="23753" xr:uid="{00000000-0005-0000-0000-00009CB90000}"/>
    <cellStyle name="Normal 4 9 2 2 2 3 2" xfId="50886" xr:uid="{00000000-0005-0000-0000-00009DB90000}"/>
    <cellStyle name="Normal 4 9 2 2 2 4" xfId="37324" xr:uid="{00000000-0005-0000-0000-00009EB90000}"/>
    <cellStyle name="Normal 4 9 2 2 3" xfId="13577" xr:uid="{00000000-0005-0000-0000-00009FB90000}"/>
    <cellStyle name="Normal 4 9 2 2 3 2" xfId="27145" xr:uid="{00000000-0005-0000-0000-0000A0B90000}"/>
    <cellStyle name="Normal 4 9 2 2 3 2 2" xfId="54278" xr:uid="{00000000-0005-0000-0000-0000A1B90000}"/>
    <cellStyle name="Normal 4 9 2 2 3 3" xfId="40716" xr:uid="{00000000-0005-0000-0000-0000A2B90000}"/>
    <cellStyle name="Normal 4 9 2 2 4" xfId="20364" xr:uid="{00000000-0005-0000-0000-0000A3B90000}"/>
    <cellStyle name="Normal 4 9 2 2 4 2" xfId="47497" xr:uid="{00000000-0005-0000-0000-0000A4B90000}"/>
    <cellStyle name="Normal 4 9 2 2 5" xfId="33935" xr:uid="{00000000-0005-0000-0000-0000A5B90000}"/>
    <cellStyle name="Normal 4 9 2 3" xfId="6645" xr:uid="{00000000-0005-0000-0000-0000A6B90000}"/>
    <cellStyle name="Normal 4 9 2 3 2" xfId="10177" xr:uid="{00000000-0005-0000-0000-0000A7B90000}"/>
    <cellStyle name="Normal 4 9 2 3 2 2" xfId="16967" xr:uid="{00000000-0005-0000-0000-0000A8B90000}"/>
    <cellStyle name="Normal 4 9 2 3 2 2 2" xfId="30535" xr:uid="{00000000-0005-0000-0000-0000A9B90000}"/>
    <cellStyle name="Normal 4 9 2 3 2 2 2 2" xfId="57668" xr:uid="{00000000-0005-0000-0000-0000AAB90000}"/>
    <cellStyle name="Normal 4 9 2 3 2 2 3" xfId="44106" xr:uid="{00000000-0005-0000-0000-0000ABB90000}"/>
    <cellStyle name="Normal 4 9 2 3 2 3" xfId="23754" xr:uid="{00000000-0005-0000-0000-0000ACB90000}"/>
    <cellStyle name="Normal 4 9 2 3 2 3 2" xfId="50887" xr:uid="{00000000-0005-0000-0000-0000ADB90000}"/>
    <cellStyle name="Normal 4 9 2 3 2 4" xfId="37325" xr:uid="{00000000-0005-0000-0000-0000AEB90000}"/>
    <cellStyle name="Normal 4 9 2 3 3" xfId="13578" xr:uid="{00000000-0005-0000-0000-0000AFB90000}"/>
    <cellStyle name="Normal 4 9 2 3 3 2" xfId="27146" xr:uid="{00000000-0005-0000-0000-0000B0B90000}"/>
    <cellStyle name="Normal 4 9 2 3 3 2 2" xfId="54279" xr:uid="{00000000-0005-0000-0000-0000B1B90000}"/>
    <cellStyle name="Normal 4 9 2 3 3 3" xfId="40717" xr:uid="{00000000-0005-0000-0000-0000B2B90000}"/>
    <cellStyle name="Normal 4 9 2 3 4" xfId="20365" xr:uid="{00000000-0005-0000-0000-0000B3B90000}"/>
    <cellStyle name="Normal 4 9 2 3 4 2" xfId="47498" xr:uid="{00000000-0005-0000-0000-0000B4B90000}"/>
    <cellStyle name="Normal 4 9 2 3 5" xfId="33936" xr:uid="{00000000-0005-0000-0000-0000B5B90000}"/>
    <cellStyle name="Normal 4 9 2 4" xfId="10175" xr:uid="{00000000-0005-0000-0000-0000B6B90000}"/>
    <cellStyle name="Normal 4 9 2 4 2" xfId="16965" xr:uid="{00000000-0005-0000-0000-0000B7B90000}"/>
    <cellStyle name="Normal 4 9 2 4 2 2" xfId="30533" xr:uid="{00000000-0005-0000-0000-0000B8B90000}"/>
    <cellStyle name="Normal 4 9 2 4 2 2 2" xfId="57666" xr:uid="{00000000-0005-0000-0000-0000B9B90000}"/>
    <cellStyle name="Normal 4 9 2 4 2 3" xfId="44104" xr:uid="{00000000-0005-0000-0000-0000BAB90000}"/>
    <cellStyle name="Normal 4 9 2 4 3" xfId="23752" xr:uid="{00000000-0005-0000-0000-0000BBB90000}"/>
    <cellStyle name="Normal 4 9 2 4 3 2" xfId="50885" xr:uid="{00000000-0005-0000-0000-0000BCB90000}"/>
    <cellStyle name="Normal 4 9 2 4 4" xfId="37323" xr:uid="{00000000-0005-0000-0000-0000BDB90000}"/>
    <cellStyle name="Normal 4 9 2 5" xfId="13576" xr:uid="{00000000-0005-0000-0000-0000BEB90000}"/>
    <cellStyle name="Normal 4 9 2 5 2" xfId="27144" xr:uid="{00000000-0005-0000-0000-0000BFB90000}"/>
    <cellStyle name="Normal 4 9 2 5 2 2" xfId="54277" xr:uid="{00000000-0005-0000-0000-0000C0B90000}"/>
    <cellStyle name="Normal 4 9 2 5 3" xfId="40715" xr:uid="{00000000-0005-0000-0000-0000C1B90000}"/>
    <cellStyle name="Normal 4 9 2 6" xfId="20363" xr:uid="{00000000-0005-0000-0000-0000C2B90000}"/>
    <cellStyle name="Normal 4 9 2 6 2" xfId="47496" xr:uid="{00000000-0005-0000-0000-0000C3B90000}"/>
    <cellStyle name="Normal 4 9 2 7" xfId="33934" xr:uid="{00000000-0005-0000-0000-0000C4B90000}"/>
    <cellStyle name="Normal 4 9 3" xfId="6646" xr:uid="{00000000-0005-0000-0000-0000C5B90000}"/>
    <cellStyle name="Normal 4 9 3 2" xfId="10178" xr:uid="{00000000-0005-0000-0000-0000C6B90000}"/>
    <cellStyle name="Normal 4 9 3 2 2" xfId="16968" xr:uid="{00000000-0005-0000-0000-0000C7B90000}"/>
    <cellStyle name="Normal 4 9 3 2 2 2" xfId="30536" xr:uid="{00000000-0005-0000-0000-0000C8B90000}"/>
    <cellStyle name="Normal 4 9 3 2 2 2 2" xfId="57669" xr:uid="{00000000-0005-0000-0000-0000C9B90000}"/>
    <cellStyle name="Normal 4 9 3 2 2 3" xfId="44107" xr:uid="{00000000-0005-0000-0000-0000CAB90000}"/>
    <cellStyle name="Normal 4 9 3 2 3" xfId="23755" xr:uid="{00000000-0005-0000-0000-0000CBB90000}"/>
    <cellStyle name="Normal 4 9 3 2 3 2" xfId="50888" xr:uid="{00000000-0005-0000-0000-0000CCB90000}"/>
    <cellStyle name="Normal 4 9 3 2 4" xfId="37326" xr:uid="{00000000-0005-0000-0000-0000CDB90000}"/>
    <cellStyle name="Normal 4 9 3 3" xfId="13579" xr:uid="{00000000-0005-0000-0000-0000CEB90000}"/>
    <cellStyle name="Normal 4 9 3 3 2" xfId="27147" xr:uid="{00000000-0005-0000-0000-0000CFB90000}"/>
    <cellStyle name="Normal 4 9 3 3 2 2" xfId="54280" xr:uid="{00000000-0005-0000-0000-0000D0B90000}"/>
    <cellStyle name="Normal 4 9 3 3 3" xfId="40718" xr:uid="{00000000-0005-0000-0000-0000D1B90000}"/>
    <cellStyle name="Normal 4 9 3 4" xfId="20366" xr:uid="{00000000-0005-0000-0000-0000D2B90000}"/>
    <cellStyle name="Normal 4 9 3 4 2" xfId="47499" xr:uid="{00000000-0005-0000-0000-0000D3B90000}"/>
    <cellStyle name="Normal 4 9 3 5" xfId="33937" xr:uid="{00000000-0005-0000-0000-0000D4B90000}"/>
    <cellStyle name="Normal 4 9 4" xfId="6647" xr:uid="{00000000-0005-0000-0000-0000D5B90000}"/>
    <cellStyle name="Normal 4 9 4 2" xfId="10179" xr:uid="{00000000-0005-0000-0000-0000D6B90000}"/>
    <cellStyle name="Normal 4 9 4 2 2" xfId="16969" xr:uid="{00000000-0005-0000-0000-0000D7B90000}"/>
    <cellStyle name="Normal 4 9 4 2 2 2" xfId="30537" xr:uid="{00000000-0005-0000-0000-0000D8B90000}"/>
    <cellStyle name="Normal 4 9 4 2 2 2 2" xfId="57670" xr:uid="{00000000-0005-0000-0000-0000D9B90000}"/>
    <cellStyle name="Normal 4 9 4 2 2 3" xfId="44108" xr:uid="{00000000-0005-0000-0000-0000DAB90000}"/>
    <cellStyle name="Normal 4 9 4 2 3" xfId="23756" xr:uid="{00000000-0005-0000-0000-0000DBB90000}"/>
    <cellStyle name="Normal 4 9 4 2 3 2" xfId="50889" xr:uid="{00000000-0005-0000-0000-0000DCB90000}"/>
    <cellStyle name="Normal 4 9 4 2 4" xfId="37327" xr:uid="{00000000-0005-0000-0000-0000DDB90000}"/>
    <cellStyle name="Normal 4 9 4 3" xfId="13580" xr:uid="{00000000-0005-0000-0000-0000DEB90000}"/>
    <cellStyle name="Normal 4 9 4 3 2" xfId="27148" xr:uid="{00000000-0005-0000-0000-0000DFB90000}"/>
    <cellStyle name="Normal 4 9 4 3 2 2" xfId="54281" xr:uid="{00000000-0005-0000-0000-0000E0B90000}"/>
    <cellStyle name="Normal 4 9 4 3 3" xfId="40719" xr:uid="{00000000-0005-0000-0000-0000E1B90000}"/>
    <cellStyle name="Normal 4 9 4 4" xfId="20367" xr:uid="{00000000-0005-0000-0000-0000E2B90000}"/>
    <cellStyle name="Normal 4 9 4 4 2" xfId="47500" xr:uid="{00000000-0005-0000-0000-0000E3B90000}"/>
    <cellStyle name="Normal 4 9 4 5" xfId="33938" xr:uid="{00000000-0005-0000-0000-0000E4B90000}"/>
    <cellStyle name="Normal 40" xfId="7321" xr:uid="{00000000-0005-0000-0000-0000E5B90000}"/>
    <cellStyle name="Normal 40 2" xfId="10811" xr:uid="{00000000-0005-0000-0000-0000E6B90000}"/>
    <cellStyle name="Normal 40 2 2" xfId="17601" xr:uid="{00000000-0005-0000-0000-0000E7B90000}"/>
    <cellStyle name="Normal 40 2 2 2" xfId="31169" xr:uid="{00000000-0005-0000-0000-0000E8B90000}"/>
    <cellStyle name="Normal 40 2 2 2 2" xfId="58302" xr:uid="{00000000-0005-0000-0000-0000E9B90000}"/>
    <cellStyle name="Normal 40 2 2 3" xfId="44740" xr:uid="{00000000-0005-0000-0000-0000EAB90000}"/>
    <cellStyle name="Normal 40 2 3" xfId="24388" xr:uid="{00000000-0005-0000-0000-0000EBB90000}"/>
    <cellStyle name="Normal 40 2 3 2" xfId="51521" xr:uid="{00000000-0005-0000-0000-0000ECB90000}"/>
    <cellStyle name="Normal 40 2 4" xfId="37959" xr:uid="{00000000-0005-0000-0000-0000EDB90000}"/>
    <cellStyle name="Normal 40 3" xfId="14212" xr:uid="{00000000-0005-0000-0000-0000EEB90000}"/>
    <cellStyle name="Normal 40 3 2" xfId="27780" xr:uid="{00000000-0005-0000-0000-0000EFB90000}"/>
    <cellStyle name="Normal 40 3 2 2" xfId="54913" xr:uid="{00000000-0005-0000-0000-0000F0B90000}"/>
    <cellStyle name="Normal 40 3 3" xfId="41351" xr:uid="{00000000-0005-0000-0000-0000F1B90000}"/>
    <cellStyle name="Normal 40 4" xfId="20999" xr:uid="{00000000-0005-0000-0000-0000F2B90000}"/>
    <cellStyle name="Normal 40 4 2" xfId="48132" xr:uid="{00000000-0005-0000-0000-0000F3B90000}"/>
    <cellStyle name="Normal 40 5" xfId="34570" xr:uid="{00000000-0005-0000-0000-0000F4B90000}"/>
    <cellStyle name="Normal 41" xfId="7324" xr:uid="{00000000-0005-0000-0000-0000F5B90000}"/>
    <cellStyle name="Normal 41 2" xfId="10814" xr:uid="{00000000-0005-0000-0000-0000F6B90000}"/>
    <cellStyle name="Normal 41 2 2" xfId="17604" xr:uid="{00000000-0005-0000-0000-0000F7B90000}"/>
    <cellStyle name="Normal 41 2 2 2" xfId="31172" xr:uid="{00000000-0005-0000-0000-0000F8B90000}"/>
    <cellStyle name="Normal 41 2 2 2 2" xfId="58305" xr:uid="{00000000-0005-0000-0000-0000F9B90000}"/>
    <cellStyle name="Normal 41 2 2 3" xfId="44743" xr:uid="{00000000-0005-0000-0000-0000FAB90000}"/>
    <cellStyle name="Normal 41 2 3" xfId="24391" xr:uid="{00000000-0005-0000-0000-0000FBB90000}"/>
    <cellStyle name="Normal 41 2 3 2" xfId="51524" xr:uid="{00000000-0005-0000-0000-0000FCB90000}"/>
    <cellStyle name="Normal 41 2 4" xfId="37962" xr:uid="{00000000-0005-0000-0000-0000FDB90000}"/>
    <cellStyle name="Normal 41 3" xfId="14215" xr:uid="{00000000-0005-0000-0000-0000FEB90000}"/>
    <cellStyle name="Normal 41 3 2" xfId="27783" xr:uid="{00000000-0005-0000-0000-0000FFB90000}"/>
    <cellStyle name="Normal 41 3 2 2" xfId="54916" xr:uid="{00000000-0005-0000-0000-000000BA0000}"/>
    <cellStyle name="Normal 41 3 3" xfId="41354" xr:uid="{00000000-0005-0000-0000-000001BA0000}"/>
    <cellStyle name="Normal 41 4" xfId="21002" xr:uid="{00000000-0005-0000-0000-000002BA0000}"/>
    <cellStyle name="Normal 41 4 2" xfId="48135" xr:uid="{00000000-0005-0000-0000-000003BA0000}"/>
    <cellStyle name="Normal 41 5" xfId="34573" xr:uid="{00000000-0005-0000-0000-000004BA0000}"/>
    <cellStyle name="Normal 42" xfId="7457" xr:uid="{00000000-0005-0000-0000-000005BA0000}"/>
    <cellStyle name="Normal 43" xfId="7456" xr:uid="{00000000-0005-0000-0000-000006BA0000}"/>
    <cellStyle name="Normal 43 2" xfId="14249" xr:uid="{00000000-0005-0000-0000-000007BA0000}"/>
    <cellStyle name="Normal 43 2 2" xfId="27817" xr:uid="{00000000-0005-0000-0000-000008BA0000}"/>
    <cellStyle name="Normal 43 2 2 2" xfId="54950" xr:uid="{00000000-0005-0000-0000-000009BA0000}"/>
    <cellStyle name="Normal 43 2 3" xfId="41388" xr:uid="{00000000-0005-0000-0000-00000ABA0000}"/>
    <cellStyle name="Normal 43 3" xfId="21036" xr:uid="{00000000-0005-0000-0000-00000BBA0000}"/>
    <cellStyle name="Normal 43 3 2" xfId="48169" xr:uid="{00000000-0005-0000-0000-00000CBA0000}"/>
    <cellStyle name="Normal 43 4" xfId="34607" xr:uid="{00000000-0005-0000-0000-00000DBA0000}"/>
    <cellStyle name="Normal 44" xfId="10849" xr:uid="{00000000-0005-0000-0000-00000EBA0000}"/>
    <cellStyle name="Normal 44 2" xfId="17638" xr:uid="{00000000-0005-0000-0000-00000FBA0000}"/>
    <cellStyle name="Normal 44 2 2" xfId="31206" xr:uid="{00000000-0005-0000-0000-000010BA0000}"/>
    <cellStyle name="Normal 44 2 2 2" xfId="58339" xr:uid="{00000000-0005-0000-0000-000011BA0000}"/>
    <cellStyle name="Normal 44 2 3" xfId="44777" xr:uid="{00000000-0005-0000-0000-000012BA0000}"/>
    <cellStyle name="Normal 44 3" xfId="24425" xr:uid="{00000000-0005-0000-0000-000013BA0000}"/>
    <cellStyle name="Normal 44 3 2" xfId="51558" xr:uid="{00000000-0005-0000-0000-000014BA0000}"/>
    <cellStyle name="Normal 44 4" xfId="37996" xr:uid="{00000000-0005-0000-0000-000015BA0000}"/>
    <cellStyle name="Normal 45" xfId="10856" xr:uid="{00000000-0005-0000-0000-000016BA0000}"/>
    <cellStyle name="Normal 45 2" xfId="17640" xr:uid="{00000000-0005-0000-0000-000017BA0000}"/>
    <cellStyle name="Normal 45 2 2" xfId="31208" xr:uid="{00000000-0005-0000-0000-000018BA0000}"/>
    <cellStyle name="Normal 45 2 2 2" xfId="58341" xr:uid="{00000000-0005-0000-0000-000019BA0000}"/>
    <cellStyle name="Normal 45 2 3" xfId="44779" xr:uid="{00000000-0005-0000-0000-00001ABA0000}"/>
    <cellStyle name="Normal 45 3" xfId="24427" xr:uid="{00000000-0005-0000-0000-00001BBA0000}"/>
    <cellStyle name="Normal 45 3 2" xfId="51560" xr:uid="{00000000-0005-0000-0000-00001CBA0000}"/>
    <cellStyle name="Normal 45 4" xfId="37998" xr:uid="{00000000-0005-0000-0000-00001DBA0000}"/>
    <cellStyle name="Normal 46" xfId="10858" xr:uid="{00000000-0005-0000-0000-00001EBA0000}"/>
    <cellStyle name="Normal 47" xfId="10857" xr:uid="{00000000-0005-0000-0000-00001FBA0000}"/>
    <cellStyle name="Normal 47 2" xfId="24428" xr:uid="{00000000-0005-0000-0000-000020BA0000}"/>
    <cellStyle name="Normal 47 2 2" xfId="51561" xr:uid="{00000000-0005-0000-0000-000021BA0000}"/>
    <cellStyle name="Normal 47 3" xfId="37999" xr:uid="{00000000-0005-0000-0000-000022BA0000}"/>
    <cellStyle name="Normal 48" xfId="17642" xr:uid="{00000000-0005-0000-0000-000023BA0000}"/>
    <cellStyle name="Normal 49" xfId="17641" xr:uid="{00000000-0005-0000-0000-000024BA0000}"/>
    <cellStyle name="Normal 49 2" xfId="44780" xr:uid="{00000000-0005-0000-0000-000025BA0000}"/>
    <cellStyle name="Normal 5" xfId="12" xr:uid="{00000000-0005-0000-0000-000026BA0000}"/>
    <cellStyle name="Normal 5 2" xfId="154" xr:uid="{00000000-0005-0000-0000-000027BA0000}"/>
    <cellStyle name="Normal 5 2 2" xfId="6648" xr:uid="{00000000-0005-0000-0000-000028BA0000}"/>
    <cellStyle name="Normal 5 2 2 10" xfId="6649" xr:uid="{00000000-0005-0000-0000-000029BA0000}"/>
    <cellStyle name="Normal 5 2 2 10 2" xfId="10181" xr:uid="{00000000-0005-0000-0000-00002ABA0000}"/>
    <cellStyle name="Normal 5 2 2 10 2 2" xfId="16971" xr:uid="{00000000-0005-0000-0000-00002BBA0000}"/>
    <cellStyle name="Normal 5 2 2 10 2 2 2" xfId="30539" xr:uid="{00000000-0005-0000-0000-00002CBA0000}"/>
    <cellStyle name="Normal 5 2 2 10 2 2 2 2" xfId="57672" xr:uid="{00000000-0005-0000-0000-00002DBA0000}"/>
    <cellStyle name="Normal 5 2 2 10 2 2 3" xfId="44110" xr:uid="{00000000-0005-0000-0000-00002EBA0000}"/>
    <cellStyle name="Normal 5 2 2 10 2 3" xfId="23758" xr:uid="{00000000-0005-0000-0000-00002FBA0000}"/>
    <cellStyle name="Normal 5 2 2 10 2 3 2" xfId="50891" xr:uid="{00000000-0005-0000-0000-000030BA0000}"/>
    <cellStyle name="Normal 5 2 2 10 2 4" xfId="37329" xr:uid="{00000000-0005-0000-0000-000031BA0000}"/>
    <cellStyle name="Normal 5 2 2 10 3" xfId="13582" xr:uid="{00000000-0005-0000-0000-000032BA0000}"/>
    <cellStyle name="Normal 5 2 2 10 3 2" xfId="27150" xr:uid="{00000000-0005-0000-0000-000033BA0000}"/>
    <cellStyle name="Normal 5 2 2 10 3 2 2" xfId="54283" xr:uid="{00000000-0005-0000-0000-000034BA0000}"/>
    <cellStyle name="Normal 5 2 2 10 3 3" xfId="40721" xr:uid="{00000000-0005-0000-0000-000035BA0000}"/>
    <cellStyle name="Normal 5 2 2 10 4" xfId="20369" xr:uid="{00000000-0005-0000-0000-000036BA0000}"/>
    <cellStyle name="Normal 5 2 2 10 4 2" xfId="47502" xr:uid="{00000000-0005-0000-0000-000037BA0000}"/>
    <cellStyle name="Normal 5 2 2 10 5" xfId="33940" xr:uid="{00000000-0005-0000-0000-000038BA0000}"/>
    <cellStyle name="Normal 5 2 2 11" xfId="10180" xr:uid="{00000000-0005-0000-0000-000039BA0000}"/>
    <cellStyle name="Normal 5 2 2 11 2" xfId="16970" xr:uid="{00000000-0005-0000-0000-00003ABA0000}"/>
    <cellStyle name="Normal 5 2 2 11 2 2" xfId="30538" xr:uid="{00000000-0005-0000-0000-00003BBA0000}"/>
    <cellStyle name="Normal 5 2 2 11 2 2 2" xfId="57671" xr:uid="{00000000-0005-0000-0000-00003CBA0000}"/>
    <cellStyle name="Normal 5 2 2 11 2 3" xfId="44109" xr:uid="{00000000-0005-0000-0000-00003DBA0000}"/>
    <cellStyle name="Normal 5 2 2 11 3" xfId="23757" xr:uid="{00000000-0005-0000-0000-00003EBA0000}"/>
    <cellStyle name="Normal 5 2 2 11 3 2" xfId="50890" xr:uid="{00000000-0005-0000-0000-00003FBA0000}"/>
    <cellStyle name="Normal 5 2 2 11 4" xfId="37328" xr:uid="{00000000-0005-0000-0000-000040BA0000}"/>
    <cellStyle name="Normal 5 2 2 12" xfId="13581" xr:uid="{00000000-0005-0000-0000-000041BA0000}"/>
    <cellStyle name="Normal 5 2 2 12 2" xfId="27149" xr:uid="{00000000-0005-0000-0000-000042BA0000}"/>
    <cellStyle name="Normal 5 2 2 12 2 2" xfId="54282" xr:uid="{00000000-0005-0000-0000-000043BA0000}"/>
    <cellStyle name="Normal 5 2 2 12 3" xfId="40720" xr:uid="{00000000-0005-0000-0000-000044BA0000}"/>
    <cellStyle name="Normal 5 2 2 13" xfId="20368" xr:uid="{00000000-0005-0000-0000-000045BA0000}"/>
    <cellStyle name="Normal 5 2 2 13 2" xfId="47501" xr:uid="{00000000-0005-0000-0000-000046BA0000}"/>
    <cellStyle name="Normal 5 2 2 14" xfId="33939" xr:uid="{00000000-0005-0000-0000-000047BA0000}"/>
    <cellStyle name="Normal 5 2 2 2" xfId="6650" xr:uid="{00000000-0005-0000-0000-000048BA0000}"/>
    <cellStyle name="Normal 5 2 2 2 10" xfId="13583" xr:uid="{00000000-0005-0000-0000-000049BA0000}"/>
    <cellStyle name="Normal 5 2 2 2 10 2" xfId="27151" xr:uid="{00000000-0005-0000-0000-00004ABA0000}"/>
    <cellStyle name="Normal 5 2 2 2 10 2 2" xfId="54284" xr:uid="{00000000-0005-0000-0000-00004BBA0000}"/>
    <cellStyle name="Normal 5 2 2 2 10 3" xfId="40722" xr:uid="{00000000-0005-0000-0000-00004CBA0000}"/>
    <cellStyle name="Normal 5 2 2 2 11" xfId="20370" xr:uid="{00000000-0005-0000-0000-00004DBA0000}"/>
    <cellStyle name="Normal 5 2 2 2 11 2" xfId="47503" xr:uid="{00000000-0005-0000-0000-00004EBA0000}"/>
    <cellStyle name="Normal 5 2 2 2 12" xfId="33941" xr:uid="{00000000-0005-0000-0000-00004FBA0000}"/>
    <cellStyle name="Normal 5 2 2 2 2" xfId="6651" xr:uid="{00000000-0005-0000-0000-000050BA0000}"/>
    <cellStyle name="Normal 5 2 2 2 2 10" xfId="33942" xr:uid="{00000000-0005-0000-0000-000051BA0000}"/>
    <cellStyle name="Normal 5 2 2 2 2 2" xfId="6652" xr:uid="{00000000-0005-0000-0000-000052BA0000}"/>
    <cellStyle name="Normal 5 2 2 2 2 2 2" xfId="6653" xr:uid="{00000000-0005-0000-0000-000053BA0000}"/>
    <cellStyle name="Normal 5 2 2 2 2 2 2 2" xfId="6654" xr:uid="{00000000-0005-0000-0000-000054BA0000}"/>
    <cellStyle name="Normal 5 2 2 2 2 2 2 2 2" xfId="10186" xr:uid="{00000000-0005-0000-0000-000055BA0000}"/>
    <cellStyle name="Normal 5 2 2 2 2 2 2 2 2 2" xfId="16976" xr:uid="{00000000-0005-0000-0000-000056BA0000}"/>
    <cellStyle name="Normal 5 2 2 2 2 2 2 2 2 2 2" xfId="30544" xr:uid="{00000000-0005-0000-0000-000057BA0000}"/>
    <cellStyle name="Normal 5 2 2 2 2 2 2 2 2 2 2 2" xfId="57677" xr:uid="{00000000-0005-0000-0000-000058BA0000}"/>
    <cellStyle name="Normal 5 2 2 2 2 2 2 2 2 2 3" xfId="44115" xr:uid="{00000000-0005-0000-0000-000059BA0000}"/>
    <cellStyle name="Normal 5 2 2 2 2 2 2 2 2 3" xfId="23763" xr:uid="{00000000-0005-0000-0000-00005ABA0000}"/>
    <cellStyle name="Normal 5 2 2 2 2 2 2 2 2 3 2" xfId="50896" xr:uid="{00000000-0005-0000-0000-00005BBA0000}"/>
    <cellStyle name="Normal 5 2 2 2 2 2 2 2 2 4" xfId="37334" xr:uid="{00000000-0005-0000-0000-00005CBA0000}"/>
    <cellStyle name="Normal 5 2 2 2 2 2 2 2 3" xfId="13587" xr:uid="{00000000-0005-0000-0000-00005DBA0000}"/>
    <cellStyle name="Normal 5 2 2 2 2 2 2 2 3 2" xfId="27155" xr:uid="{00000000-0005-0000-0000-00005EBA0000}"/>
    <cellStyle name="Normal 5 2 2 2 2 2 2 2 3 2 2" xfId="54288" xr:uid="{00000000-0005-0000-0000-00005FBA0000}"/>
    <cellStyle name="Normal 5 2 2 2 2 2 2 2 3 3" xfId="40726" xr:uid="{00000000-0005-0000-0000-000060BA0000}"/>
    <cellStyle name="Normal 5 2 2 2 2 2 2 2 4" xfId="20374" xr:uid="{00000000-0005-0000-0000-000061BA0000}"/>
    <cellStyle name="Normal 5 2 2 2 2 2 2 2 4 2" xfId="47507" xr:uid="{00000000-0005-0000-0000-000062BA0000}"/>
    <cellStyle name="Normal 5 2 2 2 2 2 2 2 5" xfId="33945" xr:uid="{00000000-0005-0000-0000-000063BA0000}"/>
    <cellStyle name="Normal 5 2 2 2 2 2 2 3" xfId="6655" xr:uid="{00000000-0005-0000-0000-000064BA0000}"/>
    <cellStyle name="Normal 5 2 2 2 2 2 2 3 2" xfId="10187" xr:uid="{00000000-0005-0000-0000-000065BA0000}"/>
    <cellStyle name="Normal 5 2 2 2 2 2 2 3 2 2" xfId="16977" xr:uid="{00000000-0005-0000-0000-000066BA0000}"/>
    <cellStyle name="Normal 5 2 2 2 2 2 2 3 2 2 2" xfId="30545" xr:uid="{00000000-0005-0000-0000-000067BA0000}"/>
    <cellStyle name="Normal 5 2 2 2 2 2 2 3 2 2 2 2" xfId="57678" xr:uid="{00000000-0005-0000-0000-000068BA0000}"/>
    <cellStyle name="Normal 5 2 2 2 2 2 2 3 2 2 3" xfId="44116" xr:uid="{00000000-0005-0000-0000-000069BA0000}"/>
    <cellStyle name="Normal 5 2 2 2 2 2 2 3 2 3" xfId="23764" xr:uid="{00000000-0005-0000-0000-00006ABA0000}"/>
    <cellStyle name="Normal 5 2 2 2 2 2 2 3 2 3 2" xfId="50897" xr:uid="{00000000-0005-0000-0000-00006BBA0000}"/>
    <cellStyle name="Normal 5 2 2 2 2 2 2 3 2 4" xfId="37335" xr:uid="{00000000-0005-0000-0000-00006CBA0000}"/>
    <cellStyle name="Normal 5 2 2 2 2 2 2 3 3" xfId="13588" xr:uid="{00000000-0005-0000-0000-00006DBA0000}"/>
    <cellStyle name="Normal 5 2 2 2 2 2 2 3 3 2" xfId="27156" xr:uid="{00000000-0005-0000-0000-00006EBA0000}"/>
    <cellStyle name="Normal 5 2 2 2 2 2 2 3 3 2 2" xfId="54289" xr:uid="{00000000-0005-0000-0000-00006FBA0000}"/>
    <cellStyle name="Normal 5 2 2 2 2 2 2 3 3 3" xfId="40727" xr:uid="{00000000-0005-0000-0000-000070BA0000}"/>
    <cellStyle name="Normal 5 2 2 2 2 2 2 3 4" xfId="20375" xr:uid="{00000000-0005-0000-0000-000071BA0000}"/>
    <cellStyle name="Normal 5 2 2 2 2 2 2 3 4 2" xfId="47508" xr:uid="{00000000-0005-0000-0000-000072BA0000}"/>
    <cellStyle name="Normal 5 2 2 2 2 2 2 3 5" xfId="33946" xr:uid="{00000000-0005-0000-0000-000073BA0000}"/>
    <cellStyle name="Normal 5 2 2 2 2 2 2 4" xfId="10185" xr:uid="{00000000-0005-0000-0000-000074BA0000}"/>
    <cellStyle name="Normal 5 2 2 2 2 2 2 4 2" xfId="16975" xr:uid="{00000000-0005-0000-0000-000075BA0000}"/>
    <cellStyle name="Normal 5 2 2 2 2 2 2 4 2 2" xfId="30543" xr:uid="{00000000-0005-0000-0000-000076BA0000}"/>
    <cellStyle name="Normal 5 2 2 2 2 2 2 4 2 2 2" xfId="57676" xr:uid="{00000000-0005-0000-0000-000077BA0000}"/>
    <cellStyle name="Normal 5 2 2 2 2 2 2 4 2 3" xfId="44114" xr:uid="{00000000-0005-0000-0000-000078BA0000}"/>
    <cellStyle name="Normal 5 2 2 2 2 2 2 4 3" xfId="23762" xr:uid="{00000000-0005-0000-0000-000079BA0000}"/>
    <cellStyle name="Normal 5 2 2 2 2 2 2 4 3 2" xfId="50895" xr:uid="{00000000-0005-0000-0000-00007ABA0000}"/>
    <cellStyle name="Normal 5 2 2 2 2 2 2 4 4" xfId="37333" xr:uid="{00000000-0005-0000-0000-00007BBA0000}"/>
    <cellStyle name="Normal 5 2 2 2 2 2 2 5" xfId="13586" xr:uid="{00000000-0005-0000-0000-00007CBA0000}"/>
    <cellStyle name="Normal 5 2 2 2 2 2 2 5 2" xfId="27154" xr:uid="{00000000-0005-0000-0000-00007DBA0000}"/>
    <cellStyle name="Normal 5 2 2 2 2 2 2 5 2 2" xfId="54287" xr:uid="{00000000-0005-0000-0000-00007EBA0000}"/>
    <cellStyle name="Normal 5 2 2 2 2 2 2 5 3" xfId="40725" xr:uid="{00000000-0005-0000-0000-00007FBA0000}"/>
    <cellStyle name="Normal 5 2 2 2 2 2 2 6" xfId="20373" xr:uid="{00000000-0005-0000-0000-000080BA0000}"/>
    <cellStyle name="Normal 5 2 2 2 2 2 2 6 2" xfId="47506" xr:uid="{00000000-0005-0000-0000-000081BA0000}"/>
    <cellStyle name="Normal 5 2 2 2 2 2 2 7" xfId="33944" xr:uid="{00000000-0005-0000-0000-000082BA0000}"/>
    <cellStyle name="Normal 5 2 2 2 2 2 3" xfId="6656" xr:uid="{00000000-0005-0000-0000-000083BA0000}"/>
    <cellStyle name="Normal 5 2 2 2 2 2 3 2" xfId="6657" xr:uid="{00000000-0005-0000-0000-000084BA0000}"/>
    <cellStyle name="Normal 5 2 2 2 2 2 3 2 2" xfId="10189" xr:uid="{00000000-0005-0000-0000-000085BA0000}"/>
    <cellStyle name="Normal 5 2 2 2 2 2 3 2 2 2" xfId="16979" xr:uid="{00000000-0005-0000-0000-000086BA0000}"/>
    <cellStyle name="Normal 5 2 2 2 2 2 3 2 2 2 2" xfId="30547" xr:uid="{00000000-0005-0000-0000-000087BA0000}"/>
    <cellStyle name="Normal 5 2 2 2 2 2 3 2 2 2 2 2" xfId="57680" xr:uid="{00000000-0005-0000-0000-000088BA0000}"/>
    <cellStyle name="Normal 5 2 2 2 2 2 3 2 2 2 3" xfId="44118" xr:uid="{00000000-0005-0000-0000-000089BA0000}"/>
    <cellStyle name="Normal 5 2 2 2 2 2 3 2 2 3" xfId="23766" xr:uid="{00000000-0005-0000-0000-00008ABA0000}"/>
    <cellStyle name="Normal 5 2 2 2 2 2 3 2 2 3 2" xfId="50899" xr:uid="{00000000-0005-0000-0000-00008BBA0000}"/>
    <cellStyle name="Normal 5 2 2 2 2 2 3 2 2 4" xfId="37337" xr:uid="{00000000-0005-0000-0000-00008CBA0000}"/>
    <cellStyle name="Normal 5 2 2 2 2 2 3 2 3" xfId="13590" xr:uid="{00000000-0005-0000-0000-00008DBA0000}"/>
    <cellStyle name="Normal 5 2 2 2 2 2 3 2 3 2" xfId="27158" xr:uid="{00000000-0005-0000-0000-00008EBA0000}"/>
    <cellStyle name="Normal 5 2 2 2 2 2 3 2 3 2 2" xfId="54291" xr:uid="{00000000-0005-0000-0000-00008FBA0000}"/>
    <cellStyle name="Normal 5 2 2 2 2 2 3 2 3 3" xfId="40729" xr:uid="{00000000-0005-0000-0000-000090BA0000}"/>
    <cellStyle name="Normal 5 2 2 2 2 2 3 2 4" xfId="20377" xr:uid="{00000000-0005-0000-0000-000091BA0000}"/>
    <cellStyle name="Normal 5 2 2 2 2 2 3 2 4 2" xfId="47510" xr:uid="{00000000-0005-0000-0000-000092BA0000}"/>
    <cellStyle name="Normal 5 2 2 2 2 2 3 2 5" xfId="33948" xr:uid="{00000000-0005-0000-0000-000093BA0000}"/>
    <cellStyle name="Normal 5 2 2 2 2 2 3 3" xfId="10188" xr:uid="{00000000-0005-0000-0000-000094BA0000}"/>
    <cellStyle name="Normal 5 2 2 2 2 2 3 3 2" xfId="16978" xr:uid="{00000000-0005-0000-0000-000095BA0000}"/>
    <cellStyle name="Normal 5 2 2 2 2 2 3 3 2 2" xfId="30546" xr:uid="{00000000-0005-0000-0000-000096BA0000}"/>
    <cellStyle name="Normal 5 2 2 2 2 2 3 3 2 2 2" xfId="57679" xr:uid="{00000000-0005-0000-0000-000097BA0000}"/>
    <cellStyle name="Normal 5 2 2 2 2 2 3 3 2 3" xfId="44117" xr:uid="{00000000-0005-0000-0000-000098BA0000}"/>
    <cellStyle name="Normal 5 2 2 2 2 2 3 3 3" xfId="23765" xr:uid="{00000000-0005-0000-0000-000099BA0000}"/>
    <cellStyle name="Normal 5 2 2 2 2 2 3 3 3 2" xfId="50898" xr:uid="{00000000-0005-0000-0000-00009ABA0000}"/>
    <cellStyle name="Normal 5 2 2 2 2 2 3 3 4" xfId="37336" xr:uid="{00000000-0005-0000-0000-00009BBA0000}"/>
    <cellStyle name="Normal 5 2 2 2 2 2 3 4" xfId="13589" xr:uid="{00000000-0005-0000-0000-00009CBA0000}"/>
    <cellStyle name="Normal 5 2 2 2 2 2 3 4 2" xfId="27157" xr:uid="{00000000-0005-0000-0000-00009DBA0000}"/>
    <cellStyle name="Normal 5 2 2 2 2 2 3 4 2 2" xfId="54290" xr:uid="{00000000-0005-0000-0000-00009EBA0000}"/>
    <cellStyle name="Normal 5 2 2 2 2 2 3 4 3" xfId="40728" xr:uid="{00000000-0005-0000-0000-00009FBA0000}"/>
    <cellStyle name="Normal 5 2 2 2 2 2 3 5" xfId="20376" xr:uid="{00000000-0005-0000-0000-0000A0BA0000}"/>
    <cellStyle name="Normal 5 2 2 2 2 2 3 5 2" xfId="47509" xr:uid="{00000000-0005-0000-0000-0000A1BA0000}"/>
    <cellStyle name="Normal 5 2 2 2 2 2 3 6" xfId="33947" xr:uid="{00000000-0005-0000-0000-0000A2BA0000}"/>
    <cellStyle name="Normal 5 2 2 2 2 2 4" xfId="6658" xr:uid="{00000000-0005-0000-0000-0000A3BA0000}"/>
    <cellStyle name="Normal 5 2 2 2 2 2 4 2" xfId="10190" xr:uid="{00000000-0005-0000-0000-0000A4BA0000}"/>
    <cellStyle name="Normal 5 2 2 2 2 2 4 2 2" xfId="16980" xr:uid="{00000000-0005-0000-0000-0000A5BA0000}"/>
    <cellStyle name="Normal 5 2 2 2 2 2 4 2 2 2" xfId="30548" xr:uid="{00000000-0005-0000-0000-0000A6BA0000}"/>
    <cellStyle name="Normal 5 2 2 2 2 2 4 2 2 2 2" xfId="57681" xr:uid="{00000000-0005-0000-0000-0000A7BA0000}"/>
    <cellStyle name="Normal 5 2 2 2 2 2 4 2 2 3" xfId="44119" xr:uid="{00000000-0005-0000-0000-0000A8BA0000}"/>
    <cellStyle name="Normal 5 2 2 2 2 2 4 2 3" xfId="23767" xr:uid="{00000000-0005-0000-0000-0000A9BA0000}"/>
    <cellStyle name="Normal 5 2 2 2 2 2 4 2 3 2" xfId="50900" xr:uid="{00000000-0005-0000-0000-0000AABA0000}"/>
    <cellStyle name="Normal 5 2 2 2 2 2 4 2 4" xfId="37338" xr:uid="{00000000-0005-0000-0000-0000ABBA0000}"/>
    <cellStyle name="Normal 5 2 2 2 2 2 4 3" xfId="13591" xr:uid="{00000000-0005-0000-0000-0000ACBA0000}"/>
    <cellStyle name="Normal 5 2 2 2 2 2 4 3 2" xfId="27159" xr:uid="{00000000-0005-0000-0000-0000ADBA0000}"/>
    <cellStyle name="Normal 5 2 2 2 2 2 4 3 2 2" xfId="54292" xr:uid="{00000000-0005-0000-0000-0000AEBA0000}"/>
    <cellStyle name="Normal 5 2 2 2 2 2 4 3 3" xfId="40730" xr:uid="{00000000-0005-0000-0000-0000AFBA0000}"/>
    <cellStyle name="Normal 5 2 2 2 2 2 4 4" xfId="20378" xr:uid="{00000000-0005-0000-0000-0000B0BA0000}"/>
    <cellStyle name="Normal 5 2 2 2 2 2 4 4 2" xfId="47511" xr:uid="{00000000-0005-0000-0000-0000B1BA0000}"/>
    <cellStyle name="Normal 5 2 2 2 2 2 4 5" xfId="33949" xr:uid="{00000000-0005-0000-0000-0000B2BA0000}"/>
    <cellStyle name="Normal 5 2 2 2 2 2 5" xfId="6659" xr:uid="{00000000-0005-0000-0000-0000B3BA0000}"/>
    <cellStyle name="Normal 5 2 2 2 2 2 5 2" xfId="10191" xr:uid="{00000000-0005-0000-0000-0000B4BA0000}"/>
    <cellStyle name="Normal 5 2 2 2 2 2 5 2 2" xfId="16981" xr:uid="{00000000-0005-0000-0000-0000B5BA0000}"/>
    <cellStyle name="Normal 5 2 2 2 2 2 5 2 2 2" xfId="30549" xr:uid="{00000000-0005-0000-0000-0000B6BA0000}"/>
    <cellStyle name="Normal 5 2 2 2 2 2 5 2 2 2 2" xfId="57682" xr:uid="{00000000-0005-0000-0000-0000B7BA0000}"/>
    <cellStyle name="Normal 5 2 2 2 2 2 5 2 2 3" xfId="44120" xr:uid="{00000000-0005-0000-0000-0000B8BA0000}"/>
    <cellStyle name="Normal 5 2 2 2 2 2 5 2 3" xfId="23768" xr:uid="{00000000-0005-0000-0000-0000B9BA0000}"/>
    <cellStyle name="Normal 5 2 2 2 2 2 5 2 3 2" xfId="50901" xr:uid="{00000000-0005-0000-0000-0000BABA0000}"/>
    <cellStyle name="Normal 5 2 2 2 2 2 5 2 4" xfId="37339" xr:uid="{00000000-0005-0000-0000-0000BBBA0000}"/>
    <cellStyle name="Normal 5 2 2 2 2 2 5 3" xfId="13592" xr:uid="{00000000-0005-0000-0000-0000BCBA0000}"/>
    <cellStyle name="Normal 5 2 2 2 2 2 5 3 2" xfId="27160" xr:uid="{00000000-0005-0000-0000-0000BDBA0000}"/>
    <cellStyle name="Normal 5 2 2 2 2 2 5 3 2 2" xfId="54293" xr:uid="{00000000-0005-0000-0000-0000BEBA0000}"/>
    <cellStyle name="Normal 5 2 2 2 2 2 5 3 3" xfId="40731" xr:uid="{00000000-0005-0000-0000-0000BFBA0000}"/>
    <cellStyle name="Normal 5 2 2 2 2 2 5 4" xfId="20379" xr:uid="{00000000-0005-0000-0000-0000C0BA0000}"/>
    <cellStyle name="Normal 5 2 2 2 2 2 5 4 2" xfId="47512" xr:uid="{00000000-0005-0000-0000-0000C1BA0000}"/>
    <cellStyle name="Normal 5 2 2 2 2 2 5 5" xfId="33950" xr:uid="{00000000-0005-0000-0000-0000C2BA0000}"/>
    <cellStyle name="Normal 5 2 2 2 2 2 6" xfId="10184" xr:uid="{00000000-0005-0000-0000-0000C3BA0000}"/>
    <cellStyle name="Normal 5 2 2 2 2 2 6 2" xfId="16974" xr:uid="{00000000-0005-0000-0000-0000C4BA0000}"/>
    <cellStyle name="Normal 5 2 2 2 2 2 6 2 2" xfId="30542" xr:uid="{00000000-0005-0000-0000-0000C5BA0000}"/>
    <cellStyle name="Normal 5 2 2 2 2 2 6 2 2 2" xfId="57675" xr:uid="{00000000-0005-0000-0000-0000C6BA0000}"/>
    <cellStyle name="Normal 5 2 2 2 2 2 6 2 3" xfId="44113" xr:uid="{00000000-0005-0000-0000-0000C7BA0000}"/>
    <cellStyle name="Normal 5 2 2 2 2 2 6 3" xfId="23761" xr:uid="{00000000-0005-0000-0000-0000C8BA0000}"/>
    <cellStyle name="Normal 5 2 2 2 2 2 6 3 2" xfId="50894" xr:uid="{00000000-0005-0000-0000-0000C9BA0000}"/>
    <cellStyle name="Normal 5 2 2 2 2 2 6 4" xfId="37332" xr:uid="{00000000-0005-0000-0000-0000CABA0000}"/>
    <cellStyle name="Normal 5 2 2 2 2 2 7" xfId="13585" xr:uid="{00000000-0005-0000-0000-0000CBBA0000}"/>
    <cellStyle name="Normal 5 2 2 2 2 2 7 2" xfId="27153" xr:uid="{00000000-0005-0000-0000-0000CCBA0000}"/>
    <cellStyle name="Normal 5 2 2 2 2 2 7 2 2" xfId="54286" xr:uid="{00000000-0005-0000-0000-0000CDBA0000}"/>
    <cellStyle name="Normal 5 2 2 2 2 2 7 3" xfId="40724" xr:uid="{00000000-0005-0000-0000-0000CEBA0000}"/>
    <cellStyle name="Normal 5 2 2 2 2 2 8" xfId="20372" xr:uid="{00000000-0005-0000-0000-0000CFBA0000}"/>
    <cellStyle name="Normal 5 2 2 2 2 2 8 2" xfId="47505" xr:uid="{00000000-0005-0000-0000-0000D0BA0000}"/>
    <cellStyle name="Normal 5 2 2 2 2 2 9" xfId="33943" xr:uid="{00000000-0005-0000-0000-0000D1BA0000}"/>
    <cellStyle name="Normal 5 2 2 2 2 3" xfId="6660" xr:uid="{00000000-0005-0000-0000-0000D2BA0000}"/>
    <cellStyle name="Normal 5 2 2 2 2 3 2" xfId="6661" xr:uid="{00000000-0005-0000-0000-0000D3BA0000}"/>
    <cellStyle name="Normal 5 2 2 2 2 3 2 2" xfId="10193" xr:uid="{00000000-0005-0000-0000-0000D4BA0000}"/>
    <cellStyle name="Normal 5 2 2 2 2 3 2 2 2" xfId="16983" xr:uid="{00000000-0005-0000-0000-0000D5BA0000}"/>
    <cellStyle name="Normal 5 2 2 2 2 3 2 2 2 2" xfId="30551" xr:uid="{00000000-0005-0000-0000-0000D6BA0000}"/>
    <cellStyle name="Normal 5 2 2 2 2 3 2 2 2 2 2" xfId="57684" xr:uid="{00000000-0005-0000-0000-0000D7BA0000}"/>
    <cellStyle name="Normal 5 2 2 2 2 3 2 2 2 3" xfId="44122" xr:uid="{00000000-0005-0000-0000-0000D8BA0000}"/>
    <cellStyle name="Normal 5 2 2 2 2 3 2 2 3" xfId="23770" xr:uid="{00000000-0005-0000-0000-0000D9BA0000}"/>
    <cellStyle name="Normal 5 2 2 2 2 3 2 2 3 2" xfId="50903" xr:uid="{00000000-0005-0000-0000-0000DABA0000}"/>
    <cellStyle name="Normal 5 2 2 2 2 3 2 2 4" xfId="37341" xr:uid="{00000000-0005-0000-0000-0000DBBA0000}"/>
    <cellStyle name="Normal 5 2 2 2 2 3 2 3" xfId="13594" xr:uid="{00000000-0005-0000-0000-0000DCBA0000}"/>
    <cellStyle name="Normal 5 2 2 2 2 3 2 3 2" xfId="27162" xr:uid="{00000000-0005-0000-0000-0000DDBA0000}"/>
    <cellStyle name="Normal 5 2 2 2 2 3 2 3 2 2" xfId="54295" xr:uid="{00000000-0005-0000-0000-0000DEBA0000}"/>
    <cellStyle name="Normal 5 2 2 2 2 3 2 3 3" xfId="40733" xr:uid="{00000000-0005-0000-0000-0000DFBA0000}"/>
    <cellStyle name="Normal 5 2 2 2 2 3 2 4" xfId="20381" xr:uid="{00000000-0005-0000-0000-0000E0BA0000}"/>
    <cellStyle name="Normal 5 2 2 2 2 3 2 4 2" xfId="47514" xr:uid="{00000000-0005-0000-0000-0000E1BA0000}"/>
    <cellStyle name="Normal 5 2 2 2 2 3 2 5" xfId="33952" xr:uid="{00000000-0005-0000-0000-0000E2BA0000}"/>
    <cellStyle name="Normal 5 2 2 2 2 3 3" xfId="6662" xr:uid="{00000000-0005-0000-0000-0000E3BA0000}"/>
    <cellStyle name="Normal 5 2 2 2 2 3 3 2" xfId="10194" xr:uid="{00000000-0005-0000-0000-0000E4BA0000}"/>
    <cellStyle name="Normal 5 2 2 2 2 3 3 2 2" xfId="16984" xr:uid="{00000000-0005-0000-0000-0000E5BA0000}"/>
    <cellStyle name="Normal 5 2 2 2 2 3 3 2 2 2" xfId="30552" xr:uid="{00000000-0005-0000-0000-0000E6BA0000}"/>
    <cellStyle name="Normal 5 2 2 2 2 3 3 2 2 2 2" xfId="57685" xr:uid="{00000000-0005-0000-0000-0000E7BA0000}"/>
    <cellStyle name="Normal 5 2 2 2 2 3 3 2 2 3" xfId="44123" xr:uid="{00000000-0005-0000-0000-0000E8BA0000}"/>
    <cellStyle name="Normal 5 2 2 2 2 3 3 2 3" xfId="23771" xr:uid="{00000000-0005-0000-0000-0000E9BA0000}"/>
    <cellStyle name="Normal 5 2 2 2 2 3 3 2 3 2" xfId="50904" xr:uid="{00000000-0005-0000-0000-0000EABA0000}"/>
    <cellStyle name="Normal 5 2 2 2 2 3 3 2 4" xfId="37342" xr:uid="{00000000-0005-0000-0000-0000EBBA0000}"/>
    <cellStyle name="Normal 5 2 2 2 2 3 3 3" xfId="13595" xr:uid="{00000000-0005-0000-0000-0000ECBA0000}"/>
    <cellStyle name="Normal 5 2 2 2 2 3 3 3 2" xfId="27163" xr:uid="{00000000-0005-0000-0000-0000EDBA0000}"/>
    <cellStyle name="Normal 5 2 2 2 2 3 3 3 2 2" xfId="54296" xr:uid="{00000000-0005-0000-0000-0000EEBA0000}"/>
    <cellStyle name="Normal 5 2 2 2 2 3 3 3 3" xfId="40734" xr:uid="{00000000-0005-0000-0000-0000EFBA0000}"/>
    <cellStyle name="Normal 5 2 2 2 2 3 3 4" xfId="20382" xr:uid="{00000000-0005-0000-0000-0000F0BA0000}"/>
    <cellStyle name="Normal 5 2 2 2 2 3 3 4 2" xfId="47515" xr:uid="{00000000-0005-0000-0000-0000F1BA0000}"/>
    <cellStyle name="Normal 5 2 2 2 2 3 3 5" xfId="33953" xr:uid="{00000000-0005-0000-0000-0000F2BA0000}"/>
    <cellStyle name="Normal 5 2 2 2 2 3 4" xfId="10192" xr:uid="{00000000-0005-0000-0000-0000F3BA0000}"/>
    <cellStyle name="Normal 5 2 2 2 2 3 4 2" xfId="16982" xr:uid="{00000000-0005-0000-0000-0000F4BA0000}"/>
    <cellStyle name="Normal 5 2 2 2 2 3 4 2 2" xfId="30550" xr:uid="{00000000-0005-0000-0000-0000F5BA0000}"/>
    <cellStyle name="Normal 5 2 2 2 2 3 4 2 2 2" xfId="57683" xr:uid="{00000000-0005-0000-0000-0000F6BA0000}"/>
    <cellStyle name="Normal 5 2 2 2 2 3 4 2 3" xfId="44121" xr:uid="{00000000-0005-0000-0000-0000F7BA0000}"/>
    <cellStyle name="Normal 5 2 2 2 2 3 4 3" xfId="23769" xr:uid="{00000000-0005-0000-0000-0000F8BA0000}"/>
    <cellStyle name="Normal 5 2 2 2 2 3 4 3 2" xfId="50902" xr:uid="{00000000-0005-0000-0000-0000F9BA0000}"/>
    <cellStyle name="Normal 5 2 2 2 2 3 4 4" xfId="37340" xr:uid="{00000000-0005-0000-0000-0000FABA0000}"/>
    <cellStyle name="Normal 5 2 2 2 2 3 5" xfId="13593" xr:uid="{00000000-0005-0000-0000-0000FBBA0000}"/>
    <cellStyle name="Normal 5 2 2 2 2 3 5 2" xfId="27161" xr:uid="{00000000-0005-0000-0000-0000FCBA0000}"/>
    <cellStyle name="Normal 5 2 2 2 2 3 5 2 2" xfId="54294" xr:uid="{00000000-0005-0000-0000-0000FDBA0000}"/>
    <cellStyle name="Normal 5 2 2 2 2 3 5 3" xfId="40732" xr:uid="{00000000-0005-0000-0000-0000FEBA0000}"/>
    <cellStyle name="Normal 5 2 2 2 2 3 6" xfId="20380" xr:uid="{00000000-0005-0000-0000-0000FFBA0000}"/>
    <cellStyle name="Normal 5 2 2 2 2 3 6 2" xfId="47513" xr:uid="{00000000-0005-0000-0000-000000BB0000}"/>
    <cellStyle name="Normal 5 2 2 2 2 3 7" xfId="33951" xr:uid="{00000000-0005-0000-0000-000001BB0000}"/>
    <cellStyle name="Normal 5 2 2 2 2 4" xfId="6663" xr:uid="{00000000-0005-0000-0000-000002BB0000}"/>
    <cellStyle name="Normal 5 2 2 2 2 4 2" xfId="6664" xr:uid="{00000000-0005-0000-0000-000003BB0000}"/>
    <cellStyle name="Normal 5 2 2 2 2 4 2 2" xfId="10196" xr:uid="{00000000-0005-0000-0000-000004BB0000}"/>
    <cellStyle name="Normal 5 2 2 2 2 4 2 2 2" xfId="16986" xr:uid="{00000000-0005-0000-0000-000005BB0000}"/>
    <cellStyle name="Normal 5 2 2 2 2 4 2 2 2 2" xfId="30554" xr:uid="{00000000-0005-0000-0000-000006BB0000}"/>
    <cellStyle name="Normal 5 2 2 2 2 4 2 2 2 2 2" xfId="57687" xr:uid="{00000000-0005-0000-0000-000007BB0000}"/>
    <cellStyle name="Normal 5 2 2 2 2 4 2 2 2 3" xfId="44125" xr:uid="{00000000-0005-0000-0000-000008BB0000}"/>
    <cellStyle name="Normal 5 2 2 2 2 4 2 2 3" xfId="23773" xr:uid="{00000000-0005-0000-0000-000009BB0000}"/>
    <cellStyle name="Normal 5 2 2 2 2 4 2 2 3 2" xfId="50906" xr:uid="{00000000-0005-0000-0000-00000ABB0000}"/>
    <cellStyle name="Normal 5 2 2 2 2 4 2 2 4" xfId="37344" xr:uid="{00000000-0005-0000-0000-00000BBB0000}"/>
    <cellStyle name="Normal 5 2 2 2 2 4 2 3" xfId="13597" xr:uid="{00000000-0005-0000-0000-00000CBB0000}"/>
    <cellStyle name="Normal 5 2 2 2 2 4 2 3 2" xfId="27165" xr:uid="{00000000-0005-0000-0000-00000DBB0000}"/>
    <cellStyle name="Normal 5 2 2 2 2 4 2 3 2 2" xfId="54298" xr:uid="{00000000-0005-0000-0000-00000EBB0000}"/>
    <cellStyle name="Normal 5 2 2 2 2 4 2 3 3" xfId="40736" xr:uid="{00000000-0005-0000-0000-00000FBB0000}"/>
    <cellStyle name="Normal 5 2 2 2 2 4 2 4" xfId="20384" xr:uid="{00000000-0005-0000-0000-000010BB0000}"/>
    <cellStyle name="Normal 5 2 2 2 2 4 2 4 2" xfId="47517" xr:uid="{00000000-0005-0000-0000-000011BB0000}"/>
    <cellStyle name="Normal 5 2 2 2 2 4 2 5" xfId="33955" xr:uid="{00000000-0005-0000-0000-000012BB0000}"/>
    <cellStyle name="Normal 5 2 2 2 2 4 3" xfId="10195" xr:uid="{00000000-0005-0000-0000-000013BB0000}"/>
    <cellStyle name="Normal 5 2 2 2 2 4 3 2" xfId="16985" xr:uid="{00000000-0005-0000-0000-000014BB0000}"/>
    <cellStyle name="Normal 5 2 2 2 2 4 3 2 2" xfId="30553" xr:uid="{00000000-0005-0000-0000-000015BB0000}"/>
    <cellStyle name="Normal 5 2 2 2 2 4 3 2 2 2" xfId="57686" xr:uid="{00000000-0005-0000-0000-000016BB0000}"/>
    <cellStyle name="Normal 5 2 2 2 2 4 3 2 3" xfId="44124" xr:uid="{00000000-0005-0000-0000-000017BB0000}"/>
    <cellStyle name="Normal 5 2 2 2 2 4 3 3" xfId="23772" xr:uid="{00000000-0005-0000-0000-000018BB0000}"/>
    <cellStyle name="Normal 5 2 2 2 2 4 3 3 2" xfId="50905" xr:uid="{00000000-0005-0000-0000-000019BB0000}"/>
    <cellStyle name="Normal 5 2 2 2 2 4 3 4" xfId="37343" xr:uid="{00000000-0005-0000-0000-00001ABB0000}"/>
    <cellStyle name="Normal 5 2 2 2 2 4 4" xfId="13596" xr:uid="{00000000-0005-0000-0000-00001BBB0000}"/>
    <cellStyle name="Normal 5 2 2 2 2 4 4 2" xfId="27164" xr:uid="{00000000-0005-0000-0000-00001CBB0000}"/>
    <cellStyle name="Normal 5 2 2 2 2 4 4 2 2" xfId="54297" xr:uid="{00000000-0005-0000-0000-00001DBB0000}"/>
    <cellStyle name="Normal 5 2 2 2 2 4 4 3" xfId="40735" xr:uid="{00000000-0005-0000-0000-00001EBB0000}"/>
    <cellStyle name="Normal 5 2 2 2 2 4 5" xfId="20383" xr:uid="{00000000-0005-0000-0000-00001FBB0000}"/>
    <cellStyle name="Normal 5 2 2 2 2 4 5 2" xfId="47516" xr:uid="{00000000-0005-0000-0000-000020BB0000}"/>
    <cellStyle name="Normal 5 2 2 2 2 4 6" xfId="33954" xr:uid="{00000000-0005-0000-0000-000021BB0000}"/>
    <cellStyle name="Normal 5 2 2 2 2 5" xfId="6665" xr:uid="{00000000-0005-0000-0000-000022BB0000}"/>
    <cellStyle name="Normal 5 2 2 2 2 5 2" xfId="10197" xr:uid="{00000000-0005-0000-0000-000023BB0000}"/>
    <cellStyle name="Normal 5 2 2 2 2 5 2 2" xfId="16987" xr:uid="{00000000-0005-0000-0000-000024BB0000}"/>
    <cellStyle name="Normal 5 2 2 2 2 5 2 2 2" xfId="30555" xr:uid="{00000000-0005-0000-0000-000025BB0000}"/>
    <cellStyle name="Normal 5 2 2 2 2 5 2 2 2 2" xfId="57688" xr:uid="{00000000-0005-0000-0000-000026BB0000}"/>
    <cellStyle name="Normal 5 2 2 2 2 5 2 2 3" xfId="44126" xr:uid="{00000000-0005-0000-0000-000027BB0000}"/>
    <cellStyle name="Normal 5 2 2 2 2 5 2 3" xfId="23774" xr:uid="{00000000-0005-0000-0000-000028BB0000}"/>
    <cellStyle name="Normal 5 2 2 2 2 5 2 3 2" xfId="50907" xr:uid="{00000000-0005-0000-0000-000029BB0000}"/>
    <cellStyle name="Normal 5 2 2 2 2 5 2 4" xfId="37345" xr:uid="{00000000-0005-0000-0000-00002ABB0000}"/>
    <cellStyle name="Normal 5 2 2 2 2 5 3" xfId="13598" xr:uid="{00000000-0005-0000-0000-00002BBB0000}"/>
    <cellStyle name="Normal 5 2 2 2 2 5 3 2" xfId="27166" xr:uid="{00000000-0005-0000-0000-00002CBB0000}"/>
    <cellStyle name="Normal 5 2 2 2 2 5 3 2 2" xfId="54299" xr:uid="{00000000-0005-0000-0000-00002DBB0000}"/>
    <cellStyle name="Normal 5 2 2 2 2 5 3 3" xfId="40737" xr:uid="{00000000-0005-0000-0000-00002EBB0000}"/>
    <cellStyle name="Normal 5 2 2 2 2 5 4" xfId="20385" xr:uid="{00000000-0005-0000-0000-00002FBB0000}"/>
    <cellStyle name="Normal 5 2 2 2 2 5 4 2" xfId="47518" xr:uid="{00000000-0005-0000-0000-000030BB0000}"/>
    <cellStyle name="Normal 5 2 2 2 2 5 5" xfId="33956" xr:uid="{00000000-0005-0000-0000-000031BB0000}"/>
    <cellStyle name="Normal 5 2 2 2 2 6" xfId="6666" xr:uid="{00000000-0005-0000-0000-000032BB0000}"/>
    <cellStyle name="Normal 5 2 2 2 2 6 2" xfId="10198" xr:uid="{00000000-0005-0000-0000-000033BB0000}"/>
    <cellStyle name="Normal 5 2 2 2 2 6 2 2" xfId="16988" xr:uid="{00000000-0005-0000-0000-000034BB0000}"/>
    <cellStyle name="Normal 5 2 2 2 2 6 2 2 2" xfId="30556" xr:uid="{00000000-0005-0000-0000-000035BB0000}"/>
    <cellStyle name="Normal 5 2 2 2 2 6 2 2 2 2" xfId="57689" xr:uid="{00000000-0005-0000-0000-000036BB0000}"/>
    <cellStyle name="Normal 5 2 2 2 2 6 2 2 3" xfId="44127" xr:uid="{00000000-0005-0000-0000-000037BB0000}"/>
    <cellStyle name="Normal 5 2 2 2 2 6 2 3" xfId="23775" xr:uid="{00000000-0005-0000-0000-000038BB0000}"/>
    <cellStyle name="Normal 5 2 2 2 2 6 2 3 2" xfId="50908" xr:uid="{00000000-0005-0000-0000-000039BB0000}"/>
    <cellStyle name="Normal 5 2 2 2 2 6 2 4" xfId="37346" xr:uid="{00000000-0005-0000-0000-00003ABB0000}"/>
    <cellStyle name="Normal 5 2 2 2 2 6 3" xfId="13599" xr:uid="{00000000-0005-0000-0000-00003BBB0000}"/>
    <cellStyle name="Normal 5 2 2 2 2 6 3 2" xfId="27167" xr:uid="{00000000-0005-0000-0000-00003CBB0000}"/>
    <cellStyle name="Normal 5 2 2 2 2 6 3 2 2" xfId="54300" xr:uid="{00000000-0005-0000-0000-00003DBB0000}"/>
    <cellStyle name="Normal 5 2 2 2 2 6 3 3" xfId="40738" xr:uid="{00000000-0005-0000-0000-00003EBB0000}"/>
    <cellStyle name="Normal 5 2 2 2 2 6 4" xfId="20386" xr:uid="{00000000-0005-0000-0000-00003FBB0000}"/>
    <cellStyle name="Normal 5 2 2 2 2 6 4 2" xfId="47519" xr:uid="{00000000-0005-0000-0000-000040BB0000}"/>
    <cellStyle name="Normal 5 2 2 2 2 6 5" xfId="33957" xr:uid="{00000000-0005-0000-0000-000041BB0000}"/>
    <cellStyle name="Normal 5 2 2 2 2 7" xfId="10183" xr:uid="{00000000-0005-0000-0000-000042BB0000}"/>
    <cellStyle name="Normal 5 2 2 2 2 7 2" xfId="16973" xr:uid="{00000000-0005-0000-0000-000043BB0000}"/>
    <cellStyle name="Normal 5 2 2 2 2 7 2 2" xfId="30541" xr:uid="{00000000-0005-0000-0000-000044BB0000}"/>
    <cellStyle name="Normal 5 2 2 2 2 7 2 2 2" xfId="57674" xr:uid="{00000000-0005-0000-0000-000045BB0000}"/>
    <cellStyle name="Normal 5 2 2 2 2 7 2 3" xfId="44112" xr:uid="{00000000-0005-0000-0000-000046BB0000}"/>
    <cellStyle name="Normal 5 2 2 2 2 7 3" xfId="23760" xr:uid="{00000000-0005-0000-0000-000047BB0000}"/>
    <cellStyle name="Normal 5 2 2 2 2 7 3 2" xfId="50893" xr:uid="{00000000-0005-0000-0000-000048BB0000}"/>
    <cellStyle name="Normal 5 2 2 2 2 7 4" xfId="37331" xr:uid="{00000000-0005-0000-0000-000049BB0000}"/>
    <cellStyle name="Normal 5 2 2 2 2 8" xfId="13584" xr:uid="{00000000-0005-0000-0000-00004ABB0000}"/>
    <cellStyle name="Normal 5 2 2 2 2 8 2" xfId="27152" xr:uid="{00000000-0005-0000-0000-00004BBB0000}"/>
    <cellStyle name="Normal 5 2 2 2 2 8 2 2" xfId="54285" xr:uid="{00000000-0005-0000-0000-00004CBB0000}"/>
    <cellStyle name="Normal 5 2 2 2 2 8 3" xfId="40723" xr:uid="{00000000-0005-0000-0000-00004DBB0000}"/>
    <cellStyle name="Normal 5 2 2 2 2 9" xfId="20371" xr:uid="{00000000-0005-0000-0000-00004EBB0000}"/>
    <cellStyle name="Normal 5 2 2 2 2 9 2" xfId="47504" xr:uid="{00000000-0005-0000-0000-00004FBB0000}"/>
    <cellStyle name="Normal 5 2 2 2 3" xfId="6667" xr:uid="{00000000-0005-0000-0000-000050BB0000}"/>
    <cellStyle name="Normal 5 2 2 2 3 2" xfId="6668" xr:uid="{00000000-0005-0000-0000-000051BB0000}"/>
    <cellStyle name="Normal 5 2 2 2 3 2 2" xfId="6669" xr:uid="{00000000-0005-0000-0000-000052BB0000}"/>
    <cellStyle name="Normal 5 2 2 2 3 2 2 2" xfId="10201" xr:uid="{00000000-0005-0000-0000-000053BB0000}"/>
    <cellStyle name="Normal 5 2 2 2 3 2 2 2 2" xfId="16991" xr:uid="{00000000-0005-0000-0000-000054BB0000}"/>
    <cellStyle name="Normal 5 2 2 2 3 2 2 2 2 2" xfId="30559" xr:uid="{00000000-0005-0000-0000-000055BB0000}"/>
    <cellStyle name="Normal 5 2 2 2 3 2 2 2 2 2 2" xfId="57692" xr:uid="{00000000-0005-0000-0000-000056BB0000}"/>
    <cellStyle name="Normal 5 2 2 2 3 2 2 2 2 3" xfId="44130" xr:uid="{00000000-0005-0000-0000-000057BB0000}"/>
    <cellStyle name="Normal 5 2 2 2 3 2 2 2 3" xfId="23778" xr:uid="{00000000-0005-0000-0000-000058BB0000}"/>
    <cellStyle name="Normal 5 2 2 2 3 2 2 2 3 2" xfId="50911" xr:uid="{00000000-0005-0000-0000-000059BB0000}"/>
    <cellStyle name="Normal 5 2 2 2 3 2 2 2 4" xfId="37349" xr:uid="{00000000-0005-0000-0000-00005ABB0000}"/>
    <cellStyle name="Normal 5 2 2 2 3 2 2 3" xfId="13602" xr:uid="{00000000-0005-0000-0000-00005BBB0000}"/>
    <cellStyle name="Normal 5 2 2 2 3 2 2 3 2" xfId="27170" xr:uid="{00000000-0005-0000-0000-00005CBB0000}"/>
    <cellStyle name="Normal 5 2 2 2 3 2 2 3 2 2" xfId="54303" xr:uid="{00000000-0005-0000-0000-00005DBB0000}"/>
    <cellStyle name="Normal 5 2 2 2 3 2 2 3 3" xfId="40741" xr:uid="{00000000-0005-0000-0000-00005EBB0000}"/>
    <cellStyle name="Normal 5 2 2 2 3 2 2 4" xfId="20389" xr:uid="{00000000-0005-0000-0000-00005FBB0000}"/>
    <cellStyle name="Normal 5 2 2 2 3 2 2 4 2" xfId="47522" xr:uid="{00000000-0005-0000-0000-000060BB0000}"/>
    <cellStyle name="Normal 5 2 2 2 3 2 2 5" xfId="33960" xr:uid="{00000000-0005-0000-0000-000061BB0000}"/>
    <cellStyle name="Normal 5 2 2 2 3 2 3" xfId="6670" xr:uid="{00000000-0005-0000-0000-000062BB0000}"/>
    <cellStyle name="Normal 5 2 2 2 3 2 3 2" xfId="10202" xr:uid="{00000000-0005-0000-0000-000063BB0000}"/>
    <cellStyle name="Normal 5 2 2 2 3 2 3 2 2" xfId="16992" xr:uid="{00000000-0005-0000-0000-000064BB0000}"/>
    <cellStyle name="Normal 5 2 2 2 3 2 3 2 2 2" xfId="30560" xr:uid="{00000000-0005-0000-0000-000065BB0000}"/>
    <cellStyle name="Normal 5 2 2 2 3 2 3 2 2 2 2" xfId="57693" xr:uid="{00000000-0005-0000-0000-000066BB0000}"/>
    <cellStyle name="Normal 5 2 2 2 3 2 3 2 2 3" xfId="44131" xr:uid="{00000000-0005-0000-0000-000067BB0000}"/>
    <cellStyle name="Normal 5 2 2 2 3 2 3 2 3" xfId="23779" xr:uid="{00000000-0005-0000-0000-000068BB0000}"/>
    <cellStyle name="Normal 5 2 2 2 3 2 3 2 3 2" xfId="50912" xr:uid="{00000000-0005-0000-0000-000069BB0000}"/>
    <cellStyle name="Normal 5 2 2 2 3 2 3 2 4" xfId="37350" xr:uid="{00000000-0005-0000-0000-00006ABB0000}"/>
    <cellStyle name="Normal 5 2 2 2 3 2 3 3" xfId="13603" xr:uid="{00000000-0005-0000-0000-00006BBB0000}"/>
    <cellStyle name="Normal 5 2 2 2 3 2 3 3 2" xfId="27171" xr:uid="{00000000-0005-0000-0000-00006CBB0000}"/>
    <cellStyle name="Normal 5 2 2 2 3 2 3 3 2 2" xfId="54304" xr:uid="{00000000-0005-0000-0000-00006DBB0000}"/>
    <cellStyle name="Normal 5 2 2 2 3 2 3 3 3" xfId="40742" xr:uid="{00000000-0005-0000-0000-00006EBB0000}"/>
    <cellStyle name="Normal 5 2 2 2 3 2 3 4" xfId="20390" xr:uid="{00000000-0005-0000-0000-00006FBB0000}"/>
    <cellStyle name="Normal 5 2 2 2 3 2 3 4 2" xfId="47523" xr:uid="{00000000-0005-0000-0000-000070BB0000}"/>
    <cellStyle name="Normal 5 2 2 2 3 2 3 5" xfId="33961" xr:uid="{00000000-0005-0000-0000-000071BB0000}"/>
    <cellStyle name="Normal 5 2 2 2 3 2 4" xfId="10200" xr:uid="{00000000-0005-0000-0000-000072BB0000}"/>
    <cellStyle name="Normal 5 2 2 2 3 2 4 2" xfId="16990" xr:uid="{00000000-0005-0000-0000-000073BB0000}"/>
    <cellStyle name="Normal 5 2 2 2 3 2 4 2 2" xfId="30558" xr:uid="{00000000-0005-0000-0000-000074BB0000}"/>
    <cellStyle name="Normal 5 2 2 2 3 2 4 2 2 2" xfId="57691" xr:uid="{00000000-0005-0000-0000-000075BB0000}"/>
    <cellStyle name="Normal 5 2 2 2 3 2 4 2 3" xfId="44129" xr:uid="{00000000-0005-0000-0000-000076BB0000}"/>
    <cellStyle name="Normal 5 2 2 2 3 2 4 3" xfId="23777" xr:uid="{00000000-0005-0000-0000-000077BB0000}"/>
    <cellStyle name="Normal 5 2 2 2 3 2 4 3 2" xfId="50910" xr:uid="{00000000-0005-0000-0000-000078BB0000}"/>
    <cellStyle name="Normal 5 2 2 2 3 2 4 4" xfId="37348" xr:uid="{00000000-0005-0000-0000-000079BB0000}"/>
    <cellStyle name="Normal 5 2 2 2 3 2 5" xfId="13601" xr:uid="{00000000-0005-0000-0000-00007ABB0000}"/>
    <cellStyle name="Normal 5 2 2 2 3 2 5 2" xfId="27169" xr:uid="{00000000-0005-0000-0000-00007BBB0000}"/>
    <cellStyle name="Normal 5 2 2 2 3 2 5 2 2" xfId="54302" xr:uid="{00000000-0005-0000-0000-00007CBB0000}"/>
    <cellStyle name="Normal 5 2 2 2 3 2 5 3" xfId="40740" xr:uid="{00000000-0005-0000-0000-00007DBB0000}"/>
    <cellStyle name="Normal 5 2 2 2 3 2 6" xfId="20388" xr:uid="{00000000-0005-0000-0000-00007EBB0000}"/>
    <cellStyle name="Normal 5 2 2 2 3 2 6 2" xfId="47521" xr:uid="{00000000-0005-0000-0000-00007FBB0000}"/>
    <cellStyle name="Normal 5 2 2 2 3 2 7" xfId="33959" xr:uid="{00000000-0005-0000-0000-000080BB0000}"/>
    <cellStyle name="Normal 5 2 2 2 3 3" xfId="6671" xr:uid="{00000000-0005-0000-0000-000081BB0000}"/>
    <cellStyle name="Normal 5 2 2 2 3 3 2" xfId="6672" xr:uid="{00000000-0005-0000-0000-000082BB0000}"/>
    <cellStyle name="Normal 5 2 2 2 3 3 2 2" xfId="10204" xr:uid="{00000000-0005-0000-0000-000083BB0000}"/>
    <cellStyle name="Normal 5 2 2 2 3 3 2 2 2" xfId="16994" xr:uid="{00000000-0005-0000-0000-000084BB0000}"/>
    <cellStyle name="Normal 5 2 2 2 3 3 2 2 2 2" xfId="30562" xr:uid="{00000000-0005-0000-0000-000085BB0000}"/>
    <cellStyle name="Normal 5 2 2 2 3 3 2 2 2 2 2" xfId="57695" xr:uid="{00000000-0005-0000-0000-000086BB0000}"/>
    <cellStyle name="Normal 5 2 2 2 3 3 2 2 2 3" xfId="44133" xr:uid="{00000000-0005-0000-0000-000087BB0000}"/>
    <cellStyle name="Normal 5 2 2 2 3 3 2 2 3" xfId="23781" xr:uid="{00000000-0005-0000-0000-000088BB0000}"/>
    <cellStyle name="Normal 5 2 2 2 3 3 2 2 3 2" xfId="50914" xr:uid="{00000000-0005-0000-0000-000089BB0000}"/>
    <cellStyle name="Normal 5 2 2 2 3 3 2 2 4" xfId="37352" xr:uid="{00000000-0005-0000-0000-00008ABB0000}"/>
    <cellStyle name="Normal 5 2 2 2 3 3 2 3" xfId="13605" xr:uid="{00000000-0005-0000-0000-00008BBB0000}"/>
    <cellStyle name="Normal 5 2 2 2 3 3 2 3 2" xfId="27173" xr:uid="{00000000-0005-0000-0000-00008CBB0000}"/>
    <cellStyle name="Normal 5 2 2 2 3 3 2 3 2 2" xfId="54306" xr:uid="{00000000-0005-0000-0000-00008DBB0000}"/>
    <cellStyle name="Normal 5 2 2 2 3 3 2 3 3" xfId="40744" xr:uid="{00000000-0005-0000-0000-00008EBB0000}"/>
    <cellStyle name="Normal 5 2 2 2 3 3 2 4" xfId="20392" xr:uid="{00000000-0005-0000-0000-00008FBB0000}"/>
    <cellStyle name="Normal 5 2 2 2 3 3 2 4 2" xfId="47525" xr:uid="{00000000-0005-0000-0000-000090BB0000}"/>
    <cellStyle name="Normal 5 2 2 2 3 3 2 5" xfId="33963" xr:uid="{00000000-0005-0000-0000-000091BB0000}"/>
    <cellStyle name="Normal 5 2 2 2 3 3 3" xfId="10203" xr:uid="{00000000-0005-0000-0000-000092BB0000}"/>
    <cellStyle name="Normal 5 2 2 2 3 3 3 2" xfId="16993" xr:uid="{00000000-0005-0000-0000-000093BB0000}"/>
    <cellStyle name="Normal 5 2 2 2 3 3 3 2 2" xfId="30561" xr:uid="{00000000-0005-0000-0000-000094BB0000}"/>
    <cellStyle name="Normal 5 2 2 2 3 3 3 2 2 2" xfId="57694" xr:uid="{00000000-0005-0000-0000-000095BB0000}"/>
    <cellStyle name="Normal 5 2 2 2 3 3 3 2 3" xfId="44132" xr:uid="{00000000-0005-0000-0000-000096BB0000}"/>
    <cellStyle name="Normal 5 2 2 2 3 3 3 3" xfId="23780" xr:uid="{00000000-0005-0000-0000-000097BB0000}"/>
    <cellStyle name="Normal 5 2 2 2 3 3 3 3 2" xfId="50913" xr:uid="{00000000-0005-0000-0000-000098BB0000}"/>
    <cellStyle name="Normal 5 2 2 2 3 3 3 4" xfId="37351" xr:uid="{00000000-0005-0000-0000-000099BB0000}"/>
    <cellStyle name="Normal 5 2 2 2 3 3 4" xfId="13604" xr:uid="{00000000-0005-0000-0000-00009ABB0000}"/>
    <cellStyle name="Normal 5 2 2 2 3 3 4 2" xfId="27172" xr:uid="{00000000-0005-0000-0000-00009BBB0000}"/>
    <cellStyle name="Normal 5 2 2 2 3 3 4 2 2" xfId="54305" xr:uid="{00000000-0005-0000-0000-00009CBB0000}"/>
    <cellStyle name="Normal 5 2 2 2 3 3 4 3" xfId="40743" xr:uid="{00000000-0005-0000-0000-00009DBB0000}"/>
    <cellStyle name="Normal 5 2 2 2 3 3 5" xfId="20391" xr:uid="{00000000-0005-0000-0000-00009EBB0000}"/>
    <cellStyle name="Normal 5 2 2 2 3 3 5 2" xfId="47524" xr:uid="{00000000-0005-0000-0000-00009FBB0000}"/>
    <cellStyle name="Normal 5 2 2 2 3 3 6" xfId="33962" xr:uid="{00000000-0005-0000-0000-0000A0BB0000}"/>
    <cellStyle name="Normal 5 2 2 2 3 4" xfId="6673" xr:uid="{00000000-0005-0000-0000-0000A1BB0000}"/>
    <cellStyle name="Normal 5 2 2 2 3 4 2" xfId="10205" xr:uid="{00000000-0005-0000-0000-0000A2BB0000}"/>
    <cellStyle name="Normal 5 2 2 2 3 4 2 2" xfId="16995" xr:uid="{00000000-0005-0000-0000-0000A3BB0000}"/>
    <cellStyle name="Normal 5 2 2 2 3 4 2 2 2" xfId="30563" xr:uid="{00000000-0005-0000-0000-0000A4BB0000}"/>
    <cellStyle name="Normal 5 2 2 2 3 4 2 2 2 2" xfId="57696" xr:uid="{00000000-0005-0000-0000-0000A5BB0000}"/>
    <cellStyle name="Normal 5 2 2 2 3 4 2 2 3" xfId="44134" xr:uid="{00000000-0005-0000-0000-0000A6BB0000}"/>
    <cellStyle name="Normal 5 2 2 2 3 4 2 3" xfId="23782" xr:uid="{00000000-0005-0000-0000-0000A7BB0000}"/>
    <cellStyle name="Normal 5 2 2 2 3 4 2 3 2" xfId="50915" xr:uid="{00000000-0005-0000-0000-0000A8BB0000}"/>
    <cellStyle name="Normal 5 2 2 2 3 4 2 4" xfId="37353" xr:uid="{00000000-0005-0000-0000-0000A9BB0000}"/>
    <cellStyle name="Normal 5 2 2 2 3 4 3" xfId="13606" xr:uid="{00000000-0005-0000-0000-0000AABB0000}"/>
    <cellStyle name="Normal 5 2 2 2 3 4 3 2" xfId="27174" xr:uid="{00000000-0005-0000-0000-0000ABBB0000}"/>
    <cellStyle name="Normal 5 2 2 2 3 4 3 2 2" xfId="54307" xr:uid="{00000000-0005-0000-0000-0000ACBB0000}"/>
    <cellStyle name="Normal 5 2 2 2 3 4 3 3" xfId="40745" xr:uid="{00000000-0005-0000-0000-0000ADBB0000}"/>
    <cellStyle name="Normal 5 2 2 2 3 4 4" xfId="20393" xr:uid="{00000000-0005-0000-0000-0000AEBB0000}"/>
    <cellStyle name="Normal 5 2 2 2 3 4 4 2" xfId="47526" xr:uid="{00000000-0005-0000-0000-0000AFBB0000}"/>
    <cellStyle name="Normal 5 2 2 2 3 4 5" xfId="33964" xr:uid="{00000000-0005-0000-0000-0000B0BB0000}"/>
    <cellStyle name="Normal 5 2 2 2 3 5" xfId="6674" xr:uid="{00000000-0005-0000-0000-0000B1BB0000}"/>
    <cellStyle name="Normal 5 2 2 2 3 5 2" xfId="10206" xr:uid="{00000000-0005-0000-0000-0000B2BB0000}"/>
    <cellStyle name="Normal 5 2 2 2 3 5 2 2" xfId="16996" xr:uid="{00000000-0005-0000-0000-0000B3BB0000}"/>
    <cellStyle name="Normal 5 2 2 2 3 5 2 2 2" xfId="30564" xr:uid="{00000000-0005-0000-0000-0000B4BB0000}"/>
    <cellStyle name="Normal 5 2 2 2 3 5 2 2 2 2" xfId="57697" xr:uid="{00000000-0005-0000-0000-0000B5BB0000}"/>
    <cellStyle name="Normal 5 2 2 2 3 5 2 2 3" xfId="44135" xr:uid="{00000000-0005-0000-0000-0000B6BB0000}"/>
    <cellStyle name="Normal 5 2 2 2 3 5 2 3" xfId="23783" xr:uid="{00000000-0005-0000-0000-0000B7BB0000}"/>
    <cellStyle name="Normal 5 2 2 2 3 5 2 3 2" xfId="50916" xr:uid="{00000000-0005-0000-0000-0000B8BB0000}"/>
    <cellStyle name="Normal 5 2 2 2 3 5 2 4" xfId="37354" xr:uid="{00000000-0005-0000-0000-0000B9BB0000}"/>
    <cellStyle name="Normal 5 2 2 2 3 5 3" xfId="13607" xr:uid="{00000000-0005-0000-0000-0000BABB0000}"/>
    <cellStyle name="Normal 5 2 2 2 3 5 3 2" xfId="27175" xr:uid="{00000000-0005-0000-0000-0000BBBB0000}"/>
    <cellStyle name="Normal 5 2 2 2 3 5 3 2 2" xfId="54308" xr:uid="{00000000-0005-0000-0000-0000BCBB0000}"/>
    <cellStyle name="Normal 5 2 2 2 3 5 3 3" xfId="40746" xr:uid="{00000000-0005-0000-0000-0000BDBB0000}"/>
    <cellStyle name="Normal 5 2 2 2 3 5 4" xfId="20394" xr:uid="{00000000-0005-0000-0000-0000BEBB0000}"/>
    <cellStyle name="Normal 5 2 2 2 3 5 4 2" xfId="47527" xr:uid="{00000000-0005-0000-0000-0000BFBB0000}"/>
    <cellStyle name="Normal 5 2 2 2 3 5 5" xfId="33965" xr:uid="{00000000-0005-0000-0000-0000C0BB0000}"/>
    <cellStyle name="Normal 5 2 2 2 3 6" xfId="10199" xr:uid="{00000000-0005-0000-0000-0000C1BB0000}"/>
    <cellStyle name="Normal 5 2 2 2 3 6 2" xfId="16989" xr:uid="{00000000-0005-0000-0000-0000C2BB0000}"/>
    <cellStyle name="Normal 5 2 2 2 3 6 2 2" xfId="30557" xr:uid="{00000000-0005-0000-0000-0000C3BB0000}"/>
    <cellStyle name="Normal 5 2 2 2 3 6 2 2 2" xfId="57690" xr:uid="{00000000-0005-0000-0000-0000C4BB0000}"/>
    <cellStyle name="Normal 5 2 2 2 3 6 2 3" xfId="44128" xr:uid="{00000000-0005-0000-0000-0000C5BB0000}"/>
    <cellStyle name="Normal 5 2 2 2 3 6 3" xfId="23776" xr:uid="{00000000-0005-0000-0000-0000C6BB0000}"/>
    <cellStyle name="Normal 5 2 2 2 3 6 3 2" xfId="50909" xr:uid="{00000000-0005-0000-0000-0000C7BB0000}"/>
    <cellStyle name="Normal 5 2 2 2 3 6 4" xfId="37347" xr:uid="{00000000-0005-0000-0000-0000C8BB0000}"/>
    <cellStyle name="Normal 5 2 2 2 3 7" xfId="13600" xr:uid="{00000000-0005-0000-0000-0000C9BB0000}"/>
    <cellStyle name="Normal 5 2 2 2 3 7 2" xfId="27168" xr:uid="{00000000-0005-0000-0000-0000CABB0000}"/>
    <cellStyle name="Normal 5 2 2 2 3 7 2 2" xfId="54301" xr:uid="{00000000-0005-0000-0000-0000CBBB0000}"/>
    <cellStyle name="Normal 5 2 2 2 3 7 3" xfId="40739" xr:uid="{00000000-0005-0000-0000-0000CCBB0000}"/>
    <cellStyle name="Normal 5 2 2 2 3 8" xfId="20387" xr:uid="{00000000-0005-0000-0000-0000CDBB0000}"/>
    <cellStyle name="Normal 5 2 2 2 3 8 2" xfId="47520" xr:uid="{00000000-0005-0000-0000-0000CEBB0000}"/>
    <cellStyle name="Normal 5 2 2 2 3 9" xfId="33958" xr:uid="{00000000-0005-0000-0000-0000CFBB0000}"/>
    <cellStyle name="Normal 5 2 2 2 4" xfId="6675" xr:uid="{00000000-0005-0000-0000-0000D0BB0000}"/>
    <cellStyle name="Normal 5 2 2 2 4 2" xfId="6676" xr:uid="{00000000-0005-0000-0000-0000D1BB0000}"/>
    <cellStyle name="Normal 5 2 2 2 4 2 2" xfId="6677" xr:uid="{00000000-0005-0000-0000-0000D2BB0000}"/>
    <cellStyle name="Normal 5 2 2 2 4 2 2 2" xfId="10209" xr:uid="{00000000-0005-0000-0000-0000D3BB0000}"/>
    <cellStyle name="Normal 5 2 2 2 4 2 2 2 2" xfId="16999" xr:uid="{00000000-0005-0000-0000-0000D4BB0000}"/>
    <cellStyle name="Normal 5 2 2 2 4 2 2 2 2 2" xfId="30567" xr:uid="{00000000-0005-0000-0000-0000D5BB0000}"/>
    <cellStyle name="Normal 5 2 2 2 4 2 2 2 2 2 2" xfId="57700" xr:uid="{00000000-0005-0000-0000-0000D6BB0000}"/>
    <cellStyle name="Normal 5 2 2 2 4 2 2 2 2 3" xfId="44138" xr:uid="{00000000-0005-0000-0000-0000D7BB0000}"/>
    <cellStyle name="Normal 5 2 2 2 4 2 2 2 3" xfId="23786" xr:uid="{00000000-0005-0000-0000-0000D8BB0000}"/>
    <cellStyle name="Normal 5 2 2 2 4 2 2 2 3 2" xfId="50919" xr:uid="{00000000-0005-0000-0000-0000D9BB0000}"/>
    <cellStyle name="Normal 5 2 2 2 4 2 2 2 4" xfId="37357" xr:uid="{00000000-0005-0000-0000-0000DABB0000}"/>
    <cellStyle name="Normal 5 2 2 2 4 2 2 3" xfId="13610" xr:uid="{00000000-0005-0000-0000-0000DBBB0000}"/>
    <cellStyle name="Normal 5 2 2 2 4 2 2 3 2" xfId="27178" xr:uid="{00000000-0005-0000-0000-0000DCBB0000}"/>
    <cellStyle name="Normal 5 2 2 2 4 2 2 3 2 2" xfId="54311" xr:uid="{00000000-0005-0000-0000-0000DDBB0000}"/>
    <cellStyle name="Normal 5 2 2 2 4 2 2 3 3" xfId="40749" xr:uid="{00000000-0005-0000-0000-0000DEBB0000}"/>
    <cellStyle name="Normal 5 2 2 2 4 2 2 4" xfId="20397" xr:uid="{00000000-0005-0000-0000-0000DFBB0000}"/>
    <cellStyle name="Normal 5 2 2 2 4 2 2 4 2" xfId="47530" xr:uid="{00000000-0005-0000-0000-0000E0BB0000}"/>
    <cellStyle name="Normal 5 2 2 2 4 2 2 5" xfId="33968" xr:uid="{00000000-0005-0000-0000-0000E1BB0000}"/>
    <cellStyle name="Normal 5 2 2 2 4 2 3" xfId="6678" xr:uid="{00000000-0005-0000-0000-0000E2BB0000}"/>
    <cellStyle name="Normal 5 2 2 2 4 2 3 2" xfId="10210" xr:uid="{00000000-0005-0000-0000-0000E3BB0000}"/>
    <cellStyle name="Normal 5 2 2 2 4 2 3 2 2" xfId="17000" xr:uid="{00000000-0005-0000-0000-0000E4BB0000}"/>
    <cellStyle name="Normal 5 2 2 2 4 2 3 2 2 2" xfId="30568" xr:uid="{00000000-0005-0000-0000-0000E5BB0000}"/>
    <cellStyle name="Normal 5 2 2 2 4 2 3 2 2 2 2" xfId="57701" xr:uid="{00000000-0005-0000-0000-0000E6BB0000}"/>
    <cellStyle name="Normal 5 2 2 2 4 2 3 2 2 3" xfId="44139" xr:uid="{00000000-0005-0000-0000-0000E7BB0000}"/>
    <cellStyle name="Normal 5 2 2 2 4 2 3 2 3" xfId="23787" xr:uid="{00000000-0005-0000-0000-0000E8BB0000}"/>
    <cellStyle name="Normal 5 2 2 2 4 2 3 2 3 2" xfId="50920" xr:uid="{00000000-0005-0000-0000-0000E9BB0000}"/>
    <cellStyle name="Normal 5 2 2 2 4 2 3 2 4" xfId="37358" xr:uid="{00000000-0005-0000-0000-0000EABB0000}"/>
    <cellStyle name="Normal 5 2 2 2 4 2 3 3" xfId="13611" xr:uid="{00000000-0005-0000-0000-0000EBBB0000}"/>
    <cellStyle name="Normal 5 2 2 2 4 2 3 3 2" xfId="27179" xr:uid="{00000000-0005-0000-0000-0000ECBB0000}"/>
    <cellStyle name="Normal 5 2 2 2 4 2 3 3 2 2" xfId="54312" xr:uid="{00000000-0005-0000-0000-0000EDBB0000}"/>
    <cellStyle name="Normal 5 2 2 2 4 2 3 3 3" xfId="40750" xr:uid="{00000000-0005-0000-0000-0000EEBB0000}"/>
    <cellStyle name="Normal 5 2 2 2 4 2 3 4" xfId="20398" xr:uid="{00000000-0005-0000-0000-0000EFBB0000}"/>
    <cellStyle name="Normal 5 2 2 2 4 2 3 4 2" xfId="47531" xr:uid="{00000000-0005-0000-0000-0000F0BB0000}"/>
    <cellStyle name="Normal 5 2 2 2 4 2 3 5" xfId="33969" xr:uid="{00000000-0005-0000-0000-0000F1BB0000}"/>
    <cellStyle name="Normal 5 2 2 2 4 2 4" xfId="10208" xr:uid="{00000000-0005-0000-0000-0000F2BB0000}"/>
    <cellStyle name="Normal 5 2 2 2 4 2 4 2" xfId="16998" xr:uid="{00000000-0005-0000-0000-0000F3BB0000}"/>
    <cellStyle name="Normal 5 2 2 2 4 2 4 2 2" xfId="30566" xr:uid="{00000000-0005-0000-0000-0000F4BB0000}"/>
    <cellStyle name="Normal 5 2 2 2 4 2 4 2 2 2" xfId="57699" xr:uid="{00000000-0005-0000-0000-0000F5BB0000}"/>
    <cellStyle name="Normal 5 2 2 2 4 2 4 2 3" xfId="44137" xr:uid="{00000000-0005-0000-0000-0000F6BB0000}"/>
    <cellStyle name="Normal 5 2 2 2 4 2 4 3" xfId="23785" xr:uid="{00000000-0005-0000-0000-0000F7BB0000}"/>
    <cellStyle name="Normal 5 2 2 2 4 2 4 3 2" xfId="50918" xr:uid="{00000000-0005-0000-0000-0000F8BB0000}"/>
    <cellStyle name="Normal 5 2 2 2 4 2 4 4" xfId="37356" xr:uid="{00000000-0005-0000-0000-0000F9BB0000}"/>
    <cellStyle name="Normal 5 2 2 2 4 2 5" xfId="13609" xr:uid="{00000000-0005-0000-0000-0000FABB0000}"/>
    <cellStyle name="Normal 5 2 2 2 4 2 5 2" xfId="27177" xr:uid="{00000000-0005-0000-0000-0000FBBB0000}"/>
    <cellStyle name="Normal 5 2 2 2 4 2 5 2 2" xfId="54310" xr:uid="{00000000-0005-0000-0000-0000FCBB0000}"/>
    <cellStyle name="Normal 5 2 2 2 4 2 5 3" xfId="40748" xr:uid="{00000000-0005-0000-0000-0000FDBB0000}"/>
    <cellStyle name="Normal 5 2 2 2 4 2 6" xfId="20396" xr:uid="{00000000-0005-0000-0000-0000FEBB0000}"/>
    <cellStyle name="Normal 5 2 2 2 4 2 6 2" xfId="47529" xr:uid="{00000000-0005-0000-0000-0000FFBB0000}"/>
    <cellStyle name="Normal 5 2 2 2 4 2 7" xfId="33967" xr:uid="{00000000-0005-0000-0000-000000BC0000}"/>
    <cellStyle name="Normal 5 2 2 2 4 3" xfId="6679" xr:uid="{00000000-0005-0000-0000-000001BC0000}"/>
    <cellStyle name="Normal 5 2 2 2 4 3 2" xfId="10211" xr:uid="{00000000-0005-0000-0000-000002BC0000}"/>
    <cellStyle name="Normal 5 2 2 2 4 3 2 2" xfId="17001" xr:uid="{00000000-0005-0000-0000-000003BC0000}"/>
    <cellStyle name="Normal 5 2 2 2 4 3 2 2 2" xfId="30569" xr:uid="{00000000-0005-0000-0000-000004BC0000}"/>
    <cellStyle name="Normal 5 2 2 2 4 3 2 2 2 2" xfId="57702" xr:uid="{00000000-0005-0000-0000-000005BC0000}"/>
    <cellStyle name="Normal 5 2 2 2 4 3 2 2 3" xfId="44140" xr:uid="{00000000-0005-0000-0000-000006BC0000}"/>
    <cellStyle name="Normal 5 2 2 2 4 3 2 3" xfId="23788" xr:uid="{00000000-0005-0000-0000-000007BC0000}"/>
    <cellStyle name="Normal 5 2 2 2 4 3 2 3 2" xfId="50921" xr:uid="{00000000-0005-0000-0000-000008BC0000}"/>
    <cellStyle name="Normal 5 2 2 2 4 3 2 4" xfId="37359" xr:uid="{00000000-0005-0000-0000-000009BC0000}"/>
    <cellStyle name="Normal 5 2 2 2 4 3 3" xfId="13612" xr:uid="{00000000-0005-0000-0000-00000ABC0000}"/>
    <cellStyle name="Normal 5 2 2 2 4 3 3 2" xfId="27180" xr:uid="{00000000-0005-0000-0000-00000BBC0000}"/>
    <cellStyle name="Normal 5 2 2 2 4 3 3 2 2" xfId="54313" xr:uid="{00000000-0005-0000-0000-00000CBC0000}"/>
    <cellStyle name="Normal 5 2 2 2 4 3 3 3" xfId="40751" xr:uid="{00000000-0005-0000-0000-00000DBC0000}"/>
    <cellStyle name="Normal 5 2 2 2 4 3 4" xfId="20399" xr:uid="{00000000-0005-0000-0000-00000EBC0000}"/>
    <cellStyle name="Normal 5 2 2 2 4 3 4 2" xfId="47532" xr:uid="{00000000-0005-0000-0000-00000FBC0000}"/>
    <cellStyle name="Normal 5 2 2 2 4 3 5" xfId="33970" xr:uid="{00000000-0005-0000-0000-000010BC0000}"/>
    <cellStyle name="Normal 5 2 2 2 4 4" xfId="6680" xr:uid="{00000000-0005-0000-0000-000011BC0000}"/>
    <cellStyle name="Normal 5 2 2 2 4 4 2" xfId="10212" xr:uid="{00000000-0005-0000-0000-000012BC0000}"/>
    <cellStyle name="Normal 5 2 2 2 4 4 2 2" xfId="17002" xr:uid="{00000000-0005-0000-0000-000013BC0000}"/>
    <cellStyle name="Normal 5 2 2 2 4 4 2 2 2" xfId="30570" xr:uid="{00000000-0005-0000-0000-000014BC0000}"/>
    <cellStyle name="Normal 5 2 2 2 4 4 2 2 2 2" xfId="57703" xr:uid="{00000000-0005-0000-0000-000015BC0000}"/>
    <cellStyle name="Normal 5 2 2 2 4 4 2 2 3" xfId="44141" xr:uid="{00000000-0005-0000-0000-000016BC0000}"/>
    <cellStyle name="Normal 5 2 2 2 4 4 2 3" xfId="23789" xr:uid="{00000000-0005-0000-0000-000017BC0000}"/>
    <cellStyle name="Normal 5 2 2 2 4 4 2 3 2" xfId="50922" xr:uid="{00000000-0005-0000-0000-000018BC0000}"/>
    <cellStyle name="Normal 5 2 2 2 4 4 2 4" xfId="37360" xr:uid="{00000000-0005-0000-0000-000019BC0000}"/>
    <cellStyle name="Normal 5 2 2 2 4 4 3" xfId="13613" xr:uid="{00000000-0005-0000-0000-00001ABC0000}"/>
    <cellStyle name="Normal 5 2 2 2 4 4 3 2" xfId="27181" xr:uid="{00000000-0005-0000-0000-00001BBC0000}"/>
    <cellStyle name="Normal 5 2 2 2 4 4 3 2 2" xfId="54314" xr:uid="{00000000-0005-0000-0000-00001CBC0000}"/>
    <cellStyle name="Normal 5 2 2 2 4 4 3 3" xfId="40752" xr:uid="{00000000-0005-0000-0000-00001DBC0000}"/>
    <cellStyle name="Normal 5 2 2 2 4 4 4" xfId="20400" xr:uid="{00000000-0005-0000-0000-00001EBC0000}"/>
    <cellStyle name="Normal 5 2 2 2 4 4 4 2" xfId="47533" xr:uid="{00000000-0005-0000-0000-00001FBC0000}"/>
    <cellStyle name="Normal 5 2 2 2 4 4 5" xfId="33971" xr:uid="{00000000-0005-0000-0000-000020BC0000}"/>
    <cellStyle name="Normal 5 2 2 2 4 5" xfId="10207" xr:uid="{00000000-0005-0000-0000-000021BC0000}"/>
    <cellStyle name="Normal 5 2 2 2 4 5 2" xfId="16997" xr:uid="{00000000-0005-0000-0000-000022BC0000}"/>
    <cellStyle name="Normal 5 2 2 2 4 5 2 2" xfId="30565" xr:uid="{00000000-0005-0000-0000-000023BC0000}"/>
    <cellStyle name="Normal 5 2 2 2 4 5 2 2 2" xfId="57698" xr:uid="{00000000-0005-0000-0000-000024BC0000}"/>
    <cellStyle name="Normal 5 2 2 2 4 5 2 3" xfId="44136" xr:uid="{00000000-0005-0000-0000-000025BC0000}"/>
    <cellStyle name="Normal 5 2 2 2 4 5 3" xfId="23784" xr:uid="{00000000-0005-0000-0000-000026BC0000}"/>
    <cellStyle name="Normal 5 2 2 2 4 5 3 2" xfId="50917" xr:uid="{00000000-0005-0000-0000-000027BC0000}"/>
    <cellStyle name="Normal 5 2 2 2 4 5 4" xfId="37355" xr:uid="{00000000-0005-0000-0000-000028BC0000}"/>
    <cellStyle name="Normal 5 2 2 2 4 6" xfId="13608" xr:uid="{00000000-0005-0000-0000-000029BC0000}"/>
    <cellStyle name="Normal 5 2 2 2 4 6 2" xfId="27176" xr:uid="{00000000-0005-0000-0000-00002ABC0000}"/>
    <cellStyle name="Normal 5 2 2 2 4 6 2 2" xfId="54309" xr:uid="{00000000-0005-0000-0000-00002BBC0000}"/>
    <cellStyle name="Normal 5 2 2 2 4 6 3" xfId="40747" xr:uid="{00000000-0005-0000-0000-00002CBC0000}"/>
    <cellStyle name="Normal 5 2 2 2 4 7" xfId="20395" xr:uid="{00000000-0005-0000-0000-00002DBC0000}"/>
    <cellStyle name="Normal 5 2 2 2 4 7 2" xfId="47528" xr:uid="{00000000-0005-0000-0000-00002EBC0000}"/>
    <cellStyle name="Normal 5 2 2 2 4 8" xfId="33966" xr:uid="{00000000-0005-0000-0000-00002FBC0000}"/>
    <cellStyle name="Normal 5 2 2 2 5" xfId="6681" xr:uid="{00000000-0005-0000-0000-000030BC0000}"/>
    <cellStyle name="Normal 5 2 2 2 5 2" xfId="6682" xr:uid="{00000000-0005-0000-0000-000031BC0000}"/>
    <cellStyle name="Normal 5 2 2 2 5 2 2" xfId="10214" xr:uid="{00000000-0005-0000-0000-000032BC0000}"/>
    <cellStyle name="Normal 5 2 2 2 5 2 2 2" xfId="17004" xr:uid="{00000000-0005-0000-0000-000033BC0000}"/>
    <cellStyle name="Normal 5 2 2 2 5 2 2 2 2" xfId="30572" xr:uid="{00000000-0005-0000-0000-000034BC0000}"/>
    <cellStyle name="Normal 5 2 2 2 5 2 2 2 2 2" xfId="57705" xr:uid="{00000000-0005-0000-0000-000035BC0000}"/>
    <cellStyle name="Normal 5 2 2 2 5 2 2 2 3" xfId="44143" xr:uid="{00000000-0005-0000-0000-000036BC0000}"/>
    <cellStyle name="Normal 5 2 2 2 5 2 2 3" xfId="23791" xr:uid="{00000000-0005-0000-0000-000037BC0000}"/>
    <cellStyle name="Normal 5 2 2 2 5 2 2 3 2" xfId="50924" xr:uid="{00000000-0005-0000-0000-000038BC0000}"/>
    <cellStyle name="Normal 5 2 2 2 5 2 2 4" xfId="37362" xr:uid="{00000000-0005-0000-0000-000039BC0000}"/>
    <cellStyle name="Normal 5 2 2 2 5 2 3" xfId="13615" xr:uid="{00000000-0005-0000-0000-00003ABC0000}"/>
    <cellStyle name="Normal 5 2 2 2 5 2 3 2" xfId="27183" xr:uid="{00000000-0005-0000-0000-00003BBC0000}"/>
    <cellStyle name="Normal 5 2 2 2 5 2 3 2 2" xfId="54316" xr:uid="{00000000-0005-0000-0000-00003CBC0000}"/>
    <cellStyle name="Normal 5 2 2 2 5 2 3 3" xfId="40754" xr:uid="{00000000-0005-0000-0000-00003DBC0000}"/>
    <cellStyle name="Normal 5 2 2 2 5 2 4" xfId="20402" xr:uid="{00000000-0005-0000-0000-00003EBC0000}"/>
    <cellStyle name="Normal 5 2 2 2 5 2 4 2" xfId="47535" xr:uid="{00000000-0005-0000-0000-00003FBC0000}"/>
    <cellStyle name="Normal 5 2 2 2 5 2 5" xfId="33973" xr:uid="{00000000-0005-0000-0000-000040BC0000}"/>
    <cellStyle name="Normal 5 2 2 2 5 3" xfId="6683" xr:uid="{00000000-0005-0000-0000-000041BC0000}"/>
    <cellStyle name="Normal 5 2 2 2 5 3 2" xfId="10215" xr:uid="{00000000-0005-0000-0000-000042BC0000}"/>
    <cellStyle name="Normal 5 2 2 2 5 3 2 2" xfId="17005" xr:uid="{00000000-0005-0000-0000-000043BC0000}"/>
    <cellStyle name="Normal 5 2 2 2 5 3 2 2 2" xfId="30573" xr:uid="{00000000-0005-0000-0000-000044BC0000}"/>
    <cellStyle name="Normal 5 2 2 2 5 3 2 2 2 2" xfId="57706" xr:uid="{00000000-0005-0000-0000-000045BC0000}"/>
    <cellStyle name="Normal 5 2 2 2 5 3 2 2 3" xfId="44144" xr:uid="{00000000-0005-0000-0000-000046BC0000}"/>
    <cellStyle name="Normal 5 2 2 2 5 3 2 3" xfId="23792" xr:uid="{00000000-0005-0000-0000-000047BC0000}"/>
    <cellStyle name="Normal 5 2 2 2 5 3 2 3 2" xfId="50925" xr:uid="{00000000-0005-0000-0000-000048BC0000}"/>
    <cellStyle name="Normal 5 2 2 2 5 3 2 4" xfId="37363" xr:uid="{00000000-0005-0000-0000-000049BC0000}"/>
    <cellStyle name="Normal 5 2 2 2 5 3 3" xfId="13616" xr:uid="{00000000-0005-0000-0000-00004ABC0000}"/>
    <cellStyle name="Normal 5 2 2 2 5 3 3 2" xfId="27184" xr:uid="{00000000-0005-0000-0000-00004BBC0000}"/>
    <cellStyle name="Normal 5 2 2 2 5 3 3 2 2" xfId="54317" xr:uid="{00000000-0005-0000-0000-00004CBC0000}"/>
    <cellStyle name="Normal 5 2 2 2 5 3 3 3" xfId="40755" xr:uid="{00000000-0005-0000-0000-00004DBC0000}"/>
    <cellStyle name="Normal 5 2 2 2 5 3 4" xfId="20403" xr:uid="{00000000-0005-0000-0000-00004EBC0000}"/>
    <cellStyle name="Normal 5 2 2 2 5 3 4 2" xfId="47536" xr:uid="{00000000-0005-0000-0000-00004FBC0000}"/>
    <cellStyle name="Normal 5 2 2 2 5 3 5" xfId="33974" xr:uid="{00000000-0005-0000-0000-000050BC0000}"/>
    <cellStyle name="Normal 5 2 2 2 5 4" xfId="10213" xr:uid="{00000000-0005-0000-0000-000051BC0000}"/>
    <cellStyle name="Normal 5 2 2 2 5 4 2" xfId="17003" xr:uid="{00000000-0005-0000-0000-000052BC0000}"/>
    <cellStyle name="Normal 5 2 2 2 5 4 2 2" xfId="30571" xr:uid="{00000000-0005-0000-0000-000053BC0000}"/>
    <cellStyle name="Normal 5 2 2 2 5 4 2 2 2" xfId="57704" xr:uid="{00000000-0005-0000-0000-000054BC0000}"/>
    <cellStyle name="Normal 5 2 2 2 5 4 2 3" xfId="44142" xr:uid="{00000000-0005-0000-0000-000055BC0000}"/>
    <cellStyle name="Normal 5 2 2 2 5 4 3" xfId="23790" xr:uid="{00000000-0005-0000-0000-000056BC0000}"/>
    <cellStyle name="Normal 5 2 2 2 5 4 3 2" xfId="50923" xr:uid="{00000000-0005-0000-0000-000057BC0000}"/>
    <cellStyle name="Normal 5 2 2 2 5 4 4" xfId="37361" xr:uid="{00000000-0005-0000-0000-000058BC0000}"/>
    <cellStyle name="Normal 5 2 2 2 5 5" xfId="13614" xr:uid="{00000000-0005-0000-0000-000059BC0000}"/>
    <cellStyle name="Normal 5 2 2 2 5 5 2" xfId="27182" xr:uid="{00000000-0005-0000-0000-00005ABC0000}"/>
    <cellStyle name="Normal 5 2 2 2 5 5 2 2" xfId="54315" xr:uid="{00000000-0005-0000-0000-00005BBC0000}"/>
    <cellStyle name="Normal 5 2 2 2 5 5 3" xfId="40753" xr:uid="{00000000-0005-0000-0000-00005CBC0000}"/>
    <cellStyle name="Normal 5 2 2 2 5 6" xfId="20401" xr:uid="{00000000-0005-0000-0000-00005DBC0000}"/>
    <cellStyle name="Normal 5 2 2 2 5 6 2" xfId="47534" xr:uid="{00000000-0005-0000-0000-00005EBC0000}"/>
    <cellStyle name="Normal 5 2 2 2 5 7" xfId="33972" xr:uid="{00000000-0005-0000-0000-00005FBC0000}"/>
    <cellStyle name="Normal 5 2 2 2 6" xfId="6684" xr:uid="{00000000-0005-0000-0000-000060BC0000}"/>
    <cellStyle name="Normal 5 2 2 2 6 2" xfId="6685" xr:uid="{00000000-0005-0000-0000-000061BC0000}"/>
    <cellStyle name="Normal 5 2 2 2 6 2 2" xfId="10217" xr:uid="{00000000-0005-0000-0000-000062BC0000}"/>
    <cellStyle name="Normal 5 2 2 2 6 2 2 2" xfId="17007" xr:uid="{00000000-0005-0000-0000-000063BC0000}"/>
    <cellStyle name="Normal 5 2 2 2 6 2 2 2 2" xfId="30575" xr:uid="{00000000-0005-0000-0000-000064BC0000}"/>
    <cellStyle name="Normal 5 2 2 2 6 2 2 2 2 2" xfId="57708" xr:uid="{00000000-0005-0000-0000-000065BC0000}"/>
    <cellStyle name="Normal 5 2 2 2 6 2 2 2 3" xfId="44146" xr:uid="{00000000-0005-0000-0000-000066BC0000}"/>
    <cellStyle name="Normal 5 2 2 2 6 2 2 3" xfId="23794" xr:uid="{00000000-0005-0000-0000-000067BC0000}"/>
    <cellStyle name="Normal 5 2 2 2 6 2 2 3 2" xfId="50927" xr:uid="{00000000-0005-0000-0000-000068BC0000}"/>
    <cellStyle name="Normal 5 2 2 2 6 2 2 4" xfId="37365" xr:uid="{00000000-0005-0000-0000-000069BC0000}"/>
    <cellStyle name="Normal 5 2 2 2 6 2 3" xfId="13618" xr:uid="{00000000-0005-0000-0000-00006ABC0000}"/>
    <cellStyle name="Normal 5 2 2 2 6 2 3 2" xfId="27186" xr:uid="{00000000-0005-0000-0000-00006BBC0000}"/>
    <cellStyle name="Normal 5 2 2 2 6 2 3 2 2" xfId="54319" xr:uid="{00000000-0005-0000-0000-00006CBC0000}"/>
    <cellStyle name="Normal 5 2 2 2 6 2 3 3" xfId="40757" xr:uid="{00000000-0005-0000-0000-00006DBC0000}"/>
    <cellStyle name="Normal 5 2 2 2 6 2 4" xfId="20405" xr:uid="{00000000-0005-0000-0000-00006EBC0000}"/>
    <cellStyle name="Normal 5 2 2 2 6 2 4 2" xfId="47538" xr:uid="{00000000-0005-0000-0000-00006FBC0000}"/>
    <cellStyle name="Normal 5 2 2 2 6 2 5" xfId="33976" xr:uid="{00000000-0005-0000-0000-000070BC0000}"/>
    <cellStyle name="Normal 5 2 2 2 6 3" xfId="10216" xr:uid="{00000000-0005-0000-0000-000071BC0000}"/>
    <cellStyle name="Normal 5 2 2 2 6 3 2" xfId="17006" xr:uid="{00000000-0005-0000-0000-000072BC0000}"/>
    <cellStyle name="Normal 5 2 2 2 6 3 2 2" xfId="30574" xr:uid="{00000000-0005-0000-0000-000073BC0000}"/>
    <cellStyle name="Normal 5 2 2 2 6 3 2 2 2" xfId="57707" xr:uid="{00000000-0005-0000-0000-000074BC0000}"/>
    <cellStyle name="Normal 5 2 2 2 6 3 2 3" xfId="44145" xr:uid="{00000000-0005-0000-0000-000075BC0000}"/>
    <cellStyle name="Normal 5 2 2 2 6 3 3" xfId="23793" xr:uid="{00000000-0005-0000-0000-000076BC0000}"/>
    <cellStyle name="Normal 5 2 2 2 6 3 3 2" xfId="50926" xr:uid="{00000000-0005-0000-0000-000077BC0000}"/>
    <cellStyle name="Normal 5 2 2 2 6 3 4" xfId="37364" xr:uid="{00000000-0005-0000-0000-000078BC0000}"/>
    <cellStyle name="Normal 5 2 2 2 6 4" xfId="13617" xr:uid="{00000000-0005-0000-0000-000079BC0000}"/>
    <cellStyle name="Normal 5 2 2 2 6 4 2" xfId="27185" xr:uid="{00000000-0005-0000-0000-00007ABC0000}"/>
    <cellStyle name="Normal 5 2 2 2 6 4 2 2" xfId="54318" xr:uid="{00000000-0005-0000-0000-00007BBC0000}"/>
    <cellStyle name="Normal 5 2 2 2 6 4 3" xfId="40756" xr:uid="{00000000-0005-0000-0000-00007CBC0000}"/>
    <cellStyle name="Normal 5 2 2 2 6 5" xfId="20404" xr:uid="{00000000-0005-0000-0000-00007DBC0000}"/>
    <cellStyle name="Normal 5 2 2 2 6 5 2" xfId="47537" xr:uid="{00000000-0005-0000-0000-00007EBC0000}"/>
    <cellStyle name="Normal 5 2 2 2 6 6" xfId="33975" xr:uid="{00000000-0005-0000-0000-00007FBC0000}"/>
    <cellStyle name="Normal 5 2 2 2 7" xfId="6686" xr:uid="{00000000-0005-0000-0000-000080BC0000}"/>
    <cellStyle name="Normal 5 2 2 2 7 2" xfId="10218" xr:uid="{00000000-0005-0000-0000-000081BC0000}"/>
    <cellStyle name="Normal 5 2 2 2 7 2 2" xfId="17008" xr:uid="{00000000-0005-0000-0000-000082BC0000}"/>
    <cellStyle name="Normal 5 2 2 2 7 2 2 2" xfId="30576" xr:uid="{00000000-0005-0000-0000-000083BC0000}"/>
    <cellStyle name="Normal 5 2 2 2 7 2 2 2 2" xfId="57709" xr:uid="{00000000-0005-0000-0000-000084BC0000}"/>
    <cellStyle name="Normal 5 2 2 2 7 2 2 3" xfId="44147" xr:uid="{00000000-0005-0000-0000-000085BC0000}"/>
    <cellStyle name="Normal 5 2 2 2 7 2 3" xfId="23795" xr:uid="{00000000-0005-0000-0000-000086BC0000}"/>
    <cellStyle name="Normal 5 2 2 2 7 2 3 2" xfId="50928" xr:uid="{00000000-0005-0000-0000-000087BC0000}"/>
    <cellStyle name="Normal 5 2 2 2 7 2 4" xfId="37366" xr:uid="{00000000-0005-0000-0000-000088BC0000}"/>
    <cellStyle name="Normal 5 2 2 2 7 3" xfId="13619" xr:uid="{00000000-0005-0000-0000-000089BC0000}"/>
    <cellStyle name="Normal 5 2 2 2 7 3 2" xfId="27187" xr:uid="{00000000-0005-0000-0000-00008ABC0000}"/>
    <cellStyle name="Normal 5 2 2 2 7 3 2 2" xfId="54320" xr:uid="{00000000-0005-0000-0000-00008BBC0000}"/>
    <cellStyle name="Normal 5 2 2 2 7 3 3" xfId="40758" xr:uid="{00000000-0005-0000-0000-00008CBC0000}"/>
    <cellStyle name="Normal 5 2 2 2 7 4" xfId="20406" xr:uid="{00000000-0005-0000-0000-00008DBC0000}"/>
    <cellStyle name="Normal 5 2 2 2 7 4 2" xfId="47539" xr:uid="{00000000-0005-0000-0000-00008EBC0000}"/>
    <cellStyle name="Normal 5 2 2 2 7 5" xfId="33977" xr:uid="{00000000-0005-0000-0000-00008FBC0000}"/>
    <cellStyle name="Normal 5 2 2 2 8" xfId="6687" xr:uid="{00000000-0005-0000-0000-000090BC0000}"/>
    <cellStyle name="Normal 5 2 2 2 8 2" xfId="10219" xr:uid="{00000000-0005-0000-0000-000091BC0000}"/>
    <cellStyle name="Normal 5 2 2 2 8 2 2" xfId="17009" xr:uid="{00000000-0005-0000-0000-000092BC0000}"/>
    <cellStyle name="Normal 5 2 2 2 8 2 2 2" xfId="30577" xr:uid="{00000000-0005-0000-0000-000093BC0000}"/>
    <cellStyle name="Normal 5 2 2 2 8 2 2 2 2" xfId="57710" xr:uid="{00000000-0005-0000-0000-000094BC0000}"/>
    <cellStyle name="Normal 5 2 2 2 8 2 2 3" xfId="44148" xr:uid="{00000000-0005-0000-0000-000095BC0000}"/>
    <cellStyle name="Normal 5 2 2 2 8 2 3" xfId="23796" xr:uid="{00000000-0005-0000-0000-000096BC0000}"/>
    <cellStyle name="Normal 5 2 2 2 8 2 3 2" xfId="50929" xr:uid="{00000000-0005-0000-0000-000097BC0000}"/>
    <cellStyle name="Normal 5 2 2 2 8 2 4" xfId="37367" xr:uid="{00000000-0005-0000-0000-000098BC0000}"/>
    <cellStyle name="Normal 5 2 2 2 8 3" xfId="13620" xr:uid="{00000000-0005-0000-0000-000099BC0000}"/>
    <cellStyle name="Normal 5 2 2 2 8 3 2" xfId="27188" xr:uid="{00000000-0005-0000-0000-00009ABC0000}"/>
    <cellStyle name="Normal 5 2 2 2 8 3 2 2" xfId="54321" xr:uid="{00000000-0005-0000-0000-00009BBC0000}"/>
    <cellStyle name="Normal 5 2 2 2 8 3 3" xfId="40759" xr:uid="{00000000-0005-0000-0000-00009CBC0000}"/>
    <cellStyle name="Normal 5 2 2 2 8 4" xfId="20407" xr:uid="{00000000-0005-0000-0000-00009DBC0000}"/>
    <cellStyle name="Normal 5 2 2 2 8 4 2" xfId="47540" xr:uid="{00000000-0005-0000-0000-00009EBC0000}"/>
    <cellStyle name="Normal 5 2 2 2 8 5" xfId="33978" xr:uid="{00000000-0005-0000-0000-00009FBC0000}"/>
    <cellStyle name="Normal 5 2 2 2 9" xfId="10182" xr:uid="{00000000-0005-0000-0000-0000A0BC0000}"/>
    <cellStyle name="Normal 5 2 2 2 9 2" xfId="16972" xr:uid="{00000000-0005-0000-0000-0000A1BC0000}"/>
    <cellStyle name="Normal 5 2 2 2 9 2 2" xfId="30540" xr:uid="{00000000-0005-0000-0000-0000A2BC0000}"/>
    <cellStyle name="Normal 5 2 2 2 9 2 2 2" xfId="57673" xr:uid="{00000000-0005-0000-0000-0000A3BC0000}"/>
    <cellStyle name="Normal 5 2 2 2 9 2 3" xfId="44111" xr:uid="{00000000-0005-0000-0000-0000A4BC0000}"/>
    <cellStyle name="Normal 5 2 2 2 9 3" xfId="23759" xr:uid="{00000000-0005-0000-0000-0000A5BC0000}"/>
    <cellStyle name="Normal 5 2 2 2 9 3 2" xfId="50892" xr:uid="{00000000-0005-0000-0000-0000A6BC0000}"/>
    <cellStyle name="Normal 5 2 2 2 9 4" xfId="37330" xr:uid="{00000000-0005-0000-0000-0000A7BC0000}"/>
    <cellStyle name="Normal 5 2 2 3" xfId="6688" xr:uid="{00000000-0005-0000-0000-0000A8BC0000}"/>
    <cellStyle name="Normal 5 2 2 3 10" xfId="33979" xr:uid="{00000000-0005-0000-0000-0000A9BC0000}"/>
    <cellStyle name="Normal 5 2 2 3 2" xfId="6689" xr:uid="{00000000-0005-0000-0000-0000AABC0000}"/>
    <cellStyle name="Normal 5 2 2 3 2 2" xfId="6690" xr:uid="{00000000-0005-0000-0000-0000ABBC0000}"/>
    <cellStyle name="Normal 5 2 2 3 2 2 2" xfId="6691" xr:uid="{00000000-0005-0000-0000-0000ACBC0000}"/>
    <cellStyle name="Normal 5 2 2 3 2 2 2 2" xfId="10223" xr:uid="{00000000-0005-0000-0000-0000ADBC0000}"/>
    <cellStyle name="Normal 5 2 2 3 2 2 2 2 2" xfId="17013" xr:uid="{00000000-0005-0000-0000-0000AEBC0000}"/>
    <cellStyle name="Normal 5 2 2 3 2 2 2 2 2 2" xfId="30581" xr:uid="{00000000-0005-0000-0000-0000AFBC0000}"/>
    <cellStyle name="Normal 5 2 2 3 2 2 2 2 2 2 2" xfId="57714" xr:uid="{00000000-0005-0000-0000-0000B0BC0000}"/>
    <cellStyle name="Normal 5 2 2 3 2 2 2 2 2 3" xfId="44152" xr:uid="{00000000-0005-0000-0000-0000B1BC0000}"/>
    <cellStyle name="Normal 5 2 2 3 2 2 2 2 3" xfId="23800" xr:uid="{00000000-0005-0000-0000-0000B2BC0000}"/>
    <cellStyle name="Normal 5 2 2 3 2 2 2 2 3 2" xfId="50933" xr:uid="{00000000-0005-0000-0000-0000B3BC0000}"/>
    <cellStyle name="Normal 5 2 2 3 2 2 2 2 4" xfId="37371" xr:uid="{00000000-0005-0000-0000-0000B4BC0000}"/>
    <cellStyle name="Normal 5 2 2 3 2 2 2 3" xfId="13624" xr:uid="{00000000-0005-0000-0000-0000B5BC0000}"/>
    <cellStyle name="Normal 5 2 2 3 2 2 2 3 2" xfId="27192" xr:uid="{00000000-0005-0000-0000-0000B6BC0000}"/>
    <cellStyle name="Normal 5 2 2 3 2 2 2 3 2 2" xfId="54325" xr:uid="{00000000-0005-0000-0000-0000B7BC0000}"/>
    <cellStyle name="Normal 5 2 2 3 2 2 2 3 3" xfId="40763" xr:uid="{00000000-0005-0000-0000-0000B8BC0000}"/>
    <cellStyle name="Normal 5 2 2 3 2 2 2 4" xfId="20411" xr:uid="{00000000-0005-0000-0000-0000B9BC0000}"/>
    <cellStyle name="Normal 5 2 2 3 2 2 2 4 2" xfId="47544" xr:uid="{00000000-0005-0000-0000-0000BABC0000}"/>
    <cellStyle name="Normal 5 2 2 3 2 2 2 5" xfId="33982" xr:uid="{00000000-0005-0000-0000-0000BBBC0000}"/>
    <cellStyle name="Normal 5 2 2 3 2 2 3" xfId="6692" xr:uid="{00000000-0005-0000-0000-0000BCBC0000}"/>
    <cellStyle name="Normal 5 2 2 3 2 2 3 2" xfId="10224" xr:uid="{00000000-0005-0000-0000-0000BDBC0000}"/>
    <cellStyle name="Normal 5 2 2 3 2 2 3 2 2" xfId="17014" xr:uid="{00000000-0005-0000-0000-0000BEBC0000}"/>
    <cellStyle name="Normal 5 2 2 3 2 2 3 2 2 2" xfId="30582" xr:uid="{00000000-0005-0000-0000-0000BFBC0000}"/>
    <cellStyle name="Normal 5 2 2 3 2 2 3 2 2 2 2" xfId="57715" xr:uid="{00000000-0005-0000-0000-0000C0BC0000}"/>
    <cellStyle name="Normal 5 2 2 3 2 2 3 2 2 3" xfId="44153" xr:uid="{00000000-0005-0000-0000-0000C1BC0000}"/>
    <cellStyle name="Normal 5 2 2 3 2 2 3 2 3" xfId="23801" xr:uid="{00000000-0005-0000-0000-0000C2BC0000}"/>
    <cellStyle name="Normal 5 2 2 3 2 2 3 2 3 2" xfId="50934" xr:uid="{00000000-0005-0000-0000-0000C3BC0000}"/>
    <cellStyle name="Normal 5 2 2 3 2 2 3 2 4" xfId="37372" xr:uid="{00000000-0005-0000-0000-0000C4BC0000}"/>
    <cellStyle name="Normal 5 2 2 3 2 2 3 3" xfId="13625" xr:uid="{00000000-0005-0000-0000-0000C5BC0000}"/>
    <cellStyle name="Normal 5 2 2 3 2 2 3 3 2" xfId="27193" xr:uid="{00000000-0005-0000-0000-0000C6BC0000}"/>
    <cellStyle name="Normal 5 2 2 3 2 2 3 3 2 2" xfId="54326" xr:uid="{00000000-0005-0000-0000-0000C7BC0000}"/>
    <cellStyle name="Normal 5 2 2 3 2 2 3 3 3" xfId="40764" xr:uid="{00000000-0005-0000-0000-0000C8BC0000}"/>
    <cellStyle name="Normal 5 2 2 3 2 2 3 4" xfId="20412" xr:uid="{00000000-0005-0000-0000-0000C9BC0000}"/>
    <cellStyle name="Normal 5 2 2 3 2 2 3 4 2" xfId="47545" xr:uid="{00000000-0005-0000-0000-0000CABC0000}"/>
    <cellStyle name="Normal 5 2 2 3 2 2 3 5" xfId="33983" xr:uid="{00000000-0005-0000-0000-0000CBBC0000}"/>
    <cellStyle name="Normal 5 2 2 3 2 2 4" xfId="10222" xr:uid="{00000000-0005-0000-0000-0000CCBC0000}"/>
    <cellStyle name="Normal 5 2 2 3 2 2 4 2" xfId="17012" xr:uid="{00000000-0005-0000-0000-0000CDBC0000}"/>
    <cellStyle name="Normal 5 2 2 3 2 2 4 2 2" xfId="30580" xr:uid="{00000000-0005-0000-0000-0000CEBC0000}"/>
    <cellStyle name="Normal 5 2 2 3 2 2 4 2 2 2" xfId="57713" xr:uid="{00000000-0005-0000-0000-0000CFBC0000}"/>
    <cellStyle name="Normal 5 2 2 3 2 2 4 2 3" xfId="44151" xr:uid="{00000000-0005-0000-0000-0000D0BC0000}"/>
    <cellStyle name="Normal 5 2 2 3 2 2 4 3" xfId="23799" xr:uid="{00000000-0005-0000-0000-0000D1BC0000}"/>
    <cellStyle name="Normal 5 2 2 3 2 2 4 3 2" xfId="50932" xr:uid="{00000000-0005-0000-0000-0000D2BC0000}"/>
    <cellStyle name="Normal 5 2 2 3 2 2 4 4" xfId="37370" xr:uid="{00000000-0005-0000-0000-0000D3BC0000}"/>
    <cellStyle name="Normal 5 2 2 3 2 2 5" xfId="13623" xr:uid="{00000000-0005-0000-0000-0000D4BC0000}"/>
    <cellStyle name="Normal 5 2 2 3 2 2 5 2" xfId="27191" xr:uid="{00000000-0005-0000-0000-0000D5BC0000}"/>
    <cellStyle name="Normal 5 2 2 3 2 2 5 2 2" xfId="54324" xr:uid="{00000000-0005-0000-0000-0000D6BC0000}"/>
    <cellStyle name="Normal 5 2 2 3 2 2 5 3" xfId="40762" xr:uid="{00000000-0005-0000-0000-0000D7BC0000}"/>
    <cellStyle name="Normal 5 2 2 3 2 2 6" xfId="20410" xr:uid="{00000000-0005-0000-0000-0000D8BC0000}"/>
    <cellStyle name="Normal 5 2 2 3 2 2 6 2" xfId="47543" xr:uid="{00000000-0005-0000-0000-0000D9BC0000}"/>
    <cellStyle name="Normal 5 2 2 3 2 2 7" xfId="33981" xr:uid="{00000000-0005-0000-0000-0000DABC0000}"/>
    <cellStyle name="Normal 5 2 2 3 2 3" xfId="6693" xr:uid="{00000000-0005-0000-0000-0000DBBC0000}"/>
    <cellStyle name="Normal 5 2 2 3 2 3 2" xfId="6694" xr:uid="{00000000-0005-0000-0000-0000DCBC0000}"/>
    <cellStyle name="Normal 5 2 2 3 2 3 2 2" xfId="10226" xr:uid="{00000000-0005-0000-0000-0000DDBC0000}"/>
    <cellStyle name="Normal 5 2 2 3 2 3 2 2 2" xfId="17016" xr:uid="{00000000-0005-0000-0000-0000DEBC0000}"/>
    <cellStyle name="Normal 5 2 2 3 2 3 2 2 2 2" xfId="30584" xr:uid="{00000000-0005-0000-0000-0000DFBC0000}"/>
    <cellStyle name="Normal 5 2 2 3 2 3 2 2 2 2 2" xfId="57717" xr:uid="{00000000-0005-0000-0000-0000E0BC0000}"/>
    <cellStyle name="Normal 5 2 2 3 2 3 2 2 2 3" xfId="44155" xr:uid="{00000000-0005-0000-0000-0000E1BC0000}"/>
    <cellStyle name="Normal 5 2 2 3 2 3 2 2 3" xfId="23803" xr:uid="{00000000-0005-0000-0000-0000E2BC0000}"/>
    <cellStyle name="Normal 5 2 2 3 2 3 2 2 3 2" xfId="50936" xr:uid="{00000000-0005-0000-0000-0000E3BC0000}"/>
    <cellStyle name="Normal 5 2 2 3 2 3 2 2 4" xfId="37374" xr:uid="{00000000-0005-0000-0000-0000E4BC0000}"/>
    <cellStyle name="Normal 5 2 2 3 2 3 2 3" xfId="13627" xr:uid="{00000000-0005-0000-0000-0000E5BC0000}"/>
    <cellStyle name="Normal 5 2 2 3 2 3 2 3 2" xfId="27195" xr:uid="{00000000-0005-0000-0000-0000E6BC0000}"/>
    <cellStyle name="Normal 5 2 2 3 2 3 2 3 2 2" xfId="54328" xr:uid="{00000000-0005-0000-0000-0000E7BC0000}"/>
    <cellStyle name="Normal 5 2 2 3 2 3 2 3 3" xfId="40766" xr:uid="{00000000-0005-0000-0000-0000E8BC0000}"/>
    <cellStyle name="Normal 5 2 2 3 2 3 2 4" xfId="20414" xr:uid="{00000000-0005-0000-0000-0000E9BC0000}"/>
    <cellStyle name="Normal 5 2 2 3 2 3 2 4 2" xfId="47547" xr:uid="{00000000-0005-0000-0000-0000EABC0000}"/>
    <cellStyle name="Normal 5 2 2 3 2 3 2 5" xfId="33985" xr:uid="{00000000-0005-0000-0000-0000EBBC0000}"/>
    <cellStyle name="Normal 5 2 2 3 2 3 3" xfId="10225" xr:uid="{00000000-0005-0000-0000-0000ECBC0000}"/>
    <cellStyle name="Normal 5 2 2 3 2 3 3 2" xfId="17015" xr:uid="{00000000-0005-0000-0000-0000EDBC0000}"/>
    <cellStyle name="Normal 5 2 2 3 2 3 3 2 2" xfId="30583" xr:uid="{00000000-0005-0000-0000-0000EEBC0000}"/>
    <cellStyle name="Normal 5 2 2 3 2 3 3 2 2 2" xfId="57716" xr:uid="{00000000-0005-0000-0000-0000EFBC0000}"/>
    <cellStyle name="Normal 5 2 2 3 2 3 3 2 3" xfId="44154" xr:uid="{00000000-0005-0000-0000-0000F0BC0000}"/>
    <cellStyle name="Normal 5 2 2 3 2 3 3 3" xfId="23802" xr:uid="{00000000-0005-0000-0000-0000F1BC0000}"/>
    <cellStyle name="Normal 5 2 2 3 2 3 3 3 2" xfId="50935" xr:uid="{00000000-0005-0000-0000-0000F2BC0000}"/>
    <cellStyle name="Normal 5 2 2 3 2 3 3 4" xfId="37373" xr:uid="{00000000-0005-0000-0000-0000F3BC0000}"/>
    <cellStyle name="Normal 5 2 2 3 2 3 4" xfId="13626" xr:uid="{00000000-0005-0000-0000-0000F4BC0000}"/>
    <cellStyle name="Normal 5 2 2 3 2 3 4 2" xfId="27194" xr:uid="{00000000-0005-0000-0000-0000F5BC0000}"/>
    <cellStyle name="Normal 5 2 2 3 2 3 4 2 2" xfId="54327" xr:uid="{00000000-0005-0000-0000-0000F6BC0000}"/>
    <cellStyle name="Normal 5 2 2 3 2 3 4 3" xfId="40765" xr:uid="{00000000-0005-0000-0000-0000F7BC0000}"/>
    <cellStyle name="Normal 5 2 2 3 2 3 5" xfId="20413" xr:uid="{00000000-0005-0000-0000-0000F8BC0000}"/>
    <cellStyle name="Normal 5 2 2 3 2 3 5 2" xfId="47546" xr:uid="{00000000-0005-0000-0000-0000F9BC0000}"/>
    <cellStyle name="Normal 5 2 2 3 2 3 6" xfId="33984" xr:uid="{00000000-0005-0000-0000-0000FABC0000}"/>
    <cellStyle name="Normal 5 2 2 3 2 4" xfId="6695" xr:uid="{00000000-0005-0000-0000-0000FBBC0000}"/>
    <cellStyle name="Normal 5 2 2 3 2 4 2" xfId="10227" xr:uid="{00000000-0005-0000-0000-0000FCBC0000}"/>
    <cellStyle name="Normal 5 2 2 3 2 4 2 2" xfId="17017" xr:uid="{00000000-0005-0000-0000-0000FDBC0000}"/>
    <cellStyle name="Normal 5 2 2 3 2 4 2 2 2" xfId="30585" xr:uid="{00000000-0005-0000-0000-0000FEBC0000}"/>
    <cellStyle name="Normal 5 2 2 3 2 4 2 2 2 2" xfId="57718" xr:uid="{00000000-0005-0000-0000-0000FFBC0000}"/>
    <cellStyle name="Normal 5 2 2 3 2 4 2 2 3" xfId="44156" xr:uid="{00000000-0005-0000-0000-000000BD0000}"/>
    <cellStyle name="Normal 5 2 2 3 2 4 2 3" xfId="23804" xr:uid="{00000000-0005-0000-0000-000001BD0000}"/>
    <cellStyle name="Normal 5 2 2 3 2 4 2 3 2" xfId="50937" xr:uid="{00000000-0005-0000-0000-000002BD0000}"/>
    <cellStyle name="Normal 5 2 2 3 2 4 2 4" xfId="37375" xr:uid="{00000000-0005-0000-0000-000003BD0000}"/>
    <cellStyle name="Normal 5 2 2 3 2 4 3" xfId="13628" xr:uid="{00000000-0005-0000-0000-000004BD0000}"/>
    <cellStyle name="Normal 5 2 2 3 2 4 3 2" xfId="27196" xr:uid="{00000000-0005-0000-0000-000005BD0000}"/>
    <cellStyle name="Normal 5 2 2 3 2 4 3 2 2" xfId="54329" xr:uid="{00000000-0005-0000-0000-000006BD0000}"/>
    <cellStyle name="Normal 5 2 2 3 2 4 3 3" xfId="40767" xr:uid="{00000000-0005-0000-0000-000007BD0000}"/>
    <cellStyle name="Normal 5 2 2 3 2 4 4" xfId="20415" xr:uid="{00000000-0005-0000-0000-000008BD0000}"/>
    <cellStyle name="Normal 5 2 2 3 2 4 4 2" xfId="47548" xr:uid="{00000000-0005-0000-0000-000009BD0000}"/>
    <cellStyle name="Normal 5 2 2 3 2 4 5" xfId="33986" xr:uid="{00000000-0005-0000-0000-00000ABD0000}"/>
    <cellStyle name="Normal 5 2 2 3 2 5" xfId="6696" xr:uid="{00000000-0005-0000-0000-00000BBD0000}"/>
    <cellStyle name="Normal 5 2 2 3 2 5 2" xfId="10228" xr:uid="{00000000-0005-0000-0000-00000CBD0000}"/>
    <cellStyle name="Normal 5 2 2 3 2 5 2 2" xfId="17018" xr:uid="{00000000-0005-0000-0000-00000DBD0000}"/>
    <cellStyle name="Normal 5 2 2 3 2 5 2 2 2" xfId="30586" xr:uid="{00000000-0005-0000-0000-00000EBD0000}"/>
    <cellStyle name="Normal 5 2 2 3 2 5 2 2 2 2" xfId="57719" xr:uid="{00000000-0005-0000-0000-00000FBD0000}"/>
    <cellStyle name="Normal 5 2 2 3 2 5 2 2 3" xfId="44157" xr:uid="{00000000-0005-0000-0000-000010BD0000}"/>
    <cellStyle name="Normal 5 2 2 3 2 5 2 3" xfId="23805" xr:uid="{00000000-0005-0000-0000-000011BD0000}"/>
    <cellStyle name="Normal 5 2 2 3 2 5 2 3 2" xfId="50938" xr:uid="{00000000-0005-0000-0000-000012BD0000}"/>
    <cellStyle name="Normal 5 2 2 3 2 5 2 4" xfId="37376" xr:uid="{00000000-0005-0000-0000-000013BD0000}"/>
    <cellStyle name="Normal 5 2 2 3 2 5 3" xfId="13629" xr:uid="{00000000-0005-0000-0000-000014BD0000}"/>
    <cellStyle name="Normal 5 2 2 3 2 5 3 2" xfId="27197" xr:uid="{00000000-0005-0000-0000-000015BD0000}"/>
    <cellStyle name="Normal 5 2 2 3 2 5 3 2 2" xfId="54330" xr:uid="{00000000-0005-0000-0000-000016BD0000}"/>
    <cellStyle name="Normal 5 2 2 3 2 5 3 3" xfId="40768" xr:uid="{00000000-0005-0000-0000-000017BD0000}"/>
    <cellStyle name="Normal 5 2 2 3 2 5 4" xfId="20416" xr:uid="{00000000-0005-0000-0000-000018BD0000}"/>
    <cellStyle name="Normal 5 2 2 3 2 5 4 2" xfId="47549" xr:uid="{00000000-0005-0000-0000-000019BD0000}"/>
    <cellStyle name="Normal 5 2 2 3 2 5 5" xfId="33987" xr:uid="{00000000-0005-0000-0000-00001ABD0000}"/>
    <cellStyle name="Normal 5 2 2 3 2 6" xfId="10221" xr:uid="{00000000-0005-0000-0000-00001BBD0000}"/>
    <cellStyle name="Normal 5 2 2 3 2 6 2" xfId="17011" xr:uid="{00000000-0005-0000-0000-00001CBD0000}"/>
    <cellStyle name="Normal 5 2 2 3 2 6 2 2" xfId="30579" xr:uid="{00000000-0005-0000-0000-00001DBD0000}"/>
    <cellStyle name="Normal 5 2 2 3 2 6 2 2 2" xfId="57712" xr:uid="{00000000-0005-0000-0000-00001EBD0000}"/>
    <cellStyle name="Normal 5 2 2 3 2 6 2 3" xfId="44150" xr:uid="{00000000-0005-0000-0000-00001FBD0000}"/>
    <cellStyle name="Normal 5 2 2 3 2 6 3" xfId="23798" xr:uid="{00000000-0005-0000-0000-000020BD0000}"/>
    <cellStyle name="Normal 5 2 2 3 2 6 3 2" xfId="50931" xr:uid="{00000000-0005-0000-0000-000021BD0000}"/>
    <cellStyle name="Normal 5 2 2 3 2 6 4" xfId="37369" xr:uid="{00000000-0005-0000-0000-000022BD0000}"/>
    <cellStyle name="Normal 5 2 2 3 2 7" xfId="13622" xr:uid="{00000000-0005-0000-0000-000023BD0000}"/>
    <cellStyle name="Normal 5 2 2 3 2 7 2" xfId="27190" xr:uid="{00000000-0005-0000-0000-000024BD0000}"/>
    <cellStyle name="Normal 5 2 2 3 2 7 2 2" xfId="54323" xr:uid="{00000000-0005-0000-0000-000025BD0000}"/>
    <cellStyle name="Normal 5 2 2 3 2 7 3" xfId="40761" xr:uid="{00000000-0005-0000-0000-000026BD0000}"/>
    <cellStyle name="Normal 5 2 2 3 2 8" xfId="20409" xr:uid="{00000000-0005-0000-0000-000027BD0000}"/>
    <cellStyle name="Normal 5 2 2 3 2 8 2" xfId="47542" xr:uid="{00000000-0005-0000-0000-000028BD0000}"/>
    <cellStyle name="Normal 5 2 2 3 2 9" xfId="33980" xr:uid="{00000000-0005-0000-0000-000029BD0000}"/>
    <cellStyle name="Normal 5 2 2 3 3" xfId="6697" xr:uid="{00000000-0005-0000-0000-00002ABD0000}"/>
    <cellStyle name="Normal 5 2 2 3 3 2" xfId="6698" xr:uid="{00000000-0005-0000-0000-00002BBD0000}"/>
    <cellStyle name="Normal 5 2 2 3 3 2 2" xfId="10230" xr:uid="{00000000-0005-0000-0000-00002CBD0000}"/>
    <cellStyle name="Normal 5 2 2 3 3 2 2 2" xfId="17020" xr:uid="{00000000-0005-0000-0000-00002DBD0000}"/>
    <cellStyle name="Normal 5 2 2 3 3 2 2 2 2" xfId="30588" xr:uid="{00000000-0005-0000-0000-00002EBD0000}"/>
    <cellStyle name="Normal 5 2 2 3 3 2 2 2 2 2" xfId="57721" xr:uid="{00000000-0005-0000-0000-00002FBD0000}"/>
    <cellStyle name="Normal 5 2 2 3 3 2 2 2 3" xfId="44159" xr:uid="{00000000-0005-0000-0000-000030BD0000}"/>
    <cellStyle name="Normal 5 2 2 3 3 2 2 3" xfId="23807" xr:uid="{00000000-0005-0000-0000-000031BD0000}"/>
    <cellStyle name="Normal 5 2 2 3 3 2 2 3 2" xfId="50940" xr:uid="{00000000-0005-0000-0000-000032BD0000}"/>
    <cellStyle name="Normal 5 2 2 3 3 2 2 4" xfId="37378" xr:uid="{00000000-0005-0000-0000-000033BD0000}"/>
    <cellStyle name="Normal 5 2 2 3 3 2 3" xfId="13631" xr:uid="{00000000-0005-0000-0000-000034BD0000}"/>
    <cellStyle name="Normal 5 2 2 3 3 2 3 2" xfId="27199" xr:uid="{00000000-0005-0000-0000-000035BD0000}"/>
    <cellStyle name="Normal 5 2 2 3 3 2 3 2 2" xfId="54332" xr:uid="{00000000-0005-0000-0000-000036BD0000}"/>
    <cellStyle name="Normal 5 2 2 3 3 2 3 3" xfId="40770" xr:uid="{00000000-0005-0000-0000-000037BD0000}"/>
    <cellStyle name="Normal 5 2 2 3 3 2 4" xfId="20418" xr:uid="{00000000-0005-0000-0000-000038BD0000}"/>
    <cellStyle name="Normal 5 2 2 3 3 2 4 2" xfId="47551" xr:uid="{00000000-0005-0000-0000-000039BD0000}"/>
    <cellStyle name="Normal 5 2 2 3 3 2 5" xfId="33989" xr:uid="{00000000-0005-0000-0000-00003ABD0000}"/>
    <cellStyle name="Normal 5 2 2 3 3 3" xfId="6699" xr:uid="{00000000-0005-0000-0000-00003BBD0000}"/>
    <cellStyle name="Normal 5 2 2 3 3 3 2" xfId="10231" xr:uid="{00000000-0005-0000-0000-00003CBD0000}"/>
    <cellStyle name="Normal 5 2 2 3 3 3 2 2" xfId="17021" xr:uid="{00000000-0005-0000-0000-00003DBD0000}"/>
    <cellStyle name="Normal 5 2 2 3 3 3 2 2 2" xfId="30589" xr:uid="{00000000-0005-0000-0000-00003EBD0000}"/>
    <cellStyle name="Normal 5 2 2 3 3 3 2 2 2 2" xfId="57722" xr:uid="{00000000-0005-0000-0000-00003FBD0000}"/>
    <cellStyle name="Normal 5 2 2 3 3 3 2 2 3" xfId="44160" xr:uid="{00000000-0005-0000-0000-000040BD0000}"/>
    <cellStyle name="Normal 5 2 2 3 3 3 2 3" xfId="23808" xr:uid="{00000000-0005-0000-0000-000041BD0000}"/>
    <cellStyle name="Normal 5 2 2 3 3 3 2 3 2" xfId="50941" xr:uid="{00000000-0005-0000-0000-000042BD0000}"/>
    <cellStyle name="Normal 5 2 2 3 3 3 2 4" xfId="37379" xr:uid="{00000000-0005-0000-0000-000043BD0000}"/>
    <cellStyle name="Normal 5 2 2 3 3 3 3" xfId="13632" xr:uid="{00000000-0005-0000-0000-000044BD0000}"/>
    <cellStyle name="Normal 5 2 2 3 3 3 3 2" xfId="27200" xr:uid="{00000000-0005-0000-0000-000045BD0000}"/>
    <cellStyle name="Normal 5 2 2 3 3 3 3 2 2" xfId="54333" xr:uid="{00000000-0005-0000-0000-000046BD0000}"/>
    <cellStyle name="Normal 5 2 2 3 3 3 3 3" xfId="40771" xr:uid="{00000000-0005-0000-0000-000047BD0000}"/>
    <cellStyle name="Normal 5 2 2 3 3 3 4" xfId="20419" xr:uid="{00000000-0005-0000-0000-000048BD0000}"/>
    <cellStyle name="Normal 5 2 2 3 3 3 4 2" xfId="47552" xr:uid="{00000000-0005-0000-0000-000049BD0000}"/>
    <cellStyle name="Normal 5 2 2 3 3 3 5" xfId="33990" xr:uid="{00000000-0005-0000-0000-00004ABD0000}"/>
    <cellStyle name="Normal 5 2 2 3 3 4" xfId="10229" xr:uid="{00000000-0005-0000-0000-00004BBD0000}"/>
    <cellStyle name="Normal 5 2 2 3 3 4 2" xfId="17019" xr:uid="{00000000-0005-0000-0000-00004CBD0000}"/>
    <cellStyle name="Normal 5 2 2 3 3 4 2 2" xfId="30587" xr:uid="{00000000-0005-0000-0000-00004DBD0000}"/>
    <cellStyle name="Normal 5 2 2 3 3 4 2 2 2" xfId="57720" xr:uid="{00000000-0005-0000-0000-00004EBD0000}"/>
    <cellStyle name="Normal 5 2 2 3 3 4 2 3" xfId="44158" xr:uid="{00000000-0005-0000-0000-00004FBD0000}"/>
    <cellStyle name="Normal 5 2 2 3 3 4 3" xfId="23806" xr:uid="{00000000-0005-0000-0000-000050BD0000}"/>
    <cellStyle name="Normal 5 2 2 3 3 4 3 2" xfId="50939" xr:uid="{00000000-0005-0000-0000-000051BD0000}"/>
    <cellStyle name="Normal 5 2 2 3 3 4 4" xfId="37377" xr:uid="{00000000-0005-0000-0000-000052BD0000}"/>
    <cellStyle name="Normal 5 2 2 3 3 5" xfId="13630" xr:uid="{00000000-0005-0000-0000-000053BD0000}"/>
    <cellStyle name="Normal 5 2 2 3 3 5 2" xfId="27198" xr:uid="{00000000-0005-0000-0000-000054BD0000}"/>
    <cellStyle name="Normal 5 2 2 3 3 5 2 2" xfId="54331" xr:uid="{00000000-0005-0000-0000-000055BD0000}"/>
    <cellStyle name="Normal 5 2 2 3 3 5 3" xfId="40769" xr:uid="{00000000-0005-0000-0000-000056BD0000}"/>
    <cellStyle name="Normal 5 2 2 3 3 6" xfId="20417" xr:uid="{00000000-0005-0000-0000-000057BD0000}"/>
    <cellStyle name="Normal 5 2 2 3 3 6 2" xfId="47550" xr:uid="{00000000-0005-0000-0000-000058BD0000}"/>
    <cellStyle name="Normal 5 2 2 3 3 7" xfId="33988" xr:uid="{00000000-0005-0000-0000-000059BD0000}"/>
    <cellStyle name="Normal 5 2 2 3 4" xfId="6700" xr:uid="{00000000-0005-0000-0000-00005ABD0000}"/>
    <cellStyle name="Normal 5 2 2 3 4 2" xfId="6701" xr:uid="{00000000-0005-0000-0000-00005BBD0000}"/>
    <cellStyle name="Normal 5 2 2 3 4 2 2" xfId="10233" xr:uid="{00000000-0005-0000-0000-00005CBD0000}"/>
    <cellStyle name="Normal 5 2 2 3 4 2 2 2" xfId="17023" xr:uid="{00000000-0005-0000-0000-00005DBD0000}"/>
    <cellStyle name="Normal 5 2 2 3 4 2 2 2 2" xfId="30591" xr:uid="{00000000-0005-0000-0000-00005EBD0000}"/>
    <cellStyle name="Normal 5 2 2 3 4 2 2 2 2 2" xfId="57724" xr:uid="{00000000-0005-0000-0000-00005FBD0000}"/>
    <cellStyle name="Normal 5 2 2 3 4 2 2 2 3" xfId="44162" xr:uid="{00000000-0005-0000-0000-000060BD0000}"/>
    <cellStyle name="Normal 5 2 2 3 4 2 2 3" xfId="23810" xr:uid="{00000000-0005-0000-0000-000061BD0000}"/>
    <cellStyle name="Normal 5 2 2 3 4 2 2 3 2" xfId="50943" xr:uid="{00000000-0005-0000-0000-000062BD0000}"/>
    <cellStyle name="Normal 5 2 2 3 4 2 2 4" xfId="37381" xr:uid="{00000000-0005-0000-0000-000063BD0000}"/>
    <cellStyle name="Normal 5 2 2 3 4 2 3" xfId="13634" xr:uid="{00000000-0005-0000-0000-000064BD0000}"/>
    <cellStyle name="Normal 5 2 2 3 4 2 3 2" xfId="27202" xr:uid="{00000000-0005-0000-0000-000065BD0000}"/>
    <cellStyle name="Normal 5 2 2 3 4 2 3 2 2" xfId="54335" xr:uid="{00000000-0005-0000-0000-000066BD0000}"/>
    <cellStyle name="Normal 5 2 2 3 4 2 3 3" xfId="40773" xr:uid="{00000000-0005-0000-0000-000067BD0000}"/>
    <cellStyle name="Normal 5 2 2 3 4 2 4" xfId="20421" xr:uid="{00000000-0005-0000-0000-000068BD0000}"/>
    <cellStyle name="Normal 5 2 2 3 4 2 4 2" xfId="47554" xr:uid="{00000000-0005-0000-0000-000069BD0000}"/>
    <cellStyle name="Normal 5 2 2 3 4 2 5" xfId="33992" xr:uid="{00000000-0005-0000-0000-00006ABD0000}"/>
    <cellStyle name="Normal 5 2 2 3 4 3" xfId="10232" xr:uid="{00000000-0005-0000-0000-00006BBD0000}"/>
    <cellStyle name="Normal 5 2 2 3 4 3 2" xfId="17022" xr:uid="{00000000-0005-0000-0000-00006CBD0000}"/>
    <cellStyle name="Normal 5 2 2 3 4 3 2 2" xfId="30590" xr:uid="{00000000-0005-0000-0000-00006DBD0000}"/>
    <cellStyle name="Normal 5 2 2 3 4 3 2 2 2" xfId="57723" xr:uid="{00000000-0005-0000-0000-00006EBD0000}"/>
    <cellStyle name="Normal 5 2 2 3 4 3 2 3" xfId="44161" xr:uid="{00000000-0005-0000-0000-00006FBD0000}"/>
    <cellStyle name="Normal 5 2 2 3 4 3 3" xfId="23809" xr:uid="{00000000-0005-0000-0000-000070BD0000}"/>
    <cellStyle name="Normal 5 2 2 3 4 3 3 2" xfId="50942" xr:uid="{00000000-0005-0000-0000-000071BD0000}"/>
    <cellStyle name="Normal 5 2 2 3 4 3 4" xfId="37380" xr:uid="{00000000-0005-0000-0000-000072BD0000}"/>
    <cellStyle name="Normal 5 2 2 3 4 4" xfId="13633" xr:uid="{00000000-0005-0000-0000-000073BD0000}"/>
    <cellStyle name="Normal 5 2 2 3 4 4 2" xfId="27201" xr:uid="{00000000-0005-0000-0000-000074BD0000}"/>
    <cellStyle name="Normal 5 2 2 3 4 4 2 2" xfId="54334" xr:uid="{00000000-0005-0000-0000-000075BD0000}"/>
    <cellStyle name="Normal 5 2 2 3 4 4 3" xfId="40772" xr:uid="{00000000-0005-0000-0000-000076BD0000}"/>
    <cellStyle name="Normal 5 2 2 3 4 5" xfId="20420" xr:uid="{00000000-0005-0000-0000-000077BD0000}"/>
    <cellStyle name="Normal 5 2 2 3 4 5 2" xfId="47553" xr:uid="{00000000-0005-0000-0000-000078BD0000}"/>
    <cellStyle name="Normal 5 2 2 3 4 6" xfId="33991" xr:uid="{00000000-0005-0000-0000-000079BD0000}"/>
    <cellStyle name="Normal 5 2 2 3 5" xfId="6702" xr:uid="{00000000-0005-0000-0000-00007ABD0000}"/>
    <cellStyle name="Normal 5 2 2 3 5 2" xfId="10234" xr:uid="{00000000-0005-0000-0000-00007BBD0000}"/>
    <cellStyle name="Normal 5 2 2 3 5 2 2" xfId="17024" xr:uid="{00000000-0005-0000-0000-00007CBD0000}"/>
    <cellStyle name="Normal 5 2 2 3 5 2 2 2" xfId="30592" xr:uid="{00000000-0005-0000-0000-00007DBD0000}"/>
    <cellStyle name="Normal 5 2 2 3 5 2 2 2 2" xfId="57725" xr:uid="{00000000-0005-0000-0000-00007EBD0000}"/>
    <cellStyle name="Normal 5 2 2 3 5 2 2 3" xfId="44163" xr:uid="{00000000-0005-0000-0000-00007FBD0000}"/>
    <cellStyle name="Normal 5 2 2 3 5 2 3" xfId="23811" xr:uid="{00000000-0005-0000-0000-000080BD0000}"/>
    <cellStyle name="Normal 5 2 2 3 5 2 3 2" xfId="50944" xr:uid="{00000000-0005-0000-0000-000081BD0000}"/>
    <cellStyle name="Normal 5 2 2 3 5 2 4" xfId="37382" xr:uid="{00000000-0005-0000-0000-000082BD0000}"/>
    <cellStyle name="Normal 5 2 2 3 5 3" xfId="13635" xr:uid="{00000000-0005-0000-0000-000083BD0000}"/>
    <cellStyle name="Normal 5 2 2 3 5 3 2" xfId="27203" xr:uid="{00000000-0005-0000-0000-000084BD0000}"/>
    <cellStyle name="Normal 5 2 2 3 5 3 2 2" xfId="54336" xr:uid="{00000000-0005-0000-0000-000085BD0000}"/>
    <cellStyle name="Normal 5 2 2 3 5 3 3" xfId="40774" xr:uid="{00000000-0005-0000-0000-000086BD0000}"/>
    <cellStyle name="Normal 5 2 2 3 5 4" xfId="20422" xr:uid="{00000000-0005-0000-0000-000087BD0000}"/>
    <cellStyle name="Normal 5 2 2 3 5 4 2" xfId="47555" xr:uid="{00000000-0005-0000-0000-000088BD0000}"/>
    <cellStyle name="Normal 5 2 2 3 5 5" xfId="33993" xr:uid="{00000000-0005-0000-0000-000089BD0000}"/>
    <cellStyle name="Normal 5 2 2 3 6" xfId="6703" xr:uid="{00000000-0005-0000-0000-00008ABD0000}"/>
    <cellStyle name="Normal 5 2 2 3 6 2" xfId="10235" xr:uid="{00000000-0005-0000-0000-00008BBD0000}"/>
    <cellStyle name="Normal 5 2 2 3 6 2 2" xfId="17025" xr:uid="{00000000-0005-0000-0000-00008CBD0000}"/>
    <cellStyle name="Normal 5 2 2 3 6 2 2 2" xfId="30593" xr:uid="{00000000-0005-0000-0000-00008DBD0000}"/>
    <cellStyle name="Normal 5 2 2 3 6 2 2 2 2" xfId="57726" xr:uid="{00000000-0005-0000-0000-00008EBD0000}"/>
    <cellStyle name="Normal 5 2 2 3 6 2 2 3" xfId="44164" xr:uid="{00000000-0005-0000-0000-00008FBD0000}"/>
    <cellStyle name="Normal 5 2 2 3 6 2 3" xfId="23812" xr:uid="{00000000-0005-0000-0000-000090BD0000}"/>
    <cellStyle name="Normal 5 2 2 3 6 2 3 2" xfId="50945" xr:uid="{00000000-0005-0000-0000-000091BD0000}"/>
    <cellStyle name="Normal 5 2 2 3 6 2 4" xfId="37383" xr:uid="{00000000-0005-0000-0000-000092BD0000}"/>
    <cellStyle name="Normal 5 2 2 3 6 3" xfId="13636" xr:uid="{00000000-0005-0000-0000-000093BD0000}"/>
    <cellStyle name="Normal 5 2 2 3 6 3 2" xfId="27204" xr:uid="{00000000-0005-0000-0000-000094BD0000}"/>
    <cellStyle name="Normal 5 2 2 3 6 3 2 2" xfId="54337" xr:uid="{00000000-0005-0000-0000-000095BD0000}"/>
    <cellStyle name="Normal 5 2 2 3 6 3 3" xfId="40775" xr:uid="{00000000-0005-0000-0000-000096BD0000}"/>
    <cellStyle name="Normal 5 2 2 3 6 4" xfId="20423" xr:uid="{00000000-0005-0000-0000-000097BD0000}"/>
    <cellStyle name="Normal 5 2 2 3 6 4 2" xfId="47556" xr:uid="{00000000-0005-0000-0000-000098BD0000}"/>
    <cellStyle name="Normal 5 2 2 3 6 5" xfId="33994" xr:uid="{00000000-0005-0000-0000-000099BD0000}"/>
    <cellStyle name="Normal 5 2 2 3 7" xfId="10220" xr:uid="{00000000-0005-0000-0000-00009ABD0000}"/>
    <cellStyle name="Normal 5 2 2 3 7 2" xfId="17010" xr:uid="{00000000-0005-0000-0000-00009BBD0000}"/>
    <cellStyle name="Normal 5 2 2 3 7 2 2" xfId="30578" xr:uid="{00000000-0005-0000-0000-00009CBD0000}"/>
    <cellStyle name="Normal 5 2 2 3 7 2 2 2" xfId="57711" xr:uid="{00000000-0005-0000-0000-00009DBD0000}"/>
    <cellStyle name="Normal 5 2 2 3 7 2 3" xfId="44149" xr:uid="{00000000-0005-0000-0000-00009EBD0000}"/>
    <cellStyle name="Normal 5 2 2 3 7 3" xfId="23797" xr:uid="{00000000-0005-0000-0000-00009FBD0000}"/>
    <cellStyle name="Normal 5 2 2 3 7 3 2" xfId="50930" xr:uid="{00000000-0005-0000-0000-0000A0BD0000}"/>
    <cellStyle name="Normal 5 2 2 3 7 4" xfId="37368" xr:uid="{00000000-0005-0000-0000-0000A1BD0000}"/>
    <cellStyle name="Normal 5 2 2 3 8" xfId="13621" xr:uid="{00000000-0005-0000-0000-0000A2BD0000}"/>
    <cellStyle name="Normal 5 2 2 3 8 2" xfId="27189" xr:uid="{00000000-0005-0000-0000-0000A3BD0000}"/>
    <cellStyle name="Normal 5 2 2 3 8 2 2" xfId="54322" xr:uid="{00000000-0005-0000-0000-0000A4BD0000}"/>
    <cellStyle name="Normal 5 2 2 3 8 3" xfId="40760" xr:uid="{00000000-0005-0000-0000-0000A5BD0000}"/>
    <cellStyle name="Normal 5 2 2 3 9" xfId="20408" xr:uid="{00000000-0005-0000-0000-0000A6BD0000}"/>
    <cellStyle name="Normal 5 2 2 3 9 2" xfId="47541" xr:uid="{00000000-0005-0000-0000-0000A7BD0000}"/>
    <cellStyle name="Normal 5 2 2 4" xfId="6704" xr:uid="{00000000-0005-0000-0000-0000A8BD0000}"/>
    <cellStyle name="Normal 5 2 2 4 2" xfId="6705" xr:uid="{00000000-0005-0000-0000-0000A9BD0000}"/>
    <cellStyle name="Normal 5 2 2 4 2 2" xfId="6706" xr:uid="{00000000-0005-0000-0000-0000AABD0000}"/>
    <cellStyle name="Normal 5 2 2 4 2 2 2" xfId="10238" xr:uid="{00000000-0005-0000-0000-0000ABBD0000}"/>
    <cellStyle name="Normal 5 2 2 4 2 2 2 2" xfId="17028" xr:uid="{00000000-0005-0000-0000-0000ACBD0000}"/>
    <cellStyle name="Normal 5 2 2 4 2 2 2 2 2" xfId="30596" xr:uid="{00000000-0005-0000-0000-0000ADBD0000}"/>
    <cellStyle name="Normal 5 2 2 4 2 2 2 2 2 2" xfId="57729" xr:uid="{00000000-0005-0000-0000-0000AEBD0000}"/>
    <cellStyle name="Normal 5 2 2 4 2 2 2 2 3" xfId="44167" xr:uid="{00000000-0005-0000-0000-0000AFBD0000}"/>
    <cellStyle name="Normal 5 2 2 4 2 2 2 3" xfId="23815" xr:uid="{00000000-0005-0000-0000-0000B0BD0000}"/>
    <cellStyle name="Normal 5 2 2 4 2 2 2 3 2" xfId="50948" xr:uid="{00000000-0005-0000-0000-0000B1BD0000}"/>
    <cellStyle name="Normal 5 2 2 4 2 2 2 4" xfId="37386" xr:uid="{00000000-0005-0000-0000-0000B2BD0000}"/>
    <cellStyle name="Normal 5 2 2 4 2 2 3" xfId="13639" xr:uid="{00000000-0005-0000-0000-0000B3BD0000}"/>
    <cellStyle name="Normal 5 2 2 4 2 2 3 2" xfId="27207" xr:uid="{00000000-0005-0000-0000-0000B4BD0000}"/>
    <cellStyle name="Normal 5 2 2 4 2 2 3 2 2" xfId="54340" xr:uid="{00000000-0005-0000-0000-0000B5BD0000}"/>
    <cellStyle name="Normal 5 2 2 4 2 2 3 3" xfId="40778" xr:uid="{00000000-0005-0000-0000-0000B6BD0000}"/>
    <cellStyle name="Normal 5 2 2 4 2 2 4" xfId="20426" xr:uid="{00000000-0005-0000-0000-0000B7BD0000}"/>
    <cellStyle name="Normal 5 2 2 4 2 2 4 2" xfId="47559" xr:uid="{00000000-0005-0000-0000-0000B8BD0000}"/>
    <cellStyle name="Normal 5 2 2 4 2 2 5" xfId="33997" xr:uid="{00000000-0005-0000-0000-0000B9BD0000}"/>
    <cellStyle name="Normal 5 2 2 4 2 3" xfId="6707" xr:uid="{00000000-0005-0000-0000-0000BABD0000}"/>
    <cellStyle name="Normal 5 2 2 4 2 3 2" xfId="10239" xr:uid="{00000000-0005-0000-0000-0000BBBD0000}"/>
    <cellStyle name="Normal 5 2 2 4 2 3 2 2" xfId="17029" xr:uid="{00000000-0005-0000-0000-0000BCBD0000}"/>
    <cellStyle name="Normal 5 2 2 4 2 3 2 2 2" xfId="30597" xr:uid="{00000000-0005-0000-0000-0000BDBD0000}"/>
    <cellStyle name="Normal 5 2 2 4 2 3 2 2 2 2" xfId="57730" xr:uid="{00000000-0005-0000-0000-0000BEBD0000}"/>
    <cellStyle name="Normal 5 2 2 4 2 3 2 2 3" xfId="44168" xr:uid="{00000000-0005-0000-0000-0000BFBD0000}"/>
    <cellStyle name="Normal 5 2 2 4 2 3 2 3" xfId="23816" xr:uid="{00000000-0005-0000-0000-0000C0BD0000}"/>
    <cellStyle name="Normal 5 2 2 4 2 3 2 3 2" xfId="50949" xr:uid="{00000000-0005-0000-0000-0000C1BD0000}"/>
    <cellStyle name="Normal 5 2 2 4 2 3 2 4" xfId="37387" xr:uid="{00000000-0005-0000-0000-0000C2BD0000}"/>
    <cellStyle name="Normal 5 2 2 4 2 3 3" xfId="13640" xr:uid="{00000000-0005-0000-0000-0000C3BD0000}"/>
    <cellStyle name="Normal 5 2 2 4 2 3 3 2" xfId="27208" xr:uid="{00000000-0005-0000-0000-0000C4BD0000}"/>
    <cellStyle name="Normal 5 2 2 4 2 3 3 2 2" xfId="54341" xr:uid="{00000000-0005-0000-0000-0000C5BD0000}"/>
    <cellStyle name="Normal 5 2 2 4 2 3 3 3" xfId="40779" xr:uid="{00000000-0005-0000-0000-0000C6BD0000}"/>
    <cellStyle name="Normal 5 2 2 4 2 3 4" xfId="20427" xr:uid="{00000000-0005-0000-0000-0000C7BD0000}"/>
    <cellStyle name="Normal 5 2 2 4 2 3 4 2" xfId="47560" xr:uid="{00000000-0005-0000-0000-0000C8BD0000}"/>
    <cellStyle name="Normal 5 2 2 4 2 3 5" xfId="33998" xr:uid="{00000000-0005-0000-0000-0000C9BD0000}"/>
    <cellStyle name="Normal 5 2 2 4 2 4" xfId="10237" xr:uid="{00000000-0005-0000-0000-0000CABD0000}"/>
    <cellStyle name="Normal 5 2 2 4 2 4 2" xfId="17027" xr:uid="{00000000-0005-0000-0000-0000CBBD0000}"/>
    <cellStyle name="Normal 5 2 2 4 2 4 2 2" xfId="30595" xr:uid="{00000000-0005-0000-0000-0000CCBD0000}"/>
    <cellStyle name="Normal 5 2 2 4 2 4 2 2 2" xfId="57728" xr:uid="{00000000-0005-0000-0000-0000CDBD0000}"/>
    <cellStyle name="Normal 5 2 2 4 2 4 2 3" xfId="44166" xr:uid="{00000000-0005-0000-0000-0000CEBD0000}"/>
    <cellStyle name="Normal 5 2 2 4 2 4 3" xfId="23814" xr:uid="{00000000-0005-0000-0000-0000CFBD0000}"/>
    <cellStyle name="Normal 5 2 2 4 2 4 3 2" xfId="50947" xr:uid="{00000000-0005-0000-0000-0000D0BD0000}"/>
    <cellStyle name="Normal 5 2 2 4 2 4 4" xfId="37385" xr:uid="{00000000-0005-0000-0000-0000D1BD0000}"/>
    <cellStyle name="Normal 5 2 2 4 2 5" xfId="13638" xr:uid="{00000000-0005-0000-0000-0000D2BD0000}"/>
    <cellStyle name="Normal 5 2 2 4 2 5 2" xfId="27206" xr:uid="{00000000-0005-0000-0000-0000D3BD0000}"/>
    <cellStyle name="Normal 5 2 2 4 2 5 2 2" xfId="54339" xr:uid="{00000000-0005-0000-0000-0000D4BD0000}"/>
    <cellStyle name="Normal 5 2 2 4 2 5 3" xfId="40777" xr:uid="{00000000-0005-0000-0000-0000D5BD0000}"/>
    <cellStyle name="Normal 5 2 2 4 2 6" xfId="20425" xr:uid="{00000000-0005-0000-0000-0000D6BD0000}"/>
    <cellStyle name="Normal 5 2 2 4 2 6 2" xfId="47558" xr:uid="{00000000-0005-0000-0000-0000D7BD0000}"/>
    <cellStyle name="Normal 5 2 2 4 2 7" xfId="33996" xr:uid="{00000000-0005-0000-0000-0000D8BD0000}"/>
    <cellStyle name="Normal 5 2 2 4 3" xfId="6708" xr:uid="{00000000-0005-0000-0000-0000D9BD0000}"/>
    <cellStyle name="Normal 5 2 2 4 3 2" xfId="6709" xr:uid="{00000000-0005-0000-0000-0000DABD0000}"/>
    <cellStyle name="Normal 5 2 2 4 3 2 2" xfId="10241" xr:uid="{00000000-0005-0000-0000-0000DBBD0000}"/>
    <cellStyle name="Normal 5 2 2 4 3 2 2 2" xfId="17031" xr:uid="{00000000-0005-0000-0000-0000DCBD0000}"/>
    <cellStyle name="Normal 5 2 2 4 3 2 2 2 2" xfId="30599" xr:uid="{00000000-0005-0000-0000-0000DDBD0000}"/>
    <cellStyle name="Normal 5 2 2 4 3 2 2 2 2 2" xfId="57732" xr:uid="{00000000-0005-0000-0000-0000DEBD0000}"/>
    <cellStyle name="Normal 5 2 2 4 3 2 2 2 3" xfId="44170" xr:uid="{00000000-0005-0000-0000-0000DFBD0000}"/>
    <cellStyle name="Normal 5 2 2 4 3 2 2 3" xfId="23818" xr:uid="{00000000-0005-0000-0000-0000E0BD0000}"/>
    <cellStyle name="Normal 5 2 2 4 3 2 2 3 2" xfId="50951" xr:uid="{00000000-0005-0000-0000-0000E1BD0000}"/>
    <cellStyle name="Normal 5 2 2 4 3 2 2 4" xfId="37389" xr:uid="{00000000-0005-0000-0000-0000E2BD0000}"/>
    <cellStyle name="Normal 5 2 2 4 3 2 3" xfId="13642" xr:uid="{00000000-0005-0000-0000-0000E3BD0000}"/>
    <cellStyle name="Normal 5 2 2 4 3 2 3 2" xfId="27210" xr:uid="{00000000-0005-0000-0000-0000E4BD0000}"/>
    <cellStyle name="Normal 5 2 2 4 3 2 3 2 2" xfId="54343" xr:uid="{00000000-0005-0000-0000-0000E5BD0000}"/>
    <cellStyle name="Normal 5 2 2 4 3 2 3 3" xfId="40781" xr:uid="{00000000-0005-0000-0000-0000E6BD0000}"/>
    <cellStyle name="Normal 5 2 2 4 3 2 4" xfId="20429" xr:uid="{00000000-0005-0000-0000-0000E7BD0000}"/>
    <cellStyle name="Normal 5 2 2 4 3 2 4 2" xfId="47562" xr:uid="{00000000-0005-0000-0000-0000E8BD0000}"/>
    <cellStyle name="Normal 5 2 2 4 3 2 5" xfId="34000" xr:uid="{00000000-0005-0000-0000-0000E9BD0000}"/>
    <cellStyle name="Normal 5 2 2 4 3 3" xfId="10240" xr:uid="{00000000-0005-0000-0000-0000EABD0000}"/>
    <cellStyle name="Normal 5 2 2 4 3 3 2" xfId="17030" xr:uid="{00000000-0005-0000-0000-0000EBBD0000}"/>
    <cellStyle name="Normal 5 2 2 4 3 3 2 2" xfId="30598" xr:uid="{00000000-0005-0000-0000-0000ECBD0000}"/>
    <cellStyle name="Normal 5 2 2 4 3 3 2 2 2" xfId="57731" xr:uid="{00000000-0005-0000-0000-0000EDBD0000}"/>
    <cellStyle name="Normal 5 2 2 4 3 3 2 3" xfId="44169" xr:uid="{00000000-0005-0000-0000-0000EEBD0000}"/>
    <cellStyle name="Normal 5 2 2 4 3 3 3" xfId="23817" xr:uid="{00000000-0005-0000-0000-0000EFBD0000}"/>
    <cellStyle name="Normal 5 2 2 4 3 3 3 2" xfId="50950" xr:uid="{00000000-0005-0000-0000-0000F0BD0000}"/>
    <cellStyle name="Normal 5 2 2 4 3 3 4" xfId="37388" xr:uid="{00000000-0005-0000-0000-0000F1BD0000}"/>
    <cellStyle name="Normal 5 2 2 4 3 4" xfId="13641" xr:uid="{00000000-0005-0000-0000-0000F2BD0000}"/>
    <cellStyle name="Normal 5 2 2 4 3 4 2" xfId="27209" xr:uid="{00000000-0005-0000-0000-0000F3BD0000}"/>
    <cellStyle name="Normal 5 2 2 4 3 4 2 2" xfId="54342" xr:uid="{00000000-0005-0000-0000-0000F4BD0000}"/>
    <cellStyle name="Normal 5 2 2 4 3 4 3" xfId="40780" xr:uid="{00000000-0005-0000-0000-0000F5BD0000}"/>
    <cellStyle name="Normal 5 2 2 4 3 5" xfId="20428" xr:uid="{00000000-0005-0000-0000-0000F6BD0000}"/>
    <cellStyle name="Normal 5 2 2 4 3 5 2" xfId="47561" xr:uid="{00000000-0005-0000-0000-0000F7BD0000}"/>
    <cellStyle name="Normal 5 2 2 4 3 6" xfId="33999" xr:uid="{00000000-0005-0000-0000-0000F8BD0000}"/>
    <cellStyle name="Normal 5 2 2 4 4" xfId="6710" xr:uid="{00000000-0005-0000-0000-0000F9BD0000}"/>
    <cellStyle name="Normal 5 2 2 4 4 2" xfId="10242" xr:uid="{00000000-0005-0000-0000-0000FABD0000}"/>
    <cellStyle name="Normal 5 2 2 4 4 2 2" xfId="17032" xr:uid="{00000000-0005-0000-0000-0000FBBD0000}"/>
    <cellStyle name="Normal 5 2 2 4 4 2 2 2" xfId="30600" xr:uid="{00000000-0005-0000-0000-0000FCBD0000}"/>
    <cellStyle name="Normal 5 2 2 4 4 2 2 2 2" xfId="57733" xr:uid="{00000000-0005-0000-0000-0000FDBD0000}"/>
    <cellStyle name="Normal 5 2 2 4 4 2 2 3" xfId="44171" xr:uid="{00000000-0005-0000-0000-0000FEBD0000}"/>
    <cellStyle name="Normal 5 2 2 4 4 2 3" xfId="23819" xr:uid="{00000000-0005-0000-0000-0000FFBD0000}"/>
    <cellStyle name="Normal 5 2 2 4 4 2 3 2" xfId="50952" xr:uid="{00000000-0005-0000-0000-000000BE0000}"/>
    <cellStyle name="Normal 5 2 2 4 4 2 4" xfId="37390" xr:uid="{00000000-0005-0000-0000-000001BE0000}"/>
    <cellStyle name="Normal 5 2 2 4 4 3" xfId="13643" xr:uid="{00000000-0005-0000-0000-000002BE0000}"/>
    <cellStyle name="Normal 5 2 2 4 4 3 2" xfId="27211" xr:uid="{00000000-0005-0000-0000-000003BE0000}"/>
    <cellStyle name="Normal 5 2 2 4 4 3 2 2" xfId="54344" xr:uid="{00000000-0005-0000-0000-000004BE0000}"/>
    <cellStyle name="Normal 5 2 2 4 4 3 3" xfId="40782" xr:uid="{00000000-0005-0000-0000-000005BE0000}"/>
    <cellStyle name="Normal 5 2 2 4 4 4" xfId="20430" xr:uid="{00000000-0005-0000-0000-000006BE0000}"/>
    <cellStyle name="Normal 5 2 2 4 4 4 2" xfId="47563" xr:uid="{00000000-0005-0000-0000-000007BE0000}"/>
    <cellStyle name="Normal 5 2 2 4 4 5" xfId="34001" xr:uid="{00000000-0005-0000-0000-000008BE0000}"/>
    <cellStyle name="Normal 5 2 2 4 5" xfId="6711" xr:uid="{00000000-0005-0000-0000-000009BE0000}"/>
    <cellStyle name="Normal 5 2 2 4 5 2" xfId="10243" xr:uid="{00000000-0005-0000-0000-00000ABE0000}"/>
    <cellStyle name="Normal 5 2 2 4 5 2 2" xfId="17033" xr:uid="{00000000-0005-0000-0000-00000BBE0000}"/>
    <cellStyle name="Normal 5 2 2 4 5 2 2 2" xfId="30601" xr:uid="{00000000-0005-0000-0000-00000CBE0000}"/>
    <cellStyle name="Normal 5 2 2 4 5 2 2 2 2" xfId="57734" xr:uid="{00000000-0005-0000-0000-00000DBE0000}"/>
    <cellStyle name="Normal 5 2 2 4 5 2 2 3" xfId="44172" xr:uid="{00000000-0005-0000-0000-00000EBE0000}"/>
    <cellStyle name="Normal 5 2 2 4 5 2 3" xfId="23820" xr:uid="{00000000-0005-0000-0000-00000FBE0000}"/>
    <cellStyle name="Normal 5 2 2 4 5 2 3 2" xfId="50953" xr:uid="{00000000-0005-0000-0000-000010BE0000}"/>
    <cellStyle name="Normal 5 2 2 4 5 2 4" xfId="37391" xr:uid="{00000000-0005-0000-0000-000011BE0000}"/>
    <cellStyle name="Normal 5 2 2 4 5 3" xfId="13644" xr:uid="{00000000-0005-0000-0000-000012BE0000}"/>
    <cellStyle name="Normal 5 2 2 4 5 3 2" xfId="27212" xr:uid="{00000000-0005-0000-0000-000013BE0000}"/>
    <cellStyle name="Normal 5 2 2 4 5 3 2 2" xfId="54345" xr:uid="{00000000-0005-0000-0000-000014BE0000}"/>
    <cellStyle name="Normal 5 2 2 4 5 3 3" xfId="40783" xr:uid="{00000000-0005-0000-0000-000015BE0000}"/>
    <cellStyle name="Normal 5 2 2 4 5 4" xfId="20431" xr:uid="{00000000-0005-0000-0000-000016BE0000}"/>
    <cellStyle name="Normal 5 2 2 4 5 4 2" xfId="47564" xr:uid="{00000000-0005-0000-0000-000017BE0000}"/>
    <cellStyle name="Normal 5 2 2 4 5 5" xfId="34002" xr:uid="{00000000-0005-0000-0000-000018BE0000}"/>
    <cellStyle name="Normal 5 2 2 4 6" xfId="10236" xr:uid="{00000000-0005-0000-0000-000019BE0000}"/>
    <cellStyle name="Normal 5 2 2 4 6 2" xfId="17026" xr:uid="{00000000-0005-0000-0000-00001ABE0000}"/>
    <cellStyle name="Normal 5 2 2 4 6 2 2" xfId="30594" xr:uid="{00000000-0005-0000-0000-00001BBE0000}"/>
    <cellStyle name="Normal 5 2 2 4 6 2 2 2" xfId="57727" xr:uid="{00000000-0005-0000-0000-00001CBE0000}"/>
    <cellStyle name="Normal 5 2 2 4 6 2 3" xfId="44165" xr:uid="{00000000-0005-0000-0000-00001DBE0000}"/>
    <cellStyle name="Normal 5 2 2 4 6 3" xfId="23813" xr:uid="{00000000-0005-0000-0000-00001EBE0000}"/>
    <cellStyle name="Normal 5 2 2 4 6 3 2" xfId="50946" xr:uid="{00000000-0005-0000-0000-00001FBE0000}"/>
    <cellStyle name="Normal 5 2 2 4 6 4" xfId="37384" xr:uid="{00000000-0005-0000-0000-000020BE0000}"/>
    <cellStyle name="Normal 5 2 2 4 7" xfId="13637" xr:uid="{00000000-0005-0000-0000-000021BE0000}"/>
    <cellStyle name="Normal 5 2 2 4 7 2" xfId="27205" xr:uid="{00000000-0005-0000-0000-000022BE0000}"/>
    <cellStyle name="Normal 5 2 2 4 7 2 2" xfId="54338" xr:uid="{00000000-0005-0000-0000-000023BE0000}"/>
    <cellStyle name="Normal 5 2 2 4 7 3" xfId="40776" xr:uid="{00000000-0005-0000-0000-000024BE0000}"/>
    <cellStyle name="Normal 5 2 2 4 8" xfId="20424" xr:uid="{00000000-0005-0000-0000-000025BE0000}"/>
    <cellStyle name="Normal 5 2 2 4 8 2" xfId="47557" xr:uid="{00000000-0005-0000-0000-000026BE0000}"/>
    <cellStyle name="Normal 5 2 2 4 9" xfId="33995" xr:uid="{00000000-0005-0000-0000-000027BE0000}"/>
    <cellStyle name="Normal 5 2 2 5" xfId="6712" xr:uid="{00000000-0005-0000-0000-000028BE0000}"/>
    <cellStyle name="Normal 5 2 2 5 2" xfId="6713" xr:uid="{00000000-0005-0000-0000-000029BE0000}"/>
    <cellStyle name="Normal 5 2 2 5 2 2" xfId="6714" xr:uid="{00000000-0005-0000-0000-00002ABE0000}"/>
    <cellStyle name="Normal 5 2 2 5 2 2 2" xfId="10246" xr:uid="{00000000-0005-0000-0000-00002BBE0000}"/>
    <cellStyle name="Normal 5 2 2 5 2 2 2 2" xfId="17036" xr:uid="{00000000-0005-0000-0000-00002CBE0000}"/>
    <cellStyle name="Normal 5 2 2 5 2 2 2 2 2" xfId="30604" xr:uid="{00000000-0005-0000-0000-00002DBE0000}"/>
    <cellStyle name="Normal 5 2 2 5 2 2 2 2 2 2" xfId="57737" xr:uid="{00000000-0005-0000-0000-00002EBE0000}"/>
    <cellStyle name="Normal 5 2 2 5 2 2 2 2 3" xfId="44175" xr:uid="{00000000-0005-0000-0000-00002FBE0000}"/>
    <cellStyle name="Normal 5 2 2 5 2 2 2 3" xfId="23823" xr:uid="{00000000-0005-0000-0000-000030BE0000}"/>
    <cellStyle name="Normal 5 2 2 5 2 2 2 3 2" xfId="50956" xr:uid="{00000000-0005-0000-0000-000031BE0000}"/>
    <cellStyle name="Normal 5 2 2 5 2 2 2 4" xfId="37394" xr:uid="{00000000-0005-0000-0000-000032BE0000}"/>
    <cellStyle name="Normal 5 2 2 5 2 2 3" xfId="13647" xr:uid="{00000000-0005-0000-0000-000033BE0000}"/>
    <cellStyle name="Normal 5 2 2 5 2 2 3 2" xfId="27215" xr:uid="{00000000-0005-0000-0000-000034BE0000}"/>
    <cellStyle name="Normal 5 2 2 5 2 2 3 2 2" xfId="54348" xr:uid="{00000000-0005-0000-0000-000035BE0000}"/>
    <cellStyle name="Normal 5 2 2 5 2 2 3 3" xfId="40786" xr:uid="{00000000-0005-0000-0000-000036BE0000}"/>
    <cellStyle name="Normal 5 2 2 5 2 2 4" xfId="20434" xr:uid="{00000000-0005-0000-0000-000037BE0000}"/>
    <cellStyle name="Normal 5 2 2 5 2 2 4 2" xfId="47567" xr:uid="{00000000-0005-0000-0000-000038BE0000}"/>
    <cellStyle name="Normal 5 2 2 5 2 2 5" xfId="34005" xr:uid="{00000000-0005-0000-0000-000039BE0000}"/>
    <cellStyle name="Normal 5 2 2 5 2 3" xfId="6715" xr:uid="{00000000-0005-0000-0000-00003ABE0000}"/>
    <cellStyle name="Normal 5 2 2 5 2 3 2" xfId="10247" xr:uid="{00000000-0005-0000-0000-00003BBE0000}"/>
    <cellStyle name="Normal 5 2 2 5 2 3 2 2" xfId="17037" xr:uid="{00000000-0005-0000-0000-00003CBE0000}"/>
    <cellStyle name="Normal 5 2 2 5 2 3 2 2 2" xfId="30605" xr:uid="{00000000-0005-0000-0000-00003DBE0000}"/>
    <cellStyle name="Normal 5 2 2 5 2 3 2 2 2 2" xfId="57738" xr:uid="{00000000-0005-0000-0000-00003EBE0000}"/>
    <cellStyle name="Normal 5 2 2 5 2 3 2 2 3" xfId="44176" xr:uid="{00000000-0005-0000-0000-00003FBE0000}"/>
    <cellStyle name="Normal 5 2 2 5 2 3 2 3" xfId="23824" xr:uid="{00000000-0005-0000-0000-000040BE0000}"/>
    <cellStyle name="Normal 5 2 2 5 2 3 2 3 2" xfId="50957" xr:uid="{00000000-0005-0000-0000-000041BE0000}"/>
    <cellStyle name="Normal 5 2 2 5 2 3 2 4" xfId="37395" xr:uid="{00000000-0005-0000-0000-000042BE0000}"/>
    <cellStyle name="Normal 5 2 2 5 2 3 3" xfId="13648" xr:uid="{00000000-0005-0000-0000-000043BE0000}"/>
    <cellStyle name="Normal 5 2 2 5 2 3 3 2" xfId="27216" xr:uid="{00000000-0005-0000-0000-000044BE0000}"/>
    <cellStyle name="Normal 5 2 2 5 2 3 3 2 2" xfId="54349" xr:uid="{00000000-0005-0000-0000-000045BE0000}"/>
    <cellStyle name="Normal 5 2 2 5 2 3 3 3" xfId="40787" xr:uid="{00000000-0005-0000-0000-000046BE0000}"/>
    <cellStyle name="Normal 5 2 2 5 2 3 4" xfId="20435" xr:uid="{00000000-0005-0000-0000-000047BE0000}"/>
    <cellStyle name="Normal 5 2 2 5 2 3 4 2" xfId="47568" xr:uid="{00000000-0005-0000-0000-000048BE0000}"/>
    <cellStyle name="Normal 5 2 2 5 2 3 5" xfId="34006" xr:uid="{00000000-0005-0000-0000-000049BE0000}"/>
    <cellStyle name="Normal 5 2 2 5 2 4" xfId="10245" xr:uid="{00000000-0005-0000-0000-00004ABE0000}"/>
    <cellStyle name="Normal 5 2 2 5 2 4 2" xfId="17035" xr:uid="{00000000-0005-0000-0000-00004BBE0000}"/>
    <cellStyle name="Normal 5 2 2 5 2 4 2 2" xfId="30603" xr:uid="{00000000-0005-0000-0000-00004CBE0000}"/>
    <cellStyle name="Normal 5 2 2 5 2 4 2 2 2" xfId="57736" xr:uid="{00000000-0005-0000-0000-00004DBE0000}"/>
    <cellStyle name="Normal 5 2 2 5 2 4 2 3" xfId="44174" xr:uid="{00000000-0005-0000-0000-00004EBE0000}"/>
    <cellStyle name="Normal 5 2 2 5 2 4 3" xfId="23822" xr:uid="{00000000-0005-0000-0000-00004FBE0000}"/>
    <cellStyle name="Normal 5 2 2 5 2 4 3 2" xfId="50955" xr:uid="{00000000-0005-0000-0000-000050BE0000}"/>
    <cellStyle name="Normal 5 2 2 5 2 4 4" xfId="37393" xr:uid="{00000000-0005-0000-0000-000051BE0000}"/>
    <cellStyle name="Normal 5 2 2 5 2 5" xfId="13646" xr:uid="{00000000-0005-0000-0000-000052BE0000}"/>
    <cellStyle name="Normal 5 2 2 5 2 5 2" xfId="27214" xr:uid="{00000000-0005-0000-0000-000053BE0000}"/>
    <cellStyle name="Normal 5 2 2 5 2 5 2 2" xfId="54347" xr:uid="{00000000-0005-0000-0000-000054BE0000}"/>
    <cellStyle name="Normal 5 2 2 5 2 5 3" xfId="40785" xr:uid="{00000000-0005-0000-0000-000055BE0000}"/>
    <cellStyle name="Normal 5 2 2 5 2 6" xfId="20433" xr:uid="{00000000-0005-0000-0000-000056BE0000}"/>
    <cellStyle name="Normal 5 2 2 5 2 6 2" xfId="47566" xr:uid="{00000000-0005-0000-0000-000057BE0000}"/>
    <cellStyle name="Normal 5 2 2 5 2 7" xfId="34004" xr:uid="{00000000-0005-0000-0000-000058BE0000}"/>
    <cellStyle name="Normal 5 2 2 5 3" xfId="6716" xr:uid="{00000000-0005-0000-0000-000059BE0000}"/>
    <cellStyle name="Normal 5 2 2 5 3 2" xfId="10248" xr:uid="{00000000-0005-0000-0000-00005ABE0000}"/>
    <cellStyle name="Normal 5 2 2 5 3 2 2" xfId="17038" xr:uid="{00000000-0005-0000-0000-00005BBE0000}"/>
    <cellStyle name="Normal 5 2 2 5 3 2 2 2" xfId="30606" xr:uid="{00000000-0005-0000-0000-00005CBE0000}"/>
    <cellStyle name="Normal 5 2 2 5 3 2 2 2 2" xfId="57739" xr:uid="{00000000-0005-0000-0000-00005DBE0000}"/>
    <cellStyle name="Normal 5 2 2 5 3 2 2 3" xfId="44177" xr:uid="{00000000-0005-0000-0000-00005EBE0000}"/>
    <cellStyle name="Normal 5 2 2 5 3 2 3" xfId="23825" xr:uid="{00000000-0005-0000-0000-00005FBE0000}"/>
    <cellStyle name="Normal 5 2 2 5 3 2 3 2" xfId="50958" xr:uid="{00000000-0005-0000-0000-000060BE0000}"/>
    <cellStyle name="Normal 5 2 2 5 3 2 4" xfId="37396" xr:uid="{00000000-0005-0000-0000-000061BE0000}"/>
    <cellStyle name="Normal 5 2 2 5 3 3" xfId="13649" xr:uid="{00000000-0005-0000-0000-000062BE0000}"/>
    <cellStyle name="Normal 5 2 2 5 3 3 2" xfId="27217" xr:uid="{00000000-0005-0000-0000-000063BE0000}"/>
    <cellStyle name="Normal 5 2 2 5 3 3 2 2" xfId="54350" xr:uid="{00000000-0005-0000-0000-000064BE0000}"/>
    <cellStyle name="Normal 5 2 2 5 3 3 3" xfId="40788" xr:uid="{00000000-0005-0000-0000-000065BE0000}"/>
    <cellStyle name="Normal 5 2 2 5 3 4" xfId="20436" xr:uid="{00000000-0005-0000-0000-000066BE0000}"/>
    <cellStyle name="Normal 5 2 2 5 3 4 2" xfId="47569" xr:uid="{00000000-0005-0000-0000-000067BE0000}"/>
    <cellStyle name="Normal 5 2 2 5 3 5" xfId="34007" xr:uid="{00000000-0005-0000-0000-000068BE0000}"/>
    <cellStyle name="Normal 5 2 2 5 4" xfId="6717" xr:uid="{00000000-0005-0000-0000-000069BE0000}"/>
    <cellStyle name="Normal 5 2 2 5 4 2" xfId="10249" xr:uid="{00000000-0005-0000-0000-00006ABE0000}"/>
    <cellStyle name="Normal 5 2 2 5 4 2 2" xfId="17039" xr:uid="{00000000-0005-0000-0000-00006BBE0000}"/>
    <cellStyle name="Normal 5 2 2 5 4 2 2 2" xfId="30607" xr:uid="{00000000-0005-0000-0000-00006CBE0000}"/>
    <cellStyle name="Normal 5 2 2 5 4 2 2 2 2" xfId="57740" xr:uid="{00000000-0005-0000-0000-00006DBE0000}"/>
    <cellStyle name="Normal 5 2 2 5 4 2 2 3" xfId="44178" xr:uid="{00000000-0005-0000-0000-00006EBE0000}"/>
    <cellStyle name="Normal 5 2 2 5 4 2 3" xfId="23826" xr:uid="{00000000-0005-0000-0000-00006FBE0000}"/>
    <cellStyle name="Normal 5 2 2 5 4 2 3 2" xfId="50959" xr:uid="{00000000-0005-0000-0000-000070BE0000}"/>
    <cellStyle name="Normal 5 2 2 5 4 2 4" xfId="37397" xr:uid="{00000000-0005-0000-0000-000071BE0000}"/>
    <cellStyle name="Normal 5 2 2 5 4 3" xfId="13650" xr:uid="{00000000-0005-0000-0000-000072BE0000}"/>
    <cellStyle name="Normal 5 2 2 5 4 3 2" xfId="27218" xr:uid="{00000000-0005-0000-0000-000073BE0000}"/>
    <cellStyle name="Normal 5 2 2 5 4 3 2 2" xfId="54351" xr:uid="{00000000-0005-0000-0000-000074BE0000}"/>
    <cellStyle name="Normal 5 2 2 5 4 3 3" xfId="40789" xr:uid="{00000000-0005-0000-0000-000075BE0000}"/>
    <cellStyle name="Normal 5 2 2 5 4 4" xfId="20437" xr:uid="{00000000-0005-0000-0000-000076BE0000}"/>
    <cellStyle name="Normal 5 2 2 5 4 4 2" xfId="47570" xr:uid="{00000000-0005-0000-0000-000077BE0000}"/>
    <cellStyle name="Normal 5 2 2 5 4 5" xfId="34008" xr:uid="{00000000-0005-0000-0000-000078BE0000}"/>
    <cellStyle name="Normal 5 2 2 5 5" xfId="10244" xr:uid="{00000000-0005-0000-0000-000079BE0000}"/>
    <cellStyle name="Normal 5 2 2 5 5 2" xfId="17034" xr:uid="{00000000-0005-0000-0000-00007ABE0000}"/>
    <cellStyle name="Normal 5 2 2 5 5 2 2" xfId="30602" xr:uid="{00000000-0005-0000-0000-00007BBE0000}"/>
    <cellStyle name="Normal 5 2 2 5 5 2 2 2" xfId="57735" xr:uid="{00000000-0005-0000-0000-00007CBE0000}"/>
    <cellStyle name="Normal 5 2 2 5 5 2 3" xfId="44173" xr:uid="{00000000-0005-0000-0000-00007DBE0000}"/>
    <cellStyle name="Normal 5 2 2 5 5 3" xfId="23821" xr:uid="{00000000-0005-0000-0000-00007EBE0000}"/>
    <cellStyle name="Normal 5 2 2 5 5 3 2" xfId="50954" xr:uid="{00000000-0005-0000-0000-00007FBE0000}"/>
    <cellStyle name="Normal 5 2 2 5 5 4" xfId="37392" xr:uid="{00000000-0005-0000-0000-000080BE0000}"/>
    <cellStyle name="Normal 5 2 2 5 6" xfId="13645" xr:uid="{00000000-0005-0000-0000-000081BE0000}"/>
    <cellStyle name="Normal 5 2 2 5 6 2" xfId="27213" xr:uid="{00000000-0005-0000-0000-000082BE0000}"/>
    <cellStyle name="Normal 5 2 2 5 6 2 2" xfId="54346" xr:uid="{00000000-0005-0000-0000-000083BE0000}"/>
    <cellStyle name="Normal 5 2 2 5 6 3" xfId="40784" xr:uid="{00000000-0005-0000-0000-000084BE0000}"/>
    <cellStyle name="Normal 5 2 2 5 7" xfId="20432" xr:uid="{00000000-0005-0000-0000-000085BE0000}"/>
    <cellStyle name="Normal 5 2 2 5 7 2" xfId="47565" xr:uid="{00000000-0005-0000-0000-000086BE0000}"/>
    <cellStyle name="Normal 5 2 2 5 8" xfId="34003" xr:uid="{00000000-0005-0000-0000-000087BE0000}"/>
    <cellStyle name="Normal 5 2 2 6" xfId="6718" xr:uid="{00000000-0005-0000-0000-000088BE0000}"/>
    <cellStyle name="Normal 5 2 2 6 2" xfId="6719" xr:uid="{00000000-0005-0000-0000-000089BE0000}"/>
    <cellStyle name="Normal 5 2 2 6 2 2" xfId="6720" xr:uid="{00000000-0005-0000-0000-00008ABE0000}"/>
    <cellStyle name="Normal 5 2 2 6 2 2 2" xfId="10252" xr:uid="{00000000-0005-0000-0000-00008BBE0000}"/>
    <cellStyle name="Normal 5 2 2 6 2 2 2 2" xfId="17042" xr:uid="{00000000-0005-0000-0000-00008CBE0000}"/>
    <cellStyle name="Normal 5 2 2 6 2 2 2 2 2" xfId="30610" xr:uid="{00000000-0005-0000-0000-00008DBE0000}"/>
    <cellStyle name="Normal 5 2 2 6 2 2 2 2 2 2" xfId="57743" xr:uid="{00000000-0005-0000-0000-00008EBE0000}"/>
    <cellStyle name="Normal 5 2 2 6 2 2 2 2 3" xfId="44181" xr:uid="{00000000-0005-0000-0000-00008FBE0000}"/>
    <cellStyle name="Normal 5 2 2 6 2 2 2 3" xfId="23829" xr:uid="{00000000-0005-0000-0000-000090BE0000}"/>
    <cellStyle name="Normal 5 2 2 6 2 2 2 3 2" xfId="50962" xr:uid="{00000000-0005-0000-0000-000091BE0000}"/>
    <cellStyle name="Normal 5 2 2 6 2 2 2 4" xfId="37400" xr:uid="{00000000-0005-0000-0000-000092BE0000}"/>
    <cellStyle name="Normal 5 2 2 6 2 2 3" xfId="13653" xr:uid="{00000000-0005-0000-0000-000093BE0000}"/>
    <cellStyle name="Normal 5 2 2 6 2 2 3 2" xfId="27221" xr:uid="{00000000-0005-0000-0000-000094BE0000}"/>
    <cellStyle name="Normal 5 2 2 6 2 2 3 2 2" xfId="54354" xr:uid="{00000000-0005-0000-0000-000095BE0000}"/>
    <cellStyle name="Normal 5 2 2 6 2 2 3 3" xfId="40792" xr:uid="{00000000-0005-0000-0000-000096BE0000}"/>
    <cellStyle name="Normal 5 2 2 6 2 2 4" xfId="20440" xr:uid="{00000000-0005-0000-0000-000097BE0000}"/>
    <cellStyle name="Normal 5 2 2 6 2 2 4 2" xfId="47573" xr:uid="{00000000-0005-0000-0000-000098BE0000}"/>
    <cellStyle name="Normal 5 2 2 6 2 2 5" xfId="34011" xr:uid="{00000000-0005-0000-0000-000099BE0000}"/>
    <cellStyle name="Normal 5 2 2 6 2 3" xfId="6721" xr:uid="{00000000-0005-0000-0000-00009ABE0000}"/>
    <cellStyle name="Normal 5 2 2 6 2 3 2" xfId="10253" xr:uid="{00000000-0005-0000-0000-00009BBE0000}"/>
    <cellStyle name="Normal 5 2 2 6 2 3 2 2" xfId="17043" xr:uid="{00000000-0005-0000-0000-00009CBE0000}"/>
    <cellStyle name="Normal 5 2 2 6 2 3 2 2 2" xfId="30611" xr:uid="{00000000-0005-0000-0000-00009DBE0000}"/>
    <cellStyle name="Normal 5 2 2 6 2 3 2 2 2 2" xfId="57744" xr:uid="{00000000-0005-0000-0000-00009EBE0000}"/>
    <cellStyle name="Normal 5 2 2 6 2 3 2 2 3" xfId="44182" xr:uid="{00000000-0005-0000-0000-00009FBE0000}"/>
    <cellStyle name="Normal 5 2 2 6 2 3 2 3" xfId="23830" xr:uid="{00000000-0005-0000-0000-0000A0BE0000}"/>
    <cellStyle name="Normal 5 2 2 6 2 3 2 3 2" xfId="50963" xr:uid="{00000000-0005-0000-0000-0000A1BE0000}"/>
    <cellStyle name="Normal 5 2 2 6 2 3 2 4" xfId="37401" xr:uid="{00000000-0005-0000-0000-0000A2BE0000}"/>
    <cellStyle name="Normal 5 2 2 6 2 3 3" xfId="13654" xr:uid="{00000000-0005-0000-0000-0000A3BE0000}"/>
    <cellStyle name="Normal 5 2 2 6 2 3 3 2" xfId="27222" xr:uid="{00000000-0005-0000-0000-0000A4BE0000}"/>
    <cellStyle name="Normal 5 2 2 6 2 3 3 2 2" xfId="54355" xr:uid="{00000000-0005-0000-0000-0000A5BE0000}"/>
    <cellStyle name="Normal 5 2 2 6 2 3 3 3" xfId="40793" xr:uid="{00000000-0005-0000-0000-0000A6BE0000}"/>
    <cellStyle name="Normal 5 2 2 6 2 3 4" xfId="20441" xr:uid="{00000000-0005-0000-0000-0000A7BE0000}"/>
    <cellStyle name="Normal 5 2 2 6 2 3 4 2" xfId="47574" xr:uid="{00000000-0005-0000-0000-0000A8BE0000}"/>
    <cellStyle name="Normal 5 2 2 6 2 3 5" xfId="34012" xr:uid="{00000000-0005-0000-0000-0000A9BE0000}"/>
    <cellStyle name="Normal 5 2 2 6 2 4" xfId="10251" xr:uid="{00000000-0005-0000-0000-0000AABE0000}"/>
    <cellStyle name="Normal 5 2 2 6 2 4 2" xfId="17041" xr:uid="{00000000-0005-0000-0000-0000ABBE0000}"/>
    <cellStyle name="Normal 5 2 2 6 2 4 2 2" xfId="30609" xr:uid="{00000000-0005-0000-0000-0000ACBE0000}"/>
    <cellStyle name="Normal 5 2 2 6 2 4 2 2 2" xfId="57742" xr:uid="{00000000-0005-0000-0000-0000ADBE0000}"/>
    <cellStyle name="Normal 5 2 2 6 2 4 2 3" xfId="44180" xr:uid="{00000000-0005-0000-0000-0000AEBE0000}"/>
    <cellStyle name="Normal 5 2 2 6 2 4 3" xfId="23828" xr:uid="{00000000-0005-0000-0000-0000AFBE0000}"/>
    <cellStyle name="Normal 5 2 2 6 2 4 3 2" xfId="50961" xr:uid="{00000000-0005-0000-0000-0000B0BE0000}"/>
    <cellStyle name="Normal 5 2 2 6 2 4 4" xfId="37399" xr:uid="{00000000-0005-0000-0000-0000B1BE0000}"/>
    <cellStyle name="Normal 5 2 2 6 2 5" xfId="13652" xr:uid="{00000000-0005-0000-0000-0000B2BE0000}"/>
    <cellStyle name="Normal 5 2 2 6 2 5 2" xfId="27220" xr:uid="{00000000-0005-0000-0000-0000B3BE0000}"/>
    <cellStyle name="Normal 5 2 2 6 2 5 2 2" xfId="54353" xr:uid="{00000000-0005-0000-0000-0000B4BE0000}"/>
    <cellStyle name="Normal 5 2 2 6 2 5 3" xfId="40791" xr:uid="{00000000-0005-0000-0000-0000B5BE0000}"/>
    <cellStyle name="Normal 5 2 2 6 2 6" xfId="20439" xr:uid="{00000000-0005-0000-0000-0000B6BE0000}"/>
    <cellStyle name="Normal 5 2 2 6 2 6 2" xfId="47572" xr:uid="{00000000-0005-0000-0000-0000B7BE0000}"/>
    <cellStyle name="Normal 5 2 2 6 2 7" xfId="34010" xr:uid="{00000000-0005-0000-0000-0000B8BE0000}"/>
    <cellStyle name="Normal 5 2 2 6 3" xfId="6722" xr:uid="{00000000-0005-0000-0000-0000B9BE0000}"/>
    <cellStyle name="Normal 5 2 2 6 3 2" xfId="10254" xr:uid="{00000000-0005-0000-0000-0000BABE0000}"/>
    <cellStyle name="Normal 5 2 2 6 3 2 2" xfId="17044" xr:uid="{00000000-0005-0000-0000-0000BBBE0000}"/>
    <cellStyle name="Normal 5 2 2 6 3 2 2 2" xfId="30612" xr:uid="{00000000-0005-0000-0000-0000BCBE0000}"/>
    <cellStyle name="Normal 5 2 2 6 3 2 2 2 2" xfId="57745" xr:uid="{00000000-0005-0000-0000-0000BDBE0000}"/>
    <cellStyle name="Normal 5 2 2 6 3 2 2 3" xfId="44183" xr:uid="{00000000-0005-0000-0000-0000BEBE0000}"/>
    <cellStyle name="Normal 5 2 2 6 3 2 3" xfId="23831" xr:uid="{00000000-0005-0000-0000-0000BFBE0000}"/>
    <cellStyle name="Normal 5 2 2 6 3 2 3 2" xfId="50964" xr:uid="{00000000-0005-0000-0000-0000C0BE0000}"/>
    <cellStyle name="Normal 5 2 2 6 3 2 4" xfId="37402" xr:uid="{00000000-0005-0000-0000-0000C1BE0000}"/>
    <cellStyle name="Normal 5 2 2 6 3 3" xfId="13655" xr:uid="{00000000-0005-0000-0000-0000C2BE0000}"/>
    <cellStyle name="Normal 5 2 2 6 3 3 2" xfId="27223" xr:uid="{00000000-0005-0000-0000-0000C3BE0000}"/>
    <cellStyle name="Normal 5 2 2 6 3 3 2 2" xfId="54356" xr:uid="{00000000-0005-0000-0000-0000C4BE0000}"/>
    <cellStyle name="Normal 5 2 2 6 3 3 3" xfId="40794" xr:uid="{00000000-0005-0000-0000-0000C5BE0000}"/>
    <cellStyle name="Normal 5 2 2 6 3 4" xfId="20442" xr:uid="{00000000-0005-0000-0000-0000C6BE0000}"/>
    <cellStyle name="Normal 5 2 2 6 3 4 2" xfId="47575" xr:uid="{00000000-0005-0000-0000-0000C7BE0000}"/>
    <cellStyle name="Normal 5 2 2 6 3 5" xfId="34013" xr:uid="{00000000-0005-0000-0000-0000C8BE0000}"/>
    <cellStyle name="Normal 5 2 2 6 4" xfId="6723" xr:uid="{00000000-0005-0000-0000-0000C9BE0000}"/>
    <cellStyle name="Normal 5 2 2 6 4 2" xfId="10255" xr:uid="{00000000-0005-0000-0000-0000CABE0000}"/>
    <cellStyle name="Normal 5 2 2 6 4 2 2" xfId="17045" xr:uid="{00000000-0005-0000-0000-0000CBBE0000}"/>
    <cellStyle name="Normal 5 2 2 6 4 2 2 2" xfId="30613" xr:uid="{00000000-0005-0000-0000-0000CCBE0000}"/>
    <cellStyle name="Normal 5 2 2 6 4 2 2 2 2" xfId="57746" xr:uid="{00000000-0005-0000-0000-0000CDBE0000}"/>
    <cellStyle name="Normal 5 2 2 6 4 2 2 3" xfId="44184" xr:uid="{00000000-0005-0000-0000-0000CEBE0000}"/>
    <cellStyle name="Normal 5 2 2 6 4 2 3" xfId="23832" xr:uid="{00000000-0005-0000-0000-0000CFBE0000}"/>
    <cellStyle name="Normal 5 2 2 6 4 2 3 2" xfId="50965" xr:uid="{00000000-0005-0000-0000-0000D0BE0000}"/>
    <cellStyle name="Normal 5 2 2 6 4 2 4" xfId="37403" xr:uid="{00000000-0005-0000-0000-0000D1BE0000}"/>
    <cellStyle name="Normal 5 2 2 6 4 3" xfId="13656" xr:uid="{00000000-0005-0000-0000-0000D2BE0000}"/>
    <cellStyle name="Normal 5 2 2 6 4 3 2" xfId="27224" xr:uid="{00000000-0005-0000-0000-0000D3BE0000}"/>
    <cellStyle name="Normal 5 2 2 6 4 3 2 2" xfId="54357" xr:uid="{00000000-0005-0000-0000-0000D4BE0000}"/>
    <cellStyle name="Normal 5 2 2 6 4 3 3" xfId="40795" xr:uid="{00000000-0005-0000-0000-0000D5BE0000}"/>
    <cellStyle name="Normal 5 2 2 6 4 4" xfId="20443" xr:uid="{00000000-0005-0000-0000-0000D6BE0000}"/>
    <cellStyle name="Normal 5 2 2 6 4 4 2" xfId="47576" xr:uid="{00000000-0005-0000-0000-0000D7BE0000}"/>
    <cellStyle name="Normal 5 2 2 6 4 5" xfId="34014" xr:uid="{00000000-0005-0000-0000-0000D8BE0000}"/>
    <cellStyle name="Normal 5 2 2 6 5" xfId="10250" xr:uid="{00000000-0005-0000-0000-0000D9BE0000}"/>
    <cellStyle name="Normal 5 2 2 6 5 2" xfId="17040" xr:uid="{00000000-0005-0000-0000-0000DABE0000}"/>
    <cellStyle name="Normal 5 2 2 6 5 2 2" xfId="30608" xr:uid="{00000000-0005-0000-0000-0000DBBE0000}"/>
    <cellStyle name="Normal 5 2 2 6 5 2 2 2" xfId="57741" xr:uid="{00000000-0005-0000-0000-0000DCBE0000}"/>
    <cellStyle name="Normal 5 2 2 6 5 2 3" xfId="44179" xr:uid="{00000000-0005-0000-0000-0000DDBE0000}"/>
    <cellStyle name="Normal 5 2 2 6 5 3" xfId="23827" xr:uid="{00000000-0005-0000-0000-0000DEBE0000}"/>
    <cellStyle name="Normal 5 2 2 6 5 3 2" xfId="50960" xr:uid="{00000000-0005-0000-0000-0000DFBE0000}"/>
    <cellStyle name="Normal 5 2 2 6 5 4" xfId="37398" xr:uid="{00000000-0005-0000-0000-0000E0BE0000}"/>
    <cellStyle name="Normal 5 2 2 6 6" xfId="13651" xr:uid="{00000000-0005-0000-0000-0000E1BE0000}"/>
    <cellStyle name="Normal 5 2 2 6 6 2" xfId="27219" xr:uid="{00000000-0005-0000-0000-0000E2BE0000}"/>
    <cellStyle name="Normal 5 2 2 6 6 2 2" xfId="54352" xr:uid="{00000000-0005-0000-0000-0000E3BE0000}"/>
    <cellStyle name="Normal 5 2 2 6 6 3" xfId="40790" xr:uid="{00000000-0005-0000-0000-0000E4BE0000}"/>
    <cellStyle name="Normal 5 2 2 6 7" xfId="20438" xr:uid="{00000000-0005-0000-0000-0000E5BE0000}"/>
    <cellStyle name="Normal 5 2 2 6 7 2" xfId="47571" xr:uid="{00000000-0005-0000-0000-0000E6BE0000}"/>
    <cellStyle name="Normal 5 2 2 6 8" xfId="34009" xr:uid="{00000000-0005-0000-0000-0000E7BE0000}"/>
    <cellStyle name="Normal 5 2 2 7" xfId="6724" xr:uid="{00000000-0005-0000-0000-0000E8BE0000}"/>
    <cellStyle name="Normal 5 2 2 7 2" xfId="6725" xr:uid="{00000000-0005-0000-0000-0000E9BE0000}"/>
    <cellStyle name="Normal 5 2 2 7 2 2" xfId="10257" xr:uid="{00000000-0005-0000-0000-0000EABE0000}"/>
    <cellStyle name="Normal 5 2 2 7 2 2 2" xfId="17047" xr:uid="{00000000-0005-0000-0000-0000EBBE0000}"/>
    <cellStyle name="Normal 5 2 2 7 2 2 2 2" xfId="30615" xr:uid="{00000000-0005-0000-0000-0000ECBE0000}"/>
    <cellStyle name="Normal 5 2 2 7 2 2 2 2 2" xfId="57748" xr:uid="{00000000-0005-0000-0000-0000EDBE0000}"/>
    <cellStyle name="Normal 5 2 2 7 2 2 2 3" xfId="44186" xr:uid="{00000000-0005-0000-0000-0000EEBE0000}"/>
    <cellStyle name="Normal 5 2 2 7 2 2 3" xfId="23834" xr:uid="{00000000-0005-0000-0000-0000EFBE0000}"/>
    <cellStyle name="Normal 5 2 2 7 2 2 3 2" xfId="50967" xr:uid="{00000000-0005-0000-0000-0000F0BE0000}"/>
    <cellStyle name="Normal 5 2 2 7 2 2 4" xfId="37405" xr:uid="{00000000-0005-0000-0000-0000F1BE0000}"/>
    <cellStyle name="Normal 5 2 2 7 2 3" xfId="13658" xr:uid="{00000000-0005-0000-0000-0000F2BE0000}"/>
    <cellStyle name="Normal 5 2 2 7 2 3 2" xfId="27226" xr:uid="{00000000-0005-0000-0000-0000F3BE0000}"/>
    <cellStyle name="Normal 5 2 2 7 2 3 2 2" xfId="54359" xr:uid="{00000000-0005-0000-0000-0000F4BE0000}"/>
    <cellStyle name="Normal 5 2 2 7 2 3 3" xfId="40797" xr:uid="{00000000-0005-0000-0000-0000F5BE0000}"/>
    <cellStyle name="Normal 5 2 2 7 2 4" xfId="20445" xr:uid="{00000000-0005-0000-0000-0000F6BE0000}"/>
    <cellStyle name="Normal 5 2 2 7 2 4 2" xfId="47578" xr:uid="{00000000-0005-0000-0000-0000F7BE0000}"/>
    <cellStyle name="Normal 5 2 2 7 2 5" xfId="34016" xr:uid="{00000000-0005-0000-0000-0000F8BE0000}"/>
    <cellStyle name="Normal 5 2 2 7 3" xfId="6726" xr:uid="{00000000-0005-0000-0000-0000F9BE0000}"/>
    <cellStyle name="Normal 5 2 2 7 3 2" xfId="10258" xr:uid="{00000000-0005-0000-0000-0000FABE0000}"/>
    <cellStyle name="Normal 5 2 2 7 3 2 2" xfId="17048" xr:uid="{00000000-0005-0000-0000-0000FBBE0000}"/>
    <cellStyle name="Normal 5 2 2 7 3 2 2 2" xfId="30616" xr:uid="{00000000-0005-0000-0000-0000FCBE0000}"/>
    <cellStyle name="Normal 5 2 2 7 3 2 2 2 2" xfId="57749" xr:uid="{00000000-0005-0000-0000-0000FDBE0000}"/>
    <cellStyle name="Normal 5 2 2 7 3 2 2 3" xfId="44187" xr:uid="{00000000-0005-0000-0000-0000FEBE0000}"/>
    <cellStyle name="Normal 5 2 2 7 3 2 3" xfId="23835" xr:uid="{00000000-0005-0000-0000-0000FFBE0000}"/>
    <cellStyle name="Normal 5 2 2 7 3 2 3 2" xfId="50968" xr:uid="{00000000-0005-0000-0000-000000BF0000}"/>
    <cellStyle name="Normal 5 2 2 7 3 2 4" xfId="37406" xr:uid="{00000000-0005-0000-0000-000001BF0000}"/>
    <cellStyle name="Normal 5 2 2 7 3 3" xfId="13659" xr:uid="{00000000-0005-0000-0000-000002BF0000}"/>
    <cellStyle name="Normal 5 2 2 7 3 3 2" xfId="27227" xr:uid="{00000000-0005-0000-0000-000003BF0000}"/>
    <cellStyle name="Normal 5 2 2 7 3 3 2 2" xfId="54360" xr:uid="{00000000-0005-0000-0000-000004BF0000}"/>
    <cellStyle name="Normal 5 2 2 7 3 3 3" xfId="40798" xr:uid="{00000000-0005-0000-0000-000005BF0000}"/>
    <cellStyle name="Normal 5 2 2 7 3 4" xfId="20446" xr:uid="{00000000-0005-0000-0000-000006BF0000}"/>
    <cellStyle name="Normal 5 2 2 7 3 4 2" xfId="47579" xr:uid="{00000000-0005-0000-0000-000007BF0000}"/>
    <cellStyle name="Normal 5 2 2 7 3 5" xfId="34017" xr:uid="{00000000-0005-0000-0000-000008BF0000}"/>
    <cellStyle name="Normal 5 2 2 7 4" xfId="10256" xr:uid="{00000000-0005-0000-0000-000009BF0000}"/>
    <cellStyle name="Normal 5 2 2 7 4 2" xfId="17046" xr:uid="{00000000-0005-0000-0000-00000ABF0000}"/>
    <cellStyle name="Normal 5 2 2 7 4 2 2" xfId="30614" xr:uid="{00000000-0005-0000-0000-00000BBF0000}"/>
    <cellStyle name="Normal 5 2 2 7 4 2 2 2" xfId="57747" xr:uid="{00000000-0005-0000-0000-00000CBF0000}"/>
    <cellStyle name="Normal 5 2 2 7 4 2 3" xfId="44185" xr:uid="{00000000-0005-0000-0000-00000DBF0000}"/>
    <cellStyle name="Normal 5 2 2 7 4 3" xfId="23833" xr:uid="{00000000-0005-0000-0000-00000EBF0000}"/>
    <cellStyle name="Normal 5 2 2 7 4 3 2" xfId="50966" xr:uid="{00000000-0005-0000-0000-00000FBF0000}"/>
    <cellStyle name="Normal 5 2 2 7 4 4" xfId="37404" xr:uid="{00000000-0005-0000-0000-000010BF0000}"/>
    <cellStyle name="Normal 5 2 2 7 5" xfId="13657" xr:uid="{00000000-0005-0000-0000-000011BF0000}"/>
    <cellStyle name="Normal 5 2 2 7 5 2" xfId="27225" xr:uid="{00000000-0005-0000-0000-000012BF0000}"/>
    <cellStyle name="Normal 5 2 2 7 5 2 2" xfId="54358" xr:uid="{00000000-0005-0000-0000-000013BF0000}"/>
    <cellStyle name="Normal 5 2 2 7 5 3" xfId="40796" xr:uid="{00000000-0005-0000-0000-000014BF0000}"/>
    <cellStyle name="Normal 5 2 2 7 6" xfId="20444" xr:uid="{00000000-0005-0000-0000-000015BF0000}"/>
    <cellStyle name="Normal 5 2 2 7 6 2" xfId="47577" xr:uid="{00000000-0005-0000-0000-000016BF0000}"/>
    <cellStyle name="Normal 5 2 2 7 7" xfId="34015" xr:uid="{00000000-0005-0000-0000-000017BF0000}"/>
    <cellStyle name="Normal 5 2 2 8" xfId="6727" xr:uid="{00000000-0005-0000-0000-000018BF0000}"/>
    <cellStyle name="Normal 5 2 2 8 2" xfId="6728" xr:uid="{00000000-0005-0000-0000-000019BF0000}"/>
    <cellStyle name="Normal 5 2 2 8 2 2" xfId="10260" xr:uid="{00000000-0005-0000-0000-00001ABF0000}"/>
    <cellStyle name="Normal 5 2 2 8 2 2 2" xfId="17050" xr:uid="{00000000-0005-0000-0000-00001BBF0000}"/>
    <cellStyle name="Normal 5 2 2 8 2 2 2 2" xfId="30618" xr:uid="{00000000-0005-0000-0000-00001CBF0000}"/>
    <cellStyle name="Normal 5 2 2 8 2 2 2 2 2" xfId="57751" xr:uid="{00000000-0005-0000-0000-00001DBF0000}"/>
    <cellStyle name="Normal 5 2 2 8 2 2 2 3" xfId="44189" xr:uid="{00000000-0005-0000-0000-00001EBF0000}"/>
    <cellStyle name="Normal 5 2 2 8 2 2 3" xfId="23837" xr:uid="{00000000-0005-0000-0000-00001FBF0000}"/>
    <cellStyle name="Normal 5 2 2 8 2 2 3 2" xfId="50970" xr:uid="{00000000-0005-0000-0000-000020BF0000}"/>
    <cellStyle name="Normal 5 2 2 8 2 2 4" xfId="37408" xr:uid="{00000000-0005-0000-0000-000021BF0000}"/>
    <cellStyle name="Normal 5 2 2 8 2 3" xfId="13661" xr:uid="{00000000-0005-0000-0000-000022BF0000}"/>
    <cellStyle name="Normal 5 2 2 8 2 3 2" xfId="27229" xr:uid="{00000000-0005-0000-0000-000023BF0000}"/>
    <cellStyle name="Normal 5 2 2 8 2 3 2 2" xfId="54362" xr:uid="{00000000-0005-0000-0000-000024BF0000}"/>
    <cellStyle name="Normal 5 2 2 8 2 3 3" xfId="40800" xr:uid="{00000000-0005-0000-0000-000025BF0000}"/>
    <cellStyle name="Normal 5 2 2 8 2 4" xfId="20448" xr:uid="{00000000-0005-0000-0000-000026BF0000}"/>
    <cellStyle name="Normal 5 2 2 8 2 4 2" xfId="47581" xr:uid="{00000000-0005-0000-0000-000027BF0000}"/>
    <cellStyle name="Normal 5 2 2 8 2 5" xfId="34019" xr:uid="{00000000-0005-0000-0000-000028BF0000}"/>
    <cellStyle name="Normal 5 2 2 8 3" xfId="6729" xr:uid="{00000000-0005-0000-0000-000029BF0000}"/>
    <cellStyle name="Normal 5 2 2 8 3 2" xfId="10261" xr:uid="{00000000-0005-0000-0000-00002ABF0000}"/>
    <cellStyle name="Normal 5 2 2 8 3 2 2" xfId="17051" xr:uid="{00000000-0005-0000-0000-00002BBF0000}"/>
    <cellStyle name="Normal 5 2 2 8 3 2 2 2" xfId="30619" xr:uid="{00000000-0005-0000-0000-00002CBF0000}"/>
    <cellStyle name="Normal 5 2 2 8 3 2 2 2 2" xfId="57752" xr:uid="{00000000-0005-0000-0000-00002DBF0000}"/>
    <cellStyle name="Normal 5 2 2 8 3 2 2 3" xfId="44190" xr:uid="{00000000-0005-0000-0000-00002EBF0000}"/>
    <cellStyle name="Normal 5 2 2 8 3 2 3" xfId="23838" xr:uid="{00000000-0005-0000-0000-00002FBF0000}"/>
    <cellStyle name="Normal 5 2 2 8 3 2 3 2" xfId="50971" xr:uid="{00000000-0005-0000-0000-000030BF0000}"/>
    <cellStyle name="Normal 5 2 2 8 3 2 4" xfId="37409" xr:uid="{00000000-0005-0000-0000-000031BF0000}"/>
    <cellStyle name="Normal 5 2 2 8 3 3" xfId="13662" xr:uid="{00000000-0005-0000-0000-000032BF0000}"/>
    <cellStyle name="Normal 5 2 2 8 3 3 2" xfId="27230" xr:uid="{00000000-0005-0000-0000-000033BF0000}"/>
    <cellStyle name="Normal 5 2 2 8 3 3 2 2" xfId="54363" xr:uid="{00000000-0005-0000-0000-000034BF0000}"/>
    <cellStyle name="Normal 5 2 2 8 3 3 3" xfId="40801" xr:uid="{00000000-0005-0000-0000-000035BF0000}"/>
    <cellStyle name="Normal 5 2 2 8 3 4" xfId="20449" xr:uid="{00000000-0005-0000-0000-000036BF0000}"/>
    <cellStyle name="Normal 5 2 2 8 3 4 2" xfId="47582" xr:uid="{00000000-0005-0000-0000-000037BF0000}"/>
    <cellStyle name="Normal 5 2 2 8 3 5" xfId="34020" xr:uid="{00000000-0005-0000-0000-000038BF0000}"/>
    <cellStyle name="Normal 5 2 2 8 4" xfId="10259" xr:uid="{00000000-0005-0000-0000-000039BF0000}"/>
    <cellStyle name="Normal 5 2 2 8 4 2" xfId="17049" xr:uid="{00000000-0005-0000-0000-00003ABF0000}"/>
    <cellStyle name="Normal 5 2 2 8 4 2 2" xfId="30617" xr:uid="{00000000-0005-0000-0000-00003BBF0000}"/>
    <cellStyle name="Normal 5 2 2 8 4 2 2 2" xfId="57750" xr:uid="{00000000-0005-0000-0000-00003CBF0000}"/>
    <cellStyle name="Normal 5 2 2 8 4 2 3" xfId="44188" xr:uid="{00000000-0005-0000-0000-00003DBF0000}"/>
    <cellStyle name="Normal 5 2 2 8 4 3" xfId="23836" xr:uid="{00000000-0005-0000-0000-00003EBF0000}"/>
    <cellStyle name="Normal 5 2 2 8 4 3 2" xfId="50969" xr:uid="{00000000-0005-0000-0000-00003FBF0000}"/>
    <cellStyle name="Normal 5 2 2 8 4 4" xfId="37407" xr:uid="{00000000-0005-0000-0000-000040BF0000}"/>
    <cellStyle name="Normal 5 2 2 8 5" xfId="13660" xr:uid="{00000000-0005-0000-0000-000041BF0000}"/>
    <cellStyle name="Normal 5 2 2 8 5 2" xfId="27228" xr:uid="{00000000-0005-0000-0000-000042BF0000}"/>
    <cellStyle name="Normal 5 2 2 8 5 2 2" xfId="54361" xr:uid="{00000000-0005-0000-0000-000043BF0000}"/>
    <cellStyle name="Normal 5 2 2 8 5 3" xfId="40799" xr:uid="{00000000-0005-0000-0000-000044BF0000}"/>
    <cellStyle name="Normal 5 2 2 8 6" xfId="20447" xr:uid="{00000000-0005-0000-0000-000045BF0000}"/>
    <cellStyle name="Normal 5 2 2 8 6 2" xfId="47580" xr:uid="{00000000-0005-0000-0000-000046BF0000}"/>
    <cellStyle name="Normal 5 2 2 8 7" xfId="34018" xr:uid="{00000000-0005-0000-0000-000047BF0000}"/>
    <cellStyle name="Normal 5 2 2 9" xfId="6730" xr:uid="{00000000-0005-0000-0000-000048BF0000}"/>
    <cellStyle name="Normal 5 2 2 9 2" xfId="10262" xr:uid="{00000000-0005-0000-0000-000049BF0000}"/>
    <cellStyle name="Normal 5 2 2 9 2 2" xfId="17052" xr:uid="{00000000-0005-0000-0000-00004ABF0000}"/>
    <cellStyle name="Normal 5 2 2 9 2 2 2" xfId="30620" xr:uid="{00000000-0005-0000-0000-00004BBF0000}"/>
    <cellStyle name="Normal 5 2 2 9 2 2 2 2" xfId="57753" xr:uid="{00000000-0005-0000-0000-00004CBF0000}"/>
    <cellStyle name="Normal 5 2 2 9 2 2 3" xfId="44191" xr:uid="{00000000-0005-0000-0000-00004DBF0000}"/>
    <cellStyle name="Normal 5 2 2 9 2 3" xfId="23839" xr:uid="{00000000-0005-0000-0000-00004EBF0000}"/>
    <cellStyle name="Normal 5 2 2 9 2 3 2" xfId="50972" xr:uid="{00000000-0005-0000-0000-00004FBF0000}"/>
    <cellStyle name="Normal 5 2 2 9 2 4" xfId="37410" xr:uid="{00000000-0005-0000-0000-000050BF0000}"/>
    <cellStyle name="Normal 5 2 2 9 3" xfId="13663" xr:uid="{00000000-0005-0000-0000-000051BF0000}"/>
    <cellStyle name="Normal 5 2 2 9 3 2" xfId="27231" xr:uid="{00000000-0005-0000-0000-000052BF0000}"/>
    <cellStyle name="Normal 5 2 2 9 3 2 2" xfId="54364" xr:uid="{00000000-0005-0000-0000-000053BF0000}"/>
    <cellStyle name="Normal 5 2 2 9 3 3" xfId="40802" xr:uid="{00000000-0005-0000-0000-000054BF0000}"/>
    <cellStyle name="Normal 5 2 2 9 4" xfId="20450" xr:uid="{00000000-0005-0000-0000-000055BF0000}"/>
    <cellStyle name="Normal 5 2 2 9 4 2" xfId="47583" xr:uid="{00000000-0005-0000-0000-000056BF0000}"/>
    <cellStyle name="Normal 5 2 2 9 5" xfId="34021" xr:uid="{00000000-0005-0000-0000-000057BF0000}"/>
    <cellStyle name="Normal 5 2 3" xfId="6731" xr:uid="{00000000-0005-0000-0000-000058BF0000}"/>
    <cellStyle name="Normal 5 2 3 2" xfId="6732" xr:uid="{00000000-0005-0000-0000-000059BF0000}"/>
    <cellStyle name="Normal 5 2 3 2 2" xfId="6733" xr:uid="{00000000-0005-0000-0000-00005ABF0000}"/>
    <cellStyle name="Normal 5 2 3 2 2 2" xfId="10265" xr:uid="{00000000-0005-0000-0000-00005BBF0000}"/>
    <cellStyle name="Normal 5 2 3 2 2 2 2" xfId="17055" xr:uid="{00000000-0005-0000-0000-00005CBF0000}"/>
    <cellStyle name="Normal 5 2 3 2 2 2 2 2" xfId="30623" xr:uid="{00000000-0005-0000-0000-00005DBF0000}"/>
    <cellStyle name="Normal 5 2 3 2 2 2 2 2 2" xfId="57756" xr:uid="{00000000-0005-0000-0000-00005EBF0000}"/>
    <cellStyle name="Normal 5 2 3 2 2 2 2 3" xfId="44194" xr:uid="{00000000-0005-0000-0000-00005FBF0000}"/>
    <cellStyle name="Normal 5 2 3 2 2 2 3" xfId="23842" xr:uid="{00000000-0005-0000-0000-000060BF0000}"/>
    <cellStyle name="Normal 5 2 3 2 2 2 3 2" xfId="50975" xr:uid="{00000000-0005-0000-0000-000061BF0000}"/>
    <cellStyle name="Normal 5 2 3 2 2 2 4" xfId="37413" xr:uid="{00000000-0005-0000-0000-000062BF0000}"/>
    <cellStyle name="Normal 5 2 3 2 2 3" xfId="13666" xr:uid="{00000000-0005-0000-0000-000063BF0000}"/>
    <cellStyle name="Normal 5 2 3 2 2 3 2" xfId="27234" xr:uid="{00000000-0005-0000-0000-000064BF0000}"/>
    <cellStyle name="Normal 5 2 3 2 2 3 2 2" xfId="54367" xr:uid="{00000000-0005-0000-0000-000065BF0000}"/>
    <cellStyle name="Normal 5 2 3 2 2 3 3" xfId="40805" xr:uid="{00000000-0005-0000-0000-000066BF0000}"/>
    <cellStyle name="Normal 5 2 3 2 2 4" xfId="20453" xr:uid="{00000000-0005-0000-0000-000067BF0000}"/>
    <cellStyle name="Normal 5 2 3 2 2 4 2" xfId="47586" xr:uid="{00000000-0005-0000-0000-000068BF0000}"/>
    <cellStyle name="Normal 5 2 3 2 2 5" xfId="34024" xr:uid="{00000000-0005-0000-0000-000069BF0000}"/>
    <cellStyle name="Normal 5 2 3 2 3" xfId="6734" xr:uid="{00000000-0005-0000-0000-00006ABF0000}"/>
    <cellStyle name="Normal 5 2 3 2 3 2" xfId="10266" xr:uid="{00000000-0005-0000-0000-00006BBF0000}"/>
    <cellStyle name="Normal 5 2 3 2 3 2 2" xfId="17056" xr:uid="{00000000-0005-0000-0000-00006CBF0000}"/>
    <cellStyle name="Normal 5 2 3 2 3 2 2 2" xfId="30624" xr:uid="{00000000-0005-0000-0000-00006DBF0000}"/>
    <cellStyle name="Normal 5 2 3 2 3 2 2 2 2" xfId="57757" xr:uid="{00000000-0005-0000-0000-00006EBF0000}"/>
    <cellStyle name="Normal 5 2 3 2 3 2 2 3" xfId="44195" xr:uid="{00000000-0005-0000-0000-00006FBF0000}"/>
    <cellStyle name="Normal 5 2 3 2 3 2 3" xfId="23843" xr:uid="{00000000-0005-0000-0000-000070BF0000}"/>
    <cellStyle name="Normal 5 2 3 2 3 2 3 2" xfId="50976" xr:uid="{00000000-0005-0000-0000-000071BF0000}"/>
    <cellStyle name="Normal 5 2 3 2 3 2 4" xfId="37414" xr:uid="{00000000-0005-0000-0000-000072BF0000}"/>
    <cellStyle name="Normal 5 2 3 2 3 3" xfId="13667" xr:uid="{00000000-0005-0000-0000-000073BF0000}"/>
    <cellStyle name="Normal 5 2 3 2 3 3 2" xfId="27235" xr:uid="{00000000-0005-0000-0000-000074BF0000}"/>
    <cellStyle name="Normal 5 2 3 2 3 3 2 2" xfId="54368" xr:uid="{00000000-0005-0000-0000-000075BF0000}"/>
    <cellStyle name="Normal 5 2 3 2 3 3 3" xfId="40806" xr:uid="{00000000-0005-0000-0000-000076BF0000}"/>
    <cellStyle name="Normal 5 2 3 2 3 4" xfId="20454" xr:uid="{00000000-0005-0000-0000-000077BF0000}"/>
    <cellStyle name="Normal 5 2 3 2 3 4 2" xfId="47587" xr:uid="{00000000-0005-0000-0000-000078BF0000}"/>
    <cellStyle name="Normal 5 2 3 2 3 5" xfId="34025" xr:uid="{00000000-0005-0000-0000-000079BF0000}"/>
    <cellStyle name="Normal 5 2 3 2 4" xfId="10264" xr:uid="{00000000-0005-0000-0000-00007ABF0000}"/>
    <cellStyle name="Normal 5 2 3 2 4 2" xfId="17054" xr:uid="{00000000-0005-0000-0000-00007BBF0000}"/>
    <cellStyle name="Normal 5 2 3 2 4 2 2" xfId="30622" xr:uid="{00000000-0005-0000-0000-00007CBF0000}"/>
    <cellStyle name="Normal 5 2 3 2 4 2 2 2" xfId="57755" xr:uid="{00000000-0005-0000-0000-00007DBF0000}"/>
    <cellStyle name="Normal 5 2 3 2 4 2 3" xfId="44193" xr:uid="{00000000-0005-0000-0000-00007EBF0000}"/>
    <cellStyle name="Normal 5 2 3 2 4 3" xfId="23841" xr:uid="{00000000-0005-0000-0000-00007FBF0000}"/>
    <cellStyle name="Normal 5 2 3 2 4 3 2" xfId="50974" xr:uid="{00000000-0005-0000-0000-000080BF0000}"/>
    <cellStyle name="Normal 5 2 3 2 4 4" xfId="37412" xr:uid="{00000000-0005-0000-0000-000081BF0000}"/>
    <cellStyle name="Normal 5 2 3 2 5" xfId="13665" xr:uid="{00000000-0005-0000-0000-000082BF0000}"/>
    <cellStyle name="Normal 5 2 3 2 5 2" xfId="27233" xr:uid="{00000000-0005-0000-0000-000083BF0000}"/>
    <cellStyle name="Normal 5 2 3 2 5 2 2" xfId="54366" xr:uid="{00000000-0005-0000-0000-000084BF0000}"/>
    <cellStyle name="Normal 5 2 3 2 5 3" xfId="40804" xr:uid="{00000000-0005-0000-0000-000085BF0000}"/>
    <cellStyle name="Normal 5 2 3 2 6" xfId="20452" xr:uid="{00000000-0005-0000-0000-000086BF0000}"/>
    <cellStyle name="Normal 5 2 3 2 6 2" xfId="47585" xr:uid="{00000000-0005-0000-0000-000087BF0000}"/>
    <cellStyle name="Normal 5 2 3 2 7" xfId="34023" xr:uid="{00000000-0005-0000-0000-000088BF0000}"/>
    <cellStyle name="Normal 5 2 3 3" xfId="6735" xr:uid="{00000000-0005-0000-0000-000089BF0000}"/>
    <cellStyle name="Normal 5 2 3 3 2" xfId="6736" xr:uid="{00000000-0005-0000-0000-00008ABF0000}"/>
    <cellStyle name="Normal 5 2 3 3 2 2" xfId="10268" xr:uid="{00000000-0005-0000-0000-00008BBF0000}"/>
    <cellStyle name="Normal 5 2 3 3 2 2 2" xfId="17058" xr:uid="{00000000-0005-0000-0000-00008CBF0000}"/>
    <cellStyle name="Normal 5 2 3 3 2 2 2 2" xfId="30626" xr:uid="{00000000-0005-0000-0000-00008DBF0000}"/>
    <cellStyle name="Normal 5 2 3 3 2 2 2 2 2" xfId="57759" xr:uid="{00000000-0005-0000-0000-00008EBF0000}"/>
    <cellStyle name="Normal 5 2 3 3 2 2 2 3" xfId="44197" xr:uid="{00000000-0005-0000-0000-00008FBF0000}"/>
    <cellStyle name="Normal 5 2 3 3 2 2 3" xfId="23845" xr:uid="{00000000-0005-0000-0000-000090BF0000}"/>
    <cellStyle name="Normal 5 2 3 3 2 2 3 2" xfId="50978" xr:uid="{00000000-0005-0000-0000-000091BF0000}"/>
    <cellStyle name="Normal 5 2 3 3 2 2 4" xfId="37416" xr:uid="{00000000-0005-0000-0000-000092BF0000}"/>
    <cellStyle name="Normal 5 2 3 3 2 3" xfId="13669" xr:uid="{00000000-0005-0000-0000-000093BF0000}"/>
    <cellStyle name="Normal 5 2 3 3 2 3 2" xfId="27237" xr:uid="{00000000-0005-0000-0000-000094BF0000}"/>
    <cellStyle name="Normal 5 2 3 3 2 3 2 2" xfId="54370" xr:uid="{00000000-0005-0000-0000-000095BF0000}"/>
    <cellStyle name="Normal 5 2 3 3 2 3 3" xfId="40808" xr:uid="{00000000-0005-0000-0000-000096BF0000}"/>
    <cellStyle name="Normal 5 2 3 3 2 4" xfId="20456" xr:uid="{00000000-0005-0000-0000-000097BF0000}"/>
    <cellStyle name="Normal 5 2 3 3 2 4 2" xfId="47589" xr:uid="{00000000-0005-0000-0000-000098BF0000}"/>
    <cellStyle name="Normal 5 2 3 3 2 5" xfId="34027" xr:uid="{00000000-0005-0000-0000-000099BF0000}"/>
    <cellStyle name="Normal 5 2 3 3 3" xfId="10267" xr:uid="{00000000-0005-0000-0000-00009ABF0000}"/>
    <cellStyle name="Normal 5 2 3 3 3 2" xfId="17057" xr:uid="{00000000-0005-0000-0000-00009BBF0000}"/>
    <cellStyle name="Normal 5 2 3 3 3 2 2" xfId="30625" xr:uid="{00000000-0005-0000-0000-00009CBF0000}"/>
    <cellStyle name="Normal 5 2 3 3 3 2 2 2" xfId="57758" xr:uid="{00000000-0005-0000-0000-00009DBF0000}"/>
    <cellStyle name="Normal 5 2 3 3 3 2 3" xfId="44196" xr:uid="{00000000-0005-0000-0000-00009EBF0000}"/>
    <cellStyle name="Normal 5 2 3 3 3 3" xfId="23844" xr:uid="{00000000-0005-0000-0000-00009FBF0000}"/>
    <cellStyle name="Normal 5 2 3 3 3 3 2" xfId="50977" xr:uid="{00000000-0005-0000-0000-0000A0BF0000}"/>
    <cellStyle name="Normal 5 2 3 3 3 4" xfId="37415" xr:uid="{00000000-0005-0000-0000-0000A1BF0000}"/>
    <cellStyle name="Normal 5 2 3 3 4" xfId="13668" xr:uid="{00000000-0005-0000-0000-0000A2BF0000}"/>
    <cellStyle name="Normal 5 2 3 3 4 2" xfId="27236" xr:uid="{00000000-0005-0000-0000-0000A3BF0000}"/>
    <cellStyle name="Normal 5 2 3 3 4 2 2" xfId="54369" xr:uid="{00000000-0005-0000-0000-0000A4BF0000}"/>
    <cellStyle name="Normal 5 2 3 3 4 3" xfId="40807" xr:uid="{00000000-0005-0000-0000-0000A5BF0000}"/>
    <cellStyle name="Normal 5 2 3 3 5" xfId="20455" xr:uid="{00000000-0005-0000-0000-0000A6BF0000}"/>
    <cellStyle name="Normal 5 2 3 3 5 2" xfId="47588" xr:uid="{00000000-0005-0000-0000-0000A7BF0000}"/>
    <cellStyle name="Normal 5 2 3 3 6" xfId="34026" xr:uid="{00000000-0005-0000-0000-0000A8BF0000}"/>
    <cellStyle name="Normal 5 2 3 4" xfId="6737" xr:uid="{00000000-0005-0000-0000-0000A9BF0000}"/>
    <cellStyle name="Normal 5 2 3 4 2" xfId="10269" xr:uid="{00000000-0005-0000-0000-0000AABF0000}"/>
    <cellStyle name="Normal 5 2 3 4 2 2" xfId="17059" xr:uid="{00000000-0005-0000-0000-0000ABBF0000}"/>
    <cellStyle name="Normal 5 2 3 4 2 2 2" xfId="30627" xr:uid="{00000000-0005-0000-0000-0000ACBF0000}"/>
    <cellStyle name="Normal 5 2 3 4 2 2 2 2" xfId="57760" xr:uid="{00000000-0005-0000-0000-0000ADBF0000}"/>
    <cellStyle name="Normal 5 2 3 4 2 2 3" xfId="44198" xr:uid="{00000000-0005-0000-0000-0000AEBF0000}"/>
    <cellStyle name="Normal 5 2 3 4 2 3" xfId="23846" xr:uid="{00000000-0005-0000-0000-0000AFBF0000}"/>
    <cellStyle name="Normal 5 2 3 4 2 3 2" xfId="50979" xr:uid="{00000000-0005-0000-0000-0000B0BF0000}"/>
    <cellStyle name="Normal 5 2 3 4 2 4" xfId="37417" xr:uid="{00000000-0005-0000-0000-0000B1BF0000}"/>
    <cellStyle name="Normal 5 2 3 4 3" xfId="13670" xr:uid="{00000000-0005-0000-0000-0000B2BF0000}"/>
    <cellStyle name="Normal 5 2 3 4 3 2" xfId="27238" xr:uid="{00000000-0005-0000-0000-0000B3BF0000}"/>
    <cellStyle name="Normal 5 2 3 4 3 2 2" xfId="54371" xr:uid="{00000000-0005-0000-0000-0000B4BF0000}"/>
    <cellStyle name="Normal 5 2 3 4 3 3" xfId="40809" xr:uid="{00000000-0005-0000-0000-0000B5BF0000}"/>
    <cellStyle name="Normal 5 2 3 4 4" xfId="20457" xr:uid="{00000000-0005-0000-0000-0000B6BF0000}"/>
    <cellStyle name="Normal 5 2 3 4 4 2" xfId="47590" xr:uid="{00000000-0005-0000-0000-0000B7BF0000}"/>
    <cellStyle name="Normal 5 2 3 4 5" xfId="34028" xr:uid="{00000000-0005-0000-0000-0000B8BF0000}"/>
    <cellStyle name="Normal 5 2 3 5" xfId="6738" xr:uid="{00000000-0005-0000-0000-0000B9BF0000}"/>
    <cellStyle name="Normal 5 2 3 5 2" xfId="10270" xr:uid="{00000000-0005-0000-0000-0000BABF0000}"/>
    <cellStyle name="Normal 5 2 3 5 2 2" xfId="17060" xr:uid="{00000000-0005-0000-0000-0000BBBF0000}"/>
    <cellStyle name="Normal 5 2 3 5 2 2 2" xfId="30628" xr:uid="{00000000-0005-0000-0000-0000BCBF0000}"/>
    <cellStyle name="Normal 5 2 3 5 2 2 2 2" xfId="57761" xr:uid="{00000000-0005-0000-0000-0000BDBF0000}"/>
    <cellStyle name="Normal 5 2 3 5 2 2 3" xfId="44199" xr:uid="{00000000-0005-0000-0000-0000BEBF0000}"/>
    <cellStyle name="Normal 5 2 3 5 2 3" xfId="23847" xr:uid="{00000000-0005-0000-0000-0000BFBF0000}"/>
    <cellStyle name="Normal 5 2 3 5 2 3 2" xfId="50980" xr:uid="{00000000-0005-0000-0000-0000C0BF0000}"/>
    <cellStyle name="Normal 5 2 3 5 2 4" xfId="37418" xr:uid="{00000000-0005-0000-0000-0000C1BF0000}"/>
    <cellStyle name="Normal 5 2 3 5 3" xfId="13671" xr:uid="{00000000-0005-0000-0000-0000C2BF0000}"/>
    <cellStyle name="Normal 5 2 3 5 3 2" xfId="27239" xr:uid="{00000000-0005-0000-0000-0000C3BF0000}"/>
    <cellStyle name="Normal 5 2 3 5 3 2 2" xfId="54372" xr:uid="{00000000-0005-0000-0000-0000C4BF0000}"/>
    <cellStyle name="Normal 5 2 3 5 3 3" xfId="40810" xr:uid="{00000000-0005-0000-0000-0000C5BF0000}"/>
    <cellStyle name="Normal 5 2 3 5 4" xfId="20458" xr:uid="{00000000-0005-0000-0000-0000C6BF0000}"/>
    <cellStyle name="Normal 5 2 3 5 4 2" xfId="47591" xr:uid="{00000000-0005-0000-0000-0000C7BF0000}"/>
    <cellStyle name="Normal 5 2 3 5 5" xfId="34029" xr:uid="{00000000-0005-0000-0000-0000C8BF0000}"/>
    <cellStyle name="Normal 5 2 3 6" xfId="10263" xr:uid="{00000000-0005-0000-0000-0000C9BF0000}"/>
    <cellStyle name="Normal 5 2 3 6 2" xfId="17053" xr:uid="{00000000-0005-0000-0000-0000CABF0000}"/>
    <cellStyle name="Normal 5 2 3 6 2 2" xfId="30621" xr:uid="{00000000-0005-0000-0000-0000CBBF0000}"/>
    <cellStyle name="Normal 5 2 3 6 2 2 2" xfId="57754" xr:uid="{00000000-0005-0000-0000-0000CCBF0000}"/>
    <cellStyle name="Normal 5 2 3 6 2 3" xfId="44192" xr:uid="{00000000-0005-0000-0000-0000CDBF0000}"/>
    <cellStyle name="Normal 5 2 3 6 3" xfId="23840" xr:uid="{00000000-0005-0000-0000-0000CEBF0000}"/>
    <cellStyle name="Normal 5 2 3 6 3 2" xfId="50973" xr:uid="{00000000-0005-0000-0000-0000CFBF0000}"/>
    <cellStyle name="Normal 5 2 3 6 4" xfId="37411" xr:uid="{00000000-0005-0000-0000-0000D0BF0000}"/>
    <cellStyle name="Normal 5 2 3 7" xfId="13664" xr:uid="{00000000-0005-0000-0000-0000D1BF0000}"/>
    <cellStyle name="Normal 5 2 3 7 2" xfId="27232" xr:uid="{00000000-0005-0000-0000-0000D2BF0000}"/>
    <cellStyle name="Normal 5 2 3 7 2 2" xfId="54365" xr:uid="{00000000-0005-0000-0000-0000D3BF0000}"/>
    <cellStyle name="Normal 5 2 3 7 3" xfId="40803" xr:uid="{00000000-0005-0000-0000-0000D4BF0000}"/>
    <cellStyle name="Normal 5 2 3 8" xfId="20451" xr:uid="{00000000-0005-0000-0000-0000D5BF0000}"/>
    <cellStyle name="Normal 5 2 3 8 2" xfId="47584" xr:uid="{00000000-0005-0000-0000-0000D6BF0000}"/>
    <cellStyle name="Normal 5 2 3 9" xfId="34022" xr:uid="{00000000-0005-0000-0000-0000D7BF0000}"/>
    <cellStyle name="Normal 5 2 4" xfId="6739" xr:uid="{00000000-0005-0000-0000-0000D8BF0000}"/>
    <cellStyle name="Normal 5 2 5" xfId="6740" xr:uid="{00000000-0005-0000-0000-0000D9BF0000}"/>
    <cellStyle name="Normal 5 2 5 2" xfId="6741" xr:uid="{00000000-0005-0000-0000-0000DABF0000}"/>
    <cellStyle name="Normal 5 2 5 2 2" xfId="10272" xr:uid="{00000000-0005-0000-0000-0000DBBF0000}"/>
    <cellStyle name="Normal 5 2 5 2 2 2" xfId="17062" xr:uid="{00000000-0005-0000-0000-0000DCBF0000}"/>
    <cellStyle name="Normal 5 2 5 2 2 2 2" xfId="30630" xr:uid="{00000000-0005-0000-0000-0000DDBF0000}"/>
    <cellStyle name="Normal 5 2 5 2 2 2 2 2" xfId="57763" xr:uid="{00000000-0005-0000-0000-0000DEBF0000}"/>
    <cellStyle name="Normal 5 2 5 2 2 2 3" xfId="44201" xr:uid="{00000000-0005-0000-0000-0000DFBF0000}"/>
    <cellStyle name="Normal 5 2 5 2 2 3" xfId="23849" xr:uid="{00000000-0005-0000-0000-0000E0BF0000}"/>
    <cellStyle name="Normal 5 2 5 2 2 3 2" xfId="50982" xr:uid="{00000000-0005-0000-0000-0000E1BF0000}"/>
    <cellStyle name="Normal 5 2 5 2 2 4" xfId="37420" xr:uid="{00000000-0005-0000-0000-0000E2BF0000}"/>
    <cellStyle name="Normal 5 2 5 2 3" xfId="13673" xr:uid="{00000000-0005-0000-0000-0000E3BF0000}"/>
    <cellStyle name="Normal 5 2 5 2 3 2" xfId="27241" xr:uid="{00000000-0005-0000-0000-0000E4BF0000}"/>
    <cellStyle name="Normal 5 2 5 2 3 2 2" xfId="54374" xr:uid="{00000000-0005-0000-0000-0000E5BF0000}"/>
    <cellStyle name="Normal 5 2 5 2 3 3" xfId="40812" xr:uid="{00000000-0005-0000-0000-0000E6BF0000}"/>
    <cellStyle name="Normal 5 2 5 2 4" xfId="20460" xr:uid="{00000000-0005-0000-0000-0000E7BF0000}"/>
    <cellStyle name="Normal 5 2 5 2 4 2" xfId="47593" xr:uid="{00000000-0005-0000-0000-0000E8BF0000}"/>
    <cellStyle name="Normal 5 2 5 2 5" xfId="34031" xr:uid="{00000000-0005-0000-0000-0000E9BF0000}"/>
    <cellStyle name="Normal 5 2 5 3" xfId="6742" xr:uid="{00000000-0005-0000-0000-0000EABF0000}"/>
    <cellStyle name="Normal 5 2 5 3 2" xfId="10273" xr:uid="{00000000-0005-0000-0000-0000EBBF0000}"/>
    <cellStyle name="Normal 5 2 5 3 2 2" xfId="17063" xr:uid="{00000000-0005-0000-0000-0000ECBF0000}"/>
    <cellStyle name="Normal 5 2 5 3 2 2 2" xfId="30631" xr:uid="{00000000-0005-0000-0000-0000EDBF0000}"/>
    <cellStyle name="Normal 5 2 5 3 2 2 2 2" xfId="57764" xr:uid="{00000000-0005-0000-0000-0000EEBF0000}"/>
    <cellStyle name="Normal 5 2 5 3 2 2 3" xfId="44202" xr:uid="{00000000-0005-0000-0000-0000EFBF0000}"/>
    <cellStyle name="Normal 5 2 5 3 2 3" xfId="23850" xr:uid="{00000000-0005-0000-0000-0000F0BF0000}"/>
    <cellStyle name="Normal 5 2 5 3 2 3 2" xfId="50983" xr:uid="{00000000-0005-0000-0000-0000F1BF0000}"/>
    <cellStyle name="Normal 5 2 5 3 2 4" xfId="37421" xr:uid="{00000000-0005-0000-0000-0000F2BF0000}"/>
    <cellStyle name="Normal 5 2 5 3 3" xfId="13674" xr:uid="{00000000-0005-0000-0000-0000F3BF0000}"/>
    <cellStyle name="Normal 5 2 5 3 3 2" xfId="27242" xr:uid="{00000000-0005-0000-0000-0000F4BF0000}"/>
    <cellStyle name="Normal 5 2 5 3 3 2 2" xfId="54375" xr:uid="{00000000-0005-0000-0000-0000F5BF0000}"/>
    <cellStyle name="Normal 5 2 5 3 3 3" xfId="40813" xr:uid="{00000000-0005-0000-0000-0000F6BF0000}"/>
    <cellStyle name="Normal 5 2 5 3 4" xfId="20461" xr:uid="{00000000-0005-0000-0000-0000F7BF0000}"/>
    <cellStyle name="Normal 5 2 5 3 4 2" xfId="47594" xr:uid="{00000000-0005-0000-0000-0000F8BF0000}"/>
    <cellStyle name="Normal 5 2 5 3 5" xfId="34032" xr:uid="{00000000-0005-0000-0000-0000F9BF0000}"/>
    <cellStyle name="Normal 5 2 5 4" xfId="10271" xr:uid="{00000000-0005-0000-0000-0000FABF0000}"/>
    <cellStyle name="Normal 5 2 5 4 2" xfId="17061" xr:uid="{00000000-0005-0000-0000-0000FBBF0000}"/>
    <cellStyle name="Normal 5 2 5 4 2 2" xfId="30629" xr:uid="{00000000-0005-0000-0000-0000FCBF0000}"/>
    <cellStyle name="Normal 5 2 5 4 2 2 2" xfId="57762" xr:uid="{00000000-0005-0000-0000-0000FDBF0000}"/>
    <cellStyle name="Normal 5 2 5 4 2 3" xfId="44200" xr:uid="{00000000-0005-0000-0000-0000FEBF0000}"/>
    <cellStyle name="Normal 5 2 5 4 3" xfId="23848" xr:uid="{00000000-0005-0000-0000-0000FFBF0000}"/>
    <cellStyle name="Normal 5 2 5 4 3 2" xfId="50981" xr:uid="{00000000-0005-0000-0000-000000C00000}"/>
    <cellStyle name="Normal 5 2 5 4 4" xfId="37419" xr:uid="{00000000-0005-0000-0000-000001C00000}"/>
    <cellStyle name="Normal 5 2 5 5" xfId="13672" xr:uid="{00000000-0005-0000-0000-000002C00000}"/>
    <cellStyle name="Normal 5 2 5 5 2" xfId="27240" xr:uid="{00000000-0005-0000-0000-000003C00000}"/>
    <cellStyle name="Normal 5 2 5 5 2 2" xfId="54373" xr:uid="{00000000-0005-0000-0000-000004C00000}"/>
    <cellStyle name="Normal 5 2 5 5 3" xfId="40811" xr:uid="{00000000-0005-0000-0000-000005C00000}"/>
    <cellStyle name="Normal 5 2 5 6" xfId="20459" xr:uid="{00000000-0005-0000-0000-000006C00000}"/>
    <cellStyle name="Normal 5 2 5 6 2" xfId="47592" xr:uid="{00000000-0005-0000-0000-000007C00000}"/>
    <cellStyle name="Normal 5 2 5 7" xfId="34030" xr:uid="{00000000-0005-0000-0000-000008C00000}"/>
    <cellStyle name="Normal 5 2 6" xfId="6743" xr:uid="{00000000-0005-0000-0000-000009C00000}"/>
    <cellStyle name="Normal 5 2 6 2" xfId="10274" xr:uid="{00000000-0005-0000-0000-00000AC00000}"/>
    <cellStyle name="Normal 5 2 6 2 2" xfId="17064" xr:uid="{00000000-0005-0000-0000-00000BC00000}"/>
    <cellStyle name="Normal 5 2 6 2 2 2" xfId="30632" xr:uid="{00000000-0005-0000-0000-00000CC00000}"/>
    <cellStyle name="Normal 5 2 6 2 2 2 2" xfId="57765" xr:uid="{00000000-0005-0000-0000-00000DC00000}"/>
    <cellStyle name="Normal 5 2 6 2 2 3" xfId="44203" xr:uid="{00000000-0005-0000-0000-00000EC00000}"/>
    <cellStyle name="Normal 5 2 6 2 3" xfId="23851" xr:uid="{00000000-0005-0000-0000-00000FC00000}"/>
    <cellStyle name="Normal 5 2 6 2 3 2" xfId="50984" xr:uid="{00000000-0005-0000-0000-000010C00000}"/>
    <cellStyle name="Normal 5 2 6 2 4" xfId="37422" xr:uid="{00000000-0005-0000-0000-000011C00000}"/>
    <cellStyle name="Normal 5 2 6 3" xfId="13675" xr:uid="{00000000-0005-0000-0000-000012C00000}"/>
    <cellStyle name="Normal 5 2 6 3 2" xfId="27243" xr:uid="{00000000-0005-0000-0000-000013C00000}"/>
    <cellStyle name="Normal 5 2 6 3 2 2" xfId="54376" xr:uid="{00000000-0005-0000-0000-000014C00000}"/>
    <cellStyle name="Normal 5 2 6 3 3" xfId="40814" xr:uid="{00000000-0005-0000-0000-000015C00000}"/>
    <cellStyle name="Normal 5 2 6 4" xfId="20462" xr:uid="{00000000-0005-0000-0000-000016C00000}"/>
    <cellStyle name="Normal 5 2 6 4 2" xfId="47595" xr:uid="{00000000-0005-0000-0000-000017C00000}"/>
    <cellStyle name="Normal 5 2 6 5" xfId="34033" xr:uid="{00000000-0005-0000-0000-000018C00000}"/>
    <cellStyle name="Normal 5 2 7" xfId="6744" xr:uid="{00000000-0005-0000-0000-000019C00000}"/>
    <cellStyle name="Normal 5 2 7 2" xfId="10275" xr:uid="{00000000-0005-0000-0000-00001AC00000}"/>
    <cellStyle name="Normal 5 2 7 2 2" xfId="17065" xr:uid="{00000000-0005-0000-0000-00001BC00000}"/>
    <cellStyle name="Normal 5 2 7 2 2 2" xfId="30633" xr:uid="{00000000-0005-0000-0000-00001CC00000}"/>
    <cellStyle name="Normal 5 2 7 2 2 2 2" xfId="57766" xr:uid="{00000000-0005-0000-0000-00001DC00000}"/>
    <cellStyle name="Normal 5 2 7 2 2 3" xfId="44204" xr:uid="{00000000-0005-0000-0000-00001EC00000}"/>
    <cellStyle name="Normal 5 2 7 2 3" xfId="23852" xr:uid="{00000000-0005-0000-0000-00001FC00000}"/>
    <cellStyle name="Normal 5 2 7 2 3 2" xfId="50985" xr:uid="{00000000-0005-0000-0000-000020C00000}"/>
    <cellStyle name="Normal 5 2 7 2 4" xfId="37423" xr:uid="{00000000-0005-0000-0000-000021C00000}"/>
    <cellStyle name="Normal 5 2 7 3" xfId="13676" xr:uid="{00000000-0005-0000-0000-000022C00000}"/>
    <cellStyle name="Normal 5 2 7 3 2" xfId="27244" xr:uid="{00000000-0005-0000-0000-000023C00000}"/>
    <cellStyle name="Normal 5 2 7 3 2 2" xfId="54377" xr:uid="{00000000-0005-0000-0000-000024C00000}"/>
    <cellStyle name="Normal 5 2 7 3 3" xfId="40815" xr:uid="{00000000-0005-0000-0000-000025C00000}"/>
    <cellStyle name="Normal 5 2 7 4" xfId="20463" xr:uid="{00000000-0005-0000-0000-000026C00000}"/>
    <cellStyle name="Normal 5 2 7 4 2" xfId="47596" xr:uid="{00000000-0005-0000-0000-000027C00000}"/>
    <cellStyle name="Normal 5 2 7 5" xfId="34034" xr:uid="{00000000-0005-0000-0000-000028C00000}"/>
    <cellStyle name="Normal 5 20" xfId="7449" xr:uid="{00000000-0005-0000-0000-000029C00000}"/>
    <cellStyle name="Normal 5 20 2" xfId="10844" xr:uid="{00000000-0005-0000-0000-00002AC00000}"/>
    <cellStyle name="Normal 5 20 2 2" xfId="17634" xr:uid="{00000000-0005-0000-0000-00002BC00000}"/>
    <cellStyle name="Normal 5 20 2 2 2" xfId="31202" xr:uid="{00000000-0005-0000-0000-00002CC00000}"/>
    <cellStyle name="Normal 5 20 2 2 2 2" xfId="58335" xr:uid="{00000000-0005-0000-0000-00002DC00000}"/>
    <cellStyle name="Normal 5 20 2 2 3" xfId="44773" xr:uid="{00000000-0005-0000-0000-00002EC00000}"/>
    <cellStyle name="Normal 5 20 2 3" xfId="24421" xr:uid="{00000000-0005-0000-0000-00002FC00000}"/>
    <cellStyle name="Normal 5 20 2 3 2" xfId="51554" xr:uid="{00000000-0005-0000-0000-000030C00000}"/>
    <cellStyle name="Normal 5 20 2 4" xfId="37992" xr:uid="{00000000-0005-0000-0000-000031C00000}"/>
    <cellStyle name="Normal 5 20 3" xfId="14245" xr:uid="{00000000-0005-0000-0000-000032C00000}"/>
    <cellStyle name="Normal 5 20 3 2" xfId="27813" xr:uid="{00000000-0005-0000-0000-000033C00000}"/>
    <cellStyle name="Normal 5 20 3 2 2" xfId="54946" xr:uid="{00000000-0005-0000-0000-000034C00000}"/>
    <cellStyle name="Normal 5 20 3 3" xfId="41384" xr:uid="{00000000-0005-0000-0000-000035C00000}"/>
    <cellStyle name="Normal 5 20 4" xfId="21032" xr:uid="{00000000-0005-0000-0000-000036C00000}"/>
    <cellStyle name="Normal 5 20 4 2" xfId="48165" xr:uid="{00000000-0005-0000-0000-000037C00000}"/>
    <cellStyle name="Normal 5 20 5" xfId="34603" xr:uid="{00000000-0005-0000-0000-000038C00000}"/>
    <cellStyle name="Normal 5 3" xfId="21" xr:uid="{00000000-0005-0000-0000-000039C00000}"/>
    <cellStyle name="Normal 5 3 10" xfId="6745" xr:uid="{00000000-0005-0000-0000-00003AC00000}"/>
    <cellStyle name="Normal 5 3 10 2" xfId="10276" xr:uid="{00000000-0005-0000-0000-00003BC00000}"/>
    <cellStyle name="Normal 5 3 10 2 2" xfId="17066" xr:uid="{00000000-0005-0000-0000-00003CC00000}"/>
    <cellStyle name="Normal 5 3 10 2 2 2" xfId="30634" xr:uid="{00000000-0005-0000-0000-00003DC00000}"/>
    <cellStyle name="Normal 5 3 10 2 2 2 2" xfId="57767" xr:uid="{00000000-0005-0000-0000-00003EC00000}"/>
    <cellStyle name="Normal 5 3 10 2 2 3" xfId="44205" xr:uid="{00000000-0005-0000-0000-00003FC00000}"/>
    <cellStyle name="Normal 5 3 10 2 3" xfId="23853" xr:uid="{00000000-0005-0000-0000-000040C00000}"/>
    <cellStyle name="Normal 5 3 10 2 3 2" xfId="50986" xr:uid="{00000000-0005-0000-0000-000041C00000}"/>
    <cellStyle name="Normal 5 3 10 2 4" xfId="37424" xr:uid="{00000000-0005-0000-0000-000042C00000}"/>
    <cellStyle name="Normal 5 3 10 3" xfId="13677" xr:uid="{00000000-0005-0000-0000-000043C00000}"/>
    <cellStyle name="Normal 5 3 10 3 2" xfId="27245" xr:uid="{00000000-0005-0000-0000-000044C00000}"/>
    <cellStyle name="Normal 5 3 10 3 2 2" xfId="54378" xr:uid="{00000000-0005-0000-0000-000045C00000}"/>
    <cellStyle name="Normal 5 3 10 3 3" xfId="40816" xr:uid="{00000000-0005-0000-0000-000046C00000}"/>
    <cellStyle name="Normal 5 3 10 4" xfId="20464" xr:uid="{00000000-0005-0000-0000-000047C00000}"/>
    <cellStyle name="Normal 5 3 10 4 2" xfId="47597" xr:uid="{00000000-0005-0000-0000-000048C00000}"/>
    <cellStyle name="Normal 5 3 10 5" xfId="34035" xr:uid="{00000000-0005-0000-0000-000049C00000}"/>
    <cellStyle name="Normal 5 3 11" xfId="204" xr:uid="{00000000-0005-0000-0000-00004AC00000}"/>
    <cellStyle name="Normal 5 3 2" xfId="6746" xr:uid="{00000000-0005-0000-0000-00004BC00000}"/>
    <cellStyle name="Normal 5 3 2 10" xfId="13678" xr:uid="{00000000-0005-0000-0000-00004CC00000}"/>
    <cellStyle name="Normal 5 3 2 10 2" xfId="27246" xr:uid="{00000000-0005-0000-0000-00004DC00000}"/>
    <cellStyle name="Normal 5 3 2 10 2 2" xfId="54379" xr:uid="{00000000-0005-0000-0000-00004EC00000}"/>
    <cellStyle name="Normal 5 3 2 10 3" xfId="40817" xr:uid="{00000000-0005-0000-0000-00004FC00000}"/>
    <cellStyle name="Normal 5 3 2 11" xfId="20465" xr:uid="{00000000-0005-0000-0000-000050C00000}"/>
    <cellStyle name="Normal 5 3 2 11 2" xfId="47598" xr:uid="{00000000-0005-0000-0000-000051C00000}"/>
    <cellStyle name="Normal 5 3 2 12" xfId="34036" xr:uid="{00000000-0005-0000-0000-000052C00000}"/>
    <cellStyle name="Normal 5 3 2 2" xfId="6747" xr:uid="{00000000-0005-0000-0000-000053C00000}"/>
    <cellStyle name="Normal 5 3 2 2 10" xfId="34037" xr:uid="{00000000-0005-0000-0000-000054C00000}"/>
    <cellStyle name="Normal 5 3 2 2 2" xfId="6748" xr:uid="{00000000-0005-0000-0000-000055C00000}"/>
    <cellStyle name="Normal 5 3 2 2 2 2" xfId="6749" xr:uid="{00000000-0005-0000-0000-000056C00000}"/>
    <cellStyle name="Normal 5 3 2 2 2 2 2" xfId="6750" xr:uid="{00000000-0005-0000-0000-000057C00000}"/>
    <cellStyle name="Normal 5 3 2 2 2 2 2 2" xfId="10281" xr:uid="{00000000-0005-0000-0000-000058C00000}"/>
    <cellStyle name="Normal 5 3 2 2 2 2 2 2 2" xfId="17071" xr:uid="{00000000-0005-0000-0000-000059C00000}"/>
    <cellStyle name="Normal 5 3 2 2 2 2 2 2 2 2" xfId="30639" xr:uid="{00000000-0005-0000-0000-00005AC00000}"/>
    <cellStyle name="Normal 5 3 2 2 2 2 2 2 2 2 2" xfId="57772" xr:uid="{00000000-0005-0000-0000-00005BC00000}"/>
    <cellStyle name="Normal 5 3 2 2 2 2 2 2 2 3" xfId="44210" xr:uid="{00000000-0005-0000-0000-00005CC00000}"/>
    <cellStyle name="Normal 5 3 2 2 2 2 2 2 3" xfId="23858" xr:uid="{00000000-0005-0000-0000-00005DC00000}"/>
    <cellStyle name="Normal 5 3 2 2 2 2 2 2 3 2" xfId="50991" xr:uid="{00000000-0005-0000-0000-00005EC00000}"/>
    <cellStyle name="Normal 5 3 2 2 2 2 2 2 4" xfId="37429" xr:uid="{00000000-0005-0000-0000-00005FC00000}"/>
    <cellStyle name="Normal 5 3 2 2 2 2 2 3" xfId="13682" xr:uid="{00000000-0005-0000-0000-000060C00000}"/>
    <cellStyle name="Normal 5 3 2 2 2 2 2 3 2" xfId="27250" xr:uid="{00000000-0005-0000-0000-000061C00000}"/>
    <cellStyle name="Normal 5 3 2 2 2 2 2 3 2 2" xfId="54383" xr:uid="{00000000-0005-0000-0000-000062C00000}"/>
    <cellStyle name="Normal 5 3 2 2 2 2 2 3 3" xfId="40821" xr:uid="{00000000-0005-0000-0000-000063C00000}"/>
    <cellStyle name="Normal 5 3 2 2 2 2 2 4" xfId="20469" xr:uid="{00000000-0005-0000-0000-000064C00000}"/>
    <cellStyle name="Normal 5 3 2 2 2 2 2 4 2" xfId="47602" xr:uid="{00000000-0005-0000-0000-000065C00000}"/>
    <cellStyle name="Normal 5 3 2 2 2 2 2 5" xfId="34040" xr:uid="{00000000-0005-0000-0000-000066C00000}"/>
    <cellStyle name="Normal 5 3 2 2 2 2 3" xfId="6751" xr:uid="{00000000-0005-0000-0000-000067C00000}"/>
    <cellStyle name="Normal 5 3 2 2 2 2 3 2" xfId="10282" xr:uid="{00000000-0005-0000-0000-000068C00000}"/>
    <cellStyle name="Normal 5 3 2 2 2 2 3 2 2" xfId="17072" xr:uid="{00000000-0005-0000-0000-000069C00000}"/>
    <cellStyle name="Normal 5 3 2 2 2 2 3 2 2 2" xfId="30640" xr:uid="{00000000-0005-0000-0000-00006AC00000}"/>
    <cellStyle name="Normal 5 3 2 2 2 2 3 2 2 2 2" xfId="57773" xr:uid="{00000000-0005-0000-0000-00006BC00000}"/>
    <cellStyle name="Normal 5 3 2 2 2 2 3 2 2 3" xfId="44211" xr:uid="{00000000-0005-0000-0000-00006CC00000}"/>
    <cellStyle name="Normal 5 3 2 2 2 2 3 2 3" xfId="23859" xr:uid="{00000000-0005-0000-0000-00006DC00000}"/>
    <cellStyle name="Normal 5 3 2 2 2 2 3 2 3 2" xfId="50992" xr:uid="{00000000-0005-0000-0000-00006EC00000}"/>
    <cellStyle name="Normal 5 3 2 2 2 2 3 2 4" xfId="37430" xr:uid="{00000000-0005-0000-0000-00006FC00000}"/>
    <cellStyle name="Normal 5 3 2 2 2 2 3 3" xfId="13683" xr:uid="{00000000-0005-0000-0000-000070C00000}"/>
    <cellStyle name="Normal 5 3 2 2 2 2 3 3 2" xfId="27251" xr:uid="{00000000-0005-0000-0000-000071C00000}"/>
    <cellStyle name="Normal 5 3 2 2 2 2 3 3 2 2" xfId="54384" xr:uid="{00000000-0005-0000-0000-000072C00000}"/>
    <cellStyle name="Normal 5 3 2 2 2 2 3 3 3" xfId="40822" xr:uid="{00000000-0005-0000-0000-000073C00000}"/>
    <cellStyle name="Normal 5 3 2 2 2 2 3 4" xfId="20470" xr:uid="{00000000-0005-0000-0000-000074C00000}"/>
    <cellStyle name="Normal 5 3 2 2 2 2 3 4 2" xfId="47603" xr:uid="{00000000-0005-0000-0000-000075C00000}"/>
    <cellStyle name="Normal 5 3 2 2 2 2 3 5" xfId="34041" xr:uid="{00000000-0005-0000-0000-000076C00000}"/>
    <cellStyle name="Normal 5 3 2 2 2 2 4" xfId="10280" xr:uid="{00000000-0005-0000-0000-000077C00000}"/>
    <cellStyle name="Normal 5 3 2 2 2 2 4 2" xfId="17070" xr:uid="{00000000-0005-0000-0000-000078C00000}"/>
    <cellStyle name="Normal 5 3 2 2 2 2 4 2 2" xfId="30638" xr:uid="{00000000-0005-0000-0000-000079C00000}"/>
    <cellStyle name="Normal 5 3 2 2 2 2 4 2 2 2" xfId="57771" xr:uid="{00000000-0005-0000-0000-00007AC00000}"/>
    <cellStyle name="Normal 5 3 2 2 2 2 4 2 3" xfId="44209" xr:uid="{00000000-0005-0000-0000-00007BC00000}"/>
    <cellStyle name="Normal 5 3 2 2 2 2 4 3" xfId="23857" xr:uid="{00000000-0005-0000-0000-00007CC00000}"/>
    <cellStyle name="Normal 5 3 2 2 2 2 4 3 2" xfId="50990" xr:uid="{00000000-0005-0000-0000-00007DC00000}"/>
    <cellStyle name="Normal 5 3 2 2 2 2 4 4" xfId="37428" xr:uid="{00000000-0005-0000-0000-00007EC00000}"/>
    <cellStyle name="Normal 5 3 2 2 2 2 5" xfId="13681" xr:uid="{00000000-0005-0000-0000-00007FC00000}"/>
    <cellStyle name="Normal 5 3 2 2 2 2 5 2" xfId="27249" xr:uid="{00000000-0005-0000-0000-000080C00000}"/>
    <cellStyle name="Normal 5 3 2 2 2 2 5 2 2" xfId="54382" xr:uid="{00000000-0005-0000-0000-000081C00000}"/>
    <cellStyle name="Normal 5 3 2 2 2 2 5 3" xfId="40820" xr:uid="{00000000-0005-0000-0000-000082C00000}"/>
    <cellStyle name="Normal 5 3 2 2 2 2 6" xfId="20468" xr:uid="{00000000-0005-0000-0000-000083C00000}"/>
    <cellStyle name="Normal 5 3 2 2 2 2 6 2" xfId="47601" xr:uid="{00000000-0005-0000-0000-000084C00000}"/>
    <cellStyle name="Normal 5 3 2 2 2 2 7" xfId="34039" xr:uid="{00000000-0005-0000-0000-000085C00000}"/>
    <cellStyle name="Normal 5 3 2 2 2 3" xfId="6752" xr:uid="{00000000-0005-0000-0000-000086C00000}"/>
    <cellStyle name="Normal 5 3 2 2 2 3 2" xfId="6753" xr:uid="{00000000-0005-0000-0000-000087C00000}"/>
    <cellStyle name="Normal 5 3 2 2 2 3 2 2" xfId="10284" xr:uid="{00000000-0005-0000-0000-000088C00000}"/>
    <cellStyle name="Normal 5 3 2 2 2 3 2 2 2" xfId="17074" xr:uid="{00000000-0005-0000-0000-000089C00000}"/>
    <cellStyle name="Normal 5 3 2 2 2 3 2 2 2 2" xfId="30642" xr:uid="{00000000-0005-0000-0000-00008AC00000}"/>
    <cellStyle name="Normal 5 3 2 2 2 3 2 2 2 2 2" xfId="57775" xr:uid="{00000000-0005-0000-0000-00008BC00000}"/>
    <cellStyle name="Normal 5 3 2 2 2 3 2 2 2 3" xfId="44213" xr:uid="{00000000-0005-0000-0000-00008CC00000}"/>
    <cellStyle name="Normal 5 3 2 2 2 3 2 2 3" xfId="23861" xr:uid="{00000000-0005-0000-0000-00008DC00000}"/>
    <cellStyle name="Normal 5 3 2 2 2 3 2 2 3 2" xfId="50994" xr:uid="{00000000-0005-0000-0000-00008EC00000}"/>
    <cellStyle name="Normal 5 3 2 2 2 3 2 2 4" xfId="37432" xr:uid="{00000000-0005-0000-0000-00008FC00000}"/>
    <cellStyle name="Normal 5 3 2 2 2 3 2 3" xfId="13685" xr:uid="{00000000-0005-0000-0000-000090C00000}"/>
    <cellStyle name="Normal 5 3 2 2 2 3 2 3 2" xfId="27253" xr:uid="{00000000-0005-0000-0000-000091C00000}"/>
    <cellStyle name="Normal 5 3 2 2 2 3 2 3 2 2" xfId="54386" xr:uid="{00000000-0005-0000-0000-000092C00000}"/>
    <cellStyle name="Normal 5 3 2 2 2 3 2 3 3" xfId="40824" xr:uid="{00000000-0005-0000-0000-000093C00000}"/>
    <cellStyle name="Normal 5 3 2 2 2 3 2 4" xfId="20472" xr:uid="{00000000-0005-0000-0000-000094C00000}"/>
    <cellStyle name="Normal 5 3 2 2 2 3 2 4 2" xfId="47605" xr:uid="{00000000-0005-0000-0000-000095C00000}"/>
    <cellStyle name="Normal 5 3 2 2 2 3 2 5" xfId="34043" xr:uid="{00000000-0005-0000-0000-000096C00000}"/>
    <cellStyle name="Normal 5 3 2 2 2 3 3" xfId="10283" xr:uid="{00000000-0005-0000-0000-000097C00000}"/>
    <cellStyle name="Normal 5 3 2 2 2 3 3 2" xfId="17073" xr:uid="{00000000-0005-0000-0000-000098C00000}"/>
    <cellStyle name="Normal 5 3 2 2 2 3 3 2 2" xfId="30641" xr:uid="{00000000-0005-0000-0000-000099C00000}"/>
    <cellStyle name="Normal 5 3 2 2 2 3 3 2 2 2" xfId="57774" xr:uid="{00000000-0005-0000-0000-00009AC00000}"/>
    <cellStyle name="Normal 5 3 2 2 2 3 3 2 3" xfId="44212" xr:uid="{00000000-0005-0000-0000-00009BC00000}"/>
    <cellStyle name="Normal 5 3 2 2 2 3 3 3" xfId="23860" xr:uid="{00000000-0005-0000-0000-00009CC00000}"/>
    <cellStyle name="Normal 5 3 2 2 2 3 3 3 2" xfId="50993" xr:uid="{00000000-0005-0000-0000-00009DC00000}"/>
    <cellStyle name="Normal 5 3 2 2 2 3 3 4" xfId="37431" xr:uid="{00000000-0005-0000-0000-00009EC00000}"/>
    <cellStyle name="Normal 5 3 2 2 2 3 4" xfId="13684" xr:uid="{00000000-0005-0000-0000-00009FC00000}"/>
    <cellStyle name="Normal 5 3 2 2 2 3 4 2" xfId="27252" xr:uid="{00000000-0005-0000-0000-0000A0C00000}"/>
    <cellStyle name="Normal 5 3 2 2 2 3 4 2 2" xfId="54385" xr:uid="{00000000-0005-0000-0000-0000A1C00000}"/>
    <cellStyle name="Normal 5 3 2 2 2 3 4 3" xfId="40823" xr:uid="{00000000-0005-0000-0000-0000A2C00000}"/>
    <cellStyle name="Normal 5 3 2 2 2 3 5" xfId="20471" xr:uid="{00000000-0005-0000-0000-0000A3C00000}"/>
    <cellStyle name="Normal 5 3 2 2 2 3 5 2" xfId="47604" xr:uid="{00000000-0005-0000-0000-0000A4C00000}"/>
    <cellStyle name="Normal 5 3 2 2 2 3 6" xfId="34042" xr:uid="{00000000-0005-0000-0000-0000A5C00000}"/>
    <cellStyle name="Normal 5 3 2 2 2 4" xfId="6754" xr:uid="{00000000-0005-0000-0000-0000A6C00000}"/>
    <cellStyle name="Normal 5 3 2 2 2 4 2" xfId="10285" xr:uid="{00000000-0005-0000-0000-0000A7C00000}"/>
    <cellStyle name="Normal 5 3 2 2 2 4 2 2" xfId="17075" xr:uid="{00000000-0005-0000-0000-0000A8C00000}"/>
    <cellStyle name="Normal 5 3 2 2 2 4 2 2 2" xfId="30643" xr:uid="{00000000-0005-0000-0000-0000A9C00000}"/>
    <cellStyle name="Normal 5 3 2 2 2 4 2 2 2 2" xfId="57776" xr:uid="{00000000-0005-0000-0000-0000AAC00000}"/>
    <cellStyle name="Normal 5 3 2 2 2 4 2 2 3" xfId="44214" xr:uid="{00000000-0005-0000-0000-0000ABC00000}"/>
    <cellStyle name="Normal 5 3 2 2 2 4 2 3" xfId="23862" xr:uid="{00000000-0005-0000-0000-0000ACC00000}"/>
    <cellStyle name="Normal 5 3 2 2 2 4 2 3 2" xfId="50995" xr:uid="{00000000-0005-0000-0000-0000ADC00000}"/>
    <cellStyle name="Normal 5 3 2 2 2 4 2 4" xfId="37433" xr:uid="{00000000-0005-0000-0000-0000AEC00000}"/>
    <cellStyle name="Normal 5 3 2 2 2 4 3" xfId="13686" xr:uid="{00000000-0005-0000-0000-0000AFC00000}"/>
    <cellStyle name="Normal 5 3 2 2 2 4 3 2" xfId="27254" xr:uid="{00000000-0005-0000-0000-0000B0C00000}"/>
    <cellStyle name="Normal 5 3 2 2 2 4 3 2 2" xfId="54387" xr:uid="{00000000-0005-0000-0000-0000B1C00000}"/>
    <cellStyle name="Normal 5 3 2 2 2 4 3 3" xfId="40825" xr:uid="{00000000-0005-0000-0000-0000B2C00000}"/>
    <cellStyle name="Normal 5 3 2 2 2 4 4" xfId="20473" xr:uid="{00000000-0005-0000-0000-0000B3C00000}"/>
    <cellStyle name="Normal 5 3 2 2 2 4 4 2" xfId="47606" xr:uid="{00000000-0005-0000-0000-0000B4C00000}"/>
    <cellStyle name="Normal 5 3 2 2 2 4 5" xfId="34044" xr:uid="{00000000-0005-0000-0000-0000B5C00000}"/>
    <cellStyle name="Normal 5 3 2 2 2 5" xfId="6755" xr:uid="{00000000-0005-0000-0000-0000B6C00000}"/>
    <cellStyle name="Normal 5 3 2 2 2 5 2" xfId="10286" xr:uid="{00000000-0005-0000-0000-0000B7C00000}"/>
    <cellStyle name="Normal 5 3 2 2 2 5 2 2" xfId="17076" xr:uid="{00000000-0005-0000-0000-0000B8C00000}"/>
    <cellStyle name="Normal 5 3 2 2 2 5 2 2 2" xfId="30644" xr:uid="{00000000-0005-0000-0000-0000B9C00000}"/>
    <cellStyle name="Normal 5 3 2 2 2 5 2 2 2 2" xfId="57777" xr:uid="{00000000-0005-0000-0000-0000BAC00000}"/>
    <cellStyle name="Normal 5 3 2 2 2 5 2 2 3" xfId="44215" xr:uid="{00000000-0005-0000-0000-0000BBC00000}"/>
    <cellStyle name="Normal 5 3 2 2 2 5 2 3" xfId="23863" xr:uid="{00000000-0005-0000-0000-0000BCC00000}"/>
    <cellStyle name="Normal 5 3 2 2 2 5 2 3 2" xfId="50996" xr:uid="{00000000-0005-0000-0000-0000BDC00000}"/>
    <cellStyle name="Normal 5 3 2 2 2 5 2 4" xfId="37434" xr:uid="{00000000-0005-0000-0000-0000BEC00000}"/>
    <cellStyle name="Normal 5 3 2 2 2 5 3" xfId="13687" xr:uid="{00000000-0005-0000-0000-0000BFC00000}"/>
    <cellStyle name="Normal 5 3 2 2 2 5 3 2" xfId="27255" xr:uid="{00000000-0005-0000-0000-0000C0C00000}"/>
    <cellStyle name="Normal 5 3 2 2 2 5 3 2 2" xfId="54388" xr:uid="{00000000-0005-0000-0000-0000C1C00000}"/>
    <cellStyle name="Normal 5 3 2 2 2 5 3 3" xfId="40826" xr:uid="{00000000-0005-0000-0000-0000C2C00000}"/>
    <cellStyle name="Normal 5 3 2 2 2 5 4" xfId="20474" xr:uid="{00000000-0005-0000-0000-0000C3C00000}"/>
    <cellStyle name="Normal 5 3 2 2 2 5 4 2" xfId="47607" xr:uid="{00000000-0005-0000-0000-0000C4C00000}"/>
    <cellStyle name="Normal 5 3 2 2 2 5 5" xfId="34045" xr:uid="{00000000-0005-0000-0000-0000C5C00000}"/>
    <cellStyle name="Normal 5 3 2 2 2 6" xfId="10279" xr:uid="{00000000-0005-0000-0000-0000C6C00000}"/>
    <cellStyle name="Normal 5 3 2 2 2 6 2" xfId="17069" xr:uid="{00000000-0005-0000-0000-0000C7C00000}"/>
    <cellStyle name="Normal 5 3 2 2 2 6 2 2" xfId="30637" xr:uid="{00000000-0005-0000-0000-0000C8C00000}"/>
    <cellStyle name="Normal 5 3 2 2 2 6 2 2 2" xfId="57770" xr:uid="{00000000-0005-0000-0000-0000C9C00000}"/>
    <cellStyle name="Normal 5 3 2 2 2 6 2 3" xfId="44208" xr:uid="{00000000-0005-0000-0000-0000CAC00000}"/>
    <cellStyle name="Normal 5 3 2 2 2 6 3" xfId="23856" xr:uid="{00000000-0005-0000-0000-0000CBC00000}"/>
    <cellStyle name="Normal 5 3 2 2 2 6 3 2" xfId="50989" xr:uid="{00000000-0005-0000-0000-0000CCC00000}"/>
    <cellStyle name="Normal 5 3 2 2 2 6 4" xfId="37427" xr:uid="{00000000-0005-0000-0000-0000CDC00000}"/>
    <cellStyle name="Normal 5 3 2 2 2 7" xfId="13680" xr:uid="{00000000-0005-0000-0000-0000CEC00000}"/>
    <cellStyle name="Normal 5 3 2 2 2 7 2" xfId="27248" xr:uid="{00000000-0005-0000-0000-0000CFC00000}"/>
    <cellStyle name="Normal 5 3 2 2 2 7 2 2" xfId="54381" xr:uid="{00000000-0005-0000-0000-0000D0C00000}"/>
    <cellStyle name="Normal 5 3 2 2 2 7 3" xfId="40819" xr:uid="{00000000-0005-0000-0000-0000D1C00000}"/>
    <cellStyle name="Normal 5 3 2 2 2 8" xfId="20467" xr:uid="{00000000-0005-0000-0000-0000D2C00000}"/>
    <cellStyle name="Normal 5 3 2 2 2 8 2" xfId="47600" xr:uid="{00000000-0005-0000-0000-0000D3C00000}"/>
    <cellStyle name="Normal 5 3 2 2 2 9" xfId="34038" xr:uid="{00000000-0005-0000-0000-0000D4C00000}"/>
    <cellStyle name="Normal 5 3 2 2 3" xfId="6756" xr:uid="{00000000-0005-0000-0000-0000D5C00000}"/>
    <cellStyle name="Normal 5 3 2 2 3 2" xfId="6757" xr:uid="{00000000-0005-0000-0000-0000D6C00000}"/>
    <cellStyle name="Normal 5 3 2 2 3 2 2" xfId="10288" xr:uid="{00000000-0005-0000-0000-0000D7C00000}"/>
    <cellStyle name="Normal 5 3 2 2 3 2 2 2" xfId="17078" xr:uid="{00000000-0005-0000-0000-0000D8C00000}"/>
    <cellStyle name="Normal 5 3 2 2 3 2 2 2 2" xfId="30646" xr:uid="{00000000-0005-0000-0000-0000D9C00000}"/>
    <cellStyle name="Normal 5 3 2 2 3 2 2 2 2 2" xfId="57779" xr:uid="{00000000-0005-0000-0000-0000DAC00000}"/>
    <cellStyle name="Normal 5 3 2 2 3 2 2 2 3" xfId="44217" xr:uid="{00000000-0005-0000-0000-0000DBC00000}"/>
    <cellStyle name="Normal 5 3 2 2 3 2 2 3" xfId="23865" xr:uid="{00000000-0005-0000-0000-0000DCC00000}"/>
    <cellStyle name="Normal 5 3 2 2 3 2 2 3 2" xfId="50998" xr:uid="{00000000-0005-0000-0000-0000DDC00000}"/>
    <cellStyle name="Normal 5 3 2 2 3 2 2 4" xfId="37436" xr:uid="{00000000-0005-0000-0000-0000DEC00000}"/>
    <cellStyle name="Normal 5 3 2 2 3 2 3" xfId="13689" xr:uid="{00000000-0005-0000-0000-0000DFC00000}"/>
    <cellStyle name="Normal 5 3 2 2 3 2 3 2" xfId="27257" xr:uid="{00000000-0005-0000-0000-0000E0C00000}"/>
    <cellStyle name="Normal 5 3 2 2 3 2 3 2 2" xfId="54390" xr:uid="{00000000-0005-0000-0000-0000E1C00000}"/>
    <cellStyle name="Normal 5 3 2 2 3 2 3 3" xfId="40828" xr:uid="{00000000-0005-0000-0000-0000E2C00000}"/>
    <cellStyle name="Normal 5 3 2 2 3 2 4" xfId="20476" xr:uid="{00000000-0005-0000-0000-0000E3C00000}"/>
    <cellStyle name="Normal 5 3 2 2 3 2 4 2" xfId="47609" xr:uid="{00000000-0005-0000-0000-0000E4C00000}"/>
    <cellStyle name="Normal 5 3 2 2 3 2 5" xfId="34047" xr:uid="{00000000-0005-0000-0000-0000E5C00000}"/>
    <cellStyle name="Normal 5 3 2 2 3 3" xfId="6758" xr:uid="{00000000-0005-0000-0000-0000E6C00000}"/>
    <cellStyle name="Normal 5 3 2 2 3 3 2" xfId="10289" xr:uid="{00000000-0005-0000-0000-0000E7C00000}"/>
    <cellStyle name="Normal 5 3 2 2 3 3 2 2" xfId="17079" xr:uid="{00000000-0005-0000-0000-0000E8C00000}"/>
    <cellStyle name="Normal 5 3 2 2 3 3 2 2 2" xfId="30647" xr:uid="{00000000-0005-0000-0000-0000E9C00000}"/>
    <cellStyle name="Normal 5 3 2 2 3 3 2 2 2 2" xfId="57780" xr:uid="{00000000-0005-0000-0000-0000EAC00000}"/>
    <cellStyle name="Normal 5 3 2 2 3 3 2 2 3" xfId="44218" xr:uid="{00000000-0005-0000-0000-0000EBC00000}"/>
    <cellStyle name="Normal 5 3 2 2 3 3 2 3" xfId="23866" xr:uid="{00000000-0005-0000-0000-0000ECC00000}"/>
    <cellStyle name="Normal 5 3 2 2 3 3 2 3 2" xfId="50999" xr:uid="{00000000-0005-0000-0000-0000EDC00000}"/>
    <cellStyle name="Normal 5 3 2 2 3 3 2 4" xfId="37437" xr:uid="{00000000-0005-0000-0000-0000EEC00000}"/>
    <cellStyle name="Normal 5 3 2 2 3 3 3" xfId="13690" xr:uid="{00000000-0005-0000-0000-0000EFC00000}"/>
    <cellStyle name="Normal 5 3 2 2 3 3 3 2" xfId="27258" xr:uid="{00000000-0005-0000-0000-0000F0C00000}"/>
    <cellStyle name="Normal 5 3 2 2 3 3 3 2 2" xfId="54391" xr:uid="{00000000-0005-0000-0000-0000F1C00000}"/>
    <cellStyle name="Normal 5 3 2 2 3 3 3 3" xfId="40829" xr:uid="{00000000-0005-0000-0000-0000F2C00000}"/>
    <cellStyle name="Normal 5 3 2 2 3 3 4" xfId="20477" xr:uid="{00000000-0005-0000-0000-0000F3C00000}"/>
    <cellStyle name="Normal 5 3 2 2 3 3 4 2" xfId="47610" xr:uid="{00000000-0005-0000-0000-0000F4C00000}"/>
    <cellStyle name="Normal 5 3 2 2 3 3 5" xfId="34048" xr:uid="{00000000-0005-0000-0000-0000F5C00000}"/>
    <cellStyle name="Normal 5 3 2 2 3 4" xfId="10287" xr:uid="{00000000-0005-0000-0000-0000F6C00000}"/>
    <cellStyle name="Normal 5 3 2 2 3 4 2" xfId="17077" xr:uid="{00000000-0005-0000-0000-0000F7C00000}"/>
    <cellStyle name="Normal 5 3 2 2 3 4 2 2" xfId="30645" xr:uid="{00000000-0005-0000-0000-0000F8C00000}"/>
    <cellStyle name="Normal 5 3 2 2 3 4 2 2 2" xfId="57778" xr:uid="{00000000-0005-0000-0000-0000F9C00000}"/>
    <cellStyle name="Normal 5 3 2 2 3 4 2 3" xfId="44216" xr:uid="{00000000-0005-0000-0000-0000FAC00000}"/>
    <cellStyle name="Normal 5 3 2 2 3 4 3" xfId="23864" xr:uid="{00000000-0005-0000-0000-0000FBC00000}"/>
    <cellStyle name="Normal 5 3 2 2 3 4 3 2" xfId="50997" xr:uid="{00000000-0005-0000-0000-0000FCC00000}"/>
    <cellStyle name="Normal 5 3 2 2 3 4 4" xfId="37435" xr:uid="{00000000-0005-0000-0000-0000FDC00000}"/>
    <cellStyle name="Normal 5 3 2 2 3 5" xfId="13688" xr:uid="{00000000-0005-0000-0000-0000FEC00000}"/>
    <cellStyle name="Normal 5 3 2 2 3 5 2" xfId="27256" xr:uid="{00000000-0005-0000-0000-0000FFC00000}"/>
    <cellStyle name="Normal 5 3 2 2 3 5 2 2" xfId="54389" xr:uid="{00000000-0005-0000-0000-000000C10000}"/>
    <cellStyle name="Normal 5 3 2 2 3 5 3" xfId="40827" xr:uid="{00000000-0005-0000-0000-000001C10000}"/>
    <cellStyle name="Normal 5 3 2 2 3 6" xfId="20475" xr:uid="{00000000-0005-0000-0000-000002C10000}"/>
    <cellStyle name="Normal 5 3 2 2 3 6 2" xfId="47608" xr:uid="{00000000-0005-0000-0000-000003C10000}"/>
    <cellStyle name="Normal 5 3 2 2 3 7" xfId="34046" xr:uid="{00000000-0005-0000-0000-000004C10000}"/>
    <cellStyle name="Normal 5 3 2 2 4" xfId="6759" xr:uid="{00000000-0005-0000-0000-000005C10000}"/>
    <cellStyle name="Normal 5 3 2 2 4 2" xfId="6760" xr:uid="{00000000-0005-0000-0000-000006C10000}"/>
    <cellStyle name="Normal 5 3 2 2 4 2 2" xfId="10291" xr:uid="{00000000-0005-0000-0000-000007C10000}"/>
    <cellStyle name="Normal 5 3 2 2 4 2 2 2" xfId="17081" xr:uid="{00000000-0005-0000-0000-000008C10000}"/>
    <cellStyle name="Normal 5 3 2 2 4 2 2 2 2" xfId="30649" xr:uid="{00000000-0005-0000-0000-000009C10000}"/>
    <cellStyle name="Normal 5 3 2 2 4 2 2 2 2 2" xfId="57782" xr:uid="{00000000-0005-0000-0000-00000AC10000}"/>
    <cellStyle name="Normal 5 3 2 2 4 2 2 2 3" xfId="44220" xr:uid="{00000000-0005-0000-0000-00000BC10000}"/>
    <cellStyle name="Normal 5 3 2 2 4 2 2 3" xfId="23868" xr:uid="{00000000-0005-0000-0000-00000CC10000}"/>
    <cellStyle name="Normal 5 3 2 2 4 2 2 3 2" xfId="51001" xr:uid="{00000000-0005-0000-0000-00000DC10000}"/>
    <cellStyle name="Normal 5 3 2 2 4 2 2 4" xfId="37439" xr:uid="{00000000-0005-0000-0000-00000EC10000}"/>
    <cellStyle name="Normal 5 3 2 2 4 2 3" xfId="13692" xr:uid="{00000000-0005-0000-0000-00000FC10000}"/>
    <cellStyle name="Normal 5 3 2 2 4 2 3 2" xfId="27260" xr:uid="{00000000-0005-0000-0000-000010C10000}"/>
    <cellStyle name="Normal 5 3 2 2 4 2 3 2 2" xfId="54393" xr:uid="{00000000-0005-0000-0000-000011C10000}"/>
    <cellStyle name="Normal 5 3 2 2 4 2 3 3" xfId="40831" xr:uid="{00000000-0005-0000-0000-000012C10000}"/>
    <cellStyle name="Normal 5 3 2 2 4 2 4" xfId="20479" xr:uid="{00000000-0005-0000-0000-000013C10000}"/>
    <cellStyle name="Normal 5 3 2 2 4 2 4 2" xfId="47612" xr:uid="{00000000-0005-0000-0000-000014C10000}"/>
    <cellStyle name="Normal 5 3 2 2 4 2 5" xfId="34050" xr:uid="{00000000-0005-0000-0000-000015C10000}"/>
    <cellStyle name="Normal 5 3 2 2 4 3" xfId="10290" xr:uid="{00000000-0005-0000-0000-000016C10000}"/>
    <cellStyle name="Normal 5 3 2 2 4 3 2" xfId="17080" xr:uid="{00000000-0005-0000-0000-000017C10000}"/>
    <cellStyle name="Normal 5 3 2 2 4 3 2 2" xfId="30648" xr:uid="{00000000-0005-0000-0000-000018C10000}"/>
    <cellStyle name="Normal 5 3 2 2 4 3 2 2 2" xfId="57781" xr:uid="{00000000-0005-0000-0000-000019C10000}"/>
    <cellStyle name="Normal 5 3 2 2 4 3 2 3" xfId="44219" xr:uid="{00000000-0005-0000-0000-00001AC10000}"/>
    <cellStyle name="Normal 5 3 2 2 4 3 3" xfId="23867" xr:uid="{00000000-0005-0000-0000-00001BC10000}"/>
    <cellStyle name="Normal 5 3 2 2 4 3 3 2" xfId="51000" xr:uid="{00000000-0005-0000-0000-00001CC10000}"/>
    <cellStyle name="Normal 5 3 2 2 4 3 4" xfId="37438" xr:uid="{00000000-0005-0000-0000-00001DC10000}"/>
    <cellStyle name="Normal 5 3 2 2 4 4" xfId="13691" xr:uid="{00000000-0005-0000-0000-00001EC10000}"/>
    <cellStyle name="Normal 5 3 2 2 4 4 2" xfId="27259" xr:uid="{00000000-0005-0000-0000-00001FC10000}"/>
    <cellStyle name="Normal 5 3 2 2 4 4 2 2" xfId="54392" xr:uid="{00000000-0005-0000-0000-000020C10000}"/>
    <cellStyle name="Normal 5 3 2 2 4 4 3" xfId="40830" xr:uid="{00000000-0005-0000-0000-000021C10000}"/>
    <cellStyle name="Normal 5 3 2 2 4 5" xfId="20478" xr:uid="{00000000-0005-0000-0000-000022C10000}"/>
    <cellStyle name="Normal 5 3 2 2 4 5 2" xfId="47611" xr:uid="{00000000-0005-0000-0000-000023C10000}"/>
    <cellStyle name="Normal 5 3 2 2 4 6" xfId="34049" xr:uid="{00000000-0005-0000-0000-000024C10000}"/>
    <cellStyle name="Normal 5 3 2 2 5" xfId="6761" xr:uid="{00000000-0005-0000-0000-000025C10000}"/>
    <cellStyle name="Normal 5 3 2 2 5 2" xfId="10292" xr:uid="{00000000-0005-0000-0000-000026C10000}"/>
    <cellStyle name="Normal 5 3 2 2 5 2 2" xfId="17082" xr:uid="{00000000-0005-0000-0000-000027C10000}"/>
    <cellStyle name="Normal 5 3 2 2 5 2 2 2" xfId="30650" xr:uid="{00000000-0005-0000-0000-000028C10000}"/>
    <cellStyle name="Normal 5 3 2 2 5 2 2 2 2" xfId="57783" xr:uid="{00000000-0005-0000-0000-000029C10000}"/>
    <cellStyle name="Normal 5 3 2 2 5 2 2 3" xfId="44221" xr:uid="{00000000-0005-0000-0000-00002AC10000}"/>
    <cellStyle name="Normal 5 3 2 2 5 2 3" xfId="23869" xr:uid="{00000000-0005-0000-0000-00002BC10000}"/>
    <cellStyle name="Normal 5 3 2 2 5 2 3 2" xfId="51002" xr:uid="{00000000-0005-0000-0000-00002CC10000}"/>
    <cellStyle name="Normal 5 3 2 2 5 2 4" xfId="37440" xr:uid="{00000000-0005-0000-0000-00002DC10000}"/>
    <cellStyle name="Normal 5 3 2 2 5 3" xfId="13693" xr:uid="{00000000-0005-0000-0000-00002EC10000}"/>
    <cellStyle name="Normal 5 3 2 2 5 3 2" xfId="27261" xr:uid="{00000000-0005-0000-0000-00002FC10000}"/>
    <cellStyle name="Normal 5 3 2 2 5 3 2 2" xfId="54394" xr:uid="{00000000-0005-0000-0000-000030C10000}"/>
    <cellStyle name="Normal 5 3 2 2 5 3 3" xfId="40832" xr:uid="{00000000-0005-0000-0000-000031C10000}"/>
    <cellStyle name="Normal 5 3 2 2 5 4" xfId="20480" xr:uid="{00000000-0005-0000-0000-000032C10000}"/>
    <cellStyle name="Normal 5 3 2 2 5 4 2" xfId="47613" xr:uid="{00000000-0005-0000-0000-000033C10000}"/>
    <cellStyle name="Normal 5 3 2 2 5 5" xfId="34051" xr:uid="{00000000-0005-0000-0000-000034C10000}"/>
    <cellStyle name="Normal 5 3 2 2 6" xfId="6762" xr:uid="{00000000-0005-0000-0000-000035C10000}"/>
    <cellStyle name="Normal 5 3 2 2 6 2" xfId="10293" xr:uid="{00000000-0005-0000-0000-000036C10000}"/>
    <cellStyle name="Normal 5 3 2 2 6 2 2" xfId="17083" xr:uid="{00000000-0005-0000-0000-000037C10000}"/>
    <cellStyle name="Normal 5 3 2 2 6 2 2 2" xfId="30651" xr:uid="{00000000-0005-0000-0000-000038C10000}"/>
    <cellStyle name="Normal 5 3 2 2 6 2 2 2 2" xfId="57784" xr:uid="{00000000-0005-0000-0000-000039C10000}"/>
    <cellStyle name="Normal 5 3 2 2 6 2 2 3" xfId="44222" xr:uid="{00000000-0005-0000-0000-00003AC10000}"/>
    <cellStyle name="Normal 5 3 2 2 6 2 3" xfId="23870" xr:uid="{00000000-0005-0000-0000-00003BC10000}"/>
    <cellStyle name="Normal 5 3 2 2 6 2 3 2" xfId="51003" xr:uid="{00000000-0005-0000-0000-00003CC10000}"/>
    <cellStyle name="Normal 5 3 2 2 6 2 4" xfId="37441" xr:uid="{00000000-0005-0000-0000-00003DC10000}"/>
    <cellStyle name="Normal 5 3 2 2 6 3" xfId="13694" xr:uid="{00000000-0005-0000-0000-00003EC10000}"/>
    <cellStyle name="Normal 5 3 2 2 6 3 2" xfId="27262" xr:uid="{00000000-0005-0000-0000-00003FC10000}"/>
    <cellStyle name="Normal 5 3 2 2 6 3 2 2" xfId="54395" xr:uid="{00000000-0005-0000-0000-000040C10000}"/>
    <cellStyle name="Normal 5 3 2 2 6 3 3" xfId="40833" xr:uid="{00000000-0005-0000-0000-000041C10000}"/>
    <cellStyle name="Normal 5 3 2 2 6 4" xfId="20481" xr:uid="{00000000-0005-0000-0000-000042C10000}"/>
    <cellStyle name="Normal 5 3 2 2 6 4 2" xfId="47614" xr:uid="{00000000-0005-0000-0000-000043C10000}"/>
    <cellStyle name="Normal 5 3 2 2 6 5" xfId="34052" xr:uid="{00000000-0005-0000-0000-000044C10000}"/>
    <cellStyle name="Normal 5 3 2 2 7" xfId="10278" xr:uid="{00000000-0005-0000-0000-000045C10000}"/>
    <cellStyle name="Normal 5 3 2 2 7 2" xfId="17068" xr:uid="{00000000-0005-0000-0000-000046C10000}"/>
    <cellStyle name="Normal 5 3 2 2 7 2 2" xfId="30636" xr:uid="{00000000-0005-0000-0000-000047C10000}"/>
    <cellStyle name="Normal 5 3 2 2 7 2 2 2" xfId="57769" xr:uid="{00000000-0005-0000-0000-000048C10000}"/>
    <cellStyle name="Normal 5 3 2 2 7 2 3" xfId="44207" xr:uid="{00000000-0005-0000-0000-000049C10000}"/>
    <cellStyle name="Normal 5 3 2 2 7 3" xfId="23855" xr:uid="{00000000-0005-0000-0000-00004AC10000}"/>
    <cellStyle name="Normal 5 3 2 2 7 3 2" xfId="50988" xr:uid="{00000000-0005-0000-0000-00004BC10000}"/>
    <cellStyle name="Normal 5 3 2 2 7 4" xfId="37426" xr:uid="{00000000-0005-0000-0000-00004CC10000}"/>
    <cellStyle name="Normal 5 3 2 2 8" xfId="13679" xr:uid="{00000000-0005-0000-0000-00004DC10000}"/>
    <cellStyle name="Normal 5 3 2 2 8 2" xfId="27247" xr:uid="{00000000-0005-0000-0000-00004EC10000}"/>
    <cellStyle name="Normal 5 3 2 2 8 2 2" xfId="54380" xr:uid="{00000000-0005-0000-0000-00004FC10000}"/>
    <cellStyle name="Normal 5 3 2 2 8 3" xfId="40818" xr:uid="{00000000-0005-0000-0000-000050C10000}"/>
    <cellStyle name="Normal 5 3 2 2 9" xfId="20466" xr:uid="{00000000-0005-0000-0000-000051C10000}"/>
    <cellStyle name="Normal 5 3 2 2 9 2" xfId="47599" xr:uid="{00000000-0005-0000-0000-000052C10000}"/>
    <cellStyle name="Normal 5 3 2 3" xfId="6763" xr:uid="{00000000-0005-0000-0000-000053C10000}"/>
    <cellStyle name="Normal 5 3 2 3 2" xfId="6764" xr:uid="{00000000-0005-0000-0000-000054C10000}"/>
    <cellStyle name="Normal 5 3 2 3 2 2" xfId="6765" xr:uid="{00000000-0005-0000-0000-000055C10000}"/>
    <cellStyle name="Normal 5 3 2 3 2 2 2" xfId="10296" xr:uid="{00000000-0005-0000-0000-000056C10000}"/>
    <cellStyle name="Normal 5 3 2 3 2 2 2 2" xfId="17086" xr:uid="{00000000-0005-0000-0000-000057C10000}"/>
    <cellStyle name="Normal 5 3 2 3 2 2 2 2 2" xfId="30654" xr:uid="{00000000-0005-0000-0000-000058C10000}"/>
    <cellStyle name="Normal 5 3 2 3 2 2 2 2 2 2" xfId="57787" xr:uid="{00000000-0005-0000-0000-000059C10000}"/>
    <cellStyle name="Normal 5 3 2 3 2 2 2 2 3" xfId="44225" xr:uid="{00000000-0005-0000-0000-00005AC10000}"/>
    <cellStyle name="Normal 5 3 2 3 2 2 2 3" xfId="23873" xr:uid="{00000000-0005-0000-0000-00005BC10000}"/>
    <cellStyle name="Normal 5 3 2 3 2 2 2 3 2" xfId="51006" xr:uid="{00000000-0005-0000-0000-00005CC10000}"/>
    <cellStyle name="Normal 5 3 2 3 2 2 2 4" xfId="37444" xr:uid="{00000000-0005-0000-0000-00005DC10000}"/>
    <cellStyle name="Normal 5 3 2 3 2 2 3" xfId="13697" xr:uid="{00000000-0005-0000-0000-00005EC10000}"/>
    <cellStyle name="Normal 5 3 2 3 2 2 3 2" xfId="27265" xr:uid="{00000000-0005-0000-0000-00005FC10000}"/>
    <cellStyle name="Normal 5 3 2 3 2 2 3 2 2" xfId="54398" xr:uid="{00000000-0005-0000-0000-000060C10000}"/>
    <cellStyle name="Normal 5 3 2 3 2 2 3 3" xfId="40836" xr:uid="{00000000-0005-0000-0000-000061C10000}"/>
    <cellStyle name="Normal 5 3 2 3 2 2 4" xfId="20484" xr:uid="{00000000-0005-0000-0000-000062C10000}"/>
    <cellStyle name="Normal 5 3 2 3 2 2 4 2" xfId="47617" xr:uid="{00000000-0005-0000-0000-000063C10000}"/>
    <cellStyle name="Normal 5 3 2 3 2 2 5" xfId="34055" xr:uid="{00000000-0005-0000-0000-000064C10000}"/>
    <cellStyle name="Normal 5 3 2 3 2 3" xfId="6766" xr:uid="{00000000-0005-0000-0000-000065C10000}"/>
    <cellStyle name="Normal 5 3 2 3 2 3 2" xfId="10297" xr:uid="{00000000-0005-0000-0000-000066C10000}"/>
    <cellStyle name="Normal 5 3 2 3 2 3 2 2" xfId="17087" xr:uid="{00000000-0005-0000-0000-000067C10000}"/>
    <cellStyle name="Normal 5 3 2 3 2 3 2 2 2" xfId="30655" xr:uid="{00000000-0005-0000-0000-000068C10000}"/>
    <cellStyle name="Normal 5 3 2 3 2 3 2 2 2 2" xfId="57788" xr:uid="{00000000-0005-0000-0000-000069C10000}"/>
    <cellStyle name="Normal 5 3 2 3 2 3 2 2 3" xfId="44226" xr:uid="{00000000-0005-0000-0000-00006AC10000}"/>
    <cellStyle name="Normal 5 3 2 3 2 3 2 3" xfId="23874" xr:uid="{00000000-0005-0000-0000-00006BC10000}"/>
    <cellStyle name="Normal 5 3 2 3 2 3 2 3 2" xfId="51007" xr:uid="{00000000-0005-0000-0000-00006CC10000}"/>
    <cellStyle name="Normal 5 3 2 3 2 3 2 4" xfId="37445" xr:uid="{00000000-0005-0000-0000-00006DC10000}"/>
    <cellStyle name="Normal 5 3 2 3 2 3 3" xfId="13698" xr:uid="{00000000-0005-0000-0000-00006EC10000}"/>
    <cellStyle name="Normal 5 3 2 3 2 3 3 2" xfId="27266" xr:uid="{00000000-0005-0000-0000-00006FC10000}"/>
    <cellStyle name="Normal 5 3 2 3 2 3 3 2 2" xfId="54399" xr:uid="{00000000-0005-0000-0000-000070C10000}"/>
    <cellStyle name="Normal 5 3 2 3 2 3 3 3" xfId="40837" xr:uid="{00000000-0005-0000-0000-000071C10000}"/>
    <cellStyle name="Normal 5 3 2 3 2 3 4" xfId="20485" xr:uid="{00000000-0005-0000-0000-000072C10000}"/>
    <cellStyle name="Normal 5 3 2 3 2 3 4 2" xfId="47618" xr:uid="{00000000-0005-0000-0000-000073C10000}"/>
    <cellStyle name="Normal 5 3 2 3 2 3 5" xfId="34056" xr:uid="{00000000-0005-0000-0000-000074C10000}"/>
    <cellStyle name="Normal 5 3 2 3 2 4" xfId="10295" xr:uid="{00000000-0005-0000-0000-000075C10000}"/>
    <cellStyle name="Normal 5 3 2 3 2 4 2" xfId="17085" xr:uid="{00000000-0005-0000-0000-000076C10000}"/>
    <cellStyle name="Normal 5 3 2 3 2 4 2 2" xfId="30653" xr:uid="{00000000-0005-0000-0000-000077C10000}"/>
    <cellStyle name="Normal 5 3 2 3 2 4 2 2 2" xfId="57786" xr:uid="{00000000-0005-0000-0000-000078C10000}"/>
    <cellStyle name="Normal 5 3 2 3 2 4 2 3" xfId="44224" xr:uid="{00000000-0005-0000-0000-000079C10000}"/>
    <cellStyle name="Normal 5 3 2 3 2 4 3" xfId="23872" xr:uid="{00000000-0005-0000-0000-00007AC10000}"/>
    <cellStyle name="Normal 5 3 2 3 2 4 3 2" xfId="51005" xr:uid="{00000000-0005-0000-0000-00007BC10000}"/>
    <cellStyle name="Normal 5 3 2 3 2 4 4" xfId="37443" xr:uid="{00000000-0005-0000-0000-00007CC10000}"/>
    <cellStyle name="Normal 5 3 2 3 2 5" xfId="13696" xr:uid="{00000000-0005-0000-0000-00007DC10000}"/>
    <cellStyle name="Normal 5 3 2 3 2 5 2" xfId="27264" xr:uid="{00000000-0005-0000-0000-00007EC10000}"/>
    <cellStyle name="Normal 5 3 2 3 2 5 2 2" xfId="54397" xr:uid="{00000000-0005-0000-0000-00007FC10000}"/>
    <cellStyle name="Normal 5 3 2 3 2 5 3" xfId="40835" xr:uid="{00000000-0005-0000-0000-000080C10000}"/>
    <cellStyle name="Normal 5 3 2 3 2 6" xfId="20483" xr:uid="{00000000-0005-0000-0000-000081C10000}"/>
    <cellStyle name="Normal 5 3 2 3 2 6 2" xfId="47616" xr:uid="{00000000-0005-0000-0000-000082C10000}"/>
    <cellStyle name="Normal 5 3 2 3 2 7" xfId="34054" xr:uid="{00000000-0005-0000-0000-000083C10000}"/>
    <cellStyle name="Normal 5 3 2 3 3" xfId="6767" xr:uid="{00000000-0005-0000-0000-000084C10000}"/>
    <cellStyle name="Normal 5 3 2 3 3 2" xfId="6768" xr:uid="{00000000-0005-0000-0000-000085C10000}"/>
    <cellStyle name="Normal 5 3 2 3 3 2 2" xfId="10299" xr:uid="{00000000-0005-0000-0000-000086C10000}"/>
    <cellStyle name="Normal 5 3 2 3 3 2 2 2" xfId="17089" xr:uid="{00000000-0005-0000-0000-000087C10000}"/>
    <cellStyle name="Normal 5 3 2 3 3 2 2 2 2" xfId="30657" xr:uid="{00000000-0005-0000-0000-000088C10000}"/>
    <cellStyle name="Normal 5 3 2 3 3 2 2 2 2 2" xfId="57790" xr:uid="{00000000-0005-0000-0000-000089C10000}"/>
    <cellStyle name="Normal 5 3 2 3 3 2 2 2 3" xfId="44228" xr:uid="{00000000-0005-0000-0000-00008AC10000}"/>
    <cellStyle name="Normal 5 3 2 3 3 2 2 3" xfId="23876" xr:uid="{00000000-0005-0000-0000-00008BC10000}"/>
    <cellStyle name="Normal 5 3 2 3 3 2 2 3 2" xfId="51009" xr:uid="{00000000-0005-0000-0000-00008CC10000}"/>
    <cellStyle name="Normal 5 3 2 3 3 2 2 4" xfId="37447" xr:uid="{00000000-0005-0000-0000-00008DC10000}"/>
    <cellStyle name="Normal 5 3 2 3 3 2 3" xfId="13700" xr:uid="{00000000-0005-0000-0000-00008EC10000}"/>
    <cellStyle name="Normal 5 3 2 3 3 2 3 2" xfId="27268" xr:uid="{00000000-0005-0000-0000-00008FC10000}"/>
    <cellStyle name="Normal 5 3 2 3 3 2 3 2 2" xfId="54401" xr:uid="{00000000-0005-0000-0000-000090C10000}"/>
    <cellStyle name="Normal 5 3 2 3 3 2 3 3" xfId="40839" xr:uid="{00000000-0005-0000-0000-000091C10000}"/>
    <cellStyle name="Normal 5 3 2 3 3 2 4" xfId="20487" xr:uid="{00000000-0005-0000-0000-000092C10000}"/>
    <cellStyle name="Normal 5 3 2 3 3 2 4 2" xfId="47620" xr:uid="{00000000-0005-0000-0000-000093C10000}"/>
    <cellStyle name="Normal 5 3 2 3 3 2 5" xfId="34058" xr:uid="{00000000-0005-0000-0000-000094C10000}"/>
    <cellStyle name="Normal 5 3 2 3 3 3" xfId="10298" xr:uid="{00000000-0005-0000-0000-000095C10000}"/>
    <cellStyle name="Normal 5 3 2 3 3 3 2" xfId="17088" xr:uid="{00000000-0005-0000-0000-000096C10000}"/>
    <cellStyle name="Normal 5 3 2 3 3 3 2 2" xfId="30656" xr:uid="{00000000-0005-0000-0000-000097C10000}"/>
    <cellStyle name="Normal 5 3 2 3 3 3 2 2 2" xfId="57789" xr:uid="{00000000-0005-0000-0000-000098C10000}"/>
    <cellStyle name="Normal 5 3 2 3 3 3 2 3" xfId="44227" xr:uid="{00000000-0005-0000-0000-000099C10000}"/>
    <cellStyle name="Normal 5 3 2 3 3 3 3" xfId="23875" xr:uid="{00000000-0005-0000-0000-00009AC10000}"/>
    <cellStyle name="Normal 5 3 2 3 3 3 3 2" xfId="51008" xr:uid="{00000000-0005-0000-0000-00009BC10000}"/>
    <cellStyle name="Normal 5 3 2 3 3 3 4" xfId="37446" xr:uid="{00000000-0005-0000-0000-00009CC10000}"/>
    <cellStyle name="Normal 5 3 2 3 3 4" xfId="13699" xr:uid="{00000000-0005-0000-0000-00009DC10000}"/>
    <cellStyle name="Normal 5 3 2 3 3 4 2" xfId="27267" xr:uid="{00000000-0005-0000-0000-00009EC10000}"/>
    <cellStyle name="Normal 5 3 2 3 3 4 2 2" xfId="54400" xr:uid="{00000000-0005-0000-0000-00009FC10000}"/>
    <cellStyle name="Normal 5 3 2 3 3 4 3" xfId="40838" xr:uid="{00000000-0005-0000-0000-0000A0C10000}"/>
    <cellStyle name="Normal 5 3 2 3 3 5" xfId="20486" xr:uid="{00000000-0005-0000-0000-0000A1C10000}"/>
    <cellStyle name="Normal 5 3 2 3 3 5 2" xfId="47619" xr:uid="{00000000-0005-0000-0000-0000A2C10000}"/>
    <cellStyle name="Normal 5 3 2 3 3 6" xfId="34057" xr:uid="{00000000-0005-0000-0000-0000A3C10000}"/>
    <cellStyle name="Normal 5 3 2 3 4" xfId="6769" xr:uid="{00000000-0005-0000-0000-0000A4C10000}"/>
    <cellStyle name="Normal 5 3 2 3 4 2" xfId="10300" xr:uid="{00000000-0005-0000-0000-0000A5C10000}"/>
    <cellStyle name="Normal 5 3 2 3 4 2 2" xfId="17090" xr:uid="{00000000-0005-0000-0000-0000A6C10000}"/>
    <cellStyle name="Normal 5 3 2 3 4 2 2 2" xfId="30658" xr:uid="{00000000-0005-0000-0000-0000A7C10000}"/>
    <cellStyle name="Normal 5 3 2 3 4 2 2 2 2" xfId="57791" xr:uid="{00000000-0005-0000-0000-0000A8C10000}"/>
    <cellStyle name="Normal 5 3 2 3 4 2 2 3" xfId="44229" xr:uid="{00000000-0005-0000-0000-0000A9C10000}"/>
    <cellStyle name="Normal 5 3 2 3 4 2 3" xfId="23877" xr:uid="{00000000-0005-0000-0000-0000AAC10000}"/>
    <cellStyle name="Normal 5 3 2 3 4 2 3 2" xfId="51010" xr:uid="{00000000-0005-0000-0000-0000ABC10000}"/>
    <cellStyle name="Normal 5 3 2 3 4 2 4" xfId="37448" xr:uid="{00000000-0005-0000-0000-0000ACC10000}"/>
    <cellStyle name="Normal 5 3 2 3 4 3" xfId="13701" xr:uid="{00000000-0005-0000-0000-0000ADC10000}"/>
    <cellStyle name="Normal 5 3 2 3 4 3 2" xfId="27269" xr:uid="{00000000-0005-0000-0000-0000AEC10000}"/>
    <cellStyle name="Normal 5 3 2 3 4 3 2 2" xfId="54402" xr:uid="{00000000-0005-0000-0000-0000AFC10000}"/>
    <cellStyle name="Normal 5 3 2 3 4 3 3" xfId="40840" xr:uid="{00000000-0005-0000-0000-0000B0C10000}"/>
    <cellStyle name="Normal 5 3 2 3 4 4" xfId="20488" xr:uid="{00000000-0005-0000-0000-0000B1C10000}"/>
    <cellStyle name="Normal 5 3 2 3 4 4 2" xfId="47621" xr:uid="{00000000-0005-0000-0000-0000B2C10000}"/>
    <cellStyle name="Normal 5 3 2 3 4 5" xfId="34059" xr:uid="{00000000-0005-0000-0000-0000B3C10000}"/>
    <cellStyle name="Normal 5 3 2 3 5" xfId="6770" xr:uid="{00000000-0005-0000-0000-0000B4C10000}"/>
    <cellStyle name="Normal 5 3 2 3 5 2" xfId="10301" xr:uid="{00000000-0005-0000-0000-0000B5C10000}"/>
    <cellStyle name="Normal 5 3 2 3 5 2 2" xfId="17091" xr:uid="{00000000-0005-0000-0000-0000B6C10000}"/>
    <cellStyle name="Normal 5 3 2 3 5 2 2 2" xfId="30659" xr:uid="{00000000-0005-0000-0000-0000B7C10000}"/>
    <cellStyle name="Normal 5 3 2 3 5 2 2 2 2" xfId="57792" xr:uid="{00000000-0005-0000-0000-0000B8C10000}"/>
    <cellStyle name="Normal 5 3 2 3 5 2 2 3" xfId="44230" xr:uid="{00000000-0005-0000-0000-0000B9C10000}"/>
    <cellStyle name="Normal 5 3 2 3 5 2 3" xfId="23878" xr:uid="{00000000-0005-0000-0000-0000BAC10000}"/>
    <cellStyle name="Normal 5 3 2 3 5 2 3 2" xfId="51011" xr:uid="{00000000-0005-0000-0000-0000BBC10000}"/>
    <cellStyle name="Normal 5 3 2 3 5 2 4" xfId="37449" xr:uid="{00000000-0005-0000-0000-0000BCC10000}"/>
    <cellStyle name="Normal 5 3 2 3 5 3" xfId="13702" xr:uid="{00000000-0005-0000-0000-0000BDC10000}"/>
    <cellStyle name="Normal 5 3 2 3 5 3 2" xfId="27270" xr:uid="{00000000-0005-0000-0000-0000BEC10000}"/>
    <cellStyle name="Normal 5 3 2 3 5 3 2 2" xfId="54403" xr:uid="{00000000-0005-0000-0000-0000BFC10000}"/>
    <cellStyle name="Normal 5 3 2 3 5 3 3" xfId="40841" xr:uid="{00000000-0005-0000-0000-0000C0C10000}"/>
    <cellStyle name="Normal 5 3 2 3 5 4" xfId="20489" xr:uid="{00000000-0005-0000-0000-0000C1C10000}"/>
    <cellStyle name="Normal 5 3 2 3 5 4 2" xfId="47622" xr:uid="{00000000-0005-0000-0000-0000C2C10000}"/>
    <cellStyle name="Normal 5 3 2 3 5 5" xfId="34060" xr:uid="{00000000-0005-0000-0000-0000C3C10000}"/>
    <cellStyle name="Normal 5 3 2 3 6" xfId="10294" xr:uid="{00000000-0005-0000-0000-0000C4C10000}"/>
    <cellStyle name="Normal 5 3 2 3 6 2" xfId="17084" xr:uid="{00000000-0005-0000-0000-0000C5C10000}"/>
    <cellStyle name="Normal 5 3 2 3 6 2 2" xfId="30652" xr:uid="{00000000-0005-0000-0000-0000C6C10000}"/>
    <cellStyle name="Normal 5 3 2 3 6 2 2 2" xfId="57785" xr:uid="{00000000-0005-0000-0000-0000C7C10000}"/>
    <cellStyle name="Normal 5 3 2 3 6 2 3" xfId="44223" xr:uid="{00000000-0005-0000-0000-0000C8C10000}"/>
    <cellStyle name="Normal 5 3 2 3 6 3" xfId="23871" xr:uid="{00000000-0005-0000-0000-0000C9C10000}"/>
    <cellStyle name="Normal 5 3 2 3 6 3 2" xfId="51004" xr:uid="{00000000-0005-0000-0000-0000CAC10000}"/>
    <cellStyle name="Normal 5 3 2 3 6 4" xfId="37442" xr:uid="{00000000-0005-0000-0000-0000CBC10000}"/>
    <cellStyle name="Normal 5 3 2 3 7" xfId="13695" xr:uid="{00000000-0005-0000-0000-0000CCC10000}"/>
    <cellStyle name="Normal 5 3 2 3 7 2" xfId="27263" xr:uid="{00000000-0005-0000-0000-0000CDC10000}"/>
    <cellStyle name="Normal 5 3 2 3 7 2 2" xfId="54396" xr:uid="{00000000-0005-0000-0000-0000CEC10000}"/>
    <cellStyle name="Normal 5 3 2 3 7 3" xfId="40834" xr:uid="{00000000-0005-0000-0000-0000CFC10000}"/>
    <cellStyle name="Normal 5 3 2 3 8" xfId="20482" xr:uid="{00000000-0005-0000-0000-0000D0C10000}"/>
    <cellStyle name="Normal 5 3 2 3 8 2" xfId="47615" xr:uid="{00000000-0005-0000-0000-0000D1C10000}"/>
    <cellStyle name="Normal 5 3 2 3 9" xfId="34053" xr:uid="{00000000-0005-0000-0000-0000D2C10000}"/>
    <cellStyle name="Normal 5 3 2 4" xfId="6771" xr:uid="{00000000-0005-0000-0000-0000D3C10000}"/>
    <cellStyle name="Normal 5 3 2 4 2" xfId="6772" xr:uid="{00000000-0005-0000-0000-0000D4C10000}"/>
    <cellStyle name="Normal 5 3 2 4 2 2" xfId="6773" xr:uid="{00000000-0005-0000-0000-0000D5C10000}"/>
    <cellStyle name="Normal 5 3 2 4 2 2 2" xfId="10304" xr:uid="{00000000-0005-0000-0000-0000D6C10000}"/>
    <cellStyle name="Normal 5 3 2 4 2 2 2 2" xfId="17094" xr:uid="{00000000-0005-0000-0000-0000D7C10000}"/>
    <cellStyle name="Normal 5 3 2 4 2 2 2 2 2" xfId="30662" xr:uid="{00000000-0005-0000-0000-0000D8C10000}"/>
    <cellStyle name="Normal 5 3 2 4 2 2 2 2 2 2" xfId="57795" xr:uid="{00000000-0005-0000-0000-0000D9C10000}"/>
    <cellStyle name="Normal 5 3 2 4 2 2 2 2 3" xfId="44233" xr:uid="{00000000-0005-0000-0000-0000DAC10000}"/>
    <cellStyle name="Normal 5 3 2 4 2 2 2 3" xfId="23881" xr:uid="{00000000-0005-0000-0000-0000DBC10000}"/>
    <cellStyle name="Normal 5 3 2 4 2 2 2 3 2" xfId="51014" xr:uid="{00000000-0005-0000-0000-0000DCC10000}"/>
    <cellStyle name="Normal 5 3 2 4 2 2 2 4" xfId="37452" xr:uid="{00000000-0005-0000-0000-0000DDC10000}"/>
    <cellStyle name="Normal 5 3 2 4 2 2 3" xfId="13705" xr:uid="{00000000-0005-0000-0000-0000DEC10000}"/>
    <cellStyle name="Normal 5 3 2 4 2 2 3 2" xfId="27273" xr:uid="{00000000-0005-0000-0000-0000DFC10000}"/>
    <cellStyle name="Normal 5 3 2 4 2 2 3 2 2" xfId="54406" xr:uid="{00000000-0005-0000-0000-0000E0C10000}"/>
    <cellStyle name="Normal 5 3 2 4 2 2 3 3" xfId="40844" xr:uid="{00000000-0005-0000-0000-0000E1C10000}"/>
    <cellStyle name="Normal 5 3 2 4 2 2 4" xfId="20492" xr:uid="{00000000-0005-0000-0000-0000E2C10000}"/>
    <cellStyle name="Normal 5 3 2 4 2 2 4 2" xfId="47625" xr:uid="{00000000-0005-0000-0000-0000E3C10000}"/>
    <cellStyle name="Normal 5 3 2 4 2 2 5" xfId="34063" xr:uid="{00000000-0005-0000-0000-0000E4C10000}"/>
    <cellStyle name="Normal 5 3 2 4 2 3" xfId="6774" xr:uid="{00000000-0005-0000-0000-0000E5C10000}"/>
    <cellStyle name="Normal 5 3 2 4 2 3 2" xfId="10305" xr:uid="{00000000-0005-0000-0000-0000E6C10000}"/>
    <cellStyle name="Normal 5 3 2 4 2 3 2 2" xfId="17095" xr:uid="{00000000-0005-0000-0000-0000E7C10000}"/>
    <cellStyle name="Normal 5 3 2 4 2 3 2 2 2" xfId="30663" xr:uid="{00000000-0005-0000-0000-0000E8C10000}"/>
    <cellStyle name="Normal 5 3 2 4 2 3 2 2 2 2" xfId="57796" xr:uid="{00000000-0005-0000-0000-0000E9C10000}"/>
    <cellStyle name="Normal 5 3 2 4 2 3 2 2 3" xfId="44234" xr:uid="{00000000-0005-0000-0000-0000EAC10000}"/>
    <cellStyle name="Normal 5 3 2 4 2 3 2 3" xfId="23882" xr:uid="{00000000-0005-0000-0000-0000EBC10000}"/>
    <cellStyle name="Normal 5 3 2 4 2 3 2 3 2" xfId="51015" xr:uid="{00000000-0005-0000-0000-0000ECC10000}"/>
    <cellStyle name="Normal 5 3 2 4 2 3 2 4" xfId="37453" xr:uid="{00000000-0005-0000-0000-0000EDC10000}"/>
    <cellStyle name="Normal 5 3 2 4 2 3 3" xfId="13706" xr:uid="{00000000-0005-0000-0000-0000EEC10000}"/>
    <cellStyle name="Normal 5 3 2 4 2 3 3 2" xfId="27274" xr:uid="{00000000-0005-0000-0000-0000EFC10000}"/>
    <cellStyle name="Normal 5 3 2 4 2 3 3 2 2" xfId="54407" xr:uid="{00000000-0005-0000-0000-0000F0C10000}"/>
    <cellStyle name="Normal 5 3 2 4 2 3 3 3" xfId="40845" xr:uid="{00000000-0005-0000-0000-0000F1C10000}"/>
    <cellStyle name="Normal 5 3 2 4 2 3 4" xfId="20493" xr:uid="{00000000-0005-0000-0000-0000F2C10000}"/>
    <cellStyle name="Normal 5 3 2 4 2 3 4 2" xfId="47626" xr:uid="{00000000-0005-0000-0000-0000F3C10000}"/>
    <cellStyle name="Normal 5 3 2 4 2 3 5" xfId="34064" xr:uid="{00000000-0005-0000-0000-0000F4C10000}"/>
    <cellStyle name="Normal 5 3 2 4 2 4" xfId="10303" xr:uid="{00000000-0005-0000-0000-0000F5C10000}"/>
    <cellStyle name="Normal 5 3 2 4 2 4 2" xfId="17093" xr:uid="{00000000-0005-0000-0000-0000F6C10000}"/>
    <cellStyle name="Normal 5 3 2 4 2 4 2 2" xfId="30661" xr:uid="{00000000-0005-0000-0000-0000F7C10000}"/>
    <cellStyle name="Normal 5 3 2 4 2 4 2 2 2" xfId="57794" xr:uid="{00000000-0005-0000-0000-0000F8C10000}"/>
    <cellStyle name="Normal 5 3 2 4 2 4 2 3" xfId="44232" xr:uid="{00000000-0005-0000-0000-0000F9C10000}"/>
    <cellStyle name="Normal 5 3 2 4 2 4 3" xfId="23880" xr:uid="{00000000-0005-0000-0000-0000FAC10000}"/>
    <cellStyle name="Normal 5 3 2 4 2 4 3 2" xfId="51013" xr:uid="{00000000-0005-0000-0000-0000FBC10000}"/>
    <cellStyle name="Normal 5 3 2 4 2 4 4" xfId="37451" xr:uid="{00000000-0005-0000-0000-0000FCC10000}"/>
    <cellStyle name="Normal 5 3 2 4 2 5" xfId="13704" xr:uid="{00000000-0005-0000-0000-0000FDC10000}"/>
    <cellStyle name="Normal 5 3 2 4 2 5 2" xfId="27272" xr:uid="{00000000-0005-0000-0000-0000FEC10000}"/>
    <cellStyle name="Normal 5 3 2 4 2 5 2 2" xfId="54405" xr:uid="{00000000-0005-0000-0000-0000FFC10000}"/>
    <cellStyle name="Normal 5 3 2 4 2 5 3" xfId="40843" xr:uid="{00000000-0005-0000-0000-000000C20000}"/>
    <cellStyle name="Normal 5 3 2 4 2 6" xfId="20491" xr:uid="{00000000-0005-0000-0000-000001C20000}"/>
    <cellStyle name="Normal 5 3 2 4 2 6 2" xfId="47624" xr:uid="{00000000-0005-0000-0000-000002C20000}"/>
    <cellStyle name="Normal 5 3 2 4 2 7" xfId="34062" xr:uid="{00000000-0005-0000-0000-000003C20000}"/>
    <cellStyle name="Normal 5 3 2 4 3" xfId="6775" xr:uid="{00000000-0005-0000-0000-000004C20000}"/>
    <cellStyle name="Normal 5 3 2 4 3 2" xfId="10306" xr:uid="{00000000-0005-0000-0000-000005C20000}"/>
    <cellStyle name="Normal 5 3 2 4 3 2 2" xfId="17096" xr:uid="{00000000-0005-0000-0000-000006C20000}"/>
    <cellStyle name="Normal 5 3 2 4 3 2 2 2" xfId="30664" xr:uid="{00000000-0005-0000-0000-000007C20000}"/>
    <cellStyle name="Normal 5 3 2 4 3 2 2 2 2" xfId="57797" xr:uid="{00000000-0005-0000-0000-000008C20000}"/>
    <cellStyle name="Normal 5 3 2 4 3 2 2 3" xfId="44235" xr:uid="{00000000-0005-0000-0000-000009C20000}"/>
    <cellStyle name="Normal 5 3 2 4 3 2 3" xfId="23883" xr:uid="{00000000-0005-0000-0000-00000AC20000}"/>
    <cellStyle name="Normal 5 3 2 4 3 2 3 2" xfId="51016" xr:uid="{00000000-0005-0000-0000-00000BC20000}"/>
    <cellStyle name="Normal 5 3 2 4 3 2 4" xfId="37454" xr:uid="{00000000-0005-0000-0000-00000CC20000}"/>
    <cellStyle name="Normal 5 3 2 4 3 3" xfId="13707" xr:uid="{00000000-0005-0000-0000-00000DC20000}"/>
    <cellStyle name="Normal 5 3 2 4 3 3 2" xfId="27275" xr:uid="{00000000-0005-0000-0000-00000EC20000}"/>
    <cellStyle name="Normal 5 3 2 4 3 3 2 2" xfId="54408" xr:uid="{00000000-0005-0000-0000-00000FC20000}"/>
    <cellStyle name="Normal 5 3 2 4 3 3 3" xfId="40846" xr:uid="{00000000-0005-0000-0000-000010C20000}"/>
    <cellStyle name="Normal 5 3 2 4 3 4" xfId="20494" xr:uid="{00000000-0005-0000-0000-000011C20000}"/>
    <cellStyle name="Normal 5 3 2 4 3 4 2" xfId="47627" xr:uid="{00000000-0005-0000-0000-000012C20000}"/>
    <cellStyle name="Normal 5 3 2 4 3 5" xfId="34065" xr:uid="{00000000-0005-0000-0000-000013C20000}"/>
    <cellStyle name="Normal 5 3 2 4 4" xfId="6776" xr:uid="{00000000-0005-0000-0000-000014C20000}"/>
    <cellStyle name="Normal 5 3 2 4 4 2" xfId="10307" xr:uid="{00000000-0005-0000-0000-000015C20000}"/>
    <cellStyle name="Normal 5 3 2 4 4 2 2" xfId="17097" xr:uid="{00000000-0005-0000-0000-000016C20000}"/>
    <cellStyle name="Normal 5 3 2 4 4 2 2 2" xfId="30665" xr:uid="{00000000-0005-0000-0000-000017C20000}"/>
    <cellStyle name="Normal 5 3 2 4 4 2 2 2 2" xfId="57798" xr:uid="{00000000-0005-0000-0000-000018C20000}"/>
    <cellStyle name="Normal 5 3 2 4 4 2 2 3" xfId="44236" xr:uid="{00000000-0005-0000-0000-000019C20000}"/>
    <cellStyle name="Normal 5 3 2 4 4 2 3" xfId="23884" xr:uid="{00000000-0005-0000-0000-00001AC20000}"/>
    <cellStyle name="Normal 5 3 2 4 4 2 3 2" xfId="51017" xr:uid="{00000000-0005-0000-0000-00001BC20000}"/>
    <cellStyle name="Normal 5 3 2 4 4 2 4" xfId="37455" xr:uid="{00000000-0005-0000-0000-00001CC20000}"/>
    <cellStyle name="Normal 5 3 2 4 4 3" xfId="13708" xr:uid="{00000000-0005-0000-0000-00001DC20000}"/>
    <cellStyle name="Normal 5 3 2 4 4 3 2" xfId="27276" xr:uid="{00000000-0005-0000-0000-00001EC20000}"/>
    <cellStyle name="Normal 5 3 2 4 4 3 2 2" xfId="54409" xr:uid="{00000000-0005-0000-0000-00001FC20000}"/>
    <cellStyle name="Normal 5 3 2 4 4 3 3" xfId="40847" xr:uid="{00000000-0005-0000-0000-000020C20000}"/>
    <cellStyle name="Normal 5 3 2 4 4 4" xfId="20495" xr:uid="{00000000-0005-0000-0000-000021C20000}"/>
    <cellStyle name="Normal 5 3 2 4 4 4 2" xfId="47628" xr:uid="{00000000-0005-0000-0000-000022C20000}"/>
    <cellStyle name="Normal 5 3 2 4 4 5" xfId="34066" xr:uid="{00000000-0005-0000-0000-000023C20000}"/>
    <cellStyle name="Normal 5 3 2 4 5" xfId="10302" xr:uid="{00000000-0005-0000-0000-000024C20000}"/>
    <cellStyle name="Normal 5 3 2 4 5 2" xfId="17092" xr:uid="{00000000-0005-0000-0000-000025C20000}"/>
    <cellStyle name="Normal 5 3 2 4 5 2 2" xfId="30660" xr:uid="{00000000-0005-0000-0000-000026C20000}"/>
    <cellStyle name="Normal 5 3 2 4 5 2 2 2" xfId="57793" xr:uid="{00000000-0005-0000-0000-000027C20000}"/>
    <cellStyle name="Normal 5 3 2 4 5 2 3" xfId="44231" xr:uid="{00000000-0005-0000-0000-000028C20000}"/>
    <cellStyle name="Normal 5 3 2 4 5 3" xfId="23879" xr:uid="{00000000-0005-0000-0000-000029C20000}"/>
    <cellStyle name="Normal 5 3 2 4 5 3 2" xfId="51012" xr:uid="{00000000-0005-0000-0000-00002AC20000}"/>
    <cellStyle name="Normal 5 3 2 4 5 4" xfId="37450" xr:uid="{00000000-0005-0000-0000-00002BC20000}"/>
    <cellStyle name="Normal 5 3 2 4 6" xfId="13703" xr:uid="{00000000-0005-0000-0000-00002CC20000}"/>
    <cellStyle name="Normal 5 3 2 4 6 2" xfId="27271" xr:uid="{00000000-0005-0000-0000-00002DC20000}"/>
    <cellStyle name="Normal 5 3 2 4 6 2 2" xfId="54404" xr:uid="{00000000-0005-0000-0000-00002EC20000}"/>
    <cellStyle name="Normal 5 3 2 4 6 3" xfId="40842" xr:uid="{00000000-0005-0000-0000-00002FC20000}"/>
    <cellStyle name="Normal 5 3 2 4 7" xfId="20490" xr:uid="{00000000-0005-0000-0000-000030C20000}"/>
    <cellStyle name="Normal 5 3 2 4 7 2" xfId="47623" xr:uid="{00000000-0005-0000-0000-000031C20000}"/>
    <cellStyle name="Normal 5 3 2 4 8" xfId="34061" xr:uid="{00000000-0005-0000-0000-000032C20000}"/>
    <cellStyle name="Normal 5 3 2 5" xfId="6777" xr:uid="{00000000-0005-0000-0000-000033C20000}"/>
    <cellStyle name="Normal 5 3 2 5 2" xfId="6778" xr:uid="{00000000-0005-0000-0000-000034C20000}"/>
    <cellStyle name="Normal 5 3 2 5 2 2" xfId="10309" xr:uid="{00000000-0005-0000-0000-000035C20000}"/>
    <cellStyle name="Normal 5 3 2 5 2 2 2" xfId="17099" xr:uid="{00000000-0005-0000-0000-000036C20000}"/>
    <cellStyle name="Normal 5 3 2 5 2 2 2 2" xfId="30667" xr:uid="{00000000-0005-0000-0000-000037C20000}"/>
    <cellStyle name="Normal 5 3 2 5 2 2 2 2 2" xfId="57800" xr:uid="{00000000-0005-0000-0000-000038C20000}"/>
    <cellStyle name="Normal 5 3 2 5 2 2 2 3" xfId="44238" xr:uid="{00000000-0005-0000-0000-000039C20000}"/>
    <cellStyle name="Normal 5 3 2 5 2 2 3" xfId="23886" xr:uid="{00000000-0005-0000-0000-00003AC20000}"/>
    <cellStyle name="Normal 5 3 2 5 2 2 3 2" xfId="51019" xr:uid="{00000000-0005-0000-0000-00003BC20000}"/>
    <cellStyle name="Normal 5 3 2 5 2 2 4" xfId="37457" xr:uid="{00000000-0005-0000-0000-00003CC20000}"/>
    <cellStyle name="Normal 5 3 2 5 2 3" xfId="13710" xr:uid="{00000000-0005-0000-0000-00003DC20000}"/>
    <cellStyle name="Normal 5 3 2 5 2 3 2" xfId="27278" xr:uid="{00000000-0005-0000-0000-00003EC20000}"/>
    <cellStyle name="Normal 5 3 2 5 2 3 2 2" xfId="54411" xr:uid="{00000000-0005-0000-0000-00003FC20000}"/>
    <cellStyle name="Normal 5 3 2 5 2 3 3" xfId="40849" xr:uid="{00000000-0005-0000-0000-000040C20000}"/>
    <cellStyle name="Normal 5 3 2 5 2 4" xfId="20497" xr:uid="{00000000-0005-0000-0000-000041C20000}"/>
    <cellStyle name="Normal 5 3 2 5 2 4 2" xfId="47630" xr:uid="{00000000-0005-0000-0000-000042C20000}"/>
    <cellStyle name="Normal 5 3 2 5 2 5" xfId="34068" xr:uid="{00000000-0005-0000-0000-000043C20000}"/>
    <cellStyle name="Normal 5 3 2 5 3" xfId="6779" xr:uid="{00000000-0005-0000-0000-000044C20000}"/>
    <cellStyle name="Normal 5 3 2 5 3 2" xfId="10310" xr:uid="{00000000-0005-0000-0000-000045C20000}"/>
    <cellStyle name="Normal 5 3 2 5 3 2 2" xfId="17100" xr:uid="{00000000-0005-0000-0000-000046C20000}"/>
    <cellStyle name="Normal 5 3 2 5 3 2 2 2" xfId="30668" xr:uid="{00000000-0005-0000-0000-000047C20000}"/>
    <cellStyle name="Normal 5 3 2 5 3 2 2 2 2" xfId="57801" xr:uid="{00000000-0005-0000-0000-000048C20000}"/>
    <cellStyle name="Normal 5 3 2 5 3 2 2 3" xfId="44239" xr:uid="{00000000-0005-0000-0000-000049C20000}"/>
    <cellStyle name="Normal 5 3 2 5 3 2 3" xfId="23887" xr:uid="{00000000-0005-0000-0000-00004AC20000}"/>
    <cellStyle name="Normal 5 3 2 5 3 2 3 2" xfId="51020" xr:uid="{00000000-0005-0000-0000-00004BC20000}"/>
    <cellStyle name="Normal 5 3 2 5 3 2 4" xfId="37458" xr:uid="{00000000-0005-0000-0000-00004CC20000}"/>
    <cellStyle name="Normal 5 3 2 5 3 3" xfId="13711" xr:uid="{00000000-0005-0000-0000-00004DC20000}"/>
    <cellStyle name="Normal 5 3 2 5 3 3 2" xfId="27279" xr:uid="{00000000-0005-0000-0000-00004EC20000}"/>
    <cellStyle name="Normal 5 3 2 5 3 3 2 2" xfId="54412" xr:uid="{00000000-0005-0000-0000-00004FC20000}"/>
    <cellStyle name="Normal 5 3 2 5 3 3 3" xfId="40850" xr:uid="{00000000-0005-0000-0000-000050C20000}"/>
    <cellStyle name="Normal 5 3 2 5 3 4" xfId="20498" xr:uid="{00000000-0005-0000-0000-000051C20000}"/>
    <cellStyle name="Normal 5 3 2 5 3 4 2" xfId="47631" xr:uid="{00000000-0005-0000-0000-000052C20000}"/>
    <cellStyle name="Normal 5 3 2 5 3 5" xfId="34069" xr:uid="{00000000-0005-0000-0000-000053C20000}"/>
    <cellStyle name="Normal 5 3 2 5 4" xfId="10308" xr:uid="{00000000-0005-0000-0000-000054C20000}"/>
    <cellStyle name="Normal 5 3 2 5 4 2" xfId="17098" xr:uid="{00000000-0005-0000-0000-000055C20000}"/>
    <cellStyle name="Normal 5 3 2 5 4 2 2" xfId="30666" xr:uid="{00000000-0005-0000-0000-000056C20000}"/>
    <cellStyle name="Normal 5 3 2 5 4 2 2 2" xfId="57799" xr:uid="{00000000-0005-0000-0000-000057C20000}"/>
    <cellStyle name="Normal 5 3 2 5 4 2 3" xfId="44237" xr:uid="{00000000-0005-0000-0000-000058C20000}"/>
    <cellStyle name="Normal 5 3 2 5 4 3" xfId="23885" xr:uid="{00000000-0005-0000-0000-000059C20000}"/>
    <cellStyle name="Normal 5 3 2 5 4 3 2" xfId="51018" xr:uid="{00000000-0005-0000-0000-00005AC20000}"/>
    <cellStyle name="Normal 5 3 2 5 4 4" xfId="37456" xr:uid="{00000000-0005-0000-0000-00005BC20000}"/>
    <cellStyle name="Normal 5 3 2 5 5" xfId="13709" xr:uid="{00000000-0005-0000-0000-00005CC20000}"/>
    <cellStyle name="Normal 5 3 2 5 5 2" xfId="27277" xr:uid="{00000000-0005-0000-0000-00005DC20000}"/>
    <cellStyle name="Normal 5 3 2 5 5 2 2" xfId="54410" xr:uid="{00000000-0005-0000-0000-00005EC20000}"/>
    <cellStyle name="Normal 5 3 2 5 5 3" xfId="40848" xr:uid="{00000000-0005-0000-0000-00005FC20000}"/>
    <cellStyle name="Normal 5 3 2 5 6" xfId="20496" xr:uid="{00000000-0005-0000-0000-000060C20000}"/>
    <cellStyle name="Normal 5 3 2 5 6 2" xfId="47629" xr:uid="{00000000-0005-0000-0000-000061C20000}"/>
    <cellStyle name="Normal 5 3 2 5 7" xfId="34067" xr:uid="{00000000-0005-0000-0000-000062C20000}"/>
    <cellStyle name="Normal 5 3 2 6" xfId="6780" xr:uid="{00000000-0005-0000-0000-000063C20000}"/>
    <cellStyle name="Normal 5 3 2 6 2" xfId="6781" xr:uid="{00000000-0005-0000-0000-000064C20000}"/>
    <cellStyle name="Normal 5 3 2 6 2 2" xfId="10312" xr:uid="{00000000-0005-0000-0000-000065C20000}"/>
    <cellStyle name="Normal 5 3 2 6 2 2 2" xfId="17102" xr:uid="{00000000-0005-0000-0000-000066C20000}"/>
    <cellStyle name="Normal 5 3 2 6 2 2 2 2" xfId="30670" xr:uid="{00000000-0005-0000-0000-000067C20000}"/>
    <cellStyle name="Normal 5 3 2 6 2 2 2 2 2" xfId="57803" xr:uid="{00000000-0005-0000-0000-000068C20000}"/>
    <cellStyle name="Normal 5 3 2 6 2 2 2 3" xfId="44241" xr:uid="{00000000-0005-0000-0000-000069C20000}"/>
    <cellStyle name="Normal 5 3 2 6 2 2 3" xfId="23889" xr:uid="{00000000-0005-0000-0000-00006AC20000}"/>
    <cellStyle name="Normal 5 3 2 6 2 2 3 2" xfId="51022" xr:uid="{00000000-0005-0000-0000-00006BC20000}"/>
    <cellStyle name="Normal 5 3 2 6 2 2 4" xfId="37460" xr:uid="{00000000-0005-0000-0000-00006CC20000}"/>
    <cellStyle name="Normal 5 3 2 6 2 3" xfId="13713" xr:uid="{00000000-0005-0000-0000-00006DC20000}"/>
    <cellStyle name="Normal 5 3 2 6 2 3 2" xfId="27281" xr:uid="{00000000-0005-0000-0000-00006EC20000}"/>
    <cellStyle name="Normal 5 3 2 6 2 3 2 2" xfId="54414" xr:uid="{00000000-0005-0000-0000-00006FC20000}"/>
    <cellStyle name="Normal 5 3 2 6 2 3 3" xfId="40852" xr:uid="{00000000-0005-0000-0000-000070C20000}"/>
    <cellStyle name="Normal 5 3 2 6 2 4" xfId="20500" xr:uid="{00000000-0005-0000-0000-000071C20000}"/>
    <cellStyle name="Normal 5 3 2 6 2 4 2" xfId="47633" xr:uid="{00000000-0005-0000-0000-000072C20000}"/>
    <cellStyle name="Normal 5 3 2 6 2 5" xfId="34071" xr:uid="{00000000-0005-0000-0000-000073C20000}"/>
    <cellStyle name="Normal 5 3 2 6 3" xfId="6782" xr:uid="{00000000-0005-0000-0000-000074C20000}"/>
    <cellStyle name="Normal 5 3 2 6 3 2" xfId="10313" xr:uid="{00000000-0005-0000-0000-000075C20000}"/>
    <cellStyle name="Normal 5 3 2 6 3 2 2" xfId="17103" xr:uid="{00000000-0005-0000-0000-000076C20000}"/>
    <cellStyle name="Normal 5 3 2 6 3 2 2 2" xfId="30671" xr:uid="{00000000-0005-0000-0000-000077C20000}"/>
    <cellStyle name="Normal 5 3 2 6 3 2 2 2 2" xfId="57804" xr:uid="{00000000-0005-0000-0000-000078C20000}"/>
    <cellStyle name="Normal 5 3 2 6 3 2 2 3" xfId="44242" xr:uid="{00000000-0005-0000-0000-000079C20000}"/>
    <cellStyle name="Normal 5 3 2 6 3 2 3" xfId="23890" xr:uid="{00000000-0005-0000-0000-00007AC20000}"/>
    <cellStyle name="Normal 5 3 2 6 3 2 3 2" xfId="51023" xr:uid="{00000000-0005-0000-0000-00007BC20000}"/>
    <cellStyle name="Normal 5 3 2 6 3 2 4" xfId="37461" xr:uid="{00000000-0005-0000-0000-00007CC20000}"/>
    <cellStyle name="Normal 5 3 2 6 3 3" xfId="13714" xr:uid="{00000000-0005-0000-0000-00007DC20000}"/>
    <cellStyle name="Normal 5 3 2 6 3 3 2" xfId="27282" xr:uid="{00000000-0005-0000-0000-00007EC20000}"/>
    <cellStyle name="Normal 5 3 2 6 3 3 2 2" xfId="54415" xr:uid="{00000000-0005-0000-0000-00007FC20000}"/>
    <cellStyle name="Normal 5 3 2 6 3 3 3" xfId="40853" xr:uid="{00000000-0005-0000-0000-000080C20000}"/>
    <cellStyle name="Normal 5 3 2 6 3 4" xfId="20501" xr:uid="{00000000-0005-0000-0000-000081C20000}"/>
    <cellStyle name="Normal 5 3 2 6 3 4 2" xfId="47634" xr:uid="{00000000-0005-0000-0000-000082C20000}"/>
    <cellStyle name="Normal 5 3 2 6 3 5" xfId="34072" xr:uid="{00000000-0005-0000-0000-000083C20000}"/>
    <cellStyle name="Normal 5 3 2 6 4" xfId="10311" xr:uid="{00000000-0005-0000-0000-000084C20000}"/>
    <cellStyle name="Normal 5 3 2 6 4 2" xfId="17101" xr:uid="{00000000-0005-0000-0000-000085C20000}"/>
    <cellStyle name="Normal 5 3 2 6 4 2 2" xfId="30669" xr:uid="{00000000-0005-0000-0000-000086C20000}"/>
    <cellStyle name="Normal 5 3 2 6 4 2 2 2" xfId="57802" xr:uid="{00000000-0005-0000-0000-000087C20000}"/>
    <cellStyle name="Normal 5 3 2 6 4 2 3" xfId="44240" xr:uid="{00000000-0005-0000-0000-000088C20000}"/>
    <cellStyle name="Normal 5 3 2 6 4 3" xfId="23888" xr:uid="{00000000-0005-0000-0000-000089C20000}"/>
    <cellStyle name="Normal 5 3 2 6 4 3 2" xfId="51021" xr:uid="{00000000-0005-0000-0000-00008AC20000}"/>
    <cellStyle name="Normal 5 3 2 6 4 4" xfId="37459" xr:uid="{00000000-0005-0000-0000-00008BC20000}"/>
    <cellStyle name="Normal 5 3 2 6 5" xfId="13712" xr:uid="{00000000-0005-0000-0000-00008CC20000}"/>
    <cellStyle name="Normal 5 3 2 6 5 2" xfId="27280" xr:uid="{00000000-0005-0000-0000-00008DC20000}"/>
    <cellStyle name="Normal 5 3 2 6 5 2 2" xfId="54413" xr:uid="{00000000-0005-0000-0000-00008EC20000}"/>
    <cellStyle name="Normal 5 3 2 6 5 3" xfId="40851" xr:uid="{00000000-0005-0000-0000-00008FC20000}"/>
    <cellStyle name="Normal 5 3 2 6 6" xfId="20499" xr:uid="{00000000-0005-0000-0000-000090C20000}"/>
    <cellStyle name="Normal 5 3 2 6 6 2" xfId="47632" xr:uid="{00000000-0005-0000-0000-000091C20000}"/>
    <cellStyle name="Normal 5 3 2 6 7" xfId="34070" xr:uid="{00000000-0005-0000-0000-000092C20000}"/>
    <cellStyle name="Normal 5 3 2 7" xfId="6783" xr:uid="{00000000-0005-0000-0000-000093C20000}"/>
    <cellStyle name="Normal 5 3 2 7 2" xfId="10314" xr:uid="{00000000-0005-0000-0000-000094C20000}"/>
    <cellStyle name="Normal 5 3 2 7 2 2" xfId="17104" xr:uid="{00000000-0005-0000-0000-000095C20000}"/>
    <cellStyle name="Normal 5 3 2 7 2 2 2" xfId="30672" xr:uid="{00000000-0005-0000-0000-000096C20000}"/>
    <cellStyle name="Normal 5 3 2 7 2 2 2 2" xfId="57805" xr:uid="{00000000-0005-0000-0000-000097C20000}"/>
    <cellStyle name="Normal 5 3 2 7 2 2 3" xfId="44243" xr:uid="{00000000-0005-0000-0000-000098C20000}"/>
    <cellStyle name="Normal 5 3 2 7 2 3" xfId="23891" xr:uid="{00000000-0005-0000-0000-000099C20000}"/>
    <cellStyle name="Normal 5 3 2 7 2 3 2" xfId="51024" xr:uid="{00000000-0005-0000-0000-00009AC20000}"/>
    <cellStyle name="Normal 5 3 2 7 2 4" xfId="37462" xr:uid="{00000000-0005-0000-0000-00009BC20000}"/>
    <cellStyle name="Normal 5 3 2 7 3" xfId="13715" xr:uid="{00000000-0005-0000-0000-00009CC20000}"/>
    <cellStyle name="Normal 5 3 2 7 3 2" xfId="27283" xr:uid="{00000000-0005-0000-0000-00009DC20000}"/>
    <cellStyle name="Normal 5 3 2 7 3 2 2" xfId="54416" xr:uid="{00000000-0005-0000-0000-00009EC20000}"/>
    <cellStyle name="Normal 5 3 2 7 3 3" xfId="40854" xr:uid="{00000000-0005-0000-0000-00009FC20000}"/>
    <cellStyle name="Normal 5 3 2 7 4" xfId="20502" xr:uid="{00000000-0005-0000-0000-0000A0C20000}"/>
    <cellStyle name="Normal 5 3 2 7 4 2" xfId="47635" xr:uid="{00000000-0005-0000-0000-0000A1C20000}"/>
    <cellStyle name="Normal 5 3 2 7 5" xfId="34073" xr:uid="{00000000-0005-0000-0000-0000A2C20000}"/>
    <cellStyle name="Normal 5 3 2 8" xfId="6784" xr:uid="{00000000-0005-0000-0000-0000A3C20000}"/>
    <cellStyle name="Normal 5 3 2 8 2" xfId="10315" xr:uid="{00000000-0005-0000-0000-0000A4C20000}"/>
    <cellStyle name="Normal 5 3 2 8 2 2" xfId="17105" xr:uid="{00000000-0005-0000-0000-0000A5C20000}"/>
    <cellStyle name="Normal 5 3 2 8 2 2 2" xfId="30673" xr:uid="{00000000-0005-0000-0000-0000A6C20000}"/>
    <cellStyle name="Normal 5 3 2 8 2 2 2 2" xfId="57806" xr:uid="{00000000-0005-0000-0000-0000A7C20000}"/>
    <cellStyle name="Normal 5 3 2 8 2 2 3" xfId="44244" xr:uid="{00000000-0005-0000-0000-0000A8C20000}"/>
    <cellStyle name="Normal 5 3 2 8 2 3" xfId="23892" xr:uid="{00000000-0005-0000-0000-0000A9C20000}"/>
    <cellStyle name="Normal 5 3 2 8 2 3 2" xfId="51025" xr:uid="{00000000-0005-0000-0000-0000AAC20000}"/>
    <cellStyle name="Normal 5 3 2 8 2 4" xfId="37463" xr:uid="{00000000-0005-0000-0000-0000ABC20000}"/>
    <cellStyle name="Normal 5 3 2 8 3" xfId="13716" xr:uid="{00000000-0005-0000-0000-0000ACC20000}"/>
    <cellStyle name="Normal 5 3 2 8 3 2" xfId="27284" xr:uid="{00000000-0005-0000-0000-0000ADC20000}"/>
    <cellStyle name="Normal 5 3 2 8 3 2 2" xfId="54417" xr:uid="{00000000-0005-0000-0000-0000AEC20000}"/>
    <cellStyle name="Normal 5 3 2 8 3 3" xfId="40855" xr:uid="{00000000-0005-0000-0000-0000AFC20000}"/>
    <cellStyle name="Normal 5 3 2 8 4" xfId="20503" xr:uid="{00000000-0005-0000-0000-0000B0C20000}"/>
    <cellStyle name="Normal 5 3 2 8 4 2" xfId="47636" xr:uid="{00000000-0005-0000-0000-0000B1C20000}"/>
    <cellStyle name="Normal 5 3 2 8 5" xfId="34074" xr:uid="{00000000-0005-0000-0000-0000B2C20000}"/>
    <cellStyle name="Normal 5 3 2 9" xfId="10277" xr:uid="{00000000-0005-0000-0000-0000B3C20000}"/>
    <cellStyle name="Normal 5 3 2 9 2" xfId="17067" xr:uid="{00000000-0005-0000-0000-0000B4C20000}"/>
    <cellStyle name="Normal 5 3 2 9 2 2" xfId="30635" xr:uid="{00000000-0005-0000-0000-0000B5C20000}"/>
    <cellStyle name="Normal 5 3 2 9 2 2 2" xfId="57768" xr:uid="{00000000-0005-0000-0000-0000B6C20000}"/>
    <cellStyle name="Normal 5 3 2 9 2 3" xfId="44206" xr:uid="{00000000-0005-0000-0000-0000B7C20000}"/>
    <cellStyle name="Normal 5 3 2 9 3" xfId="23854" xr:uid="{00000000-0005-0000-0000-0000B8C20000}"/>
    <cellStyle name="Normal 5 3 2 9 3 2" xfId="50987" xr:uid="{00000000-0005-0000-0000-0000B9C20000}"/>
    <cellStyle name="Normal 5 3 2 9 4" xfId="37425" xr:uid="{00000000-0005-0000-0000-0000BAC20000}"/>
    <cellStyle name="Normal 5 3 3" xfId="6785" xr:uid="{00000000-0005-0000-0000-0000BBC20000}"/>
    <cellStyle name="Normal 5 3 3 10" xfId="34075" xr:uid="{00000000-0005-0000-0000-0000BCC20000}"/>
    <cellStyle name="Normal 5 3 3 2" xfId="6786" xr:uid="{00000000-0005-0000-0000-0000BDC20000}"/>
    <cellStyle name="Normal 5 3 3 2 2" xfId="6787" xr:uid="{00000000-0005-0000-0000-0000BEC20000}"/>
    <cellStyle name="Normal 5 3 3 2 2 2" xfId="6788" xr:uid="{00000000-0005-0000-0000-0000BFC20000}"/>
    <cellStyle name="Normal 5 3 3 2 2 2 2" xfId="10319" xr:uid="{00000000-0005-0000-0000-0000C0C20000}"/>
    <cellStyle name="Normal 5 3 3 2 2 2 2 2" xfId="17109" xr:uid="{00000000-0005-0000-0000-0000C1C20000}"/>
    <cellStyle name="Normal 5 3 3 2 2 2 2 2 2" xfId="30677" xr:uid="{00000000-0005-0000-0000-0000C2C20000}"/>
    <cellStyle name="Normal 5 3 3 2 2 2 2 2 2 2" xfId="57810" xr:uid="{00000000-0005-0000-0000-0000C3C20000}"/>
    <cellStyle name="Normal 5 3 3 2 2 2 2 2 3" xfId="44248" xr:uid="{00000000-0005-0000-0000-0000C4C20000}"/>
    <cellStyle name="Normal 5 3 3 2 2 2 2 3" xfId="23896" xr:uid="{00000000-0005-0000-0000-0000C5C20000}"/>
    <cellStyle name="Normal 5 3 3 2 2 2 2 3 2" xfId="51029" xr:uid="{00000000-0005-0000-0000-0000C6C20000}"/>
    <cellStyle name="Normal 5 3 3 2 2 2 2 4" xfId="37467" xr:uid="{00000000-0005-0000-0000-0000C7C20000}"/>
    <cellStyle name="Normal 5 3 3 2 2 2 3" xfId="13720" xr:uid="{00000000-0005-0000-0000-0000C8C20000}"/>
    <cellStyle name="Normal 5 3 3 2 2 2 3 2" xfId="27288" xr:uid="{00000000-0005-0000-0000-0000C9C20000}"/>
    <cellStyle name="Normal 5 3 3 2 2 2 3 2 2" xfId="54421" xr:uid="{00000000-0005-0000-0000-0000CAC20000}"/>
    <cellStyle name="Normal 5 3 3 2 2 2 3 3" xfId="40859" xr:uid="{00000000-0005-0000-0000-0000CBC20000}"/>
    <cellStyle name="Normal 5 3 3 2 2 2 4" xfId="20507" xr:uid="{00000000-0005-0000-0000-0000CCC20000}"/>
    <cellStyle name="Normal 5 3 3 2 2 2 4 2" xfId="47640" xr:uid="{00000000-0005-0000-0000-0000CDC20000}"/>
    <cellStyle name="Normal 5 3 3 2 2 2 5" xfId="34078" xr:uid="{00000000-0005-0000-0000-0000CEC20000}"/>
    <cellStyle name="Normal 5 3 3 2 2 3" xfId="6789" xr:uid="{00000000-0005-0000-0000-0000CFC20000}"/>
    <cellStyle name="Normal 5 3 3 2 2 3 2" xfId="10320" xr:uid="{00000000-0005-0000-0000-0000D0C20000}"/>
    <cellStyle name="Normal 5 3 3 2 2 3 2 2" xfId="17110" xr:uid="{00000000-0005-0000-0000-0000D1C20000}"/>
    <cellStyle name="Normal 5 3 3 2 2 3 2 2 2" xfId="30678" xr:uid="{00000000-0005-0000-0000-0000D2C20000}"/>
    <cellStyle name="Normal 5 3 3 2 2 3 2 2 2 2" xfId="57811" xr:uid="{00000000-0005-0000-0000-0000D3C20000}"/>
    <cellStyle name="Normal 5 3 3 2 2 3 2 2 3" xfId="44249" xr:uid="{00000000-0005-0000-0000-0000D4C20000}"/>
    <cellStyle name="Normal 5 3 3 2 2 3 2 3" xfId="23897" xr:uid="{00000000-0005-0000-0000-0000D5C20000}"/>
    <cellStyle name="Normal 5 3 3 2 2 3 2 3 2" xfId="51030" xr:uid="{00000000-0005-0000-0000-0000D6C20000}"/>
    <cellStyle name="Normal 5 3 3 2 2 3 2 4" xfId="37468" xr:uid="{00000000-0005-0000-0000-0000D7C20000}"/>
    <cellStyle name="Normal 5 3 3 2 2 3 3" xfId="13721" xr:uid="{00000000-0005-0000-0000-0000D8C20000}"/>
    <cellStyle name="Normal 5 3 3 2 2 3 3 2" xfId="27289" xr:uid="{00000000-0005-0000-0000-0000D9C20000}"/>
    <cellStyle name="Normal 5 3 3 2 2 3 3 2 2" xfId="54422" xr:uid="{00000000-0005-0000-0000-0000DAC20000}"/>
    <cellStyle name="Normal 5 3 3 2 2 3 3 3" xfId="40860" xr:uid="{00000000-0005-0000-0000-0000DBC20000}"/>
    <cellStyle name="Normal 5 3 3 2 2 3 4" xfId="20508" xr:uid="{00000000-0005-0000-0000-0000DCC20000}"/>
    <cellStyle name="Normal 5 3 3 2 2 3 4 2" xfId="47641" xr:uid="{00000000-0005-0000-0000-0000DDC20000}"/>
    <cellStyle name="Normal 5 3 3 2 2 3 5" xfId="34079" xr:uid="{00000000-0005-0000-0000-0000DEC20000}"/>
    <cellStyle name="Normal 5 3 3 2 2 4" xfId="10318" xr:uid="{00000000-0005-0000-0000-0000DFC20000}"/>
    <cellStyle name="Normal 5 3 3 2 2 4 2" xfId="17108" xr:uid="{00000000-0005-0000-0000-0000E0C20000}"/>
    <cellStyle name="Normal 5 3 3 2 2 4 2 2" xfId="30676" xr:uid="{00000000-0005-0000-0000-0000E1C20000}"/>
    <cellStyle name="Normal 5 3 3 2 2 4 2 2 2" xfId="57809" xr:uid="{00000000-0005-0000-0000-0000E2C20000}"/>
    <cellStyle name="Normal 5 3 3 2 2 4 2 3" xfId="44247" xr:uid="{00000000-0005-0000-0000-0000E3C20000}"/>
    <cellStyle name="Normal 5 3 3 2 2 4 3" xfId="23895" xr:uid="{00000000-0005-0000-0000-0000E4C20000}"/>
    <cellStyle name="Normal 5 3 3 2 2 4 3 2" xfId="51028" xr:uid="{00000000-0005-0000-0000-0000E5C20000}"/>
    <cellStyle name="Normal 5 3 3 2 2 4 4" xfId="37466" xr:uid="{00000000-0005-0000-0000-0000E6C20000}"/>
    <cellStyle name="Normal 5 3 3 2 2 5" xfId="13719" xr:uid="{00000000-0005-0000-0000-0000E7C20000}"/>
    <cellStyle name="Normal 5 3 3 2 2 5 2" xfId="27287" xr:uid="{00000000-0005-0000-0000-0000E8C20000}"/>
    <cellStyle name="Normal 5 3 3 2 2 5 2 2" xfId="54420" xr:uid="{00000000-0005-0000-0000-0000E9C20000}"/>
    <cellStyle name="Normal 5 3 3 2 2 5 3" xfId="40858" xr:uid="{00000000-0005-0000-0000-0000EAC20000}"/>
    <cellStyle name="Normal 5 3 3 2 2 6" xfId="20506" xr:uid="{00000000-0005-0000-0000-0000EBC20000}"/>
    <cellStyle name="Normal 5 3 3 2 2 6 2" xfId="47639" xr:uid="{00000000-0005-0000-0000-0000ECC20000}"/>
    <cellStyle name="Normal 5 3 3 2 2 7" xfId="34077" xr:uid="{00000000-0005-0000-0000-0000EDC20000}"/>
    <cellStyle name="Normal 5 3 3 2 3" xfId="6790" xr:uid="{00000000-0005-0000-0000-0000EEC20000}"/>
    <cellStyle name="Normal 5 3 3 2 3 2" xfId="6791" xr:uid="{00000000-0005-0000-0000-0000EFC20000}"/>
    <cellStyle name="Normal 5 3 3 2 3 2 2" xfId="10322" xr:uid="{00000000-0005-0000-0000-0000F0C20000}"/>
    <cellStyle name="Normal 5 3 3 2 3 2 2 2" xfId="17112" xr:uid="{00000000-0005-0000-0000-0000F1C20000}"/>
    <cellStyle name="Normal 5 3 3 2 3 2 2 2 2" xfId="30680" xr:uid="{00000000-0005-0000-0000-0000F2C20000}"/>
    <cellStyle name="Normal 5 3 3 2 3 2 2 2 2 2" xfId="57813" xr:uid="{00000000-0005-0000-0000-0000F3C20000}"/>
    <cellStyle name="Normal 5 3 3 2 3 2 2 2 3" xfId="44251" xr:uid="{00000000-0005-0000-0000-0000F4C20000}"/>
    <cellStyle name="Normal 5 3 3 2 3 2 2 3" xfId="23899" xr:uid="{00000000-0005-0000-0000-0000F5C20000}"/>
    <cellStyle name="Normal 5 3 3 2 3 2 2 3 2" xfId="51032" xr:uid="{00000000-0005-0000-0000-0000F6C20000}"/>
    <cellStyle name="Normal 5 3 3 2 3 2 2 4" xfId="37470" xr:uid="{00000000-0005-0000-0000-0000F7C20000}"/>
    <cellStyle name="Normal 5 3 3 2 3 2 3" xfId="13723" xr:uid="{00000000-0005-0000-0000-0000F8C20000}"/>
    <cellStyle name="Normal 5 3 3 2 3 2 3 2" xfId="27291" xr:uid="{00000000-0005-0000-0000-0000F9C20000}"/>
    <cellStyle name="Normal 5 3 3 2 3 2 3 2 2" xfId="54424" xr:uid="{00000000-0005-0000-0000-0000FAC20000}"/>
    <cellStyle name="Normal 5 3 3 2 3 2 3 3" xfId="40862" xr:uid="{00000000-0005-0000-0000-0000FBC20000}"/>
    <cellStyle name="Normal 5 3 3 2 3 2 4" xfId="20510" xr:uid="{00000000-0005-0000-0000-0000FCC20000}"/>
    <cellStyle name="Normal 5 3 3 2 3 2 4 2" xfId="47643" xr:uid="{00000000-0005-0000-0000-0000FDC20000}"/>
    <cellStyle name="Normal 5 3 3 2 3 2 5" xfId="34081" xr:uid="{00000000-0005-0000-0000-0000FEC20000}"/>
    <cellStyle name="Normal 5 3 3 2 3 3" xfId="10321" xr:uid="{00000000-0005-0000-0000-0000FFC20000}"/>
    <cellStyle name="Normal 5 3 3 2 3 3 2" xfId="17111" xr:uid="{00000000-0005-0000-0000-000000C30000}"/>
    <cellStyle name="Normal 5 3 3 2 3 3 2 2" xfId="30679" xr:uid="{00000000-0005-0000-0000-000001C30000}"/>
    <cellStyle name="Normal 5 3 3 2 3 3 2 2 2" xfId="57812" xr:uid="{00000000-0005-0000-0000-000002C30000}"/>
    <cellStyle name="Normal 5 3 3 2 3 3 2 3" xfId="44250" xr:uid="{00000000-0005-0000-0000-000003C30000}"/>
    <cellStyle name="Normal 5 3 3 2 3 3 3" xfId="23898" xr:uid="{00000000-0005-0000-0000-000004C30000}"/>
    <cellStyle name="Normal 5 3 3 2 3 3 3 2" xfId="51031" xr:uid="{00000000-0005-0000-0000-000005C30000}"/>
    <cellStyle name="Normal 5 3 3 2 3 3 4" xfId="37469" xr:uid="{00000000-0005-0000-0000-000006C30000}"/>
    <cellStyle name="Normal 5 3 3 2 3 4" xfId="13722" xr:uid="{00000000-0005-0000-0000-000007C30000}"/>
    <cellStyle name="Normal 5 3 3 2 3 4 2" xfId="27290" xr:uid="{00000000-0005-0000-0000-000008C30000}"/>
    <cellStyle name="Normal 5 3 3 2 3 4 2 2" xfId="54423" xr:uid="{00000000-0005-0000-0000-000009C30000}"/>
    <cellStyle name="Normal 5 3 3 2 3 4 3" xfId="40861" xr:uid="{00000000-0005-0000-0000-00000AC30000}"/>
    <cellStyle name="Normal 5 3 3 2 3 5" xfId="20509" xr:uid="{00000000-0005-0000-0000-00000BC30000}"/>
    <cellStyle name="Normal 5 3 3 2 3 5 2" xfId="47642" xr:uid="{00000000-0005-0000-0000-00000CC30000}"/>
    <cellStyle name="Normal 5 3 3 2 3 6" xfId="34080" xr:uid="{00000000-0005-0000-0000-00000DC30000}"/>
    <cellStyle name="Normal 5 3 3 2 4" xfId="6792" xr:uid="{00000000-0005-0000-0000-00000EC30000}"/>
    <cellStyle name="Normal 5 3 3 2 4 2" xfId="10323" xr:uid="{00000000-0005-0000-0000-00000FC30000}"/>
    <cellStyle name="Normal 5 3 3 2 4 2 2" xfId="17113" xr:uid="{00000000-0005-0000-0000-000010C30000}"/>
    <cellStyle name="Normal 5 3 3 2 4 2 2 2" xfId="30681" xr:uid="{00000000-0005-0000-0000-000011C30000}"/>
    <cellStyle name="Normal 5 3 3 2 4 2 2 2 2" xfId="57814" xr:uid="{00000000-0005-0000-0000-000012C30000}"/>
    <cellStyle name="Normal 5 3 3 2 4 2 2 3" xfId="44252" xr:uid="{00000000-0005-0000-0000-000013C30000}"/>
    <cellStyle name="Normal 5 3 3 2 4 2 3" xfId="23900" xr:uid="{00000000-0005-0000-0000-000014C30000}"/>
    <cellStyle name="Normal 5 3 3 2 4 2 3 2" xfId="51033" xr:uid="{00000000-0005-0000-0000-000015C30000}"/>
    <cellStyle name="Normal 5 3 3 2 4 2 4" xfId="37471" xr:uid="{00000000-0005-0000-0000-000016C30000}"/>
    <cellStyle name="Normal 5 3 3 2 4 3" xfId="13724" xr:uid="{00000000-0005-0000-0000-000017C30000}"/>
    <cellStyle name="Normal 5 3 3 2 4 3 2" xfId="27292" xr:uid="{00000000-0005-0000-0000-000018C30000}"/>
    <cellStyle name="Normal 5 3 3 2 4 3 2 2" xfId="54425" xr:uid="{00000000-0005-0000-0000-000019C30000}"/>
    <cellStyle name="Normal 5 3 3 2 4 3 3" xfId="40863" xr:uid="{00000000-0005-0000-0000-00001AC30000}"/>
    <cellStyle name="Normal 5 3 3 2 4 4" xfId="20511" xr:uid="{00000000-0005-0000-0000-00001BC30000}"/>
    <cellStyle name="Normal 5 3 3 2 4 4 2" xfId="47644" xr:uid="{00000000-0005-0000-0000-00001CC30000}"/>
    <cellStyle name="Normal 5 3 3 2 4 5" xfId="34082" xr:uid="{00000000-0005-0000-0000-00001DC30000}"/>
    <cellStyle name="Normal 5 3 3 2 5" xfId="6793" xr:uid="{00000000-0005-0000-0000-00001EC30000}"/>
    <cellStyle name="Normal 5 3 3 2 5 2" xfId="10324" xr:uid="{00000000-0005-0000-0000-00001FC30000}"/>
    <cellStyle name="Normal 5 3 3 2 5 2 2" xfId="17114" xr:uid="{00000000-0005-0000-0000-000020C30000}"/>
    <cellStyle name="Normal 5 3 3 2 5 2 2 2" xfId="30682" xr:uid="{00000000-0005-0000-0000-000021C30000}"/>
    <cellStyle name="Normal 5 3 3 2 5 2 2 2 2" xfId="57815" xr:uid="{00000000-0005-0000-0000-000022C30000}"/>
    <cellStyle name="Normal 5 3 3 2 5 2 2 3" xfId="44253" xr:uid="{00000000-0005-0000-0000-000023C30000}"/>
    <cellStyle name="Normal 5 3 3 2 5 2 3" xfId="23901" xr:uid="{00000000-0005-0000-0000-000024C30000}"/>
    <cellStyle name="Normal 5 3 3 2 5 2 3 2" xfId="51034" xr:uid="{00000000-0005-0000-0000-000025C30000}"/>
    <cellStyle name="Normal 5 3 3 2 5 2 4" xfId="37472" xr:uid="{00000000-0005-0000-0000-000026C30000}"/>
    <cellStyle name="Normal 5 3 3 2 5 3" xfId="13725" xr:uid="{00000000-0005-0000-0000-000027C30000}"/>
    <cellStyle name="Normal 5 3 3 2 5 3 2" xfId="27293" xr:uid="{00000000-0005-0000-0000-000028C30000}"/>
    <cellStyle name="Normal 5 3 3 2 5 3 2 2" xfId="54426" xr:uid="{00000000-0005-0000-0000-000029C30000}"/>
    <cellStyle name="Normal 5 3 3 2 5 3 3" xfId="40864" xr:uid="{00000000-0005-0000-0000-00002AC30000}"/>
    <cellStyle name="Normal 5 3 3 2 5 4" xfId="20512" xr:uid="{00000000-0005-0000-0000-00002BC30000}"/>
    <cellStyle name="Normal 5 3 3 2 5 4 2" xfId="47645" xr:uid="{00000000-0005-0000-0000-00002CC30000}"/>
    <cellStyle name="Normal 5 3 3 2 5 5" xfId="34083" xr:uid="{00000000-0005-0000-0000-00002DC30000}"/>
    <cellStyle name="Normal 5 3 3 2 6" xfId="10317" xr:uid="{00000000-0005-0000-0000-00002EC30000}"/>
    <cellStyle name="Normal 5 3 3 2 6 2" xfId="17107" xr:uid="{00000000-0005-0000-0000-00002FC30000}"/>
    <cellStyle name="Normal 5 3 3 2 6 2 2" xfId="30675" xr:uid="{00000000-0005-0000-0000-000030C30000}"/>
    <cellStyle name="Normal 5 3 3 2 6 2 2 2" xfId="57808" xr:uid="{00000000-0005-0000-0000-000031C30000}"/>
    <cellStyle name="Normal 5 3 3 2 6 2 3" xfId="44246" xr:uid="{00000000-0005-0000-0000-000032C30000}"/>
    <cellStyle name="Normal 5 3 3 2 6 3" xfId="23894" xr:uid="{00000000-0005-0000-0000-000033C30000}"/>
    <cellStyle name="Normal 5 3 3 2 6 3 2" xfId="51027" xr:uid="{00000000-0005-0000-0000-000034C30000}"/>
    <cellStyle name="Normal 5 3 3 2 6 4" xfId="37465" xr:uid="{00000000-0005-0000-0000-000035C30000}"/>
    <cellStyle name="Normal 5 3 3 2 7" xfId="13718" xr:uid="{00000000-0005-0000-0000-000036C30000}"/>
    <cellStyle name="Normal 5 3 3 2 7 2" xfId="27286" xr:uid="{00000000-0005-0000-0000-000037C30000}"/>
    <cellStyle name="Normal 5 3 3 2 7 2 2" xfId="54419" xr:uid="{00000000-0005-0000-0000-000038C30000}"/>
    <cellStyle name="Normal 5 3 3 2 7 3" xfId="40857" xr:uid="{00000000-0005-0000-0000-000039C30000}"/>
    <cellStyle name="Normal 5 3 3 2 8" xfId="20505" xr:uid="{00000000-0005-0000-0000-00003AC30000}"/>
    <cellStyle name="Normal 5 3 3 2 8 2" xfId="47638" xr:uid="{00000000-0005-0000-0000-00003BC30000}"/>
    <cellStyle name="Normal 5 3 3 2 9" xfId="34076" xr:uid="{00000000-0005-0000-0000-00003CC30000}"/>
    <cellStyle name="Normal 5 3 3 3" xfId="6794" xr:uid="{00000000-0005-0000-0000-00003DC30000}"/>
    <cellStyle name="Normal 5 3 3 3 2" xfId="6795" xr:uid="{00000000-0005-0000-0000-00003EC30000}"/>
    <cellStyle name="Normal 5 3 3 3 2 2" xfId="10326" xr:uid="{00000000-0005-0000-0000-00003FC30000}"/>
    <cellStyle name="Normal 5 3 3 3 2 2 2" xfId="17116" xr:uid="{00000000-0005-0000-0000-000040C30000}"/>
    <cellStyle name="Normal 5 3 3 3 2 2 2 2" xfId="30684" xr:uid="{00000000-0005-0000-0000-000041C30000}"/>
    <cellStyle name="Normal 5 3 3 3 2 2 2 2 2" xfId="57817" xr:uid="{00000000-0005-0000-0000-000042C30000}"/>
    <cellStyle name="Normal 5 3 3 3 2 2 2 3" xfId="44255" xr:uid="{00000000-0005-0000-0000-000043C30000}"/>
    <cellStyle name="Normal 5 3 3 3 2 2 3" xfId="23903" xr:uid="{00000000-0005-0000-0000-000044C30000}"/>
    <cellStyle name="Normal 5 3 3 3 2 2 3 2" xfId="51036" xr:uid="{00000000-0005-0000-0000-000045C30000}"/>
    <cellStyle name="Normal 5 3 3 3 2 2 4" xfId="37474" xr:uid="{00000000-0005-0000-0000-000046C30000}"/>
    <cellStyle name="Normal 5 3 3 3 2 3" xfId="13727" xr:uid="{00000000-0005-0000-0000-000047C30000}"/>
    <cellStyle name="Normal 5 3 3 3 2 3 2" xfId="27295" xr:uid="{00000000-0005-0000-0000-000048C30000}"/>
    <cellStyle name="Normal 5 3 3 3 2 3 2 2" xfId="54428" xr:uid="{00000000-0005-0000-0000-000049C30000}"/>
    <cellStyle name="Normal 5 3 3 3 2 3 3" xfId="40866" xr:uid="{00000000-0005-0000-0000-00004AC30000}"/>
    <cellStyle name="Normal 5 3 3 3 2 4" xfId="20514" xr:uid="{00000000-0005-0000-0000-00004BC30000}"/>
    <cellStyle name="Normal 5 3 3 3 2 4 2" xfId="47647" xr:uid="{00000000-0005-0000-0000-00004CC30000}"/>
    <cellStyle name="Normal 5 3 3 3 2 5" xfId="34085" xr:uid="{00000000-0005-0000-0000-00004DC30000}"/>
    <cellStyle name="Normal 5 3 3 3 3" xfId="6796" xr:uid="{00000000-0005-0000-0000-00004EC30000}"/>
    <cellStyle name="Normal 5 3 3 3 3 2" xfId="10327" xr:uid="{00000000-0005-0000-0000-00004FC30000}"/>
    <cellStyle name="Normal 5 3 3 3 3 2 2" xfId="17117" xr:uid="{00000000-0005-0000-0000-000050C30000}"/>
    <cellStyle name="Normal 5 3 3 3 3 2 2 2" xfId="30685" xr:uid="{00000000-0005-0000-0000-000051C30000}"/>
    <cellStyle name="Normal 5 3 3 3 3 2 2 2 2" xfId="57818" xr:uid="{00000000-0005-0000-0000-000052C30000}"/>
    <cellStyle name="Normal 5 3 3 3 3 2 2 3" xfId="44256" xr:uid="{00000000-0005-0000-0000-000053C30000}"/>
    <cellStyle name="Normal 5 3 3 3 3 2 3" xfId="23904" xr:uid="{00000000-0005-0000-0000-000054C30000}"/>
    <cellStyle name="Normal 5 3 3 3 3 2 3 2" xfId="51037" xr:uid="{00000000-0005-0000-0000-000055C30000}"/>
    <cellStyle name="Normal 5 3 3 3 3 2 4" xfId="37475" xr:uid="{00000000-0005-0000-0000-000056C30000}"/>
    <cellStyle name="Normal 5 3 3 3 3 3" xfId="13728" xr:uid="{00000000-0005-0000-0000-000057C30000}"/>
    <cellStyle name="Normal 5 3 3 3 3 3 2" xfId="27296" xr:uid="{00000000-0005-0000-0000-000058C30000}"/>
    <cellStyle name="Normal 5 3 3 3 3 3 2 2" xfId="54429" xr:uid="{00000000-0005-0000-0000-000059C30000}"/>
    <cellStyle name="Normal 5 3 3 3 3 3 3" xfId="40867" xr:uid="{00000000-0005-0000-0000-00005AC30000}"/>
    <cellStyle name="Normal 5 3 3 3 3 4" xfId="20515" xr:uid="{00000000-0005-0000-0000-00005BC30000}"/>
    <cellStyle name="Normal 5 3 3 3 3 4 2" xfId="47648" xr:uid="{00000000-0005-0000-0000-00005CC30000}"/>
    <cellStyle name="Normal 5 3 3 3 3 5" xfId="34086" xr:uid="{00000000-0005-0000-0000-00005DC30000}"/>
    <cellStyle name="Normal 5 3 3 3 4" xfId="10325" xr:uid="{00000000-0005-0000-0000-00005EC30000}"/>
    <cellStyle name="Normal 5 3 3 3 4 2" xfId="17115" xr:uid="{00000000-0005-0000-0000-00005FC30000}"/>
    <cellStyle name="Normal 5 3 3 3 4 2 2" xfId="30683" xr:uid="{00000000-0005-0000-0000-000060C30000}"/>
    <cellStyle name="Normal 5 3 3 3 4 2 2 2" xfId="57816" xr:uid="{00000000-0005-0000-0000-000061C30000}"/>
    <cellStyle name="Normal 5 3 3 3 4 2 3" xfId="44254" xr:uid="{00000000-0005-0000-0000-000062C30000}"/>
    <cellStyle name="Normal 5 3 3 3 4 3" xfId="23902" xr:uid="{00000000-0005-0000-0000-000063C30000}"/>
    <cellStyle name="Normal 5 3 3 3 4 3 2" xfId="51035" xr:uid="{00000000-0005-0000-0000-000064C30000}"/>
    <cellStyle name="Normal 5 3 3 3 4 4" xfId="37473" xr:uid="{00000000-0005-0000-0000-000065C30000}"/>
    <cellStyle name="Normal 5 3 3 3 5" xfId="13726" xr:uid="{00000000-0005-0000-0000-000066C30000}"/>
    <cellStyle name="Normal 5 3 3 3 5 2" xfId="27294" xr:uid="{00000000-0005-0000-0000-000067C30000}"/>
    <cellStyle name="Normal 5 3 3 3 5 2 2" xfId="54427" xr:uid="{00000000-0005-0000-0000-000068C30000}"/>
    <cellStyle name="Normal 5 3 3 3 5 3" xfId="40865" xr:uid="{00000000-0005-0000-0000-000069C30000}"/>
    <cellStyle name="Normal 5 3 3 3 6" xfId="20513" xr:uid="{00000000-0005-0000-0000-00006AC30000}"/>
    <cellStyle name="Normal 5 3 3 3 6 2" xfId="47646" xr:uid="{00000000-0005-0000-0000-00006BC30000}"/>
    <cellStyle name="Normal 5 3 3 3 7" xfId="34084" xr:uid="{00000000-0005-0000-0000-00006CC30000}"/>
    <cellStyle name="Normal 5 3 3 4" xfId="6797" xr:uid="{00000000-0005-0000-0000-00006DC30000}"/>
    <cellStyle name="Normal 5 3 3 4 2" xfId="6798" xr:uid="{00000000-0005-0000-0000-00006EC30000}"/>
    <cellStyle name="Normal 5 3 3 4 2 2" xfId="10329" xr:uid="{00000000-0005-0000-0000-00006FC30000}"/>
    <cellStyle name="Normal 5 3 3 4 2 2 2" xfId="17119" xr:uid="{00000000-0005-0000-0000-000070C30000}"/>
    <cellStyle name="Normal 5 3 3 4 2 2 2 2" xfId="30687" xr:uid="{00000000-0005-0000-0000-000071C30000}"/>
    <cellStyle name="Normal 5 3 3 4 2 2 2 2 2" xfId="57820" xr:uid="{00000000-0005-0000-0000-000072C30000}"/>
    <cellStyle name="Normal 5 3 3 4 2 2 2 3" xfId="44258" xr:uid="{00000000-0005-0000-0000-000073C30000}"/>
    <cellStyle name="Normal 5 3 3 4 2 2 3" xfId="23906" xr:uid="{00000000-0005-0000-0000-000074C30000}"/>
    <cellStyle name="Normal 5 3 3 4 2 2 3 2" xfId="51039" xr:uid="{00000000-0005-0000-0000-000075C30000}"/>
    <cellStyle name="Normal 5 3 3 4 2 2 4" xfId="37477" xr:uid="{00000000-0005-0000-0000-000076C30000}"/>
    <cellStyle name="Normal 5 3 3 4 2 3" xfId="13730" xr:uid="{00000000-0005-0000-0000-000077C30000}"/>
    <cellStyle name="Normal 5 3 3 4 2 3 2" xfId="27298" xr:uid="{00000000-0005-0000-0000-000078C30000}"/>
    <cellStyle name="Normal 5 3 3 4 2 3 2 2" xfId="54431" xr:uid="{00000000-0005-0000-0000-000079C30000}"/>
    <cellStyle name="Normal 5 3 3 4 2 3 3" xfId="40869" xr:uid="{00000000-0005-0000-0000-00007AC30000}"/>
    <cellStyle name="Normal 5 3 3 4 2 4" xfId="20517" xr:uid="{00000000-0005-0000-0000-00007BC30000}"/>
    <cellStyle name="Normal 5 3 3 4 2 4 2" xfId="47650" xr:uid="{00000000-0005-0000-0000-00007CC30000}"/>
    <cellStyle name="Normal 5 3 3 4 2 5" xfId="34088" xr:uid="{00000000-0005-0000-0000-00007DC30000}"/>
    <cellStyle name="Normal 5 3 3 4 3" xfId="10328" xr:uid="{00000000-0005-0000-0000-00007EC30000}"/>
    <cellStyle name="Normal 5 3 3 4 3 2" xfId="17118" xr:uid="{00000000-0005-0000-0000-00007FC30000}"/>
    <cellStyle name="Normal 5 3 3 4 3 2 2" xfId="30686" xr:uid="{00000000-0005-0000-0000-000080C30000}"/>
    <cellStyle name="Normal 5 3 3 4 3 2 2 2" xfId="57819" xr:uid="{00000000-0005-0000-0000-000081C30000}"/>
    <cellStyle name="Normal 5 3 3 4 3 2 3" xfId="44257" xr:uid="{00000000-0005-0000-0000-000082C30000}"/>
    <cellStyle name="Normal 5 3 3 4 3 3" xfId="23905" xr:uid="{00000000-0005-0000-0000-000083C30000}"/>
    <cellStyle name="Normal 5 3 3 4 3 3 2" xfId="51038" xr:uid="{00000000-0005-0000-0000-000084C30000}"/>
    <cellStyle name="Normal 5 3 3 4 3 4" xfId="37476" xr:uid="{00000000-0005-0000-0000-000085C30000}"/>
    <cellStyle name="Normal 5 3 3 4 4" xfId="13729" xr:uid="{00000000-0005-0000-0000-000086C30000}"/>
    <cellStyle name="Normal 5 3 3 4 4 2" xfId="27297" xr:uid="{00000000-0005-0000-0000-000087C30000}"/>
    <cellStyle name="Normal 5 3 3 4 4 2 2" xfId="54430" xr:uid="{00000000-0005-0000-0000-000088C30000}"/>
    <cellStyle name="Normal 5 3 3 4 4 3" xfId="40868" xr:uid="{00000000-0005-0000-0000-000089C30000}"/>
    <cellStyle name="Normal 5 3 3 4 5" xfId="20516" xr:uid="{00000000-0005-0000-0000-00008AC30000}"/>
    <cellStyle name="Normal 5 3 3 4 5 2" xfId="47649" xr:uid="{00000000-0005-0000-0000-00008BC30000}"/>
    <cellStyle name="Normal 5 3 3 4 6" xfId="34087" xr:uid="{00000000-0005-0000-0000-00008CC30000}"/>
    <cellStyle name="Normal 5 3 3 5" xfId="6799" xr:uid="{00000000-0005-0000-0000-00008DC30000}"/>
    <cellStyle name="Normal 5 3 3 5 2" xfId="10330" xr:uid="{00000000-0005-0000-0000-00008EC30000}"/>
    <cellStyle name="Normal 5 3 3 5 2 2" xfId="17120" xr:uid="{00000000-0005-0000-0000-00008FC30000}"/>
    <cellStyle name="Normal 5 3 3 5 2 2 2" xfId="30688" xr:uid="{00000000-0005-0000-0000-000090C30000}"/>
    <cellStyle name="Normal 5 3 3 5 2 2 2 2" xfId="57821" xr:uid="{00000000-0005-0000-0000-000091C30000}"/>
    <cellStyle name="Normal 5 3 3 5 2 2 3" xfId="44259" xr:uid="{00000000-0005-0000-0000-000092C30000}"/>
    <cellStyle name="Normal 5 3 3 5 2 3" xfId="23907" xr:uid="{00000000-0005-0000-0000-000093C30000}"/>
    <cellStyle name="Normal 5 3 3 5 2 3 2" xfId="51040" xr:uid="{00000000-0005-0000-0000-000094C30000}"/>
    <cellStyle name="Normal 5 3 3 5 2 4" xfId="37478" xr:uid="{00000000-0005-0000-0000-000095C30000}"/>
    <cellStyle name="Normal 5 3 3 5 3" xfId="13731" xr:uid="{00000000-0005-0000-0000-000096C30000}"/>
    <cellStyle name="Normal 5 3 3 5 3 2" xfId="27299" xr:uid="{00000000-0005-0000-0000-000097C30000}"/>
    <cellStyle name="Normal 5 3 3 5 3 2 2" xfId="54432" xr:uid="{00000000-0005-0000-0000-000098C30000}"/>
    <cellStyle name="Normal 5 3 3 5 3 3" xfId="40870" xr:uid="{00000000-0005-0000-0000-000099C30000}"/>
    <cellStyle name="Normal 5 3 3 5 4" xfId="20518" xr:uid="{00000000-0005-0000-0000-00009AC30000}"/>
    <cellStyle name="Normal 5 3 3 5 4 2" xfId="47651" xr:uid="{00000000-0005-0000-0000-00009BC30000}"/>
    <cellStyle name="Normal 5 3 3 5 5" xfId="34089" xr:uid="{00000000-0005-0000-0000-00009CC30000}"/>
    <cellStyle name="Normal 5 3 3 6" xfId="6800" xr:uid="{00000000-0005-0000-0000-00009DC30000}"/>
    <cellStyle name="Normal 5 3 3 6 2" xfId="10331" xr:uid="{00000000-0005-0000-0000-00009EC30000}"/>
    <cellStyle name="Normal 5 3 3 6 2 2" xfId="17121" xr:uid="{00000000-0005-0000-0000-00009FC30000}"/>
    <cellStyle name="Normal 5 3 3 6 2 2 2" xfId="30689" xr:uid="{00000000-0005-0000-0000-0000A0C30000}"/>
    <cellStyle name="Normal 5 3 3 6 2 2 2 2" xfId="57822" xr:uid="{00000000-0005-0000-0000-0000A1C30000}"/>
    <cellStyle name="Normal 5 3 3 6 2 2 3" xfId="44260" xr:uid="{00000000-0005-0000-0000-0000A2C30000}"/>
    <cellStyle name="Normal 5 3 3 6 2 3" xfId="23908" xr:uid="{00000000-0005-0000-0000-0000A3C30000}"/>
    <cellStyle name="Normal 5 3 3 6 2 3 2" xfId="51041" xr:uid="{00000000-0005-0000-0000-0000A4C30000}"/>
    <cellStyle name="Normal 5 3 3 6 2 4" xfId="37479" xr:uid="{00000000-0005-0000-0000-0000A5C30000}"/>
    <cellStyle name="Normal 5 3 3 6 3" xfId="13732" xr:uid="{00000000-0005-0000-0000-0000A6C30000}"/>
    <cellStyle name="Normal 5 3 3 6 3 2" xfId="27300" xr:uid="{00000000-0005-0000-0000-0000A7C30000}"/>
    <cellStyle name="Normal 5 3 3 6 3 2 2" xfId="54433" xr:uid="{00000000-0005-0000-0000-0000A8C30000}"/>
    <cellStyle name="Normal 5 3 3 6 3 3" xfId="40871" xr:uid="{00000000-0005-0000-0000-0000A9C30000}"/>
    <cellStyle name="Normal 5 3 3 6 4" xfId="20519" xr:uid="{00000000-0005-0000-0000-0000AAC30000}"/>
    <cellStyle name="Normal 5 3 3 6 4 2" xfId="47652" xr:uid="{00000000-0005-0000-0000-0000ABC30000}"/>
    <cellStyle name="Normal 5 3 3 6 5" xfId="34090" xr:uid="{00000000-0005-0000-0000-0000ACC30000}"/>
    <cellStyle name="Normal 5 3 3 7" xfId="10316" xr:uid="{00000000-0005-0000-0000-0000ADC30000}"/>
    <cellStyle name="Normal 5 3 3 7 2" xfId="17106" xr:uid="{00000000-0005-0000-0000-0000AEC30000}"/>
    <cellStyle name="Normal 5 3 3 7 2 2" xfId="30674" xr:uid="{00000000-0005-0000-0000-0000AFC30000}"/>
    <cellStyle name="Normal 5 3 3 7 2 2 2" xfId="57807" xr:uid="{00000000-0005-0000-0000-0000B0C30000}"/>
    <cellStyle name="Normal 5 3 3 7 2 3" xfId="44245" xr:uid="{00000000-0005-0000-0000-0000B1C30000}"/>
    <cellStyle name="Normal 5 3 3 7 3" xfId="23893" xr:uid="{00000000-0005-0000-0000-0000B2C30000}"/>
    <cellStyle name="Normal 5 3 3 7 3 2" xfId="51026" xr:uid="{00000000-0005-0000-0000-0000B3C30000}"/>
    <cellStyle name="Normal 5 3 3 7 4" xfId="37464" xr:uid="{00000000-0005-0000-0000-0000B4C30000}"/>
    <cellStyle name="Normal 5 3 3 8" xfId="13717" xr:uid="{00000000-0005-0000-0000-0000B5C30000}"/>
    <cellStyle name="Normal 5 3 3 8 2" xfId="27285" xr:uid="{00000000-0005-0000-0000-0000B6C30000}"/>
    <cellStyle name="Normal 5 3 3 8 2 2" xfId="54418" xr:uid="{00000000-0005-0000-0000-0000B7C30000}"/>
    <cellStyle name="Normal 5 3 3 8 3" xfId="40856" xr:uid="{00000000-0005-0000-0000-0000B8C30000}"/>
    <cellStyle name="Normal 5 3 3 9" xfId="20504" xr:uid="{00000000-0005-0000-0000-0000B9C30000}"/>
    <cellStyle name="Normal 5 3 3 9 2" xfId="47637" xr:uid="{00000000-0005-0000-0000-0000BAC30000}"/>
    <cellStyle name="Normal 5 3 4" xfId="6801" xr:uid="{00000000-0005-0000-0000-0000BBC30000}"/>
    <cellStyle name="Normal 5 3 4 2" xfId="6802" xr:uid="{00000000-0005-0000-0000-0000BCC30000}"/>
    <cellStyle name="Normal 5 3 4 2 2" xfId="6803" xr:uid="{00000000-0005-0000-0000-0000BDC30000}"/>
    <cellStyle name="Normal 5 3 4 2 2 2" xfId="10334" xr:uid="{00000000-0005-0000-0000-0000BEC30000}"/>
    <cellStyle name="Normal 5 3 4 2 2 2 2" xfId="17124" xr:uid="{00000000-0005-0000-0000-0000BFC30000}"/>
    <cellStyle name="Normal 5 3 4 2 2 2 2 2" xfId="30692" xr:uid="{00000000-0005-0000-0000-0000C0C30000}"/>
    <cellStyle name="Normal 5 3 4 2 2 2 2 2 2" xfId="57825" xr:uid="{00000000-0005-0000-0000-0000C1C30000}"/>
    <cellStyle name="Normal 5 3 4 2 2 2 2 3" xfId="44263" xr:uid="{00000000-0005-0000-0000-0000C2C30000}"/>
    <cellStyle name="Normal 5 3 4 2 2 2 3" xfId="23911" xr:uid="{00000000-0005-0000-0000-0000C3C30000}"/>
    <cellStyle name="Normal 5 3 4 2 2 2 3 2" xfId="51044" xr:uid="{00000000-0005-0000-0000-0000C4C30000}"/>
    <cellStyle name="Normal 5 3 4 2 2 2 4" xfId="37482" xr:uid="{00000000-0005-0000-0000-0000C5C30000}"/>
    <cellStyle name="Normal 5 3 4 2 2 3" xfId="13735" xr:uid="{00000000-0005-0000-0000-0000C6C30000}"/>
    <cellStyle name="Normal 5 3 4 2 2 3 2" xfId="27303" xr:uid="{00000000-0005-0000-0000-0000C7C30000}"/>
    <cellStyle name="Normal 5 3 4 2 2 3 2 2" xfId="54436" xr:uid="{00000000-0005-0000-0000-0000C8C30000}"/>
    <cellStyle name="Normal 5 3 4 2 2 3 3" xfId="40874" xr:uid="{00000000-0005-0000-0000-0000C9C30000}"/>
    <cellStyle name="Normal 5 3 4 2 2 4" xfId="20522" xr:uid="{00000000-0005-0000-0000-0000CAC30000}"/>
    <cellStyle name="Normal 5 3 4 2 2 4 2" xfId="47655" xr:uid="{00000000-0005-0000-0000-0000CBC30000}"/>
    <cellStyle name="Normal 5 3 4 2 2 5" xfId="34093" xr:uid="{00000000-0005-0000-0000-0000CCC30000}"/>
    <cellStyle name="Normal 5 3 4 2 3" xfId="6804" xr:uid="{00000000-0005-0000-0000-0000CDC30000}"/>
    <cellStyle name="Normal 5 3 4 2 3 2" xfId="10335" xr:uid="{00000000-0005-0000-0000-0000CEC30000}"/>
    <cellStyle name="Normal 5 3 4 2 3 2 2" xfId="17125" xr:uid="{00000000-0005-0000-0000-0000CFC30000}"/>
    <cellStyle name="Normal 5 3 4 2 3 2 2 2" xfId="30693" xr:uid="{00000000-0005-0000-0000-0000D0C30000}"/>
    <cellStyle name="Normal 5 3 4 2 3 2 2 2 2" xfId="57826" xr:uid="{00000000-0005-0000-0000-0000D1C30000}"/>
    <cellStyle name="Normal 5 3 4 2 3 2 2 3" xfId="44264" xr:uid="{00000000-0005-0000-0000-0000D2C30000}"/>
    <cellStyle name="Normal 5 3 4 2 3 2 3" xfId="23912" xr:uid="{00000000-0005-0000-0000-0000D3C30000}"/>
    <cellStyle name="Normal 5 3 4 2 3 2 3 2" xfId="51045" xr:uid="{00000000-0005-0000-0000-0000D4C30000}"/>
    <cellStyle name="Normal 5 3 4 2 3 2 4" xfId="37483" xr:uid="{00000000-0005-0000-0000-0000D5C30000}"/>
    <cellStyle name="Normal 5 3 4 2 3 3" xfId="13736" xr:uid="{00000000-0005-0000-0000-0000D6C30000}"/>
    <cellStyle name="Normal 5 3 4 2 3 3 2" xfId="27304" xr:uid="{00000000-0005-0000-0000-0000D7C30000}"/>
    <cellStyle name="Normal 5 3 4 2 3 3 2 2" xfId="54437" xr:uid="{00000000-0005-0000-0000-0000D8C30000}"/>
    <cellStyle name="Normal 5 3 4 2 3 3 3" xfId="40875" xr:uid="{00000000-0005-0000-0000-0000D9C30000}"/>
    <cellStyle name="Normal 5 3 4 2 3 4" xfId="20523" xr:uid="{00000000-0005-0000-0000-0000DAC30000}"/>
    <cellStyle name="Normal 5 3 4 2 3 4 2" xfId="47656" xr:uid="{00000000-0005-0000-0000-0000DBC30000}"/>
    <cellStyle name="Normal 5 3 4 2 3 5" xfId="34094" xr:uid="{00000000-0005-0000-0000-0000DCC30000}"/>
    <cellStyle name="Normal 5 3 4 2 4" xfId="10333" xr:uid="{00000000-0005-0000-0000-0000DDC30000}"/>
    <cellStyle name="Normal 5 3 4 2 4 2" xfId="17123" xr:uid="{00000000-0005-0000-0000-0000DEC30000}"/>
    <cellStyle name="Normal 5 3 4 2 4 2 2" xfId="30691" xr:uid="{00000000-0005-0000-0000-0000DFC30000}"/>
    <cellStyle name="Normal 5 3 4 2 4 2 2 2" xfId="57824" xr:uid="{00000000-0005-0000-0000-0000E0C30000}"/>
    <cellStyle name="Normal 5 3 4 2 4 2 3" xfId="44262" xr:uid="{00000000-0005-0000-0000-0000E1C30000}"/>
    <cellStyle name="Normal 5 3 4 2 4 3" xfId="23910" xr:uid="{00000000-0005-0000-0000-0000E2C30000}"/>
    <cellStyle name="Normal 5 3 4 2 4 3 2" xfId="51043" xr:uid="{00000000-0005-0000-0000-0000E3C30000}"/>
    <cellStyle name="Normal 5 3 4 2 4 4" xfId="37481" xr:uid="{00000000-0005-0000-0000-0000E4C30000}"/>
    <cellStyle name="Normal 5 3 4 2 5" xfId="13734" xr:uid="{00000000-0005-0000-0000-0000E5C30000}"/>
    <cellStyle name="Normal 5 3 4 2 5 2" xfId="27302" xr:uid="{00000000-0005-0000-0000-0000E6C30000}"/>
    <cellStyle name="Normal 5 3 4 2 5 2 2" xfId="54435" xr:uid="{00000000-0005-0000-0000-0000E7C30000}"/>
    <cellStyle name="Normal 5 3 4 2 5 3" xfId="40873" xr:uid="{00000000-0005-0000-0000-0000E8C30000}"/>
    <cellStyle name="Normal 5 3 4 2 6" xfId="20521" xr:uid="{00000000-0005-0000-0000-0000E9C30000}"/>
    <cellStyle name="Normal 5 3 4 2 6 2" xfId="47654" xr:uid="{00000000-0005-0000-0000-0000EAC30000}"/>
    <cellStyle name="Normal 5 3 4 2 7" xfId="34092" xr:uid="{00000000-0005-0000-0000-0000EBC30000}"/>
    <cellStyle name="Normal 5 3 4 3" xfId="6805" xr:uid="{00000000-0005-0000-0000-0000ECC30000}"/>
    <cellStyle name="Normal 5 3 4 3 2" xfId="6806" xr:uid="{00000000-0005-0000-0000-0000EDC30000}"/>
    <cellStyle name="Normal 5 3 4 3 2 2" xfId="10337" xr:uid="{00000000-0005-0000-0000-0000EEC30000}"/>
    <cellStyle name="Normal 5 3 4 3 2 2 2" xfId="17127" xr:uid="{00000000-0005-0000-0000-0000EFC30000}"/>
    <cellStyle name="Normal 5 3 4 3 2 2 2 2" xfId="30695" xr:uid="{00000000-0005-0000-0000-0000F0C30000}"/>
    <cellStyle name="Normal 5 3 4 3 2 2 2 2 2" xfId="57828" xr:uid="{00000000-0005-0000-0000-0000F1C30000}"/>
    <cellStyle name="Normal 5 3 4 3 2 2 2 3" xfId="44266" xr:uid="{00000000-0005-0000-0000-0000F2C30000}"/>
    <cellStyle name="Normal 5 3 4 3 2 2 3" xfId="23914" xr:uid="{00000000-0005-0000-0000-0000F3C30000}"/>
    <cellStyle name="Normal 5 3 4 3 2 2 3 2" xfId="51047" xr:uid="{00000000-0005-0000-0000-0000F4C30000}"/>
    <cellStyle name="Normal 5 3 4 3 2 2 4" xfId="37485" xr:uid="{00000000-0005-0000-0000-0000F5C30000}"/>
    <cellStyle name="Normal 5 3 4 3 2 3" xfId="13738" xr:uid="{00000000-0005-0000-0000-0000F6C30000}"/>
    <cellStyle name="Normal 5 3 4 3 2 3 2" xfId="27306" xr:uid="{00000000-0005-0000-0000-0000F7C30000}"/>
    <cellStyle name="Normal 5 3 4 3 2 3 2 2" xfId="54439" xr:uid="{00000000-0005-0000-0000-0000F8C30000}"/>
    <cellStyle name="Normal 5 3 4 3 2 3 3" xfId="40877" xr:uid="{00000000-0005-0000-0000-0000F9C30000}"/>
    <cellStyle name="Normal 5 3 4 3 2 4" xfId="20525" xr:uid="{00000000-0005-0000-0000-0000FAC30000}"/>
    <cellStyle name="Normal 5 3 4 3 2 4 2" xfId="47658" xr:uid="{00000000-0005-0000-0000-0000FBC30000}"/>
    <cellStyle name="Normal 5 3 4 3 2 5" xfId="34096" xr:uid="{00000000-0005-0000-0000-0000FCC30000}"/>
    <cellStyle name="Normal 5 3 4 3 3" xfId="10336" xr:uid="{00000000-0005-0000-0000-0000FDC30000}"/>
    <cellStyle name="Normal 5 3 4 3 3 2" xfId="17126" xr:uid="{00000000-0005-0000-0000-0000FEC30000}"/>
    <cellStyle name="Normal 5 3 4 3 3 2 2" xfId="30694" xr:uid="{00000000-0005-0000-0000-0000FFC30000}"/>
    <cellStyle name="Normal 5 3 4 3 3 2 2 2" xfId="57827" xr:uid="{00000000-0005-0000-0000-000000C40000}"/>
    <cellStyle name="Normal 5 3 4 3 3 2 3" xfId="44265" xr:uid="{00000000-0005-0000-0000-000001C40000}"/>
    <cellStyle name="Normal 5 3 4 3 3 3" xfId="23913" xr:uid="{00000000-0005-0000-0000-000002C40000}"/>
    <cellStyle name="Normal 5 3 4 3 3 3 2" xfId="51046" xr:uid="{00000000-0005-0000-0000-000003C40000}"/>
    <cellStyle name="Normal 5 3 4 3 3 4" xfId="37484" xr:uid="{00000000-0005-0000-0000-000004C40000}"/>
    <cellStyle name="Normal 5 3 4 3 4" xfId="13737" xr:uid="{00000000-0005-0000-0000-000005C40000}"/>
    <cellStyle name="Normal 5 3 4 3 4 2" xfId="27305" xr:uid="{00000000-0005-0000-0000-000006C40000}"/>
    <cellStyle name="Normal 5 3 4 3 4 2 2" xfId="54438" xr:uid="{00000000-0005-0000-0000-000007C40000}"/>
    <cellStyle name="Normal 5 3 4 3 4 3" xfId="40876" xr:uid="{00000000-0005-0000-0000-000008C40000}"/>
    <cellStyle name="Normal 5 3 4 3 5" xfId="20524" xr:uid="{00000000-0005-0000-0000-000009C40000}"/>
    <cellStyle name="Normal 5 3 4 3 5 2" xfId="47657" xr:uid="{00000000-0005-0000-0000-00000AC40000}"/>
    <cellStyle name="Normal 5 3 4 3 6" xfId="34095" xr:uid="{00000000-0005-0000-0000-00000BC40000}"/>
    <cellStyle name="Normal 5 3 4 4" xfId="6807" xr:uid="{00000000-0005-0000-0000-00000CC40000}"/>
    <cellStyle name="Normal 5 3 4 4 2" xfId="10338" xr:uid="{00000000-0005-0000-0000-00000DC40000}"/>
    <cellStyle name="Normal 5 3 4 4 2 2" xfId="17128" xr:uid="{00000000-0005-0000-0000-00000EC40000}"/>
    <cellStyle name="Normal 5 3 4 4 2 2 2" xfId="30696" xr:uid="{00000000-0005-0000-0000-00000FC40000}"/>
    <cellStyle name="Normal 5 3 4 4 2 2 2 2" xfId="57829" xr:uid="{00000000-0005-0000-0000-000010C40000}"/>
    <cellStyle name="Normal 5 3 4 4 2 2 3" xfId="44267" xr:uid="{00000000-0005-0000-0000-000011C40000}"/>
    <cellStyle name="Normal 5 3 4 4 2 3" xfId="23915" xr:uid="{00000000-0005-0000-0000-000012C40000}"/>
    <cellStyle name="Normal 5 3 4 4 2 3 2" xfId="51048" xr:uid="{00000000-0005-0000-0000-000013C40000}"/>
    <cellStyle name="Normal 5 3 4 4 2 4" xfId="37486" xr:uid="{00000000-0005-0000-0000-000014C40000}"/>
    <cellStyle name="Normal 5 3 4 4 3" xfId="13739" xr:uid="{00000000-0005-0000-0000-000015C40000}"/>
    <cellStyle name="Normal 5 3 4 4 3 2" xfId="27307" xr:uid="{00000000-0005-0000-0000-000016C40000}"/>
    <cellStyle name="Normal 5 3 4 4 3 2 2" xfId="54440" xr:uid="{00000000-0005-0000-0000-000017C40000}"/>
    <cellStyle name="Normal 5 3 4 4 3 3" xfId="40878" xr:uid="{00000000-0005-0000-0000-000018C40000}"/>
    <cellStyle name="Normal 5 3 4 4 4" xfId="20526" xr:uid="{00000000-0005-0000-0000-000019C40000}"/>
    <cellStyle name="Normal 5 3 4 4 4 2" xfId="47659" xr:uid="{00000000-0005-0000-0000-00001AC40000}"/>
    <cellStyle name="Normal 5 3 4 4 5" xfId="34097" xr:uid="{00000000-0005-0000-0000-00001BC40000}"/>
    <cellStyle name="Normal 5 3 4 5" xfId="6808" xr:uid="{00000000-0005-0000-0000-00001CC40000}"/>
    <cellStyle name="Normal 5 3 4 5 2" xfId="10339" xr:uid="{00000000-0005-0000-0000-00001DC40000}"/>
    <cellStyle name="Normal 5 3 4 5 2 2" xfId="17129" xr:uid="{00000000-0005-0000-0000-00001EC40000}"/>
    <cellStyle name="Normal 5 3 4 5 2 2 2" xfId="30697" xr:uid="{00000000-0005-0000-0000-00001FC40000}"/>
    <cellStyle name="Normal 5 3 4 5 2 2 2 2" xfId="57830" xr:uid="{00000000-0005-0000-0000-000020C40000}"/>
    <cellStyle name="Normal 5 3 4 5 2 2 3" xfId="44268" xr:uid="{00000000-0005-0000-0000-000021C40000}"/>
    <cellStyle name="Normal 5 3 4 5 2 3" xfId="23916" xr:uid="{00000000-0005-0000-0000-000022C40000}"/>
    <cellStyle name="Normal 5 3 4 5 2 3 2" xfId="51049" xr:uid="{00000000-0005-0000-0000-000023C40000}"/>
    <cellStyle name="Normal 5 3 4 5 2 4" xfId="37487" xr:uid="{00000000-0005-0000-0000-000024C40000}"/>
    <cellStyle name="Normal 5 3 4 5 3" xfId="13740" xr:uid="{00000000-0005-0000-0000-000025C40000}"/>
    <cellStyle name="Normal 5 3 4 5 3 2" xfId="27308" xr:uid="{00000000-0005-0000-0000-000026C40000}"/>
    <cellStyle name="Normal 5 3 4 5 3 2 2" xfId="54441" xr:uid="{00000000-0005-0000-0000-000027C40000}"/>
    <cellStyle name="Normal 5 3 4 5 3 3" xfId="40879" xr:uid="{00000000-0005-0000-0000-000028C40000}"/>
    <cellStyle name="Normal 5 3 4 5 4" xfId="20527" xr:uid="{00000000-0005-0000-0000-000029C40000}"/>
    <cellStyle name="Normal 5 3 4 5 4 2" xfId="47660" xr:uid="{00000000-0005-0000-0000-00002AC40000}"/>
    <cellStyle name="Normal 5 3 4 5 5" xfId="34098" xr:uid="{00000000-0005-0000-0000-00002BC40000}"/>
    <cellStyle name="Normal 5 3 4 6" xfId="10332" xr:uid="{00000000-0005-0000-0000-00002CC40000}"/>
    <cellStyle name="Normal 5 3 4 6 2" xfId="17122" xr:uid="{00000000-0005-0000-0000-00002DC40000}"/>
    <cellStyle name="Normal 5 3 4 6 2 2" xfId="30690" xr:uid="{00000000-0005-0000-0000-00002EC40000}"/>
    <cellStyle name="Normal 5 3 4 6 2 2 2" xfId="57823" xr:uid="{00000000-0005-0000-0000-00002FC40000}"/>
    <cellStyle name="Normal 5 3 4 6 2 3" xfId="44261" xr:uid="{00000000-0005-0000-0000-000030C40000}"/>
    <cellStyle name="Normal 5 3 4 6 3" xfId="23909" xr:uid="{00000000-0005-0000-0000-000031C40000}"/>
    <cellStyle name="Normal 5 3 4 6 3 2" xfId="51042" xr:uid="{00000000-0005-0000-0000-000032C40000}"/>
    <cellStyle name="Normal 5 3 4 6 4" xfId="37480" xr:uid="{00000000-0005-0000-0000-000033C40000}"/>
    <cellStyle name="Normal 5 3 4 7" xfId="13733" xr:uid="{00000000-0005-0000-0000-000034C40000}"/>
    <cellStyle name="Normal 5 3 4 7 2" xfId="27301" xr:uid="{00000000-0005-0000-0000-000035C40000}"/>
    <cellStyle name="Normal 5 3 4 7 2 2" xfId="54434" xr:uid="{00000000-0005-0000-0000-000036C40000}"/>
    <cellStyle name="Normal 5 3 4 7 3" xfId="40872" xr:uid="{00000000-0005-0000-0000-000037C40000}"/>
    <cellStyle name="Normal 5 3 4 8" xfId="20520" xr:uid="{00000000-0005-0000-0000-000038C40000}"/>
    <cellStyle name="Normal 5 3 4 8 2" xfId="47653" xr:uid="{00000000-0005-0000-0000-000039C40000}"/>
    <cellStyle name="Normal 5 3 4 9" xfId="34091" xr:uid="{00000000-0005-0000-0000-00003AC40000}"/>
    <cellStyle name="Normal 5 3 5" xfId="6809" xr:uid="{00000000-0005-0000-0000-00003BC40000}"/>
    <cellStyle name="Normal 5 3 5 2" xfId="6810" xr:uid="{00000000-0005-0000-0000-00003CC40000}"/>
    <cellStyle name="Normal 5 3 5 2 2" xfId="6811" xr:uid="{00000000-0005-0000-0000-00003DC40000}"/>
    <cellStyle name="Normal 5 3 5 2 2 2" xfId="10342" xr:uid="{00000000-0005-0000-0000-00003EC40000}"/>
    <cellStyle name="Normal 5 3 5 2 2 2 2" xfId="17132" xr:uid="{00000000-0005-0000-0000-00003FC40000}"/>
    <cellStyle name="Normal 5 3 5 2 2 2 2 2" xfId="30700" xr:uid="{00000000-0005-0000-0000-000040C40000}"/>
    <cellStyle name="Normal 5 3 5 2 2 2 2 2 2" xfId="57833" xr:uid="{00000000-0005-0000-0000-000041C40000}"/>
    <cellStyle name="Normal 5 3 5 2 2 2 2 3" xfId="44271" xr:uid="{00000000-0005-0000-0000-000042C40000}"/>
    <cellStyle name="Normal 5 3 5 2 2 2 3" xfId="23919" xr:uid="{00000000-0005-0000-0000-000043C40000}"/>
    <cellStyle name="Normal 5 3 5 2 2 2 3 2" xfId="51052" xr:uid="{00000000-0005-0000-0000-000044C40000}"/>
    <cellStyle name="Normal 5 3 5 2 2 2 4" xfId="37490" xr:uid="{00000000-0005-0000-0000-000045C40000}"/>
    <cellStyle name="Normal 5 3 5 2 2 3" xfId="13743" xr:uid="{00000000-0005-0000-0000-000046C40000}"/>
    <cellStyle name="Normal 5 3 5 2 2 3 2" xfId="27311" xr:uid="{00000000-0005-0000-0000-000047C40000}"/>
    <cellStyle name="Normal 5 3 5 2 2 3 2 2" xfId="54444" xr:uid="{00000000-0005-0000-0000-000048C40000}"/>
    <cellStyle name="Normal 5 3 5 2 2 3 3" xfId="40882" xr:uid="{00000000-0005-0000-0000-000049C40000}"/>
    <cellStyle name="Normal 5 3 5 2 2 4" xfId="20530" xr:uid="{00000000-0005-0000-0000-00004AC40000}"/>
    <cellStyle name="Normal 5 3 5 2 2 4 2" xfId="47663" xr:uid="{00000000-0005-0000-0000-00004BC40000}"/>
    <cellStyle name="Normal 5 3 5 2 2 5" xfId="34101" xr:uid="{00000000-0005-0000-0000-00004CC40000}"/>
    <cellStyle name="Normal 5 3 5 2 3" xfId="6812" xr:uid="{00000000-0005-0000-0000-00004DC40000}"/>
    <cellStyle name="Normal 5 3 5 2 3 2" xfId="10343" xr:uid="{00000000-0005-0000-0000-00004EC40000}"/>
    <cellStyle name="Normal 5 3 5 2 3 2 2" xfId="17133" xr:uid="{00000000-0005-0000-0000-00004FC40000}"/>
    <cellStyle name="Normal 5 3 5 2 3 2 2 2" xfId="30701" xr:uid="{00000000-0005-0000-0000-000050C40000}"/>
    <cellStyle name="Normal 5 3 5 2 3 2 2 2 2" xfId="57834" xr:uid="{00000000-0005-0000-0000-000051C40000}"/>
    <cellStyle name="Normal 5 3 5 2 3 2 2 3" xfId="44272" xr:uid="{00000000-0005-0000-0000-000052C40000}"/>
    <cellStyle name="Normal 5 3 5 2 3 2 3" xfId="23920" xr:uid="{00000000-0005-0000-0000-000053C40000}"/>
    <cellStyle name="Normal 5 3 5 2 3 2 3 2" xfId="51053" xr:uid="{00000000-0005-0000-0000-000054C40000}"/>
    <cellStyle name="Normal 5 3 5 2 3 2 4" xfId="37491" xr:uid="{00000000-0005-0000-0000-000055C40000}"/>
    <cellStyle name="Normal 5 3 5 2 3 3" xfId="13744" xr:uid="{00000000-0005-0000-0000-000056C40000}"/>
    <cellStyle name="Normal 5 3 5 2 3 3 2" xfId="27312" xr:uid="{00000000-0005-0000-0000-000057C40000}"/>
    <cellStyle name="Normal 5 3 5 2 3 3 2 2" xfId="54445" xr:uid="{00000000-0005-0000-0000-000058C40000}"/>
    <cellStyle name="Normal 5 3 5 2 3 3 3" xfId="40883" xr:uid="{00000000-0005-0000-0000-000059C40000}"/>
    <cellStyle name="Normal 5 3 5 2 3 4" xfId="20531" xr:uid="{00000000-0005-0000-0000-00005AC40000}"/>
    <cellStyle name="Normal 5 3 5 2 3 4 2" xfId="47664" xr:uid="{00000000-0005-0000-0000-00005BC40000}"/>
    <cellStyle name="Normal 5 3 5 2 3 5" xfId="34102" xr:uid="{00000000-0005-0000-0000-00005CC40000}"/>
    <cellStyle name="Normal 5 3 5 2 4" xfId="10341" xr:uid="{00000000-0005-0000-0000-00005DC40000}"/>
    <cellStyle name="Normal 5 3 5 2 4 2" xfId="17131" xr:uid="{00000000-0005-0000-0000-00005EC40000}"/>
    <cellStyle name="Normal 5 3 5 2 4 2 2" xfId="30699" xr:uid="{00000000-0005-0000-0000-00005FC40000}"/>
    <cellStyle name="Normal 5 3 5 2 4 2 2 2" xfId="57832" xr:uid="{00000000-0005-0000-0000-000060C40000}"/>
    <cellStyle name="Normal 5 3 5 2 4 2 3" xfId="44270" xr:uid="{00000000-0005-0000-0000-000061C40000}"/>
    <cellStyle name="Normal 5 3 5 2 4 3" xfId="23918" xr:uid="{00000000-0005-0000-0000-000062C40000}"/>
    <cellStyle name="Normal 5 3 5 2 4 3 2" xfId="51051" xr:uid="{00000000-0005-0000-0000-000063C40000}"/>
    <cellStyle name="Normal 5 3 5 2 4 4" xfId="37489" xr:uid="{00000000-0005-0000-0000-000064C40000}"/>
    <cellStyle name="Normal 5 3 5 2 5" xfId="13742" xr:uid="{00000000-0005-0000-0000-000065C40000}"/>
    <cellStyle name="Normal 5 3 5 2 5 2" xfId="27310" xr:uid="{00000000-0005-0000-0000-000066C40000}"/>
    <cellStyle name="Normal 5 3 5 2 5 2 2" xfId="54443" xr:uid="{00000000-0005-0000-0000-000067C40000}"/>
    <cellStyle name="Normal 5 3 5 2 5 3" xfId="40881" xr:uid="{00000000-0005-0000-0000-000068C40000}"/>
    <cellStyle name="Normal 5 3 5 2 6" xfId="20529" xr:uid="{00000000-0005-0000-0000-000069C40000}"/>
    <cellStyle name="Normal 5 3 5 2 6 2" xfId="47662" xr:uid="{00000000-0005-0000-0000-00006AC40000}"/>
    <cellStyle name="Normal 5 3 5 2 7" xfId="34100" xr:uid="{00000000-0005-0000-0000-00006BC40000}"/>
    <cellStyle name="Normal 5 3 5 3" xfId="6813" xr:uid="{00000000-0005-0000-0000-00006CC40000}"/>
    <cellStyle name="Normal 5 3 5 3 2" xfId="10344" xr:uid="{00000000-0005-0000-0000-00006DC40000}"/>
    <cellStyle name="Normal 5 3 5 3 2 2" xfId="17134" xr:uid="{00000000-0005-0000-0000-00006EC40000}"/>
    <cellStyle name="Normal 5 3 5 3 2 2 2" xfId="30702" xr:uid="{00000000-0005-0000-0000-00006FC40000}"/>
    <cellStyle name="Normal 5 3 5 3 2 2 2 2" xfId="57835" xr:uid="{00000000-0005-0000-0000-000070C40000}"/>
    <cellStyle name="Normal 5 3 5 3 2 2 3" xfId="44273" xr:uid="{00000000-0005-0000-0000-000071C40000}"/>
    <cellStyle name="Normal 5 3 5 3 2 3" xfId="23921" xr:uid="{00000000-0005-0000-0000-000072C40000}"/>
    <cellStyle name="Normal 5 3 5 3 2 3 2" xfId="51054" xr:uid="{00000000-0005-0000-0000-000073C40000}"/>
    <cellStyle name="Normal 5 3 5 3 2 4" xfId="37492" xr:uid="{00000000-0005-0000-0000-000074C40000}"/>
    <cellStyle name="Normal 5 3 5 3 3" xfId="13745" xr:uid="{00000000-0005-0000-0000-000075C40000}"/>
    <cellStyle name="Normal 5 3 5 3 3 2" xfId="27313" xr:uid="{00000000-0005-0000-0000-000076C40000}"/>
    <cellStyle name="Normal 5 3 5 3 3 2 2" xfId="54446" xr:uid="{00000000-0005-0000-0000-000077C40000}"/>
    <cellStyle name="Normal 5 3 5 3 3 3" xfId="40884" xr:uid="{00000000-0005-0000-0000-000078C40000}"/>
    <cellStyle name="Normal 5 3 5 3 4" xfId="20532" xr:uid="{00000000-0005-0000-0000-000079C40000}"/>
    <cellStyle name="Normal 5 3 5 3 4 2" xfId="47665" xr:uid="{00000000-0005-0000-0000-00007AC40000}"/>
    <cellStyle name="Normal 5 3 5 3 5" xfId="34103" xr:uid="{00000000-0005-0000-0000-00007BC40000}"/>
    <cellStyle name="Normal 5 3 5 4" xfId="6814" xr:uid="{00000000-0005-0000-0000-00007CC40000}"/>
    <cellStyle name="Normal 5 3 5 4 2" xfId="10345" xr:uid="{00000000-0005-0000-0000-00007DC40000}"/>
    <cellStyle name="Normal 5 3 5 4 2 2" xfId="17135" xr:uid="{00000000-0005-0000-0000-00007EC40000}"/>
    <cellStyle name="Normal 5 3 5 4 2 2 2" xfId="30703" xr:uid="{00000000-0005-0000-0000-00007FC40000}"/>
    <cellStyle name="Normal 5 3 5 4 2 2 2 2" xfId="57836" xr:uid="{00000000-0005-0000-0000-000080C40000}"/>
    <cellStyle name="Normal 5 3 5 4 2 2 3" xfId="44274" xr:uid="{00000000-0005-0000-0000-000081C40000}"/>
    <cellStyle name="Normal 5 3 5 4 2 3" xfId="23922" xr:uid="{00000000-0005-0000-0000-000082C40000}"/>
    <cellStyle name="Normal 5 3 5 4 2 3 2" xfId="51055" xr:uid="{00000000-0005-0000-0000-000083C40000}"/>
    <cellStyle name="Normal 5 3 5 4 2 4" xfId="37493" xr:uid="{00000000-0005-0000-0000-000084C40000}"/>
    <cellStyle name="Normal 5 3 5 4 3" xfId="13746" xr:uid="{00000000-0005-0000-0000-000085C40000}"/>
    <cellStyle name="Normal 5 3 5 4 3 2" xfId="27314" xr:uid="{00000000-0005-0000-0000-000086C40000}"/>
    <cellStyle name="Normal 5 3 5 4 3 2 2" xfId="54447" xr:uid="{00000000-0005-0000-0000-000087C40000}"/>
    <cellStyle name="Normal 5 3 5 4 3 3" xfId="40885" xr:uid="{00000000-0005-0000-0000-000088C40000}"/>
    <cellStyle name="Normal 5 3 5 4 4" xfId="20533" xr:uid="{00000000-0005-0000-0000-000089C40000}"/>
    <cellStyle name="Normal 5 3 5 4 4 2" xfId="47666" xr:uid="{00000000-0005-0000-0000-00008AC40000}"/>
    <cellStyle name="Normal 5 3 5 4 5" xfId="34104" xr:uid="{00000000-0005-0000-0000-00008BC40000}"/>
    <cellStyle name="Normal 5 3 5 5" xfId="10340" xr:uid="{00000000-0005-0000-0000-00008CC40000}"/>
    <cellStyle name="Normal 5 3 5 5 2" xfId="17130" xr:uid="{00000000-0005-0000-0000-00008DC40000}"/>
    <cellStyle name="Normal 5 3 5 5 2 2" xfId="30698" xr:uid="{00000000-0005-0000-0000-00008EC40000}"/>
    <cellStyle name="Normal 5 3 5 5 2 2 2" xfId="57831" xr:uid="{00000000-0005-0000-0000-00008FC40000}"/>
    <cellStyle name="Normal 5 3 5 5 2 3" xfId="44269" xr:uid="{00000000-0005-0000-0000-000090C40000}"/>
    <cellStyle name="Normal 5 3 5 5 3" xfId="23917" xr:uid="{00000000-0005-0000-0000-000091C40000}"/>
    <cellStyle name="Normal 5 3 5 5 3 2" xfId="51050" xr:uid="{00000000-0005-0000-0000-000092C40000}"/>
    <cellStyle name="Normal 5 3 5 5 4" xfId="37488" xr:uid="{00000000-0005-0000-0000-000093C40000}"/>
    <cellStyle name="Normal 5 3 5 6" xfId="13741" xr:uid="{00000000-0005-0000-0000-000094C40000}"/>
    <cellStyle name="Normal 5 3 5 6 2" xfId="27309" xr:uid="{00000000-0005-0000-0000-000095C40000}"/>
    <cellStyle name="Normal 5 3 5 6 2 2" xfId="54442" xr:uid="{00000000-0005-0000-0000-000096C40000}"/>
    <cellStyle name="Normal 5 3 5 6 3" xfId="40880" xr:uid="{00000000-0005-0000-0000-000097C40000}"/>
    <cellStyle name="Normal 5 3 5 7" xfId="20528" xr:uid="{00000000-0005-0000-0000-000098C40000}"/>
    <cellStyle name="Normal 5 3 5 7 2" xfId="47661" xr:uid="{00000000-0005-0000-0000-000099C40000}"/>
    <cellStyle name="Normal 5 3 5 8" xfId="34099" xr:uid="{00000000-0005-0000-0000-00009AC40000}"/>
    <cellStyle name="Normal 5 3 6" xfId="6815" xr:uid="{00000000-0005-0000-0000-00009BC40000}"/>
    <cellStyle name="Normal 5 3 6 2" xfId="6816" xr:uid="{00000000-0005-0000-0000-00009CC40000}"/>
    <cellStyle name="Normal 5 3 6 2 2" xfId="6817" xr:uid="{00000000-0005-0000-0000-00009DC40000}"/>
    <cellStyle name="Normal 5 3 6 2 2 2" xfId="10348" xr:uid="{00000000-0005-0000-0000-00009EC40000}"/>
    <cellStyle name="Normal 5 3 6 2 2 2 2" xfId="17138" xr:uid="{00000000-0005-0000-0000-00009FC40000}"/>
    <cellStyle name="Normal 5 3 6 2 2 2 2 2" xfId="30706" xr:uid="{00000000-0005-0000-0000-0000A0C40000}"/>
    <cellStyle name="Normal 5 3 6 2 2 2 2 2 2" xfId="57839" xr:uid="{00000000-0005-0000-0000-0000A1C40000}"/>
    <cellStyle name="Normal 5 3 6 2 2 2 2 3" xfId="44277" xr:uid="{00000000-0005-0000-0000-0000A2C40000}"/>
    <cellStyle name="Normal 5 3 6 2 2 2 3" xfId="23925" xr:uid="{00000000-0005-0000-0000-0000A3C40000}"/>
    <cellStyle name="Normal 5 3 6 2 2 2 3 2" xfId="51058" xr:uid="{00000000-0005-0000-0000-0000A4C40000}"/>
    <cellStyle name="Normal 5 3 6 2 2 2 4" xfId="37496" xr:uid="{00000000-0005-0000-0000-0000A5C40000}"/>
    <cellStyle name="Normal 5 3 6 2 2 3" xfId="13749" xr:uid="{00000000-0005-0000-0000-0000A6C40000}"/>
    <cellStyle name="Normal 5 3 6 2 2 3 2" xfId="27317" xr:uid="{00000000-0005-0000-0000-0000A7C40000}"/>
    <cellStyle name="Normal 5 3 6 2 2 3 2 2" xfId="54450" xr:uid="{00000000-0005-0000-0000-0000A8C40000}"/>
    <cellStyle name="Normal 5 3 6 2 2 3 3" xfId="40888" xr:uid="{00000000-0005-0000-0000-0000A9C40000}"/>
    <cellStyle name="Normal 5 3 6 2 2 4" xfId="20536" xr:uid="{00000000-0005-0000-0000-0000AAC40000}"/>
    <cellStyle name="Normal 5 3 6 2 2 4 2" xfId="47669" xr:uid="{00000000-0005-0000-0000-0000ABC40000}"/>
    <cellStyle name="Normal 5 3 6 2 2 5" xfId="34107" xr:uid="{00000000-0005-0000-0000-0000ACC40000}"/>
    <cellStyle name="Normal 5 3 6 2 3" xfId="6818" xr:uid="{00000000-0005-0000-0000-0000ADC40000}"/>
    <cellStyle name="Normal 5 3 6 2 3 2" xfId="10349" xr:uid="{00000000-0005-0000-0000-0000AEC40000}"/>
    <cellStyle name="Normal 5 3 6 2 3 2 2" xfId="17139" xr:uid="{00000000-0005-0000-0000-0000AFC40000}"/>
    <cellStyle name="Normal 5 3 6 2 3 2 2 2" xfId="30707" xr:uid="{00000000-0005-0000-0000-0000B0C40000}"/>
    <cellStyle name="Normal 5 3 6 2 3 2 2 2 2" xfId="57840" xr:uid="{00000000-0005-0000-0000-0000B1C40000}"/>
    <cellStyle name="Normal 5 3 6 2 3 2 2 3" xfId="44278" xr:uid="{00000000-0005-0000-0000-0000B2C40000}"/>
    <cellStyle name="Normal 5 3 6 2 3 2 3" xfId="23926" xr:uid="{00000000-0005-0000-0000-0000B3C40000}"/>
    <cellStyle name="Normal 5 3 6 2 3 2 3 2" xfId="51059" xr:uid="{00000000-0005-0000-0000-0000B4C40000}"/>
    <cellStyle name="Normal 5 3 6 2 3 2 4" xfId="37497" xr:uid="{00000000-0005-0000-0000-0000B5C40000}"/>
    <cellStyle name="Normal 5 3 6 2 3 3" xfId="13750" xr:uid="{00000000-0005-0000-0000-0000B6C40000}"/>
    <cellStyle name="Normal 5 3 6 2 3 3 2" xfId="27318" xr:uid="{00000000-0005-0000-0000-0000B7C40000}"/>
    <cellStyle name="Normal 5 3 6 2 3 3 2 2" xfId="54451" xr:uid="{00000000-0005-0000-0000-0000B8C40000}"/>
    <cellStyle name="Normal 5 3 6 2 3 3 3" xfId="40889" xr:uid="{00000000-0005-0000-0000-0000B9C40000}"/>
    <cellStyle name="Normal 5 3 6 2 3 4" xfId="20537" xr:uid="{00000000-0005-0000-0000-0000BAC40000}"/>
    <cellStyle name="Normal 5 3 6 2 3 4 2" xfId="47670" xr:uid="{00000000-0005-0000-0000-0000BBC40000}"/>
    <cellStyle name="Normal 5 3 6 2 3 5" xfId="34108" xr:uid="{00000000-0005-0000-0000-0000BCC40000}"/>
    <cellStyle name="Normal 5 3 6 2 4" xfId="10347" xr:uid="{00000000-0005-0000-0000-0000BDC40000}"/>
    <cellStyle name="Normal 5 3 6 2 4 2" xfId="17137" xr:uid="{00000000-0005-0000-0000-0000BEC40000}"/>
    <cellStyle name="Normal 5 3 6 2 4 2 2" xfId="30705" xr:uid="{00000000-0005-0000-0000-0000BFC40000}"/>
    <cellStyle name="Normal 5 3 6 2 4 2 2 2" xfId="57838" xr:uid="{00000000-0005-0000-0000-0000C0C40000}"/>
    <cellStyle name="Normal 5 3 6 2 4 2 3" xfId="44276" xr:uid="{00000000-0005-0000-0000-0000C1C40000}"/>
    <cellStyle name="Normal 5 3 6 2 4 3" xfId="23924" xr:uid="{00000000-0005-0000-0000-0000C2C40000}"/>
    <cellStyle name="Normal 5 3 6 2 4 3 2" xfId="51057" xr:uid="{00000000-0005-0000-0000-0000C3C40000}"/>
    <cellStyle name="Normal 5 3 6 2 4 4" xfId="37495" xr:uid="{00000000-0005-0000-0000-0000C4C40000}"/>
    <cellStyle name="Normal 5 3 6 2 5" xfId="13748" xr:uid="{00000000-0005-0000-0000-0000C5C40000}"/>
    <cellStyle name="Normal 5 3 6 2 5 2" xfId="27316" xr:uid="{00000000-0005-0000-0000-0000C6C40000}"/>
    <cellStyle name="Normal 5 3 6 2 5 2 2" xfId="54449" xr:uid="{00000000-0005-0000-0000-0000C7C40000}"/>
    <cellStyle name="Normal 5 3 6 2 5 3" xfId="40887" xr:uid="{00000000-0005-0000-0000-0000C8C40000}"/>
    <cellStyle name="Normal 5 3 6 2 6" xfId="20535" xr:uid="{00000000-0005-0000-0000-0000C9C40000}"/>
    <cellStyle name="Normal 5 3 6 2 6 2" xfId="47668" xr:uid="{00000000-0005-0000-0000-0000CAC40000}"/>
    <cellStyle name="Normal 5 3 6 2 7" xfId="34106" xr:uid="{00000000-0005-0000-0000-0000CBC40000}"/>
    <cellStyle name="Normal 5 3 6 3" xfId="6819" xr:uid="{00000000-0005-0000-0000-0000CCC40000}"/>
    <cellStyle name="Normal 5 3 6 3 2" xfId="10350" xr:uid="{00000000-0005-0000-0000-0000CDC40000}"/>
    <cellStyle name="Normal 5 3 6 3 2 2" xfId="17140" xr:uid="{00000000-0005-0000-0000-0000CEC40000}"/>
    <cellStyle name="Normal 5 3 6 3 2 2 2" xfId="30708" xr:uid="{00000000-0005-0000-0000-0000CFC40000}"/>
    <cellStyle name="Normal 5 3 6 3 2 2 2 2" xfId="57841" xr:uid="{00000000-0005-0000-0000-0000D0C40000}"/>
    <cellStyle name="Normal 5 3 6 3 2 2 3" xfId="44279" xr:uid="{00000000-0005-0000-0000-0000D1C40000}"/>
    <cellStyle name="Normal 5 3 6 3 2 3" xfId="23927" xr:uid="{00000000-0005-0000-0000-0000D2C40000}"/>
    <cellStyle name="Normal 5 3 6 3 2 3 2" xfId="51060" xr:uid="{00000000-0005-0000-0000-0000D3C40000}"/>
    <cellStyle name="Normal 5 3 6 3 2 4" xfId="37498" xr:uid="{00000000-0005-0000-0000-0000D4C40000}"/>
    <cellStyle name="Normal 5 3 6 3 3" xfId="13751" xr:uid="{00000000-0005-0000-0000-0000D5C40000}"/>
    <cellStyle name="Normal 5 3 6 3 3 2" xfId="27319" xr:uid="{00000000-0005-0000-0000-0000D6C40000}"/>
    <cellStyle name="Normal 5 3 6 3 3 2 2" xfId="54452" xr:uid="{00000000-0005-0000-0000-0000D7C40000}"/>
    <cellStyle name="Normal 5 3 6 3 3 3" xfId="40890" xr:uid="{00000000-0005-0000-0000-0000D8C40000}"/>
    <cellStyle name="Normal 5 3 6 3 4" xfId="20538" xr:uid="{00000000-0005-0000-0000-0000D9C40000}"/>
    <cellStyle name="Normal 5 3 6 3 4 2" xfId="47671" xr:uid="{00000000-0005-0000-0000-0000DAC40000}"/>
    <cellStyle name="Normal 5 3 6 3 5" xfId="34109" xr:uid="{00000000-0005-0000-0000-0000DBC40000}"/>
    <cellStyle name="Normal 5 3 6 4" xfId="6820" xr:uid="{00000000-0005-0000-0000-0000DCC40000}"/>
    <cellStyle name="Normal 5 3 6 4 2" xfId="10351" xr:uid="{00000000-0005-0000-0000-0000DDC40000}"/>
    <cellStyle name="Normal 5 3 6 4 2 2" xfId="17141" xr:uid="{00000000-0005-0000-0000-0000DEC40000}"/>
    <cellStyle name="Normal 5 3 6 4 2 2 2" xfId="30709" xr:uid="{00000000-0005-0000-0000-0000DFC40000}"/>
    <cellStyle name="Normal 5 3 6 4 2 2 2 2" xfId="57842" xr:uid="{00000000-0005-0000-0000-0000E0C40000}"/>
    <cellStyle name="Normal 5 3 6 4 2 2 3" xfId="44280" xr:uid="{00000000-0005-0000-0000-0000E1C40000}"/>
    <cellStyle name="Normal 5 3 6 4 2 3" xfId="23928" xr:uid="{00000000-0005-0000-0000-0000E2C40000}"/>
    <cellStyle name="Normal 5 3 6 4 2 3 2" xfId="51061" xr:uid="{00000000-0005-0000-0000-0000E3C40000}"/>
    <cellStyle name="Normal 5 3 6 4 2 4" xfId="37499" xr:uid="{00000000-0005-0000-0000-0000E4C40000}"/>
    <cellStyle name="Normal 5 3 6 4 3" xfId="13752" xr:uid="{00000000-0005-0000-0000-0000E5C40000}"/>
    <cellStyle name="Normal 5 3 6 4 3 2" xfId="27320" xr:uid="{00000000-0005-0000-0000-0000E6C40000}"/>
    <cellStyle name="Normal 5 3 6 4 3 2 2" xfId="54453" xr:uid="{00000000-0005-0000-0000-0000E7C40000}"/>
    <cellStyle name="Normal 5 3 6 4 3 3" xfId="40891" xr:uid="{00000000-0005-0000-0000-0000E8C40000}"/>
    <cellStyle name="Normal 5 3 6 4 4" xfId="20539" xr:uid="{00000000-0005-0000-0000-0000E9C40000}"/>
    <cellStyle name="Normal 5 3 6 4 4 2" xfId="47672" xr:uid="{00000000-0005-0000-0000-0000EAC40000}"/>
    <cellStyle name="Normal 5 3 6 4 5" xfId="34110" xr:uid="{00000000-0005-0000-0000-0000EBC40000}"/>
    <cellStyle name="Normal 5 3 6 5" xfId="10346" xr:uid="{00000000-0005-0000-0000-0000ECC40000}"/>
    <cellStyle name="Normal 5 3 6 5 2" xfId="17136" xr:uid="{00000000-0005-0000-0000-0000EDC40000}"/>
    <cellStyle name="Normal 5 3 6 5 2 2" xfId="30704" xr:uid="{00000000-0005-0000-0000-0000EEC40000}"/>
    <cellStyle name="Normal 5 3 6 5 2 2 2" xfId="57837" xr:uid="{00000000-0005-0000-0000-0000EFC40000}"/>
    <cellStyle name="Normal 5 3 6 5 2 3" xfId="44275" xr:uid="{00000000-0005-0000-0000-0000F0C40000}"/>
    <cellStyle name="Normal 5 3 6 5 3" xfId="23923" xr:uid="{00000000-0005-0000-0000-0000F1C40000}"/>
    <cellStyle name="Normal 5 3 6 5 3 2" xfId="51056" xr:uid="{00000000-0005-0000-0000-0000F2C40000}"/>
    <cellStyle name="Normal 5 3 6 5 4" xfId="37494" xr:uid="{00000000-0005-0000-0000-0000F3C40000}"/>
    <cellStyle name="Normal 5 3 6 6" xfId="13747" xr:uid="{00000000-0005-0000-0000-0000F4C40000}"/>
    <cellStyle name="Normal 5 3 6 6 2" xfId="27315" xr:uid="{00000000-0005-0000-0000-0000F5C40000}"/>
    <cellStyle name="Normal 5 3 6 6 2 2" xfId="54448" xr:uid="{00000000-0005-0000-0000-0000F6C40000}"/>
    <cellStyle name="Normal 5 3 6 6 3" xfId="40886" xr:uid="{00000000-0005-0000-0000-0000F7C40000}"/>
    <cellStyle name="Normal 5 3 6 7" xfId="20534" xr:uid="{00000000-0005-0000-0000-0000F8C40000}"/>
    <cellStyle name="Normal 5 3 6 7 2" xfId="47667" xr:uid="{00000000-0005-0000-0000-0000F9C40000}"/>
    <cellStyle name="Normal 5 3 6 8" xfId="34105" xr:uid="{00000000-0005-0000-0000-0000FAC40000}"/>
    <cellStyle name="Normal 5 3 7" xfId="6821" xr:uid="{00000000-0005-0000-0000-0000FBC40000}"/>
    <cellStyle name="Normal 5 3 7 2" xfId="6822" xr:uid="{00000000-0005-0000-0000-0000FCC40000}"/>
    <cellStyle name="Normal 5 3 7 2 2" xfId="10353" xr:uid="{00000000-0005-0000-0000-0000FDC40000}"/>
    <cellStyle name="Normal 5 3 7 2 2 2" xfId="17143" xr:uid="{00000000-0005-0000-0000-0000FEC40000}"/>
    <cellStyle name="Normal 5 3 7 2 2 2 2" xfId="30711" xr:uid="{00000000-0005-0000-0000-0000FFC40000}"/>
    <cellStyle name="Normal 5 3 7 2 2 2 2 2" xfId="57844" xr:uid="{00000000-0005-0000-0000-000000C50000}"/>
    <cellStyle name="Normal 5 3 7 2 2 2 3" xfId="44282" xr:uid="{00000000-0005-0000-0000-000001C50000}"/>
    <cellStyle name="Normal 5 3 7 2 2 3" xfId="23930" xr:uid="{00000000-0005-0000-0000-000002C50000}"/>
    <cellStyle name="Normal 5 3 7 2 2 3 2" xfId="51063" xr:uid="{00000000-0005-0000-0000-000003C50000}"/>
    <cellStyle name="Normal 5 3 7 2 2 4" xfId="37501" xr:uid="{00000000-0005-0000-0000-000004C50000}"/>
    <cellStyle name="Normal 5 3 7 2 3" xfId="13754" xr:uid="{00000000-0005-0000-0000-000005C50000}"/>
    <cellStyle name="Normal 5 3 7 2 3 2" xfId="27322" xr:uid="{00000000-0005-0000-0000-000006C50000}"/>
    <cellStyle name="Normal 5 3 7 2 3 2 2" xfId="54455" xr:uid="{00000000-0005-0000-0000-000007C50000}"/>
    <cellStyle name="Normal 5 3 7 2 3 3" xfId="40893" xr:uid="{00000000-0005-0000-0000-000008C50000}"/>
    <cellStyle name="Normal 5 3 7 2 4" xfId="20541" xr:uid="{00000000-0005-0000-0000-000009C50000}"/>
    <cellStyle name="Normal 5 3 7 2 4 2" xfId="47674" xr:uid="{00000000-0005-0000-0000-00000AC50000}"/>
    <cellStyle name="Normal 5 3 7 2 5" xfId="34112" xr:uid="{00000000-0005-0000-0000-00000BC50000}"/>
    <cellStyle name="Normal 5 3 7 3" xfId="6823" xr:uid="{00000000-0005-0000-0000-00000CC50000}"/>
    <cellStyle name="Normal 5 3 7 3 2" xfId="10354" xr:uid="{00000000-0005-0000-0000-00000DC50000}"/>
    <cellStyle name="Normal 5 3 7 3 2 2" xfId="17144" xr:uid="{00000000-0005-0000-0000-00000EC50000}"/>
    <cellStyle name="Normal 5 3 7 3 2 2 2" xfId="30712" xr:uid="{00000000-0005-0000-0000-00000FC50000}"/>
    <cellStyle name="Normal 5 3 7 3 2 2 2 2" xfId="57845" xr:uid="{00000000-0005-0000-0000-000010C50000}"/>
    <cellStyle name="Normal 5 3 7 3 2 2 3" xfId="44283" xr:uid="{00000000-0005-0000-0000-000011C50000}"/>
    <cellStyle name="Normal 5 3 7 3 2 3" xfId="23931" xr:uid="{00000000-0005-0000-0000-000012C50000}"/>
    <cellStyle name="Normal 5 3 7 3 2 3 2" xfId="51064" xr:uid="{00000000-0005-0000-0000-000013C50000}"/>
    <cellStyle name="Normal 5 3 7 3 2 4" xfId="37502" xr:uid="{00000000-0005-0000-0000-000014C50000}"/>
    <cellStyle name="Normal 5 3 7 3 3" xfId="13755" xr:uid="{00000000-0005-0000-0000-000015C50000}"/>
    <cellStyle name="Normal 5 3 7 3 3 2" xfId="27323" xr:uid="{00000000-0005-0000-0000-000016C50000}"/>
    <cellStyle name="Normal 5 3 7 3 3 2 2" xfId="54456" xr:uid="{00000000-0005-0000-0000-000017C50000}"/>
    <cellStyle name="Normal 5 3 7 3 3 3" xfId="40894" xr:uid="{00000000-0005-0000-0000-000018C50000}"/>
    <cellStyle name="Normal 5 3 7 3 4" xfId="20542" xr:uid="{00000000-0005-0000-0000-000019C50000}"/>
    <cellStyle name="Normal 5 3 7 3 4 2" xfId="47675" xr:uid="{00000000-0005-0000-0000-00001AC50000}"/>
    <cellStyle name="Normal 5 3 7 3 5" xfId="34113" xr:uid="{00000000-0005-0000-0000-00001BC50000}"/>
    <cellStyle name="Normal 5 3 7 4" xfId="10352" xr:uid="{00000000-0005-0000-0000-00001CC50000}"/>
    <cellStyle name="Normal 5 3 7 4 2" xfId="17142" xr:uid="{00000000-0005-0000-0000-00001DC50000}"/>
    <cellStyle name="Normal 5 3 7 4 2 2" xfId="30710" xr:uid="{00000000-0005-0000-0000-00001EC50000}"/>
    <cellStyle name="Normal 5 3 7 4 2 2 2" xfId="57843" xr:uid="{00000000-0005-0000-0000-00001FC50000}"/>
    <cellStyle name="Normal 5 3 7 4 2 3" xfId="44281" xr:uid="{00000000-0005-0000-0000-000020C50000}"/>
    <cellStyle name="Normal 5 3 7 4 3" xfId="23929" xr:uid="{00000000-0005-0000-0000-000021C50000}"/>
    <cellStyle name="Normal 5 3 7 4 3 2" xfId="51062" xr:uid="{00000000-0005-0000-0000-000022C50000}"/>
    <cellStyle name="Normal 5 3 7 4 4" xfId="37500" xr:uid="{00000000-0005-0000-0000-000023C50000}"/>
    <cellStyle name="Normal 5 3 7 5" xfId="13753" xr:uid="{00000000-0005-0000-0000-000024C50000}"/>
    <cellStyle name="Normal 5 3 7 5 2" xfId="27321" xr:uid="{00000000-0005-0000-0000-000025C50000}"/>
    <cellStyle name="Normal 5 3 7 5 2 2" xfId="54454" xr:uid="{00000000-0005-0000-0000-000026C50000}"/>
    <cellStyle name="Normal 5 3 7 5 3" xfId="40892" xr:uid="{00000000-0005-0000-0000-000027C50000}"/>
    <cellStyle name="Normal 5 3 7 6" xfId="20540" xr:uid="{00000000-0005-0000-0000-000028C50000}"/>
    <cellStyle name="Normal 5 3 7 6 2" xfId="47673" xr:uid="{00000000-0005-0000-0000-000029C50000}"/>
    <cellStyle name="Normal 5 3 7 7" xfId="34111" xr:uid="{00000000-0005-0000-0000-00002AC50000}"/>
    <cellStyle name="Normal 5 3 8" xfId="6824" xr:uid="{00000000-0005-0000-0000-00002BC50000}"/>
    <cellStyle name="Normal 5 3 8 2" xfId="6825" xr:uid="{00000000-0005-0000-0000-00002CC50000}"/>
    <cellStyle name="Normal 5 3 8 2 2" xfId="10356" xr:uid="{00000000-0005-0000-0000-00002DC50000}"/>
    <cellStyle name="Normal 5 3 8 2 2 2" xfId="17146" xr:uid="{00000000-0005-0000-0000-00002EC50000}"/>
    <cellStyle name="Normal 5 3 8 2 2 2 2" xfId="30714" xr:uid="{00000000-0005-0000-0000-00002FC50000}"/>
    <cellStyle name="Normal 5 3 8 2 2 2 2 2" xfId="57847" xr:uid="{00000000-0005-0000-0000-000030C50000}"/>
    <cellStyle name="Normal 5 3 8 2 2 2 3" xfId="44285" xr:uid="{00000000-0005-0000-0000-000031C50000}"/>
    <cellStyle name="Normal 5 3 8 2 2 3" xfId="23933" xr:uid="{00000000-0005-0000-0000-000032C50000}"/>
    <cellStyle name="Normal 5 3 8 2 2 3 2" xfId="51066" xr:uid="{00000000-0005-0000-0000-000033C50000}"/>
    <cellStyle name="Normal 5 3 8 2 2 4" xfId="37504" xr:uid="{00000000-0005-0000-0000-000034C50000}"/>
    <cellStyle name="Normal 5 3 8 2 3" xfId="13757" xr:uid="{00000000-0005-0000-0000-000035C50000}"/>
    <cellStyle name="Normal 5 3 8 2 3 2" xfId="27325" xr:uid="{00000000-0005-0000-0000-000036C50000}"/>
    <cellStyle name="Normal 5 3 8 2 3 2 2" xfId="54458" xr:uid="{00000000-0005-0000-0000-000037C50000}"/>
    <cellStyle name="Normal 5 3 8 2 3 3" xfId="40896" xr:uid="{00000000-0005-0000-0000-000038C50000}"/>
    <cellStyle name="Normal 5 3 8 2 4" xfId="20544" xr:uid="{00000000-0005-0000-0000-000039C50000}"/>
    <cellStyle name="Normal 5 3 8 2 4 2" xfId="47677" xr:uid="{00000000-0005-0000-0000-00003AC50000}"/>
    <cellStyle name="Normal 5 3 8 2 5" xfId="34115" xr:uid="{00000000-0005-0000-0000-00003BC50000}"/>
    <cellStyle name="Normal 5 3 8 3" xfId="6826" xr:uid="{00000000-0005-0000-0000-00003CC50000}"/>
    <cellStyle name="Normal 5 3 8 3 2" xfId="10357" xr:uid="{00000000-0005-0000-0000-00003DC50000}"/>
    <cellStyle name="Normal 5 3 8 3 2 2" xfId="17147" xr:uid="{00000000-0005-0000-0000-00003EC50000}"/>
    <cellStyle name="Normal 5 3 8 3 2 2 2" xfId="30715" xr:uid="{00000000-0005-0000-0000-00003FC50000}"/>
    <cellStyle name="Normal 5 3 8 3 2 2 2 2" xfId="57848" xr:uid="{00000000-0005-0000-0000-000040C50000}"/>
    <cellStyle name="Normal 5 3 8 3 2 2 3" xfId="44286" xr:uid="{00000000-0005-0000-0000-000041C50000}"/>
    <cellStyle name="Normal 5 3 8 3 2 3" xfId="23934" xr:uid="{00000000-0005-0000-0000-000042C50000}"/>
    <cellStyle name="Normal 5 3 8 3 2 3 2" xfId="51067" xr:uid="{00000000-0005-0000-0000-000043C50000}"/>
    <cellStyle name="Normal 5 3 8 3 2 4" xfId="37505" xr:uid="{00000000-0005-0000-0000-000044C50000}"/>
    <cellStyle name="Normal 5 3 8 3 3" xfId="13758" xr:uid="{00000000-0005-0000-0000-000045C50000}"/>
    <cellStyle name="Normal 5 3 8 3 3 2" xfId="27326" xr:uid="{00000000-0005-0000-0000-000046C50000}"/>
    <cellStyle name="Normal 5 3 8 3 3 2 2" xfId="54459" xr:uid="{00000000-0005-0000-0000-000047C50000}"/>
    <cellStyle name="Normal 5 3 8 3 3 3" xfId="40897" xr:uid="{00000000-0005-0000-0000-000048C50000}"/>
    <cellStyle name="Normal 5 3 8 3 4" xfId="20545" xr:uid="{00000000-0005-0000-0000-000049C50000}"/>
    <cellStyle name="Normal 5 3 8 3 4 2" xfId="47678" xr:uid="{00000000-0005-0000-0000-00004AC50000}"/>
    <cellStyle name="Normal 5 3 8 3 5" xfId="34116" xr:uid="{00000000-0005-0000-0000-00004BC50000}"/>
    <cellStyle name="Normal 5 3 8 4" xfId="10355" xr:uid="{00000000-0005-0000-0000-00004CC50000}"/>
    <cellStyle name="Normal 5 3 8 4 2" xfId="17145" xr:uid="{00000000-0005-0000-0000-00004DC50000}"/>
    <cellStyle name="Normal 5 3 8 4 2 2" xfId="30713" xr:uid="{00000000-0005-0000-0000-00004EC50000}"/>
    <cellStyle name="Normal 5 3 8 4 2 2 2" xfId="57846" xr:uid="{00000000-0005-0000-0000-00004FC50000}"/>
    <cellStyle name="Normal 5 3 8 4 2 3" xfId="44284" xr:uid="{00000000-0005-0000-0000-000050C50000}"/>
    <cellStyle name="Normal 5 3 8 4 3" xfId="23932" xr:uid="{00000000-0005-0000-0000-000051C50000}"/>
    <cellStyle name="Normal 5 3 8 4 3 2" xfId="51065" xr:uid="{00000000-0005-0000-0000-000052C50000}"/>
    <cellStyle name="Normal 5 3 8 4 4" xfId="37503" xr:uid="{00000000-0005-0000-0000-000053C50000}"/>
    <cellStyle name="Normal 5 3 8 5" xfId="13756" xr:uid="{00000000-0005-0000-0000-000054C50000}"/>
    <cellStyle name="Normal 5 3 8 5 2" xfId="27324" xr:uid="{00000000-0005-0000-0000-000055C50000}"/>
    <cellStyle name="Normal 5 3 8 5 2 2" xfId="54457" xr:uid="{00000000-0005-0000-0000-000056C50000}"/>
    <cellStyle name="Normal 5 3 8 5 3" xfId="40895" xr:uid="{00000000-0005-0000-0000-000057C50000}"/>
    <cellStyle name="Normal 5 3 8 6" xfId="20543" xr:uid="{00000000-0005-0000-0000-000058C50000}"/>
    <cellStyle name="Normal 5 3 8 6 2" xfId="47676" xr:uid="{00000000-0005-0000-0000-000059C50000}"/>
    <cellStyle name="Normal 5 3 8 7" xfId="34114" xr:uid="{00000000-0005-0000-0000-00005AC50000}"/>
    <cellStyle name="Normal 5 3 9" xfId="6827" xr:uid="{00000000-0005-0000-0000-00005BC50000}"/>
    <cellStyle name="Normal 5 3 9 2" xfId="10358" xr:uid="{00000000-0005-0000-0000-00005CC50000}"/>
    <cellStyle name="Normal 5 3 9 2 2" xfId="17148" xr:uid="{00000000-0005-0000-0000-00005DC50000}"/>
    <cellStyle name="Normal 5 3 9 2 2 2" xfId="30716" xr:uid="{00000000-0005-0000-0000-00005EC50000}"/>
    <cellStyle name="Normal 5 3 9 2 2 2 2" xfId="57849" xr:uid="{00000000-0005-0000-0000-00005FC50000}"/>
    <cellStyle name="Normal 5 3 9 2 2 3" xfId="44287" xr:uid="{00000000-0005-0000-0000-000060C50000}"/>
    <cellStyle name="Normal 5 3 9 2 3" xfId="23935" xr:uid="{00000000-0005-0000-0000-000061C50000}"/>
    <cellStyle name="Normal 5 3 9 2 3 2" xfId="51068" xr:uid="{00000000-0005-0000-0000-000062C50000}"/>
    <cellStyle name="Normal 5 3 9 2 4" xfId="37506" xr:uid="{00000000-0005-0000-0000-000063C50000}"/>
    <cellStyle name="Normal 5 3 9 3" xfId="13759" xr:uid="{00000000-0005-0000-0000-000064C50000}"/>
    <cellStyle name="Normal 5 3 9 3 2" xfId="27327" xr:uid="{00000000-0005-0000-0000-000065C50000}"/>
    <cellStyle name="Normal 5 3 9 3 2 2" xfId="54460" xr:uid="{00000000-0005-0000-0000-000066C50000}"/>
    <cellStyle name="Normal 5 3 9 3 3" xfId="40898" xr:uid="{00000000-0005-0000-0000-000067C50000}"/>
    <cellStyle name="Normal 5 3 9 4" xfId="20546" xr:uid="{00000000-0005-0000-0000-000068C50000}"/>
    <cellStyle name="Normal 5 3 9 4 2" xfId="47679" xr:uid="{00000000-0005-0000-0000-000069C50000}"/>
    <cellStyle name="Normal 5 3 9 5" xfId="34117" xr:uid="{00000000-0005-0000-0000-00006AC50000}"/>
    <cellStyle name="Normal 5 4" xfId="6828" xr:uid="{00000000-0005-0000-0000-00006BC50000}"/>
    <cellStyle name="Normal 5 49" xfId="25" xr:uid="{00000000-0005-0000-0000-00006CC50000}"/>
    <cellStyle name="Normal 5 5" xfId="6829" xr:uid="{00000000-0005-0000-0000-00006DC50000}"/>
    <cellStyle name="Normal 5 5 2" xfId="6830" xr:uid="{00000000-0005-0000-0000-00006EC50000}"/>
    <cellStyle name="Normal 5 5 2 2" xfId="10360" xr:uid="{00000000-0005-0000-0000-00006FC50000}"/>
    <cellStyle name="Normal 5 5 2 2 2" xfId="17150" xr:uid="{00000000-0005-0000-0000-000070C50000}"/>
    <cellStyle name="Normal 5 5 2 2 2 2" xfId="30718" xr:uid="{00000000-0005-0000-0000-000071C50000}"/>
    <cellStyle name="Normal 5 5 2 2 2 2 2" xfId="57851" xr:uid="{00000000-0005-0000-0000-000072C50000}"/>
    <cellStyle name="Normal 5 5 2 2 2 3" xfId="44289" xr:uid="{00000000-0005-0000-0000-000073C50000}"/>
    <cellStyle name="Normal 5 5 2 2 3" xfId="23937" xr:uid="{00000000-0005-0000-0000-000074C50000}"/>
    <cellStyle name="Normal 5 5 2 2 3 2" xfId="51070" xr:uid="{00000000-0005-0000-0000-000075C50000}"/>
    <cellStyle name="Normal 5 5 2 2 4" xfId="37508" xr:uid="{00000000-0005-0000-0000-000076C50000}"/>
    <cellStyle name="Normal 5 5 2 3" xfId="13761" xr:uid="{00000000-0005-0000-0000-000077C50000}"/>
    <cellStyle name="Normal 5 5 2 3 2" xfId="27329" xr:uid="{00000000-0005-0000-0000-000078C50000}"/>
    <cellStyle name="Normal 5 5 2 3 2 2" xfId="54462" xr:uid="{00000000-0005-0000-0000-000079C50000}"/>
    <cellStyle name="Normal 5 5 2 3 3" xfId="40900" xr:uid="{00000000-0005-0000-0000-00007AC50000}"/>
    <cellStyle name="Normal 5 5 2 4" xfId="20548" xr:uid="{00000000-0005-0000-0000-00007BC50000}"/>
    <cellStyle name="Normal 5 5 2 4 2" xfId="47681" xr:uid="{00000000-0005-0000-0000-00007CC50000}"/>
    <cellStyle name="Normal 5 5 2 5" xfId="34119" xr:uid="{00000000-0005-0000-0000-00007DC50000}"/>
    <cellStyle name="Normal 5 5 3" xfId="6831" xr:uid="{00000000-0005-0000-0000-00007EC50000}"/>
    <cellStyle name="Normal 5 5 3 2" xfId="10361" xr:uid="{00000000-0005-0000-0000-00007FC50000}"/>
    <cellStyle name="Normal 5 5 3 2 2" xfId="17151" xr:uid="{00000000-0005-0000-0000-000080C50000}"/>
    <cellStyle name="Normal 5 5 3 2 2 2" xfId="30719" xr:uid="{00000000-0005-0000-0000-000081C50000}"/>
    <cellStyle name="Normal 5 5 3 2 2 2 2" xfId="57852" xr:uid="{00000000-0005-0000-0000-000082C50000}"/>
    <cellStyle name="Normal 5 5 3 2 2 3" xfId="44290" xr:uid="{00000000-0005-0000-0000-000083C50000}"/>
    <cellStyle name="Normal 5 5 3 2 3" xfId="23938" xr:uid="{00000000-0005-0000-0000-000084C50000}"/>
    <cellStyle name="Normal 5 5 3 2 3 2" xfId="51071" xr:uid="{00000000-0005-0000-0000-000085C50000}"/>
    <cellStyle name="Normal 5 5 3 2 4" xfId="37509" xr:uid="{00000000-0005-0000-0000-000086C50000}"/>
    <cellStyle name="Normal 5 5 3 3" xfId="13762" xr:uid="{00000000-0005-0000-0000-000087C50000}"/>
    <cellStyle name="Normal 5 5 3 3 2" xfId="27330" xr:uid="{00000000-0005-0000-0000-000088C50000}"/>
    <cellStyle name="Normal 5 5 3 3 2 2" xfId="54463" xr:uid="{00000000-0005-0000-0000-000089C50000}"/>
    <cellStyle name="Normal 5 5 3 3 3" xfId="40901" xr:uid="{00000000-0005-0000-0000-00008AC50000}"/>
    <cellStyle name="Normal 5 5 3 4" xfId="20549" xr:uid="{00000000-0005-0000-0000-00008BC50000}"/>
    <cellStyle name="Normal 5 5 3 4 2" xfId="47682" xr:uid="{00000000-0005-0000-0000-00008CC50000}"/>
    <cellStyle name="Normal 5 5 3 5" xfId="34120" xr:uid="{00000000-0005-0000-0000-00008DC50000}"/>
    <cellStyle name="Normal 5 5 4" xfId="10359" xr:uid="{00000000-0005-0000-0000-00008EC50000}"/>
    <cellStyle name="Normal 5 5 4 2" xfId="17149" xr:uid="{00000000-0005-0000-0000-00008FC50000}"/>
    <cellStyle name="Normal 5 5 4 2 2" xfId="30717" xr:uid="{00000000-0005-0000-0000-000090C50000}"/>
    <cellStyle name="Normal 5 5 4 2 2 2" xfId="57850" xr:uid="{00000000-0005-0000-0000-000091C50000}"/>
    <cellStyle name="Normal 5 5 4 2 3" xfId="44288" xr:uid="{00000000-0005-0000-0000-000092C50000}"/>
    <cellStyle name="Normal 5 5 4 3" xfId="23936" xr:uid="{00000000-0005-0000-0000-000093C50000}"/>
    <cellStyle name="Normal 5 5 4 3 2" xfId="51069" xr:uid="{00000000-0005-0000-0000-000094C50000}"/>
    <cellStyle name="Normal 5 5 4 4" xfId="37507" xr:uid="{00000000-0005-0000-0000-000095C50000}"/>
    <cellStyle name="Normal 5 5 5" xfId="13760" xr:uid="{00000000-0005-0000-0000-000096C50000}"/>
    <cellStyle name="Normal 5 5 5 2" xfId="27328" xr:uid="{00000000-0005-0000-0000-000097C50000}"/>
    <cellStyle name="Normal 5 5 5 2 2" xfId="54461" xr:uid="{00000000-0005-0000-0000-000098C50000}"/>
    <cellStyle name="Normal 5 5 5 3" xfId="40899" xr:uid="{00000000-0005-0000-0000-000099C50000}"/>
    <cellStyle name="Normal 5 5 6" xfId="20547" xr:uid="{00000000-0005-0000-0000-00009AC50000}"/>
    <cellStyle name="Normal 5 5 6 2" xfId="47680" xr:uid="{00000000-0005-0000-0000-00009BC50000}"/>
    <cellStyle name="Normal 5 5 7" xfId="34118" xr:uid="{00000000-0005-0000-0000-00009CC50000}"/>
    <cellStyle name="Normal 5 6" xfId="6832" xr:uid="{00000000-0005-0000-0000-00009DC50000}"/>
    <cellStyle name="Normal 5 6 2" xfId="10362" xr:uid="{00000000-0005-0000-0000-00009EC50000}"/>
    <cellStyle name="Normal 5 6 2 2" xfId="17152" xr:uid="{00000000-0005-0000-0000-00009FC50000}"/>
    <cellStyle name="Normal 5 6 2 2 2" xfId="30720" xr:uid="{00000000-0005-0000-0000-0000A0C50000}"/>
    <cellStyle name="Normal 5 6 2 2 2 2" xfId="57853" xr:uid="{00000000-0005-0000-0000-0000A1C50000}"/>
    <cellStyle name="Normal 5 6 2 2 3" xfId="44291" xr:uid="{00000000-0005-0000-0000-0000A2C50000}"/>
    <cellStyle name="Normal 5 6 2 3" xfId="23939" xr:uid="{00000000-0005-0000-0000-0000A3C50000}"/>
    <cellStyle name="Normal 5 6 2 3 2" xfId="51072" xr:uid="{00000000-0005-0000-0000-0000A4C50000}"/>
    <cellStyle name="Normal 5 6 2 4" xfId="37510" xr:uid="{00000000-0005-0000-0000-0000A5C50000}"/>
    <cellStyle name="Normal 5 6 3" xfId="13763" xr:uid="{00000000-0005-0000-0000-0000A6C50000}"/>
    <cellStyle name="Normal 5 6 3 2" xfId="27331" xr:uid="{00000000-0005-0000-0000-0000A7C50000}"/>
    <cellStyle name="Normal 5 6 3 2 2" xfId="54464" xr:uid="{00000000-0005-0000-0000-0000A8C50000}"/>
    <cellStyle name="Normal 5 6 3 3" xfId="40902" xr:uid="{00000000-0005-0000-0000-0000A9C50000}"/>
    <cellStyle name="Normal 5 6 4" xfId="20550" xr:uid="{00000000-0005-0000-0000-0000AAC50000}"/>
    <cellStyle name="Normal 5 6 4 2" xfId="47683" xr:uid="{00000000-0005-0000-0000-0000ABC50000}"/>
    <cellStyle name="Normal 5 6 5" xfId="34121" xr:uid="{00000000-0005-0000-0000-0000ACC50000}"/>
    <cellStyle name="Normal 5 7" xfId="82" xr:uid="{00000000-0005-0000-0000-0000ADC50000}"/>
    <cellStyle name="Normal 50" xfId="17648" xr:uid="{00000000-0005-0000-0000-0000AEC50000}"/>
    <cellStyle name="Normal 51" xfId="31209" xr:uid="{00000000-0005-0000-0000-0000AFC50000}"/>
    <cellStyle name="Normal 52" xfId="31210" xr:uid="{00000000-0005-0000-0000-0000B0C50000}"/>
    <cellStyle name="Normal 53" xfId="31211" xr:uid="{00000000-0005-0000-0000-0000B1C50000}"/>
    <cellStyle name="Normal 53 2" xfId="58342" xr:uid="{00000000-0005-0000-0000-0000B2C50000}"/>
    <cellStyle name="Normal 54" xfId="31212" xr:uid="{00000000-0005-0000-0000-0000B3C50000}"/>
    <cellStyle name="Normal 54 2" xfId="58343" xr:uid="{00000000-0005-0000-0000-0000B4C50000}"/>
    <cellStyle name="Normal 55" xfId="31213" xr:uid="{00000000-0005-0000-0000-0000B5C50000}"/>
    <cellStyle name="Normal 55 2" xfId="58344" xr:uid="{00000000-0005-0000-0000-0000B6C50000}"/>
    <cellStyle name="Normal 56" xfId="31214" xr:uid="{00000000-0005-0000-0000-0000B7C50000}"/>
    <cellStyle name="Normal 56 2" xfId="58345" xr:uid="{00000000-0005-0000-0000-0000B8C50000}"/>
    <cellStyle name="Normal 57" xfId="31216" xr:uid="{00000000-0005-0000-0000-0000B9C50000}"/>
    <cellStyle name="Normal 58" xfId="58346" xr:uid="{00000000-0005-0000-0000-0000BAC50000}"/>
    <cellStyle name="Normal 59" xfId="31215" xr:uid="{00000000-0005-0000-0000-0000BBC50000}"/>
    <cellStyle name="Normal 6" xfId="83" xr:uid="{00000000-0005-0000-0000-0000BCC50000}"/>
    <cellStyle name="Normal 6 2" xfId="155" xr:uid="{00000000-0005-0000-0000-0000BDC50000}"/>
    <cellStyle name="Normal 6 2 10" xfId="6833" xr:uid="{00000000-0005-0000-0000-0000BEC50000}"/>
    <cellStyle name="Normal 6 2 10 2" xfId="10363" xr:uid="{00000000-0005-0000-0000-0000BFC50000}"/>
    <cellStyle name="Normal 6 2 10 2 2" xfId="17153" xr:uid="{00000000-0005-0000-0000-0000C0C50000}"/>
    <cellStyle name="Normal 6 2 10 2 2 2" xfId="30721" xr:uid="{00000000-0005-0000-0000-0000C1C50000}"/>
    <cellStyle name="Normal 6 2 10 2 2 2 2" xfId="57854" xr:uid="{00000000-0005-0000-0000-0000C2C50000}"/>
    <cellStyle name="Normal 6 2 10 2 2 3" xfId="44292" xr:uid="{00000000-0005-0000-0000-0000C3C50000}"/>
    <cellStyle name="Normal 6 2 10 2 3" xfId="23940" xr:uid="{00000000-0005-0000-0000-0000C4C50000}"/>
    <cellStyle name="Normal 6 2 10 2 3 2" xfId="51073" xr:uid="{00000000-0005-0000-0000-0000C5C50000}"/>
    <cellStyle name="Normal 6 2 10 2 4" xfId="37511" xr:uid="{00000000-0005-0000-0000-0000C6C50000}"/>
    <cellStyle name="Normal 6 2 10 3" xfId="13764" xr:uid="{00000000-0005-0000-0000-0000C7C50000}"/>
    <cellStyle name="Normal 6 2 10 3 2" xfId="27332" xr:uid="{00000000-0005-0000-0000-0000C8C50000}"/>
    <cellStyle name="Normal 6 2 10 3 2 2" xfId="54465" xr:uid="{00000000-0005-0000-0000-0000C9C50000}"/>
    <cellStyle name="Normal 6 2 10 3 3" xfId="40903" xr:uid="{00000000-0005-0000-0000-0000CAC50000}"/>
    <cellStyle name="Normal 6 2 10 4" xfId="20551" xr:uid="{00000000-0005-0000-0000-0000CBC50000}"/>
    <cellStyle name="Normal 6 2 10 4 2" xfId="47684" xr:uid="{00000000-0005-0000-0000-0000CCC50000}"/>
    <cellStyle name="Normal 6 2 10 5" xfId="34122" xr:uid="{00000000-0005-0000-0000-0000CDC50000}"/>
    <cellStyle name="Normal 6 2 2" xfId="6834" xr:uid="{00000000-0005-0000-0000-0000CEC50000}"/>
    <cellStyle name="Normal 6 2 2 10" xfId="13765" xr:uid="{00000000-0005-0000-0000-0000CFC50000}"/>
    <cellStyle name="Normal 6 2 2 10 2" xfId="27333" xr:uid="{00000000-0005-0000-0000-0000D0C50000}"/>
    <cellStyle name="Normal 6 2 2 10 2 2" xfId="54466" xr:uid="{00000000-0005-0000-0000-0000D1C50000}"/>
    <cellStyle name="Normal 6 2 2 10 3" xfId="40904" xr:uid="{00000000-0005-0000-0000-0000D2C50000}"/>
    <cellStyle name="Normal 6 2 2 11" xfId="20552" xr:uid="{00000000-0005-0000-0000-0000D3C50000}"/>
    <cellStyle name="Normal 6 2 2 11 2" xfId="47685" xr:uid="{00000000-0005-0000-0000-0000D4C50000}"/>
    <cellStyle name="Normal 6 2 2 12" xfId="34123" xr:uid="{00000000-0005-0000-0000-0000D5C50000}"/>
    <cellStyle name="Normal 6 2 2 2" xfId="6835" xr:uid="{00000000-0005-0000-0000-0000D6C50000}"/>
    <cellStyle name="Normal 6 2 2 2 10" xfId="34124" xr:uid="{00000000-0005-0000-0000-0000D7C50000}"/>
    <cellStyle name="Normal 6 2 2 2 2" xfId="6836" xr:uid="{00000000-0005-0000-0000-0000D8C50000}"/>
    <cellStyle name="Normal 6 2 2 2 2 2" xfId="6837" xr:uid="{00000000-0005-0000-0000-0000D9C50000}"/>
    <cellStyle name="Normal 6 2 2 2 2 2 2" xfId="6838" xr:uid="{00000000-0005-0000-0000-0000DAC50000}"/>
    <cellStyle name="Normal 6 2 2 2 2 2 2 2" xfId="10368" xr:uid="{00000000-0005-0000-0000-0000DBC50000}"/>
    <cellStyle name="Normal 6 2 2 2 2 2 2 2 2" xfId="17158" xr:uid="{00000000-0005-0000-0000-0000DCC50000}"/>
    <cellStyle name="Normal 6 2 2 2 2 2 2 2 2 2" xfId="30726" xr:uid="{00000000-0005-0000-0000-0000DDC50000}"/>
    <cellStyle name="Normal 6 2 2 2 2 2 2 2 2 2 2" xfId="57859" xr:uid="{00000000-0005-0000-0000-0000DEC50000}"/>
    <cellStyle name="Normal 6 2 2 2 2 2 2 2 2 3" xfId="44297" xr:uid="{00000000-0005-0000-0000-0000DFC50000}"/>
    <cellStyle name="Normal 6 2 2 2 2 2 2 2 3" xfId="23945" xr:uid="{00000000-0005-0000-0000-0000E0C50000}"/>
    <cellStyle name="Normal 6 2 2 2 2 2 2 2 3 2" xfId="51078" xr:uid="{00000000-0005-0000-0000-0000E1C50000}"/>
    <cellStyle name="Normal 6 2 2 2 2 2 2 2 4" xfId="37516" xr:uid="{00000000-0005-0000-0000-0000E2C50000}"/>
    <cellStyle name="Normal 6 2 2 2 2 2 2 3" xfId="13769" xr:uid="{00000000-0005-0000-0000-0000E3C50000}"/>
    <cellStyle name="Normal 6 2 2 2 2 2 2 3 2" xfId="27337" xr:uid="{00000000-0005-0000-0000-0000E4C50000}"/>
    <cellStyle name="Normal 6 2 2 2 2 2 2 3 2 2" xfId="54470" xr:uid="{00000000-0005-0000-0000-0000E5C50000}"/>
    <cellStyle name="Normal 6 2 2 2 2 2 2 3 3" xfId="40908" xr:uid="{00000000-0005-0000-0000-0000E6C50000}"/>
    <cellStyle name="Normal 6 2 2 2 2 2 2 4" xfId="20556" xr:uid="{00000000-0005-0000-0000-0000E7C50000}"/>
    <cellStyle name="Normal 6 2 2 2 2 2 2 4 2" xfId="47689" xr:uid="{00000000-0005-0000-0000-0000E8C50000}"/>
    <cellStyle name="Normal 6 2 2 2 2 2 2 5" xfId="34127" xr:uid="{00000000-0005-0000-0000-0000E9C50000}"/>
    <cellStyle name="Normal 6 2 2 2 2 2 3" xfId="6839" xr:uid="{00000000-0005-0000-0000-0000EAC50000}"/>
    <cellStyle name="Normal 6 2 2 2 2 2 3 2" xfId="10369" xr:uid="{00000000-0005-0000-0000-0000EBC50000}"/>
    <cellStyle name="Normal 6 2 2 2 2 2 3 2 2" xfId="17159" xr:uid="{00000000-0005-0000-0000-0000ECC50000}"/>
    <cellStyle name="Normal 6 2 2 2 2 2 3 2 2 2" xfId="30727" xr:uid="{00000000-0005-0000-0000-0000EDC50000}"/>
    <cellStyle name="Normal 6 2 2 2 2 2 3 2 2 2 2" xfId="57860" xr:uid="{00000000-0005-0000-0000-0000EEC50000}"/>
    <cellStyle name="Normal 6 2 2 2 2 2 3 2 2 3" xfId="44298" xr:uid="{00000000-0005-0000-0000-0000EFC50000}"/>
    <cellStyle name="Normal 6 2 2 2 2 2 3 2 3" xfId="23946" xr:uid="{00000000-0005-0000-0000-0000F0C50000}"/>
    <cellStyle name="Normal 6 2 2 2 2 2 3 2 3 2" xfId="51079" xr:uid="{00000000-0005-0000-0000-0000F1C50000}"/>
    <cellStyle name="Normal 6 2 2 2 2 2 3 2 4" xfId="37517" xr:uid="{00000000-0005-0000-0000-0000F2C50000}"/>
    <cellStyle name="Normal 6 2 2 2 2 2 3 3" xfId="13770" xr:uid="{00000000-0005-0000-0000-0000F3C50000}"/>
    <cellStyle name="Normal 6 2 2 2 2 2 3 3 2" xfId="27338" xr:uid="{00000000-0005-0000-0000-0000F4C50000}"/>
    <cellStyle name="Normal 6 2 2 2 2 2 3 3 2 2" xfId="54471" xr:uid="{00000000-0005-0000-0000-0000F5C50000}"/>
    <cellStyle name="Normal 6 2 2 2 2 2 3 3 3" xfId="40909" xr:uid="{00000000-0005-0000-0000-0000F6C50000}"/>
    <cellStyle name="Normal 6 2 2 2 2 2 3 4" xfId="20557" xr:uid="{00000000-0005-0000-0000-0000F7C50000}"/>
    <cellStyle name="Normal 6 2 2 2 2 2 3 4 2" xfId="47690" xr:uid="{00000000-0005-0000-0000-0000F8C50000}"/>
    <cellStyle name="Normal 6 2 2 2 2 2 3 5" xfId="34128" xr:uid="{00000000-0005-0000-0000-0000F9C50000}"/>
    <cellStyle name="Normal 6 2 2 2 2 2 4" xfId="10367" xr:uid="{00000000-0005-0000-0000-0000FAC50000}"/>
    <cellStyle name="Normal 6 2 2 2 2 2 4 2" xfId="17157" xr:uid="{00000000-0005-0000-0000-0000FBC50000}"/>
    <cellStyle name="Normal 6 2 2 2 2 2 4 2 2" xfId="30725" xr:uid="{00000000-0005-0000-0000-0000FCC50000}"/>
    <cellStyle name="Normal 6 2 2 2 2 2 4 2 2 2" xfId="57858" xr:uid="{00000000-0005-0000-0000-0000FDC50000}"/>
    <cellStyle name="Normal 6 2 2 2 2 2 4 2 3" xfId="44296" xr:uid="{00000000-0005-0000-0000-0000FEC50000}"/>
    <cellStyle name="Normal 6 2 2 2 2 2 4 3" xfId="23944" xr:uid="{00000000-0005-0000-0000-0000FFC50000}"/>
    <cellStyle name="Normal 6 2 2 2 2 2 4 3 2" xfId="51077" xr:uid="{00000000-0005-0000-0000-000000C60000}"/>
    <cellStyle name="Normal 6 2 2 2 2 2 4 4" xfId="37515" xr:uid="{00000000-0005-0000-0000-000001C60000}"/>
    <cellStyle name="Normal 6 2 2 2 2 2 5" xfId="13768" xr:uid="{00000000-0005-0000-0000-000002C60000}"/>
    <cellStyle name="Normal 6 2 2 2 2 2 5 2" xfId="27336" xr:uid="{00000000-0005-0000-0000-000003C60000}"/>
    <cellStyle name="Normal 6 2 2 2 2 2 5 2 2" xfId="54469" xr:uid="{00000000-0005-0000-0000-000004C60000}"/>
    <cellStyle name="Normal 6 2 2 2 2 2 5 3" xfId="40907" xr:uid="{00000000-0005-0000-0000-000005C60000}"/>
    <cellStyle name="Normal 6 2 2 2 2 2 6" xfId="20555" xr:uid="{00000000-0005-0000-0000-000006C60000}"/>
    <cellStyle name="Normal 6 2 2 2 2 2 6 2" xfId="47688" xr:uid="{00000000-0005-0000-0000-000007C60000}"/>
    <cellStyle name="Normal 6 2 2 2 2 2 7" xfId="34126" xr:uid="{00000000-0005-0000-0000-000008C60000}"/>
    <cellStyle name="Normal 6 2 2 2 2 3" xfId="6840" xr:uid="{00000000-0005-0000-0000-000009C60000}"/>
    <cellStyle name="Normal 6 2 2 2 2 3 2" xfId="6841" xr:uid="{00000000-0005-0000-0000-00000AC60000}"/>
    <cellStyle name="Normal 6 2 2 2 2 3 2 2" xfId="10371" xr:uid="{00000000-0005-0000-0000-00000BC60000}"/>
    <cellStyle name="Normal 6 2 2 2 2 3 2 2 2" xfId="17161" xr:uid="{00000000-0005-0000-0000-00000CC60000}"/>
    <cellStyle name="Normal 6 2 2 2 2 3 2 2 2 2" xfId="30729" xr:uid="{00000000-0005-0000-0000-00000DC60000}"/>
    <cellStyle name="Normal 6 2 2 2 2 3 2 2 2 2 2" xfId="57862" xr:uid="{00000000-0005-0000-0000-00000EC60000}"/>
    <cellStyle name="Normal 6 2 2 2 2 3 2 2 2 3" xfId="44300" xr:uid="{00000000-0005-0000-0000-00000FC60000}"/>
    <cellStyle name="Normal 6 2 2 2 2 3 2 2 3" xfId="23948" xr:uid="{00000000-0005-0000-0000-000010C60000}"/>
    <cellStyle name="Normal 6 2 2 2 2 3 2 2 3 2" xfId="51081" xr:uid="{00000000-0005-0000-0000-000011C60000}"/>
    <cellStyle name="Normal 6 2 2 2 2 3 2 2 4" xfId="37519" xr:uid="{00000000-0005-0000-0000-000012C60000}"/>
    <cellStyle name="Normal 6 2 2 2 2 3 2 3" xfId="13772" xr:uid="{00000000-0005-0000-0000-000013C60000}"/>
    <cellStyle name="Normal 6 2 2 2 2 3 2 3 2" xfId="27340" xr:uid="{00000000-0005-0000-0000-000014C60000}"/>
    <cellStyle name="Normal 6 2 2 2 2 3 2 3 2 2" xfId="54473" xr:uid="{00000000-0005-0000-0000-000015C60000}"/>
    <cellStyle name="Normal 6 2 2 2 2 3 2 3 3" xfId="40911" xr:uid="{00000000-0005-0000-0000-000016C60000}"/>
    <cellStyle name="Normal 6 2 2 2 2 3 2 4" xfId="20559" xr:uid="{00000000-0005-0000-0000-000017C60000}"/>
    <cellStyle name="Normal 6 2 2 2 2 3 2 4 2" xfId="47692" xr:uid="{00000000-0005-0000-0000-000018C60000}"/>
    <cellStyle name="Normal 6 2 2 2 2 3 2 5" xfId="34130" xr:uid="{00000000-0005-0000-0000-000019C60000}"/>
    <cellStyle name="Normal 6 2 2 2 2 3 3" xfId="10370" xr:uid="{00000000-0005-0000-0000-00001AC60000}"/>
    <cellStyle name="Normal 6 2 2 2 2 3 3 2" xfId="17160" xr:uid="{00000000-0005-0000-0000-00001BC60000}"/>
    <cellStyle name="Normal 6 2 2 2 2 3 3 2 2" xfId="30728" xr:uid="{00000000-0005-0000-0000-00001CC60000}"/>
    <cellStyle name="Normal 6 2 2 2 2 3 3 2 2 2" xfId="57861" xr:uid="{00000000-0005-0000-0000-00001DC60000}"/>
    <cellStyle name="Normal 6 2 2 2 2 3 3 2 3" xfId="44299" xr:uid="{00000000-0005-0000-0000-00001EC60000}"/>
    <cellStyle name="Normal 6 2 2 2 2 3 3 3" xfId="23947" xr:uid="{00000000-0005-0000-0000-00001FC60000}"/>
    <cellStyle name="Normal 6 2 2 2 2 3 3 3 2" xfId="51080" xr:uid="{00000000-0005-0000-0000-000020C60000}"/>
    <cellStyle name="Normal 6 2 2 2 2 3 3 4" xfId="37518" xr:uid="{00000000-0005-0000-0000-000021C60000}"/>
    <cellStyle name="Normal 6 2 2 2 2 3 4" xfId="13771" xr:uid="{00000000-0005-0000-0000-000022C60000}"/>
    <cellStyle name="Normal 6 2 2 2 2 3 4 2" xfId="27339" xr:uid="{00000000-0005-0000-0000-000023C60000}"/>
    <cellStyle name="Normal 6 2 2 2 2 3 4 2 2" xfId="54472" xr:uid="{00000000-0005-0000-0000-000024C60000}"/>
    <cellStyle name="Normal 6 2 2 2 2 3 4 3" xfId="40910" xr:uid="{00000000-0005-0000-0000-000025C60000}"/>
    <cellStyle name="Normal 6 2 2 2 2 3 5" xfId="20558" xr:uid="{00000000-0005-0000-0000-000026C60000}"/>
    <cellStyle name="Normal 6 2 2 2 2 3 5 2" xfId="47691" xr:uid="{00000000-0005-0000-0000-000027C60000}"/>
    <cellStyle name="Normal 6 2 2 2 2 3 6" xfId="34129" xr:uid="{00000000-0005-0000-0000-000028C60000}"/>
    <cellStyle name="Normal 6 2 2 2 2 4" xfId="6842" xr:uid="{00000000-0005-0000-0000-000029C60000}"/>
    <cellStyle name="Normal 6 2 2 2 2 4 2" xfId="10372" xr:uid="{00000000-0005-0000-0000-00002AC60000}"/>
    <cellStyle name="Normal 6 2 2 2 2 4 2 2" xfId="17162" xr:uid="{00000000-0005-0000-0000-00002BC60000}"/>
    <cellStyle name="Normal 6 2 2 2 2 4 2 2 2" xfId="30730" xr:uid="{00000000-0005-0000-0000-00002CC60000}"/>
    <cellStyle name="Normal 6 2 2 2 2 4 2 2 2 2" xfId="57863" xr:uid="{00000000-0005-0000-0000-00002DC60000}"/>
    <cellStyle name="Normal 6 2 2 2 2 4 2 2 3" xfId="44301" xr:uid="{00000000-0005-0000-0000-00002EC60000}"/>
    <cellStyle name="Normal 6 2 2 2 2 4 2 3" xfId="23949" xr:uid="{00000000-0005-0000-0000-00002FC60000}"/>
    <cellStyle name="Normal 6 2 2 2 2 4 2 3 2" xfId="51082" xr:uid="{00000000-0005-0000-0000-000030C60000}"/>
    <cellStyle name="Normal 6 2 2 2 2 4 2 4" xfId="37520" xr:uid="{00000000-0005-0000-0000-000031C60000}"/>
    <cellStyle name="Normal 6 2 2 2 2 4 3" xfId="13773" xr:uid="{00000000-0005-0000-0000-000032C60000}"/>
    <cellStyle name="Normal 6 2 2 2 2 4 3 2" xfId="27341" xr:uid="{00000000-0005-0000-0000-000033C60000}"/>
    <cellStyle name="Normal 6 2 2 2 2 4 3 2 2" xfId="54474" xr:uid="{00000000-0005-0000-0000-000034C60000}"/>
    <cellStyle name="Normal 6 2 2 2 2 4 3 3" xfId="40912" xr:uid="{00000000-0005-0000-0000-000035C60000}"/>
    <cellStyle name="Normal 6 2 2 2 2 4 4" xfId="20560" xr:uid="{00000000-0005-0000-0000-000036C60000}"/>
    <cellStyle name="Normal 6 2 2 2 2 4 4 2" xfId="47693" xr:uid="{00000000-0005-0000-0000-000037C60000}"/>
    <cellStyle name="Normal 6 2 2 2 2 4 5" xfId="34131" xr:uid="{00000000-0005-0000-0000-000038C60000}"/>
    <cellStyle name="Normal 6 2 2 2 2 5" xfId="6843" xr:uid="{00000000-0005-0000-0000-000039C60000}"/>
    <cellStyle name="Normal 6 2 2 2 2 5 2" xfId="10373" xr:uid="{00000000-0005-0000-0000-00003AC60000}"/>
    <cellStyle name="Normal 6 2 2 2 2 5 2 2" xfId="17163" xr:uid="{00000000-0005-0000-0000-00003BC60000}"/>
    <cellStyle name="Normal 6 2 2 2 2 5 2 2 2" xfId="30731" xr:uid="{00000000-0005-0000-0000-00003CC60000}"/>
    <cellStyle name="Normal 6 2 2 2 2 5 2 2 2 2" xfId="57864" xr:uid="{00000000-0005-0000-0000-00003DC60000}"/>
    <cellStyle name="Normal 6 2 2 2 2 5 2 2 3" xfId="44302" xr:uid="{00000000-0005-0000-0000-00003EC60000}"/>
    <cellStyle name="Normal 6 2 2 2 2 5 2 3" xfId="23950" xr:uid="{00000000-0005-0000-0000-00003FC60000}"/>
    <cellStyle name="Normal 6 2 2 2 2 5 2 3 2" xfId="51083" xr:uid="{00000000-0005-0000-0000-000040C60000}"/>
    <cellStyle name="Normal 6 2 2 2 2 5 2 4" xfId="37521" xr:uid="{00000000-0005-0000-0000-000041C60000}"/>
    <cellStyle name="Normal 6 2 2 2 2 5 3" xfId="13774" xr:uid="{00000000-0005-0000-0000-000042C60000}"/>
    <cellStyle name="Normal 6 2 2 2 2 5 3 2" xfId="27342" xr:uid="{00000000-0005-0000-0000-000043C60000}"/>
    <cellStyle name="Normal 6 2 2 2 2 5 3 2 2" xfId="54475" xr:uid="{00000000-0005-0000-0000-000044C60000}"/>
    <cellStyle name="Normal 6 2 2 2 2 5 3 3" xfId="40913" xr:uid="{00000000-0005-0000-0000-000045C60000}"/>
    <cellStyle name="Normal 6 2 2 2 2 5 4" xfId="20561" xr:uid="{00000000-0005-0000-0000-000046C60000}"/>
    <cellStyle name="Normal 6 2 2 2 2 5 4 2" xfId="47694" xr:uid="{00000000-0005-0000-0000-000047C60000}"/>
    <cellStyle name="Normal 6 2 2 2 2 5 5" xfId="34132" xr:uid="{00000000-0005-0000-0000-000048C60000}"/>
    <cellStyle name="Normal 6 2 2 2 2 6" xfId="10366" xr:uid="{00000000-0005-0000-0000-000049C60000}"/>
    <cellStyle name="Normal 6 2 2 2 2 6 2" xfId="17156" xr:uid="{00000000-0005-0000-0000-00004AC60000}"/>
    <cellStyle name="Normal 6 2 2 2 2 6 2 2" xfId="30724" xr:uid="{00000000-0005-0000-0000-00004BC60000}"/>
    <cellStyle name="Normal 6 2 2 2 2 6 2 2 2" xfId="57857" xr:uid="{00000000-0005-0000-0000-00004CC60000}"/>
    <cellStyle name="Normal 6 2 2 2 2 6 2 3" xfId="44295" xr:uid="{00000000-0005-0000-0000-00004DC60000}"/>
    <cellStyle name="Normal 6 2 2 2 2 6 3" xfId="23943" xr:uid="{00000000-0005-0000-0000-00004EC60000}"/>
    <cellStyle name="Normal 6 2 2 2 2 6 3 2" xfId="51076" xr:uid="{00000000-0005-0000-0000-00004FC60000}"/>
    <cellStyle name="Normal 6 2 2 2 2 6 4" xfId="37514" xr:uid="{00000000-0005-0000-0000-000050C60000}"/>
    <cellStyle name="Normal 6 2 2 2 2 7" xfId="13767" xr:uid="{00000000-0005-0000-0000-000051C60000}"/>
    <cellStyle name="Normal 6 2 2 2 2 7 2" xfId="27335" xr:uid="{00000000-0005-0000-0000-000052C60000}"/>
    <cellStyle name="Normal 6 2 2 2 2 7 2 2" xfId="54468" xr:uid="{00000000-0005-0000-0000-000053C60000}"/>
    <cellStyle name="Normal 6 2 2 2 2 7 3" xfId="40906" xr:uid="{00000000-0005-0000-0000-000054C60000}"/>
    <cellStyle name="Normal 6 2 2 2 2 8" xfId="20554" xr:uid="{00000000-0005-0000-0000-000055C60000}"/>
    <cellStyle name="Normal 6 2 2 2 2 8 2" xfId="47687" xr:uid="{00000000-0005-0000-0000-000056C60000}"/>
    <cellStyle name="Normal 6 2 2 2 2 9" xfId="34125" xr:uid="{00000000-0005-0000-0000-000057C60000}"/>
    <cellStyle name="Normal 6 2 2 2 3" xfId="6844" xr:uid="{00000000-0005-0000-0000-000058C60000}"/>
    <cellStyle name="Normal 6 2 2 2 3 2" xfId="6845" xr:uid="{00000000-0005-0000-0000-000059C60000}"/>
    <cellStyle name="Normal 6 2 2 2 3 2 2" xfId="10375" xr:uid="{00000000-0005-0000-0000-00005AC60000}"/>
    <cellStyle name="Normal 6 2 2 2 3 2 2 2" xfId="17165" xr:uid="{00000000-0005-0000-0000-00005BC60000}"/>
    <cellStyle name="Normal 6 2 2 2 3 2 2 2 2" xfId="30733" xr:uid="{00000000-0005-0000-0000-00005CC60000}"/>
    <cellStyle name="Normal 6 2 2 2 3 2 2 2 2 2" xfId="57866" xr:uid="{00000000-0005-0000-0000-00005DC60000}"/>
    <cellStyle name="Normal 6 2 2 2 3 2 2 2 3" xfId="44304" xr:uid="{00000000-0005-0000-0000-00005EC60000}"/>
    <cellStyle name="Normal 6 2 2 2 3 2 2 3" xfId="23952" xr:uid="{00000000-0005-0000-0000-00005FC60000}"/>
    <cellStyle name="Normal 6 2 2 2 3 2 2 3 2" xfId="51085" xr:uid="{00000000-0005-0000-0000-000060C60000}"/>
    <cellStyle name="Normal 6 2 2 2 3 2 2 4" xfId="37523" xr:uid="{00000000-0005-0000-0000-000061C60000}"/>
    <cellStyle name="Normal 6 2 2 2 3 2 3" xfId="13776" xr:uid="{00000000-0005-0000-0000-000062C60000}"/>
    <cellStyle name="Normal 6 2 2 2 3 2 3 2" xfId="27344" xr:uid="{00000000-0005-0000-0000-000063C60000}"/>
    <cellStyle name="Normal 6 2 2 2 3 2 3 2 2" xfId="54477" xr:uid="{00000000-0005-0000-0000-000064C60000}"/>
    <cellStyle name="Normal 6 2 2 2 3 2 3 3" xfId="40915" xr:uid="{00000000-0005-0000-0000-000065C60000}"/>
    <cellStyle name="Normal 6 2 2 2 3 2 4" xfId="20563" xr:uid="{00000000-0005-0000-0000-000066C60000}"/>
    <cellStyle name="Normal 6 2 2 2 3 2 4 2" xfId="47696" xr:uid="{00000000-0005-0000-0000-000067C60000}"/>
    <cellStyle name="Normal 6 2 2 2 3 2 5" xfId="34134" xr:uid="{00000000-0005-0000-0000-000068C60000}"/>
    <cellStyle name="Normal 6 2 2 2 3 3" xfId="6846" xr:uid="{00000000-0005-0000-0000-000069C60000}"/>
    <cellStyle name="Normal 6 2 2 2 3 3 2" xfId="10376" xr:uid="{00000000-0005-0000-0000-00006AC60000}"/>
    <cellStyle name="Normal 6 2 2 2 3 3 2 2" xfId="17166" xr:uid="{00000000-0005-0000-0000-00006BC60000}"/>
    <cellStyle name="Normal 6 2 2 2 3 3 2 2 2" xfId="30734" xr:uid="{00000000-0005-0000-0000-00006CC60000}"/>
    <cellStyle name="Normal 6 2 2 2 3 3 2 2 2 2" xfId="57867" xr:uid="{00000000-0005-0000-0000-00006DC60000}"/>
    <cellStyle name="Normal 6 2 2 2 3 3 2 2 3" xfId="44305" xr:uid="{00000000-0005-0000-0000-00006EC60000}"/>
    <cellStyle name="Normal 6 2 2 2 3 3 2 3" xfId="23953" xr:uid="{00000000-0005-0000-0000-00006FC60000}"/>
    <cellStyle name="Normal 6 2 2 2 3 3 2 3 2" xfId="51086" xr:uid="{00000000-0005-0000-0000-000070C60000}"/>
    <cellStyle name="Normal 6 2 2 2 3 3 2 4" xfId="37524" xr:uid="{00000000-0005-0000-0000-000071C60000}"/>
    <cellStyle name="Normal 6 2 2 2 3 3 3" xfId="13777" xr:uid="{00000000-0005-0000-0000-000072C60000}"/>
    <cellStyle name="Normal 6 2 2 2 3 3 3 2" xfId="27345" xr:uid="{00000000-0005-0000-0000-000073C60000}"/>
    <cellStyle name="Normal 6 2 2 2 3 3 3 2 2" xfId="54478" xr:uid="{00000000-0005-0000-0000-000074C60000}"/>
    <cellStyle name="Normal 6 2 2 2 3 3 3 3" xfId="40916" xr:uid="{00000000-0005-0000-0000-000075C60000}"/>
    <cellStyle name="Normal 6 2 2 2 3 3 4" xfId="20564" xr:uid="{00000000-0005-0000-0000-000076C60000}"/>
    <cellStyle name="Normal 6 2 2 2 3 3 4 2" xfId="47697" xr:uid="{00000000-0005-0000-0000-000077C60000}"/>
    <cellStyle name="Normal 6 2 2 2 3 3 5" xfId="34135" xr:uid="{00000000-0005-0000-0000-000078C60000}"/>
    <cellStyle name="Normal 6 2 2 2 3 4" xfId="10374" xr:uid="{00000000-0005-0000-0000-000079C60000}"/>
    <cellStyle name="Normal 6 2 2 2 3 4 2" xfId="17164" xr:uid="{00000000-0005-0000-0000-00007AC60000}"/>
    <cellStyle name="Normal 6 2 2 2 3 4 2 2" xfId="30732" xr:uid="{00000000-0005-0000-0000-00007BC60000}"/>
    <cellStyle name="Normal 6 2 2 2 3 4 2 2 2" xfId="57865" xr:uid="{00000000-0005-0000-0000-00007CC60000}"/>
    <cellStyle name="Normal 6 2 2 2 3 4 2 3" xfId="44303" xr:uid="{00000000-0005-0000-0000-00007DC60000}"/>
    <cellStyle name="Normal 6 2 2 2 3 4 3" xfId="23951" xr:uid="{00000000-0005-0000-0000-00007EC60000}"/>
    <cellStyle name="Normal 6 2 2 2 3 4 3 2" xfId="51084" xr:uid="{00000000-0005-0000-0000-00007FC60000}"/>
    <cellStyle name="Normal 6 2 2 2 3 4 4" xfId="37522" xr:uid="{00000000-0005-0000-0000-000080C60000}"/>
    <cellStyle name="Normal 6 2 2 2 3 5" xfId="13775" xr:uid="{00000000-0005-0000-0000-000081C60000}"/>
    <cellStyle name="Normal 6 2 2 2 3 5 2" xfId="27343" xr:uid="{00000000-0005-0000-0000-000082C60000}"/>
    <cellStyle name="Normal 6 2 2 2 3 5 2 2" xfId="54476" xr:uid="{00000000-0005-0000-0000-000083C60000}"/>
    <cellStyle name="Normal 6 2 2 2 3 5 3" xfId="40914" xr:uid="{00000000-0005-0000-0000-000084C60000}"/>
    <cellStyle name="Normal 6 2 2 2 3 6" xfId="20562" xr:uid="{00000000-0005-0000-0000-000085C60000}"/>
    <cellStyle name="Normal 6 2 2 2 3 6 2" xfId="47695" xr:uid="{00000000-0005-0000-0000-000086C60000}"/>
    <cellStyle name="Normal 6 2 2 2 3 7" xfId="34133" xr:uid="{00000000-0005-0000-0000-000087C60000}"/>
    <cellStyle name="Normal 6 2 2 2 4" xfId="6847" xr:uid="{00000000-0005-0000-0000-000088C60000}"/>
    <cellStyle name="Normal 6 2 2 2 4 2" xfId="6848" xr:uid="{00000000-0005-0000-0000-000089C60000}"/>
    <cellStyle name="Normal 6 2 2 2 4 2 2" xfId="10378" xr:uid="{00000000-0005-0000-0000-00008AC60000}"/>
    <cellStyle name="Normal 6 2 2 2 4 2 2 2" xfId="17168" xr:uid="{00000000-0005-0000-0000-00008BC60000}"/>
    <cellStyle name="Normal 6 2 2 2 4 2 2 2 2" xfId="30736" xr:uid="{00000000-0005-0000-0000-00008CC60000}"/>
    <cellStyle name="Normal 6 2 2 2 4 2 2 2 2 2" xfId="57869" xr:uid="{00000000-0005-0000-0000-00008DC60000}"/>
    <cellStyle name="Normal 6 2 2 2 4 2 2 2 3" xfId="44307" xr:uid="{00000000-0005-0000-0000-00008EC60000}"/>
    <cellStyle name="Normal 6 2 2 2 4 2 2 3" xfId="23955" xr:uid="{00000000-0005-0000-0000-00008FC60000}"/>
    <cellStyle name="Normal 6 2 2 2 4 2 2 3 2" xfId="51088" xr:uid="{00000000-0005-0000-0000-000090C60000}"/>
    <cellStyle name="Normal 6 2 2 2 4 2 2 4" xfId="37526" xr:uid="{00000000-0005-0000-0000-000091C60000}"/>
    <cellStyle name="Normal 6 2 2 2 4 2 3" xfId="13779" xr:uid="{00000000-0005-0000-0000-000092C60000}"/>
    <cellStyle name="Normal 6 2 2 2 4 2 3 2" xfId="27347" xr:uid="{00000000-0005-0000-0000-000093C60000}"/>
    <cellStyle name="Normal 6 2 2 2 4 2 3 2 2" xfId="54480" xr:uid="{00000000-0005-0000-0000-000094C60000}"/>
    <cellStyle name="Normal 6 2 2 2 4 2 3 3" xfId="40918" xr:uid="{00000000-0005-0000-0000-000095C60000}"/>
    <cellStyle name="Normal 6 2 2 2 4 2 4" xfId="20566" xr:uid="{00000000-0005-0000-0000-000096C60000}"/>
    <cellStyle name="Normal 6 2 2 2 4 2 4 2" xfId="47699" xr:uid="{00000000-0005-0000-0000-000097C60000}"/>
    <cellStyle name="Normal 6 2 2 2 4 2 5" xfId="34137" xr:uid="{00000000-0005-0000-0000-000098C60000}"/>
    <cellStyle name="Normal 6 2 2 2 4 3" xfId="10377" xr:uid="{00000000-0005-0000-0000-000099C60000}"/>
    <cellStyle name="Normal 6 2 2 2 4 3 2" xfId="17167" xr:uid="{00000000-0005-0000-0000-00009AC60000}"/>
    <cellStyle name="Normal 6 2 2 2 4 3 2 2" xfId="30735" xr:uid="{00000000-0005-0000-0000-00009BC60000}"/>
    <cellStyle name="Normal 6 2 2 2 4 3 2 2 2" xfId="57868" xr:uid="{00000000-0005-0000-0000-00009CC60000}"/>
    <cellStyle name="Normal 6 2 2 2 4 3 2 3" xfId="44306" xr:uid="{00000000-0005-0000-0000-00009DC60000}"/>
    <cellStyle name="Normal 6 2 2 2 4 3 3" xfId="23954" xr:uid="{00000000-0005-0000-0000-00009EC60000}"/>
    <cellStyle name="Normal 6 2 2 2 4 3 3 2" xfId="51087" xr:uid="{00000000-0005-0000-0000-00009FC60000}"/>
    <cellStyle name="Normal 6 2 2 2 4 3 4" xfId="37525" xr:uid="{00000000-0005-0000-0000-0000A0C60000}"/>
    <cellStyle name="Normal 6 2 2 2 4 4" xfId="13778" xr:uid="{00000000-0005-0000-0000-0000A1C60000}"/>
    <cellStyle name="Normal 6 2 2 2 4 4 2" xfId="27346" xr:uid="{00000000-0005-0000-0000-0000A2C60000}"/>
    <cellStyle name="Normal 6 2 2 2 4 4 2 2" xfId="54479" xr:uid="{00000000-0005-0000-0000-0000A3C60000}"/>
    <cellStyle name="Normal 6 2 2 2 4 4 3" xfId="40917" xr:uid="{00000000-0005-0000-0000-0000A4C60000}"/>
    <cellStyle name="Normal 6 2 2 2 4 5" xfId="20565" xr:uid="{00000000-0005-0000-0000-0000A5C60000}"/>
    <cellStyle name="Normal 6 2 2 2 4 5 2" xfId="47698" xr:uid="{00000000-0005-0000-0000-0000A6C60000}"/>
    <cellStyle name="Normal 6 2 2 2 4 6" xfId="34136" xr:uid="{00000000-0005-0000-0000-0000A7C60000}"/>
    <cellStyle name="Normal 6 2 2 2 5" xfId="6849" xr:uid="{00000000-0005-0000-0000-0000A8C60000}"/>
    <cellStyle name="Normal 6 2 2 2 5 2" xfId="10379" xr:uid="{00000000-0005-0000-0000-0000A9C60000}"/>
    <cellStyle name="Normal 6 2 2 2 5 2 2" xfId="17169" xr:uid="{00000000-0005-0000-0000-0000AAC60000}"/>
    <cellStyle name="Normal 6 2 2 2 5 2 2 2" xfId="30737" xr:uid="{00000000-0005-0000-0000-0000ABC60000}"/>
    <cellStyle name="Normal 6 2 2 2 5 2 2 2 2" xfId="57870" xr:uid="{00000000-0005-0000-0000-0000ACC60000}"/>
    <cellStyle name="Normal 6 2 2 2 5 2 2 3" xfId="44308" xr:uid="{00000000-0005-0000-0000-0000ADC60000}"/>
    <cellStyle name="Normal 6 2 2 2 5 2 3" xfId="23956" xr:uid="{00000000-0005-0000-0000-0000AEC60000}"/>
    <cellStyle name="Normal 6 2 2 2 5 2 3 2" xfId="51089" xr:uid="{00000000-0005-0000-0000-0000AFC60000}"/>
    <cellStyle name="Normal 6 2 2 2 5 2 4" xfId="37527" xr:uid="{00000000-0005-0000-0000-0000B0C60000}"/>
    <cellStyle name="Normal 6 2 2 2 5 3" xfId="13780" xr:uid="{00000000-0005-0000-0000-0000B1C60000}"/>
    <cellStyle name="Normal 6 2 2 2 5 3 2" xfId="27348" xr:uid="{00000000-0005-0000-0000-0000B2C60000}"/>
    <cellStyle name="Normal 6 2 2 2 5 3 2 2" xfId="54481" xr:uid="{00000000-0005-0000-0000-0000B3C60000}"/>
    <cellStyle name="Normal 6 2 2 2 5 3 3" xfId="40919" xr:uid="{00000000-0005-0000-0000-0000B4C60000}"/>
    <cellStyle name="Normal 6 2 2 2 5 4" xfId="20567" xr:uid="{00000000-0005-0000-0000-0000B5C60000}"/>
    <cellStyle name="Normal 6 2 2 2 5 4 2" xfId="47700" xr:uid="{00000000-0005-0000-0000-0000B6C60000}"/>
    <cellStyle name="Normal 6 2 2 2 5 5" xfId="34138" xr:uid="{00000000-0005-0000-0000-0000B7C60000}"/>
    <cellStyle name="Normal 6 2 2 2 6" xfId="6850" xr:uid="{00000000-0005-0000-0000-0000B8C60000}"/>
    <cellStyle name="Normal 6 2 2 2 6 2" xfId="10380" xr:uid="{00000000-0005-0000-0000-0000B9C60000}"/>
    <cellStyle name="Normal 6 2 2 2 6 2 2" xfId="17170" xr:uid="{00000000-0005-0000-0000-0000BAC60000}"/>
    <cellStyle name="Normal 6 2 2 2 6 2 2 2" xfId="30738" xr:uid="{00000000-0005-0000-0000-0000BBC60000}"/>
    <cellStyle name="Normal 6 2 2 2 6 2 2 2 2" xfId="57871" xr:uid="{00000000-0005-0000-0000-0000BCC60000}"/>
    <cellStyle name="Normal 6 2 2 2 6 2 2 3" xfId="44309" xr:uid="{00000000-0005-0000-0000-0000BDC60000}"/>
    <cellStyle name="Normal 6 2 2 2 6 2 3" xfId="23957" xr:uid="{00000000-0005-0000-0000-0000BEC60000}"/>
    <cellStyle name="Normal 6 2 2 2 6 2 3 2" xfId="51090" xr:uid="{00000000-0005-0000-0000-0000BFC60000}"/>
    <cellStyle name="Normal 6 2 2 2 6 2 4" xfId="37528" xr:uid="{00000000-0005-0000-0000-0000C0C60000}"/>
    <cellStyle name="Normal 6 2 2 2 6 3" xfId="13781" xr:uid="{00000000-0005-0000-0000-0000C1C60000}"/>
    <cellStyle name="Normal 6 2 2 2 6 3 2" xfId="27349" xr:uid="{00000000-0005-0000-0000-0000C2C60000}"/>
    <cellStyle name="Normal 6 2 2 2 6 3 2 2" xfId="54482" xr:uid="{00000000-0005-0000-0000-0000C3C60000}"/>
    <cellStyle name="Normal 6 2 2 2 6 3 3" xfId="40920" xr:uid="{00000000-0005-0000-0000-0000C4C60000}"/>
    <cellStyle name="Normal 6 2 2 2 6 4" xfId="20568" xr:uid="{00000000-0005-0000-0000-0000C5C60000}"/>
    <cellStyle name="Normal 6 2 2 2 6 4 2" xfId="47701" xr:uid="{00000000-0005-0000-0000-0000C6C60000}"/>
    <cellStyle name="Normal 6 2 2 2 6 5" xfId="34139" xr:uid="{00000000-0005-0000-0000-0000C7C60000}"/>
    <cellStyle name="Normal 6 2 2 2 7" xfId="10365" xr:uid="{00000000-0005-0000-0000-0000C8C60000}"/>
    <cellStyle name="Normal 6 2 2 2 7 2" xfId="17155" xr:uid="{00000000-0005-0000-0000-0000C9C60000}"/>
    <cellStyle name="Normal 6 2 2 2 7 2 2" xfId="30723" xr:uid="{00000000-0005-0000-0000-0000CAC60000}"/>
    <cellStyle name="Normal 6 2 2 2 7 2 2 2" xfId="57856" xr:uid="{00000000-0005-0000-0000-0000CBC60000}"/>
    <cellStyle name="Normal 6 2 2 2 7 2 3" xfId="44294" xr:uid="{00000000-0005-0000-0000-0000CCC60000}"/>
    <cellStyle name="Normal 6 2 2 2 7 3" xfId="23942" xr:uid="{00000000-0005-0000-0000-0000CDC60000}"/>
    <cellStyle name="Normal 6 2 2 2 7 3 2" xfId="51075" xr:uid="{00000000-0005-0000-0000-0000CEC60000}"/>
    <cellStyle name="Normal 6 2 2 2 7 4" xfId="37513" xr:uid="{00000000-0005-0000-0000-0000CFC60000}"/>
    <cellStyle name="Normal 6 2 2 2 8" xfId="13766" xr:uid="{00000000-0005-0000-0000-0000D0C60000}"/>
    <cellStyle name="Normal 6 2 2 2 8 2" xfId="27334" xr:uid="{00000000-0005-0000-0000-0000D1C60000}"/>
    <cellStyle name="Normal 6 2 2 2 8 2 2" xfId="54467" xr:uid="{00000000-0005-0000-0000-0000D2C60000}"/>
    <cellStyle name="Normal 6 2 2 2 8 3" xfId="40905" xr:uid="{00000000-0005-0000-0000-0000D3C60000}"/>
    <cellStyle name="Normal 6 2 2 2 9" xfId="20553" xr:uid="{00000000-0005-0000-0000-0000D4C60000}"/>
    <cellStyle name="Normal 6 2 2 2 9 2" xfId="47686" xr:uid="{00000000-0005-0000-0000-0000D5C60000}"/>
    <cellStyle name="Normal 6 2 2 3" xfId="6851" xr:uid="{00000000-0005-0000-0000-0000D6C60000}"/>
    <cellStyle name="Normal 6 2 2 3 2" xfId="6852" xr:uid="{00000000-0005-0000-0000-0000D7C60000}"/>
    <cellStyle name="Normal 6 2 2 3 2 2" xfId="6853" xr:uid="{00000000-0005-0000-0000-0000D8C60000}"/>
    <cellStyle name="Normal 6 2 2 3 2 2 2" xfId="10383" xr:uid="{00000000-0005-0000-0000-0000D9C60000}"/>
    <cellStyle name="Normal 6 2 2 3 2 2 2 2" xfId="17173" xr:uid="{00000000-0005-0000-0000-0000DAC60000}"/>
    <cellStyle name="Normal 6 2 2 3 2 2 2 2 2" xfId="30741" xr:uid="{00000000-0005-0000-0000-0000DBC60000}"/>
    <cellStyle name="Normal 6 2 2 3 2 2 2 2 2 2" xfId="57874" xr:uid="{00000000-0005-0000-0000-0000DCC60000}"/>
    <cellStyle name="Normal 6 2 2 3 2 2 2 2 3" xfId="44312" xr:uid="{00000000-0005-0000-0000-0000DDC60000}"/>
    <cellStyle name="Normal 6 2 2 3 2 2 2 3" xfId="23960" xr:uid="{00000000-0005-0000-0000-0000DEC60000}"/>
    <cellStyle name="Normal 6 2 2 3 2 2 2 3 2" xfId="51093" xr:uid="{00000000-0005-0000-0000-0000DFC60000}"/>
    <cellStyle name="Normal 6 2 2 3 2 2 2 4" xfId="37531" xr:uid="{00000000-0005-0000-0000-0000E0C60000}"/>
    <cellStyle name="Normal 6 2 2 3 2 2 3" xfId="13784" xr:uid="{00000000-0005-0000-0000-0000E1C60000}"/>
    <cellStyle name="Normal 6 2 2 3 2 2 3 2" xfId="27352" xr:uid="{00000000-0005-0000-0000-0000E2C60000}"/>
    <cellStyle name="Normal 6 2 2 3 2 2 3 2 2" xfId="54485" xr:uid="{00000000-0005-0000-0000-0000E3C60000}"/>
    <cellStyle name="Normal 6 2 2 3 2 2 3 3" xfId="40923" xr:uid="{00000000-0005-0000-0000-0000E4C60000}"/>
    <cellStyle name="Normal 6 2 2 3 2 2 4" xfId="20571" xr:uid="{00000000-0005-0000-0000-0000E5C60000}"/>
    <cellStyle name="Normal 6 2 2 3 2 2 4 2" xfId="47704" xr:uid="{00000000-0005-0000-0000-0000E6C60000}"/>
    <cellStyle name="Normal 6 2 2 3 2 2 5" xfId="34142" xr:uid="{00000000-0005-0000-0000-0000E7C60000}"/>
    <cellStyle name="Normal 6 2 2 3 2 3" xfId="6854" xr:uid="{00000000-0005-0000-0000-0000E8C60000}"/>
    <cellStyle name="Normal 6 2 2 3 2 3 2" xfId="10384" xr:uid="{00000000-0005-0000-0000-0000E9C60000}"/>
    <cellStyle name="Normal 6 2 2 3 2 3 2 2" xfId="17174" xr:uid="{00000000-0005-0000-0000-0000EAC60000}"/>
    <cellStyle name="Normal 6 2 2 3 2 3 2 2 2" xfId="30742" xr:uid="{00000000-0005-0000-0000-0000EBC60000}"/>
    <cellStyle name="Normal 6 2 2 3 2 3 2 2 2 2" xfId="57875" xr:uid="{00000000-0005-0000-0000-0000ECC60000}"/>
    <cellStyle name="Normal 6 2 2 3 2 3 2 2 3" xfId="44313" xr:uid="{00000000-0005-0000-0000-0000EDC60000}"/>
    <cellStyle name="Normal 6 2 2 3 2 3 2 3" xfId="23961" xr:uid="{00000000-0005-0000-0000-0000EEC60000}"/>
    <cellStyle name="Normal 6 2 2 3 2 3 2 3 2" xfId="51094" xr:uid="{00000000-0005-0000-0000-0000EFC60000}"/>
    <cellStyle name="Normal 6 2 2 3 2 3 2 4" xfId="37532" xr:uid="{00000000-0005-0000-0000-0000F0C60000}"/>
    <cellStyle name="Normal 6 2 2 3 2 3 3" xfId="13785" xr:uid="{00000000-0005-0000-0000-0000F1C60000}"/>
    <cellStyle name="Normal 6 2 2 3 2 3 3 2" xfId="27353" xr:uid="{00000000-0005-0000-0000-0000F2C60000}"/>
    <cellStyle name="Normal 6 2 2 3 2 3 3 2 2" xfId="54486" xr:uid="{00000000-0005-0000-0000-0000F3C60000}"/>
    <cellStyle name="Normal 6 2 2 3 2 3 3 3" xfId="40924" xr:uid="{00000000-0005-0000-0000-0000F4C60000}"/>
    <cellStyle name="Normal 6 2 2 3 2 3 4" xfId="20572" xr:uid="{00000000-0005-0000-0000-0000F5C60000}"/>
    <cellStyle name="Normal 6 2 2 3 2 3 4 2" xfId="47705" xr:uid="{00000000-0005-0000-0000-0000F6C60000}"/>
    <cellStyle name="Normal 6 2 2 3 2 3 5" xfId="34143" xr:uid="{00000000-0005-0000-0000-0000F7C60000}"/>
    <cellStyle name="Normal 6 2 2 3 2 4" xfId="10382" xr:uid="{00000000-0005-0000-0000-0000F8C60000}"/>
    <cellStyle name="Normal 6 2 2 3 2 4 2" xfId="17172" xr:uid="{00000000-0005-0000-0000-0000F9C60000}"/>
    <cellStyle name="Normal 6 2 2 3 2 4 2 2" xfId="30740" xr:uid="{00000000-0005-0000-0000-0000FAC60000}"/>
    <cellStyle name="Normal 6 2 2 3 2 4 2 2 2" xfId="57873" xr:uid="{00000000-0005-0000-0000-0000FBC60000}"/>
    <cellStyle name="Normal 6 2 2 3 2 4 2 3" xfId="44311" xr:uid="{00000000-0005-0000-0000-0000FCC60000}"/>
    <cellStyle name="Normal 6 2 2 3 2 4 3" xfId="23959" xr:uid="{00000000-0005-0000-0000-0000FDC60000}"/>
    <cellStyle name="Normal 6 2 2 3 2 4 3 2" xfId="51092" xr:uid="{00000000-0005-0000-0000-0000FEC60000}"/>
    <cellStyle name="Normal 6 2 2 3 2 4 4" xfId="37530" xr:uid="{00000000-0005-0000-0000-0000FFC60000}"/>
    <cellStyle name="Normal 6 2 2 3 2 5" xfId="13783" xr:uid="{00000000-0005-0000-0000-000000C70000}"/>
    <cellStyle name="Normal 6 2 2 3 2 5 2" xfId="27351" xr:uid="{00000000-0005-0000-0000-000001C70000}"/>
    <cellStyle name="Normal 6 2 2 3 2 5 2 2" xfId="54484" xr:uid="{00000000-0005-0000-0000-000002C70000}"/>
    <cellStyle name="Normal 6 2 2 3 2 5 3" xfId="40922" xr:uid="{00000000-0005-0000-0000-000003C70000}"/>
    <cellStyle name="Normal 6 2 2 3 2 6" xfId="20570" xr:uid="{00000000-0005-0000-0000-000004C70000}"/>
    <cellStyle name="Normal 6 2 2 3 2 6 2" xfId="47703" xr:uid="{00000000-0005-0000-0000-000005C70000}"/>
    <cellStyle name="Normal 6 2 2 3 2 7" xfId="34141" xr:uid="{00000000-0005-0000-0000-000006C70000}"/>
    <cellStyle name="Normal 6 2 2 3 3" xfId="6855" xr:uid="{00000000-0005-0000-0000-000007C70000}"/>
    <cellStyle name="Normal 6 2 2 3 3 2" xfId="6856" xr:uid="{00000000-0005-0000-0000-000008C70000}"/>
    <cellStyle name="Normal 6 2 2 3 3 2 2" xfId="10386" xr:uid="{00000000-0005-0000-0000-000009C70000}"/>
    <cellStyle name="Normal 6 2 2 3 3 2 2 2" xfId="17176" xr:uid="{00000000-0005-0000-0000-00000AC70000}"/>
    <cellStyle name="Normal 6 2 2 3 3 2 2 2 2" xfId="30744" xr:uid="{00000000-0005-0000-0000-00000BC70000}"/>
    <cellStyle name="Normal 6 2 2 3 3 2 2 2 2 2" xfId="57877" xr:uid="{00000000-0005-0000-0000-00000CC70000}"/>
    <cellStyle name="Normal 6 2 2 3 3 2 2 2 3" xfId="44315" xr:uid="{00000000-0005-0000-0000-00000DC70000}"/>
    <cellStyle name="Normal 6 2 2 3 3 2 2 3" xfId="23963" xr:uid="{00000000-0005-0000-0000-00000EC70000}"/>
    <cellStyle name="Normal 6 2 2 3 3 2 2 3 2" xfId="51096" xr:uid="{00000000-0005-0000-0000-00000FC70000}"/>
    <cellStyle name="Normal 6 2 2 3 3 2 2 4" xfId="37534" xr:uid="{00000000-0005-0000-0000-000010C70000}"/>
    <cellStyle name="Normal 6 2 2 3 3 2 3" xfId="13787" xr:uid="{00000000-0005-0000-0000-000011C70000}"/>
    <cellStyle name="Normal 6 2 2 3 3 2 3 2" xfId="27355" xr:uid="{00000000-0005-0000-0000-000012C70000}"/>
    <cellStyle name="Normal 6 2 2 3 3 2 3 2 2" xfId="54488" xr:uid="{00000000-0005-0000-0000-000013C70000}"/>
    <cellStyle name="Normal 6 2 2 3 3 2 3 3" xfId="40926" xr:uid="{00000000-0005-0000-0000-000014C70000}"/>
    <cellStyle name="Normal 6 2 2 3 3 2 4" xfId="20574" xr:uid="{00000000-0005-0000-0000-000015C70000}"/>
    <cellStyle name="Normal 6 2 2 3 3 2 4 2" xfId="47707" xr:uid="{00000000-0005-0000-0000-000016C70000}"/>
    <cellStyle name="Normal 6 2 2 3 3 2 5" xfId="34145" xr:uid="{00000000-0005-0000-0000-000017C70000}"/>
    <cellStyle name="Normal 6 2 2 3 3 3" xfId="10385" xr:uid="{00000000-0005-0000-0000-000018C70000}"/>
    <cellStyle name="Normal 6 2 2 3 3 3 2" xfId="17175" xr:uid="{00000000-0005-0000-0000-000019C70000}"/>
    <cellStyle name="Normal 6 2 2 3 3 3 2 2" xfId="30743" xr:uid="{00000000-0005-0000-0000-00001AC70000}"/>
    <cellStyle name="Normal 6 2 2 3 3 3 2 2 2" xfId="57876" xr:uid="{00000000-0005-0000-0000-00001BC70000}"/>
    <cellStyle name="Normal 6 2 2 3 3 3 2 3" xfId="44314" xr:uid="{00000000-0005-0000-0000-00001CC70000}"/>
    <cellStyle name="Normal 6 2 2 3 3 3 3" xfId="23962" xr:uid="{00000000-0005-0000-0000-00001DC70000}"/>
    <cellStyle name="Normal 6 2 2 3 3 3 3 2" xfId="51095" xr:uid="{00000000-0005-0000-0000-00001EC70000}"/>
    <cellStyle name="Normal 6 2 2 3 3 3 4" xfId="37533" xr:uid="{00000000-0005-0000-0000-00001FC70000}"/>
    <cellStyle name="Normal 6 2 2 3 3 4" xfId="13786" xr:uid="{00000000-0005-0000-0000-000020C70000}"/>
    <cellStyle name="Normal 6 2 2 3 3 4 2" xfId="27354" xr:uid="{00000000-0005-0000-0000-000021C70000}"/>
    <cellStyle name="Normal 6 2 2 3 3 4 2 2" xfId="54487" xr:uid="{00000000-0005-0000-0000-000022C70000}"/>
    <cellStyle name="Normal 6 2 2 3 3 4 3" xfId="40925" xr:uid="{00000000-0005-0000-0000-000023C70000}"/>
    <cellStyle name="Normal 6 2 2 3 3 5" xfId="20573" xr:uid="{00000000-0005-0000-0000-000024C70000}"/>
    <cellStyle name="Normal 6 2 2 3 3 5 2" xfId="47706" xr:uid="{00000000-0005-0000-0000-000025C70000}"/>
    <cellStyle name="Normal 6 2 2 3 3 6" xfId="34144" xr:uid="{00000000-0005-0000-0000-000026C70000}"/>
    <cellStyle name="Normal 6 2 2 3 4" xfId="6857" xr:uid="{00000000-0005-0000-0000-000027C70000}"/>
    <cellStyle name="Normal 6 2 2 3 4 2" xfId="10387" xr:uid="{00000000-0005-0000-0000-000028C70000}"/>
    <cellStyle name="Normal 6 2 2 3 4 2 2" xfId="17177" xr:uid="{00000000-0005-0000-0000-000029C70000}"/>
    <cellStyle name="Normal 6 2 2 3 4 2 2 2" xfId="30745" xr:uid="{00000000-0005-0000-0000-00002AC70000}"/>
    <cellStyle name="Normal 6 2 2 3 4 2 2 2 2" xfId="57878" xr:uid="{00000000-0005-0000-0000-00002BC70000}"/>
    <cellStyle name="Normal 6 2 2 3 4 2 2 3" xfId="44316" xr:uid="{00000000-0005-0000-0000-00002CC70000}"/>
    <cellStyle name="Normal 6 2 2 3 4 2 3" xfId="23964" xr:uid="{00000000-0005-0000-0000-00002DC70000}"/>
    <cellStyle name="Normal 6 2 2 3 4 2 3 2" xfId="51097" xr:uid="{00000000-0005-0000-0000-00002EC70000}"/>
    <cellStyle name="Normal 6 2 2 3 4 2 4" xfId="37535" xr:uid="{00000000-0005-0000-0000-00002FC70000}"/>
    <cellStyle name="Normal 6 2 2 3 4 3" xfId="13788" xr:uid="{00000000-0005-0000-0000-000030C70000}"/>
    <cellStyle name="Normal 6 2 2 3 4 3 2" xfId="27356" xr:uid="{00000000-0005-0000-0000-000031C70000}"/>
    <cellStyle name="Normal 6 2 2 3 4 3 2 2" xfId="54489" xr:uid="{00000000-0005-0000-0000-000032C70000}"/>
    <cellStyle name="Normal 6 2 2 3 4 3 3" xfId="40927" xr:uid="{00000000-0005-0000-0000-000033C70000}"/>
    <cellStyle name="Normal 6 2 2 3 4 4" xfId="20575" xr:uid="{00000000-0005-0000-0000-000034C70000}"/>
    <cellStyle name="Normal 6 2 2 3 4 4 2" xfId="47708" xr:uid="{00000000-0005-0000-0000-000035C70000}"/>
    <cellStyle name="Normal 6 2 2 3 4 5" xfId="34146" xr:uid="{00000000-0005-0000-0000-000036C70000}"/>
    <cellStyle name="Normal 6 2 2 3 5" xfId="6858" xr:uid="{00000000-0005-0000-0000-000037C70000}"/>
    <cellStyle name="Normal 6 2 2 3 5 2" xfId="10388" xr:uid="{00000000-0005-0000-0000-000038C70000}"/>
    <cellStyle name="Normal 6 2 2 3 5 2 2" xfId="17178" xr:uid="{00000000-0005-0000-0000-000039C70000}"/>
    <cellStyle name="Normal 6 2 2 3 5 2 2 2" xfId="30746" xr:uid="{00000000-0005-0000-0000-00003AC70000}"/>
    <cellStyle name="Normal 6 2 2 3 5 2 2 2 2" xfId="57879" xr:uid="{00000000-0005-0000-0000-00003BC70000}"/>
    <cellStyle name="Normal 6 2 2 3 5 2 2 3" xfId="44317" xr:uid="{00000000-0005-0000-0000-00003CC70000}"/>
    <cellStyle name="Normal 6 2 2 3 5 2 3" xfId="23965" xr:uid="{00000000-0005-0000-0000-00003DC70000}"/>
    <cellStyle name="Normal 6 2 2 3 5 2 3 2" xfId="51098" xr:uid="{00000000-0005-0000-0000-00003EC70000}"/>
    <cellStyle name="Normal 6 2 2 3 5 2 4" xfId="37536" xr:uid="{00000000-0005-0000-0000-00003FC70000}"/>
    <cellStyle name="Normal 6 2 2 3 5 3" xfId="13789" xr:uid="{00000000-0005-0000-0000-000040C70000}"/>
    <cellStyle name="Normal 6 2 2 3 5 3 2" xfId="27357" xr:uid="{00000000-0005-0000-0000-000041C70000}"/>
    <cellStyle name="Normal 6 2 2 3 5 3 2 2" xfId="54490" xr:uid="{00000000-0005-0000-0000-000042C70000}"/>
    <cellStyle name="Normal 6 2 2 3 5 3 3" xfId="40928" xr:uid="{00000000-0005-0000-0000-000043C70000}"/>
    <cellStyle name="Normal 6 2 2 3 5 4" xfId="20576" xr:uid="{00000000-0005-0000-0000-000044C70000}"/>
    <cellStyle name="Normal 6 2 2 3 5 4 2" xfId="47709" xr:uid="{00000000-0005-0000-0000-000045C70000}"/>
    <cellStyle name="Normal 6 2 2 3 5 5" xfId="34147" xr:uid="{00000000-0005-0000-0000-000046C70000}"/>
    <cellStyle name="Normal 6 2 2 3 6" xfId="10381" xr:uid="{00000000-0005-0000-0000-000047C70000}"/>
    <cellStyle name="Normal 6 2 2 3 6 2" xfId="17171" xr:uid="{00000000-0005-0000-0000-000048C70000}"/>
    <cellStyle name="Normal 6 2 2 3 6 2 2" xfId="30739" xr:uid="{00000000-0005-0000-0000-000049C70000}"/>
    <cellStyle name="Normal 6 2 2 3 6 2 2 2" xfId="57872" xr:uid="{00000000-0005-0000-0000-00004AC70000}"/>
    <cellStyle name="Normal 6 2 2 3 6 2 3" xfId="44310" xr:uid="{00000000-0005-0000-0000-00004BC70000}"/>
    <cellStyle name="Normal 6 2 2 3 6 3" xfId="23958" xr:uid="{00000000-0005-0000-0000-00004CC70000}"/>
    <cellStyle name="Normal 6 2 2 3 6 3 2" xfId="51091" xr:uid="{00000000-0005-0000-0000-00004DC70000}"/>
    <cellStyle name="Normal 6 2 2 3 6 4" xfId="37529" xr:uid="{00000000-0005-0000-0000-00004EC70000}"/>
    <cellStyle name="Normal 6 2 2 3 7" xfId="13782" xr:uid="{00000000-0005-0000-0000-00004FC70000}"/>
    <cellStyle name="Normal 6 2 2 3 7 2" xfId="27350" xr:uid="{00000000-0005-0000-0000-000050C70000}"/>
    <cellStyle name="Normal 6 2 2 3 7 2 2" xfId="54483" xr:uid="{00000000-0005-0000-0000-000051C70000}"/>
    <cellStyle name="Normal 6 2 2 3 7 3" xfId="40921" xr:uid="{00000000-0005-0000-0000-000052C70000}"/>
    <cellStyle name="Normal 6 2 2 3 8" xfId="20569" xr:uid="{00000000-0005-0000-0000-000053C70000}"/>
    <cellStyle name="Normal 6 2 2 3 8 2" xfId="47702" xr:uid="{00000000-0005-0000-0000-000054C70000}"/>
    <cellStyle name="Normal 6 2 2 3 9" xfId="34140" xr:uid="{00000000-0005-0000-0000-000055C70000}"/>
    <cellStyle name="Normal 6 2 2 4" xfId="6859" xr:uid="{00000000-0005-0000-0000-000056C70000}"/>
    <cellStyle name="Normal 6 2 2 4 2" xfId="6860" xr:uid="{00000000-0005-0000-0000-000057C70000}"/>
    <cellStyle name="Normal 6 2 2 4 2 2" xfId="6861" xr:uid="{00000000-0005-0000-0000-000058C70000}"/>
    <cellStyle name="Normal 6 2 2 4 2 2 2" xfId="10391" xr:uid="{00000000-0005-0000-0000-000059C70000}"/>
    <cellStyle name="Normal 6 2 2 4 2 2 2 2" xfId="17181" xr:uid="{00000000-0005-0000-0000-00005AC70000}"/>
    <cellStyle name="Normal 6 2 2 4 2 2 2 2 2" xfId="30749" xr:uid="{00000000-0005-0000-0000-00005BC70000}"/>
    <cellStyle name="Normal 6 2 2 4 2 2 2 2 2 2" xfId="57882" xr:uid="{00000000-0005-0000-0000-00005CC70000}"/>
    <cellStyle name="Normal 6 2 2 4 2 2 2 2 3" xfId="44320" xr:uid="{00000000-0005-0000-0000-00005DC70000}"/>
    <cellStyle name="Normal 6 2 2 4 2 2 2 3" xfId="23968" xr:uid="{00000000-0005-0000-0000-00005EC70000}"/>
    <cellStyle name="Normal 6 2 2 4 2 2 2 3 2" xfId="51101" xr:uid="{00000000-0005-0000-0000-00005FC70000}"/>
    <cellStyle name="Normal 6 2 2 4 2 2 2 4" xfId="37539" xr:uid="{00000000-0005-0000-0000-000060C70000}"/>
    <cellStyle name="Normal 6 2 2 4 2 2 3" xfId="13792" xr:uid="{00000000-0005-0000-0000-000061C70000}"/>
    <cellStyle name="Normal 6 2 2 4 2 2 3 2" xfId="27360" xr:uid="{00000000-0005-0000-0000-000062C70000}"/>
    <cellStyle name="Normal 6 2 2 4 2 2 3 2 2" xfId="54493" xr:uid="{00000000-0005-0000-0000-000063C70000}"/>
    <cellStyle name="Normal 6 2 2 4 2 2 3 3" xfId="40931" xr:uid="{00000000-0005-0000-0000-000064C70000}"/>
    <cellStyle name="Normal 6 2 2 4 2 2 4" xfId="20579" xr:uid="{00000000-0005-0000-0000-000065C70000}"/>
    <cellStyle name="Normal 6 2 2 4 2 2 4 2" xfId="47712" xr:uid="{00000000-0005-0000-0000-000066C70000}"/>
    <cellStyle name="Normal 6 2 2 4 2 2 5" xfId="34150" xr:uid="{00000000-0005-0000-0000-000067C70000}"/>
    <cellStyle name="Normal 6 2 2 4 2 3" xfId="6862" xr:uid="{00000000-0005-0000-0000-000068C70000}"/>
    <cellStyle name="Normal 6 2 2 4 2 3 2" xfId="10392" xr:uid="{00000000-0005-0000-0000-000069C70000}"/>
    <cellStyle name="Normal 6 2 2 4 2 3 2 2" xfId="17182" xr:uid="{00000000-0005-0000-0000-00006AC70000}"/>
    <cellStyle name="Normal 6 2 2 4 2 3 2 2 2" xfId="30750" xr:uid="{00000000-0005-0000-0000-00006BC70000}"/>
    <cellStyle name="Normal 6 2 2 4 2 3 2 2 2 2" xfId="57883" xr:uid="{00000000-0005-0000-0000-00006CC70000}"/>
    <cellStyle name="Normal 6 2 2 4 2 3 2 2 3" xfId="44321" xr:uid="{00000000-0005-0000-0000-00006DC70000}"/>
    <cellStyle name="Normal 6 2 2 4 2 3 2 3" xfId="23969" xr:uid="{00000000-0005-0000-0000-00006EC70000}"/>
    <cellStyle name="Normal 6 2 2 4 2 3 2 3 2" xfId="51102" xr:uid="{00000000-0005-0000-0000-00006FC70000}"/>
    <cellStyle name="Normal 6 2 2 4 2 3 2 4" xfId="37540" xr:uid="{00000000-0005-0000-0000-000070C70000}"/>
    <cellStyle name="Normal 6 2 2 4 2 3 3" xfId="13793" xr:uid="{00000000-0005-0000-0000-000071C70000}"/>
    <cellStyle name="Normal 6 2 2 4 2 3 3 2" xfId="27361" xr:uid="{00000000-0005-0000-0000-000072C70000}"/>
    <cellStyle name="Normal 6 2 2 4 2 3 3 2 2" xfId="54494" xr:uid="{00000000-0005-0000-0000-000073C70000}"/>
    <cellStyle name="Normal 6 2 2 4 2 3 3 3" xfId="40932" xr:uid="{00000000-0005-0000-0000-000074C70000}"/>
    <cellStyle name="Normal 6 2 2 4 2 3 4" xfId="20580" xr:uid="{00000000-0005-0000-0000-000075C70000}"/>
    <cellStyle name="Normal 6 2 2 4 2 3 4 2" xfId="47713" xr:uid="{00000000-0005-0000-0000-000076C70000}"/>
    <cellStyle name="Normal 6 2 2 4 2 3 5" xfId="34151" xr:uid="{00000000-0005-0000-0000-000077C70000}"/>
    <cellStyle name="Normal 6 2 2 4 2 4" xfId="10390" xr:uid="{00000000-0005-0000-0000-000078C70000}"/>
    <cellStyle name="Normal 6 2 2 4 2 4 2" xfId="17180" xr:uid="{00000000-0005-0000-0000-000079C70000}"/>
    <cellStyle name="Normal 6 2 2 4 2 4 2 2" xfId="30748" xr:uid="{00000000-0005-0000-0000-00007AC70000}"/>
    <cellStyle name="Normal 6 2 2 4 2 4 2 2 2" xfId="57881" xr:uid="{00000000-0005-0000-0000-00007BC70000}"/>
    <cellStyle name="Normal 6 2 2 4 2 4 2 3" xfId="44319" xr:uid="{00000000-0005-0000-0000-00007CC70000}"/>
    <cellStyle name="Normal 6 2 2 4 2 4 3" xfId="23967" xr:uid="{00000000-0005-0000-0000-00007DC70000}"/>
    <cellStyle name="Normal 6 2 2 4 2 4 3 2" xfId="51100" xr:uid="{00000000-0005-0000-0000-00007EC70000}"/>
    <cellStyle name="Normal 6 2 2 4 2 4 4" xfId="37538" xr:uid="{00000000-0005-0000-0000-00007FC70000}"/>
    <cellStyle name="Normal 6 2 2 4 2 5" xfId="13791" xr:uid="{00000000-0005-0000-0000-000080C70000}"/>
    <cellStyle name="Normal 6 2 2 4 2 5 2" xfId="27359" xr:uid="{00000000-0005-0000-0000-000081C70000}"/>
    <cellStyle name="Normal 6 2 2 4 2 5 2 2" xfId="54492" xr:uid="{00000000-0005-0000-0000-000082C70000}"/>
    <cellStyle name="Normal 6 2 2 4 2 5 3" xfId="40930" xr:uid="{00000000-0005-0000-0000-000083C70000}"/>
    <cellStyle name="Normal 6 2 2 4 2 6" xfId="20578" xr:uid="{00000000-0005-0000-0000-000084C70000}"/>
    <cellStyle name="Normal 6 2 2 4 2 6 2" xfId="47711" xr:uid="{00000000-0005-0000-0000-000085C70000}"/>
    <cellStyle name="Normal 6 2 2 4 2 7" xfId="34149" xr:uid="{00000000-0005-0000-0000-000086C70000}"/>
    <cellStyle name="Normal 6 2 2 4 3" xfId="6863" xr:uid="{00000000-0005-0000-0000-000087C70000}"/>
    <cellStyle name="Normal 6 2 2 4 3 2" xfId="10393" xr:uid="{00000000-0005-0000-0000-000088C70000}"/>
    <cellStyle name="Normal 6 2 2 4 3 2 2" xfId="17183" xr:uid="{00000000-0005-0000-0000-000089C70000}"/>
    <cellStyle name="Normal 6 2 2 4 3 2 2 2" xfId="30751" xr:uid="{00000000-0005-0000-0000-00008AC70000}"/>
    <cellStyle name="Normal 6 2 2 4 3 2 2 2 2" xfId="57884" xr:uid="{00000000-0005-0000-0000-00008BC70000}"/>
    <cellStyle name="Normal 6 2 2 4 3 2 2 3" xfId="44322" xr:uid="{00000000-0005-0000-0000-00008CC70000}"/>
    <cellStyle name="Normal 6 2 2 4 3 2 3" xfId="23970" xr:uid="{00000000-0005-0000-0000-00008DC70000}"/>
    <cellStyle name="Normal 6 2 2 4 3 2 3 2" xfId="51103" xr:uid="{00000000-0005-0000-0000-00008EC70000}"/>
    <cellStyle name="Normal 6 2 2 4 3 2 4" xfId="37541" xr:uid="{00000000-0005-0000-0000-00008FC70000}"/>
    <cellStyle name="Normal 6 2 2 4 3 3" xfId="13794" xr:uid="{00000000-0005-0000-0000-000090C70000}"/>
    <cellStyle name="Normal 6 2 2 4 3 3 2" xfId="27362" xr:uid="{00000000-0005-0000-0000-000091C70000}"/>
    <cellStyle name="Normal 6 2 2 4 3 3 2 2" xfId="54495" xr:uid="{00000000-0005-0000-0000-000092C70000}"/>
    <cellStyle name="Normal 6 2 2 4 3 3 3" xfId="40933" xr:uid="{00000000-0005-0000-0000-000093C70000}"/>
    <cellStyle name="Normal 6 2 2 4 3 4" xfId="20581" xr:uid="{00000000-0005-0000-0000-000094C70000}"/>
    <cellStyle name="Normal 6 2 2 4 3 4 2" xfId="47714" xr:uid="{00000000-0005-0000-0000-000095C70000}"/>
    <cellStyle name="Normal 6 2 2 4 3 5" xfId="34152" xr:uid="{00000000-0005-0000-0000-000096C70000}"/>
    <cellStyle name="Normal 6 2 2 4 4" xfId="6864" xr:uid="{00000000-0005-0000-0000-000097C70000}"/>
    <cellStyle name="Normal 6 2 2 4 4 2" xfId="10394" xr:uid="{00000000-0005-0000-0000-000098C70000}"/>
    <cellStyle name="Normal 6 2 2 4 4 2 2" xfId="17184" xr:uid="{00000000-0005-0000-0000-000099C70000}"/>
    <cellStyle name="Normal 6 2 2 4 4 2 2 2" xfId="30752" xr:uid="{00000000-0005-0000-0000-00009AC70000}"/>
    <cellStyle name="Normal 6 2 2 4 4 2 2 2 2" xfId="57885" xr:uid="{00000000-0005-0000-0000-00009BC70000}"/>
    <cellStyle name="Normal 6 2 2 4 4 2 2 3" xfId="44323" xr:uid="{00000000-0005-0000-0000-00009CC70000}"/>
    <cellStyle name="Normal 6 2 2 4 4 2 3" xfId="23971" xr:uid="{00000000-0005-0000-0000-00009DC70000}"/>
    <cellStyle name="Normal 6 2 2 4 4 2 3 2" xfId="51104" xr:uid="{00000000-0005-0000-0000-00009EC70000}"/>
    <cellStyle name="Normal 6 2 2 4 4 2 4" xfId="37542" xr:uid="{00000000-0005-0000-0000-00009FC70000}"/>
    <cellStyle name="Normal 6 2 2 4 4 3" xfId="13795" xr:uid="{00000000-0005-0000-0000-0000A0C70000}"/>
    <cellStyle name="Normal 6 2 2 4 4 3 2" xfId="27363" xr:uid="{00000000-0005-0000-0000-0000A1C70000}"/>
    <cellStyle name="Normal 6 2 2 4 4 3 2 2" xfId="54496" xr:uid="{00000000-0005-0000-0000-0000A2C70000}"/>
    <cellStyle name="Normal 6 2 2 4 4 3 3" xfId="40934" xr:uid="{00000000-0005-0000-0000-0000A3C70000}"/>
    <cellStyle name="Normal 6 2 2 4 4 4" xfId="20582" xr:uid="{00000000-0005-0000-0000-0000A4C70000}"/>
    <cellStyle name="Normal 6 2 2 4 4 4 2" xfId="47715" xr:uid="{00000000-0005-0000-0000-0000A5C70000}"/>
    <cellStyle name="Normal 6 2 2 4 4 5" xfId="34153" xr:uid="{00000000-0005-0000-0000-0000A6C70000}"/>
    <cellStyle name="Normal 6 2 2 4 5" xfId="10389" xr:uid="{00000000-0005-0000-0000-0000A7C70000}"/>
    <cellStyle name="Normal 6 2 2 4 5 2" xfId="17179" xr:uid="{00000000-0005-0000-0000-0000A8C70000}"/>
    <cellStyle name="Normal 6 2 2 4 5 2 2" xfId="30747" xr:uid="{00000000-0005-0000-0000-0000A9C70000}"/>
    <cellStyle name="Normal 6 2 2 4 5 2 2 2" xfId="57880" xr:uid="{00000000-0005-0000-0000-0000AAC70000}"/>
    <cellStyle name="Normal 6 2 2 4 5 2 3" xfId="44318" xr:uid="{00000000-0005-0000-0000-0000ABC70000}"/>
    <cellStyle name="Normal 6 2 2 4 5 3" xfId="23966" xr:uid="{00000000-0005-0000-0000-0000ACC70000}"/>
    <cellStyle name="Normal 6 2 2 4 5 3 2" xfId="51099" xr:uid="{00000000-0005-0000-0000-0000ADC70000}"/>
    <cellStyle name="Normal 6 2 2 4 5 4" xfId="37537" xr:uid="{00000000-0005-0000-0000-0000AEC70000}"/>
    <cellStyle name="Normal 6 2 2 4 6" xfId="13790" xr:uid="{00000000-0005-0000-0000-0000AFC70000}"/>
    <cellStyle name="Normal 6 2 2 4 6 2" xfId="27358" xr:uid="{00000000-0005-0000-0000-0000B0C70000}"/>
    <cellStyle name="Normal 6 2 2 4 6 2 2" xfId="54491" xr:uid="{00000000-0005-0000-0000-0000B1C70000}"/>
    <cellStyle name="Normal 6 2 2 4 6 3" xfId="40929" xr:uid="{00000000-0005-0000-0000-0000B2C70000}"/>
    <cellStyle name="Normal 6 2 2 4 7" xfId="20577" xr:uid="{00000000-0005-0000-0000-0000B3C70000}"/>
    <cellStyle name="Normal 6 2 2 4 7 2" xfId="47710" xr:uid="{00000000-0005-0000-0000-0000B4C70000}"/>
    <cellStyle name="Normal 6 2 2 4 8" xfId="34148" xr:uid="{00000000-0005-0000-0000-0000B5C70000}"/>
    <cellStyle name="Normal 6 2 2 5" xfId="6865" xr:uid="{00000000-0005-0000-0000-0000B6C70000}"/>
    <cellStyle name="Normal 6 2 2 5 2" xfId="6866" xr:uid="{00000000-0005-0000-0000-0000B7C70000}"/>
    <cellStyle name="Normal 6 2 2 5 2 2" xfId="10396" xr:uid="{00000000-0005-0000-0000-0000B8C70000}"/>
    <cellStyle name="Normal 6 2 2 5 2 2 2" xfId="17186" xr:uid="{00000000-0005-0000-0000-0000B9C70000}"/>
    <cellStyle name="Normal 6 2 2 5 2 2 2 2" xfId="30754" xr:uid="{00000000-0005-0000-0000-0000BAC70000}"/>
    <cellStyle name="Normal 6 2 2 5 2 2 2 2 2" xfId="57887" xr:uid="{00000000-0005-0000-0000-0000BBC70000}"/>
    <cellStyle name="Normal 6 2 2 5 2 2 2 3" xfId="44325" xr:uid="{00000000-0005-0000-0000-0000BCC70000}"/>
    <cellStyle name="Normal 6 2 2 5 2 2 3" xfId="23973" xr:uid="{00000000-0005-0000-0000-0000BDC70000}"/>
    <cellStyle name="Normal 6 2 2 5 2 2 3 2" xfId="51106" xr:uid="{00000000-0005-0000-0000-0000BEC70000}"/>
    <cellStyle name="Normal 6 2 2 5 2 2 4" xfId="37544" xr:uid="{00000000-0005-0000-0000-0000BFC70000}"/>
    <cellStyle name="Normal 6 2 2 5 2 3" xfId="13797" xr:uid="{00000000-0005-0000-0000-0000C0C70000}"/>
    <cellStyle name="Normal 6 2 2 5 2 3 2" xfId="27365" xr:uid="{00000000-0005-0000-0000-0000C1C70000}"/>
    <cellStyle name="Normal 6 2 2 5 2 3 2 2" xfId="54498" xr:uid="{00000000-0005-0000-0000-0000C2C70000}"/>
    <cellStyle name="Normal 6 2 2 5 2 3 3" xfId="40936" xr:uid="{00000000-0005-0000-0000-0000C3C70000}"/>
    <cellStyle name="Normal 6 2 2 5 2 4" xfId="20584" xr:uid="{00000000-0005-0000-0000-0000C4C70000}"/>
    <cellStyle name="Normal 6 2 2 5 2 4 2" xfId="47717" xr:uid="{00000000-0005-0000-0000-0000C5C70000}"/>
    <cellStyle name="Normal 6 2 2 5 2 5" xfId="34155" xr:uid="{00000000-0005-0000-0000-0000C6C70000}"/>
    <cellStyle name="Normal 6 2 2 5 3" xfId="6867" xr:uid="{00000000-0005-0000-0000-0000C7C70000}"/>
    <cellStyle name="Normal 6 2 2 5 3 2" xfId="10397" xr:uid="{00000000-0005-0000-0000-0000C8C70000}"/>
    <cellStyle name="Normal 6 2 2 5 3 2 2" xfId="17187" xr:uid="{00000000-0005-0000-0000-0000C9C70000}"/>
    <cellStyle name="Normal 6 2 2 5 3 2 2 2" xfId="30755" xr:uid="{00000000-0005-0000-0000-0000CAC70000}"/>
    <cellStyle name="Normal 6 2 2 5 3 2 2 2 2" xfId="57888" xr:uid="{00000000-0005-0000-0000-0000CBC70000}"/>
    <cellStyle name="Normal 6 2 2 5 3 2 2 3" xfId="44326" xr:uid="{00000000-0005-0000-0000-0000CCC70000}"/>
    <cellStyle name="Normal 6 2 2 5 3 2 3" xfId="23974" xr:uid="{00000000-0005-0000-0000-0000CDC70000}"/>
    <cellStyle name="Normal 6 2 2 5 3 2 3 2" xfId="51107" xr:uid="{00000000-0005-0000-0000-0000CEC70000}"/>
    <cellStyle name="Normal 6 2 2 5 3 2 4" xfId="37545" xr:uid="{00000000-0005-0000-0000-0000CFC70000}"/>
    <cellStyle name="Normal 6 2 2 5 3 3" xfId="13798" xr:uid="{00000000-0005-0000-0000-0000D0C70000}"/>
    <cellStyle name="Normal 6 2 2 5 3 3 2" xfId="27366" xr:uid="{00000000-0005-0000-0000-0000D1C70000}"/>
    <cellStyle name="Normal 6 2 2 5 3 3 2 2" xfId="54499" xr:uid="{00000000-0005-0000-0000-0000D2C70000}"/>
    <cellStyle name="Normal 6 2 2 5 3 3 3" xfId="40937" xr:uid="{00000000-0005-0000-0000-0000D3C70000}"/>
    <cellStyle name="Normal 6 2 2 5 3 4" xfId="20585" xr:uid="{00000000-0005-0000-0000-0000D4C70000}"/>
    <cellStyle name="Normal 6 2 2 5 3 4 2" xfId="47718" xr:uid="{00000000-0005-0000-0000-0000D5C70000}"/>
    <cellStyle name="Normal 6 2 2 5 3 5" xfId="34156" xr:uid="{00000000-0005-0000-0000-0000D6C70000}"/>
    <cellStyle name="Normal 6 2 2 5 4" xfId="10395" xr:uid="{00000000-0005-0000-0000-0000D7C70000}"/>
    <cellStyle name="Normal 6 2 2 5 4 2" xfId="17185" xr:uid="{00000000-0005-0000-0000-0000D8C70000}"/>
    <cellStyle name="Normal 6 2 2 5 4 2 2" xfId="30753" xr:uid="{00000000-0005-0000-0000-0000D9C70000}"/>
    <cellStyle name="Normal 6 2 2 5 4 2 2 2" xfId="57886" xr:uid="{00000000-0005-0000-0000-0000DAC70000}"/>
    <cellStyle name="Normal 6 2 2 5 4 2 3" xfId="44324" xr:uid="{00000000-0005-0000-0000-0000DBC70000}"/>
    <cellStyle name="Normal 6 2 2 5 4 3" xfId="23972" xr:uid="{00000000-0005-0000-0000-0000DCC70000}"/>
    <cellStyle name="Normal 6 2 2 5 4 3 2" xfId="51105" xr:uid="{00000000-0005-0000-0000-0000DDC70000}"/>
    <cellStyle name="Normal 6 2 2 5 4 4" xfId="37543" xr:uid="{00000000-0005-0000-0000-0000DEC70000}"/>
    <cellStyle name="Normal 6 2 2 5 5" xfId="13796" xr:uid="{00000000-0005-0000-0000-0000DFC70000}"/>
    <cellStyle name="Normal 6 2 2 5 5 2" xfId="27364" xr:uid="{00000000-0005-0000-0000-0000E0C70000}"/>
    <cellStyle name="Normal 6 2 2 5 5 2 2" xfId="54497" xr:uid="{00000000-0005-0000-0000-0000E1C70000}"/>
    <cellStyle name="Normal 6 2 2 5 5 3" xfId="40935" xr:uid="{00000000-0005-0000-0000-0000E2C70000}"/>
    <cellStyle name="Normal 6 2 2 5 6" xfId="20583" xr:uid="{00000000-0005-0000-0000-0000E3C70000}"/>
    <cellStyle name="Normal 6 2 2 5 6 2" xfId="47716" xr:uid="{00000000-0005-0000-0000-0000E4C70000}"/>
    <cellStyle name="Normal 6 2 2 5 7" xfId="34154" xr:uid="{00000000-0005-0000-0000-0000E5C70000}"/>
    <cellStyle name="Normal 6 2 2 6" xfId="6868" xr:uid="{00000000-0005-0000-0000-0000E6C70000}"/>
    <cellStyle name="Normal 6 2 2 6 2" xfId="6869" xr:uid="{00000000-0005-0000-0000-0000E7C70000}"/>
    <cellStyle name="Normal 6 2 2 6 2 2" xfId="10399" xr:uid="{00000000-0005-0000-0000-0000E8C70000}"/>
    <cellStyle name="Normal 6 2 2 6 2 2 2" xfId="17189" xr:uid="{00000000-0005-0000-0000-0000E9C70000}"/>
    <cellStyle name="Normal 6 2 2 6 2 2 2 2" xfId="30757" xr:uid="{00000000-0005-0000-0000-0000EAC70000}"/>
    <cellStyle name="Normal 6 2 2 6 2 2 2 2 2" xfId="57890" xr:uid="{00000000-0005-0000-0000-0000EBC70000}"/>
    <cellStyle name="Normal 6 2 2 6 2 2 2 3" xfId="44328" xr:uid="{00000000-0005-0000-0000-0000ECC70000}"/>
    <cellStyle name="Normal 6 2 2 6 2 2 3" xfId="23976" xr:uid="{00000000-0005-0000-0000-0000EDC70000}"/>
    <cellStyle name="Normal 6 2 2 6 2 2 3 2" xfId="51109" xr:uid="{00000000-0005-0000-0000-0000EEC70000}"/>
    <cellStyle name="Normal 6 2 2 6 2 2 4" xfId="37547" xr:uid="{00000000-0005-0000-0000-0000EFC70000}"/>
    <cellStyle name="Normal 6 2 2 6 2 3" xfId="13800" xr:uid="{00000000-0005-0000-0000-0000F0C70000}"/>
    <cellStyle name="Normal 6 2 2 6 2 3 2" xfId="27368" xr:uid="{00000000-0005-0000-0000-0000F1C70000}"/>
    <cellStyle name="Normal 6 2 2 6 2 3 2 2" xfId="54501" xr:uid="{00000000-0005-0000-0000-0000F2C70000}"/>
    <cellStyle name="Normal 6 2 2 6 2 3 3" xfId="40939" xr:uid="{00000000-0005-0000-0000-0000F3C70000}"/>
    <cellStyle name="Normal 6 2 2 6 2 4" xfId="20587" xr:uid="{00000000-0005-0000-0000-0000F4C70000}"/>
    <cellStyle name="Normal 6 2 2 6 2 4 2" xfId="47720" xr:uid="{00000000-0005-0000-0000-0000F5C70000}"/>
    <cellStyle name="Normal 6 2 2 6 2 5" xfId="34158" xr:uid="{00000000-0005-0000-0000-0000F6C70000}"/>
    <cellStyle name="Normal 6 2 2 6 3" xfId="6870" xr:uid="{00000000-0005-0000-0000-0000F7C70000}"/>
    <cellStyle name="Normal 6 2 2 6 3 2" xfId="10400" xr:uid="{00000000-0005-0000-0000-0000F8C70000}"/>
    <cellStyle name="Normal 6 2 2 6 3 2 2" xfId="17190" xr:uid="{00000000-0005-0000-0000-0000F9C70000}"/>
    <cellStyle name="Normal 6 2 2 6 3 2 2 2" xfId="30758" xr:uid="{00000000-0005-0000-0000-0000FAC70000}"/>
    <cellStyle name="Normal 6 2 2 6 3 2 2 2 2" xfId="57891" xr:uid="{00000000-0005-0000-0000-0000FBC70000}"/>
    <cellStyle name="Normal 6 2 2 6 3 2 2 3" xfId="44329" xr:uid="{00000000-0005-0000-0000-0000FCC70000}"/>
    <cellStyle name="Normal 6 2 2 6 3 2 3" xfId="23977" xr:uid="{00000000-0005-0000-0000-0000FDC70000}"/>
    <cellStyle name="Normal 6 2 2 6 3 2 3 2" xfId="51110" xr:uid="{00000000-0005-0000-0000-0000FEC70000}"/>
    <cellStyle name="Normal 6 2 2 6 3 2 4" xfId="37548" xr:uid="{00000000-0005-0000-0000-0000FFC70000}"/>
    <cellStyle name="Normal 6 2 2 6 3 3" xfId="13801" xr:uid="{00000000-0005-0000-0000-000000C80000}"/>
    <cellStyle name="Normal 6 2 2 6 3 3 2" xfId="27369" xr:uid="{00000000-0005-0000-0000-000001C80000}"/>
    <cellStyle name="Normal 6 2 2 6 3 3 2 2" xfId="54502" xr:uid="{00000000-0005-0000-0000-000002C80000}"/>
    <cellStyle name="Normal 6 2 2 6 3 3 3" xfId="40940" xr:uid="{00000000-0005-0000-0000-000003C80000}"/>
    <cellStyle name="Normal 6 2 2 6 3 4" xfId="20588" xr:uid="{00000000-0005-0000-0000-000004C80000}"/>
    <cellStyle name="Normal 6 2 2 6 3 4 2" xfId="47721" xr:uid="{00000000-0005-0000-0000-000005C80000}"/>
    <cellStyle name="Normal 6 2 2 6 3 5" xfId="34159" xr:uid="{00000000-0005-0000-0000-000006C80000}"/>
    <cellStyle name="Normal 6 2 2 6 4" xfId="10398" xr:uid="{00000000-0005-0000-0000-000007C80000}"/>
    <cellStyle name="Normal 6 2 2 6 4 2" xfId="17188" xr:uid="{00000000-0005-0000-0000-000008C80000}"/>
    <cellStyle name="Normal 6 2 2 6 4 2 2" xfId="30756" xr:uid="{00000000-0005-0000-0000-000009C80000}"/>
    <cellStyle name="Normal 6 2 2 6 4 2 2 2" xfId="57889" xr:uid="{00000000-0005-0000-0000-00000AC80000}"/>
    <cellStyle name="Normal 6 2 2 6 4 2 3" xfId="44327" xr:uid="{00000000-0005-0000-0000-00000BC80000}"/>
    <cellStyle name="Normal 6 2 2 6 4 3" xfId="23975" xr:uid="{00000000-0005-0000-0000-00000CC80000}"/>
    <cellStyle name="Normal 6 2 2 6 4 3 2" xfId="51108" xr:uid="{00000000-0005-0000-0000-00000DC80000}"/>
    <cellStyle name="Normal 6 2 2 6 4 4" xfId="37546" xr:uid="{00000000-0005-0000-0000-00000EC80000}"/>
    <cellStyle name="Normal 6 2 2 6 5" xfId="13799" xr:uid="{00000000-0005-0000-0000-00000FC80000}"/>
    <cellStyle name="Normal 6 2 2 6 5 2" xfId="27367" xr:uid="{00000000-0005-0000-0000-000010C80000}"/>
    <cellStyle name="Normal 6 2 2 6 5 2 2" xfId="54500" xr:uid="{00000000-0005-0000-0000-000011C80000}"/>
    <cellStyle name="Normal 6 2 2 6 5 3" xfId="40938" xr:uid="{00000000-0005-0000-0000-000012C80000}"/>
    <cellStyle name="Normal 6 2 2 6 6" xfId="20586" xr:uid="{00000000-0005-0000-0000-000013C80000}"/>
    <cellStyle name="Normal 6 2 2 6 6 2" xfId="47719" xr:uid="{00000000-0005-0000-0000-000014C80000}"/>
    <cellStyle name="Normal 6 2 2 6 7" xfId="34157" xr:uid="{00000000-0005-0000-0000-000015C80000}"/>
    <cellStyle name="Normal 6 2 2 7" xfId="6871" xr:uid="{00000000-0005-0000-0000-000016C80000}"/>
    <cellStyle name="Normal 6 2 2 7 2" xfId="10401" xr:uid="{00000000-0005-0000-0000-000017C80000}"/>
    <cellStyle name="Normal 6 2 2 7 2 2" xfId="17191" xr:uid="{00000000-0005-0000-0000-000018C80000}"/>
    <cellStyle name="Normal 6 2 2 7 2 2 2" xfId="30759" xr:uid="{00000000-0005-0000-0000-000019C80000}"/>
    <cellStyle name="Normal 6 2 2 7 2 2 2 2" xfId="57892" xr:uid="{00000000-0005-0000-0000-00001AC80000}"/>
    <cellStyle name="Normal 6 2 2 7 2 2 3" xfId="44330" xr:uid="{00000000-0005-0000-0000-00001BC80000}"/>
    <cellStyle name="Normal 6 2 2 7 2 3" xfId="23978" xr:uid="{00000000-0005-0000-0000-00001CC80000}"/>
    <cellStyle name="Normal 6 2 2 7 2 3 2" xfId="51111" xr:uid="{00000000-0005-0000-0000-00001DC80000}"/>
    <cellStyle name="Normal 6 2 2 7 2 4" xfId="37549" xr:uid="{00000000-0005-0000-0000-00001EC80000}"/>
    <cellStyle name="Normal 6 2 2 7 3" xfId="13802" xr:uid="{00000000-0005-0000-0000-00001FC80000}"/>
    <cellStyle name="Normal 6 2 2 7 3 2" xfId="27370" xr:uid="{00000000-0005-0000-0000-000020C80000}"/>
    <cellStyle name="Normal 6 2 2 7 3 2 2" xfId="54503" xr:uid="{00000000-0005-0000-0000-000021C80000}"/>
    <cellStyle name="Normal 6 2 2 7 3 3" xfId="40941" xr:uid="{00000000-0005-0000-0000-000022C80000}"/>
    <cellStyle name="Normal 6 2 2 7 4" xfId="20589" xr:uid="{00000000-0005-0000-0000-000023C80000}"/>
    <cellStyle name="Normal 6 2 2 7 4 2" xfId="47722" xr:uid="{00000000-0005-0000-0000-000024C80000}"/>
    <cellStyle name="Normal 6 2 2 7 5" xfId="34160" xr:uid="{00000000-0005-0000-0000-000025C80000}"/>
    <cellStyle name="Normal 6 2 2 8" xfId="6872" xr:uid="{00000000-0005-0000-0000-000026C80000}"/>
    <cellStyle name="Normal 6 2 2 8 2" xfId="10402" xr:uid="{00000000-0005-0000-0000-000027C80000}"/>
    <cellStyle name="Normal 6 2 2 8 2 2" xfId="17192" xr:uid="{00000000-0005-0000-0000-000028C80000}"/>
    <cellStyle name="Normal 6 2 2 8 2 2 2" xfId="30760" xr:uid="{00000000-0005-0000-0000-000029C80000}"/>
    <cellStyle name="Normal 6 2 2 8 2 2 2 2" xfId="57893" xr:uid="{00000000-0005-0000-0000-00002AC80000}"/>
    <cellStyle name="Normal 6 2 2 8 2 2 3" xfId="44331" xr:uid="{00000000-0005-0000-0000-00002BC80000}"/>
    <cellStyle name="Normal 6 2 2 8 2 3" xfId="23979" xr:uid="{00000000-0005-0000-0000-00002CC80000}"/>
    <cellStyle name="Normal 6 2 2 8 2 3 2" xfId="51112" xr:uid="{00000000-0005-0000-0000-00002DC80000}"/>
    <cellStyle name="Normal 6 2 2 8 2 4" xfId="37550" xr:uid="{00000000-0005-0000-0000-00002EC80000}"/>
    <cellStyle name="Normal 6 2 2 8 3" xfId="13803" xr:uid="{00000000-0005-0000-0000-00002FC80000}"/>
    <cellStyle name="Normal 6 2 2 8 3 2" xfId="27371" xr:uid="{00000000-0005-0000-0000-000030C80000}"/>
    <cellStyle name="Normal 6 2 2 8 3 2 2" xfId="54504" xr:uid="{00000000-0005-0000-0000-000031C80000}"/>
    <cellStyle name="Normal 6 2 2 8 3 3" xfId="40942" xr:uid="{00000000-0005-0000-0000-000032C80000}"/>
    <cellStyle name="Normal 6 2 2 8 4" xfId="20590" xr:uid="{00000000-0005-0000-0000-000033C80000}"/>
    <cellStyle name="Normal 6 2 2 8 4 2" xfId="47723" xr:uid="{00000000-0005-0000-0000-000034C80000}"/>
    <cellStyle name="Normal 6 2 2 8 5" xfId="34161" xr:uid="{00000000-0005-0000-0000-000035C80000}"/>
    <cellStyle name="Normal 6 2 2 9" xfId="10364" xr:uid="{00000000-0005-0000-0000-000036C80000}"/>
    <cellStyle name="Normal 6 2 2 9 2" xfId="17154" xr:uid="{00000000-0005-0000-0000-000037C80000}"/>
    <cellStyle name="Normal 6 2 2 9 2 2" xfId="30722" xr:uid="{00000000-0005-0000-0000-000038C80000}"/>
    <cellStyle name="Normal 6 2 2 9 2 2 2" xfId="57855" xr:uid="{00000000-0005-0000-0000-000039C80000}"/>
    <cellStyle name="Normal 6 2 2 9 2 3" xfId="44293" xr:uid="{00000000-0005-0000-0000-00003AC80000}"/>
    <cellStyle name="Normal 6 2 2 9 3" xfId="23941" xr:uid="{00000000-0005-0000-0000-00003BC80000}"/>
    <cellStyle name="Normal 6 2 2 9 3 2" xfId="51074" xr:uid="{00000000-0005-0000-0000-00003CC80000}"/>
    <cellStyle name="Normal 6 2 2 9 4" xfId="37512" xr:uid="{00000000-0005-0000-0000-00003DC80000}"/>
    <cellStyle name="Normal 6 2 3" xfId="6873" xr:uid="{00000000-0005-0000-0000-00003EC80000}"/>
    <cellStyle name="Normal 6 2 3 10" xfId="34162" xr:uid="{00000000-0005-0000-0000-00003FC80000}"/>
    <cellStyle name="Normal 6 2 3 2" xfId="6874" xr:uid="{00000000-0005-0000-0000-000040C80000}"/>
    <cellStyle name="Normal 6 2 3 2 2" xfId="6875" xr:uid="{00000000-0005-0000-0000-000041C80000}"/>
    <cellStyle name="Normal 6 2 3 2 2 2" xfId="6876" xr:uid="{00000000-0005-0000-0000-000042C80000}"/>
    <cellStyle name="Normal 6 2 3 2 2 2 2" xfId="10406" xr:uid="{00000000-0005-0000-0000-000043C80000}"/>
    <cellStyle name="Normal 6 2 3 2 2 2 2 2" xfId="17196" xr:uid="{00000000-0005-0000-0000-000044C80000}"/>
    <cellStyle name="Normal 6 2 3 2 2 2 2 2 2" xfId="30764" xr:uid="{00000000-0005-0000-0000-000045C80000}"/>
    <cellStyle name="Normal 6 2 3 2 2 2 2 2 2 2" xfId="57897" xr:uid="{00000000-0005-0000-0000-000046C80000}"/>
    <cellStyle name="Normal 6 2 3 2 2 2 2 2 3" xfId="44335" xr:uid="{00000000-0005-0000-0000-000047C80000}"/>
    <cellStyle name="Normal 6 2 3 2 2 2 2 3" xfId="23983" xr:uid="{00000000-0005-0000-0000-000048C80000}"/>
    <cellStyle name="Normal 6 2 3 2 2 2 2 3 2" xfId="51116" xr:uid="{00000000-0005-0000-0000-000049C80000}"/>
    <cellStyle name="Normal 6 2 3 2 2 2 2 4" xfId="37554" xr:uid="{00000000-0005-0000-0000-00004AC80000}"/>
    <cellStyle name="Normal 6 2 3 2 2 2 3" xfId="13807" xr:uid="{00000000-0005-0000-0000-00004BC80000}"/>
    <cellStyle name="Normal 6 2 3 2 2 2 3 2" xfId="27375" xr:uid="{00000000-0005-0000-0000-00004CC80000}"/>
    <cellStyle name="Normal 6 2 3 2 2 2 3 2 2" xfId="54508" xr:uid="{00000000-0005-0000-0000-00004DC80000}"/>
    <cellStyle name="Normal 6 2 3 2 2 2 3 3" xfId="40946" xr:uid="{00000000-0005-0000-0000-00004EC80000}"/>
    <cellStyle name="Normal 6 2 3 2 2 2 4" xfId="20594" xr:uid="{00000000-0005-0000-0000-00004FC80000}"/>
    <cellStyle name="Normal 6 2 3 2 2 2 4 2" xfId="47727" xr:uid="{00000000-0005-0000-0000-000050C80000}"/>
    <cellStyle name="Normal 6 2 3 2 2 2 5" xfId="34165" xr:uid="{00000000-0005-0000-0000-000051C80000}"/>
    <cellStyle name="Normal 6 2 3 2 2 3" xfId="6877" xr:uid="{00000000-0005-0000-0000-000052C80000}"/>
    <cellStyle name="Normal 6 2 3 2 2 3 2" xfId="10407" xr:uid="{00000000-0005-0000-0000-000053C80000}"/>
    <cellStyle name="Normal 6 2 3 2 2 3 2 2" xfId="17197" xr:uid="{00000000-0005-0000-0000-000054C80000}"/>
    <cellStyle name="Normal 6 2 3 2 2 3 2 2 2" xfId="30765" xr:uid="{00000000-0005-0000-0000-000055C80000}"/>
    <cellStyle name="Normal 6 2 3 2 2 3 2 2 2 2" xfId="57898" xr:uid="{00000000-0005-0000-0000-000056C80000}"/>
    <cellStyle name="Normal 6 2 3 2 2 3 2 2 3" xfId="44336" xr:uid="{00000000-0005-0000-0000-000057C80000}"/>
    <cellStyle name="Normal 6 2 3 2 2 3 2 3" xfId="23984" xr:uid="{00000000-0005-0000-0000-000058C80000}"/>
    <cellStyle name="Normal 6 2 3 2 2 3 2 3 2" xfId="51117" xr:uid="{00000000-0005-0000-0000-000059C80000}"/>
    <cellStyle name="Normal 6 2 3 2 2 3 2 4" xfId="37555" xr:uid="{00000000-0005-0000-0000-00005AC80000}"/>
    <cellStyle name="Normal 6 2 3 2 2 3 3" xfId="13808" xr:uid="{00000000-0005-0000-0000-00005BC80000}"/>
    <cellStyle name="Normal 6 2 3 2 2 3 3 2" xfId="27376" xr:uid="{00000000-0005-0000-0000-00005CC80000}"/>
    <cellStyle name="Normal 6 2 3 2 2 3 3 2 2" xfId="54509" xr:uid="{00000000-0005-0000-0000-00005DC80000}"/>
    <cellStyle name="Normal 6 2 3 2 2 3 3 3" xfId="40947" xr:uid="{00000000-0005-0000-0000-00005EC80000}"/>
    <cellStyle name="Normal 6 2 3 2 2 3 4" xfId="20595" xr:uid="{00000000-0005-0000-0000-00005FC80000}"/>
    <cellStyle name="Normal 6 2 3 2 2 3 4 2" xfId="47728" xr:uid="{00000000-0005-0000-0000-000060C80000}"/>
    <cellStyle name="Normal 6 2 3 2 2 3 5" xfId="34166" xr:uid="{00000000-0005-0000-0000-000061C80000}"/>
    <cellStyle name="Normal 6 2 3 2 2 4" xfId="10405" xr:uid="{00000000-0005-0000-0000-000062C80000}"/>
    <cellStyle name="Normal 6 2 3 2 2 4 2" xfId="17195" xr:uid="{00000000-0005-0000-0000-000063C80000}"/>
    <cellStyle name="Normal 6 2 3 2 2 4 2 2" xfId="30763" xr:uid="{00000000-0005-0000-0000-000064C80000}"/>
    <cellStyle name="Normal 6 2 3 2 2 4 2 2 2" xfId="57896" xr:uid="{00000000-0005-0000-0000-000065C80000}"/>
    <cellStyle name="Normal 6 2 3 2 2 4 2 3" xfId="44334" xr:uid="{00000000-0005-0000-0000-000066C80000}"/>
    <cellStyle name="Normal 6 2 3 2 2 4 3" xfId="23982" xr:uid="{00000000-0005-0000-0000-000067C80000}"/>
    <cellStyle name="Normal 6 2 3 2 2 4 3 2" xfId="51115" xr:uid="{00000000-0005-0000-0000-000068C80000}"/>
    <cellStyle name="Normal 6 2 3 2 2 4 4" xfId="37553" xr:uid="{00000000-0005-0000-0000-000069C80000}"/>
    <cellStyle name="Normal 6 2 3 2 2 5" xfId="13806" xr:uid="{00000000-0005-0000-0000-00006AC80000}"/>
    <cellStyle name="Normal 6 2 3 2 2 5 2" xfId="27374" xr:uid="{00000000-0005-0000-0000-00006BC80000}"/>
    <cellStyle name="Normal 6 2 3 2 2 5 2 2" xfId="54507" xr:uid="{00000000-0005-0000-0000-00006CC80000}"/>
    <cellStyle name="Normal 6 2 3 2 2 5 3" xfId="40945" xr:uid="{00000000-0005-0000-0000-00006DC80000}"/>
    <cellStyle name="Normal 6 2 3 2 2 6" xfId="20593" xr:uid="{00000000-0005-0000-0000-00006EC80000}"/>
    <cellStyle name="Normal 6 2 3 2 2 6 2" xfId="47726" xr:uid="{00000000-0005-0000-0000-00006FC80000}"/>
    <cellStyle name="Normal 6 2 3 2 2 7" xfId="34164" xr:uid="{00000000-0005-0000-0000-000070C80000}"/>
    <cellStyle name="Normal 6 2 3 2 3" xfId="6878" xr:uid="{00000000-0005-0000-0000-000071C80000}"/>
    <cellStyle name="Normal 6 2 3 2 3 2" xfId="6879" xr:uid="{00000000-0005-0000-0000-000072C80000}"/>
    <cellStyle name="Normal 6 2 3 2 3 2 2" xfId="10409" xr:uid="{00000000-0005-0000-0000-000073C80000}"/>
    <cellStyle name="Normal 6 2 3 2 3 2 2 2" xfId="17199" xr:uid="{00000000-0005-0000-0000-000074C80000}"/>
    <cellStyle name="Normal 6 2 3 2 3 2 2 2 2" xfId="30767" xr:uid="{00000000-0005-0000-0000-000075C80000}"/>
    <cellStyle name="Normal 6 2 3 2 3 2 2 2 2 2" xfId="57900" xr:uid="{00000000-0005-0000-0000-000076C80000}"/>
    <cellStyle name="Normal 6 2 3 2 3 2 2 2 3" xfId="44338" xr:uid="{00000000-0005-0000-0000-000077C80000}"/>
    <cellStyle name="Normal 6 2 3 2 3 2 2 3" xfId="23986" xr:uid="{00000000-0005-0000-0000-000078C80000}"/>
    <cellStyle name="Normal 6 2 3 2 3 2 2 3 2" xfId="51119" xr:uid="{00000000-0005-0000-0000-000079C80000}"/>
    <cellStyle name="Normal 6 2 3 2 3 2 2 4" xfId="37557" xr:uid="{00000000-0005-0000-0000-00007AC80000}"/>
    <cellStyle name="Normal 6 2 3 2 3 2 3" xfId="13810" xr:uid="{00000000-0005-0000-0000-00007BC80000}"/>
    <cellStyle name="Normal 6 2 3 2 3 2 3 2" xfId="27378" xr:uid="{00000000-0005-0000-0000-00007CC80000}"/>
    <cellStyle name="Normal 6 2 3 2 3 2 3 2 2" xfId="54511" xr:uid="{00000000-0005-0000-0000-00007DC80000}"/>
    <cellStyle name="Normal 6 2 3 2 3 2 3 3" xfId="40949" xr:uid="{00000000-0005-0000-0000-00007EC80000}"/>
    <cellStyle name="Normal 6 2 3 2 3 2 4" xfId="20597" xr:uid="{00000000-0005-0000-0000-00007FC80000}"/>
    <cellStyle name="Normal 6 2 3 2 3 2 4 2" xfId="47730" xr:uid="{00000000-0005-0000-0000-000080C80000}"/>
    <cellStyle name="Normal 6 2 3 2 3 2 5" xfId="34168" xr:uid="{00000000-0005-0000-0000-000081C80000}"/>
    <cellStyle name="Normal 6 2 3 2 3 3" xfId="10408" xr:uid="{00000000-0005-0000-0000-000082C80000}"/>
    <cellStyle name="Normal 6 2 3 2 3 3 2" xfId="17198" xr:uid="{00000000-0005-0000-0000-000083C80000}"/>
    <cellStyle name="Normal 6 2 3 2 3 3 2 2" xfId="30766" xr:uid="{00000000-0005-0000-0000-000084C80000}"/>
    <cellStyle name="Normal 6 2 3 2 3 3 2 2 2" xfId="57899" xr:uid="{00000000-0005-0000-0000-000085C80000}"/>
    <cellStyle name="Normal 6 2 3 2 3 3 2 3" xfId="44337" xr:uid="{00000000-0005-0000-0000-000086C80000}"/>
    <cellStyle name="Normal 6 2 3 2 3 3 3" xfId="23985" xr:uid="{00000000-0005-0000-0000-000087C80000}"/>
    <cellStyle name="Normal 6 2 3 2 3 3 3 2" xfId="51118" xr:uid="{00000000-0005-0000-0000-000088C80000}"/>
    <cellStyle name="Normal 6 2 3 2 3 3 4" xfId="37556" xr:uid="{00000000-0005-0000-0000-000089C80000}"/>
    <cellStyle name="Normal 6 2 3 2 3 4" xfId="13809" xr:uid="{00000000-0005-0000-0000-00008AC80000}"/>
    <cellStyle name="Normal 6 2 3 2 3 4 2" xfId="27377" xr:uid="{00000000-0005-0000-0000-00008BC80000}"/>
    <cellStyle name="Normal 6 2 3 2 3 4 2 2" xfId="54510" xr:uid="{00000000-0005-0000-0000-00008CC80000}"/>
    <cellStyle name="Normal 6 2 3 2 3 4 3" xfId="40948" xr:uid="{00000000-0005-0000-0000-00008DC80000}"/>
    <cellStyle name="Normal 6 2 3 2 3 5" xfId="20596" xr:uid="{00000000-0005-0000-0000-00008EC80000}"/>
    <cellStyle name="Normal 6 2 3 2 3 5 2" xfId="47729" xr:uid="{00000000-0005-0000-0000-00008FC80000}"/>
    <cellStyle name="Normal 6 2 3 2 3 6" xfId="34167" xr:uid="{00000000-0005-0000-0000-000090C80000}"/>
    <cellStyle name="Normal 6 2 3 2 4" xfId="6880" xr:uid="{00000000-0005-0000-0000-000091C80000}"/>
    <cellStyle name="Normal 6 2 3 2 4 2" xfId="10410" xr:uid="{00000000-0005-0000-0000-000092C80000}"/>
    <cellStyle name="Normal 6 2 3 2 4 2 2" xfId="17200" xr:uid="{00000000-0005-0000-0000-000093C80000}"/>
    <cellStyle name="Normal 6 2 3 2 4 2 2 2" xfId="30768" xr:uid="{00000000-0005-0000-0000-000094C80000}"/>
    <cellStyle name="Normal 6 2 3 2 4 2 2 2 2" xfId="57901" xr:uid="{00000000-0005-0000-0000-000095C80000}"/>
    <cellStyle name="Normal 6 2 3 2 4 2 2 3" xfId="44339" xr:uid="{00000000-0005-0000-0000-000096C80000}"/>
    <cellStyle name="Normal 6 2 3 2 4 2 3" xfId="23987" xr:uid="{00000000-0005-0000-0000-000097C80000}"/>
    <cellStyle name="Normal 6 2 3 2 4 2 3 2" xfId="51120" xr:uid="{00000000-0005-0000-0000-000098C80000}"/>
    <cellStyle name="Normal 6 2 3 2 4 2 4" xfId="37558" xr:uid="{00000000-0005-0000-0000-000099C80000}"/>
    <cellStyle name="Normal 6 2 3 2 4 3" xfId="13811" xr:uid="{00000000-0005-0000-0000-00009AC80000}"/>
    <cellStyle name="Normal 6 2 3 2 4 3 2" xfId="27379" xr:uid="{00000000-0005-0000-0000-00009BC80000}"/>
    <cellStyle name="Normal 6 2 3 2 4 3 2 2" xfId="54512" xr:uid="{00000000-0005-0000-0000-00009CC80000}"/>
    <cellStyle name="Normal 6 2 3 2 4 3 3" xfId="40950" xr:uid="{00000000-0005-0000-0000-00009DC80000}"/>
    <cellStyle name="Normal 6 2 3 2 4 4" xfId="20598" xr:uid="{00000000-0005-0000-0000-00009EC80000}"/>
    <cellStyle name="Normal 6 2 3 2 4 4 2" xfId="47731" xr:uid="{00000000-0005-0000-0000-00009FC80000}"/>
    <cellStyle name="Normal 6 2 3 2 4 5" xfId="34169" xr:uid="{00000000-0005-0000-0000-0000A0C80000}"/>
    <cellStyle name="Normal 6 2 3 2 5" xfId="6881" xr:uid="{00000000-0005-0000-0000-0000A1C80000}"/>
    <cellStyle name="Normal 6 2 3 2 5 2" xfId="10411" xr:uid="{00000000-0005-0000-0000-0000A2C80000}"/>
    <cellStyle name="Normal 6 2 3 2 5 2 2" xfId="17201" xr:uid="{00000000-0005-0000-0000-0000A3C80000}"/>
    <cellStyle name="Normal 6 2 3 2 5 2 2 2" xfId="30769" xr:uid="{00000000-0005-0000-0000-0000A4C80000}"/>
    <cellStyle name="Normal 6 2 3 2 5 2 2 2 2" xfId="57902" xr:uid="{00000000-0005-0000-0000-0000A5C80000}"/>
    <cellStyle name="Normal 6 2 3 2 5 2 2 3" xfId="44340" xr:uid="{00000000-0005-0000-0000-0000A6C80000}"/>
    <cellStyle name="Normal 6 2 3 2 5 2 3" xfId="23988" xr:uid="{00000000-0005-0000-0000-0000A7C80000}"/>
    <cellStyle name="Normal 6 2 3 2 5 2 3 2" xfId="51121" xr:uid="{00000000-0005-0000-0000-0000A8C80000}"/>
    <cellStyle name="Normal 6 2 3 2 5 2 4" xfId="37559" xr:uid="{00000000-0005-0000-0000-0000A9C80000}"/>
    <cellStyle name="Normal 6 2 3 2 5 3" xfId="13812" xr:uid="{00000000-0005-0000-0000-0000AAC80000}"/>
    <cellStyle name="Normal 6 2 3 2 5 3 2" xfId="27380" xr:uid="{00000000-0005-0000-0000-0000ABC80000}"/>
    <cellStyle name="Normal 6 2 3 2 5 3 2 2" xfId="54513" xr:uid="{00000000-0005-0000-0000-0000ACC80000}"/>
    <cellStyle name="Normal 6 2 3 2 5 3 3" xfId="40951" xr:uid="{00000000-0005-0000-0000-0000ADC80000}"/>
    <cellStyle name="Normal 6 2 3 2 5 4" xfId="20599" xr:uid="{00000000-0005-0000-0000-0000AEC80000}"/>
    <cellStyle name="Normal 6 2 3 2 5 4 2" xfId="47732" xr:uid="{00000000-0005-0000-0000-0000AFC80000}"/>
    <cellStyle name="Normal 6 2 3 2 5 5" xfId="34170" xr:uid="{00000000-0005-0000-0000-0000B0C80000}"/>
    <cellStyle name="Normal 6 2 3 2 6" xfId="10404" xr:uid="{00000000-0005-0000-0000-0000B1C80000}"/>
    <cellStyle name="Normal 6 2 3 2 6 2" xfId="17194" xr:uid="{00000000-0005-0000-0000-0000B2C80000}"/>
    <cellStyle name="Normal 6 2 3 2 6 2 2" xfId="30762" xr:uid="{00000000-0005-0000-0000-0000B3C80000}"/>
    <cellStyle name="Normal 6 2 3 2 6 2 2 2" xfId="57895" xr:uid="{00000000-0005-0000-0000-0000B4C80000}"/>
    <cellStyle name="Normal 6 2 3 2 6 2 3" xfId="44333" xr:uid="{00000000-0005-0000-0000-0000B5C80000}"/>
    <cellStyle name="Normal 6 2 3 2 6 3" xfId="23981" xr:uid="{00000000-0005-0000-0000-0000B6C80000}"/>
    <cellStyle name="Normal 6 2 3 2 6 3 2" xfId="51114" xr:uid="{00000000-0005-0000-0000-0000B7C80000}"/>
    <cellStyle name="Normal 6 2 3 2 6 4" xfId="37552" xr:uid="{00000000-0005-0000-0000-0000B8C80000}"/>
    <cellStyle name="Normal 6 2 3 2 7" xfId="13805" xr:uid="{00000000-0005-0000-0000-0000B9C80000}"/>
    <cellStyle name="Normal 6 2 3 2 7 2" xfId="27373" xr:uid="{00000000-0005-0000-0000-0000BAC80000}"/>
    <cellStyle name="Normal 6 2 3 2 7 2 2" xfId="54506" xr:uid="{00000000-0005-0000-0000-0000BBC80000}"/>
    <cellStyle name="Normal 6 2 3 2 7 3" xfId="40944" xr:uid="{00000000-0005-0000-0000-0000BCC80000}"/>
    <cellStyle name="Normal 6 2 3 2 8" xfId="20592" xr:uid="{00000000-0005-0000-0000-0000BDC80000}"/>
    <cellStyle name="Normal 6 2 3 2 8 2" xfId="47725" xr:uid="{00000000-0005-0000-0000-0000BEC80000}"/>
    <cellStyle name="Normal 6 2 3 2 9" xfId="34163" xr:uid="{00000000-0005-0000-0000-0000BFC80000}"/>
    <cellStyle name="Normal 6 2 3 3" xfId="6882" xr:uid="{00000000-0005-0000-0000-0000C0C80000}"/>
    <cellStyle name="Normal 6 2 3 3 2" xfId="6883" xr:uid="{00000000-0005-0000-0000-0000C1C80000}"/>
    <cellStyle name="Normal 6 2 3 3 2 2" xfId="10413" xr:uid="{00000000-0005-0000-0000-0000C2C80000}"/>
    <cellStyle name="Normal 6 2 3 3 2 2 2" xfId="17203" xr:uid="{00000000-0005-0000-0000-0000C3C80000}"/>
    <cellStyle name="Normal 6 2 3 3 2 2 2 2" xfId="30771" xr:uid="{00000000-0005-0000-0000-0000C4C80000}"/>
    <cellStyle name="Normal 6 2 3 3 2 2 2 2 2" xfId="57904" xr:uid="{00000000-0005-0000-0000-0000C5C80000}"/>
    <cellStyle name="Normal 6 2 3 3 2 2 2 3" xfId="44342" xr:uid="{00000000-0005-0000-0000-0000C6C80000}"/>
    <cellStyle name="Normal 6 2 3 3 2 2 3" xfId="23990" xr:uid="{00000000-0005-0000-0000-0000C7C80000}"/>
    <cellStyle name="Normal 6 2 3 3 2 2 3 2" xfId="51123" xr:uid="{00000000-0005-0000-0000-0000C8C80000}"/>
    <cellStyle name="Normal 6 2 3 3 2 2 4" xfId="37561" xr:uid="{00000000-0005-0000-0000-0000C9C80000}"/>
    <cellStyle name="Normal 6 2 3 3 2 3" xfId="13814" xr:uid="{00000000-0005-0000-0000-0000CAC80000}"/>
    <cellStyle name="Normal 6 2 3 3 2 3 2" xfId="27382" xr:uid="{00000000-0005-0000-0000-0000CBC80000}"/>
    <cellStyle name="Normal 6 2 3 3 2 3 2 2" xfId="54515" xr:uid="{00000000-0005-0000-0000-0000CCC80000}"/>
    <cellStyle name="Normal 6 2 3 3 2 3 3" xfId="40953" xr:uid="{00000000-0005-0000-0000-0000CDC80000}"/>
    <cellStyle name="Normal 6 2 3 3 2 4" xfId="20601" xr:uid="{00000000-0005-0000-0000-0000CEC80000}"/>
    <cellStyle name="Normal 6 2 3 3 2 4 2" xfId="47734" xr:uid="{00000000-0005-0000-0000-0000CFC80000}"/>
    <cellStyle name="Normal 6 2 3 3 2 5" xfId="34172" xr:uid="{00000000-0005-0000-0000-0000D0C80000}"/>
    <cellStyle name="Normal 6 2 3 3 3" xfId="6884" xr:uid="{00000000-0005-0000-0000-0000D1C80000}"/>
    <cellStyle name="Normal 6 2 3 3 3 2" xfId="10414" xr:uid="{00000000-0005-0000-0000-0000D2C80000}"/>
    <cellStyle name="Normal 6 2 3 3 3 2 2" xfId="17204" xr:uid="{00000000-0005-0000-0000-0000D3C80000}"/>
    <cellStyle name="Normal 6 2 3 3 3 2 2 2" xfId="30772" xr:uid="{00000000-0005-0000-0000-0000D4C80000}"/>
    <cellStyle name="Normal 6 2 3 3 3 2 2 2 2" xfId="57905" xr:uid="{00000000-0005-0000-0000-0000D5C80000}"/>
    <cellStyle name="Normal 6 2 3 3 3 2 2 3" xfId="44343" xr:uid="{00000000-0005-0000-0000-0000D6C80000}"/>
    <cellStyle name="Normal 6 2 3 3 3 2 3" xfId="23991" xr:uid="{00000000-0005-0000-0000-0000D7C80000}"/>
    <cellStyle name="Normal 6 2 3 3 3 2 3 2" xfId="51124" xr:uid="{00000000-0005-0000-0000-0000D8C80000}"/>
    <cellStyle name="Normal 6 2 3 3 3 2 4" xfId="37562" xr:uid="{00000000-0005-0000-0000-0000D9C80000}"/>
    <cellStyle name="Normal 6 2 3 3 3 3" xfId="13815" xr:uid="{00000000-0005-0000-0000-0000DAC80000}"/>
    <cellStyle name="Normal 6 2 3 3 3 3 2" xfId="27383" xr:uid="{00000000-0005-0000-0000-0000DBC80000}"/>
    <cellStyle name="Normal 6 2 3 3 3 3 2 2" xfId="54516" xr:uid="{00000000-0005-0000-0000-0000DCC80000}"/>
    <cellStyle name="Normal 6 2 3 3 3 3 3" xfId="40954" xr:uid="{00000000-0005-0000-0000-0000DDC80000}"/>
    <cellStyle name="Normal 6 2 3 3 3 4" xfId="20602" xr:uid="{00000000-0005-0000-0000-0000DEC80000}"/>
    <cellStyle name="Normal 6 2 3 3 3 4 2" xfId="47735" xr:uid="{00000000-0005-0000-0000-0000DFC80000}"/>
    <cellStyle name="Normal 6 2 3 3 3 5" xfId="34173" xr:uid="{00000000-0005-0000-0000-0000E0C80000}"/>
    <cellStyle name="Normal 6 2 3 3 4" xfId="10412" xr:uid="{00000000-0005-0000-0000-0000E1C80000}"/>
    <cellStyle name="Normal 6 2 3 3 4 2" xfId="17202" xr:uid="{00000000-0005-0000-0000-0000E2C80000}"/>
    <cellStyle name="Normal 6 2 3 3 4 2 2" xfId="30770" xr:uid="{00000000-0005-0000-0000-0000E3C80000}"/>
    <cellStyle name="Normal 6 2 3 3 4 2 2 2" xfId="57903" xr:uid="{00000000-0005-0000-0000-0000E4C80000}"/>
    <cellStyle name="Normal 6 2 3 3 4 2 3" xfId="44341" xr:uid="{00000000-0005-0000-0000-0000E5C80000}"/>
    <cellStyle name="Normal 6 2 3 3 4 3" xfId="23989" xr:uid="{00000000-0005-0000-0000-0000E6C80000}"/>
    <cellStyle name="Normal 6 2 3 3 4 3 2" xfId="51122" xr:uid="{00000000-0005-0000-0000-0000E7C80000}"/>
    <cellStyle name="Normal 6 2 3 3 4 4" xfId="37560" xr:uid="{00000000-0005-0000-0000-0000E8C80000}"/>
    <cellStyle name="Normal 6 2 3 3 5" xfId="13813" xr:uid="{00000000-0005-0000-0000-0000E9C80000}"/>
    <cellStyle name="Normal 6 2 3 3 5 2" xfId="27381" xr:uid="{00000000-0005-0000-0000-0000EAC80000}"/>
    <cellStyle name="Normal 6 2 3 3 5 2 2" xfId="54514" xr:uid="{00000000-0005-0000-0000-0000EBC80000}"/>
    <cellStyle name="Normal 6 2 3 3 5 3" xfId="40952" xr:uid="{00000000-0005-0000-0000-0000ECC80000}"/>
    <cellStyle name="Normal 6 2 3 3 6" xfId="20600" xr:uid="{00000000-0005-0000-0000-0000EDC80000}"/>
    <cellStyle name="Normal 6 2 3 3 6 2" xfId="47733" xr:uid="{00000000-0005-0000-0000-0000EEC80000}"/>
    <cellStyle name="Normal 6 2 3 3 7" xfId="34171" xr:uid="{00000000-0005-0000-0000-0000EFC80000}"/>
    <cellStyle name="Normal 6 2 3 4" xfId="6885" xr:uid="{00000000-0005-0000-0000-0000F0C80000}"/>
    <cellStyle name="Normal 6 2 3 4 2" xfId="6886" xr:uid="{00000000-0005-0000-0000-0000F1C80000}"/>
    <cellStyle name="Normal 6 2 3 4 2 2" xfId="10416" xr:uid="{00000000-0005-0000-0000-0000F2C80000}"/>
    <cellStyle name="Normal 6 2 3 4 2 2 2" xfId="17206" xr:uid="{00000000-0005-0000-0000-0000F3C80000}"/>
    <cellStyle name="Normal 6 2 3 4 2 2 2 2" xfId="30774" xr:uid="{00000000-0005-0000-0000-0000F4C80000}"/>
    <cellStyle name="Normal 6 2 3 4 2 2 2 2 2" xfId="57907" xr:uid="{00000000-0005-0000-0000-0000F5C80000}"/>
    <cellStyle name="Normal 6 2 3 4 2 2 2 3" xfId="44345" xr:uid="{00000000-0005-0000-0000-0000F6C80000}"/>
    <cellStyle name="Normal 6 2 3 4 2 2 3" xfId="23993" xr:uid="{00000000-0005-0000-0000-0000F7C80000}"/>
    <cellStyle name="Normal 6 2 3 4 2 2 3 2" xfId="51126" xr:uid="{00000000-0005-0000-0000-0000F8C80000}"/>
    <cellStyle name="Normal 6 2 3 4 2 2 4" xfId="37564" xr:uid="{00000000-0005-0000-0000-0000F9C80000}"/>
    <cellStyle name="Normal 6 2 3 4 2 3" xfId="13817" xr:uid="{00000000-0005-0000-0000-0000FAC80000}"/>
    <cellStyle name="Normal 6 2 3 4 2 3 2" xfId="27385" xr:uid="{00000000-0005-0000-0000-0000FBC80000}"/>
    <cellStyle name="Normal 6 2 3 4 2 3 2 2" xfId="54518" xr:uid="{00000000-0005-0000-0000-0000FCC80000}"/>
    <cellStyle name="Normal 6 2 3 4 2 3 3" xfId="40956" xr:uid="{00000000-0005-0000-0000-0000FDC80000}"/>
    <cellStyle name="Normal 6 2 3 4 2 4" xfId="20604" xr:uid="{00000000-0005-0000-0000-0000FEC80000}"/>
    <cellStyle name="Normal 6 2 3 4 2 4 2" xfId="47737" xr:uid="{00000000-0005-0000-0000-0000FFC80000}"/>
    <cellStyle name="Normal 6 2 3 4 2 5" xfId="34175" xr:uid="{00000000-0005-0000-0000-000000C90000}"/>
    <cellStyle name="Normal 6 2 3 4 3" xfId="10415" xr:uid="{00000000-0005-0000-0000-000001C90000}"/>
    <cellStyle name="Normal 6 2 3 4 3 2" xfId="17205" xr:uid="{00000000-0005-0000-0000-000002C90000}"/>
    <cellStyle name="Normal 6 2 3 4 3 2 2" xfId="30773" xr:uid="{00000000-0005-0000-0000-000003C90000}"/>
    <cellStyle name="Normal 6 2 3 4 3 2 2 2" xfId="57906" xr:uid="{00000000-0005-0000-0000-000004C90000}"/>
    <cellStyle name="Normal 6 2 3 4 3 2 3" xfId="44344" xr:uid="{00000000-0005-0000-0000-000005C90000}"/>
    <cellStyle name="Normal 6 2 3 4 3 3" xfId="23992" xr:uid="{00000000-0005-0000-0000-000006C90000}"/>
    <cellStyle name="Normal 6 2 3 4 3 3 2" xfId="51125" xr:uid="{00000000-0005-0000-0000-000007C90000}"/>
    <cellStyle name="Normal 6 2 3 4 3 4" xfId="37563" xr:uid="{00000000-0005-0000-0000-000008C90000}"/>
    <cellStyle name="Normal 6 2 3 4 4" xfId="13816" xr:uid="{00000000-0005-0000-0000-000009C90000}"/>
    <cellStyle name="Normal 6 2 3 4 4 2" xfId="27384" xr:uid="{00000000-0005-0000-0000-00000AC90000}"/>
    <cellStyle name="Normal 6 2 3 4 4 2 2" xfId="54517" xr:uid="{00000000-0005-0000-0000-00000BC90000}"/>
    <cellStyle name="Normal 6 2 3 4 4 3" xfId="40955" xr:uid="{00000000-0005-0000-0000-00000CC90000}"/>
    <cellStyle name="Normal 6 2 3 4 5" xfId="20603" xr:uid="{00000000-0005-0000-0000-00000DC90000}"/>
    <cellStyle name="Normal 6 2 3 4 5 2" xfId="47736" xr:uid="{00000000-0005-0000-0000-00000EC90000}"/>
    <cellStyle name="Normal 6 2 3 4 6" xfId="34174" xr:uid="{00000000-0005-0000-0000-00000FC90000}"/>
    <cellStyle name="Normal 6 2 3 5" xfId="6887" xr:uid="{00000000-0005-0000-0000-000010C90000}"/>
    <cellStyle name="Normal 6 2 3 5 2" xfId="10417" xr:uid="{00000000-0005-0000-0000-000011C90000}"/>
    <cellStyle name="Normal 6 2 3 5 2 2" xfId="17207" xr:uid="{00000000-0005-0000-0000-000012C90000}"/>
    <cellStyle name="Normal 6 2 3 5 2 2 2" xfId="30775" xr:uid="{00000000-0005-0000-0000-000013C90000}"/>
    <cellStyle name="Normal 6 2 3 5 2 2 2 2" xfId="57908" xr:uid="{00000000-0005-0000-0000-000014C90000}"/>
    <cellStyle name="Normal 6 2 3 5 2 2 3" xfId="44346" xr:uid="{00000000-0005-0000-0000-000015C90000}"/>
    <cellStyle name="Normal 6 2 3 5 2 3" xfId="23994" xr:uid="{00000000-0005-0000-0000-000016C90000}"/>
    <cellStyle name="Normal 6 2 3 5 2 3 2" xfId="51127" xr:uid="{00000000-0005-0000-0000-000017C90000}"/>
    <cellStyle name="Normal 6 2 3 5 2 4" xfId="37565" xr:uid="{00000000-0005-0000-0000-000018C90000}"/>
    <cellStyle name="Normal 6 2 3 5 3" xfId="13818" xr:uid="{00000000-0005-0000-0000-000019C90000}"/>
    <cellStyle name="Normal 6 2 3 5 3 2" xfId="27386" xr:uid="{00000000-0005-0000-0000-00001AC90000}"/>
    <cellStyle name="Normal 6 2 3 5 3 2 2" xfId="54519" xr:uid="{00000000-0005-0000-0000-00001BC90000}"/>
    <cellStyle name="Normal 6 2 3 5 3 3" xfId="40957" xr:uid="{00000000-0005-0000-0000-00001CC90000}"/>
    <cellStyle name="Normal 6 2 3 5 4" xfId="20605" xr:uid="{00000000-0005-0000-0000-00001DC90000}"/>
    <cellStyle name="Normal 6 2 3 5 4 2" xfId="47738" xr:uid="{00000000-0005-0000-0000-00001EC90000}"/>
    <cellStyle name="Normal 6 2 3 5 5" xfId="34176" xr:uid="{00000000-0005-0000-0000-00001FC90000}"/>
    <cellStyle name="Normal 6 2 3 6" xfId="6888" xr:uid="{00000000-0005-0000-0000-000020C90000}"/>
    <cellStyle name="Normal 6 2 3 6 2" xfId="10418" xr:uid="{00000000-0005-0000-0000-000021C90000}"/>
    <cellStyle name="Normal 6 2 3 6 2 2" xfId="17208" xr:uid="{00000000-0005-0000-0000-000022C90000}"/>
    <cellStyle name="Normal 6 2 3 6 2 2 2" xfId="30776" xr:uid="{00000000-0005-0000-0000-000023C90000}"/>
    <cellStyle name="Normal 6 2 3 6 2 2 2 2" xfId="57909" xr:uid="{00000000-0005-0000-0000-000024C90000}"/>
    <cellStyle name="Normal 6 2 3 6 2 2 3" xfId="44347" xr:uid="{00000000-0005-0000-0000-000025C90000}"/>
    <cellStyle name="Normal 6 2 3 6 2 3" xfId="23995" xr:uid="{00000000-0005-0000-0000-000026C90000}"/>
    <cellStyle name="Normal 6 2 3 6 2 3 2" xfId="51128" xr:uid="{00000000-0005-0000-0000-000027C90000}"/>
    <cellStyle name="Normal 6 2 3 6 2 4" xfId="37566" xr:uid="{00000000-0005-0000-0000-000028C90000}"/>
    <cellStyle name="Normal 6 2 3 6 3" xfId="13819" xr:uid="{00000000-0005-0000-0000-000029C90000}"/>
    <cellStyle name="Normal 6 2 3 6 3 2" xfId="27387" xr:uid="{00000000-0005-0000-0000-00002AC90000}"/>
    <cellStyle name="Normal 6 2 3 6 3 2 2" xfId="54520" xr:uid="{00000000-0005-0000-0000-00002BC90000}"/>
    <cellStyle name="Normal 6 2 3 6 3 3" xfId="40958" xr:uid="{00000000-0005-0000-0000-00002CC90000}"/>
    <cellStyle name="Normal 6 2 3 6 4" xfId="20606" xr:uid="{00000000-0005-0000-0000-00002DC90000}"/>
    <cellStyle name="Normal 6 2 3 6 4 2" xfId="47739" xr:uid="{00000000-0005-0000-0000-00002EC90000}"/>
    <cellStyle name="Normal 6 2 3 6 5" xfId="34177" xr:uid="{00000000-0005-0000-0000-00002FC90000}"/>
    <cellStyle name="Normal 6 2 3 7" xfId="10403" xr:uid="{00000000-0005-0000-0000-000030C90000}"/>
    <cellStyle name="Normal 6 2 3 7 2" xfId="17193" xr:uid="{00000000-0005-0000-0000-000031C90000}"/>
    <cellStyle name="Normal 6 2 3 7 2 2" xfId="30761" xr:uid="{00000000-0005-0000-0000-000032C90000}"/>
    <cellStyle name="Normal 6 2 3 7 2 2 2" xfId="57894" xr:uid="{00000000-0005-0000-0000-000033C90000}"/>
    <cellStyle name="Normal 6 2 3 7 2 3" xfId="44332" xr:uid="{00000000-0005-0000-0000-000034C90000}"/>
    <cellStyle name="Normal 6 2 3 7 3" xfId="23980" xr:uid="{00000000-0005-0000-0000-000035C90000}"/>
    <cellStyle name="Normal 6 2 3 7 3 2" xfId="51113" xr:uid="{00000000-0005-0000-0000-000036C90000}"/>
    <cellStyle name="Normal 6 2 3 7 4" xfId="37551" xr:uid="{00000000-0005-0000-0000-000037C90000}"/>
    <cellStyle name="Normal 6 2 3 8" xfId="13804" xr:uid="{00000000-0005-0000-0000-000038C90000}"/>
    <cellStyle name="Normal 6 2 3 8 2" xfId="27372" xr:uid="{00000000-0005-0000-0000-000039C90000}"/>
    <cellStyle name="Normal 6 2 3 8 2 2" xfId="54505" xr:uid="{00000000-0005-0000-0000-00003AC90000}"/>
    <cellStyle name="Normal 6 2 3 8 3" xfId="40943" xr:uid="{00000000-0005-0000-0000-00003BC90000}"/>
    <cellStyle name="Normal 6 2 3 9" xfId="20591" xr:uid="{00000000-0005-0000-0000-00003CC90000}"/>
    <cellStyle name="Normal 6 2 3 9 2" xfId="47724" xr:uid="{00000000-0005-0000-0000-00003DC90000}"/>
    <cellStyle name="Normal 6 2 4" xfId="6889" xr:uid="{00000000-0005-0000-0000-00003EC90000}"/>
    <cellStyle name="Normal 6 2 4 2" xfId="6890" xr:uid="{00000000-0005-0000-0000-00003FC90000}"/>
    <cellStyle name="Normal 6 2 4 2 2" xfId="6891" xr:uid="{00000000-0005-0000-0000-000040C90000}"/>
    <cellStyle name="Normal 6 2 4 2 2 2" xfId="10421" xr:uid="{00000000-0005-0000-0000-000041C90000}"/>
    <cellStyle name="Normal 6 2 4 2 2 2 2" xfId="17211" xr:uid="{00000000-0005-0000-0000-000042C90000}"/>
    <cellStyle name="Normal 6 2 4 2 2 2 2 2" xfId="30779" xr:uid="{00000000-0005-0000-0000-000043C90000}"/>
    <cellStyle name="Normal 6 2 4 2 2 2 2 2 2" xfId="57912" xr:uid="{00000000-0005-0000-0000-000044C90000}"/>
    <cellStyle name="Normal 6 2 4 2 2 2 2 3" xfId="44350" xr:uid="{00000000-0005-0000-0000-000045C90000}"/>
    <cellStyle name="Normal 6 2 4 2 2 2 3" xfId="23998" xr:uid="{00000000-0005-0000-0000-000046C90000}"/>
    <cellStyle name="Normal 6 2 4 2 2 2 3 2" xfId="51131" xr:uid="{00000000-0005-0000-0000-000047C90000}"/>
    <cellStyle name="Normal 6 2 4 2 2 2 4" xfId="37569" xr:uid="{00000000-0005-0000-0000-000048C90000}"/>
    <cellStyle name="Normal 6 2 4 2 2 3" xfId="13822" xr:uid="{00000000-0005-0000-0000-000049C90000}"/>
    <cellStyle name="Normal 6 2 4 2 2 3 2" xfId="27390" xr:uid="{00000000-0005-0000-0000-00004AC90000}"/>
    <cellStyle name="Normal 6 2 4 2 2 3 2 2" xfId="54523" xr:uid="{00000000-0005-0000-0000-00004BC90000}"/>
    <cellStyle name="Normal 6 2 4 2 2 3 3" xfId="40961" xr:uid="{00000000-0005-0000-0000-00004CC90000}"/>
    <cellStyle name="Normal 6 2 4 2 2 4" xfId="20609" xr:uid="{00000000-0005-0000-0000-00004DC90000}"/>
    <cellStyle name="Normal 6 2 4 2 2 4 2" xfId="47742" xr:uid="{00000000-0005-0000-0000-00004EC90000}"/>
    <cellStyle name="Normal 6 2 4 2 2 5" xfId="34180" xr:uid="{00000000-0005-0000-0000-00004FC90000}"/>
    <cellStyle name="Normal 6 2 4 2 3" xfId="6892" xr:uid="{00000000-0005-0000-0000-000050C90000}"/>
    <cellStyle name="Normal 6 2 4 2 3 2" xfId="10422" xr:uid="{00000000-0005-0000-0000-000051C90000}"/>
    <cellStyle name="Normal 6 2 4 2 3 2 2" xfId="17212" xr:uid="{00000000-0005-0000-0000-000052C90000}"/>
    <cellStyle name="Normal 6 2 4 2 3 2 2 2" xfId="30780" xr:uid="{00000000-0005-0000-0000-000053C90000}"/>
    <cellStyle name="Normal 6 2 4 2 3 2 2 2 2" xfId="57913" xr:uid="{00000000-0005-0000-0000-000054C90000}"/>
    <cellStyle name="Normal 6 2 4 2 3 2 2 3" xfId="44351" xr:uid="{00000000-0005-0000-0000-000055C90000}"/>
    <cellStyle name="Normal 6 2 4 2 3 2 3" xfId="23999" xr:uid="{00000000-0005-0000-0000-000056C90000}"/>
    <cellStyle name="Normal 6 2 4 2 3 2 3 2" xfId="51132" xr:uid="{00000000-0005-0000-0000-000057C90000}"/>
    <cellStyle name="Normal 6 2 4 2 3 2 4" xfId="37570" xr:uid="{00000000-0005-0000-0000-000058C90000}"/>
    <cellStyle name="Normal 6 2 4 2 3 3" xfId="13823" xr:uid="{00000000-0005-0000-0000-000059C90000}"/>
    <cellStyle name="Normal 6 2 4 2 3 3 2" xfId="27391" xr:uid="{00000000-0005-0000-0000-00005AC90000}"/>
    <cellStyle name="Normal 6 2 4 2 3 3 2 2" xfId="54524" xr:uid="{00000000-0005-0000-0000-00005BC90000}"/>
    <cellStyle name="Normal 6 2 4 2 3 3 3" xfId="40962" xr:uid="{00000000-0005-0000-0000-00005CC90000}"/>
    <cellStyle name="Normal 6 2 4 2 3 4" xfId="20610" xr:uid="{00000000-0005-0000-0000-00005DC90000}"/>
    <cellStyle name="Normal 6 2 4 2 3 4 2" xfId="47743" xr:uid="{00000000-0005-0000-0000-00005EC90000}"/>
    <cellStyle name="Normal 6 2 4 2 3 5" xfId="34181" xr:uid="{00000000-0005-0000-0000-00005FC90000}"/>
    <cellStyle name="Normal 6 2 4 2 4" xfId="10420" xr:uid="{00000000-0005-0000-0000-000060C90000}"/>
    <cellStyle name="Normal 6 2 4 2 4 2" xfId="17210" xr:uid="{00000000-0005-0000-0000-000061C90000}"/>
    <cellStyle name="Normal 6 2 4 2 4 2 2" xfId="30778" xr:uid="{00000000-0005-0000-0000-000062C90000}"/>
    <cellStyle name="Normal 6 2 4 2 4 2 2 2" xfId="57911" xr:uid="{00000000-0005-0000-0000-000063C90000}"/>
    <cellStyle name="Normal 6 2 4 2 4 2 3" xfId="44349" xr:uid="{00000000-0005-0000-0000-000064C90000}"/>
    <cellStyle name="Normal 6 2 4 2 4 3" xfId="23997" xr:uid="{00000000-0005-0000-0000-000065C90000}"/>
    <cellStyle name="Normal 6 2 4 2 4 3 2" xfId="51130" xr:uid="{00000000-0005-0000-0000-000066C90000}"/>
    <cellStyle name="Normal 6 2 4 2 4 4" xfId="37568" xr:uid="{00000000-0005-0000-0000-000067C90000}"/>
    <cellStyle name="Normal 6 2 4 2 5" xfId="13821" xr:uid="{00000000-0005-0000-0000-000068C90000}"/>
    <cellStyle name="Normal 6 2 4 2 5 2" xfId="27389" xr:uid="{00000000-0005-0000-0000-000069C90000}"/>
    <cellStyle name="Normal 6 2 4 2 5 2 2" xfId="54522" xr:uid="{00000000-0005-0000-0000-00006AC90000}"/>
    <cellStyle name="Normal 6 2 4 2 5 3" xfId="40960" xr:uid="{00000000-0005-0000-0000-00006BC90000}"/>
    <cellStyle name="Normal 6 2 4 2 6" xfId="20608" xr:uid="{00000000-0005-0000-0000-00006CC90000}"/>
    <cellStyle name="Normal 6 2 4 2 6 2" xfId="47741" xr:uid="{00000000-0005-0000-0000-00006DC90000}"/>
    <cellStyle name="Normal 6 2 4 2 7" xfId="34179" xr:uid="{00000000-0005-0000-0000-00006EC90000}"/>
    <cellStyle name="Normal 6 2 4 3" xfId="6893" xr:uid="{00000000-0005-0000-0000-00006FC90000}"/>
    <cellStyle name="Normal 6 2 4 3 2" xfId="6894" xr:uid="{00000000-0005-0000-0000-000070C90000}"/>
    <cellStyle name="Normal 6 2 4 3 2 2" xfId="10424" xr:uid="{00000000-0005-0000-0000-000071C90000}"/>
    <cellStyle name="Normal 6 2 4 3 2 2 2" xfId="17214" xr:uid="{00000000-0005-0000-0000-000072C90000}"/>
    <cellStyle name="Normal 6 2 4 3 2 2 2 2" xfId="30782" xr:uid="{00000000-0005-0000-0000-000073C90000}"/>
    <cellStyle name="Normal 6 2 4 3 2 2 2 2 2" xfId="57915" xr:uid="{00000000-0005-0000-0000-000074C90000}"/>
    <cellStyle name="Normal 6 2 4 3 2 2 2 3" xfId="44353" xr:uid="{00000000-0005-0000-0000-000075C90000}"/>
    <cellStyle name="Normal 6 2 4 3 2 2 3" xfId="24001" xr:uid="{00000000-0005-0000-0000-000076C90000}"/>
    <cellStyle name="Normal 6 2 4 3 2 2 3 2" xfId="51134" xr:uid="{00000000-0005-0000-0000-000077C90000}"/>
    <cellStyle name="Normal 6 2 4 3 2 2 4" xfId="37572" xr:uid="{00000000-0005-0000-0000-000078C90000}"/>
    <cellStyle name="Normal 6 2 4 3 2 3" xfId="13825" xr:uid="{00000000-0005-0000-0000-000079C90000}"/>
    <cellStyle name="Normal 6 2 4 3 2 3 2" xfId="27393" xr:uid="{00000000-0005-0000-0000-00007AC90000}"/>
    <cellStyle name="Normal 6 2 4 3 2 3 2 2" xfId="54526" xr:uid="{00000000-0005-0000-0000-00007BC90000}"/>
    <cellStyle name="Normal 6 2 4 3 2 3 3" xfId="40964" xr:uid="{00000000-0005-0000-0000-00007CC90000}"/>
    <cellStyle name="Normal 6 2 4 3 2 4" xfId="20612" xr:uid="{00000000-0005-0000-0000-00007DC90000}"/>
    <cellStyle name="Normal 6 2 4 3 2 4 2" xfId="47745" xr:uid="{00000000-0005-0000-0000-00007EC90000}"/>
    <cellStyle name="Normal 6 2 4 3 2 5" xfId="34183" xr:uid="{00000000-0005-0000-0000-00007FC90000}"/>
    <cellStyle name="Normal 6 2 4 3 3" xfId="10423" xr:uid="{00000000-0005-0000-0000-000080C90000}"/>
    <cellStyle name="Normal 6 2 4 3 3 2" xfId="17213" xr:uid="{00000000-0005-0000-0000-000081C90000}"/>
    <cellStyle name="Normal 6 2 4 3 3 2 2" xfId="30781" xr:uid="{00000000-0005-0000-0000-000082C90000}"/>
    <cellStyle name="Normal 6 2 4 3 3 2 2 2" xfId="57914" xr:uid="{00000000-0005-0000-0000-000083C90000}"/>
    <cellStyle name="Normal 6 2 4 3 3 2 3" xfId="44352" xr:uid="{00000000-0005-0000-0000-000084C90000}"/>
    <cellStyle name="Normal 6 2 4 3 3 3" xfId="24000" xr:uid="{00000000-0005-0000-0000-000085C90000}"/>
    <cellStyle name="Normal 6 2 4 3 3 3 2" xfId="51133" xr:uid="{00000000-0005-0000-0000-000086C90000}"/>
    <cellStyle name="Normal 6 2 4 3 3 4" xfId="37571" xr:uid="{00000000-0005-0000-0000-000087C90000}"/>
    <cellStyle name="Normal 6 2 4 3 4" xfId="13824" xr:uid="{00000000-0005-0000-0000-000088C90000}"/>
    <cellStyle name="Normal 6 2 4 3 4 2" xfId="27392" xr:uid="{00000000-0005-0000-0000-000089C90000}"/>
    <cellStyle name="Normal 6 2 4 3 4 2 2" xfId="54525" xr:uid="{00000000-0005-0000-0000-00008AC90000}"/>
    <cellStyle name="Normal 6 2 4 3 4 3" xfId="40963" xr:uid="{00000000-0005-0000-0000-00008BC90000}"/>
    <cellStyle name="Normal 6 2 4 3 5" xfId="20611" xr:uid="{00000000-0005-0000-0000-00008CC90000}"/>
    <cellStyle name="Normal 6 2 4 3 5 2" xfId="47744" xr:uid="{00000000-0005-0000-0000-00008DC90000}"/>
    <cellStyle name="Normal 6 2 4 3 6" xfId="34182" xr:uid="{00000000-0005-0000-0000-00008EC90000}"/>
    <cellStyle name="Normal 6 2 4 4" xfId="6895" xr:uid="{00000000-0005-0000-0000-00008FC90000}"/>
    <cellStyle name="Normal 6 2 4 4 2" xfId="10425" xr:uid="{00000000-0005-0000-0000-000090C90000}"/>
    <cellStyle name="Normal 6 2 4 4 2 2" xfId="17215" xr:uid="{00000000-0005-0000-0000-000091C90000}"/>
    <cellStyle name="Normal 6 2 4 4 2 2 2" xfId="30783" xr:uid="{00000000-0005-0000-0000-000092C90000}"/>
    <cellStyle name="Normal 6 2 4 4 2 2 2 2" xfId="57916" xr:uid="{00000000-0005-0000-0000-000093C90000}"/>
    <cellStyle name="Normal 6 2 4 4 2 2 3" xfId="44354" xr:uid="{00000000-0005-0000-0000-000094C90000}"/>
    <cellStyle name="Normal 6 2 4 4 2 3" xfId="24002" xr:uid="{00000000-0005-0000-0000-000095C90000}"/>
    <cellStyle name="Normal 6 2 4 4 2 3 2" xfId="51135" xr:uid="{00000000-0005-0000-0000-000096C90000}"/>
    <cellStyle name="Normal 6 2 4 4 2 4" xfId="37573" xr:uid="{00000000-0005-0000-0000-000097C90000}"/>
    <cellStyle name="Normal 6 2 4 4 3" xfId="13826" xr:uid="{00000000-0005-0000-0000-000098C90000}"/>
    <cellStyle name="Normal 6 2 4 4 3 2" xfId="27394" xr:uid="{00000000-0005-0000-0000-000099C90000}"/>
    <cellStyle name="Normal 6 2 4 4 3 2 2" xfId="54527" xr:uid="{00000000-0005-0000-0000-00009AC90000}"/>
    <cellStyle name="Normal 6 2 4 4 3 3" xfId="40965" xr:uid="{00000000-0005-0000-0000-00009BC90000}"/>
    <cellStyle name="Normal 6 2 4 4 4" xfId="20613" xr:uid="{00000000-0005-0000-0000-00009CC90000}"/>
    <cellStyle name="Normal 6 2 4 4 4 2" xfId="47746" xr:uid="{00000000-0005-0000-0000-00009DC90000}"/>
    <cellStyle name="Normal 6 2 4 4 5" xfId="34184" xr:uid="{00000000-0005-0000-0000-00009EC90000}"/>
    <cellStyle name="Normal 6 2 4 5" xfId="6896" xr:uid="{00000000-0005-0000-0000-00009FC90000}"/>
    <cellStyle name="Normal 6 2 4 5 2" xfId="10426" xr:uid="{00000000-0005-0000-0000-0000A0C90000}"/>
    <cellStyle name="Normal 6 2 4 5 2 2" xfId="17216" xr:uid="{00000000-0005-0000-0000-0000A1C90000}"/>
    <cellStyle name="Normal 6 2 4 5 2 2 2" xfId="30784" xr:uid="{00000000-0005-0000-0000-0000A2C90000}"/>
    <cellStyle name="Normal 6 2 4 5 2 2 2 2" xfId="57917" xr:uid="{00000000-0005-0000-0000-0000A3C90000}"/>
    <cellStyle name="Normal 6 2 4 5 2 2 3" xfId="44355" xr:uid="{00000000-0005-0000-0000-0000A4C90000}"/>
    <cellStyle name="Normal 6 2 4 5 2 3" xfId="24003" xr:uid="{00000000-0005-0000-0000-0000A5C90000}"/>
    <cellStyle name="Normal 6 2 4 5 2 3 2" xfId="51136" xr:uid="{00000000-0005-0000-0000-0000A6C90000}"/>
    <cellStyle name="Normal 6 2 4 5 2 4" xfId="37574" xr:uid="{00000000-0005-0000-0000-0000A7C90000}"/>
    <cellStyle name="Normal 6 2 4 5 3" xfId="13827" xr:uid="{00000000-0005-0000-0000-0000A8C90000}"/>
    <cellStyle name="Normal 6 2 4 5 3 2" xfId="27395" xr:uid="{00000000-0005-0000-0000-0000A9C90000}"/>
    <cellStyle name="Normal 6 2 4 5 3 2 2" xfId="54528" xr:uid="{00000000-0005-0000-0000-0000AAC90000}"/>
    <cellStyle name="Normal 6 2 4 5 3 3" xfId="40966" xr:uid="{00000000-0005-0000-0000-0000ABC90000}"/>
    <cellStyle name="Normal 6 2 4 5 4" xfId="20614" xr:uid="{00000000-0005-0000-0000-0000ACC90000}"/>
    <cellStyle name="Normal 6 2 4 5 4 2" xfId="47747" xr:uid="{00000000-0005-0000-0000-0000ADC90000}"/>
    <cellStyle name="Normal 6 2 4 5 5" xfId="34185" xr:uid="{00000000-0005-0000-0000-0000AEC90000}"/>
    <cellStyle name="Normal 6 2 4 6" xfId="10419" xr:uid="{00000000-0005-0000-0000-0000AFC90000}"/>
    <cellStyle name="Normal 6 2 4 6 2" xfId="17209" xr:uid="{00000000-0005-0000-0000-0000B0C90000}"/>
    <cellStyle name="Normal 6 2 4 6 2 2" xfId="30777" xr:uid="{00000000-0005-0000-0000-0000B1C90000}"/>
    <cellStyle name="Normal 6 2 4 6 2 2 2" xfId="57910" xr:uid="{00000000-0005-0000-0000-0000B2C90000}"/>
    <cellStyle name="Normal 6 2 4 6 2 3" xfId="44348" xr:uid="{00000000-0005-0000-0000-0000B3C90000}"/>
    <cellStyle name="Normal 6 2 4 6 3" xfId="23996" xr:uid="{00000000-0005-0000-0000-0000B4C90000}"/>
    <cellStyle name="Normal 6 2 4 6 3 2" xfId="51129" xr:uid="{00000000-0005-0000-0000-0000B5C90000}"/>
    <cellStyle name="Normal 6 2 4 6 4" xfId="37567" xr:uid="{00000000-0005-0000-0000-0000B6C90000}"/>
    <cellStyle name="Normal 6 2 4 7" xfId="13820" xr:uid="{00000000-0005-0000-0000-0000B7C90000}"/>
    <cellStyle name="Normal 6 2 4 7 2" xfId="27388" xr:uid="{00000000-0005-0000-0000-0000B8C90000}"/>
    <cellStyle name="Normal 6 2 4 7 2 2" xfId="54521" xr:uid="{00000000-0005-0000-0000-0000B9C90000}"/>
    <cellStyle name="Normal 6 2 4 7 3" xfId="40959" xr:uid="{00000000-0005-0000-0000-0000BAC90000}"/>
    <cellStyle name="Normal 6 2 4 8" xfId="20607" xr:uid="{00000000-0005-0000-0000-0000BBC90000}"/>
    <cellStyle name="Normal 6 2 4 8 2" xfId="47740" xr:uid="{00000000-0005-0000-0000-0000BCC90000}"/>
    <cellStyle name="Normal 6 2 4 9" xfId="34178" xr:uid="{00000000-0005-0000-0000-0000BDC90000}"/>
    <cellStyle name="Normal 6 2 5" xfId="6897" xr:uid="{00000000-0005-0000-0000-0000BEC90000}"/>
    <cellStyle name="Normal 6 2 5 2" xfId="6898" xr:uid="{00000000-0005-0000-0000-0000BFC90000}"/>
    <cellStyle name="Normal 6 2 5 2 2" xfId="6899" xr:uid="{00000000-0005-0000-0000-0000C0C90000}"/>
    <cellStyle name="Normal 6 2 5 2 2 2" xfId="10429" xr:uid="{00000000-0005-0000-0000-0000C1C90000}"/>
    <cellStyle name="Normal 6 2 5 2 2 2 2" xfId="17219" xr:uid="{00000000-0005-0000-0000-0000C2C90000}"/>
    <cellStyle name="Normal 6 2 5 2 2 2 2 2" xfId="30787" xr:uid="{00000000-0005-0000-0000-0000C3C90000}"/>
    <cellStyle name="Normal 6 2 5 2 2 2 2 2 2" xfId="57920" xr:uid="{00000000-0005-0000-0000-0000C4C90000}"/>
    <cellStyle name="Normal 6 2 5 2 2 2 2 3" xfId="44358" xr:uid="{00000000-0005-0000-0000-0000C5C90000}"/>
    <cellStyle name="Normal 6 2 5 2 2 2 3" xfId="24006" xr:uid="{00000000-0005-0000-0000-0000C6C90000}"/>
    <cellStyle name="Normal 6 2 5 2 2 2 3 2" xfId="51139" xr:uid="{00000000-0005-0000-0000-0000C7C90000}"/>
    <cellStyle name="Normal 6 2 5 2 2 2 4" xfId="37577" xr:uid="{00000000-0005-0000-0000-0000C8C90000}"/>
    <cellStyle name="Normal 6 2 5 2 2 3" xfId="13830" xr:uid="{00000000-0005-0000-0000-0000C9C90000}"/>
    <cellStyle name="Normal 6 2 5 2 2 3 2" xfId="27398" xr:uid="{00000000-0005-0000-0000-0000CAC90000}"/>
    <cellStyle name="Normal 6 2 5 2 2 3 2 2" xfId="54531" xr:uid="{00000000-0005-0000-0000-0000CBC90000}"/>
    <cellStyle name="Normal 6 2 5 2 2 3 3" xfId="40969" xr:uid="{00000000-0005-0000-0000-0000CCC90000}"/>
    <cellStyle name="Normal 6 2 5 2 2 4" xfId="20617" xr:uid="{00000000-0005-0000-0000-0000CDC90000}"/>
    <cellStyle name="Normal 6 2 5 2 2 4 2" xfId="47750" xr:uid="{00000000-0005-0000-0000-0000CEC90000}"/>
    <cellStyle name="Normal 6 2 5 2 2 5" xfId="34188" xr:uid="{00000000-0005-0000-0000-0000CFC90000}"/>
    <cellStyle name="Normal 6 2 5 2 3" xfId="6900" xr:uid="{00000000-0005-0000-0000-0000D0C90000}"/>
    <cellStyle name="Normal 6 2 5 2 3 2" xfId="10430" xr:uid="{00000000-0005-0000-0000-0000D1C90000}"/>
    <cellStyle name="Normal 6 2 5 2 3 2 2" xfId="17220" xr:uid="{00000000-0005-0000-0000-0000D2C90000}"/>
    <cellStyle name="Normal 6 2 5 2 3 2 2 2" xfId="30788" xr:uid="{00000000-0005-0000-0000-0000D3C90000}"/>
    <cellStyle name="Normal 6 2 5 2 3 2 2 2 2" xfId="57921" xr:uid="{00000000-0005-0000-0000-0000D4C90000}"/>
    <cellStyle name="Normal 6 2 5 2 3 2 2 3" xfId="44359" xr:uid="{00000000-0005-0000-0000-0000D5C90000}"/>
    <cellStyle name="Normal 6 2 5 2 3 2 3" xfId="24007" xr:uid="{00000000-0005-0000-0000-0000D6C90000}"/>
    <cellStyle name="Normal 6 2 5 2 3 2 3 2" xfId="51140" xr:uid="{00000000-0005-0000-0000-0000D7C90000}"/>
    <cellStyle name="Normal 6 2 5 2 3 2 4" xfId="37578" xr:uid="{00000000-0005-0000-0000-0000D8C90000}"/>
    <cellStyle name="Normal 6 2 5 2 3 3" xfId="13831" xr:uid="{00000000-0005-0000-0000-0000D9C90000}"/>
    <cellStyle name="Normal 6 2 5 2 3 3 2" xfId="27399" xr:uid="{00000000-0005-0000-0000-0000DAC90000}"/>
    <cellStyle name="Normal 6 2 5 2 3 3 2 2" xfId="54532" xr:uid="{00000000-0005-0000-0000-0000DBC90000}"/>
    <cellStyle name="Normal 6 2 5 2 3 3 3" xfId="40970" xr:uid="{00000000-0005-0000-0000-0000DCC90000}"/>
    <cellStyle name="Normal 6 2 5 2 3 4" xfId="20618" xr:uid="{00000000-0005-0000-0000-0000DDC90000}"/>
    <cellStyle name="Normal 6 2 5 2 3 4 2" xfId="47751" xr:uid="{00000000-0005-0000-0000-0000DEC90000}"/>
    <cellStyle name="Normal 6 2 5 2 3 5" xfId="34189" xr:uid="{00000000-0005-0000-0000-0000DFC90000}"/>
    <cellStyle name="Normal 6 2 5 2 4" xfId="10428" xr:uid="{00000000-0005-0000-0000-0000E0C90000}"/>
    <cellStyle name="Normal 6 2 5 2 4 2" xfId="17218" xr:uid="{00000000-0005-0000-0000-0000E1C90000}"/>
    <cellStyle name="Normal 6 2 5 2 4 2 2" xfId="30786" xr:uid="{00000000-0005-0000-0000-0000E2C90000}"/>
    <cellStyle name="Normal 6 2 5 2 4 2 2 2" xfId="57919" xr:uid="{00000000-0005-0000-0000-0000E3C90000}"/>
    <cellStyle name="Normal 6 2 5 2 4 2 3" xfId="44357" xr:uid="{00000000-0005-0000-0000-0000E4C90000}"/>
    <cellStyle name="Normal 6 2 5 2 4 3" xfId="24005" xr:uid="{00000000-0005-0000-0000-0000E5C90000}"/>
    <cellStyle name="Normal 6 2 5 2 4 3 2" xfId="51138" xr:uid="{00000000-0005-0000-0000-0000E6C90000}"/>
    <cellStyle name="Normal 6 2 5 2 4 4" xfId="37576" xr:uid="{00000000-0005-0000-0000-0000E7C90000}"/>
    <cellStyle name="Normal 6 2 5 2 5" xfId="13829" xr:uid="{00000000-0005-0000-0000-0000E8C90000}"/>
    <cellStyle name="Normal 6 2 5 2 5 2" xfId="27397" xr:uid="{00000000-0005-0000-0000-0000E9C90000}"/>
    <cellStyle name="Normal 6 2 5 2 5 2 2" xfId="54530" xr:uid="{00000000-0005-0000-0000-0000EAC90000}"/>
    <cellStyle name="Normal 6 2 5 2 5 3" xfId="40968" xr:uid="{00000000-0005-0000-0000-0000EBC90000}"/>
    <cellStyle name="Normal 6 2 5 2 6" xfId="20616" xr:uid="{00000000-0005-0000-0000-0000ECC90000}"/>
    <cellStyle name="Normal 6 2 5 2 6 2" xfId="47749" xr:uid="{00000000-0005-0000-0000-0000EDC90000}"/>
    <cellStyle name="Normal 6 2 5 2 7" xfId="34187" xr:uid="{00000000-0005-0000-0000-0000EEC90000}"/>
    <cellStyle name="Normal 6 2 5 3" xfId="6901" xr:uid="{00000000-0005-0000-0000-0000EFC90000}"/>
    <cellStyle name="Normal 6 2 5 3 2" xfId="10431" xr:uid="{00000000-0005-0000-0000-0000F0C90000}"/>
    <cellStyle name="Normal 6 2 5 3 2 2" xfId="17221" xr:uid="{00000000-0005-0000-0000-0000F1C90000}"/>
    <cellStyle name="Normal 6 2 5 3 2 2 2" xfId="30789" xr:uid="{00000000-0005-0000-0000-0000F2C90000}"/>
    <cellStyle name="Normal 6 2 5 3 2 2 2 2" xfId="57922" xr:uid="{00000000-0005-0000-0000-0000F3C90000}"/>
    <cellStyle name="Normal 6 2 5 3 2 2 3" xfId="44360" xr:uid="{00000000-0005-0000-0000-0000F4C90000}"/>
    <cellStyle name="Normal 6 2 5 3 2 3" xfId="24008" xr:uid="{00000000-0005-0000-0000-0000F5C90000}"/>
    <cellStyle name="Normal 6 2 5 3 2 3 2" xfId="51141" xr:uid="{00000000-0005-0000-0000-0000F6C90000}"/>
    <cellStyle name="Normal 6 2 5 3 2 4" xfId="37579" xr:uid="{00000000-0005-0000-0000-0000F7C90000}"/>
    <cellStyle name="Normal 6 2 5 3 3" xfId="13832" xr:uid="{00000000-0005-0000-0000-0000F8C90000}"/>
    <cellStyle name="Normal 6 2 5 3 3 2" xfId="27400" xr:uid="{00000000-0005-0000-0000-0000F9C90000}"/>
    <cellStyle name="Normal 6 2 5 3 3 2 2" xfId="54533" xr:uid="{00000000-0005-0000-0000-0000FAC90000}"/>
    <cellStyle name="Normal 6 2 5 3 3 3" xfId="40971" xr:uid="{00000000-0005-0000-0000-0000FBC90000}"/>
    <cellStyle name="Normal 6 2 5 3 4" xfId="20619" xr:uid="{00000000-0005-0000-0000-0000FCC90000}"/>
    <cellStyle name="Normal 6 2 5 3 4 2" xfId="47752" xr:uid="{00000000-0005-0000-0000-0000FDC90000}"/>
    <cellStyle name="Normal 6 2 5 3 5" xfId="34190" xr:uid="{00000000-0005-0000-0000-0000FEC90000}"/>
    <cellStyle name="Normal 6 2 5 4" xfId="6902" xr:uid="{00000000-0005-0000-0000-0000FFC90000}"/>
    <cellStyle name="Normal 6 2 5 4 2" xfId="10432" xr:uid="{00000000-0005-0000-0000-000000CA0000}"/>
    <cellStyle name="Normal 6 2 5 4 2 2" xfId="17222" xr:uid="{00000000-0005-0000-0000-000001CA0000}"/>
    <cellStyle name="Normal 6 2 5 4 2 2 2" xfId="30790" xr:uid="{00000000-0005-0000-0000-000002CA0000}"/>
    <cellStyle name="Normal 6 2 5 4 2 2 2 2" xfId="57923" xr:uid="{00000000-0005-0000-0000-000003CA0000}"/>
    <cellStyle name="Normal 6 2 5 4 2 2 3" xfId="44361" xr:uid="{00000000-0005-0000-0000-000004CA0000}"/>
    <cellStyle name="Normal 6 2 5 4 2 3" xfId="24009" xr:uid="{00000000-0005-0000-0000-000005CA0000}"/>
    <cellStyle name="Normal 6 2 5 4 2 3 2" xfId="51142" xr:uid="{00000000-0005-0000-0000-000006CA0000}"/>
    <cellStyle name="Normal 6 2 5 4 2 4" xfId="37580" xr:uid="{00000000-0005-0000-0000-000007CA0000}"/>
    <cellStyle name="Normal 6 2 5 4 3" xfId="13833" xr:uid="{00000000-0005-0000-0000-000008CA0000}"/>
    <cellStyle name="Normal 6 2 5 4 3 2" xfId="27401" xr:uid="{00000000-0005-0000-0000-000009CA0000}"/>
    <cellStyle name="Normal 6 2 5 4 3 2 2" xfId="54534" xr:uid="{00000000-0005-0000-0000-00000ACA0000}"/>
    <cellStyle name="Normal 6 2 5 4 3 3" xfId="40972" xr:uid="{00000000-0005-0000-0000-00000BCA0000}"/>
    <cellStyle name="Normal 6 2 5 4 4" xfId="20620" xr:uid="{00000000-0005-0000-0000-00000CCA0000}"/>
    <cellStyle name="Normal 6 2 5 4 4 2" xfId="47753" xr:uid="{00000000-0005-0000-0000-00000DCA0000}"/>
    <cellStyle name="Normal 6 2 5 4 5" xfId="34191" xr:uid="{00000000-0005-0000-0000-00000ECA0000}"/>
    <cellStyle name="Normal 6 2 5 5" xfId="10427" xr:uid="{00000000-0005-0000-0000-00000FCA0000}"/>
    <cellStyle name="Normal 6 2 5 5 2" xfId="17217" xr:uid="{00000000-0005-0000-0000-000010CA0000}"/>
    <cellStyle name="Normal 6 2 5 5 2 2" xfId="30785" xr:uid="{00000000-0005-0000-0000-000011CA0000}"/>
    <cellStyle name="Normal 6 2 5 5 2 2 2" xfId="57918" xr:uid="{00000000-0005-0000-0000-000012CA0000}"/>
    <cellStyle name="Normal 6 2 5 5 2 3" xfId="44356" xr:uid="{00000000-0005-0000-0000-000013CA0000}"/>
    <cellStyle name="Normal 6 2 5 5 3" xfId="24004" xr:uid="{00000000-0005-0000-0000-000014CA0000}"/>
    <cellStyle name="Normal 6 2 5 5 3 2" xfId="51137" xr:uid="{00000000-0005-0000-0000-000015CA0000}"/>
    <cellStyle name="Normal 6 2 5 5 4" xfId="37575" xr:uid="{00000000-0005-0000-0000-000016CA0000}"/>
    <cellStyle name="Normal 6 2 5 6" xfId="13828" xr:uid="{00000000-0005-0000-0000-000017CA0000}"/>
    <cellStyle name="Normal 6 2 5 6 2" xfId="27396" xr:uid="{00000000-0005-0000-0000-000018CA0000}"/>
    <cellStyle name="Normal 6 2 5 6 2 2" xfId="54529" xr:uid="{00000000-0005-0000-0000-000019CA0000}"/>
    <cellStyle name="Normal 6 2 5 6 3" xfId="40967" xr:uid="{00000000-0005-0000-0000-00001ACA0000}"/>
    <cellStyle name="Normal 6 2 5 7" xfId="20615" xr:uid="{00000000-0005-0000-0000-00001BCA0000}"/>
    <cellStyle name="Normal 6 2 5 7 2" xfId="47748" xr:uid="{00000000-0005-0000-0000-00001CCA0000}"/>
    <cellStyle name="Normal 6 2 5 8" xfId="34186" xr:uid="{00000000-0005-0000-0000-00001DCA0000}"/>
    <cellStyle name="Normal 6 2 6" xfId="6903" xr:uid="{00000000-0005-0000-0000-00001ECA0000}"/>
    <cellStyle name="Normal 6 2 6 2" xfId="6904" xr:uid="{00000000-0005-0000-0000-00001FCA0000}"/>
    <cellStyle name="Normal 6 2 6 2 2" xfId="6905" xr:uid="{00000000-0005-0000-0000-000020CA0000}"/>
    <cellStyle name="Normal 6 2 6 2 2 2" xfId="10435" xr:uid="{00000000-0005-0000-0000-000021CA0000}"/>
    <cellStyle name="Normal 6 2 6 2 2 2 2" xfId="17225" xr:uid="{00000000-0005-0000-0000-000022CA0000}"/>
    <cellStyle name="Normal 6 2 6 2 2 2 2 2" xfId="30793" xr:uid="{00000000-0005-0000-0000-000023CA0000}"/>
    <cellStyle name="Normal 6 2 6 2 2 2 2 2 2" xfId="57926" xr:uid="{00000000-0005-0000-0000-000024CA0000}"/>
    <cellStyle name="Normal 6 2 6 2 2 2 2 3" xfId="44364" xr:uid="{00000000-0005-0000-0000-000025CA0000}"/>
    <cellStyle name="Normal 6 2 6 2 2 2 3" xfId="24012" xr:uid="{00000000-0005-0000-0000-000026CA0000}"/>
    <cellStyle name="Normal 6 2 6 2 2 2 3 2" xfId="51145" xr:uid="{00000000-0005-0000-0000-000027CA0000}"/>
    <cellStyle name="Normal 6 2 6 2 2 2 4" xfId="37583" xr:uid="{00000000-0005-0000-0000-000028CA0000}"/>
    <cellStyle name="Normal 6 2 6 2 2 3" xfId="13836" xr:uid="{00000000-0005-0000-0000-000029CA0000}"/>
    <cellStyle name="Normal 6 2 6 2 2 3 2" xfId="27404" xr:uid="{00000000-0005-0000-0000-00002ACA0000}"/>
    <cellStyle name="Normal 6 2 6 2 2 3 2 2" xfId="54537" xr:uid="{00000000-0005-0000-0000-00002BCA0000}"/>
    <cellStyle name="Normal 6 2 6 2 2 3 3" xfId="40975" xr:uid="{00000000-0005-0000-0000-00002CCA0000}"/>
    <cellStyle name="Normal 6 2 6 2 2 4" xfId="20623" xr:uid="{00000000-0005-0000-0000-00002DCA0000}"/>
    <cellStyle name="Normal 6 2 6 2 2 4 2" xfId="47756" xr:uid="{00000000-0005-0000-0000-00002ECA0000}"/>
    <cellStyle name="Normal 6 2 6 2 2 5" xfId="34194" xr:uid="{00000000-0005-0000-0000-00002FCA0000}"/>
    <cellStyle name="Normal 6 2 6 2 3" xfId="6906" xr:uid="{00000000-0005-0000-0000-000030CA0000}"/>
    <cellStyle name="Normal 6 2 6 2 3 2" xfId="10436" xr:uid="{00000000-0005-0000-0000-000031CA0000}"/>
    <cellStyle name="Normal 6 2 6 2 3 2 2" xfId="17226" xr:uid="{00000000-0005-0000-0000-000032CA0000}"/>
    <cellStyle name="Normal 6 2 6 2 3 2 2 2" xfId="30794" xr:uid="{00000000-0005-0000-0000-000033CA0000}"/>
    <cellStyle name="Normal 6 2 6 2 3 2 2 2 2" xfId="57927" xr:uid="{00000000-0005-0000-0000-000034CA0000}"/>
    <cellStyle name="Normal 6 2 6 2 3 2 2 3" xfId="44365" xr:uid="{00000000-0005-0000-0000-000035CA0000}"/>
    <cellStyle name="Normal 6 2 6 2 3 2 3" xfId="24013" xr:uid="{00000000-0005-0000-0000-000036CA0000}"/>
    <cellStyle name="Normal 6 2 6 2 3 2 3 2" xfId="51146" xr:uid="{00000000-0005-0000-0000-000037CA0000}"/>
    <cellStyle name="Normal 6 2 6 2 3 2 4" xfId="37584" xr:uid="{00000000-0005-0000-0000-000038CA0000}"/>
    <cellStyle name="Normal 6 2 6 2 3 3" xfId="13837" xr:uid="{00000000-0005-0000-0000-000039CA0000}"/>
    <cellStyle name="Normal 6 2 6 2 3 3 2" xfId="27405" xr:uid="{00000000-0005-0000-0000-00003ACA0000}"/>
    <cellStyle name="Normal 6 2 6 2 3 3 2 2" xfId="54538" xr:uid="{00000000-0005-0000-0000-00003BCA0000}"/>
    <cellStyle name="Normal 6 2 6 2 3 3 3" xfId="40976" xr:uid="{00000000-0005-0000-0000-00003CCA0000}"/>
    <cellStyle name="Normal 6 2 6 2 3 4" xfId="20624" xr:uid="{00000000-0005-0000-0000-00003DCA0000}"/>
    <cellStyle name="Normal 6 2 6 2 3 4 2" xfId="47757" xr:uid="{00000000-0005-0000-0000-00003ECA0000}"/>
    <cellStyle name="Normal 6 2 6 2 3 5" xfId="34195" xr:uid="{00000000-0005-0000-0000-00003FCA0000}"/>
    <cellStyle name="Normal 6 2 6 2 4" xfId="10434" xr:uid="{00000000-0005-0000-0000-000040CA0000}"/>
    <cellStyle name="Normal 6 2 6 2 4 2" xfId="17224" xr:uid="{00000000-0005-0000-0000-000041CA0000}"/>
    <cellStyle name="Normal 6 2 6 2 4 2 2" xfId="30792" xr:uid="{00000000-0005-0000-0000-000042CA0000}"/>
    <cellStyle name="Normal 6 2 6 2 4 2 2 2" xfId="57925" xr:uid="{00000000-0005-0000-0000-000043CA0000}"/>
    <cellStyle name="Normal 6 2 6 2 4 2 3" xfId="44363" xr:uid="{00000000-0005-0000-0000-000044CA0000}"/>
    <cellStyle name="Normal 6 2 6 2 4 3" xfId="24011" xr:uid="{00000000-0005-0000-0000-000045CA0000}"/>
    <cellStyle name="Normal 6 2 6 2 4 3 2" xfId="51144" xr:uid="{00000000-0005-0000-0000-000046CA0000}"/>
    <cellStyle name="Normal 6 2 6 2 4 4" xfId="37582" xr:uid="{00000000-0005-0000-0000-000047CA0000}"/>
    <cellStyle name="Normal 6 2 6 2 5" xfId="13835" xr:uid="{00000000-0005-0000-0000-000048CA0000}"/>
    <cellStyle name="Normal 6 2 6 2 5 2" xfId="27403" xr:uid="{00000000-0005-0000-0000-000049CA0000}"/>
    <cellStyle name="Normal 6 2 6 2 5 2 2" xfId="54536" xr:uid="{00000000-0005-0000-0000-00004ACA0000}"/>
    <cellStyle name="Normal 6 2 6 2 5 3" xfId="40974" xr:uid="{00000000-0005-0000-0000-00004BCA0000}"/>
    <cellStyle name="Normal 6 2 6 2 6" xfId="20622" xr:uid="{00000000-0005-0000-0000-00004CCA0000}"/>
    <cellStyle name="Normal 6 2 6 2 6 2" xfId="47755" xr:uid="{00000000-0005-0000-0000-00004DCA0000}"/>
    <cellStyle name="Normal 6 2 6 2 7" xfId="34193" xr:uid="{00000000-0005-0000-0000-00004ECA0000}"/>
    <cellStyle name="Normal 6 2 6 3" xfId="6907" xr:uid="{00000000-0005-0000-0000-00004FCA0000}"/>
    <cellStyle name="Normal 6 2 6 3 2" xfId="10437" xr:uid="{00000000-0005-0000-0000-000050CA0000}"/>
    <cellStyle name="Normal 6 2 6 3 2 2" xfId="17227" xr:uid="{00000000-0005-0000-0000-000051CA0000}"/>
    <cellStyle name="Normal 6 2 6 3 2 2 2" xfId="30795" xr:uid="{00000000-0005-0000-0000-000052CA0000}"/>
    <cellStyle name="Normal 6 2 6 3 2 2 2 2" xfId="57928" xr:uid="{00000000-0005-0000-0000-000053CA0000}"/>
    <cellStyle name="Normal 6 2 6 3 2 2 3" xfId="44366" xr:uid="{00000000-0005-0000-0000-000054CA0000}"/>
    <cellStyle name="Normal 6 2 6 3 2 3" xfId="24014" xr:uid="{00000000-0005-0000-0000-000055CA0000}"/>
    <cellStyle name="Normal 6 2 6 3 2 3 2" xfId="51147" xr:uid="{00000000-0005-0000-0000-000056CA0000}"/>
    <cellStyle name="Normal 6 2 6 3 2 4" xfId="37585" xr:uid="{00000000-0005-0000-0000-000057CA0000}"/>
    <cellStyle name="Normal 6 2 6 3 3" xfId="13838" xr:uid="{00000000-0005-0000-0000-000058CA0000}"/>
    <cellStyle name="Normal 6 2 6 3 3 2" xfId="27406" xr:uid="{00000000-0005-0000-0000-000059CA0000}"/>
    <cellStyle name="Normal 6 2 6 3 3 2 2" xfId="54539" xr:uid="{00000000-0005-0000-0000-00005ACA0000}"/>
    <cellStyle name="Normal 6 2 6 3 3 3" xfId="40977" xr:uid="{00000000-0005-0000-0000-00005BCA0000}"/>
    <cellStyle name="Normal 6 2 6 3 4" xfId="20625" xr:uid="{00000000-0005-0000-0000-00005CCA0000}"/>
    <cellStyle name="Normal 6 2 6 3 4 2" xfId="47758" xr:uid="{00000000-0005-0000-0000-00005DCA0000}"/>
    <cellStyle name="Normal 6 2 6 3 5" xfId="34196" xr:uid="{00000000-0005-0000-0000-00005ECA0000}"/>
    <cellStyle name="Normal 6 2 6 4" xfId="6908" xr:uid="{00000000-0005-0000-0000-00005FCA0000}"/>
    <cellStyle name="Normal 6 2 6 4 2" xfId="10438" xr:uid="{00000000-0005-0000-0000-000060CA0000}"/>
    <cellStyle name="Normal 6 2 6 4 2 2" xfId="17228" xr:uid="{00000000-0005-0000-0000-000061CA0000}"/>
    <cellStyle name="Normal 6 2 6 4 2 2 2" xfId="30796" xr:uid="{00000000-0005-0000-0000-000062CA0000}"/>
    <cellStyle name="Normal 6 2 6 4 2 2 2 2" xfId="57929" xr:uid="{00000000-0005-0000-0000-000063CA0000}"/>
    <cellStyle name="Normal 6 2 6 4 2 2 3" xfId="44367" xr:uid="{00000000-0005-0000-0000-000064CA0000}"/>
    <cellStyle name="Normal 6 2 6 4 2 3" xfId="24015" xr:uid="{00000000-0005-0000-0000-000065CA0000}"/>
    <cellStyle name="Normal 6 2 6 4 2 3 2" xfId="51148" xr:uid="{00000000-0005-0000-0000-000066CA0000}"/>
    <cellStyle name="Normal 6 2 6 4 2 4" xfId="37586" xr:uid="{00000000-0005-0000-0000-000067CA0000}"/>
    <cellStyle name="Normal 6 2 6 4 3" xfId="13839" xr:uid="{00000000-0005-0000-0000-000068CA0000}"/>
    <cellStyle name="Normal 6 2 6 4 3 2" xfId="27407" xr:uid="{00000000-0005-0000-0000-000069CA0000}"/>
    <cellStyle name="Normal 6 2 6 4 3 2 2" xfId="54540" xr:uid="{00000000-0005-0000-0000-00006ACA0000}"/>
    <cellStyle name="Normal 6 2 6 4 3 3" xfId="40978" xr:uid="{00000000-0005-0000-0000-00006BCA0000}"/>
    <cellStyle name="Normal 6 2 6 4 4" xfId="20626" xr:uid="{00000000-0005-0000-0000-00006CCA0000}"/>
    <cellStyle name="Normal 6 2 6 4 4 2" xfId="47759" xr:uid="{00000000-0005-0000-0000-00006DCA0000}"/>
    <cellStyle name="Normal 6 2 6 4 5" xfId="34197" xr:uid="{00000000-0005-0000-0000-00006ECA0000}"/>
    <cellStyle name="Normal 6 2 6 5" xfId="10433" xr:uid="{00000000-0005-0000-0000-00006FCA0000}"/>
    <cellStyle name="Normal 6 2 6 5 2" xfId="17223" xr:uid="{00000000-0005-0000-0000-000070CA0000}"/>
    <cellStyle name="Normal 6 2 6 5 2 2" xfId="30791" xr:uid="{00000000-0005-0000-0000-000071CA0000}"/>
    <cellStyle name="Normal 6 2 6 5 2 2 2" xfId="57924" xr:uid="{00000000-0005-0000-0000-000072CA0000}"/>
    <cellStyle name="Normal 6 2 6 5 2 3" xfId="44362" xr:uid="{00000000-0005-0000-0000-000073CA0000}"/>
    <cellStyle name="Normal 6 2 6 5 3" xfId="24010" xr:uid="{00000000-0005-0000-0000-000074CA0000}"/>
    <cellStyle name="Normal 6 2 6 5 3 2" xfId="51143" xr:uid="{00000000-0005-0000-0000-000075CA0000}"/>
    <cellStyle name="Normal 6 2 6 5 4" xfId="37581" xr:uid="{00000000-0005-0000-0000-000076CA0000}"/>
    <cellStyle name="Normal 6 2 6 6" xfId="13834" xr:uid="{00000000-0005-0000-0000-000077CA0000}"/>
    <cellStyle name="Normal 6 2 6 6 2" xfId="27402" xr:uid="{00000000-0005-0000-0000-000078CA0000}"/>
    <cellStyle name="Normal 6 2 6 6 2 2" xfId="54535" xr:uid="{00000000-0005-0000-0000-000079CA0000}"/>
    <cellStyle name="Normal 6 2 6 6 3" xfId="40973" xr:uid="{00000000-0005-0000-0000-00007ACA0000}"/>
    <cellStyle name="Normal 6 2 6 7" xfId="20621" xr:uid="{00000000-0005-0000-0000-00007BCA0000}"/>
    <cellStyle name="Normal 6 2 6 7 2" xfId="47754" xr:uid="{00000000-0005-0000-0000-00007CCA0000}"/>
    <cellStyle name="Normal 6 2 6 8" xfId="34192" xr:uid="{00000000-0005-0000-0000-00007DCA0000}"/>
    <cellStyle name="Normal 6 2 7" xfId="6909" xr:uid="{00000000-0005-0000-0000-00007ECA0000}"/>
    <cellStyle name="Normal 6 2 7 2" xfId="6910" xr:uid="{00000000-0005-0000-0000-00007FCA0000}"/>
    <cellStyle name="Normal 6 2 7 2 2" xfId="10440" xr:uid="{00000000-0005-0000-0000-000080CA0000}"/>
    <cellStyle name="Normal 6 2 7 2 2 2" xfId="17230" xr:uid="{00000000-0005-0000-0000-000081CA0000}"/>
    <cellStyle name="Normal 6 2 7 2 2 2 2" xfId="30798" xr:uid="{00000000-0005-0000-0000-000082CA0000}"/>
    <cellStyle name="Normal 6 2 7 2 2 2 2 2" xfId="57931" xr:uid="{00000000-0005-0000-0000-000083CA0000}"/>
    <cellStyle name="Normal 6 2 7 2 2 2 3" xfId="44369" xr:uid="{00000000-0005-0000-0000-000084CA0000}"/>
    <cellStyle name="Normal 6 2 7 2 2 3" xfId="24017" xr:uid="{00000000-0005-0000-0000-000085CA0000}"/>
    <cellStyle name="Normal 6 2 7 2 2 3 2" xfId="51150" xr:uid="{00000000-0005-0000-0000-000086CA0000}"/>
    <cellStyle name="Normal 6 2 7 2 2 4" xfId="37588" xr:uid="{00000000-0005-0000-0000-000087CA0000}"/>
    <cellStyle name="Normal 6 2 7 2 3" xfId="13841" xr:uid="{00000000-0005-0000-0000-000088CA0000}"/>
    <cellStyle name="Normal 6 2 7 2 3 2" xfId="27409" xr:uid="{00000000-0005-0000-0000-000089CA0000}"/>
    <cellStyle name="Normal 6 2 7 2 3 2 2" xfId="54542" xr:uid="{00000000-0005-0000-0000-00008ACA0000}"/>
    <cellStyle name="Normal 6 2 7 2 3 3" xfId="40980" xr:uid="{00000000-0005-0000-0000-00008BCA0000}"/>
    <cellStyle name="Normal 6 2 7 2 4" xfId="20628" xr:uid="{00000000-0005-0000-0000-00008CCA0000}"/>
    <cellStyle name="Normal 6 2 7 2 4 2" xfId="47761" xr:uid="{00000000-0005-0000-0000-00008DCA0000}"/>
    <cellStyle name="Normal 6 2 7 2 5" xfId="34199" xr:uid="{00000000-0005-0000-0000-00008ECA0000}"/>
    <cellStyle name="Normal 6 2 7 3" xfId="6911" xr:uid="{00000000-0005-0000-0000-00008FCA0000}"/>
    <cellStyle name="Normal 6 2 7 3 2" xfId="10441" xr:uid="{00000000-0005-0000-0000-000090CA0000}"/>
    <cellStyle name="Normal 6 2 7 3 2 2" xfId="17231" xr:uid="{00000000-0005-0000-0000-000091CA0000}"/>
    <cellStyle name="Normal 6 2 7 3 2 2 2" xfId="30799" xr:uid="{00000000-0005-0000-0000-000092CA0000}"/>
    <cellStyle name="Normal 6 2 7 3 2 2 2 2" xfId="57932" xr:uid="{00000000-0005-0000-0000-000093CA0000}"/>
    <cellStyle name="Normal 6 2 7 3 2 2 3" xfId="44370" xr:uid="{00000000-0005-0000-0000-000094CA0000}"/>
    <cellStyle name="Normal 6 2 7 3 2 3" xfId="24018" xr:uid="{00000000-0005-0000-0000-000095CA0000}"/>
    <cellStyle name="Normal 6 2 7 3 2 3 2" xfId="51151" xr:uid="{00000000-0005-0000-0000-000096CA0000}"/>
    <cellStyle name="Normal 6 2 7 3 2 4" xfId="37589" xr:uid="{00000000-0005-0000-0000-000097CA0000}"/>
    <cellStyle name="Normal 6 2 7 3 3" xfId="13842" xr:uid="{00000000-0005-0000-0000-000098CA0000}"/>
    <cellStyle name="Normal 6 2 7 3 3 2" xfId="27410" xr:uid="{00000000-0005-0000-0000-000099CA0000}"/>
    <cellStyle name="Normal 6 2 7 3 3 2 2" xfId="54543" xr:uid="{00000000-0005-0000-0000-00009ACA0000}"/>
    <cellStyle name="Normal 6 2 7 3 3 3" xfId="40981" xr:uid="{00000000-0005-0000-0000-00009BCA0000}"/>
    <cellStyle name="Normal 6 2 7 3 4" xfId="20629" xr:uid="{00000000-0005-0000-0000-00009CCA0000}"/>
    <cellStyle name="Normal 6 2 7 3 4 2" xfId="47762" xr:uid="{00000000-0005-0000-0000-00009DCA0000}"/>
    <cellStyle name="Normal 6 2 7 3 5" xfId="34200" xr:uid="{00000000-0005-0000-0000-00009ECA0000}"/>
    <cellStyle name="Normal 6 2 7 4" xfId="10439" xr:uid="{00000000-0005-0000-0000-00009FCA0000}"/>
    <cellStyle name="Normal 6 2 7 4 2" xfId="17229" xr:uid="{00000000-0005-0000-0000-0000A0CA0000}"/>
    <cellStyle name="Normal 6 2 7 4 2 2" xfId="30797" xr:uid="{00000000-0005-0000-0000-0000A1CA0000}"/>
    <cellStyle name="Normal 6 2 7 4 2 2 2" xfId="57930" xr:uid="{00000000-0005-0000-0000-0000A2CA0000}"/>
    <cellStyle name="Normal 6 2 7 4 2 3" xfId="44368" xr:uid="{00000000-0005-0000-0000-0000A3CA0000}"/>
    <cellStyle name="Normal 6 2 7 4 3" xfId="24016" xr:uid="{00000000-0005-0000-0000-0000A4CA0000}"/>
    <cellStyle name="Normal 6 2 7 4 3 2" xfId="51149" xr:uid="{00000000-0005-0000-0000-0000A5CA0000}"/>
    <cellStyle name="Normal 6 2 7 4 4" xfId="37587" xr:uid="{00000000-0005-0000-0000-0000A6CA0000}"/>
    <cellStyle name="Normal 6 2 7 5" xfId="13840" xr:uid="{00000000-0005-0000-0000-0000A7CA0000}"/>
    <cellStyle name="Normal 6 2 7 5 2" xfId="27408" xr:uid="{00000000-0005-0000-0000-0000A8CA0000}"/>
    <cellStyle name="Normal 6 2 7 5 2 2" xfId="54541" xr:uid="{00000000-0005-0000-0000-0000A9CA0000}"/>
    <cellStyle name="Normal 6 2 7 5 3" xfId="40979" xr:uid="{00000000-0005-0000-0000-0000AACA0000}"/>
    <cellStyle name="Normal 6 2 7 6" xfId="20627" xr:uid="{00000000-0005-0000-0000-0000ABCA0000}"/>
    <cellStyle name="Normal 6 2 7 6 2" xfId="47760" xr:uid="{00000000-0005-0000-0000-0000ACCA0000}"/>
    <cellStyle name="Normal 6 2 7 7" xfId="34198" xr:uid="{00000000-0005-0000-0000-0000ADCA0000}"/>
    <cellStyle name="Normal 6 2 8" xfId="6912" xr:uid="{00000000-0005-0000-0000-0000AECA0000}"/>
    <cellStyle name="Normal 6 2 8 2" xfId="6913" xr:uid="{00000000-0005-0000-0000-0000AFCA0000}"/>
    <cellStyle name="Normal 6 2 8 2 2" xfId="10443" xr:uid="{00000000-0005-0000-0000-0000B0CA0000}"/>
    <cellStyle name="Normal 6 2 8 2 2 2" xfId="17233" xr:uid="{00000000-0005-0000-0000-0000B1CA0000}"/>
    <cellStyle name="Normal 6 2 8 2 2 2 2" xfId="30801" xr:uid="{00000000-0005-0000-0000-0000B2CA0000}"/>
    <cellStyle name="Normal 6 2 8 2 2 2 2 2" xfId="57934" xr:uid="{00000000-0005-0000-0000-0000B3CA0000}"/>
    <cellStyle name="Normal 6 2 8 2 2 2 3" xfId="44372" xr:uid="{00000000-0005-0000-0000-0000B4CA0000}"/>
    <cellStyle name="Normal 6 2 8 2 2 3" xfId="24020" xr:uid="{00000000-0005-0000-0000-0000B5CA0000}"/>
    <cellStyle name="Normal 6 2 8 2 2 3 2" xfId="51153" xr:uid="{00000000-0005-0000-0000-0000B6CA0000}"/>
    <cellStyle name="Normal 6 2 8 2 2 4" xfId="37591" xr:uid="{00000000-0005-0000-0000-0000B7CA0000}"/>
    <cellStyle name="Normal 6 2 8 2 3" xfId="13844" xr:uid="{00000000-0005-0000-0000-0000B8CA0000}"/>
    <cellStyle name="Normal 6 2 8 2 3 2" xfId="27412" xr:uid="{00000000-0005-0000-0000-0000B9CA0000}"/>
    <cellStyle name="Normal 6 2 8 2 3 2 2" xfId="54545" xr:uid="{00000000-0005-0000-0000-0000BACA0000}"/>
    <cellStyle name="Normal 6 2 8 2 3 3" xfId="40983" xr:uid="{00000000-0005-0000-0000-0000BBCA0000}"/>
    <cellStyle name="Normal 6 2 8 2 4" xfId="20631" xr:uid="{00000000-0005-0000-0000-0000BCCA0000}"/>
    <cellStyle name="Normal 6 2 8 2 4 2" xfId="47764" xr:uid="{00000000-0005-0000-0000-0000BDCA0000}"/>
    <cellStyle name="Normal 6 2 8 2 5" xfId="34202" xr:uid="{00000000-0005-0000-0000-0000BECA0000}"/>
    <cellStyle name="Normal 6 2 8 3" xfId="6914" xr:uid="{00000000-0005-0000-0000-0000BFCA0000}"/>
    <cellStyle name="Normal 6 2 8 3 2" xfId="10444" xr:uid="{00000000-0005-0000-0000-0000C0CA0000}"/>
    <cellStyle name="Normal 6 2 8 3 2 2" xfId="17234" xr:uid="{00000000-0005-0000-0000-0000C1CA0000}"/>
    <cellStyle name="Normal 6 2 8 3 2 2 2" xfId="30802" xr:uid="{00000000-0005-0000-0000-0000C2CA0000}"/>
    <cellStyle name="Normal 6 2 8 3 2 2 2 2" xfId="57935" xr:uid="{00000000-0005-0000-0000-0000C3CA0000}"/>
    <cellStyle name="Normal 6 2 8 3 2 2 3" xfId="44373" xr:uid="{00000000-0005-0000-0000-0000C4CA0000}"/>
    <cellStyle name="Normal 6 2 8 3 2 3" xfId="24021" xr:uid="{00000000-0005-0000-0000-0000C5CA0000}"/>
    <cellStyle name="Normal 6 2 8 3 2 3 2" xfId="51154" xr:uid="{00000000-0005-0000-0000-0000C6CA0000}"/>
    <cellStyle name="Normal 6 2 8 3 2 4" xfId="37592" xr:uid="{00000000-0005-0000-0000-0000C7CA0000}"/>
    <cellStyle name="Normal 6 2 8 3 3" xfId="13845" xr:uid="{00000000-0005-0000-0000-0000C8CA0000}"/>
    <cellStyle name="Normal 6 2 8 3 3 2" xfId="27413" xr:uid="{00000000-0005-0000-0000-0000C9CA0000}"/>
    <cellStyle name="Normal 6 2 8 3 3 2 2" xfId="54546" xr:uid="{00000000-0005-0000-0000-0000CACA0000}"/>
    <cellStyle name="Normal 6 2 8 3 3 3" xfId="40984" xr:uid="{00000000-0005-0000-0000-0000CBCA0000}"/>
    <cellStyle name="Normal 6 2 8 3 4" xfId="20632" xr:uid="{00000000-0005-0000-0000-0000CCCA0000}"/>
    <cellStyle name="Normal 6 2 8 3 4 2" xfId="47765" xr:uid="{00000000-0005-0000-0000-0000CDCA0000}"/>
    <cellStyle name="Normal 6 2 8 3 5" xfId="34203" xr:uid="{00000000-0005-0000-0000-0000CECA0000}"/>
    <cellStyle name="Normal 6 2 8 4" xfId="10442" xr:uid="{00000000-0005-0000-0000-0000CFCA0000}"/>
    <cellStyle name="Normal 6 2 8 4 2" xfId="17232" xr:uid="{00000000-0005-0000-0000-0000D0CA0000}"/>
    <cellStyle name="Normal 6 2 8 4 2 2" xfId="30800" xr:uid="{00000000-0005-0000-0000-0000D1CA0000}"/>
    <cellStyle name="Normal 6 2 8 4 2 2 2" xfId="57933" xr:uid="{00000000-0005-0000-0000-0000D2CA0000}"/>
    <cellStyle name="Normal 6 2 8 4 2 3" xfId="44371" xr:uid="{00000000-0005-0000-0000-0000D3CA0000}"/>
    <cellStyle name="Normal 6 2 8 4 3" xfId="24019" xr:uid="{00000000-0005-0000-0000-0000D4CA0000}"/>
    <cellStyle name="Normal 6 2 8 4 3 2" xfId="51152" xr:uid="{00000000-0005-0000-0000-0000D5CA0000}"/>
    <cellStyle name="Normal 6 2 8 4 4" xfId="37590" xr:uid="{00000000-0005-0000-0000-0000D6CA0000}"/>
    <cellStyle name="Normal 6 2 8 5" xfId="13843" xr:uid="{00000000-0005-0000-0000-0000D7CA0000}"/>
    <cellStyle name="Normal 6 2 8 5 2" xfId="27411" xr:uid="{00000000-0005-0000-0000-0000D8CA0000}"/>
    <cellStyle name="Normal 6 2 8 5 2 2" xfId="54544" xr:uid="{00000000-0005-0000-0000-0000D9CA0000}"/>
    <cellStyle name="Normal 6 2 8 5 3" xfId="40982" xr:uid="{00000000-0005-0000-0000-0000DACA0000}"/>
    <cellStyle name="Normal 6 2 8 6" xfId="20630" xr:uid="{00000000-0005-0000-0000-0000DBCA0000}"/>
    <cellStyle name="Normal 6 2 8 6 2" xfId="47763" xr:uid="{00000000-0005-0000-0000-0000DCCA0000}"/>
    <cellStyle name="Normal 6 2 8 7" xfId="34201" xr:uid="{00000000-0005-0000-0000-0000DDCA0000}"/>
    <cellStyle name="Normal 6 2 9" xfId="6915" xr:uid="{00000000-0005-0000-0000-0000DECA0000}"/>
    <cellStyle name="Normal 6 2 9 2" xfId="10445" xr:uid="{00000000-0005-0000-0000-0000DFCA0000}"/>
    <cellStyle name="Normal 6 2 9 2 2" xfId="17235" xr:uid="{00000000-0005-0000-0000-0000E0CA0000}"/>
    <cellStyle name="Normal 6 2 9 2 2 2" xfId="30803" xr:uid="{00000000-0005-0000-0000-0000E1CA0000}"/>
    <cellStyle name="Normal 6 2 9 2 2 2 2" xfId="57936" xr:uid="{00000000-0005-0000-0000-0000E2CA0000}"/>
    <cellStyle name="Normal 6 2 9 2 2 3" xfId="44374" xr:uid="{00000000-0005-0000-0000-0000E3CA0000}"/>
    <cellStyle name="Normal 6 2 9 2 3" xfId="24022" xr:uid="{00000000-0005-0000-0000-0000E4CA0000}"/>
    <cellStyle name="Normal 6 2 9 2 3 2" xfId="51155" xr:uid="{00000000-0005-0000-0000-0000E5CA0000}"/>
    <cellStyle name="Normal 6 2 9 2 4" xfId="37593" xr:uid="{00000000-0005-0000-0000-0000E6CA0000}"/>
    <cellStyle name="Normal 6 2 9 3" xfId="13846" xr:uid="{00000000-0005-0000-0000-0000E7CA0000}"/>
    <cellStyle name="Normal 6 2 9 3 2" xfId="27414" xr:uid="{00000000-0005-0000-0000-0000E8CA0000}"/>
    <cellStyle name="Normal 6 2 9 3 2 2" xfId="54547" xr:uid="{00000000-0005-0000-0000-0000E9CA0000}"/>
    <cellStyle name="Normal 6 2 9 3 3" xfId="40985" xr:uid="{00000000-0005-0000-0000-0000EACA0000}"/>
    <cellStyle name="Normal 6 2 9 4" xfId="20633" xr:uid="{00000000-0005-0000-0000-0000EBCA0000}"/>
    <cellStyle name="Normal 6 2 9 4 2" xfId="47766" xr:uid="{00000000-0005-0000-0000-0000ECCA0000}"/>
    <cellStyle name="Normal 6 2 9 5" xfId="34204" xr:uid="{00000000-0005-0000-0000-0000EDCA0000}"/>
    <cellStyle name="Normal 6 3" xfId="6916" xr:uid="{00000000-0005-0000-0000-0000EECA0000}"/>
    <cellStyle name="Normal 6 3 10" xfId="6917" xr:uid="{00000000-0005-0000-0000-0000EFCA0000}"/>
    <cellStyle name="Normal 6 3 10 2" xfId="10447" xr:uid="{00000000-0005-0000-0000-0000F0CA0000}"/>
    <cellStyle name="Normal 6 3 10 2 2" xfId="17237" xr:uid="{00000000-0005-0000-0000-0000F1CA0000}"/>
    <cellStyle name="Normal 6 3 10 2 2 2" xfId="30805" xr:uid="{00000000-0005-0000-0000-0000F2CA0000}"/>
    <cellStyle name="Normal 6 3 10 2 2 2 2" xfId="57938" xr:uid="{00000000-0005-0000-0000-0000F3CA0000}"/>
    <cellStyle name="Normal 6 3 10 2 2 3" xfId="44376" xr:uid="{00000000-0005-0000-0000-0000F4CA0000}"/>
    <cellStyle name="Normal 6 3 10 2 3" xfId="24024" xr:uid="{00000000-0005-0000-0000-0000F5CA0000}"/>
    <cellStyle name="Normal 6 3 10 2 3 2" xfId="51157" xr:uid="{00000000-0005-0000-0000-0000F6CA0000}"/>
    <cellStyle name="Normal 6 3 10 2 4" xfId="37595" xr:uid="{00000000-0005-0000-0000-0000F7CA0000}"/>
    <cellStyle name="Normal 6 3 10 3" xfId="13848" xr:uid="{00000000-0005-0000-0000-0000F8CA0000}"/>
    <cellStyle name="Normal 6 3 10 3 2" xfId="27416" xr:uid="{00000000-0005-0000-0000-0000F9CA0000}"/>
    <cellStyle name="Normal 6 3 10 3 2 2" xfId="54549" xr:uid="{00000000-0005-0000-0000-0000FACA0000}"/>
    <cellStyle name="Normal 6 3 10 3 3" xfId="40987" xr:uid="{00000000-0005-0000-0000-0000FBCA0000}"/>
    <cellStyle name="Normal 6 3 10 4" xfId="20635" xr:uid="{00000000-0005-0000-0000-0000FCCA0000}"/>
    <cellStyle name="Normal 6 3 10 4 2" xfId="47768" xr:uid="{00000000-0005-0000-0000-0000FDCA0000}"/>
    <cellStyle name="Normal 6 3 10 5" xfId="34206" xr:uid="{00000000-0005-0000-0000-0000FECA0000}"/>
    <cellStyle name="Normal 6 3 11" xfId="10446" xr:uid="{00000000-0005-0000-0000-0000FFCA0000}"/>
    <cellStyle name="Normal 6 3 11 2" xfId="17236" xr:uid="{00000000-0005-0000-0000-000000CB0000}"/>
    <cellStyle name="Normal 6 3 11 2 2" xfId="30804" xr:uid="{00000000-0005-0000-0000-000001CB0000}"/>
    <cellStyle name="Normal 6 3 11 2 2 2" xfId="57937" xr:uid="{00000000-0005-0000-0000-000002CB0000}"/>
    <cellStyle name="Normal 6 3 11 2 3" xfId="44375" xr:uid="{00000000-0005-0000-0000-000003CB0000}"/>
    <cellStyle name="Normal 6 3 11 3" xfId="24023" xr:uid="{00000000-0005-0000-0000-000004CB0000}"/>
    <cellStyle name="Normal 6 3 11 3 2" xfId="51156" xr:uid="{00000000-0005-0000-0000-000005CB0000}"/>
    <cellStyle name="Normal 6 3 11 4" xfId="37594" xr:uid="{00000000-0005-0000-0000-000006CB0000}"/>
    <cellStyle name="Normal 6 3 12" xfId="13847" xr:uid="{00000000-0005-0000-0000-000007CB0000}"/>
    <cellStyle name="Normal 6 3 12 2" xfId="27415" xr:uid="{00000000-0005-0000-0000-000008CB0000}"/>
    <cellStyle name="Normal 6 3 12 2 2" xfId="54548" xr:uid="{00000000-0005-0000-0000-000009CB0000}"/>
    <cellStyle name="Normal 6 3 12 3" xfId="40986" xr:uid="{00000000-0005-0000-0000-00000ACB0000}"/>
    <cellStyle name="Normal 6 3 13" xfId="20634" xr:uid="{00000000-0005-0000-0000-00000BCB0000}"/>
    <cellStyle name="Normal 6 3 13 2" xfId="47767" xr:uid="{00000000-0005-0000-0000-00000CCB0000}"/>
    <cellStyle name="Normal 6 3 14" xfId="34205" xr:uid="{00000000-0005-0000-0000-00000DCB0000}"/>
    <cellStyle name="Normal 6 3 2" xfId="6918" xr:uid="{00000000-0005-0000-0000-00000ECB0000}"/>
    <cellStyle name="Normal 6 3 2 10" xfId="13849" xr:uid="{00000000-0005-0000-0000-00000FCB0000}"/>
    <cellStyle name="Normal 6 3 2 10 2" xfId="27417" xr:uid="{00000000-0005-0000-0000-000010CB0000}"/>
    <cellStyle name="Normal 6 3 2 10 2 2" xfId="54550" xr:uid="{00000000-0005-0000-0000-000011CB0000}"/>
    <cellStyle name="Normal 6 3 2 10 3" xfId="40988" xr:uid="{00000000-0005-0000-0000-000012CB0000}"/>
    <cellStyle name="Normal 6 3 2 11" xfId="20636" xr:uid="{00000000-0005-0000-0000-000013CB0000}"/>
    <cellStyle name="Normal 6 3 2 11 2" xfId="47769" xr:uid="{00000000-0005-0000-0000-000014CB0000}"/>
    <cellStyle name="Normal 6 3 2 12" xfId="34207" xr:uid="{00000000-0005-0000-0000-000015CB0000}"/>
    <cellStyle name="Normal 6 3 2 2" xfId="6919" xr:uid="{00000000-0005-0000-0000-000016CB0000}"/>
    <cellStyle name="Normal 6 3 2 2 10" xfId="34208" xr:uid="{00000000-0005-0000-0000-000017CB0000}"/>
    <cellStyle name="Normal 6 3 2 2 2" xfId="6920" xr:uid="{00000000-0005-0000-0000-000018CB0000}"/>
    <cellStyle name="Normal 6 3 2 2 2 2" xfId="6921" xr:uid="{00000000-0005-0000-0000-000019CB0000}"/>
    <cellStyle name="Normal 6 3 2 2 2 2 2" xfId="6922" xr:uid="{00000000-0005-0000-0000-00001ACB0000}"/>
    <cellStyle name="Normal 6 3 2 2 2 2 2 2" xfId="10452" xr:uid="{00000000-0005-0000-0000-00001BCB0000}"/>
    <cellStyle name="Normal 6 3 2 2 2 2 2 2 2" xfId="17242" xr:uid="{00000000-0005-0000-0000-00001CCB0000}"/>
    <cellStyle name="Normal 6 3 2 2 2 2 2 2 2 2" xfId="30810" xr:uid="{00000000-0005-0000-0000-00001DCB0000}"/>
    <cellStyle name="Normal 6 3 2 2 2 2 2 2 2 2 2" xfId="57943" xr:uid="{00000000-0005-0000-0000-00001ECB0000}"/>
    <cellStyle name="Normal 6 3 2 2 2 2 2 2 2 3" xfId="44381" xr:uid="{00000000-0005-0000-0000-00001FCB0000}"/>
    <cellStyle name="Normal 6 3 2 2 2 2 2 2 3" xfId="24029" xr:uid="{00000000-0005-0000-0000-000020CB0000}"/>
    <cellStyle name="Normal 6 3 2 2 2 2 2 2 3 2" xfId="51162" xr:uid="{00000000-0005-0000-0000-000021CB0000}"/>
    <cellStyle name="Normal 6 3 2 2 2 2 2 2 4" xfId="37600" xr:uid="{00000000-0005-0000-0000-000022CB0000}"/>
    <cellStyle name="Normal 6 3 2 2 2 2 2 3" xfId="13853" xr:uid="{00000000-0005-0000-0000-000023CB0000}"/>
    <cellStyle name="Normal 6 3 2 2 2 2 2 3 2" xfId="27421" xr:uid="{00000000-0005-0000-0000-000024CB0000}"/>
    <cellStyle name="Normal 6 3 2 2 2 2 2 3 2 2" xfId="54554" xr:uid="{00000000-0005-0000-0000-000025CB0000}"/>
    <cellStyle name="Normal 6 3 2 2 2 2 2 3 3" xfId="40992" xr:uid="{00000000-0005-0000-0000-000026CB0000}"/>
    <cellStyle name="Normal 6 3 2 2 2 2 2 4" xfId="20640" xr:uid="{00000000-0005-0000-0000-000027CB0000}"/>
    <cellStyle name="Normal 6 3 2 2 2 2 2 4 2" xfId="47773" xr:uid="{00000000-0005-0000-0000-000028CB0000}"/>
    <cellStyle name="Normal 6 3 2 2 2 2 2 5" xfId="34211" xr:uid="{00000000-0005-0000-0000-000029CB0000}"/>
    <cellStyle name="Normal 6 3 2 2 2 2 3" xfId="6923" xr:uid="{00000000-0005-0000-0000-00002ACB0000}"/>
    <cellStyle name="Normal 6 3 2 2 2 2 3 2" xfId="10453" xr:uid="{00000000-0005-0000-0000-00002BCB0000}"/>
    <cellStyle name="Normal 6 3 2 2 2 2 3 2 2" xfId="17243" xr:uid="{00000000-0005-0000-0000-00002CCB0000}"/>
    <cellStyle name="Normal 6 3 2 2 2 2 3 2 2 2" xfId="30811" xr:uid="{00000000-0005-0000-0000-00002DCB0000}"/>
    <cellStyle name="Normal 6 3 2 2 2 2 3 2 2 2 2" xfId="57944" xr:uid="{00000000-0005-0000-0000-00002ECB0000}"/>
    <cellStyle name="Normal 6 3 2 2 2 2 3 2 2 3" xfId="44382" xr:uid="{00000000-0005-0000-0000-00002FCB0000}"/>
    <cellStyle name="Normal 6 3 2 2 2 2 3 2 3" xfId="24030" xr:uid="{00000000-0005-0000-0000-000030CB0000}"/>
    <cellStyle name="Normal 6 3 2 2 2 2 3 2 3 2" xfId="51163" xr:uid="{00000000-0005-0000-0000-000031CB0000}"/>
    <cellStyle name="Normal 6 3 2 2 2 2 3 2 4" xfId="37601" xr:uid="{00000000-0005-0000-0000-000032CB0000}"/>
    <cellStyle name="Normal 6 3 2 2 2 2 3 3" xfId="13854" xr:uid="{00000000-0005-0000-0000-000033CB0000}"/>
    <cellStyle name="Normal 6 3 2 2 2 2 3 3 2" xfId="27422" xr:uid="{00000000-0005-0000-0000-000034CB0000}"/>
    <cellStyle name="Normal 6 3 2 2 2 2 3 3 2 2" xfId="54555" xr:uid="{00000000-0005-0000-0000-000035CB0000}"/>
    <cellStyle name="Normal 6 3 2 2 2 2 3 3 3" xfId="40993" xr:uid="{00000000-0005-0000-0000-000036CB0000}"/>
    <cellStyle name="Normal 6 3 2 2 2 2 3 4" xfId="20641" xr:uid="{00000000-0005-0000-0000-000037CB0000}"/>
    <cellStyle name="Normal 6 3 2 2 2 2 3 4 2" xfId="47774" xr:uid="{00000000-0005-0000-0000-000038CB0000}"/>
    <cellStyle name="Normal 6 3 2 2 2 2 3 5" xfId="34212" xr:uid="{00000000-0005-0000-0000-000039CB0000}"/>
    <cellStyle name="Normal 6 3 2 2 2 2 4" xfId="10451" xr:uid="{00000000-0005-0000-0000-00003ACB0000}"/>
    <cellStyle name="Normal 6 3 2 2 2 2 4 2" xfId="17241" xr:uid="{00000000-0005-0000-0000-00003BCB0000}"/>
    <cellStyle name="Normal 6 3 2 2 2 2 4 2 2" xfId="30809" xr:uid="{00000000-0005-0000-0000-00003CCB0000}"/>
    <cellStyle name="Normal 6 3 2 2 2 2 4 2 2 2" xfId="57942" xr:uid="{00000000-0005-0000-0000-00003DCB0000}"/>
    <cellStyle name="Normal 6 3 2 2 2 2 4 2 3" xfId="44380" xr:uid="{00000000-0005-0000-0000-00003ECB0000}"/>
    <cellStyle name="Normal 6 3 2 2 2 2 4 3" xfId="24028" xr:uid="{00000000-0005-0000-0000-00003FCB0000}"/>
    <cellStyle name="Normal 6 3 2 2 2 2 4 3 2" xfId="51161" xr:uid="{00000000-0005-0000-0000-000040CB0000}"/>
    <cellStyle name="Normal 6 3 2 2 2 2 4 4" xfId="37599" xr:uid="{00000000-0005-0000-0000-000041CB0000}"/>
    <cellStyle name="Normal 6 3 2 2 2 2 5" xfId="13852" xr:uid="{00000000-0005-0000-0000-000042CB0000}"/>
    <cellStyle name="Normal 6 3 2 2 2 2 5 2" xfId="27420" xr:uid="{00000000-0005-0000-0000-000043CB0000}"/>
    <cellStyle name="Normal 6 3 2 2 2 2 5 2 2" xfId="54553" xr:uid="{00000000-0005-0000-0000-000044CB0000}"/>
    <cellStyle name="Normal 6 3 2 2 2 2 5 3" xfId="40991" xr:uid="{00000000-0005-0000-0000-000045CB0000}"/>
    <cellStyle name="Normal 6 3 2 2 2 2 6" xfId="20639" xr:uid="{00000000-0005-0000-0000-000046CB0000}"/>
    <cellStyle name="Normal 6 3 2 2 2 2 6 2" xfId="47772" xr:uid="{00000000-0005-0000-0000-000047CB0000}"/>
    <cellStyle name="Normal 6 3 2 2 2 2 7" xfId="34210" xr:uid="{00000000-0005-0000-0000-000048CB0000}"/>
    <cellStyle name="Normal 6 3 2 2 2 3" xfId="6924" xr:uid="{00000000-0005-0000-0000-000049CB0000}"/>
    <cellStyle name="Normal 6 3 2 2 2 3 2" xfId="6925" xr:uid="{00000000-0005-0000-0000-00004ACB0000}"/>
    <cellStyle name="Normal 6 3 2 2 2 3 2 2" xfId="10455" xr:uid="{00000000-0005-0000-0000-00004BCB0000}"/>
    <cellStyle name="Normal 6 3 2 2 2 3 2 2 2" xfId="17245" xr:uid="{00000000-0005-0000-0000-00004CCB0000}"/>
    <cellStyle name="Normal 6 3 2 2 2 3 2 2 2 2" xfId="30813" xr:uid="{00000000-0005-0000-0000-00004DCB0000}"/>
    <cellStyle name="Normal 6 3 2 2 2 3 2 2 2 2 2" xfId="57946" xr:uid="{00000000-0005-0000-0000-00004ECB0000}"/>
    <cellStyle name="Normal 6 3 2 2 2 3 2 2 2 3" xfId="44384" xr:uid="{00000000-0005-0000-0000-00004FCB0000}"/>
    <cellStyle name="Normal 6 3 2 2 2 3 2 2 3" xfId="24032" xr:uid="{00000000-0005-0000-0000-000050CB0000}"/>
    <cellStyle name="Normal 6 3 2 2 2 3 2 2 3 2" xfId="51165" xr:uid="{00000000-0005-0000-0000-000051CB0000}"/>
    <cellStyle name="Normal 6 3 2 2 2 3 2 2 4" xfId="37603" xr:uid="{00000000-0005-0000-0000-000052CB0000}"/>
    <cellStyle name="Normal 6 3 2 2 2 3 2 3" xfId="13856" xr:uid="{00000000-0005-0000-0000-000053CB0000}"/>
    <cellStyle name="Normal 6 3 2 2 2 3 2 3 2" xfId="27424" xr:uid="{00000000-0005-0000-0000-000054CB0000}"/>
    <cellStyle name="Normal 6 3 2 2 2 3 2 3 2 2" xfId="54557" xr:uid="{00000000-0005-0000-0000-000055CB0000}"/>
    <cellStyle name="Normal 6 3 2 2 2 3 2 3 3" xfId="40995" xr:uid="{00000000-0005-0000-0000-000056CB0000}"/>
    <cellStyle name="Normal 6 3 2 2 2 3 2 4" xfId="20643" xr:uid="{00000000-0005-0000-0000-000057CB0000}"/>
    <cellStyle name="Normal 6 3 2 2 2 3 2 4 2" xfId="47776" xr:uid="{00000000-0005-0000-0000-000058CB0000}"/>
    <cellStyle name="Normal 6 3 2 2 2 3 2 5" xfId="34214" xr:uid="{00000000-0005-0000-0000-000059CB0000}"/>
    <cellStyle name="Normal 6 3 2 2 2 3 3" xfId="10454" xr:uid="{00000000-0005-0000-0000-00005ACB0000}"/>
    <cellStyle name="Normal 6 3 2 2 2 3 3 2" xfId="17244" xr:uid="{00000000-0005-0000-0000-00005BCB0000}"/>
    <cellStyle name="Normal 6 3 2 2 2 3 3 2 2" xfId="30812" xr:uid="{00000000-0005-0000-0000-00005CCB0000}"/>
    <cellStyle name="Normal 6 3 2 2 2 3 3 2 2 2" xfId="57945" xr:uid="{00000000-0005-0000-0000-00005DCB0000}"/>
    <cellStyle name="Normal 6 3 2 2 2 3 3 2 3" xfId="44383" xr:uid="{00000000-0005-0000-0000-00005ECB0000}"/>
    <cellStyle name="Normal 6 3 2 2 2 3 3 3" xfId="24031" xr:uid="{00000000-0005-0000-0000-00005FCB0000}"/>
    <cellStyle name="Normal 6 3 2 2 2 3 3 3 2" xfId="51164" xr:uid="{00000000-0005-0000-0000-000060CB0000}"/>
    <cellStyle name="Normal 6 3 2 2 2 3 3 4" xfId="37602" xr:uid="{00000000-0005-0000-0000-000061CB0000}"/>
    <cellStyle name="Normal 6 3 2 2 2 3 4" xfId="13855" xr:uid="{00000000-0005-0000-0000-000062CB0000}"/>
    <cellStyle name="Normal 6 3 2 2 2 3 4 2" xfId="27423" xr:uid="{00000000-0005-0000-0000-000063CB0000}"/>
    <cellStyle name="Normal 6 3 2 2 2 3 4 2 2" xfId="54556" xr:uid="{00000000-0005-0000-0000-000064CB0000}"/>
    <cellStyle name="Normal 6 3 2 2 2 3 4 3" xfId="40994" xr:uid="{00000000-0005-0000-0000-000065CB0000}"/>
    <cellStyle name="Normal 6 3 2 2 2 3 5" xfId="20642" xr:uid="{00000000-0005-0000-0000-000066CB0000}"/>
    <cellStyle name="Normal 6 3 2 2 2 3 5 2" xfId="47775" xr:uid="{00000000-0005-0000-0000-000067CB0000}"/>
    <cellStyle name="Normal 6 3 2 2 2 3 6" xfId="34213" xr:uid="{00000000-0005-0000-0000-000068CB0000}"/>
    <cellStyle name="Normal 6 3 2 2 2 4" xfId="6926" xr:uid="{00000000-0005-0000-0000-000069CB0000}"/>
    <cellStyle name="Normal 6 3 2 2 2 4 2" xfId="10456" xr:uid="{00000000-0005-0000-0000-00006ACB0000}"/>
    <cellStyle name="Normal 6 3 2 2 2 4 2 2" xfId="17246" xr:uid="{00000000-0005-0000-0000-00006BCB0000}"/>
    <cellStyle name="Normal 6 3 2 2 2 4 2 2 2" xfId="30814" xr:uid="{00000000-0005-0000-0000-00006CCB0000}"/>
    <cellStyle name="Normal 6 3 2 2 2 4 2 2 2 2" xfId="57947" xr:uid="{00000000-0005-0000-0000-00006DCB0000}"/>
    <cellStyle name="Normal 6 3 2 2 2 4 2 2 3" xfId="44385" xr:uid="{00000000-0005-0000-0000-00006ECB0000}"/>
    <cellStyle name="Normal 6 3 2 2 2 4 2 3" xfId="24033" xr:uid="{00000000-0005-0000-0000-00006FCB0000}"/>
    <cellStyle name="Normal 6 3 2 2 2 4 2 3 2" xfId="51166" xr:uid="{00000000-0005-0000-0000-000070CB0000}"/>
    <cellStyle name="Normal 6 3 2 2 2 4 2 4" xfId="37604" xr:uid="{00000000-0005-0000-0000-000071CB0000}"/>
    <cellStyle name="Normal 6 3 2 2 2 4 3" xfId="13857" xr:uid="{00000000-0005-0000-0000-000072CB0000}"/>
    <cellStyle name="Normal 6 3 2 2 2 4 3 2" xfId="27425" xr:uid="{00000000-0005-0000-0000-000073CB0000}"/>
    <cellStyle name="Normal 6 3 2 2 2 4 3 2 2" xfId="54558" xr:uid="{00000000-0005-0000-0000-000074CB0000}"/>
    <cellStyle name="Normal 6 3 2 2 2 4 3 3" xfId="40996" xr:uid="{00000000-0005-0000-0000-000075CB0000}"/>
    <cellStyle name="Normal 6 3 2 2 2 4 4" xfId="20644" xr:uid="{00000000-0005-0000-0000-000076CB0000}"/>
    <cellStyle name="Normal 6 3 2 2 2 4 4 2" xfId="47777" xr:uid="{00000000-0005-0000-0000-000077CB0000}"/>
    <cellStyle name="Normal 6 3 2 2 2 4 5" xfId="34215" xr:uid="{00000000-0005-0000-0000-000078CB0000}"/>
    <cellStyle name="Normal 6 3 2 2 2 5" xfId="6927" xr:uid="{00000000-0005-0000-0000-000079CB0000}"/>
    <cellStyle name="Normal 6 3 2 2 2 5 2" xfId="10457" xr:uid="{00000000-0005-0000-0000-00007ACB0000}"/>
    <cellStyle name="Normal 6 3 2 2 2 5 2 2" xfId="17247" xr:uid="{00000000-0005-0000-0000-00007BCB0000}"/>
    <cellStyle name="Normal 6 3 2 2 2 5 2 2 2" xfId="30815" xr:uid="{00000000-0005-0000-0000-00007CCB0000}"/>
    <cellStyle name="Normal 6 3 2 2 2 5 2 2 2 2" xfId="57948" xr:uid="{00000000-0005-0000-0000-00007DCB0000}"/>
    <cellStyle name="Normal 6 3 2 2 2 5 2 2 3" xfId="44386" xr:uid="{00000000-0005-0000-0000-00007ECB0000}"/>
    <cellStyle name="Normal 6 3 2 2 2 5 2 3" xfId="24034" xr:uid="{00000000-0005-0000-0000-00007FCB0000}"/>
    <cellStyle name="Normal 6 3 2 2 2 5 2 3 2" xfId="51167" xr:uid="{00000000-0005-0000-0000-000080CB0000}"/>
    <cellStyle name="Normal 6 3 2 2 2 5 2 4" xfId="37605" xr:uid="{00000000-0005-0000-0000-000081CB0000}"/>
    <cellStyle name="Normal 6 3 2 2 2 5 3" xfId="13858" xr:uid="{00000000-0005-0000-0000-000082CB0000}"/>
    <cellStyle name="Normal 6 3 2 2 2 5 3 2" xfId="27426" xr:uid="{00000000-0005-0000-0000-000083CB0000}"/>
    <cellStyle name="Normal 6 3 2 2 2 5 3 2 2" xfId="54559" xr:uid="{00000000-0005-0000-0000-000084CB0000}"/>
    <cellStyle name="Normal 6 3 2 2 2 5 3 3" xfId="40997" xr:uid="{00000000-0005-0000-0000-000085CB0000}"/>
    <cellStyle name="Normal 6 3 2 2 2 5 4" xfId="20645" xr:uid="{00000000-0005-0000-0000-000086CB0000}"/>
    <cellStyle name="Normal 6 3 2 2 2 5 4 2" xfId="47778" xr:uid="{00000000-0005-0000-0000-000087CB0000}"/>
    <cellStyle name="Normal 6 3 2 2 2 5 5" xfId="34216" xr:uid="{00000000-0005-0000-0000-000088CB0000}"/>
    <cellStyle name="Normal 6 3 2 2 2 6" xfId="10450" xr:uid="{00000000-0005-0000-0000-000089CB0000}"/>
    <cellStyle name="Normal 6 3 2 2 2 6 2" xfId="17240" xr:uid="{00000000-0005-0000-0000-00008ACB0000}"/>
    <cellStyle name="Normal 6 3 2 2 2 6 2 2" xfId="30808" xr:uid="{00000000-0005-0000-0000-00008BCB0000}"/>
    <cellStyle name="Normal 6 3 2 2 2 6 2 2 2" xfId="57941" xr:uid="{00000000-0005-0000-0000-00008CCB0000}"/>
    <cellStyle name="Normal 6 3 2 2 2 6 2 3" xfId="44379" xr:uid="{00000000-0005-0000-0000-00008DCB0000}"/>
    <cellStyle name="Normal 6 3 2 2 2 6 3" xfId="24027" xr:uid="{00000000-0005-0000-0000-00008ECB0000}"/>
    <cellStyle name="Normal 6 3 2 2 2 6 3 2" xfId="51160" xr:uid="{00000000-0005-0000-0000-00008FCB0000}"/>
    <cellStyle name="Normal 6 3 2 2 2 6 4" xfId="37598" xr:uid="{00000000-0005-0000-0000-000090CB0000}"/>
    <cellStyle name="Normal 6 3 2 2 2 7" xfId="13851" xr:uid="{00000000-0005-0000-0000-000091CB0000}"/>
    <cellStyle name="Normal 6 3 2 2 2 7 2" xfId="27419" xr:uid="{00000000-0005-0000-0000-000092CB0000}"/>
    <cellStyle name="Normal 6 3 2 2 2 7 2 2" xfId="54552" xr:uid="{00000000-0005-0000-0000-000093CB0000}"/>
    <cellStyle name="Normal 6 3 2 2 2 7 3" xfId="40990" xr:uid="{00000000-0005-0000-0000-000094CB0000}"/>
    <cellStyle name="Normal 6 3 2 2 2 8" xfId="20638" xr:uid="{00000000-0005-0000-0000-000095CB0000}"/>
    <cellStyle name="Normal 6 3 2 2 2 8 2" xfId="47771" xr:uid="{00000000-0005-0000-0000-000096CB0000}"/>
    <cellStyle name="Normal 6 3 2 2 2 9" xfId="34209" xr:uid="{00000000-0005-0000-0000-000097CB0000}"/>
    <cellStyle name="Normal 6 3 2 2 3" xfId="6928" xr:uid="{00000000-0005-0000-0000-000098CB0000}"/>
    <cellStyle name="Normal 6 3 2 2 3 2" xfId="6929" xr:uid="{00000000-0005-0000-0000-000099CB0000}"/>
    <cellStyle name="Normal 6 3 2 2 3 2 2" xfId="10459" xr:uid="{00000000-0005-0000-0000-00009ACB0000}"/>
    <cellStyle name="Normal 6 3 2 2 3 2 2 2" xfId="17249" xr:uid="{00000000-0005-0000-0000-00009BCB0000}"/>
    <cellStyle name="Normal 6 3 2 2 3 2 2 2 2" xfId="30817" xr:uid="{00000000-0005-0000-0000-00009CCB0000}"/>
    <cellStyle name="Normal 6 3 2 2 3 2 2 2 2 2" xfId="57950" xr:uid="{00000000-0005-0000-0000-00009DCB0000}"/>
    <cellStyle name="Normal 6 3 2 2 3 2 2 2 3" xfId="44388" xr:uid="{00000000-0005-0000-0000-00009ECB0000}"/>
    <cellStyle name="Normal 6 3 2 2 3 2 2 3" xfId="24036" xr:uid="{00000000-0005-0000-0000-00009FCB0000}"/>
    <cellStyle name="Normal 6 3 2 2 3 2 2 3 2" xfId="51169" xr:uid="{00000000-0005-0000-0000-0000A0CB0000}"/>
    <cellStyle name="Normal 6 3 2 2 3 2 2 4" xfId="37607" xr:uid="{00000000-0005-0000-0000-0000A1CB0000}"/>
    <cellStyle name="Normal 6 3 2 2 3 2 3" xfId="13860" xr:uid="{00000000-0005-0000-0000-0000A2CB0000}"/>
    <cellStyle name="Normal 6 3 2 2 3 2 3 2" xfId="27428" xr:uid="{00000000-0005-0000-0000-0000A3CB0000}"/>
    <cellStyle name="Normal 6 3 2 2 3 2 3 2 2" xfId="54561" xr:uid="{00000000-0005-0000-0000-0000A4CB0000}"/>
    <cellStyle name="Normal 6 3 2 2 3 2 3 3" xfId="40999" xr:uid="{00000000-0005-0000-0000-0000A5CB0000}"/>
    <cellStyle name="Normal 6 3 2 2 3 2 4" xfId="20647" xr:uid="{00000000-0005-0000-0000-0000A6CB0000}"/>
    <cellStyle name="Normal 6 3 2 2 3 2 4 2" xfId="47780" xr:uid="{00000000-0005-0000-0000-0000A7CB0000}"/>
    <cellStyle name="Normal 6 3 2 2 3 2 5" xfId="34218" xr:uid="{00000000-0005-0000-0000-0000A8CB0000}"/>
    <cellStyle name="Normal 6 3 2 2 3 3" xfId="6930" xr:uid="{00000000-0005-0000-0000-0000A9CB0000}"/>
    <cellStyle name="Normal 6 3 2 2 3 3 2" xfId="10460" xr:uid="{00000000-0005-0000-0000-0000AACB0000}"/>
    <cellStyle name="Normal 6 3 2 2 3 3 2 2" xfId="17250" xr:uid="{00000000-0005-0000-0000-0000ABCB0000}"/>
    <cellStyle name="Normal 6 3 2 2 3 3 2 2 2" xfId="30818" xr:uid="{00000000-0005-0000-0000-0000ACCB0000}"/>
    <cellStyle name="Normal 6 3 2 2 3 3 2 2 2 2" xfId="57951" xr:uid="{00000000-0005-0000-0000-0000ADCB0000}"/>
    <cellStyle name="Normal 6 3 2 2 3 3 2 2 3" xfId="44389" xr:uid="{00000000-0005-0000-0000-0000AECB0000}"/>
    <cellStyle name="Normal 6 3 2 2 3 3 2 3" xfId="24037" xr:uid="{00000000-0005-0000-0000-0000AFCB0000}"/>
    <cellStyle name="Normal 6 3 2 2 3 3 2 3 2" xfId="51170" xr:uid="{00000000-0005-0000-0000-0000B0CB0000}"/>
    <cellStyle name="Normal 6 3 2 2 3 3 2 4" xfId="37608" xr:uid="{00000000-0005-0000-0000-0000B1CB0000}"/>
    <cellStyle name="Normal 6 3 2 2 3 3 3" xfId="13861" xr:uid="{00000000-0005-0000-0000-0000B2CB0000}"/>
    <cellStyle name="Normal 6 3 2 2 3 3 3 2" xfId="27429" xr:uid="{00000000-0005-0000-0000-0000B3CB0000}"/>
    <cellStyle name="Normal 6 3 2 2 3 3 3 2 2" xfId="54562" xr:uid="{00000000-0005-0000-0000-0000B4CB0000}"/>
    <cellStyle name="Normal 6 3 2 2 3 3 3 3" xfId="41000" xr:uid="{00000000-0005-0000-0000-0000B5CB0000}"/>
    <cellStyle name="Normal 6 3 2 2 3 3 4" xfId="20648" xr:uid="{00000000-0005-0000-0000-0000B6CB0000}"/>
    <cellStyle name="Normal 6 3 2 2 3 3 4 2" xfId="47781" xr:uid="{00000000-0005-0000-0000-0000B7CB0000}"/>
    <cellStyle name="Normal 6 3 2 2 3 3 5" xfId="34219" xr:uid="{00000000-0005-0000-0000-0000B8CB0000}"/>
    <cellStyle name="Normal 6 3 2 2 3 4" xfId="10458" xr:uid="{00000000-0005-0000-0000-0000B9CB0000}"/>
    <cellStyle name="Normal 6 3 2 2 3 4 2" xfId="17248" xr:uid="{00000000-0005-0000-0000-0000BACB0000}"/>
    <cellStyle name="Normal 6 3 2 2 3 4 2 2" xfId="30816" xr:uid="{00000000-0005-0000-0000-0000BBCB0000}"/>
    <cellStyle name="Normal 6 3 2 2 3 4 2 2 2" xfId="57949" xr:uid="{00000000-0005-0000-0000-0000BCCB0000}"/>
    <cellStyle name="Normal 6 3 2 2 3 4 2 3" xfId="44387" xr:uid="{00000000-0005-0000-0000-0000BDCB0000}"/>
    <cellStyle name="Normal 6 3 2 2 3 4 3" xfId="24035" xr:uid="{00000000-0005-0000-0000-0000BECB0000}"/>
    <cellStyle name="Normal 6 3 2 2 3 4 3 2" xfId="51168" xr:uid="{00000000-0005-0000-0000-0000BFCB0000}"/>
    <cellStyle name="Normal 6 3 2 2 3 4 4" xfId="37606" xr:uid="{00000000-0005-0000-0000-0000C0CB0000}"/>
    <cellStyle name="Normal 6 3 2 2 3 5" xfId="13859" xr:uid="{00000000-0005-0000-0000-0000C1CB0000}"/>
    <cellStyle name="Normal 6 3 2 2 3 5 2" xfId="27427" xr:uid="{00000000-0005-0000-0000-0000C2CB0000}"/>
    <cellStyle name="Normal 6 3 2 2 3 5 2 2" xfId="54560" xr:uid="{00000000-0005-0000-0000-0000C3CB0000}"/>
    <cellStyle name="Normal 6 3 2 2 3 5 3" xfId="40998" xr:uid="{00000000-0005-0000-0000-0000C4CB0000}"/>
    <cellStyle name="Normal 6 3 2 2 3 6" xfId="20646" xr:uid="{00000000-0005-0000-0000-0000C5CB0000}"/>
    <cellStyle name="Normal 6 3 2 2 3 6 2" xfId="47779" xr:uid="{00000000-0005-0000-0000-0000C6CB0000}"/>
    <cellStyle name="Normal 6 3 2 2 3 7" xfId="34217" xr:uid="{00000000-0005-0000-0000-0000C7CB0000}"/>
    <cellStyle name="Normal 6 3 2 2 4" xfId="6931" xr:uid="{00000000-0005-0000-0000-0000C8CB0000}"/>
    <cellStyle name="Normal 6 3 2 2 4 2" xfId="6932" xr:uid="{00000000-0005-0000-0000-0000C9CB0000}"/>
    <cellStyle name="Normal 6 3 2 2 4 2 2" xfId="10462" xr:uid="{00000000-0005-0000-0000-0000CACB0000}"/>
    <cellStyle name="Normal 6 3 2 2 4 2 2 2" xfId="17252" xr:uid="{00000000-0005-0000-0000-0000CBCB0000}"/>
    <cellStyle name="Normal 6 3 2 2 4 2 2 2 2" xfId="30820" xr:uid="{00000000-0005-0000-0000-0000CCCB0000}"/>
    <cellStyle name="Normal 6 3 2 2 4 2 2 2 2 2" xfId="57953" xr:uid="{00000000-0005-0000-0000-0000CDCB0000}"/>
    <cellStyle name="Normal 6 3 2 2 4 2 2 2 3" xfId="44391" xr:uid="{00000000-0005-0000-0000-0000CECB0000}"/>
    <cellStyle name="Normal 6 3 2 2 4 2 2 3" xfId="24039" xr:uid="{00000000-0005-0000-0000-0000CFCB0000}"/>
    <cellStyle name="Normal 6 3 2 2 4 2 2 3 2" xfId="51172" xr:uid="{00000000-0005-0000-0000-0000D0CB0000}"/>
    <cellStyle name="Normal 6 3 2 2 4 2 2 4" xfId="37610" xr:uid="{00000000-0005-0000-0000-0000D1CB0000}"/>
    <cellStyle name="Normal 6 3 2 2 4 2 3" xfId="13863" xr:uid="{00000000-0005-0000-0000-0000D2CB0000}"/>
    <cellStyle name="Normal 6 3 2 2 4 2 3 2" xfId="27431" xr:uid="{00000000-0005-0000-0000-0000D3CB0000}"/>
    <cellStyle name="Normal 6 3 2 2 4 2 3 2 2" xfId="54564" xr:uid="{00000000-0005-0000-0000-0000D4CB0000}"/>
    <cellStyle name="Normal 6 3 2 2 4 2 3 3" xfId="41002" xr:uid="{00000000-0005-0000-0000-0000D5CB0000}"/>
    <cellStyle name="Normal 6 3 2 2 4 2 4" xfId="20650" xr:uid="{00000000-0005-0000-0000-0000D6CB0000}"/>
    <cellStyle name="Normal 6 3 2 2 4 2 4 2" xfId="47783" xr:uid="{00000000-0005-0000-0000-0000D7CB0000}"/>
    <cellStyle name="Normal 6 3 2 2 4 2 5" xfId="34221" xr:uid="{00000000-0005-0000-0000-0000D8CB0000}"/>
    <cellStyle name="Normal 6 3 2 2 4 3" xfId="10461" xr:uid="{00000000-0005-0000-0000-0000D9CB0000}"/>
    <cellStyle name="Normal 6 3 2 2 4 3 2" xfId="17251" xr:uid="{00000000-0005-0000-0000-0000DACB0000}"/>
    <cellStyle name="Normal 6 3 2 2 4 3 2 2" xfId="30819" xr:uid="{00000000-0005-0000-0000-0000DBCB0000}"/>
    <cellStyle name="Normal 6 3 2 2 4 3 2 2 2" xfId="57952" xr:uid="{00000000-0005-0000-0000-0000DCCB0000}"/>
    <cellStyle name="Normal 6 3 2 2 4 3 2 3" xfId="44390" xr:uid="{00000000-0005-0000-0000-0000DDCB0000}"/>
    <cellStyle name="Normal 6 3 2 2 4 3 3" xfId="24038" xr:uid="{00000000-0005-0000-0000-0000DECB0000}"/>
    <cellStyle name="Normal 6 3 2 2 4 3 3 2" xfId="51171" xr:uid="{00000000-0005-0000-0000-0000DFCB0000}"/>
    <cellStyle name="Normal 6 3 2 2 4 3 4" xfId="37609" xr:uid="{00000000-0005-0000-0000-0000E0CB0000}"/>
    <cellStyle name="Normal 6 3 2 2 4 4" xfId="13862" xr:uid="{00000000-0005-0000-0000-0000E1CB0000}"/>
    <cellStyle name="Normal 6 3 2 2 4 4 2" xfId="27430" xr:uid="{00000000-0005-0000-0000-0000E2CB0000}"/>
    <cellStyle name="Normal 6 3 2 2 4 4 2 2" xfId="54563" xr:uid="{00000000-0005-0000-0000-0000E3CB0000}"/>
    <cellStyle name="Normal 6 3 2 2 4 4 3" xfId="41001" xr:uid="{00000000-0005-0000-0000-0000E4CB0000}"/>
    <cellStyle name="Normal 6 3 2 2 4 5" xfId="20649" xr:uid="{00000000-0005-0000-0000-0000E5CB0000}"/>
    <cellStyle name="Normal 6 3 2 2 4 5 2" xfId="47782" xr:uid="{00000000-0005-0000-0000-0000E6CB0000}"/>
    <cellStyle name="Normal 6 3 2 2 4 6" xfId="34220" xr:uid="{00000000-0005-0000-0000-0000E7CB0000}"/>
    <cellStyle name="Normal 6 3 2 2 5" xfId="6933" xr:uid="{00000000-0005-0000-0000-0000E8CB0000}"/>
    <cellStyle name="Normal 6 3 2 2 5 2" xfId="10463" xr:uid="{00000000-0005-0000-0000-0000E9CB0000}"/>
    <cellStyle name="Normal 6 3 2 2 5 2 2" xfId="17253" xr:uid="{00000000-0005-0000-0000-0000EACB0000}"/>
    <cellStyle name="Normal 6 3 2 2 5 2 2 2" xfId="30821" xr:uid="{00000000-0005-0000-0000-0000EBCB0000}"/>
    <cellStyle name="Normal 6 3 2 2 5 2 2 2 2" xfId="57954" xr:uid="{00000000-0005-0000-0000-0000ECCB0000}"/>
    <cellStyle name="Normal 6 3 2 2 5 2 2 3" xfId="44392" xr:uid="{00000000-0005-0000-0000-0000EDCB0000}"/>
    <cellStyle name="Normal 6 3 2 2 5 2 3" xfId="24040" xr:uid="{00000000-0005-0000-0000-0000EECB0000}"/>
    <cellStyle name="Normal 6 3 2 2 5 2 3 2" xfId="51173" xr:uid="{00000000-0005-0000-0000-0000EFCB0000}"/>
    <cellStyle name="Normal 6 3 2 2 5 2 4" xfId="37611" xr:uid="{00000000-0005-0000-0000-0000F0CB0000}"/>
    <cellStyle name="Normal 6 3 2 2 5 3" xfId="13864" xr:uid="{00000000-0005-0000-0000-0000F1CB0000}"/>
    <cellStyle name="Normal 6 3 2 2 5 3 2" xfId="27432" xr:uid="{00000000-0005-0000-0000-0000F2CB0000}"/>
    <cellStyle name="Normal 6 3 2 2 5 3 2 2" xfId="54565" xr:uid="{00000000-0005-0000-0000-0000F3CB0000}"/>
    <cellStyle name="Normal 6 3 2 2 5 3 3" xfId="41003" xr:uid="{00000000-0005-0000-0000-0000F4CB0000}"/>
    <cellStyle name="Normal 6 3 2 2 5 4" xfId="20651" xr:uid="{00000000-0005-0000-0000-0000F5CB0000}"/>
    <cellStyle name="Normal 6 3 2 2 5 4 2" xfId="47784" xr:uid="{00000000-0005-0000-0000-0000F6CB0000}"/>
    <cellStyle name="Normal 6 3 2 2 5 5" xfId="34222" xr:uid="{00000000-0005-0000-0000-0000F7CB0000}"/>
    <cellStyle name="Normal 6 3 2 2 6" xfId="6934" xr:uid="{00000000-0005-0000-0000-0000F8CB0000}"/>
    <cellStyle name="Normal 6 3 2 2 6 2" xfId="10464" xr:uid="{00000000-0005-0000-0000-0000F9CB0000}"/>
    <cellStyle name="Normal 6 3 2 2 6 2 2" xfId="17254" xr:uid="{00000000-0005-0000-0000-0000FACB0000}"/>
    <cellStyle name="Normal 6 3 2 2 6 2 2 2" xfId="30822" xr:uid="{00000000-0005-0000-0000-0000FBCB0000}"/>
    <cellStyle name="Normal 6 3 2 2 6 2 2 2 2" xfId="57955" xr:uid="{00000000-0005-0000-0000-0000FCCB0000}"/>
    <cellStyle name="Normal 6 3 2 2 6 2 2 3" xfId="44393" xr:uid="{00000000-0005-0000-0000-0000FDCB0000}"/>
    <cellStyle name="Normal 6 3 2 2 6 2 3" xfId="24041" xr:uid="{00000000-0005-0000-0000-0000FECB0000}"/>
    <cellStyle name="Normal 6 3 2 2 6 2 3 2" xfId="51174" xr:uid="{00000000-0005-0000-0000-0000FFCB0000}"/>
    <cellStyle name="Normal 6 3 2 2 6 2 4" xfId="37612" xr:uid="{00000000-0005-0000-0000-000000CC0000}"/>
    <cellStyle name="Normal 6 3 2 2 6 3" xfId="13865" xr:uid="{00000000-0005-0000-0000-000001CC0000}"/>
    <cellStyle name="Normal 6 3 2 2 6 3 2" xfId="27433" xr:uid="{00000000-0005-0000-0000-000002CC0000}"/>
    <cellStyle name="Normal 6 3 2 2 6 3 2 2" xfId="54566" xr:uid="{00000000-0005-0000-0000-000003CC0000}"/>
    <cellStyle name="Normal 6 3 2 2 6 3 3" xfId="41004" xr:uid="{00000000-0005-0000-0000-000004CC0000}"/>
    <cellStyle name="Normal 6 3 2 2 6 4" xfId="20652" xr:uid="{00000000-0005-0000-0000-000005CC0000}"/>
    <cellStyle name="Normal 6 3 2 2 6 4 2" xfId="47785" xr:uid="{00000000-0005-0000-0000-000006CC0000}"/>
    <cellStyle name="Normal 6 3 2 2 6 5" xfId="34223" xr:uid="{00000000-0005-0000-0000-000007CC0000}"/>
    <cellStyle name="Normal 6 3 2 2 7" xfId="10449" xr:uid="{00000000-0005-0000-0000-000008CC0000}"/>
    <cellStyle name="Normal 6 3 2 2 7 2" xfId="17239" xr:uid="{00000000-0005-0000-0000-000009CC0000}"/>
    <cellStyle name="Normal 6 3 2 2 7 2 2" xfId="30807" xr:uid="{00000000-0005-0000-0000-00000ACC0000}"/>
    <cellStyle name="Normal 6 3 2 2 7 2 2 2" xfId="57940" xr:uid="{00000000-0005-0000-0000-00000BCC0000}"/>
    <cellStyle name="Normal 6 3 2 2 7 2 3" xfId="44378" xr:uid="{00000000-0005-0000-0000-00000CCC0000}"/>
    <cellStyle name="Normal 6 3 2 2 7 3" xfId="24026" xr:uid="{00000000-0005-0000-0000-00000DCC0000}"/>
    <cellStyle name="Normal 6 3 2 2 7 3 2" xfId="51159" xr:uid="{00000000-0005-0000-0000-00000ECC0000}"/>
    <cellStyle name="Normal 6 3 2 2 7 4" xfId="37597" xr:uid="{00000000-0005-0000-0000-00000FCC0000}"/>
    <cellStyle name="Normal 6 3 2 2 8" xfId="13850" xr:uid="{00000000-0005-0000-0000-000010CC0000}"/>
    <cellStyle name="Normal 6 3 2 2 8 2" xfId="27418" xr:uid="{00000000-0005-0000-0000-000011CC0000}"/>
    <cellStyle name="Normal 6 3 2 2 8 2 2" xfId="54551" xr:uid="{00000000-0005-0000-0000-000012CC0000}"/>
    <cellStyle name="Normal 6 3 2 2 8 3" xfId="40989" xr:uid="{00000000-0005-0000-0000-000013CC0000}"/>
    <cellStyle name="Normal 6 3 2 2 9" xfId="20637" xr:uid="{00000000-0005-0000-0000-000014CC0000}"/>
    <cellStyle name="Normal 6 3 2 2 9 2" xfId="47770" xr:uid="{00000000-0005-0000-0000-000015CC0000}"/>
    <cellStyle name="Normal 6 3 2 3" xfId="6935" xr:uid="{00000000-0005-0000-0000-000016CC0000}"/>
    <cellStyle name="Normal 6 3 2 3 2" xfId="6936" xr:uid="{00000000-0005-0000-0000-000017CC0000}"/>
    <cellStyle name="Normal 6 3 2 3 2 2" xfId="6937" xr:uid="{00000000-0005-0000-0000-000018CC0000}"/>
    <cellStyle name="Normal 6 3 2 3 2 2 2" xfId="10467" xr:uid="{00000000-0005-0000-0000-000019CC0000}"/>
    <cellStyle name="Normal 6 3 2 3 2 2 2 2" xfId="17257" xr:uid="{00000000-0005-0000-0000-00001ACC0000}"/>
    <cellStyle name="Normal 6 3 2 3 2 2 2 2 2" xfId="30825" xr:uid="{00000000-0005-0000-0000-00001BCC0000}"/>
    <cellStyle name="Normal 6 3 2 3 2 2 2 2 2 2" xfId="57958" xr:uid="{00000000-0005-0000-0000-00001CCC0000}"/>
    <cellStyle name="Normal 6 3 2 3 2 2 2 2 3" xfId="44396" xr:uid="{00000000-0005-0000-0000-00001DCC0000}"/>
    <cellStyle name="Normal 6 3 2 3 2 2 2 3" xfId="24044" xr:uid="{00000000-0005-0000-0000-00001ECC0000}"/>
    <cellStyle name="Normal 6 3 2 3 2 2 2 3 2" xfId="51177" xr:uid="{00000000-0005-0000-0000-00001FCC0000}"/>
    <cellStyle name="Normal 6 3 2 3 2 2 2 4" xfId="37615" xr:uid="{00000000-0005-0000-0000-000020CC0000}"/>
    <cellStyle name="Normal 6 3 2 3 2 2 3" xfId="13868" xr:uid="{00000000-0005-0000-0000-000021CC0000}"/>
    <cellStyle name="Normal 6 3 2 3 2 2 3 2" xfId="27436" xr:uid="{00000000-0005-0000-0000-000022CC0000}"/>
    <cellStyle name="Normal 6 3 2 3 2 2 3 2 2" xfId="54569" xr:uid="{00000000-0005-0000-0000-000023CC0000}"/>
    <cellStyle name="Normal 6 3 2 3 2 2 3 3" xfId="41007" xr:uid="{00000000-0005-0000-0000-000024CC0000}"/>
    <cellStyle name="Normal 6 3 2 3 2 2 4" xfId="20655" xr:uid="{00000000-0005-0000-0000-000025CC0000}"/>
    <cellStyle name="Normal 6 3 2 3 2 2 4 2" xfId="47788" xr:uid="{00000000-0005-0000-0000-000026CC0000}"/>
    <cellStyle name="Normal 6 3 2 3 2 2 5" xfId="34226" xr:uid="{00000000-0005-0000-0000-000027CC0000}"/>
    <cellStyle name="Normal 6 3 2 3 2 3" xfId="6938" xr:uid="{00000000-0005-0000-0000-000028CC0000}"/>
    <cellStyle name="Normal 6 3 2 3 2 3 2" xfId="10468" xr:uid="{00000000-0005-0000-0000-000029CC0000}"/>
    <cellStyle name="Normal 6 3 2 3 2 3 2 2" xfId="17258" xr:uid="{00000000-0005-0000-0000-00002ACC0000}"/>
    <cellStyle name="Normal 6 3 2 3 2 3 2 2 2" xfId="30826" xr:uid="{00000000-0005-0000-0000-00002BCC0000}"/>
    <cellStyle name="Normal 6 3 2 3 2 3 2 2 2 2" xfId="57959" xr:uid="{00000000-0005-0000-0000-00002CCC0000}"/>
    <cellStyle name="Normal 6 3 2 3 2 3 2 2 3" xfId="44397" xr:uid="{00000000-0005-0000-0000-00002DCC0000}"/>
    <cellStyle name="Normal 6 3 2 3 2 3 2 3" xfId="24045" xr:uid="{00000000-0005-0000-0000-00002ECC0000}"/>
    <cellStyle name="Normal 6 3 2 3 2 3 2 3 2" xfId="51178" xr:uid="{00000000-0005-0000-0000-00002FCC0000}"/>
    <cellStyle name="Normal 6 3 2 3 2 3 2 4" xfId="37616" xr:uid="{00000000-0005-0000-0000-000030CC0000}"/>
    <cellStyle name="Normal 6 3 2 3 2 3 3" xfId="13869" xr:uid="{00000000-0005-0000-0000-000031CC0000}"/>
    <cellStyle name="Normal 6 3 2 3 2 3 3 2" xfId="27437" xr:uid="{00000000-0005-0000-0000-000032CC0000}"/>
    <cellStyle name="Normal 6 3 2 3 2 3 3 2 2" xfId="54570" xr:uid="{00000000-0005-0000-0000-000033CC0000}"/>
    <cellStyle name="Normal 6 3 2 3 2 3 3 3" xfId="41008" xr:uid="{00000000-0005-0000-0000-000034CC0000}"/>
    <cellStyle name="Normal 6 3 2 3 2 3 4" xfId="20656" xr:uid="{00000000-0005-0000-0000-000035CC0000}"/>
    <cellStyle name="Normal 6 3 2 3 2 3 4 2" xfId="47789" xr:uid="{00000000-0005-0000-0000-000036CC0000}"/>
    <cellStyle name="Normal 6 3 2 3 2 3 5" xfId="34227" xr:uid="{00000000-0005-0000-0000-000037CC0000}"/>
    <cellStyle name="Normal 6 3 2 3 2 4" xfId="10466" xr:uid="{00000000-0005-0000-0000-000038CC0000}"/>
    <cellStyle name="Normal 6 3 2 3 2 4 2" xfId="17256" xr:uid="{00000000-0005-0000-0000-000039CC0000}"/>
    <cellStyle name="Normal 6 3 2 3 2 4 2 2" xfId="30824" xr:uid="{00000000-0005-0000-0000-00003ACC0000}"/>
    <cellStyle name="Normal 6 3 2 3 2 4 2 2 2" xfId="57957" xr:uid="{00000000-0005-0000-0000-00003BCC0000}"/>
    <cellStyle name="Normal 6 3 2 3 2 4 2 3" xfId="44395" xr:uid="{00000000-0005-0000-0000-00003CCC0000}"/>
    <cellStyle name="Normal 6 3 2 3 2 4 3" xfId="24043" xr:uid="{00000000-0005-0000-0000-00003DCC0000}"/>
    <cellStyle name="Normal 6 3 2 3 2 4 3 2" xfId="51176" xr:uid="{00000000-0005-0000-0000-00003ECC0000}"/>
    <cellStyle name="Normal 6 3 2 3 2 4 4" xfId="37614" xr:uid="{00000000-0005-0000-0000-00003FCC0000}"/>
    <cellStyle name="Normal 6 3 2 3 2 5" xfId="13867" xr:uid="{00000000-0005-0000-0000-000040CC0000}"/>
    <cellStyle name="Normal 6 3 2 3 2 5 2" xfId="27435" xr:uid="{00000000-0005-0000-0000-000041CC0000}"/>
    <cellStyle name="Normal 6 3 2 3 2 5 2 2" xfId="54568" xr:uid="{00000000-0005-0000-0000-000042CC0000}"/>
    <cellStyle name="Normal 6 3 2 3 2 5 3" xfId="41006" xr:uid="{00000000-0005-0000-0000-000043CC0000}"/>
    <cellStyle name="Normal 6 3 2 3 2 6" xfId="20654" xr:uid="{00000000-0005-0000-0000-000044CC0000}"/>
    <cellStyle name="Normal 6 3 2 3 2 6 2" xfId="47787" xr:uid="{00000000-0005-0000-0000-000045CC0000}"/>
    <cellStyle name="Normal 6 3 2 3 2 7" xfId="34225" xr:uid="{00000000-0005-0000-0000-000046CC0000}"/>
    <cellStyle name="Normal 6 3 2 3 3" xfId="6939" xr:uid="{00000000-0005-0000-0000-000047CC0000}"/>
    <cellStyle name="Normal 6 3 2 3 3 2" xfId="6940" xr:uid="{00000000-0005-0000-0000-000048CC0000}"/>
    <cellStyle name="Normal 6 3 2 3 3 2 2" xfId="10470" xr:uid="{00000000-0005-0000-0000-000049CC0000}"/>
    <cellStyle name="Normal 6 3 2 3 3 2 2 2" xfId="17260" xr:uid="{00000000-0005-0000-0000-00004ACC0000}"/>
    <cellStyle name="Normal 6 3 2 3 3 2 2 2 2" xfId="30828" xr:uid="{00000000-0005-0000-0000-00004BCC0000}"/>
    <cellStyle name="Normal 6 3 2 3 3 2 2 2 2 2" xfId="57961" xr:uid="{00000000-0005-0000-0000-00004CCC0000}"/>
    <cellStyle name="Normal 6 3 2 3 3 2 2 2 3" xfId="44399" xr:uid="{00000000-0005-0000-0000-00004DCC0000}"/>
    <cellStyle name="Normal 6 3 2 3 3 2 2 3" xfId="24047" xr:uid="{00000000-0005-0000-0000-00004ECC0000}"/>
    <cellStyle name="Normal 6 3 2 3 3 2 2 3 2" xfId="51180" xr:uid="{00000000-0005-0000-0000-00004FCC0000}"/>
    <cellStyle name="Normal 6 3 2 3 3 2 2 4" xfId="37618" xr:uid="{00000000-0005-0000-0000-000050CC0000}"/>
    <cellStyle name="Normal 6 3 2 3 3 2 3" xfId="13871" xr:uid="{00000000-0005-0000-0000-000051CC0000}"/>
    <cellStyle name="Normal 6 3 2 3 3 2 3 2" xfId="27439" xr:uid="{00000000-0005-0000-0000-000052CC0000}"/>
    <cellStyle name="Normal 6 3 2 3 3 2 3 2 2" xfId="54572" xr:uid="{00000000-0005-0000-0000-000053CC0000}"/>
    <cellStyle name="Normal 6 3 2 3 3 2 3 3" xfId="41010" xr:uid="{00000000-0005-0000-0000-000054CC0000}"/>
    <cellStyle name="Normal 6 3 2 3 3 2 4" xfId="20658" xr:uid="{00000000-0005-0000-0000-000055CC0000}"/>
    <cellStyle name="Normal 6 3 2 3 3 2 4 2" xfId="47791" xr:uid="{00000000-0005-0000-0000-000056CC0000}"/>
    <cellStyle name="Normal 6 3 2 3 3 2 5" xfId="34229" xr:uid="{00000000-0005-0000-0000-000057CC0000}"/>
    <cellStyle name="Normal 6 3 2 3 3 3" xfId="10469" xr:uid="{00000000-0005-0000-0000-000058CC0000}"/>
    <cellStyle name="Normal 6 3 2 3 3 3 2" xfId="17259" xr:uid="{00000000-0005-0000-0000-000059CC0000}"/>
    <cellStyle name="Normal 6 3 2 3 3 3 2 2" xfId="30827" xr:uid="{00000000-0005-0000-0000-00005ACC0000}"/>
    <cellStyle name="Normal 6 3 2 3 3 3 2 2 2" xfId="57960" xr:uid="{00000000-0005-0000-0000-00005BCC0000}"/>
    <cellStyle name="Normal 6 3 2 3 3 3 2 3" xfId="44398" xr:uid="{00000000-0005-0000-0000-00005CCC0000}"/>
    <cellStyle name="Normal 6 3 2 3 3 3 3" xfId="24046" xr:uid="{00000000-0005-0000-0000-00005DCC0000}"/>
    <cellStyle name="Normal 6 3 2 3 3 3 3 2" xfId="51179" xr:uid="{00000000-0005-0000-0000-00005ECC0000}"/>
    <cellStyle name="Normal 6 3 2 3 3 3 4" xfId="37617" xr:uid="{00000000-0005-0000-0000-00005FCC0000}"/>
    <cellStyle name="Normal 6 3 2 3 3 4" xfId="13870" xr:uid="{00000000-0005-0000-0000-000060CC0000}"/>
    <cellStyle name="Normal 6 3 2 3 3 4 2" xfId="27438" xr:uid="{00000000-0005-0000-0000-000061CC0000}"/>
    <cellStyle name="Normal 6 3 2 3 3 4 2 2" xfId="54571" xr:uid="{00000000-0005-0000-0000-000062CC0000}"/>
    <cellStyle name="Normal 6 3 2 3 3 4 3" xfId="41009" xr:uid="{00000000-0005-0000-0000-000063CC0000}"/>
    <cellStyle name="Normal 6 3 2 3 3 5" xfId="20657" xr:uid="{00000000-0005-0000-0000-000064CC0000}"/>
    <cellStyle name="Normal 6 3 2 3 3 5 2" xfId="47790" xr:uid="{00000000-0005-0000-0000-000065CC0000}"/>
    <cellStyle name="Normal 6 3 2 3 3 6" xfId="34228" xr:uid="{00000000-0005-0000-0000-000066CC0000}"/>
    <cellStyle name="Normal 6 3 2 3 4" xfId="6941" xr:uid="{00000000-0005-0000-0000-000067CC0000}"/>
    <cellStyle name="Normal 6 3 2 3 4 2" xfId="10471" xr:uid="{00000000-0005-0000-0000-000068CC0000}"/>
    <cellStyle name="Normal 6 3 2 3 4 2 2" xfId="17261" xr:uid="{00000000-0005-0000-0000-000069CC0000}"/>
    <cellStyle name="Normal 6 3 2 3 4 2 2 2" xfId="30829" xr:uid="{00000000-0005-0000-0000-00006ACC0000}"/>
    <cellStyle name="Normal 6 3 2 3 4 2 2 2 2" xfId="57962" xr:uid="{00000000-0005-0000-0000-00006BCC0000}"/>
    <cellStyle name="Normal 6 3 2 3 4 2 2 3" xfId="44400" xr:uid="{00000000-0005-0000-0000-00006CCC0000}"/>
    <cellStyle name="Normal 6 3 2 3 4 2 3" xfId="24048" xr:uid="{00000000-0005-0000-0000-00006DCC0000}"/>
    <cellStyle name="Normal 6 3 2 3 4 2 3 2" xfId="51181" xr:uid="{00000000-0005-0000-0000-00006ECC0000}"/>
    <cellStyle name="Normal 6 3 2 3 4 2 4" xfId="37619" xr:uid="{00000000-0005-0000-0000-00006FCC0000}"/>
    <cellStyle name="Normal 6 3 2 3 4 3" xfId="13872" xr:uid="{00000000-0005-0000-0000-000070CC0000}"/>
    <cellStyle name="Normal 6 3 2 3 4 3 2" xfId="27440" xr:uid="{00000000-0005-0000-0000-000071CC0000}"/>
    <cellStyle name="Normal 6 3 2 3 4 3 2 2" xfId="54573" xr:uid="{00000000-0005-0000-0000-000072CC0000}"/>
    <cellStyle name="Normal 6 3 2 3 4 3 3" xfId="41011" xr:uid="{00000000-0005-0000-0000-000073CC0000}"/>
    <cellStyle name="Normal 6 3 2 3 4 4" xfId="20659" xr:uid="{00000000-0005-0000-0000-000074CC0000}"/>
    <cellStyle name="Normal 6 3 2 3 4 4 2" xfId="47792" xr:uid="{00000000-0005-0000-0000-000075CC0000}"/>
    <cellStyle name="Normal 6 3 2 3 4 5" xfId="34230" xr:uid="{00000000-0005-0000-0000-000076CC0000}"/>
    <cellStyle name="Normal 6 3 2 3 5" xfId="6942" xr:uid="{00000000-0005-0000-0000-000077CC0000}"/>
    <cellStyle name="Normal 6 3 2 3 5 2" xfId="10472" xr:uid="{00000000-0005-0000-0000-000078CC0000}"/>
    <cellStyle name="Normal 6 3 2 3 5 2 2" xfId="17262" xr:uid="{00000000-0005-0000-0000-000079CC0000}"/>
    <cellStyle name="Normal 6 3 2 3 5 2 2 2" xfId="30830" xr:uid="{00000000-0005-0000-0000-00007ACC0000}"/>
    <cellStyle name="Normal 6 3 2 3 5 2 2 2 2" xfId="57963" xr:uid="{00000000-0005-0000-0000-00007BCC0000}"/>
    <cellStyle name="Normal 6 3 2 3 5 2 2 3" xfId="44401" xr:uid="{00000000-0005-0000-0000-00007CCC0000}"/>
    <cellStyle name="Normal 6 3 2 3 5 2 3" xfId="24049" xr:uid="{00000000-0005-0000-0000-00007DCC0000}"/>
    <cellStyle name="Normal 6 3 2 3 5 2 3 2" xfId="51182" xr:uid="{00000000-0005-0000-0000-00007ECC0000}"/>
    <cellStyle name="Normal 6 3 2 3 5 2 4" xfId="37620" xr:uid="{00000000-0005-0000-0000-00007FCC0000}"/>
    <cellStyle name="Normal 6 3 2 3 5 3" xfId="13873" xr:uid="{00000000-0005-0000-0000-000080CC0000}"/>
    <cellStyle name="Normal 6 3 2 3 5 3 2" xfId="27441" xr:uid="{00000000-0005-0000-0000-000081CC0000}"/>
    <cellStyle name="Normal 6 3 2 3 5 3 2 2" xfId="54574" xr:uid="{00000000-0005-0000-0000-000082CC0000}"/>
    <cellStyle name="Normal 6 3 2 3 5 3 3" xfId="41012" xr:uid="{00000000-0005-0000-0000-000083CC0000}"/>
    <cellStyle name="Normal 6 3 2 3 5 4" xfId="20660" xr:uid="{00000000-0005-0000-0000-000084CC0000}"/>
    <cellStyle name="Normal 6 3 2 3 5 4 2" xfId="47793" xr:uid="{00000000-0005-0000-0000-000085CC0000}"/>
    <cellStyle name="Normal 6 3 2 3 5 5" xfId="34231" xr:uid="{00000000-0005-0000-0000-000086CC0000}"/>
    <cellStyle name="Normal 6 3 2 3 6" xfId="10465" xr:uid="{00000000-0005-0000-0000-000087CC0000}"/>
    <cellStyle name="Normal 6 3 2 3 6 2" xfId="17255" xr:uid="{00000000-0005-0000-0000-000088CC0000}"/>
    <cellStyle name="Normal 6 3 2 3 6 2 2" xfId="30823" xr:uid="{00000000-0005-0000-0000-000089CC0000}"/>
    <cellStyle name="Normal 6 3 2 3 6 2 2 2" xfId="57956" xr:uid="{00000000-0005-0000-0000-00008ACC0000}"/>
    <cellStyle name="Normal 6 3 2 3 6 2 3" xfId="44394" xr:uid="{00000000-0005-0000-0000-00008BCC0000}"/>
    <cellStyle name="Normal 6 3 2 3 6 3" xfId="24042" xr:uid="{00000000-0005-0000-0000-00008CCC0000}"/>
    <cellStyle name="Normal 6 3 2 3 6 3 2" xfId="51175" xr:uid="{00000000-0005-0000-0000-00008DCC0000}"/>
    <cellStyle name="Normal 6 3 2 3 6 4" xfId="37613" xr:uid="{00000000-0005-0000-0000-00008ECC0000}"/>
    <cellStyle name="Normal 6 3 2 3 7" xfId="13866" xr:uid="{00000000-0005-0000-0000-00008FCC0000}"/>
    <cellStyle name="Normal 6 3 2 3 7 2" xfId="27434" xr:uid="{00000000-0005-0000-0000-000090CC0000}"/>
    <cellStyle name="Normal 6 3 2 3 7 2 2" xfId="54567" xr:uid="{00000000-0005-0000-0000-000091CC0000}"/>
    <cellStyle name="Normal 6 3 2 3 7 3" xfId="41005" xr:uid="{00000000-0005-0000-0000-000092CC0000}"/>
    <cellStyle name="Normal 6 3 2 3 8" xfId="20653" xr:uid="{00000000-0005-0000-0000-000093CC0000}"/>
    <cellStyle name="Normal 6 3 2 3 8 2" xfId="47786" xr:uid="{00000000-0005-0000-0000-000094CC0000}"/>
    <cellStyle name="Normal 6 3 2 3 9" xfId="34224" xr:uid="{00000000-0005-0000-0000-000095CC0000}"/>
    <cellStyle name="Normal 6 3 2 4" xfId="6943" xr:uid="{00000000-0005-0000-0000-000096CC0000}"/>
    <cellStyle name="Normal 6 3 2 4 2" xfId="6944" xr:uid="{00000000-0005-0000-0000-000097CC0000}"/>
    <cellStyle name="Normal 6 3 2 4 2 2" xfId="6945" xr:uid="{00000000-0005-0000-0000-000098CC0000}"/>
    <cellStyle name="Normal 6 3 2 4 2 2 2" xfId="10475" xr:uid="{00000000-0005-0000-0000-000099CC0000}"/>
    <cellStyle name="Normal 6 3 2 4 2 2 2 2" xfId="17265" xr:uid="{00000000-0005-0000-0000-00009ACC0000}"/>
    <cellStyle name="Normal 6 3 2 4 2 2 2 2 2" xfId="30833" xr:uid="{00000000-0005-0000-0000-00009BCC0000}"/>
    <cellStyle name="Normal 6 3 2 4 2 2 2 2 2 2" xfId="57966" xr:uid="{00000000-0005-0000-0000-00009CCC0000}"/>
    <cellStyle name="Normal 6 3 2 4 2 2 2 2 3" xfId="44404" xr:uid="{00000000-0005-0000-0000-00009DCC0000}"/>
    <cellStyle name="Normal 6 3 2 4 2 2 2 3" xfId="24052" xr:uid="{00000000-0005-0000-0000-00009ECC0000}"/>
    <cellStyle name="Normal 6 3 2 4 2 2 2 3 2" xfId="51185" xr:uid="{00000000-0005-0000-0000-00009FCC0000}"/>
    <cellStyle name="Normal 6 3 2 4 2 2 2 4" xfId="37623" xr:uid="{00000000-0005-0000-0000-0000A0CC0000}"/>
    <cellStyle name="Normal 6 3 2 4 2 2 3" xfId="13876" xr:uid="{00000000-0005-0000-0000-0000A1CC0000}"/>
    <cellStyle name="Normal 6 3 2 4 2 2 3 2" xfId="27444" xr:uid="{00000000-0005-0000-0000-0000A2CC0000}"/>
    <cellStyle name="Normal 6 3 2 4 2 2 3 2 2" xfId="54577" xr:uid="{00000000-0005-0000-0000-0000A3CC0000}"/>
    <cellStyle name="Normal 6 3 2 4 2 2 3 3" xfId="41015" xr:uid="{00000000-0005-0000-0000-0000A4CC0000}"/>
    <cellStyle name="Normal 6 3 2 4 2 2 4" xfId="20663" xr:uid="{00000000-0005-0000-0000-0000A5CC0000}"/>
    <cellStyle name="Normal 6 3 2 4 2 2 4 2" xfId="47796" xr:uid="{00000000-0005-0000-0000-0000A6CC0000}"/>
    <cellStyle name="Normal 6 3 2 4 2 2 5" xfId="34234" xr:uid="{00000000-0005-0000-0000-0000A7CC0000}"/>
    <cellStyle name="Normal 6 3 2 4 2 3" xfId="6946" xr:uid="{00000000-0005-0000-0000-0000A8CC0000}"/>
    <cellStyle name="Normal 6 3 2 4 2 3 2" xfId="10476" xr:uid="{00000000-0005-0000-0000-0000A9CC0000}"/>
    <cellStyle name="Normal 6 3 2 4 2 3 2 2" xfId="17266" xr:uid="{00000000-0005-0000-0000-0000AACC0000}"/>
    <cellStyle name="Normal 6 3 2 4 2 3 2 2 2" xfId="30834" xr:uid="{00000000-0005-0000-0000-0000ABCC0000}"/>
    <cellStyle name="Normal 6 3 2 4 2 3 2 2 2 2" xfId="57967" xr:uid="{00000000-0005-0000-0000-0000ACCC0000}"/>
    <cellStyle name="Normal 6 3 2 4 2 3 2 2 3" xfId="44405" xr:uid="{00000000-0005-0000-0000-0000ADCC0000}"/>
    <cellStyle name="Normal 6 3 2 4 2 3 2 3" xfId="24053" xr:uid="{00000000-0005-0000-0000-0000AECC0000}"/>
    <cellStyle name="Normal 6 3 2 4 2 3 2 3 2" xfId="51186" xr:uid="{00000000-0005-0000-0000-0000AFCC0000}"/>
    <cellStyle name="Normal 6 3 2 4 2 3 2 4" xfId="37624" xr:uid="{00000000-0005-0000-0000-0000B0CC0000}"/>
    <cellStyle name="Normal 6 3 2 4 2 3 3" xfId="13877" xr:uid="{00000000-0005-0000-0000-0000B1CC0000}"/>
    <cellStyle name="Normal 6 3 2 4 2 3 3 2" xfId="27445" xr:uid="{00000000-0005-0000-0000-0000B2CC0000}"/>
    <cellStyle name="Normal 6 3 2 4 2 3 3 2 2" xfId="54578" xr:uid="{00000000-0005-0000-0000-0000B3CC0000}"/>
    <cellStyle name="Normal 6 3 2 4 2 3 3 3" xfId="41016" xr:uid="{00000000-0005-0000-0000-0000B4CC0000}"/>
    <cellStyle name="Normal 6 3 2 4 2 3 4" xfId="20664" xr:uid="{00000000-0005-0000-0000-0000B5CC0000}"/>
    <cellStyle name="Normal 6 3 2 4 2 3 4 2" xfId="47797" xr:uid="{00000000-0005-0000-0000-0000B6CC0000}"/>
    <cellStyle name="Normal 6 3 2 4 2 3 5" xfId="34235" xr:uid="{00000000-0005-0000-0000-0000B7CC0000}"/>
    <cellStyle name="Normal 6 3 2 4 2 4" xfId="10474" xr:uid="{00000000-0005-0000-0000-0000B8CC0000}"/>
    <cellStyle name="Normal 6 3 2 4 2 4 2" xfId="17264" xr:uid="{00000000-0005-0000-0000-0000B9CC0000}"/>
    <cellStyle name="Normal 6 3 2 4 2 4 2 2" xfId="30832" xr:uid="{00000000-0005-0000-0000-0000BACC0000}"/>
    <cellStyle name="Normal 6 3 2 4 2 4 2 2 2" xfId="57965" xr:uid="{00000000-0005-0000-0000-0000BBCC0000}"/>
    <cellStyle name="Normal 6 3 2 4 2 4 2 3" xfId="44403" xr:uid="{00000000-0005-0000-0000-0000BCCC0000}"/>
    <cellStyle name="Normal 6 3 2 4 2 4 3" xfId="24051" xr:uid="{00000000-0005-0000-0000-0000BDCC0000}"/>
    <cellStyle name="Normal 6 3 2 4 2 4 3 2" xfId="51184" xr:uid="{00000000-0005-0000-0000-0000BECC0000}"/>
    <cellStyle name="Normal 6 3 2 4 2 4 4" xfId="37622" xr:uid="{00000000-0005-0000-0000-0000BFCC0000}"/>
    <cellStyle name="Normal 6 3 2 4 2 5" xfId="13875" xr:uid="{00000000-0005-0000-0000-0000C0CC0000}"/>
    <cellStyle name="Normal 6 3 2 4 2 5 2" xfId="27443" xr:uid="{00000000-0005-0000-0000-0000C1CC0000}"/>
    <cellStyle name="Normal 6 3 2 4 2 5 2 2" xfId="54576" xr:uid="{00000000-0005-0000-0000-0000C2CC0000}"/>
    <cellStyle name="Normal 6 3 2 4 2 5 3" xfId="41014" xr:uid="{00000000-0005-0000-0000-0000C3CC0000}"/>
    <cellStyle name="Normal 6 3 2 4 2 6" xfId="20662" xr:uid="{00000000-0005-0000-0000-0000C4CC0000}"/>
    <cellStyle name="Normal 6 3 2 4 2 6 2" xfId="47795" xr:uid="{00000000-0005-0000-0000-0000C5CC0000}"/>
    <cellStyle name="Normal 6 3 2 4 2 7" xfId="34233" xr:uid="{00000000-0005-0000-0000-0000C6CC0000}"/>
    <cellStyle name="Normal 6 3 2 4 3" xfId="6947" xr:uid="{00000000-0005-0000-0000-0000C7CC0000}"/>
    <cellStyle name="Normal 6 3 2 4 3 2" xfId="10477" xr:uid="{00000000-0005-0000-0000-0000C8CC0000}"/>
    <cellStyle name="Normal 6 3 2 4 3 2 2" xfId="17267" xr:uid="{00000000-0005-0000-0000-0000C9CC0000}"/>
    <cellStyle name="Normal 6 3 2 4 3 2 2 2" xfId="30835" xr:uid="{00000000-0005-0000-0000-0000CACC0000}"/>
    <cellStyle name="Normal 6 3 2 4 3 2 2 2 2" xfId="57968" xr:uid="{00000000-0005-0000-0000-0000CBCC0000}"/>
    <cellStyle name="Normal 6 3 2 4 3 2 2 3" xfId="44406" xr:uid="{00000000-0005-0000-0000-0000CCCC0000}"/>
    <cellStyle name="Normal 6 3 2 4 3 2 3" xfId="24054" xr:uid="{00000000-0005-0000-0000-0000CDCC0000}"/>
    <cellStyle name="Normal 6 3 2 4 3 2 3 2" xfId="51187" xr:uid="{00000000-0005-0000-0000-0000CECC0000}"/>
    <cellStyle name="Normal 6 3 2 4 3 2 4" xfId="37625" xr:uid="{00000000-0005-0000-0000-0000CFCC0000}"/>
    <cellStyle name="Normal 6 3 2 4 3 3" xfId="13878" xr:uid="{00000000-0005-0000-0000-0000D0CC0000}"/>
    <cellStyle name="Normal 6 3 2 4 3 3 2" xfId="27446" xr:uid="{00000000-0005-0000-0000-0000D1CC0000}"/>
    <cellStyle name="Normal 6 3 2 4 3 3 2 2" xfId="54579" xr:uid="{00000000-0005-0000-0000-0000D2CC0000}"/>
    <cellStyle name="Normal 6 3 2 4 3 3 3" xfId="41017" xr:uid="{00000000-0005-0000-0000-0000D3CC0000}"/>
    <cellStyle name="Normal 6 3 2 4 3 4" xfId="20665" xr:uid="{00000000-0005-0000-0000-0000D4CC0000}"/>
    <cellStyle name="Normal 6 3 2 4 3 4 2" xfId="47798" xr:uid="{00000000-0005-0000-0000-0000D5CC0000}"/>
    <cellStyle name="Normal 6 3 2 4 3 5" xfId="34236" xr:uid="{00000000-0005-0000-0000-0000D6CC0000}"/>
    <cellStyle name="Normal 6 3 2 4 4" xfId="6948" xr:uid="{00000000-0005-0000-0000-0000D7CC0000}"/>
    <cellStyle name="Normal 6 3 2 4 4 2" xfId="10478" xr:uid="{00000000-0005-0000-0000-0000D8CC0000}"/>
    <cellStyle name="Normal 6 3 2 4 4 2 2" xfId="17268" xr:uid="{00000000-0005-0000-0000-0000D9CC0000}"/>
    <cellStyle name="Normal 6 3 2 4 4 2 2 2" xfId="30836" xr:uid="{00000000-0005-0000-0000-0000DACC0000}"/>
    <cellStyle name="Normal 6 3 2 4 4 2 2 2 2" xfId="57969" xr:uid="{00000000-0005-0000-0000-0000DBCC0000}"/>
    <cellStyle name="Normal 6 3 2 4 4 2 2 3" xfId="44407" xr:uid="{00000000-0005-0000-0000-0000DCCC0000}"/>
    <cellStyle name="Normal 6 3 2 4 4 2 3" xfId="24055" xr:uid="{00000000-0005-0000-0000-0000DDCC0000}"/>
    <cellStyle name="Normal 6 3 2 4 4 2 3 2" xfId="51188" xr:uid="{00000000-0005-0000-0000-0000DECC0000}"/>
    <cellStyle name="Normal 6 3 2 4 4 2 4" xfId="37626" xr:uid="{00000000-0005-0000-0000-0000DFCC0000}"/>
    <cellStyle name="Normal 6 3 2 4 4 3" xfId="13879" xr:uid="{00000000-0005-0000-0000-0000E0CC0000}"/>
    <cellStyle name="Normal 6 3 2 4 4 3 2" xfId="27447" xr:uid="{00000000-0005-0000-0000-0000E1CC0000}"/>
    <cellStyle name="Normal 6 3 2 4 4 3 2 2" xfId="54580" xr:uid="{00000000-0005-0000-0000-0000E2CC0000}"/>
    <cellStyle name="Normal 6 3 2 4 4 3 3" xfId="41018" xr:uid="{00000000-0005-0000-0000-0000E3CC0000}"/>
    <cellStyle name="Normal 6 3 2 4 4 4" xfId="20666" xr:uid="{00000000-0005-0000-0000-0000E4CC0000}"/>
    <cellStyle name="Normal 6 3 2 4 4 4 2" xfId="47799" xr:uid="{00000000-0005-0000-0000-0000E5CC0000}"/>
    <cellStyle name="Normal 6 3 2 4 4 5" xfId="34237" xr:uid="{00000000-0005-0000-0000-0000E6CC0000}"/>
    <cellStyle name="Normal 6 3 2 4 5" xfId="10473" xr:uid="{00000000-0005-0000-0000-0000E7CC0000}"/>
    <cellStyle name="Normal 6 3 2 4 5 2" xfId="17263" xr:uid="{00000000-0005-0000-0000-0000E8CC0000}"/>
    <cellStyle name="Normal 6 3 2 4 5 2 2" xfId="30831" xr:uid="{00000000-0005-0000-0000-0000E9CC0000}"/>
    <cellStyle name="Normal 6 3 2 4 5 2 2 2" xfId="57964" xr:uid="{00000000-0005-0000-0000-0000EACC0000}"/>
    <cellStyle name="Normal 6 3 2 4 5 2 3" xfId="44402" xr:uid="{00000000-0005-0000-0000-0000EBCC0000}"/>
    <cellStyle name="Normal 6 3 2 4 5 3" xfId="24050" xr:uid="{00000000-0005-0000-0000-0000ECCC0000}"/>
    <cellStyle name="Normal 6 3 2 4 5 3 2" xfId="51183" xr:uid="{00000000-0005-0000-0000-0000EDCC0000}"/>
    <cellStyle name="Normal 6 3 2 4 5 4" xfId="37621" xr:uid="{00000000-0005-0000-0000-0000EECC0000}"/>
    <cellStyle name="Normal 6 3 2 4 6" xfId="13874" xr:uid="{00000000-0005-0000-0000-0000EFCC0000}"/>
    <cellStyle name="Normal 6 3 2 4 6 2" xfId="27442" xr:uid="{00000000-0005-0000-0000-0000F0CC0000}"/>
    <cellStyle name="Normal 6 3 2 4 6 2 2" xfId="54575" xr:uid="{00000000-0005-0000-0000-0000F1CC0000}"/>
    <cellStyle name="Normal 6 3 2 4 6 3" xfId="41013" xr:uid="{00000000-0005-0000-0000-0000F2CC0000}"/>
    <cellStyle name="Normal 6 3 2 4 7" xfId="20661" xr:uid="{00000000-0005-0000-0000-0000F3CC0000}"/>
    <cellStyle name="Normal 6 3 2 4 7 2" xfId="47794" xr:uid="{00000000-0005-0000-0000-0000F4CC0000}"/>
    <cellStyle name="Normal 6 3 2 4 8" xfId="34232" xr:uid="{00000000-0005-0000-0000-0000F5CC0000}"/>
    <cellStyle name="Normal 6 3 2 5" xfId="6949" xr:uid="{00000000-0005-0000-0000-0000F6CC0000}"/>
    <cellStyle name="Normal 6 3 2 5 2" xfId="6950" xr:uid="{00000000-0005-0000-0000-0000F7CC0000}"/>
    <cellStyle name="Normal 6 3 2 5 2 2" xfId="10480" xr:uid="{00000000-0005-0000-0000-0000F8CC0000}"/>
    <cellStyle name="Normal 6 3 2 5 2 2 2" xfId="17270" xr:uid="{00000000-0005-0000-0000-0000F9CC0000}"/>
    <cellStyle name="Normal 6 3 2 5 2 2 2 2" xfId="30838" xr:uid="{00000000-0005-0000-0000-0000FACC0000}"/>
    <cellStyle name="Normal 6 3 2 5 2 2 2 2 2" xfId="57971" xr:uid="{00000000-0005-0000-0000-0000FBCC0000}"/>
    <cellStyle name="Normal 6 3 2 5 2 2 2 3" xfId="44409" xr:uid="{00000000-0005-0000-0000-0000FCCC0000}"/>
    <cellStyle name="Normal 6 3 2 5 2 2 3" xfId="24057" xr:uid="{00000000-0005-0000-0000-0000FDCC0000}"/>
    <cellStyle name="Normal 6 3 2 5 2 2 3 2" xfId="51190" xr:uid="{00000000-0005-0000-0000-0000FECC0000}"/>
    <cellStyle name="Normal 6 3 2 5 2 2 4" xfId="37628" xr:uid="{00000000-0005-0000-0000-0000FFCC0000}"/>
    <cellStyle name="Normal 6 3 2 5 2 3" xfId="13881" xr:uid="{00000000-0005-0000-0000-000000CD0000}"/>
    <cellStyle name="Normal 6 3 2 5 2 3 2" xfId="27449" xr:uid="{00000000-0005-0000-0000-000001CD0000}"/>
    <cellStyle name="Normal 6 3 2 5 2 3 2 2" xfId="54582" xr:uid="{00000000-0005-0000-0000-000002CD0000}"/>
    <cellStyle name="Normal 6 3 2 5 2 3 3" xfId="41020" xr:uid="{00000000-0005-0000-0000-000003CD0000}"/>
    <cellStyle name="Normal 6 3 2 5 2 4" xfId="20668" xr:uid="{00000000-0005-0000-0000-000004CD0000}"/>
    <cellStyle name="Normal 6 3 2 5 2 4 2" xfId="47801" xr:uid="{00000000-0005-0000-0000-000005CD0000}"/>
    <cellStyle name="Normal 6 3 2 5 2 5" xfId="34239" xr:uid="{00000000-0005-0000-0000-000006CD0000}"/>
    <cellStyle name="Normal 6 3 2 5 3" xfId="6951" xr:uid="{00000000-0005-0000-0000-000007CD0000}"/>
    <cellStyle name="Normal 6 3 2 5 3 2" xfId="10481" xr:uid="{00000000-0005-0000-0000-000008CD0000}"/>
    <cellStyle name="Normal 6 3 2 5 3 2 2" xfId="17271" xr:uid="{00000000-0005-0000-0000-000009CD0000}"/>
    <cellStyle name="Normal 6 3 2 5 3 2 2 2" xfId="30839" xr:uid="{00000000-0005-0000-0000-00000ACD0000}"/>
    <cellStyle name="Normal 6 3 2 5 3 2 2 2 2" xfId="57972" xr:uid="{00000000-0005-0000-0000-00000BCD0000}"/>
    <cellStyle name="Normal 6 3 2 5 3 2 2 3" xfId="44410" xr:uid="{00000000-0005-0000-0000-00000CCD0000}"/>
    <cellStyle name="Normal 6 3 2 5 3 2 3" xfId="24058" xr:uid="{00000000-0005-0000-0000-00000DCD0000}"/>
    <cellStyle name="Normal 6 3 2 5 3 2 3 2" xfId="51191" xr:uid="{00000000-0005-0000-0000-00000ECD0000}"/>
    <cellStyle name="Normal 6 3 2 5 3 2 4" xfId="37629" xr:uid="{00000000-0005-0000-0000-00000FCD0000}"/>
    <cellStyle name="Normal 6 3 2 5 3 3" xfId="13882" xr:uid="{00000000-0005-0000-0000-000010CD0000}"/>
    <cellStyle name="Normal 6 3 2 5 3 3 2" xfId="27450" xr:uid="{00000000-0005-0000-0000-000011CD0000}"/>
    <cellStyle name="Normal 6 3 2 5 3 3 2 2" xfId="54583" xr:uid="{00000000-0005-0000-0000-000012CD0000}"/>
    <cellStyle name="Normal 6 3 2 5 3 3 3" xfId="41021" xr:uid="{00000000-0005-0000-0000-000013CD0000}"/>
    <cellStyle name="Normal 6 3 2 5 3 4" xfId="20669" xr:uid="{00000000-0005-0000-0000-000014CD0000}"/>
    <cellStyle name="Normal 6 3 2 5 3 4 2" xfId="47802" xr:uid="{00000000-0005-0000-0000-000015CD0000}"/>
    <cellStyle name="Normal 6 3 2 5 3 5" xfId="34240" xr:uid="{00000000-0005-0000-0000-000016CD0000}"/>
    <cellStyle name="Normal 6 3 2 5 4" xfId="10479" xr:uid="{00000000-0005-0000-0000-000017CD0000}"/>
    <cellStyle name="Normal 6 3 2 5 4 2" xfId="17269" xr:uid="{00000000-0005-0000-0000-000018CD0000}"/>
    <cellStyle name="Normal 6 3 2 5 4 2 2" xfId="30837" xr:uid="{00000000-0005-0000-0000-000019CD0000}"/>
    <cellStyle name="Normal 6 3 2 5 4 2 2 2" xfId="57970" xr:uid="{00000000-0005-0000-0000-00001ACD0000}"/>
    <cellStyle name="Normal 6 3 2 5 4 2 3" xfId="44408" xr:uid="{00000000-0005-0000-0000-00001BCD0000}"/>
    <cellStyle name="Normal 6 3 2 5 4 3" xfId="24056" xr:uid="{00000000-0005-0000-0000-00001CCD0000}"/>
    <cellStyle name="Normal 6 3 2 5 4 3 2" xfId="51189" xr:uid="{00000000-0005-0000-0000-00001DCD0000}"/>
    <cellStyle name="Normal 6 3 2 5 4 4" xfId="37627" xr:uid="{00000000-0005-0000-0000-00001ECD0000}"/>
    <cellStyle name="Normal 6 3 2 5 5" xfId="13880" xr:uid="{00000000-0005-0000-0000-00001FCD0000}"/>
    <cellStyle name="Normal 6 3 2 5 5 2" xfId="27448" xr:uid="{00000000-0005-0000-0000-000020CD0000}"/>
    <cellStyle name="Normal 6 3 2 5 5 2 2" xfId="54581" xr:uid="{00000000-0005-0000-0000-000021CD0000}"/>
    <cellStyle name="Normal 6 3 2 5 5 3" xfId="41019" xr:uid="{00000000-0005-0000-0000-000022CD0000}"/>
    <cellStyle name="Normal 6 3 2 5 6" xfId="20667" xr:uid="{00000000-0005-0000-0000-000023CD0000}"/>
    <cellStyle name="Normal 6 3 2 5 6 2" xfId="47800" xr:uid="{00000000-0005-0000-0000-000024CD0000}"/>
    <cellStyle name="Normal 6 3 2 5 7" xfId="34238" xr:uid="{00000000-0005-0000-0000-000025CD0000}"/>
    <cellStyle name="Normal 6 3 2 6" xfId="6952" xr:uid="{00000000-0005-0000-0000-000026CD0000}"/>
    <cellStyle name="Normal 6 3 2 6 2" xfId="6953" xr:uid="{00000000-0005-0000-0000-000027CD0000}"/>
    <cellStyle name="Normal 6 3 2 6 2 2" xfId="10483" xr:uid="{00000000-0005-0000-0000-000028CD0000}"/>
    <cellStyle name="Normal 6 3 2 6 2 2 2" xfId="17273" xr:uid="{00000000-0005-0000-0000-000029CD0000}"/>
    <cellStyle name="Normal 6 3 2 6 2 2 2 2" xfId="30841" xr:uid="{00000000-0005-0000-0000-00002ACD0000}"/>
    <cellStyle name="Normal 6 3 2 6 2 2 2 2 2" xfId="57974" xr:uid="{00000000-0005-0000-0000-00002BCD0000}"/>
    <cellStyle name="Normal 6 3 2 6 2 2 2 3" xfId="44412" xr:uid="{00000000-0005-0000-0000-00002CCD0000}"/>
    <cellStyle name="Normal 6 3 2 6 2 2 3" xfId="24060" xr:uid="{00000000-0005-0000-0000-00002DCD0000}"/>
    <cellStyle name="Normal 6 3 2 6 2 2 3 2" xfId="51193" xr:uid="{00000000-0005-0000-0000-00002ECD0000}"/>
    <cellStyle name="Normal 6 3 2 6 2 2 4" xfId="37631" xr:uid="{00000000-0005-0000-0000-00002FCD0000}"/>
    <cellStyle name="Normal 6 3 2 6 2 3" xfId="13884" xr:uid="{00000000-0005-0000-0000-000030CD0000}"/>
    <cellStyle name="Normal 6 3 2 6 2 3 2" xfId="27452" xr:uid="{00000000-0005-0000-0000-000031CD0000}"/>
    <cellStyle name="Normal 6 3 2 6 2 3 2 2" xfId="54585" xr:uid="{00000000-0005-0000-0000-000032CD0000}"/>
    <cellStyle name="Normal 6 3 2 6 2 3 3" xfId="41023" xr:uid="{00000000-0005-0000-0000-000033CD0000}"/>
    <cellStyle name="Normal 6 3 2 6 2 4" xfId="20671" xr:uid="{00000000-0005-0000-0000-000034CD0000}"/>
    <cellStyle name="Normal 6 3 2 6 2 4 2" xfId="47804" xr:uid="{00000000-0005-0000-0000-000035CD0000}"/>
    <cellStyle name="Normal 6 3 2 6 2 5" xfId="34242" xr:uid="{00000000-0005-0000-0000-000036CD0000}"/>
    <cellStyle name="Normal 6 3 2 6 3" xfId="6954" xr:uid="{00000000-0005-0000-0000-000037CD0000}"/>
    <cellStyle name="Normal 6 3 2 6 3 2" xfId="10484" xr:uid="{00000000-0005-0000-0000-000038CD0000}"/>
    <cellStyle name="Normal 6 3 2 6 3 2 2" xfId="17274" xr:uid="{00000000-0005-0000-0000-000039CD0000}"/>
    <cellStyle name="Normal 6 3 2 6 3 2 2 2" xfId="30842" xr:uid="{00000000-0005-0000-0000-00003ACD0000}"/>
    <cellStyle name="Normal 6 3 2 6 3 2 2 2 2" xfId="57975" xr:uid="{00000000-0005-0000-0000-00003BCD0000}"/>
    <cellStyle name="Normal 6 3 2 6 3 2 2 3" xfId="44413" xr:uid="{00000000-0005-0000-0000-00003CCD0000}"/>
    <cellStyle name="Normal 6 3 2 6 3 2 3" xfId="24061" xr:uid="{00000000-0005-0000-0000-00003DCD0000}"/>
    <cellStyle name="Normal 6 3 2 6 3 2 3 2" xfId="51194" xr:uid="{00000000-0005-0000-0000-00003ECD0000}"/>
    <cellStyle name="Normal 6 3 2 6 3 2 4" xfId="37632" xr:uid="{00000000-0005-0000-0000-00003FCD0000}"/>
    <cellStyle name="Normal 6 3 2 6 3 3" xfId="13885" xr:uid="{00000000-0005-0000-0000-000040CD0000}"/>
    <cellStyle name="Normal 6 3 2 6 3 3 2" xfId="27453" xr:uid="{00000000-0005-0000-0000-000041CD0000}"/>
    <cellStyle name="Normal 6 3 2 6 3 3 2 2" xfId="54586" xr:uid="{00000000-0005-0000-0000-000042CD0000}"/>
    <cellStyle name="Normal 6 3 2 6 3 3 3" xfId="41024" xr:uid="{00000000-0005-0000-0000-000043CD0000}"/>
    <cellStyle name="Normal 6 3 2 6 3 4" xfId="20672" xr:uid="{00000000-0005-0000-0000-000044CD0000}"/>
    <cellStyle name="Normal 6 3 2 6 3 4 2" xfId="47805" xr:uid="{00000000-0005-0000-0000-000045CD0000}"/>
    <cellStyle name="Normal 6 3 2 6 3 5" xfId="34243" xr:uid="{00000000-0005-0000-0000-000046CD0000}"/>
    <cellStyle name="Normal 6 3 2 6 4" xfId="10482" xr:uid="{00000000-0005-0000-0000-000047CD0000}"/>
    <cellStyle name="Normal 6 3 2 6 4 2" xfId="17272" xr:uid="{00000000-0005-0000-0000-000048CD0000}"/>
    <cellStyle name="Normal 6 3 2 6 4 2 2" xfId="30840" xr:uid="{00000000-0005-0000-0000-000049CD0000}"/>
    <cellStyle name="Normal 6 3 2 6 4 2 2 2" xfId="57973" xr:uid="{00000000-0005-0000-0000-00004ACD0000}"/>
    <cellStyle name="Normal 6 3 2 6 4 2 3" xfId="44411" xr:uid="{00000000-0005-0000-0000-00004BCD0000}"/>
    <cellStyle name="Normal 6 3 2 6 4 3" xfId="24059" xr:uid="{00000000-0005-0000-0000-00004CCD0000}"/>
    <cellStyle name="Normal 6 3 2 6 4 3 2" xfId="51192" xr:uid="{00000000-0005-0000-0000-00004DCD0000}"/>
    <cellStyle name="Normal 6 3 2 6 4 4" xfId="37630" xr:uid="{00000000-0005-0000-0000-00004ECD0000}"/>
    <cellStyle name="Normal 6 3 2 6 5" xfId="13883" xr:uid="{00000000-0005-0000-0000-00004FCD0000}"/>
    <cellStyle name="Normal 6 3 2 6 5 2" xfId="27451" xr:uid="{00000000-0005-0000-0000-000050CD0000}"/>
    <cellStyle name="Normal 6 3 2 6 5 2 2" xfId="54584" xr:uid="{00000000-0005-0000-0000-000051CD0000}"/>
    <cellStyle name="Normal 6 3 2 6 5 3" xfId="41022" xr:uid="{00000000-0005-0000-0000-000052CD0000}"/>
    <cellStyle name="Normal 6 3 2 6 6" xfId="20670" xr:uid="{00000000-0005-0000-0000-000053CD0000}"/>
    <cellStyle name="Normal 6 3 2 6 6 2" xfId="47803" xr:uid="{00000000-0005-0000-0000-000054CD0000}"/>
    <cellStyle name="Normal 6 3 2 6 7" xfId="34241" xr:uid="{00000000-0005-0000-0000-000055CD0000}"/>
    <cellStyle name="Normal 6 3 2 7" xfId="6955" xr:uid="{00000000-0005-0000-0000-000056CD0000}"/>
    <cellStyle name="Normal 6 3 2 7 2" xfId="10485" xr:uid="{00000000-0005-0000-0000-000057CD0000}"/>
    <cellStyle name="Normal 6 3 2 7 2 2" xfId="17275" xr:uid="{00000000-0005-0000-0000-000058CD0000}"/>
    <cellStyle name="Normal 6 3 2 7 2 2 2" xfId="30843" xr:uid="{00000000-0005-0000-0000-000059CD0000}"/>
    <cellStyle name="Normal 6 3 2 7 2 2 2 2" xfId="57976" xr:uid="{00000000-0005-0000-0000-00005ACD0000}"/>
    <cellStyle name="Normal 6 3 2 7 2 2 3" xfId="44414" xr:uid="{00000000-0005-0000-0000-00005BCD0000}"/>
    <cellStyle name="Normal 6 3 2 7 2 3" xfId="24062" xr:uid="{00000000-0005-0000-0000-00005CCD0000}"/>
    <cellStyle name="Normal 6 3 2 7 2 3 2" xfId="51195" xr:uid="{00000000-0005-0000-0000-00005DCD0000}"/>
    <cellStyle name="Normal 6 3 2 7 2 4" xfId="37633" xr:uid="{00000000-0005-0000-0000-00005ECD0000}"/>
    <cellStyle name="Normal 6 3 2 7 3" xfId="13886" xr:uid="{00000000-0005-0000-0000-00005FCD0000}"/>
    <cellStyle name="Normal 6 3 2 7 3 2" xfId="27454" xr:uid="{00000000-0005-0000-0000-000060CD0000}"/>
    <cellStyle name="Normal 6 3 2 7 3 2 2" xfId="54587" xr:uid="{00000000-0005-0000-0000-000061CD0000}"/>
    <cellStyle name="Normal 6 3 2 7 3 3" xfId="41025" xr:uid="{00000000-0005-0000-0000-000062CD0000}"/>
    <cellStyle name="Normal 6 3 2 7 4" xfId="20673" xr:uid="{00000000-0005-0000-0000-000063CD0000}"/>
    <cellStyle name="Normal 6 3 2 7 4 2" xfId="47806" xr:uid="{00000000-0005-0000-0000-000064CD0000}"/>
    <cellStyle name="Normal 6 3 2 7 5" xfId="34244" xr:uid="{00000000-0005-0000-0000-000065CD0000}"/>
    <cellStyle name="Normal 6 3 2 8" xfId="6956" xr:uid="{00000000-0005-0000-0000-000066CD0000}"/>
    <cellStyle name="Normal 6 3 2 8 2" xfId="10486" xr:uid="{00000000-0005-0000-0000-000067CD0000}"/>
    <cellStyle name="Normal 6 3 2 8 2 2" xfId="17276" xr:uid="{00000000-0005-0000-0000-000068CD0000}"/>
    <cellStyle name="Normal 6 3 2 8 2 2 2" xfId="30844" xr:uid="{00000000-0005-0000-0000-000069CD0000}"/>
    <cellStyle name="Normal 6 3 2 8 2 2 2 2" xfId="57977" xr:uid="{00000000-0005-0000-0000-00006ACD0000}"/>
    <cellStyle name="Normal 6 3 2 8 2 2 3" xfId="44415" xr:uid="{00000000-0005-0000-0000-00006BCD0000}"/>
    <cellStyle name="Normal 6 3 2 8 2 3" xfId="24063" xr:uid="{00000000-0005-0000-0000-00006CCD0000}"/>
    <cellStyle name="Normal 6 3 2 8 2 3 2" xfId="51196" xr:uid="{00000000-0005-0000-0000-00006DCD0000}"/>
    <cellStyle name="Normal 6 3 2 8 2 4" xfId="37634" xr:uid="{00000000-0005-0000-0000-00006ECD0000}"/>
    <cellStyle name="Normal 6 3 2 8 3" xfId="13887" xr:uid="{00000000-0005-0000-0000-00006FCD0000}"/>
    <cellStyle name="Normal 6 3 2 8 3 2" xfId="27455" xr:uid="{00000000-0005-0000-0000-000070CD0000}"/>
    <cellStyle name="Normal 6 3 2 8 3 2 2" xfId="54588" xr:uid="{00000000-0005-0000-0000-000071CD0000}"/>
    <cellStyle name="Normal 6 3 2 8 3 3" xfId="41026" xr:uid="{00000000-0005-0000-0000-000072CD0000}"/>
    <cellStyle name="Normal 6 3 2 8 4" xfId="20674" xr:uid="{00000000-0005-0000-0000-000073CD0000}"/>
    <cellStyle name="Normal 6 3 2 8 4 2" xfId="47807" xr:uid="{00000000-0005-0000-0000-000074CD0000}"/>
    <cellStyle name="Normal 6 3 2 8 5" xfId="34245" xr:uid="{00000000-0005-0000-0000-000075CD0000}"/>
    <cellStyle name="Normal 6 3 2 9" xfId="10448" xr:uid="{00000000-0005-0000-0000-000076CD0000}"/>
    <cellStyle name="Normal 6 3 2 9 2" xfId="17238" xr:uid="{00000000-0005-0000-0000-000077CD0000}"/>
    <cellStyle name="Normal 6 3 2 9 2 2" xfId="30806" xr:uid="{00000000-0005-0000-0000-000078CD0000}"/>
    <cellStyle name="Normal 6 3 2 9 2 2 2" xfId="57939" xr:uid="{00000000-0005-0000-0000-000079CD0000}"/>
    <cellStyle name="Normal 6 3 2 9 2 3" xfId="44377" xr:uid="{00000000-0005-0000-0000-00007ACD0000}"/>
    <cellStyle name="Normal 6 3 2 9 3" xfId="24025" xr:uid="{00000000-0005-0000-0000-00007BCD0000}"/>
    <cellStyle name="Normal 6 3 2 9 3 2" xfId="51158" xr:uid="{00000000-0005-0000-0000-00007CCD0000}"/>
    <cellStyle name="Normal 6 3 2 9 4" xfId="37596" xr:uid="{00000000-0005-0000-0000-00007DCD0000}"/>
    <cellStyle name="Normal 6 3 3" xfId="6957" xr:uid="{00000000-0005-0000-0000-00007ECD0000}"/>
    <cellStyle name="Normal 6 3 3 10" xfId="34246" xr:uid="{00000000-0005-0000-0000-00007FCD0000}"/>
    <cellStyle name="Normal 6 3 3 2" xfId="6958" xr:uid="{00000000-0005-0000-0000-000080CD0000}"/>
    <cellStyle name="Normal 6 3 3 2 2" xfId="6959" xr:uid="{00000000-0005-0000-0000-000081CD0000}"/>
    <cellStyle name="Normal 6 3 3 2 2 2" xfId="6960" xr:uid="{00000000-0005-0000-0000-000082CD0000}"/>
    <cellStyle name="Normal 6 3 3 2 2 2 2" xfId="10490" xr:uid="{00000000-0005-0000-0000-000083CD0000}"/>
    <cellStyle name="Normal 6 3 3 2 2 2 2 2" xfId="17280" xr:uid="{00000000-0005-0000-0000-000084CD0000}"/>
    <cellStyle name="Normal 6 3 3 2 2 2 2 2 2" xfId="30848" xr:uid="{00000000-0005-0000-0000-000085CD0000}"/>
    <cellStyle name="Normal 6 3 3 2 2 2 2 2 2 2" xfId="57981" xr:uid="{00000000-0005-0000-0000-000086CD0000}"/>
    <cellStyle name="Normal 6 3 3 2 2 2 2 2 3" xfId="44419" xr:uid="{00000000-0005-0000-0000-000087CD0000}"/>
    <cellStyle name="Normal 6 3 3 2 2 2 2 3" xfId="24067" xr:uid="{00000000-0005-0000-0000-000088CD0000}"/>
    <cellStyle name="Normal 6 3 3 2 2 2 2 3 2" xfId="51200" xr:uid="{00000000-0005-0000-0000-000089CD0000}"/>
    <cellStyle name="Normal 6 3 3 2 2 2 2 4" xfId="37638" xr:uid="{00000000-0005-0000-0000-00008ACD0000}"/>
    <cellStyle name="Normal 6 3 3 2 2 2 3" xfId="13891" xr:uid="{00000000-0005-0000-0000-00008BCD0000}"/>
    <cellStyle name="Normal 6 3 3 2 2 2 3 2" xfId="27459" xr:uid="{00000000-0005-0000-0000-00008CCD0000}"/>
    <cellStyle name="Normal 6 3 3 2 2 2 3 2 2" xfId="54592" xr:uid="{00000000-0005-0000-0000-00008DCD0000}"/>
    <cellStyle name="Normal 6 3 3 2 2 2 3 3" xfId="41030" xr:uid="{00000000-0005-0000-0000-00008ECD0000}"/>
    <cellStyle name="Normal 6 3 3 2 2 2 4" xfId="20678" xr:uid="{00000000-0005-0000-0000-00008FCD0000}"/>
    <cellStyle name="Normal 6 3 3 2 2 2 4 2" xfId="47811" xr:uid="{00000000-0005-0000-0000-000090CD0000}"/>
    <cellStyle name="Normal 6 3 3 2 2 2 5" xfId="34249" xr:uid="{00000000-0005-0000-0000-000091CD0000}"/>
    <cellStyle name="Normal 6 3 3 2 2 3" xfId="6961" xr:uid="{00000000-0005-0000-0000-000092CD0000}"/>
    <cellStyle name="Normal 6 3 3 2 2 3 2" xfId="10491" xr:uid="{00000000-0005-0000-0000-000093CD0000}"/>
    <cellStyle name="Normal 6 3 3 2 2 3 2 2" xfId="17281" xr:uid="{00000000-0005-0000-0000-000094CD0000}"/>
    <cellStyle name="Normal 6 3 3 2 2 3 2 2 2" xfId="30849" xr:uid="{00000000-0005-0000-0000-000095CD0000}"/>
    <cellStyle name="Normal 6 3 3 2 2 3 2 2 2 2" xfId="57982" xr:uid="{00000000-0005-0000-0000-000096CD0000}"/>
    <cellStyle name="Normal 6 3 3 2 2 3 2 2 3" xfId="44420" xr:uid="{00000000-0005-0000-0000-000097CD0000}"/>
    <cellStyle name="Normal 6 3 3 2 2 3 2 3" xfId="24068" xr:uid="{00000000-0005-0000-0000-000098CD0000}"/>
    <cellStyle name="Normal 6 3 3 2 2 3 2 3 2" xfId="51201" xr:uid="{00000000-0005-0000-0000-000099CD0000}"/>
    <cellStyle name="Normal 6 3 3 2 2 3 2 4" xfId="37639" xr:uid="{00000000-0005-0000-0000-00009ACD0000}"/>
    <cellStyle name="Normal 6 3 3 2 2 3 3" xfId="13892" xr:uid="{00000000-0005-0000-0000-00009BCD0000}"/>
    <cellStyle name="Normal 6 3 3 2 2 3 3 2" xfId="27460" xr:uid="{00000000-0005-0000-0000-00009CCD0000}"/>
    <cellStyle name="Normal 6 3 3 2 2 3 3 2 2" xfId="54593" xr:uid="{00000000-0005-0000-0000-00009DCD0000}"/>
    <cellStyle name="Normal 6 3 3 2 2 3 3 3" xfId="41031" xr:uid="{00000000-0005-0000-0000-00009ECD0000}"/>
    <cellStyle name="Normal 6 3 3 2 2 3 4" xfId="20679" xr:uid="{00000000-0005-0000-0000-00009FCD0000}"/>
    <cellStyle name="Normal 6 3 3 2 2 3 4 2" xfId="47812" xr:uid="{00000000-0005-0000-0000-0000A0CD0000}"/>
    <cellStyle name="Normal 6 3 3 2 2 3 5" xfId="34250" xr:uid="{00000000-0005-0000-0000-0000A1CD0000}"/>
    <cellStyle name="Normal 6 3 3 2 2 4" xfId="10489" xr:uid="{00000000-0005-0000-0000-0000A2CD0000}"/>
    <cellStyle name="Normal 6 3 3 2 2 4 2" xfId="17279" xr:uid="{00000000-0005-0000-0000-0000A3CD0000}"/>
    <cellStyle name="Normal 6 3 3 2 2 4 2 2" xfId="30847" xr:uid="{00000000-0005-0000-0000-0000A4CD0000}"/>
    <cellStyle name="Normal 6 3 3 2 2 4 2 2 2" xfId="57980" xr:uid="{00000000-0005-0000-0000-0000A5CD0000}"/>
    <cellStyle name="Normal 6 3 3 2 2 4 2 3" xfId="44418" xr:uid="{00000000-0005-0000-0000-0000A6CD0000}"/>
    <cellStyle name="Normal 6 3 3 2 2 4 3" xfId="24066" xr:uid="{00000000-0005-0000-0000-0000A7CD0000}"/>
    <cellStyle name="Normal 6 3 3 2 2 4 3 2" xfId="51199" xr:uid="{00000000-0005-0000-0000-0000A8CD0000}"/>
    <cellStyle name="Normal 6 3 3 2 2 4 4" xfId="37637" xr:uid="{00000000-0005-0000-0000-0000A9CD0000}"/>
    <cellStyle name="Normal 6 3 3 2 2 5" xfId="13890" xr:uid="{00000000-0005-0000-0000-0000AACD0000}"/>
    <cellStyle name="Normal 6 3 3 2 2 5 2" xfId="27458" xr:uid="{00000000-0005-0000-0000-0000ABCD0000}"/>
    <cellStyle name="Normal 6 3 3 2 2 5 2 2" xfId="54591" xr:uid="{00000000-0005-0000-0000-0000ACCD0000}"/>
    <cellStyle name="Normal 6 3 3 2 2 5 3" xfId="41029" xr:uid="{00000000-0005-0000-0000-0000ADCD0000}"/>
    <cellStyle name="Normal 6 3 3 2 2 6" xfId="20677" xr:uid="{00000000-0005-0000-0000-0000AECD0000}"/>
    <cellStyle name="Normal 6 3 3 2 2 6 2" xfId="47810" xr:uid="{00000000-0005-0000-0000-0000AFCD0000}"/>
    <cellStyle name="Normal 6 3 3 2 2 7" xfId="34248" xr:uid="{00000000-0005-0000-0000-0000B0CD0000}"/>
    <cellStyle name="Normal 6 3 3 2 3" xfId="6962" xr:uid="{00000000-0005-0000-0000-0000B1CD0000}"/>
    <cellStyle name="Normal 6 3 3 2 3 2" xfId="6963" xr:uid="{00000000-0005-0000-0000-0000B2CD0000}"/>
    <cellStyle name="Normal 6 3 3 2 3 2 2" xfId="10493" xr:uid="{00000000-0005-0000-0000-0000B3CD0000}"/>
    <cellStyle name="Normal 6 3 3 2 3 2 2 2" xfId="17283" xr:uid="{00000000-0005-0000-0000-0000B4CD0000}"/>
    <cellStyle name="Normal 6 3 3 2 3 2 2 2 2" xfId="30851" xr:uid="{00000000-0005-0000-0000-0000B5CD0000}"/>
    <cellStyle name="Normal 6 3 3 2 3 2 2 2 2 2" xfId="57984" xr:uid="{00000000-0005-0000-0000-0000B6CD0000}"/>
    <cellStyle name="Normal 6 3 3 2 3 2 2 2 3" xfId="44422" xr:uid="{00000000-0005-0000-0000-0000B7CD0000}"/>
    <cellStyle name="Normal 6 3 3 2 3 2 2 3" xfId="24070" xr:uid="{00000000-0005-0000-0000-0000B8CD0000}"/>
    <cellStyle name="Normal 6 3 3 2 3 2 2 3 2" xfId="51203" xr:uid="{00000000-0005-0000-0000-0000B9CD0000}"/>
    <cellStyle name="Normal 6 3 3 2 3 2 2 4" xfId="37641" xr:uid="{00000000-0005-0000-0000-0000BACD0000}"/>
    <cellStyle name="Normal 6 3 3 2 3 2 3" xfId="13894" xr:uid="{00000000-0005-0000-0000-0000BBCD0000}"/>
    <cellStyle name="Normal 6 3 3 2 3 2 3 2" xfId="27462" xr:uid="{00000000-0005-0000-0000-0000BCCD0000}"/>
    <cellStyle name="Normal 6 3 3 2 3 2 3 2 2" xfId="54595" xr:uid="{00000000-0005-0000-0000-0000BDCD0000}"/>
    <cellStyle name="Normal 6 3 3 2 3 2 3 3" xfId="41033" xr:uid="{00000000-0005-0000-0000-0000BECD0000}"/>
    <cellStyle name="Normal 6 3 3 2 3 2 4" xfId="20681" xr:uid="{00000000-0005-0000-0000-0000BFCD0000}"/>
    <cellStyle name="Normal 6 3 3 2 3 2 4 2" xfId="47814" xr:uid="{00000000-0005-0000-0000-0000C0CD0000}"/>
    <cellStyle name="Normal 6 3 3 2 3 2 5" xfId="34252" xr:uid="{00000000-0005-0000-0000-0000C1CD0000}"/>
    <cellStyle name="Normal 6 3 3 2 3 3" xfId="10492" xr:uid="{00000000-0005-0000-0000-0000C2CD0000}"/>
    <cellStyle name="Normal 6 3 3 2 3 3 2" xfId="17282" xr:uid="{00000000-0005-0000-0000-0000C3CD0000}"/>
    <cellStyle name="Normal 6 3 3 2 3 3 2 2" xfId="30850" xr:uid="{00000000-0005-0000-0000-0000C4CD0000}"/>
    <cellStyle name="Normal 6 3 3 2 3 3 2 2 2" xfId="57983" xr:uid="{00000000-0005-0000-0000-0000C5CD0000}"/>
    <cellStyle name="Normal 6 3 3 2 3 3 2 3" xfId="44421" xr:uid="{00000000-0005-0000-0000-0000C6CD0000}"/>
    <cellStyle name="Normal 6 3 3 2 3 3 3" xfId="24069" xr:uid="{00000000-0005-0000-0000-0000C7CD0000}"/>
    <cellStyle name="Normal 6 3 3 2 3 3 3 2" xfId="51202" xr:uid="{00000000-0005-0000-0000-0000C8CD0000}"/>
    <cellStyle name="Normal 6 3 3 2 3 3 4" xfId="37640" xr:uid="{00000000-0005-0000-0000-0000C9CD0000}"/>
    <cellStyle name="Normal 6 3 3 2 3 4" xfId="13893" xr:uid="{00000000-0005-0000-0000-0000CACD0000}"/>
    <cellStyle name="Normal 6 3 3 2 3 4 2" xfId="27461" xr:uid="{00000000-0005-0000-0000-0000CBCD0000}"/>
    <cellStyle name="Normal 6 3 3 2 3 4 2 2" xfId="54594" xr:uid="{00000000-0005-0000-0000-0000CCCD0000}"/>
    <cellStyle name="Normal 6 3 3 2 3 4 3" xfId="41032" xr:uid="{00000000-0005-0000-0000-0000CDCD0000}"/>
    <cellStyle name="Normal 6 3 3 2 3 5" xfId="20680" xr:uid="{00000000-0005-0000-0000-0000CECD0000}"/>
    <cellStyle name="Normal 6 3 3 2 3 5 2" xfId="47813" xr:uid="{00000000-0005-0000-0000-0000CFCD0000}"/>
    <cellStyle name="Normal 6 3 3 2 3 6" xfId="34251" xr:uid="{00000000-0005-0000-0000-0000D0CD0000}"/>
    <cellStyle name="Normal 6 3 3 2 4" xfId="6964" xr:uid="{00000000-0005-0000-0000-0000D1CD0000}"/>
    <cellStyle name="Normal 6 3 3 2 4 2" xfId="10494" xr:uid="{00000000-0005-0000-0000-0000D2CD0000}"/>
    <cellStyle name="Normal 6 3 3 2 4 2 2" xfId="17284" xr:uid="{00000000-0005-0000-0000-0000D3CD0000}"/>
    <cellStyle name="Normal 6 3 3 2 4 2 2 2" xfId="30852" xr:uid="{00000000-0005-0000-0000-0000D4CD0000}"/>
    <cellStyle name="Normal 6 3 3 2 4 2 2 2 2" xfId="57985" xr:uid="{00000000-0005-0000-0000-0000D5CD0000}"/>
    <cellStyle name="Normal 6 3 3 2 4 2 2 3" xfId="44423" xr:uid="{00000000-0005-0000-0000-0000D6CD0000}"/>
    <cellStyle name="Normal 6 3 3 2 4 2 3" xfId="24071" xr:uid="{00000000-0005-0000-0000-0000D7CD0000}"/>
    <cellStyle name="Normal 6 3 3 2 4 2 3 2" xfId="51204" xr:uid="{00000000-0005-0000-0000-0000D8CD0000}"/>
    <cellStyle name="Normal 6 3 3 2 4 2 4" xfId="37642" xr:uid="{00000000-0005-0000-0000-0000D9CD0000}"/>
    <cellStyle name="Normal 6 3 3 2 4 3" xfId="13895" xr:uid="{00000000-0005-0000-0000-0000DACD0000}"/>
    <cellStyle name="Normal 6 3 3 2 4 3 2" xfId="27463" xr:uid="{00000000-0005-0000-0000-0000DBCD0000}"/>
    <cellStyle name="Normal 6 3 3 2 4 3 2 2" xfId="54596" xr:uid="{00000000-0005-0000-0000-0000DCCD0000}"/>
    <cellStyle name="Normal 6 3 3 2 4 3 3" xfId="41034" xr:uid="{00000000-0005-0000-0000-0000DDCD0000}"/>
    <cellStyle name="Normal 6 3 3 2 4 4" xfId="20682" xr:uid="{00000000-0005-0000-0000-0000DECD0000}"/>
    <cellStyle name="Normal 6 3 3 2 4 4 2" xfId="47815" xr:uid="{00000000-0005-0000-0000-0000DFCD0000}"/>
    <cellStyle name="Normal 6 3 3 2 4 5" xfId="34253" xr:uid="{00000000-0005-0000-0000-0000E0CD0000}"/>
    <cellStyle name="Normal 6 3 3 2 5" xfId="6965" xr:uid="{00000000-0005-0000-0000-0000E1CD0000}"/>
    <cellStyle name="Normal 6 3 3 2 5 2" xfId="10495" xr:uid="{00000000-0005-0000-0000-0000E2CD0000}"/>
    <cellStyle name="Normal 6 3 3 2 5 2 2" xfId="17285" xr:uid="{00000000-0005-0000-0000-0000E3CD0000}"/>
    <cellStyle name="Normal 6 3 3 2 5 2 2 2" xfId="30853" xr:uid="{00000000-0005-0000-0000-0000E4CD0000}"/>
    <cellStyle name="Normal 6 3 3 2 5 2 2 2 2" xfId="57986" xr:uid="{00000000-0005-0000-0000-0000E5CD0000}"/>
    <cellStyle name="Normal 6 3 3 2 5 2 2 3" xfId="44424" xr:uid="{00000000-0005-0000-0000-0000E6CD0000}"/>
    <cellStyle name="Normal 6 3 3 2 5 2 3" xfId="24072" xr:uid="{00000000-0005-0000-0000-0000E7CD0000}"/>
    <cellStyle name="Normal 6 3 3 2 5 2 3 2" xfId="51205" xr:uid="{00000000-0005-0000-0000-0000E8CD0000}"/>
    <cellStyle name="Normal 6 3 3 2 5 2 4" xfId="37643" xr:uid="{00000000-0005-0000-0000-0000E9CD0000}"/>
    <cellStyle name="Normal 6 3 3 2 5 3" xfId="13896" xr:uid="{00000000-0005-0000-0000-0000EACD0000}"/>
    <cellStyle name="Normal 6 3 3 2 5 3 2" xfId="27464" xr:uid="{00000000-0005-0000-0000-0000EBCD0000}"/>
    <cellStyle name="Normal 6 3 3 2 5 3 2 2" xfId="54597" xr:uid="{00000000-0005-0000-0000-0000ECCD0000}"/>
    <cellStyle name="Normal 6 3 3 2 5 3 3" xfId="41035" xr:uid="{00000000-0005-0000-0000-0000EDCD0000}"/>
    <cellStyle name="Normal 6 3 3 2 5 4" xfId="20683" xr:uid="{00000000-0005-0000-0000-0000EECD0000}"/>
    <cellStyle name="Normal 6 3 3 2 5 4 2" xfId="47816" xr:uid="{00000000-0005-0000-0000-0000EFCD0000}"/>
    <cellStyle name="Normal 6 3 3 2 5 5" xfId="34254" xr:uid="{00000000-0005-0000-0000-0000F0CD0000}"/>
    <cellStyle name="Normal 6 3 3 2 6" xfId="10488" xr:uid="{00000000-0005-0000-0000-0000F1CD0000}"/>
    <cellStyle name="Normal 6 3 3 2 6 2" xfId="17278" xr:uid="{00000000-0005-0000-0000-0000F2CD0000}"/>
    <cellStyle name="Normal 6 3 3 2 6 2 2" xfId="30846" xr:uid="{00000000-0005-0000-0000-0000F3CD0000}"/>
    <cellStyle name="Normal 6 3 3 2 6 2 2 2" xfId="57979" xr:uid="{00000000-0005-0000-0000-0000F4CD0000}"/>
    <cellStyle name="Normal 6 3 3 2 6 2 3" xfId="44417" xr:uid="{00000000-0005-0000-0000-0000F5CD0000}"/>
    <cellStyle name="Normal 6 3 3 2 6 3" xfId="24065" xr:uid="{00000000-0005-0000-0000-0000F6CD0000}"/>
    <cellStyle name="Normal 6 3 3 2 6 3 2" xfId="51198" xr:uid="{00000000-0005-0000-0000-0000F7CD0000}"/>
    <cellStyle name="Normal 6 3 3 2 6 4" xfId="37636" xr:uid="{00000000-0005-0000-0000-0000F8CD0000}"/>
    <cellStyle name="Normal 6 3 3 2 7" xfId="13889" xr:uid="{00000000-0005-0000-0000-0000F9CD0000}"/>
    <cellStyle name="Normal 6 3 3 2 7 2" xfId="27457" xr:uid="{00000000-0005-0000-0000-0000FACD0000}"/>
    <cellStyle name="Normal 6 3 3 2 7 2 2" xfId="54590" xr:uid="{00000000-0005-0000-0000-0000FBCD0000}"/>
    <cellStyle name="Normal 6 3 3 2 7 3" xfId="41028" xr:uid="{00000000-0005-0000-0000-0000FCCD0000}"/>
    <cellStyle name="Normal 6 3 3 2 8" xfId="20676" xr:uid="{00000000-0005-0000-0000-0000FDCD0000}"/>
    <cellStyle name="Normal 6 3 3 2 8 2" xfId="47809" xr:uid="{00000000-0005-0000-0000-0000FECD0000}"/>
    <cellStyle name="Normal 6 3 3 2 9" xfId="34247" xr:uid="{00000000-0005-0000-0000-0000FFCD0000}"/>
    <cellStyle name="Normal 6 3 3 3" xfId="6966" xr:uid="{00000000-0005-0000-0000-000000CE0000}"/>
    <cellStyle name="Normal 6 3 3 3 2" xfId="6967" xr:uid="{00000000-0005-0000-0000-000001CE0000}"/>
    <cellStyle name="Normal 6 3 3 3 2 2" xfId="10497" xr:uid="{00000000-0005-0000-0000-000002CE0000}"/>
    <cellStyle name="Normal 6 3 3 3 2 2 2" xfId="17287" xr:uid="{00000000-0005-0000-0000-000003CE0000}"/>
    <cellStyle name="Normal 6 3 3 3 2 2 2 2" xfId="30855" xr:uid="{00000000-0005-0000-0000-000004CE0000}"/>
    <cellStyle name="Normal 6 3 3 3 2 2 2 2 2" xfId="57988" xr:uid="{00000000-0005-0000-0000-000005CE0000}"/>
    <cellStyle name="Normal 6 3 3 3 2 2 2 3" xfId="44426" xr:uid="{00000000-0005-0000-0000-000006CE0000}"/>
    <cellStyle name="Normal 6 3 3 3 2 2 3" xfId="24074" xr:uid="{00000000-0005-0000-0000-000007CE0000}"/>
    <cellStyle name="Normal 6 3 3 3 2 2 3 2" xfId="51207" xr:uid="{00000000-0005-0000-0000-000008CE0000}"/>
    <cellStyle name="Normal 6 3 3 3 2 2 4" xfId="37645" xr:uid="{00000000-0005-0000-0000-000009CE0000}"/>
    <cellStyle name="Normal 6 3 3 3 2 3" xfId="13898" xr:uid="{00000000-0005-0000-0000-00000ACE0000}"/>
    <cellStyle name="Normal 6 3 3 3 2 3 2" xfId="27466" xr:uid="{00000000-0005-0000-0000-00000BCE0000}"/>
    <cellStyle name="Normal 6 3 3 3 2 3 2 2" xfId="54599" xr:uid="{00000000-0005-0000-0000-00000CCE0000}"/>
    <cellStyle name="Normal 6 3 3 3 2 3 3" xfId="41037" xr:uid="{00000000-0005-0000-0000-00000DCE0000}"/>
    <cellStyle name="Normal 6 3 3 3 2 4" xfId="20685" xr:uid="{00000000-0005-0000-0000-00000ECE0000}"/>
    <cellStyle name="Normal 6 3 3 3 2 4 2" xfId="47818" xr:uid="{00000000-0005-0000-0000-00000FCE0000}"/>
    <cellStyle name="Normal 6 3 3 3 2 5" xfId="34256" xr:uid="{00000000-0005-0000-0000-000010CE0000}"/>
    <cellStyle name="Normal 6 3 3 3 3" xfId="6968" xr:uid="{00000000-0005-0000-0000-000011CE0000}"/>
    <cellStyle name="Normal 6 3 3 3 3 2" xfId="10498" xr:uid="{00000000-0005-0000-0000-000012CE0000}"/>
    <cellStyle name="Normal 6 3 3 3 3 2 2" xfId="17288" xr:uid="{00000000-0005-0000-0000-000013CE0000}"/>
    <cellStyle name="Normal 6 3 3 3 3 2 2 2" xfId="30856" xr:uid="{00000000-0005-0000-0000-000014CE0000}"/>
    <cellStyle name="Normal 6 3 3 3 3 2 2 2 2" xfId="57989" xr:uid="{00000000-0005-0000-0000-000015CE0000}"/>
    <cellStyle name="Normal 6 3 3 3 3 2 2 3" xfId="44427" xr:uid="{00000000-0005-0000-0000-000016CE0000}"/>
    <cellStyle name="Normal 6 3 3 3 3 2 3" xfId="24075" xr:uid="{00000000-0005-0000-0000-000017CE0000}"/>
    <cellStyle name="Normal 6 3 3 3 3 2 3 2" xfId="51208" xr:uid="{00000000-0005-0000-0000-000018CE0000}"/>
    <cellStyle name="Normal 6 3 3 3 3 2 4" xfId="37646" xr:uid="{00000000-0005-0000-0000-000019CE0000}"/>
    <cellStyle name="Normal 6 3 3 3 3 3" xfId="13899" xr:uid="{00000000-0005-0000-0000-00001ACE0000}"/>
    <cellStyle name="Normal 6 3 3 3 3 3 2" xfId="27467" xr:uid="{00000000-0005-0000-0000-00001BCE0000}"/>
    <cellStyle name="Normal 6 3 3 3 3 3 2 2" xfId="54600" xr:uid="{00000000-0005-0000-0000-00001CCE0000}"/>
    <cellStyle name="Normal 6 3 3 3 3 3 3" xfId="41038" xr:uid="{00000000-0005-0000-0000-00001DCE0000}"/>
    <cellStyle name="Normal 6 3 3 3 3 4" xfId="20686" xr:uid="{00000000-0005-0000-0000-00001ECE0000}"/>
    <cellStyle name="Normal 6 3 3 3 3 4 2" xfId="47819" xr:uid="{00000000-0005-0000-0000-00001FCE0000}"/>
    <cellStyle name="Normal 6 3 3 3 3 5" xfId="34257" xr:uid="{00000000-0005-0000-0000-000020CE0000}"/>
    <cellStyle name="Normal 6 3 3 3 4" xfId="10496" xr:uid="{00000000-0005-0000-0000-000021CE0000}"/>
    <cellStyle name="Normal 6 3 3 3 4 2" xfId="17286" xr:uid="{00000000-0005-0000-0000-000022CE0000}"/>
    <cellStyle name="Normal 6 3 3 3 4 2 2" xfId="30854" xr:uid="{00000000-0005-0000-0000-000023CE0000}"/>
    <cellStyle name="Normal 6 3 3 3 4 2 2 2" xfId="57987" xr:uid="{00000000-0005-0000-0000-000024CE0000}"/>
    <cellStyle name="Normal 6 3 3 3 4 2 3" xfId="44425" xr:uid="{00000000-0005-0000-0000-000025CE0000}"/>
    <cellStyle name="Normal 6 3 3 3 4 3" xfId="24073" xr:uid="{00000000-0005-0000-0000-000026CE0000}"/>
    <cellStyle name="Normal 6 3 3 3 4 3 2" xfId="51206" xr:uid="{00000000-0005-0000-0000-000027CE0000}"/>
    <cellStyle name="Normal 6 3 3 3 4 4" xfId="37644" xr:uid="{00000000-0005-0000-0000-000028CE0000}"/>
    <cellStyle name="Normal 6 3 3 3 5" xfId="13897" xr:uid="{00000000-0005-0000-0000-000029CE0000}"/>
    <cellStyle name="Normal 6 3 3 3 5 2" xfId="27465" xr:uid="{00000000-0005-0000-0000-00002ACE0000}"/>
    <cellStyle name="Normal 6 3 3 3 5 2 2" xfId="54598" xr:uid="{00000000-0005-0000-0000-00002BCE0000}"/>
    <cellStyle name="Normal 6 3 3 3 5 3" xfId="41036" xr:uid="{00000000-0005-0000-0000-00002CCE0000}"/>
    <cellStyle name="Normal 6 3 3 3 6" xfId="20684" xr:uid="{00000000-0005-0000-0000-00002DCE0000}"/>
    <cellStyle name="Normal 6 3 3 3 6 2" xfId="47817" xr:uid="{00000000-0005-0000-0000-00002ECE0000}"/>
    <cellStyle name="Normal 6 3 3 3 7" xfId="34255" xr:uid="{00000000-0005-0000-0000-00002FCE0000}"/>
    <cellStyle name="Normal 6 3 3 4" xfId="6969" xr:uid="{00000000-0005-0000-0000-000030CE0000}"/>
    <cellStyle name="Normal 6 3 3 4 2" xfId="6970" xr:uid="{00000000-0005-0000-0000-000031CE0000}"/>
    <cellStyle name="Normal 6 3 3 4 2 2" xfId="10500" xr:uid="{00000000-0005-0000-0000-000032CE0000}"/>
    <cellStyle name="Normal 6 3 3 4 2 2 2" xfId="17290" xr:uid="{00000000-0005-0000-0000-000033CE0000}"/>
    <cellStyle name="Normal 6 3 3 4 2 2 2 2" xfId="30858" xr:uid="{00000000-0005-0000-0000-000034CE0000}"/>
    <cellStyle name="Normal 6 3 3 4 2 2 2 2 2" xfId="57991" xr:uid="{00000000-0005-0000-0000-000035CE0000}"/>
    <cellStyle name="Normal 6 3 3 4 2 2 2 3" xfId="44429" xr:uid="{00000000-0005-0000-0000-000036CE0000}"/>
    <cellStyle name="Normal 6 3 3 4 2 2 3" xfId="24077" xr:uid="{00000000-0005-0000-0000-000037CE0000}"/>
    <cellStyle name="Normal 6 3 3 4 2 2 3 2" xfId="51210" xr:uid="{00000000-0005-0000-0000-000038CE0000}"/>
    <cellStyle name="Normal 6 3 3 4 2 2 4" xfId="37648" xr:uid="{00000000-0005-0000-0000-000039CE0000}"/>
    <cellStyle name="Normal 6 3 3 4 2 3" xfId="13901" xr:uid="{00000000-0005-0000-0000-00003ACE0000}"/>
    <cellStyle name="Normal 6 3 3 4 2 3 2" xfId="27469" xr:uid="{00000000-0005-0000-0000-00003BCE0000}"/>
    <cellStyle name="Normal 6 3 3 4 2 3 2 2" xfId="54602" xr:uid="{00000000-0005-0000-0000-00003CCE0000}"/>
    <cellStyle name="Normal 6 3 3 4 2 3 3" xfId="41040" xr:uid="{00000000-0005-0000-0000-00003DCE0000}"/>
    <cellStyle name="Normal 6 3 3 4 2 4" xfId="20688" xr:uid="{00000000-0005-0000-0000-00003ECE0000}"/>
    <cellStyle name="Normal 6 3 3 4 2 4 2" xfId="47821" xr:uid="{00000000-0005-0000-0000-00003FCE0000}"/>
    <cellStyle name="Normal 6 3 3 4 2 5" xfId="34259" xr:uid="{00000000-0005-0000-0000-000040CE0000}"/>
    <cellStyle name="Normal 6 3 3 4 3" xfId="10499" xr:uid="{00000000-0005-0000-0000-000041CE0000}"/>
    <cellStyle name="Normal 6 3 3 4 3 2" xfId="17289" xr:uid="{00000000-0005-0000-0000-000042CE0000}"/>
    <cellStyle name="Normal 6 3 3 4 3 2 2" xfId="30857" xr:uid="{00000000-0005-0000-0000-000043CE0000}"/>
    <cellStyle name="Normal 6 3 3 4 3 2 2 2" xfId="57990" xr:uid="{00000000-0005-0000-0000-000044CE0000}"/>
    <cellStyle name="Normal 6 3 3 4 3 2 3" xfId="44428" xr:uid="{00000000-0005-0000-0000-000045CE0000}"/>
    <cellStyle name="Normal 6 3 3 4 3 3" xfId="24076" xr:uid="{00000000-0005-0000-0000-000046CE0000}"/>
    <cellStyle name="Normal 6 3 3 4 3 3 2" xfId="51209" xr:uid="{00000000-0005-0000-0000-000047CE0000}"/>
    <cellStyle name="Normal 6 3 3 4 3 4" xfId="37647" xr:uid="{00000000-0005-0000-0000-000048CE0000}"/>
    <cellStyle name="Normal 6 3 3 4 4" xfId="13900" xr:uid="{00000000-0005-0000-0000-000049CE0000}"/>
    <cellStyle name="Normal 6 3 3 4 4 2" xfId="27468" xr:uid="{00000000-0005-0000-0000-00004ACE0000}"/>
    <cellStyle name="Normal 6 3 3 4 4 2 2" xfId="54601" xr:uid="{00000000-0005-0000-0000-00004BCE0000}"/>
    <cellStyle name="Normal 6 3 3 4 4 3" xfId="41039" xr:uid="{00000000-0005-0000-0000-00004CCE0000}"/>
    <cellStyle name="Normal 6 3 3 4 5" xfId="20687" xr:uid="{00000000-0005-0000-0000-00004DCE0000}"/>
    <cellStyle name="Normal 6 3 3 4 5 2" xfId="47820" xr:uid="{00000000-0005-0000-0000-00004ECE0000}"/>
    <cellStyle name="Normal 6 3 3 4 6" xfId="34258" xr:uid="{00000000-0005-0000-0000-00004FCE0000}"/>
    <cellStyle name="Normal 6 3 3 5" xfId="6971" xr:uid="{00000000-0005-0000-0000-000050CE0000}"/>
    <cellStyle name="Normal 6 3 3 5 2" xfId="10501" xr:uid="{00000000-0005-0000-0000-000051CE0000}"/>
    <cellStyle name="Normal 6 3 3 5 2 2" xfId="17291" xr:uid="{00000000-0005-0000-0000-000052CE0000}"/>
    <cellStyle name="Normal 6 3 3 5 2 2 2" xfId="30859" xr:uid="{00000000-0005-0000-0000-000053CE0000}"/>
    <cellStyle name="Normal 6 3 3 5 2 2 2 2" xfId="57992" xr:uid="{00000000-0005-0000-0000-000054CE0000}"/>
    <cellStyle name="Normal 6 3 3 5 2 2 3" xfId="44430" xr:uid="{00000000-0005-0000-0000-000055CE0000}"/>
    <cellStyle name="Normal 6 3 3 5 2 3" xfId="24078" xr:uid="{00000000-0005-0000-0000-000056CE0000}"/>
    <cellStyle name="Normal 6 3 3 5 2 3 2" xfId="51211" xr:uid="{00000000-0005-0000-0000-000057CE0000}"/>
    <cellStyle name="Normal 6 3 3 5 2 4" xfId="37649" xr:uid="{00000000-0005-0000-0000-000058CE0000}"/>
    <cellStyle name="Normal 6 3 3 5 3" xfId="13902" xr:uid="{00000000-0005-0000-0000-000059CE0000}"/>
    <cellStyle name="Normal 6 3 3 5 3 2" xfId="27470" xr:uid="{00000000-0005-0000-0000-00005ACE0000}"/>
    <cellStyle name="Normal 6 3 3 5 3 2 2" xfId="54603" xr:uid="{00000000-0005-0000-0000-00005BCE0000}"/>
    <cellStyle name="Normal 6 3 3 5 3 3" xfId="41041" xr:uid="{00000000-0005-0000-0000-00005CCE0000}"/>
    <cellStyle name="Normal 6 3 3 5 4" xfId="20689" xr:uid="{00000000-0005-0000-0000-00005DCE0000}"/>
    <cellStyle name="Normal 6 3 3 5 4 2" xfId="47822" xr:uid="{00000000-0005-0000-0000-00005ECE0000}"/>
    <cellStyle name="Normal 6 3 3 5 5" xfId="34260" xr:uid="{00000000-0005-0000-0000-00005FCE0000}"/>
    <cellStyle name="Normal 6 3 3 6" xfId="6972" xr:uid="{00000000-0005-0000-0000-000060CE0000}"/>
    <cellStyle name="Normal 6 3 3 6 2" xfId="10502" xr:uid="{00000000-0005-0000-0000-000061CE0000}"/>
    <cellStyle name="Normal 6 3 3 6 2 2" xfId="17292" xr:uid="{00000000-0005-0000-0000-000062CE0000}"/>
    <cellStyle name="Normal 6 3 3 6 2 2 2" xfId="30860" xr:uid="{00000000-0005-0000-0000-000063CE0000}"/>
    <cellStyle name="Normal 6 3 3 6 2 2 2 2" xfId="57993" xr:uid="{00000000-0005-0000-0000-000064CE0000}"/>
    <cellStyle name="Normal 6 3 3 6 2 2 3" xfId="44431" xr:uid="{00000000-0005-0000-0000-000065CE0000}"/>
    <cellStyle name="Normal 6 3 3 6 2 3" xfId="24079" xr:uid="{00000000-0005-0000-0000-000066CE0000}"/>
    <cellStyle name="Normal 6 3 3 6 2 3 2" xfId="51212" xr:uid="{00000000-0005-0000-0000-000067CE0000}"/>
    <cellStyle name="Normal 6 3 3 6 2 4" xfId="37650" xr:uid="{00000000-0005-0000-0000-000068CE0000}"/>
    <cellStyle name="Normal 6 3 3 6 3" xfId="13903" xr:uid="{00000000-0005-0000-0000-000069CE0000}"/>
    <cellStyle name="Normal 6 3 3 6 3 2" xfId="27471" xr:uid="{00000000-0005-0000-0000-00006ACE0000}"/>
    <cellStyle name="Normal 6 3 3 6 3 2 2" xfId="54604" xr:uid="{00000000-0005-0000-0000-00006BCE0000}"/>
    <cellStyle name="Normal 6 3 3 6 3 3" xfId="41042" xr:uid="{00000000-0005-0000-0000-00006CCE0000}"/>
    <cellStyle name="Normal 6 3 3 6 4" xfId="20690" xr:uid="{00000000-0005-0000-0000-00006DCE0000}"/>
    <cellStyle name="Normal 6 3 3 6 4 2" xfId="47823" xr:uid="{00000000-0005-0000-0000-00006ECE0000}"/>
    <cellStyle name="Normal 6 3 3 6 5" xfId="34261" xr:uid="{00000000-0005-0000-0000-00006FCE0000}"/>
    <cellStyle name="Normal 6 3 3 7" xfId="10487" xr:uid="{00000000-0005-0000-0000-000070CE0000}"/>
    <cellStyle name="Normal 6 3 3 7 2" xfId="17277" xr:uid="{00000000-0005-0000-0000-000071CE0000}"/>
    <cellStyle name="Normal 6 3 3 7 2 2" xfId="30845" xr:uid="{00000000-0005-0000-0000-000072CE0000}"/>
    <cellStyle name="Normal 6 3 3 7 2 2 2" xfId="57978" xr:uid="{00000000-0005-0000-0000-000073CE0000}"/>
    <cellStyle name="Normal 6 3 3 7 2 3" xfId="44416" xr:uid="{00000000-0005-0000-0000-000074CE0000}"/>
    <cellStyle name="Normal 6 3 3 7 3" xfId="24064" xr:uid="{00000000-0005-0000-0000-000075CE0000}"/>
    <cellStyle name="Normal 6 3 3 7 3 2" xfId="51197" xr:uid="{00000000-0005-0000-0000-000076CE0000}"/>
    <cellStyle name="Normal 6 3 3 7 4" xfId="37635" xr:uid="{00000000-0005-0000-0000-000077CE0000}"/>
    <cellStyle name="Normal 6 3 3 8" xfId="13888" xr:uid="{00000000-0005-0000-0000-000078CE0000}"/>
    <cellStyle name="Normal 6 3 3 8 2" xfId="27456" xr:uid="{00000000-0005-0000-0000-000079CE0000}"/>
    <cellStyle name="Normal 6 3 3 8 2 2" xfId="54589" xr:uid="{00000000-0005-0000-0000-00007ACE0000}"/>
    <cellStyle name="Normal 6 3 3 8 3" xfId="41027" xr:uid="{00000000-0005-0000-0000-00007BCE0000}"/>
    <cellStyle name="Normal 6 3 3 9" xfId="20675" xr:uid="{00000000-0005-0000-0000-00007CCE0000}"/>
    <cellStyle name="Normal 6 3 3 9 2" xfId="47808" xr:uid="{00000000-0005-0000-0000-00007DCE0000}"/>
    <cellStyle name="Normal 6 3 4" xfId="6973" xr:uid="{00000000-0005-0000-0000-00007ECE0000}"/>
    <cellStyle name="Normal 6 3 4 2" xfId="6974" xr:uid="{00000000-0005-0000-0000-00007FCE0000}"/>
    <cellStyle name="Normal 6 3 4 2 2" xfId="6975" xr:uid="{00000000-0005-0000-0000-000080CE0000}"/>
    <cellStyle name="Normal 6 3 4 2 2 2" xfId="10505" xr:uid="{00000000-0005-0000-0000-000081CE0000}"/>
    <cellStyle name="Normal 6 3 4 2 2 2 2" xfId="17295" xr:uid="{00000000-0005-0000-0000-000082CE0000}"/>
    <cellStyle name="Normal 6 3 4 2 2 2 2 2" xfId="30863" xr:uid="{00000000-0005-0000-0000-000083CE0000}"/>
    <cellStyle name="Normal 6 3 4 2 2 2 2 2 2" xfId="57996" xr:uid="{00000000-0005-0000-0000-000084CE0000}"/>
    <cellStyle name="Normal 6 3 4 2 2 2 2 3" xfId="44434" xr:uid="{00000000-0005-0000-0000-000085CE0000}"/>
    <cellStyle name="Normal 6 3 4 2 2 2 3" xfId="24082" xr:uid="{00000000-0005-0000-0000-000086CE0000}"/>
    <cellStyle name="Normal 6 3 4 2 2 2 3 2" xfId="51215" xr:uid="{00000000-0005-0000-0000-000087CE0000}"/>
    <cellStyle name="Normal 6 3 4 2 2 2 4" xfId="37653" xr:uid="{00000000-0005-0000-0000-000088CE0000}"/>
    <cellStyle name="Normal 6 3 4 2 2 3" xfId="13906" xr:uid="{00000000-0005-0000-0000-000089CE0000}"/>
    <cellStyle name="Normal 6 3 4 2 2 3 2" xfId="27474" xr:uid="{00000000-0005-0000-0000-00008ACE0000}"/>
    <cellStyle name="Normal 6 3 4 2 2 3 2 2" xfId="54607" xr:uid="{00000000-0005-0000-0000-00008BCE0000}"/>
    <cellStyle name="Normal 6 3 4 2 2 3 3" xfId="41045" xr:uid="{00000000-0005-0000-0000-00008CCE0000}"/>
    <cellStyle name="Normal 6 3 4 2 2 4" xfId="20693" xr:uid="{00000000-0005-0000-0000-00008DCE0000}"/>
    <cellStyle name="Normal 6 3 4 2 2 4 2" xfId="47826" xr:uid="{00000000-0005-0000-0000-00008ECE0000}"/>
    <cellStyle name="Normal 6 3 4 2 2 5" xfId="34264" xr:uid="{00000000-0005-0000-0000-00008FCE0000}"/>
    <cellStyle name="Normal 6 3 4 2 3" xfId="6976" xr:uid="{00000000-0005-0000-0000-000090CE0000}"/>
    <cellStyle name="Normal 6 3 4 2 3 2" xfId="10506" xr:uid="{00000000-0005-0000-0000-000091CE0000}"/>
    <cellStyle name="Normal 6 3 4 2 3 2 2" xfId="17296" xr:uid="{00000000-0005-0000-0000-000092CE0000}"/>
    <cellStyle name="Normal 6 3 4 2 3 2 2 2" xfId="30864" xr:uid="{00000000-0005-0000-0000-000093CE0000}"/>
    <cellStyle name="Normal 6 3 4 2 3 2 2 2 2" xfId="57997" xr:uid="{00000000-0005-0000-0000-000094CE0000}"/>
    <cellStyle name="Normal 6 3 4 2 3 2 2 3" xfId="44435" xr:uid="{00000000-0005-0000-0000-000095CE0000}"/>
    <cellStyle name="Normal 6 3 4 2 3 2 3" xfId="24083" xr:uid="{00000000-0005-0000-0000-000096CE0000}"/>
    <cellStyle name="Normal 6 3 4 2 3 2 3 2" xfId="51216" xr:uid="{00000000-0005-0000-0000-000097CE0000}"/>
    <cellStyle name="Normal 6 3 4 2 3 2 4" xfId="37654" xr:uid="{00000000-0005-0000-0000-000098CE0000}"/>
    <cellStyle name="Normal 6 3 4 2 3 3" xfId="13907" xr:uid="{00000000-0005-0000-0000-000099CE0000}"/>
    <cellStyle name="Normal 6 3 4 2 3 3 2" xfId="27475" xr:uid="{00000000-0005-0000-0000-00009ACE0000}"/>
    <cellStyle name="Normal 6 3 4 2 3 3 2 2" xfId="54608" xr:uid="{00000000-0005-0000-0000-00009BCE0000}"/>
    <cellStyle name="Normal 6 3 4 2 3 3 3" xfId="41046" xr:uid="{00000000-0005-0000-0000-00009CCE0000}"/>
    <cellStyle name="Normal 6 3 4 2 3 4" xfId="20694" xr:uid="{00000000-0005-0000-0000-00009DCE0000}"/>
    <cellStyle name="Normal 6 3 4 2 3 4 2" xfId="47827" xr:uid="{00000000-0005-0000-0000-00009ECE0000}"/>
    <cellStyle name="Normal 6 3 4 2 3 5" xfId="34265" xr:uid="{00000000-0005-0000-0000-00009FCE0000}"/>
    <cellStyle name="Normal 6 3 4 2 4" xfId="10504" xr:uid="{00000000-0005-0000-0000-0000A0CE0000}"/>
    <cellStyle name="Normal 6 3 4 2 4 2" xfId="17294" xr:uid="{00000000-0005-0000-0000-0000A1CE0000}"/>
    <cellStyle name="Normal 6 3 4 2 4 2 2" xfId="30862" xr:uid="{00000000-0005-0000-0000-0000A2CE0000}"/>
    <cellStyle name="Normal 6 3 4 2 4 2 2 2" xfId="57995" xr:uid="{00000000-0005-0000-0000-0000A3CE0000}"/>
    <cellStyle name="Normal 6 3 4 2 4 2 3" xfId="44433" xr:uid="{00000000-0005-0000-0000-0000A4CE0000}"/>
    <cellStyle name="Normal 6 3 4 2 4 3" xfId="24081" xr:uid="{00000000-0005-0000-0000-0000A5CE0000}"/>
    <cellStyle name="Normal 6 3 4 2 4 3 2" xfId="51214" xr:uid="{00000000-0005-0000-0000-0000A6CE0000}"/>
    <cellStyle name="Normal 6 3 4 2 4 4" xfId="37652" xr:uid="{00000000-0005-0000-0000-0000A7CE0000}"/>
    <cellStyle name="Normal 6 3 4 2 5" xfId="13905" xr:uid="{00000000-0005-0000-0000-0000A8CE0000}"/>
    <cellStyle name="Normal 6 3 4 2 5 2" xfId="27473" xr:uid="{00000000-0005-0000-0000-0000A9CE0000}"/>
    <cellStyle name="Normal 6 3 4 2 5 2 2" xfId="54606" xr:uid="{00000000-0005-0000-0000-0000AACE0000}"/>
    <cellStyle name="Normal 6 3 4 2 5 3" xfId="41044" xr:uid="{00000000-0005-0000-0000-0000ABCE0000}"/>
    <cellStyle name="Normal 6 3 4 2 6" xfId="20692" xr:uid="{00000000-0005-0000-0000-0000ACCE0000}"/>
    <cellStyle name="Normal 6 3 4 2 6 2" xfId="47825" xr:uid="{00000000-0005-0000-0000-0000ADCE0000}"/>
    <cellStyle name="Normal 6 3 4 2 7" xfId="34263" xr:uid="{00000000-0005-0000-0000-0000AECE0000}"/>
    <cellStyle name="Normal 6 3 4 3" xfId="6977" xr:uid="{00000000-0005-0000-0000-0000AFCE0000}"/>
    <cellStyle name="Normal 6 3 4 3 2" xfId="6978" xr:uid="{00000000-0005-0000-0000-0000B0CE0000}"/>
    <cellStyle name="Normal 6 3 4 3 2 2" xfId="10508" xr:uid="{00000000-0005-0000-0000-0000B1CE0000}"/>
    <cellStyle name="Normal 6 3 4 3 2 2 2" xfId="17298" xr:uid="{00000000-0005-0000-0000-0000B2CE0000}"/>
    <cellStyle name="Normal 6 3 4 3 2 2 2 2" xfId="30866" xr:uid="{00000000-0005-0000-0000-0000B3CE0000}"/>
    <cellStyle name="Normal 6 3 4 3 2 2 2 2 2" xfId="57999" xr:uid="{00000000-0005-0000-0000-0000B4CE0000}"/>
    <cellStyle name="Normal 6 3 4 3 2 2 2 3" xfId="44437" xr:uid="{00000000-0005-0000-0000-0000B5CE0000}"/>
    <cellStyle name="Normal 6 3 4 3 2 2 3" xfId="24085" xr:uid="{00000000-0005-0000-0000-0000B6CE0000}"/>
    <cellStyle name="Normal 6 3 4 3 2 2 3 2" xfId="51218" xr:uid="{00000000-0005-0000-0000-0000B7CE0000}"/>
    <cellStyle name="Normal 6 3 4 3 2 2 4" xfId="37656" xr:uid="{00000000-0005-0000-0000-0000B8CE0000}"/>
    <cellStyle name="Normal 6 3 4 3 2 3" xfId="13909" xr:uid="{00000000-0005-0000-0000-0000B9CE0000}"/>
    <cellStyle name="Normal 6 3 4 3 2 3 2" xfId="27477" xr:uid="{00000000-0005-0000-0000-0000BACE0000}"/>
    <cellStyle name="Normal 6 3 4 3 2 3 2 2" xfId="54610" xr:uid="{00000000-0005-0000-0000-0000BBCE0000}"/>
    <cellStyle name="Normal 6 3 4 3 2 3 3" xfId="41048" xr:uid="{00000000-0005-0000-0000-0000BCCE0000}"/>
    <cellStyle name="Normal 6 3 4 3 2 4" xfId="20696" xr:uid="{00000000-0005-0000-0000-0000BDCE0000}"/>
    <cellStyle name="Normal 6 3 4 3 2 4 2" xfId="47829" xr:uid="{00000000-0005-0000-0000-0000BECE0000}"/>
    <cellStyle name="Normal 6 3 4 3 2 5" xfId="34267" xr:uid="{00000000-0005-0000-0000-0000BFCE0000}"/>
    <cellStyle name="Normal 6 3 4 3 3" xfId="10507" xr:uid="{00000000-0005-0000-0000-0000C0CE0000}"/>
    <cellStyle name="Normal 6 3 4 3 3 2" xfId="17297" xr:uid="{00000000-0005-0000-0000-0000C1CE0000}"/>
    <cellStyle name="Normal 6 3 4 3 3 2 2" xfId="30865" xr:uid="{00000000-0005-0000-0000-0000C2CE0000}"/>
    <cellStyle name="Normal 6 3 4 3 3 2 2 2" xfId="57998" xr:uid="{00000000-0005-0000-0000-0000C3CE0000}"/>
    <cellStyle name="Normal 6 3 4 3 3 2 3" xfId="44436" xr:uid="{00000000-0005-0000-0000-0000C4CE0000}"/>
    <cellStyle name="Normal 6 3 4 3 3 3" xfId="24084" xr:uid="{00000000-0005-0000-0000-0000C5CE0000}"/>
    <cellStyle name="Normal 6 3 4 3 3 3 2" xfId="51217" xr:uid="{00000000-0005-0000-0000-0000C6CE0000}"/>
    <cellStyle name="Normal 6 3 4 3 3 4" xfId="37655" xr:uid="{00000000-0005-0000-0000-0000C7CE0000}"/>
    <cellStyle name="Normal 6 3 4 3 4" xfId="13908" xr:uid="{00000000-0005-0000-0000-0000C8CE0000}"/>
    <cellStyle name="Normal 6 3 4 3 4 2" xfId="27476" xr:uid="{00000000-0005-0000-0000-0000C9CE0000}"/>
    <cellStyle name="Normal 6 3 4 3 4 2 2" xfId="54609" xr:uid="{00000000-0005-0000-0000-0000CACE0000}"/>
    <cellStyle name="Normal 6 3 4 3 4 3" xfId="41047" xr:uid="{00000000-0005-0000-0000-0000CBCE0000}"/>
    <cellStyle name="Normal 6 3 4 3 5" xfId="20695" xr:uid="{00000000-0005-0000-0000-0000CCCE0000}"/>
    <cellStyle name="Normal 6 3 4 3 5 2" xfId="47828" xr:uid="{00000000-0005-0000-0000-0000CDCE0000}"/>
    <cellStyle name="Normal 6 3 4 3 6" xfId="34266" xr:uid="{00000000-0005-0000-0000-0000CECE0000}"/>
    <cellStyle name="Normal 6 3 4 4" xfId="6979" xr:uid="{00000000-0005-0000-0000-0000CFCE0000}"/>
    <cellStyle name="Normal 6 3 4 4 2" xfId="10509" xr:uid="{00000000-0005-0000-0000-0000D0CE0000}"/>
    <cellStyle name="Normal 6 3 4 4 2 2" xfId="17299" xr:uid="{00000000-0005-0000-0000-0000D1CE0000}"/>
    <cellStyle name="Normal 6 3 4 4 2 2 2" xfId="30867" xr:uid="{00000000-0005-0000-0000-0000D2CE0000}"/>
    <cellStyle name="Normal 6 3 4 4 2 2 2 2" xfId="58000" xr:uid="{00000000-0005-0000-0000-0000D3CE0000}"/>
    <cellStyle name="Normal 6 3 4 4 2 2 3" xfId="44438" xr:uid="{00000000-0005-0000-0000-0000D4CE0000}"/>
    <cellStyle name="Normal 6 3 4 4 2 3" xfId="24086" xr:uid="{00000000-0005-0000-0000-0000D5CE0000}"/>
    <cellStyle name="Normal 6 3 4 4 2 3 2" xfId="51219" xr:uid="{00000000-0005-0000-0000-0000D6CE0000}"/>
    <cellStyle name="Normal 6 3 4 4 2 4" xfId="37657" xr:uid="{00000000-0005-0000-0000-0000D7CE0000}"/>
    <cellStyle name="Normal 6 3 4 4 3" xfId="13910" xr:uid="{00000000-0005-0000-0000-0000D8CE0000}"/>
    <cellStyle name="Normal 6 3 4 4 3 2" xfId="27478" xr:uid="{00000000-0005-0000-0000-0000D9CE0000}"/>
    <cellStyle name="Normal 6 3 4 4 3 2 2" xfId="54611" xr:uid="{00000000-0005-0000-0000-0000DACE0000}"/>
    <cellStyle name="Normal 6 3 4 4 3 3" xfId="41049" xr:uid="{00000000-0005-0000-0000-0000DBCE0000}"/>
    <cellStyle name="Normal 6 3 4 4 4" xfId="20697" xr:uid="{00000000-0005-0000-0000-0000DCCE0000}"/>
    <cellStyle name="Normal 6 3 4 4 4 2" xfId="47830" xr:uid="{00000000-0005-0000-0000-0000DDCE0000}"/>
    <cellStyle name="Normal 6 3 4 4 5" xfId="34268" xr:uid="{00000000-0005-0000-0000-0000DECE0000}"/>
    <cellStyle name="Normal 6 3 4 5" xfId="6980" xr:uid="{00000000-0005-0000-0000-0000DFCE0000}"/>
    <cellStyle name="Normal 6 3 4 5 2" xfId="10510" xr:uid="{00000000-0005-0000-0000-0000E0CE0000}"/>
    <cellStyle name="Normal 6 3 4 5 2 2" xfId="17300" xr:uid="{00000000-0005-0000-0000-0000E1CE0000}"/>
    <cellStyle name="Normal 6 3 4 5 2 2 2" xfId="30868" xr:uid="{00000000-0005-0000-0000-0000E2CE0000}"/>
    <cellStyle name="Normal 6 3 4 5 2 2 2 2" xfId="58001" xr:uid="{00000000-0005-0000-0000-0000E3CE0000}"/>
    <cellStyle name="Normal 6 3 4 5 2 2 3" xfId="44439" xr:uid="{00000000-0005-0000-0000-0000E4CE0000}"/>
    <cellStyle name="Normal 6 3 4 5 2 3" xfId="24087" xr:uid="{00000000-0005-0000-0000-0000E5CE0000}"/>
    <cellStyle name="Normal 6 3 4 5 2 3 2" xfId="51220" xr:uid="{00000000-0005-0000-0000-0000E6CE0000}"/>
    <cellStyle name="Normal 6 3 4 5 2 4" xfId="37658" xr:uid="{00000000-0005-0000-0000-0000E7CE0000}"/>
    <cellStyle name="Normal 6 3 4 5 3" xfId="13911" xr:uid="{00000000-0005-0000-0000-0000E8CE0000}"/>
    <cellStyle name="Normal 6 3 4 5 3 2" xfId="27479" xr:uid="{00000000-0005-0000-0000-0000E9CE0000}"/>
    <cellStyle name="Normal 6 3 4 5 3 2 2" xfId="54612" xr:uid="{00000000-0005-0000-0000-0000EACE0000}"/>
    <cellStyle name="Normal 6 3 4 5 3 3" xfId="41050" xr:uid="{00000000-0005-0000-0000-0000EBCE0000}"/>
    <cellStyle name="Normal 6 3 4 5 4" xfId="20698" xr:uid="{00000000-0005-0000-0000-0000ECCE0000}"/>
    <cellStyle name="Normal 6 3 4 5 4 2" xfId="47831" xr:uid="{00000000-0005-0000-0000-0000EDCE0000}"/>
    <cellStyle name="Normal 6 3 4 5 5" xfId="34269" xr:uid="{00000000-0005-0000-0000-0000EECE0000}"/>
    <cellStyle name="Normal 6 3 4 6" xfId="10503" xr:uid="{00000000-0005-0000-0000-0000EFCE0000}"/>
    <cellStyle name="Normal 6 3 4 6 2" xfId="17293" xr:uid="{00000000-0005-0000-0000-0000F0CE0000}"/>
    <cellStyle name="Normal 6 3 4 6 2 2" xfId="30861" xr:uid="{00000000-0005-0000-0000-0000F1CE0000}"/>
    <cellStyle name="Normal 6 3 4 6 2 2 2" xfId="57994" xr:uid="{00000000-0005-0000-0000-0000F2CE0000}"/>
    <cellStyle name="Normal 6 3 4 6 2 3" xfId="44432" xr:uid="{00000000-0005-0000-0000-0000F3CE0000}"/>
    <cellStyle name="Normal 6 3 4 6 3" xfId="24080" xr:uid="{00000000-0005-0000-0000-0000F4CE0000}"/>
    <cellStyle name="Normal 6 3 4 6 3 2" xfId="51213" xr:uid="{00000000-0005-0000-0000-0000F5CE0000}"/>
    <cellStyle name="Normal 6 3 4 6 4" xfId="37651" xr:uid="{00000000-0005-0000-0000-0000F6CE0000}"/>
    <cellStyle name="Normal 6 3 4 7" xfId="13904" xr:uid="{00000000-0005-0000-0000-0000F7CE0000}"/>
    <cellStyle name="Normal 6 3 4 7 2" xfId="27472" xr:uid="{00000000-0005-0000-0000-0000F8CE0000}"/>
    <cellStyle name="Normal 6 3 4 7 2 2" xfId="54605" xr:uid="{00000000-0005-0000-0000-0000F9CE0000}"/>
    <cellStyle name="Normal 6 3 4 7 3" xfId="41043" xr:uid="{00000000-0005-0000-0000-0000FACE0000}"/>
    <cellStyle name="Normal 6 3 4 8" xfId="20691" xr:uid="{00000000-0005-0000-0000-0000FBCE0000}"/>
    <cellStyle name="Normal 6 3 4 8 2" xfId="47824" xr:uid="{00000000-0005-0000-0000-0000FCCE0000}"/>
    <cellStyle name="Normal 6 3 4 9" xfId="34262" xr:uid="{00000000-0005-0000-0000-0000FDCE0000}"/>
    <cellStyle name="Normal 6 3 5" xfId="6981" xr:uid="{00000000-0005-0000-0000-0000FECE0000}"/>
    <cellStyle name="Normal 6 3 5 2" xfId="6982" xr:uid="{00000000-0005-0000-0000-0000FFCE0000}"/>
    <cellStyle name="Normal 6 3 5 2 2" xfId="6983" xr:uid="{00000000-0005-0000-0000-000000CF0000}"/>
    <cellStyle name="Normal 6 3 5 2 2 2" xfId="10513" xr:uid="{00000000-0005-0000-0000-000001CF0000}"/>
    <cellStyle name="Normal 6 3 5 2 2 2 2" xfId="17303" xr:uid="{00000000-0005-0000-0000-000002CF0000}"/>
    <cellStyle name="Normal 6 3 5 2 2 2 2 2" xfId="30871" xr:uid="{00000000-0005-0000-0000-000003CF0000}"/>
    <cellStyle name="Normal 6 3 5 2 2 2 2 2 2" xfId="58004" xr:uid="{00000000-0005-0000-0000-000004CF0000}"/>
    <cellStyle name="Normal 6 3 5 2 2 2 2 3" xfId="44442" xr:uid="{00000000-0005-0000-0000-000005CF0000}"/>
    <cellStyle name="Normal 6 3 5 2 2 2 3" xfId="24090" xr:uid="{00000000-0005-0000-0000-000006CF0000}"/>
    <cellStyle name="Normal 6 3 5 2 2 2 3 2" xfId="51223" xr:uid="{00000000-0005-0000-0000-000007CF0000}"/>
    <cellStyle name="Normal 6 3 5 2 2 2 4" xfId="37661" xr:uid="{00000000-0005-0000-0000-000008CF0000}"/>
    <cellStyle name="Normal 6 3 5 2 2 3" xfId="13914" xr:uid="{00000000-0005-0000-0000-000009CF0000}"/>
    <cellStyle name="Normal 6 3 5 2 2 3 2" xfId="27482" xr:uid="{00000000-0005-0000-0000-00000ACF0000}"/>
    <cellStyle name="Normal 6 3 5 2 2 3 2 2" xfId="54615" xr:uid="{00000000-0005-0000-0000-00000BCF0000}"/>
    <cellStyle name="Normal 6 3 5 2 2 3 3" xfId="41053" xr:uid="{00000000-0005-0000-0000-00000CCF0000}"/>
    <cellStyle name="Normal 6 3 5 2 2 4" xfId="20701" xr:uid="{00000000-0005-0000-0000-00000DCF0000}"/>
    <cellStyle name="Normal 6 3 5 2 2 4 2" xfId="47834" xr:uid="{00000000-0005-0000-0000-00000ECF0000}"/>
    <cellStyle name="Normal 6 3 5 2 2 5" xfId="34272" xr:uid="{00000000-0005-0000-0000-00000FCF0000}"/>
    <cellStyle name="Normal 6 3 5 2 3" xfId="6984" xr:uid="{00000000-0005-0000-0000-000010CF0000}"/>
    <cellStyle name="Normal 6 3 5 2 3 2" xfId="10514" xr:uid="{00000000-0005-0000-0000-000011CF0000}"/>
    <cellStyle name="Normal 6 3 5 2 3 2 2" xfId="17304" xr:uid="{00000000-0005-0000-0000-000012CF0000}"/>
    <cellStyle name="Normal 6 3 5 2 3 2 2 2" xfId="30872" xr:uid="{00000000-0005-0000-0000-000013CF0000}"/>
    <cellStyle name="Normal 6 3 5 2 3 2 2 2 2" xfId="58005" xr:uid="{00000000-0005-0000-0000-000014CF0000}"/>
    <cellStyle name="Normal 6 3 5 2 3 2 2 3" xfId="44443" xr:uid="{00000000-0005-0000-0000-000015CF0000}"/>
    <cellStyle name="Normal 6 3 5 2 3 2 3" xfId="24091" xr:uid="{00000000-0005-0000-0000-000016CF0000}"/>
    <cellStyle name="Normal 6 3 5 2 3 2 3 2" xfId="51224" xr:uid="{00000000-0005-0000-0000-000017CF0000}"/>
    <cellStyle name="Normal 6 3 5 2 3 2 4" xfId="37662" xr:uid="{00000000-0005-0000-0000-000018CF0000}"/>
    <cellStyle name="Normal 6 3 5 2 3 3" xfId="13915" xr:uid="{00000000-0005-0000-0000-000019CF0000}"/>
    <cellStyle name="Normal 6 3 5 2 3 3 2" xfId="27483" xr:uid="{00000000-0005-0000-0000-00001ACF0000}"/>
    <cellStyle name="Normal 6 3 5 2 3 3 2 2" xfId="54616" xr:uid="{00000000-0005-0000-0000-00001BCF0000}"/>
    <cellStyle name="Normal 6 3 5 2 3 3 3" xfId="41054" xr:uid="{00000000-0005-0000-0000-00001CCF0000}"/>
    <cellStyle name="Normal 6 3 5 2 3 4" xfId="20702" xr:uid="{00000000-0005-0000-0000-00001DCF0000}"/>
    <cellStyle name="Normal 6 3 5 2 3 4 2" xfId="47835" xr:uid="{00000000-0005-0000-0000-00001ECF0000}"/>
    <cellStyle name="Normal 6 3 5 2 3 5" xfId="34273" xr:uid="{00000000-0005-0000-0000-00001FCF0000}"/>
    <cellStyle name="Normal 6 3 5 2 4" xfId="10512" xr:uid="{00000000-0005-0000-0000-000020CF0000}"/>
    <cellStyle name="Normal 6 3 5 2 4 2" xfId="17302" xr:uid="{00000000-0005-0000-0000-000021CF0000}"/>
    <cellStyle name="Normal 6 3 5 2 4 2 2" xfId="30870" xr:uid="{00000000-0005-0000-0000-000022CF0000}"/>
    <cellStyle name="Normal 6 3 5 2 4 2 2 2" xfId="58003" xr:uid="{00000000-0005-0000-0000-000023CF0000}"/>
    <cellStyle name="Normal 6 3 5 2 4 2 3" xfId="44441" xr:uid="{00000000-0005-0000-0000-000024CF0000}"/>
    <cellStyle name="Normal 6 3 5 2 4 3" xfId="24089" xr:uid="{00000000-0005-0000-0000-000025CF0000}"/>
    <cellStyle name="Normal 6 3 5 2 4 3 2" xfId="51222" xr:uid="{00000000-0005-0000-0000-000026CF0000}"/>
    <cellStyle name="Normal 6 3 5 2 4 4" xfId="37660" xr:uid="{00000000-0005-0000-0000-000027CF0000}"/>
    <cellStyle name="Normal 6 3 5 2 5" xfId="13913" xr:uid="{00000000-0005-0000-0000-000028CF0000}"/>
    <cellStyle name="Normal 6 3 5 2 5 2" xfId="27481" xr:uid="{00000000-0005-0000-0000-000029CF0000}"/>
    <cellStyle name="Normal 6 3 5 2 5 2 2" xfId="54614" xr:uid="{00000000-0005-0000-0000-00002ACF0000}"/>
    <cellStyle name="Normal 6 3 5 2 5 3" xfId="41052" xr:uid="{00000000-0005-0000-0000-00002BCF0000}"/>
    <cellStyle name="Normal 6 3 5 2 6" xfId="20700" xr:uid="{00000000-0005-0000-0000-00002CCF0000}"/>
    <cellStyle name="Normal 6 3 5 2 6 2" xfId="47833" xr:uid="{00000000-0005-0000-0000-00002DCF0000}"/>
    <cellStyle name="Normal 6 3 5 2 7" xfId="34271" xr:uid="{00000000-0005-0000-0000-00002ECF0000}"/>
    <cellStyle name="Normal 6 3 5 3" xfId="6985" xr:uid="{00000000-0005-0000-0000-00002FCF0000}"/>
    <cellStyle name="Normal 6 3 5 3 2" xfId="10515" xr:uid="{00000000-0005-0000-0000-000030CF0000}"/>
    <cellStyle name="Normal 6 3 5 3 2 2" xfId="17305" xr:uid="{00000000-0005-0000-0000-000031CF0000}"/>
    <cellStyle name="Normal 6 3 5 3 2 2 2" xfId="30873" xr:uid="{00000000-0005-0000-0000-000032CF0000}"/>
    <cellStyle name="Normal 6 3 5 3 2 2 2 2" xfId="58006" xr:uid="{00000000-0005-0000-0000-000033CF0000}"/>
    <cellStyle name="Normal 6 3 5 3 2 2 3" xfId="44444" xr:uid="{00000000-0005-0000-0000-000034CF0000}"/>
    <cellStyle name="Normal 6 3 5 3 2 3" xfId="24092" xr:uid="{00000000-0005-0000-0000-000035CF0000}"/>
    <cellStyle name="Normal 6 3 5 3 2 3 2" xfId="51225" xr:uid="{00000000-0005-0000-0000-000036CF0000}"/>
    <cellStyle name="Normal 6 3 5 3 2 4" xfId="37663" xr:uid="{00000000-0005-0000-0000-000037CF0000}"/>
    <cellStyle name="Normal 6 3 5 3 3" xfId="13916" xr:uid="{00000000-0005-0000-0000-000038CF0000}"/>
    <cellStyle name="Normal 6 3 5 3 3 2" xfId="27484" xr:uid="{00000000-0005-0000-0000-000039CF0000}"/>
    <cellStyle name="Normal 6 3 5 3 3 2 2" xfId="54617" xr:uid="{00000000-0005-0000-0000-00003ACF0000}"/>
    <cellStyle name="Normal 6 3 5 3 3 3" xfId="41055" xr:uid="{00000000-0005-0000-0000-00003BCF0000}"/>
    <cellStyle name="Normal 6 3 5 3 4" xfId="20703" xr:uid="{00000000-0005-0000-0000-00003CCF0000}"/>
    <cellStyle name="Normal 6 3 5 3 4 2" xfId="47836" xr:uid="{00000000-0005-0000-0000-00003DCF0000}"/>
    <cellStyle name="Normal 6 3 5 3 5" xfId="34274" xr:uid="{00000000-0005-0000-0000-00003ECF0000}"/>
    <cellStyle name="Normal 6 3 5 4" xfId="6986" xr:uid="{00000000-0005-0000-0000-00003FCF0000}"/>
    <cellStyle name="Normal 6 3 5 4 2" xfId="10516" xr:uid="{00000000-0005-0000-0000-000040CF0000}"/>
    <cellStyle name="Normal 6 3 5 4 2 2" xfId="17306" xr:uid="{00000000-0005-0000-0000-000041CF0000}"/>
    <cellStyle name="Normal 6 3 5 4 2 2 2" xfId="30874" xr:uid="{00000000-0005-0000-0000-000042CF0000}"/>
    <cellStyle name="Normal 6 3 5 4 2 2 2 2" xfId="58007" xr:uid="{00000000-0005-0000-0000-000043CF0000}"/>
    <cellStyle name="Normal 6 3 5 4 2 2 3" xfId="44445" xr:uid="{00000000-0005-0000-0000-000044CF0000}"/>
    <cellStyle name="Normal 6 3 5 4 2 3" xfId="24093" xr:uid="{00000000-0005-0000-0000-000045CF0000}"/>
    <cellStyle name="Normal 6 3 5 4 2 3 2" xfId="51226" xr:uid="{00000000-0005-0000-0000-000046CF0000}"/>
    <cellStyle name="Normal 6 3 5 4 2 4" xfId="37664" xr:uid="{00000000-0005-0000-0000-000047CF0000}"/>
    <cellStyle name="Normal 6 3 5 4 3" xfId="13917" xr:uid="{00000000-0005-0000-0000-000048CF0000}"/>
    <cellStyle name="Normal 6 3 5 4 3 2" xfId="27485" xr:uid="{00000000-0005-0000-0000-000049CF0000}"/>
    <cellStyle name="Normal 6 3 5 4 3 2 2" xfId="54618" xr:uid="{00000000-0005-0000-0000-00004ACF0000}"/>
    <cellStyle name="Normal 6 3 5 4 3 3" xfId="41056" xr:uid="{00000000-0005-0000-0000-00004BCF0000}"/>
    <cellStyle name="Normal 6 3 5 4 4" xfId="20704" xr:uid="{00000000-0005-0000-0000-00004CCF0000}"/>
    <cellStyle name="Normal 6 3 5 4 4 2" xfId="47837" xr:uid="{00000000-0005-0000-0000-00004DCF0000}"/>
    <cellStyle name="Normal 6 3 5 4 5" xfId="34275" xr:uid="{00000000-0005-0000-0000-00004ECF0000}"/>
    <cellStyle name="Normal 6 3 5 5" xfId="10511" xr:uid="{00000000-0005-0000-0000-00004FCF0000}"/>
    <cellStyle name="Normal 6 3 5 5 2" xfId="17301" xr:uid="{00000000-0005-0000-0000-000050CF0000}"/>
    <cellStyle name="Normal 6 3 5 5 2 2" xfId="30869" xr:uid="{00000000-0005-0000-0000-000051CF0000}"/>
    <cellStyle name="Normal 6 3 5 5 2 2 2" xfId="58002" xr:uid="{00000000-0005-0000-0000-000052CF0000}"/>
    <cellStyle name="Normal 6 3 5 5 2 3" xfId="44440" xr:uid="{00000000-0005-0000-0000-000053CF0000}"/>
    <cellStyle name="Normal 6 3 5 5 3" xfId="24088" xr:uid="{00000000-0005-0000-0000-000054CF0000}"/>
    <cellStyle name="Normal 6 3 5 5 3 2" xfId="51221" xr:uid="{00000000-0005-0000-0000-000055CF0000}"/>
    <cellStyle name="Normal 6 3 5 5 4" xfId="37659" xr:uid="{00000000-0005-0000-0000-000056CF0000}"/>
    <cellStyle name="Normal 6 3 5 6" xfId="13912" xr:uid="{00000000-0005-0000-0000-000057CF0000}"/>
    <cellStyle name="Normal 6 3 5 6 2" xfId="27480" xr:uid="{00000000-0005-0000-0000-000058CF0000}"/>
    <cellStyle name="Normal 6 3 5 6 2 2" xfId="54613" xr:uid="{00000000-0005-0000-0000-000059CF0000}"/>
    <cellStyle name="Normal 6 3 5 6 3" xfId="41051" xr:uid="{00000000-0005-0000-0000-00005ACF0000}"/>
    <cellStyle name="Normal 6 3 5 7" xfId="20699" xr:uid="{00000000-0005-0000-0000-00005BCF0000}"/>
    <cellStyle name="Normal 6 3 5 7 2" xfId="47832" xr:uid="{00000000-0005-0000-0000-00005CCF0000}"/>
    <cellStyle name="Normal 6 3 5 8" xfId="34270" xr:uid="{00000000-0005-0000-0000-00005DCF0000}"/>
    <cellStyle name="Normal 6 3 6" xfId="6987" xr:uid="{00000000-0005-0000-0000-00005ECF0000}"/>
    <cellStyle name="Normal 6 3 6 2" xfId="6988" xr:uid="{00000000-0005-0000-0000-00005FCF0000}"/>
    <cellStyle name="Normal 6 3 6 2 2" xfId="6989" xr:uid="{00000000-0005-0000-0000-000060CF0000}"/>
    <cellStyle name="Normal 6 3 6 2 2 2" xfId="10519" xr:uid="{00000000-0005-0000-0000-000061CF0000}"/>
    <cellStyle name="Normal 6 3 6 2 2 2 2" xfId="17309" xr:uid="{00000000-0005-0000-0000-000062CF0000}"/>
    <cellStyle name="Normal 6 3 6 2 2 2 2 2" xfId="30877" xr:uid="{00000000-0005-0000-0000-000063CF0000}"/>
    <cellStyle name="Normal 6 3 6 2 2 2 2 2 2" xfId="58010" xr:uid="{00000000-0005-0000-0000-000064CF0000}"/>
    <cellStyle name="Normal 6 3 6 2 2 2 2 3" xfId="44448" xr:uid="{00000000-0005-0000-0000-000065CF0000}"/>
    <cellStyle name="Normal 6 3 6 2 2 2 3" xfId="24096" xr:uid="{00000000-0005-0000-0000-000066CF0000}"/>
    <cellStyle name="Normal 6 3 6 2 2 2 3 2" xfId="51229" xr:uid="{00000000-0005-0000-0000-000067CF0000}"/>
    <cellStyle name="Normal 6 3 6 2 2 2 4" xfId="37667" xr:uid="{00000000-0005-0000-0000-000068CF0000}"/>
    <cellStyle name="Normal 6 3 6 2 2 3" xfId="13920" xr:uid="{00000000-0005-0000-0000-000069CF0000}"/>
    <cellStyle name="Normal 6 3 6 2 2 3 2" xfId="27488" xr:uid="{00000000-0005-0000-0000-00006ACF0000}"/>
    <cellStyle name="Normal 6 3 6 2 2 3 2 2" xfId="54621" xr:uid="{00000000-0005-0000-0000-00006BCF0000}"/>
    <cellStyle name="Normal 6 3 6 2 2 3 3" xfId="41059" xr:uid="{00000000-0005-0000-0000-00006CCF0000}"/>
    <cellStyle name="Normal 6 3 6 2 2 4" xfId="20707" xr:uid="{00000000-0005-0000-0000-00006DCF0000}"/>
    <cellStyle name="Normal 6 3 6 2 2 4 2" xfId="47840" xr:uid="{00000000-0005-0000-0000-00006ECF0000}"/>
    <cellStyle name="Normal 6 3 6 2 2 5" xfId="34278" xr:uid="{00000000-0005-0000-0000-00006FCF0000}"/>
    <cellStyle name="Normal 6 3 6 2 3" xfId="6990" xr:uid="{00000000-0005-0000-0000-000070CF0000}"/>
    <cellStyle name="Normal 6 3 6 2 3 2" xfId="10520" xr:uid="{00000000-0005-0000-0000-000071CF0000}"/>
    <cellStyle name="Normal 6 3 6 2 3 2 2" xfId="17310" xr:uid="{00000000-0005-0000-0000-000072CF0000}"/>
    <cellStyle name="Normal 6 3 6 2 3 2 2 2" xfId="30878" xr:uid="{00000000-0005-0000-0000-000073CF0000}"/>
    <cellStyle name="Normal 6 3 6 2 3 2 2 2 2" xfId="58011" xr:uid="{00000000-0005-0000-0000-000074CF0000}"/>
    <cellStyle name="Normal 6 3 6 2 3 2 2 3" xfId="44449" xr:uid="{00000000-0005-0000-0000-000075CF0000}"/>
    <cellStyle name="Normal 6 3 6 2 3 2 3" xfId="24097" xr:uid="{00000000-0005-0000-0000-000076CF0000}"/>
    <cellStyle name="Normal 6 3 6 2 3 2 3 2" xfId="51230" xr:uid="{00000000-0005-0000-0000-000077CF0000}"/>
    <cellStyle name="Normal 6 3 6 2 3 2 4" xfId="37668" xr:uid="{00000000-0005-0000-0000-000078CF0000}"/>
    <cellStyle name="Normal 6 3 6 2 3 3" xfId="13921" xr:uid="{00000000-0005-0000-0000-000079CF0000}"/>
    <cellStyle name="Normal 6 3 6 2 3 3 2" xfId="27489" xr:uid="{00000000-0005-0000-0000-00007ACF0000}"/>
    <cellStyle name="Normal 6 3 6 2 3 3 2 2" xfId="54622" xr:uid="{00000000-0005-0000-0000-00007BCF0000}"/>
    <cellStyle name="Normal 6 3 6 2 3 3 3" xfId="41060" xr:uid="{00000000-0005-0000-0000-00007CCF0000}"/>
    <cellStyle name="Normal 6 3 6 2 3 4" xfId="20708" xr:uid="{00000000-0005-0000-0000-00007DCF0000}"/>
    <cellStyle name="Normal 6 3 6 2 3 4 2" xfId="47841" xr:uid="{00000000-0005-0000-0000-00007ECF0000}"/>
    <cellStyle name="Normal 6 3 6 2 3 5" xfId="34279" xr:uid="{00000000-0005-0000-0000-00007FCF0000}"/>
    <cellStyle name="Normal 6 3 6 2 4" xfId="10518" xr:uid="{00000000-0005-0000-0000-000080CF0000}"/>
    <cellStyle name="Normal 6 3 6 2 4 2" xfId="17308" xr:uid="{00000000-0005-0000-0000-000081CF0000}"/>
    <cellStyle name="Normal 6 3 6 2 4 2 2" xfId="30876" xr:uid="{00000000-0005-0000-0000-000082CF0000}"/>
    <cellStyle name="Normal 6 3 6 2 4 2 2 2" xfId="58009" xr:uid="{00000000-0005-0000-0000-000083CF0000}"/>
    <cellStyle name="Normal 6 3 6 2 4 2 3" xfId="44447" xr:uid="{00000000-0005-0000-0000-000084CF0000}"/>
    <cellStyle name="Normal 6 3 6 2 4 3" xfId="24095" xr:uid="{00000000-0005-0000-0000-000085CF0000}"/>
    <cellStyle name="Normal 6 3 6 2 4 3 2" xfId="51228" xr:uid="{00000000-0005-0000-0000-000086CF0000}"/>
    <cellStyle name="Normal 6 3 6 2 4 4" xfId="37666" xr:uid="{00000000-0005-0000-0000-000087CF0000}"/>
    <cellStyle name="Normal 6 3 6 2 5" xfId="13919" xr:uid="{00000000-0005-0000-0000-000088CF0000}"/>
    <cellStyle name="Normal 6 3 6 2 5 2" xfId="27487" xr:uid="{00000000-0005-0000-0000-000089CF0000}"/>
    <cellStyle name="Normal 6 3 6 2 5 2 2" xfId="54620" xr:uid="{00000000-0005-0000-0000-00008ACF0000}"/>
    <cellStyle name="Normal 6 3 6 2 5 3" xfId="41058" xr:uid="{00000000-0005-0000-0000-00008BCF0000}"/>
    <cellStyle name="Normal 6 3 6 2 6" xfId="20706" xr:uid="{00000000-0005-0000-0000-00008CCF0000}"/>
    <cellStyle name="Normal 6 3 6 2 6 2" xfId="47839" xr:uid="{00000000-0005-0000-0000-00008DCF0000}"/>
    <cellStyle name="Normal 6 3 6 2 7" xfId="34277" xr:uid="{00000000-0005-0000-0000-00008ECF0000}"/>
    <cellStyle name="Normal 6 3 6 3" xfId="6991" xr:uid="{00000000-0005-0000-0000-00008FCF0000}"/>
    <cellStyle name="Normal 6 3 6 3 2" xfId="10521" xr:uid="{00000000-0005-0000-0000-000090CF0000}"/>
    <cellStyle name="Normal 6 3 6 3 2 2" xfId="17311" xr:uid="{00000000-0005-0000-0000-000091CF0000}"/>
    <cellStyle name="Normal 6 3 6 3 2 2 2" xfId="30879" xr:uid="{00000000-0005-0000-0000-000092CF0000}"/>
    <cellStyle name="Normal 6 3 6 3 2 2 2 2" xfId="58012" xr:uid="{00000000-0005-0000-0000-000093CF0000}"/>
    <cellStyle name="Normal 6 3 6 3 2 2 3" xfId="44450" xr:uid="{00000000-0005-0000-0000-000094CF0000}"/>
    <cellStyle name="Normal 6 3 6 3 2 3" xfId="24098" xr:uid="{00000000-0005-0000-0000-000095CF0000}"/>
    <cellStyle name="Normal 6 3 6 3 2 3 2" xfId="51231" xr:uid="{00000000-0005-0000-0000-000096CF0000}"/>
    <cellStyle name="Normal 6 3 6 3 2 4" xfId="37669" xr:uid="{00000000-0005-0000-0000-000097CF0000}"/>
    <cellStyle name="Normal 6 3 6 3 3" xfId="13922" xr:uid="{00000000-0005-0000-0000-000098CF0000}"/>
    <cellStyle name="Normal 6 3 6 3 3 2" xfId="27490" xr:uid="{00000000-0005-0000-0000-000099CF0000}"/>
    <cellStyle name="Normal 6 3 6 3 3 2 2" xfId="54623" xr:uid="{00000000-0005-0000-0000-00009ACF0000}"/>
    <cellStyle name="Normal 6 3 6 3 3 3" xfId="41061" xr:uid="{00000000-0005-0000-0000-00009BCF0000}"/>
    <cellStyle name="Normal 6 3 6 3 4" xfId="20709" xr:uid="{00000000-0005-0000-0000-00009CCF0000}"/>
    <cellStyle name="Normal 6 3 6 3 4 2" xfId="47842" xr:uid="{00000000-0005-0000-0000-00009DCF0000}"/>
    <cellStyle name="Normal 6 3 6 3 5" xfId="34280" xr:uid="{00000000-0005-0000-0000-00009ECF0000}"/>
    <cellStyle name="Normal 6 3 6 4" xfId="6992" xr:uid="{00000000-0005-0000-0000-00009FCF0000}"/>
    <cellStyle name="Normal 6 3 6 4 2" xfId="10522" xr:uid="{00000000-0005-0000-0000-0000A0CF0000}"/>
    <cellStyle name="Normal 6 3 6 4 2 2" xfId="17312" xr:uid="{00000000-0005-0000-0000-0000A1CF0000}"/>
    <cellStyle name="Normal 6 3 6 4 2 2 2" xfId="30880" xr:uid="{00000000-0005-0000-0000-0000A2CF0000}"/>
    <cellStyle name="Normal 6 3 6 4 2 2 2 2" xfId="58013" xr:uid="{00000000-0005-0000-0000-0000A3CF0000}"/>
    <cellStyle name="Normal 6 3 6 4 2 2 3" xfId="44451" xr:uid="{00000000-0005-0000-0000-0000A4CF0000}"/>
    <cellStyle name="Normal 6 3 6 4 2 3" xfId="24099" xr:uid="{00000000-0005-0000-0000-0000A5CF0000}"/>
    <cellStyle name="Normal 6 3 6 4 2 3 2" xfId="51232" xr:uid="{00000000-0005-0000-0000-0000A6CF0000}"/>
    <cellStyle name="Normal 6 3 6 4 2 4" xfId="37670" xr:uid="{00000000-0005-0000-0000-0000A7CF0000}"/>
    <cellStyle name="Normal 6 3 6 4 3" xfId="13923" xr:uid="{00000000-0005-0000-0000-0000A8CF0000}"/>
    <cellStyle name="Normal 6 3 6 4 3 2" xfId="27491" xr:uid="{00000000-0005-0000-0000-0000A9CF0000}"/>
    <cellStyle name="Normal 6 3 6 4 3 2 2" xfId="54624" xr:uid="{00000000-0005-0000-0000-0000AACF0000}"/>
    <cellStyle name="Normal 6 3 6 4 3 3" xfId="41062" xr:uid="{00000000-0005-0000-0000-0000ABCF0000}"/>
    <cellStyle name="Normal 6 3 6 4 4" xfId="20710" xr:uid="{00000000-0005-0000-0000-0000ACCF0000}"/>
    <cellStyle name="Normal 6 3 6 4 4 2" xfId="47843" xr:uid="{00000000-0005-0000-0000-0000ADCF0000}"/>
    <cellStyle name="Normal 6 3 6 4 5" xfId="34281" xr:uid="{00000000-0005-0000-0000-0000AECF0000}"/>
    <cellStyle name="Normal 6 3 6 5" xfId="10517" xr:uid="{00000000-0005-0000-0000-0000AFCF0000}"/>
    <cellStyle name="Normal 6 3 6 5 2" xfId="17307" xr:uid="{00000000-0005-0000-0000-0000B0CF0000}"/>
    <cellStyle name="Normal 6 3 6 5 2 2" xfId="30875" xr:uid="{00000000-0005-0000-0000-0000B1CF0000}"/>
    <cellStyle name="Normal 6 3 6 5 2 2 2" xfId="58008" xr:uid="{00000000-0005-0000-0000-0000B2CF0000}"/>
    <cellStyle name="Normal 6 3 6 5 2 3" xfId="44446" xr:uid="{00000000-0005-0000-0000-0000B3CF0000}"/>
    <cellStyle name="Normal 6 3 6 5 3" xfId="24094" xr:uid="{00000000-0005-0000-0000-0000B4CF0000}"/>
    <cellStyle name="Normal 6 3 6 5 3 2" xfId="51227" xr:uid="{00000000-0005-0000-0000-0000B5CF0000}"/>
    <cellStyle name="Normal 6 3 6 5 4" xfId="37665" xr:uid="{00000000-0005-0000-0000-0000B6CF0000}"/>
    <cellStyle name="Normal 6 3 6 6" xfId="13918" xr:uid="{00000000-0005-0000-0000-0000B7CF0000}"/>
    <cellStyle name="Normal 6 3 6 6 2" xfId="27486" xr:uid="{00000000-0005-0000-0000-0000B8CF0000}"/>
    <cellStyle name="Normal 6 3 6 6 2 2" xfId="54619" xr:uid="{00000000-0005-0000-0000-0000B9CF0000}"/>
    <cellStyle name="Normal 6 3 6 6 3" xfId="41057" xr:uid="{00000000-0005-0000-0000-0000BACF0000}"/>
    <cellStyle name="Normal 6 3 6 7" xfId="20705" xr:uid="{00000000-0005-0000-0000-0000BBCF0000}"/>
    <cellStyle name="Normal 6 3 6 7 2" xfId="47838" xr:uid="{00000000-0005-0000-0000-0000BCCF0000}"/>
    <cellStyle name="Normal 6 3 6 8" xfId="34276" xr:uid="{00000000-0005-0000-0000-0000BDCF0000}"/>
    <cellStyle name="Normal 6 3 7" xfId="6993" xr:uid="{00000000-0005-0000-0000-0000BECF0000}"/>
    <cellStyle name="Normal 6 3 7 2" xfId="6994" xr:uid="{00000000-0005-0000-0000-0000BFCF0000}"/>
    <cellStyle name="Normal 6 3 7 2 2" xfId="10524" xr:uid="{00000000-0005-0000-0000-0000C0CF0000}"/>
    <cellStyle name="Normal 6 3 7 2 2 2" xfId="17314" xr:uid="{00000000-0005-0000-0000-0000C1CF0000}"/>
    <cellStyle name="Normal 6 3 7 2 2 2 2" xfId="30882" xr:uid="{00000000-0005-0000-0000-0000C2CF0000}"/>
    <cellStyle name="Normal 6 3 7 2 2 2 2 2" xfId="58015" xr:uid="{00000000-0005-0000-0000-0000C3CF0000}"/>
    <cellStyle name="Normal 6 3 7 2 2 2 3" xfId="44453" xr:uid="{00000000-0005-0000-0000-0000C4CF0000}"/>
    <cellStyle name="Normal 6 3 7 2 2 3" xfId="24101" xr:uid="{00000000-0005-0000-0000-0000C5CF0000}"/>
    <cellStyle name="Normal 6 3 7 2 2 3 2" xfId="51234" xr:uid="{00000000-0005-0000-0000-0000C6CF0000}"/>
    <cellStyle name="Normal 6 3 7 2 2 4" xfId="37672" xr:uid="{00000000-0005-0000-0000-0000C7CF0000}"/>
    <cellStyle name="Normal 6 3 7 2 3" xfId="13925" xr:uid="{00000000-0005-0000-0000-0000C8CF0000}"/>
    <cellStyle name="Normal 6 3 7 2 3 2" xfId="27493" xr:uid="{00000000-0005-0000-0000-0000C9CF0000}"/>
    <cellStyle name="Normal 6 3 7 2 3 2 2" xfId="54626" xr:uid="{00000000-0005-0000-0000-0000CACF0000}"/>
    <cellStyle name="Normal 6 3 7 2 3 3" xfId="41064" xr:uid="{00000000-0005-0000-0000-0000CBCF0000}"/>
    <cellStyle name="Normal 6 3 7 2 4" xfId="20712" xr:uid="{00000000-0005-0000-0000-0000CCCF0000}"/>
    <cellStyle name="Normal 6 3 7 2 4 2" xfId="47845" xr:uid="{00000000-0005-0000-0000-0000CDCF0000}"/>
    <cellStyle name="Normal 6 3 7 2 5" xfId="34283" xr:uid="{00000000-0005-0000-0000-0000CECF0000}"/>
    <cellStyle name="Normal 6 3 7 3" xfId="6995" xr:uid="{00000000-0005-0000-0000-0000CFCF0000}"/>
    <cellStyle name="Normal 6 3 7 3 2" xfId="10525" xr:uid="{00000000-0005-0000-0000-0000D0CF0000}"/>
    <cellStyle name="Normal 6 3 7 3 2 2" xfId="17315" xr:uid="{00000000-0005-0000-0000-0000D1CF0000}"/>
    <cellStyle name="Normal 6 3 7 3 2 2 2" xfId="30883" xr:uid="{00000000-0005-0000-0000-0000D2CF0000}"/>
    <cellStyle name="Normal 6 3 7 3 2 2 2 2" xfId="58016" xr:uid="{00000000-0005-0000-0000-0000D3CF0000}"/>
    <cellStyle name="Normal 6 3 7 3 2 2 3" xfId="44454" xr:uid="{00000000-0005-0000-0000-0000D4CF0000}"/>
    <cellStyle name="Normal 6 3 7 3 2 3" xfId="24102" xr:uid="{00000000-0005-0000-0000-0000D5CF0000}"/>
    <cellStyle name="Normal 6 3 7 3 2 3 2" xfId="51235" xr:uid="{00000000-0005-0000-0000-0000D6CF0000}"/>
    <cellStyle name="Normal 6 3 7 3 2 4" xfId="37673" xr:uid="{00000000-0005-0000-0000-0000D7CF0000}"/>
    <cellStyle name="Normal 6 3 7 3 3" xfId="13926" xr:uid="{00000000-0005-0000-0000-0000D8CF0000}"/>
    <cellStyle name="Normal 6 3 7 3 3 2" xfId="27494" xr:uid="{00000000-0005-0000-0000-0000D9CF0000}"/>
    <cellStyle name="Normal 6 3 7 3 3 2 2" xfId="54627" xr:uid="{00000000-0005-0000-0000-0000DACF0000}"/>
    <cellStyle name="Normal 6 3 7 3 3 3" xfId="41065" xr:uid="{00000000-0005-0000-0000-0000DBCF0000}"/>
    <cellStyle name="Normal 6 3 7 3 4" xfId="20713" xr:uid="{00000000-0005-0000-0000-0000DCCF0000}"/>
    <cellStyle name="Normal 6 3 7 3 4 2" xfId="47846" xr:uid="{00000000-0005-0000-0000-0000DDCF0000}"/>
    <cellStyle name="Normal 6 3 7 3 5" xfId="34284" xr:uid="{00000000-0005-0000-0000-0000DECF0000}"/>
    <cellStyle name="Normal 6 3 7 4" xfId="10523" xr:uid="{00000000-0005-0000-0000-0000DFCF0000}"/>
    <cellStyle name="Normal 6 3 7 4 2" xfId="17313" xr:uid="{00000000-0005-0000-0000-0000E0CF0000}"/>
    <cellStyle name="Normal 6 3 7 4 2 2" xfId="30881" xr:uid="{00000000-0005-0000-0000-0000E1CF0000}"/>
    <cellStyle name="Normal 6 3 7 4 2 2 2" xfId="58014" xr:uid="{00000000-0005-0000-0000-0000E2CF0000}"/>
    <cellStyle name="Normal 6 3 7 4 2 3" xfId="44452" xr:uid="{00000000-0005-0000-0000-0000E3CF0000}"/>
    <cellStyle name="Normal 6 3 7 4 3" xfId="24100" xr:uid="{00000000-0005-0000-0000-0000E4CF0000}"/>
    <cellStyle name="Normal 6 3 7 4 3 2" xfId="51233" xr:uid="{00000000-0005-0000-0000-0000E5CF0000}"/>
    <cellStyle name="Normal 6 3 7 4 4" xfId="37671" xr:uid="{00000000-0005-0000-0000-0000E6CF0000}"/>
    <cellStyle name="Normal 6 3 7 5" xfId="13924" xr:uid="{00000000-0005-0000-0000-0000E7CF0000}"/>
    <cellStyle name="Normal 6 3 7 5 2" xfId="27492" xr:uid="{00000000-0005-0000-0000-0000E8CF0000}"/>
    <cellStyle name="Normal 6 3 7 5 2 2" xfId="54625" xr:uid="{00000000-0005-0000-0000-0000E9CF0000}"/>
    <cellStyle name="Normal 6 3 7 5 3" xfId="41063" xr:uid="{00000000-0005-0000-0000-0000EACF0000}"/>
    <cellStyle name="Normal 6 3 7 6" xfId="20711" xr:uid="{00000000-0005-0000-0000-0000EBCF0000}"/>
    <cellStyle name="Normal 6 3 7 6 2" xfId="47844" xr:uid="{00000000-0005-0000-0000-0000ECCF0000}"/>
    <cellStyle name="Normal 6 3 7 7" xfId="34282" xr:uid="{00000000-0005-0000-0000-0000EDCF0000}"/>
    <cellStyle name="Normal 6 3 8" xfId="6996" xr:uid="{00000000-0005-0000-0000-0000EECF0000}"/>
    <cellStyle name="Normal 6 3 8 2" xfId="6997" xr:uid="{00000000-0005-0000-0000-0000EFCF0000}"/>
    <cellStyle name="Normal 6 3 8 2 2" xfId="10527" xr:uid="{00000000-0005-0000-0000-0000F0CF0000}"/>
    <cellStyle name="Normal 6 3 8 2 2 2" xfId="17317" xr:uid="{00000000-0005-0000-0000-0000F1CF0000}"/>
    <cellStyle name="Normal 6 3 8 2 2 2 2" xfId="30885" xr:uid="{00000000-0005-0000-0000-0000F2CF0000}"/>
    <cellStyle name="Normal 6 3 8 2 2 2 2 2" xfId="58018" xr:uid="{00000000-0005-0000-0000-0000F3CF0000}"/>
    <cellStyle name="Normal 6 3 8 2 2 2 3" xfId="44456" xr:uid="{00000000-0005-0000-0000-0000F4CF0000}"/>
    <cellStyle name="Normal 6 3 8 2 2 3" xfId="24104" xr:uid="{00000000-0005-0000-0000-0000F5CF0000}"/>
    <cellStyle name="Normal 6 3 8 2 2 3 2" xfId="51237" xr:uid="{00000000-0005-0000-0000-0000F6CF0000}"/>
    <cellStyle name="Normal 6 3 8 2 2 4" xfId="37675" xr:uid="{00000000-0005-0000-0000-0000F7CF0000}"/>
    <cellStyle name="Normal 6 3 8 2 3" xfId="13928" xr:uid="{00000000-0005-0000-0000-0000F8CF0000}"/>
    <cellStyle name="Normal 6 3 8 2 3 2" xfId="27496" xr:uid="{00000000-0005-0000-0000-0000F9CF0000}"/>
    <cellStyle name="Normal 6 3 8 2 3 2 2" xfId="54629" xr:uid="{00000000-0005-0000-0000-0000FACF0000}"/>
    <cellStyle name="Normal 6 3 8 2 3 3" xfId="41067" xr:uid="{00000000-0005-0000-0000-0000FBCF0000}"/>
    <cellStyle name="Normal 6 3 8 2 4" xfId="20715" xr:uid="{00000000-0005-0000-0000-0000FCCF0000}"/>
    <cellStyle name="Normal 6 3 8 2 4 2" xfId="47848" xr:uid="{00000000-0005-0000-0000-0000FDCF0000}"/>
    <cellStyle name="Normal 6 3 8 2 5" xfId="34286" xr:uid="{00000000-0005-0000-0000-0000FECF0000}"/>
    <cellStyle name="Normal 6 3 8 3" xfId="6998" xr:uid="{00000000-0005-0000-0000-0000FFCF0000}"/>
    <cellStyle name="Normal 6 3 8 3 2" xfId="10528" xr:uid="{00000000-0005-0000-0000-000000D00000}"/>
    <cellStyle name="Normal 6 3 8 3 2 2" xfId="17318" xr:uid="{00000000-0005-0000-0000-000001D00000}"/>
    <cellStyle name="Normal 6 3 8 3 2 2 2" xfId="30886" xr:uid="{00000000-0005-0000-0000-000002D00000}"/>
    <cellStyle name="Normal 6 3 8 3 2 2 2 2" xfId="58019" xr:uid="{00000000-0005-0000-0000-000003D00000}"/>
    <cellStyle name="Normal 6 3 8 3 2 2 3" xfId="44457" xr:uid="{00000000-0005-0000-0000-000004D00000}"/>
    <cellStyle name="Normal 6 3 8 3 2 3" xfId="24105" xr:uid="{00000000-0005-0000-0000-000005D00000}"/>
    <cellStyle name="Normal 6 3 8 3 2 3 2" xfId="51238" xr:uid="{00000000-0005-0000-0000-000006D00000}"/>
    <cellStyle name="Normal 6 3 8 3 2 4" xfId="37676" xr:uid="{00000000-0005-0000-0000-000007D00000}"/>
    <cellStyle name="Normal 6 3 8 3 3" xfId="13929" xr:uid="{00000000-0005-0000-0000-000008D00000}"/>
    <cellStyle name="Normal 6 3 8 3 3 2" xfId="27497" xr:uid="{00000000-0005-0000-0000-000009D00000}"/>
    <cellStyle name="Normal 6 3 8 3 3 2 2" xfId="54630" xr:uid="{00000000-0005-0000-0000-00000AD00000}"/>
    <cellStyle name="Normal 6 3 8 3 3 3" xfId="41068" xr:uid="{00000000-0005-0000-0000-00000BD00000}"/>
    <cellStyle name="Normal 6 3 8 3 4" xfId="20716" xr:uid="{00000000-0005-0000-0000-00000CD00000}"/>
    <cellStyle name="Normal 6 3 8 3 4 2" xfId="47849" xr:uid="{00000000-0005-0000-0000-00000DD00000}"/>
    <cellStyle name="Normal 6 3 8 3 5" xfId="34287" xr:uid="{00000000-0005-0000-0000-00000ED00000}"/>
    <cellStyle name="Normal 6 3 8 4" xfId="10526" xr:uid="{00000000-0005-0000-0000-00000FD00000}"/>
    <cellStyle name="Normal 6 3 8 4 2" xfId="17316" xr:uid="{00000000-0005-0000-0000-000010D00000}"/>
    <cellStyle name="Normal 6 3 8 4 2 2" xfId="30884" xr:uid="{00000000-0005-0000-0000-000011D00000}"/>
    <cellStyle name="Normal 6 3 8 4 2 2 2" xfId="58017" xr:uid="{00000000-0005-0000-0000-000012D00000}"/>
    <cellStyle name="Normal 6 3 8 4 2 3" xfId="44455" xr:uid="{00000000-0005-0000-0000-000013D00000}"/>
    <cellStyle name="Normal 6 3 8 4 3" xfId="24103" xr:uid="{00000000-0005-0000-0000-000014D00000}"/>
    <cellStyle name="Normal 6 3 8 4 3 2" xfId="51236" xr:uid="{00000000-0005-0000-0000-000015D00000}"/>
    <cellStyle name="Normal 6 3 8 4 4" xfId="37674" xr:uid="{00000000-0005-0000-0000-000016D00000}"/>
    <cellStyle name="Normal 6 3 8 5" xfId="13927" xr:uid="{00000000-0005-0000-0000-000017D00000}"/>
    <cellStyle name="Normal 6 3 8 5 2" xfId="27495" xr:uid="{00000000-0005-0000-0000-000018D00000}"/>
    <cellStyle name="Normal 6 3 8 5 2 2" xfId="54628" xr:uid="{00000000-0005-0000-0000-000019D00000}"/>
    <cellStyle name="Normal 6 3 8 5 3" xfId="41066" xr:uid="{00000000-0005-0000-0000-00001AD00000}"/>
    <cellStyle name="Normal 6 3 8 6" xfId="20714" xr:uid="{00000000-0005-0000-0000-00001BD00000}"/>
    <cellStyle name="Normal 6 3 8 6 2" xfId="47847" xr:uid="{00000000-0005-0000-0000-00001CD00000}"/>
    <cellStyle name="Normal 6 3 8 7" xfId="34285" xr:uid="{00000000-0005-0000-0000-00001DD00000}"/>
    <cellStyle name="Normal 6 3 9" xfId="6999" xr:uid="{00000000-0005-0000-0000-00001ED00000}"/>
    <cellStyle name="Normal 6 3 9 2" xfId="10529" xr:uid="{00000000-0005-0000-0000-00001FD00000}"/>
    <cellStyle name="Normal 6 3 9 2 2" xfId="17319" xr:uid="{00000000-0005-0000-0000-000020D00000}"/>
    <cellStyle name="Normal 6 3 9 2 2 2" xfId="30887" xr:uid="{00000000-0005-0000-0000-000021D00000}"/>
    <cellStyle name="Normal 6 3 9 2 2 2 2" xfId="58020" xr:uid="{00000000-0005-0000-0000-000022D00000}"/>
    <cellStyle name="Normal 6 3 9 2 2 3" xfId="44458" xr:uid="{00000000-0005-0000-0000-000023D00000}"/>
    <cellStyle name="Normal 6 3 9 2 3" xfId="24106" xr:uid="{00000000-0005-0000-0000-000024D00000}"/>
    <cellStyle name="Normal 6 3 9 2 3 2" xfId="51239" xr:uid="{00000000-0005-0000-0000-000025D00000}"/>
    <cellStyle name="Normal 6 3 9 2 4" xfId="37677" xr:uid="{00000000-0005-0000-0000-000026D00000}"/>
    <cellStyle name="Normal 6 3 9 3" xfId="13930" xr:uid="{00000000-0005-0000-0000-000027D00000}"/>
    <cellStyle name="Normal 6 3 9 3 2" xfId="27498" xr:uid="{00000000-0005-0000-0000-000028D00000}"/>
    <cellStyle name="Normal 6 3 9 3 2 2" xfId="54631" xr:uid="{00000000-0005-0000-0000-000029D00000}"/>
    <cellStyle name="Normal 6 3 9 3 3" xfId="41069" xr:uid="{00000000-0005-0000-0000-00002AD00000}"/>
    <cellStyle name="Normal 6 3 9 4" xfId="20717" xr:uid="{00000000-0005-0000-0000-00002BD00000}"/>
    <cellStyle name="Normal 6 3 9 4 2" xfId="47850" xr:uid="{00000000-0005-0000-0000-00002CD00000}"/>
    <cellStyle name="Normal 6 3 9 5" xfId="34288" xr:uid="{00000000-0005-0000-0000-00002DD00000}"/>
    <cellStyle name="Normal 6 4" xfId="7000" xr:uid="{00000000-0005-0000-0000-00002ED00000}"/>
    <cellStyle name="Normal 6 5" xfId="7001" xr:uid="{00000000-0005-0000-0000-00002FD00000}"/>
    <cellStyle name="Normal 6 5 2" xfId="7002" xr:uid="{00000000-0005-0000-0000-000030D00000}"/>
    <cellStyle name="Normal 6 5 2 2" xfId="10531" xr:uid="{00000000-0005-0000-0000-000031D00000}"/>
    <cellStyle name="Normal 6 5 2 2 2" xfId="17321" xr:uid="{00000000-0005-0000-0000-000032D00000}"/>
    <cellStyle name="Normal 6 5 2 2 2 2" xfId="30889" xr:uid="{00000000-0005-0000-0000-000033D00000}"/>
    <cellStyle name="Normal 6 5 2 2 2 2 2" xfId="58022" xr:uid="{00000000-0005-0000-0000-000034D00000}"/>
    <cellStyle name="Normal 6 5 2 2 2 3" xfId="44460" xr:uid="{00000000-0005-0000-0000-000035D00000}"/>
    <cellStyle name="Normal 6 5 2 2 3" xfId="24108" xr:uid="{00000000-0005-0000-0000-000036D00000}"/>
    <cellStyle name="Normal 6 5 2 2 3 2" xfId="51241" xr:uid="{00000000-0005-0000-0000-000037D00000}"/>
    <cellStyle name="Normal 6 5 2 2 4" xfId="37679" xr:uid="{00000000-0005-0000-0000-000038D00000}"/>
    <cellStyle name="Normal 6 5 2 3" xfId="13932" xr:uid="{00000000-0005-0000-0000-000039D00000}"/>
    <cellStyle name="Normal 6 5 2 3 2" xfId="27500" xr:uid="{00000000-0005-0000-0000-00003AD00000}"/>
    <cellStyle name="Normal 6 5 2 3 2 2" xfId="54633" xr:uid="{00000000-0005-0000-0000-00003BD00000}"/>
    <cellStyle name="Normal 6 5 2 3 3" xfId="41071" xr:uid="{00000000-0005-0000-0000-00003CD00000}"/>
    <cellStyle name="Normal 6 5 2 4" xfId="20719" xr:uid="{00000000-0005-0000-0000-00003DD00000}"/>
    <cellStyle name="Normal 6 5 2 4 2" xfId="47852" xr:uid="{00000000-0005-0000-0000-00003ED00000}"/>
    <cellStyle name="Normal 6 5 2 5" xfId="34290" xr:uid="{00000000-0005-0000-0000-00003FD00000}"/>
    <cellStyle name="Normal 6 5 3" xfId="7003" xr:uid="{00000000-0005-0000-0000-000040D00000}"/>
    <cellStyle name="Normal 6 5 3 2" xfId="10532" xr:uid="{00000000-0005-0000-0000-000041D00000}"/>
    <cellStyle name="Normal 6 5 3 2 2" xfId="17322" xr:uid="{00000000-0005-0000-0000-000042D00000}"/>
    <cellStyle name="Normal 6 5 3 2 2 2" xfId="30890" xr:uid="{00000000-0005-0000-0000-000043D00000}"/>
    <cellStyle name="Normal 6 5 3 2 2 2 2" xfId="58023" xr:uid="{00000000-0005-0000-0000-000044D00000}"/>
    <cellStyle name="Normal 6 5 3 2 2 3" xfId="44461" xr:uid="{00000000-0005-0000-0000-000045D00000}"/>
    <cellStyle name="Normal 6 5 3 2 3" xfId="24109" xr:uid="{00000000-0005-0000-0000-000046D00000}"/>
    <cellStyle name="Normal 6 5 3 2 3 2" xfId="51242" xr:uid="{00000000-0005-0000-0000-000047D00000}"/>
    <cellStyle name="Normal 6 5 3 2 4" xfId="37680" xr:uid="{00000000-0005-0000-0000-000048D00000}"/>
    <cellStyle name="Normal 6 5 3 3" xfId="13933" xr:uid="{00000000-0005-0000-0000-000049D00000}"/>
    <cellStyle name="Normal 6 5 3 3 2" xfId="27501" xr:uid="{00000000-0005-0000-0000-00004AD00000}"/>
    <cellStyle name="Normal 6 5 3 3 2 2" xfId="54634" xr:uid="{00000000-0005-0000-0000-00004BD00000}"/>
    <cellStyle name="Normal 6 5 3 3 3" xfId="41072" xr:uid="{00000000-0005-0000-0000-00004CD00000}"/>
    <cellStyle name="Normal 6 5 3 4" xfId="20720" xr:uid="{00000000-0005-0000-0000-00004DD00000}"/>
    <cellStyle name="Normal 6 5 3 4 2" xfId="47853" xr:uid="{00000000-0005-0000-0000-00004ED00000}"/>
    <cellStyle name="Normal 6 5 3 5" xfId="34291" xr:uid="{00000000-0005-0000-0000-00004FD00000}"/>
    <cellStyle name="Normal 6 5 4" xfId="10530" xr:uid="{00000000-0005-0000-0000-000050D00000}"/>
    <cellStyle name="Normal 6 5 4 2" xfId="17320" xr:uid="{00000000-0005-0000-0000-000051D00000}"/>
    <cellStyle name="Normal 6 5 4 2 2" xfId="30888" xr:uid="{00000000-0005-0000-0000-000052D00000}"/>
    <cellStyle name="Normal 6 5 4 2 2 2" xfId="58021" xr:uid="{00000000-0005-0000-0000-000053D00000}"/>
    <cellStyle name="Normal 6 5 4 2 3" xfId="44459" xr:uid="{00000000-0005-0000-0000-000054D00000}"/>
    <cellStyle name="Normal 6 5 4 3" xfId="24107" xr:uid="{00000000-0005-0000-0000-000055D00000}"/>
    <cellStyle name="Normal 6 5 4 3 2" xfId="51240" xr:uid="{00000000-0005-0000-0000-000056D00000}"/>
    <cellStyle name="Normal 6 5 4 4" xfId="37678" xr:uid="{00000000-0005-0000-0000-000057D00000}"/>
    <cellStyle name="Normal 6 5 5" xfId="13931" xr:uid="{00000000-0005-0000-0000-000058D00000}"/>
    <cellStyle name="Normal 6 5 5 2" xfId="27499" xr:uid="{00000000-0005-0000-0000-000059D00000}"/>
    <cellStyle name="Normal 6 5 5 2 2" xfId="54632" xr:uid="{00000000-0005-0000-0000-00005AD00000}"/>
    <cellStyle name="Normal 6 5 5 3" xfId="41070" xr:uid="{00000000-0005-0000-0000-00005BD00000}"/>
    <cellStyle name="Normal 6 5 6" xfId="20718" xr:uid="{00000000-0005-0000-0000-00005CD00000}"/>
    <cellStyle name="Normal 6 5 6 2" xfId="47851" xr:uid="{00000000-0005-0000-0000-00005DD00000}"/>
    <cellStyle name="Normal 6 5 7" xfId="34289" xr:uid="{00000000-0005-0000-0000-00005ED00000}"/>
    <cellStyle name="Normal 6 6" xfId="7004" xr:uid="{00000000-0005-0000-0000-00005FD00000}"/>
    <cellStyle name="Normal 6 6 2" xfId="10533" xr:uid="{00000000-0005-0000-0000-000060D00000}"/>
    <cellStyle name="Normal 6 6 2 2" xfId="17323" xr:uid="{00000000-0005-0000-0000-000061D00000}"/>
    <cellStyle name="Normal 6 6 2 2 2" xfId="30891" xr:uid="{00000000-0005-0000-0000-000062D00000}"/>
    <cellStyle name="Normal 6 6 2 2 2 2" xfId="58024" xr:uid="{00000000-0005-0000-0000-000063D00000}"/>
    <cellStyle name="Normal 6 6 2 2 3" xfId="44462" xr:uid="{00000000-0005-0000-0000-000064D00000}"/>
    <cellStyle name="Normal 6 6 2 3" xfId="24110" xr:uid="{00000000-0005-0000-0000-000065D00000}"/>
    <cellStyle name="Normal 6 6 2 3 2" xfId="51243" xr:uid="{00000000-0005-0000-0000-000066D00000}"/>
    <cellStyle name="Normal 6 6 2 4" xfId="37681" xr:uid="{00000000-0005-0000-0000-000067D00000}"/>
    <cellStyle name="Normal 6 6 3" xfId="13934" xr:uid="{00000000-0005-0000-0000-000068D00000}"/>
    <cellStyle name="Normal 6 6 3 2" xfId="27502" xr:uid="{00000000-0005-0000-0000-000069D00000}"/>
    <cellStyle name="Normal 6 6 3 2 2" xfId="54635" xr:uid="{00000000-0005-0000-0000-00006AD00000}"/>
    <cellStyle name="Normal 6 6 3 3" xfId="41073" xr:uid="{00000000-0005-0000-0000-00006BD00000}"/>
    <cellStyle name="Normal 6 6 4" xfId="20721" xr:uid="{00000000-0005-0000-0000-00006CD00000}"/>
    <cellStyle name="Normal 6 6 4 2" xfId="47854" xr:uid="{00000000-0005-0000-0000-00006DD00000}"/>
    <cellStyle name="Normal 6 6 5" xfId="34292" xr:uid="{00000000-0005-0000-0000-00006ED00000}"/>
    <cellStyle name="Normal 60" xfId="58370" xr:uid="{00000000-0005-0000-0000-00006FD00000}"/>
    <cellStyle name="Normal 61" xfId="58375" xr:uid="{00000000-0005-0000-0000-000070D00000}"/>
    <cellStyle name="Normal 62" xfId="2783" xr:uid="{00000000-0005-0000-0000-000071D00000}"/>
    <cellStyle name="Normal 63" xfId="58376" xr:uid="{00000000-0005-0000-0000-000072D00000}"/>
    <cellStyle name="Normal 64" xfId="58377" xr:uid="{00000000-0005-0000-0000-000073D00000}"/>
    <cellStyle name="Normal 65" xfId="42" xr:uid="{00000000-0005-0000-0000-000074D00000}"/>
    <cellStyle name="Normal 7" xfId="156" xr:uid="{00000000-0005-0000-0000-000075D00000}"/>
    <cellStyle name="Normal 7 2" xfId="7005" xr:uid="{00000000-0005-0000-0000-000076D00000}"/>
    <cellStyle name="Normal 7 3" xfId="7006" xr:uid="{00000000-0005-0000-0000-000077D00000}"/>
    <cellStyle name="Normal 74" xfId="58366" xr:uid="{00000000-0005-0000-0000-000078D00000}"/>
    <cellStyle name="Normal 8" xfId="157" xr:uid="{00000000-0005-0000-0000-000079D00000}"/>
    <cellStyle name="Normal 8 2" xfId="15" xr:uid="{00000000-0005-0000-0000-00007AD00000}"/>
    <cellStyle name="Normal 8 2 2" xfId="2785" xr:uid="{00000000-0005-0000-0000-00007BD00000}"/>
    <cellStyle name="Normal 8 2 3" xfId="2786" xr:uid="{00000000-0005-0000-0000-00007CD00000}"/>
    <cellStyle name="Normal 8 2 4" xfId="2787" xr:uid="{00000000-0005-0000-0000-00007DD00000}"/>
    <cellStyle name="Normal 8 2 4 2" xfId="33" xr:uid="{00000000-0005-0000-0000-00007ED00000}"/>
    <cellStyle name="Normal 8 2 4 3" xfId="22" xr:uid="{00000000-0005-0000-0000-00007FD00000}"/>
    <cellStyle name="Normal 8 2 5" xfId="2784" xr:uid="{00000000-0005-0000-0000-000080D00000}"/>
    <cellStyle name="Normal 8 2 6" xfId="19" xr:uid="{00000000-0005-0000-0000-000081D00000}"/>
    <cellStyle name="Normal 8 3" xfId="23" xr:uid="{00000000-0005-0000-0000-000082D00000}"/>
    <cellStyle name="Normal 8 4" xfId="58371" xr:uid="{00000000-0005-0000-0000-000083D00000}"/>
    <cellStyle name="Normal 8 4 3" xfId="24" xr:uid="{00000000-0005-0000-0000-000084D00000}"/>
    <cellStyle name="Normal 9" xfId="8" xr:uid="{00000000-0005-0000-0000-000085D00000}"/>
    <cellStyle name="Normal 9 2" xfId="7007" xr:uid="{00000000-0005-0000-0000-000086D00000}"/>
    <cellStyle name="Normal 9 2 10" xfId="7008" xr:uid="{00000000-0005-0000-0000-000087D00000}"/>
    <cellStyle name="Normal 9 2 10 2" xfId="10534" xr:uid="{00000000-0005-0000-0000-000088D00000}"/>
    <cellStyle name="Normal 9 2 10 2 2" xfId="17324" xr:uid="{00000000-0005-0000-0000-000089D00000}"/>
    <cellStyle name="Normal 9 2 10 2 2 2" xfId="30892" xr:uid="{00000000-0005-0000-0000-00008AD00000}"/>
    <cellStyle name="Normal 9 2 10 2 2 2 2" xfId="58025" xr:uid="{00000000-0005-0000-0000-00008BD00000}"/>
    <cellStyle name="Normal 9 2 10 2 2 3" xfId="44463" xr:uid="{00000000-0005-0000-0000-00008CD00000}"/>
    <cellStyle name="Normal 9 2 10 2 3" xfId="24111" xr:uid="{00000000-0005-0000-0000-00008DD00000}"/>
    <cellStyle name="Normal 9 2 10 2 3 2" xfId="51244" xr:uid="{00000000-0005-0000-0000-00008ED00000}"/>
    <cellStyle name="Normal 9 2 10 2 4" xfId="37682" xr:uid="{00000000-0005-0000-0000-00008FD00000}"/>
    <cellStyle name="Normal 9 2 10 3" xfId="13935" xr:uid="{00000000-0005-0000-0000-000090D00000}"/>
    <cellStyle name="Normal 9 2 10 3 2" xfId="27503" xr:uid="{00000000-0005-0000-0000-000091D00000}"/>
    <cellStyle name="Normal 9 2 10 3 2 2" xfId="54636" xr:uid="{00000000-0005-0000-0000-000092D00000}"/>
    <cellStyle name="Normal 9 2 10 3 3" xfId="41074" xr:uid="{00000000-0005-0000-0000-000093D00000}"/>
    <cellStyle name="Normal 9 2 10 4" xfId="20722" xr:uid="{00000000-0005-0000-0000-000094D00000}"/>
    <cellStyle name="Normal 9 2 10 4 2" xfId="47855" xr:uid="{00000000-0005-0000-0000-000095D00000}"/>
    <cellStyle name="Normal 9 2 10 5" xfId="34293" xr:uid="{00000000-0005-0000-0000-000096D00000}"/>
    <cellStyle name="Normal 9 2 11" xfId="7009" xr:uid="{00000000-0005-0000-0000-000097D00000}"/>
    <cellStyle name="Normal 9 2 11 2" xfId="10535" xr:uid="{00000000-0005-0000-0000-000098D00000}"/>
    <cellStyle name="Normal 9 2 11 2 2" xfId="17325" xr:uid="{00000000-0005-0000-0000-000099D00000}"/>
    <cellStyle name="Normal 9 2 11 2 2 2" xfId="30893" xr:uid="{00000000-0005-0000-0000-00009AD00000}"/>
    <cellStyle name="Normal 9 2 11 2 2 2 2" xfId="58026" xr:uid="{00000000-0005-0000-0000-00009BD00000}"/>
    <cellStyle name="Normal 9 2 11 2 2 3" xfId="44464" xr:uid="{00000000-0005-0000-0000-00009CD00000}"/>
    <cellStyle name="Normal 9 2 11 2 3" xfId="24112" xr:uid="{00000000-0005-0000-0000-00009DD00000}"/>
    <cellStyle name="Normal 9 2 11 2 3 2" xfId="51245" xr:uid="{00000000-0005-0000-0000-00009ED00000}"/>
    <cellStyle name="Normal 9 2 11 2 4" xfId="37683" xr:uid="{00000000-0005-0000-0000-00009FD00000}"/>
    <cellStyle name="Normal 9 2 11 3" xfId="13936" xr:uid="{00000000-0005-0000-0000-0000A0D00000}"/>
    <cellStyle name="Normal 9 2 11 3 2" xfId="27504" xr:uid="{00000000-0005-0000-0000-0000A1D00000}"/>
    <cellStyle name="Normal 9 2 11 3 2 2" xfId="54637" xr:uid="{00000000-0005-0000-0000-0000A2D00000}"/>
    <cellStyle name="Normal 9 2 11 3 3" xfId="41075" xr:uid="{00000000-0005-0000-0000-0000A3D00000}"/>
    <cellStyle name="Normal 9 2 11 4" xfId="20723" xr:uid="{00000000-0005-0000-0000-0000A4D00000}"/>
    <cellStyle name="Normal 9 2 11 4 2" xfId="47856" xr:uid="{00000000-0005-0000-0000-0000A5D00000}"/>
    <cellStyle name="Normal 9 2 11 5" xfId="34294" xr:uid="{00000000-0005-0000-0000-0000A6D00000}"/>
    <cellStyle name="Normal 9 2 12" xfId="10854" xr:uid="{00000000-0005-0000-0000-0000A7D00000}"/>
    <cellStyle name="Normal 9 2 12 2" xfId="17639" xr:uid="{00000000-0005-0000-0000-0000A8D00000}"/>
    <cellStyle name="Normal 9 2 12 2 2" xfId="31207" xr:uid="{00000000-0005-0000-0000-0000A9D00000}"/>
    <cellStyle name="Normal 9 2 12 2 2 2" xfId="58340" xr:uid="{00000000-0005-0000-0000-0000AAD00000}"/>
    <cellStyle name="Normal 9 2 12 2 3" xfId="44778" xr:uid="{00000000-0005-0000-0000-0000ABD00000}"/>
    <cellStyle name="Normal 9 2 12 3" xfId="24426" xr:uid="{00000000-0005-0000-0000-0000ACD00000}"/>
    <cellStyle name="Normal 9 2 12 3 2" xfId="51559" xr:uid="{00000000-0005-0000-0000-0000ADD00000}"/>
    <cellStyle name="Normal 9 2 12 4" xfId="37997" xr:uid="{00000000-0005-0000-0000-0000AED00000}"/>
    <cellStyle name="Normal 9 2 13" xfId="58348" xr:uid="{00000000-0005-0000-0000-0000AFD00000}"/>
    <cellStyle name="Normal 9 2 2" xfId="7010" xr:uid="{00000000-0005-0000-0000-0000B0D00000}"/>
    <cellStyle name="Normal 9 2 2 10" xfId="7011" xr:uid="{00000000-0005-0000-0000-0000B1D00000}"/>
    <cellStyle name="Normal 9 2 2 10 2" xfId="10537" xr:uid="{00000000-0005-0000-0000-0000B2D00000}"/>
    <cellStyle name="Normal 9 2 2 10 2 2" xfId="17327" xr:uid="{00000000-0005-0000-0000-0000B3D00000}"/>
    <cellStyle name="Normal 9 2 2 10 2 2 2" xfId="30895" xr:uid="{00000000-0005-0000-0000-0000B4D00000}"/>
    <cellStyle name="Normal 9 2 2 10 2 2 2 2" xfId="58028" xr:uid="{00000000-0005-0000-0000-0000B5D00000}"/>
    <cellStyle name="Normal 9 2 2 10 2 2 3" xfId="44466" xr:uid="{00000000-0005-0000-0000-0000B6D00000}"/>
    <cellStyle name="Normal 9 2 2 10 2 3" xfId="24114" xr:uid="{00000000-0005-0000-0000-0000B7D00000}"/>
    <cellStyle name="Normal 9 2 2 10 2 3 2" xfId="51247" xr:uid="{00000000-0005-0000-0000-0000B8D00000}"/>
    <cellStyle name="Normal 9 2 2 10 2 4" xfId="37685" xr:uid="{00000000-0005-0000-0000-0000B9D00000}"/>
    <cellStyle name="Normal 9 2 2 10 3" xfId="13938" xr:uid="{00000000-0005-0000-0000-0000BAD00000}"/>
    <cellStyle name="Normal 9 2 2 10 3 2" xfId="27506" xr:uid="{00000000-0005-0000-0000-0000BBD00000}"/>
    <cellStyle name="Normal 9 2 2 10 3 2 2" xfId="54639" xr:uid="{00000000-0005-0000-0000-0000BCD00000}"/>
    <cellStyle name="Normal 9 2 2 10 3 3" xfId="41077" xr:uid="{00000000-0005-0000-0000-0000BDD00000}"/>
    <cellStyle name="Normal 9 2 2 10 4" xfId="20725" xr:uid="{00000000-0005-0000-0000-0000BED00000}"/>
    <cellStyle name="Normal 9 2 2 10 4 2" xfId="47858" xr:uid="{00000000-0005-0000-0000-0000BFD00000}"/>
    <cellStyle name="Normal 9 2 2 10 5" xfId="34296" xr:uid="{00000000-0005-0000-0000-0000C0D00000}"/>
    <cellStyle name="Normal 9 2 2 11" xfId="10536" xr:uid="{00000000-0005-0000-0000-0000C1D00000}"/>
    <cellStyle name="Normal 9 2 2 11 2" xfId="17326" xr:uid="{00000000-0005-0000-0000-0000C2D00000}"/>
    <cellStyle name="Normal 9 2 2 11 2 2" xfId="30894" xr:uid="{00000000-0005-0000-0000-0000C3D00000}"/>
    <cellStyle name="Normal 9 2 2 11 2 2 2" xfId="58027" xr:uid="{00000000-0005-0000-0000-0000C4D00000}"/>
    <cellStyle name="Normal 9 2 2 11 2 3" xfId="44465" xr:uid="{00000000-0005-0000-0000-0000C5D00000}"/>
    <cellStyle name="Normal 9 2 2 11 3" xfId="24113" xr:uid="{00000000-0005-0000-0000-0000C6D00000}"/>
    <cellStyle name="Normal 9 2 2 11 3 2" xfId="51246" xr:uid="{00000000-0005-0000-0000-0000C7D00000}"/>
    <cellStyle name="Normal 9 2 2 11 4" xfId="37684" xr:uid="{00000000-0005-0000-0000-0000C8D00000}"/>
    <cellStyle name="Normal 9 2 2 12" xfId="13937" xr:uid="{00000000-0005-0000-0000-0000C9D00000}"/>
    <cellStyle name="Normal 9 2 2 12 2" xfId="27505" xr:uid="{00000000-0005-0000-0000-0000CAD00000}"/>
    <cellStyle name="Normal 9 2 2 12 2 2" xfId="54638" xr:uid="{00000000-0005-0000-0000-0000CBD00000}"/>
    <cellStyle name="Normal 9 2 2 12 3" xfId="41076" xr:uid="{00000000-0005-0000-0000-0000CCD00000}"/>
    <cellStyle name="Normal 9 2 2 13" xfId="20724" xr:uid="{00000000-0005-0000-0000-0000CDD00000}"/>
    <cellStyle name="Normal 9 2 2 13 2" xfId="47857" xr:uid="{00000000-0005-0000-0000-0000CED00000}"/>
    <cellStyle name="Normal 9 2 2 14" xfId="34295" xr:uid="{00000000-0005-0000-0000-0000CFD00000}"/>
    <cellStyle name="Normal 9 2 2 2" xfId="7012" xr:uid="{00000000-0005-0000-0000-0000D0D00000}"/>
    <cellStyle name="Normal 9 2 2 2 10" xfId="13939" xr:uid="{00000000-0005-0000-0000-0000D1D00000}"/>
    <cellStyle name="Normal 9 2 2 2 10 2" xfId="27507" xr:uid="{00000000-0005-0000-0000-0000D2D00000}"/>
    <cellStyle name="Normal 9 2 2 2 10 2 2" xfId="54640" xr:uid="{00000000-0005-0000-0000-0000D3D00000}"/>
    <cellStyle name="Normal 9 2 2 2 10 3" xfId="41078" xr:uid="{00000000-0005-0000-0000-0000D4D00000}"/>
    <cellStyle name="Normal 9 2 2 2 11" xfId="20726" xr:uid="{00000000-0005-0000-0000-0000D5D00000}"/>
    <cellStyle name="Normal 9 2 2 2 11 2" xfId="47859" xr:uid="{00000000-0005-0000-0000-0000D6D00000}"/>
    <cellStyle name="Normal 9 2 2 2 12" xfId="34297" xr:uid="{00000000-0005-0000-0000-0000D7D00000}"/>
    <cellStyle name="Normal 9 2 2 2 2" xfId="7013" xr:uid="{00000000-0005-0000-0000-0000D8D00000}"/>
    <cellStyle name="Normal 9 2 2 2 2 10" xfId="34298" xr:uid="{00000000-0005-0000-0000-0000D9D00000}"/>
    <cellStyle name="Normal 9 2 2 2 2 2" xfId="7014" xr:uid="{00000000-0005-0000-0000-0000DAD00000}"/>
    <cellStyle name="Normal 9 2 2 2 2 2 2" xfId="7015" xr:uid="{00000000-0005-0000-0000-0000DBD00000}"/>
    <cellStyle name="Normal 9 2 2 2 2 2 2 2" xfId="7016" xr:uid="{00000000-0005-0000-0000-0000DCD00000}"/>
    <cellStyle name="Normal 9 2 2 2 2 2 2 2 2" xfId="10542" xr:uid="{00000000-0005-0000-0000-0000DDD00000}"/>
    <cellStyle name="Normal 9 2 2 2 2 2 2 2 2 2" xfId="17332" xr:uid="{00000000-0005-0000-0000-0000DED00000}"/>
    <cellStyle name="Normal 9 2 2 2 2 2 2 2 2 2 2" xfId="30900" xr:uid="{00000000-0005-0000-0000-0000DFD00000}"/>
    <cellStyle name="Normal 9 2 2 2 2 2 2 2 2 2 2 2" xfId="58033" xr:uid="{00000000-0005-0000-0000-0000E0D00000}"/>
    <cellStyle name="Normal 9 2 2 2 2 2 2 2 2 2 3" xfId="44471" xr:uid="{00000000-0005-0000-0000-0000E1D00000}"/>
    <cellStyle name="Normal 9 2 2 2 2 2 2 2 2 3" xfId="24119" xr:uid="{00000000-0005-0000-0000-0000E2D00000}"/>
    <cellStyle name="Normal 9 2 2 2 2 2 2 2 2 3 2" xfId="51252" xr:uid="{00000000-0005-0000-0000-0000E3D00000}"/>
    <cellStyle name="Normal 9 2 2 2 2 2 2 2 2 4" xfId="37690" xr:uid="{00000000-0005-0000-0000-0000E4D00000}"/>
    <cellStyle name="Normal 9 2 2 2 2 2 2 2 3" xfId="13943" xr:uid="{00000000-0005-0000-0000-0000E5D00000}"/>
    <cellStyle name="Normal 9 2 2 2 2 2 2 2 3 2" xfId="27511" xr:uid="{00000000-0005-0000-0000-0000E6D00000}"/>
    <cellStyle name="Normal 9 2 2 2 2 2 2 2 3 2 2" xfId="54644" xr:uid="{00000000-0005-0000-0000-0000E7D00000}"/>
    <cellStyle name="Normal 9 2 2 2 2 2 2 2 3 3" xfId="41082" xr:uid="{00000000-0005-0000-0000-0000E8D00000}"/>
    <cellStyle name="Normal 9 2 2 2 2 2 2 2 4" xfId="20730" xr:uid="{00000000-0005-0000-0000-0000E9D00000}"/>
    <cellStyle name="Normal 9 2 2 2 2 2 2 2 4 2" xfId="47863" xr:uid="{00000000-0005-0000-0000-0000EAD00000}"/>
    <cellStyle name="Normal 9 2 2 2 2 2 2 2 5" xfId="34301" xr:uid="{00000000-0005-0000-0000-0000EBD00000}"/>
    <cellStyle name="Normal 9 2 2 2 2 2 2 3" xfId="7017" xr:uid="{00000000-0005-0000-0000-0000ECD00000}"/>
    <cellStyle name="Normal 9 2 2 2 2 2 2 3 2" xfId="10543" xr:uid="{00000000-0005-0000-0000-0000EDD00000}"/>
    <cellStyle name="Normal 9 2 2 2 2 2 2 3 2 2" xfId="17333" xr:uid="{00000000-0005-0000-0000-0000EED00000}"/>
    <cellStyle name="Normal 9 2 2 2 2 2 2 3 2 2 2" xfId="30901" xr:uid="{00000000-0005-0000-0000-0000EFD00000}"/>
    <cellStyle name="Normal 9 2 2 2 2 2 2 3 2 2 2 2" xfId="58034" xr:uid="{00000000-0005-0000-0000-0000F0D00000}"/>
    <cellStyle name="Normal 9 2 2 2 2 2 2 3 2 2 3" xfId="44472" xr:uid="{00000000-0005-0000-0000-0000F1D00000}"/>
    <cellStyle name="Normal 9 2 2 2 2 2 2 3 2 3" xfId="24120" xr:uid="{00000000-0005-0000-0000-0000F2D00000}"/>
    <cellStyle name="Normal 9 2 2 2 2 2 2 3 2 3 2" xfId="51253" xr:uid="{00000000-0005-0000-0000-0000F3D00000}"/>
    <cellStyle name="Normal 9 2 2 2 2 2 2 3 2 4" xfId="37691" xr:uid="{00000000-0005-0000-0000-0000F4D00000}"/>
    <cellStyle name="Normal 9 2 2 2 2 2 2 3 3" xfId="13944" xr:uid="{00000000-0005-0000-0000-0000F5D00000}"/>
    <cellStyle name="Normal 9 2 2 2 2 2 2 3 3 2" xfId="27512" xr:uid="{00000000-0005-0000-0000-0000F6D00000}"/>
    <cellStyle name="Normal 9 2 2 2 2 2 2 3 3 2 2" xfId="54645" xr:uid="{00000000-0005-0000-0000-0000F7D00000}"/>
    <cellStyle name="Normal 9 2 2 2 2 2 2 3 3 3" xfId="41083" xr:uid="{00000000-0005-0000-0000-0000F8D00000}"/>
    <cellStyle name="Normal 9 2 2 2 2 2 2 3 4" xfId="20731" xr:uid="{00000000-0005-0000-0000-0000F9D00000}"/>
    <cellStyle name="Normal 9 2 2 2 2 2 2 3 4 2" xfId="47864" xr:uid="{00000000-0005-0000-0000-0000FAD00000}"/>
    <cellStyle name="Normal 9 2 2 2 2 2 2 3 5" xfId="34302" xr:uid="{00000000-0005-0000-0000-0000FBD00000}"/>
    <cellStyle name="Normal 9 2 2 2 2 2 2 4" xfId="10541" xr:uid="{00000000-0005-0000-0000-0000FCD00000}"/>
    <cellStyle name="Normal 9 2 2 2 2 2 2 4 2" xfId="17331" xr:uid="{00000000-0005-0000-0000-0000FDD00000}"/>
    <cellStyle name="Normal 9 2 2 2 2 2 2 4 2 2" xfId="30899" xr:uid="{00000000-0005-0000-0000-0000FED00000}"/>
    <cellStyle name="Normal 9 2 2 2 2 2 2 4 2 2 2" xfId="58032" xr:uid="{00000000-0005-0000-0000-0000FFD00000}"/>
    <cellStyle name="Normal 9 2 2 2 2 2 2 4 2 3" xfId="44470" xr:uid="{00000000-0005-0000-0000-000000D10000}"/>
    <cellStyle name="Normal 9 2 2 2 2 2 2 4 3" xfId="24118" xr:uid="{00000000-0005-0000-0000-000001D10000}"/>
    <cellStyle name="Normal 9 2 2 2 2 2 2 4 3 2" xfId="51251" xr:uid="{00000000-0005-0000-0000-000002D10000}"/>
    <cellStyle name="Normal 9 2 2 2 2 2 2 4 4" xfId="37689" xr:uid="{00000000-0005-0000-0000-000003D10000}"/>
    <cellStyle name="Normal 9 2 2 2 2 2 2 5" xfId="13942" xr:uid="{00000000-0005-0000-0000-000004D10000}"/>
    <cellStyle name="Normal 9 2 2 2 2 2 2 5 2" xfId="27510" xr:uid="{00000000-0005-0000-0000-000005D10000}"/>
    <cellStyle name="Normal 9 2 2 2 2 2 2 5 2 2" xfId="54643" xr:uid="{00000000-0005-0000-0000-000006D10000}"/>
    <cellStyle name="Normal 9 2 2 2 2 2 2 5 3" xfId="41081" xr:uid="{00000000-0005-0000-0000-000007D10000}"/>
    <cellStyle name="Normal 9 2 2 2 2 2 2 6" xfId="20729" xr:uid="{00000000-0005-0000-0000-000008D10000}"/>
    <cellStyle name="Normal 9 2 2 2 2 2 2 6 2" xfId="47862" xr:uid="{00000000-0005-0000-0000-000009D10000}"/>
    <cellStyle name="Normal 9 2 2 2 2 2 2 7" xfId="34300" xr:uid="{00000000-0005-0000-0000-00000AD10000}"/>
    <cellStyle name="Normal 9 2 2 2 2 2 3" xfId="7018" xr:uid="{00000000-0005-0000-0000-00000BD10000}"/>
    <cellStyle name="Normal 9 2 2 2 2 2 3 2" xfId="7019" xr:uid="{00000000-0005-0000-0000-00000CD10000}"/>
    <cellStyle name="Normal 9 2 2 2 2 2 3 2 2" xfId="10545" xr:uid="{00000000-0005-0000-0000-00000DD10000}"/>
    <cellStyle name="Normal 9 2 2 2 2 2 3 2 2 2" xfId="17335" xr:uid="{00000000-0005-0000-0000-00000ED10000}"/>
    <cellStyle name="Normal 9 2 2 2 2 2 3 2 2 2 2" xfId="30903" xr:uid="{00000000-0005-0000-0000-00000FD10000}"/>
    <cellStyle name="Normal 9 2 2 2 2 2 3 2 2 2 2 2" xfId="58036" xr:uid="{00000000-0005-0000-0000-000010D10000}"/>
    <cellStyle name="Normal 9 2 2 2 2 2 3 2 2 2 3" xfId="44474" xr:uid="{00000000-0005-0000-0000-000011D10000}"/>
    <cellStyle name="Normal 9 2 2 2 2 2 3 2 2 3" xfId="24122" xr:uid="{00000000-0005-0000-0000-000012D10000}"/>
    <cellStyle name="Normal 9 2 2 2 2 2 3 2 2 3 2" xfId="51255" xr:uid="{00000000-0005-0000-0000-000013D10000}"/>
    <cellStyle name="Normal 9 2 2 2 2 2 3 2 2 4" xfId="37693" xr:uid="{00000000-0005-0000-0000-000014D10000}"/>
    <cellStyle name="Normal 9 2 2 2 2 2 3 2 3" xfId="13946" xr:uid="{00000000-0005-0000-0000-000015D10000}"/>
    <cellStyle name="Normal 9 2 2 2 2 2 3 2 3 2" xfId="27514" xr:uid="{00000000-0005-0000-0000-000016D10000}"/>
    <cellStyle name="Normal 9 2 2 2 2 2 3 2 3 2 2" xfId="54647" xr:uid="{00000000-0005-0000-0000-000017D10000}"/>
    <cellStyle name="Normal 9 2 2 2 2 2 3 2 3 3" xfId="41085" xr:uid="{00000000-0005-0000-0000-000018D10000}"/>
    <cellStyle name="Normal 9 2 2 2 2 2 3 2 4" xfId="20733" xr:uid="{00000000-0005-0000-0000-000019D10000}"/>
    <cellStyle name="Normal 9 2 2 2 2 2 3 2 4 2" xfId="47866" xr:uid="{00000000-0005-0000-0000-00001AD10000}"/>
    <cellStyle name="Normal 9 2 2 2 2 2 3 2 5" xfId="34304" xr:uid="{00000000-0005-0000-0000-00001BD10000}"/>
    <cellStyle name="Normal 9 2 2 2 2 2 3 3" xfId="10544" xr:uid="{00000000-0005-0000-0000-00001CD10000}"/>
    <cellStyle name="Normal 9 2 2 2 2 2 3 3 2" xfId="17334" xr:uid="{00000000-0005-0000-0000-00001DD10000}"/>
    <cellStyle name="Normal 9 2 2 2 2 2 3 3 2 2" xfId="30902" xr:uid="{00000000-0005-0000-0000-00001ED10000}"/>
    <cellStyle name="Normal 9 2 2 2 2 2 3 3 2 2 2" xfId="58035" xr:uid="{00000000-0005-0000-0000-00001FD10000}"/>
    <cellStyle name="Normal 9 2 2 2 2 2 3 3 2 3" xfId="44473" xr:uid="{00000000-0005-0000-0000-000020D10000}"/>
    <cellStyle name="Normal 9 2 2 2 2 2 3 3 3" xfId="24121" xr:uid="{00000000-0005-0000-0000-000021D10000}"/>
    <cellStyle name="Normal 9 2 2 2 2 2 3 3 3 2" xfId="51254" xr:uid="{00000000-0005-0000-0000-000022D10000}"/>
    <cellStyle name="Normal 9 2 2 2 2 2 3 3 4" xfId="37692" xr:uid="{00000000-0005-0000-0000-000023D10000}"/>
    <cellStyle name="Normal 9 2 2 2 2 2 3 4" xfId="13945" xr:uid="{00000000-0005-0000-0000-000024D10000}"/>
    <cellStyle name="Normal 9 2 2 2 2 2 3 4 2" xfId="27513" xr:uid="{00000000-0005-0000-0000-000025D10000}"/>
    <cellStyle name="Normal 9 2 2 2 2 2 3 4 2 2" xfId="54646" xr:uid="{00000000-0005-0000-0000-000026D10000}"/>
    <cellStyle name="Normal 9 2 2 2 2 2 3 4 3" xfId="41084" xr:uid="{00000000-0005-0000-0000-000027D10000}"/>
    <cellStyle name="Normal 9 2 2 2 2 2 3 5" xfId="20732" xr:uid="{00000000-0005-0000-0000-000028D10000}"/>
    <cellStyle name="Normal 9 2 2 2 2 2 3 5 2" xfId="47865" xr:uid="{00000000-0005-0000-0000-000029D10000}"/>
    <cellStyle name="Normal 9 2 2 2 2 2 3 6" xfId="34303" xr:uid="{00000000-0005-0000-0000-00002AD10000}"/>
    <cellStyle name="Normal 9 2 2 2 2 2 4" xfId="7020" xr:uid="{00000000-0005-0000-0000-00002BD10000}"/>
    <cellStyle name="Normal 9 2 2 2 2 2 4 2" xfId="10546" xr:uid="{00000000-0005-0000-0000-00002CD10000}"/>
    <cellStyle name="Normal 9 2 2 2 2 2 4 2 2" xfId="17336" xr:uid="{00000000-0005-0000-0000-00002DD10000}"/>
    <cellStyle name="Normal 9 2 2 2 2 2 4 2 2 2" xfId="30904" xr:uid="{00000000-0005-0000-0000-00002ED10000}"/>
    <cellStyle name="Normal 9 2 2 2 2 2 4 2 2 2 2" xfId="58037" xr:uid="{00000000-0005-0000-0000-00002FD10000}"/>
    <cellStyle name="Normal 9 2 2 2 2 2 4 2 2 3" xfId="44475" xr:uid="{00000000-0005-0000-0000-000030D10000}"/>
    <cellStyle name="Normal 9 2 2 2 2 2 4 2 3" xfId="24123" xr:uid="{00000000-0005-0000-0000-000031D10000}"/>
    <cellStyle name="Normal 9 2 2 2 2 2 4 2 3 2" xfId="51256" xr:uid="{00000000-0005-0000-0000-000032D10000}"/>
    <cellStyle name="Normal 9 2 2 2 2 2 4 2 4" xfId="37694" xr:uid="{00000000-0005-0000-0000-000033D10000}"/>
    <cellStyle name="Normal 9 2 2 2 2 2 4 3" xfId="13947" xr:uid="{00000000-0005-0000-0000-000034D10000}"/>
    <cellStyle name="Normal 9 2 2 2 2 2 4 3 2" xfId="27515" xr:uid="{00000000-0005-0000-0000-000035D10000}"/>
    <cellStyle name="Normal 9 2 2 2 2 2 4 3 2 2" xfId="54648" xr:uid="{00000000-0005-0000-0000-000036D10000}"/>
    <cellStyle name="Normal 9 2 2 2 2 2 4 3 3" xfId="41086" xr:uid="{00000000-0005-0000-0000-000037D10000}"/>
    <cellStyle name="Normal 9 2 2 2 2 2 4 4" xfId="20734" xr:uid="{00000000-0005-0000-0000-000038D10000}"/>
    <cellStyle name="Normal 9 2 2 2 2 2 4 4 2" xfId="47867" xr:uid="{00000000-0005-0000-0000-000039D10000}"/>
    <cellStyle name="Normal 9 2 2 2 2 2 4 5" xfId="34305" xr:uid="{00000000-0005-0000-0000-00003AD10000}"/>
    <cellStyle name="Normal 9 2 2 2 2 2 5" xfId="7021" xr:uid="{00000000-0005-0000-0000-00003BD10000}"/>
    <cellStyle name="Normal 9 2 2 2 2 2 5 2" xfId="10547" xr:uid="{00000000-0005-0000-0000-00003CD10000}"/>
    <cellStyle name="Normal 9 2 2 2 2 2 5 2 2" xfId="17337" xr:uid="{00000000-0005-0000-0000-00003DD10000}"/>
    <cellStyle name="Normal 9 2 2 2 2 2 5 2 2 2" xfId="30905" xr:uid="{00000000-0005-0000-0000-00003ED10000}"/>
    <cellStyle name="Normal 9 2 2 2 2 2 5 2 2 2 2" xfId="58038" xr:uid="{00000000-0005-0000-0000-00003FD10000}"/>
    <cellStyle name="Normal 9 2 2 2 2 2 5 2 2 3" xfId="44476" xr:uid="{00000000-0005-0000-0000-000040D10000}"/>
    <cellStyle name="Normal 9 2 2 2 2 2 5 2 3" xfId="24124" xr:uid="{00000000-0005-0000-0000-000041D10000}"/>
    <cellStyle name="Normal 9 2 2 2 2 2 5 2 3 2" xfId="51257" xr:uid="{00000000-0005-0000-0000-000042D10000}"/>
    <cellStyle name="Normal 9 2 2 2 2 2 5 2 4" xfId="37695" xr:uid="{00000000-0005-0000-0000-000043D10000}"/>
    <cellStyle name="Normal 9 2 2 2 2 2 5 3" xfId="13948" xr:uid="{00000000-0005-0000-0000-000044D10000}"/>
    <cellStyle name="Normal 9 2 2 2 2 2 5 3 2" xfId="27516" xr:uid="{00000000-0005-0000-0000-000045D10000}"/>
    <cellStyle name="Normal 9 2 2 2 2 2 5 3 2 2" xfId="54649" xr:uid="{00000000-0005-0000-0000-000046D10000}"/>
    <cellStyle name="Normal 9 2 2 2 2 2 5 3 3" xfId="41087" xr:uid="{00000000-0005-0000-0000-000047D10000}"/>
    <cellStyle name="Normal 9 2 2 2 2 2 5 4" xfId="20735" xr:uid="{00000000-0005-0000-0000-000048D10000}"/>
    <cellStyle name="Normal 9 2 2 2 2 2 5 4 2" xfId="47868" xr:uid="{00000000-0005-0000-0000-000049D10000}"/>
    <cellStyle name="Normal 9 2 2 2 2 2 5 5" xfId="34306" xr:uid="{00000000-0005-0000-0000-00004AD10000}"/>
    <cellStyle name="Normal 9 2 2 2 2 2 6" xfId="10540" xr:uid="{00000000-0005-0000-0000-00004BD10000}"/>
    <cellStyle name="Normal 9 2 2 2 2 2 6 2" xfId="17330" xr:uid="{00000000-0005-0000-0000-00004CD10000}"/>
    <cellStyle name="Normal 9 2 2 2 2 2 6 2 2" xfId="30898" xr:uid="{00000000-0005-0000-0000-00004DD10000}"/>
    <cellStyle name="Normal 9 2 2 2 2 2 6 2 2 2" xfId="58031" xr:uid="{00000000-0005-0000-0000-00004ED10000}"/>
    <cellStyle name="Normal 9 2 2 2 2 2 6 2 3" xfId="44469" xr:uid="{00000000-0005-0000-0000-00004FD10000}"/>
    <cellStyle name="Normal 9 2 2 2 2 2 6 3" xfId="24117" xr:uid="{00000000-0005-0000-0000-000050D10000}"/>
    <cellStyle name="Normal 9 2 2 2 2 2 6 3 2" xfId="51250" xr:uid="{00000000-0005-0000-0000-000051D10000}"/>
    <cellStyle name="Normal 9 2 2 2 2 2 6 4" xfId="37688" xr:uid="{00000000-0005-0000-0000-000052D10000}"/>
    <cellStyle name="Normal 9 2 2 2 2 2 7" xfId="13941" xr:uid="{00000000-0005-0000-0000-000053D10000}"/>
    <cellStyle name="Normal 9 2 2 2 2 2 7 2" xfId="27509" xr:uid="{00000000-0005-0000-0000-000054D10000}"/>
    <cellStyle name="Normal 9 2 2 2 2 2 7 2 2" xfId="54642" xr:uid="{00000000-0005-0000-0000-000055D10000}"/>
    <cellStyle name="Normal 9 2 2 2 2 2 7 3" xfId="41080" xr:uid="{00000000-0005-0000-0000-000056D10000}"/>
    <cellStyle name="Normal 9 2 2 2 2 2 8" xfId="20728" xr:uid="{00000000-0005-0000-0000-000057D10000}"/>
    <cellStyle name="Normal 9 2 2 2 2 2 8 2" xfId="47861" xr:uid="{00000000-0005-0000-0000-000058D10000}"/>
    <cellStyle name="Normal 9 2 2 2 2 2 9" xfId="34299" xr:uid="{00000000-0005-0000-0000-000059D10000}"/>
    <cellStyle name="Normal 9 2 2 2 2 3" xfId="7022" xr:uid="{00000000-0005-0000-0000-00005AD10000}"/>
    <cellStyle name="Normal 9 2 2 2 2 3 2" xfId="7023" xr:uid="{00000000-0005-0000-0000-00005BD10000}"/>
    <cellStyle name="Normal 9 2 2 2 2 3 2 2" xfId="10549" xr:uid="{00000000-0005-0000-0000-00005CD10000}"/>
    <cellStyle name="Normal 9 2 2 2 2 3 2 2 2" xfId="17339" xr:uid="{00000000-0005-0000-0000-00005DD10000}"/>
    <cellStyle name="Normal 9 2 2 2 2 3 2 2 2 2" xfId="30907" xr:uid="{00000000-0005-0000-0000-00005ED10000}"/>
    <cellStyle name="Normal 9 2 2 2 2 3 2 2 2 2 2" xfId="58040" xr:uid="{00000000-0005-0000-0000-00005FD10000}"/>
    <cellStyle name="Normal 9 2 2 2 2 3 2 2 2 3" xfId="44478" xr:uid="{00000000-0005-0000-0000-000060D10000}"/>
    <cellStyle name="Normal 9 2 2 2 2 3 2 2 3" xfId="24126" xr:uid="{00000000-0005-0000-0000-000061D10000}"/>
    <cellStyle name="Normal 9 2 2 2 2 3 2 2 3 2" xfId="51259" xr:uid="{00000000-0005-0000-0000-000062D10000}"/>
    <cellStyle name="Normal 9 2 2 2 2 3 2 2 4" xfId="37697" xr:uid="{00000000-0005-0000-0000-000063D10000}"/>
    <cellStyle name="Normal 9 2 2 2 2 3 2 3" xfId="13950" xr:uid="{00000000-0005-0000-0000-000064D10000}"/>
    <cellStyle name="Normal 9 2 2 2 2 3 2 3 2" xfId="27518" xr:uid="{00000000-0005-0000-0000-000065D10000}"/>
    <cellStyle name="Normal 9 2 2 2 2 3 2 3 2 2" xfId="54651" xr:uid="{00000000-0005-0000-0000-000066D10000}"/>
    <cellStyle name="Normal 9 2 2 2 2 3 2 3 3" xfId="41089" xr:uid="{00000000-0005-0000-0000-000067D10000}"/>
    <cellStyle name="Normal 9 2 2 2 2 3 2 4" xfId="20737" xr:uid="{00000000-0005-0000-0000-000068D10000}"/>
    <cellStyle name="Normal 9 2 2 2 2 3 2 4 2" xfId="47870" xr:uid="{00000000-0005-0000-0000-000069D10000}"/>
    <cellStyle name="Normal 9 2 2 2 2 3 2 5" xfId="34308" xr:uid="{00000000-0005-0000-0000-00006AD10000}"/>
    <cellStyle name="Normal 9 2 2 2 2 3 3" xfId="7024" xr:uid="{00000000-0005-0000-0000-00006BD10000}"/>
    <cellStyle name="Normal 9 2 2 2 2 3 3 2" xfId="10550" xr:uid="{00000000-0005-0000-0000-00006CD10000}"/>
    <cellStyle name="Normal 9 2 2 2 2 3 3 2 2" xfId="17340" xr:uid="{00000000-0005-0000-0000-00006DD10000}"/>
    <cellStyle name="Normal 9 2 2 2 2 3 3 2 2 2" xfId="30908" xr:uid="{00000000-0005-0000-0000-00006ED10000}"/>
    <cellStyle name="Normal 9 2 2 2 2 3 3 2 2 2 2" xfId="58041" xr:uid="{00000000-0005-0000-0000-00006FD10000}"/>
    <cellStyle name="Normal 9 2 2 2 2 3 3 2 2 3" xfId="44479" xr:uid="{00000000-0005-0000-0000-000070D10000}"/>
    <cellStyle name="Normal 9 2 2 2 2 3 3 2 3" xfId="24127" xr:uid="{00000000-0005-0000-0000-000071D10000}"/>
    <cellStyle name="Normal 9 2 2 2 2 3 3 2 3 2" xfId="51260" xr:uid="{00000000-0005-0000-0000-000072D10000}"/>
    <cellStyle name="Normal 9 2 2 2 2 3 3 2 4" xfId="37698" xr:uid="{00000000-0005-0000-0000-000073D10000}"/>
    <cellStyle name="Normal 9 2 2 2 2 3 3 3" xfId="13951" xr:uid="{00000000-0005-0000-0000-000074D10000}"/>
    <cellStyle name="Normal 9 2 2 2 2 3 3 3 2" xfId="27519" xr:uid="{00000000-0005-0000-0000-000075D10000}"/>
    <cellStyle name="Normal 9 2 2 2 2 3 3 3 2 2" xfId="54652" xr:uid="{00000000-0005-0000-0000-000076D10000}"/>
    <cellStyle name="Normal 9 2 2 2 2 3 3 3 3" xfId="41090" xr:uid="{00000000-0005-0000-0000-000077D10000}"/>
    <cellStyle name="Normal 9 2 2 2 2 3 3 4" xfId="20738" xr:uid="{00000000-0005-0000-0000-000078D10000}"/>
    <cellStyle name="Normal 9 2 2 2 2 3 3 4 2" xfId="47871" xr:uid="{00000000-0005-0000-0000-000079D10000}"/>
    <cellStyle name="Normal 9 2 2 2 2 3 3 5" xfId="34309" xr:uid="{00000000-0005-0000-0000-00007AD10000}"/>
    <cellStyle name="Normal 9 2 2 2 2 3 4" xfId="10548" xr:uid="{00000000-0005-0000-0000-00007BD10000}"/>
    <cellStyle name="Normal 9 2 2 2 2 3 4 2" xfId="17338" xr:uid="{00000000-0005-0000-0000-00007CD10000}"/>
    <cellStyle name="Normal 9 2 2 2 2 3 4 2 2" xfId="30906" xr:uid="{00000000-0005-0000-0000-00007DD10000}"/>
    <cellStyle name="Normal 9 2 2 2 2 3 4 2 2 2" xfId="58039" xr:uid="{00000000-0005-0000-0000-00007ED10000}"/>
    <cellStyle name="Normal 9 2 2 2 2 3 4 2 3" xfId="44477" xr:uid="{00000000-0005-0000-0000-00007FD10000}"/>
    <cellStyle name="Normal 9 2 2 2 2 3 4 3" xfId="24125" xr:uid="{00000000-0005-0000-0000-000080D10000}"/>
    <cellStyle name="Normal 9 2 2 2 2 3 4 3 2" xfId="51258" xr:uid="{00000000-0005-0000-0000-000081D10000}"/>
    <cellStyle name="Normal 9 2 2 2 2 3 4 4" xfId="37696" xr:uid="{00000000-0005-0000-0000-000082D10000}"/>
    <cellStyle name="Normal 9 2 2 2 2 3 5" xfId="13949" xr:uid="{00000000-0005-0000-0000-000083D10000}"/>
    <cellStyle name="Normal 9 2 2 2 2 3 5 2" xfId="27517" xr:uid="{00000000-0005-0000-0000-000084D10000}"/>
    <cellStyle name="Normal 9 2 2 2 2 3 5 2 2" xfId="54650" xr:uid="{00000000-0005-0000-0000-000085D10000}"/>
    <cellStyle name="Normal 9 2 2 2 2 3 5 3" xfId="41088" xr:uid="{00000000-0005-0000-0000-000086D10000}"/>
    <cellStyle name="Normal 9 2 2 2 2 3 6" xfId="20736" xr:uid="{00000000-0005-0000-0000-000087D10000}"/>
    <cellStyle name="Normal 9 2 2 2 2 3 6 2" xfId="47869" xr:uid="{00000000-0005-0000-0000-000088D10000}"/>
    <cellStyle name="Normal 9 2 2 2 2 3 7" xfId="34307" xr:uid="{00000000-0005-0000-0000-000089D10000}"/>
    <cellStyle name="Normal 9 2 2 2 2 4" xfId="7025" xr:uid="{00000000-0005-0000-0000-00008AD10000}"/>
    <cellStyle name="Normal 9 2 2 2 2 4 2" xfId="7026" xr:uid="{00000000-0005-0000-0000-00008BD10000}"/>
    <cellStyle name="Normal 9 2 2 2 2 4 2 2" xfId="10552" xr:uid="{00000000-0005-0000-0000-00008CD10000}"/>
    <cellStyle name="Normal 9 2 2 2 2 4 2 2 2" xfId="17342" xr:uid="{00000000-0005-0000-0000-00008DD10000}"/>
    <cellStyle name="Normal 9 2 2 2 2 4 2 2 2 2" xfId="30910" xr:uid="{00000000-0005-0000-0000-00008ED10000}"/>
    <cellStyle name="Normal 9 2 2 2 2 4 2 2 2 2 2" xfId="58043" xr:uid="{00000000-0005-0000-0000-00008FD10000}"/>
    <cellStyle name="Normal 9 2 2 2 2 4 2 2 2 3" xfId="44481" xr:uid="{00000000-0005-0000-0000-000090D10000}"/>
    <cellStyle name="Normal 9 2 2 2 2 4 2 2 3" xfId="24129" xr:uid="{00000000-0005-0000-0000-000091D10000}"/>
    <cellStyle name="Normal 9 2 2 2 2 4 2 2 3 2" xfId="51262" xr:uid="{00000000-0005-0000-0000-000092D10000}"/>
    <cellStyle name="Normal 9 2 2 2 2 4 2 2 4" xfId="37700" xr:uid="{00000000-0005-0000-0000-000093D10000}"/>
    <cellStyle name="Normal 9 2 2 2 2 4 2 3" xfId="13953" xr:uid="{00000000-0005-0000-0000-000094D10000}"/>
    <cellStyle name="Normal 9 2 2 2 2 4 2 3 2" xfId="27521" xr:uid="{00000000-0005-0000-0000-000095D10000}"/>
    <cellStyle name="Normal 9 2 2 2 2 4 2 3 2 2" xfId="54654" xr:uid="{00000000-0005-0000-0000-000096D10000}"/>
    <cellStyle name="Normal 9 2 2 2 2 4 2 3 3" xfId="41092" xr:uid="{00000000-0005-0000-0000-000097D10000}"/>
    <cellStyle name="Normal 9 2 2 2 2 4 2 4" xfId="20740" xr:uid="{00000000-0005-0000-0000-000098D10000}"/>
    <cellStyle name="Normal 9 2 2 2 2 4 2 4 2" xfId="47873" xr:uid="{00000000-0005-0000-0000-000099D10000}"/>
    <cellStyle name="Normal 9 2 2 2 2 4 2 5" xfId="34311" xr:uid="{00000000-0005-0000-0000-00009AD10000}"/>
    <cellStyle name="Normal 9 2 2 2 2 4 3" xfId="10551" xr:uid="{00000000-0005-0000-0000-00009BD10000}"/>
    <cellStyle name="Normal 9 2 2 2 2 4 3 2" xfId="17341" xr:uid="{00000000-0005-0000-0000-00009CD10000}"/>
    <cellStyle name="Normal 9 2 2 2 2 4 3 2 2" xfId="30909" xr:uid="{00000000-0005-0000-0000-00009DD10000}"/>
    <cellStyle name="Normal 9 2 2 2 2 4 3 2 2 2" xfId="58042" xr:uid="{00000000-0005-0000-0000-00009ED10000}"/>
    <cellStyle name="Normal 9 2 2 2 2 4 3 2 3" xfId="44480" xr:uid="{00000000-0005-0000-0000-00009FD10000}"/>
    <cellStyle name="Normal 9 2 2 2 2 4 3 3" xfId="24128" xr:uid="{00000000-0005-0000-0000-0000A0D10000}"/>
    <cellStyle name="Normal 9 2 2 2 2 4 3 3 2" xfId="51261" xr:uid="{00000000-0005-0000-0000-0000A1D10000}"/>
    <cellStyle name="Normal 9 2 2 2 2 4 3 4" xfId="37699" xr:uid="{00000000-0005-0000-0000-0000A2D10000}"/>
    <cellStyle name="Normal 9 2 2 2 2 4 4" xfId="13952" xr:uid="{00000000-0005-0000-0000-0000A3D10000}"/>
    <cellStyle name="Normal 9 2 2 2 2 4 4 2" xfId="27520" xr:uid="{00000000-0005-0000-0000-0000A4D10000}"/>
    <cellStyle name="Normal 9 2 2 2 2 4 4 2 2" xfId="54653" xr:uid="{00000000-0005-0000-0000-0000A5D10000}"/>
    <cellStyle name="Normal 9 2 2 2 2 4 4 3" xfId="41091" xr:uid="{00000000-0005-0000-0000-0000A6D10000}"/>
    <cellStyle name="Normal 9 2 2 2 2 4 5" xfId="20739" xr:uid="{00000000-0005-0000-0000-0000A7D10000}"/>
    <cellStyle name="Normal 9 2 2 2 2 4 5 2" xfId="47872" xr:uid="{00000000-0005-0000-0000-0000A8D10000}"/>
    <cellStyle name="Normal 9 2 2 2 2 4 6" xfId="34310" xr:uid="{00000000-0005-0000-0000-0000A9D10000}"/>
    <cellStyle name="Normal 9 2 2 2 2 5" xfId="7027" xr:uid="{00000000-0005-0000-0000-0000AAD10000}"/>
    <cellStyle name="Normal 9 2 2 2 2 5 2" xfId="10553" xr:uid="{00000000-0005-0000-0000-0000ABD10000}"/>
    <cellStyle name="Normal 9 2 2 2 2 5 2 2" xfId="17343" xr:uid="{00000000-0005-0000-0000-0000ACD10000}"/>
    <cellStyle name="Normal 9 2 2 2 2 5 2 2 2" xfId="30911" xr:uid="{00000000-0005-0000-0000-0000ADD10000}"/>
    <cellStyle name="Normal 9 2 2 2 2 5 2 2 2 2" xfId="58044" xr:uid="{00000000-0005-0000-0000-0000AED10000}"/>
    <cellStyle name="Normal 9 2 2 2 2 5 2 2 3" xfId="44482" xr:uid="{00000000-0005-0000-0000-0000AFD10000}"/>
    <cellStyle name="Normal 9 2 2 2 2 5 2 3" xfId="24130" xr:uid="{00000000-0005-0000-0000-0000B0D10000}"/>
    <cellStyle name="Normal 9 2 2 2 2 5 2 3 2" xfId="51263" xr:uid="{00000000-0005-0000-0000-0000B1D10000}"/>
    <cellStyle name="Normal 9 2 2 2 2 5 2 4" xfId="37701" xr:uid="{00000000-0005-0000-0000-0000B2D10000}"/>
    <cellStyle name="Normal 9 2 2 2 2 5 3" xfId="13954" xr:uid="{00000000-0005-0000-0000-0000B3D10000}"/>
    <cellStyle name="Normal 9 2 2 2 2 5 3 2" xfId="27522" xr:uid="{00000000-0005-0000-0000-0000B4D10000}"/>
    <cellStyle name="Normal 9 2 2 2 2 5 3 2 2" xfId="54655" xr:uid="{00000000-0005-0000-0000-0000B5D10000}"/>
    <cellStyle name="Normal 9 2 2 2 2 5 3 3" xfId="41093" xr:uid="{00000000-0005-0000-0000-0000B6D10000}"/>
    <cellStyle name="Normal 9 2 2 2 2 5 4" xfId="20741" xr:uid="{00000000-0005-0000-0000-0000B7D10000}"/>
    <cellStyle name="Normal 9 2 2 2 2 5 4 2" xfId="47874" xr:uid="{00000000-0005-0000-0000-0000B8D10000}"/>
    <cellStyle name="Normal 9 2 2 2 2 5 5" xfId="34312" xr:uid="{00000000-0005-0000-0000-0000B9D10000}"/>
    <cellStyle name="Normal 9 2 2 2 2 6" xfId="7028" xr:uid="{00000000-0005-0000-0000-0000BAD10000}"/>
    <cellStyle name="Normal 9 2 2 2 2 6 2" xfId="10554" xr:uid="{00000000-0005-0000-0000-0000BBD10000}"/>
    <cellStyle name="Normal 9 2 2 2 2 6 2 2" xfId="17344" xr:uid="{00000000-0005-0000-0000-0000BCD10000}"/>
    <cellStyle name="Normal 9 2 2 2 2 6 2 2 2" xfId="30912" xr:uid="{00000000-0005-0000-0000-0000BDD10000}"/>
    <cellStyle name="Normal 9 2 2 2 2 6 2 2 2 2" xfId="58045" xr:uid="{00000000-0005-0000-0000-0000BED10000}"/>
    <cellStyle name="Normal 9 2 2 2 2 6 2 2 3" xfId="44483" xr:uid="{00000000-0005-0000-0000-0000BFD10000}"/>
    <cellStyle name="Normal 9 2 2 2 2 6 2 3" xfId="24131" xr:uid="{00000000-0005-0000-0000-0000C0D10000}"/>
    <cellStyle name="Normal 9 2 2 2 2 6 2 3 2" xfId="51264" xr:uid="{00000000-0005-0000-0000-0000C1D10000}"/>
    <cellStyle name="Normal 9 2 2 2 2 6 2 4" xfId="37702" xr:uid="{00000000-0005-0000-0000-0000C2D10000}"/>
    <cellStyle name="Normal 9 2 2 2 2 6 3" xfId="13955" xr:uid="{00000000-0005-0000-0000-0000C3D10000}"/>
    <cellStyle name="Normal 9 2 2 2 2 6 3 2" xfId="27523" xr:uid="{00000000-0005-0000-0000-0000C4D10000}"/>
    <cellStyle name="Normal 9 2 2 2 2 6 3 2 2" xfId="54656" xr:uid="{00000000-0005-0000-0000-0000C5D10000}"/>
    <cellStyle name="Normal 9 2 2 2 2 6 3 3" xfId="41094" xr:uid="{00000000-0005-0000-0000-0000C6D10000}"/>
    <cellStyle name="Normal 9 2 2 2 2 6 4" xfId="20742" xr:uid="{00000000-0005-0000-0000-0000C7D10000}"/>
    <cellStyle name="Normal 9 2 2 2 2 6 4 2" xfId="47875" xr:uid="{00000000-0005-0000-0000-0000C8D10000}"/>
    <cellStyle name="Normal 9 2 2 2 2 6 5" xfId="34313" xr:uid="{00000000-0005-0000-0000-0000C9D10000}"/>
    <cellStyle name="Normal 9 2 2 2 2 7" xfId="10539" xr:uid="{00000000-0005-0000-0000-0000CAD10000}"/>
    <cellStyle name="Normal 9 2 2 2 2 7 2" xfId="17329" xr:uid="{00000000-0005-0000-0000-0000CBD10000}"/>
    <cellStyle name="Normal 9 2 2 2 2 7 2 2" xfId="30897" xr:uid="{00000000-0005-0000-0000-0000CCD10000}"/>
    <cellStyle name="Normal 9 2 2 2 2 7 2 2 2" xfId="58030" xr:uid="{00000000-0005-0000-0000-0000CDD10000}"/>
    <cellStyle name="Normal 9 2 2 2 2 7 2 3" xfId="44468" xr:uid="{00000000-0005-0000-0000-0000CED10000}"/>
    <cellStyle name="Normal 9 2 2 2 2 7 3" xfId="24116" xr:uid="{00000000-0005-0000-0000-0000CFD10000}"/>
    <cellStyle name="Normal 9 2 2 2 2 7 3 2" xfId="51249" xr:uid="{00000000-0005-0000-0000-0000D0D10000}"/>
    <cellStyle name="Normal 9 2 2 2 2 7 4" xfId="37687" xr:uid="{00000000-0005-0000-0000-0000D1D10000}"/>
    <cellStyle name="Normal 9 2 2 2 2 8" xfId="13940" xr:uid="{00000000-0005-0000-0000-0000D2D10000}"/>
    <cellStyle name="Normal 9 2 2 2 2 8 2" xfId="27508" xr:uid="{00000000-0005-0000-0000-0000D3D10000}"/>
    <cellStyle name="Normal 9 2 2 2 2 8 2 2" xfId="54641" xr:uid="{00000000-0005-0000-0000-0000D4D10000}"/>
    <cellStyle name="Normal 9 2 2 2 2 8 3" xfId="41079" xr:uid="{00000000-0005-0000-0000-0000D5D10000}"/>
    <cellStyle name="Normal 9 2 2 2 2 9" xfId="20727" xr:uid="{00000000-0005-0000-0000-0000D6D10000}"/>
    <cellStyle name="Normal 9 2 2 2 2 9 2" xfId="47860" xr:uid="{00000000-0005-0000-0000-0000D7D10000}"/>
    <cellStyle name="Normal 9 2 2 2 3" xfId="7029" xr:uid="{00000000-0005-0000-0000-0000D8D10000}"/>
    <cellStyle name="Normal 9 2 2 2 3 2" xfId="7030" xr:uid="{00000000-0005-0000-0000-0000D9D10000}"/>
    <cellStyle name="Normal 9 2 2 2 3 2 2" xfId="7031" xr:uid="{00000000-0005-0000-0000-0000DAD10000}"/>
    <cellStyle name="Normal 9 2 2 2 3 2 2 2" xfId="10557" xr:uid="{00000000-0005-0000-0000-0000DBD10000}"/>
    <cellStyle name="Normal 9 2 2 2 3 2 2 2 2" xfId="17347" xr:uid="{00000000-0005-0000-0000-0000DCD10000}"/>
    <cellStyle name="Normal 9 2 2 2 3 2 2 2 2 2" xfId="30915" xr:uid="{00000000-0005-0000-0000-0000DDD10000}"/>
    <cellStyle name="Normal 9 2 2 2 3 2 2 2 2 2 2" xfId="58048" xr:uid="{00000000-0005-0000-0000-0000DED10000}"/>
    <cellStyle name="Normal 9 2 2 2 3 2 2 2 2 3" xfId="44486" xr:uid="{00000000-0005-0000-0000-0000DFD10000}"/>
    <cellStyle name="Normal 9 2 2 2 3 2 2 2 3" xfId="24134" xr:uid="{00000000-0005-0000-0000-0000E0D10000}"/>
    <cellStyle name="Normal 9 2 2 2 3 2 2 2 3 2" xfId="51267" xr:uid="{00000000-0005-0000-0000-0000E1D10000}"/>
    <cellStyle name="Normal 9 2 2 2 3 2 2 2 4" xfId="37705" xr:uid="{00000000-0005-0000-0000-0000E2D10000}"/>
    <cellStyle name="Normal 9 2 2 2 3 2 2 3" xfId="13958" xr:uid="{00000000-0005-0000-0000-0000E3D10000}"/>
    <cellStyle name="Normal 9 2 2 2 3 2 2 3 2" xfId="27526" xr:uid="{00000000-0005-0000-0000-0000E4D10000}"/>
    <cellStyle name="Normal 9 2 2 2 3 2 2 3 2 2" xfId="54659" xr:uid="{00000000-0005-0000-0000-0000E5D10000}"/>
    <cellStyle name="Normal 9 2 2 2 3 2 2 3 3" xfId="41097" xr:uid="{00000000-0005-0000-0000-0000E6D10000}"/>
    <cellStyle name="Normal 9 2 2 2 3 2 2 4" xfId="20745" xr:uid="{00000000-0005-0000-0000-0000E7D10000}"/>
    <cellStyle name="Normal 9 2 2 2 3 2 2 4 2" xfId="47878" xr:uid="{00000000-0005-0000-0000-0000E8D10000}"/>
    <cellStyle name="Normal 9 2 2 2 3 2 2 5" xfId="34316" xr:uid="{00000000-0005-0000-0000-0000E9D10000}"/>
    <cellStyle name="Normal 9 2 2 2 3 2 3" xfId="7032" xr:uid="{00000000-0005-0000-0000-0000EAD10000}"/>
    <cellStyle name="Normal 9 2 2 2 3 2 3 2" xfId="10558" xr:uid="{00000000-0005-0000-0000-0000EBD10000}"/>
    <cellStyle name="Normal 9 2 2 2 3 2 3 2 2" xfId="17348" xr:uid="{00000000-0005-0000-0000-0000ECD10000}"/>
    <cellStyle name="Normal 9 2 2 2 3 2 3 2 2 2" xfId="30916" xr:uid="{00000000-0005-0000-0000-0000EDD10000}"/>
    <cellStyle name="Normal 9 2 2 2 3 2 3 2 2 2 2" xfId="58049" xr:uid="{00000000-0005-0000-0000-0000EED10000}"/>
    <cellStyle name="Normal 9 2 2 2 3 2 3 2 2 3" xfId="44487" xr:uid="{00000000-0005-0000-0000-0000EFD10000}"/>
    <cellStyle name="Normal 9 2 2 2 3 2 3 2 3" xfId="24135" xr:uid="{00000000-0005-0000-0000-0000F0D10000}"/>
    <cellStyle name="Normal 9 2 2 2 3 2 3 2 3 2" xfId="51268" xr:uid="{00000000-0005-0000-0000-0000F1D10000}"/>
    <cellStyle name="Normal 9 2 2 2 3 2 3 2 4" xfId="37706" xr:uid="{00000000-0005-0000-0000-0000F2D10000}"/>
    <cellStyle name="Normal 9 2 2 2 3 2 3 3" xfId="13959" xr:uid="{00000000-0005-0000-0000-0000F3D10000}"/>
    <cellStyle name="Normal 9 2 2 2 3 2 3 3 2" xfId="27527" xr:uid="{00000000-0005-0000-0000-0000F4D10000}"/>
    <cellStyle name="Normal 9 2 2 2 3 2 3 3 2 2" xfId="54660" xr:uid="{00000000-0005-0000-0000-0000F5D10000}"/>
    <cellStyle name="Normal 9 2 2 2 3 2 3 3 3" xfId="41098" xr:uid="{00000000-0005-0000-0000-0000F6D10000}"/>
    <cellStyle name="Normal 9 2 2 2 3 2 3 4" xfId="20746" xr:uid="{00000000-0005-0000-0000-0000F7D10000}"/>
    <cellStyle name="Normal 9 2 2 2 3 2 3 4 2" xfId="47879" xr:uid="{00000000-0005-0000-0000-0000F8D10000}"/>
    <cellStyle name="Normal 9 2 2 2 3 2 3 5" xfId="34317" xr:uid="{00000000-0005-0000-0000-0000F9D10000}"/>
    <cellStyle name="Normal 9 2 2 2 3 2 4" xfId="10556" xr:uid="{00000000-0005-0000-0000-0000FAD10000}"/>
    <cellStyle name="Normal 9 2 2 2 3 2 4 2" xfId="17346" xr:uid="{00000000-0005-0000-0000-0000FBD10000}"/>
    <cellStyle name="Normal 9 2 2 2 3 2 4 2 2" xfId="30914" xr:uid="{00000000-0005-0000-0000-0000FCD10000}"/>
    <cellStyle name="Normal 9 2 2 2 3 2 4 2 2 2" xfId="58047" xr:uid="{00000000-0005-0000-0000-0000FDD10000}"/>
    <cellStyle name="Normal 9 2 2 2 3 2 4 2 3" xfId="44485" xr:uid="{00000000-0005-0000-0000-0000FED10000}"/>
    <cellStyle name="Normal 9 2 2 2 3 2 4 3" xfId="24133" xr:uid="{00000000-0005-0000-0000-0000FFD10000}"/>
    <cellStyle name="Normal 9 2 2 2 3 2 4 3 2" xfId="51266" xr:uid="{00000000-0005-0000-0000-000000D20000}"/>
    <cellStyle name="Normal 9 2 2 2 3 2 4 4" xfId="37704" xr:uid="{00000000-0005-0000-0000-000001D20000}"/>
    <cellStyle name="Normal 9 2 2 2 3 2 5" xfId="13957" xr:uid="{00000000-0005-0000-0000-000002D20000}"/>
    <cellStyle name="Normal 9 2 2 2 3 2 5 2" xfId="27525" xr:uid="{00000000-0005-0000-0000-000003D20000}"/>
    <cellStyle name="Normal 9 2 2 2 3 2 5 2 2" xfId="54658" xr:uid="{00000000-0005-0000-0000-000004D20000}"/>
    <cellStyle name="Normal 9 2 2 2 3 2 5 3" xfId="41096" xr:uid="{00000000-0005-0000-0000-000005D20000}"/>
    <cellStyle name="Normal 9 2 2 2 3 2 6" xfId="20744" xr:uid="{00000000-0005-0000-0000-000006D20000}"/>
    <cellStyle name="Normal 9 2 2 2 3 2 6 2" xfId="47877" xr:uid="{00000000-0005-0000-0000-000007D20000}"/>
    <cellStyle name="Normal 9 2 2 2 3 2 7" xfId="34315" xr:uid="{00000000-0005-0000-0000-000008D20000}"/>
    <cellStyle name="Normal 9 2 2 2 3 3" xfId="7033" xr:uid="{00000000-0005-0000-0000-000009D20000}"/>
    <cellStyle name="Normal 9 2 2 2 3 3 2" xfId="7034" xr:uid="{00000000-0005-0000-0000-00000AD20000}"/>
    <cellStyle name="Normal 9 2 2 2 3 3 2 2" xfId="10560" xr:uid="{00000000-0005-0000-0000-00000BD20000}"/>
    <cellStyle name="Normal 9 2 2 2 3 3 2 2 2" xfId="17350" xr:uid="{00000000-0005-0000-0000-00000CD20000}"/>
    <cellStyle name="Normal 9 2 2 2 3 3 2 2 2 2" xfId="30918" xr:uid="{00000000-0005-0000-0000-00000DD20000}"/>
    <cellStyle name="Normal 9 2 2 2 3 3 2 2 2 2 2" xfId="58051" xr:uid="{00000000-0005-0000-0000-00000ED20000}"/>
    <cellStyle name="Normal 9 2 2 2 3 3 2 2 2 3" xfId="44489" xr:uid="{00000000-0005-0000-0000-00000FD20000}"/>
    <cellStyle name="Normal 9 2 2 2 3 3 2 2 3" xfId="24137" xr:uid="{00000000-0005-0000-0000-000010D20000}"/>
    <cellStyle name="Normal 9 2 2 2 3 3 2 2 3 2" xfId="51270" xr:uid="{00000000-0005-0000-0000-000011D20000}"/>
    <cellStyle name="Normal 9 2 2 2 3 3 2 2 4" xfId="37708" xr:uid="{00000000-0005-0000-0000-000012D20000}"/>
    <cellStyle name="Normal 9 2 2 2 3 3 2 3" xfId="13961" xr:uid="{00000000-0005-0000-0000-000013D20000}"/>
    <cellStyle name="Normal 9 2 2 2 3 3 2 3 2" xfId="27529" xr:uid="{00000000-0005-0000-0000-000014D20000}"/>
    <cellStyle name="Normal 9 2 2 2 3 3 2 3 2 2" xfId="54662" xr:uid="{00000000-0005-0000-0000-000015D20000}"/>
    <cellStyle name="Normal 9 2 2 2 3 3 2 3 3" xfId="41100" xr:uid="{00000000-0005-0000-0000-000016D20000}"/>
    <cellStyle name="Normal 9 2 2 2 3 3 2 4" xfId="20748" xr:uid="{00000000-0005-0000-0000-000017D20000}"/>
    <cellStyle name="Normal 9 2 2 2 3 3 2 4 2" xfId="47881" xr:uid="{00000000-0005-0000-0000-000018D20000}"/>
    <cellStyle name="Normal 9 2 2 2 3 3 2 5" xfId="34319" xr:uid="{00000000-0005-0000-0000-000019D20000}"/>
    <cellStyle name="Normal 9 2 2 2 3 3 3" xfId="10559" xr:uid="{00000000-0005-0000-0000-00001AD20000}"/>
    <cellStyle name="Normal 9 2 2 2 3 3 3 2" xfId="17349" xr:uid="{00000000-0005-0000-0000-00001BD20000}"/>
    <cellStyle name="Normal 9 2 2 2 3 3 3 2 2" xfId="30917" xr:uid="{00000000-0005-0000-0000-00001CD20000}"/>
    <cellStyle name="Normal 9 2 2 2 3 3 3 2 2 2" xfId="58050" xr:uid="{00000000-0005-0000-0000-00001DD20000}"/>
    <cellStyle name="Normal 9 2 2 2 3 3 3 2 3" xfId="44488" xr:uid="{00000000-0005-0000-0000-00001ED20000}"/>
    <cellStyle name="Normal 9 2 2 2 3 3 3 3" xfId="24136" xr:uid="{00000000-0005-0000-0000-00001FD20000}"/>
    <cellStyle name="Normal 9 2 2 2 3 3 3 3 2" xfId="51269" xr:uid="{00000000-0005-0000-0000-000020D20000}"/>
    <cellStyle name="Normal 9 2 2 2 3 3 3 4" xfId="37707" xr:uid="{00000000-0005-0000-0000-000021D20000}"/>
    <cellStyle name="Normal 9 2 2 2 3 3 4" xfId="13960" xr:uid="{00000000-0005-0000-0000-000022D20000}"/>
    <cellStyle name="Normal 9 2 2 2 3 3 4 2" xfId="27528" xr:uid="{00000000-0005-0000-0000-000023D20000}"/>
    <cellStyle name="Normal 9 2 2 2 3 3 4 2 2" xfId="54661" xr:uid="{00000000-0005-0000-0000-000024D20000}"/>
    <cellStyle name="Normal 9 2 2 2 3 3 4 3" xfId="41099" xr:uid="{00000000-0005-0000-0000-000025D20000}"/>
    <cellStyle name="Normal 9 2 2 2 3 3 5" xfId="20747" xr:uid="{00000000-0005-0000-0000-000026D20000}"/>
    <cellStyle name="Normal 9 2 2 2 3 3 5 2" xfId="47880" xr:uid="{00000000-0005-0000-0000-000027D20000}"/>
    <cellStyle name="Normal 9 2 2 2 3 3 6" xfId="34318" xr:uid="{00000000-0005-0000-0000-000028D20000}"/>
    <cellStyle name="Normal 9 2 2 2 3 4" xfId="7035" xr:uid="{00000000-0005-0000-0000-000029D20000}"/>
    <cellStyle name="Normal 9 2 2 2 3 4 2" xfId="10561" xr:uid="{00000000-0005-0000-0000-00002AD20000}"/>
    <cellStyle name="Normal 9 2 2 2 3 4 2 2" xfId="17351" xr:uid="{00000000-0005-0000-0000-00002BD20000}"/>
    <cellStyle name="Normal 9 2 2 2 3 4 2 2 2" xfId="30919" xr:uid="{00000000-0005-0000-0000-00002CD20000}"/>
    <cellStyle name="Normal 9 2 2 2 3 4 2 2 2 2" xfId="58052" xr:uid="{00000000-0005-0000-0000-00002DD20000}"/>
    <cellStyle name="Normal 9 2 2 2 3 4 2 2 3" xfId="44490" xr:uid="{00000000-0005-0000-0000-00002ED20000}"/>
    <cellStyle name="Normal 9 2 2 2 3 4 2 3" xfId="24138" xr:uid="{00000000-0005-0000-0000-00002FD20000}"/>
    <cellStyle name="Normal 9 2 2 2 3 4 2 3 2" xfId="51271" xr:uid="{00000000-0005-0000-0000-000030D20000}"/>
    <cellStyle name="Normal 9 2 2 2 3 4 2 4" xfId="37709" xr:uid="{00000000-0005-0000-0000-000031D20000}"/>
    <cellStyle name="Normal 9 2 2 2 3 4 3" xfId="13962" xr:uid="{00000000-0005-0000-0000-000032D20000}"/>
    <cellStyle name="Normal 9 2 2 2 3 4 3 2" xfId="27530" xr:uid="{00000000-0005-0000-0000-000033D20000}"/>
    <cellStyle name="Normal 9 2 2 2 3 4 3 2 2" xfId="54663" xr:uid="{00000000-0005-0000-0000-000034D20000}"/>
    <cellStyle name="Normal 9 2 2 2 3 4 3 3" xfId="41101" xr:uid="{00000000-0005-0000-0000-000035D20000}"/>
    <cellStyle name="Normal 9 2 2 2 3 4 4" xfId="20749" xr:uid="{00000000-0005-0000-0000-000036D20000}"/>
    <cellStyle name="Normal 9 2 2 2 3 4 4 2" xfId="47882" xr:uid="{00000000-0005-0000-0000-000037D20000}"/>
    <cellStyle name="Normal 9 2 2 2 3 4 5" xfId="34320" xr:uid="{00000000-0005-0000-0000-000038D20000}"/>
    <cellStyle name="Normal 9 2 2 2 3 5" xfId="7036" xr:uid="{00000000-0005-0000-0000-000039D20000}"/>
    <cellStyle name="Normal 9 2 2 2 3 5 2" xfId="10562" xr:uid="{00000000-0005-0000-0000-00003AD20000}"/>
    <cellStyle name="Normal 9 2 2 2 3 5 2 2" xfId="17352" xr:uid="{00000000-0005-0000-0000-00003BD20000}"/>
    <cellStyle name="Normal 9 2 2 2 3 5 2 2 2" xfId="30920" xr:uid="{00000000-0005-0000-0000-00003CD20000}"/>
    <cellStyle name="Normal 9 2 2 2 3 5 2 2 2 2" xfId="58053" xr:uid="{00000000-0005-0000-0000-00003DD20000}"/>
    <cellStyle name="Normal 9 2 2 2 3 5 2 2 3" xfId="44491" xr:uid="{00000000-0005-0000-0000-00003ED20000}"/>
    <cellStyle name="Normal 9 2 2 2 3 5 2 3" xfId="24139" xr:uid="{00000000-0005-0000-0000-00003FD20000}"/>
    <cellStyle name="Normal 9 2 2 2 3 5 2 3 2" xfId="51272" xr:uid="{00000000-0005-0000-0000-000040D20000}"/>
    <cellStyle name="Normal 9 2 2 2 3 5 2 4" xfId="37710" xr:uid="{00000000-0005-0000-0000-000041D20000}"/>
    <cellStyle name="Normal 9 2 2 2 3 5 3" xfId="13963" xr:uid="{00000000-0005-0000-0000-000042D20000}"/>
    <cellStyle name="Normal 9 2 2 2 3 5 3 2" xfId="27531" xr:uid="{00000000-0005-0000-0000-000043D20000}"/>
    <cellStyle name="Normal 9 2 2 2 3 5 3 2 2" xfId="54664" xr:uid="{00000000-0005-0000-0000-000044D20000}"/>
    <cellStyle name="Normal 9 2 2 2 3 5 3 3" xfId="41102" xr:uid="{00000000-0005-0000-0000-000045D20000}"/>
    <cellStyle name="Normal 9 2 2 2 3 5 4" xfId="20750" xr:uid="{00000000-0005-0000-0000-000046D20000}"/>
    <cellStyle name="Normal 9 2 2 2 3 5 4 2" xfId="47883" xr:uid="{00000000-0005-0000-0000-000047D20000}"/>
    <cellStyle name="Normal 9 2 2 2 3 5 5" xfId="34321" xr:uid="{00000000-0005-0000-0000-000048D20000}"/>
    <cellStyle name="Normal 9 2 2 2 3 6" xfId="10555" xr:uid="{00000000-0005-0000-0000-000049D20000}"/>
    <cellStyle name="Normal 9 2 2 2 3 6 2" xfId="17345" xr:uid="{00000000-0005-0000-0000-00004AD20000}"/>
    <cellStyle name="Normal 9 2 2 2 3 6 2 2" xfId="30913" xr:uid="{00000000-0005-0000-0000-00004BD20000}"/>
    <cellStyle name="Normal 9 2 2 2 3 6 2 2 2" xfId="58046" xr:uid="{00000000-0005-0000-0000-00004CD20000}"/>
    <cellStyle name="Normal 9 2 2 2 3 6 2 3" xfId="44484" xr:uid="{00000000-0005-0000-0000-00004DD20000}"/>
    <cellStyle name="Normal 9 2 2 2 3 6 3" xfId="24132" xr:uid="{00000000-0005-0000-0000-00004ED20000}"/>
    <cellStyle name="Normal 9 2 2 2 3 6 3 2" xfId="51265" xr:uid="{00000000-0005-0000-0000-00004FD20000}"/>
    <cellStyle name="Normal 9 2 2 2 3 6 4" xfId="37703" xr:uid="{00000000-0005-0000-0000-000050D20000}"/>
    <cellStyle name="Normal 9 2 2 2 3 7" xfId="13956" xr:uid="{00000000-0005-0000-0000-000051D20000}"/>
    <cellStyle name="Normal 9 2 2 2 3 7 2" xfId="27524" xr:uid="{00000000-0005-0000-0000-000052D20000}"/>
    <cellStyle name="Normal 9 2 2 2 3 7 2 2" xfId="54657" xr:uid="{00000000-0005-0000-0000-000053D20000}"/>
    <cellStyle name="Normal 9 2 2 2 3 7 3" xfId="41095" xr:uid="{00000000-0005-0000-0000-000054D20000}"/>
    <cellStyle name="Normal 9 2 2 2 3 8" xfId="20743" xr:uid="{00000000-0005-0000-0000-000055D20000}"/>
    <cellStyle name="Normal 9 2 2 2 3 8 2" xfId="47876" xr:uid="{00000000-0005-0000-0000-000056D20000}"/>
    <cellStyle name="Normal 9 2 2 2 3 9" xfId="34314" xr:uid="{00000000-0005-0000-0000-000057D20000}"/>
    <cellStyle name="Normal 9 2 2 2 4" xfId="7037" xr:uid="{00000000-0005-0000-0000-000058D20000}"/>
    <cellStyle name="Normal 9 2 2 2 4 2" xfId="7038" xr:uid="{00000000-0005-0000-0000-000059D20000}"/>
    <cellStyle name="Normal 9 2 2 2 4 2 2" xfId="7039" xr:uid="{00000000-0005-0000-0000-00005AD20000}"/>
    <cellStyle name="Normal 9 2 2 2 4 2 2 2" xfId="10565" xr:uid="{00000000-0005-0000-0000-00005BD20000}"/>
    <cellStyle name="Normal 9 2 2 2 4 2 2 2 2" xfId="17355" xr:uid="{00000000-0005-0000-0000-00005CD20000}"/>
    <cellStyle name="Normal 9 2 2 2 4 2 2 2 2 2" xfId="30923" xr:uid="{00000000-0005-0000-0000-00005DD20000}"/>
    <cellStyle name="Normal 9 2 2 2 4 2 2 2 2 2 2" xfId="58056" xr:uid="{00000000-0005-0000-0000-00005ED20000}"/>
    <cellStyle name="Normal 9 2 2 2 4 2 2 2 2 3" xfId="44494" xr:uid="{00000000-0005-0000-0000-00005FD20000}"/>
    <cellStyle name="Normal 9 2 2 2 4 2 2 2 3" xfId="24142" xr:uid="{00000000-0005-0000-0000-000060D20000}"/>
    <cellStyle name="Normal 9 2 2 2 4 2 2 2 3 2" xfId="51275" xr:uid="{00000000-0005-0000-0000-000061D20000}"/>
    <cellStyle name="Normal 9 2 2 2 4 2 2 2 4" xfId="37713" xr:uid="{00000000-0005-0000-0000-000062D20000}"/>
    <cellStyle name="Normal 9 2 2 2 4 2 2 3" xfId="13966" xr:uid="{00000000-0005-0000-0000-000063D20000}"/>
    <cellStyle name="Normal 9 2 2 2 4 2 2 3 2" xfId="27534" xr:uid="{00000000-0005-0000-0000-000064D20000}"/>
    <cellStyle name="Normal 9 2 2 2 4 2 2 3 2 2" xfId="54667" xr:uid="{00000000-0005-0000-0000-000065D20000}"/>
    <cellStyle name="Normal 9 2 2 2 4 2 2 3 3" xfId="41105" xr:uid="{00000000-0005-0000-0000-000066D20000}"/>
    <cellStyle name="Normal 9 2 2 2 4 2 2 4" xfId="20753" xr:uid="{00000000-0005-0000-0000-000067D20000}"/>
    <cellStyle name="Normal 9 2 2 2 4 2 2 4 2" xfId="47886" xr:uid="{00000000-0005-0000-0000-000068D20000}"/>
    <cellStyle name="Normal 9 2 2 2 4 2 2 5" xfId="34324" xr:uid="{00000000-0005-0000-0000-000069D20000}"/>
    <cellStyle name="Normal 9 2 2 2 4 2 3" xfId="7040" xr:uid="{00000000-0005-0000-0000-00006AD20000}"/>
    <cellStyle name="Normal 9 2 2 2 4 2 3 2" xfId="10566" xr:uid="{00000000-0005-0000-0000-00006BD20000}"/>
    <cellStyle name="Normal 9 2 2 2 4 2 3 2 2" xfId="17356" xr:uid="{00000000-0005-0000-0000-00006CD20000}"/>
    <cellStyle name="Normal 9 2 2 2 4 2 3 2 2 2" xfId="30924" xr:uid="{00000000-0005-0000-0000-00006DD20000}"/>
    <cellStyle name="Normal 9 2 2 2 4 2 3 2 2 2 2" xfId="58057" xr:uid="{00000000-0005-0000-0000-00006ED20000}"/>
    <cellStyle name="Normal 9 2 2 2 4 2 3 2 2 3" xfId="44495" xr:uid="{00000000-0005-0000-0000-00006FD20000}"/>
    <cellStyle name="Normal 9 2 2 2 4 2 3 2 3" xfId="24143" xr:uid="{00000000-0005-0000-0000-000070D20000}"/>
    <cellStyle name="Normal 9 2 2 2 4 2 3 2 3 2" xfId="51276" xr:uid="{00000000-0005-0000-0000-000071D20000}"/>
    <cellStyle name="Normal 9 2 2 2 4 2 3 2 4" xfId="37714" xr:uid="{00000000-0005-0000-0000-000072D20000}"/>
    <cellStyle name="Normal 9 2 2 2 4 2 3 3" xfId="13967" xr:uid="{00000000-0005-0000-0000-000073D20000}"/>
    <cellStyle name="Normal 9 2 2 2 4 2 3 3 2" xfId="27535" xr:uid="{00000000-0005-0000-0000-000074D20000}"/>
    <cellStyle name="Normal 9 2 2 2 4 2 3 3 2 2" xfId="54668" xr:uid="{00000000-0005-0000-0000-000075D20000}"/>
    <cellStyle name="Normal 9 2 2 2 4 2 3 3 3" xfId="41106" xr:uid="{00000000-0005-0000-0000-000076D20000}"/>
    <cellStyle name="Normal 9 2 2 2 4 2 3 4" xfId="20754" xr:uid="{00000000-0005-0000-0000-000077D20000}"/>
    <cellStyle name="Normal 9 2 2 2 4 2 3 4 2" xfId="47887" xr:uid="{00000000-0005-0000-0000-000078D20000}"/>
    <cellStyle name="Normal 9 2 2 2 4 2 3 5" xfId="34325" xr:uid="{00000000-0005-0000-0000-000079D20000}"/>
    <cellStyle name="Normal 9 2 2 2 4 2 4" xfId="10564" xr:uid="{00000000-0005-0000-0000-00007AD20000}"/>
    <cellStyle name="Normal 9 2 2 2 4 2 4 2" xfId="17354" xr:uid="{00000000-0005-0000-0000-00007BD20000}"/>
    <cellStyle name="Normal 9 2 2 2 4 2 4 2 2" xfId="30922" xr:uid="{00000000-0005-0000-0000-00007CD20000}"/>
    <cellStyle name="Normal 9 2 2 2 4 2 4 2 2 2" xfId="58055" xr:uid="{00000000-0005-0000-0000-00007DD20000}"/>
    <cellStyle name="Normal 9 2 2 2 4 2 4 2 3" xfId="44493" xr:uid="{00000000-0005-0000-0000-00007ED20000}"/>
    <cellStyle name="Normal 9 2 2 2 4 2 4 3" xfId="24141" xr:uid="{00000000-0005-0000-0000-00007FD20000}"/>
    <cellStyle name="Normal 9 2 2 2 4 2 4 3 2" xfId="51274" xr:uid="{00000000-0005-0000-0000-000080D20000}"/>
    <cellStyle name="Normal 9 2 2 2 4 2 4 4" xfId="37712" xr:uid="{00000000-0005-0000-0000-000081D20000}"/>
    <cellStyle name="Normal 9 2 2 2 4 2 5" xfId="13965" xr:uid="{00000000-0005-0000-0000-000082D20000}"/>
    <cellStyle name="Normal 9 2 2 2 4 2 5 2" xfId="27533" xr:uid="{00000000-0005-0000-0000-000083D20000}"/>
    <cellStyle name="Normal 9 2 2 2 4 2 5 2 2" xfId="54666" xr:uid="{00000000-0005-0000-0000-000084D20000}"/>
    <cellStyle name="Normal 9 2 2 2 4 2 5 3" xfId="41104" xr:uid="{00000000-0005-0000-0000-000085D20000}"/>
    <cellStyle name="Normal 9 2 2 2 4 2 6" xfId="20752" xr:uid="{00000000-0005-0000-0000-000086D20000}"/>
    <cellStyle name="Normal 9 2 2 2 4 2 6 2" xfId="47885" xr:uid="{00000000-0005-0000-0000-000087D20000}"/>
    <cellStyle name="Normal 9 2 2 2 4 2 7" xfId="34323" xr:uid="{00000000-0005-0000-0000-000088D20000}"/>
    <cellStyle name="Normal 9 2 2 2 4 3" xfId="7041" xr:uid="{00000000-0005-0000-0000-000089D20000}"/>
    <cellStyle name="Normal 9 2 2 2 4 3 2" xfId="10567" xr:uid="{00000000-0005-0000-0000-00008AD20000}"/>
    <cellStyle name="Normal 9 2 2 2 4 3 2 2" xfId="17357" xr:uid="{00000000-0005-0000-0000-00008BD20000}"/>
    <cellStyle name="Normal 9 2 2 2 4 3 2 2 2" xfId="30925" xr:uid="{00000000-0005-0000-0000-00008CD20000}"/>
    <cellStyle name="Normal 9 2 2 2 4 3 2 2 2 2" xfId="58058" xr:uid="{00000000-0005-0000-0000-00008DD20000}"/>
    <cellStyle name="Normal 9 2 2 2 4 3 2 2 3" xfId="44496" xr:uid="{00000000-0005-0000-0000-00008ED20000}"/>
    <cellStyle name="Normal 9 2 2 2 4 3 2 3" xfId="24144" xr:uid="{00000000-0005-0000-0000-00008FD20000}"/>
    <cellStyle name="Normal 9 2 2 2 4 3 2 3 2" xfId="51277" xr:uid="{00000000-0005-0000-0000-000090D20000}"/>
    <cellStyle name="Normal 9 2 2 2 4 3 2 4" xfId="37715" xr:uid="{00000000-0005-0000-0000-000091D20000}"/>
    <cellStyle name="Normal 9 2 2 2 4 3 3" xfId="13968" xr:uid="{00000000-0005-0000-0000-000092D20000}"/>
    <cellStyle name="Normal 9 2 2 2 4 3 3 2" xfId="27536" xr:uid="{00000000-0005-0000-0000-000093D20000}"/>
    <cellStyle name="Normal 9 2 2 2 4 3 3 2 2" xfId="54669" xr:uid="{00000000-0005-0000-0000-000094D20000}"/>
    <cellStyle name="Normal 9 2 2 2 4 3 3 3" xfId="41107" xr:uid="{00000000-0005-0000-0000-000095D20000}"/>
    <cellStyle name="Normal 9 2 2 2 4 3 4" xfId="20755" xr:uid="{00000000-0005-0000-0000-000096D20000}"/>
    <cellStyle name="Normal 9 2 2 2 4 3 4 2" xfId="47888" xr:uid="{00000000-0005-0000-0000-000097D20000}"/>
    <cellStyle name="Normal 9 2 2 2 4 3 5" xfId="34326" xr:uid="{00000000-0005-0000-0000-000098D20000}"/>
    <cellStyle name="Normal 9 2 2 2 4 4" xfId="7042" xr:uid="{00000000-0005-0000-0000-000099D20000}"/>
    <cellStyle name="Normal 9 2 2 2 4 4 2" xfId="10568" xr:uid="{00000000-0005-0000-0000-00009AD20000}"/>
    <cellStyle name="Normal 9 2 2 2 4 4 2 2" xfId="17358" xr:uid="{00000000-0005-0000-0000-00009BD20000}"/>
    <cellStyle name="Normal 9 2 2 2 4 4 2 2 2" xfId="30926" xr:uid="{00000000-0005-0000-0000-00009CD20000}"/>
    <cellStyle name="Normal 9 2 2 2 4 4 2 2 2 2" xfId="58059" xr:uid="{00000000-0005-0000-0000-00009DD20000}"/>
    <cellStyle name="Normal 9 2 2 2 4 4 2 2 3" xfId="44497" xr:uid="{00000000-0005-0000-0000-00009ED20000}"/>
    <cellStyle name="Normal 9 2 2 2 4 4 2 3" xfId="24145" xr:uid="{00000000-0005-0000-0000-00009FD20000}"/>
    <cellStyle name="Normal 9 2 2 2 4 4 2 3 2" xfId="51278" xr:uid="{00000000-0005-0000-0000-0000A0D20000}"/>
    <cellStyle name="Normal 9 2 2 2 4 4 2 4" xfId="37716" xr:uid="{00000000-0005-0000-0000-0000A1D20000}"/>
    <cellStyle name="Normal 9 2 2 2 4 4 3" xfId="13969" xr:uid="{00000000-0005-0000-0000-0000A2D20000}"/>
    <cellStyle name="Normal 9 2 2 2 4 4 3 2" xfId="27537" xr:uid="{00000000-0005-0000-0000-0000A3D20000}"/>
    <cellStyle name="Normal 9 2 2 2 4 4 3 2 2" xfId="54670" xr:uid="{00000000-0005-0000-0000-0000A4D20000}"/>
    <cellStyle name="Normal 9 2 2 2 4 4 3 3" xfId="41108" xr:uid="{00000000-0005-0000-0000-0000A5D20000}"/>
    <cellStyle name="Normal 9 2 2 2 4 4 4" xfId="20756" xr:uid="{00000000-0005-0000-0000-0000A6D20000}"/>
    <cellStyle name="Normal 9 2 2 2 4 4 4 2" xfId="47889" xr:uid="{00000000-0005-0000-0000-0000A7D20000}"/>
    <cellStyle name="Normal 9 2 2 2 4 4 5" xfId="34327" xr:uid="{00000000-0005-0000-0000-0000A8D20000}"/>
    <cellStyle name="Normal 9 2 2 2 4 5" xfId="10563" xr:uid="{00000000-0005-0000-0000-0000A9D20000}"/>
    <cellStyle name="Normal 9 2 2 2 4 5 2" xfId="17353" xr:uid="{00000000-0005-0000-0000-0000AAD20000}"/>
    <cellStyle name="Normal 9 2 2 2 4 5 2 2" xfId="30921" xr:uid="{00000000-0005-0000-0000-0000ABD20000}"/>
    <cellStyle name="Normal 9 2 2 2 4 5 2 2 2" xfId="58054" xr:uid="{00000000-0005-0000-0000-0000ACD20000}"/>
    <cellStyle name="Normal 9 2 2 2 4 5 2 3" xfId="44492" xr:uid="{00000000-0005-0000-0000-0000ADD20000}"/>
    <cellStyle name="Normal 9 2 2 2 4 5 3" xfId="24140" xr:uid="{00000000-0005-0000-0000-0000AED20000}"/>
    <cellStyle name="Normal 9 2 2 2 4 5 3 2" xfId="51273" xr:uid="{00000000-0005-0000-0000-0000AFD20000}"/>
    <cellStyle name="Normal 9 2 2 2 4 5 4" xfId="37711" xr:uid="{00000000-0005-0000-0000-0000B0D20000}"/>
    <cellStyle name="Normal 9 2 2 2 4 6" xfId="13964" xr:uid="{00000000-0005-0000-0000-0000B1D20000}"/>
    <cellStyle name="Normal 9 2 2 2 4 6 2" xfId="27532" xr:uid="{00000000-0005-0000-0000-0000B2D20000}"/>
    <cellStyle name="Normal 9 2 2 2 4 6 2 2" xfId="54665" xr:uid="{00000000-0005-0000-0000-0000B3D20000}"/>
    <cellStyle name="Normal 9 2 2 2 4 6 3" xfId="41103" xr:uid="{00000000-0005-0000-0000-0000B4D20000}"/>
    <cellStyle name="Normal 9 2 2 2 4 7" xfId="20751" xr:uid="{00000000-0005-0000-0000-0000B5D20000}"/>
    <cellStyle name="Normal 9 2 2 2 4 7 2" xfId="47884" xr:uid="{00000000-0005-0000-0000-0000B6D20000}"/>
    <cellStyle name="Normal 9 2 2 2 4 8" xfId="34322" xr:uid="{00000000-0005-0000-0000-0000B7D20000}"/>
    <cellStyle name="Normal 9 2 2 2 5" xfId="7043" xr:uid="{00000000-0005-0000-0000-0000B8D20000}"/>
    <cellStyle name="Normal 9 2 2 2 5 2" xfId="7044" xr:uid="{00000000-0005-0000-0000-0000B9D20000}"/>
    <cellStyle name="Normal 9 2 2 2 5 2 2" xfId="10570" xr:uid="{00000000-0005-0000-0000-0000BAD20000}"/>
    <cellStyle name="Normal 9 2 2 2 5 2 2 2" xfId="17360" xr:uid="{00000000-0005-0000-0000-0000BBD20000}"/>
    <cellStyle name="Normal 9 2 2 2 5 2 2 2 2" xfId="30928" xr:uid="{00000000-0005-0000-0000-0000BCD20000}"/>
    <cellStyle name="Normal 9 2 2 2 5 2 2 2 2 2" xfId="58061" xr:uid="{00000000-0005-0000-0000-0000BDD20000}"/>
    <cellStyle name="Normal 9 2 2 2 5 2 2 2 3" xfId="44499" xr:uid="{00000000-0005-0000-0000-0000BED20000}"/>
    <cellStyle name="Normal 9 2 2 2 5 2 2 3" xfId="24147" xr:uid="{00000000-0005-0000-0000-0000BFD20000}"/>
    <cellStyle name="Normal 9 2 2 2 5 2 2 3 2" xfId="51280" xr:uid="{00000000-0005-0000-0000-0000C0D20000}"/>
    <cellStyle name="Normal 9 2 2 2 5 2 2 4" xfId="37718" xr:uid="{00000000-0005-0000-0000-0000C1D20000}"/>
    <cellStyle name="Normal 9 2 2 2 5 2 3" xfId="13971" xr:uid="{00000000-0005-0000-0000-0000C2D20000}"/>
    <cellStyle name="Normal 9 2 2 2 5 2 3 2" xfId="27539" xr:uid="{00000000-0005-0000-0000-0000C3D20000}"/>
    <cellStyle name="Normal 9 2 2 2 5 2 3 2 2" xfId="54672" xr:uid="{00000000-0005-0000-0000-0000C4D20000}"/>
    <cellStyle name="Normal 9 2 2 2 5 2 3 3" xfId="41110" xr:uid="{00000000-0005-0000-0000-0000C5D20000}"/>
    <cellStyle name="Normal 9 2 2 2 5 2 4" xfId="20758" xr:uid="{00000000-0005-0000-0000-0000C6D20000}"/>
    <cellStyle name="Normal 9 2 2 2 5 2 4 2" xfId="47891" xr:uid="{00000000-0005-0000-0000-0000C7D20000}"/>
    <cellStyle name="Normal 9 2 2 2 5 2 5" xfId="34329" xr:uid="{00000000-0005-0000-0000-0000C8D20000}"/>
    <cellStyle name="Normal 9 2 2 2 5 3" xfId="7045" xr:uid="{00000000-0005-0000-0000-0000C9D20000}"/>
    <cellStyle name="Normal 9 2 2 2 5 3 2" xfId="10571" xr:uid="{00000000-0005-0000-0000-0000CAD20000}"/>
    <cellStyle name="Normal 9 2 2 2 5 3 2 2" xfId="17361" xr:uid="{00000000-0005-0000-0000-0000CBD20000}"/>
    <cellStyle name="Normal 9 2 2 2 5 3 2 2 2" xfId="30929" xr:uid="{00000000-0005-0000-0000-0000CCD20000}"/>
    <cellStyle name="Normal 9 2 2 2 5 3 2 2 2 2" xfId="58062" xr:uid="{00000000-0005-0000-0000-0000CDD20000}"/>
    <cellStyle name="Normal 9 2 2 2 5 3 2 2 3" xfId="44500" xr:uid="{00000000-0005-0000-0000-0000CED20000}"/>
    <cellStyle name="Normal 9 2 2 2 5 3 2 3" xfId="24148" xr:uid="{00000000-0005-0000-0000-0000CFD20000}"/>
    <cellStyle name="Normal 9 2 2 2 5 3 2 3 2" xfId="51281" xr:uid="{00000000-0005-0000-0000-0000D0D20000}"/>
    <cellStyle name="Normal 9 2 2 2 5 3 2 4" xfId="37719" xr:uid="{00000000-0005-0000-0000-0000D1D20000}"/>
    <cellStyle name="Normal 9 2 2 2 5 3 3" xfId="13972" xr:uid="{00000000-0005-0000-0000-0000D2D20000}"/>
    <cellStyle name="Normal 9 2 2 2 5 3 3 2" xfId="27540" xr:uid="{00000000-0005-0000-0000-0000D3D20000}"/>
    <cellStyle name="Normal 9 2 2 2 5 3 3 2 2" xfId="54673" xr:uid="{00000000-0005-0000-0000-0000D4D20000}"/>
    <cellStyle name="Normal 9 2 2 2 5 3 3 3" xfId="41111" xr:uid="{00000000-0005-0000-0000-0000D5D20000}"/>
    <cellStyle name="Normal 9 2 2 2 5 3 4" xfId="20759" xr:uid="{00000000-0005-0000-0000-0000D6D20000}"/>
    <cellStyle name="Normal 9 2 2 2 5 3 4 2" xfId="47892" xr:uid="{00000000-0005-0000-0000-0000D7D20000}"/>
    <cellStyle name="Normal 9 2 2 2 5 3 5" xfId="34330" xr:uid="{00000000-0005-0000-0000-0000D8D20000}"/>
    <cellStyle name="Normal 9 2 2 2 5 4" xfId="10569" xr:uid="{00000000-0005-0000-0000-0000D9D20000}"/>
    <cellStyle name="Normal 9 2 2 2 5 4 2" xfId="17359" xr:uid="{00000000-0005-0000-0000-0000DAD20000}"/>
    <cellStyle name="Normal 9 2 2 2 5 4 2 2" xfId="30927" xr:uid="{00000000-0005-0000-0000-0000DBD20000}"/>
    <cellStyle name="Normal 9 2 2 2 5 4 2 2 2" xfId="58060" xr:uid="{00000000-0005-0000-0000-0000DCD20000}"/>
    <cellStyle name="Normal 9 2 2 2 5 4 2 3" xfId="44498" xr:uid="{00000000-0005-0000-0000-0000DDD20000}"/>
    <cellStyle name="Normal 9 2 2 2 5 4 3" xfId="24146" xr:uid="{00000000-0005-0000-0000-0000DED20000}"/>
    <cellStyle name="Normal 9 2 2 2 5 4 3 2" xfId="51279" xr:uid="{00000000-0005-0000-0000-0000DFD20000}"/>
    <cellStyle name="Normal 9 2 2 2 5 4 4" xfId="37717" xr:uid="{00000000-0005-0000-0000-0000E0D20000}"/>
    <cellStyle name="Normal 9 2 2 2 5 5" xfId="13970" xr:uid="{00000000-0005-0000-0000-0000E1D20000}"/>
    <cellStyle name="Normal 9 2 2 2 5 5 2" xfId="27538" xr:uid="{00000000-0005-0000-0000-0000E2D20000}"/>
    <cellStyle name="Normal 9 2 2 2 5 5 2 2" xfId="54671" xr:uid="{00000000-0005-0000-0000-0000E3D20000}"/>
    <cellStyle name="Normal 9 2 2 2 5 5 3" xfId="41109" xr:uid="{00000000-0005-0000-0000-0000E4D20000}"/>
    <cellStyle name="Normal 9 2 2 2 5 6" xfId="20757" xr:uid="{00000000-0005-0000-0000-0000E5D20000}"/>
    <cellStyle name="Normal 9 2 2 2 5 6 2" xfId="47890" xr:uid="{00000000-0005-0000-0000-0000E6D20000}"/>
    <cellStyle name="Normal 9 2 2 2 5 7" xfId="34328" xr:uid="{00000000-0005-0000-0000-0000E7D20000}"/>
    <cellStyle name="Normal 9 2 2 2 6" xfId="7046" xr:uid="{00000000-0005-0000-0000-0000E8D20000}"/>
    <cellStyle name="Normal 9 2 2 2 6 2" xfId="7047" xr:uid="{00000000-0005-0000-0000-0000E9D20000}"/>
    <cellStyle name="Normal 9 2 2 2 6 2 2" xfId="10573" xr:uid="{00000000-0005-0000-0000-0000EAD20000}"/>
    <cellStyle name="Normal 9 2 2 2 6 2 2 2" xfId="17363" xr:uid="{00000000-0005-0000-0000-0000EBD20000}"/>
    <cellStyle name="Normal 9 2 2 2 6 2 2 2 2" xfId="30931" xr:uid="{00000000-0005-0000-0000-0000ECD20000}"/>
    <cellStyle name="Normal 9 2 2 2 6 2 2 2 2 2" xfId="58064" xr:uid="{00000000-0005-0000-0000-0000EDD20000}"/>
    <cellStyle name="Normal 9 2 2 2 6 2 2 2 3" xfId="44502" xr:uid="{00000000-0005-0000-0000-0000EED20000}"/>
    <cellStyle name="Normal 9 2 2 2 6 2 2 3" xfId="24150" xr:uid="{00000000-0005-0000-0000-0000EFD20000}"/>
    <cellStyle name="Normal 9 2 2 2 6 2 2 3 2" xfId="51283" xr:uid="{00000000-0005-0000-0000-0000F0D20000}"/>
    <cellStyle name="Normal 9 2 2 2 6 2 2 4" xfId="37721" xr:uid="{00000000-0005-0000-0000-0000F1D20000}"/>
    <cellStyle name="Normal 9 2 2 2 6 2 3" xfId="13974" xr:uid="{00000000-0005-0000-0000-0000F2D20000}"/>
    <cellStyle name="Normal 9 2 2 2 6 2 3 2" xfId="27542" xr:uid="{00000000-0005-0000-0000-0000F3D20000}"/>
    <cellStyle name="Normal 9 2 2 2 6 2 3 2 2" xfId="54675" xr:uid="{00000000-0005-0000-0000-0000F4D20000}"/>
    <cellStyle name="Normal 9 2 2 2 6 2 3 3" xfId="41113" xr:uid="{00000000-0005-0000-0000-0000F5D20000}"/>
    <cellStyle name="Normal 9 2 2 2 6 2 4" xfId="20761" xr:uid="{00000000-0005-0000-0000-0000F6D20000}"/>
    <cellStyle name="Normal 9 2 2 2 6 2 4 2" xfId="47894" xr:uid="{00000000-0005-0000-0000-0000F7D20000}"/>
    <cellStyle name="Normal 9 2 2 2 6 2 5" xfId="34332" xr:uid="{00000000-0005-0000-0000-0000F8D20000}"/>
    <cellStyle name="Normal 9 2 2 2 6 3" xfId="7048" xr:uid="{00000000-0005-0000-0000-0000F9D20000}"/>
    <cellStyle name="Normal 9 2 2 2 6 3 2" xfId="10574" xr:uid="{00000000-0005-0000-0000-0000FAD20000}"/>
    <cellStyle name="Normal 9 2 2 2 6 3 2 2" xfId="17364" xr:uid="{00000000-0005-0000-0000-0000FBD20000}"/>
    <cellStyle name="Normal 9 2 2 2 6 3 2 2 2" xfId="30932" xr:uid="{00000000-0005-0000-0000-0000FCD20000}"/>
    <cellStyle name="Normal 9 2 2 2 6 3 2 2 2 2" xfId="58065" xr:uid="{00000000-0005-0000-0000-0000FDD20000}"/>
    <cellStyle name="Normal 9 2 2 2 6 3 2 2 3" xfId="44503" xr:uid="{00000000-0005-0000-0000-0000FED20000}"/>
    <cellStyle name="Normal 9 2 2 2 6 3 2 3" xfId="24151" xr:uid="{00000000-0005-0000-0000-0000FFD20000}"/>
    <cellStyle name="Normal 9 2 2 2 6 3 2 3 2" xfId="51284" xr:uid="{00000000-0005-0000-0000-000000D30000}"/>
    <cellStyle name="Normal 9 2 2 2 6 3 2 4" xfId="37722" xr:uid="{00000000-0005-0000-0000-000001D30000}"/>
    <cellStyle name="Normal 9 2 2 2 6 3 3" xfId="13975" xr:uid="{00000000-0005-0000-0000-000002D30000}"/>
    <cellStyle name="Normal 9 2 2 2 6 3 3 2" xfId="27543" xr:uid="{00000000-0005-0000-0000-000003D30000}"/>
    <cellStyle name="Normal 9 2 2 2 6 3 3 2 2" xfId="54676" xr:uid="{00000000-0005-0000-0000-000004D30000}"/>
    <cellStyle name="Normal 9 2 2 2 6 3 3 3" xfId="41114" xr:uid="{00000000-0005-0000-0000-000005D30000}"/>
    <cellStyle name="Normal 9 2 2 2 6 3 4" xfId="20762" xr:uid="{00000000-0005-0000-0000-000006D30000}"/>
    <cellStyle name="Normal 9 2 2 2 6 3 4 2" xfId="47895" xr:uid="{00000000-0005-0000-0000-000007D30000}"/>
    <cellStyle name="Normal 9 2 2 2 6 3 5" xfId="34333" xr:uid="{00000000-0005-0000-0000-000008D30000}"/>
    <cellStyle name="Normal 9 2 2 2 6 4" xfId="10572" xr:uid="{00000000-0005-0000-0000-000009D30000}"/>
    <cellStyle name="Normal 9 2 2 2 6 4 2" xfId="17362" xr:uid="{00000000-0005-0000-0000-00000AD30000}"/>
    <cellStyle name="Normal 9 2 2 2 6 4 2 2" xfId="30930" xr:uid="{00000000-0005-0000-0000-00000BD30000}"/>
    <cellStyle name="Normal 9 2 2 2 6 4 2 2 2" xfId="58063" xr:uid="{00000000-0005-0000-0000-00000CD30000}"/>
    <cellStyle name="Normal 9 2 2 2 6 4 2 3" xfId="44501" xr:uid="{00000000-0005-0000-0000-00000DD30000}"/>
    <cellStyle name="Normal 9 2 2 2 6 4 3" xfId="24149" xr:uid="{00000000-0005-0000-0000-00000ED30000}"/>
    <cellStyle name="Normal 9 2 2 2 6 4 3 2" xfId="51282" xr:uid="{00000000-0005-0000-0000-00000FD30000}"/>
    <cellStyle name="Normal 9 2 2 2 6 4 4" xfId="37720" xr:uid="{00000000-0005-0000-0000-000010D30000}"/>
    <cellStyle name="Normal 9 2 2 2 6 5" xfId="13973" xr:uid="{00000000-0005-0000-0000-000011D30000}"/>
    <cellStyle name="Normal 9 2 2 2 6 5 2" xfId="27541" xr:uid="{00000000-0005-0000-0000-000012D30000}"/>
    <cellStyle name="Normal 9 2 2 2 6 5 2 2" xfId="54674" xr:uid="{00000000-0005-0000-0000-000013D30000}"/>
    <cellStyle name="Normal 9 2 2 2 6 5 3" xfId="41112" xr:uid="{00000000-0005-0000-0000-000014D30000}"/>
    <cellStyle name="Normal 9 2 2 2 6 6" xfId="20760" xr:uid="{00000000-0005-0000-0000-000015D30000}"/>
    <cellStyle name="Normal 9 2 2 2 6 6 2" xfId="47893" xr:uid="{00000000-0005-0000-0000-000016D30000}"/>
    <cellStyle name="Normal 9 2 2 2 6 7" xfId="34331" xr:uid="{00000000-0005-0000-0000-000017D30000}"/>
    <cellStyle name="Normal 9 2 2 2 7" xfId="7049" xr:uid="{00000000-0005-0000-0000-000018D30000}"/>
    <cellStyle name="Normal 9 2 2 2 7 2" xfId="10575" xr:uid="{00000000-0005-0000-0000-000019D30000}"/>
    <cellStyle name="Normal 9 2 2 2 7 2 2" xfId="17365" xr:uid="{00000000-0005-0000-0000-00001AD30000}"/>
    <cellStyle name="Normal 9 2 2 2 7 2 2 2" xfId="30933" xr:uid="{00000000-0005-0000-0000-00001BD30000}"/>
    <cellStyle name="Normal 9 2 2 2 7 2 2 2 2" xfId="58066" xr:uid="{00000000-0005-0000-0000-00001CD30000}"/>
    <cellStyle name="Normal 9 2 2 2 7 2 2 3" xfId="44504" xr:uid="{00000000-0005-0000-0000-00001DD30000}"/>
    <cellStyle name="Normal 9 2 2 2 7 2 3" xfId="24152" xr:uid="{00000000-0005-0000-0000-00001ED30000}"/>
    <cellStyle name="Normal 9 2 2 2 7 2 3 2" xfId="51285" xr:uid="{00000000-0005-0000-0000-00001FD30000}"/>
    <cellStyle name="Normal 9 2 2 2 7 2 4" xfId="37723" xr:uid="{00000000-0005-0000-0000-000020D30000}"/>
    <cellStyle name="Normal 9 2 2 2 7 3" xfId="13976" xr:uid="{00000000-0005-0000-0000-000021D30000}"/>
    <cellStyle name="Normal 9 2 2 2 7 3 2" xfId="27544" xr:uid="{00000000-0005-0000-0000-000022D30000}"/>
    <cellStyle name="Normal 9 2 2 2 7 3 2 2" xfId="54677" xr:uid="{00000000-0005-0000-0000-000023D30000}"/>
    <cellStyle name="Normal 9 2 2 2 7 3 3" xfId="41115" xr:uid="{00000000-0005-0000-0000-000024D30000}"/>
    <cellStyle name="Normal 9 2 2 2 7 4" xfId="20763" xr:uid="{00000000-0005-0000-0000-000025D30000}"/>
    <cellStyle name="Normal 9 2 2 2 7 4 2" xfId="47896" xr:uid="{00000000-0005-0000-0000-000026D30000}"/>
    <cellStyle name="Normal 9 2 2 2 7 5" xfId="34334" xr:uid="{00000000-0005-0000-0000-000027D30000}"/>
    <cellStyle name="Normal 9 2 2 2 8" xfId="7050" xr:uid="{00000000-0005-0000-0000-000028D30000}"/>
    <cellStyle name="Normal 9 2 2 2 8 2" xfId="10576" xr:uid="{00000000-0005-0000-0000-000029D30000}"/>
    <cellStyle name="Normal 9 2 2 2 8 2 2" xfId="17366" xr:uid="{00000000-0005-0000-0000-00002AD30000}"/>
    <cellStyle name="Normal 9 2 2 2 8 2 2 2" xfId="30934" xr:uid="{00000000-0005-0000-0000-00002BD30000}"/>
    <cellStyle name="Normal 9 2 2 2 8 2 2 2 2" xfId="58067" xr:uid="{00000000-0005-0000-0000-00002CD30000}"/>
    <cellStyle name="Normal 9 2 2 2 8 2 2 3" xfId="44505" xr:uid="{00000000-0005-0000-0000-00002DD30000}"/>
    <cellStyle name="Normal 9 2 2 2 8 2 3" xfId="24153" xr:uid="{00000000-0005-0000-0000-00002ED30000}"/>
    <cellStyle name="Normal 9 2 2 2 8 2 3 2" xfId="51286" xr:uid="{00000000-0005-0000-0000-00002FD30000}"/>
    <cellStyle name="Normal 9 2 2 2 8 2 4" xfId="37724" xr:uid="{00000000-0005-0000-0000-000030D30000}"/>
    <cellStyle name="Normal 9 2 2 2 8 3" xfId="13977" xr:uid="{00000000-0005-0000-0000-000031D30000}"/>
    <cellStyle name="Normal 9 2 2 2 8 3 2" xfId="27545" xr:uid="{00000000-0005-0000-0000-000032D30000}"/>
    <cellStyle name="Normal 9 2 2 2 8 3 2 2" xfId="54678" xr:uid="{00000000-0005-0000-0000-000033D30000}"/>
    <cellStyle name="Normal 9 2 2 2 8 3 3" xfId="41116" xr:uid="{00000000-0005-0000-0000-000034D30000}"/>
    <cellStyle name="Normal 9 2 2 2 8 4" xfId="20764" xr:uid="{00000000-0005-0000-0000-000035D30000}"/>
    <cellStyle name="Normal 9 2 2 2 8 4 2" xfId="47897" xr:uid="{00000000-0005-0000-0000-000036D30000}"/>
    <cellStyle name="Normal 9 2 2 2 8 5" xfId="34335" xr:uid="{00000000-0005-0000-0000-000037D30000}"/>
    <cellStyle name="Normal 9 2 2 2 9" xfId="10538" xr:uid="{00000000-0005-0000-0000-000038D30000}"/>
    <cellStyle name="Normal 9 2 2 2 9 2" xfId="17328" xr:uid="{00000000-0005-0000-0000-000039D30000}"/>
    <cellStyle name="Normal 9 2 2 2 9 2 2" xfId="30896" xr:uid="{00000000-0005-0000-0000-00003AD30000}"/>
    <cellStyle name="Normal 9 2 2 2 9 2 2 2" xfId="58029" xr:uid="{00000000-0005-0000-0000-00003BD30000}"/>
    <cellStyle name="Normal 9 2 2 2 9 2 3" xfId="44467" xr:uid="{00000000-0005-0000-0000-00003CD30000}"/>
    <cellStyle name="Normal 9 2 2 2 9 3" xfId="24115" xr:uid="{00000000-0005-0000-0000-00003DD30000}"/>
    <cellStyle name="Normal 9 2 2 2 9 3 2" xfId="51248" xr:uid="{00000000-0005-0000-0000-00003ED30000}"/>
    <cellStyle name="Normal 9 2 2 2 9 4" xfId="37686" xr:uid="{00000000-0005-0000-0000-00003FD30000}"/>
    <cellStyle name="Normal 9 2 2 3" xfId="7051" xr:uid="{00000000-0005-0000-0000-000040D30000}"/>
    <cellStyle name="Normal 9 2 2 3 10" xfId="34336" xr:uid="{00000000-0005-0000-0000-000041D30000}"/>
    <cellStyle name="Normal 9 2 2 3 2" xfId="7052" xr:uid="{00000000-0005-0000-0000-000042D30000}"/>
    <cellStyle name="Normal 9 2 2 3 2 2" xfId="7053" xr:uid="{00000000-0005-0000-0000-000043D30000}"/>
    <cellStyle name="Normal 9 2 2 3 2 2 2" xfId="7054" xr:uid="{00000000-0005-0000-0000-000044D30000}"/>
    <cellStyle name="Normal 9 2 2 3 2 2 2 2" xfId="10580" xr:uid="{00000000-0005-0000-0000-000045D30000}"/>
    <cellStyle name="Normal 9 2 2 3 2 2 2 2 2" xfId="17370" xr:uid="{00000000-0005-0000-0000-000046D30000}"/>
    <cellStyle name="Normal 9 2 2 3 2 2 2 2 2 2" xfId="30938" xr:uid="{00000000-0005-0000-0000-000047D30000}"/>
    <cellStyle name="Normal 9 2 2 3 2 2 2 2 2 2 2" xfId="58071" xr:uid="{00000000-0005-0000-0000-000048D30000}"/>
    <cellStyle name="Normal 9 2 2 3 2 2 2 2 2 3" xfId="44509" xr:uid="{00000000-0005-0000-0000-000049D30000}"/>
    <cellStyle name="Normal 9 2 2 3 2 2 2 2 3" xfId="24157" xr:uid="{00000000-0005-0000-0000-00004AD30000}"/>
    <cellStyle name="Normal 9 2 2 3 2 2 2 2 3 2" xfId="51290" xr:uid="{00000000-0005-0000-0000-00004BD30000}"/>
    <cellStyle name="Normal 9 2 2 3 2 2 2 2 4" xfId="37728" xr:uid="{00000000-0005-0000-0000-00004CD30000}"/>
    <cellStyle name="Normal 9 2 2 3 2 2 2 3" xfId="13981" xr:uid="{00000000-0005-0000-0000-00004DD30000}"/>
    <cellStyle name="Normal 9 2 2 3 2 2 2 3 2" xfId="27549" xr:uid="{00000000-0005-0000-0000-00004ED30000}"/>
    <cellStyle name="Normal 9 2 2 3 2 2 2 3 2 2" xfId="54682" xr:uid="{00000000-0005-0000-0000-00004FD30000}"/>
    <cellStyle name="Normal 9 2 2 3 2 2 2 3 3" xfId="41120" xr:uid="{00000000-0005-0000-0000-000050D30000}"/>
    <cellStyle name="Normal 9 2 2 3 2 2 2 4" xfId="20768" xr:uid="{00000000-0005-0000-0000-000051D30000}"/>
    <cellStyle name="Normal 9 2 2 3 2 2 2 4 2" xfId="47901" xr:uid="{00000000-0005-0000-0000-000052D30000}"/>
    <cellStyle name="Normal 9 2 2 3 2 2 2 5" xfId="34339" xr:uid="{00000000-0005-0000-0000-000053D30000}"/>
    <cellStyle name="Normal 9 2 2 3 2 2 3" xfId="7055" xr:uid="{00000000-0005-0000-0000-000054D30000}"/>
    <cellStyle name="Normal 9 2 2 3 2 2 3 2" xfId="10581" xr:uid="{00000000-0005-0000-0000-000055D30000}"/>
    <cellStyle name="Normal 9 2 2 3 2 2 3 2 2" xfId="17371" xr:uid="{00000000-0005-0000-0000-000056D30000}"/>
    <cellStyle name="Normal 9 2 2 3 2 2 3 2 2 2" xfId="30939" xr:uid="{00000000-0005-0000-0000-000057D30000}"/>
    <cellStyle name="Normal 9 2 2 3 2 2 3 2 2 2 2" xfId="58072" xr:uid="{00000000-0005-0000-0000-000058D30000}"/>
    <cellStyle name="Normal 9 2 2 3 2 2 3 2 2 3" xfId="44510" xr:uid="{00000000-0005-0000-0000-000059D30000}"/>
    <cellStyle name="Normal 9 2 2 3 2 2 3 2 3" xfId="24158" xr:uid="{00000000-0005-0000-0000-00005AD30000}"/>
    <cellStyle name="Normal 9 2 2 3 2 2 3 2 3 2" xfId="51291" xr:uid="{00000000-0005-0000-0000-00005BD30000}"/>
    <cellStyle name="Normal 9 2 2 3 2 2 3 2 4" xfId="37729" xr:uid="{00000000-0005-0000-0000-00005CD30000}"/>
    <cellStyle name="Normal 9 2 2 3 2 2 3 3" xfId="13982" xr:uid="{00000000-0005-0000-0000-00005DD30000}"/>
    <cellStyle name="Normal 9 2 2 3 2 2 3 3 2" xfId="27550" xr:uid="{00000000-0005-0000-0000-00005ED30000}"/>
    <cellStyle name="Normal 9 2 2 3 2 2 3 3 2 2" xfId="54683" xr:uid="{00000000-0005-0000-0000-00005FD30000}"/>
    <cellStyle name="Normal 9 2 2 3 2 2 3 3 3" xfId="41121" xr:uid="{00000000-0005-0000-0000-000060D30000}"/>
    <cellStyle name="Normal 9 2 2 3 2 2 3 4" xfId="20769" xr:uid="{00000000-0005-0000-0000-000061D30000}"/>
    <cellStyle name="Normal 9 2 2 3 2 2 3 4 2" xfId="47902" xr:uid="{00000000-0005-0000-0000-000062D30000}"/>
    <cellStyle name="Normal 9 2 2 3 2 2 3 5" xfId="34340" xr:uid="{00000000-0005-0000-0000-000063D30000}"/>
    <cellStyle name="Normal 9 2 2 3 2 2 4" xfId="10579" xr:uid="{00000000-0005-0000-0000-000064D30000}"/>
    <cellStyle name="Normal 9 2 2 3 2 2 4 2" xfId="17369" xr:uid="{00000000-0005-0000-0000-000065D30000}"/>
    <cellStyle name="Normal 9 2 2 3 2 2 4 2 2" xfId="30937" xr:uid="{00000000-0005-0000-0000-000066D30000}"/>
    <cellStyle name="Normal 9 2 2 3 2 2 4 2 2 2" xfId="58070" xr:uid="{00000000-0005-0000-0000-000067D30000}"/>
    <cellStyle name="Normal 9 2 2 3 2 2 4 2 3" xfId="44508" xr:uid="{00000000-0005-0000-0000-000068D30000}"/>
    <cellStyle name="Normal 9 2 2 3 2 2 4 3" xfId="24156" xr:uid="{00000000-0005-0000-0000-000069D30000}"/>
    <cellStyle name="Normal 9 2 2 3 2 2 4 3 2" xfId="51289" xr:uid="{00000000-0005-0000-0000-00006AD30000}"/>
    <cellStyle name="Normal 9 2 2 3 2 2 4 4" xfId="37727" xr:uid="{00000000-0005-0000-0000-00006BD30000}"/>
    <cellStyle name="Normal 9 2 2 3 2 2 5" xfId="13980" xr:uid="{00000000-0005-0000-0000-00006CD30000}"/>
    <cellStyle name="Normal 9 2 2 3 2 2 5 2" xfId="27548" xr:uid="{00000000-0005-0000-0000-00006DD30000}"/>
    <cellStyle name="Normal 9 2 2 3 2 2 5 2 2" xfId="54681" xr:uid="{00000000-0005-0000-0000-00006ED30000}"/>
    <cellStyle name="Normal 9 2 2 3 2 2 5 3" xfId="41119" xr:uid="{00000000-0005-0000-0000-00006FD30000}"/>
    <cellStyle name="Normal 9 2 2 3 2 2 6" xfId="20767" xr:uid="{00000000-0005-0000-0000-000070D30000}"/>
    <cellStyle name="Normal 9 2 2 3 2 2 6 2" xfId="47900" xr:uid="{00000000-0005-0000-0000-000071D30000}"/>
    <cellStyle name="Normal 9 2 2 3 2 2 7" xfId="34338" xr:uid="{00000000-0005-0000-0000-000072D30000}"/>
    <cellStyle name="Normal 9 2 2 3 2 3" xfId="7056" xr:uid="{00000000-0005-0000-0000-000073D30000}"/>
    <cellStyle name="Normal 9 2 2 3 2 3 2" xfId="7057" xr:uid="{00000000-0005-0000-0000-000074D30000}"/>
    <cellStyle name="Normal 9 2 2 3 2 3 2 2" xfId="10583" xr:uid="{00000000-0005-0000-0000-000075D30000}"/>
    <cellStyle name="Normal 9 2 2 3 2 3 2 2 2" xfId="17373" xr:uid="{00000000-0005-0000-0000-000076D30000}"/>
    <cellStyle name="Normal 9 2 2 3 2 3 2 2 2 2" xfId="30941" xr:uid="{00000000-0005-0000-0000-000077D30000}"/>
    <cellStyle name="Normal 9 2 2 3 2 3 2 2 2 2 2" xfId="58074" xr:uid="{00000000-0005-0000-0000-000078D30000}"/>
    <cellStyle name="Normal 9 2 2 3 2 3 2 2 2 3" xfId="44512" xr:uid="{00000000-0005-0000-0000-000079D30000}"/>
    <cellStyle name="Normal 9 2 2 3 2 3 2 2 3" xfId="24160" xr:uid="{00000000-0005-0000-0000-00007AD30000}"/>
    <cellStyle name="Normal 9 2 2 3 2 3 2 2 3 2" xfId="51293" xr:uid="{00000000-0005-0000-0000-00007BD30000}"/>
    <cellStyle name="Normal 9 2 2 3 2 3 2 2 4" xfId="37731" xr:uid="{00000000-0005-0000-0000-00007CD30000}"/>
    <cellStyle name="Normal 9 2 2 3 2 3 2 3" xfId="13984" xr:uid="{00000000-0005-0000-0000-00007DD30000}"/>
    <cellStyle name="Normal 9 2 2 3 2 3 2 3 2" xfId="27552" xr:uid="{00000000-0005-0000-0000-00007ED30000}"/>
    <cellStyle name="Normal 9 2 2 3 2 3 2 3 2 2" xfId="54685" xr:uid="{00000000-0005-0000-0000-00007FD30000}"/>
    <cellStyle name="Normal 9 2 2 3 2 3 2 3 3" xfId="41123" xr:uid="{00000000-0005-0000-0000-000080D30000}"/>
    <cellStyle name="Normal 9 2 2 3 2 3 2 4" xfId="20771" xr:uid="{00000000-0005-0000-0000-000081D30000}"/>
    <cellStyle name="Normal 9 2 2 3 2 3 2 4 2" xfId="47904" xr:uid="{00000000-0005-0000-0000-000082D30000}"/>
    <cellStyle name="Normal 9 2 2 3 2 3 2 5" xfId="34342" xr:uid="{00000000-0005-0000-0000-000083D30000}"/>
    <cellStyle name="Normal 9 2 2 3 2 3 3" xfId="10582" xr:uid="{00000000-0005-0000-0000-000084D30000}"/>
    <cellStyle name="Normal 9 2 2 3 2 3 3 2" xfId="17372" xr:uid="{00000000-0005-0000-0000-000085D30000}"/>
    <cellStyle name="Normal 9 2 2 3 2 3 3 2 2" xfId="30940" xr:uid="{00000000-0005-0000-0000-000086D30000}"/>
    <cellStyle name="Normal 9 2 2 3 2 3 3 2 2 2" xfId="58073" xr:uid="{00000000-0005-0000-0000-000087D30000}"/>
    <cellStyle name="Normal 9 2 2 3 2 3 3 2 3" xfId="44511" xr:uid="{00000000-0005-0000-0000-000088D30000}"/>
    <cellStyle name="Normal 9 2 2 3 2 3 3 3" xfId="24159" xr:uid="{00000000-0005-0000-0000-000089D30000}"/>
    <cellStyle name="Normal 9 2 2 3 2 3 3 3 2" xfId="51292" xr:uid="{00000000-0005-0000-0000-00008AD30000}"/>
    <cellStyle name="Normal 9 2 2 3 2 3 3 4" xfId="37730" xr:uid="{00000000-0005-0000-0000-00008BD30000}"/>
    <cellStyle name="Normal 9 2 2 3 2 3 4" xfId="13983" xr:uid="{00000000-0005-0000-0000-00008CD30000}"/>
    <cellStyle name="Normal 9 2 2 3 2 3 4 2" xfId="27551" xr:uid="{00000000-0005-0000-0000-00008DD30000}"/>
    <cellStyle name="Normal 9 2 2 3 2 3 4 2 2" xfId="54684" xr:uid="{00000000-0005-0000-0000-00008ED30000}"/>
    <cellStyle name="Normal 9 2 2 3 2 3 4 3" xfId="41122" xr:uid="{00000000-0005-0000-0000-00008FD30000}"/>
    <cellStyle name="Normal 9 2 2 3 2 3 5" xfId="20770" xr:uid="{00000000-0005-0000-0000-000090D30000}"/>
    <cellStyle name="Normal 9 2 2 3 2 3 5 2" xfId="47903" xr:uid="{00000000-0005-0000-0000-000091D30000}"/>
    <cellStyle name="Normal 9 2 2 3 2 3 6" xfId="34341" xr:uid="{00000000-0005-0000-0000-000092D30000}"/>
    <cellStyle name="Normal 9 2 2 3 2 4" xfId="7058" xr:uid="{00000000-0005-0000-0000-000093D30000}"/>
    <cellStyle name="Normal 9 2 2 3 2 4 2" xfId="10584" xr:uid="{00000000-0005-0000-0000-000094D30000}"/>
    <cellStyle name="Normal 9 2 2 3 2 4 2 2" xfId="17374" xr:uid="{00000000-0005-0000-0000-000095D30000}"/>
    <cellStyle name="Normal 9 2 2 3 2 4 2 2 2" xfId="30942" xr:uid="{00000000-0005-0000-0000-000096D30000}"/>
    <cellStyle name="Normal 9 2 2 3 2 4 2 2 2 2" xfId="58075" xr:uid="{00000000-0005-0000-0000-000097D30000}"/>
    <cellStyle name="Normal 9 2 2 3 2 4 2 2 3" xfId="44513" xr:uid="{00000000-0005-0000-0000-000098D30000}"/>
    <cellStyle name="Normal 9 2 2 3 2 4 2 3" xfId="24161" xr:uid="{00000000-0005-0000-0000-000099D30000}"/>
    <cellStyle name="Normal 9 2 2 3 2 4 2 3 2" xfId="51294" xr:uid="{00000000-0005-0000-0000-00009AD30000}"/>
    <cellStyle name="Normal 9 2 2 3 2 4 2 4" xfId="37732" xr:uid="{00000000-0005-0000-0000-00009BD30000}"/>
    <cellStyle name="Normal 9 2 2 3 2 4 3" xfId="13985" xr:uid="{00000000-0005-0000-0000-00009CD30000}"/>
    <cellStyle name="Normal 9 2 2 3 2 4 3 2" xfId="27553" xr:uid="{00000000-0005-0000-0000-00009DD30000}"/>
    <cellStyle name="Normal 9 2 2 3 2 4 3 2 2" xfId="54686" xr:uid="{00000000-0005-0000-0000-00009ED30000}"/>
    <cellStyle name="Normal 9 2 2 3 2 4 3 3" xfId="41124" xr:uid="{00000000-0005-0000-0000-00009FD30000}"/>
    <cellStyle name="Normal 9 2 2 3 2 4 4" xfId="20772" xr:uid="{00000000-0005-0000-0000-0000A0D30000}"/>
    <cellStyle name="Normal 9 2 2 3 2 4 4 2" xfId="47905" xr:uid="{00000000-0005-0000-0000-0000A1D30000}"/>
    <cellStyle name="Normal 9 2 2 3 2 4 5" xfId="34343" xr:uid="{00000000-0005-0000-0000-0000A2D30000}"/>
    <cellStyle name="Normal 9 2 2 3 2 5" xfId="7059" xr:uid="{00000000-0005-0000-0000-0000A3D30000}"/>
    <cellStyle name="Normal 9 2 2 3 2 5 2" xfId="10585" xr:uid="{00000000-0005-0000-0000-0000A4D30000}"/>
    <cellStyle name="Normal 9 2 2 3 2 5 2 2" xfId="17375" xr:uid="{00000000-0005-0000-0000-0000A5D30000}"/>
    <cellStyle name="Normal 9 2 2 3 2 5 2 2 2" xfId="30943" xr:uid="{00000000-0005-0000-0000-0000A6D30000}"/>
    <cellStyle name="Normal 9 2 2 3 2 5 2 2 2 2" xfId="58076" xr:uid="{00000000-0005-0000-0000-0000A7D30000}"/>
    <cellStyle name="Normal 9 2 2 3 2 5 2 2 3" xfId="44514" xr:uid="{00000000-0005-0000-0000-0000A8D30000}"/>
    <cellStyle name="Normal 9 2 2 3 2 5 2 3" xfId="24162" xr:uid="{00000000-0005-0000-0000-0000A9D30000}"/>
    <cellStyle name="Normal 9 2 2 3 2 5 2 3 2" xfId="51295" xr:uid="{00000000-0005-0000-0000-0000AAD30000}"/>
    <cellStyle name="Normal 9 2 2 3 2 5 2 4" xfId="37733" xr:uid="{00000000-0005-0000-0000-0000ABD30000}"/>
    <cellStyle name="Normal 9 2 2 3 2 5 3" xfId="13986" xr:uid="{00000000-0005-0000-0000-0000ACD30000}"/>
    <cellStyle name="Normal 9 2 2 3 2 5 3 2" xfId="27554" xr:uid="{00000000-0005-0000-0000-0000ADD30000}"/>
    <cellStyle name="Normal 9 2 2 3 2 5 3 2 2" xfId="54687" xr:uid="{00000000-0005-0000-0000-0000AED30000}"/>
    <cellStyle name="Normal 9 2 2 3 2 5 3 3" xfId="41125" xr:uid="{00000000-0005-0000-0000-0000AFD30000}"/>
    <cellStyle name="Normal 9 2 2 3 2 5 4" xfId="20773" xr:uid="{00000000-0005-0000-0000-0000B0D30000}"/>
    <cellStyle name="Normal 9 2 2 3 2 5 4 2" xfId="47906" xr:uid="{00000000-0005-0000-0000-0000B1D30000}"/>
    <cellStyle name="Normal 9 2 2 3 2 5 5" xfId="34344" xr:uid="{00000000-0005-0000-0000-0000B2D30000}"/>
    <cellStyle name="Normal 9 2 2 3 2 6" xfId="10578" xr:uid="{00000000-0005-0000-0000-0000B3D30000}"/>
    <cellStyle name="Normal 9 2 2 3 2 6 2" xfId="17368" xr:uid="{00000000-0005-0000-0000-0000B4D30000}"/>
    <cellStyle name="Normal 9 2 2 3 2 6 2 2" xfId="30936" xr:uid="{00000000-0005-0000-0000-0000B5D30000}"/>
    <cellStyle name="Normal 9 2 2 3 2 6 2 2 2" xfId="58069" xr:uid="{00000000-0005-0000-0000-0000B6D30000}"/>
    <cellStyle name="Normal 9 2 2 3 2 6 2 3" xfId="44507" xr:uid="{00000000-0005-0000-0000-0000B7D30000}"/>
    <cellStyle name="Normal 9 2 2 3 2 6 3" xfId="24155" xr:uid="{00000000-0005-0000-0000-0000B8D30000}"/>
    <cellStyle name="Normal 9 2 2 3 2 6 3 2" xfId="51288" xr:uid="{00000000-0005-0000-0000-0000B9D30000}"/>
    <cellStyle name="Normal 9 2 2 3 2 6 4" xfId="37726" xr:uid="{00000000-0005-0000-0000-0000BAD30000}"/>
    <cellStyle name="Normal 9 2 2 3 2 7" xfId="13979" xr:uid="{00000000-0005-0000-0000-0000BBD30000}"/>
    <cellStyle name="Normal 9 2 2 3 2 7 2" xfId="27547" xr:uid="{00000000-0005-0000-0000-0000BCD30000}"/>
    <cellStyle name="Normal 9 2 2 3 2 7 2 2" xfId="54680" xr:uid="{00000000-0005-0000-0000-0000BDD30000}"/>
    <cellStyle name="Normal 9 2 2 3 2 7 3" xfId="41118" xr:uid="{00000000-0005-0000-0000-0000BED30000}"/>
    <cellStyle name="Normal 9 2 2 3 2 8" xfId="20766" xr:uid="{00000000-0005-0000-0000-0000BFD30000}"/>
    <cellStyle name="Normal 9 2 2 3 2 8 2" xfId="47899" xr:uid="{00000000-0005-0000-0000-0000C0D30000}"/>
    <cellStyle name="Normal 9 2 2 3 2 9" xfId="34337" xr:uid="{00000000-0005-0000-0000-0000C1D30000}"/>
    <cellStyle name="Normal 9 2 2 3 3" xfId="7060" xr:uid="{00000000-0005-0000-0000-0000C2D30000}"/>
    <cellStyle name="Normal 9 2 2 3 3 2" xfId="7061" xr:uid="{00000000-0005-0000-0000-0000C3D30000}"/>
    <cellStyle name="Normal 9 2 2 3 3 2 2" xfId="10587" xr:uid="{00000000-0005-0000-0000-0000C4D30000}"/>
    <cellStyle name="Normal 9 2 2 3 3 2 2 2" xfId="17377" xr:uid="{00000000-0005-0000-0000-0000C5D30000}"/>
    <cellStyle name="Normal 9 2 2 3 3 2 2 2 2" xfId="30945" xr:uid="{00000000-0005-0000-0000-0000C6D30000}"/>
    <cellStyle name="Normal 9 2 2 3 3 2 2 2 2 2" xfId="58078" xr:uid="{00000000-0005-0000-0000-0000C7D30000}"/>
    <cellStyle name="Normal 9 2 2 3 3 2 2 2 3" xfId="44516" xr:uid="{00000000-0005-0000-0000-0000C8D30000}"/>
    <cellStyle name="Normal 9 2 2 3 3 2 2 3" xfId="24164" xr:uid="{00000000-0005-0000-0000-0000C9D30000}"/>
    <cellStyle name="Normal 9 2 2 3 3 2 2 3 2" xfId="51297" xr:uid="{00000000-0005-0000-0000-0000CAD30000}"/>
    <cellStyle name="Normal 9 2 2 3 3 2 2 4" xfId="37735" xr:uid="{00000000-0005-0000-0000-0000CBD30000}"/>
    <cellStyle name="Normal 9 2 2 3 3 2 3" xfId="13988" xr:uid="{00000000-0005-0000-0000-0000CCD30000}"/>
    <cellStyle name="Normal 9 2 2 3 3 2 3 2" xfId="27556" xr:uid="{00000000-0005-0000-0000-0000CDD30000}"/>
    <cellStyle name="Normal 9 2 2 3 3 2 3 2 2" xfId="54689" xr:uid="{00000000-0005-0000-0000-0000CED30000}"/>
    <cellStyle name="Normal 9 2 2 3 3 2 3 3" xfId="41127" xr:uid="{00000000-0005-0000-0000-0000CFD30000}"/>
    <cellStyle name="Normal 9 2 2 3 3 2 4" xfId="20775" xr:uid="{00000000-0005-0000-0000-0000D0D30000}"/>
    <cellStyle name="Normal 9 2 2 3 3 2 4 2" xfId="47908" xr:uid="{00000000-0005-0000-0000-0000D1D30000}"/>
    <cellStyle name="Normal 9 2 2 3 3 2 5" xfId="34346" xr:uid="{00000000-0005-0000-0000-0000D2D30000}"/>
    <cellStyle name="Normal 9 2 2 3 3 3" xfId="7062" xr:uid="{00000000-0005-0000-0000-0000D3D30000}"/>
    <cellStyle name="Normal 9 2 2 3 3 3 2" xfId="10588" xr:uid="{00000000-0005-0000-0000-0000D4D30000}"/>
    <cellStyle name="Normal 9 2 2 3 3 3 2 2" xfId="17378" xr:uid="{00000000-0005-0000-0000-0000D5D30000}"/>
    <cellStyle name="Normal 9 2 2 3 3 3 2 2 2" xfId="30946" xr:uid="{00000000-0005-0000-0000-0000D6D30000}"/>
    <cellStyle name="Normal 9 2 2 3 3 3 2 2 2 2" xfId="58079" xr:uid="{00000000-0005-0000-0000-0000D7D30000}"/>
    <cellStyle name="Normal 9 2 2 3 3 3 2 2 3" xfId="44517" xr:uid="{00000000-0005-0000-0000-0000D8D30000}"/>
    <cellStyle name="Normal 9 2 2 3 3 3 2 3" xfId="24165" xr:uid="{00000000-0005-0000-0000-0000D9D30000}"/>
    <cellStyle name="Normal 9 2 2 3 3 3 2 3 2" xfId="51298" xr:uid="{00000000-0005-0000-0000-0000DAD30000}"/>
    <cellStyle name="Normal 9 2 2 3 3 3 2 4" xfId="37736" xr:uid="{00000000-0005-0000-0000-0000DBD30000}"/>
    <cellStyle name="Normal 9 2 2 3 3 3 3" xfId="13989" xr:uid="{00000000-0005-0000-0000-0000DCD30000}"/>
    <cellStyle name="Normal 9 2 2 3 3 3 3 2" xfId="27557" xr:uid="{00000000-0005-0000-0000-0000DDD30000}"/>
    <cellStyle name="Normal 9 2 2 3 3 3 3 2 2" xfId="54690" xr:uid="{00000000-0005-0000-0000-0000DED30000}"/>
    <cellStyle name="Normal 9 2 2 3 3 3 3 3" xfId="41128" xr:uid="{00000000-0005-0000-0000-0000DFD30000}"/>
    <cellStyle name="Normal 9 2 2 3 3 3 4" xfId="20776" xr:uid="{00000000-0005-0000-0000-0000E0D30000}"/>
    <cellStyle name="Normal 9 2 2 3 3 3 4 2" xfId="47909" xr:uid="{00000000-0005-0000-0000-0000E1D30000}"/>
    <cellStyle name="Normal 9 2 2 3 3 3 5" xfId="34347" xr:uid="{00000000-0005-0000-0000-0000E2D30000}"/>
    <cellStyle name="Normal 9 2 2 3 3 4" xfId="10586" xr:uid="{00000000-0005-0000-0000-0000E3D30000}"/>
    <cellStyle name="Normal 9 2 2 3 3 4 2" xfId="17376" xr:uid="{00000000-0005-0000-0000-0000E4D30000}"/>
    <cellStyle name="Normal 9 2 2 3 3 4 2 2" xfId="30944" xr:uid="{00000000-0005-0000-0000-0000E5D30000}"/>
    <cellStyle name="Normal 9 2 2 3 3 4 2 2 2" xfId="58077" xr:uid="{00000000-0005-0000-0000-0000E6D30000}"/>
    <cellStyle name="Normal 9 2 2 3 3 4 2 3" xfId="44515" xr:uid="{00000000-0005-0000-0000-0000E7D30000}"/>
    <cellStyle name="Normal 9 2 2 3 3 4 3" xfId="24163" xr:uid="{00000000-0005-0000-0000-0000E8D30000}"/>
    <cellStyle name="Normal 9 2 2 3 3 4 3 2" xfId="51296" xr:uid="{00000000-0005-0000-0000-0000E9D30000}"/>
    <cellStyle name="Normal 9 2 2 3 3 4 4" xfId="37734" xr:uid="{00000000-0005-0000-0000-0000EAD30000}"/>
    <cellStyle name="Normal 9 2 2 3 3 5" xfId="13987" xr:uid="{00000000-0005-0000-0000-0000EBD30000}"/>
    <cellStyle name="Normal 9 2 2 3 3 5 2" xfId="27555" xr:uid="{00000000-0005-0000-0000-0000ECD30000}"/>
    <cellStyle name="Normal 9 2 2 3 3 5 2 2" xfId="54688" xr:uid="{00000000-0005-0000-0000-0000EDD30000}"/>
    <cellStyle name="Normal 9 2 2 3 3 5 3" xfId="41126" xr:uid="{00000000-0005-0000-0000-0000EED30000}"/>
    <cellStyle name="Normal 9 2 2 3 3 6" xfId="20774" xr:uid="{00000000-0005-0000-0000-0000EFD30000}"/>
    <cellStyle name="Normal 9 2 2 3 3 6 2" xfId="47907" xr:uid="{00000000-0005-0000-0000-0000F0D30000}"/>
    <cellStyle name="Normal 9 2 2 3 3 7" xfId="34345" xr:uid="{00000000-0005-0000-0000-0000F1D30000}"/>
    <cellStyle name="Normal 9 2 2 3 4" xfId="7063" xr:uid="{00000000-0005-0000-0000-0000F2D30000}"/>
    <cellStyle name="Normal 9 2 2 3 4 2" xfId="7064" xr:uid="{00000000-0005-0000-0000-0000F3D30000}"/>
    <cellStyle name="Normal 9 2 2 3 4 2 2" xfId="10590" xr:uid="{00000000-0005-0000-0000-0000F4D30000}"/>
    <cellStyle name="Normal 9 2 2 3 4 2 2 2" xfId="17380" xr:uid="{00000000-0005-0000-0000-0000F5D30000}"/>
    <cellStyle name="Normal 9 2 2 3 4 2 2 2 2" xfId="30948" xr:uid="{00000000-0005-0000-0000-0000F6D30000}"/>
    <cellStyle name="Normal 9 2 2 3 4 2 2 2 2 2" xfId="58081" xr:uid="{00000000-0005-0000-0000-0000F7D30000}"/>
    <cellStyle name="Normal 9 2 2 3 4 2 2 2 3" xfId="44519" xr:uid="{00000000-0005-0000-0000-0000F8D30000}"/>
    <cellStyle name="Normal 9 2 2 3 4 2 2 3" xfId="24167" xr:uid="{00000000-0005-0000-0000-0000F9D30000}"/>
    <cellStyle name="Normal 9 2 2 3 4 2 2 3 2" xfId="51300" xr:uid="{00000000-0005-0000-0000-0000FAD30000}"/>
    <cellStyle name="Normal 9 2 2 3 4 2 2 4" xfId="37738" xr:uid="{00000000-0005-0000-0000-0000FBD30000}"/>
    <cellStyle name="Normal 9 2 2 3 4 2 3" xfId="13991" xr:uid="{00000000-0005-0000-0000-0000FCD30000}"/>
    <cellStyle name="Normal 9 2 2 3 4 2 3 2" xfId="27559" xr:uid="{00000000-0005-0000-0000-0000FDD30000}"/>
    <cellStyle name="Normal 9 2 2 3 4 2 3 2 2" xfId="54692" xr:uid="{00000000-0005-0000-0000-0000FED30000}"/>
    <cellStyle name="Normal 9 2 2 3 4 2 3 3" xfId="41130" xr:uid="{00000000-0005-0000-0000-0000FFD30000}"/>
    <cellStyle name="Normal 9 2 2 3 4 2 4" xfId="20778" xr:uid="{00000000-0005-0000-0000-000000D40000}"/>
    <cellStyle name="Normal 9 2 2 3 4 2 4 2" xfId="47911" xr:uid="{00000000-0005-0000-0000-000001D40000}"/>
    <cellStyle name="Normal 9 2 2 3 4 2 5" xfId="34349" xr:uid="{00000000-0005-0000-0000-000002D40000}"/>
    <cellStyle name="Normal 9 2 2 3 4 3" xfId="10589" xr:uid="{00000000-0005-0000-0000-000003D40000}"/>
    <cellStyle name="Normal 9 2 2 3 4 3 2" xfId="17379" xr:uid="{00000000-0005-0000-0000-000004D40000}"/>
    <cellStyle name="Normal 9 2 2 3 4 3 2 2" xfId="30947" xr:uid="{00000000-0005-0000-0000-000005D40000}"/>
    <cellStyle name="Normal 9 2 2 3 4 3 2 2 2" xfId="58080" xr:uid="{00000000-0005-0000-0000-000006D40000}"/>
    <cellStyle name="Normal 9 2 2 3 4 3 2 3" xfId="44518" xr:uid="{00000000-0005-0000-0000-000007D40000}"/>
    <cellStyle name="Normal 9 2 2 3 4 3 3" xfId="24166" xr:uid="{00000000-0005-0000-0000-000008D40000}"/>
    <cellStyle name="Normal 9 2 2 3 4 3 3 2" xfId="51299" xr:uid="{00000000-0005-0000-0000-000009D40000}"/>
    <cellStyle name="Normal 9 2 2 3 4 3 4" xfId="37737" xr:uid="{00000000-0005-0000-0000-00000AD40000}"/>
    <cellStyle name="Normal 9 2 2 3 4 4" xfId="13990" xr:uid="{00000000-0005-0000-0000-00000BD40000}"/>
    <cellStyle name="Normal 9 2 2 3 4 4 2" xfId="27558" xr:uid="{00000000-0005-0000-0000-00000CD40000}"/>
    <cellStyle name="Normal 9 2 2 3 4 4 2 2" xfId="54691" xr:uid="{00000000-0005-0000-0000-00000DD40000}"/>
    <cellStyle name="Normal 9 2 2 3 4 4 3" xfId="41129" xr:uid="{00000000-0005-0000-0000-00000ED40000}"/>
    <cellStyle name="Normal 9 2 2 3 4 5" xfId="20777" xr:uid="{00000000-0005-0000-0000-00000FD40000}"/>
    <cellStyle name="Normal 9 2 2 3 4 5 2" xfId="47910" xr:uid="{00000000-0005-0000-0000-000010D40000}"/>
    <cellStyle name="Normal 9 2 2 3 4 6" xfId="34348" xr:uid="{00000000-0005-0000-0000-000011D40000}"/>
    <cellStyle name="Normal 9 2 2 3 5" xfId="7065" xr:uid="{00000000-0005-0000-0000-000012D40000}"/>
    <cellStyle name="Normal 9 2 2 3 5 2" xfId="10591" xr:uid="{00000000-0005-0000-0000-000013D40000}"/>
    <cellStyle name="Normal 9 2 2 3 5 2 2" xfId="17381" xr:uid="{00000000-0005-0000-0000-000014D40000}"/>
    <cellStyle name="Normal 9 2 2 3 5 2 2 2" xfId="30949" xr:uid="{00000000-0005-0000-0000-000015D40000}"/>
    <cellStyle name="Normal 9 2 2 3 5 2 2 2 2" xfId="58082" xr:uid="{00000000-0005-0000-0000-000016D40000}"/>
    <cellStyle name="Normal 9 2 2 3 5 2 2 3" xfId="44520" xr:uid="{00000000-0005-0000-0000-000017D40000}"/>
    <cellStyle name="Normal 9 2 2 3 5 2 3" xfId="24168" xr:uid="{00000000-0005-0000-0000-000018D40000}"/>
    <cellStyle name="Normal 9 2 2 3 5 2 3 2" xfId="51301" xr:uid="{00000000-0005-0000-0000-000019D40000}"/>
    <cellStyle name="Normal 9 2 2 3 5 2 4" xfId="37739" xr:uid="{00000000-0005-0000-0000-00001AD40000}"/>
    <cellStyle name="Normal 9 2 2 3 5 3" xfId="13992" xr:uid="{00000000-0005-0000-0000-00001BD40000}"/>
    <cellStyle name="Normal 9 2 2 3 5 3 2" xfId="27560" xr:uid="{00000000-0005-0000-0000-00001CD40000}"/>
    <cellStyle name="Normal 9 2 2 3 5 3 2 2" xfId="54693" xr:uid="{00000000-0005-0000-0000-00001DD40000}"/>
    <cellStyle name="Normal 9 2 2 3 5 3 3" xfId="41131" xr:uid="{00000000-0005-0000-0000-00001ED40000}"/>
    <cellStyle name="Normal 9 2 2 3 5 4" xfId="20779" xr:uid="{00000000-0005-0000-0000-00001FD40000}"/>
    <cellStyle name="Normal 9 2 2 3 5 4 2" xfId="47912" xr:uid="{00000000-0005-0000-0000-000020D40000}"/>
    <cellStyle name="Normal 9 2 2 3 5 5" xfId="34350" xr:uid="{00000000-0005-0000-0000-000021D40000}"/>
    <cellStyle name="Normal 9 2 2 3 6" xfId="7066" xr:uid="{00000000-0005-0000-0000-000022D40000}"/>
    <cellStyle name="Normal 9 2 2 3 6 2" xfId="10592" xr:uid="{00000000-0005-0000-0000-000023D40000}"/>
    <cellStyle name="Normal 9 2 2 3 6 2 2" xfId="17382" xr:uid="{00000000-0005-0000-0000-000024D40000}"/>
    <cellStyle name="Normal 9 2 2 3 6 2 2 2" xfId="30950" xr:uid="{00000000-0005-0000-0000-000025D40000}"/>
    <cellStyle name="Normal 9 2 2 3 6 2 2 2 2" xfId="58083" xr:uid="{00000000-0005-0000-0000-000026D40000}"/>
    <cellStyle name="Normal 9 2 2 3 6 2 2 3" xfId="44521" xr:uid="{00000000-0005-0000-0000-000027D40000}"/>
    <cellStyle name="Normal 9 2 2 3 6 2 3" xfId="24169" xr:uid="{00000000-0005-0000-0000-000028D40000}"/>
    <cellStyle name="Normal 9 2 2 3 6 2 3 2" xfId="51302" xr:uid="{00000000-0005-0000-0000-000029D40000}"/>
    <cellStyle name="Normal 9 2 2 3 6 2 4" xfId="37740" xr:uid="{00000000-0005-0000-0000-00002AD40000}"/>
    <cellStyle name="Normal 9 2 2 3 6 3" xfId="13993" xr:uid="{00000000-0005-0000-0000-00002BD40000}"/>
    <cellStyle name="Normal 9 2 2 3 6 3 2" xfId="27561" xr:uid="{00000000-0005-0000-0000-00002CD40000}"/>
    <cellStyle name="Normal 9 2 2 3 6 3 2 2" xfId="54694" xr:uid="{00000000-0005-0000-0000-00002DD40000}"/>
    <cellStyle name="Normal 9 2 2 3 6 3 3" xfId="41132" xr:uid="{00000000-0005-0000-0000-00002ED40000}"/>
    <cellStyle name="Normal 9 2 2 3 6 4" xfId="20780" xr:uid="{00000000-0005-0000-0000-00002FD40000}"/>
    <cellStyle name="Normal 9 2 2 3 6 4 2" xfId="47913" xr:uid="{00000000-0005-0000-0000-000030D40000}"/>
    <cellStyle name="Normal 9 2 2 3 6 5" xfId="34351" xr:uid="{00000000-0005-0000-0000-000031D40000}"/>
    <cellStyle name="Normal 9 2 2 3 7" xfId="10577" xr:uid="{00000000-0005-0000-0000-000032D40000}"/>
    <cellStyle name="Normal 9 2 2 3 7 2" xfId="17367" xr:uid="{00000000-0005-0000-0000-000033D40000}"/>
    <cellStyle name="Normal 9 2 2 3 7 2 2" xfId="30935" xr:uid="{00000000-0005-0000-0000-000034D40000}"/>
    <cellStyle name="Normal 9 2 2 3 7 2 2 2" xfId="58068" xr:uid="{00000000-0005-0000-0000-000035D40000}"/>
    <cellStyle name="Normal 9 2 2 3 7 2 3" xfId="44506" xr:uid="{00000000-0005-0000-0000-000036D40000}"/>
    <cellStyle name="Normal 9 2 2 3 7 3" xfId="24154" xr:uid="{00000000-0005-0000-0000-000037D40000}"/>
    <cellStyle name="Normal 9 2 2 3 7 3 2" xfId="51287" xr:uid="{00000000-0005-0000-0000-000038D40000}"/>
    <cellStyle name="Normal 9 2 2 3 7 4" xfId="37725" xr:uid="{00000000-0005-0000-0000-000039D40000}"/>
    <cellStyle name="Normal 9 2 2 3 8" xfId="13978" xr:uid="{00000000-0005-0000-0000-00003AD40000}"/>
    <cellStyle name="Normal 9 2 2 3 8 2" xfId="27546" xr:uid="{00000000-0005-0000-0000-00003BD40000}"/>
    <cellStyle name="Normal 9 2 2 3 8 2 2" xfId="54679" xr:uid="{00000000-0005-0000-0000-00003CD40000}"/>
    <cellStyle name="Normal 9 2 2 3 8 3" xfId="41117" xr:uid="{00000000-0005-0000-0000-00003DD40000}"/>
    <cellStyle name="Normal 9 2 2 3 9" xfId="20765" xr:uid="{00000000-0005-0000-0000-00003ED40000}"/>
    <cellStyle name="Normal 9 2 2 3 9 2" xfId="47898" xr:uid="{00000000-0005-0000-0000-00003FD40000}"/>
    <cellStyle name="Normal 9 2 2 4" xfId="7067" xr:uid="{00000000-0005-0000-0000-000040D40000}"/>
    <cellStyle name="Normal 9 2 2 4 2" xfId="7068" xr:uid="{00000000-0005-0000-0000-000041D40000}"/>
    <cellStyle name="Normal 9 2 2 4 2 2" xfId="7069" xr:uid="{00000000-0005-0000-0000-000042D40000}"/>
    <cellStyle name="Normal 9 2 2 4 2 2 2" xfId="10595" xr:uid="{00000000-0005-0000-0000-000043D40000}"/>
    <cellStyle name="Normal 9 2 2 4 2 2 2 2" xfId="17385" xr:uid="{00000000-0005-0000-0000-000044D40000}"/>
    <cellStyle name="Normal 9 2 2 4 2 2 2 2 2" xfId="30953" xr:uid="{00000000-0005-0000-0000-000045D40000}"/>
    <cellStyle name="Normal 9 2 2 4 2 2 2 2 2 2" xfId="58086" xr:uid="{00000000-0005-0000-0000-000046D40000}"/>
    <cellStyle name="Normal 9 2 2 4 2 2 2 2 3" xfId="44524" xr:uid="{00000000-0005-0000-0000-000047D40000}"/>
    <cellStyle name="Normal 9 2 2 4 2 2 2 3" xfId="24172" xr:uid="{00000000-0005-0000-0000-000048D40000}"/>
    <cellStyle name="Normal 9 2 2 4 2 2 2 3 2" xfId="51305" xr:uid="{00000000-0005-0000-0000-000049D40000}"/>
    <cellStyle name="Normal 9 2 2 4 2 2 2 4" xfId="37743" xr:uid="{00000000-0005-0000-0000-00004AD40000}"/>
    <cellStyle name="Normal 9 2 2 4 2 2 3" xfId="13996" xr:uid="{00000000-0005-0000-0000-00004BD40000}"/>
    <cellStyle name="Normal 9 2 2 4 2 2 3 2" xfId="27564" xr:uid="{00000000-0005-0000-0000-00004CD40000}"/>
    <cellStyle name="Normal 9 2 2 4 2 2 3 2 2" xfId="54697" xr:uid="{00000000-0005-0000-0000-00004DD40000}"/>
    <cellStyle name="Normal 9 2 2 4 2 2 3 3" xfId="41135" xr:uid="{00000000-0005-0000-0000-00004ED40000}"/>
    <cellStyle name="Normal 9 2 2 4 2 2 4" xfId="20783" xr:uid="{00000000-0005-0000-0000-00004FD40000}"/>
    <cellStyle name="Normal 9 2 2 4 2 2 4 2" xfId="47916" xr:uid="{00000000-0005-0000-0000-000050D40000}"/>
    <cellStyle name="Normal 9 2 2 4 2 2 5" xfId="34354" xr:uid="{00000000-0005-0000-0000-000051D40000}"/>
    <cellStyle name="Normal 9 2 2 4 2 3" xfId="7070" xr:uid="{00000000-0005-0000-0000-000052D40000}"/>
    <cellStyle name="Normal 9 2 2 4 2 3 2" xfId="10596" xr:uid="{00000000-0005-0000-0000-000053D40000}"/>
    <cellStyle name="Normal 9 2 2 4 2 3 2 2" xfId="17386" xr:uid="{00000000-0005-0000-0000-000054D40000}"/>
    <cellStyle name="Normal 9 2 2 4 2 3 2 2 2" xfId="30954" xr:uid="{00000000-0005-0000-0000-000055D40000}"/>
    <cellStyle name="Normal 9 2 2 4 2 3 2 2 2 2" xfId="58087" xr:uid="{00000000-0005-0000-0000-000056D40000}"/>
    <cellStyle name="Normal 9 2 2 4 2 3 2 2 3" xfId="44525" xr:uid="{00000000-0005-0000-0000-000057D40000}"/>
    <cellStyle name="Normal 9 2 2 4 2 3 2 3" xfId="24173" xr:uid="{00000000-0005-0000-0000-000058D40000}"/>
    <cellStyle name="Normal 9 2 2 4 2 3 2 3 2" xfId="51306" xr:uid="{00000000-0005-0000-0000-000059D40000}"/>
    <cellStyle name="Normal 9 2 2 4 2 3 2 4" xfId="37744" xr:uid="{00000000-0005-0000-0000-00005AD40000}"/>
    <cellStyle name="Normal 9 2 2 4 2 3 3" xfId="13997" xr:uid="{00000000-0005-0000-0000-00005BD40000}"/>
    <cellStyle name="Normal 9 2 2 4 2 3 3 2" xfId="27565" xr:uid="{00000000-0005-0000-0000-00005CD40000}"/>
    <cellStyle name="Normal 9 2 2 4 2 3 3 2 2" xfId="54698" xr:uid="{00000000-0005-0000-0000-00005DD40000}"/>
    <cellStyle name="Normal 9 2 2 4 2 3 3 3" xfId="41136" xr:uid="{00000000-0005-0000-0000-00005ED40000}"/>
    <cellStyle name="Normal 9 2 2 4 2 3 4" xfId="20784" xr:uid="{00000000-0005-0000-0000-00005FD40000}"/>
    <cellStyle name="Normal 9 2 2 4 2 3 4 2" xfId="47917" xr:uid="{00000000-0005-0000-0000-000060D40000}"/>
    <cellStyle name="Normal 9 2 2 4 2 3 5" xfId="34355" xr:uid="{00000000-0005-0000-0000-000061D40000}"/>
    <cellStyle name="Normal 9 2 2 4 2 4" xfId="10594" xr:uid="{00000000-0005-0000-0000-000062D40000}"/>
    <cellStyle name="Normal 9 2 2 4 2 4 2" xfId="17384" xr:uid="{00000000-0005-0000-0000-000063D40000}"/>
    <cellStyle name="Normal 9 2 2 4 2 4 2 2" xfId="30952" xr:uid="{00000000-0005-0000-0000-000064D40000}"/>
    <cellStyle name="Normal 9 2 2 4 2 4 2 2 2" xfId="58085" xr:uid="{00000000-0005-0000-0000-000065D40000}"/>
    <cellStyle name="Normal 9 2 2 4 2 4 2 3" xfId="44523" xr:uid="{00000000-0005-0000-0000-000066D40000}"/>
    <cellStyle name="Normal 9 2 2 4 2 4 3" xfId="24171" xr:uid="{00000000-0005-0000-0000-000067D40000}"/>
    <cellStyle name="Normal 9 2 2 4 2 4 3 2" xfId="51304" xr:uid="{00000000-0005-0000-0000-000068D40000}"/>
    <cellStyle name="Normal 9 2 2 4 2 4 4" xfId="37742" xr:uid="{00000000-0005-0000-0000-000069D40000}"/>
    <cellStyle name="Normal 9 2 2 4 2 5" xfId="13995" xr:uid="{00000000-0005-0000-0000-00006AD40000}"/>
    <cellStyle name="Normal 9 2 2 4 2 5 2" xfId="27563" xr:uid="{00000000-0005-0000-0000-00006BD40000}"/>
    <cellStyle name="Normal 9 2 2 4 2 5 2 2" xfId="54696" xr:uid="{00000000-0005-0000-0000-00006CD40000}"/>
    <cellStyle name="Normal 9 2 2 4 2 5 3" xfId="41134" xr:uid="{00000000-0005-0000-0000-00006DD40000}"/>
    <cellStyle name="Normal 9 2 2 4 2 6" xfId="20782" xr:uid="{00000000-0005-0000-0000-00006ED40000}"/>
    <cellStyle name="Normal 9 2 2 4 2 6 2" xfId="47915" xr:uid="{00000000-0005-0000-0000-00006FD40000}"/>
    <cellStyle name="Normal 9 2 2 4 2 7" xfId="34353" xr:uid="{00000000-0005-0000-0000-000070D40000}"/>
    <cellStyle name="Normal 9 2 2 4 3" xfId="7071" xr:uid="{00000000-0005-0000-0000-000071D40000}"/>
    <cellStyle name="Normal 9 2 2 4 3 2" xfId="7072" xr:uid="{00000000-0005-0000-0000-000072D40000}"/>
    <cellStyle name="Normal 9 2 2 4 3 2 2" xfId="10598" xr:uid="{00000000-0005-0000-0000-000073D40000}"/>
    <cellStyle name="Normal 9 2 2 4 3 2 2 2" xfId="17388" xr:uid="{00000000-0005-0000-0000-000074D40000}"/>
    <cellStyle name="Normal 9 2 2 4 3 2 2 2 2" xfId="30956" xr:uid="{00000000-0005-0000-0000-000075D40000}"/>
    <cellStyle name="Normal 9 2 2 4 3 2 2 2 2 2" xfId="58089" xr:uid="{00000000-0005-0000-0000-000076D40000}"/>
    <cellStyle name="Normal 9 2 2 4 3 2 2 2 3" xfId="44527" xr:uid="{00000000-0005-0000-0000-000077D40000}"/>
    <cellStyle name="Normal 9 2 2 4 3 2 2 3" xfId="24175" xr:uid="{00000000-0005-0000-0000-000078D40000}"/>
    <cellStyle name="Normal 9 2 2 4 3 2 2 3 2" xfId="51308" xr:uid="{00000000-0005-0000-0000-000079D40000}"/>
    <cellStyle name="Normal 9 2 2 4 3 2 2 4" xfId="37746" xr:uid="{00000000-0005-0000-0000-00007AD40000}"/>
    <cellStyle name="Normal 9 2 2 4 3 2 3" xfId="13999" xr:uid="{00000000-0005-0000-0000-00007BD40000}"/>
    <cellStyle name="Normal 9 2 2 4 3 2 3 2" xfId="27567" xr:uid="{00000000-0005-0000-0000-00007CD40000}"/>
    <cellStyle name="Normal 9 2 2 4 3 2 3 2 2" xfId="54700" xr:uid="{00000000-0005-0000-0000-00007DD40000}"/>
    <cellStyle name="Normal 9 2 2 4 3 2 3 3" xfId="41138" xr:uid="{00000000-0005-0000-0000-00007ED40000}"/>
    <cellStyle name="Normal 9 2 2 4 3 2 4" xfId="20786" xr:uid="{00000000-0005-0000-0000-00007FD40000}"/>
    <cellStyle name="Normal 9 2 2 4 3 2 4 2" xfId="47919" xr:uid="{00000000-0005-0000-0000-000080D40000}"/>
    <cellStyle name="Normal 9 2 2 4 3 2 5" xfId="34357" xr:uid="{00000000-0005-0000-0000-000081D40000}"/>
    <cellStyle name="Normal 9 2 2 4 3 3" xfId="10597" xr:uid="{00000000-0005-0000-0000-000082D40000}"/>
    <cellStyle name="Normal 9 2 2 4 3 3 2" xfId="17387" xr:uid="{00000000-0005-0000-0000-000083D40000}"/>
    <cellStyle name="Normal 9 2 2 4 3 3 2 2" xfId="30955" xr:uid="{00000000-0005-0000-0000-000084D40000}"/>
    <cellStyle name="Normal 9 2 2 4 3 3 2 2 2" xfId="58088" xr:uid="{00000000-0005-0000-0000-000085D40000}"/>
    <cellStyle name="Normal 9 2 2 4 3 3 2 3" xfId="44526" xr:uid="{00000000-0005-0000-0000-000086D40000}"/>
    <cellStyle name="Normal 9 2 2 4 3 3 3" xfId="24174" xr:uid="{00000000-0005-0000-0000-000087D40000}"/>
    <cellStyle name="Normal 9 2 2 4 3 3 3 2" xfId="51307" xr:uid="{00000000-0005-0000-0000-000088D40000}"/>
    <cellStyle name="Normal 9 2 2 4 3 3 4" xfId="37745" xr:uid="{00000000-0005-0000-0000-000089D40000}"/>
    <cellStyle name="Normal 9 2 2 4 3 4" xfId="13998" xr:uid="{00000000-0005-0000-0000-00008AD40000}"/>
    <cellStyle name="Normal 9 2 2 4 3 4 2" xfId="27566" xr:uid="{00000000-0005-0000-0000-00008BD40000}"/>
    <cellStyle name="Normal 9 2 2 4 3 4 2 2" xfId="54699" xr:uid="{00000000-0005-0000-0000-00008CD40000}"/>
    <cellStyle name="Normal 9 2 2 4 3 4 3" xfId="41137" xr:uid="{00000000-0005-0000-0000-00008DD40000}"/>
    <cellStyle name="Normal 9 2 2 4 3 5" xfId="20785" xr:uid="{00000000-0005-0000-0000-00008ED40000}"/>
    <cellStyle name="Normal 9 2 2 4 3 5 2" xfId="47918" xr:uid="{00000000-0005-0000-0000-00008FD40000}"/>
    <cellStyle name="Normal 9 2 2 4 3 6" xfId="34356" xr:uid="{00000000-0005-0000-0000-000090D40000}"/>
    <cellStyle name="Normal 9 2 2 4 4" xfId="7073" xr:uid="{00000000-0005-0000-0000-000091D40000}"/>
    <cellStyle name="Normal 9 2 2 4 4 2" xfId="10599" xr:uid="{00000000-0005-0000-0000-000092D40000}"/>
    <cellStyle name="Normal 9 2 2 4 4 2 2" xfId="17389" xr:uid="{00000000-0005-0000-0000-000093D40000}"/>
    <cellStyle name="Normal 9 2 2 4 4 2 2 2" xfId="30957" xr:uid="{00000000-0005-0000-0000-000094D40000}"/>
    <cellStyle name="Normal 9 2 2 4 4 2 2 2 2" xfId="58090" xr:uid="{00000000-0005-0000-0000-000095D40000}"/>
    <cellStyle name="Normal 9 2 2 4 4 2 2 3" xfId="44528" xr:uid="{00000000-0005-0000-0000-000096D40000}"/>
    <cellStyle name="Normal 9 2 2 4 4 2 3" xfId="24176" xr:uid="{00000000-0005-0000-0000-000097D40000}"/>
    <cellStyle name="Normal 9 2 2 4 4 2 3 2" xfId="51309" xr:uid="{00000000-0005-0000-0000-000098D40000}"/>
    <cellStyle name="Normal 9 2 2 4 4 2 4" xfId="37747" xr:uid="{00000000-0005-0000-0000-000099D40000}"/>
    <cellStyle name="Normal 9 2 2 4 4 3" xfId="14000" xr:uid="{00000000-0005-0000-0000-00009AD40000}"/>
    <cellStyle name="Normal 9 2 2 4 4 3 2" xfId="27568" xr:uid="{00000000-0005-0000-0000-00009BD40000}"/>
    <cellStyle name="Normal 9 2 2 4 4 3 2 2" xfId="54701" xr:uid="{00000000-0005-0000-0000-00009CD40000}"/>
    <cellStyle name="Normal 9 2 2 4 4 3 3" xfId="41139" xr:uid="{00000000-0005-0000-0000-00009DD40000}"/>
    <cellStyle name="Normal 9 2 2 4 4 4" xfId="20787" xr:uid="{00000000-0005-0000-0000-00009ED40000}"/>
    <cellStyle name="Normal 9 2 2 4 4 4 2" xfId="47920" xr:uid="{00000000-0005-0000-0000-00009FD40000}"/>
    <cellStyle name="Normal 9 2 2 4 4 5" xfId="34358" xr:uid="{00000000-0005-0000-0000-0000A0D40000}"/>
    <cellStyle name="Normal 9 2 2 4 5" xfId="7074" xr:uid="{00000000-0005-0000-0000-0000A1D40000}"/>
    <cellStyle name="Normal 9 2 2 4 5 2" xfId="10600" xr:uid="{00000000-0005-0000-0000-0000A2D40000}"/>
    <cellStyle name="Normal 9 2 2 4 5 2 2" xfId="17390" xr:uid="{00000000-0005-0000-0000-0000A3D40000}"/>
    <cellStyle name="Normal 9 2 2 4 5 2 2 2" xfId="30958" xr:uid="{00000000-0005-0000-0000-0000A4D40000}"/>
    <cellStyle name="Normal 9 2 2 4 5 2 2 2 2" xfId="58091" xr:uid="{00000000-0005-0000-0000-0000A5D40000}"/>
    <cellStyle name="Normal 9 2 2 4 5 2 2 3" xfId="44529" xr:uid="{00000000-0005-0000-0000-0000A6D40000}"/>
    <cellStyle name="Normal 9 2 2 4 5 2 3" xfId="24177" xr:uid="{00000000-0005-0000-0000-0000A7D40000}"/>
    <cellStyle name="Normal 9 2 2 4 5 2 3 2" xfId="51310" xr:uid="{00000000-0005-0000-0000-0000A8D40000}"/>
    <cellStyle name="Normal 9 2 2 4 5 2 4" xfId="37748" xr:uid="{00000000-0005-0000-0000-0000A9D40000}"/>
    <cellStyle name="Normal 9 2 2 4 5 3" xfId="14001" xr:uid="{00000000-0005-0000-0000-0000AAD40000}"/>
    <cellStyle name="Normal 9 2 2 4 5 3 2" xfId="27569" xr:uid="{00000000-0005-0000-0000-0000ABD40000}"/>
    <cellStyle name="Normal 9 2 2 4 5 3 2 2" xfId="54702" xr:uid="{00000000-0005-0000-0000-0000ACD40000}"/>
    <cellStyle name="Normal 9 2 2 4 5 3 3" xfId="41140" xr:uid="{00000000-0005-0000-0000-0000ADD40000}"/>
    <cellStyle name="Normal 9 2 2 4 5 4" xfId="20788" xr:uid="{00000000-0005-0000-0000-0000AED40000}"/>
    <cellStyle name="Normal 9 2 2 4 5 4 2" xfId="47921" xr:uid="{00000000-0005-0000-0000-0000AFD40000}"/>
    <cellStyle name="Normal 9 2 2 4 5 5" xfId="34359" xr:uid="{00000000-0005-0000-0000-0000B0D40000}"/>
    <cellStyle name="Normal 9 2 2 4 6" xfId="10593" xr:uid="{00000000-0005-0000-0000-0000B1D40000}"/>
    <cellStyle name="Normal 9 2 2 4 6 2" xfId="17383" xr:uid="{00000000-0005-0000-0000-0000B2D40000}"/>
    <cellStyle name="Normal 9 2 2 4 6 2 2" xfId="30951" xr:uid="{00000000-0005-0000-0000-0000B3D40000}"/>
    <cellStyle name="Normal 9 2 2 4 6 2 2 2" xfId="58084" xr:uid="{00000000-0005-0000-0000-0000B4D40000}"/>
    <cellStyle name="Normal 9 2 2 4 6 2 3" xfId="44522" xr:uid="{00000000-0005-0000-0000-0000B5D40000}"/>
    <cellStyle name="Normal 9 2 2 4 6 3" xfId="24170" xr:uid="{00000000-0005-0000-0000-0000B6D40000}"/>
    <cellStyle name="Normal 9 2 2 4 6 3 2" xfId="51303" xr:uid="{00000000-0005-0000-0000-0000B7D40000}"/>
    <cellStyle name="Normal 9 2 2 4 6 4" xfId="37741" xr:uid="{00000000-0005-0000-0000-0000B8D40000}"/>
    <cellStyle name="Normal 9 2 2 4 7" xfId="13994" xr:uid="{00000000-0005-0000-0000-0000B9D40000}"/>
    <cellStyle name="Normal 9 2 2 4 7 2" xfId="27562" xr:uid="{00000000-0005-0000-0000-0000BAD40000}"/>
    <cellStyle name="Normal 9 2 2 4 7 2 2" xfId="54695" xr:uid="{00000000-0005-0000-0000-0000BBD40000}"/>
    <cellStyle name="Normal 9 2 2 4 7 3" xfId="41133" xr:uid="{00000000-0005-0000-0000-0000BCD40000}"/>
    <cellStyle name="Normal 9 2 2 4 8" xfId="20781" xr:uid="{00000000-0005-0000-0000-0000BDD40000}"/>
    <cellStyle name="Normal 9 2 2 4 8 2" xfId="47914" xr:uid="{00000000-0005-0000-0000-0000BED40000}"/>
    <cellStyle name="Normal 9 2 2 4 9" xfId="34352" xr:uid="{00000000-0005-0000-0000-0000BFD40000}"/>
    <cellStyle name="Normal 9 2 2 5" xfId="7075" xr:uid="{00000000-0005-0000-0000-0000C0D40000}"/>
    <cellStyle name="Normal 9 2 2 5 2" xfId="7076" xr:uid="{00000000-0005-0000-0000-0000C1D40000}"/>
    <cellStyle name="Normal 9 2 2 5 2 2" xfId="7077" xr:uid="{00000000-0005-0000-0000-0000C2D40000}"/>
    <cellStyle name="Normal 9 2 2 5 2 2 2" xfId="10603" xr:uid="{00000000-0005-0000-0000-0000C3D40000}"/>
    <cellStyle name="Normal 9 2 2 5 2 2 2 2" xfId="17393" xr:uid="{00000000-0005-0000-0000-0000C4D40000}"/>
    <cellStyle name="Normal 9 2 2 5 2 2 2 2 2" xfId="30961" xr:uid="{00000000-0005-0000-0000-0000C5D40000}"/>
    <cellStyle name="Normal 9 2 2 5 2 2 2 2 2 2" xfId="58094" xr:uid="{00000000-0005-0000-0000-0000C6D40000}"/>
    <cellStyle name="Normal 9 2 2 5 2 2 2 2 3" xfId="44532" xr:uid="{00000000-0005-0000-0000-0000C7D40000}"/>
    <cellStyle name="Normal 9 2 2 5 2 2 2 3" xfId="24180" xr:uid="{00000000-0005-0000-0000-0000C8D40000}"/>
    <cellStyle name="Normal 9 2 2 5 2 2 2 3 2" xfId="51313" xr:uid="{00000000-0005-0000-0000-0000C9D40000}"/>
    <cellStyle name="Normal 9 2 2 5 2 2 2 4" xfId="37751" xr:uid="{00000000-0005-0000-0000-0000CAD40000}"/>
    <cellStyle name="Normal 9 2 2 5 2 2 3" xfId="14004" xr:uid="{00000000-0005-0000-0000-0000CBD40000}"/>
    <cellStyle name="Normal 9 2 2 5 2 2 3 2" xfId="27572" xr:uid="{00000000-0005-0000-0000-0000CCD40000}"/>
    <cellStyle name="Normal 9 2 2 5 2 2 3 2 2" xfId="54705" xr:uid="{00000000-0005-0000-0000-0000CDD40000}"/>
    <cellStyle name="Normal 9 2 2 5 2 2 3 3" xfId="41143" xr:uid="{00000000-0005-0000-0000-0000CED40000}"/>
    <cellStyle name="Normal 9 2 2 5 2 2 4" xfId="20791" xr:uid="{00000000-0005-0000-0000-0000CFD40000}"/>
    <cellStyle name="Normal 9 2 2 5 2 2 4 2" xfId="47924" xr:uid="{00000000-0005-0000-0000-0000D0D40000}"/>
    <cellStyle name="Normal 9 2 2 5 2 2 5" xfId="34362" xr:uid="{00000000-0005-0000-0000-0000D1D40000}"/>
    <cellStyle name="Normal 9 2 2 5 2 3" xfId="7078" xr:uid="{00000000-0005-0000-0000-0000D2D40000}"/>
    <cellStyle name="Normal 9 2 2 5 2 3 2" xfId="10604" xr:uid="{00000000-0005-0000-0000-0000D3D40000}"/>
    <cellStyle name="Normal 9 2 2 5 2 3 2 2" xfId="17394" xr:uid="{00000000-0005-0000-0000-0000D4D40000}"/>
    <cellStyle name="Normal 9 2 2 5 2 3 2 2 2" xfId="30962" xr:uid="{00000000-0005-0000-0000-0000D5D40000}"/>
    <cellStyle name="Normal 9 2 2 5 2 3 2 2 2 2" xfId="58095" xr:uid="{00000000-0005-0000-0000-0000D6D40000}"/>
    <cellStyle name="Normal 9 2 2 5 2 3 2 2 3" xfId="44533" xr:uid="{00000000-0005-0000-0000-0000D7D40000}"/>
    <cellStyle name="Normal 9 2 2 5 2 3 2 3" xfId="24181" xr:uid="{00000000-0005-0000-0000-0000D8D40000}"/>
    <cellStyle name="Normal 9 2 2 5 2 3 2 3 2" xfId="51314" xr:uid="{00000000-0005-0000-0000-0000D9D40000}"/>
    <cellStyle name="Normal 9 2 2 5 2 3 2 4" xfId="37752" xr:uid="{00000000-0005-0000-0000-0000DAD40000}"/>
    <cellStyle name="Normal 9 2 2 5 2 3 3" xfId="14005" xr:uid="{00000000-0005-0000-0000-0000DBD40000}"/>
    <cellStyle name="Normal 9 2 2 5 2 3 3 2" xfId="27573" xr:uid="{00000000-0005-0000-0000-0000DCD40000}"/>
    <cellStyle name="Normal 9 2 2 5 2 3 3 2 2" xfId="54706" xr:uid="{00000000-0005-0000-0000-0000DDD40000}"/>
    <cellStyle name="Normal 9 2 2 5 2 3 3 3" xfId="41144" xr:uid="{00000000-0005-0000-0000-0000DED40000}"/>
    <cellStyle name="Normal 9 2 2 5 2 3 4" xfId="20792" xr:uid="{00000000-0005-0000-0000-0000DFD40000}"/>
    <cellStyle name="Normal 9 2 2 5 2 3 4 2" xfId="47925" xr:uid="{00000000-0005-0000-0000-0000E0D40000}"/>
    <cellStyle name="Normal 9 2 2 5 2 3 5" xfId="34363" xr:uid="{00000000-0005-0000-0000-0000E1D40000}"/>
    <cellStyle name="Normal 9 2 2 5 2 4" xfId="10602" xr:uid="{00000000-0005-0000-0000-0000E2D40000}"/>
    <cellStyle name="Normal 9 2 2 5 2 4 2" xfId="17392" xr:uid="{00000000-0005-0000-0000-0000E3D40000}"/>
    <cellStyle name="Normal 9 2 2 5 2 4 2 2" xfId="30960" xr:uid="{00000000-0005-0000-0000-0000E4D40000}"/>
    <cellStyle name="Normal 9 2 2 5 2 4 2 2 2" xfId="58093" xr:uid="{00000000-0005-0000-0000-0000E5D40000}"/>
    <cellStyle name="Normal 9 2 2 5 2 4 2 3" xfId="44531" xr:uid="{00000000-0005-0000-0000-0000E6D40000}"/>
    <cellStyle name="Normal 9 2 2 5 2 4 3" xfId="24179" xr:uid="{00000000-0005-0000-0000-0000E7D40000}"/>
    <cellStyle name="Normal 9 2 2 5 2 4 3 2" xfId="51312" xr:uid="{00000000-0005-0000-0000-0000E8D40000}"/>
    <cellStyle name="Normal 9 2 2 5 2 4 4" xfId="37750" xr:uid="{00000000-0005-0000-0000-0000E9D40000}"/>
    <cellStyle name="Normal 9 2 2 5 2 5" xfId="14003" xr:uid="{00000000-0005-0000-0000-0000EAD40000}"/>
    <cellStyle name="Normal 9 2 2 5 2 5 2" xfId="27571" xr:uid="{00000000-0005-0000-0000-0000EBD40000}"/>
    <cellStyle name="Normal 9 2 2 5 2 5 2 2" xfId="54704" xr:uid="{00000000-0005-0000-0000-0000ECD40000}"/>
    <cellStyle name="Normal 9 2 2 5 2 5 3" xfId="41142" xr:uid="{00000000-0005-0000-0000-0000EDD40000}"/>
    <cellStyle name="Normal 9 2 2 5 2 6" xfId="20790" xr:uid="{00000000-0005-0000-0000-0000EED40000}"/>
    <cellStyle name="Normal 9 2 2 5 2 6 2" xfId="47923" xr:uid="{00000000-0005-0000-0000-0000EFD40000}"/>
    <cellStyle name="Normal 9 2 2 5 2 7" xfId="34361" xr:uid="{00000000-0005-0000-0000-0000F0D40000}"/>
    <cellStyle name="Normal 9 2 2 5 3" xfId="7079" xr:uid="{00000000-0005-0000-0000-0000F1D40000}"/>
    <cellStyle name="Normal 9 2 2 5 3 2" xfId="10605" xr:uid="{00000000-0005-0000-0000-0000F2D40000}"/>
    <cellStyle name="Normal 9 2 2 5 3 2 2" xfId="17395" xr:uid="{00000000-0005-0000-0000-0000F3D40000}"/>
    <cellStyle name="Normal 9 2 2 5 3 2 2 2" xfId="30963" xr:uid="{00000000-0005-0000-0000-0000F4D40000}"/>
    <cellStyle name="Normal 9 2 2 5 3 2 2 2 2" xfId="58096" xr:uid="{00000000-0005-0000-0000-0000F5D40000}"/>
    <cellStyle name="Normal 9 2 2 5 3 2 2 3" xfId="44534" xr:uid="{00000000-0005-0000-0000-0000F6D40000}"/>
    <cellStyle name="Normal 9 2 2 5 3 2 3" xfId="24182" xr:uid="{00000000-0005-0000-0000-0000F7D40000}"/>
    <cellStyle name="Normal 9 2 2 5 3 2 3 2" xfId="51315" xr:uid="{00000000-0005-0000-0000-0000F8D40000}"/>
    <cellStyle name="Normal 9 2 2 5 3 2 4" xfId="37753" xr:uid="{00000000-0005-0000-0000-0000F9D40000}"/>
    <cellStyle name="Normal 9 2 2 5 3 3" xfId="14006" xr:uid="{00000000-0005-0000-0000-0000FAD40000}"/>
    <cellStyle name="Normal 9 2 2 5 3 3 2" xfId="27574" xr:uid="{00000000-0005-0000-0000-0000FBD40000}"/>
    <cellStyle name="Normal 9 2 2 5 3 3 2 2" xfId="54707" xr:uid="{00000000-0005-0000-0000-0000FCD40000}"/>
    <cellStyle name="Normal 9 2 2 5 3 3 3" xfId="41145" xr:uid="{00000000-0005-0000-0000-0000FDD40000}"/>
    <cellStyle name="Normal 9 2 2 5 3 4" xfId="20793" xr:uid="{00000000-0005-0000-0000-0000FED40000}"/>
    <cellStyle name="Normal 9 2 2 5 3 4 2" xfId="47926" xr:uid="{00000000-0005-0000-0000-0000FFD40000}"/>
    <cellStyle name="Normal 9 2 2 5 3 5" xfId="34364" xr:uid="{00000000-0005-0000-0000-000000D50000}"/>
    <cellStyle name="Normal 9 2 2 5 4" xfId="7080" xr:uid="{00000000-0005-0000-0000-000001D50000}"/>
    <cellStyle name="Normal 9 2 2 5 4 2" xfId="10606" xr:uid="{00000000-0005-0000-0000-000002D50000}"/>
    <cellStyle name="Normal 9 2 2 5 4 2 2" xfId="17396" xr:uid="{00000000-0005-0000-0000-000003D50000}"/>
    <cellStyle name="Normal 9 2 2 5 4 2 2 2" xfId="30964" xr:uid="{00000000-0005-0000-0000-000004D50000}"/>
    <cellStyle name="Normal 9 2 2 5 4 2 2 2 2" xfId="58097" xr:uid="{00000000-0005-0000-0000-000005D50000}"/>
    <cellStyle name="Normal 9 2 2 5 4 2 2 3" xfId="44535" xr:uid="{00000000-0005-0000-0000-000006D50000}"/>
    <cellStyle name="Normal 9 2 2 5 4 2 3" xfId="24183" xr:uid="{00000000-0005-0000-0000-000007D50000}"/>
    <cellStyle name="Normal 9 2 2 5 4 2 3 2" xfId="51316" xr:uid="{00000000-0005-0000-0000-000008D50000}"/>
    <cellStyle name="Normal 9 2 2 5 4 2 4" xfId="37754" xr:uid="{00000000-0005-0000-0000-000009D50000}"/>
    <cellStyle name="Normal 9 2 2 5 4 3" xfId="14007" xr:uid="{00000000-0005-0000-0000-00000AD50000}"/>
    <cellStyle name="Normal 9 2 2 5 4 3 2" xfId="27575" xr:uid="{00000000-0005-0000-0000-00000BD50000}"/>
    <cellStyle name="Normal 9 2 2 5 4 3 2 2" xfId="54708" xr:uid="{00000000-0005-0000-0000-00000CD50000}"/>
    <cellStyle name="Normal 9 2 2 5 4 3 3" xfId="41146" xr:uid="{00000000-0005-0000-0000-00000DD50000}"/>
    <cellStyle name="Normal 9 2 2 5 4 4" xfId="20794" xr:uid="{00000000-0005-0000-0000-00000ED50000}"/>
    <cellStyle name="Normal 9 2 2 5 4 4 2" xfId="47927" xr:uid="{00000000-0005-0000-0000-00000FD50000}"/>
    <cellStyle name="Normal 9 2 2 5 4 5" xfId="34365" xr:uid="{00000000-0005-0000-0000-000010D50000}"/>
    <cellStyle name="Normal 9 2 2 5 5" xfId="10601" xr:uid="{00000000-0005-0000-0000-000011D50000}"/>
    <cellStyle name="Normal 9 2 2 5 5 2" xfId="17391" xr:uid="{00000000-0005-0000-0000-000012D50000}"/>
    <cellStyle name="Normal 9 2 2 5 5 2 2" xfId="30959" xr:uid="{00000000-0005-0000-0000-000013D50000}"/>
    <cellStyle name="Normal 9 2 2 5 5 2 2 2" xfId="58092" xr:uid="{00000000-0005-0000-0000-000014D50000}"/>
    <cellStyle name="Normal 9 2 2 5 5 2 3" xfId="44530" xr:uid="{00000000-0005-0000-0000-000015D50000}"/>
    <cellStyle name="Normal 9 2 2 5 5 3" xfId="24178" xr:uid="{00000000-0005-0000-0000-000016D50000}"/>
    <cellStyle name="Normal 9 2 2 5 5 3 2" xfId="51311" xr:uid="{00000000-0005-0000-0000-000017D50000}"/>
    <cellStyle name="Normal 9 2 2 5 5 4" xfId="37749" xr:uid="{00000000-0005-0000-0000-000018D50000}"/>
    <cellStyle name="Normal 9 2 2 5 6" xfId="14002" xr:uid="{00000000-0005-0000-0000-000019D50000}"/>
    <cellStyle name="Normal 9 2 2 5 6 2" xfId="27570" xr:uid="{00000000-0005-0000-0000-00001AD50000}"/>
    <cellStyle name="Normal 9 2 2 5 6 2 2" xfId="54703" xr:uid="{00000000-0005-0000-0000-00001BD50000}"/>
    <cellStyle name="Normal 9 2 2 5 6 3" xfId="41141" xr:uid="{00000000-0005-0000-0000-00001CD50000}"/>
    <cellStyle name="Normal 9 2 2 5 7" xfId="20789" xr:uid="{00000000-0005-0000-0000-00001DD50000}"/>
    <cellStyle name="Normal 9 2 2 5 7 2" xfId="47922" xr:uid="{00000000-0005-0000-0000-00001ED50000}"/>
    <cellStyle name="Normal 9 2 2 5 8" xfId="34360" xr:uid="{00000000-0005-0000-0000-00001FD50000}"/>
    <cellStyle name="Normal 9 2 2 6" xfId="7081" xr:uid="{00000000-0005-0000-0000-000020D50000}"/>
    <cellStyle name="Normal 9 2 2 6 2" xfId="7082" xr:uid="{00000000-0005-0000-0000-000021D50000}"/>
    <cellStyle name="Normal 9 2 2 6 2 2" xfId="7083" xr:uid="{00000000-0005-0000-0000-000022D50000}"/>
    <cellStyle name="Normal 9 2 2 6 2 2 2" xfId="10609" xr:uid="{00000000-0005-0000-0000-000023D50000}"/>
    <cellStyle name="Normal 9 2 2 6 2 2 2 2" xfId="17399" xr:uid="{00000000-0005-0000-0000-000024D50000}"/>
    <cellStyle name="Normal 9 2 2 6 2 2 2 2 2" xfId="30967" xr:uid="{00000000-0005-0000-0000-000025D50000}"/>
    <cellStyle name="Normal 9 2 2 6 2 2 2 2 2 2" xfId="58100" xr:uid="{00000000-0005-0000-0000-000026D50000}"/>
    <cellStyle name="Normal 9 2 2 6 2 2 2 2 3" xfId="44538" xr:uid="{00000000-0005-0000-0000-000027D50000}"/>
    <cellStyle name="Normal 9 2 2 6 2 2 2 3" xfId="24186" xr:uid="{00000000-0005-0000-0000-000028D50000}"/>
    <cellStyle name="Normal 9 2 2 6 2 2 2 3 2" xfId="51319" xr:uid="{00000000-0005-0000-0000-000029D50000}"/>
    <cellStyle name="Normal 9 2 2 6 2 2 2 4" xfId="37757" xr:uid="{00000000-0005-0000-0000-00002AD50000}"/>
    <cellStyle name="Normal 9 2 2 6 2 2 3" xfId="14010" xr:uid="{00000000-0005-0000-0000-00002BD50000}"/>
    <cellStyle name="Normal 9 2 2 6 2 2 3 2" xfId="27578" xr:uid="{00000000-0005-0000-0000-00002CD50000}"/>
    <cellStyle name="Normal 9 2 2 6 2 2 3 2 2" xfId="54711" xr:uid="{00000000-0005-0000-0000-00002DD50000}"/>
    <cellStyle name="Normal 9 2 2 6 2 2 3 3" xfId="41149" xr:uid="{00000000-0005-0000-0000-00002ED50000}"/>
    <cellStyle name="Normal 9 2 2 6 2 2 4" xfId="20797" xr:uid="{00000000-0005-0000-0000-00002FD50000}"/>
    <cellStyle name="Normal 9 2 2 6 2 2 4 2" xfId="47930" xr:uid="{00000000-0005-0000-0000-000030D50000}"/>
    <cellStyle name="Normal 9 2 2 6 2 2 5" xfId="34368" xr:uid="{00000000-0005-0000-0000-000031D50000}"/>
    <cellStyle name="Normal 9 2 2 6 2 3" xfId="7084" xr:uid="{00000000-0005-0000-0000-000032D50000}"/>
    <cellStyle name="Normal 9 2 2 6 2 3 2" xfId="10610" xr:uid="{00000000-0005-0000-0000-000033D50000}"/>
    <cellStyle name="Normal 9 2 2 6 2 3 2 2" xfId="17400" xr:uid="{00000000-0005-0000-0000-000034D50000}"/>
    <cellStyle name="Normal 9 2 2 6 2 3 2 2 2" xfId="30968" xr:uid="{00000000-0005-0000-0000-000035D50000}"/>
    <cellStyle name="Normal 9 2 2 6 2 3 2 2 2 2" xfId="58101" xr:uid="{00000000-0005-0000-0000-000036D50000}"/>
    <cellStyle name="Normal 9 2 2 6 2 3 2 2 3" xfId="44539" xr:uid="{00000000-0005-0000-0000-000037D50000}"/>
    <cellStyle name="Normal 9 2 2 6 2 3 2 3" xfId="24187" xr:uid="{00000000-0005-0000-0000-000038D50000}"/>
    <cellStyle name="Normal 9 2 2 6 2 3 2 3 2" xfId="51320" xr:uid="{00000000-0005-0000-0000-000039D50000}"/>
    <cellStyle name="Normal 9 2 2 6 2 3 2 4" xfId="37758" xr:uid="{00000000-0005-0000-0000-00003AD50000}"/>
    <cellStyle name="Normal 9 2 2 6 2 3 3" xfId="14011" xr:uid="{00000000-0005-0000-0000-00003BD50000}"/>
    <cellStyle name="Normal 9 2 2 6 2 3 3 2" xfId="27579" xr:uid="{00000000-0005-0000-0000-00003CD50000}"/>
    <cellStyle name="Normal 9 2 2 6 2 3 3 2 2" xfId="54712" xr:uid="{00000000-0005-0000-0000-00003DD50000}"/>
    <cellStyle name="Normal 9 2 2 6 2 3 3 3" xfId="41150" xr:uid="{00000000-0005-0000-0000-00003ED50000}"/>
    <cellStyle name="Normal 9 2 2 6 2 3 4" xfId="20798" xr:uid="{00000000-0005-0000-0000-00003FD50000}"/>
    <cellStyle name="Normal 9 2 2 6 2 3 4 2" xfId="47931" xr:uid="{00000000-0005-0000-0000-000040D50000}"/>
    <cellStyle name="Normal 9 2 2 6 2 3 5" xfId="34369" xr:uid="{00000000-0005-0000-0000-000041D50000}"/>
    <cellStyle name="Normal 9 2 2 6 2 4" xfId="10608" xr:uid="{00000000-0005-0000-0000-000042D50000}"/>
    <cellStyle name="Normal 9 2 2 6 2 4 2" xfId="17398" xr:uid="{00000000-0005-0000-0000-000043D50000}"/>
    <cellStyle name="Normal 9 2 2 6 2 4 2 2" xfId="30966" xr:uid="{00000000-0005-0000-0000-000044D50000}"/>
    <cellStyle name="Normal 9 2 2 6 2 4 2 2 2" xfId="58099" xr:uid="{00000000-0005-0000-0000-000045D50000}"/>
    <cellStyle name="Normal 9 2 2 6 2 4 2 3" xfId="44537" xr:uid="{00000000-0005-0000-0000-000046D50000}"/>
    <cellStyle name="Normal 9 2 2 6 2 4 3" xfId="24185" xr:uid="{00000000-0005-0000-0000-000047D50000}"/>
    <cellStyle name="Normal 9 2 2 6 2 4 3 2" xfId="51318" xr:uid="{00000000-0005-0000-0000-000048D50000}"/>
    <cellStyle name="Normal 9 2 2 6 2 4 4" xfId="37756" xr:uid="{00000000-0005-0000-0000-000049D50000}"/>
    <cellStyle name="Normal 9 2 2 6 2 5" xfId="14009" xr:uid="{00000000-0005-0000-0000-00004AD50000}"/>
    <cellStyle name="Normal 9 2 2 6 2 5 2" xfId="27577" xr:uid="{00000000-0005-0000-0000-00004BD50000}"/>
    <cellStyle name="Normal 9 2 2 6 2 5 2 2" xfId="54710" xr:uid="{00000000-0005-0000-0000-00004CD50000}"/>
    <cellStyle name="Normal 9 2 2 6 2 5 3" xfId="41148" xr:uid="{00000000-0005-0000-0000-00004DD50000}"/>
    <cellStyle name="Normal 9 2 2 6 2 6" xfId="20796" xr:uid="{00000000-0005-0000-0000-00004ED50000}"/>
    <cellStyle name="Normal 9 2 2 6 2 6 2" xfId="47929" xr:uid="{00000000-0005-0000-0000-00004FD50000}"/>
    <cellStyle name="Normal 9 2 2 6 2 7" xfId="34367" xr:uid="{00000000-0005-0000-0000-000050D50000}"/>
    <cellStyle name="Normal 9 2 2 6 3" xfId="7085" xr:uid="{00000000-0005-0000-0000-000051D50000}"/>
    <cellStyle name="Normal 9 2 2 6 3 2" xfId="10611" xr:uid="{00000000-0005-0000-0000-000052D50000}"/>
    <cellStyle name="Normal 9 2 2 6 3 2 2" xfId="17401" xr:uid="{00000000-0005-0000-0000-000053D50000}"/>
    <cellStyle name="Normal 9 2 2 6 3 2 2 2" xfId="30969" xr:uid="{00000000-0005-0000-0000-000054D50000}"/>
    <cellStyle name="Normal 9 2 2 6 3 2 2 2 2" xfId="58102" xr:uid="{00000000-0005-0000-0000-000055D50000}"/>
    <cellStyle name="Normal 9 2 2 6 3 2 2 3" xfId="44540" xr:uid="{00000000-0005-0000-0000-000056D50000}"/>
    <cellStyle name="Normal 9 2 2 6 3 2 3" xfId="24188" xr:uid="{00000000-0005-0000-0000-000057D50000}"/>
    <cellStyle name="Normal 9 2 2 6 3 2 3 2" xfId="51321" xr:uid="{00000000-0005-0000-0000-000058D50000}"/>
    <cellStyle name="Normal 9 2 2 6 3 2 4" xfId="37759" xr:uid="{00000000-0005-0000-0000-000059D50000}"/>
    <cellStyle name="Normal 9 2 2 6 3 3" xfId="14012" xr:uid="{00000000-0005-0000-0000-00005AD50000}"/>
    <cellStyle name="Normal 9 2 2 6 3 3 2" xfId="27580" xr:uid="{00000000-0005-0000-0000-00005BD50000}"/>
    <cellStyle name="Normal 9 2 2 6 3 3 2 2" xfId="54713" xr:uid="{00000000-0005-0000-0000-00005CD50000}"/>
    <cellStyle name="Normal 9 2 2 6 3 3 3" xfId="41151" xr:uid="{00000000-0005-0000-0000-00005DD50000}"/>
    <cellStyle name="Normal 9 2 2 6 3 4" xfId="20799" xr:uid="{00000000-0005-0000-0000-00005ED50000}"/>
    <cellStyle name="Normal 9 2 2 6 3 4 2" xfId="47932" xr:uid="{00000000-0005-0000-0000-00005FD50000}"/>
    <cellStyle name="Normal 9 2 2 6 3 5" xfId="34370" xr:uid="{00000000-0005-0000-0000-000060D50000}"/>
    <cellStyle name="Normal 9 2 2 6 4" xfId="7086" xr:uid="{00000000-0005-0000-0000-000061D50000}"/>
    <cellStyle name="Normal 9 2 2 6 4 2" xfId="10612" xr:uid="{00000000-0005-0000-0000-000062D50000}"/>
    <cellStyle name="Normal 9 2 2 6 4 2 2" xfId="17402" xr:uid="{00000000-0005-0000-0000-000063D50000}"/>
    <cellStyle name="Normal 9 2 2 6 4 2 2 2" xfId="30970" xr:uid="{00000000-0005-0000-0000-000064D50000}"/>
    <cellStyle name="Normal 9 2 2 6 4 2 2 2 2" xfId="58103" xr:uid="{00000000-0005-0000-0000-000065D50000}"/>
    <cellStyle name="Normal 9 2 2 6 4 2 2 3" xfId="44541" xr:uid="{00000000-0005-0000-0000-000066D50000}"/>
    <cellStyle name="Normal 9 2 2 6 4 2 3" xfId="24189" xr:uid="{00000000-0005-0000-0000-000067D50000}"/>
    <cellStyle name="Normal 9 2 2 6 4 2 3 2" xfId="51322" xr:uid="{00000000-0005-0000-0000-000068D50000}"/>
    <cellStyle name="Normal 9 2 2 6 4 2 4" xfId="37760" xr:uid="{00000000-0005-0000-0000-000069D50000}"/>
    <cellStyle name="Normal 9 2 2 6 4 3" xfId="14013" xr:uid="{00000000-0005-0000-0000-00006AD50000}"/>
    <cellStyle name="Normal 9 2 2 6 4 3 2" xfId="27581" xr:uid="{00000000-0005-0000-0000-00006BD50000}"/>
    <cellStyle name="Normal 9 2 2 6 4 3 2 2" xfId="54714" xr:uid="{00000000-0005-0000-0000-00006CD50000}"/>
    <cellStyle name="Normal 9 2 2 6 4 3 3" xfId="41152" xr:uid="{00000000-0005-0000-0000-00006DD50000}"/>
    <cellStyle name="Normal 9 2 2 6 4 4" xfId="20800" xr:uid="{00000000-0005-0000-0000-00006ED50000}"/>
    <cellStyle name="Normal 9 2 2 6 4 4 2" xfId="47933" xr:uid="{00000000-0005-0000-0000-00006FD50000}"/>
    <cellStyle name="Normal 9 2 2 6 4 5" xfId="34371" xr:uid="{00000000-0005-0000-0000-000070D50000}"/>
    <cellStyle name="Normal 9 2 2 6 5" xfId="10607" xr:uid="{00000000-0005-0000-0000-000071D50000}"/>
    <cellStyle name="Normal 9 2 2 6 5 2" xfId="17397" xr:uid="{00000000-0005-0000-0000-000072D50000}"/>
    <cellStyle name="Normal 9 2 2 6 5 2 2" xfId="30965" xr:uid="{00000000-0005-0000-0000-000073D50000}"/>
    <cellStyle name="Normal 9 2 2 6 5 2 2 2" xfId="58098" xr:uid="{00000000-0005-0000-0000-000074D50000}"/>
    <cellStyle name="Normal 9 2 2 6 5 2 3" xfId="44536" xr:uid="{00000000-0005-0000-0000-000075D50000}"/>
    <cellStyle name="Normal 9 2 2 6 5 3" xfId="24184" xr:uid="{00000000-0005-0000-0000-000076D50000}"/>
    <cellStyle name="Normal 9 2 2 6 5 3 2" xfId="51317" xr:uid="{00000000-0005-0000-0000-000077D50000}"/>
    <cellStyle name="Normal 9 2 2 6 5 4" xfId="37755" xr:uid="{00000000-0005-0000-0000-000078D50000}"/>
    <cellStyle name="Normal 9 2 2 6 6" xfId="14008" xr:uid="{00000000-0005-0000-0000-000079D50000}"/>
    <cellStyle name="Normal 9 2 2 6 6 2" xfId="27576" xr:uid="{00000000-0005-0000-0000-00007AD50000}"/>
    <cellStyle name="Normal 9 2 2 6 6 2 2" xfId="54709" xr:uid="{00000000-0005-0000-0000-00007BD50000}"/>
    <cellStyle name="Normal 9 2 2 6 6 3" xfId="41147" xr:uid="{00000000-0005-0000-0000-00007CD50000}"/>
    <cellStyle name="Normal 9 2 2 6 7" xfId="20795" xr:uid="{00000000-0005-0000-0000-00007DD50000}"/>
    <cellStyle name="Normal 9 2 2 6 7 2" xfId="47928" xr:uid="{00000000-0005-0000-0000-00007ED50000}"/>
    <cellStyle name="Normal 9 2 2 6 8" xfId="34366" xr:uid="{00000000-0005-0000-0000-00007FD50000}"/>
    <cellStyle name="Normal 9 2 2 7" xfId="7087" xr:uid="{00000000-0005-0000-0000-000080D50000}"/>
    <cellStyle name="Normal 9 2 2 7 2" xfId="7088" xr:uid="{00000000-0005-0000-0000-000081D50000}"/>
    <cellStyle name="Normal 9 2 2 7 2 2" xfId="10614" xr:uid="{00000000-0005-0000-0000-000082D50000}"/>
    <cellStyle name="Normal 9 2 2 7 2 2 2" xfId="17404" xr:uid="{00000000-0005-0000-0000-000083D50000}"/>
    <cellStyle name="Normal 9 2 2 7 2 2 2 2" xfId="30972" xr:uid="{00000000-0005-0000-0000-000084D50000}"/>
    <cellStyle name="Normal 9 2 2 7 2 2 2 2 2" xfId="58105" xr:uid="{00000000-0005-0000-0000-000085D50000}"/>
    <cellStyle name="Normal 9 2 2 7 2 2 2 3" xfId="44543" xr:uid="{00000000-0005-0000-0000-000086D50000}"/>
    <cellStyle name="Normal 9 2 2 7 2 2 3" xfId="24191" xr:uid="{00000000-0005-0000-0000-000087D50000}"/>
    <cellStyle name="Normal 9 2 2 7 2 2 3 2" xfId="51324" xr:uid="{00000000-0005-0000-0000-000088D50000}"/>
    <cellStyle name="Normal 9 2 2 7 2 2 4" xfId="37762" xr:uid="{00000000-0005-0000-0000-000089D50000}"/>
    <cellStyle name="Normal 9 2 2 7 2 3" xfId="14015" xr:uid="{00000000-0005-0000-0000-00008AD50000}"/>
    <cellStyle name="Normal 9 2 2 7 2 3 2" xfId="27583" xr:uid="{00000000-0005-0000-0000-00008BD50000}"/>
    <cellStyle name="Normal 9 2 2 7 2 3 2 2" xfId="54716" xr:uid="{00000000-0005-0000-0000-00008CD50000}"/>
    <cellStyle name="Normal 9 2 2 7 2 3 3" xfId="41154" xr:uid="{00000000-0005-0000-0000-00008DD50000}"/>
    <cellStyle name="Normal 9 2 2 7 2 4" xfId="20802" xr:uid="{00000000-0005-0000-0000-00008ED50000}"/>
    <cellStyle name="Normal 9 2 2 7 2 4 2" xfId="47935" xr:uid="{00000000-0005-0000-0000-00008FD50000}"/>
    <cellStyle name="Normal 9 2 2 7 2 5" xfId="34373" xr:uid="{00000000-0005-0000-0000-000090D50000}"/>
    <cellStyle name="Normal 9 2 2 7 3" xfId="7089" xr:uid="{00000000-0005-0000-0000-000091D50000}"/>
    <cellStyle name="Normal 9 2 2 7 3 2" xfId="10615" xr:uid="{00000000-0005-0000-0000-000092D50000}"/>
    <cellStyle name="Normal 9 2 2 7 3 2 2" xfId="17405" xr:uid="{00000000-0005-0000-0000-000093D50000}"/>
    <cellStyle name="Normal 9 2 2 7 3 2 2 2" xfId="30973" xr:uid="{00000000-0005-0000-0000-000094D50000}"/>
    <cellStyle name="Normal 9 2 2 7 3 2 2 2 2" xfId="58106" xr:uid="{00000000-0005-0000-0000-000095D50000}"/>
    <cellStyle name="Normal 9 2 2 7 3 2 2 3" xfId="44544" xr:uid="{00000000-0005-0000-0000-000096D50000}"/>
    <cellStyle name="Normal 9 2 2 7 3 2 3" xfId="24192" xr:uid="{00000000-0005-0000-0000-000097D50000}"/>
    <cellStyle name="Normal 9 2 2 7 3 2 3 2" xfId="51325" xr:uid="{00000000-0005-0000-0000-000098D50000}"/>
    <cellStyle name="Normal 9 2 2 7 3 2 4" xfId="37763" xr:uid="{00000000-0005-0000-0000-000099D50000}"/>
    <cellStyle name="Normal 9 2 2 7 3 3" xfId="14016" xr:uid="{00000000-0005-0000-0000-00009AD50000}"/>
    <cellStyle name="Normal 9 2 2 7 3 3 2" xfId="27584" xr:uid="{00000000-0005-0000-0000-00009BD50000}"/>
    <cellStyle name="Normal 9 2 2 7 3 3 2 2" xfId="54717" xr:uid="{00000000-0005-0000-0000-00009CD50000}"/>
    <cellStyle name="Normal 9 2 2 7 3 3 3" xfId="41155" xr:uid="{00000000-0005-0000-0000-00009DD50000}"/>
    <cellStyle name="Normal 9 2 2 7 3 4" xfId="20803" xr:uid="{00000000-0005-0000-0000-00009ED50000}"/>
    <cellStyle name="Normal 9 2 2 7 3 4 2" xfId="47936" xr:uid="{00000000-0005-0000-0000-00009FD50000}"/>
    <cellStyle name="Normal 9 2 2 7 3 5" xfId="34374" xr:uid="{00000000-0005-0000-0000-0000A0D50000}"/>
    <cellStyle name="Normal 9 2 2 7 4" xfId="10613" xr:uid="{00000000-0005-0000-0000-0000A1D50000}"/>
    <cellStyle name="Normal 9 2 2 7 4 2" xfId="17403" xr:uid="{00000000-0005-0000-0000-0000A2D50000}"/>
    <cellStyle name="Normal 9 2 2 7 4 2 2" xfId="30971" xr:uid="{00000000-0005-0000-0000-0000A3D50000}"/>
    <cellStyle name="Normal 9 2 2 7 4 2 2 2" xfId="58104" xr:uid="{00000000-0005-0000-0000-0000A4D50000}"/>
    <cellStyle name="Normal 9 2 2 7 4 2 3" xfId="44542" xr:uid="{00000000-0005-0000-0000-0000A5D50000}"/>
    <cellStyle name="Normal 9 2 2 7 4 3" xfId="24190" xr:uid="{00000000-0005-0000-0000-0000A6D50000}"/>
    <cellStyle name="Normal 9 2 2 7 4 3 2" xfId="51323" xr:uid="{00000000-0005-0000-0000-0000A7D50000}"/>
    <cellStyle name="Normal 9 2 2 7 4 4" xfId="37761" xr:uid="{00000000-0005-0000-0000-0000A8D50000}"/>
    <cellStyle name="Normal 9 2 2 7 5" xfId="14014" xr:uid="{00000000-0005-0000-0000-0000A9D50000}"/>
    <cellStyle name="Normal 9 2 2 7 5 2" xfId="27582" xr:uid="{00000000-0005-0000-0000-0000AAD50000}"/>
    <cellStyle name="Normal 9 2 2 7 5 2 2" xfId="54715" xr:uid="{00000000-0005-0000-0000-0000ABD50000}"/>
    <cellStyle name="Normal 9 2 2 7 5 3" xfId="41153" xr:uid="{00000000-0005-0000-0000-0000ACD50000}"/>
    <cellStyle name="Normal 9 2 2 7 6" xfId="20801" xr:uid="{00000000-0005-0000-0000-0000ADD50000}"/>
    <cellStyle name="Normal 9 2 2 7 6 2" xfId="47934" xr:uid="{00000000-0005-0000-0000-0000AED50000}"/>
    <cellStyle name="Normal 9 2 2 7 7" xfId="34372" xr:uid="{00000000-0005-0000-0000-0000AFD50000}"/>
    <cellStyle name="Normal 9 2 2 8" xfId="7090" xr:uid="{00000000-0005-0000-0000-0000B0D50000}"/>
    <cellStyle name="Normal 9 2 2 8 2" xfId="7091" xr:uid="{00000000-0005-0000-0000-0000B1D50000}"/>
    <cellStyle name="Normal 9 2 2 8 2 2" xfId="10617" xr:uid="{00000000-0005-0000-0000-0000B2D50000}"/>
    <cellStyle name="Normal 9 2 2 8 2 2 2" xfId="17407" xr:uid="{00000000-0005-0000-0000-0000B3D50000}"/>
    <cellStyle name="Normal 9 2 2 8 2 2 2 2" xfId="30975" xr:uid="{00000000-0005-0000-0000-0000B4D50000}"/>
    <cellStyle name="Normal 9 2 2 8 2 2 2 2 2" xfId="58108" xr:uid="{00000000-0005-0000-0000-0000B5D50000}"/>
    <cellStyle name="Normal 9 2 2 8 2 2 2 3" xfId="44546" xr:uid="{00000000-0005-0000-0000-0000B6D50000}"/>
    <cellStyle name="Normal 9 2 2 8 2 2 3" xfId="24194" xr:uid="{00000000-0005-0000-0000-0000B7D50000}"/>
    <cellStyle name="Normal 9 2 2 8 2 2 3 2" xfId="51327" xr:uid="{00000000-0005-0000-0000-0000B8D50000}"/>
    <cellStyle name="Normal 9 2 2 8 2 2 4" xfId="37765" xr:uid="{00000000-0005-0000-0000-0000B9D50000}"/>
    <cellStyle name="Normal 9 2 2 8 2 3" xfId="14018" xr:uid="{00000000-0005-0000-0000-0000BAD50000}"/>
    <cellStyle name="Normal 9 2 2 8 2 3 2" xfId="27586" xr:uid="{00000000-0005-0000-0000-0000BBD50000}"/>
    <cellStyle name="Normal 9 2 2 8 2 3 2 2" xfId="54719" xr:uid="{00000000-0005-0000-0000-0000BCD50000}"/>
    <cellStyle name="Normal 9 2 2 8 2 3 3" xfId="41157" xr:uid="{00000000-0005-0000-0000-0000BDD50000}"/>
    <cellStyle name="Normal 9 2 2 8 2 4" xfId="20805" xr:uid="{00000000-0005-0000-0000-0000BED50000}"/>
    <cellStyle name="Normal 9 2 2 8 2 4 2" xfId="47938" xr:uid="{00000000-0005-0000-0000-0000BFD50000}"/>
    <cellStyle name="Normal 9 2 2 8 2 5" xfId="34376" xr:uid="{00000000-0005-0000-0000-0000C0D50000}"/>
    <cellStyle name="Normal 9 2 2 8 3" xfId="7092" xr:uid="{00000000-0005-0000-0000-0000C1D50000}"/>
    <cellStyle name="Normal 9 2 2 8 3 2" xfId="10618" xr:uid="{00000000-0005-0000-0000-0000C2D50000}"/>
    <cellStyle name="Normal 9 2 2 8 3 2 2" xfId="17408" xr:uid="{00000000-0005-0000-0000-0000C3D50000}"/>
    <cellStyle name="Normal 9 2 2 8 3 2 2 2" xfId="30976" xr:uid="{00000000-0005-0000-0000-0000C4D50000}"/>
    <cellStyle name="Normal 9 2 2 8 3 2 2 2 2" xfId="58109" xr:uid="{00000000-0005-0000-0000-0000C5D50000}"/>
    <cellStyle name="Normal 9 2 2 8 3 2 2 3" xfId="44547" xr:uid="{00000000-0005-0000-0000-0000C6D50000}"/>
    <cellStyle name="Normal 9 2 2 8 3 2 3" xfId="24195" xr:uid="{00000000-0005-0000-0000-0000C7D50000}"/>
    <cellStyle name="Normal 9 2 2 8 3 2 3 2" xfId="51328" xr:uid="{00000000-0005-0000-0000-0000C8D50000}"/>
    <cellStyle name="Normal 9 2 2 8 3 2 4" xfId="37766" xr:uid="{00000000-0005-0000-0000-0000C9D50000}"/>
    <cellStyle name="Normal 9 2 2 8 3 3" xfId="14019" xr:uid="{00000000-0005-0000-0000-0000CAD50000}"/>
    <cellStyle name="Normal 9 2 2 8 3 3 2" xfId="27587" xr:uid="{00000000-0005-0000-0000-0000CBD50000}"/>
    <cellStyle name="Normal 9 2 2 8 3 3 2 2" xfId="54720" xr:uid="{00000000-0005-0000-0000-0000CCD50000}"/>
    <cellStyle name="Normal 9 2 2 8 3 3 3" xfId="41158" xr:uid="{00000000-0005-0000-0000-0000CDD50000}"/>
    <cellStyle name="Normal 9 2 2 8 3 4" xfId="20806" xr:uid="{00000000-0005-0000-0000-0000CED50000}"/>
    <cellStyle name="Normal 9 2 2 8 3 4 2" xfId="47939" xr:uid="{00000000-0005-0000-0000-0000CFD50000}"/>
    <cellStyle name="Normal 9 2 2 8 3 5" xfId="34377" xr:uid="{00000000-0005-0000-0000-0000D0D50000}"/>
    <cellStyle name="Normal 9 2 2 8 4" xfId="10616" xr:uid="{00000000-0005-0000-0000-0000D1D50000}"/>
    <cellStyle name="Normal 9 2 2 8 4 2" xfId="17406" xr:uid="{00000000-0005-0000-0000-0000D2D50000}"/>
    <cellStyle name="Normal 9 2 2 8 4 2 2" xfId="30974" xr:uid="{00000000-0005-0000-0000-0000D3D50000}"/>
    <cellStyle name="Normal 9 2 2 8 4 2 2 2" xfId="58107" xr:uid="{00000000-0005-0000-0000-0000D4D50000}"/>
    <cellStyle name="Normal 9 2 2 8 4 2 3" xfId="44545" xr:uid="{00000000-0005-0000-0000-0000D5D50000}"/>
    <cellStyle name="Normal 9 2 2 8 4 3" xfId="24193" xr:uid="{00000000-0005-0000-0000-0000D6D50000}"/>
    <cellStyle name="Normal 9 2 2 8 4 3 2" xfId="51326" xr:uid="{00000000-0005-0000-0000-0000D7D50000}"/>
    <cellStyle name="Normal 9 2 2 8 4 4" xfId="37764" xr:uid="{00000000-0005-0000-0000-0000D8D50000}"/>
    <cellStyle name="Normal 9 2 2 8 5" xfId="14017" xr:uid="{00000000-0005-0000-0000-0000D9D50000}"/>
    <cellStyle name="Normal 9 2 2 8 5 2" xfId="27585" xr:uid="{00000000-0005-0000-0000-0000DAD50000}"/>
    <cellStyle name="Normal 9 2 2 8 5 2 2" xfId="54718" xr:uid="{00000000-0005-0000-0000-0000DBD50000}"/>
    <cellStyle name="Normal 9 2 2 8 5 3" xfId="41156" xr:uid="{00000000-0005-0000-0000-0000DCD50000}"/>
    <cellStyle name="Normal 9 2 2 8 6" xfId="20804" xr:uid="{00000000-0005-0000-0000-0000DDD50000}"/>
    <cellStyle name="Normal 9 2 2 8 6 2" xfId="47937" xr:uid="{00000000-0005-0000-0000-0000DED50000}"/>
    <cellStyle name="Normal 9 2 2 8 7" xfId="34375" xr:uid="{00000000-0005-0000-0000-0000DFD50000}"/>
    <cellStyle name="Normal 9 2 2 9" xfId="7093" xr:uid="{00000000-0005-0000-0000-0000E0D50000}"/>
    <cellStyle name="Normal 9 2 2 9 2" xfId="10619" xr:uid="{00000000-0005-0000-0000-0000E1D50000}"/>
    <cellStyle name="Normal 9 2 2 9 2 2" xfId="17409" xr:uid="{00000000-0005-0000-0000-0000E2D50000}"/>
    <cellStyle name="Normal 9 2 2 9 2 2 2" xfId="30977" xr:uid="{00000000-0005-0000-0000-0000E3D50000}"/>
    <cellStyle name="Normal 9 2 2 9 2 2 2 2" xfId="58110" xr:uid="{00000000-0005-0000-0000-0000E4D50000}"/>
    <cellStyle name="Normal 9 2 2 9 2 2 3" xfId="44548" xr:uid="{00000000-0005-0000-0000-0000E5D50000}"/>
    <cellStyle name="Normal 9 2 2 9 2 3" xfId="24196" xr:uid="{00000000-0005-0000-0000-0000E6D50000}"/>
    <cellStyle name="Normal 9 2 2 9 2 3 2" xfId="51329" xr:uid="{00000000-0005-0000-0000-0000E7D50000}"/>
    <cellStyle name="Normal 9 2 2 9 2 4" xfId="37767" xr:uid="{00000000-0005-0000-0000-0000E8D50000}"/>
    <cellStyle name="Normal 9 2 2 9 3" xfId="14020" xr:uid="{00000000-0005-0000-0000-0000E9D50000}"/>
    <cellStyle name="Normal 9 2 2 9 3 2" xfId="27588" xr:uid="{00000000-0005-0000-0000-0000EAD50000}"/>
    <cellStyle name="Normal 9 2 2 9 3 2 2" xfId="54721" xr:uid="{00000000-0005-0000-0000-0000EBD50000}"/>
    <cellStyle name="Normal 9 2 2 9 3 3" xfId="41159" xr:uid="{00000000-0005-0000-0000-0000ECD50000}"/>
    <cellStyle name="Normal 9 2 2 9 4" xfId="20807" xr:uid="{00000000-0005-0000-0000-0000EDD50000}"/>
    <cellStyle name="Normal 9 2 2 9 4 2" xfId="47940" xr:uid="{00000000-0005-0000-0000-0000EED50000}"/>
    <cellStyle name="Normal 9 2 2 9 5" xfId="34378" xr:uid="{00000000-0005-0000-0000-0000EFD50000}"/>
    <cellStyle name="Normal 9 2 28" xfId="7094" xr:uid="{00000000-0005-0000-0000-0000F0D50000}"/>
    <cellStyle name="Normal 9 2 3" xfId="7095" xr:uid="{00000000-0005-0000-0000-0000F1D50000}"/>
    <cellStyle name="Normal 9 2 3 10" xfId="10620" xr:uid="{00000000-0005-0000-0000-0000F2D50000}"/>
    <cellStyle name="Normal 9 2 3 10 2" xfId="17410" xr:uid="{00000000-0005-0000-0000-0000F3D50000}"/>
    <cellStyle name="Normal 9 2 3 10 2 2" xfId="30978" xr:uid="{00000000-0005-0000-0000-0000F4D50000}"/>
    <cellStyle name="Normal 9 2 3 10 2 2 2" xfId="58111" xr:uid="{00000000-0005-0000-0000-0000F5D50000}"/>
    <cellStyle name="Normal 9 2 3 10 2 3" xfId="44549" xr:uid="{00000000-0005-0000-0000-0000F6D50000}"/>
    <cellStyle name="Normal 9 2 3 10 3" xfId="24197" xr:uid="{00000000-0005-0000-0000-0000F7D50000}"/>
    <cellStyle name="Normal 9 2 3 10 3 2" xfId="51330" xr:uid="{00000000-0005-0000-0000-0000F8D50000}"/>
    <cellStyle name="Normal 9 2 3 10 4" xfId="37768" xr:uid="{00000000-0005-0000-0000-0000F9D50000}"/>
    <cellStyle name="Normal 9 2 3 11" xfId="14021" xr:uid="{00000000-0005-0000-0000-0000FAD50000}"/>
    <cellStyle name="Normal 9 2 3 11 2" xfId="27589" xr:uid="{00000000-0005-0000-0000-0000FBD50000}"/>
    <cellStyle name="Normal 9 2 3 11 2 2" xfId="54722" xr:uid="{00000000-0005-0000-0000-0000FCD50000}"/>
    <cellStyle name="Normal 9 2 3 11 3" xfId="41160" xr:uid="{00000000-0005-0000-0000-0000FDD50000}"/>
    <cellStyle name="Normal 9 2 3 12" xfId="20808" xr:uid="{00000000-0005-0000-0000-0000FED50000}"/>
    <cellStyle name="Normal 9 2 3 12 2" xfId="47941" xr:uid="{00000000-0005-0000-0000-0000FFD50000}"/>
    <cellStyle name="Normal 9 2 3 13" xfId="34379" xr:uid="{00000000-0005-0000-0000-000000D60000}"/>
    <cellStyle name="Normal 9 2 3 2" xfId="7096" xr:uid="{00000000-0005-0000-0000-000001D60000}"/>
    <cellStyle name="Normal 9 2 3 2 10" xfId="34380" xr:uid="{00000000-0005-0000-0000-000002D60000}"/>
    <cellStyle name="Normal 9 2 3 2 2" xfId="7097" xr:uid="{00000000-0005-0000-0000-000003D60000}"/>
    <cellStyle name="Normal 9 2 3 2 2 2" xfId="7098" xr:uid="{00000000-0005-0000-0000-000004D60000}"/>
    <cellStyle name="Normal 9 2 3 2 2 2 2" xfId="7099" xr:uid="{00000000-0005-0000-0000-000005D60000}"/>
    <cellStyle name="Normal 9 2 3 2 2 2 2 2" xfId="10624" xr:uid="{00000000-0005-0000-0000-000006D60000}"/>
    <cellStyle name="Normal 9 2 3 2 2 2 2 2 2" xfId="17414" xr:uid="{00000000-0005-0000-0000-000007D60000}"/>
    <cellStyle name="Normal 9 2 3 2 2 2 2 2 2 2" xfId="30982" xr:uid="{00000000-0005-0000-0000-000008D60000}"/>
    <cellStyle name="Normal 9 2 3 2 2 2 2 2 2 2 2" xfId="58115" xr:uid="{00000000-0005-0000-0000-000009D60000}"/>
    <cellStyle name="Normal 9 2 3 2 2 2 2 2 2 3" xfId="44553" xr:uid="{00000000-0005-0000-0000-00000AD60000}"/>
    <cellStyle name="Normal 9 2 3 2 2 2 2 2 3" xfId="24201" xr:uid="{00000000-0005-0000-0000-00000BD60000}"/>
    <cellStyle name="Normal 9 2 3 2 2 2 2 2 3 2" xfId="51334" xr:uid="{00000000-0005-0000-0000-00000CD60000}"/>
    <cellStyle name="Normal 9 2 3 2 2 2 2 2 4" xfId="37772" xr:uid="{00000000-0005-0000-0000-00000DD60000}"/>
    <cellStyle name="Normal 9 2 3 2 2 2 2 3" xfId="14025" xr:uid="{00000000-0005-0000-0000-00000ED60000}"/>
    <cellStyle name="Normal 9 2 3 2 2 2 2 3 2" xfId="27593" xr:uid="{00000000-0005-0000-0000-00000FD60000}"/>
    <cellStyle name="Normal 9 2 3 2 2 2 2 3 2 2" xfId="54726" xr:uid="{00000000-0005-0000-0000-000010D60000}"/>
    <cellStyle name="Normal 9 2 3 2 2 2 2 3 3" xfId="41164" xr:uid="{00000000-0005-0000-0000-000011D60000}"/>
    <cellStyle name="Normal 9 2 3 2 2 2 2 4" xfId="20812" xr:uid="{00000000-0005-0000-0000-000012D60000}"/>
    <cellStyle name="Normal 9 2 3 2 2 2 2 4 2" xfId="47945" xr:uid="{00000000-0005-0000-0000-000013D60000}"/>
    <cellStyle name="Normal 9 2 3 2 2 2 2 5" xfId="34383" xr:uid="{00000000-0005-0000-0000-000014D60000}"/>
    <cellStyle name="Normal 9 2 3 2 2 2 3" xfId="7100" xr:uid="{00000000-0005-0000-0000-000015D60000}"/>
    <cellStyle name="Normal 9 2 3 2 2 2 3 2" xfId="10625" xr:uid="{00000000-0005-0000-0000-000016D60000}"/>
    <cellStyle name="Normal 9 2 3 2 2 2 3 2 2" xfId="17415" xr:uid="{00000000-0005-0000-0000-000017D60000}"/>
    <cellStyle name="Normal 9 2 3 2 2 2 3 2 2 2" xfId="30983" xr:uid="{00000000-0005-0000-0000-000018D60000}"/>
    <cellStyle name="Normal 9 2 3 2 2 2 3 2 2 2 2" xfId="58116" xr:uid="{00000000-0005-0000-0000-000019D60000}"/>
    <cellStyle name="Normal 9 2 3 2 2 2 3 2 2 3" xfId="44554" xr:uid="{00000000-0005-0000-0000-00001AD60000}"/>
    <cellStyle name="Normal 9 2 3 2 2 2 3 2 3" xfId="24202" xr:uid="{00000000-0005-0000-0000-00001BD60000}"/>
    <cellStyle name="Normal 9 2 3 2 2 2 3 2 3 2" xfId="51335" xr:uid="{00000000-0005-0000-0000-00001CD60000}"/>
    <cellStyle name="Normal 9 2 3 2 2 2 3 2 4" xfId="37773" xr:uid="{00000000-0005-0000-0000-00001DD60000}"/>
    <cellStyle name="Normal 9 2 3 2 2 2 3 3" xfId="14026" xr:uid="{00000000-0005-0000-0000-00001ED60000}"/>
    <cellStyle name="Normal 9 2 3 2 2 2 3 3 2" xfId="27594" xr:uid="{00000000-0005-0000-0000-00001FD60000}"/>
    <cellStyle name="Normal 9 2 3 2 2 2 3 3 2 2" xfId="54727" xr:uid="{00000000-0005-0000-0000-000020D60000}"/>
    <cellStyle name="Normal 9 2 3 2 2 2 3 3 3" xfId="41165" xr:uid="{00000000-0005-0000-0000-000021D60000}"/>
    <cellStyle name="Normal 9 2 3 2 2 2 3 4" xfId="20813" xr:uid="{00000000-0005-0000-0000-000022D60000}"/>
    <cellStyle name="Normal 9 2 3 2 2 2 3 4 2" xfId="47946" xr:uid="{00000000-0005-0000-0000-000023D60000}"/>
    <cellStyle name="Normal 9 2 3 2 2 2 3 5" xfId="34384" xr:uid="{00000000-0005-0000-0000-000024D60000}"/>
    <cellStyle name="Normal 9 2 3 2 2 2 4" xfId="10623" xr:uid="{00000000-0005-0000-0000-000025D60000}"/>
    <cellStyle name="Normal 9 2 3 2 2 2 4 2" xfId="17413" xr:uid="{00000000-0005-0000-0000-000026D60000}"/>
    <cellStyle name="Normal 9 2 3 2 2 2 4 2 2" xfId="30981" xr:uid="{00000000-0005-0000-0000-000027D60000}"/>
    <cellStyle name="Normal 9 2 3 2 2 2 4 2 2 2" xfId="58114" xr:uid="{00000000-0005-0000-0000-000028D60000}"/>
    <cellStyle name="Normal 9 2 3 2 2 2 4 2 3" xfId="44552" xr:uid="{00000000-0005-0000-0000-000029D60000}"/>
    <cellStyle name="Normal 9 2 3 2 2 2 4 3" xfId="24200" xr:uid="{00000000-0005-0000-0000-00002AD60000}"/>
    <cellStyle name="Normal 9 2 3 2 2 2 4 3 2" xfId="51333" xr:uid="{00000000-0005-0000-0000-00002BD60000}"/>
    <cellStyle name="Normal 9 2 3 2 2 2 4 4" xfId="37771" xr:uid="{00000000-0005-0000-0000-00002CD60000}"/>
    <cellStyle name="Normal 9 2 3 2 2 2 5" xfId="14024" xr:uid="{00000000-0005-0000-0000-00002DD60000}"/>
    <cellStyle name="Normal 9 2 3 2 2 2 5 2" xfId="27592" xr:uid="{00000000-0005-0000-0000-00002ED60000}"/>
    <cellStyle name="Normal 9 2 3 2 2 2 5 2 2" xfId="54725" xr:uid="{00000000-0005-0000-0000-00002FD60000}"/>
    <cellStyle name="Normal 9 2 3 2 2 2 5 3" xfId="41163" xr:uid="{00000000-0005-0000-0000-000030D60000}"/>
    <cellStyle name="Normal 9 2 3 2 2 2 6" xfId="20811" xr:uid="{00000000-0005-0000-0000-000031D60000}"/>
    <cellStyle name="Normal 9 2 3 2 2 2 6 2" xfId="47944" xr:uid="{00000000-0005-0000-0000-000032D60000}"/>
    <cellStyle name="Normal 9 2 3 2 2 2 7" xfId="34382" xr:uid="{00000000-0005-0000-0000-000033D60000}"/>
    <cellStyle name="Normal 9 2 3 2 2 3" xfId="7101" xr:uid="{00000000-0005-0000-0000-000034D60000}"/>
    <cellStyle name="Normal 9 2 3 2 2 3 2" xfId="7102" xr:uid="{00000000-0005-0000-0000-000035D60000}"/>
    <cellStyle name="Normal 9 2 3 2 2 3 2 2" xfId="10627" xr:uid="{00000000-0005-0000-0000-000036D60000}"/>
    <cellStyle name="Normal 9 2 3 2 2 3 2 2 2" xfId="17417" xr:uid="{00000000-0005-0000-0000-000037D60000}"/>
    <cellStyle name="Normal 9 2 3 2 2 3 2 2 2 2" xfId="30985" xr:uid="{00000000-0005-0000-0000-000038D60000}"/>
    <cellStyle name="Normal 9 2 3 2 2 3 2 2 2 2 2" xfId="58118" xr:uid="{00000000-0005-0000-0000-000039D60000}"/>
    <cellStyle name="Normal 9 2 3 2 2 3 2 2 2 3" xfId="44556" xr:uid="{00000000-0005-0000-0000-00003AD60000}"/>
    <cellStyle name="Normal 9 2 3 2 2 3 2 2 3" xfId="24204" xr:uid="{00000000-0005-0000-0000-00003BD60000}"/>
    <cellStyle name="Normal 9 2 3 2 2 3 2 2 3 2" xfId="51337" xr:uid="{00000000-0005-0000-0000-00003CD60000}"/>
    <cellStyle name="Normal 9 2 3 2 2 3 2 2 4" xfId="37775" xr:uid="{00000000-0005-0000-0000-00003DD60000}"/>
    <cellStyle name="Normal 9 2 3 2 2 3 2 3" xfId="14028" xr:uid="{00000000-0005-0000-0000-00003ED60000}"/>
    <cellStyle name="Normal 9 2 3 2 2 3 2 3 2" xfId="27596" xr:uid="{00000000-0005-0000-0000-00003FD60000}"/>
    <cellStyle name="Normal 9 2 3 2 2 3 2 3 2 2" xfId="54729" xr:uid="{00000000-0005-0000-0000-000040D60000}"/>
    <cellStyle name="Normal 9 2 3 2 2 3 2 3 3" xfId="41167" xr:uid="{00000000-0005-0000-0000-000041D60000}"/>
    <cellStyle name="Normal 9 2 3 2 2 3 2 4" xfId="20815" xr:uid="{00000000-0005-0000-0000-000042D60000}"/>
    <cellStyle name="Normal 9 2 3 2 2 3 2 4 2" xfId="47948" xr:uid="{00000000-0005-0000-0000-000043D60000}"/>
    <cellStyle name="Normal 9 2 3 2 2 3 2 5" xfId="34386" xr:uid="{00000000-0005-0000-0000-000044D60000}"/>
    <cellStyle name="Normal 9 2 3 2 2 3 3" xfId="10626" xr:uid="{00000000-0005-0000-0000-000045D60000}"/>
    <cellStyle name="Normal 9 2 3 2 2 3 3 2" xfId="17416" xr:uid="{00000000-0005-0000-0000-000046D60000}"/>
    <cellStyle name="Normal 9 2 3 2 2 3 3 2 2" xfId="30984" xr:uid="{00000000-0005-0000-0000-000047D60000}"/>
    <cellStyle name="Normal 9 2 3 2 2 3 3 2 2 2" xfId="58117" xr:uid="{00000000-0005-0000-0000-000048D60000}"/>
    <cellStyle name="Normal 9 2 3 2 2 3 3 2 3" xfId="44555" xr:uid="{00000000-0005-0000-0000-000049D60000}"/>
    <cellStyle name="Normal 9 2 3 2 2 3 3 3" xfId="24203" xr:uid="{00000000-0005-0000-0000-00004AD60000}"/>
    <cellStyle name="Normal 9 2 3 2 2 3 3 3 2" xfId="51336" xr:uid="{00000000-0005-0000-0000-00004BD60000}"/>
    <cellStyle name="Normal 9 2 3 2 2 3 3 4" xfId="37774" xr:uid="{00000000-0005-0000-0000-00004CD60000}"/>
    <cellStyle name="Normal 9 2 3 2 2 3 4" xfId="14027" xr:uid="{00000000-0005-0000-0000-00004DD60000}"/>
    <cellStyle name="Normal 9 2 3 2 2 3 4 2" xfId="27595" xr:uid="{00000000-0005-0000-0000-00004ED60000}"/>
    <cellStyle name="Normal 9 2 3 2 2 3 4 2 2" xfId="54728" xr:uid="{00000000-0005-0000-0000-00004FD60000}"/>
    <cellStyle name="Normal 9 2 3 2 2 3 4 3" xfId="41166" xr:uid="{00000000-0005-0000-0000-000050D60000}"/>
    <cellStyle name="Normal 9 2 3 2 2 3 5" xfId="20814" xr:uid="{00000000-0005-0000-0000-000051D60000}"/>
    <cellStyle name="Normal 9 2 3 2 2 3 5 2" xfId="47947" xr:uid="{00000000-0005-0000-0000-000052D60000}"/>
    <cellStyle name="Normal 9 2 3 2 2 3 6" xfId="34385" xr:uid="{00000000-0005-0000-0000-000053D60000}"/>
    <cellStyle name="Normal 9 2 3 2 2 4" xfId="7103" xr:uid="{00000000-0005-0000-0000-000054D60000}"/>
    <cellStyle name="Normal 9 2 3 2 2 4 2" xfId="10628" xr:uid="{00000000-0005-0000-0000-000055D60000}"/>
    <cellStyle name="Normal 9 2 3 2 2 4 2 2" xfId="17418" xr:uid="{00000000-0005-0000-0000-000056D60000}"/>
    <cellStyle name="Normal 9 2 3 2 2 4 2 2 2" xfId="30986" xr:uid="{00000000-0005-0000-0000-000057D60000}"/>
    <cellStyle name="Normal 9 2 3 2 2 4 2 2 2 2" xfId="58119" xr:uid="{00000000-0005-0000-0000-000058D60000}"/>
    <cellStyle name="Normal 9 2 3 2 2 4 2 2 3" xfId="44557" xr:uid="{00000000-0005-0000-0000-000059D60000}"/>
    <cellStyle name="Normal 9 2 3 2 2 4 2 3" xfId="24205" xr:uid="{00000000-0005-0000-0000-00005AD60000}"/>
    <cellStyle name="Normal 9 2 3 2 2 4 2 3 2" xfId="51338" xr:uid="{00000000-0005-0000-0000-00005BD60000}"/>
    <cellStyle name="Normal 9 2 3 2 2 4 2 4" xfId="37776" xr:uid="{00000000-0005-0000-0000-00005CD60000}"/>
    <cellStyle name="Normal 9 2 3 2 2 4 3" xfId="14029" xr:uid="{00000000-0005-0000-0000-00005DD60000}"/>
    <cellStyle name="Normal 9 2 3 2 2 4 3 2" xfId="27597" xr:uid="{00000000-0005-0000-0000-00005ED60000}"/>
    <cellStyle name="Normal 9 2 3 2 2 4 3 2 2" xfId="54730" xr:uid="{00000000-0005-0000-0000-00005FD60000}"/>
    <cellStyle name="Normal 9 2 3 2 2 4 3 3" xfId="41168" xr:uid="{00000000-0005-0000-0000-000060D60000}"/>
    <cellStyle name="Normal 9 2 3 2 2 4 4" xfId="20816" xr:uid="{00000000-0005-0000-0000-000061D60000}"/>
    <cellStyle name="Normal 9 2 3 2 2 4 4 2" xfId="47949" xr:uid="{00000000-0005-0000-0000-000062D60000}"/>
    <cellStyle name="Normal 9 2 3 2 2 4 5" xfId="34387" xr:uid="{00000000-0005-0000-0000-000063D60000}"/>
    <cellStyle name="Normal 9 2 3 2 2 5" xfId="7104" xr:uid="{00000000-0005-0000-0000-000064D60000}"/>
    <cellStyle name="Normal 9 2 3 2 2 5 2" xfId="10629" xr:uid="{00000000-0005-0000-0000-000065D60000}"/>
    <cellStyle name="Normal 9 2 3 2 2 5 2 2" xfId="17419" xr:uid="{00000000-0005-0000-0000-000066D60000}"/>
    <cellStyle name="Normal 9 2 3 2 2 5 2 2 2" xfId="30987" xr:uid="{00000000-0005-0000-0000-000067D60000}"/>
    <cellStyle name="Normal 9 2 3 2 2 5 2 2 2 2" xfId="58120" xr:uid="{00000000-0005-0000-0000-000068D60000}"/>
    <cellStyle name="Normal 9 2 3 2 2 5 2 2 3" xfId="44558" xr:uid="{00000000-0005-0000-0000-000069D60000}"/>
    <cellStyle name="Normal 9 2 3 2 2 5 2 3" xfId="24206" xr:uid="{00000000-0005-0000-0000-00006AD60000}"/>
    <cellStyle name="Normal 9 2 3 2 2 5 2 3 2" xfId="51339" xr:uid="{00000000-0005-0000-0000-00006BD60000}"/>
    <cellStyle name="Normal 9 2 3 2 2 5 2 4" xfId="37777" xr:uid="{00000000-0005-0000-0000-00006CD60000}"/>
    <cellStyle name="Normal 9 2 3 2 2 5 3" xfId="14030" xr:uid="{00000000-0005-0000-0000-00006DD60000}"/>
    <cellStyle name="Normal 9 2 3 2 2 5 3 2" xfId="27598" xr:uid="{00000000-0005-0000-0000-00006ED60000}"/>
    <cellStyle name="Normal 9 2 3 2 2 5 3 2 2" xfId="54731" xr:uid="{00000000-0005-0000-0000-00006FD60000}"/>
    <cellStyle name="Normal 9 2 3 2 2 5 3 3" xfId="41169" xr:uid="{00000000-0005-0000-0000-000070D60000}"/>
    <cellStyle name="Normal 9 2 3 2 2 5 4" xfId="20817" xr:uid="{00000000-0005-0000-0000-000071D60000}"/>
    <cellStyle name="Normal 9 2 3 2 2 5 4 2" xfId="47950" xr:uid="{00000000-0005-0000-0000-000072D60000}"/>
    <cellStyle name="Normal 9 2 3 2 2 5 5" xfId="34388" xr:uid="{00000000-0005-0000-0000-000073D60000}"/>
    <cellStyle name="Normal 9 2 3 2 2 6" xfId="10622" xr:uid="{00000000-0005-0000-0000-000074D60000}"/>
    <cellStyle name="Normal 9 2 3 2 2 6 2" xfId="17412" xr:uid="{00000000-0005-0000-0000-000075D60000}"/>
    <cellStyle name="Normal 9 2 3 2 2 6 2 2" xfId="30980" xr:uid="{00000000-0005-0000-0000-000076D60000}"/>
    <cellStyle name="Normal 9 2 3 2 2 6 2 2 2" xfId="58113" xr:uid="{00000000-0005-0000-0000-000077D60000}"/>
    <cellStyle name="Normal 9 2 3 2 2 6 2 3" xfId="44551" xr:uid="{00000000-0005-0000-0000-000078D60000}"/>
    <cellStyle name="Normal 9 2 3 2 2 6 3" xfId="24199" xr:uid="{00000000-0005-0000-0000-000079D60000}"/>
    <cellStyle name="Normal 9 2 3 2 2 6 3 2" xfId="51332" xr:uid="{00000000-0005-0000-0000-00007AD60000}"/>
    <cellStyle name="Normal 9 2 3 2 2 6 4" xfId="37770" xr:uid="{00000000-0005-0000-0000-00007BD60000}"/>
    <cellStyle name="Normal 9 2 3 2 2 7" xfId="14023" xr:uid="{00000000-0005-0000-0000-00007CD60000}"/>
    <cellStyle name="Normal 9 2 3 2 2 7 2" xfId="27591" xr:uid="{00000000-0005-0000-0000-00007DD60000}"/>
    <cellStyle name="Normal 9 2 3 2 2 7 2 2" xfId="54724" xr:uid="{00000000-0005-0000-0000-00007ED60000}"/>
    <cellStyle name="Normal 9 2 3 2 2 7 3" xfId="41162" xr:uid="{00000000-0005-0000-0000-00007FD60000}"/>
    <cellStyle name="Normal 9 2 3 2 2 8" xfId="20810" xr:uid="{00000000-0005-0000-0000-000080D60000}"/>
    <cellStyle name="Normal 9 2 3 2 2 8 2" xfId="47943" xr:uid="{00000000-0005-0000-0000-000081D60000}"/>
    <cellStyle name="Normal 9 2 3 2 2 9" xfId="34381" xr:uid="{00000000-0005-0000-0000-000082D60000}"/>
    <cellStyle name="Normal 9 2 3 2 3" xfId="7105" xr:uid="{00000000-0005-0000-0000-000083D60000}"/>
    <cellStyle name="Normal 9 2 3 2 3 2" xfId="7106" xr:uid="{00000000-0005-0000-0000-000084D60000}"/>
    <cellStyle name="Normal 9 2 3 2 3 2 2" xfId="10631" xr:uid="{00000000-0005-0000-0000-000085D60000}"/>
    <cellStyle name="Normal 9 2 3 2 3 2 2 2" xfId="17421" xr:uid="{00000000-0005-0000-0000-000086D60000}"/>
    <cellStyle name="Normal 9 2 3 2 3 2 2 2 2" xfId="30989" xr:uid="{00000000-0005-0000-0000-000087D60000}"/>
    <cellStyle name="Normal 9 2 3 2 3 2 2 2 2 2" xfId="58122" xr:uid="{00000000-0005-0000-0000-000088D60000}"/>
    <cellStyle name="Normal 9 2 3 2 3 2 2 2 3" xfId="44560" xr:uid="{00000000-0005-0000-0000-000089D60000}"/>
    <cellStyle name="Normal 9 2 3 2 3 2 2 3" xfId="24208" xr:uid="{00000000-0005-0000-0000-00008AD60000}"/>
    <cellStyle name="Normal 9 2 3 2 3 2 2 3 2" xfId="51341" xr:uid="{00000000-0005-0000-0000-00008BD60000}"/>
    <cellStyle name="Normal 9 2 3 2 3 2 2 4" xfId="37779" xr:uid="{00000000-0005-0000-0000-00008CD60000}"/>
    <cellStyle name="Normal 9 2 3 2 3 2 3" xfId="14032" xr:uid="{00000000-0005-0000-0000-00008DD60000}"/>
    <cellStyle name="Normal 9 2 3 2 3 2 3 2" xfId="27600" xr:uid="{00000000-0005-0000-0000-00008ED60000}"/>
    <cellStyle name="Normal 9 2 3 2 3 2 3 2 2" xfId="54733" xr:uid="{00000000-0005-0000-0000-00008FD60000}"/>
    <cellStyle name="Normal 9 2 3 2 3 2 3 3" xfId="41171" xr:uid="{00000000-0005-0000-0000-000090D60000}"/>
    <cellStyle name="Normal 9 2 3 2 3 2 4" xfId="20819" xr:uid="{00000000-0005-0000-0000-000091D60000}"/>
    <cellStyle name="Normal 9 2 3 2 3 2 4 2" xfId="47952" xr:uid="{00000000-0005-0000-0000-000092D60000}"/>
    <cellStyle name="Normal 9 2 3 2 3 2 5" xfId="34390" xr:uid="{00000000-0005-0000-0000-000093D60000}"/>
    <cellStyle name="Normal 9 2 3 2 3 3" xfId="7107" xr:uid="{00000000-0005-0000-0000-000094D60000}"/>
    <cellStyle name="Normal 9 2 3 2 3 3 2" xfId="10632" xr:uid="{00000000-0005-0000-0000-000095D60000}"/>
    <cellStyle name="Normal 9 2 3 2 3 3 2 2" xfId="17422" xr:uid="{00000000-0005-0000-0000-000096D60000}"/>
    <cellStyle name="Normal 9 2 3 2 3 3 2 2 2" xfId="30990" xr:uid="{00000000-0005-0000-0000-000097D60000}"/>
    <cellStyle name="Normal 9 2 3 2 3 3 2 2 2 2" xfId="58123" xr:uid="{00000000-0005-0000-0000-000098D60000}"/>
    <cellStyle name="Normal 9 2 3 2 3 3 2 2 3" xfId="44561" xr:uid="{00000000-0005-0000-0000-000099D60000}"/>
    <cellStyle name="Normal 9 2 3 2 3 3 2 3" xfId="24209" xr:uid="{00000000-0005-0000-0000-00009AD60000}"/>
    <cellStyle name="Normal 9 2 3 2 3 3 2 3 2" xfId="51342" xr:uid="{00000000-0005-0000-0000-00009BD60000}"/>
    <cellStyle name="Normal 9 2 3 2 3 3 2 4" xfId="37780" xr:uid="{00000000-0005-0000-0000-00009CD60000}"/>
    <cellStyle name="Normal 9 2 3 2 3 3 3" xfId="14033" xr:uid="{00000000-0005-0000-0000-00009DD60000}"/>
    <cellStyle name="Normal 9 2 3 2 3 3 3 2" xfId="27601" xr:uid="{00000000-0005-0000-0000-00009ED60000}"/>
    <cellStyle name="Normal 9 2 3 2 3 3 3 2 2" xfId="54734" xr:uid="{00000000-0005-0000-0000-00009FD60000}"/>
    <cellStyle name="Normal 9 2 3 2 3 3 3 3" xfId="41172" xr:uid="{00000000-0005-0000-0000-0000A0D60000}"/>
    <cellStyle name="Normal 9 2 3 2 3 3 4" xfId="20820" xr:uid="{00000000-0005-0000-0000-0000A1D60000}"/>
    <cellStyle name="Normal 9 2 3 2 3 3 4 2" xfId="47953" xr:uid="{00000000-0005-0000-0000-0000A2D60000}"/>
    <cellStyle name="Normal 9 2 3 2 3 3 5" xfId="34391" xr:uid="{00000000-0005-0000-0000-0000A3D60000}"/>
    <cellStyle name="Normal 9 2 3 2 3 4" xfId="10630" xr:uid="{00000000-0005-0000-0000-0000A4D60000}"/>
    <cellStyle name="Normal 9 2 3 2 3 4 2" xfId="17420" xr:uid="{00000000-0005-0000-0000-0000A5D60000}"/>
    <cellStyle name="Normal 9 2 3 2 3 4 2 2" xfId="30988" xr:uid="{00000000-0005-0000-0000-0000A6D60000}"/>
    <cellStyle name="Normal 9 2 3 2 3 4 2 2 2" xfId="58121" xr:uid="{00000000-0005-0000-0000-0000A7D60000}"/>
    <cellStyle name="Normal 9 2 3 2 3 4 2 3" xfId="44559" xr:uid="{00000000-0005-0000-0000-0000A8D60000}"/>
    <cellStyle name="Normal 9 2 3 2 3 4 3" xfId="24207" xr:uid="{00000000-0005-0000-0000-0000A9D60000}"/>
    <cellStyle name="Normal 9 2 3 2 3 4 3 2" xfId="51340" xr:uid="{00000000-0005-0000-0000-0000AAD60000}"/>
    <cellStyle name="Normal 9 2 3 2 3 4 4" xfId="37778" xr:uid="{00000000-0005-0000-0000-0000ABD60000}"/>
    <cellStyle name="Normal 9 2 3 2 3 5" xfId="14031" xr:uid="{00000000-0005-0000-0000-0000ACD60000}"/>
    <cellStyle name="Normal 9 2 3 2 3 5 2" xfId="27599" xr:uid="{00000000-0005-0000-0000-0000ADD60000}"/>
    <cellStyle name="Normal 9 2 3 2 3 5 2 2" xfId="54732" xr:uid="{00000000-0005-0000-0000-0000AED60000}"/>
    <cellStyle name="Normal 9 2 3 2 3 5 3" xfId="41170" xr:uid="{00000000-0005-0000-0000-0000AFD60000}"/>
    <cellStyle name="Normal 9 2 3 2 3 6" xfId="20818" xr:uid="{00000000-0005-0000-0000-0000B0D60000}"/>
    <cellStyle name="Normal 9 2 3 2 3 6 2" xfId="47951" xr:uid="{00000000-0005-0000-0000-0000B1D60000}"/>
    <cellStyle name="Normal 9 2 3 2 3 7" xfId="34389" xr:uid="{00000000-0005-0000-0000-0000B2D60000}"/>
    <cellStyle name="Normal 9 2 3 2 4" xfId="7108" xr:uid="{00000000-0005-0000-0000-0000B3D60000}"/>
    <cellStyle name="Normal 9 2 3 2 4 2" xfId="7109" xr:uid="{00000000-0005-0000-0000-0000B4D60000}"/>
    <cellStyle name="Normal 9 2 3 2 4 2 2" xfId="10634" xr:uid="{00000000-0005-0000-0000-0000B5D60000}"/>
    <cellStyle name="Normal 9 2 3 2 4 2 2 2" xfId="17424" xr:uid="{00000000-0005-0000-0000-0000B6D60000}"/>
    <cellStyle name="Normal 9 2 3 2 4 2 2 2 2" xfId="30992" xr:uid="{00000000-0005-0000-0000-0000B7D60000}"/>
    <cellStyle name="Normal 9 2 3 2 4 2 2 2 2 2" xfId="58125" xr:uid="{00000000-0005-0000-0000-0000B8D60000}"/>
    <cellStyle name="Normal 9 2 3 2 4 2 2 2 3" xfId="44563" xr:uid="{00000000-0005-0000-0000-0000B9D60000}"/>
    <cellStyle name="Normal 9 2 3 2 4 2 2 3" xfId="24211" xr:uid="{00000000-0005-0000-0000-0000BAD60000}"/>
    <cellStyle name="Normal 9 2 3 2 4 2 2 3 2" xfId="51344" xr:uid="{00000000-0005-0000-0000-0000BBD60000}"/>
    <cellStyle name="Normal 9 2 3 2 4 2 2 4" xfId="37782" xr:uid="{00000000-0005-0000-0000-0000BCD60000}"/>
    <cellStyle name="Normal 9 2 3 2 4 2 3" xfId="14035" xr:uid="{00000000-0005-0000-0000-0000BDD60000}"/>
    <cellStyle name="Normal 9 2 3 2 4 2 3 2" xfId="27603" xr:uid="{00000000-0005-0000-0000-0000BED60000}"/>
    <cellStyle name="Normal 9 2 3 2 4 2 3 2 2" xfId="54736" xr:uid="{00000000-0005-0000-0000-0000BFD60000}"/>
    <cellStyle name="Normal 9 2 3 2 4 2 3 3" xfId="41174" xr:uid="{00000000-0005-0000-0000-0000C0D60000}"/>
    <cellStyle name="Normal 9 2 3 2 4 2 4" xfId="20822" xr:uid="{00000000-0005-0000-0000-0000C1D60000}"/>
    <cellStyle name="Normal 9 2 3 2 4 2 4 2" xfId="47955" xr:uid="{00000000-0005-0000-0000-0000C2D60000}"/>
    <cellStyle name="Normal 9 2 3 2 4 2 5" xfId="34393" xr:uid="{00000000-0005-0000-0000-0000C3D60000}"/>
    <cellStyle name="Normal 9 2 3 2 4 3" xfId="10633" xr:uid="{00000000-0005-0000-0000-0000C4D60000}"/>
    <cellStyle name="Normal 9 2 3 2 4 3 2" xfId="17423" xr:uid="{00000000-0005-0000-0000-0000C5D60000}"/>
    <cellStyle name="Normal 9 2 3 2 4 3 2 2" xfId="30991" xr:uid="{00000000-0005-0000-0000-0000C6D60000}"/>
    <cellStyle name="Normal 9 2 3 2 4 3 2 2 2" xfId="58124" xr:uid="{00000000-0005-0000-0000-0000C7D60000}"/>
    <cellStyle name="Normal 9 2 3 2 4 3 2 3" xfId="44562" xr:uid="{00000000-0005-0000-0000-0000C8D60000}"/>
    <cellStyle name="Normal 9 2 3 2 4 3 3" xfId="24210" xr:uid="{00000000-0005-0000-0000-0000C9D60000}"/>
    <cellStyle name="Normal 9 2 3 2 4 3 3 2" xfId="51343" xr:uid="{00000000-0005-0000-0000-0000CAD60000}"/>
    <cellStyle name="Normal 9 2 3 2 4 3 4" xfId="37781" xr:uid="{00000000-0005-0000-0000-0000CBD60000}"/>
    <cellStyle name="Normal 9 2 3 2 4 4" xfId="14034" xr:uid="{00000000-0005-0000-0000-0000CCD60000}"/>
    <cellStyle name="Normal 9 2 3 2 4 4 2" xfId="27602" xr:uid="{00000000-0005-0000-0000-0000CDD60000}"/>
    <cellStyle name="Normal 9 2 3 2 4 4 2 2" xfId="54735" xr:uid="{00000000-0005-0000-0000-0000CED60000}"/>
    <cellStyle name="Normal 9 2 3 2 4 4 3" xfId="41173" xr:uid="{00000000-0005-0000-0000-0000CFD60000}"/>
    <cellStyle name="Normal 9 2 3 2 4 5" xfId="20821" xr:uid="{00000000-0005-0000-0000-0000D0D60000}"/>
    <cellStyle name="Normal 9 2 3 2 4 5 2" xfId="47954" xr:uid="{00000000-0005-0000-0000-0000D1D60000}"/>
    <cellStyle name="Normal 9 2 3 2 4 6" xfId="34392" xr:uid="{00000000-0005-0000-0000-0000D2D60000}"/>
    <cellStyle name="Normal 9 2 3 2 5" xfId="7110" xr:uid="{00000000-0005-0000-0000-0000D3D60000}"/>
    <cellStyle name="Normal 9 2 3 2 5 2" xfId="10635" xr:uid="{00000000-0005-0000-0000-0000D4D60000}"/>
    <cellStyle name="Normal 9 2 3 2 5 2 2" xfId="17425" xr:uid="{00000000-0005-0000-0000-0000D5D60000}"/>
    <cellStyle name="Normal 9 2 3 2 5 2 2 2" xfId="30993" xr:uid="{00000000-0005-0000-0000-0000D6D60000}"/>
    <cellStyle name="Normal 9 2 3 2 5 2 2 2 2" xfId="58126" xr:uid="{00000000-0005-0000-0000-0000D7D60000}"/>
    <cellStyle name="Normal 9 2 3 2 5 2 2 3" xfId="44564" xr:uid="{00000000-0005-0000-0000-0000D8D60000}"/>
    <cellStyle name="Normal 9 2 3 2 5 2 3" xfId="24212" xr:uid="{00000000-0005-0000-0000-0000D9D60000}"/>
    <cellStyle name="Normal 9 2 3 2 5 2 3 2" xfId="51345" xr:uid="{00000000-0005-0000-0000-0000DAD60000}"/>
    <cellStyle name="Normal 9 2 3 2 5 2 4" xfId="37783" xr:uid="{00000000-0005-0000-0000-0000DBD60000}"/>
    <cellStyle name="Normal 9 2 3 2 5 3" xfId="14036" xr:uid="{00000000-0005-0000-0000-0000DCD60000}"/>
    <cellStyle name="Normal 9 2 3 2 5 3 2" xfId="27604" xr:uid="{00000000-0005-0000-0000-0000DDD60000}"/>
    <cellStyle name="Normal 9 2 3 2 5 3 2 2" xfId="54737" xr:uid="{00000000-0005-0000-0000-0000DED60000}"/>
    <cellStyle name="Normal 9 2 3 2 5 3 3" xfId="41175" xr:uid="{00000000-0005-0000-0000-0000DFD60000}"/>
    <cellStyle name="Normal 9 2 3 2 5 4" xfId="20823" xr:uid="{00000000-0005-0000-0000-0000E0D60000}"/>
    <cellStyle name="Normal 9 2 3 2 5 4 2" xfId="47956" xr:uid="{00000000-0005-0000-0000-0000E1D60000}"/>
    <cellStyle name="Normal 9 2 3 2 5 5" xfId="34394" xr:uid="{00000000-0005-0000-0000-0000E2D60000}"/>
    <cellStyle name="Normal 9 2 3 2 6" xfId="7111" xr:uid="{00000000-0005-0000-0000-0000E3D60000}"/>
    <cellStyle name="Normal 9 2 3 2 6 2" xfId="10636" xr:uid="{00000000-0005-0000-0000-0000E4D60000}"/>
    <cellStyle name="Normal 9 2 3 2 6 2 2" xfId="17426" xr:uid="{00000000-0005-0000-0000-0000E5D60000}"/>
    <cellStyle name="Normal 9 2 3 2 6 2 2 2" xfId="30994" xr:uid="{00000000-0005-0000-0000-0000E6D60000}"/>
    <cellStyle name="Normal 9 2 3 2 6 2 2 2 2" xfId="58127" xr:uid="{00000000-0005-0000-0000-0000E7D60000}"/>
    <cellStyle name="Normal 9 2 3 2 6 2 2 3" xfId="44565" xr:uid="{00000000-0005-0000-0000-0000E8D60000}"/>
    <cellStyle name="Normal 9 2 3 2 6 2 3" xfId="24213" xr:uid="{00000000-0005-0000-0000-0000E9D60000}"/>
    <cellStyle name="Normal 9 2 3 2 6 2 3 2" xfId="51346" xr:uid="{00000000-0005-0000-0000-0000EAD60000}"/>
    <cellStyle name="Normal 9 2 3 2 6 2 4" xfId="37784" xr:uid="{00000000-0005-0000-0000-0000EBD60000}"/>
    <cellStyle name="Normal 9 2 3 2 6 3" xfId="14037" xr:uid="{00000000-0005-0000-0000-0000ECD60000}"/>
    <cellStyle name="Normal 9 2 3 2 6 3 2" xfId="27605" xr:uid="{00000000-0005-0000-0000-0000EDD60000}"/>
    <cellStyle name="Normal 9 2 3 2 6 3 2 2" xfId="54738" xr:uid="{00000000-0005-0000-0000-0000EED60000}"/>
    <cellStyle name="Normal 9 2 3 2 6 3 3" xfId="41176" xr:uid="{00000000-0005-0000-0000-0000EFD60000}"/>
    <cellStyle name="Normal 9 2 3 2 6 4" xfId="20824" xr:uid="{00000000-0005-0000-0000-0000F0D60000}"/>
    <cellStyle name="Normal 9 2 3 2 6 4 2" xfId="47957" xr:uid="{00000000-0005-0000-0000-0000F1D60000}"/>
    <cellStyle name="Normal 9 2 3 2 6 5" xfId="34395" xr:uid="{00000000-0005-0000-0000-0000F2D60000}"/>
    <cellStyle name="Normal 9 2 3 2 7" xfId="10621" xr:uid="{00000000-0005-0000-0000-0000F3D60000}"/>
    <cellStyle name="Normal 9 2 3 2 7 2" xfId="17411" xr:uid="{00000000-0005-0000-0000-0000F4D60000}"/>
    <cellStyle name="Normal 9 2 3 2 7 2 2" xfId="30979" xr:uid="{00000000-0005-0000-0000-0000F5D60000}"/>
    <cellStyle name="Normal 9 2 3 2 7 2 2 2" xfId="58112" xr:uid="{00000000-0005-0000-0000-0000F6D60000}"/>
    <cellStyle name="Normal 9 2 3 2 7 2 3" xfId="44550" xr:uid="{00000000-0005-0000-0000-0000F7D60000}"/>
    <cellStyle name="Normal 9 2 3 2 7 3" xfId="24198" xr:uid="{00000000-0005-0000-0000-0000F8D60000}"/>
    <cellStyle name="Normal 9 2 3 2 7 3 2" xfId="51331" xr:uid="{00000000-0005-0000-0000-0000F9D60000}"/>
    <cellStyle name="Normal 9 2 3 2 7 4" xfId="37769" xr:uid="{00000000-0005-0000-0000-0000FAD60000}"/>
    <cellStyle name="Normal 9 2 3 2 8" xfId="14022" xr:uid="{00000000-0005-0000-0000-0000FBD60000}"/>
    <cellStyle name="Normal 9 2 3 2 8 2" xfId="27590" xr:uid="{00000000-0005-0000-0000-0000FCD60000}"/>
    <cellStyle name="Normal 9 2 3 2 8 2 2" xfId="54723" xr:uid="{00000000-0005-0000-0000-0000FDD60000}"/>
    <cellStyle name="Normal 9 2 3 2 8 3" xfId="41161" xr:uid="{00000000-0005-0000-0000-0000FED60000}"/>
    <cellStyle name="Normal 9 2 3 2 9" xfId="20809" xr:uid="{00000000-0005-0000-0000-0000FFD60000}"/>
    <cellStyle name="Normal 9 2 3 2 9 2" xfId="47942" xr:uid="{00000000-0005-0000-0000-000000D70000}"/>
    <cellStyle name="Normal 9 2 3 3" xfId="7112" xr:uid="{00000000-0005-0000-0000-000001D70000}"/>
    <cellStyle name="Normal 9 2 3 3 2" xfId="7113" xr:uid="{00000000-0005-0000-0000-000002D70000}"/>
    <cellStyle name="Normal 9 2 3 3 2 2" xfId="7114" xr:uid="{00000000-0005-0000-0000-000003D70000}"/>
    <cellStyle name="Normal 9 2 3 3 2 2 2" xfId="10639" xr:uid="{00000000-0005-0000-0000-000004D70000}"/>
    <cellStyle name="Normal 9 2 3 3 2 2 2 2" xfId="17429" xr:uid="{00000000-0005-0000-0000-000005D70000}"/>
    <cellStyle name="Normal 9 2 3 3 2 2 2 2 2" xfId="30997" xr:uid="{00000000-0005-0000-0000-000006D70000}"/>
    <cellStyle name="Normal 9 2 3 3 2 2 2 2 2 2" xfId="58130" xr:uid="{00000000-0005-0000-0000-000007D70000}"/>
    <cellStyle name="Normal 9 2 3 3 2 2 2 2 3" xfId="44568" xr:uid="{00000000-0005-0000-0000-000008D70000}"/>
    <cellStyle name="Normal 9 2 3 3 2 2 2 3" xfId="24216" xr:uid="{00000000-0005-0000-0000-000009D70000}"/>
    <cellStyle name="Normal 9 2 3 3 2 2 2 3 2" xfId="51349" xr:uid="{00000000-0005-0000-0000-00000AD70000}"/>
    <cellStyle name="Normal 9 2 3 3 2 2 2 4" xfId="37787" xr:uid="{00000000-0005-0000-0000-00000BD70000}"/>
    <cellStyle name="Normal 9 2 3 3 2 2 3" xfId="14040" xr:uid="{00000000-0005-0000-0000-00000CD70000}"/>
    <cellStyle name="Normal 9 2 3 3 2 2 3 2" xfId="27608" xr:uid="{00000000-0005-0000-0000-00000DD70000}"/>
    <cellStyle name="Normal 9 2 3 3 2 2 3 2 2" xfId="54741" xr:uid="{00000000-0005-0000-0000-00000ED70000}"/>
    <cellStyle name="Normal 9 2 3 3 2 2 3 3" xfId="41179" xr:uid="{00000000-0005-0000-0000-00000FD70000}"/>
    <cellStyle name="Normal 9 2 3 3 2 2 4" xfId="20827" xr:uid="{00000000-0005-0000-0000-000010D70000}"/>
    <cellStyle name="Normal 9 2 3 3 2 2 4 2" xfId="47960" xr:uid="{00000000-0005-0000-0000-000011D70000}"/>
    <cellStyle name="Normal 9 2 3 3 2 2 5" xfId="34398" xr:uid="{00000000-0005-0000-0000-000012D70000}"/>
    <cellStyle name="Normal 9 2 3 3 2 3" xfId="7115" xr:uid="{00000000-0005-0000-0000-000013D70000}"/>
    <cellStyle name="Normal 9 2 3 3 2 3 2" xfId="10640" xr:uid="{00000000-0005-0000-0000-000014D70000}"/>
    <cellStyle name="Normal 9 2 3 3 2 3 2 2" xfId="17430" xr:uid="{00000000-0005-0000-0000-000015D70000}"/>
    <cellStyle name="Normal 9 2 3 3 2 3 2 2 2" xfId="30998" xr:uid="{00000000-0005-0000-0000-000016D70000}"/>
    <cellStyle name="Normal 9 2 3 3 2 3 2 2 2 2" xfId="58131" xr:uid="{00000000-0005-0000-0000-000017D70000}"/>
    <cellStyle name="Normal 9 2 3 3 2 3 2 2 3" xfId="44569" xr:uid="{00000000-0005-0000-0000-000018D70000}"/>
    <cellStyle name="Normal 9 2 3 3 2 3 2 3" xfId="24217" xr:uid="{00000000-0005-0000-0000-000019D70000}"/>
    <cellStyle name="Normal 9 2 3 3 2 3 2 3 2" xfId="51350" xr:uid="{00000000-0005-0000-0000-00001AD70000}"/>
    <cellStyle name="Normal 9 2 3 3 2 3 2 4" xfId="37788" xr:uid="{00000000-0005-0000-0000-00001BD70000}"/>
    <cellStyle name="Normal 9 2 3 3 2 3 3" xfId="14041" xr:uid="{00000000-0005-0000-0000-00001CD70000}"/>
    <cellStyle name="Normal 9 2 3 3 2 3 3 2" xfId="27609" xr:uid="{00000000-0005-0000-0000-00001DD70000}"/>
    <cellStyle name="Normal 9 2 3 3 2 3 3 2 2" xfId="54742" xr:uid="{00000000-0005-0000-0000-00001ED70000}"/>
    <cellStyle name="Normal 9 2 3 3 2 3 3 3" xfId="41180" xr:uid="{00000000-0005-0000-0000-00001FD70000}"/>
    <cellStyle name="Normal 9 2 3 3 2 3 4" xfId="20828" xr:uid="{00000000-0005-0000-0000-000020D70000}"/>
    <cellStyle name="Normal 9 2 3 3 2 3 4 2" xfId="47961" xr:uid="{00000000-0005-0000-0000-000021D70000}"/>
    <cellStyle name="Normal 9 2 3 3 2 3 5" xfId="34399" xr:uid="{00000000-0005-0000-0000-000022D70000}"/>
    <cellStyle name="Normal 9 2 3 3 2 4" xfId="10638" xr:uid="{00000000-0005-0000-0000-000023D70000}"/>
    <cellStyle name="Normal 9 2 3 3 2 4 2" xfId="17428" xr:uid="{00000000-0005-0000-0000-000024D70000}"/>
    <cellStyle name="Normal 9 2 3 3 2 4 2 2" xfId="30996" xr:uid="{00000000-0005-0000-0000-000025D70000}"/>
    <cellStyle name="Normal 9 2 3 3 2 4 2 2 2" xfId="58129" xr:uid="{00000000-0005-0000-0000-000026D70000}"/>
    <cellStyle name="Normal 9 2 3 3 2 4 2 3" xfId="44567" xr:uid="{00000000-0005-0000-0000-000027D70000}"/>
    <cellStyle name="Normal 9 2 3 3 2 4 3" xfId="24215" xr:uid="{00000000-0005-0000-0000-000028D70000}"/>
    <cellStyle name="Normal 9 2 3 3 2 4 3 2" xfId="51348" xr:uid="{00000000-0005-0000-0000-000029D70000}"/>
    <cellStyle name="Normal 9 2 3 3 2 4 4" xfId="37786" xr:uid="{00000000-0005-0000-0000-00002AD70000}"/>
    <cellStyle name="Normal 9 2 3 3 2 5" xfId="14039" xr:uid="{00000000-0005-0000-0000-00002BD70000}"/>
    <cellStyle name="Normal 9 2 3 3 2 5 2" xfId="27607" xr:uid="{00000000-0005-0000-0000-00002CD70000}"/>
    <cellStyle name="Normal 9 2 3 3 2 5 2 2" xfId="54740" xr:uid="{00000000-0005-0000-0000-00002DD70000}"/>
    <cellStyle name="Normal 9 2 3 3 2 5 3" xfId="41178" xr:uid="{00000000-0005-0000-0000-00002ED70000}"/>
    <cellStyle name="Normal 9 2 3 3 2 6" xfId="20826" xr:uid="{00000000-0005-0000-0000-00002FD70000}"/>
    <cellStyle name="Normal 9 2 3 3 2 6 2" xfId="47959" xr:uid="{00000000-0005-0000-0000-000030D70000}"/>
    <cellStyle name="Normal 9 2 3 3 2 7" xfId="34397" xr:uid="{00000000-0005-0000-0000-000031D70000}"/>
    <cellStyle name="Normal 9 2 3 3 3" xfId="7116" xr:uid="{00000000-0005-0000-0000-000032D70000}"/>
    <cellStyle name="Normal 9 2 3 3 3 2" xfId="7117" xr:uid="{00000000-0005-0000-0000-000033D70000}"/>
    <cellStyle name="Normal 9 2 3 3 3 2 2" xfId="10642" xr:uid="{00000000-0005-0000-0000-000034D70000}"/>
    <cellStyle name="Normal 9 2 3 3 3 2 2 2" xfId="17432" xr:uid="{00000000-0005-0000-0000-000035D70000}"/>
    <cellStyle name="Normal 9 2 3 3 3 2 2 2 2" xfId="31000" xr:uid="{00000000-0005-0000-0000-000036D70000}"/>
    <cellStyle name="Normal 9 2 3 3 3 2 2 2 2 2" xfId="58133" xr:uid="{00000000-0005-0000-0000-000037D70000}"/>
    <cellStyle name="Normal 9 2 3 3 3 2 2 2 3" xfId="44571" xr:uid="{00000000-0005-0000-0000-000038D70000}"/>
    <cellStyle name="Normal 9 2 3 3 3 2 2 3" xfId="24219" xr:uid="{00000000-0005-0000-0000-000039D70000}"/>
    <cellStyle name="Normal 9 2 3 3 3 2 2 3 2" xfId="51352" xr:uid="{00000000-0005-0000-0000-00003AD70000}"/>
    <cellStyle name="Normal 9 2 3 3 3 2 2 4" xfId="37790" xr:uid="{00000000-0005-0000-0000-00003BD70000}"/>
    <cellStyle name="Normal 9 2 3 3 3 2 3" xfId="14043" xr:uid="{00000000-0005-0000-0000-00003CD70000}"/>
    <cellStyle name="Normal 9 2 3 3 3 2 3 2" xfId="27611" xr:uid="{00000000-0005-0000-0000-00003DD70000}"/>
    <cellStyle name="Normal 9 2 3 3 3 2 3 2 2" xfId="54744" xr:uid="{00000000-0005-0000-0000-00003ED70000}"/>
    <cellStyle name="Normal 9 2 3 3 3 2 3 3" xfId="41182" xr:uid="{00000000-0005-0000-0000-00003FD70000}"/>
    <cellStyle name="Normal 9 2 3 3 3 2 4" xfId="20830" xr:uid="{00000000-0005-0000-0000-000040D70000}"/>
    <cellStyle name="Normal 9 2 3 3 3 2 4 2" xfId="47963" xr:uid="{00000000-0005-0000-0000-000041D70000}"/>
    <cellStyle name="Normal 9 2 3 3 3 2 5" xfId="34401" xr:uid="{00000000-0005-0000-0000-000042D70000}"/>
    <cellStyle name="Normal 9 2 3 3 3 3" xfId="10641" xr:uid="{00000000-0005-0000-0000-000043D70000}"/>
    <cellStyle name="Normal 9 2 3 3 3 3 2" xfId="17431" xr:uid="{00000000-0005-0000-0000-000044D70000}"/>
    <cellStyle name="Normal 9 2 3 3 3 3 2 2" xfId="30999" xr:uid="{00000000-0005-0000-0000-000045D70000}"/>
    <cellStyle name="Normal 9 2 3 3 3 3 2 2 2" xfId="58132" xr:uid="{00000000-0005-0000-0000-000046D70000}"/>
    <cellStyle name="Normal 9 2 3 3 3 3 2 3" xfId="44570" xr:uid="{00000000-0005-0000-0000-000047D70000}"/>
    <cellStyle name="Normal 9 2 3 3 3 3 3" xfId="24218" xr:uid="{00000000-0005-0000-0000-000048D70000}"/>
    <cellStyle name="Normal 9 2 3 3 3 3 3 2" xfId="51351" xr:uid="{00000000-0005-0000-0000-000049D70000}"/>
    <cellStyle name="Normal 9 2 3 3 3 3 4" xfId="37789" xr:uid="{00000000-0005-0000-0000-00004AD70000}"/>
    <cellStyle name="Normal 9 2 3 3 3 4" xfId="14042" xr:uid="{00000000-0005-0000-0000-00004BD70000}"/>
    <cellStyle name="Normal 9 2 3 3 3 4 2" xfId="27610" xr:uid="{00000000-0005-0000-0000-00004CD70000}"/>
    <cellStyle name="Normal 9 2 3 3 3 4 2 2" xfId="54743" xr:uid="{00000000-0005-0000-0000-00004DD70000}"/>
    <cellStyle name="Normal 9 2 3 3 3 4 3" xfId="41181" xr:uid="{00000000-0005-0000-0000-00004ED70000}"/>
    <cellStyle name="Normal 9 2 3 3 3 5" xfId="20829" xr:uid="{00000000-0005-0000-0000-00004FD70000}"/>
    <cellStyle name="Normal 9 2 3 3 3 5 2" xfId="47962" xr:uid="{00000000-0005-0000-0000-000050D70000}"/>
    <cellStyle name="Normal 9 2 3 3 3 6" xfId="34400" xr:uid="{00000000-0005-0000-0000-000051D70000}"/>
    <cellStyle name="Normal 9 2 3 3 4" xfId="7118" xr:uid="{00000000-0005-0000-0000-000052D70000}"/>
    <cellStyle name="Normal 9 2 3 3 4 2" xfId="10643" xr:uid="{00000000-0005-0000-0000-000053D70000}"/>
    <cellStyle name="Normal 9 2 3 3 4 2 2" xfId="17433" xr:uid="{00000000-0005-0000-0000-000054D70000}"/>
    <cellStyle name="Normal 9 2 3 3 4 2 2 2" xfId="31001" xr:uid="{00000000-0005-0000-0000-000055D70000}"/>
    <cellStyle name="Normal 9 2 3 3 4 2 2 2 2" xfId="58134" xr:uid="{00000000-0005-0000-0000-000056D70000}"/>
    <cellStyle name="Normal 9 2 3 3 4 2 2 3" xfId="44572" xr:uid="{00000000-0005-0000-0000-000057D70000}"/>
    <cellStyle name="Normal 9 2 3 3 4 2 3" xfId="24220" xr:uid="{00000000-0005-0000-0000-000058D70000}"/>
    <cellStyle name="Normal 9 2 3 3 4 2 3 2" xfId="51353" xr:uid="{00000000-0005-0000-0000-000059D70000}"/>
    <cellStyle name="Normal 9 2 3 3 4 2 4" xfId="37791" xr:uid="{00000000-0005-0000-0000-00005AD70000}"/>
    <cellStyle name="Normal 9 2 3 3 4 3" xfId="14044" xr:uid="{00000000-0005-0000-0000-00005BD70000}"/>
    <cellStyle name="Normal 9 2 3 3 4 3 2" xfId="27612" xr:uid="{00000000-0005-0000-0000-00005CD70000}"/>
    <cellStyle name="Normal 9 2 3 3 4 3 2 2" xfId="54745" xr:uid="{00000000-0005-0000-0000-00005DD70000}"/>
    <cellStyle name="Normal 9 2 3 3 4 3 3" xfId="41183" xr:uid="{00000000-0005-0000-0000-00005ED70000}"/>
    <cellStyle name="Normal 9 2 3 3 4 4" xfId="20831" xr:uid="{00000000-0005-0000-0000-00005FD70000}"/>
    <cellStyle name="Normal 9 2 3 3 4 4 2" xfId="47964" xr:uid="{00000000-0005-0000-0000-000060D70000}"/>
    <cellStyle name="Normal 9 2 3 3 4 5" xfId="34402" xr:uid="{00000000-0005-0000-0000-000061D70000}"/>
    <cellStyle name="Normal 9 2 3 3 5" xfId="7119" xr:uid="{00000000-0005-0000-0000-000062D70000}"/>
    <cellStyle name="Normal 9 2 3 3 5 2" xfId="10644" xr:uid="{00000000-0005-0000-0000-000063D70000}"/>
    <cellStyle name="Normal 9 2 3 3 5 2 2" xfId="17434" xr:uid="{00000000-0005-0000-0000-000064D70000}"/>
    <cellStyle name="Normal 9 2 3 3 5 2 2 2" xfId="31002" xr:uid="{00000000-0005-0000-0000-000065D70000}"/>
    <cellStyle name="Normal 9 2 3 3 5 2 2 2 2" xfId="58135" xr:uid="{00000000-0005-0000-0000-000066D70000}"/>
    <cellStyle name="Normal 9 2 3 3 5 2 2 3" xfId="44573" xr:uid="{00000000-0005-0000-0000-000067D70000}"/>
    <cellStyle name="Normal 9 2 3 3 5 2 3" xfId="24221" xr:uid="{00000000-0005-0000-0000-000068D70000}"/>
    <cellStyle name="Normal 9 2 3 3 5 2 3 2" xfId="51354" xr:uid="{00000000-0005-0000-0000-000069D70000}"/>
    <cellStyle name="Normal 9 2 3 3 5 2 4" xfId="37792" xr:uid="{00000000-0005-0000-0000-00006AD70000}"/>
    <cellStyle name="Normal 9 2 3 3 5 3" xfId="14045" xr:uid="{00000000-0005-0000-0000-00006BD70000}"/>
    <cellStyle name="Normal 9 2 3 3 5 3 2" xfId="27613" xr:uid="{00000000-0005-0000-0000-00006CD70000}"/>
    <cellStyle name="Normal 9 2 3 3 5 3 2 2" xfId="54746" xr:uid="{00000000-0005-0000-0000-00006DD70000}"/>
    <cellStyle name="Normal 9 2 3 3 5 3 3" xfId="41184" xr:uid="{00000000-0005-0000-0000-00006ED70000}"/>
    <cellStyle name="Normal 9 2 3 3 5 4" xfId="20832" xr:uid="{00000000-0005-0000-0000-00006FD70000}"/>
    <cellStyle name="Normal 9 2 3 3 5 4 2" xfId="47965" xr:uid="{00000000-0005-0000-0000-000070D70000}"/>
    <cellStyle name="Normal 9 2 3 3 5 5" xfId="34403" xr:uid="{00000000-0005-0000-0000-000071D70000}"/>
    <cellStyle name="Normal 9 2 3 3 6" xfId="10637" xr:uid="{00000000-0005-0000-0000-000072D70000}"/>
    <cellStyle name="Normal 9 2 3 3 6 2" xfId="17427" xr:uid="{00000000-0005-0000-0000-000073D70000}"/>
    <cellStyle name="Normal 9 2 3 3 6 2 2" xfId="30995" xr:uid="{00000000-0005-0000-0000-000074D70000}"/>
    <cellStyle name="Normal 9 2 3 3 6 2 2 2" xfId="58128" xr:uid="{00000000-0005-0000-0000-000075D70000}"/>
    <cellStyle name="Normal 9 2 3 3 6 2 3" xfId="44566" xr:uid="{00000000-0005-0000-0000-000076D70000}"/>
    <cellStyle name="Normal 9 2 3 3 6 3" xfId="24214" xr:uid="{00000000-0005-0000-0000-000077D70000}"/>
    <cellStyle name="Normal 9 2 3 3 6 3 2" xfId="51347" xr:uid="{00000000-0005-0000-0000-000078D70000}"/>
    <cellStyle name="Normal 9 2 3 3 6 4" xfId="37785" xr:uid="{00000000-0005-0000-0000-000079D70000}"/>
    <cellStyle name="Normal 9 2 3 3 7" xfId="14038" xr:uid="{00000000-0005-0000-0000-00007AD70000}"/>
    <cellStyle name="Normal 9 2 3 3 7 2" xfId="27606" xr:uid="{00000000-0005-0000-0000-00007BD70000}"/>
    <cellStyle name="Normal 9 2 3 3 7 2 2" xfId="54739" xr:uid="{00000000-0005-0000-0000-00007CD70000}"/>
    <cellStyle name="Normal 9 2 3 3 7 3" xfId="41177" xr:uid="{00000000-0005-0000-0000-00007DD70000}"/>
    <cellStyle name="Normal 9 2 3 3 8" xfId="20825" xr:uid="{00000000-0005-0000-0000-00007ED70000}"/>
    <cellStyle name="Normal 9 2 3 3 8 2" xfId="47958" xr:uid="{00000000-0005-0000-0000-00007FD70000}"/>
    <cellStyle name="Normal 9 2 3 3 9" xfId="34396" xr:uid="{00000000-0005-0000-0000-000080D70000}"/>
    <cellStyle name="Normal 9 2 3 4" xfId="7120" xr:uid="{00000000-0005-0000-0000-000081D70000}"/>
    <cellStyle name="Normal 9 2 3 4 2" xfId="7121" xr:uid="{00000000-0005-0000-0000-000082D70000}"/>
    <cellStyle name="Normal 9 2 3 4 2 2" xfId="7122" xr:uid="{00000000-0005-0000-0000-000083D70000}"/>
    <cellStyle name="Normal 9 2 3 4 2 2 2" xfId="10647" xr:uid="{00000000-0005-0000-0000-000084D70000}"/>
    <cellStyle name="Normal 9 2 3 4 2 2 2 2" xfId="17437" xr:uid="{00000000-0005-0000-0000-000085D70000}"/>
    <cellStyle name="Normal 9 2 3 4 2 2 2 2 2" xfId="31005" xr:uid="{00000000-0005-0000-0000-000086D70000}"/>
    <cellStyle name="Normal 9 2 3 4 2 2 2 2 2 2" xfId="58138" xr:uid="{00000000-0005-0000-0000-000087D70000}"/>
    <cellStyle name="Normal 9 2 3 4 2 2 2 2 3" xfId="44576" xr:uid="{00000000-0005-0000-0000-000088D70000}"/>
    <cellStyle name="Normal 9 2 3 4 2 2 2 3" xfId="24224" xr:uid="{00000000-0005-0000-0000-000089D70000}"/>
    <cellStyle name="Normal 9 2 3 4 2 2 2 3 2" xfId="51357" xr:uid="{00000000-0005-0000-0000-00008AD70000}"/>
    <cellStyle name="Normal 9 2 3 4 2 2 2 4" xfId="37795" xr:uid="{00000000-0005-0000-0000-00008BD70000}"/>
    <cellStyle name="Normal 9 2 3 4 2 2 3" xfId="14048" xr:uid="{00000000-0005-0000-0000-00008CD70000}"/>
    <cellStyle name="Normal 9 2 3 4 2 2 3 2" xfId="27616" xr:uid="{00000000-0005-0000-0000-00008DD70000}"/>
    <cellStyle name="Normal 9 2 3 4 2 2 3 2 2" xfId="54749" xr:uid="{00000000-0005-0000-0000-00008ED70000}"/>
    <cellStyle name="Normal 9 2 3 4 2 2 3 3" xfId="41187" xr:uid="{00000000-0005-0000-0000-00008FD70000}"/>
    <cellStyle name="Normal 9 2 3 4 2 2 4" xfId="20835" xr:uid="{00000000-0005-0000-0000-000090D70000}"/>
    <cellStyle name="Normal 9 2 3 4 2 2 4 2" xfId="47968" xr:uid="{00000000-0005-0000-0000-000091D70000}"/>
    <cellStyle name="Normal 9 2 3 4 2 2 5" xfId="34406" xr:uid="{00000000-0005-0000-0000-000092D70000}"/>
    <cellStyle name="Normal 9 2 3 4 2 3" xfId="7123" xr:uid="{00000000-0005-0000-0000-000093D70000}"/>
    <cellStyle name="Normal 9 2 3 4 2 3 2" xfId="10648" xr:uid="{00000000-0005-0000-0000-000094D70000}"/>
    <cellStyle name="Normal 9 2 3 4 2 3 2 2" xfId="17438" xr:uid="{00000000-0005-0000-0000-000095D70000}"/>
    <cellStyle name="Normal 9 2 3 4 2 3 2 2 2" xfId="31006" xr:uid="{00000000-0005-0000-0000-000096D70000}"/>
    <cellStyle name="Normal 9 2 3 4 2 3 2 2 2 2" xfId="58139" xr:uid="{00000000-0005-0000-0000-000097D70000}"/>
    <cellStyle name="Normal 9 2 3 4 2 3 2 2 3" xfId="44577" xr:uid="{00000000-0005-0000-0000-000098D70000}"/>
    <cellStyle name="Normal 9 2 3 4 2 3 2 3" xfId="24225" xr:uid="{00000000-0005-0000-0000-000099D70000}"/>
    <cellStyle name="Normal 9 2 3 4 2 3 2 3 2" xfId="51358" xr:uid="{00000000-0005-0000-0000-00009AD70000}"/>
    <cellStyle name="Normal 9 2 3 4 2 3 2 4" xfId="37796" xr:uid="{00000000-0005-0000-0000-00009BD70000}"/>
    <cellStyle name="Normal 9 2 3 4 2 3 3" xfId="14049" xr:uid="{00000000-0005-0000-0000-00009CD70000}"/>
    <cellStyle name="Normal 9 2 3 4 2 3 3 2" xfId="27617" xr:uid="{00000000-0005-0000-0000-00009DD70000}"/>
    <cellStyle name="Normal 9 2 3 4 2 3 3 2 2" xfId="54750" xr:uid="{00000000-0005-0000-0000-00009ED70000}"/>
    <cellStyle name="Normal 9 2 3 4 2 3 3 3" xfId="41188" xr:uid="{00000000-0005-0000-0000-00009FD70000}"/>
    <cellStyle name="Normal 9 2 3 4 2 3 4" xfId="20836" xr:uid="{00000000-0005-0000-0000-0000A0D70000}"/>
    <cellStyle name="Normal 9 2 3 4 2 3 4 2" xfId="47969" xr:uid="{00000000-0005-0000-0000-0000A1D70000}"/>
    <cellStyle name="Normal 9 2 3 4 2 3 5" xfId="34407" xr:uid="{00000000-0005-0000-0000-0000A2D70000}"/>
    <cellStyle name="Normal 9 2 3 4 2 4" xfId="10646" xr:uid="{00000000-0005-0000-0000-0000A3D70000}"/>
    <cellStyle name="Normal 9 2 3 4 2 4 2" xfId="17436" xr:uid="{00000000-0005-0000-0000-0000A4D70000}"/>
    <cellStyle name="Normal 9 2 3 4 2 4 2 2" xfId="31004" xr:uid="{00000000-0005-0000-0000-0000A5D70000}"/>
    <cellStyle name="Normal 9 2 3 4 2 4 2 2 2" xfId="58137" xr:uid="{00000000-0005-0000-0000-0000A6D70000}"/>
    <cellStyle name="Normal 9 2 3 4 2 4 2 3" xfId="44575" xr:uid="{00000000-0005-0000-0000-0000A7D70000}"/>
    <cellStyle name="Normal 9 2 3 4 2 4 3" xfId="24223" xr:uid="{00000000-0005-0000-0000-0000A8D70000}"/>
    <cellStyle name="Normal 9 2 3 4 2 4 3 2" xfId="51356" xr:uid="{00000000-0005-0000-0000-0000A9D70000}"/>
    <cellStyle name="Normal 9 2 3 4 2 4 4" xfId="37794" xr:uid="{00000000-0005-0000-0000-0000AAD70000}"/>
    <cellStyle name="Normal 9 2 3 4 2 5" xfId="14047" xr:uid="{00000000-0005-0000-0000-0000ABD70000}"/>
    <cellStyle name="Normal 9 2 3 4 2 5 2" xfId="27615" xr:uid="{00000000-0005-0000-0000-0000ACD70000}"/>
    <cellStyle name="Normal 9 2 3 4 2 5 2 2" xfId="54748" xr:uid="{00000000-0005-0000-0000-0000ADD70000}"/>
    <cellStyle name="Normal 9 2 3 4 2 5 3" xfId="41186" xr:uid="{00000000-0005-0000-0000-0000AED70000}"/>
    <cellStyle name="Normal 9 2 3 4 2 6" xfId="20834" xr:uid="{00000000-0005-0000-0000-0000AFD70000}"/>
    <cellStyle name="Normal 9 2 3 4 2 6 2" xfId="47967" xr:uid="{00000000-0005-0000-0000-0000B0D70000}"/>
    <cellStyle name="Normal 9 2 3 4 2 7" xfId="34405" xr:uid="{00000000-0005-0000-0000-0000B1D70000}"/>
    <cellStyle name="Normal 9 2 3 4 3" xfId="7124" xr:uid="{00000000-0005-0000-0000-0000B2D70000}"/>
    <cellStyle name="Normal 9 2 3 4 3 2" xfId="10649" xr:uid="{00000000-0005-0000-0000-0000B3D70000}"/>
    <cellStyle name="Normal 9 2 3 4 3 2 2" xfId="17439" xr:uid="{00000000-0005-0000-0000-0000B4D70000}"/>
    <cellStyle name="Normal 9 2 3 4 3 2 2 2" xfId="31007" xr:uid="{00000000-0005-0000-0000-0000B5D70000}"/>
    <cellStyle name="Normal 9 2 3 4 3 2 2 2 2" xfId="58140" xr:uid="{00000000-0005-0000-0000-0000B6D70000}"/>
    <cellStyle name="Normal 9 2 3 4 3 2 2 3" xfId="44578" xr:uid="{00000000-0005-0000-0000-0000B7D70000}"/>
    <cellStyle name="Normal 9 2 3 4 3 2 3" xfId="24226" xr:uid="{00000000-0005-0000-0000-0000B8D70000}"/>
    <cellStyle name="Normal 9 2 3 4 3 2 3 2" xfId="51359" xr:uid="{00000000-0005-0000-0000-0000B9D70000}"/>
    <cellStyle name="Normal 9 2 3 4 3 2 4" xfId="37797" xr:uid="{00000000-0005-0000-0000-0000BAD70000}"/>
    <cellStyle name="Normal 9 2 3 4 3 3" xfId="14050" xr:uid="{00000000-0005-0000-0000-0000BBD70000}"/>
    <cellStyle name="Normal 9 2 3 4 3 3 2" xfId="27618" xr:uid="{00000000-0005-0000-0000-0000BCD70000}"/>
    <cellStyle name="Normal 9 2 3 4 3 3 2 2" xfId="54751" xr:uid="{00000000-0005-0000-0000-0000BDD70000}"/>
    <cellStyle name="Normal 9 2 3 4 3 3 3" xfId="41189" xr:uid="{00000000-0005-0000-0000-0000BED70000}"/>
    <cellStyle name="Normal 9 2 3 4 3 4" xfId="20837" xr:uid="{00000000-0005-0000-0000-0000BFD70000}"/>
    <cellStyle name="Normal 9 2 3 4 3 4 2" xfId="47970" xr:uid="{00000000-0005-0000-0000-0000C0D70000}"/>
    <cellStyle name="Normal 9 2 3 4 3 5" xfId="34408" xr:uid="{00000000-0005-0000-0000-0000C1D70000}"/>
    <cellStyle name="Normal 9 2 3 4 4" xfId="7125" xr:uid="{00000000-0005-0000-0000-0000C2D70000}"/>
    <cellStyle name="Normal 9 2 3 4 4 2" xfId="10650" xr:uid="{00000000-0005-0000-0000-0000C3D70000}"/>
    <cellStyle name="Normal 9 2 3 4 4 2 2" xfId="17440" xr:uid="{00000000-0005-0000-0000-0000C4D70000}"/>
    <cellStyle name="Normal 9 2 3 4 4 2 2 2" xfId="31008" xr:uid="{00000000-0005-0000-0000-0000C5D70000}"/>
    <cellStyle name="Normal 9 2 3 4 4 2 2 2 2" xfId="58141" xr:uid="{00000000-0005-0000-0000-0000C6D70000}"/>
    <cellStyle name="Normal 9 2 3 4 4 2 2 3" xfId="44579" xr:uid="{00000000-0005-0000-0000-0000C7D70000}"/>
    <cellStyle name="Normal 9 2 3 4 4 2 3" xfId="24227" xr:uid="{00000000-0005-0000-0000-0000C8D70000}"/>
    <cellStyle name="Normal 9 2 3 4 4 2 3 2" xfId="51360" xr:uid="{00000000-0005-0000-0000-0000C9D70000}"/>
    <cellStyle name="Normal 9 2 3 4 4 2 4" xfId="37798" xr:uid="{00000000-0005-0000-0000-0000CAD70000}"/>
    <cellStyle name="Normal 9 2 3 4 4 3" xfId="14051" xr:uid="{00000000-0005-0000-0000-0000CBD70000}"/>
    <cellStyle name="Normal 9 2 3 4 4 3 2" xfId="27619" xr:uid="{00000000-0005-0000-0000-0000CCD70000}"/>
    <cellStyle name="Normal 9 2 3 4 4 3 2 2" xfId="54752" xr:uid="{00000000-0005-0000-0000-0000CDD70000}"/>
    <cellStyle name="Normal 9 2 3 4 4 3 3" xfId="41190" xr:uid="{00000000-0005-0000-0000-0000CED70000}"/>
    <cellStyle name="Normal 9 2 3 4 4 4" xfId="20838" xr:uid="{00000000-0005-0000-0000-0000CFD70000}"/>
    <cellStyle name="Normal 9 2 3 4 4 4 2" xfId="47971" xr:uid="{00000000-0005-0000-0000-0000D0D70000}"/>
    <cellStyle name="Normal 9 2 3 4 4 5" xfId="34409" xr:uid="{00000000-0005-0000-0000-0000D1D70000}"/>
    <cellStyle name="Normal 9 2 3 4 5" xfId="10645" xr:uid="{00000000-0005-0000-0000-0000D2D70000}"/>
    <cellStyle name="Normal 9 2 3 4 5 2" xfId="17435" xr:uid="{00000000-0005-0000-0000-0000D3D70000}"/>
    <cellStyle name="Normal 9 2 3 4 5 2 2" xfId="31003" xr:uid="{00000000-0005-0000-0000-0000D4D70000}"/>
    <cellStyle name="Normal 9 2 3 4 5 2 2 2" xfId="58136" xr:uid="{00000000-0005-0000-0000-0000D5D70000}"/>
    <cellStyle name="Normal 9 2 3 4 5 2 3" xfId="44574" xr:uid="{00000000-0005-0000-0000-0000D6D70000}"/>
    <cellStyle name="Normal 9 2 3 4 5 3" xfId="24222" xr:uid="{00000000-0005-0000-0000-0000D7D70000}"/>
    <cellStyle name="Normal 9 2 3 4 5 3 2" xfId="51355" xr:uid="{00000000-0005-0000-0000-0000D8D70000}"/>
    <cellStyle name="Normal 9 2 3 4 5 4" xfId="37793" xr:uid="{00000000-0005-0000-0000-0000D9D70000}"/>
    <cellStyle name="Normal 9 2 3 4 6" xfId="14046" xr:uid="{00000000-0005-0000-0000-0000DAD70000}"/>
    <cellStyle name="Normal 9 2 3 4 6 2" xfId="27614" xr:uid="{00000000-0005-0000-0000-0000DBD70000}"/>
    <cellStyle name="Normal 9 2 3 4 6 2 2" xfId="54747" xr:uid="{00000000-0005-0000-0000-0000DCD70000}"/>
    <cellStyle name="Normal 9 2 3 4 6 3" xfId="41185" xr:uid="{00000000-0005-0000-0000-0000DDD70000}"/>
    <cellStyle name="Normal 9 2 3 4 7" xfId="20833" xr:uid="{00000000-0005-0000-0000-0000DED70000}"/>
    <cellStyle name="Normal 9 2 3 4 7 2" xfId="47966" xr:uid="{00000000-0005-0000-0000-0000DFD70000}"/>
    <cellStyle name="Normal 9 2 3 4 8" xfId="34404" xr:uid="{00000000-0005-0000-0000-0000E0D70000}"/>
    <cellStyle name="Normal 9 2 3 5" xfId="7126" xr:uid="{00000000-0005-0000-0000-0000E1D70000}"/>
    <cellStyle name="Normal 9 2 3 5 2" xfId="7127" xr:uid="{00000000-0005-0000-0000-0000E2D70000}"/>
    <cellStyle name="Normal 9 2 3 5 2 2" xfId="7128" xr:uid="{00000000-0005-0000-0000-0000E3D70000}"/>
    <cellStyle name="Normal 9 2 3 5 2 2 2" xfId="10653" xr:uid="{00000000-0005-0000-0000-0000E4D70000}"/>
    <cellStyle name="Normal 9 2 3 5 2 2 2 2" xfId="17443" xr:uid="{00000000-0005-0000-0000-0000E5D70000}"/>
    <cellStyle name="Normal 9 2 3 5 2 2 2 2 2" xfId="31011" xr:uid="{00000000-0005-0000-0000-0000E6D70000}"/>
    <cellStyle name="Normal 9 2 3 5 2 2 2 2 2 2" xfId="58144" xr:uid="{00000000-0005-0000-0000-0000E7D70000}"/>
    <cellStyle name="Normal 9 2 3 5 2 2 2 2 3" xfId="44582" xr:uid="{00000000-0005-0000-0000-0000E8D70000}"/>
    <cellStyle name="Normal 9 2 3 5 2 2 2 3" xfId="24230" xr:uid="{00000000-0005-0000-0000-0000E9D70000}"/>
    <cellStyle name="Normal 9 2 3 5 2 2 2 3 2" xfId="51363" xr:uid="{00000000-0005-0000-0000-0000EAD70000}"/>
    <cellStyle name="Normal 9 2 3 5 2 2 2 4" xfId="37801" xr:uid="{00000000-0005-0000-0000-0000EBD70000}"/>
    <cellStyle name="Normal 9 2 3 5 2 2 3" xfId="14054" xr:uid="{00000000-0005-0000-0000-0000ECD70000}"/>
    <cellStyle name="Normal 9 2 3 5 2 2 3 2" xfId="27622" xr:uid="{00000000-0005-0000-0000-0000EDD70000}"/>
    <cellStyle name="Normal 9 2 3 5 2 2 3 2 2" xfId="54755" xr:uid="{00000000-0005-0000-0000-0000EED70000}"/>
    <cellStyle name="Normal 9 2 3 5 2 2 3 3" xfId="41193" xr:uid="{00000000-0005-0000-0000-0000EFD70000}"/>
    <cellStyle name="Normal 9 2 3 5 2 2 4" xfId="20841" xr:uid="{00000000-0005-0000-0000-0000F0D70000}"/>
    <cellStyle name="Normal 9 2 3 5 2 2 4 2" xfId="47974" xr:uid="{00000000-0005-0000-0000-0000F1D70000}"/>
    <cellStyle name="Normal 9 2 3 5 2 2 5" xfId="34412" xr:uid="{00000000-0005-0000-0000-0000F2D70000}"/>
    <cellStyle name="Normal 9 2 3 5 2 3" xfId="7129" xr:uid="{00000000-0005-0000-0000-0000F3D70000}"/>
    <cellStyle name="Normal 9 2 3 5 2 3 2" xfId="10654" xr:uid="{00000000-0005-0000-0000-0000F4D70000}"/>
    <cellStyle name="Normal 9 2 3 5 2 3 2 2" xfId="17444" xr:uid="{00000000-0005-0000-0000-0000F5D70000}"/>
    <cellStyle name="Normal 9 2 3 5 2 3 2 2 2" xfId="31012" xr:uid="{00000000-0005-0000-0000-0000F6D70000}"/>
    <cellStyle name="Normal 9 2 3 5 2 3 2 2 2 2" xfId="58145" xr:uid="{00000000-0005-0000-0000-0000F7D70000}"/>
    <cellStyle name="Normal 9 2 3 5 2 3 2 2 3" xfId="44583" xr:uid="{00000000-0005-0000-0000-0000F8D70000}"/>
    <cellStyle name="Normal 9 2 3 5 2 3 2 3" xfId="24231" xr:uid="{00000000-0005-0000-0000-0000F9D70000}"/>
    <cellStyle name="Normal 9 2 3 5 2 3 2 3 2" xfId="51364" xr:uid="{00000000-0005-0000-0000-0000FAD70000}"/>
    <cellStyle name="Normal 9 2 3 5 2 3 2 4" xfId="37802" xr:uid="{00000000-0005-0000-0000-0000FBD70000}"/>
    <cellStyle name="Normal 9 2 3 5 2 3 3" xfId="14055" xr:uid="{00000000-0005-0000-0000-0000FCD70000}"/>
    <cellStyle name="Normal 9 2 3 5 2 3 3 2" xfId="27623" xr:uid="{00000000-0005-0000-0000-0000FDD70000}"/>
    <cellStyle name="Normal 9 2 3 5 2 3 3 2 2" xfId="54756" xr:uid="{00000000-0005-0000-0000-0000FED70000}"/>
    <cellStyle name="Normal 9 2 3 5 2 3 3 3" xfId="41194" xr:uid="{00000000-0005-0000-0000-0000FFD70000}"/>
    <cellStyle name="Normal 9 2 3 5 2 3 4" xfId="20842" xr:uid="{00000000-0005-0000-0000-000000D80000}"/>
    <cellStyle name="Normal 9 2 3 5 2 3 4 2" xfId="47975" xr:uid="{00000000-0005-0000-0000-000001D80000}"/>
    <cellStyle name="Normal 9 2 3 5 2 3 5" xfId="34413" xr:uid="{00000000-0005-0000-0000-000002D80000}"/>
    <cellStyle name="Normal 9 2 3 5 2 4" xfId="10652" xr:uid="{00000000-0005-0000-0000-000003D80000}"/>
    <cellStyle name="Normal 9 2 3 5 2 4 2" xfId="17442" xr:uid="{00000000-0005-0000-0000-000004D80000}"/>
    <cellStyle name="Normal 9 2 3 5 2 4 2 2" xfId="31010" xr:uid="{00000000-0005-0000-0000-000005D80000}"/>
    <cellStyle name="Normal 9 2 3 5 2 4 2 2 2" xfId="58143" xr:uid="{00000000-0005-0000-0000-000006D80000}"/>
    <cellStyle name="Normal 9 2 3 5 2 4 2 3" xfId="44581" xr:uid="{00000000-0005-0000-0000-000007D80000}"/>
    <cellStyle name="Normal 9 2 3 5 2 4 3" xfId="24229" xr:uid="{00000000-0005-0000-0000-000008D80000}"/>
    <cellStyle name="Normal 9 2 3 5 2 4 3 2" xfId="51362" xr:uid="{00000000-0005-0000-0000-000009D80000}"/>
    <cellStyle name="Normal 9 2 3 5 2 4 4" xfId="37800" xr:uid="{00000000-0005-0000-0000-00000AD80000}"/>
    <cellStyle name="Normal 9 2 3 5 2 5" xfId="14053" xr:uid="{00000000-0005-0000-0000-00000BD80000}"/>
    <cellStyle name="Normal 9 2 3 5 2 5 2" xfId="27621" xr:uid="{00000000-0005-0000-0000-00000CD80000}"/>
    <cellStyle name="Normal 9 2 3 5 2 5 2 2" xfId="54754" xr:uid="{00000000-0005-0000-0000-00000DD80000}"/>
    <cellStyle name="Normal 9 2 3 5 2 5 3" xfId="41192" xr:uid="{00000000-0005-0000-0000-00000ED80000}"/>
    <cellStyle name="Normal 9 2 3 5 2 6" xfId="20840" xr:uid="{00000000-0005-0000-0000-00000FD80000}"/>
    <cellStyle name="Normal 9 2 3 5 2 6 2" xfId="47973" xr:uid="{00000000-0005-0000-0000-000010D80000}"/>
    <cellStyle name="Normal 9 2 3 5 2 7" xfId="34411" xr:uid="{00000000-0005-0000-0000-000011D80000}"/>
    <cellStyle name="Normal 9 2 3 5 3" xfId="7130" xr:uid="{00000000-0005-0000-0000-000012D80000}"/>
    <cellStyle name="Normal 9 2 3 5 3 2" xfId="10655" xr:uid="{00000000-0005-0000-0000-000013D80000}"/>
    <cellStyle name="Normal 9 2 3 5 3 2 2" xfId="17445" xr:uid="{00000000-0005-0000-0000-000014D80000}"/>
    <cellStyle name="Normal 9 2 3 5 3 2 2 2" xfId="31013" xr:uid="{00000000-0005-0000-0000-000015D80000}"/>
    <cellStyle name="Normal 9 2 3 5 3 2 2 2 2" xfId="58146" xr:uid="{00000000-0005-0000-0000-000016D80000}"/>
    <cellStyle name="Normal 9 2 3 5 3 2 2 3" xfId="44584" xr:uid="{00000000-0005-0000-0000-000017D80000}"/>
    <cellStyle name="Normal 9 2 3 5 3 2 3" xfId="24232" xr:uid="{00000000-0005-0000-0000-000018D80000}"/>
    <cellStyle name="Normal 9 2 3 5 3 2 3 2" xfId="51365" xr:uid="{00000000-0005-0000-0000-000019D80000}"/>
    <cellStyle name="Normal 9 2 3 5 3 2 4" xfId="37803" xr:uid="{00000000-0005-0000-0000-00001AD80000}"/>
    <cellStyle name="Normal 9 2 3 5 3 3" xfId="14056" xr:uid="{00000000-0005-0000-0000-00001BD80000}"/>
    <cellStyle name="Normal 9 2 3 5 3 3 2" xfId="27624" xr:uid="{00000000-0005-0000-0000-00001CD80000}"/>
    <cellStyle name="Normal 9 2 3 5 3 3 2 2" xfId="54757" xr:uid="{00000000-0005-0000-0000-00001DD80000}"/>
    <cellStyle name="Normal 9 2 3 5 3 3 3" xfId="41195" xr:uid="{00000000-0005-0000-0000-00001ED80000}"/>
    <cellStyle name="Normal 9 2 3 5 3 4" xfId="20843" xr:uid="{00000000-0005-0000-0000-00001FD80000}"/>
    <cellStyle name="Normal 9 2 3 5 3 4 2" xfId="47976" xr:uid="{00000000-0005-0000-0000-000020D80000}"/>
    <cellStyle name="Normal 9 2 3 5 3 5" xfId="34414" xr:uid="{00000000-0005-0000-0000-000021D80000}"/>
    <cellStyle name="Normal 9 2 3 5 4" xfId="7131" xr:uid="{00000000-0005-0000-0000-000022D80000}"/>
    <cellStyle name="Normal 9 2 3 5 4 2" xfId="10656" xr:uid="{00000000-0005-0000-0000-000023D80000}"/>
    <cellStyle name="Normal 9 2 3 5 4 2 2" xfId="17446" xr:uid="{00000000-0005-0000-0000-000024D80000}"/>
    <cellStyle name="Normal 9 2 3 5 4 2 2 2" xfId="31014" xr:uid="{00000000-0005-0000-0000-000025D80000}"/>
    <cellStyle name="Normal 9 2 3 5 4 2 2 2 2" xfId="58147" xr:uid="{00000000-0005-0000-0000-000026D80000}"/>
    <cellStyle name="Normal 9 2 3 5 4 2 2 3" xfId="44585" xr:uid="{00000000-0005-0000-0000-000027D80000}"/>
    <cellStyle name="Normal 9 2 3 5 4 2 3" xfId="24233" xr:uid="{00000000-0005-0000-0000-000028D80000}"/>
    <cellStyle name="Normal 9 2 3 5 4 2 3 2" xfId="51366" xr:uid="{00000000-0005-0000-0000-000029D80000}"/>
    <cellStyle name="Normal 9 2 3 5 4 2 4" xfId="37804" xr:uid="{00000000-0005-0000-0000-00002AD80000}"/>
    <cellStyle name="Normal 9 2 3 5 4 3" xfId="14057" xr:uid="{00000000-0005-0000-0000-00002BD80000}"/>
    <cellStyle name="Normal 9 2 3 5 4 3 2" xfId="27625" xr:uid="{00000000-0005-0000-0000-00002CD80000}"/>
    <cellStyle name="Normal 9 2 3 5 4 3 2 2" xfId="54758" xr:uid="{00000000-0005-0000-0000-00002DD80000}"/>
    <cellStyle name="Normal 9 2 3 5 4 3 3" xfId="41196" xr:uid="{00000000-0005-0000-0000-00002ED80000}"/>
    <cellStyle name="Normal 9 2 3 5 4 4" xfId="20844" xr:uid="{00000000-0005-0000-0000-00002FD80000}"/>
    <cellStyle name="Normal 9 2 3 5 4 4 2" xfId="47977" xr:uid="{00000000-0005-0000-0000-000030D80000}"/>
    <cellStyle name="Normal 9 2 3 5 4 5" xfId="34415" xr:uid="{00000000-0005-0000-0000-000031D80000}"/>
    <cellStyle name="Normal 9 2 3 5 5" xfId="10651" xr:uid="{00000000-0005-0000-0000-000032D80000}"/>
    <cellStyle name="Normal 9 2 3 5 5 2" xfId="17441" xr:uid="{00000000-0005-0000-0000-000033D80000}"/>
    <cellStyle name="Normal 9 2 3 5 5 2 2" xfId="31009" xr:uid="{00000000-0005-0000-0000-000034D80000}"/>
    <cellStyle name="Normal 9 2 3 5 5 2 2 2" xfId="58142" xr:uid="{00000000-0005-0000-0000-000035D80000}"/>
    <cellStyle name="Normal 9 2 3 5 5 2 3" xfId="44580" xr:uid="{00000000-0005-0000-0000-000036D80000}"/>
    <cellStyle name="Normal 9 2 3 5 5 3" xfId="24228" xr:uid="{00000000-0005-0000-0000-000037D80000}"/>
    <cellStyle name="Normal 9 2 3 5 5 3 2" xfId="51361" xr:uid="{00000000-0005-0000-0000-000038D80000}"/>
    <cellStyle name="Normal 9 2 3 5 5 4" xfId="37799" xr:uid="{00000000-0005-0000-0000-000039D80000}"/>
    <cellStyle name="Normal 9 2 3 5 6" xfId="14052" xr:uid="{00000000-0005-0000-0000-00003AD80000}"/>
    <cellStyle name="Normal 9 2 3 5 6 2" xfId="27620" xr:uid="{00000000-0005-0000-0000-00003BD80000}"/>
    <cellStyle name="Normal 9 2 3 5 6 2 2" xfId="54753" xr:uid="{00000000-0005-0000-0000-00003CD80000}"/>
    <cellStyle name="Normal 9 2 3 5 6 3" xfId="41191" xr:uid="{00000000-0005-0000-0000-00003DD80000}"/>
    <cellStyle name="Normal 9 2 3 5 7" xfId="20839" xr:uid="{00000000-0005-0000-0000-00003ED80000}"/>
    <cellStyle name="Normal 9 2 3 5 7 2" xfId="47972" xr:uid="{00000000-0005-0000-0000-00003FD80000}"/>
    <cellStyle name="Normal 9 2 3 5 8" xfId="34410" xr:uid="{00000000-0005-0000-0000-000040D80000}"/>
    <cellStyle name="Normal 9 2 3 6" xfId="7132" xr:uid="{00000000-0005-0000-0000-000041D80000}"/>
    <cellStyle name="Normal 9 2 3 6 2" xfId="7133" xr:uid="{00000000-0005-0000-0000-000042D80000}"/>
    <cellStyle name="Normal 9 2 3 6 2 2" xfId="10658" xr:uid="{00000000-0005-0000-0000-000043D80000}"/>
    <cellStyle name="Normal 9 2 3 6 2 2 2" xfId="17448" xr:uid="{00000000-0005-0000-0000-000044D80000}"/>
    <cellStyle name="Normal 9 2 3 6 2 2 2 2" xfId="31016" xr:uid="{00000000-0005-0000-0000-000045D80000}"/>
    <cellStyle name="Normal 9 2 3 6 2 2 2 2 2" xfId="58149" xr:uid="{00000000-0005-0000-0000-000046D80000}"/>
    <cellStyle name="Normal 9 2 3 6 2 2 2 3" xfId="44587" xr:uid="{00000000-0005-0000-0000-000047D80000}"/>
    <cellStyle name="Normal 9 2 3 6 2 2 3" xfId="24235" xr:uid="{00000000-0005-0000-0000-000048D80000}"/>
    <cellStyle name="Normal 9 2 3 6 2 2 3 2" xfId="51368" xr:uid="{00000000-0005-0000-0000-000049D80000}"/>
    <cellStyle name="Normal 9 2 3 6 2 2 4" xfId="37806" xr:uid="{00000000-0005-0000-0000-00004AD80000}"/>
    <cellStyle name="Normal 9 2 3 6 2 3" xfId="14059" xr:uid="{00000000-0005-0000-0000-00004BD80000}"/>
    <cellStyle name="Normal 9 2 3 6 2 3 2" xfId="27627" xr:uid="{00000000-0005-0000-0000-00004CD80000}"/>
    <cellStyle name="Normal 9 2 3 6 2 3 2 2" xfId="54760" xr:uid="{00000000-0005-0000-0000-00004DD80000}"/>
    <cellStyle name="Normal 9 2 3 6 2 3 3" xfId="41198" xr:uid="{00000000-0005-0000-0000-00004ED80000}"/>
    <cellStyle name="Normal 9 2 3 6 2 4" xfId="20846" xr:uid="{00000000-0005-0000-0000-00004FD80000}"/>
    <cellStyle name="Normal 9 2 3 6 2 4 2" xfId="47979" xr:uid="{00000000-0005-0000-0000-000050D80000}"/>
    <cellStyle name="Normal 9 2 3 6 2 5" xfId="34417" xr:uid="{00000000-0005-0000-0000-000051D80000}"/>
    <cellStyle name="Normal 9 2 3 6 3" xfId="7134" xr:uid="{00000000-0005-0000-0000-000052D80000}"/>
    <cellStyle name="Normal 9 2 3 6 3 2" xfId="10659" xr:uid="{00000000-0005-0000-0000-000053D80000}"/>
    <cellStyle name="Normal 9 2 3 6 3 2 2" xfId="17449" xr:uid="{00000000-0005-0000-0000-000054D80000}"/>
    <cellStyle name="Normal 9 2 3 6 3 2 2 2" xfId="31017" xr:uid="{00000000-0005-0000-0000-000055D80000}"/>
    <cellStyle name="Normal 9 2 3 6 3 2 2 2 2" xfId="58150" xr:uid="{00000000-0005-0000-0000-000056D80000}"/>
    <cellStyle name="Normal 9 2 3 6 3 2 2 3" xfId="44588" xr:uid="{00000000-0005-0000-0000-000057D80000}"/>
    <cellStyle name="Normal 9 2 3 6 3 2 3" xfId="24236" xr:uid="{00000000-0005-0000-0000-000058D80000}"/>
    <cellStyle name="Normal 9 2 3 6 3 2 3 2" xfId="51369" xr:uid="{00000000-0005-0000-0000-000059D80000}"/>
    <cellStyle name="Normal 9 2 3 6 3 2 4" xfId="37807" xr:uid="{00000000-0005-0000-0000-00005AD80000}"/>
    <cellStyle name="Normal 9 2 3 6 3 3" xfId="14060" xr:uid="{00000000-0005-0000-0000-00005BD80000}"/>
    <cellStyle name="Normal 9 2 3 6 3 3 2" xfId="27628" xr:uid="{00000000-0005-0000-0000-00005CD80000}"/>
    <cellStyle name="Normal 9 2 3 6 3 3 2 2" xfId="54761" xr:uid="{00000000-0005-0000-0000-00005DD80000}"/>
    <cellStyle name="Normal 9 2 3 6 3 3 3" xfId="41199" xr:uid="{00000000-0005-0000-0000-00005ED80000}"/>
    <cellStyle name="Normal 9 2 3 6 3 4" xfId="20847" xr:uid="{00000000-0005-0000-0000-00005FD80000}"/>
    <cellStyle name="Normal 9 2 3 6 3 4 2" xfId="47980" xr:uid="{00000000-0005-0000-0000-000060D80000}"/>
    <cellStyle name="Normal 9 2 3 6 3 5" xfId="34418" xr:uid="{00000000-0005-0000-0000-000061D80000}"/>
    <cellStyle name="Normal 9 2 3 6 4" xfId="10657" xr:uid="{00000000-0005-0000-0000-000062D80000}"/>
    <cellStyle name="Normal 9 2 3 6 4 2" xfId="17447" xr:uid="{00000000-0005-0000-0000-000063D80000}"/>
    <cellStyle name="Normal 9 2 3 6 4 2 2" xfId="31015" xr:uid="{00000000-0005-0000-0000-000064D80000}"/>
    <cellStyle name="Normal 9 2 3 6 4 2 2 2" xfId="58148" xr:uid="{00000000-0005-0000-0000-000065D80000}"/>
    <cellStyle name="Normal 9 2 3 6 4 2 3" xfId="44586" xr:uid="{00000000-0005-0000-0000-000066D80000}"/>
    <cellStyle name="Normal 9 2 3 6 4 3" xfId="24234" xr:uid="{00000000-0005-0000-0000-000067D80000}"/>
    <cellStyle name="Normal 9 2 3 6 4 3 2" xfId="51367" xr:uid="{00000000-0005-0000-0000-000068D80000}"/>
    <cellStyle name="Normal 9 2 3 6 4 4" xfId="37805" xr:uid="{00000000-0005-0000-0000-000069D80000}"/>
    <cellStyle name="Normal 9 2 3 6 5" xfId="14058" xr:uid="{00000000-0005-0000-0000-00006AD80000}"/>
    <cellStyle name="Normal 9 2 3 6 5 2" xfId="27626" xr:uid="{00000000-0005-0000-0000-00006BD80000}"/>
    <cellStyle name="Normal 9 2 3 6 5 2 2" xfId="54759" xr:uid="{00000000-0005-0000-0000-00006CD80000}"/>
    <cellStyle name="Normal 9 2 3 6 5 3" xfId="41197" xr:uid="{00000000-0005-0000-0000-00006DD80000}"/>
    <cellStyle name="Normal 9 2 3 6 6" xfId="20845" xr:uid="{00000000-0005-0000-0000-00006ED80000}"/>
    <cellStyle name="Normal 9 2 3 6 6 2" xfId="47978" xr:uid="{00000000-0005-0000-0000-00006FD80000}"/>
    <cellStyle name="Normal 9 2 3 6 7" xfId="34416" xr:uid="{00000000-0005-0000-0000-000070D80000}"/>
    <cellStyle name="Normal 9 2 3 7" xfId="7135" xr:uid="{00000000-0005-0000-0000-000071D80000}"/>
    <cellStyle name="Normal 9 2 3 7 2" xfId="7136" xr:uid="{00000000-0005-0000-0000-000072D80000}"/>
    <cellStyle name="Normal 9 2 3 7 2 2" xfId="10661" xr:uid="{00000000-0005-0000-0000-000073D80000}"/>
    <cellStyle name="Normal 9 2 3 7 2 2 2" xfId="17451" xr:uid="{00000000-0005-0000-0000-000074D80000}"/>
    <cellStyle name="Normal 9 2 3 7 2 2 2 2" xfId="31019" xr:uid="{00000000-0005-0000-0000-000075D80000}"/>
    <cellStyle name="Normal 9 2 3 7 2 2 2 2 2" xfId="58152" xr:uid="{00000000-0005-0000-0000-000076D80000}"/>
    <cellStyle name="Normal 9 2 3 7 2 2 2 3" xfId="44590" xr:uid="{00000000-0005-0000-0000-000077D80000}"/>
    <cellStyle name="Normal 9 2 3 7 2 2 3" xfId="24238" xr:uid="{00000000-0005-0000-0000-000078D80000}"/>
    <cellStyle name="Normal 9 2 3 7 2 2 3 2" xfId="51371" xr:uid="{00000000-0005-0000-0000-000079D80000}"/>
    <cellStyle name="Normal 9 2 3 7 2 2 4" xfId="37809" xr:uid="{00000000-0005-0000-0000-00007AD80000}"/>
    <cellStyle name="Normal 9 2 3 7 2 3" xfId="14062" xr:uid="{00000000-0005-0000-0000-00007BD80000}"/>
    <cellStyle name="Normal 9 2 3 7 2 3 2" xfId="27630" xr:uid="{00000000-0005-0000-0000-00007CD80000}"/>
    <cellStyle name="Normal 9 2 3 7 2 3 2 2" xfId="54763" xr:uid="{00000000-0005-0000-0000-00007DD80000}"/>
    <cellStyle name="Normal 9 2 3 7 2 3 3" xfId="41201" xr:uid="{00000000-0005-0000-0000-00007ED80000}"/>
    <cellStyle name="Normal 9 2 3 7 2 4" xfId="20849" xr:uid="{00000000-0005-0000-0000-00007FD80000}"/>
    <cellStyle name="Normal 9 2 3 7 2 4 2" xfId="47982" xr:uid="{00000000-0005-0000-0000-000080D80000}"/>
    <cellStyle name="Normal 9 2 3 7 2 5" xfId="34420" xr:uid="{00000000-0005-0000-0000-000081D80000}"/>
    <cellStyle name="Normal 9 2 3 7 3" xfId="7137" xr:uid="{00000000-0005-0000-0000-000082D80000}"/>
    <cellStyle name="Normal 9 2 3 7 3 2" xfId="10662" xr:uid="{00000000-0005-0000-0000-000083D80000}"/>
    <cellStyle name="Normal 9 2 3 7 3 2 2" xfId="17452" xr:uid="{00000000-0005-0000-0000-000084D80000}"/>
    <cellStyle name="Normal 9 2 3 7 3 2 2 2" xfId="31020" xr:uid="{00000000-0005-0000-0000-000085D80000}"/>
    <cellStyle name="Normal 9 2 3 7 3 2 2 2 2" xfId="58153" xr:uid="{00000000-0005-0000-0000-000086D80000}"/>
    <cellStyle name="Normal 9 2 3 7 3 2 2 3" xfId="44591" xr:uid="{00000000-0005-0000-0000-000087D80000}"/>
    <cellStyle name="Normal 9 2 3 7 3 2 3" xfId="24239" xr:uid="{00000000-0005-0000-0000-000088D80000}"/>
    <cellStyle name="Normal 9 2 3 7 3 2 3 2" xfId="51372" xr:uid="{00000000-0005-0000-0000-000089D80000}"/>
    <cellStyle name="Normal 9 2 3 7 3 2 4" xfId="37810" xr:uid="{00000000-0005-0000-0000-00008AD80000}"/>
    <cellStyle name="Normal 9 2 3 7 3 3" xfId="14063" xr:uid="{00000000-0005-0000-0000-00008BD80000}"/>
    <cellStyle name="Normal 9 2 3 7 3 3 2" xfId="27631" xr:uid="{00000000-0005-0000-0000-00008CD80000}"/>
    <cellStyle name="Normal 9 2 3 7 3 3 2 2" xfId="54764" xr:uid="{00000000-0005-0000-0000-00008DD80000}"/>
    <cellStyle name="Normal 9 2 3 7 3 3 3" xfId="41202" xr:uid="{00000000-0005-0000-0000-00008ED80000}"/>
    <cellStyle name="Normal 9 2 3 7 3 4" xfId="20850" xr:uid="{00000000-0005-0000-0000-00008FD80000}"/>
    <cellStyle name="Normal 9 2 3 7 3 4 2" xfId="47983" xr:uid="{00000000-0005-0000-0000-000090D80000}"/>
    <cellStyle name="Normal 9 2 3 7 3 5" xfId="34421" xr:uid="{00000000-0005-0000-0000-000091D80000}"/>
    <cellStyle name="Normal 9 2 3 7 4" xfId="10660" xr:uid="{00000000-0005-0000-0000-000092D80000}"/>
    <cellStyle name="Normal 9 2 3 7 4 2" xfId="17450" xr:uid="{00000000-0005-0000-0000-000093D80000}"/>
    <cellStyle name="Normal 9 2 3 7 4 2 2" xfId="31018" xr:uid="{00000000-0005-0000-0000-000094D80000}"/>
    <cellStyle name="Normal 9 2 3 7 4 2 2 2" xfId="58151" xr:uid="{00000000-0005-0000-0000-000095D80000}"/>
    <cellStyle name="Normal 9 2 3 7 4 2 3" xfId="44589" xr:uid="{00000000-0005-0000-0000-000096D80000}"/>
    <cellStyle name="Normal 9 2 3 7 4 3" xfId="24237" xr:uid="{00000000-0005-0000-0000-000097D80000}"/>
    <cellStyle name="Normal 9 2 3 7 4 3 2" xfId="51370" xr:uid="{00000000-0005-0000-0000-000098D80000}"/>
    <cellStyle name="Normal 9 2 3 7 4 4" xfId="37808" xr:uid="{00000000-0005-0000-0000-000099D80000}"/>
    <cellStyle name="Normal 9 2 3 7 5" xfId="14061" xr:uid="{00000000-0005-0000-0000-00009AD80000}"/>
    <cellStyle name="Normal 9 2 3 7 5 2" xfId="27629" xr:uid="{00000000-0005-0000-0000-00009BD80000}"/>
    <cellStyle name="Normal 9 2 3 7 5 2 2" xfId="54762" xr:uid="{00000000-0005-0000-0000-00009CD80000}"/>
    <cellStyle name="Normal 9 2 3 7 5 3" xfId="41200" xr:uid="{00000000-0005-0000-0000-00009DD80000}"/>
    <cellStyle name="Normal 9 2 3 7 6" xfId="20848" xr:uid="{00000000-0005-0000-0000-00009ED80000}"/>
    <cellStyle name="Normal 9 2 3 7 6 2" xfId="47981" xr:uid="{00000000-0005-0000-0000-00009FD80000}"/>
    <cellStyle name="Normal 9 2 3 7 7" xfId="34419" xr:uid="{00000000-0005-0000-0000-0000A0D80000}"/>
    <cellStyle name="Normal 9 2 3 8" xfId="7138" xr:uid="{00000000-0005-0000-0000-0000A1D80000}"/>
    <cellStyle name="Normal 9 2 3 8 2" xfId="10663" xr:uid="{00000000-0005-0000-0000-0000A2D80000}"/>
    <cellStyle name="Normal 9 2 3 8 2 2" xfId="17453" xr:uid="{00000000-0005-0000-0000-0000A3D80000}"/>
    <cellStyle name="Normal 9 2 3 8 2 2 2" xfId="31021" xr:uid="{00000000-0005-0000-0000-0000A4D80000}"/>
    <cellStyle name="Normal 9 2 3 8 2 2 2 2" xfId="58154" xr:uid="{00000000-0005-0000-0000-0000A5D80000}"/>
    <cellStyle name="Normal 9 2 3 8 2 2 3" xfId="44592" xr:uid="{00000000-0005-0000-0000-0000A6D80000}"/>
    <cellStyle name="Normal 9 2 3 8 2 3" xfId="24240" xr:uid="{00000000-0005-0000-0000-0000A7D80000}"/>
    <cellStyle name="Normal 9 2 3 8 2 3 2" xfId="51373" xr:uid="{00000000-0005-0000-0000-0000A8D80000}"/>
    <cellStyle name="Normal 9 2 3 8 2 4" xfId="37811" xr:uid="{00000000-0005-0000-0000-0000A9D80000}"/>
    <cellStyle name="Normal 9 2 3 8 3" xfId="14064" xr:uid="{00000000-0005-0000-0000-0000AAD80000}"/>
    <cellStyle name="Normal 9 2 3 8 3 2" xfId="27632" xr:uid="{00000000-0005-0000-0000-0000ABD80000}"/>
    <cellStyle name="Normal 9 2 3 8 3 2 2" xfId="54765" xr:uid="{00000000-0005-0000-0000-0000ACD80000}"/>
    <cellStyle name="Normal 9 2 3 8 3 3" xfId="41203" xr:uid="{00000000-0005-0000-0000-0000ADD80000}"/>
    <cellStyle name="Normal 9 2 3 8 4" xfId="20851" xr:uid="{00000000-0005-0000-0000-0000AED80000}"/>
    <cellStyle name="Normal 9 2 3 8 4 2" xfId="47984" xr:uid="{00000000-0005-0000-0000-0000AFD80000}"/>
    <cellStyle name="Normal 9 2 3 8 5" xfId="34422" xr:uid="{00000000-0005-0000-0000-0000B0D80000}"/>
    <cellStyle name="Normal 9 2 3 9" xfId="7139" xr:uid="{00000000-0005-0000-0000-0000B1D80000}"/>
    <cellStyle name="Normal 9 2 3 9 2" xfId="10664" xr:uid="{00000000-0005-0000-0000-0000B2D80000}"/>
    <cellStyle name="Normal 9 2 3 9 2 2" xfId="17454" xr:uid="{00000000-0005-0000-0000-0000B3D80000}"/>
    <cellStyle name="Normal 9 2 3 9 2 2 2" xfId="31022" xr:uid="{00000000-0005-0000-0000-0000B4D80000}"/>
    <cellStyle name="Normal 9 2 3 9 2 2 2 2" xfId="58155" xr:uid="{00000000-0005-0000-0000-0000B5D80000}"/>
    <cellStyle name="Normal 9 2 3 9 2 2 3" xfId="44593" xr:uid="{00000000-0005-0000-0000-0000B6D80000}"/>
    <cellStyle name="Normal 9 2 3 9 2 3" xfId="24241" xr:uid="{00000000-0005-0000-0000-0000B7D80000}"/>
    <cellStyle name="Normal 9 2 3 9 2 3 2" xfId="51374" xr:uid="{00000000-0005-0000-0000-0000B8D80000}"/>
    <cellStyle name="Normal 9 2 3 9 2 4" xfId="37812" xr:uid="{00000000-0005-0000-0000-0000B9D80000}"/>
    <cellStyle name="Normal 9 2 3 9 3" xfId="14065" xr:uid="{00000000-0005-0000-0000-0000BAD80000}"/>
    <cellStyle name="Normal 9 2 3 9 3 2" xfId="27633" xr:uid="{00000000-0005-0000-0000-0000BBD80000}"/>
    <cellStyle name="Normal 9 2 3 9 3 2 2" xfId="54766" xr:uid="{00000000-0005-0000-0000-0000BCD80000}"/>
    <cellStyle name="Normal 9 2 3 9 3 3" xfId="41204" xr:uid="{00000000-0005-0000-0000-0000BDD80000}"/>
    <cellStyle name="Normal 9 2 3 9 4" xfId="20852" xr:uid="{00000000-0005-0000-0000-0000BED80000}"/>
    <cellStyle name="Normal 9 2 3 9 4 2" xfId="47985" xr:uid="{00000000-0005-0000-0000-0000BFD80000}"/>
    <cellStyle name="Normal 9 2 3 9 5" xfId="34423" xr:uid="{00000000-0005-0000-0000-0000C0D80000}"/>
    <cellStyle name="Normal 9 2 4" xfId="7140" xr:uid="{00000000-0005-0000-0000-0000C1D80000}"/>
    <cellStyle name="Normal 9 2 4 10" xfId="34424" xr:uid="{00000000-0005-0000-0000-0000C2D80000}"/>
    <cellStyle name="Normal 9 2 4 2" xfId="7141" xr:uid="{00000000-0005-0000-0000-0000C3D80000}"/>
    <cellStyle name="Normal 9 2 4 2 2" xfId="7142" xr:uid="{00000000-0005-0000-0000-0000C4D80000}"/>
    <cellStyle name="Normal 9 2 4 2 2 2" xfId="7143" xr:uid="{00000000-0005-0000-0000-0000C5D80000}"/>
    <cellStyle name="Normal 9 2 4 2 2 2 2" xfId="10668" xr:uid="{00000000-0005-0000-0000-0000C6D80000}"/>
    <cellStyle name="Normal 9 2 4 2 2 2 2 2" xfId="17458" xr:uid="{00000000-0005-0000-0000-0000C7D80000}"/>
    <cellStyle name="Normal 9 2 4 2 2 2 2 2 2" xfId="31026" xr:uid="{00000000-0005-0000-0000-0000C8D80000}"/>
    <cellStyle name="Normal 9 2 4 2 2 2 2 2 2 2" xfId="58159" xr:uid="{00000000-0005-0000-0000-0000C9D80000}"/>
    <cellStyle name="Normal 9 2 4 2 2 2 2 2 3" xfId="44597" xr:uid="{00000000-0005-0000-0000-0000CAD80000}"/>
    <cellStyle name="Normal 9 2 4 2 2 2 2 3" xfId="24245" xr:uid="{00000000-0005-0000-0000-0000CBD80000}"/>
    <cellStyle name="Normal 9 2 4 2 2 2 2 3 2" xfId="51378" xr:uid="{00000000-0005-0000-0000-0000CCD80000}"/>
    <cellStyle name="Normal 9 2 4 2 2 2 2 4" xfId="37816" xr:uid="{00000000-0005-0000-0000-0000CDD80000}"/>
    <cellStyle name="Normal 9 2 4 2 2 2 3" xfId="14069" xr:uid="{00000000-0005-0000-0000-0000CED80000}"/>
    <cellStyle name="Normal 9 2 4 2 2 2 3 2" xfId="27637" xr:uid="{00000000-0005-0000-0000-0000CFD80000}"/>
    <cellStyle name="Normal 9 2 4 2 2 2 3 2 2" xfId="54770" xr:uid="{00000000-0005-0000-0000-0000D0D80000}"/>
    <cellStyle name="Normal 9 2 4 2 2 2 3 3" xfId="41208" xr:uid="{00000000-0005-0000-0000-0000D1D80000}"/>
    <cellStyle name="Normal 9 2 4 2 2 2 4" xfId="20856" xr:uid="{00000000-0005-0000-0000-0000D2D80000}"/>
    <cellStyle name="Normal 9 2 4 2 2 2 4 2" xfId="47989" xr:uid="{00000000-0005-0000-0000-0000D3D80000}"/>
    <cellStyle name="Normal 9 2 4 2 2 2 5" xfId="34427" xr:uid="{00000000-0005-0000-0000-0000D4D80000}"/>
    <cellStyle name="Normal 9 2 4 2 2 3" xfId="7144" xr:uid="{00000000-0005-0000-0000-0000D5D80000}"/>
    <cellStyle name="Normal 9 2 4 2 2 3 2" xfId="10669" xr:uid="{00000000-0005-0000-0000-0000D6D80000}"/>
    <cellStyle name="Normal 9 2 4 2 2 3 2 2" xfId="17459" xr:uid="{00000000-0005-0000-0000-0000D7D80000}"/>
    <cellStyle name="Normal 9 2 4 2 2 3 2 2 2" xfId="31027" xr:uid="{00000000-0005-0000-0000-0000D8D80000}"/>
    <cellStyle name="Normal 9 2 4 2 2 3 2 2 2 2" xfId="58160" xr:uid="{00000000-0005-0000-0000-0000D9D80000}"/>
    <cellStyle name="Normal 9 2 4 2 2 3 2 2 3" xfId="44598" xr:uid="{00000000-0005-0000-0000-0000DAD80000}"/>
    <cellStyle name="Normal 9 2 4 2 2 3 2 3" xfId="24246" xr:uid="{00000000-0005-0000-0000-0000DBD80000}"/>
    <cellStyle name="Normal 9 2 4 2 2 3 2 3 2" xfId="51379" xr:uid="{00000000-0005-0000-0000-0000DCD80000}"/>
    <cellStyle name="Normal 9 2 4 2 2 3 2 4" xfId="37817" xr:uid="{00000000-0005-0000-0000-0000DDD80000}"/>
    <cellStyle name="Normal 9 2 4 2 2 3 3" xfId="14070" xr:uid="{00000000-0005-0000-0000-0000DED80000}"/>
    <cellStyle name="Normal 9 2 4 2 2 3 3 2" xfId="27638" xr:uid="{00000000-0005-0000-0000-0000DFD80000}"/>
    <cellStyle name="Normal 9 2 4 2 2 3 3 2 2" xfId="54771" xr:uid="{00000000-0005-0000-0000-0000E0D80000}"/>
    <cellStyle name="Normal 9 2 4 2 2 3 3 3" xfId="41209" xr:uid="{00000000-0005-0000-0000-0000E1D80000}"/>
    <cellStyle name="Normal 9 2 4 2 2 3 4" xfId="20857" xr:uid="{00000000-0005-0000-0000-0000E2D80000}"/>
    <cellStyle name="Normal 9 2 4 2 2 3 4 2" xfId="47990" xr:uid="{00000000-0005-0000-0000-0000E3D80000}"/>
    <cellStyle name="Normal 9 2 4 2 2 3 5" xfId="34428" xr:uid="{00000000-0005-0000-0000-0000E4D80000}"/>
    <cellStyle name="Normal 9 2 4 2 2 4" xfId="10667" xr:uid="{00000000-0005-0000-0000-0000E5D80000}"/>
    <cellStyle name="Normal 9 2 4 2 2 4 2" xfId="17457" xr:uid="{00000000-0005-0000-0000-0000E6D80000}"/>
    <cellStyle name="Normal 9 2 4 2 2 4 2 2" xfId="31025" xr:uid="{00000000-0005-0000-0000-0000E7D80000}"/>
    <cellStyle name="Normal 9 2 4 2 2 4 2 2 2" xfId="58158" xr:uid="{00000000-0005-0000-0000-0000E8D80000}"/>
    <cellStyle name="Normal 9 2 4 2 2 4 2 3" xfId="44596" xr:uid="{00000000-0005-0000-0000-0000E9D80000}"/>
    <cellStyle name="Normal 9 2 4 2 2 4 3" xfId="24244" xr:uid="{00000000-0005-0000-0000-0000EAD80000}"/>
    <cellStyle name="Normal 9 2 4 2 2 4 3 2" xfId="51377" xr:uid="{00000000-0005-0000-0000-0000EBD80000}"/>
    <cellStyle name="Normal 9 2 4 2 2 4 4" xfId="37815" xr:uid="{00000000-0005-0000-0000-0000ECD80000}"/>
    <cellStyle name="Normal 9 2 4 2 2 5" xfId="14068" xr:uid="{00000000-0005-0000-0000-0000EDD80000}"/>
    <cellStyle name="Normal 9 2 4 2 2 5 2" xfId="27636" xr:uid="{00000000-0005-0000-0000-0000EED80000}"/>
    <cellStyle name="Normal 9 2 4 2 2 5 2 2" xfId="54769" xr:uid="{00000000-0005-0000-0000-0000EFD80000}"/>
    <cellStyle name="Normal 9 2 4 2 2 5 3" xfId="41207" xr:uid="{00000000-0005-0000-0000-0000F0D80000}"/>
    <cellStyle name="Normal 9 2 4 2 2 6" xfId="20855" xr:uid="{00000000-0005-0000-0000-0000F1D80000}"/>
    <cellStyle name="Normal 9 2 4 2 2 6 2" xfId="47988" xr:uid="{00000000-0005-0000-0000-0000F2D80000}"/>
    <cellStyle name="Normal 9 2 4 2 2 7" xfId="34426" xr:uid="{00000000-0005-0000-0000-0000F3D80000}"/>
    <cellStyle name="Normal 9 2 4 2 3" xfId="7145" xr:uid="{00000000-0005-0000-0000-0000F4D80000}"/>
    <cellStyle name="Normal 9 2 4 2 3 2" xfId="7146" xr:uid="{00000000-0005-0000-0000-0000F5D80000}"/>
    <cellStyle name="Normal 9 2 4 2 3 2 2" xfId="10671" xr:uid="{00000000-0005-0000-0000-0000F6D80000}"/>
    <cellStyle name="Normal 9 2 4 2 3 2 2 2" xfId="17461" xr:uid="{00000000-0005-0000-0000-0000F7D80000}"/>
    <cellStyle name="Normal 9 2 4 2 3 2 2 2 2" xfId="31029" xr:uid="{00000000-0005-0000-0000-0000F8D80000}"/>
    <cellStyle name="Normal 9 2 4 2 3 2 2 2 2 2" xfId="58162" xr:uid="{00000000-0005-0000-0000-0000F9D80000}"/>
    <cellStyle name="Normal 9 2 4 2 3 2 2 2 3" xfId="44600" xr:uid="{00000000-0005-0000-0000-0000FAD80000}"/>
    <cellStyle name="Normal 9 2 4 2 3 2 2 3" xfId="24248" xr:uid="{00000000-0005-0000-0000-0000FBD80000}"/>
    <cellStyle name="Normal 9 2 4 2 3 2 2 3 2" xfId="51381" xr:uid="{00000000-0005-0000-0000-0000FCD80000}"/>
    <cellStyle name="Normal 9 2 4 2 3 2 2 4" xfId="37819" xr:uid="{00000000-0005-0000-0000-0000FDD80000}"/>
    <cellStyle name="Normal 9 2 4 2 3 2 3" xfId="14072" xr:uid="{00000000-0005-0000-0000-0000FED80000}"/>
    <cellStyle name="Normal 9 2 4 2 3 2 3 2" xfId="27640" xr:uid="{00000000-0005-0000-0000-0000FFD80000}"/>
    <cellStyle name="Normal 9 2 4 2 3 2 3 2 2" xfId="54773" xr:uid="{00000000-0005-0000-0000-000000D90000}"/>
    <cellStyle name="Normal 9 2 4 2 3 2 3 3" xfId="41211" xr:uid="{00000000-0005-0000-0000-000001D90000}"/>
    <cellStyle name="Normal 9 2 4 2 3 2 4" xfId="20859" xr:uid="{00000000-0005-0000-0000-000002D90000}"/>
    <cellStyle name="Normal 9 2 4 2 3 2 4 2" xfId="47992" xr:uid="{00000000-0005-0000-0000-000003D90000}"/>
    <cellStyle name="Normal 9 2 4 2 3 2 5" xfId="34430" xr:uid="{00000000-0005-0000-0000-000004D90000}"/>
    <cellStyle name="Normal 9 2 4 2 3 3" xfId="10670" xr:uid="{00000000-0005-0000-0000-000005D90000}"/>
    <cellStyle name="Normal 9 2 4 2 3 3 2" xfId="17460" xr:uid="{00000000-0005-0000-0000-000006D90000}"/>
    <cellStyle name="Normal 9 2 4 2 3 3 2 2" xfId="31028" xr:uid="{00000000-0005-0000-0000-000007D90000}"/>
    <cellStyle name="Normal 9 2 4 2 3 3 2 2 2" xfId="58161" xr:uid="{00000000-0005-0000-0000-000008D90000}"/>
    <cellStyle name="Normal 9 2 4 2 3 3 2 3" xfId="44599" xr:uid="{00000000-0005-0000-0000-000009D90000}"/>
    <cellStyle name="Normal 9 2 4 2 3 3 3" xfId="24247" xr:uid="{00000000-0005-0000-0000-00000AD90000}"/>
    <cellStyle name="Normal 9 2 4 2 3 3 3 2" xfId="51380" xr:uid="{00000000-0005-0000-0000-00000BD90000}"/>
    <cellStyle name="Normal 9 2 4 2 3 3 4" xfId="37818" xr:uid="{00000000-0005-0000-0000-00000CD90000}"/>
    <cellStyle name="Normal 9 2 4 2 3 4" xfId="14071" xr:uid="{00000000-0005-0000-0000-00000DD90000}"/>
    <cellStyle name="Normal 9 2 4 2 3 4 2" xfId="27639" xr:uid="{00000000-0005-0000-0000-00000ED90000}"/>
    <cellStyle name="Normal 9 2 4 2 3 4 2 2" xfId="54772" xr:uid="{00000000-0005-0000-0000-00000FD90000}"/>
    <cellStyle name="Normal 9 2 4 2 3 4 3" xfId="41210" xr:uid="{00000000-0005-0000-0000-000010D90000}"/>
    <cellStyle name="Normal 9 2 4 2 3 5" xfId="20858" xr:uid="{00000000-0005-0000-0000-000011D90000}"/>
    <cellStyle name="Normal 9 2 4 2 3 5 2" xfId="47991" xr:uid="{00000000-0005-0000-0000-000012D90000}"/>
    <cellStyle name="Normal 9 2 4 2 3 6" xfId="34429" xr:uid="{00000000-0005-0000-0000-000013D90000}"/>
    <cellStyle name="Normal 9 2 4 2 4" xfId="7147" xr:uid="{00000000-0005-0000-0000-000014D90000}"/>
    <cellStyle name="Normal 9 2 4 2 4 2" xfId="10672" xr:uid="{00000000-0005-0000-0000-000015D90000}"/>
    <cellStyle name="Normal 9 2 4 2 4 2 2" xfId="17462" xr:uid="{00000000-0005-0000-0000-000016D90000}"/>
    <cellStyle name="Normal 9 2 4 2 4 2 2 2" xfId="31030" xr:uid="{00000000-0005-0000-0000-000017D90000}"/>
    <cellStyle name="Normal 9 2 4 2 4 2 2 2 2" xfId="58163" xr:uid="{00000000-0005-0000-0000-000018D90000}"/>
    <cellStyle name="Normal 9 2 4 2 4 2 2 3" xfId="44601" xr:uid="{00000000-0005-0000-0000-000019D90000}"/>
    <cellStyle name="Normal 9 2 4 2 4 2 3" xfId="24249" xr:uid="{00000000-0005-0000-0000-00001AD90000}"/>
    <cellStyle name="Normal 9 2 4 2 4 2 3 2" xfId="51382" xr:uid="{00000000-0005-0000-0000-00001BD90000}"/>
    <cellStyle name="Normal 9 2 4 2 4 2 4" xfId="37820" xr:uid="{00000000-0005-0000-0000-00001CD90000}"/>
    <cellStyle name="Normal 9 2 4 2 4 3" xfId="14073" xr:uid="{00000000-0005-0000-0000-00001DD90000}"/>
    <cellStyle name="Normal 9 2 4 2 4 3 2" xfId="27641" xr:uid="{00000000-0005-0000-0000-00001ED90000}"/>
    <cellStyle name="Normal 9 2 4 2 4 3 2 2" xfId="54774" xr:uid="{00000000-0005-0000-0000-00001FD90000}"/>
    <cellStyle name="Normal 9 2 4 2 4 3 3" xfId="41212" xr:uid="{00000000-0005-0000-0000-000020D90000}"/>
    <cellStyle name="Normal 9 2 4 2 4 4" xfId="20860" xr:uid="{00000000-0005-0000-0000-000021D90000}"/>
    <cellStyle name="Normal 9 2 4 2 4 4 2" xfId="47993" xr:uid="{00000000-0005-0000-0000-000022D90000}"/>
    <cellStyle name="Normal 9 2 4 2 4 5" xfId="34431" xr:uid="{00000000-0005-0000-0000-000023D90000}"/>
    <cellStyle name="Normal 9 2 4 2 5" xfId="7148" xr:uid="{00000000-0005-0000-0000-000024D90000}"/>
    <cellStyle name="Normal 9 2 4 2 5 2" xfId="10673" xr:uid="{00000000-0005-0000-0000-000025D90000}"/>
    <cellStyle name="Normal 9 2 4 2 5 2 2" xfId="17463" xr:uid="{00000000-0005-0000-0000-000026D90000}"/>
    <cellStyle name="Normal 9 2 4 2 5 2 2 2" xfId="31031" xr:uid="{00000000-0005-0000-0000-000027D90000}"/>
    <cellStyle name="Normal 9 2 4 2 5 2 2 2 2" xfId="58164" xr:uid="{00000000-0005-0000-0000-000028D90000}"/>
    <cellStyle name="Normal 9 2 4 2 5 2 2 3" xfId="44602" xr:uid="{00000000-0005-0000-0000-000029D90000}"/>
    <cellStyle name="Normal 9 2 4 2 5 2 3" xfId="24250" xr:uid="{00000000-0005-0000-0000-00002AD90000}"/>
    <cellStyle name="Normal 9 2 4 2 5 2 3 2" xfId="51383" xr:uid="{00000000-0005-0000-0000-00002BD90000}"/>
    <cellStyle name="Normal 9 2 4 2 5 2 4" xfId="37821" xr:uid="{00000000-0005-0000-0000-00002CD90000}"/>
    <cellStyle name="Normal 9 2 4 2 5 3" xfId="14074" xr:uid="{00000000-0005-0000-0000-00002DD90000}"/>
    <cellStyle name="Normal 9 2 4 2 5 3 2" xfId="27642" xr:uid="{00000000-0005-0000-0000-00002ED90000}"/>
    <cellStyle name="Normal 9 2 4 2 5 3 2 2" xfId="54775" xr:uid="{00000000-0005-0000-0000-00002FD90000}"/>
    <cellStyle name="Normal 9 2 4 2 5 3 3" xfId="41213" xr:uid="{00000000-0005-0000-0000-000030D90000}"/>
    <cellStyle name="Normal 9 2 4 2 5 4" xfId="20861" xr:uid="{00000000-0005-0000-0000-000031D90000}"/>
    <cellStyle name="Normal 9 2 4 2 5 4 2" xfId="47994" xr:uid="{00000000-0005-0000-0000-000032D90000}"/>
    <cellStyle name="Normal 9 2 4 2 5 5" xfId="34432" xr:uid="{00000000-0005-0000-0000-000033D90000}"/>
    <cellStyle name="Normal 9 2 4 2 6" xfId="10666" xr:uid="{00000000-0005-0000-0000-000034D90000}"/>
    <cellStyle name="Normal 9 2 4 2 6 2" xfId="17456" xr:uid="{00000000-0005-0000-0000-000035D90000}"/>
    <cellStyle name="Normal 9 2 4 2 6 2 2" xfId="31024" xr:uid="{00000000-0005-0000-0000-000036D90000}"/>
    <cellStyle name="Normal 9 2 4 2 6 2 2 2" xfId="58157" xr:uid="{00000000-0005-0000-0000-000037D90000}"/>
    <cellStyle name="Normal 9 2 4 2 6 2 3" xfId="44595" xr:uid="{00000000-0005-0000-0000-000038D90000}"/>
    <cellStyle name="Normal 9 2 4 2 6 3" xfId="24243" xr:uid="{00000000-0005-0000-0000-000039D90000}"/>
    <cellStyle name="Normal 9 2 4 2 6 3 2" xfId="51376" xr:uid="{00000000-0005-0000-0000-00003AD90000}"/>
    <cellStyle name="Normal 9 2 4 2 6 4" xfId="37814" xr:uid="{00000000-0005-0000-0000-00003BD90000}"/>
    <cellStyle name="Normal 9 2 4 2 7" xfId="14067" xr:uid="{00000000-0005-0000-0000-00003CD90000}"/>
    <cellStyle name="Normal 9 2 4 2 7 2" xfId="27635" xr:uid="{00000000-0005-0000-0000-00003DD90000}"/>
    <cellStyle name="Normal 9 2 4 2 7 2 2" xfId="54768" xr:uid="{00000000-0005-0000-0000-00003ED90000}"/>
    <cellStyle name="Normal 9 2 4 2 7 3" xfId="41206" xr:uid="{00000000-0005-0000-0000-00003FD90000}"/>
    <cellStyle name="Normal 9 2 4 2 8" xfId="20854" xr:uid="{00000000-0005-0000-0000-000040D90000}"/>
    <cellStyle name="Normal 9 2 4 2 8 2" xfId="47987" xr:uid="{00000000-0005-0000-0000-000041D90000}"/>
    <cellStyle name="Normal 9 2 4 2 9" xfId="34425" xr:uid="{00000000-0005-0000-0000-000042D90000}"/>
    <cellStyle name="Normal 9 2 4 3" xfId="7149" xr:uid="{00000000-0005-0000-0000-000043D90000}"/>
    <cellStyle name="Normal 9 2 4 3 2" xfId="7150" xr:uid="{00000000-0005-0000-0000-000044D90000}"/>
    <cellStyle name="Normal 9 2 4 3 2 2" xfId="10675" xr:uid="{00000000-0005-0000-0000-000045D90000}"/>
    <cellStyle name="Normal 9 2 4 3 2 2 2" xfId="17465" xr:uid="{00000000-0005-0000-0000-000046D90000}"/>
    <cellStyle name="Normal 9 2 4 3 2 2 2 2" xfId="31033" xr:uid="{00000000-0005-0000-0000-000047D90000}"/>
    <cellStyle name="Normal 9 2 4 3 2 2 2 2 2" xfId="58166" xr:uid="{00000000-0005-0000-0000-000048D90000}"/>
    <cellStyle name="Normal 9 2 4 3 2 2 2 3" xfId="44604" xr:uid="{00000000-0005-0000-0000-000049D90000}"/>
    <cellStyle name="Normal 9 2 4 3 2 2 3" xfId="24252" xr:uid="{00000000-0005-0000-0000-00004AD90000}"/>
    <cellStyle name="Normal 9 2 4 3 2 2 3 2" xfId="51385" xr:uid="{00000000-0005-0000-0000-00004BD90000}"/>
    <cellStyle name="Normal 9 2 4 3 2 2 4" xfId="37823" xr:uid="{00000000-0005-0000-0000-00004CD90000}"/>
    <cellStyle name="Normal 9 2 4 3 2 3" xfId="14076" xr:uid="{00000000-0005-0000-0000-00004DD90000}"/>
    <cellStyle name="Normal 9 2 4 3 2 3 2" xfId="27644" xr:uid="{00000000-0005-0000-0000-00004ED90000}"/>
    <cellStyle name="Normal 9 2 4 3 2 3 2 2" xfId="54777" xr:uid="{00000000-0005-0000-0000-00004FD90000}"/>
    <cellStyle name="Normal 9 2 4 3 2 3 3" xfId="41215" xr:uid="{00000000-0005-0000-0000-000050D90000}"/>
    <cellStyle name="Normal 9 2 4 3 2 4" xfId="20863" xr:uid="{00000000-0005-0000-0000-000051D90000}"/>
    <cellStyle name="Normal 9 2 4 3 2 4 2" xfId="47996" xr:uid="{00000000-0005-0000-0000-000052D90000}"/>
    <cellStyle name="Normal 9 2 4 3 2 5" xfId="34434" xr:uid="{00000000-0005-0000-0000-000053D90000}"/>
    <cellStyle name="Normal 9 2 4 3 3" xfId="7151" xr:uid="{00000000-0005-0000-0000-000054D90000}"/>
    <cellStyle name="Normal 9 2 4 3 3 2" xfId="10676" xr:uid="{00000000-0005-0000-0000-000055D90000}"/>
    <cellStyle name="Normal 9 2 4 3 3 2 2" xfId="17466" xr:uid="{00000000-0005-0000-0000-000056D90000}"/>
    <cellStyle name="Normal 9 2 4 3 3 2 2 2" xfId="31034" xr:uid="{00000000-0005-0000-0000-000057D90000}"/>
    <cellStyle name="Normal 9 2 4 3 3 2 2 2 2" xfId="58167" xr:uid="{00000000-0005-0000-0000-000058D90000}"/>
    <cellStyle name="Normal 9 2 4 3 3 2 2 3" xfId="44605" xr:uid="{00000000-0005-0000-0000-000059D90000}"/>
    <cellStyle name="Normal 9 2 4 3 3 2 3" xfId="24253" xr:uid="{00000000-0005-0000-0000-00005AD90000}"/>
    <cellStyle name="Normal 9 2 4 3 3 2 3 2" xfId="51386" xr:uid="{00000000-0005-0000-0000-00005BD90000}"/>
    <cellStyle name="Normal 9 2 4 3 3 2 4" xfId="37824" xr:uid="{00000000-0005-0000-0000-00005CD90000}"/>
    <cellStyle name="Normal 9 2 4 3 3 3" xfId="14077" xr:uid="{00000000-0005-0000-0000-00005DD90000}"/>
    <cellStyle name="Normal 9 2 4 3 3 3 2" xfId="27645" xr:uid="{00000000-0005-0000-0000-00005ED90000}"/>
    <cellStyle name="Normal 9 2 4 3 3 3 2 2" xfId="54778" xr:uid="{00000000-0005-0000-0000-00005FD90000}"/>
    <cellStyle name="Normal 9 2 4 3 3 3 3" xfId="41216" xr:uid="{00000000-0005-0000-0000-000060D90000}"/>
    <cellStyle name="Normal 9 2 4 3 3 4" xfId="20864" xr:uid="{00000000-0005-0000-0000-000061D90000}"/>
    <cellStyle name="Normal 9 2 4 3 3 4 2" xfId="47997" xr:uid="{00000000-0005-0000-0000-000062D90000}"/>
    <cellStyle name="Normal 9 2 4 3 3 5" xfId="34435" xr:uid="{00000000-0005-0000-0000-000063D90000}"/>
    <cellStyle name="Normal 9 2 4 3 4" xfId="10674" xr:uid="{00000000-0005-0000-0000-000064D90000}"/>
    <cellStyle name="Normal 9 2 4 3 4 2" xfId="17464" xr:uid="{00000000-0005-0000-0000-000065D90000}"/>
    <cellStyle name="Normal 9 2 4 3 4 2 2" xfId="31032" xr:uid="{00000000-0005-0000-0000-000066D90000}"/>
    <cellStyle name="Normal 9 2 4 3 4 2 2 2" xfId="58165" xr:uid="{00000000-0005-0000-0000-000067D90000}"/>
    <cellStyle name="Normal 9 2 4 3 4 2 3" xfId="44603" xr:uid="{00000000-0005-0000-0000-000068D90000}"/>
    <cellStyle name="Normal 9 2 4 3 4 3" xfId="24251" xr:uid="{00000000-0005-0000-0000-000069D90000}"/>
    <cellStyle name="Normal 9 2 4 3 4 3 2" xfId="51384" xr:uid="{00000000-0005-0000-0000-00006AD90000}"/>
    <cellStyle name="Normal 9 2 4 3 4 4" xfId="37822" xr:uid="{00000000-0005-0000-0000-00006BD90000}"/>
    <cellStyle name="Normal 9 2 4 3 5" xfId="14075" xr:uid="{00000000-0005-0000-0000-00006CD90000}"/>
    <cellStyle name="Normal 9 2 4 3 5 2" xfId="27643" xr:uid="{00000000-0005-0000-0000-00006DD90000}"/>
    <cellStyle name="Normal 9 2 4 3 5 2 2" xfId="54776" xr:uid="{00000000-0005-0000-0000-00006ED90000}"/>
    <cellStyle name="Normal 9 2 4 3 5 3" xfId="41214" xr:uid="{00000000-0005-0000-0000-00006FD90000}"/>
    <cellStyle name="Normal 9 2 4 3 6" xfId="20862" xr:uid="{00000000-0005-0000-0000-000070D90000}"/>
    <cellStyle name="Normal 9 2 4 3 6 2" xfId="47995" xr:uid="{00000000-0005-0000-0000-000071D90000}"/>
    <cellStyle name="Normal 9 2 4 3 7" xfId="34433" xr:uid="{00000000-0005-0000-0000-000072D90000}"/>
    <cellStyle name="Normal 9 2 4 4" xfId="7152" xr:uid="{00000000-0005-0000-0000-000073D90000}"/>
    <cellStyle name="Normal 9 2 4 4 2" xfId="7153" xr:uid="{00000000-0005-0000-0000-000074D90000}"/>
    <cellStyle name="Normal 9 2 4 4 2 2" xfId="10678" xr:uid="{00000000-0005-0000-0000-000075D90000}"/>
    <cellStyle name="Normal 9 2 4 4 2 2 2" xfId="17468" xr:uid="{00000000-0005-0000-0000-000076D90000}"/>
    <cellStyle name="Normal 9 2 4 4 2 2 2 2" xfId="31036" xr:uid="{00000000-0005-0000-0000-000077D90000}"/>
    <cellStyle name="Normal 9 2 4 4 2 2 2 2 2" xfId="58169" xr:uid="{00000000-0005-0000-0000-000078D90000}"/>
    <cellStyle name="Normal 9 2 4 4 2 2 2 3" xfId="44607" xr:uid="{00000000-0005-0000-0000-000079D90000}"/>
    <cellStyle name="Normal 9 2 4 4 2 2 3" xfId="24255" xr:uid="{00000000-0005-0000-0000-00007AD90000}"/>
    <cellStyle name="Normal 9 2 4 4 2 2 3 2" xfId="51388" xr:uid="{00000000-0005-0000-0000-00007BD90000}"/>
    <cellStyle name="Normal 9 2 4 4 2 2 4" xfId="37826" xr:uid="{00000000-0005-0000-0000-00007CD90000}"/>
    <cellStyle name="Normal 9 2 4 4 2 3" xfId="14079" xr:uid="{00000000-0005-0000-0000-00007DD90000}"/>
    <cellStyle name="Normal 9 2 4 4 2 3 2" xfId="27647" xr:uid="{00000000-0005-0000-0000-00007ED90000}"/>
    <cellStyle name="Normal 9 2 4 4 2 3 2 2" xfId="54780" xr:uid="{00000000-0005-0000-0000-00007FD90000}"/>
    <cellStyle name="Normal 9 2 4 4 2 3 3" xfId="41218" xr:uid="{00000000-0005-0000-0000-000080D90000}"/>
    <cellStyle name="Normal 9 2 4 4 2 4" xfId="20866" xr:uid="{00000000-0005-0000-0000-000081D90000}"/>
    <cellStyle name="Normal 9 2 4 4 2 4 2" xfId="47999" xr:uid="{00000000-0005-0000-0000-000082D90000}"/>
    <cellStyle name="Normal 9 2 4 4 2 5" xfId="34437" xr:uid="{00000000-0005-0000-0000-000083D90000}"/>
    <cellStyle name="Normal 9 2 4 4 3" xfId="10677" xr:uid="{00000000-0005-0000-0000-000084D90000}"/>
    <cellStyle name="Normal 9 2 4 4 3 2" xfId="17467" xr:uid="{00000000-0005-0000-0000-000085D90000}"/>
    <cellStyle name="Normal 9 2 4 4 3 2 2" xfId="31035" xr:uid="{00000000-0005-0000-0000-000086D90000}"/>
    <cellStyle name="Normal 9 2 4 4 3 2 2 2" xfId="58168" xr:uid="{00000000-0005-0000-0000-000087D90000}"/>
    <cellStyle name="Normal 9 2 4 4 3 2 3" xfId="44606" xr:uid="{00000000-0005-0000-0000-000088D90000}"/>
    <cellStyle name="Normal 9 2 4 4 3 3" xfId="24254" xr:uid="{00000000-0005-0000-0000-000089D90000}"/>
    <cellStyle name="Normal 9 2 4 4 3 3 2" xfId="51387" xr:uid="{00000000-0005-0000-0000-00008AD90000}"/>
    <cellStyle name="Normal 9 2 4 4 3 4" xfId="37825" xr:uid="{00000000-0005-0000-0000-00008BD90000}"/>
    <cellStyle name="Normal 9 2 4 4 4" xfId="14078" xr:uid="{00000000-0005-0000-0000-00008CD90000}"/>
    <cellStyle name="Normal 9 2 4 4 4 2" xfId="27646" xr:uid="{00000000-0005-0000-0000-00008DD90000}"/>
    <cellStyle name="Normal 9 2 4 4 4 2 2" xfId="54779" xr:uid="{00000000-0005-0000-0000-00008ED90000}"/>
    <cellStyle name="Normal 9 2 4 4 4 3" xfId="41217" xr:uid="{00000000-0005-0000-0000-00008FD90000}"/>
    <cellStyle name="Normal 9 2 4 4 5" xfId="20865" xr:uid="{00000000-0005-0000-0000-000090D90000}"/>
    <cellStyle name="Normal 9 2 4 4 5 2" xfId="47998" xr:uid="{00000000-0005-0000-0000-000091D90000}"/>
    <cellStyle name="Normal 9 2 4 4 6" xfId="34436" xr:uid="{00000000-0005-0000-0000-000092D90000}"/>
    <cellStyle name="Normal 9 2 4 5" xfId="7154" xr:uid="{00000000-0005-0000-0000-000093D90000}"/>
    <cellStyle name="Normal 9 2 4 5 2" xfId="10679" xr:uid="{00000000-0005-0000-0000-000094D90000}"/>
    <cellStyle name="Normal 9 2 4 5 2 2" xfId="17469" xr:uid="{00000000-0005-0000-0000-000095D90000}"/>
    <cellStyle name="Normal 9 2 4 5 2 2 2" xfId="31037" xr:uid="{00000000-0005-0000-0000-000096D90000}"/>
    <cellStyle name="Normal 9 2 4 5 2 2 2 2" xfId="58170" xr:uid="{00000000-0005-0000-0000-000097D90000}"/>
    <cellStyle name="Normal 9 2 4 5 2 2 3" xfId="44608" xr:uid="{00000000-0005-0000-0000-000098D90000}"/>
    <cellStyle name="Normal 9 2 4 5 2 3" xfId="24256" xr:uid="{00000000-0005-0000-0000-000099D90000}"/>
    <cellStyle name="Normal 9 2 4 5 2 3 2" xfId="51389" xr:uid="{00000000-0005-0000-0000-00009AD90000}"/>
    <cellStyle name="Normal 9 2 4 5 2 4" xfId="37827" xr:uid="{00000000-0005-0000-0000-00009BD90000}"/>
    <cellStyle name="Normal 9 2 4 5 3" xfId="14080" xr:uid="{00000000-0005-0000-0000-00009CD90000}"/>
    <cellStyle name="Normal 9 2 4 5 3 2" xfId="27648" xr:uid="{00000000-0005-0000-0000-00009DD90000}"/>
    <cellStyle name="Normal 9 2 4 5 3 2 2" xfId="54781" xr:uid="{00000000-0005-0000-0000-00009ED90000}"/>
    <cellStyle name="Normal 9 2 4 5 3 3" xfId="41219" xr:uid="{00000000-0005-0000-0000-00009FD90000}"/>
    <cellStyle name="Normal 9 2 4 5 4" xfId="20867" xr:uid="{00000000-0005-0000-0000-0000A0D90000}"/>
    <cellStyle name="Normal 9 2 4 5 4 2" xfId="48000" xr:uid="{00000000-0005-0000-0000-0000A1D90000}"/>
    <cellStyle name="Normal 9 2 4 5 5" xfId="34438" xr:uid="{00000000-0005-0000-0000-0000A2D90000}"/>
    <cellStyle name="Normal 9 2 4 6" xfId="7155" xr:uid="{00000000-0005-0000-0000-0000A3D90000}"/>
    <cellStyle name="Normal 9 2 4 6 2" xfId="10680" xr:uid="{00000000-0005-0000-0000-0000A4D90000}"/>
    <cellStyle name="Normal 9 2 4 6 2 2" xfId="17470" xr:uid="{00000000-0005-0000-0000-0000A5D90000}"/>
    <cellStyle name="Normal 9 2 4 6 2 2 2" xfId="31038" xr:uid="{00000000-0005-0000-0000-0000A6D90000}"/>
    <cellStyle name="Normal 9 2 4 6 2 2 2 2" xfId="58171" xr:uid="{00000000-0005-0000-0000-0000A7D90000}"/>
    <cellStyle name="Normal 9 2 4 6 2 2 3" xfId="44609" xr:uid="{00000000-0005-0000-0000-0000A8D90000}"/>
    <cellStyle name="Normal 9 2 4 6 2 3" xfId="24257" xr:uid="{00000000-0005-0000-0000-0000A9D90000}"/>
    <cellStyle name="Normal 9 2 4 6 2 3 2" xfId="51390" xr:uid="{00000000-0005-0000-0000-0000AAD90000}"/>
    <cellStyle name="Normal 9 2 4 6 2 4" xfId="37828" xr:uid="{00000000-0005-0000-0000-0000ABD90000}"/>
    <cellStyle name="Normal 9 2 4 6 3" xfId="14081" xr:uid="{00000000-0005-0000-0000-0000ACD90000}"/>
    <cellStyle name="Normal 9 2 4 6 3 2" xfId="27649" xr:uid="{00000000-0005-0000-0000-0000ADD90000}"/>
    <cellStyle name="Normal 9 2 4 6 3 2 2" xfId="54782" xr:uid="{00000000-0005-0000-0000-0000AED90000}"/>
    <cellStyle name="Normal 9 2 4 6 3 3" xfId="41220" xr:uid="{00000000-0005-0000-0000-0000AFD90000}"/>
    <cellStyle name="Normal 9 2 4 6 4" xfId="20868" xr:uid="{00000000-0005-0000-0000-0000B0D90000}"/>
    <cellStyle name="Normal 9 2 4 6 4 2" xfId="48001" xr:uid="{00000000-0005-0000-0000-0000B1D90000}"/>
    <cellStyle name="Normal 9 2 4 6 5" xfId="34439" xr:uid="{00000000-0005-0000-0000-0000B2D90000}"/>
    <cellStyle name="Normal 9 2 4 7" xfId="10665" xr:uid="{00000000-0005-0000-0000-0000B3D90000}"/>
    <cellStyle name="Normal 9 2 4 7 2" xfId="17455" xr:uid="{00000000-0005-0000-0000-0000B4D90000}"/>
    <cellStyle name="Normal 9 2 4 7 2 2" xfId="31023" xr:uid="{00000000-0005-0000-0000-0000B5D90000}"/>
    <cellStyle name="Normal 9 2 4 7 2 2 2" xfId="58156" xr:uid="{00000000-0005-0000-0000-0000B6D90000}"/>
    <cellStyle name="Normal 9 2 4 7 2 3" xfId="44594" xr:uid="{00000000-0005-0000-0000-0000B7D90000}"/>
    <cellStyle name="Normal 9 2 4 7 3" xfId="24242" xr:uid="{00000000-0005-0000-0000-0000B8D90000}"/>
    <cellStyle name="Normal 9 2 4 7 3 2" xfId="51375" xr:uid="{00000000-0005-0000-0000-0000B9D90000}"/>
    <cellStyle name="Normal 9 2 4 7 4" xfId="37813" xr:uid="{00000000-0005-0000-0000-0000BAD90000}"/>
    <cellStyle name="Normal 9 2 4 8" xfId="14066" xr:uid="{00000000-0005-0000-0000-0000BBD90000}"/>
    <cellStyle name="Normal 9 2 4 8 2" xfId="27634" xr:uid="{00000000-0005-0000-0000-0000BCD90000}"/>
    <cellStyle name="Normal 9 2 4 8 2 2" xfId="54767" xr:uid="{00000000-0005-0000-0000-0000BDD90000}"/>
    <cellStyle name="Normal 9 2 4 8 3" xfId="41205" xr:uid="{00000000-0005-0000-0000-0000BED90000}"/>
    <cellStyle name="Normal 9 2 4 9" xfId="20853" xr:uid="{00000000-0005-0000-0000-0000BFD90000}"/>
    <cellStyle name="Normal 9 2 4 9 2" xfId="47986" xr:uid="{00000000-0005-0000-0000-0000C0D90000}"/>
    <cellStyle name="Normal 9 2 5" xfId="7156" xr:uid="{00000000-0005-0000-0000-0000C1D90000}"/>
    <cellStyle name="Normal 9 2 5 2" xfId="7157" xr:uid="{00000000-0005-0000-0000-0000C2D90000}"/>
    <cellStyle name="Normal 9 2 5 2 2" xfId="7158" xr:uid="{00000000-0005-0000-0000-0000C3D90000}"/>
    <cellStyle name="Normal 9 2 5 2 2 2" xfId="10683" xr:uid="{00000000-0005-0000-0000-0000C4D90000}"/>
    <cellStyle name="Normal 9 2 5 2 2 2 2" xfId="17473" xr:uid="{00000000-0005-0000-0000-0000C5D90000}"/>
    <cellStyle name="Normal 9 2 5 2 2 2 2 2" xfId="31041" xr:uid="{00000000-0005-0000-0000-0000C6D90000}"/>
    <cellStyle name="Normal 9 2 5 2 2 2 2 2 2" xfId="58174" xr:uid="{00000000-0005-0000-0000-0000C7D90000}"/>
    <cellStyle name="Normal 9 2 5 2 2 2 2 3" xfId="44612" xr:uid="{00000000-0005-0000-0000-0000C8D90000}"/>
    <cellStyle name="Normal 9 2 5 2 2 2 3" xfId="24260" xr:uid="{00000000-0005-0000-0000-0000C9D90000}"/>
    <cellStyle name="Normal 9 2 5 2 2 2 3 2" xfId="51393" xr:uid="{00000000-0005-0000-0000-0000CAD90000}"/>
    <cellStyle name="Normal 9 2 5 2 2 2 4" xfId="37831" xr:uid="{00000000-0005-0000-0000-0000CBD90000}"/>
    <cellStyle name="Normal 9 2 5 2 2 3" xfId="14084" xr:uid="{00000000-0005-0000-0000-0000CCD90000}"/>
    <cellStyle name="Normal 9 2 5 2 2 3 2" xfId="27652" xr:uid="{00000000-0005-0000-0000-0000CDD90000}"/>
    <cellStyle name="Normal 9 2 5 2 2 3 2 2" xfId="54785" xr:uid="{00000000-0005-0000-0000-0000CED90000}"/>
    <cellStyle name="Normal 9 2 5 2 2 3 3" xfId="41223" xr:uid="{00000000-0005-0000-0000-0000CFD90000}"/>
    <cellStyle name="Normal 9 2 5 2 2 4" xfId="20871" xr:uid="{00000000-0005-0000-0000-0000D0D90000}"/>
    <cellStyle name="Normal 9 2 5 2 2 4 2" xfId="48004" xr:uid="{00000000-0005-0000-0000-0000D1D90000}"/>
    <cellStyle name="Normal 9 2 5 2 2 5" xfId="34442" xr:uid="{00000000-0005-0000-0000-0000D2D90000}"/>
    <cellStyle name="Normal 9 2 5 2 3" xfId="7159" xr:uid="{00000000-0005-0000-0000-0000D3D90000}"/>
    <cellStyle name="Normal 9 2 5 2 3 2" xfId="10684" xr:uid="{00000000-0005-0000-0000-0000D4D90000}"/>
    <cellStyle name="Normal 9 2 5 2 3 2 2" xfId="17474" xr:uid="{00000000-0005-0000-0000-0000D5D90000}"/>
    <cellStyle name="Normal 9 2 5 2 3 2 2 2" xfId="31042" xr:uid="{00000000-0005-0000-0000-0000D6D90000}"/>
    <cellStyle name="Normal 9 2 5 2 3 2 2 2 2" xfId="58175" xr:uid="{00000000-0005-0000-0000-0000D7D90000}"/>
    <cellStyle name="Normal 9 2 5 2 3 2 2 3" xfId="44613" xr:uid="{00000000-0005-0000-0000-0000D8D90000}"/>
    <cellStyle name="Normal 9 2 5 2 3 2 3" xfId="24261" xr:uid="{00000000-0005-0000-0000-0000D9D90000}"/>
    <cellStyle name="Normal 9 2 5 2 3 2 3 2" xfId="51394" xr:uid="{00000000-0005-0000-0000-0000DAD90000}"/>
    <cellStyle name="Normal 9 2 5 2 3 2 4" xfId="37832" xr:uid="{00000000-0005-0000-0000-0000DBD90000}"/>
    <cellStyle name="Normal 9 2 5 2 3 3" xfId="14085" xr:uid="{00000000-0005-0000-0000-0000DCD90000}"/>
    <cellStyle name="Normal 9 2 5 2 3 3 2" xfId="27653" xr:uid="{00000000-0005-0000-0000-0000DDD90000}"/>
    <cellStyle name="Normal 9 2 5 2 3 3 2 2" xfId="54786" xr:uid="{00000000-0005-0000-0000-0000DED90000}"/>
    <cellStyle name="Normal 9 2 5 2 3 3 3" xfId="41224" xr:uid="{00000000-0005-0000-0000-0000DFD90000}"/>
    <cellStyle name="Normal 9 2 5 2 3 4" xfId="20872" xr:uid="{00000000-0005-0000-0000-0000E0D90000}"/>
    <cellStyle name="Normal 9 2 5 2 3 4 2" xfId="48005" xr:uid="{00000000-0005-0000-0000-0000E1D90000}"/>
    <cellStyle name="Normal 9 2 5 2 3 5" xfId="34443" xr:uid="{00000000-0005-0000-0000-0000E2D90000}"/>
    <cellStyle name="Normal 9 2 5 2 4" xfId="10682" xr:uid="{00000000-0005-0000-0000-0000E3D90000}"/>
    <cellStyle name="Normal 9 2 5 2 4 2" xfId="17472" xr:uid="{00000000-0005-0000-0000-0000E4D90000}"/>
    <cellStyle name="Normal 9 2 5 2 4 2 2" xfId="31040" xr:uid="{00000000-0005-0000-0000-0000E5D90000}"/>
    <cellStyle name="Normal 9 2 5 2 4 2 2 2" xfId="58173" xr:uid="{00000000-0005-0000-0000-0000E6D90000}"/>
    <cellStyle name="Normal 9 2 5 2 4 2 3" xfId="44611" xr:uid="{00000000-0005-0000-0000-0000E7D90000}"/>
    <cellStyle name="Normal 9 2 5 2 4 3" xfId="24259" xr:uid="{00000000-0005-0000-0000-0000E8D90000}"/>
    <cellStyle name="Normal 9 2 5 2 4 3 2" xfId="51392" xr:uid="{00000000-0005-0000-0000-0000E9D90000}"/>
    <cellStyle name="Normal 9 2 5 2 4 4" xfId="37830" xr:uid="{00000000-0005-0000-0000-0000EAD90000}"/>
    <cellStyle name="Normal 9 2 5 2 5" xfId="14083" xr:uid="{00000000-0005-0000-0000-0000EBD90000}"/>
    <cellStyle name="Normal 9 2 5 2 5 2" xfId="27651" xr:uid="{00000000-0005-0000-0000-0000ECD90000}"/>
    <cellStyle name="Normal 9 2 5 2 5 2 2" xfId="54784" xr:uid="{00000000-0005-0000-0000-0000EDD90000}"/>
    <cellStyle name="Normal 9 2 5 2 5 3" xfId="41222" xr:uid="{00000000-0005-0000-0000-0000EED90000}"/>
    <cellStyle name="Normal 9 2 5 2 6" xfId="20870" xr:uid="{00000000-0005-0000-0000-0000EFD90000}"/>
    <cellStyle name="Normal 9 2 5 2 6 2" xfId="48003" xr:uid="{00000000-0005-0000-0000-0000F0D90000}"/>
    <cellStyle name="Normal 9 2 5 2 7" xfId="34441" xr:uid="{00000000-0005-0000-0000-0000F1D90000}"/>
    <cellStyle name="Normal 9 2 5 3" xfId="7160" xr:uid="{00000000-0005-0000-0000-0000F2D90000}"/>
    <cellStyle name="Normal 9 2 5 3 2" xfId="7161" xr:uid="{00000000-0005-0000-0000-0000F3D90000}"/>
    <cellStyle name="Normal 9 2 5 3 2 2" xfId="10686" xr:uid="{00000000-0005-0000-0000-0000F4D90000}"/>
    <cellStyle name="Normal 9 2 5 3 2 2 2" xfId="17476" xr:uid="{00000000-0005-0000-0000-0000F5D90000}"/>
    <cellStyle name="Normal 9 2 5 3 2 2 2 2" xfId="31044" xr:uid="{00000000-0005-0000-0000-0000F6D90000}"/>
    <cellStyle name="Normal 9 2 5 3 2 2 2 2 2" xfId="58177" xr:uid="{00000000-0005-0000-0000-0000F7D90000}"/>
    <cellStyle name="Normal 9 2 5 3 2 2 2 3" xfId="44615" xr:uid="{00000000-0005-0000-0000-0000F8D90000}"/>
    <cellStyle name="Normal 9 2 5 3 2 2 3" xfId="24263" xr:uid="{00000000-0005-0000-0000-0000F9D90000}"/>
    <cellStyle name="Normal 9 2 5 3 2 2 3 2" xfId="51396" xr:uid="{00000000-0005-0000-0000-0000FAD90000}"/>
    <cellStyle name="Normal 9 2 5 3 2 2 4" xfId="37834" xr:uid="{00000000-0005-0000-0000-0000FBD90000}"/>
    <cellStyle name="Normal 9 2 5 3 2 3" xfId="14087" xr:uid="{00000000-0005-0000-0000-0000FCD90000}"/>
    <cellStyle name="Normal 9 2 5 3 2 3 2" xfId="27655" xr:uid="{00000000-0005-0000-0000-0000FDD90000}"/>
    <cellStyle name="Normal 9 2 5 3 2 3 2 2" xfId="54788" xr:uid="{00000000-0005-0000-0000-0000FED90000}"/>
    <cellStyle name="Normal 9 2 5 3 2 3 3" xfId="41226" xr:uid="{00000000-0005-0000-0000-0000FFD90000}"/>
    <cellStyle name="Normal 9 2 5 3 2 4" xfId="20874" xr:uid="{00000000-0005-0000-0000-000000DA0000}"/>
    <cellStyle name="Normal 9 2 5 3 2 4 2" xfId="48007" xr:uid="{00000000-0005-0000-0000-000001DA0000}"/>
    <cellStyle name="Normal 9 2 5 3 2 5" xfId="34445" xr:uid="{00000000-0005-0000-0000-000002DA0000}"/>
    <cellStyle name="Normal 9 2 5 3 3" xfId="10685" xr:uid="{00000000-0005-0000-0000-000003DA0000}"/>
    <cellStyle name="Normal 9 2 5 3 3 2" xfId="17475" xr:uid="{00000000-0005-0000-0000-000004DA0000}"/>
    <cellStyle name="Normal 9 2 5 3 3 2 2" xfId="31043" xr:uid="{00000000-0005-0000-0000-000005DA0000}"/>
    <cellStyle name="Normal 9 2 5 3 3 2 2 2" xfId="58176" xr:uid="{00000000-0005-0000-0000-000006DA0000}"/>
    <cellStyle name="Normal 9 2 5 3 3 2 3" xfId="44614" xr:uid="{00000000-0005-0000-0000-000007DA0000}"/>
    <cellStyle name="Normal 9 2 5 3 3 3" xfId="24262" xr:uid="{00000000-0005-0000-0000-000008DA0000}"/>
    <cellStyle name="Normal 9 2 5 3 3 3 2" xfId="51395" xr:uid="{00000000-0005-0000-0000-000009DA0000}"/>
    <cellStyle name="Normal 9 2 5 3 3 4" xfId="37833" xr:uid="{00000000-0005-0000-0000-00000ADA0000}"/>
    <cellStyle name="Normal 9 2 5 3 4" xfId="14086" xr:uid="{00000000-0005-0000-0000-00000BDA0000}"/>
    <cellStyle name="Normal 9 2 5 3 4 2" xfId="27654" xr:uid="{00000000-0005-0000-0000-00000CDA0000}"/>
    <cellStyle name="Normal 9 2 5 3 4 2 2" xfId="54787" xr:uid="{00000000-0005-0000-0000-00000DDA0000}"/>
    <cellStyle name="Normal 9 2 5 3 4 3" xfId="41225" xr:uid="{00000000-0005-0000-0000-00000EDA0000}"/>
    <cellStyle name="Normal 9 2 5 3 5" xfId="20873" xr:uid="{00000000-0005-0000-0000-00000FDA0000}"/>
    <cellStyle name="Normal 9 2 5 3 5 2" xfId="48006" xr:uid="{00000000-0005-0000-0000-000010DA0000}"/>
    <cellStyle name="Normal 9 2 5 3 6" xfId="34444" xr:uid="{00000000-0005-0000-0000-000011DA0000}"/>
    <cellStyle name="Normal 9 2 5 4" xfId="7162" xr:uid="{00000000-0005-0000-0000-000012DA0000}"/>
    <cellStyle name="Normal 9 2 5 4 2" xfId="10687" xr:uid="{00000000-0005-0000-0000-000013DA0000}"/>
    <cellStyle name="Normal 9 2 5 4 2 2" xfId="17477" xr:uid="{00000000-0005-0000-0000-000014DA0000}"/>
    <cellStyle name="Normal 9 2 5 4 2 2 2" xfId="31045" xr:uid="{00000000-0005-0000-0000-000015DA0000}"/>
    <cellStyle name="Normal 9 2 5 4 2 2 2 2" xfId="58178" xr:uid="{00000000-0005-0000-0000-000016DA0000}"/>
    <cellStyle name="Normal 9 2 5 4 2 2 3" xfId="44616" xr:uid="{00000000-0005-0000-0000-000017DA0000}"/>
    <cellStyle name="Normal 9 2 5 4 2 3" xfId="24264" xr:uid="{00000000-0005-0000-0000-000018DA0000}"/>
    <cellStyle name="Normal 9 2 5 4 2 3 2" xfId="51397" xr:uid="{00000000-0005-0000-0000-000019DA0000}"/>
    <cellStyle name="Normal 9 2 5 4 2 4" xfId="37835" xr:uid="{00000000-0005-0000-0000-00001ADA0000}"/>
    <cellStyle name="Normal 9 2 5 4 3" xfId="14088" xr:uid="{00000000-0005-0000-0000-00001BDA0000}"/>
    <cellStyle name="Normal 9 2 5 4 3 2" xfId="27656" xr:uid="{00000000-0005-0000-0000-00001CDA0000}"/>
    <cellStyle name="Normal 9 2 5 4 3 2 2" xfId="54789" xr:uid="{00000000-0005-0000-0000-00001DDA0000}"/>
    <cellStyle name="Normal 9 2 5 4 3 3" xfId="41227" xr:uid="{00000000-0005-0000-0000-00001EDA0000}"/>
    <cellStyle name="Normal 9 2 5 4 4" xfId="20875" xr:uid="{00000000-0005-0000-0000-00001FDA0000}"/>
    <cellStyle name="Normal 9 2 5 4 4 2" xfId="48008" xr:uid="{00000000-0005-0000-0000-000020DA0000}"/>
    <cellStyle name="Normal 9 2 5 4 5" xfId="34446" xr:uid="{00000000-0005-0000-0000-000021DA0000}"/>
    <cellStyle name="Normal 9 2 5 5" xfId="7163" xr:uid="{00000000-0005-0000-0000-000022DA0000}"/>
    <cellStyle name="Normal 9 2 5 5 2" xfId="10688" xr:uid="{00000000-0005-0000-0000-000023DA0000}"/>
    <cellStyle name="Normal 9 2 5 5 2 2" xfId="17478" xr:uid="{00000000-0005-0000-0000-000024DA0000}"/>
    <cellStyle name="Normal 9 2 5 5 2 2 2" xfId="31046" xr:uid="{00000000-0005-0000-0000-000025DA0000}"/>
    <cellStyle name="Normal 9 2 5 5 2 2 2 2" xfId="58179" xr:uid="{00000000-0005-0000-0000-000026DA0000}"/>
    <cellStyle name="Normal 9 2 5 5 2 2 3" xfId="44617" xr:uid="{00000000-0005-0000-0000-000027DA0000}"/>
    <cellStyle name="Normal 9 2 5 5 2 3" xfId="24265" xr:uid="{00000000-0005-0000-0000-000028DA0000}"/>
    <cellStyle name="Normal 9 2 5 5 2 3 2" xfId="51398" xr:uid="{00000000-0005-0000-0000-000029DA0000}"/>
    <cellStyle name="Normal 9 2 5 5 2 4" xfId="37836" xr:uid="{00000000-0005-0000-0000-00002ADA0000}"/>
    <cellStyle name="Normal 9 2 5 5 3" xfId="14089" xr:uid="{00000000-0005-0000-0000-00002BDA0000}"/>
    <cellStyle name="Normal 9 2 5 5 3 2" xfId="27657" xr:uid="{00000000-0005-0000-0000-00002CDA0000}"/>
    <cellStyle name="Normal 9 2 5 5 3 2 2" xfId="54790" xr:uid="{00000000-0005-0000-0000-00002DDA0000}"/>
    <cellStyle name="Normal 9 2 5 5 3 3" xfId="41228" xr:uid="{00000000-0005-0000-0000-00002EDA0000}"/>
    <cellStyle name="Normal 9 2 5 5 4" xfId="20876" xr:uid="{00000000-0005-0000-0000-00002FDA0000}"/>
    <cellStyle name="Normal 9 2 5 5 4 2" xfId="48009" xr:uid="{00000000-0005-0000-0000-000030DA0000}"/>
    <cellStyle name="Normal 9 2 5 5 5" xfId="34447" xr:uid="{00000000-0005-0000-0000-000031DA0000}"/>
    <cellStyle name="Normal 9 2 5 6" xfId="10681" xr:uid="{00000000-0005-0000-0000-000032DA0000}"/>
    <cellStyle name="Normal 9 2 5 6 2" xfId="17471" xr:uid="{00000000-0005-0000-0000-000033DA0000}"/>
    <cellStyle name="Normal 9 2 5 6 2 2" xfId="31039" xr:uid="{00000000-0005-0000-0000-000034DA0000}"/>
    <cellStyle name="Normal 9 2 5 6 2 2 2" xfId="58172" xr:uid="{00000000-0005-0000-0000-000035DA0000}"/>
    <cellStyle name="Normal 9 2 5 6 2 3" xfId="44610" xr:uid="{00000000-0005-0000-0000-000036DA0000}"/>
    <cellStyle name="Normal 9 2 5 6 3" xfId="24258" xr:uid="{00000000-0005-0000-0000-000037DA0000}"/>
    <cellStyle name="Normal 9 2 5 6 3 2" xfId="51391" xr:uid="{00000000-0005-0000-0000-000038DA0000}"/>
    <cellStyle name="Normal 9 2 5 6 4" xfId="37829" xr:uid="{00000000-0005-0000-0000-000039DA0000}"/>
    <cellStyle name="Normal 9 2 5 7" xfId="14082" xr:uid="{00000000-0005-0000-0000-00003ADA0000}"/>
    <cellStyle name="Normal 9 2 5 7 2" xfId="27650" xr:uid="{00000000-0005-0000-0000-00003BDA0000}"/>
    <cellStyle name="Normal 9 2 5 7 2 2" xfId="54783" xr:uid="{00000000-0005-0000-0000-00003CDA0000}"/>
    <cellStyle name="Normal 9 2 5 7 3" xfId="41221" xr:uid="{00000000-0005-0000-0000-00003DDA0000}"/>
    <cellStyle name="Normal 9 2 5 8" xfId="20869" xr:uid="{00000000-0005-0000-0000-00003EDA0000}"/>
    <cellStyle name="Normal 9 2 5 8 2" xfId="48002" xr:uid="{00000000-0005-0000-0000-00003FDA0000}"/>
    <cellStyle name="Normal 9 2 5 9" xfId="34440" xr:uid="{00000000-0005-0000-0000-000040DA0000}"/>
    <cellStyle name="Normal 9 2 6" xfId="7164" xr:uid="{00000000-0005-0000-0000-000041DA0000}"/>
    <cellStyle name="Normal 9 2 6 2" xfId="7165" xr:uid="{00000000-0005-0000-0000-000042DA0000}"/>
    <cellStyle name="Normal 9 2 6 2 2" xfId="7166" xr:uid="{00000000-0005-0000-0000-000043DA0000}"/>
    <cellStyle name="Normal 9 2 6 2 2 2" xfId="10691" xr:uid="{00000000-0005-0000-0000-000044DA0000}"/>
    <cellStyle name="Normal 9 2 6 2 2 2 2" xfId="17481" xr:uid="{00000000-0005-0000-0000-000045DA0000}"/>
    <cellStyle name="Normal 9 2 6 2 2 2 2 2" xfId="31049" xr:uid="{00000000-0005-0000-0000-000046DA0000}"/>
    <cellStyle name="Normal 9 2 6 2 2 2 2 2 2" xfId="58182" xr:uid="{00000000-0005-0000-0000-000047DA0000}"/>
    <cellStyle name="Normal 9 2 6 2 2 2 2 3" xfId="44620" xr:uid="{00000000-0005-0000-0000-000048DA0000}"/>
    <cellStyle name="Normal 9 2 6 2 2 2 3" xfId="24268" xr:uid="{00000000-0005-0000-0000-000049DA0000}"/>
    <cellStyle name="Normal 9 2 6 2 2 2 3 2" xfId="51401" xr:uid="{00000000-0005-0000-0000-00004ADA0000}"/>
    <cellStyle name="Normal 9 2 6 2 2 2 4" xfId="37839" xr:uid="{00000000-0005-0000-0000-00004BDA0000}"/>
    <cellStyle name="Normal 9 2 6 2 2 3" xfId="14092" xr:uid="{00000000-0005-0000-0000-00004CDA0000}"/>
    <cellStyle name="Normal 9 2 6 2 2 3 2" xfId="27660" xr:uid="{00000000-0005-0000-0000-00004DDA0000}"/>
    <cellStyle name="Normal 9 2 6 2 2 3 2 2" xfId="54793" xr:uid="{00000000-0005-0000-0000-00004EDA0000}"/>
    <cellStyle name="Normal 9 2 6 2 2 3 3" xfId="41231" xr:uid="{00000000-0005-0000-0000-00004FDA0000}"/>
    <cellStyle name="Normal 9 2 6 2 2 4" xfId="20879" xr:uid="{00000000-0005-0000-0000-000050DA0000}"/>
    <cellStyle name="Normal 9 2 6 2 2 4 2" xfId="48012" xr:uid="{00000000-0005-0000-0000-000051DA0000}"/>
    <cellStyle name="Normal 9 2 6 2 2 5" xfId="34450" xr:uid="{00000000-0005-0000-0000-000052DA0000}"/>
    <cellStyle name="Normal 9 2 6 2 3" xfId="7167" xr:uid="{00000000-0005-0000-0000-000053DA0000}"/>
    <cellStyle name="Normal 9 2 6 2 3 2" xfId="10692" xr:uid="{00000000-0005-0000-0000-000054DA0000}"/>
    <cellStyle name="Normal 9 2 6 2 3 2 2" xfId="17482" xr:uid="{00000000-0005-0000-0000-000055DA0000}"/>
    <cellStyle name="Normal 9 2 6 2 3 2 2 2" xfId="31050" xr:uid="{00000000-0005-0000-0000-000056DA0000}"/>
    <cellStyle name="Normal 9 2 6 2 3 2 2 2 2" xfId="58183" xr:uid="{00000000-0005-0000-0000-000057DA0000}"/>
    <cellStyle name="Normal 9 2 6 2 3 2 2 3" xfId="44621" xr:uid="{00000000-0005-0000-0000-000058DA0000}"/>
    <cellStyle name="Normal 9 2 6 2 3 2 3" xfId="24269" xr:uid="{00000000-0005-0000-0000-000059DA0000}"/>
    <cellStyle name="Normal 9 2 6 2 3 2 3 2" xfId="51402" xr:uid="{00000000-0005-0000-0000-00005ADA0000}"/>
    <cellStyle name="Normal 9 2 6 2 3 2 4" xfId="37840" xr:uid="{00000000-0005-0000-0000-00005BDA0000}"/>
    <cellStyle name="Normal 9 2 6 2 3 3" xfId="14093" xr:uid="{00000000-0005-0000-0000-00005CDA0000}"/>
    <cellStyle name="Normal 9 2 6 2 3 3 2" xfId="27661" xr:uid="{00000000-0005-0000-0000-00005DDA0000}"/>
    <cellStyle name="Normal 9 2 6 2 3 3 2 2" xfId="54794" xr:uid="{00000000-0005-0000-0000-00005EDA0000}"/>
    <cellStyle name="Normal 9 2 6 2 3 3 3" xfId="41232" xr:uid="{00000000-0005-0000-0000-00005FDA0000}"/>
    <cellStyle name="Normal 9 2 6 2 3 4" xfId="20880" xr:uid="{00000000-0005-0000-0000-000060DA0000}"/>
    <cellStyle name="Normal 9 2 6 2 3 4 2" xfId="48013" xr:uid="{00000000-0005-0000-0000-000061DA0000}"/>
    <cellStyle name="Normal 9 2 6 2 3 5" xfId="34451" xr:uid="{00000000-0005-0000-0000-000062DA0000}"/>
    <cellStyle name="Normal 9 2 6 2 4" xfId="10690" xr:uid="{00000000-0005-0000-0000-000063DA0000}"/>
    <cellStyle name="Normal 9 2 6 2 4 2" xfId="17480" xr:uid="{00000000-0005-0000-0000-000064DA0000}"/>
    <cellStyle name="Normal 9 2 6 2 4 2 2" xfId="31048" xr:uid="{00000000-0005-0000-0000-000065DA0000}"/>
    <cellStyle name="Normal 9 2 6 2 4 2 2 2" xfId="58181" xr:uid="{00000000-0005-0000-0000-000066DA0000}"/>
    <cellStyle name="Normal 9 2 6 2 4 2 3" xfId="44619" xr:uid="{00000000-0005-0000-0000-000067DA0000}"/>
    <cellStyle name="Normal 9 2 6 2 4 3" xfId="24267" xr:uid="{00000000-0005-0000-0000-000068DA0000}"/>
    <cellStyle name="Normal 9 2 6 2 4 3 2" xfId="51400" xr:uid="{00000000-0005-0000-0000-000069DA0000}"/>
    <cellStyle name="Normal 9 2 6 2 4 4" xfId="37838" xr:uid="{00000000-0005-0000-0000-00006ADA0000}"/>
    <cellStyle name="Normal 9 2 6 2 5" xfId="14091" xr:uid="{00000000-0005-0000-0000-00006BDA0000}"/>
    <cellStyle name="Normal 9 2 6 2 5 2" xfId="27659" xr:uid="{00000000-0005-0000-0000-00006CDA0000}"/>
    <cellStyle name="Normal 9 2 6 2 5 2 2" xfId="54792" xr:uid="{00000000-0005-0000-0000-00006DDA0000}"/>
    <cellStyle name="Normal 9 2 6 2 5 3" xfId="41230" xr:uid="{00000000-0005-0000-0000-00006EDA0000}"/>
    <cellStyle name="Normal 9 2 6 2 6" xfId="20878" xr:uid="{00000000-0005-0000-0000-00006FDA0000}"/>
    <cellStyle name="Normal 9 2 6 2 6 2" xfId="48011" xr:uid="{00000000-0005-0000-0000-000070DA0000}"/>
    <cellStyle name="Normal 9 2 6 2 7" xfId="34449" xr:uid="{00000000-0005-0000-0000-000071DA0000}"/>
    <cellStyle name="Normal 9 2 6 3" xfId="7168" xr:uid="{00000000-0005-0000-0000-000072DA0000}"/>
    <cellStyle name="Normal 9 2 6 3 2" xfId="10693" xr:uid="{00000000-0005-0000-0000-000073DA0000}"/>
    <cellStyle name="Normal 9 2 6 3 2 2" xfId="17483" xr:uid="{00000000-0005-0000-0000-000074DA0000}"/>
    <cellStyle name="Normal 9 2 6 3 2 2 2" xfId="31051" xr:uid="{00000000-0005-0000-0000-000075DA0000}"/>
    <cellStyle name="Normal 9 2 6 3 2 2 2 2" xfId="58184" xr:uid="{00000000-0005-0000-0000-000076DA0000}"/>
    <cellStyle name="Normal 9 2 6 3 2 2 3" xfId="44622" xr:uid="{00000000-0005-0000-0000-000077DA0000}"/>
    <cellStyle name="Normal 9 2 6 3 2 3" xfId="24270" xr:uid="{00000000-0005-0000-0000-000078DA0000}"/>
    <cellStyle name="Normal 9 2 6 3 2 3 2" xfId="51403" xr:uid="{00000000-0005-0000-0000-000079DA0000}"/>
    <cellStyle name="Normal 9 2 6 3 2 4" xfId="37841" xr:uid="{00000000-0005-0000-0000-00007ADA0000}"/>
    <cellStyle name="Normal 9 2 6 3 3" xfId="14094" xr:uid="{00000000-0005-0000-0000-00007BDA0000}"/>
    <cellStyle name="Normal 9 2 6 3 3 2" xfId="27662" xr:uid="{00000000-0005-0000-0000-00007CDA0000}"/>
    <cellStyle name="Normal 9 2 6 3 3 2 2" xfId="54795" xr:uid="{00000000-0005-0000-0000-00007DDA0000}"/>
    <cellStyle name="Normal 9 2 6 3 3 3" xfId="41233" xr:uid="{00000000-0005-0000-0000-00007EDA0000}"/>
    <cellStyle name="Normal 9 2 6 3 4" xfId="20881" xr:uid="{00000000-0005-0000-0000-00007FDA0000}"/>
    <cellStyle name="Normal 9 2 6 3 4 2" xfId="48014" xr:uid="{00000000-0005-0000-0000-000080DA0000}"/>
    <cellStyle name="Normal 9 2 6 3 5" xfId="34452" xr:uid="{00000000-0005-0000-0000-000081DA0000}"/>
    <cellStyle name="Normal 9 2 6 4" xfId="7169" xr:uid="{00000000-0005-0000-0000-000082DA0000}"/>
    <cellStyle name="Normal 9 2 6 4 2" xfId="10694" xr:uid="{00000000-0005-0000-0000-000083DA0000}"/>
    <cellStyle name="Normal 9 2 6 4 2 2" xfId="17484" xr:uid="{00000000-0005-0000-0000-000084DA0000}"/>
    <cellStyle name="Normal 9 2 6 4 2 2 2" xfId="31052" xr:uid="{00000000-0005-0000-0000-000085DA0000}"/>
    <cellStyle name="Normal 9 2 6 4 2 2 2 2" xfId="58185" xr:uid="{00000000-0005-0000-0000-000086DA0000}"/>
    <cellStyle name="Normal 9 2 6 4 2 2 3" xfId="44623" xr:uid="{00000000-0005-0000-0000-000087DA0000}"/>
    <cellStyle name="Normal 9 2 6 4 2 3" xfId="24271" xr:uid="{00000000-0005-0000-0000-000088DA0000}"/>
    <cellStyle name="Normal 9 2 6 4 2 3 2" xfId="51404" xr:uid="{00000000-0005-0000-0000-000089DA0000}"/>
    <cellStyle name="Normal 9 2 6 4 2 4" xfId="37842" xr:uid="{00000000-0005-0000-0000-00008ADA0000}"/>
    <cellStyle name="Normal 9 2 6 4 3" xfId="14095" xr:uid="{00000000-0005-0000-0000-00008BDA0000}"/>
    <cellStyle name="Normal 9 2 6 4 3 2" xfId="27663" xr:uid="{00000000-0005-0000-0000-00008CDA0000}"/>
    <cellStyle name="Normal 9 2 6 4 3 2 2" xfId="54796" xr:uid="{00000000-0005-0000-0000-00008DDA0000}"/>
    <cellStyle name="Normal 9 2 6 4 3 3" xfId="41234" xr:uid="{00000000-0005-0000-0000-00008EDA0000}"/>
    <cellStyle name="Normal 9 2 6 4 4" xfId="20882" xr:uid="{00000000-0005-0000-0000-00008FDA0000}"/>
    <cellStyle name="Normal 9 2 6 4 4 2" xfId="48015" xr:uid="{00000000-0005-0000-0000-000090DA0000}"/>
    <cellStyle name="Normal 9 2 6 4 5" xfId="34453" xr:uid="{00000000-0005-0000-0000-000091DA0000}"/>
    <cellStyle name="Normal 9 2 6 5" xfId="10689" xr:uid="{00000000-0005-0000-0000-000092DA0000}"/>
    <cellStyle name="Normal 9 2 6 5 2" xfId="17479" xr:uid="{00000000-0005-0000-0000-000093DA0000}"/>
    <cellStyle name="Normal 9 2 6 5 2 2" xfId="31047" xr:uid="{00000000-0005-0000-0000-000094DA0000}"/>
    <cellStyle name="Normal 9 2 6 5 2 2 2" xfId="58180" xr:uid="{00000000-0005-0000-0000-000095DA0000}"/>
    <cellStyle name="Normal 9 2 6 5 2 3" xfId="44618" xr:uid="{00000000-0005-0000-0000-000096DA0000}"/>
    <cellStyle name="Normal 9 2 6 5 3" xfId="24266" xr:uid="{00000000-0005-0000-0000-000097DA0000}"/>
    <cellStyle name="Normal 9 2 6 5 3 2" xfId="51399" xr:uid="{00000000-0005-0000-0000-000098DA0000}"/>
    <cellStyle name="Normal 9 2 6 5 4" xfId="37837" xr:uid="{00000000-0005-0000-0000-000099DA0000}"/>
    <cellStyle name="Normal 9 2 6 6" xfId="14090" xr:uid="{00000000-0005-0000-0000-00009ADA0000}"/>
    <cellStyle name="Normal 9 2 6 6 2" xfId="27658" xr:uid="{00000000-0005-0000-0000-00009BDA0000}"/>
    <cellStyle name="Normal 9 2 6 6 2 2" xfId="54791" xr:uid="{00000000-0005-0000-0000-00009CDA0000}"/>
    <cellStyle name="Normal 9 2 6 6 3" xfId="41229" xr:uid="{00000000-0005-0000-0000-00009DDA0000}"/>
    <cellStyle name="Normal 9 2 6 7" xfId="20877" xr:uid="{00000000-0005-0000-0000-00009EDA0000}"/>
    <cellStyle name="Normal 9 2 6 7 2" xfId="48010" xr:uid="{00000000-0005-0000-0000-00009FDA0000}"/>
    <cellStyle name="Normal 9 2 6 8" xfId="34448" xr:uid="{00000000-0005-0000-0000-0000A0DA0000}"/>
    <cellStyle name="Normal 9 2 7" xfId="7170" xr:uid="{00000000-0005-0000-0000-0000A1DA0000}"/>
    <cellStyle name="Normal 9 2 7 2" xfId="7171" xr:uid="{00000000-0005-0000-0000-0000A2DA0000}"/>
    <cellStyle name="Normal 9 2 7 2 2" xfId="7172" xr:uid="{00000000-0005-0000-0000-0000A3DA0000}"/>
    <cellStyle name="Normal 9 2 7 2 2 2" xfId="10697" xr:uid="{00000000-0005-0000-0000-0000A4DA0000}"/>
    <cellStyle name="Normal 9 2 7 2 2 2 2" xfId="17487" xr:uid="{00000000-0005-0000-0000-0000A5DA0000}"/>
    <cellStyle name="Normal 9 2 7 2 2 2 2 2" xfId="31055" xr:uid="{00000000-0005-0000-0000-0000A6DA0000}"/>
    <cellStyle name="Normal 9 2 7 2 2 2 2 2 2" xfId="58188" xr:uid="{00000000-0005-0000-0000-0000A7DA0000}"/>
    <cellStyle name="Normal 9 2 7 2 2 2 2 3" xfId="44626" xr:uid="{00000000-0005-0000-0000-0000A8DA0000}"/>
    <cellStyle name="Normal 9 2 7 2 2 2 3" xfId="24274" xr:uid="{00000000-0005-0000-0000-0000A9DA0000}"/>
    <cellStyle name="Normal 9 2 7 2 2 2 3 2" xfId="51407" xr:uid="{00000000-0005-0000-0000-0000AADA0000}"/>
    <cellStyle name="Normal 9 2 7 2 2 2 4" xfId="37845" xr:uid="{00000000-0005-0000-0000-0000ABDA0000}"/>
    <cellStyle name="Normal 9 2 7 2 2 3" xfId="14098" xr:uid="{00000000-0005-0000-0000-0000ACDA0000}"/>
    <cellStyle name="Normal 9 2 7 2 2 3 2" xfId="27666" xr:uid="{00000000-0005-0000-0000-0000ADDA0000}"/>
    <cellStyle name="Normal 9 2 7 2 2 3 2 2" xfId="54799" xr:uid="{00000000-0005-0000-0000-0000AEDA0000}"/>
    <cellStyle name="Normal 9 2 7 2 2 3 3" xfId="41237" xr:uid="{00000000-0005-0000-0000-0000AFDA0000}"/>
    <cellStyle name="Normal 9 2 7 2 2 4" xfId="20885" xr:uid="{00000000-0005-0000-0000-0000B0DA0000}"/>
    <cellStyle name="Normal 9 2 7 2 2 4 2" xfId="48018" xr:uid="{00000000-0005-0000-0000-0000B1DA0000}"/>
    <cellStyle name="Normal 9 2 7 2 2 5" xfId="34456" xr:uid="{00000000-0005-0000-0000-0000B2DA0000}"/>
    <cellStyle name="Normal 9 2 7 2 3" xfId="7173" xr:uid="{00000000-0005-0000-0000-0000B3DA0000}"/>
    <cellStyle name="Normal 9 2 7 2 3 2" xfId="10698" xr:uid="{00000000-0005-0000-0000-0000B4DA0000}"/>
    <cellStyle name="Normal 9 2 7 2 3 2 2" xfId="17488" xr:uid="{00000000-0005-0000-0000-0000B5DA0000}"/>
    <cellStyle name="Normal 9 2 7 2 3 2 2 2" xfId="31056" xr:uid="{00000000-0005-0000-0000-0000B6DA0000}"/>
    <cellStyle name="Normal 9 2 7 2 3 2 2 2 2" xfId="58189" xr:uid="{00000000-0005-0000-0000-0000B7DA0000}"/>
    <cellStyle name="Normal 9 2 7 2 3 2 2 3" xfId="44627" xr:uid="{00000000-0005-0000-0000-0000B8DA0000}"/>
    <cellStyle name="Normal 9 2 7 2 3 2 3" xfId="24275" xr:uid="{00000000-0005-0000-0000-0000B9DA0000}"/>
    <cellStyle name="Normal 9 2 7 2 3 2 3 2" xfId="51408" xr:uid="{00000000-0005-0000-0000-0000BADA0000}"/>
    <cellStyle name="Normal 9 2 7 2 3 2 4" xfId="37846" xr:uid="{00000000-0005-0000-0000-0000BBDA0000}"/>
    <cellStyle name="Normal 9 2 7 2 3 3" xfId="14099" xr:uid="{00000000-0005-0000-0000-0000BCDA0000}"/>
    <cellStyle name="Normal 9 2 7 2 3 3 2" xfId="27667" xr:uid="{00000000-0005-0000-0000-0000BDDA0000}"/>
    <cellStyle name="Normal 9 2 7 2 3 3 2 2" xfId="54800" xr:uid="{00000000-0005-0000-0000-0000BEDA0000}"/>
    <cellStyle name="Normal 9 2 7 2 3 3 3" xfId="41238" xr:uid="{00000000-0005-0000-0000-0000BFDA0000}"/>
    <cellStyle name="Normal 9 2 7 2 3 4" xfId="20886" xr:uid="{00000000-0005-0000-0000-0000C0DA0000}"/>
    <cellStyle name="Normal 9 2 7 2 3 4 2" xfId="48019" xr:uid="{00000000-0005-0000-0000-0000C1DA0000}"/>
    <cellStyle name="Normal 9 2 7 2 3 5" xfId="34457" xr:uid="{00000000-0005-0000-0000-0000C2DA0000}"/>
    <cellStyle name="Normal 9 2 7 2 4" xfId="10696" xr:uid="{00000000-0005-0000-0000-0000C3DA0000}"/>
    <cellStyle name="Normal 9 2 7 2 4 2" xfId="17486" xr:uid="{00000000-0005-0000-0000-0000C4DA0000}"/>
    <cellStyle name="Normal 9 2 7 2 4 2 2" xfId="31054" xr:uid="{00000000-0005-0000-0000-0000C5DA0000}"/>
    <cellStyle name="Normal 9 2 7 2 4 2 2 2" xfId="58187" xr:uid="{00000000-0005-0000-0000-0000C6DA0000}"/>
    <cellStyle name="Normal 9 2 7 2 4 2 3" xfId="44625" xr:uid="{00000000-0005-0000-0000-0000C7DA0000}"/>
    <cellStyle name="Normal 9 2 7 2 4 3" xfId="24273" xr:uid="{00000000-0005-0000-0000-0000C8DA0000}"/>
    <cellStyle name="Normal 9 2 7 2 4 3 2" xfId="51406" xr:uid="{00000000-0005-0000-0000-0000C9DA0000}"/>
    <cellStyle name="Normal 9 2 7 2 4 4" xfId="37844" xr:uid="{00000000-0005-0000-0000-0000CADA0000}"/>
    <cellStyle name="Normal 9 2 7 2 5" xfId="14097" xr:uid="{00000000-0005-0000-0000-0000CBDA0000}"/>
    <cellStyle name="Normal 9 2 7 2 5 2" xfId="27665" xr:uid="{00000000-0005-0000-0000-0000CCDA0000}"/>
    <cellStyle name="Normal 9 2 7 2 5 2 2" xfId="54798" xr:uid="{00000000-0005-0000-0000-0000CDDA0000}"/>
    <cellStyle name="Normal 9 2 7 2 5 3" xfId="41236" xr:uid="{00000000-0005-0000-0000-0000CEDA0000}"/>
    <cellStyle name="Normal 9 2 7 2 6" xfId="20884" xr:uid="{00000000-0005-0000-0000-0000CFDA0000}"/>
    <cellStyle name="Normal 9 2 7 2 6 2" xfId="48017" xr:uid="{00000000-0005-0000-0000-0000D0DA0000}"/>
    <cellStyle name="Normal 9 2 7 2 7" xfId="34455" xr:uid="{00000000-0005-0000-0000-0000D1DA0000}"/>
    <cellStyle name="Normal 9 2 7 3" xfId="7174" xr:uid="{00000000-0005-0000-0000-0000D2DA0000}"/>
    <cellStyle name="Normal 9 2 7 3 2" xfId="10699" xr:uid="{00000000-0005-0000-0000-0000D3DA0000}"/>
    <cellStyle name="Normal 9 2 7 3 2 2" xfId="17489" xr:uid="{00000000-0005-0000-0000-0000D4DA0000}"/>
    <cellStyle name="Normal 9 2 7 3 2 2 2" xfId="31057" xr:uid="{00000000-0005-0000-0000-0000D5DA0000}"/>
    <cellStyle name="Normal 9 2 7 3 2 2 2 2" xfId="58190" xr:uid="{00000000-0005-0000-0000-0000D6DA0000}"/>
    <cellStyle name="Normal 9 2 7 3 2 2 3" xfId="44628" xr:uid="{00000000-0005-0000-0000-0000D7DA0000}"/>
    <cellStyle name="Normal 9 2 7 3 2 3" xfId="24276" xr:uid="{00000000-0005-0000-0000-0000D8DA0000}"/>
    <cellStyle name="Normal 9 2 7 3 2 3 2" xfId="51409" xr:uid="{00000000-0005-0000-0000-0000D9DA0000}"/>
    <cellStyle name="Normal 9 2 7 3 2 4" xfId="37847" xr:uid="{00000000-0005-0000-0000-0000DADA0000}"/>
    <cellStyle name="Normal 9 2 7 3 3" xfId="14100" xr:uid="{00000000-0005-0000-0000-0000DBDA0000}"/>
    <cellStyle name="Normal 9 2 7 3 3 2" xfId="27668" xr:uid="{00000000-0005-0000-0000-0000DCDA0000}"/>
    <cellStyle name="Normal 9 2 7 3 3 2 2" xfId="54801" xr:uid="{00000000-0005-0000-0000-0000DDDA0000}"/>
    <cellStyle name="Normal 9 2 7 3 3 3" xfId="41239" xr:uid="{00000000-0005-0000-0000-0000DEDA0000}"/>
    <cellStyle name="Normal 9 2 7 3 4" xfId="20887" xr:uid="{00000000-0005-0000-0000-0000DFDA0000}"/>
    <cellStyle name="Normal 9 2 7 3 4 2" xfId="48020" xr:uid="{00000000-0005-0000-0000-0000E0DA0000}"/>
    <cellStyle name="Normal 9 2 7 3 5" xfId="34458" xr:uid="{00000000-0005-0000-0000-0000E1DA0000}"/>
    <cellStyle name="Normal 9 2 7 4" xfId="7175" xr:uid="{00000000-0005-0000-0000-0000E2DA0000}"/>
    <cellStyle name="Normal 9 2 7 4 2" xfId="10700" xr:uid="{00000000-0005-0000-0000-0000E3DA0000}"/>
    <cellStyle name="Normal 9 2 7 4 2 2" xfId="17490" xr:uid="{00000000-0005-0000-0000-0000E4DA0000}"/>
    <cellStyle name="Normal 9 2 7 4 2 2 2" xfId="31058" xr:uid="{00000000-0005-0000-0000-0000E5DA0000}"/>
    <cellStyle name="Normal 9 2 7 4 2 2 2 2" xfId="58191" xr:uid="{00000000-0005-0000-0000-0000E6DA0000}"/>
    <cellStyle name="Normal 9 2 7 4 2 2 3" xfId="44629" xr:uid="{00000000-0005-0000-0000-0000E7DA0000}"/>
    <cellStyle name="Normal 9 2 7 4 2 3" xfId="24277" xr:uid="{00000000-0005-0000-0000-0000E8DA0000}"/>
    <cellStyle name="Normal 9 2 7 4 2 3 2" xfId="51410" xr:uid="{00000000-0005-0000-0000-0000E9DA0000}"/>
    <cellStyle name="Normal 9 2 7 4 2 4" xfId="37848" xr:uid="{00000000-0005-0000-0000-0000EADA0000}"/>
    <cellStyle name="Normal 9 2 7 4 3" xfId="14101" xr:uid="{00000000-0005-0000-0000-0000EBDA0000}"/>
    <cellStyle name="Normal 9 2 7 4 3 2" xfId="27669" xr:uid="{00000000-0005-0000-0000-0000ECDA0000}"/>
    <cellStyle name="Normal 9 2 7 4 3 2 2" xfId="54802" xr:uid="{00000000-0005-0000-0000-0000EDDA0000}"/>
    <cellStyle name="Normal 9 2 7 4 3 3" xfId="41240" xr:uid="{00000000-0005-0000-0000-0000EEDA0000}"/>
    <cellStyle name="Normal 9 2 7 4 4" xfId="20888" xr:uid="{00000000-0005-0000-0000-0000EFDA0000}"/>
    <cellStyle name="Normal 9 2 7 4 4 2" xfId="48021" xr:uid="{00000000-0005-0000-0000-0000F0DA0000}"/>
    <cellStyle name="Normal 9 2 7 4 5" xfId="34459" xr:uid="{00000000-0005-0000-0000-0000F1DA0000}"/>
    <cellStyle name="Normal 9 2 7 5" xfId="10695" xr:uid="{00000000-0005-0000-0000-0000F2DA0000}"/>
    <cellStyle name="Normal 9 2 7 5 2" xfId="17485" xr:uid="{00000000-0005-0000-0000-0000F3DA0000}"/>
    <cellStyle name="Normal 9 2 7 5 2 2" xfId="31053" xr:uid="{00000000-0005-0000-0000-0000F4DA0000}"/>
    <cellStyle name="Normal 9 2 7 5 2 2 2" xfId="58186" xr:uid="{00000000-0005-0000-0000-0000F5DA0000}"/>
    <cellStyle name="Normal 9 2 7 5 2 3" xfId="44624" xr:uid="{00000000-0005-0000-0000-0000F6DA0000}"/>
    <cellStyle name="Normal 9 2 7 5 3" xfId="24272" xr:uid="{00000000-0005-0000-0000-0000F7DA0000}"/>
    <cellStyle name="Normal 9 2 7 5 3 2" xfId="51405" xr:uid="{00000000-0005-0000-0000-0000F8DA0000}"/>
    <cellStyle name="Normal 9 2 7 5 4" xfId="37843" xr:uid="{00000000-0005-0000-0000-0000F9DA0000}"/>
    <cellStyle name="Normal 9 2 7 6" xfId="14096" xr:uid="{00000000-0005-0000-0000-0000FADA0000}"/>
    <cellStyle name="Normal 9 2 7 6 2" xfId="27664" xr:uid="{00000000-0005-0000-0000-0000FBDA0000}"/>
    <cellStyle name="Normal 9 2 7 6 2 2" xfId="54797" xr:uid="{00000000-0005-0000-0000-0000FCDA0000}"/>
    <cellStyle name="Normal 9 2 7 6 3" xfId="41235" xr:uid="{00000000-0005-0000-0000-0000FDDA0000}"/>
    <cellStyle name="Normal 9 2 7 7" xfId="20883" xr:uid="{00000000-0005-0000-0000-0000FEDA0000}"/>
    <cellStyle name="Normal 9 2 7 7 2" xfId="48016" xr:uid="{00000000-0005-0000-0000-0000FFDA0000}"/>
    <cellStyle name="Normal 9 2 7 8" xfId="34454" xr:uid="{00000000-0005-0000-0000-000000DB0000}"/>
    <cellStyle name="Normal 9 2 8" xfId="7176" xr:uid="{00000000-0005-0000-0000-000001DB0000}"/>
    <cellStyle name="Normal 9 2 8 2" xfId="7177" xr:uid="{00000000-0005-0000-0000-000002DB0000}"/>
    <cellStyle name="Normal 9 2 8 2 2" xfId="10702" xr:uid="{00000000-0005-0000-0000-000003DB0000}"/>
    <cellStyle name="Normal 9 2 8 2 2 2" xfId="17492" xr:uid="{00000000-0005-0000-0000-000004DB0000}"/>
    <cellStyle name="Normal 9 2 8 2 2 2 2" xfId="31060" xr:uid="{00000000-0005-0000-0000-000005DB0000}"/>
    <cellStyle name="Normal 9 2 8 2 2 2 2 2" xfId="58193" xr:uid="{00000000-0005-0000-0000-000006DB0000}"/>
    <cellStyle name="Normal 9 2 8 2 2 2 3" xfId="44631" xr:uid="{00000000-0005-0000-0000-000007DB0000}"/>
    <cellStyle name="Normal 9 2 8 2 2 3" xfId="24279" xr:uid="{00000000-0005-0000-0000-000008DB0000}"/>
    <cellStyle name="Normal 9 2 8 2 2 3 2" xfId="51412" xr:uid="{00000000-0005-0000-0000-000009DB0000}"/>
    <cellStyle name="Normal 9 2 8 2 2 4" xfId="37850" xr:uid="{00000000-0005-0000-0000-00000ADB0000}"/>
    <cellStyle name="Normal 9 2 8 2 3" xfId="14103" xr:uid="{00000000-0005-0000-0000-00000BDB0000}"/>
    <cellStyle name="Normal 9 2 8 2 3 2" xfId="27671" xr:uid="{00000000-0005-0000-0000-00000CDB0000}"/>
    <cellStyle name="Normal 9 2 8 2 3 2 2" xfId="54804" xr:uid="{00000000-0005-0000-0000-00000DDB0000}"/>
    <cellStyle name="Normal 9 2 8 2 3 3" xfId="41242" xr:uid="{00000000-0005-0000-0000-00000EDB0000}"/>
    <cellStyle name="Normal 9 2 8 2 4" xfId="20890" xr:uid="{00000000-0005-0000-0000-00000FDB0000}"/>
    <cellStyle name="Normal 9 2 8 2 4 2" xfId="48023" xr:uid="{00000000-0005-0000-0000-000010DB0000}"/>
    <cellStyle name="Normal 9 2 8 2 5" xfId="34461" xr:uid="{00000000-0005-0000-0000-000011DB0000}"/>
    <cellStyle name="Normal 9 2 8 3" xfId="7178" xr:uid="{00000000-0005-0000-0000-000012DB0000}"/>
    <cellStyle name="Normal 9 2 8 3 2" xfId="10703" xr:uid="{00000000-0005-0000-0000-000013DB0000}"/>
    <cellStyle name="Normal 9 2 8 3 2 2" xfId="17493" xr:uid="{00000000-0005-0000-0000-000014DB0000}"/>
    <cellStyle name="Normal 9 2 8 3 2 2 2" xfId="31061" xr:uid="{00000000-0005-0000-0000-000015DB0000}"/>
    <cellStyle name="Normal 9 2 8 3 2 2 2 2" xfId="58194" xr:uid="{00000000-0005-0000-0000-000016DB0000}"/>
    <cellStyle name="Normal 9 2 8 3 2 2 3" xfId="44632" xr:uid="{00000000-0005-0000-0000-000017DB0000}"/>
    <cellStyle name="Normal 9 2 8 3 2 3" xfId="24280" xr:uid="{00000000-0005-0000-0000-000018DB0000}"/>
    <cellStyle name="Normal 9 2 8 3 2 3 2" xfId="51413" xr:uid="{00000000-0005-0000-0000-000019DB0000}"/>
    <cellStyle name="Normal 9 2 8 3 2 4" xfId="37851" xr:uid="{00000000-0005-0000-0000-00001ADB0000}"/>
    <cellStyle name="Normal 9 2 8 3 3" xfId="14104" xr:uid="{00000000-0005-0000-0000-00001BDB0000}"/>
    <cellStyle name="Normal 9 2 8 3 3 2" xfId="27672" xr:uid="{00000000-0005-0000-0000-00001CDB0000}"/>
    <cellStyle name="Normal 9 2 8 3 3 2 2" xfId="54805" xr:uid="{00000000-0005-0000-0000-00001DDB0000}"/>
    <cellStyle name="Normal 9 2 8 3 3 3" xfId="41243" xr:uid="{00000000-0005-0000-0000-00001EDB0000}"/>
    <cellStyle name="Normal 9 2 8 3 4" xfId="20891" xr:uid="{00000000-0005-0000-0000-00001FDB0000}"/>
    <cellStyle name="Normal 9 2 8 3 4 2" xfId="48024" xr:uid="{00000000-0005-0000-0000-000020DB0000}"/>
    <cellStyle name="Normal 9 2 8 3 5" xfId="34462" xr:uid="{00000000-0005-0000-0000-000021DB0000}"/>
    <cellStyle name="Normal 9 2 8 4" xfId="10701" xr:uid="{00000000-0005-0000-0000-000022DB0000}"/>
    <cellStyle name="Normal 9 2 8 4 2" xfId="17491" xr:uid="{00000000-0005-0000-0000-000023DB0000}"/>
    <cellStyle name="Normal 9 2 8 4 2 2" xfId="31059" xr:uid="{00000000-0005-0000-0000-000024DB0000}"/>
    <cellStyle name="Normal 9 2 8 4 2 2 2" xfId="58192" xr:uid="{00000000-0005-0000-0000-000025DB0000}"/>
    <cellStyle name="Normal 9 2 8 4 2 3" xfId="44630" xr:uid="{00000000-0005-0000-0000-000026DB0000}"/>
    <cellStyle name="Normal 9 2 8 4 3" xfId="24278" xr:uid="{00000000-0005-0000-0000-000027DB0000}"/>
    <cellStyle name="Normal 9 2 8 4 3 2" xfId="51411" xr:uid="{00000000-0005-0000-0000-000028DB0000}"/>
    <cellStyle name="Normal 9 2 8 4 4" xfId="37849" xr:uid="{00000000-0005-0000-0000-000029DB0000}"/>
    <cellStyle name="Normal 9 2 8 5" xfId="14102" xr:uid="{00000000-0005-0000-0000-00002ADB0000}"/>
    <cellStyle name="Normal 9 2 8 5 2" xfId="27670" xr:uid="{00000000-0005-0000-0000-00002BDB0000}"/>
    <cellStyle name="Normal 9 2 8 5 2 2" xfId="54803" xr:uid="{00000000-0005-0000-0000-00002CDB0000}"/>
    <cellStyle name="Normal 9 2 8 5 3" xfId="41241" xr:uid="{00000000-0005-0000-0000-00002DDB0000}"/>
    <cellStyle name="Normal 9 2 8 6" xfId="20889" xr:uid="{00000000-0005-0000-0000-00002EDB0000}"/>
    <cellStyle name="Normal 9 2 8 6 2" xfId="48022" xr:uid="{00000000-0005-0000-0000-00002FDB0000}"/>
    <cellStyle name="Normal 9 2 8 7" xfId="34460" xr:uid="{00000000-0005-0000-0000-000030DB0000}"/>
    <cellStyle name="Normal 9 2 9" xfId="7179" xr:uid="{00000000-0005-0000-0000-000031DB0000}"/>
    <cellStyle name="Normal 9 2 9 2" xfId="7180" xr:uid="{00000000-0005-0000-0000-000032DB0000}"/>
    <cellStyle name="Normal 9 2 9 2 2" xfId="10705" xr:uid="{00000000-0005-0000-0000-000033DB0000}"/>
    <cellStyle name="Normal 9 2 9 2 2 2" xfId="17495" xr:uid="{00000000-0005-0000-0000-000034DB0000}"/>
    <cellStyle name="Normal 9 2 9 2 2 2 2" xfId="31063" xr:uid="{00000000-0005-0000-0000-000035DB0000}"/>
    <cellStyle name="Normal 9 2 9 2 2 2 2 2" xfId="58196" xr:uid="{00000000-0005-0000-0000-000036DB0000}"/>
    <cellStyle name="Normal 9 2 9 2 2 2 3" xfId="44634" xr:uid="{00000000-0005-0000-0000-000037DB0000}"/>
    <cellStyle name="Normal 9 2 9 2 2 3" xfId="24282" xr:uid="{00000000-0005-0000-0000-000038DB0000}"/>
    <cellStyle name="Normal 9 2 9 2 2 3 2" xfId="51415" xr:uid="{00000000-0005-0000-0000-000039DB0000}"/>
    <cellStyle name="Normal 9 2 9 2 2 4" xfId="37853" xr:uid="{00000000-0005-0000-0000-00003ADB0000}"/>
    <cellStyle name="Normal 9 2 9 2 3" xfId="14106" xr:uid="{00000000-0005-0000-0000-00003BDB0000}"/>
    <cellStyle name="Normal 9 2 9 2 3 2" xfId="27674" xr:uid="{00000000-0005-0000-0000-00003CDB0000}"/>
    <cellStyle name="Normal 9 2 9 2 3 2 2" xfId="54807" xr:uid="{00000000-0005-0000-0000-00003DDB0000}"/>
    <cellStyle name="Normal 9 2 9 2 3 3" xfId="41245" xr:uid="{00000000-0005-0000-0000-00003EDB0000}"/>
    <cellStyle name="Normal 9 2 9 2 4" xfId="20893" xr:uid="{00000000-0005-0000-0000-00003FDB0000}"/>
    <cellStyle name="Normal 9 2 9 2 4 2" xfId="48026" xr:uid="{00000000-0005-0000-0000-000040DB0000}"/>
    <cellStyle name="Normal 9 2 9 2 5" xfId="34464" xr:uid="{00000000-0005-0000-0000-000041DB0000}"/>
    <cellStyle name="Normal 9 2 9 3" xfId="7181" xr:uid="{00000000-0005-0000-0000-000042DB0000}"/>
    <cellStyle name="Normal 9 2 9 3 2" xfId="10706" xr:uid="{00000000-0005-0000-0000-000043DB0000}"/>
    <cellStyle name="Normal 9 2 9 3 2 2" xfId="17496" xr:uid="{00000000-0005-0000-0000-000044DB0000}"/>
    <cellStyle name="Normal 9 2 9 3 2 2 2" xfId="31064" xr:uid="{00000000-0005-0000-0000-000045DB0000}"/>
    <cellStyle name="Normal 9 2 9 3 2 2 2 2" xfId="58197" xr:uid="{00000000-0005-0000-0000-000046DB0000}"/>
    <cellStyle name="Normal 9 2 9 3 2 2 3" xfId="44635" xr:uid="{00000000-0005-0000-0000-000047DB0000}"/>
    <cellStyle name="Normal 9 2 9 3 2 3" xfId="24283" xr:uid="{00000000-0005-0000-0000-000048DB0000}"/>
    <cellStyle name="Normal 9 2 9 3 2 3 2" xfId="51416" xr:uid="{00000000-0005-0000-0000-000049DB0000}"/>
    <cellStyle name="Normal 9 2 9 3 2 4" xfId="37854" xr:uid="{00000000-0005-0000-0000-00004ADB0000}"/>
    <cellStyle name="Normal 9 2 9 3 3" xfId="14107" xr:uid="{00000000-0005-0000-0000-00004BDB0000}"/>
    <cellStyle name="Normal 9 2 9 3 3 2" xfId="27675" xr:uid="{00000000-0005-0000-0000-00004CDB0000}"/>
    <cellStyle name="Normal 9 2 9 3 3 2 2" xfId="54808" xr:uid="{00000000-0005-0000-0000-00004DDB0000}"/>
    <cellStyle name="Normal 9 2 9 3 3 3" xfId="41246" xr:uid="{00000000-0005-0000-0000-00004EDB0000}"/>
    <cellStyle name="Normal 9 2 9 3 4" xfId="20894" xr:uid="{00000000-0005-0000-0000-00004FDB0000}"/>
    <cellStyle name="Normal 9 2 9 3 4 2" xfId="48027" xr:uid="{00000000-0005-0000-0000-000050DB0000}"/>
    <cellStyle name="Normal 9 2 9 3 5" xfId="34465" xr:uid="{00000000-0005-0000-0000-000051DB0000}"/>
    <cellStyle name="Normal 9 2 9 4" xfId="10704" xr:uid="{00000000-0005-0000-0000-000052DB0000}"/>
    <cellStyle name="Normal 9 2 9 4 2" xfId="17494" xr:uid="{00000000-0005-0000-0000-000053DB0000}"/>
    <cellStyle name="Normal 9 2 9 4 2 2" xfId="31062" xr:uid="{00000000-0005-0000-0000-000054DB0000}"/>
    <cellStyle name="Normal 9 2 9 4 2 2 2" xfId="58195" xr:uid="{00000000-0005-0000-0000-000055DB0000}"/>
    <cellStyle name="Normal 9 2 9 4 2 3" xfId="44633" xr:uid="{00000000-0005-0000-0000-000056DB0000}"/>
    <cellStyle name="Normal 9 2 9 4 3" xfId="24281" xr:uid="{00000000-0005-0000-0000-000057DB0000}"/>
    <cellStyle name="Normal 9 2 9 4 3 2" xfId="51414" xr:uid="{00000000-0005-0000-0000-000058DB0000}"/>
    <cellStyle name="Normal 9 2 9 4 4" xfId="37852" xr:uid="{00000000-0005-0000-0000-000059DB0000}"/>
    <cellStyle name="Normal 9 2 9 5" xfId="14105" xr:uid="{00000000-0005-0000-0000-00005ADB0000}"/>
    <cellStyle name="Normal 9 2 9 5 2" xfId="27673" xr:uid="{00000000-0005-0000-0000-00005BDB0000}"/>
    <cellStyle name="Normal 9 2 9 5 2 2" xfId="54806" xr:uid="{00000000-0005-0000-0000-00005CDB0000}"/>
    <cellStyle name="Normal 9 2 9 5 3" xfId="41244" xr:uid="{00000000-0005-0000-0000-00005DDB0000}"/>
    <cellStyle name="Normal 9 2 9 6" xfId="20892" xr:uid="{00000000-0005-0000-0000-00005EDB0000}"/>
    <cellStyle name="Normal 9 2 9 6 2" xfId="48025" xr:uid="{00000000-0005-0000-0000-00005FDB0000}"/>
    <cellStyle name="Normal 9 2 9 7" xfId="34463" xr:uid="{00000000-0005-0000-0000-000060DB0000}"/>
    <cellStyle name="Normal 9 3" xfId="7182" xr:uid="{00000000-0005-0000-0000-000061DB0000}"/>
    <cellStyle name="Normal 9 3 2" xfId="7183" xr:uid="{00000000-0005-0000-0000-000062DB0000}"/>
    <cellStyle name="Normal 9 3 2 2" xfId="7184" xr:uid="{00000000-0005-0000-0000-000063DB0000}"/>
    <cellStyle name="Normal 9 4" xfId="7185" xr:uid="{00000000-0005-0000-0000-000064DB0000}"/>
    <cellStyle name="Normal 9 5" xfId="7186" xr:uid="{00000000-0005-0000-0000-000065DB0000}"/>
    <cellStyle name="Normal 9 5 2" xfId="7187" xr:uid="{00000000-0005-0000-0000-000066DB0000}"/>
    <cellStyle name="Normal 9 5 2 2" xfId="10708" xr:uid="{00000000-0005-0000-0000-000067DB0000}"/>
    <cellStyle name="Normal 9 5 2 2 2" xfId="17498" xr:uid="{00000000-0005-0000-0000-000068DB0000}"/>
    <cellStyle name="Normal 9 5 2 2 2 2" xfId="31066" xr:uid="{00000000-0005-0000-0000-000069DB0000}"/>
    <cellStyle name="Normal 9 5 2 2 2 2 2" xfId="58199" xr:uid="{00000000-0005-0000-0000-00006ADB0000}"/>
    <cellStyle name="Normal 9 5 2 2 2 3" xfId="44637" xr:uid="{00000000-0005-0000-0000-00006BDB0000}"/>
    <cellStyle name="Normal 9 5 2 2 3" xfId="24285" xr:uid="{00000000-0005-0000-0000-00006CDB0000}"/>
    <cellStyle name="Normal 9 5 2 2 3 2" xfId="51418" xr:uid="{00000000-0005-0000-0000-00006DDB0000}"/>
    <cellStyle name="Normal 9 5 2 2 4" xfId="37856" xr:uid="{00000000-0005-0000-0000-00006EDB0000}"/>
    <cellStyle name="Normal 9 5 2 3" xfId="14109" xr:uid="{00000000-0005-0000-0000-00006FDB0000}"/>
    <cellStyle name="Normal 9 5 2 3 2" xfId="27677" xr:uid="{00000000-0005-0000-0000-000070DB0000}"/>
    <cellStyle name="Normal 9 5 2 3 2 2" xfId="54810" xr:uid="{00000000-0005-0000-0000-000071DB0000}"/>
    <cellStyle name="Normal 9 5 2 3 3" xfId="41248" xr:uid="{00000000-0005-0000-0000-000072DB0000}"/>
    <cellStyle name="Normal 9 5 2 4" xfId="20896" xr:uid="{00000000-0005-0000-0000-000073DB0000}"/>
    <cellStyle name="Normal 9 5 2 4 2" xfId="48029" xr:uid="{00000000-0005-0000-0000-000074DB0000}"/>
    <cellStyle name="Normal 9 5 2 5" xfId="34467" xr:uid="{00000000-0005-0000-0000-000075DB0000}"/>
    <cellStyle name="Normal 9 5 3" xfId="7188" xr:uid="{00000000-0005-0000-0000-000076DB0000}"/>
    <cellStyle name="Normal 9 5 3 2" xfId="10709" xr:uid="{00000000-0005-0000-0000-000077DB0000}"/>
    <cellStyle name="Normal 9 5 3 2 2" xfId="17499" xr:uid="{00000000-0005-0000-0000-000078DB0000}"/>
    <cellStyle name="Normal 9 5 3 2 2 2" xfId="31067" xr:uid="{00000000-0005-0000-0000-000079DB0000}"/>
    <cellStyle name="Normal 9 5 3 2 2 2 2" xfId="58200" xr:uid="{00000000-0005-0000-0000-00007ADB0000}"/>
    <cellStyle name="Normal 9 5 3 2 2 3" xfId="44638" xr:uid="{00000000-0005-0000-0000-00007BDB0000}"/>
    <cellStyle name="Normal 9 5 3 2 3" xfId="24286" xr:uid="{00000000-0005-0000-0000-00007CDB0000}"/>
    <cellStyle name="Normal 9 5 3 2 3 2" xfId="51419" xr:uid="{00000000-0005-0000-0000-00007DDB0000}"/>
    <cellStyle name="Normal 9 5 3 2 4" xfId="37857" xr:uid="{00000000-0005-0000-0000-00007EDB0000}"/>
    <cellStyle name="Normal 9 5 3 3" xfId="14110" xr:uid="{00000000-0005-0000-0000-00007FDB0000}"/>
    <cellStyle name="Normal 9 5 3 3 2" xfId="27678" xr:uid="{00000000-0005-0000-0000-000080DB0000}"/>
    <cellStyle name="Normal 9 5 3 3 2 2" xfId="54811" xr:uid="{00000000-0005-0000-0000-000081DB0000}"/>
    <cellStyle name="Normal 9 5 3 3 3" xfId="41249" xr:uid="{00000000-0005-0000-0000-000082DB0000}"/>
    <cellStyle name="Normal 9 5 3 4" xfId="20897" xr:uid="{00000000-0005-0000-0000-000083DB0000}"/>
    <cellStyle name="Normal 9 5 3 4 2" xfId="48030" xr:uid="{00000000-0005-0000-0000-000084DB0000}"/>
    <cellStyle name="Normal 9 5 3 5" xfId="34468" xr:uid="{00000000-0005-0000-0000-000085DB0000}"/>
    <cellStyle name="Normal 9 5 4" xfId="10707" xr:uid="{00000000-0005-0000-0000-000086DB0000}"/>
    <cellStyle name="Normal 9 5 4 2" xfId="17497" xr:uid="{00000000-0005-0000-0000-000087DB0000}"/>
    <cellStyle name="Normal 9 5 4 2 2" xfId="31065" xr:uid="{00000000-0005-0000-0000-000088DB0000}"/>
    <cellStyle name="Normal 9 5 4 2 2 2" xfId="58198" xr:uid="{00000000-0005-0000-0000-000089DB0000}"/>
    <cellStyle name="Normal 9 5 4 2 3" xfId="44636" xr:uid="{00000000-0005-0000-0000-00008ADB0000}"/>
    <cellStyle name="Normal 9 5 4 3" xfId="24284" xr:uid="{00000000-0005-0000-0000-00008BDB0000}"/>
    <cellStyle name="Normal 9 5 4 3 2" xfId="51417" xr:uid="{00000000-0005-0000-0000-00008CDB0000}"/>
    <cellStyle name="Normal 9 5 4 4" xfId="37855" xr:uid="{00000000-0005-0000-0000-00008DDB0000}"/>
    <cellStyle name="Normal 9 5 5" xfId="14108" xr:uid="{00000000-0005-0000-0000-00008EDB0000}"/>
    <cellStyle name="Normal 9 5 5 2" xfId="27676" xr:uid="{00000000-0005-0000-0000-00008FDB0000}"/>
    <cellStyle name="Normal 9 5 5 2 2" xfId="54809" xr:uid="{00000000-0005-0000-0000-000090DB0000}"/>
    <cellStyle name="Normal 9 5 5 3" xfId="41247" xr:uid="{00000000-0005-0000-0000-000091DB0000}"/>
    <cellStyle name="Normal 9 5 6" xfId="20895" xr:uid="{00000000-0005-0000-0000-000092DB0000}"/>
    <cellStyle name="Normal 9 5 6 2" xfId="48028" xr:uid="{00000000-0005-0000-0000-000093DB0000}"/>
    <cellStyle name="Normal 9 5 7" xfId="34466" xr:uid="{00000000-0005-0000-0000-000094DB0000}"/>
    <cellStyle name="Normal 9 6" xfId="7189" xr:uid="{00000000-0005-0000-0000-000095DB0000}"/>
    <cellStyle name="Normal 9 6 2" xfId="10710" xr:uid="{00000000-0005-0000-0000-000096DB0000}"/>
    <cellStyle name="Normal 9 6 2 2" xfId="17500" xr:uid="{00000000-0005-0000-0000-000097DB0000}"/>
    <cellStyle name="Normal 9 6 2 2 2" xfId="31068" xr:uid="{00000000-0005-0000-0000-000098DB0000}"/>
    <cellStyle name="Normal 9 6 2 2 2 2" xfId="58201" xr:uid="{00000000-0005-0000-0000-000099DB0000}"/>
    <cellStyle name="Normal 9 6 2 2 3" xfId="44639" xr:uid="{00000000-0005-0000-0000-00009ADB0000}"/>
    <cellStyle name="Normal 9 6 2 3" xfId="24287" xr:uid="{00000000-0005-0000-0000-00009BDB0000}"/>
    <cellStyle name="Normal 9 6 2 3 2" xfId="51420" xr:uid="{00000000-0005-0000-0000-00009CDB0000}"/>
    <cellStyle name="Normal 9 6 2 4" xfId="37858" xr:uid="{00000000-0005-0000-0000-00009DDB0000}"/>
    <cellStyle name="Normal 9 6 3" xfId="14111" xr:uid="{00000000-0005-0000-0000-00009EDB0000}"/>
    <cellStyle name="Normal 9 6 3 2" xfId="27679" xr:uid="{00000000-0005-0000-0000-00009FDB0000}"/>
    <cellStyle name="Normal 9 6 3 2 2" xfId="54812" xr:uid="{00000000-0005-0000-0000-0000A0DB0000}"/>
    <cellStyle name="Normal 9 6 3 3" xfId="41250" xr:uid="{00000000-0005-0000-0000-0000A1DB0000}"/>
    <cellStyle name="Normal 9 6 4" xfId="20898" xr:uid="{00000000-0005-0000-0000-0000A2DB0000}"/>
    <cellStyle name="Normal 9 6 4 2" xfId="48031" xr:uid="{00000000-0005-0000-0000-0000A3DB0000}"/>
    <cellStyle name="Normal 9 6 5" xfId="34469" xr:uid="{00000000-0005-0000-0000-0000A4DB0000}"/>
    <cellStyle name="Normal 9 7" xfId="7190" xr:uid="{00000000-0005-0000-0000-0000A5DB0000}"/>
    <cellStyle name="Normal 9 8" xfId="2788" xr:uid="{00000000-0005-0000-0000-0000A6DB0000}"/>
    <cellStyle name="Notas 10" xfId="2789" xr:uid="{00000000-0005-0000-0000-0000A8DB0000}"/>
    <cellStyle name="Notas 11" xfId="2790" xr:uid="{00000000-0005-0000-0000-0000A9DB0000}"/>
    <cellStyle name="Notas 12" xfId="2791" xr:uid="{00000000-0005-0000-0000-0000AADB0000}"/>
    <cellStyle name="Notas 13" xfId="2792" xr:uid="{00000000-0005-0000-0000-0000ABDB0000}"/>
    <cellStyle name="Notas 14" xfId="2793" xr:uid="{00000000-0005-0000-0000-0000ACDB0000}"/>
    <cellStyle name="Notas 15" xfId="2794" xr:uid="{00000000-0005-0000-0000-0000ADDB0000}"/>
    <cellStyle name="Notas 16" xfId="2795" xr:uid="{00000000-0005-0000-0000-0000AEDB0000}"/>
    <cellStyle name="Notas 17" xfId="2796" xr:uid="{00000000-0005-0000-0000-0000AFDB0000}"/>
    <cellStyle name="Notas 18" xfId="2797" xr:uid="{00000000-0005-0000-0000-0000B0DB0000}"/>
    <cellStyle name="Notas 19" xfId="2798" xr:uid="{00000000-0005-0000-0000-0000B1DB0000}"/>
    <cellStyle name="Notas 2" xfId="72" xr:uid="{00000000-0005-0000-0000-0000B2DB0000}"/>
    <cellStyle name="Notas 2 2" xfId="198" xr:uid="{00000000-0005-0000-0000-0000B3DB0000}"/>
    <cellStyle name="Notas 2 3" xfId="191" xr:uid="{00000000-0005-0000-0000-0000B4DB0000}"/>
    <cellStyle name="Notas 2 4" xfId="2799" xr:uid="{00000000-0005-0000-0000-0000B5DB0000}"/>
    <cellStyle name="Notas 2 5" xfId="2800" xr:uid="{00000000-0005-0000-0000-0000B6DB0000}"/>
    <cellStyle name="Notas 20" xfId="2801" xr:uid="{00000000-0005-0000-0000-0000B7DB0000}"/>
    <cellStyle name="Notas 21" xfId="2802" xr:uid="{00000000-0005-0000-0000-0000B8DB0000}"/>
    <cellStyle name="Notas 22" xfId="2803" xr:uid="{00000000-0005-0000-0000-0000B9DB0000}"/>
    <cellStyle name="Notas 23" xfId="2804" xr:uid="{00000000-0005-0000-0000-0000BADB0000}"/>
    <cellStyle name="Notas 24" xfId="2805" xr:uid="{00000000-0005-0000-0000-0000BBDB0000}"/>
    <cellStyle name="Notas 25" xfId="2806" xr:uid="{00000000-0005-0000-0000-0000BCDB0000}"/>
    <cellStyle name="Notas 26" xfId="2807" xr:uid="{00000000-0005-0000-0000-0000BDDB0000}"/>
    <cellStyle name="Notas 27" xfId="2808" xr:uid="{00000000-0005-0000-0000-0000BEDB0000}"/>
    <cellStyle name="Notas 28" xfId="2809" xr:uid="{00000000-0005-0000-0000-0000BFDB0000}"/>
    <cellStyle name="Notas 29" xfId="2810" xr:uid="{00000000-0005-0000-0000-0000C0DB0000}"/>
    <cellStyle name="Notas 3" xfId="73" xr:uid="{00000000-0005-0000-0000-0000C1DB0000}"/>
    <cellStyle name="Notas 30" xfId="2811" xr:uid="{00000000-0005-0000-0000-0000C2DB0000}"/>
    <cellStyle name="Notas 31" xfId="2812" xr:uid="{00000000-0005-0000-0000-0000C3DB0000}"/>
    <cellStyle name="Notas 32" xfId="2813" xr:uid="{00000000-0005-0000-0000-0000C4DB0000}"/>
    <cellStyle name="Notas 33" xfId="2814" xr:uid="{00000000-0005-0000-0000-0000C5DB0000}"/>
    <cellStyle name="Notas 34" xfId="2815" xr:uid="{00000000-0005-0000-0000-0000C6DB0000}"/>
    <cellStyle name="Notas 35" xfId="2816" xr:uid="{00000000-0005-0000-0000-0000C7DB0000}"/>
    <cellStyle name="Notas 36" xfId="2817" xr:uid="{00000000-0005-0000-0000-0000C8DB0000}"/>
    <cellStyle name="Notas 37" xfId="2818" xr:uid="{00000000-0005-0000-0000-0000C9DB0000}"/>
    <cellStyle name="Notas 38" xfId="2819" xr:uid="{00000000-0005-0000-0000-0000CADB0000}"/>
    <cellStyle name="Notas 39" xfId="2820" xr:uid="{00000000-0005-0000-0000-0000CBDB0000}"/>
    <cellStyle name="Notas 4" xfId="2821" xr:uid="{00000000-0005-0000-0000-0000CCDB0000}"/>
    <cellStyle name="Notas 40" xfId="2822" xr:uid="{00000000-0005-0000-0000-0000CDDB0000}"/>
    <cellStyle name="Notas 41" xfId="2823" xr:uid="{00000000-0005-0000-0000-0000CEDB0000}"/>
    <cellStyle name="Notas 42" xfId="2824" xr:uid="{00000000-0005-0000-0000-0000CFDB0000}"/>
    <cellStyle name="Notas 43" xfId="2825" xr:uid="{00000000-0005-0000-0000-0000D0DB0000}"/>
    <cellStyle name="Notas 44" xfId="2826" xr:uid="{00000000-0005-0000-0000-0000D1DB0000}"/>
    <cellStyle name="Notas 45" xfId="2827" xr:uid="{00000000-0005-0000-0000-0000D2DB0000}"/>
    <cellStyle name="Notas 46" xfId="2828" xr:uid="{00000000-0005-0000-0000-0000D3DB0000}"/>
    <cellStyle name="Notas 47" xfId="2829" xr:uid="{00000000-0005-0000-0000-0000D4DB0000}"/>
    <cellStyle name="Notas 48" xfId="2830" xr:uid="{00000000-0005-0000-0000-0000D5DB0000}"/>
    <cellStyle name="Notas 49" xfId="2831" xr:uid="{00000000-0005-0000-0000-0000D6DB0000}"/>
    <cellStyle name="Notas 5" xfId="2832" xr:uid="{00000000-0005-0000-0000-0000D7DB0000}"/>
    <cellStyle name="Notas 50" xfId="2833" xr:uid="{00000000-0005-0000-0000-0000D8DB0000}"/>
    <cellStyle name="Notas 51" xfId="2834" xr:uid="{00000000-0005-0000-0000-0000D9DB0000}"/>
    <cellStyle name="Notas 52" xfId="2835" xr:uid="{00000000-0005-0000-0000-0000DADB0000}"/>
    <cellStyle name="Notas 53" xfId="2836" xr:uid="{00000000-0005-0000-0000-0000DBDB0000}"/>
    <cellStyle name="Notas 54" xfId="2837" xr:uid="{00000000-0005-0000-0000-0000DCDB0000}"/>
    <cellStyle name="Notas 55" xfId="2838" xr:uid="{00000000-0005-0000-0000-0000DDDB0000}"/>
    <cellStyle name="Notas 56" xfId="2839" xr:uid="{00000000-0005-0000-0000-0000DEDB0000}"/>
    <cellStyle name="Notas 57" xfId="2840" xr:uid="{00000000-0005-0000-0000-0000DFDB0000}"/>
    <cellStyle name="Notas 58" xfId="2841" xr:uid="{00000000-0005-0000-0000-0000E0DB0000}"/>
    <cellStyle name="Notas 59" xfId="2842" xr:uid="{00000000-0005-0000-0000-0000E1DB0000}"/>
    <cellStyle name="Notas 6" xfId="2843" xr:uid="{00000000-0005-0000-0000-0000E2DB0000}"/>
    <cellStyle name="Notas 60" xfId="2844" xr:uid="{00000000-0005-0000-0000-0000E3DB0000}"/>
    <cellStyle name="Notas 61" xfId="2845" xr:uid="{00000000-0005-0000-0000-0000E4DB0000}"/>
    <cellStyle name="Notas 62" xfId="2846" xr:uid="{00000000-0005-0000-0000-0000E5DB0000}"/>
    <cellStyle name="Notas 63" xfId="2847" xr:uid="{00000000-0005-0000-0000-0000E6DB0000}"/>
    <cellStyle name="Notas 64" xfId="2848" xr:uid="{00000000-0005-0000-0000-0000E7DB0000}"/>
    <cellStyle name="Notas 65" xfId="2849" xr:uid="{00000000-0005-0000-0000-0000E8DB0000}"/>
    <cellStyle name="Notas 66" xfId="2850" xr:uid="{00000000-0005-0000-0000-0000E9DB0000}"/>
    <cellStyle name="Notas 67" xfId="2851" xr:uid="{00000000-0005-0000-0000-0000EADB0000}"/>
    <cellStyle name="Notas 68" xfId="2852" xr:uid="{00000000-0005-0000-0000-0000EBDB0000}"/>
    <cellStyle name="Notas 69" xfId="2853" xr:uid="{00000000-0005-0000-0000-0000ECDB0000}"/>
    <cellStyle name="Notas 7" xfId="2854" xr:uid="{00000000-0005-0000-0000-0000EDDB0000}"/>
    <cellStyle name="Notas 70" xfId="2855" xr:uid="{00000000-0005-0000-0000-0000EEDB0000}"/>
    <cellStyle name="Notas 71" xfId="2856" xr:uid="{00000000-0005-0000-0000-0000EFDB0000}"/>
    <cellStyle name="Notas 72" xfId="2857" xr:uid="{00000000-0005-0000-0000-0000F0DB0000}"/>
    <cellStyle name="Notas 73" xfId="2858" xr:uid="{00000000-0005-0000-0000-0000F1DB0000}"/>
    <cellStyle name="Notas 74" xfId="2859" xr:uid="{00000000-0005-0000-0000-0000F2DB0000}"/>
    <cellStyle name="Notas 75" xfId="2860" xr:uid="{00000000-0005-0000-0000-0000F3DB0000}"/>
    <cellStyle name="Notas 76" xfId="2861" xr:uid="{00000000-0005-0000-0000-0000F4DB0000}"/>
    <cellStyle name="Notas 76 2" xfId="2862" xr:uid="{00000000-0005-0000-0000-0000F5DB0000}"/>
    <cellStyle name="Notas 77" xfId="2863" xr:uid="{00000000-0005-0000-0000-0000F6DB0000}"/>
    <cellStyle name="Notas 78" xfId="2864" xr:uid="{00000000-0005-0000-0000-0000F7DB0000}"/>
    <cellStyle name="Notas 8" xfId="2865" xr:uid="{00000000-0005-0000-0000-0000F8DB0000}"/>
    <cellStyle name="Notas 9" xfId="2866" xr:uid="{00000000-0005-0000-0000-0000F9DB0000}"/>
    <cellStyle name="Note" xfId="7450" xr:uid="{00000000-0005-0000-0000-0000FADB0000}"/>
    <cellStyle name="Output" xfId="7451" xr:uid="{00000000-0005-0000-0000-0000FBDB0000}"/>
    <cellStyle name="Percent" xfId="58378" xr:uid="{00000000-0005-0000-0000-0000FCDB0000}"/>
    <cellStyle name="Percent 2" xfId="158" xr:uid="{00000000-0005-0000-0000-0000FDDB0000}"/>
    <cellStyle name="Percent 2 2" xfId="159" xr:uid="{00000000-0005-0000-0000-0000FEDB0000}"/>
    <cellStyle name="Percent 3" xfId="160" xr:uid="{00000000-0005-0000-0000-0000FFDB0000}"/>
    <cellStyle name="Percent_3.- Metrado SAN ANDRES (Ricardo Villavicencio)_ Rev.02" xfId="161" xr:uid="{00000000-0005-0000-0000-000000DC0000}"/>
    <cellStyle name="Porcentaje 2" xfId="28" xr:uid="{00000000-0005-0000-0000-000002DC0000}"/>
    <cellStyle name="Porcentaje 2 10" xfId="7191" xr:uid="{00000000-0005-0000-0000-000003DC0000}"/>
    <cellStyle name="Porcentaje 2 10 2" xfId="7192" xr:uid="{00000000-0005-0000-0000-000004DC0000}"/>
    <cellStyle name="Porcentaje 2 10 2 2" xfId="10712" xr:uid="{00000000-0005-0000-0000-000005DC0000}"/>
    <cellStyle name="Porcentaje 2 10 2 2 2" xfId="17502" xr:uid="{00000000-0005-0000-0000-000006DC0000}"/>
    <cellStyle name="Porcentaje 2 10 2 2 2 2" xfId="31070" xr:uid="{00000000-0005-0000-0000-000007DC0000}"/>
    <cellStyle name="Porcentaje 2 10 2 2 2 2 2" xfId="58203" xr:uid="{00000000-0005-0000-0000-000008DC0000}"/>
    <cellStyle name="Porcentaje 2 10 2 2 2 3" xfId="44641" xr:uid="{00000000-0005-0000-0000-000009DC0000}"/>
    <cellStyle name="Porcentaje 2 10 2 2 3" xfId="24289" xr:uid="{00000000-0005-0000-0000-00000ADC0000}"/>
    <cellStyle name="Porcentaje 2 10 2 2 3 2" xfId="51422" xr:uid="{00000000-0005-0000-0000-00000BDC0000}"/>
    <cellStyle name="Porcentaje 2 10 2 2 4" xfId="37860" xr:uid="{00000000-0005-0000-0000-00000CDC0000}"/>
    <cellStyle name="Porcentaje 2 10 2 3" xfId="14113" xr:uid="{00000000-0005-0000-0000-00000DDC0000}"/>
    <cellStyle name="Porcentaje 2 10 2 3 2" xfId="27681" xr:uid="{00000000-0005-0000-0000-00000EDC0000}"/>
    <cellStyle name="Porcentaje 2 10 2 3 2 2" xfId="54814" xr:uid="{00000000-0005-0000-0000-00000FDC0000}"/>
    <cellStyle name="Porcentaje 2 10 2 3 3" xfId="41252" xr:uid="{00000000-0005-0000-0000-000010DC0000}"/>
    <cellStyle name="Porcentaje 2 10 2 4" xfId="20900" xr:uid="{00000000-0005-0000-0000-000011DC0000}"/>
    <cellStyle name="Porcentaje 2 10 2 4 2" xfId="48033" xr:uid="{00000000-0005-0000-0000-000012DC0000}"/>
    <cellStyle name="Porcentaje 2 10 2 5" xfId="34471" xr:uid="{00000000-0005-0000-0000-000013DC0000}"/>
    <cellStyle name="Porcentaje 2 10 3" xfId="7193" xr:uid="{00000000-0005-0000-0000-000014DC0000}"/>
    <cellStyle name="Porcentaje 2 10 3 2" xfId="10713" xr:uid="{00000000-0005-0000-0000-000015DC0000}"/>
    <cellStyle name="Porcentaje 2 10 3 2 2" xfId="17503" xr:uid="{00000000-0005-0000-0000-000016DC0000}"/>
    <cellStyle name="Porcentaje 2 10 3 2 2 2" xfId="31071" xr:uid="{00000000-0005-0000-0000-000017DC0000}"/>
    <cellStyle name="Porcentaje 2 10 3 2 2 2 2" xfId="58204" xr:uid="{00000000-0005-0000-0000-000018DC0000}"/>
    <cellStyle name="Porcentaje 2 10 3 2 2 3" xfId="44642" xr:uid="{00000000-0005-0000-0000-000019DC0000}"/>
    <cellStyle name="Porcentaje 2 10 3 2 3" xfId="24290" xr:uid="{00000000-0005-0000-0000-00001ADC0000}"/>
    <cellStyle name="Porcentaje 2 10 3 2 3 2" xfId="51423" xr:uid="{00000000-0005-0000-0000-00001BDC0000}"/>
    <cellStyle name="Porcentaje 2 10 3 2 4" xfId="37861" xr:uid="{00000000-0005-0000-0000-00001CDC0000}"/>
    <cellStyle name="Porcentaje 2 10 3 3" xfId="14114" xr:uid="{00000000-0005-0000-0000-00001DDC0000}"/>
    <cellStyle name="Porcentaje 2 10 3 3 2" xfId="27682" xr:uid="{00000000-0005-0000-0000-00001EDC0000}"/>
    <cellStyle name="Porcentaje 2 10 3 3 2 2" xfId="54815" xr:uid="{00000000-0005-0000-0000-00001FDC0000}"/>
    <cellStyle name="Porcentaje 2 10 3 3 3" xfId="41253" xr:uid="{00000000-0005-0000-0000-000020DC0000}"/>
    <cellStyle name="Porcentaje 2 10 3 4" xfId="20901" xr:uid="{00000000-0005-0000-0000-000021DC0000}"/>
    <cellStyle name="Porcentaje 2 10 3 4 2" xfId="48034" xr:uid="{00000000-0005-0000-0000-000022DC0000}"/>
    <cellStyle name="Porcentaje 2 10 3 5" xfId="34472" xr:uid="{00000000-0005-0000-0000-000023DC0000}"/>
    <cellStyle name="Porcentaje 2 10 4" xfId="10711" xr:uid="{00000000-0005-0000-0000-000024DC0000}"/>
    <cellStyle name="Porcentaje 2 10 4 2" xfId="17501" xr:uid="{00000000-0005-0000-0000-000025DC0000}"/>
    <cellStyle name="Porcentaje 2 10 4 2 2" xfId="31069" xr:uid="{00000000-0005-0000-0000-000026DC0000}"/>
    <cellStyle name="Porcentaje 2 10 4 2 2 2" xfId="58202" xr:uid="{00000000-0005-0000-0000-000027DC0000}"/>
    <cellStyle name="Porcentaje 2 10 4 2 3" xfId="44640" xr:uid="{00000000-0005-0000-0000-000028DC0000}"/>
    <cellStyle name="Porcentaje 2 10 4 3" xfId="24288" xr:uid="{00000000-0005-0000-0000-000029DC0000}"/>
    <cellStyle name="Porcentaje 2 10 4 3 2" xfId="51421" xr:uid="{00000000-0005-0000-0000-00002ADC0000}"/>
    <cellStyle name="Porcentaje 2 10 4 4" xfId="37859" xr:uid="{00000000-0005-0000-0000-00002BDC0000}"/>
    <cellStyle name="Porcentaje 2 10 5" xfId="14112" xr:uid="{00000000-0005-0000-0000-00002CDC0000}"/>
    <cellStyle name="Porcentaje 2 10 5 2" xfId="27680" xr:uid="{00000000-0005-0000-0000-00002DDC0000}"/>
    <cellStyle name="Porcentaje 2 10 5 2 2" xfId="54813" xr:uid="{00000000-0005-0000-0000-00002EDC0000}"/>
    <cellStyle name="Porcentaje 2 10 5 3" xfId="41251" xr:uid="{00000000-0005-0000-0000-00002FDC0000}"/>
    <cellStyle name="Porcentaje 2 10 6" xfId="20899" xr:uid="{00000000-0005-0000-0000-000030DC0000}"/>
    <cellStyle name="Porcentaje 2 10 6 2" xfId="48032" xr:uid="{00000000-0005-0000-0000-000031DC0000}"/>
    <cellStyle name="Porcentaje 2 10 7" xfId="34470" xr:uid="{00000000-0005-0000-0000-000032DC0000}"/>
    <cellStyle name="Porcentaje 2 11" xfId="7194" xr:uid="{00000000-0005-0000-0000-000033DC0000}"/>
    <cellStyle name="Porcentaje 2 11 2" xfId="10714" xr:uid="{00000000-0005-0000-0000-000034DC0000}"/>
    <cellStyle name="Porcentaje 2 11 2 2" xfId="17504" xr:uid="{00000000-0005-0000-0000-000035DC0000}"/>
    <cellStyle name="Porcentaje 2 11 2 2 2" xfId="31072" xr:uid="{00000000-0005-0000-0000-000036DC0000}"/>
    <cellStyle name="Porcentaje 2 11 2 2 2 2" xfId="58205" xr:uid="{00000000-0005-0000-0000-000037DC0000}"/>
    <cellStyle name="Porcentaje 2 11 2 2 3" xfId="44643" xr:uid="{00000000-0005-0000-0000-000038DC0000}"/>
    <cellStyle name="Porcentaje 2 11 2 3" xfId="24291" xr:uid="{00000000-0005-0000-0000-000039DC0000}"/>
    <cellStyle name="Porcentaje 2 11 2 3 2" xfId="51424" xr:uid="{00000000-0005-0000-0000-00003ADC0000}"/>
    <cellStyle name="Porcentaje 2 11 2 4" xfId="37862" xr:uid="{00000000-0005-0000-0000-00003BDC0000}"/>
    <cellStyle name="Porcentaje 2 11 3" xfId="14115" xr:uid="{00000000-0005-0000-0000-00003CDC0000}"/>
    <cellStyle name="Porcentaje 2 11 3 2" xfId="27683" xr:uid="{00000000-0005-0000-0000-00003DDC0000}"/>
    <cellStyle name="Porcentaje 2 11 3 2 2" xfId="54816" xr:uid="{00000000-0005-0000-0000-00003EDC0000}"/>
    <cellStyle name="Porcentaje 2 11 3 3" xfId="41254" xr:uid="{00000000-0005-0000-0000-00003FDC0000}"/>
    <cellStyle name="Porcentaje 2 11 4" xfId="20902" xr:uid="{00000000-0005-0000-0000-000040DC0000}"/>
    <cellStyle name="Porcentaje 2 11 4 2" xfId="48035" xr:uid="{00000000-0005-0000-0000-000041DC0000}"/>
    <cellStyle name="Porcentaje 2 11 5" xfId="34473" xr:uid="{00000000-0005-0000-0000-000042DC0000}"/>
    <cellStyle name="Porcentaje 2 2" xfId="162" xr:uid="{00000000-0005-0000-0000-000043DC0000}"/>
    <cellStyle name="Porcentaje 2 2 2" xfId="7195" xr:uid="{00000000-0005-0000-0000-000044DC0000}"/>
    <cellStyle name="Porcentaje 2 2 3" xfId="7196" xr:uid="{00000000-0005-0000-0000-000045DC0000}"/>
    <cellStyle name="Porcentaje 2 2 3 2" xfId="7197" xr:uid="{00000000-0005-0000-0000-000046DC0000}"/>
    <cellStyle name="Porcentaje 2 2 3 3" xfId="7198" xr:uid="{00000000-0005-0000-0000-000047DC0000}"/>
    <cellStyle name="Porcentaje 2 2 4" xfId="58353" xr:uid="{00000000-0005-0000-0000-000048DC0000}"/>
    <cellStyle name="Porcentaje 2 3" xfId="7199" xr:uid="{00000000-0005-0000-0000-000049DC0000}"/>
    <cellStyle name="Porcentaje 2 3 2" xfId="7200" xr:uid="{00000000-0005-0000-0000-00004ADC0000}"/>
    <cellStyle name="Porcentaje 2 3 3" xfId="7201" xr:uid="{00000000-0005-0000-0000-00004BDC0000}"/>
    <cellStyle name="Porcentaje 2 3 4" xfId="7202" xr:uid="{00000000-0005-0000-0000-00004CDC0000}"/>
    <cellStyle name="Porcentaje 2 3 4 2" xfId="7203" xr:uid="{00000000-0005-0000-0000-00004DDC0000}"/>
    <cellStyle name="Porcentaje 2 4" xfId="7204" xr:uid="{00000000-0005-0000-0000-00004EDC0000}"/>
    <cellStyle name="Porcentaje 2 5" xfId="7205" xr:uid="{00000000-0005-0000-0000-00004FDC0000}"/>
    <cellStyle name="Porcentaje 2 5 2" xfId="7206" xr:uid="{00000000-0005-0000-0000-000050DC0000}"/>
    <cellStyle name="Porcentaje 2 6" xfId="7207" xr:uid="{00000000-0005-0000-0000-000051DC0000}"/>
    <cellStyle name="Porcentaje 2 7" xfId="7208" xr:uid="{00000000-0005-0000-0000-000052DC0000}"/>
    <cellStyle name="Porcentaje 2 7 10" xfId="7209" xr:uid="{00000000-0005-0000-0000-000053DC0000}"/>
    <cellStyle name="Porcentaje 2 7 10 2" xfId="10716" xr:uid="{00000000-0005-0000-0000-000054DC0000}"/>
    <cellStyle name="Porcentaje 2 7 10 2 2" xfId="17506" xr:uid="{00000000-0005-0000-0000-000055DC0000}"/>
    <cellStyle name="Porcentaje 2 7 10 2 2 2" xfId="31074" xr:uid="{00000000-0005-0000-0000-000056DC0000}"/>
    <cellStyle name="Porcentaje 2 7 10 2 2 2 2" xfId="58207" xr:uid="{00000000-0005-0000-0000-000057DC0000}"/>
    <cellStyle name="Porcentaje 2 7 10 2 2 3" xfId="44645" xr:uid="{00000000-0005-0000-0000-000058DC0000}"/>
    <cellStyle name="Porcentaje 2 7 10 2 3" xfId="24293" xr:uid="{00000000-0005-0000-0000-000059DC0000}"/>
    <cellStyle name="Porcentaje 2 7 10 2 3 2" xfId="51426" xr:uid="{00000000-0005-0000-0000-00005ADC0000}"/>
    <cellStyle name="Porcentaje 2 7 10 2 4" xfId="37864" xr:uid="{00000000-0005-0000-0000-00005BDC0000}"/>
    <cellStyle name="Porcentaje 2 7 10 3" xfId="14117" xr:uid="{00000000-0005-0000-0000-00005CDC0000}"/>
    <cellStyle name="Porcentaje 2 7 10 3 2" xfId="27685" xr:uid="{00000000-0005-0000-0000-00005DDC0000}"/>
    <cellStyle name="Porcentaje 2 7 10 3 2 2" xfId="54818" xr:uid="{00000000-0005-0000-0000-00005EDC0000}"/>
    <cellStyle name="Porcentaje 2 7 10 3 3" xfId="41256" xr:uid="{00000000-0005-0000-0000-00005FDC0000}"/>
    <cellStyle name="Porcentaje 2 7 10 4" xfId="20904" xr:uid="{00000000-0005-0000-0000-000060DC0000}"/>
    <cellStyle name="Porcentaje 2 7 10 4 2" xfId="48037" xr:uid="{00000000-0005-0000-0000-000061DC0000}"/>
    <cellStyle name="Porcentaje 2 7 10 5" xfId="34475" xr:uid="{00000000-0005-0000-0000-000062DC0000}"/>
    <cellStyle name="Porcentaje 2 7 11" xfId="10715" xr:uid="{00000000-0005-0000-0000-000063DC0000}"/>
    <cellStyle name="Porcentaje 2 7 11 2" xfId="17505" xr:uid="{00000000-0005-0000-0000-000064DC0000}"/>
    <cellStyle name="Porcentaje 2 7 11 2 2" xfId="31073" xr:uid="{00000000-0005-0000-0000-000065DC0000}"/>
    <cellStyle name="Porcentaje 2 7 11 2 2 2" xfId="58206" xr:uid="{00000000-0005-0000-0000-000066DC0000}"/>
    <cellStyle name="Porcentaje 2 7 11 2 3" xfId="44644" xr:uid="{00000000-0005-0000-0000-000067DC0000}"/>
    <cellStyle name="Porcentaje 2 7 11 3" xfId="24292" xr:uid="{00000000-0005-0000-0000-000068DC0000}"/>
    <cellStyle name="Porcentaje 2 7 11 3 2" xfId="51425" xr:uid="{00000000-0005-0000-0000-000069DC0000}"/>
    <cellStyle name="Porcentaje 2 7 11 4" xfId="37863" xr:uid="{00000000-0005-0000-0000-00006ADC0000}"/>
    <cellStyle name="Porcentaje 2 7 12" xfId="14116" xr:uid="{00000000-0005-0000-0000-00006BDC0000}"/>
    <cellStyle name="Porcentaje 2 7 12 2" xfId="27684" xr:uid="{00000000-0005-0000-0000-00006CDC0000}"/>
    <cellStyle name="Porcentaje 2 7 12 2 2" xfId="54817" xr:uid="{00000000-0005-0000-0000-00006DDC0000}"/>
    <cellStyle name="Porcentaje 2 7 12 3" xfId="41255" xr:uid="{00000000-0005-0000-0000-00006EDC0000}"/>
    <cellStyle name="Porcentaje 2 7 13" xfId="20903" xr:uid="{00000000-0005-0000-0000-00006FDC0000}"/>
    <cellStyle name="Porcentaje 2 7 13 2" xfId="48036" xr:uid="{00000000-0005-0000-0000-000070DC0000}"/>
    <cellStyle name="Porcentaje 2 7 14" xfId="34474" xr:uid="{00000000-0005-0000-0000-000071DC0000}"/>
    <cellStyle name="Porcentaje 2 7 2" xfId="7210" xr:uid="{00000000-0005-0000-0000-000072DC0000}"/>
    <cellStyle name="Porcentaje 2 7 2 10" xfId="14118" xr:uid="{00000000-0005-0000-0000-000073DC0000}"/>
    <cellStyle name="Porcentaje 2 7 2 10 2" xfId="27686" xr:uid="{00000000-0005-0000-0000-000074DC0000}"/>
    <cellStyle name="Porcentaje 2 7 2 10 2 2" xfId="54819" xr:uid="{00000000-0005-0000-0000-000075DC0000}"/>
    <cellStyle name="Porcentaje 2 7 2 10 3" xfId="41257" xr:uid="{00000000-0005-0000-0000-000076DC0000}"/>
    <cellStyle name="Porcentaje 2 7 2 11" xfId="20905" xr:uid="{00000000-0005-0000-0000-000077DC0000}"/>
    <cellStyle name="Porcentaje 2 7 2 11 2" xfId="48038" xr:uid="{00000000-0005-0000-0000-000078DC0000}"/>
    <cellStyle name="Porcentaje 2 7 2 12" xfId="34476" xr:uid="{00000000-0005-0000-0000-000079DC0000}"/>
    <cellStyle name="Porcentaje 2 7 2 2" xfId="7211" xr:uid="{00000000-0005-0000-0000-00007ADC0000}"/>
    <cellStyle name="Porcentaje 2 7 2 2 10" xfId="34477" xr:uid="{00000000-0005-0000-0000-00007BDC0000}"/>
    <cellStyle name="Porcentaje 2 7 2 2 2" xfId="7212" xr:uid="{00000000-0005-0000-0000-00007CDC0000}"/>
    <cellStyle name="Porcentaje 2 7 2 2 2 2" xfId="7213" xr:uid="{00000000-0005-0000-0000-00007DDC0000}"/>
    <cellStyle name="Porcentaje 2 7 2 2 2 2 2" xfId="7214" xr:uid="{00000000-0005-0000-0000-00007EDC0000}"/>
    <cellStyle name="Porcentaje 2 7 2 2 2 2 2 2" xfId="10721" xr:uid="{00000000-0005-0000-0000-00007FDC0000}"/>
    <cellStyle name="Porcentaje 2 7 2 2 2 2 2 2 2" xfId="17511" xr:uid="{00000000-0005-0000-0000-000080DC0000}"/>
    <cellStyle name="Porcentaje 2 7 2 2 2 2 2 2 2 2" xfId="31079" xr:uid="{00000000-0005-0000-0000-000081DC0000}"/>
    <cellStyle name="Porcentaje 2 7 2 2 2 2 2 2 2 2 2" xfId="58212" xr:uid="{00000000-0005-0000-0000-000082DC0000}"/>
    <cellStyle name="Porcentaje 2 7 2 2 2 2 2 2 2 3" xfId="44650" xr:uid="{00000000-0005-0000-0000-000083DC0000}"/>
    <cellStyle name="Porcentaje 2 7 2 2 2 2 2 2 3" xfId="24298" xr:uid="{00000000-0005-0000-0000-000084DC0000}"/>
    <cellStyle name="Porcentaje 2 7 2 2 2 2 2 2 3 2" xfId="51431" xr:uid="{00000000-0005-0000-0000-000085DC0000}"/>
    <cellStyle name="Porcentaje 2 7 2 2 2 2 2 2 4" xfId="37869" xr:uid="{00000000-0005-0000-0000-000086DC0000}"/>
    <cellStyle name="Porcentaje 2 7 2 2 2 2 2 3" xfId="14122" xr:uid="{00000000-0005-0000-0000-000087DC0000}"/>
    <cellStyle name="Porcentaje 2 7 2 2 2 2 2 3 2" xfId="27690" xr:uid="{00000000-0005-0000-0000-000088DC0000}"/>
    <cellStyle name="Porcentaje 2 7 2 2 2 2 2 3 2 2" xfId="54823" xr:uid="{00000000-0005-0000-0000-000089DC0000}"/>
    <cellStyle name="Porcentaje 2 7 2 2 2 2 2 3 3" xfId="41261" xr:uid="{00000000-0005-0000-0000-00008ADC0000}"/>
    <cellStyle name="Porcentaje 2 7 2 2 2 2 2 4" xfId="20909" xr:uid="{00000000-0005-0000-0000-00008BDC0000}"/>
    <cellStyle name="Porcentaje 2 7 2 2 2 2 2 4 2" xfId="48042" xr:uid="{00000000-0005-0000-0000-00008CDC0000}"/>
    <cellStyle name="Porcentaje 2 7 2 2 2 2 2 5" xfId="34480" xr:uid="{00000000-0005-0000-0000-00008DDC0000}"/>
    <cellStyle name="Porcentaje 2 7 2 2 2 2 3" xfId="7215" xr:uid="{00000000-0005-0000-0000-00008EDC0000}"/>
    <cellStyle name="Porcentaje 2 7 2 2 2 2 3 2" xfId="10722" xr:uid="{00000000-0005-0000-0000-00008FDC0000}"/>
    <cellStyle name="Porcentaje 2 7 2 2 2 2 3 2 2" xfId="17512" xr:uid="{00000000-0005-0000-0000-000090DC0000}"/>
    <cellStyle name="Porcentaje 2 7 2 2 2 2 3 2 2 2" xfId="31080" xr:uid="{00000000-0005-0000-0000-000091DC0000}"/>
    <cellStyle name="Porcentaje 2 7 2 2 2 2 3 2 2 2 2" xfId="58213" xr:uid="{00000000-0005-0000-0000-000092DC0000}"/>
    <cellStyle name="Porcentaje 2 7 2 2 2 2 3 2 2 3" xfId="44651" xr:uid="{00000000-0005-0000-0000-000093DC0000}"/>
    <cellStyle name="Porcentaje 2 7 2 2 2 2 3 2 3" xfId="24299" xr:uid="{00000000-0005-0000-0000-000094DC0000}"/>
    <cellStyle name="Porcentaje 2 7 2 2 2 2 3 2 3 2" xfId="51432" xr:uid="{00000000-0005-0000-0000-000095DC0000}"/>
    <cellStyle name="Porcentaje 2 7 2 2 2 2 3 2 4" xfId="37870" xr:uid="{00000000-0005-0000-0000-000096DC0000}"/>
    <cellStyle name="Porcentaje 2 7 2 2 2 2 3 3" xfId="14123" xr:uid="{00000000-0005-0000-0000-000097DC0000}"/>
    <cellStyle name="Porcentaje 2 7 2 2 2 2 3 3 2" xfId="27691" xr:uid="{00000000-0005-0000-0000-000098DC0000}"/>
    <cellStyle name="Porcentaje 2 7 2 2 2 2 3 3 2 2" xfId="54824" xr:uid="{00000000-0005-0000-0000-000099DC0000}"/>
    <cellStyle name="Porcentaje 2 7 2 2 2 2 3 3 3" xfId="41262" xr:uid="{00000000-0005-0000-0000-00009ADC0000}"/>
    <cellStyle name="Porcentaje 2 7 2 2 2 2 3 4" xfId="20910" xr:uid="{00000000-0005-0000-0000-00009BDC0000}"/>
    <cellStyle name="Porcentaje 2 7 2 2 2 2 3 4 2" xfId="48043" xr:uid="{00000000-0005-0000-0000-00009CDC0000}"/>
    <cellStyle name="Porcentaje 2 7 2 2 2 2 3 5" xfId="34481" xr:uid="{00000000-0005-0000-0000-00009DDC0000}"/>
    <cellStyle name="Porcentaje 2 7 2 2 2 2 4" xfId="10720" xr:uid="{00000000-0005-0000-0000-00009EDC0000}"/>
    <cellStyle name="Porcentaje 2 7 2 2 2 2 4 2" xfId="17510" xr:uid="{00000000-0005-0000-0000-00009FDC0000}"/>
    <cellStyle name="Porcentaje 2 7 2 2 2 2 4 2 2" xfId="31078" xr:uid="{00000000-0005-0000-0000-0000A0DC0000}"/>
    <cellStyle name="Porcentaje 2 7 2 2 2 2 4 2 2 2" xfId="58211" xr:uid="{00000000-0005-0000-0000-0000A1DC0000}"/>
    <cellStyle name="Porcentaje 2 7 2 2 2 2 4 2 3" xfId="44649" xr:uid="{00000000-0005-0000-0000-0000A2DC0000}"/>
    <cellStyle name="Porcentaje 2 7 2 2 2 2 4 3" xfId="24297" xr:uid="{00000000-0005-0000-0000-0000A3DC0000}"/>
    <cellStyle name="Porcentaje 2 7 2 2 2 2 4 3 2" xfId="51430" xr:uid="{00000000-0005-0000-0000-0000A4DC0000}"/>
    <cellStyle name="Porcentaje 2 7 2 2 2 2 4 4" xfId="37868" xr:uid="{00000000-0005-0000-0000-0000A5DC0000}"/>
    <cellStyle name="Porcentaje 2 7 2 2 2 2 5" xfId="14121" xr:uid="{00000000-0005-0000-0000-0000A6DC0000}"/>
    <cellStyle name="Porcentaje 2 7 2 2 2 2 5 2" xfId="27689" xr:uid="{00000000-0005-0000-0000-0000A7DC0000}"/>
    <cellStyle name="Porcentaje 2 7 2 2 2 2 5 2 2" xfId="54822" xr:uid="{00000000-0005-0000-0000-0000A8DC0000}"/>
    <cellStyle name="Porcentaje 2 7 2 2 2 2 5 3" xfId="41260" xr:uid="{00000000-0005-0000-0000-0000A9DC0000}"/>
    <cellStyle name="Porcentaje 2 7 2 2 2 2 6" xfId="20908" xr:uid="{00000000-0005-0000-0000-0000AADC0000}"/>
    <cellStyle name="Porcentaje 2 7 2 2 2 2 6 2" xfId="48041" xr:uid="{00000000-0005-0000-0000-0000ABDC0000}"/>
    <cellStyle name="Porcentaje 2 7 2 2 2 2 7" xfId="34479" xr:uid="{00000000-0005-0000-0000-0000ACDC0000}"/>
    <cellStyle name="Porcentaje 2 7 2 2 2 3" xfId="7216" xr:uid="{00000000-0005-0000-0000-0000ADDC0000}"/>
    <cellStyle name="Porcentaje 2 7 2 2 2 3 2" xfId="7217" xr:uid="{00000000-0005-0000-0000-0000AEDC0000}"/>
    <cellStyle name="Porcentaje 2 7 2 2 2 3 2 2" xfId="10724" xr:uid="{00000000-0005-0000-0000-0000AFDC0000}"/>
    <cellStyle name="Porcentaje 2 7 2 2 2 3 2 2 2" xfId="17514" xr:uid="{00000000-0005-0000-0000-0000B0DC0000}"/>
    <cellStyle name="Porcentaje 2 7 2 2 2 3 2 2 2 2" xfId="31082" xr:uid="{00000000-0005-0000-0000-0000B1DC0000}"/>
    <cellStyle name="Porcentaje 2 7 2 2 2 3 2 2 2 2 2" xfId="58215" xr:uid="{00000000-0005-0000-0000-0000B2DC0000}"/>
    <cellStyle name="Porcentaje 2 7 2 2 2 3 2 2 2 3" xfId="44653" xr:uid="{00000000-0005-0000-0000-0000B3DC0000}"/>
    <cellStyle name="Porcentaje 2 7 2 2 2 3 2 2 3" xfId="24301" xr:uid="{00000000-0005-0000-0000-0000B4DC0000}"/>
    <cellStyle name="Porcentaje 2 7 2 2 2 3 2 2 3 2" xfId="51434" xr:uid="{00000000-0005-0000-0000-0000B5DC0000}"/>
    <cellStyle name="Porcentaje 2 7 2 2 2 3 2 2 4" xfId="37872" xr:uid="{00000000-0005-0000-0000-0000B6DC0000}"/>
    <cellStyle name="Porcentaje 2 7 2 2 2 3 2 3" xfId="14125" xr:uid="{00000000-0005-0000-0000-0000B7DC0000}"/>
    <cellStyle name="Porcentaje 2 7 2 2 2 3 2 3 2" xfId="27693" xr:uid="{00000000-0005-0000-0000-0000B8DC0000}"/>
    <cellStyle name="Porcentaje 2 7 2 2 2 3 2 3 2 2" xfId="54826" xr:uid="{00000000-0005-0000-0000-0000B9DC0000}"/>
    <cellStyle name="Porcentaje 2 7 2 2 2 3 2 3 3" xfId="41264" xr:uid="{00000000-0005-0000-0000-0000BADC0000}"/>
    <cellStyle name="Porcentaje 2 7 2 2 2 3 2 4" xfId="20912" xr:uid="{00000000-0005-0000-0000-0000BBDC0000}"/>
    <cellStyle name="Porcentaje 2 7 2 2 2 3 2 4 2" xfId="48045" xr:uid="{00000000-0005-0000-0000-0000BCDC0000}"/>
    <cellStyle name="Porcentaje 2 7 2 2 2 3 2 5" xfId="34483" xr:uid="{00000000-0005-0000-0000-0000BDDC0000}"/>
    <cellStyle name="Porcentaje 2 7 2 2 2 3 3" xfId="10723" xr:uid="{00000000-0005-0000-0000-0000BEDC0000}"/>
    <cellStyle name="Porcentaje 2 7 2 2 2 3 3 2" xfId="17513" xr:uid="{00000000-0005-0000-0000-0000BFDC0000}"/>
    <cellStyle name="Porcentaje 2 7 2 2 2 3 3 2 2" xfId="31081" xr:uid="{00000000-0005-0000-0000-0000C0DC0000}"/>
    <cellStyle name="Porcentaje 2 7 2 2 2 3 3 2 2 2" xfId="58214" xr:uid="{00000000-0005-0000-0000-0000C1DC0000}"/>
    <cellStyle name="Porcentaje 2 7 2 2 2 3 3 2 3" xfId="44652" xr:uid="{00000000-0005-0000-0000-0000C2DC0000}"/>
    <cellStyle name="Porcentaje 2 7 2 2 2 3 3 3" xfId="24300" xr:uid="{00000000-0005-0000-0000-0000C3DC0000}"/>
    <cellStyle name="Porcentaje 2 7 2 2 2 3 3 3 2" xfId="51433" xr:uid="{00000000-0005-0000-0000-0000C4DC0000}"/>
    <cellStyle name="Porcentaje 2 7 2 2 2 3 3 4" xfId="37871" xr:uid="{00000000-0005-0000-0000-0000C5DC0000}"/>
    <cellStyle name="Porcentaje 2 7 2 2 2 3 4" xfId="14124" xr:uid="{00000000-0005-0000-0000-0000C6DC0000}"/>
    <cellStyle name="Porcentaje 2 7 2 2 2 3 4 2" xfId="27692" xr:uid="{00000000-0005-0000-0000-0000C7DC0000}"/>
    <cellStyle name="Porcentaje 2 7 2 2 2 3 4 2 2" xfId="54825" xr:uid="{00000000-0005-0000-0000-0000C8DC0000}"/>
    <cellStyle name="Porcentaje 2 7 2 2 2 3 4 3" xfId="41263" xr:uid="{00000000-0005-0000-0000-0000C9DC0000}"/>
    <cellStyle name="Porcentaje 2 7 2 2 2 3 5" xfId="20911" xr:uid="{00000000-0005-0000-0000-0000CADC0000}"/>
    <cellStyle name="Porcentaje 2 7 2 2 2 3 5 2" xfId="48044" xr:uid="{00000000-0005-0000-0000-0000CBDC0000}"/>
    <cellStyle name="Porcentaje 2 7 2 2 2 3 6" xfId="34482" xr:uid="{00000000-0005-0000-0000-0000CCDC0000}"/>
    <cellStyle name="Porcentaje 2 7 2 2 2 4" xfId="7218" xr:uid="{00000000-0005-0000-0000-0000CDDC0000}"/>
    <cellStyle name="Porcentaje 2 7 2 2 2 4 2" xfId="10725" xr:uid="{00000000-0005-0000-0000-0000CEDC0000}"/>
    <cellStyle name="Porcentaje 2 7 2 2 2 4 2 2" xfId="17515" xr:uid="{00000000-0005-0000-0000-0000CFDC0000}"/>
    <cellStyle name="Porcentaje 2 7 2 2 2 4 2 2 2" xfId="31083" xr:uid="{00000000-0005-0000-0000-0000D0DC0000}"/>
    <cellStyle name="Porcentaje 2 7 2 2 2 4 2 2 2 2" xfId="58216" xr:uid="{00000000-0005-0000-0000-0000D1DC0000}"/>
    <cellStyle name="Porcentaje 2 7 2 2 2 4 2 2 3" xfId="44654" xr:uid="{00000000-0005-0000-0000-0000D2DC0000}"/>
    <cellStyle name="Porcentaje 2 7 2 2 2 4 2 3" xfId="24302" xr:uid="{00000000-0005-0000-0000-0000D3DC0000}"/>
    <cellStyle name="Porcentaje 2 7 2 2 2 4 2 3 2" xfId="51435" xr:uid="{00000000-0005-0000-0000-0000D4DC0000}"/>
    <cellStyle name="Porcentaje 2 7 2 2 2 4 2 4" xfId="37873" xr:uid="{00000000-0005-0000-0000-0000D5DC0000}"/>
    <cellStyle name="Porcentaje 2 7 2 2 2 4 3" xfId="14126" xr:uid="{00000000-0005-0000-0000-0000D6DC0000}"/>
    <cellStyle name="Porcentaje 2 7 2 2 2 4 3 2" xfId="27694" xr:uid="{00000000-0005-0000-0000-0000D7DC0000}"/>
    <cellStyle name="Porcentaje 2 7 2 2 2 4 3 2 2" xfId="54827" xr:uid="{00000000-0005-0000-0000-0000D8DC0000}"/>
    <cellStyle name="Porcentaje 2 7 2 2 2 4 3 3" xfId="41265" xr:uid="{00000000-0005-0000-0000-0000D9DC0000}"/>
    <cellStyle name="Porcentaje 2 7 2 2 2 4 4" xfId="20913" xr:uid="{00000000-0005-0000-0000-0000DADC0000}"/>
    <cellStyle name="Porcentaje 2 7 2 2 2 4 4 2" xfId="48046" xr:uid="{00000000-0005-0000-0000-0000DBDC0000}"/>
    <cellStyle name="Porcentaje 2 7 2 2 2 4 5" xfId="34484" xr:uid="{00000000-0005-0000-0000-0000DCDC0000}"/>
    <cellStyle name="Porcentaje 2 7 2 2 2 5" xfId="7219" xr:uid="{00000000-0005-0000-0000-0000DDDC0000}"/>
    <cellStyle name="Porcentaje 2 7 2 2 2 5 2" xfId="10726" xr:uid="{00000000-0005-0000-0000-0000DEDC0000}"/>
    <cellStyle name="Porcentaje 2 7 2 2 2 5 2 2" xfId="17516" xr:uid="{00000000-0005-0000-0000-0000DFDC0000}"/>
    <cellStyle name="Porcentaje 2 7 2 2 2 5 2 2 2" xfId="31084" xr:uid="{00000000-0005-0000-0000-0000E0DC0000}"/>
    <cellStyle name="Porcentaje 2 7 2 2 2 5 2 2 2 2" xfId="58217" xr:uid="{00000000-0005-0000-0000-0000E1DC0000}"/>
    <cellStyle name="Porcentaje 2 7 2 2 2 5 2 2 3" xfId="44655" xr:uid="{00000000-0005-0000-0000-0000E2DC0000}"/>
    <cellStyle name="Porcentaje 2 7 2 2 2 5 2 3" xfId="24303" xr:uid="{00000000-0005-0000-0000-0000E3DC0000}"/>
    <cellStyle name="Porcentaje 2 7 2 2 2 5 2 3 2" xfId="51436" xr:uid="{00000000-0005-0000-0000-0000E4DC0000}"/>
    <cellStyle name="Porcentaje 2 7 2 2 2 5 2 4" xfId="37874" xr:uid="{00000000-0005-0000-0000-0000E5DC0000}"/>
    <cellStyle name="Porcentaje 2 7 2 2 2 5 3" xfId="14127" xr:uid="{00000000-0005-0000-0000-0000E6DC0000}"/>
    <cellStyle name="Porcentaje 2 7 2 2 2 5 3 2" xfId="27695" xr:uid="{00000000-0005-0000-0000-0000E7DC0000}"/>
    <cellStyle name="Porcentaje 2 7 2 2 2 5 3 2 2" xfId="54828" xr:uid="{00000000-0005-0000-0000-0000E8DC0000}"/>
    <cellStyle name="Porcentaje 2 7 2 2 2 5 3 3" xfId="41266" xr:uid="{00000000-0005-0000-0000-0000E9DC0000}"/>
    <cellStyle name="Porcentaje 2 7 2 2 2 5 4" xfId="20914" xr:uid="{00000000-0005-0000-0000-0000EADC0000}"/>
    <cellStyle name="Porcentaje 2 7 2 2 2 5 4 2" xfId="48047" xr:uid="{00000000-0005-0000-0000-0000EBDC0000}"/>
    <cellStyle name="Porcentaje 2 7 2 2 2 5 5" xfId="34485" xr:uid="{00000000-0005-0000-0000-0000ECDC0000}"/>
    <cellStyle name="Porcentaje 2 7 2 2 2 6" xfId="10719" xr:uid="{00000000-0005-0000-0000-0000EDDC0000}"/>
    <cellStyle name="Porcentaje 2 7 2 2 2 6 2" xfId="17509" xr:uid="{00000000-0005-0000-0000-0000EEDC0000}"/>
    <cellStyle name="Porcentaje 2 7 2 2 2 6 2 2" xfId="31077" xr:uid="{00000000-0005-0000-0000-0000EFDC0000}"/>
    <cellStyle name="Porcentaje 2 7 2 2 2 6 2 2 2" xfId="58210" xr:uid="{00000000-0005-0000-0000-0000F0DC0000}"/>
    <cellStyle name="Porcentaje 2 7 2 2 2 6 2 3" xfId="44648" xr:uid="{00000000-0005-0000-0000-0000F1DC0000}"/>
    <cellStyle name="Porcentaje 2 7 2 2 2 6 3" xfId="24296" xr:uid="{00000000-0005-0000-0000-0000F2DC0000}"/>
    <cellStyle name="Porcentaje 2 7 2 2 2 6 3 2" xfId="51429" xr:uid="{00000000-0005-0000-0000-0000F3DC0000}"/>
    <cellStyle name="Porcentaje 2 7 2 2 2 6 4" xfId="37867" xr:uid="{00000000-0005-0000-0000-0000F4DC0000}"/>
    <cellStyle name="Porcentaje 2 7 2 2 2 7" xfId="14120" xr:uid="{00000000-0005-0000-0000-0000F5DC0000}"/>
    <cellStyle name="Porcentaje 2 7 2 2 2 7 2" xfId="27688" xr:uid="{00000000-0005-0000-0000-0000F6DC0000}"/>
    <cellStyle name="Porcentaje 2 7 2 2 2 7 2 2" xfId="54821" xr:uid="{00000000-0005-0000-0000-0000F7DC0000}"/>
    <cellStyle name="Porcentaje 2 7 2 2 2 7 3" xfId="41259" xr:uid="{00000000-0005-0000-0000-0000F8DC0000}"/>
    <cellStyle name="Porcentaje 2 7 2 2 2 8" xfId="20907" xr:uid="{00000000-0005-0000-0000-0000F9DC0000}"/>
    <cellStyle name="Porcentaje 2 7 2 2 2 8 2" xfId="48040" xr:uid="{00000000-0005-0000-0000-0000FADC0000}"/>
    <cellStyle name="Porcentaje 2 7 2 2 2 9" xfId="34478" xr:uid="{00000000-0005-0000-0000-0000FBDC0000}"/>
    <cellStyle name="Porcentaje 2 7 2 2 3" xfId="7220" xr:uid="{00000000-0005-0000-0000-0000FCDC0000}"/>
    <cellStyle name="Porcentaje 2 7 2 2 3 2" xfId="7221" xr:uid="{00000000-0005-0000-0000-0000FDDC0000}"/>
    <cellStyle name="Porcentaje 2 7 2 2 3 2 2" xfId="10728" xr:uid="{00000000-0005-0000-0000-0000FEDC0000}"/>
    <cellStyle name="Porcentaje 2 7 2 2 3 2 2 2" xfId="17518" xr:uid="{00000000-0005-0000-0000-0000FFDC0000}"/>
    <cellStyle name="Porcentaje 2 7 2 2 3 2 2 2 2" xfId="31086" xr:uid="{00000000-0005-0000-0000-000000DD0000}"/>
    <cellStyle name="Porcentaje 2 7 2 2 3 2 2 2 2 2" xfId="58219" xr:uid="{00000000-0005-0000-0000-000001DD0000}"/>
    <cellStyle name="Porcentaje 2 7 2 2 3 2 2 2 3" xfId="44657" xr:uid="{00000000-0005-0000-0000-000002DD0000}"/>
    <cellStyle name="Porcentaje 2 7 2 2 3 2 2 3" xfId="24305" xr:uid="{00000000-0005-0000-0000-000003DD0000}"/>
    <cellStyle name="Porcentaje 2 7 2 2 3 2 2 3 2" xfId="51438" xr:uid="{00000000-0005-0000-0000-000004DD0000}"/>
    <cellStyle name="Porcentaje 2 7 2 2 3 2 2 4" xfId="37876" xr:uid="{00000000-0005-0000-0000-000005DD0000}"/>
    <cellStyle name="Porcentaje 2 7 2 2 3 2 3" xfId="14129" xr:uid="{00000000-0005-0000-0000-000006DD0000}"/>
    <cellStyle name="Porcentaje 2 7 2 2 3 2 3 2" xfId="27697" xr:uid="{00000000-0005-0000-0000-000007DD0000}"/>
    <cellStyle name="Porcentaje 2 7 2 2 3 2 3 2 2" xfId="54830" xr:uid="{00000000-0005-0000-0000-000008DD0000}"/>
    <cellStyle name="Porcentaje 2 7 2 2 3 2 3 3" xfId="41268" xr:uid="{00000000-0005-0000-0000-000009DD0000}"/>
    <cellStyle name="Porcentaje 2 7 2 2 3 2 4" xfId="20916" xr:uid="{00000000-0005-0000-0000-00000ADD0000}"/>
    <cellStyle name="Porcentaje 2 7 2 2 3 2 4 2" xfId="48049" xr:uid="{00000000-0005-0000-0000-00000BDD0000}"/>
    <cellStyle name="Porcentaje 2 7 2 2 3 2 5" xfId="34487" xr:uid="{00000000-0005-0000-0000-00000CDD0000}"/>
    <cellStyle name="Porcentaje 2 7 2 2 3 3" xfId="7222" xr:uid="{00000000-0005-0000-0000-00000DDD0000}"/>
    <cellStyle name="Porcentaje 2 7 2 2 3 3 2" xfId="10729" xr:uid="{00000000-0005-0000-0000-00000EDD0000}"/>
    <cellStyle name="Porcentaje 2 7 2 2 3 3 2 2" xfId="17519" xr:uid="{00000000-0005-0000-0000-00000FDD0000}"/>
    <cellStyle name="Porcentaje 2 7 2 2 3 3 2 2 2" xfId="31087" xr:uid="{00000000-0005-0000-0000-000010DD0000}"/>
    <cellStyle name="Porcentaje 2 7 2 2 3 3 2 2 2 2" xfId="58220" xr:uid="{00000000-0005-0000-0000-000011DD0000}"/>
    <cellStyle name="Porcentaje 2 7 2 2 3 3 2 2 3" xfId="44658" xr:uid="{00000000-0005-0000-0000-000012DD0000}"/>
    <cellStyle name="Porcentaje 2 7 2 2 3 3 2 3" xfId="24306" xr:uid="{00000000-0005-0000-0000-000013DD0000}"/>
    <cellStyle name="Porcentaje 2 7 2 2 3 3 2 3 2" xfId="51439" xr:uid="{00000000-0005-0000-0000-000014DD0000}"/>
    <cellStyle name="Porcentaje 2 7 2 2 3 3 2 4" xfId="37877" xr:uid="{00000000-0005-0000-0000-000015DD0000}"/>
    <cellStyle name="Porcentaje 2 7 2 2 3 3 3" xfId="14130" xr:uid="{00000000-0005-0000-0000-000016DD0000}"/>
    <cellStyle name="Porcentaje 2 7 2 2 3 3 3 2" xfId="27698" xr:uid="{00000000-0005-0000-0000-000017DD0000}"/>
    <cellStyle name="Porcentaje 2 7 2 2 3 3 3 2 2" xfId="54831" xr:uid="{00000000-0005-0000-0000-000018DD0000}"/>
    <cellStyle name="Porcentaje 2 7 2 2 3 3 3 3" xfId="41269" xr:uid="{00000000-0005-0000-0000-000019DD0000}"/>
    <cellStyle name="Porcentaje 2 7 2 2 3 3 4" xfId="20917" xr:uid="{00000000-0005-0000-0000-00001ADD0000}"/>
    <cellStyle name="Porcentaje 2 7 2 2 3 3 4 2" xfId="48050" xr:uid="{00000000-0005-0000-0000-00001BDD0000}"/>
    <cellStyle name="Porcentaje 2 7 2 2 3 3 5" xfId="34488" xr:uid="{00000000-0005-0000-0000-00001CDD0000}"/>
    <cellStyle name="Porcentaje 2 7 2 2 3 4" xfId="10727" xr:uid="{00000000-0005-0000-0000-00001DDD0000}"/>
    <cellStyle name="Porcentaje 2 7 2 2 3 4 2" xfId="17517" xr:uid="{00000000-0005-0000-0000-00001EDD0000}"/>
    <cellStyle name="Porcentaje 2 7 2 2 3 4 2 2" xfId="31085" xr:uid="{00000000-0005-0000-0000-00001FDD0000}"/>
    <cellStyle name="Porcentaje 2 7 2 2 3 4 2 2 2" xfId="58218" xr:uid="{00000000-0005-0000-0000-000020DD0000}"/>
    <cellStyle name="Porcentaje 2 7 2 2 3 4 2 3" xfId="44656" xr:uid="{00000000-0005-0000-0000-000021DD0000}"/>
    <cellStyle name="Porcentaje 2 7 2 2 3 4 3" xfId="24304" xr:uid="{00000000-0005-0000-0000-000022DD0000}"/>
    <cellStyle name="Porcentaje 2 7 2 2 3 4 3 2" xfId="51437" xr:uid="{00000000-0005-0000-0000-000023DD0000}"/>
    <cellStyle name="Porcentaje 2 7 2 2 3 4 4" xfId="37875" xr:uid="{00000000-0005-0000-0000-000024DD0000}"/>
    <cellStyle name="Porcentaje 2 7 2 2 3 5" xfId="14128" xr:uid="{00000000-0005-0000-0000-000025DD0000}"/>
    <cellStyle name="Porcentaje 2 7 2 2 3 5 2" xfId="27696" xr:uid="{00000000-0005-0000-0000-000026DD0000}"/>
    <cellStyle name="Porcentaje 2 7 2 2 3 5 2 2" xfId="54829" xr:uid="{00000000-0005-0000-0000-000027DD0000}"/>
    <cellStyle name="Porcentaje 2 7 2 2 3 5 3" xfId="41267" xr:uid="{00000000-0005-0000-0000-000028DD0000}"/>
    <cellStyle name="Porcentaje 2 7 2 2 3 6" xfId="20915" xr:uid="{00000000-0005-0000-0000-000029DD0000}"/>
    <cellStyle name="Porcentaje 2 7 2 2 3 6 2" xfId="48048" xr:uid="{00000000-0005-0000-0000-00002ADD0000}"/>
    <cellStyle name="Porcentaje 2 7 2 2 3 7" xfId="34486" xr:uid="{00000000-0005-0000-0000-00002BDD0000}"/>
    <cellStyle name="Porcentaje 2 7 2 2 4" xfId="7223" xr:uid="{00000000-0005-0000-0000-00002CDD0000}"/>
    <cellStyle name="Porcentaje 2 7 2 2 4 2" xfId="7224" xr:uid="{00000000-0005-0000-0000-00002DDD0000}"/>
    <cellStyle name="Porcentaje 2 7 2 2 4 2 2" xfId="10731" xr:uid="{00000000-0005-0000-0000-00002EDD0000}"/>
    <cellStyle name="Porcentaje 2 7 2 2 4 2 2 2" xfId="17521" xr:uid="{00000000-0005-0000-0000-00002FDD0000}"/>
    <cellStyle name="Porcentaje 2 7 2 2 4 2 2 2 2" xfId="31089" xr:uid="{00000000-0005-0000-0000-000030DD0000}"/>
    <cellStyle name="Porcentaje 2 7 2 2 4 2 2 2 2 2" xfId="58222" xr:uid="{00000000-0005-0000-0000-000031DD0000}"/>
    <cellStyle name="Porcentaje 2 7 2 2 4 2 2 2 3" xfId="44660" xr:uid="{00000000-0005-0000-0000-000032DD0000}"/>
    <cellStyle name="Porcentaje 2 7 2 2 4 2 2 3" xfId="24308" xr:uid="{00000000-0005-0000-0000-000033DD0000}"/>
    <cellStyle name="Porcentaje 2 7 2 2 4 2 2 3 2" xfId="51441" xr:uid="{00000000-0005-0000-0000-000034DD0000}"/>
    <cellStyle name="Porcentaje 2 7 2 2 4 2 2 4" xfId="37879" xr:uid="{00000000-0005-0000-0000-000035DD0000}"/>
    <cellStyle name="Porcentaje 2 7 2 2 4 2 3" xfId="14132" xr:uid="{00000000-0005-0000-0000-000036DD0000}"/>
    <cellStyle name="Porcentaje 2 7 2 2 4 2 3 2" xfId="27700" xr:uid="{00000000-0005-0000-0000-000037DD0000}"/>
    <cellStyle name="Porcentaje 2 7 2 2 4 2 3 2 2" xfId="54833" xr:uid="{00000000-0005-0000-0000-000038DD0000}"/>
    <cellStyle name="Porcentaje 2 7 2 2 4 2 3 3" xfId="41271" xr:uid="{00000000-0005-0000-0000-000039DD0000}"/>
    <cellStyle name="Porcentaje 2 7 2 2 4 2 4" xfId="20919" xr:uid="{00000000-0005-0000-0000-00003ADD0000}"/>
    <cellStyle name="Porcentaje 2 7 2 2 4 2 4 2" xfId="48052" xr:uid="{00000000-0005-0000-0000-00003BDD0000}"/>
    <cellStyle name="Porcentaje 2 7 2 2 4 2 5" xfId="34490" xr:uid="{00000000-0005-0000-0000-00003CDD0000}"/>
    <cellStyle name="Porcentaje 2 7 2 2 4 3" xfId="10730" xr:uid="{00000000-0005-0000-0000-00003DDD0000}"/>
    <cellStyle name="Porcentaje 2 7 2 2 4 3 2" xfId="17520" xr:uid="{00000000-0005-0000-0000-00003EDD0000}"/>
    <cellStyle name="Porcentaje 2 7 2 2 4 3 2 2" xfId="31088" xr:uid="{00000000-0005-0000-0000-00003FDD0000}"/>
    <cellStyle name="Porcentaje 2 7 2 2 4 3 2 2 2" xfId="58221" xr:uid="{00000000-0005-0000-0000-000040DD0000}"/>
    <cellStyle name="Porcentaje 2 7 2 2 4 3 2 3" xfId="44659" xr:uid="{00000000-0005-0000-0000-000041DD0000}"/>
    <cellStyle name="Porcentaje 2 7 2 2 4 3 3" xfId="24307" xr:uid="{00000000-0005-0000-0000-000042DD0000}"/>
    <cellStyle name="Porcentaje 2 7 2 2 4 3 3 2" xfId="51440" xr:uid="{00000000-0005-0000-0000-000043DD0000}"/>
    <cellStyle name="Porcentaje 2 7 2 2 4 3 4" xfId="37878" xr:uid="{00000000-0005-0000-0000-000044DD0000}"/>
    <cellStyle name="Porcentaje 2 7 2 2 4 4" xfId="14131" xr:uid="{00000000-0005-0000-0000-000045DD0000}"/>
    <cellStyle name="Porcentaje 2 7 2 2 4 4 2" xfId="27699" xr:uid="{00000000-0005-0000-0000-000046DD0000}"/>
    <cellStyle name="Porcentaje 2 7 2 2 4 4 2 2" xfId="54832" xr:uid="{00000000-0005-0000-0000-000047DD0000}"/>
    <cellStyle name="Porcentaje 2 7 2 2 4 4 3" xfId="41270" xr:uid="{00000000-0005-0000-0000-000048DD0000}"/>
    <cellStyle name="Porcentaje 2 7 2 2 4 5" xfId="20918" xr:uid="{00000000-0005-0000-0000-000049DD0000}"/>
    <cellStyle name="Porcentaje 2 7 2 2 4 5 2" xfId="48051" xr:uid="{00000000-0005-0000-0000-00004ADD0000}"/>
    <cellStyle name="Porcentaje 2 7 2 2 4 6" xfId="34489" xr:uid="{00000000-0005-0000-0000-00004BDD0000}"/>
    <cellStyle name="Porcentaje 2 7 2 2 5" xfId="7225" xr:uid="{00000000-0005-0000-0000-00004CDD0000}"/>
    <cellStyle name="Porcentaje 2 7 2 2 5 2" xfId="10732" xr:uid="{00000000-0005-0000-0000-00004DDD0000}"/>
    <cellStyle name="Porcentaje 2 7 2 2 5 2 2" xfId="17522" xr:uid="{00000000-0005-0000-0000-00004EDD0000}"/>
    <cellStyle name="Porcentaje 2 7 2 2 5 2 2 2" xfId="31090" xr:uid="{00000000-0005-0000-0000-00004FDD0000}"/>
    <cellStyle name="Porcentaje 2 7 2 2 5 2 2 2 2" xfId="58223" xr:uid="{00000000-0005-0000-0000-000050DD0000}"/>
    <cellStyle name="Porcentaje 2 7 2 2 5 2 2 3" xfId="44661" xr:uid="{00000000-0005-0000-0000-000051DD0000}"/>
    <cellStyle name="Porcentaje 2 7 2 2 5 2 3" xfId="24309" xr:uid="{00000000-0005-0000-0000-000052DD0000}"/>
    <cellStyle name="Porcentaje 2 7 2 2 5 2 3 2" xfId="51442" xr:uid="{00000000-0005-0000-0000-000053DD0000}"/>
    <cellStyle name="Porcentaje 2 7 2 2 5 2 4" xfId="37880" xr:uid="{00000000-0005-0000-0000-000054DD0000}"/>
    <cellStyle name="Porcentaje 2 7 2 2 5 3" xfId="14133" xr:uid="{00000000-0005-0000-0000-000055DD0000}"/>
    <cellStyle name="Porcentaje 2 7 2 2 5 3 2" xfId="27701" xr:uid="{00000000-0005-0000-0000-000056DD0000}"/>
    <cellStyle name="Porcentaje 2 7 2 2 5 3 2 2" xfId="54834" xr:uid="{00000000-0005-0000-0000-000057DD0000}"/>
    <cellStyle name="Porcentaje 2 7 2 2 5 3 3" xfId="41272" xr:uid="{00000000-0005-0000-0000-000058DD0000}"/>
    <cellStyle name="Porcentaje 2 7 2 2 5 4" xfId="20920" xr:uid="{00000000-0005-0000-0000-000059DD0000}"/>
    <cellStyle name="Porcentaje 2 7 2 2 5 4 2" xfId="48053" xr:uid="{00000000-0005-0000-0000-00005ADD0000}"/>
    <cellStyle name="Porcentaje 2 7 2 2 5 5" xfId="34491" xr:uid="{00000000-0005-0000-0000-00005BDD0000}"/>
    <cellStyle name="Porcentaje 2 7 2 2 6" xfId="7226" xr:uid="{00000000-0005-0000-0000-00005CDD0000}"/>
    <cellStyle name="Porcentaje 2 7 2 2 6 2" xfId="10733" xr:uid="{00000000-0005-0000-0000-00005DDD0000}"/>
    <cellStyle name="Porcentaje 2 7 2 2 6 2 2" xfId="17523" xr:uid="{00000000-0005-0000-0000-00005EDD0000}"/>
    <cellStyle name="Porcentaje 2 7 2 2 6 2 2 2" xfId="31091" xr:uid="{00000000-0005-0000-0000-00005FDD0000}"/>
    <cellStyle name="Porcentaje 2 7 2 2 6 2 2 2 2" xfId="58224" xr:uid="{00000000-0005-0000-0000-000060DD0000}"/>
    <cellStyle name="Porcentaje 2 7 2 2 6 2 2 3" xfId="44662" xr:uid="{00000000-0005-0000-0000-000061DD0000}"/>
    <cellStyle name="Porcentaje 2 7 2 2 6 2 3" xfId="24310" xr:uid="{00000000-0005-0000-0000-000062DD0000}"/>
    <cellStyle name="Porcentaje 2 7 2 2 6 2 3 2" xfId="51443" xr:uid="{00000000-0005-0000-0000-000063DD0000}"/>
    <cellStyle name="Porcentaje 2 7 2 2 6 2 4" xfId="37881" xr:uid="{00000000-0005-0000-0000-000064DD0000}"/>
    <cellStyle name="Porcentaje 2 7 2 2 6 3" xfId="14134" xr:uid="{00000000-0005-0000-0000-000065DD0000}"/>
    <cellStyle name="Porcentaje 2 7 2 2 6 3 2" xfId="27702" xr:uid="{00000000-0005-0000-0000-000066DD0000}"/>
    <cellStyle name="Porcentaje 2 7 2 2 6 3 2 2" xfId="54835" xr:uid="{00000000-0005-0000-0000-000067DD0000}"/>
    <cellStyle name="Porcentaje 2 7 2 2 6 3 3" xfId="41273" xr:uid="{00000000-0005-0000-0000-000068DD0000}"/>
    <cellStyle name="Porcentaje 2 7 2 2 6 4" xfId="20921" xr:uid="{00000000-0005-0000-0000-000069DD0000}"/>
    <cellStyle name="Porcentaje 2 7 2 2 6 4 2" xfId="48054" xr:uid="{00000000-0005-0000-0000-00006ADD0000}"/>
    <cellStyle name="Porcentaje 2 7 2 2 6 5" xfId="34492" xr:uid="{00000000-0005-0000-0000-00006BDD0000}"/>
    <cellStyle name="Porcentaje 2 7 2 2 7" xfId="10718" xr:uid="{00000000-0005-0000-0000-00006CDD0000}"/>
    <cellStyle name="Porcentaje 2 7 2 2 7 2" xfId="17508" xr:uid="{00000000-0005-0000-0000-00006DDD0000}"/>
    <cellStyle name="Porcentaje 2 7 2 2 7 2 2" xfId="31076" xr:uid="{00000000-0005-0000-0000-00006EDD0000}"/>
    <cellStyle name="Porcentaje 2 7 2 2 7 2 2 2" xfId="58209" xr:uid="{00000000-0005-0000-0000-00006FDD0000}"/>
    <cellStyle name="Porcentaje 2 7 2 2 7 2 3" xfId="44647" xr:uid="{00000000-0005-0000-0000-000070DD0000}"/>
    <cellStyle name="Porcentaje 2 7 2 2 7 3" xfId="24295" xr:uid="{00000000-0005-0000-0000-000071DD0000}"/>
    <cellStyle name="Porcentaje 2 7 2 2 7 3 2" xfId="51428" xr:uid="{00000000-0005-0000-0000-000072DD0000}"/>
    <cellStyle name="Porcentaje 2 7 2 2 7 4" xfId="37866" xr:uid="{00000000-0005-0000-0000-000073DD0000}"/>
    <cellStyle name="Porcentaje 2 7 2 2 8" xfId="14119" xr:uid="{00000000-0005-0000-0000-000074DD0000}"/>
    <cellStyle name="Porcentaje 2 7 2 2 8 2" xfId="27687" xr:uid="{00000000-0005-0000-0000-000075DD0000}"/>
    <cellStyle name="Porcentaje 2 7 2 2 8 2 2" xfId="54820" xr:uid="{00000000-0005-0000-0000-000076DD0000}"/>
    <cellStyle name="Porcentaje 2 7 2 2 8 3" xfId="41258" xr:uid="{00000000-0005-0000-0000-000077DD0000}"/>
    <cellStyle name="Porcentaje 2 7 2 2 9" xfId="20906" xr:uid="{00000000-0005-0000-0000-000078DD0000}"/>
    <cellStyle name="Porcentaje 2 7 2 2 9 2" xfId="48039" xr:uid="{00000000-0005-0000-0000-000079DD0000}"/>
    <cellStyle name="Porcentaje 2 7 2 3" xfId="7227" xr:uid="{00000000-0005-0000-0000-00007ADD0000}"/>
    <cellStyle name="Porcentaje 2 7 2 3 2" xfId="7228" xr:uid="{00000000-0005-0000-0000-00007BDD0000}"/>
    <cellStyle name="Porcentaje 2 7 2 3 2 2" xfId="7229" xr:uid="{00000000-0005-0000-0000-00007CDD0000}"/>
    <cellStyle name="Porcentaje 2 7 2 3 2 2 2" xfId="10736" xr:uid="{00000000-0005-0000-0000-00007DDD0000}"/>
    <cellStyle name="Porcentaje 2 7 2 3 2 2 2 2" xfId="17526" xr:uid="{00000000-0005-0000-0000-00007EDD0000}"/>
    <cellStyle name="Porcentaje 2 7 2 3 2 2 2 2 2" xfId="31094" xr:uid="{00000000-0005-0000-0000-00007FDD0000}"/>
    <cellStyle name="Porcentaje 2 7 2 3 2 2 2 2 2 2" xfId="58227" xr:uid="{00000000-0005-0000-0000-000080DD0000}"/>
    <cellStyle name="Porcentaje 2 7 2 3 2 2 2 2 3" xfId="44665" xr:uid="{00000000-0005-0000-0000-000081DD0000}"/>
    <cellStyle name="Porcentaje 2 7 2 3 2 2 2 3" xfId="24313" xr:uid="{00000000-0005-0000-0000-000082DD0000}"/>
    <cellStyle name="Porcentaje 2 7 2 3 2 2 2 3 2" xfId="51446" xr:uid="{00000000-0005-0000-0000-000083DD0000}"/>
    <cellStyle name="Porcentaje 2 7 2 3 2 2 2 4" xfId="37884" xr:uid="{00000000-0005-0000-0000-000084DD0000}"/>
    <cellStyle name="Porcentaje 2 7 2 3 2 2 3" xfId="14137" xr:uid="{00000000-0005-0000-0000-000085DD0000}"/>
    <cellStyle name="Porcentaje 2 7 2 3 2 2 3 2" xfId="27705" xr:uid="{00000000-0005-0000-0000-000086DD0000}"/>
    <cellStyle name="Porcentaje 2 7 2 3 2 2 3 2 2" xfId="54838" xr:uid="{00000000-0005-0000-0000-000087DD0000}"/>
    <cellStyle name="Porcentaje 2 7 2 3 2 2 3 3" xfId="41276" xr:uid="{00000000-0005-0000-0000-000088DD0000}"/>
    <cellStyle name="Porcentaje 2 7 2 3 2 2 4" xfId="20924" xr:uid="{00000000-0005-0000-0000-000089DD0000}"/>
    <cellStyle name="Porcentaje 2 7 2 3 2 2 4 2" xfId="48057" xr:uid="{00000000-0005-0000-0000-00008ADD0000}"/>
    <cellStyle name="Porcentaje 2 7 2 3 2 2 5" xfId="34495" xr:uid="{00000000-0005-0000-0000-00008BDD0000}"/>
    <cellStyle name="Porcentaje 2 7 2 3 2 3" xfId="7230" xr:uid="{00000000-0005-0000-0000-00008CDD0000}"/>
    <cellStyle name="Porcentaje 2 7 2 3 2 3 2" xfId="10737" xr:uid="{00000000-0005-0000-0000-00008DDD0000}"/>
    <cellStyle name="Porcentaje 2 7 2 3 2 3 2 2" xfId="17527" xr:uid="{00000000-0005-0000-0000-00008EDD0000}"/>
    <cellStyle name="Porcentaje 2 7 2 3 2 3 2 2 2" xfId="31095" xr:uid="{00000000-0005-0000-0000-00008FDD0000}"/>
    <cellStyle name="Porcentaje 2 7 2 3 2 3 2 2 2 2" xfId="58228" xr:uid="{00000000-0005-0000-0000-000090DD0000}"/>
    <cellStyle name="Porcentaje 2 7 2 3 2 3 2 2 3" xfId="44666" xr:uid="{00000000-0005-0000-0000-000091DD0000}"/>
    <cellStyle name="Porcentaje 2 7 2 3 2 3 2 3" xfId="24314" xr:uid="{00000000-0005-0000-0000-000092DD0000}"/>
    <cellStyle name="Porcentaje 2 7 2 3 2 3 2 3 2" xfId="51447" xr:uid="{00000000-0005-0000-0000-000093DD0000}"/>
    <cellStyle name="Porcentaje 2 7 2 3 2 3 2 4" xfId="37885" xr:uid="{00000000-0005-0000-0000-000094DD0000}"/>
    <cellStyle name="Porcentaje 2 7 2 3 2 3 3" xfId="14138" xr:uid="{00000000-0005-0000-0000-000095DD0000}"/>
    <cellStyle name="Porcentaje 2 7 2 3 2 3 3 2" xfId="27706" xr:uid="{00000000-0005-0000-0000-000096DD0000}"/>
    <cellStyle name="Porcentaje 2 7 2 3 2 3 3 2 2" xfId="54839" xr:uid="{00000000-0005-0000-0000-000097DD0000}"/>
    <cellStyle name="Porcentaje 2 7 2 3 2 3 3 3" xfId="41277" xr:uid="{00000000-0005-0000-0000-000098DD0000}"/>
    <cellStyle name="Porcentaje 2 7 2 3 2 3 4" xfId="20925" xr:uid="{00000000-0005-0000-0000-000099DD0000}"/>
    <cellStyle name="Porcentaje 2 7 2 3 2 3 4 2" xfId="48058" xr:uid="{00000000-0005-0000-0000-00009ADD0000}"/>
    <cellStyle name="Porcentaje 2 7 2 3 2 3 5" xfId="34496" xr:uid="{00000000-0005-0000-0000-00009BDD0000}"/>
    <cellStyle name="Porcentaje 2 7 2 3 2 4" xfId="10735" xr:uid="{00000000-0005-0000-0000-00009CDD0000}"/>
    <cellStyle name="Porcentaje 2 7 2 3 2 4 2" xfId="17525" xr:uid="{00000000-0005-0000-0000-00009DDD0000}"/>
    <cellStyle name="Porcentaje 2 7 2 3 2 4 2 2" xfId="31093" xr:uid="{00000000-0005-0000-0000-00009EDD0000}"/>
    <cellStyle name="Porcentaje 2 7 2 3 2 4 2 2 2" xfId="58226" xr:uid="{00000000-0005-0000-0000-00009FDD0000}"/>
    <cellStyle name="Porcentaje 2 7 2 3 2 4 2 3" xfId="44664" xr:uid="{00000000-0005-0000-0000-0000A0DD0000}"/>
    <cellStyle name="Porcentaje 2 7 2 3 2 4 3" xfId="24312" xr:uid="{00000000-0005-0000-0000-0000A1DD0000}"/>
    <cellStyle name="Porcentaje 2 7 2 3 2 4 3 2" xfId="51445" xr:uid="{00000000-0005-0000-0000-0000A2DD0000}"/>
    <cellStyle name="Porcentaje 2 7 2 3 2 4 4" xfId="37883" xr:uid="{00000000-0005-0000-0000-0000A3DD0000}"/>
    <cellStyle name="Porcentaje 2 7 2 3 2 5" xfId="14136" xr:uid="{00000000-0005-0000-0000-0000A4DD0000}"/>
    <cellStyle name="Porcentaje 2 7 2 3 2 5 2" xfId="27704" xr:uid="{00000000-0005-0000-0000-0000A5DD0000}"/>
    <cellStyle name="Porcentaje 2 7 2 3 2 5 2 2" xfId="54837" xr:uid="{00000000-0005-0000-0000-0000A6DD0000}"/>
    <cellStyle name="Porcentaje 2 7 2 3 2 5 3" xfId="41275" xr:uid="{00000000-0005-0000-0000-0000A7DD0000}"/>
    <cellStyle name="Porcentaje 2 7 2 3 2 6" xfId="20923" xr:uid="{00000000-0005-0000-0000-0000A8DD0000}"/>
    <cellStyle name="Porcentaje 2 7 2 3 2 6 2" xfId="48056" xr:uid="{00000000-0005-0000-0000-0000A9DD0000}"/>
    <cellStyle name="Porcentaje 2 7 2 3 2 7" xfId="34494" xr:uid="{00000000-0005-0000-0000-0000AADD0000}"/>
    <cellStyle name="Porcentaje 2 7 2 3 3" xfId="7231" xr:uid="{00000000-0005-0000-0000-0000ABDD0000}"/>
    <cellStyle name="Porcentaje 2 7 2 3 3 2" xfId="7232" xr:uid="{00000000-0005-0000-0000-0000ACDD0000}"/>
    <cellStyle name="Porcentaje 2 7 2 3 3 2 2" xfId="10739" xr:uid="{00000000-0005-0000-0000-0000ADDD0000}"/>
    <cellStyle name="Porcentaje 2 7 2 3 3 2 2 2" xfId="17529" xr:uid="{00000000-0005-0000-0000-0000AEDD0000}"/>
    <cellStyle name="Porcentaje 2 7 2 3 3 2 2 2 2" xfId="31097" xr:uid="{00000000-0005-0000-0000-0000AFDD0000}"/>
    <cellStyle name="Porcentaje 2 7 2 3 3 2 2 2 2 2" xfId="58230" xr:uid="{00000000-0005-0000-0000-0000B0DD0000}"/>
    <cellStyle name="Porcentaje 2 7 2 3 3 2 2 2 3" xfId="44668" xr:uid="{00000000-0005-0000-0000-0000B1DD0000}"/>
    <cellStyle name="Porcentaje 2 7 2 3 3 2 2 3" xfId="24316" xr:uid="{00000000-0005-0000-0000-0000B2DD0000}"/>
    <cellStyle name="Porcentaje 2 7 2 3 3 2 2 3 2" xfId="51449" xr:uid="{00000000-0005-0000-0000-0000B3DD0000}"/>
    <cellStyle name="Porcentaje 2 7 2 3 3 2 2 4" xfId="37887" xr:uid="{00000000-0005-0000-0000-0000B4DD0000}"/>
    <cellStyle name="Porcentaje 2 7 2 3 3 2 3" xfId="14140" xr:uid="{00000000-0005-0000-0000-0000B5DD0000}"/>
    <cellStyle name="Porcentaje 2 7 2 3 3 2 3 2" xfId="27708" xr:uid="{00000000-0005-0000-0000-0000B6DD0000}"/>
    <cellStyle name="Porcentaje 2 7 2 3 3 2 3 2 2" xfId="54841" xr:uid="{00000000-0005-0000-0000-0000B7DD0000}"/>
    <cellStyle name="Porcentaje 2 7 2 3 3 2 3 3" xfId="41279" xr:uid="{00000000-0005-0000-0000-0000B8DD0000}"/>
    <cellStyle name="Porcentaje 2 7 2 3 3 2 4" xfId="20927" xr:uid="{00000000-0005-0000-0000-0000B9DD0000}"/>
    <cellStyle name="Porcentaje 2 7 2 3 3 2 4 2" xfId="48060" xr:uid="{00000000-0005-0000-0000-0000BADD0000}"/>
    <cellStyle name="Porcentaje 2 7 2 3 3 2 5" xfId="34498" xr:uid="{00000000-0005-0000-0000-0000BBDD0000}"/>
    <cellStyle name="Porcentaje 2 7 2 3 3 3" xfId="10738" xr:uid="{00000000-0005-0000-0000-0000BCDD0000}"/>
    <cellStyle name="Porcentaje 2 7 2 3 3 3 2" xfId="17528" xr:uid="{00000000-0005-0000-0000-0000BDDD0000}"/>
    <cellStyle name="Porcentaje 2 7 2 3 3 3 2 2" xfId="31096" xr:uid="{00000000-0005-0000-0000-0000BEDD0000}"/>
    <cellStyle name="Porcentaje 2 7 2 3 3 3 2 2 2" xfId="58229" xr:uid="{00000000-0005-0000-0000-0000BFDD0000}"/>
    <cellStyle name="Porcentaje 2 7 2 3 3 3 2 3" xfId="44667" xr:uid="{00000000-0005-0000-0000-0000C0DD0000}"/>
    <cellStyle name="Porcentaje 2 7 2 3 3 3 3" xfId="24315" xr:uid="{00000000-0005-0000-0000-0000C1DD0000}"/>
    <cellStyle name="Porcentaje 2 7 2 3 3 3 3 2" xfId="51448" xr:uid="{00000000-0005-0000-0000-0000C2DD0000}"/>
    <cellStyle name="Porcentaje 2 7 2 3 3 3 4" xfId="37886" xr:uid="{00000000-0005-0000-0000-0000C3DD0000}"/>
    <cellStyle name="Porcentaje 2 7 2 3 3 4" xfId="14139" xr:uid="{00000000-0005-0000-0000-0000C4DD0000}"/>
    <cellStyle name="Porcentaje 2 7 2 3 3 4 2" xfId="27707" xr:uid="{00000000-0005-0000-0000-0000C5DD0000}"/>
    <cellStyle name="Porcentaje 2 7 2 3 3 4 2 2" xfId="54840" xr:uid="{00000000-0005-0000-0000-0000C6DD0000}"/>
    <cellStyle name="Porcentaje 2 7 2 3 3 4 3" xfId="41278" xr:uid="{00000000-0005-0000-0000-0000C7DD0000}"/>
    <cellStyle name="Porcentaje 2 7 2 3 3 5" xfId="20926" xr:uid="{00000000-0005-0000-0000-0000C8DD0000}"/>
    <cellStyle name="Porcentaje 2 7 2 3 3 5 2" xfId="48059" xr:uid="{00000000-0005-0000-0000-0000C9DD0000}"/>
    <cellStyle name="Porcentaje 2 7 2 3 3 6" xfId="34497" xr:uid="{00000000-0005-0000-0000-0000CADD0000}"/>
    <cellStyle name="Porcentaje 2 7 2 3 4" xfId="7233" xr:uid="{00000000-0005-0000-0000-0000CBDD0000}"/>
    <cellStyle name="Porcentaje 2 7 2 3 4 2" xfId="10740" xr:uid="{00000000-0005-0000-0000-0000CCDD0000}"/>
    <cellStyle name="Porcentaje 2 7 2 3 4 2 2" xfId="17530" xr:uid="{00000000-0005-0000-0000-0000CDDD0000}"/>
    <cellStyle name="Porcentaje 2 7 2 3 4 2 2 2" xfId="31098" xr:uid="{00000000-0005-0000-0000-0000CEDD0000}"/>
    <cellStyle name="Porcentaje 2 7 2 3 4 2 2 2 2" xfId="58231" xr:uid="{00000000-0005-0000-0000-0000CFDD0000}"/>
    <cellStyle name="Porcentaje 2 7 2 3 4 2 2 3" xfId="44669" xr:uid="{00000000-0005-0000-0000-0000D0DD0000}"/>
    <cellStyle name="Porcentaje 2 7 2 3 4 2 3" xfId="24317" xr:uid="{00000000-0005-0000-0000-0000D1DD0000}"/>
    <cellStyle name="Porcentaje 2 7 2 3 4 2 3 2" xfId="51450" xr:uid="{00000000-0005-0000-0000-0000D2DD0000}"/>
    <cellStyle name="Porcentaje 2 7 2 3 4 2 4" xfId="37888" xr:uid="{00000000-0005-0000-0000-0000D3DD0000}"/>
    <cellStyle name="Porcentaje 2 7 2 3 4 3" xfId="14141" xr:uid="{00000000-0005-0000-0000-0000D4DD0000}"/>
    <cellStyle name="Porcentaje 2 7 2 3 4 3 2" xfId="27709" xr:uid="{00000000-0005-0000-0000-0000D5DD0000}"/>
    <cellStyle name="Porcentaje 2 7 2 3 4 3 2 2" xfId="54842" xr:uid="{00000000-0005-0000-0000-0000D6DD0000}"/>
    <cellStyle name="Porcentaje 2 7 2 3 4 3 3" xfId="41280" xr:uid="{00000000-0005-0000-0000-0000D7DD0000}"/>
    <cellStyle name="Porcentaje 2 7 2 3 4 4" xfId="20928" xr:uid="{00000000-0005-0000-0000-0000D8DD0000}"/>
    <cellStyle name="Porcentaje 2 7 2 3 4 4 2" xfId="48061" xr:uid="{00000000-0005-0000-0000-0000D9DD0000}"/>
    <cellStyle name="Porcentaje 2 7 2 3 4 5" xfId="34499" xr:uid="{00000000-0005-0000-0000-0000DADD0000}"/>
    <cellStyle name="Porcentaje 2 7 2 3 5" xfId="7234" xr:uid="{00000000-0005-0000-0000-0000DBDD0000}"/>
    <cellStyle name="Porcentaje 2 7 2 3 5 2" xfId="10741" xr:uid="{00000000-0005-0000-0000-0000DCDD0000}"/>
    <cellStyle name="Porcentaje 2 7 2 3 5 2 2" xfId="17531" xr:uid="{00000000-0005-0000-0000-0000DDDD0000}"/>
    <cellStyle name="Porcentaje 2 7 2 3 5 2 2 2" xfId="31099" xr:uid="{00000000-0005-0000-0000-0000DEDD0000}"/>
    <cellStyle name="Porcentaje 2 7 2 3 5 2 2 2 2" xfId="58232" xr:uid="{00000000-0005-0000-0000-0000DFDD0000}"/>
    <cellStyle name="Porcentaje 2 7 2 3 5 2 2 3" xfId="44670" xr:uid="{00000000-0005-0000-0000-0000E0DD0000}"/>
    <cellStyle name="Porcentaje 2 7 2 3 5 2 3" xfId="24318" xr:uid="{00000000-0005-0000-0000-0000E1DD0000}"/>
    <cellStyle name="Porcentaje 2 7 2 3 5 2 3 2" xfId="51451" xr:uid="{00000000-0005-0000-0000-0000E2DD0000}"/>
    <cellStyle name="Porcentaje 2 7 2 3 5 2 4" xfId="37889" xr:uid="{00000000-0005-0000-0000-0000E3DD0000}"/>
    <cellStyle name="Porcentaje 2 7 2 3 5 3" xfId="14142" xr:uid="{00000000-0005-0000-0000-0000E4DD0000}"/>
    <cellStyle name="Porcentaje 2 7 2 3 5 3 2" xfId="27710" xr:uid="{00000000-0005-0000-0000-0000E5DD0000}"/>
    <cellStyle name="Porcentaje 2 7 2 3 5 3 2 2" xfId="54843" xr:uid="{00000000-0005-0000-0000-0000E6DD0000}"/>
    <cellStyle name="Porcentaje 2 7 2 3 5 3 3" xfId="41281" xr:uid="{00000000-0005-0000-0000-0000E7DD0000}"/>
    <cellStyle name="Porcentaje 2 7 2 3 5 4" xfId="20929" xr:uid="{00000000-0005-0000-0000-0000E8DD0000}"/>
    <cellStyle name="Porcentaje 2 7 2 3 5 4 2" xfId="48062" xr:uid="{00000000-0005-0000-0000-0000E9DD0000}"/>
    <cellStyle name="Porcentaje 2 7 2 3 5 5" xfId="34500" xr:uid="{00000000-0005-0000-0000-0000EADD0000}"/>
    <cellStyle name="Porcentaje 2 7 2 3 6" xfId="10734" xr:uid="{00000000-0005-0000-0000-0000EBDD0000}"/>
    <cellStyle name="Porcentaje 2 7 2 3 6 2" xfId="17524" xr:uid="{00000000-0005-0000-0000-0000ECDD0000}"/>
    <cellStyle name="Porcentaje 2 7 2 3 6 2 2" xfId="31092" xr:uid="{00000000-0005-0000-0000-0000EDDD0000}"/>
    <cellStyle name="Porcentaje 2 7 2 3 6 2 2 2" xfId="58225" xr:uid="{00000000-0005-0000-0000-0000EEDD0000}"/>
    <cellStyle name="Porcentaje 2 7 2 3 6 2 3" xfId="44663" xr:uid="{00000000-0005-0000-0000-0000EFDD0000}"/>
    <cellStyle name="Porcentaje 2 7 2 3 6 3" xfId="24311" xr:uid="{00000000-0005-0000-0000-0000F0DD0000}"/>
    <cellStyle name="Porcentaje 2 7 2 3 6 3 2" xfId="51444" xr:uid="{00000000-0005-0000-0000-0000F1DD0000}"/>
    <cellStyle name="Porcentaje 2 7 2 3 6 4" xfId="37882" xr:uid="{00000000-0005-0000-0000-0000F2DD0000}"/>
    <cellStyle name="Porcentaje 2 7 2 3 7" xfId="14135" xr:uid="{00000000-0005-0000-0000-0000F3DD0000}"/>
    <cellStyle name="Porcentaje 2 7 2 3 7 2" xfId="27703" xr:uid="{00000000-0005-0000-0000-0000F4DD0000}"/>
    <cellStyle name="Porcentaje 2 7 2 3 7 2 2" xfId="54836" xr:uid="{00000000-0005-0000-0000-0000F5DD0000}"/>
    <cellStyle name="Porcentaje 2 7 2 3 7 3" xfId="41274" xr:uid="{00000000-0005-0000-0000-0000F6DD0000}"/>
    <cellStyle name="Porcentaje 2 7 2 3 8" xfId="20922" xr:uid="{00000000-0005-0000-0000-0000F7DD0000}"/>
    <cellStyle name="Porcentaje 2 7 2 3 8 2" xfId="48055" xr:uid="{00000000-0005-0000-0000-0000F8DD0000}"/>
    <cellStyle name="Porcentaje 2 7 2 3 9" xfId="34493" xr:uid="{00000000-0005-0000-0000-0000F9DD0000}"/>
    <cellStyle name="Porcentaje 2 7 2 4" xfId="7235" xr:uid="{00000000-0005-0000-0000-0000FADD0000}"/>
    <cellStyle name="Porcentaje 2 7 2 4 2" xfId="7236" xr:uid="{00000000-0005-0000-0000-0000FBDD0000}"/>
    <cellStyle name="Porcentaje 2 7 2 4 2 2" xfId="7237" xr:uid="{00000000-0005-0000-0000-0000FCDD0000}"/>
    <cellStyle name="Porcentaje 2 7 2 4 2 2 2" xfId="10744" xr:uid="{00000000-0005-0000-0000-0000FDDD0000}"/>
    <cellStyle name="Porcentaje 2 7 2 4 2 2 2 2" xfId="17534" xr:uid="{00000000-0005-0000-0000-0000FEDD0000}"/>
    <cellStyle name="Porcentaje 2 7 2 4 2 2 2 2 2" xfId="31102" xr:uid="{00000000-0005-0000-0000-0000FFDD0000}"/>
    <cellStyle name="Porcentaje 2 7 2 4 2 2 2 2 2 2" xfId="58235" xr:uid="{00000000-0005-0000-0000-000000DE0000}"/>
    <cellStyle name="Porcentaje 2 7 2 4 2 2 2 2 3" xfId="44673" xr:uid="{00000000-0005-0000-0000-000001DE0000}"/>
    <cellStyle name="Porcentaje 2 7 2 4 2 2 2 3" xfId="24321" xr:uid="{00000000-0005-0000-0000-000002DE0000}"/>
    <cellStyle name="Porcentaje 2 7 2 4 2 2 2 3 2" xfId="51454" xr:uid="{00000000-0005-0000-0000-000003DE0000}"/>
    <cellStyle name="Porcentaje 2 7 2 4 2 2 2 4" xfId="37892" xr:uid="{00000000-0005-0000-0000-000004DE0000}"/>
    <cellStyle name="Porcentaje 2 7 2 4 2 2 3" xfId="14145" xr:uid="{00000000-0005-0000-0000-000005DE0000}"/>
    <cellStyle name="Porcentaje 2 7 2 4 2 2 3 2" xfId="27713" xr:uid="{00000000-0005-0000-0000-000006DE0000}"/>
    <cellStyle name="Porcentaje 2 7 2 4 2 2 3 2 2" xfId="54846" xr:uid="{00000000-0005-0000-0000-000007DE0000}"/>
    <cellStyle name="Porcentaje 2 7 2 4 2 2 3 3" xfId="41284" xr:uid="{00000000-0005-0000-0000-000008DE0000}"/>
    <cellStyle name="Porcentaje 2 7 2 4 2 2 4" xfId="20932" xr:uid="{00000000-0005-0000-0000-000009DE0000}"/>
    <cellStyle name="Porcentaje 2 7 2 4 2 2 4 2" xfId="48065" xr:uid="{00000000-0005-0000-0000-00000ADE0000}"/>
    <cellStyle name="Porcentaje 2 7 2 4 2 2 5" xfId="34503" xr:uid="{00000000-0005-0000-0000-00000BDE0000}"/>
    <cellStyle name="Porcentaje 2 7 2 4 2 3" xfId="7238" xr:uid="{00000000-0005-0000-0000-00000CDE0000}"/>
    <cellStyle name="Porcentaje 2 7 2 4 2 3 2" xfId="10745" xr:uid="{00000000-0005-0000-0000-00000DDE0000}"/>
    <cellStyle name="Porcentaje 2 7 2 4 2 3 2 2" xfId="17535" xr:uid="{00000000-0005-0000-0000-00000EDE0000}"/>
    <cellStyle name="Porcentaje 2 7 2 4 2 3 2 2 2" xfId="31103" xr:uid="{00000000-0005-0000-0000-00000FDE0000}"/>
    <cellStyle name="Porcentaje 2 7 2 4 2 3 2 2 2 2" xfId="58236" xr:uid="{00000000-0005-0000-0000-000010DE0000}"/>
    <cellStyle name="Porcentaje 2 7 2 4 2 3 2 2 3" xfId="44674" xr:uid="{00000000-0005-0000-0000-000011DE0000}"/>
    <cellStyle name="Porcentaje 2 7 2 4 2 3 2 3" xfId="24322" xr:uid="{00000000-0005-0000-0000-000012DE0000}"/>
    <cellStyle name="Porcentaje 2 7 2 4 2 3 2 3 2" xfId="51455" xr:uid="{00000000-0005-0000-0000-000013DE0000}"/>
    <cellStyle name="Porcentaje 2 7 2 4 2 3 2 4" xfId="37893" xr:uid="{00000000-0005-0000-0000-000014DE0000}"/>
    <cellStyle name="Porcentaje 2 7 2 4 2 3 3" xfId="14146" xr:uid="{00000000-0005-0000-0000-000015DE0000}"/>
    <cellStyle name="Porcentaje 2 7 2 4 2 3 3 2" xfId="27714" xr:uid="{00000000-0005-0000-0000-000016DE0000}"/>
    <cellStyle name="Porcentaje 2 7 2 4 2 3 3 2 2" xfId="54847" xr:uid="{00000000-0005-0000-0000-000017DE0000}"/>
    <cellStyle name="Porcentaje 2 7 2 4 2 3 3 3" xfId="41285" xr:uid="{00000000-0005-0000-0000-000018DE0000}"/>
    <cellStyle name="Porcentaje 2 7 2 4 2 3 4" xfId="20933" xr:uid="{00000000-0005-0000-0000-000019DE0000}"/>
    <cellStyle name="Porcentaje 2 7 2 4 2 3 4 2" xfId="48066" xr:uid="{00000000-0005-0000-0000-00001ADE0000}"/>
    <cellStyle name="Porcentaje 2 7 2 4 2 3 5" xfId="34504" xr:uid="{00000000-0005-0000-0000-00001BDE0000}"/>
    <cellStyle name="Porcentaje 2 7 2 4 2 4" xfId="10743" xr:uid="{00000000-0005-0000-0000-00001CDE0000}"/>
    <cellStyle name="Porcentaje 2 7 2 4 2 4 2" xfId="17533" xr:uid="{00000000-0005-0000-0000-00001DDE0000}"/>
    <cellStyle name="Porcentaje 2 7 2 4 2 4 2 2" xfId="31101" xr:uid="{00000000-0005-0000-0000-00001EDE0000}"/>
    <cellStyle name="Porcentaje 2 7 2 4 2 4 2 2 2" xfId="58234" xr:uid="{00000000-0005-0000-0000-00001FDE0000}"/>
    <cellStyle name="Porcentaje 2 7 2 4 2 4 2 3" xfId="44672" xr:uid="{00000000-0005-0000-0000-000020DE0000}"/>
    <cellStyle name="Porcentaje 2 7 2 4 2 4 3" xfId="24320" xr:uid="{00000000-0005-0000-0000-000021DE0000}"/>
    <cellStyle name="Porcentaje 2 7 2 4 2 4 3 2" xfId="51453" xr:uid="{00000000-0005-0000-0000-000022DE0000}"/>
    <cellStyle name="Porcentaje 2 7 2 4 2 4 4" xfId="37891" xr:uid="{00000000-0005-0000-0000-000023DE0000}"/>
    <cellStyle name="Porcentaje 2 7 2 4 2 5" xfId="14144" xr:uid="{00000000-0005-0000-0000-000024DE0000}"/>
    <cellStyle name="Porcentaje 2 7 2 4 2 5 2" xfId="27712" xr:uid="{00000000-0005-0000-0000-000025DE0000}"/>
    <cellStyle name="Porcentaje 2 7 2 4 2 5 2 2" xfId="54845" xr:uid="{00000000-0005-0000-0000-000026DE0000}"/>
    <cellStyle name="Porcentaje 2 7 2 4 2 5 3" xfId="41283" xr:uid="{00000000-0005-0000-0000-000027DE0000}"/>
    <cellStyle name="Porcentaje 2 7 2 4 2 6" xfId="20931" xr:uid="{00000000-0005-0000-0000-000028DE0000}"/>
    <cellStyle name="Porcentaje 2 7 2 4 2 6 2" xfId="48064" xr:uid="{00000000-0005-0000-0000-000029DE0000}"/>
    <cellStyle name="Porcentaje 2 7 2 4 2 7" xfId="34502" xr:uid="{00000000-0005-0000-0000-00002ADE0000}"/>
    <cellStyle name="Porcentaje 2 7 2 4 3" xfId="7239" xr:uid="{00000000-0005-0000-0000-00002BDE0000}"/>
    <cellStyle name="Porcentaje 2 7 2 4 3 2" xfId="10746" xr:uid="{00000000-0005-0000-0000-00002CDE0000}"/>
    <cellStyle name="Porcentaje 2 7 2 4 3 2 2" xfId="17536" xr:uid="{00000000-0005-0000-0000-00002DDE0000}"/>
    <cellStyle name="Porcentaje 2 7 2 4 3 2 2 2" xfId="31104" xr:uid="{00000000-0005-0000-0000-00002EDE0000}"/>
    <cellStyle name="Porcentaje 2 7 2 4 3 2 2 2 2" xfId="58237" xr:uid="{00000000-0005-0000-0000-00002FDE0000}"/>
    <cellStyle name="Porcentaje 2 7 2 4 3 2 2 3" xfId="44675" xr:uid="{00000000-0005-0000-0000-000030DE0000}"/>
    <cellStyle name="Porcentaje 2 7 2 4 3 2 3" xfId="24323" xr:uid="{00000000-0005-0000-0000-000031DE0000}"/>
    <cellStyle name="Porcentaje 2 7 2 4 3 2 3 2" xfId="51456" xr:uid="{00000000-0005-0000-0000-000032DE0000}"/>
    <cellStyle name="Porcentaje 2 7 2 4 3 2 4" xfId="37894" xr:uid="{00000000-0005-0000-0000-000033DE0000}"/>
    <cellStyle name="Porcentaje 2 7 2 4 3 3" xfId="14147" xr:uid="{00000000-0005-0000-0000-000034DE0000}"/>
    <cellStyle name="Porcentaje 2 7 2 4 3 3 2" xfId="27715" xr:uid="{00000000-0005-0000-0000-000035DE0000}"/>
    <cellStyle name="Porcentaje 2 7 2 4 3 3 2 2" xfId="54848" xr:uid="{00000000-0005-0000-0000-000036DE0000}"/>
    <cellStyle name="Porcentaje 2 7 2 4 3 3 3" xfId="41286" xr:uid="{00000000-0005-0000-0000-000037DE0000}"/>
    <cellStyle name="Porcentaje 2 7 2 4 3 4" xfId="20934" xr:uid="{00000000-0005-0000-0000-000038DE0000}"/>
    <cellStyle name="Porcentaje 2 7 2 4 3 4 2" xfId="48067" xr:uid="{00000000-0005-0000-0000-000039DE0000}"/>
    <cellStyle name="Porcentaje 2 7 2 4 3 5" xfId="34505" xr:uid="{00000000-0005-0000-0000-00003ADE0000}"/>
    <cellStyle name="Porcentaje 2 7 2 4 4" xfId="7240" xr:uid="{00000000-0005-0000-0000-00003BDE0000}"/>
    <cellStyle name="Porcentaje 2 7 2 4 4 2" xfId="10747" xr:uid="{00000000-0005-0000-0000-00003CDE0000}"/>
    <cellStyle name="Porcentaje 2 7 2 4 4 2 2" xfId="17537" xr:uid="{00000000-0005-0000-0000-00003DDE0000}"/>
    <cellStyle name="Porcentaje 2 7 2 4 4 2 2 2" xfId="31105" xr:uid="{00000000-0005-0000-0000-00003EDE0000}"/>
    <cellStyle name="Porcentaje 2 7 2 4 4 2 2 2 2" xfId="58238" xr:uid="{00000000-0005-0000-0000-00003FDE0000}"/>
    <cellStyle name="Porcentaje 2 7 2 4 4 2 2 3" xfId="44676" xr:uid="{00000000-0005-0000-0000-000040DE0000}"/>
    <cellStyle name="Porcentaje 2 7 2 4 4 2 3" xfId="24324" xr:uid="{00000000-0005-0000-0000-000041DE0000}"/>
    <cellStyle name="Porcentaje 2 7 2 4 4 2 3 2" xfId="51457" xr:uid="{00000000-0005-0000-0000-000042DE0000}"/>
    <cellStyle name="Porcentaje 2 7 2 4 4 2 4" xfId="37895" xr:uid="{00000000-0005-0000-0000-000043DE0000}"/>
    <cellStyle name="Porcentaje 2 7 2 4 4 3" xfId="14148" xr:uid="{00000000-0005-0000-0000-000044DE0000}"/>
    <cellStyle name="Porcentaje 2 7 2 4 4 3 2" xfId="27716" xr:uid="{00000000-0005-0000-0000-000045DE0000}"/>
    <cellStyle name="Porcentaje 2 7 2 4 4 3 2 2" xfId="54849" xr:uid="{00000000-0005-0000-0000-000046DE0000}"/>
    <cellStyle name="Porcentaje 2 7 2 4 4 3 3" xfId="41287" xr:uid="{00000000-0005-0000-0000-000047DE0000}"/>
    <cellStyle name="Porcentaje 2 7 2 4 4 4" xfId="20935" xr:uid="{00000000-0005-0000-0000-000048DE0000}"/>
    <cellStyle name="Porcentaje 2 7 2 4 4 4 2" xfId="48068" xr:uid="{00000000-0005-0000-0000-000049DE0000}"/>
    <cellStyle name="Porcentaje 2 7 2 4 4 5" xfId="34506" xr:uid="{00000000-0005-0000-0000-00004ADE0000}"/>
    <cellStyle name="Porcentaje 2 7 2 4 5" xfId="10742" xr:uid="{00000000-0005-0000-0000-00004BDE0000}"/>
    <cellStyle name="Porcentaje 2 7 2 4 5 2" xfId="17532" xr:uid="{00000000-0005-0000-0000-00004CDE0000}"/>
    <cellStyle name="Porcentaje 2 7 2 4 5 2 2" xfId="31100" xr:uid="{00000000-0005-0000-0000-00004DDE0000}"/>
    <cellStyle name="Porcentaje 2 7 2 4 5 2 2 2" xfId="58233" xr:uid="{00000000-0005-0000-0000-00004EDE0000}"/>
    <cellStyle name="Porcentaje 2 7 2 4 5 2 3" xfId="44671" xr:uid="{00000000-0005-0000-0000-00004FDE0000}"/>
    <cellStyle name="Porcentaje 2 7 2 4 5 3" xfId="24319" xr:uid="{00000000-0005-0000-0000-000050DE0000}"/>
    <cellStyle name="Porcentaje 2 7 2 4 5 3 2" xfId="51452" xr:uid="{00000000-0005-0000-0000-000051DE0000}"/>
    <cellStyle name="Porcentaje 2 7 2 4 5 4" xfId="37890" xr:uid="{00000000-0005-0000-0000-000052DE0000}"/>
    <cellStyle name="Porcentaje 2 7 2 4 6" xfId="14143" xr:uid="{00000000-0005-0000-0000-000053DE0000}"/>
    <cellStyle name="Porcentaje 2 7 2 4 6 2" xfId="27711" xr:uid="{00000000-0005-0000-0000-000054DE0000}"/>
    <cellStyle name="Porcentaje 2 7 2 4 6 2 2" xfId="54844" xr:uid="{00000000-0005-0000-0000-000055DE0000}"/>
    <cellStyle name="Porcentaje 2 7 2 4 6 3" xfId="41282" xr:uid="{00000000-0005-0000-0000-000056DE0000}"/>
    <cellStyle name="Porcentaje 2 7 2 4 7" xfId="20930" xr:uid="{00000000-0005-0000-0000-000057DE0000}"/>
    <cellStyle name="Porcentaje 2 7 2 4 7 2" xfId="48063" xr:uid="{00000000-0005-0000-0000-000058DE0000}"/>
    <cellStyle name="Porcentaje 2 7 2 4 8" xfId="34501" xr:uid="{00000000-0005-0000-0000-000059DE0000}"/>
    <cellStyle name="Porcentaje 2 7 2 5" xfId="7241" xr:uid="{00000000-0005-0000-0000-00005ADE0000}"/>
    <cellStyle name="Porcentaje 2 7 2 5 2" xfId="7242" xr:uid="{00000000-0005-0000-0000-00005BDE0000}"/>
    <cellStyle name="Porcentaje 2 7 2 5 2 2" xfId="10749" xr:uid="{00000000-0005-0000-0000-00005CDE0000}"/>
    <cellStyle name="Porcentaje 2 7 2 5 2 2 2" xfId="17539" xr:uid="{00000000-0005-0000-0000-00005DDE0000}"/>
    <cellStyle name="Porcentaje 2 7 2 5 2 2 2 2" xfId="31107" xr:uid="{00000000-0005-0000-0000-00005EDE0000}"/>
    <cellStyle name="Porcentaje 2 7 2 5 2 2 2 2 2" xfId="58240" xr:uid="{00000000-0005-0000-0000-00005FDE0000}"/>
    <cellStyle name="Porcentaje 2 7 2 5 2 2 2 3" xfId="44678" xr:uid="{00000000-0005-0000-0000-000060DE0000}"/>
    <cellStyle name="Porcentaje 2 7 2 5 2 2 3" xfId="24326" xr:uid="{00000000-0005-0000-0000-000061DE0000}"/>
    <cellStyle name="Porcentaje 2 7 2 5 2 2 3 2" xfId="51459" xr:uid="{00000000-0005-0000-0000-000062DE0000}"/>
    <cellStyle name="Porcentaje 2 7 2 5 2 2 4" xfId="37897" xr:uid="{00000000-0005-0000-0000-000063DE0000}"/>
    <cellStyle name="Porcentaje 2 7 2 5 2 3" xfId="14150" xr:uid="{00000000-0005-0000-0000-000064DE0000}"/>
    <cellStyle name="Porcentaje 2 7 2 5 2 3 2" xfId="27718" xr:uid="{00000000-0005-0000-0000-000065DE0000}"/>
    <cellStyle name="Porcentaje 2 7 2 5 2 3 2 2" xfId="54851" xr:uid="{00000000-0005-0000-0000-000066DE0000}"/>
    <cellStyle name="Porcentaje 2 7 2 5 2 3 3" xfId="41289" xr:uid="{00000000-0005-0000-0000-000067DE0000}"/>
    <cellStyle name="Porcentaje 2 7 2 5 2 4" xfId="20937" xr:uid="{00000000-0005-0000-0000-000068DE0000}"/>
    <cellStyle name="Porcentaje 2 7 2 5 2 4 2" xfId="48070" xr:uid="{00000000-0005-0000-0000-000069DE0000}"/>
    <cellStyle name="Porcentaje 2 7 2 5 2 5" xfId="34508" xr:uid="{00000000-0005-0000-0000-00006ADE0000}"/>
    <cellStyle name="Porcentaje 2 7 2 5 3" xfId="7243" xr:uid="{00000000-0005-0000-0000-00006BDE0000}"/>
    <cellStyle name="Porcentaje 2 7 2 5 3 2" xfId="10750" xr:uid="{00000000-0005-0000-0000-00006CDE0000}"/>
    <cellStyle name="Porcentaje 2 7 2 5 3 2 2" xfId="17540" xr:uid="{00000000-0005-0000-0000-00006DDE0000}"/>
    <cellStyle name="Porcentaje 2 7 2 5 3 2 2 2" xfId="31108" xr:uid="{00000000-0005-0000-0000-00006EDE0000}"/>
    <cellStyle name="Porcentaje 2 7 2 5 3 2 2 2 2" xfId="58241" xr:uid="{00000000-0005-0000-0000-00006FDE0000}"/>
    <cellStyle name="Porcentaje 2 7 2 5 3 2 2 3" xfId="44679" xr:uid="{00000000-0005-0000-0000-000070DE0000}"/>
    <cellStyle name="Porcentaje 2 7 2 5 3 2 3" xfId="24327" xr:uid="{00000000-0005-0000-0000-000071DE0000}"/>
    <cellStyle name="Porcentaje 2 7 2 5 3 2 3 2" xfId="51460" xr:uid="{00000000-0005-0000-0000-000072DE0000}"/>
    <cellStyle name="Porcentaje 2 7 2 5 3 2 4" xfId="37898" xr:uid="{00000000-0005-0000-0000-000073DE0000}"/>
    <cellStyle name="Porcentaje 2 7 2 5 3 3" xfId="14151" xr:uid="{00000000-0005-0000-0000-000074DE0000}"/>
    <cellStyle name="Porcentaje 2 7 2 5 3 3 2" xfId="27719" xr:uid="{00000000-0005-0000-0000-000075DE0000}"/>
    <cellStyle name="Porcentaje 2 7 2 5 3 3 2 2" xfId="54852" xr:uid="{00000000-0005-0000-0000-000076DE0000}"/>
    <cellStyle name="Porcentaje 2 7 2 5 3 3 3" xfId="41290" xr:uid="{00000000-0005-0000-0000-000077DE0000}"/>
    <cellStyle name="Porcentaje 2 7 2 5 3 4" xfId="20938" xr:uid="{00000000-0005-0000-0000-000078DE0000}"/>
    <cellStyle name="Porcentaje 2 7 2 5 3 4 2" xfId="48071" xr:uid="{00000000-0005-0000-0000-000079DE0000}"/>
    <cellStyle name="Porcentaje 2 7 2 5 3 5" xfId="34509" xr:uid="{00000000-0005-0000-0000-00007ADE0000}"/>
    <cellStyle name="Porcentaje 2 7 2 5 4" xfId="10748" xr:uid="{00000000-0005-0000-0000-00007BDE0000}"/>
    <cellStyle name="Porcentaje 2 7 2 5 4 2" xfId="17538" xr:uid="{00000000-0005-0000-0000-00007CDE0000}"/>
    <cellStyle name="Porcentaje 2 7 2 5 4 2 2" xfId="31106" xr:uid="{00000000-0005-0000-0000-00007DDE0000}"/>
    <cellStyle name="Porcentaje 2 7 2 5 4 2 2 2" xfId="58239" xr:uid="{00000000-0005-0000-0000-00007EDE0000}"/>
    <cellStyle name="Porcentaje 2 7 2 5 4 2 3" xfId="44677" xr:uid="{00000000-0005-0000-0000-00007FDE0000}"/>
    <cellStyle name="Porcentaje 2 7 2 5 4 3" xfId="24325" xr:uid="{00000000-0005-0000-0000-000080DE0000}"/>
    <cellStyle name="Porcentaje 2 7 2 5 4 3 2" xfId="51458" xr:uid="{00000000-0005-0000-0000-000081DE0000}"/>
    <cellStyle name="Porcentaje 2 7 2 5 4 4" xfId="37896" xr:uid="{00000000-0005-0000-0000-000082DE0000}"/>
    <cellStyle name="Porcentaje 2 7 2 5 5" xfId="14149" xr:uid="{00000000-0005-0000-0000-000083DE0000}"/>
    <cellStyle name="Porcentaje 2 7 2 5 5 2" xfId="27717" xr:uid="{00000000-0005-0000-0000-000084DE0000}"/>
    <cellStyle name="Porcentaje 2 7 2 5 5 2 2" xfId="54850" xr:uid="{00000000-0005-0000-0000-000085DE0000}"/>
    <cellStyle name="Porcentaje 2 7 2 5 5 3" xfId="41288" xr:uid="{00000000-0005-0000-0000-000086DE0000}"/>
    <cellStyle name="Porcentaje 2 7 2 5 6" xfId="20936" xr:uid="{00000000-0005-0000-0000-000087DE0000}"/>
    <cellStyle name="Porcentaje 2 7 2 5 6 2" xfId="48069" xr:uid="{00000000-0005-0000-0000-000088DE0000}"/>
    <cellStyle name="Porcentaje 2 7 2 5 7" xfId="34507" xr:uid="{00000000-0005-0000-0000-000089DE0000}"/>
    <cellStyle name="Porcentaje 2 7 2 6" xfId="7244" xr:uid="{00000000-0005-0000-0000-00008ADE0000}"/>
    <cellStyle name="Porcentaje 2 7 2 6 2" xfId="7245" xr:uid="{00000000-0005-0000-0000-00008BDE0000}"/>
    <cellStyle name="Porcentaje 2 7 2 6 2 2" xfId="10752" xr:uid="{00000000-0005-0000-0000-00008CDE0000}"/>
    <cellStyle name="Porcentaje 2 7 2 6 2 2 2" xfId="17542" xr:uid="{00000000-0005-0000-0000-00008DDE0000}"/>
    <cellStyle name="Porcentaje 2 7 2 6 2 2 2 2" xfId="31110" xr:uid="{00000000-0005-0000-0000-00008EDE0000}"/>
    <cellStyle name="Porcentaje 2 7 2 6 2 2 2 2 2" xfId="58243" xr:uid="{00000000-0005-0000-0000-00008FDE0000}"/>
    <cellStyle name="Porcentaje 2 7 2 6 2 2 2 3" xfId="44681" xr:uid="{00000000-0005-0000-0000-000090DE0000}"/>
    <cellStyle name="Porcentaje 2 7 2 6 2 2 3" xfId="24329" xr:uid="{00000000-0005-0000-0000-000091DE0000}"/>
    <cellStyle name="Porcentaje 2 7 2 6 2 2 3 2" xfId="51462" xr:uid="{00000000-0005-0000-0000-000092DE0000}"/>
    <cellStyle name="Porcentaje 2 7 2 6 2 2 4" xfId="37900" xr:uid="{00000000-0005-0000-0000-000093DE0000}"/>
    <cellStyle name="Porcentaje 2 7 2 6 2 3" xfId="14153" xr:uid="{00000000-0005-0000-0000-000094DE0000}"/>
    <cellStyle name="Porcentaje 2 7 2 6 2 3 2" xfId="27721" xr:uid="{00000000-0005-0000-0000-000095DE0000}"/>
    <cellStyle name="Porcentaje 2 7 2 6 2 3 2 2" xfId="54854" xr:uid="{00000000-0005-0000-0000-000096DE0000}"/>
    <cellStyle name="Porcentaje 2 7 2 6 2 3 3" xfId="41292" xr:uid="{00000000-0005-0000-0000-000097DE0000}"/>
    <cellStyle name="Porcentaje 2 7 2 6 2 4" xfId="20940" xr:uid="{00000000-0005-0000-0000-000098DE0000}"/>
    <cellStyle name="Porcentaje 2 7 2 6 2 4 2" xfId="48073" xr:uid="{00000000-0005-0000-0000-000099DE0000}"/>
    <cellStyle name="Porcentaje 2 7 2 6 2 5" xfId="34511" xr:uid="{00000000-0005-0000-0000-00009ADE0000}"/>
    <cellStyle name="Porcentaje 2 7 2 6 3" xfId="7246" xr:uid="{00000000-0005-0000-0000-00009BDE0000}"/>
    <cellStyle name="Porcentaje 2 7 2 6 3 2" xfId="10753" xr:uid="{00000000-0005-0000-0000-00009CDE0000}"/>
    <cellStyle name="Porcentaje 2 7 2 6 3 2 2" xfId="17543" xr:uid="{00000000-0005-0000-0000-00009DDE0000}"/>
    <cellStyle name="Porcentaje 2 7 2 6 3 2 2 2" xfId="31111" xr:uid="{00000000-0005-0000-0000-00009EDE0000}"/>
    <cellStyle name="Porcentaje 2 7 2 6 3 2 2 2 2" xfId="58244" xr:uid="{00000000-0005-0000-0000-00009FDE0000}"/>
    <cellStyle name="Porcentaje 2 7 2 6 3 2 2 3" xfId="44682" xr:uid="{00000000-0005-0000-0000-0000A0DE0000}"/>
    <cellStyle name="Porcentaje 2 7 2 6 3 2 3" xfId="24330" xr:uid="{00000000-0005-0000-0000-0000A1DE0000}"/>
    <cellStyle name="Porcentaje 2 7 2 6 3 2 3 2" xfId="51463" xr:uid="{00000000-0005-0000-0000-0000A2DE0000}"/>
    <cellStyle name="Porcentaje 2 7 2 6 3 2 4" xfId="37901" xr:uid="{00000000-0005-0000-0000-0000A3DE0000}"/>
    <cellStyle name="Porcentaje 2 7 2 6 3 3" xfId="14154" xr:uid="{00000000-0005-0000-0000-0000A4DE0000}"/>
    <cellStyle name="Porcentaje 2 7 2 6 3 3 2" xfId="27722" xr:uid="{00000000-0005-0000-0000-0000A5DE0000}"/>
    <cellStyle name="Porcentaje 2 7 2 6 3 3 2 2" xfId="54855" xr:uid="{00000000-0005-0000-0000-0000A6DE0000}"/>
    <cellStyle name="Porcentaje 2 7 2 6 3 3 3" xfId="41293" xr:uid="{00000000-0005-0000-0000-0000A7DE0000}"/>
    <cellStyle name="Porcentaje 2 7 2 6 3 4" xfId="20941" xr:uid="{00000000-0005-0000-0000-0000A8DE0000}"/>
    <cellStyle name="Porcentaje 2 7 2 6 3 4 2" xfId="48074" xr:uid="{00000000-0005-0000-0000-0000A9DE0000}"/>
    <cellStyle name="Porcentaje 2 7 2 6 3 5" xfId="34512" xr:uid="{00000000-0005-0000-0000-0000AADE0000}"/>
    <cellStyle name="Porcentaje 2 7 2 6 4" xfId="10751" xr:uid="{00000000-0005-0000-0000-0000ABDE0000}"/>
    <cellStyle name="Porcentaje 2 7 2 6 4 2" xfId="17541" xr:uid="{00000000-0005-0000-0000-0000ACDE0000}"/>
    <cellStyle name="Porcentaje 2 7 2 6 4 2 2" xfId="31109" xr:uid="{00000000-0005-0000-0000-0000ADDE0000}"/>
    <cellStyle name="Porcentaje 2 7 2 6 4 2 2 2" xfId="58242" xr:uid="{00000000-0005-0000-0000-0000AEDE0000}"/>
    <cellStyle name="Porcentaje 2 7 2 6 4 2 3" xfId="44680" xr:uid="{00000000-0005-0000-0000-0000AFDE0000}"/>
    <cellStyle name="Porcentaje 2 7 2 6 4 3" xfId="24328" xr:uid="{00000000-0005-0000-0000-0000B0DE0000}"/>
    <cellStyle name="Porcentaje 2 7 2 6 4 3 2" xfId="51461" xr:uid="{00000000-0005-0000-0000-0000B1DE0000}"/>
    <cellStyle name="Porcentaje 2 7 2 6 4 4" xfId="37899" xr:uid="{00000000-0005-0000-0000-0000B2DE0000}"/>
    <cellStyle name="Porcentaje 2 7 2 6 5" xfId="14152" xr:uid="{00000000-0005-0000-0000-0000B3DE0000}"/>
    <cellStyle name="Porcentaje 2 7 2 6 5 2" xfId="27720" xr:uid="{00000000-0005-0000-0000-0000B4DE0000}"/>
    <cellStyle name="Porcentaje 2 7 2 6 5 2 2" xfId="54853" xr:uid="{00000000-0005-0000-0000-0000B5DE0000}"/>
    <cellStyle name="Porcentaje 2 7 2 6 5 3" xfId="41291" xr:uid="{00000000-0005-0000-0000-0000B6DE0000}"/>
    <cellStyle name="Porcentaje 2 7 2 6 6" xfId="20939" xr:uid="{00000000-0005-0000-0000-0000B7DE0000}"/>
    <cellStyle name="Porcentaje 2 7 2 6 6 2" xfId="48072" xr:uid="{00000000-0005-0000-0000-0000B8DE0000}"/>
    <cellStyle name="Porcentaje 2 7 2 6 7" xfId="34510" xr:uid="{00000000-0005-0000-0000-0000B9DE0000}"/>
    <cellStyle name="Porcentaje 2 7 2 7" xfId="7247" xr:uid="{00000000-0005-0000-0000-0000BADE0000}"/>
    <cellStyle name="Porcentaje 2 7 2 7 2" xfId="10754" xr:uid="{00000000-0005-0000-0000-0000BBDE0000}"/>
    <cellStyle name="Porcentaje 2 7 2 7 2 2" xfId="17544" xr:uid="{00000000-0005-0000-0000-0000BCDE0000}"/>
    <cellStyle name="Porcentaje 2 7 2 7 2 2 2" xfId="31112" xr:uid="{00000000-0005-0000-0000-0000BDDE0000}"/>
    <cellStyle name="Porcentaje 2 7 2 7 2 2 2 2" xfId="58245" xr:uid="{00000000-0005-0000-0000-0000BEDE0000}"/>
    <cellStyle name="Porcentaje 2 7 2 7 2 2 3" xfId="44683" xr:uid="{00000000-0005-0000-0000-0000BFDE0000}"/>
    <cellStyle name="Porcentaje 2 7 2 7 2 3" xfId="24331" xr:uid="{00000000-0005-0000-0000-0000C0DE0000}"/>
    <cellStyle name="Porcentaje 2 7 2 7 2 3 2" xfId="51464" xr:uid="{00000000-0005-0000-0000-0000C1DE0000}"/>
    <cellStyle name="Porcentaje 2 7 2 7 2 4" xfId="37902" xr:uid="{00000000-0005-0000-0000-0000C2DE0000}"/>
    <cellStyle name="Porcentaje 2 7 2 7 3" xfId="14155" xr:uid="{00000000-0005-0000-0000-0000C3DE0000}"/>
    <cellStyle name="Porcentaje 2 7 2 7 3 2" xfId="27723" xr:uid="{00000000-0005-0000-0000-0000C4DE0000}"/>
    <cellStyle name="Porcentaje 2 7 2 7 3 2 2" xfId="54856" xr:uid="{00000000-0005-0000-0000-0000C5DE0000}"/>
    <cellStyle name="Porcentaje 2 7 2 7 3 3" xfId="41294" xr:uid="{00000000-0005-0000-0000-0000C6DE0000}"/>
    <cellStyle name="Porcentaje 2 7 2 7 4" xfId="20942" xr:uid="{00000000-0005-0000-0000-0000C7DE0000}"/>
    <cellStyle name="Porcentaje 2 7 2 7 4 2" xfId="48075" xr:uid="{00000000-0005-0000-0000-0000C8DE0000}"/>
    <cellStyle name="Porcentaje 2 7 2 7 5" xfId="34513" xr:uid="{00000000-0005-0000-0000-0000C9DE0000}"/>
    <cellStyle name="Porcentaje 2 7 2 8" xfId="7248" xr:uid="{00000000-0005-0000-0000-0000CADE0000}"/>
    <cellStyle name="Porcentaje 2 7 2 8 2" xfId="10755" xr:uid="{00000000-0005-0000-0000-0000CBDE0000}"/>
    <cellStyle name="Porcentaje 2 7 2 8 2 2" xfId="17545" xr:uid="{00000000-0005-0000-0000-0000CCDE0000}"/>
    <cellStyle name="Porcentaje 2 7 2 8 2 2 2" xfId="31113" xr:uid="{00000000-0005-0000-0000-0000CDDE0000}"/>
    <cellStyle name="Porcentaje 2 7 2 8 2 2 2 2" xfId="58246" xr:uid="{00000000-0005-0000-0000-0000CEDE0000}"/>
    <cellStyle name="Porcentaje 2 7 2 8 2 2 3" xfId="44684" xr:uid="{00000000-0005-0000-0000-0000CFDE0000}"/>
    <cellStyle name="Porcentaje 2 7 2 8 2 3" xfId="24332" xr:uid="{00000000-0005-0000-0000-0000D0DE0000}"/>
    <cellStyle name="Porcentaje 2 7 2 8 2 3 2" xfId="51465" xr:uid="{00000000-0005-0000-0000-0000D1DE0000}"/>
    <cellStyle name="Porcentaje 2 7 2 8 2 4" xfId="37903" xr:uid="{00000000-0005-0000-0000-0000D2DE0000}"/>
    <cellStyle name="Porcentaje 2 7 2 8 3" xfId="14156" xr:uid="{00000000-0005-0000-0000-0000D3DE0000}"/>
    <cellStyle name="Porcentaje 2 7 2 8 3 2" xfId="27724" xr:uid="{00000000-0005-0000-0000-0000D4DE0000}"/>
    <cellStyle name="Porcentaje 2 7 2 8 3 2 2" xfId="54857" xr:uid="{00000000-0005-0000-0000-0000D5DE0000}"/>
    <cellStyle name="Porcentaje 2 7 2 8 3 3" xfId="41295" xr:uid="{00000000-0005-0000-0000-0000D6DE0000}"/>
    <cellStyle name="Porcentaje 2 7 2 8 4" xfId="20943" xr:uid="{00000000-0005-0000-0000-0000D7DE0000}"/>
    <cellStyle name="Porcentaje 2 7 2 8 4 2" xfId="48076" xr:uid="{00000000-0005-0000-0000-0000D8DE0000}"/>
    <cellStyle name="Porcentaje 2 7 2 8 5" xfId="34514" xr:uid="{00000000-0005-0000-0000-0000D9DE0000}"/>
    <cellStyle name="Porcentaje 2 7 2 9" xfId="10717" xr:uid="{00000000-0005-0000-0000-0000DADE0000}"/>
    <cellStyle name="Porcentaje 2 7 2 9 2" xfId="17507" xr:uid="{00000000-0005-0000-0000-0000DBDE0000}"/>
    <cellStyle name="Porcentaje 2 7 2 9 2 2" xfId="31075" xr:uid="{00000000-0005-0000-0000-0000DCDE0000}"/>
    <cellStyle name="Porcentaje 2 7 2 9 2 2 2" xfId="58208" xr:uid="{00000000-0005-0000-0000-0000DDDE0000}"/>
    <cellStyle name="Porcentaje 2 7 2 9 2 3" xfId="44646" xr:uid="{00000000-0005-0000-0000-0000DEDE0000}"/>
    <cellStyle name="Porcentaje 2 7 2 9 3" xfId="24294" xr:uid="{00000000-0005-0000-0000-0000DFDE0000}"/>
    <cellStyle name="Porcentaje 2 7 2 9 3 2" xfId="51427" xr:uid="{00000000-0005-0000-0000-0000E0DE0000}"/>
    <cellStyle name="Porcentaje 2 7 2 9 4" xfId="37865" xr:uid="{00000000-0005-0000-0000-0000E1DE0000}"/>
    <cellStyle name="Porcentaje 2 7 3" xfId="7249" xr:uid="{00000000-0005-0000-0000-0000E2DE0000}"/>
    <cellStyle name="Porcentaje 2 7 3 10" xfId="34515" xr:uid="{00000000-0005-0000-0000-0000E3DE0000}"/>
    <cellStyle name="Porcentaje 2 7 3 2" xfId="7250" xr:uid="{00000000-0005-0000-0000-0000E4DE0000}"/>
    <cellStyle name="Porcentaje 2 7 3 2 2" xfId="7251" xr:uid="{00000000-0005-0000-0000-0000E5DE0000}"/>
    <cellStyle name="Porcentaje 2 7 3 2 2 2" xfId="7252" xr:uid="{00000000-0005-0000-0000-0000E6DE0000}"/>
    <cellStyle name="Porcentaje 2 7 3 2 2 2 2" xfId="10759" xr:uid="{00000000-0005-0000-0000-0000E7DE0000}"/>
    <cellStyle name="Porcentaje 2 7 3 2 2 2 2 2" xfId="17549" xr:uid="{00000000-0005-0000-0000-0000E8DE0000}"/>
    <cellStyle name="Porcentaje 2 7 3 2 2 2 2 2 2" xfId="31117" xr:uid="{00000000-0005-0000-0000-0000E9DE0000}"/>
    <cellStyle name="Porcentaje 2 7 3 2 2 2 2 2 2 2" xfId="58250" xr:uid="{00000000-0005-0000-0000-0000EADE0000}"/>
    <cellStyle name="Porcentaje 2 7 3 2 2 2 2 2 3" xfId="44688" xr:uid="{00000000-0005-0000-0000-0000EBDE0000}"/>
    <cellStyle name="Porcentaje 2 7 3 2 2 2 2 3" xfId="24336" xr:uid="{00000000-0005-0000-0000-0000ECDE0000}"/>
    <cellStyle name="Porcentaje 2 7 3 2 2 2 2 3 2" xfId="51469" xr:uid="{00000000-0005-0000-0000-0000EDDE0000}"/>
    <cellStyle name="Porcentaje 2 7 3 2 2 2 2 4" xfId="37907" xr:uid="{00000000-0005-0000-0000-0000EEDE0000}"/>
    <cellStyle name="Porcentaje 2 7 3 2 2 2 3" xfId="14160" xr:uid="{00000000-0005-0000-0000-0000EFDE0000}"/>
    <cellStyle name="Porcentaje 2 7 3 2 2 2 3 2" xfId="27728" xr:uid="{00000000-0005-0000-0000-0000F0DE0000}"/>
    <cellStyle name="Porcentaje 2 7 3 2 2 2 3 2 2" xfId="54861" xr:uid="{00000000-0005-0000-0000-0000F1DE0000}"/>
    <cellStyle name="Porcentaje 2 7 3 2 2 2 3 3" xfId="41299" xr:uid="{00000000-0005-0000-0000-0000F2DE0000}"/>
    <cellStyle name="Porcentaje 2 7 3 2 2 2 4" xfId="20947" xr:uid="{00000000-0005-0000-0000-0000F3DE0000}"/>
    <cellStyle name="Porcentaje 2 7 3 2 2 2 4 2" xfId="48080" xr:uid="{00000000-0005-0000-0000-0000F4DE0000}"/>
    <cellStyle name="Porcentaje 2 7 3 2 2 2 5" xfId="34518" xr:uid="{00000000-0005-0000-0000-0000F5DE0000}"/>
    <cellStyle name="Porcentaje 2 7 3 2 2 3" xfId="7253" xr:uid="{00000000-0005-0000-0000-0000F6DE0000}"/>
    <cellStyle name="Porcentaje 2 7 3 2 2 3 2" xfId="10760" xr:uid="{00000000-0005-0000-0000-0000F7DE0000}"/>
    <cellStyle name="Porcentaje 2 7 3 2 2 3 2 2" xfId="17550" xr:uid="{00000000-0005-0000-0000-0000F8DE0000}"/>
    <cellStyle name="Porcentaje 2 7 3 2 2 3 2 2 2" xfId="31118" xr:uid="{00000000-0005-0000-0000-0000F9DE0000}"/>
    <cellStyle name="Porcentaje 2 7 3 2 2 3 2 2 2 2" xfId="58251" xr:uid="{00000000-0005-0000-0000-0000FADE0000}"/>
    <cellStyle name="Porcentaje 2 7 3 2 2 3 2 2 3" xfId="44689" xr:uid="{00000000-0005-0000-0000-0000FBDE0000}"/>
    <cellStyle name="Porcentaje 2 7 3 2 2 3 2 3" xfId="24337" xr:uid="{00000000-0005-0000-0000-0000FCDE0000}"/>
    <cellStyle name="Porcentaje 2 7 3 2 2 3 2 3 2" xfId="51470" xr:uid="{00000000-0005-0000-0000-0000FDDE0000}"/>
    <cellStyle name="Porcentaje 2 7 3 2 2 3 2 4" xfId="37908" xr:uid="{00000000-0005-0000-0000-0000FEDE0000}"/>
    <cellStyle name="Porcentaje 2 7 3 2 2 3 3" xfId="14161" xr:uid="{00000000-0005-0000-0000-0000FFDE0000}"/>
    <cellStyle name="Porcentaje 2 7 3 2 2 3 3 2" xfId="27729" xr:uid="{00000000-0005-0000-0000-000000DF0000}"/>
    <cellStyle name="Porcentaje 2 7 3 2 2 3 3 2 2" xfId="54862" xr:uid="{00000000-0005-0000-0000-000001DF0000}"/>
    <cellStyle name="Porcentaje 2 7 3 2 2 3 3 3" xfId="41300" xr:uid="{00000000-0005-0000-0000-000002DF0000}"/>
    <cellStyle name="Porcentaje 2 7 3 2 2 3 4" xfId="20948" xr:uid="{00000000-0005-0000-0000-000003DF0000}"/>
    <cellStyle name="Porcentaje 2 7 3 2 2 3 4 2" xfId="48081" xr:uid="{00000000-0005-0000-0000-000004DF0000}"/>
    <cellStyle name="Porcentaje 2 7 3 2 2 3 5" xfId="34519" xr:uid="{00000000-0005-0000-0000-000005DF0000}"/>
    <cellStyle name="Porcentaje 2 7 3 2 2 4" xfId="10758" xr:uid="{00000000-0005-0000-0000-000006DF0000}"/>
    <cellStyle name="Porcentaje 2 7 3 2 2 4 2" xfId="17548" xr:uid="{00000000-0005-0000-0000-000007DF0000}"/>
    <cellStyle name="Porcentaje 2 7 3 2 2 4 2 2" xfId="31116" xr:uid="{00000000-0005-0000-0000-000008DF0000}"/>
    <cellStyle name="Porcentaje 2 7 3 2 2 4 2 2 2" xfId="58249" xr:uid="{00000000-0005-0000-0000-000009DF0000}"/>
    <cellStyle name="Porcentaje 2 7 3 2 2 4 2 3" xfId="44687" xr:uid="{00000000-0005-0000-0000-00000ADF0000}"/>
    <cellStyle name="Porcentaje 2 7 3 2 2 4 3" xfId="24335" xr:uid="{00000000-0005-0000-0000-00000BDF0000}"/>
    <cellStyle name="Porcentaje 2 7 3 2 2 4 3 2" xfId="51468" xr:uid="{00000000-0005-0000-0000-00000CDF0000}"/>
    <cellStyle name="Porcentaje 2 7 3 2 2 4 4" xfId="37906" xr:uid="{00000000-0005-0000-0000-00000DDF0000}"/>
    <cellStyle name="Porcentaje 2 7 3 2 2 5" xfId="14159" xr:uid="{00000000-0005-0000-0000-00000EDF0000}"/>
    <cellStyle name="Porcentaje 2 7 3 2 2 5 2" xfId="27727" xr:uid="{00000000-0005-0000-0000-00000FDF0000}"/>
    <cellStyle name="Porcentaje 2 7 3 2 2 5 2 2" xfId="54860" xr:uid="{00000000-0005-0000-0000-000010DF0000}"/>
    <cellStyle name="Porcentaje 2 7 3 2 2 5 3" xfId="41298" xr:uid="{00000000-0005-0000-0000-000011DF0000}"/>
    <cellStyle name="Porcentaje 2 7 3 2 2 6" xfId="20946" xr:uid="{00000000-0005-0000-0000-000012DF0000}"/>
    <cellStyle name="Porcentaje 2 7 3 2 2 6 2" xfId="48079" xr:uid="{00000000-0005-0000-0000-000013DF0000}"/>
    <cellStyle name="Porcentaje 2 7 3 2 2 7" xfId="34517" xr:uid="{00000000-0005-0000-0000-000014DF0000}"/>
    <cellStyle name="Porcentaje 2 7 3 2 3" xfId="7254" xr:uid="{00000000-0005-0000-0000-000015DF0000}"/>
    <cellStyle name="Porcentaje 2 7 3 2 3 2" xfId="7255" xr:uid="{00000000-0005-0000-0000-000016DF0000}"/>
    <cellStyle name="Porcentaje 2 7 3 2 3 2 2" xfId="10762" xr:uid="{00000000-0005-0000-0000-000017DF0000}"/>
    <cellStyle name="Porcentaje 2 7 3 2 3 2 2 2" xfId="17552" xr:uid="{00000000-0005-0000-0000-000018DF0000}"/>
    <cellStyle name="Porcentaje 2 7 3 2 3 2 2 2 2" xfId="31120" xr:uid="{00000000-0005-0000-0000-000019DF0000}"/>
    <cellStyle name="Porcentaje 2 7 3 2 3 2 2 2 2 2" xfId="58253" xr:uid="{00000000-0005-0000-0000-00001ADF0000}"/>
    <cellStyle name="Porcentaje 2 7 3 2 3 2 2 2 3" xfId="44691" xr:uid="{00000000-0005-0000-0000-00001BDF0000}"/>
    <cellStyle name="Porcentaje 2 7 3 2 3 2 2 3" xfId="24339" xr:uid="{00000000-0005-0000-0000-00001CDF0000}"/>
    <cellStyle name="Porcentaje 2 7 3 2 3 2 2 3 2" xfId="51472" xr:uid="{00000000-0005-0000-0000-00001DDF0000}"/>
    <cellStyle name="Porcentaje 2 7 3 2 3 2 2 4" xfId="37910" xr:uid="{00000000-0005-0000-0000-00001EDF0000}"/>
    <cellStyle name="Porcentaje 2 7 3 2 3 2 3" xfId="14163" xr:uid="{00000000-0005-0000-0000-00001FDF0000}"/>
    <cellStyle name="Porcentaje 2 7 3 2 3 2 3 2" xfId="27731" xr:uid="{00000000-0005-0000-0000-000020DF0000}"/>
    <cellStyle name="Porcentaje 2 7 3 2 3 2 3 2 2" xfId="54864" xr:uid="{00000000-0005-0000-0000-000021DF0000}"/>
    <cellStyle name="Porcentaje 2 7 3 2 3 2 3 3" xfId="41302" xr:uid="{00000000-0005-0000-0000-000022DF0000}"/>
    <cellStyle name="Porcentaje 2 7 3 2 3 2 4" xfId="20950" xr:uid="{00000000-0005-0000-0000-000023DF0000}"/>
    <cellStyle name="Porcentaje 2 7 3 2 3 2 4 2" xfId="48083" xr:uid="{00000000-0005-0000-0000-000024DF0000}"/>
    <cellStyle name="Porcentaje 2 7 3 2 3 2 5" xfId="34521" xr:uid="{00000000-0005-0000-0000-000025DF0000}"/>
    <cellStyle name="Porcentaje 2 7 3 2 3 3" xfId="10761" xr:uid="{00000000-0005-0000-0000-000026DF0000}"/>
    <cellStyle name="Porcentaje 2 7 3 2 3 3 2" xfId="17551" xr:uid="{00000000-0005-0000-0000-000027DF0000}"/>
    <cellStyle name="Porcentaje 2 7 3 2 3 3 2 2" xfId="31119" xr:uid="{00000000-0005-0000-0000-000028DF0000}"/>
    <cellStyle name="Porcentaje 2 7 3 2 3 3 2 2 2" xfId="58252" xr:uid="{00000000-0005-0000-0000-000029DF0000}"/>
    <cellStyle name="Porcentaje 2 7 3 2 3 3 2 3" xfId="44690" xr:uid="{00000000-0005-0000-0000-00002ADF0000}"/>
    <cellStyle name="Porcentaje 2 7 3 2 3 3 3" xfId="24338" xr:uid="{00000000-0005-0000-0000-00002BDF0000}"/>
    <cellStyle name="Porcentaje 2 7 3 2 3 3 3 2" xfId="51471" xr:uid="{00000000-0005-0000-0000-00002CDF0000}"/>
    <cellStyle name="Porcentaje 2 7 3 2 3 3 4" xfId="37909" xr:uid="{00000000-0005-0000-0000-00002DDF0000}"/>
    <cellStyle name="Porcentaje 2 7 3 2 3 4" xfId="14162" xr:uid="{00000000-0005-0000-0000-00002EDF0000}"/>
    <cellStyle name="Porcentaje 2 7 3 2 3 4 2" xfId="27730" xr:uid="{00000000-0005-0000-0000-00002FDF0000}"/>
    <cellStyle name="Porcentaje 2 7 3 2 3 4 2 2" xfId="54863" xr:uid="{00000000-0005-0000-0000-000030DF0000}"/>
    <cellStyle name="Porcentaje 2 7 3 2 3 4 3" xfId="41301" xr:uid="{00000000-0005-0000-0000-000031DF0000}"/>
    <cellStyle name="Porcentaje 2 7 3 2 3 5" xfId="20949" xr:uid="{00000000-0005-0000-0000-000032DF0000}"/>
    <cellStyle name="Porcentaje 2 7 3 2 3 5 2" xfId="48082" xr:uid="{00000000-0005-0000-0000-000033DF0000}"/>
    <cellStyle name="Porcentaje 2 7 3 2 3 6" xfId="34520" xr:uid="{00000000-0005-0000-0000-000034DF0000}"/>
    <cellStyle name="Porcentaje 2 7 3 2 4" xfId="7256" xr:uid="{00000000-0005-0000-0000-000035DF0000}"/>
    <cellStyle name="Porcentaje 2 7 3 2 4 2" xfId="10763" xr:uid="{00000000-0005-0000-0000-000036DF0000}"/>
    <cellStyle name="Porcentaje 2 7 3 2 4 2 2" xfId="17553" xr:uid="{00000000-0005-0000-0000-000037DF0000}"/>
    <cellStyle name="Porcentaje 2 7 3 2 4 2 2 2" xfId="31121" xr:uid="{00000000-0005-0000-0000-000038DF0000}"/>
    <cellStyle name="Porcentaje 2 7 3 2 4 2 2 2 2" xfId="58254" xr:uid="{00000000-0005-0000-0000-000039DF0000}"/>
    <cellStyle name="Porcentaje 2 7 3 2 4 2 2 3" xfId="44692" xr:uid="{00000000-0005-0000-0000-00003ADF0000}"/>
    <cellStyle name="Porcentaje 2 7 3 2 4 2 3" xfId="24340" xr:uid="{00000000-0005-0000-0000-00003BDF0000}"/>
    <cellStyle name="Porcentaje 2 7 3 2 4 2 3 2" xfId="51473" xr:uid="{00000000-0005-0000-0000-00003CDF0000}"/>
    <cellStyle name="Porcentaje 2 7 3 2 4 2 4" xfId="37911" xr:uid="{00000000-0005-0000-0000-00003DDF0000}"/>
    <cellStyle name="Porcentaje 2 7 3 2 4 3" xfId="14164" xr:uid="{00000000-0005-0000-0000-00003EDF0000}"/>
    <cellStyle name="Porcentaje 2 7 3 2 4 3 2" xfId="27732" xr:uid="{00000000-0005-0000-0000-00003FDF0000}"/>
    <cellStyle name="Porcentaje 2 7 3 2 4 3 2 2" xfId="54865" xr:uid="{00000000-0005-0000-0000-000040DF0000}"/>
    <cellStyle name="Porcentaje 2 7 3 2 4 3 3" xfId="41303" xr:uid="{00000000-0005-0000-0000-000041DF0000}"/>
    <cellStyle name="Porcentaje 2 7 3 2 4 4" xfId="20951" xr:uid="{00000000-0005-0000-0000-000042DF0000}"/>
    <cellStyle name="Porcentaje 2 7 3 2 4 4 2" xfId="48084" xr:uid="{00000000-0005-0000-0000-000043DF0000}"/>
    <cellStyle name="Porcentaje 2 7 3 2 4 5" xfId="34522" xr:uid="{00000000-0005-0000-0000-000044DF0000}"/>
    <cellStyle name="Porcentaje 2 7 3 2 5" xfId="7257" xr:uid="{00000000-0005-0000-0000-000045DF0000}"/>
    <cellStyle name="Porcentaje 2 7 3 2 5 2" xfId="10764" xr:uid="{00000000-0005-0000-0000-000046DF0000}"/>
    <cellStyle name="Porcentaje 2 7 3 2 5 2 2" xfId="17554" xr:uid="{00000000-0005-0000-0000-000047DF0000}"/>
    <cellStyle name="Porcentaje 2 7 3 2 5 2 2 2" xfId="31122" xr:uid="{00000000-0005-0000-0000-000048DF0000}"/>
    <cellStyle name="Porcentaje 2 7 3 2 5 2 2 2 2" xfId="58255" xr:uid="{00000000-0005-0000-0000-000049DF0000}"/>
    <cellStyle name="Porcentaje 2 7 3 2 5 2 2 3" xfId="44693" xr:uid="{00000000-0005-0000-0000-00004ADF0000}"/>
    <cellStyle name="Porcentaje 2 7 3 2 5 2 3" xfId="24341" xr:uid="{00000000-0005-0000-0000-00004BDF0000}"/>
    <cellStyle name="Porcentaje 2 7 3 2 5 2 3 2" xfId="51474" xr:uid="{00000000-0005-0000-0000-00004CDF0000}"/>
    <cellStyle name="Porcentaje 2 7 3 2 5 2 4" xfId="37912" xr:uid="{00000000-0005-0000-0000-00004DDF0000}"/>
    <cellStyle name="Porcentaje 2 7 3 2 5 3" xfId="14165" xr:uid="{00000000-0005-0000-0000-00004EDF0000}"/>
    <cellStyle name="Porcentaje 2 7 3 2 5 3 2" xfId="27733" xr:uid="{00000000-0005-0000-0000-00004FDF0000}"/>
    <cellStyle name="Porcentaje 2 7 3 2 5 3 2 2" xfId="54866" xr:uid="{00000000-0005-0000-0000-000050DF0000}"/>
    <cellStyle name="Porcentaje 2 7 3 2 5 3 3" xfId="41304" xr:uid="{00000000-0005-0000-0000-000051DF0000}"/>
    <cellStyle name="Porcentaje 2 7 3 2 5 4" xfId="20952" xr:uid="{00000000-0005-0000-0000-000052DF0000}"/>
    <cellStyle name="Porcentaje 2 7 3 2 5 4 2" xfId="48085" xr:uid="{00000000-0005-0000-0000-000053DF0000}"/>
    <cellStyle name="Porcentaje 2 7 3 2 5 5" xfId="34523" xr:uid="{00000000-0005-0000-0000-000054DF0000}"/>
    <cellStyle name="Porcentaje 2 7 3 2 6" xfId="10757" xr:uid="{00000000-0005-0000-0000-000055DF0000}"/>
    <cellStyle name="Porcentaje 2 7 3 2 6 2" xfId="17547" xr:uid="{00000000-0005-0000-0000-000056DF0000}"/>
    <cellStyle name="Porcentaje 2 7 3 2 6 2 2" xfId="31115" xr:uid="{00000000-0005-0000-0000-000057DF0000}"/>
    <cellStyle name="Porcentaje 2 7 3 2 6 2 2 2" xfId="58248" xr:uid="{00000000-0005-0000-0000-000058DF0000}"/>
    <cellStyle name="Porcentaje 2 7 3 2 6 2 3" xfId="44686" xr:uid="{00000000-0005-0000-0000-000059DF0000}"/>
    <cellStyle name="Porcentaje 2 7 3 2 6 3" xfId="24334" xr:uid="{00000000-0005-0000-0000-00005ADF0000}"/>
    <cellStyle name="Porcentaje 2 7 3 2 6 3 2" xfId="51467" xr:uid="{00000000-0005-0000-0000-00005BDF0000}"/>
    <cellStyle name="Porcentaje 2 7 3 2 6 4" xfId="37905" xr:uid="{00000000-0005-0000-0000-00005CDF0000}"/>
    <cellStyle name="Porcentaje 2 7 3 2 7" xfId="14158" xr:uid="{00000000-0005-0000-0000-00005DDF0000}"/>
    <cellStyle name="Porcentaje 2 7 3 2 7 2" xfId="27726" xr:uid="{00000000-0005-0000-0000-00005EDF0000}"/>
    <cellStyle name="Porcentaje 2 7 3 2 7 2 2" xfId="54859" xr:uid="{00000000-0005-0000-0000-00005FDF0000}"/>
    <cellStyle name="Porcentaje 2 7 3 2 7 3" xfId="41297" xr:uid="{00000000-0005-0000-0000-000060DF0000}"/>
    <cellStyle name="Porcentaje 2 7 3 2 8" xfId="20945" xr:uid="{00000000-0005-0000-0000-000061DF0000}"/>
    <cellStyle name="Porcentaje 2 7 3 2 8 2" xfId="48078" xr:uid="{00000000-0005-0000-0000-000062DF0000}"/>
    <cellStyle name="Porcentaje 2 7 3 2 9" xfId="34516" xr:uid="{00000000-0005-0000-0000-000063DF0000}"/>
    <cellStyle name="Porcentaje 2 7 3 3" xfId="7258" xr:uid="{00000000-0005-0000-0000-000064DF0000}"/>
    <cellStyle name="Porcentaje 2 7 3 3 2" xfId="7259" xr:uid="{00000000-0005-0000-0000-000065DF0000}"/>
    <cellStyle name="Porcentaje 2 7 3 3 2 2" xfId="10766" xr:uid="{00000000-0005-0000-0000-000066DF0000}"/>
    <cellStyle name="Porcentaje 2 7 3 3 2 2 2" xfId="17556" xr:uid="{00000000-0005-0000-0000-000067DF0000}"/>
    <cellStyle name="Porcentaje 2 7 3 3 2 2 2 2" xfId="31124" xr:uid="{00000000-0005-0000-0000-000068DF0000}"/>
    <cellStyle name="Porcentaje 2 7 3 3 2 2 2 2 2" xfId="58257" xr:uid="{00000000-0005-0000-0000-000069DF0000}"/>
    <cellStyle name="Porcentaje 2 7 3 3 2 2 2 3" xfId="44695" xr:uid="{00000000-0005-0000-0000-00006ADF0000}"/>
    <cellStyle name="Porcentaje 2 7 3 3 2 2 3" xfId="24343" xr:uid="{00000000-0005-0000-0000-00006BDF0000}"/>
    <cellStyle name="Porcentaje 2 7 3 3 2 2 3 2" xfId="51476" xr:uid="{00000000-0005-0000-0000-00006CDF0000}"/>
    <cellStyle name="Porcentaje 2 7 3 3 2 2 4" xfId="37914" xr:uid="{00000000-0005-0000-0000-00006DDF0000}"/>
    <cellStyle name="Porcentaje 2 7 3 3 2 3" xfId="14167" xr:uid="{00000000-0005-0000-0000-00006EDF0000}"/>
    <cellStyle name="Porcentaje 2 7 3 3 2 3 2" xfId="27735" xr:uid="{00000000-0005-0000-0000-00006FDF0000}"/>
    <cellStyle name="Porcentaje 2 7 3 3 2 3 2 2" xfId="54868" xr:uid="{00000000-0005-0000-0000-000070DF0000}"/>
    <cellStyle name="Porcentaje 2 7 3 3 2 3 3" xfId="41306" xr:uid="{00000000-0005-0000-0000-000071DF0000}"/>
    <cellStyle name="Porcentaje 2 7 3 3 2 4" xfId="20954" xr:uid="{00000000-0005-0000-0000-000072DF0000}"/>
    <cellStyle name="Porcentaje 2 7 3 3 2 4 2" xfId="48087" xr:uid="{00000000-0005-0000-0000-000073DF0000}"/>
    <cellStyle name="Porcentaje 2 7 3 3 2 5" xfId="34525" xr:uid="{00000000-0005-0000-0000-000074DF0000}"/>
    <cellStyle name="Porcentaje 2 7 3 3 3" xfId="7260" xr:uid="{00000000-0005-0000-0000-000075DF0000}"/>
    <cellStyle name="Porcentaje 2 7 3 3 3 2" xfId="10767" xr:uid="{00000000-0005-0000-0000-000076DF0000}"/>
    <cellStyle name="Porcentaje 2 7 3 3 3 2 2" xfId="17557" xr:uid="{00000000-0005-0000-0000-000077DF0000}"/>
    <cellStyle name="Porcentaje 2 7 3 3 3 2 2 2" xfId="31125" xr:uid="{00000000-0005-0000-0000-000078DF0000}"/>
    <cellStyle name="Porcentaje 2 7 3 3 3 2 2 2 2" xfId="58258" xr:uid="{00000000-0005-0000-0000-000079DF0000}"/>
    <cellStyle name="Porcentaje 2 7 3 3 3 2 2 3" xfId="44696" xr:uid="{00000000-0005-0000-0000-00007ADF0000}"/>
    <cellStyle name="Porcentaje 2 7 3 3 3 2 3" xfId="24344" xr:uid="{00000000-0005-0000-0000-00007BDF0000}"/>
    <cellStyle name="Porcentaje 2 7 3 3 3 2 3 2" xfId="51477" xr:uid="{00000000-0005-0000-0000-00007CDF0000}"/>
    <cellStyle name="Porcentaje 2 7 3 3 3 2 4" xfId="37915" xr:uid="{00000000-0005-0000-0000-00007DDF0000}"/>
    <cellStyle name="Porcentaje 2 7 3 3 3 3" xfId="14168" xr:uid="{00000000-0005-0000-0000-00007EDF0000}"/>
    <cellStyle name="Porcentaje 2 7 3 3 3 3 2" xfId="27736" xr:uid="{00000000-0005-0000-0000-00007FDF0000}"/>
    <cellStyle name="Porcentaje 2 7 3 3 3 3 2 2" xfId="54869" xr:uid="{00000000-0005-0000-0000-000080DF0000}"/>
    <cellStyle name="Porcentaje 2 7 3 3 3 3 3" xfId="41307" xr:uid="{00000000-0005-0000-0000-000081DF0000}"/>
    <cellStyle name="Porcentaje 2 7 3 3 3 4" xfId="20955" xr:uid="{00000000-0005-0000-0000-000082DF0000}"/>
    <cellStyle name="Porcentaje 2 7 3 3 3 4 2" xfId="48088" xr:uid="{00000000-0005-0000-0000-000083DF0000}"/>
    <cellStyle name="Porcentaje 2 7 3 3 3 5" xfId="34526" xr:uid="{00000000-0005-0000-0000-000084DF0000}"/>
    <cellStyle name="Porcentaje 2 7 3 3 4" xfId="10765" xr:uid="{00000000-0005-0000-0000-000085DF0000}"/>
    <cellStyle name="Porcentaje 2 7 3 3 4 2" xfId="17555" xr:uid="{00000000-0005-0000-0000-000086DF0000}"/>
    <cellStyle name="Porcentaje 2 7 3 3 4 2 2" xfId="31123" xr:uid="{00000000-0005-0000-0000-000087DF0000}"/>
    <cellStyle name="Porcentaje 2 7 3 3 4 2 2 2" xfId="58256" xr:uid="{00000000-0005-0000-0000-000088DF0000}"/>
    <cellStyle name="Porcentaje 2 7 3 3 4 2 3" xfId="44694" xr:uid="{00000000-0005-0000-0000-000089DF0000}"/>
    <cellStyle name="Porcentaje 2 7 3 3 4 3" xfId="24342" xr:uid="{00000000-0005-0000-0000-00008ADF0000}"/>
    <cellStyle name="Porcentaje 2 7 3 3 4 3 2" xfId="51475" xr:uid="{00000000-0005-0000-0000-00008BDF0000}"/>
    <cellStyle name="Porcentaje 2 7 3 3 4 4" xfId="37913" xr:uid="{00000000-0005-0000-0000-00008CDF0000}"/>
    <cellStyle name="Porcentaje 2 7 3 3 5" xfId="14166" xr:uid="{00000000-0005-0000-0000-00008DDF0000}"/>
    <cellStyle name="Porcentaje 2 7 3 3 5 2" xfId="27734" xr:uid="{00000000-0005-0000-0000-00008EDF0000}"/>
    <cellStyle name="Porcentaje 2 7 3 3 5 2 2" xfId="54867" xr:uid="{00000000-0005-0000-0000-00008FDF0000}"/>
    <cellStyle name="Porcentaje 2 7 3 3 5 3" xfId="41305" xr:uid="{00000000-0005-0000-0000-000090DF0000}"/>
    <cellStyle name="Porcentaje 2 7 3 3 6" xfId="20953" xr:uid="{00000000-0005-0000-0000-000091DF0000}"/>
    <cellStyle name="Porcentaje 2 7 3 3 6 2" xfId="48086" xr:uid="{00000000-0005-0000-0000-000092DF0000}"/>
    <cellStyle name="Porcentaje 2 7 3 3 7" xfId="34524" xr:uid="{00000000-0005-0000-0000-000093DF0000}"/>
    <cellStyle name="Porcentaje 2 7 3 4" xfId="7261" xr:uid="{00000000-0005-0000-0000-000094DF0000}"/>
    <cellStyle name="Porcentaje 2 7 3 4 2" xfId="7262" xr:uid="{00000000-0005-0000-0000-000095DF0000}"/>
    <cellStyle name="Porcentaje 2 7 3 4 2 2" xfId="10769" xr:uid="{00000000-0005-0000-0000-000096DF0000}"/>
    <cellStyle name="Porcentaje 2 7 3 4 2 2 2" xfId="17559" xr:uid="{00000000-0005-0000-0000-000097DF0000}"/>
    <cellStyle name="Porcentaje 2 7 3 4 2 2 2 2" xfId="31127" xr:uid="{00000000-0005-0000-0000-000098DF0000}"/>
    <cellStyle name="Porcentaje 2 7 3 4 2 2 2 2 2" xfId="58260" xr:uid="{00000000-0005-0000-0000-000099DF0000}"/>
    <cellStyle name="Porcentaje 2 7 3 4 2 2 2 3" xfId="44698" xr:uid="{00000000-0005-0000-0000-00009ADF0000}"/>
    <cellStyle name="Porcentaje 2 7 3 4 2 2 3" xfId="24346" xr:uid="{00000000-0005-0000-0000-00009BDF0000}"/>
    <cellStyle name="Porcentaje 2 7 3 4 2 2 3 2" xfId="51479" xr:uid="{00000000-0005-0000-0000-00009CDF0000}"/>
    <cellStyle name="Porcentaje 2 7 3 4 2 2 4" xfId="37917" xr:uid="{00000000-0005-0000-0000-00009DDF0000}"/>
    <cellStyle name="Porcentaje 2 7 3 4 2 3" xfId="14170" xr:uid="{00000000-0005-0000-0000-00009EDF0000}"/>
    <cellStyle name="Porcentaje 2 7 3 4 2 3 2" xfId="27738" xr:uid="{00000000-0005-0000-0000-00009FDF0000}"/>
    <cellStyle name="Porcentaje 2 7 3 4 2 3 2 2" xfId="54871" xr:uid="{00000000-0005-0000-0000-0000A0DF0000}"/>
    <cellStyle name="Porcentaje 2 7 3 4 2 3 3" xfId="41309" xr:uid="{00000000-0005-0000-0000-0000A1DF0000}"/>
    <cellStyle name="Porcentaje 2 7 3 4 2 4" xfId="20957" xr:uid="{00000000-0005-0000-0000-0000A2DF0000}"/>
    <cellStyle name="Porcentaje 2 7 3 4 2 4 2" xfId="48090" xr:uid="{00000000-0005-0000-0000-0000A3DF0000}"/>
    <cellStyle name="Porcentaje 2 7 3 4 2 5" xfId="34528" xr:uid="{00000000-0005-0000-0000-0000A4DF0000}"/>
    <cellStyle name="Porcentaje 2 7 3 4 3" xfId="10768" xr:uid="{00000000-0005-0000-0000-0000A5DF0000}"/>
    <cellStyle name="Porcentaje 2 7 3 4 3 2" xfId="17558" xr:uid="{00000000-0005-0000-0000-0000A6DF0000}"/>
    <cellStyle name="Porcentaje 2 7 3 4 3 2 2" xfId="31126" xr:uid="{00000000-0005-0000-0000-0000A7DF0000}"/>
    <cellStyle name="Porcentaje 2 7 3 4 3 2 2 2" xfId="58259" xr:uid="{00000000-0005-0000-0000-0000A8DF0000}"/>
    <cellStyle name="Porcentaje 2 7 3 4 3 2 3" xfId="44697" xr:uid="{00000000-0005-0000-0000-0000A9DF0000}"/>
    <cellStyle name="Porcentaje 2 7 3 4 3 3" xfId="24345" xr:uid="{00000000-0005-0000-0000-0000AADF0000}"/>
    <cellStyle name="Porcentaje 2 7 3 4 3 3 2" xfId="51478" xr:uid="{00000000-0005-0000-0000-0000ABDF0000}"/>
    <cellStyle name="Porcentaje 2 7 3 4 3 4" xfId="37916" xr:uid="{00000000-0005-0000-0000-0000ACDF0000}"/>
    <cellStyle name="Porcentaje 2 7 3 4 4" xfId="14169" xr:uid="{00000000-0005-0000-0000-0000ADDF0000}"/>
    <cellStyle name="Porcentaje 2 7 3 4 4 2" xfId="27737" xr:uid="{00000000-0005-0000-0000-0000AEDF0000}"/>
    <cellStyle name="Porcentaje 2 7 3 4 4 2 2" xfId="54870" xr:uid="{00000000-0005-0000-0000-0000AFDF0000}"/>
    <cellStyle name="Porcentaje 2 7 3 4 4 3" xfId="41308" xr:uid="{00000000-0005-0000-0000-0000B0DF0000}"/>
    <cellStyle name="Porcentaje 2 7 3 4 5" xfId="20956" xr:uid="{00000000-0005-0000-0000-0000B1DF0000}"/>
    <cellStyle name="Porcentaje 2 7 3 4 5 2" xfId="48089" xr:uid="{00000000-0005-0000-0000-0000B2DF0000}"/>
    <cellStyle name="Porcentaje 2 7 3 4 6" xfId="34527" xr:uid="{00000000-0005-0000-0000-0000B3DF0000}"/>
    <cellStyle name="Porcentaje 2 7 3 5" xfId="7263" xr:uid="{00000000-0005-0000-0000-0000B4DF0000}"/>
    <cellStyle name="Porcentaje 2 7 3 5 2" xfId="10770" xr:uid="{00000000-0005-0000-0000-0000B5DF0000}"/>
    <cellStyle name="Porcentaje 2 7 3 5 2 2" xfId="17560" xr:uid="{00000000-0005-0000-0000-0000B6DF0000}"/>
    <cellStyle name="Porcentaje 2 7 3 5 2 2 2" xfId="31128" xr:uid="{00000000-0005-0000-0000-0000B7DF0000}"/>
    <cellStyle name="Porcentaje 2 7 3 5 2 2 2 2" xfId="58261" xr:uid="{00000000-0005-0000-0000-0000B8DF0000}"/>
    <cellStyle name="Porcentaje 2 7 3 5 2 2 3" xfId="44699" xr:uid="{00000000-0005-0000-0000-0000B9DF0000}"/>
    <cellStyle name="Porcentaje 2 7 3 5 2 3" xfId="24347" xr:uid="{00000000-0005-0000-0000-0000BADF0000}"/>
    <cellStyle name="Porcentaje 2 7 3 5 2 3 2" xfId="51480" xr:uid="{00000000-0005-0000-0000-0000BBDF0000}"/>
    <cellStyle name="Porcentaje 2 7 3 5 2 4" xfId="37918" xr:uid="{00000000-0005-0000-0000-0000BCDF0000}"/>
    <cellStyle name="Porcentaje 2 7 3 5 3" xfId="14171" xr:uid="{00000000-0005-0000-0000-0000BDDF0000}"/>
    <cellStyle name="Porcentaje 2 7 3 5 3 2" xfId="27739" xr:uid="{00000000-0005-0000-0000-0000BEDF0000}"/>
    <cellStyle name="Porcentaje 2 7 3 5 3 2 2" xfId="54872" xr:uid="{00000000-0005-0000-0000-0000BFDF0000}"/>
    <cellStyle name="Porcentaje 2 7 3 5 3 3" xfId="41310" xr:uid="{00000000-0005-0000-0000-0000C0DF0000}"/>
    <cellStyle name="Porcentaje 2 7 3 5 4" xfId="20958" xr:uid="{00000000-0005-0000-0000-0000C1DF0000}"/>
    <cellStyle name="Porcentaje 2 7 3 5 4 2" xfId="48091" xr:uid="{00000000-0005-0000-0000-0000C2DF0000}"/>
    <cellStyle name="Porcentaje 2 7 3 5 5" xfId="34529" xr:uid="{00000000-0005-0000-0000-0000C3DF0000}"/>
    <cellStyle name="Porcentaje 2 7 3 6" xfId="7264" xr:uid="{00000000-0005-0000-0000-0000C4DF0000}"/>
    <cellStyle name="Porcentaje 2 7 3 6 2" xfId="10771" xr:uid="{00000000-0005-0000-0000-0000C5DF0000}"/>
    <cellStyle name="Porcentaje 2 7 3 6 2 2" xfId="17561" xr:uid="{00000000-0005-0000-0000-0000C6DF0000}"/>
    <cellStyle name="Porcentaje 2 7 3 6 2 2 2" xfId="31129" xr:uid="{00000000-0005-0000-0000-0000C7DF0000}"/>
    <cellStyle name="Porcentaje 2 7 3 6 2 2 2 2" xfId="58262" xr:uid="{00000000-0005-0000-0000-0000C8DF0000}"/>
    <cellStyle name="Porcentaje 2 7 3 6 2 2 3" xfId="44700" xr:uid="{00000000-0005-0000-0000-0000C9DF0000}"/>
    <cellStyle name="Porcentaje 2 7 3 6 2 3" xfId="24348" xr:uid="{00000000-0005-0000-0000-0000CADF0000}"/>
    <cellStyle name="Porcentaje 2 7 3 6 2 3 2" xfId="51481" xr:uid="{00000000-0005-0000-0000-0000CBDF0000}"/>
    <cellStyle name="Porcentaje 2 7 3 6 2 4" xfId="37919" xr:uid="{00000000-0005-0000-0000-0000CCDF0000}"/>
    <cellStyle name="Porcentaje 2 7 3 6 3" xfId="14172" xr:uid="{00000000-0005-0000-0000-0000CDDF0000}"/>
    <cellStyle name="Porcentaje 2 7 3 6 3 2" xfId="27740" xr:uid="{00000000-0005-0000-0000-0000CEDF0000}"/>
    <cellStyle name="Porcentaje 2 7 3 6 3 2 2" xfId="54873" xr:uid="{00000000-0005-0000-0000-0000CFDF0000}"/>
    <cellStyle name="Porcentaje 2 7 3 6 3 3" xfId="41311" xr:uid="{00000000-0005-0000-0000-0000D0DF0000}"/>
    <cellStyle name="Porcentaje 2 7 3 6 4" xfId="20959" xr:uid="{00000000-0005-0000-0000-0000D1DF0000}"/>
    <cellStyle name="Porcentaje 2 7 3 6 4 2" xfId="48092" xr:uid="{00000000-0005-0000-0000-0000D2DF0000}"/>
    <cellStyle name="Porcentaje 2 7 3 6 5" xfId="34530" xr:uid="{00000000-0005-0000-0000-0000D3DF0000}"/>
    <cellStyle name="Porcentaje 2 7 3 7" xfId="10756" xr:uid="{00000000-0005-0000-0000-0000D4DF0000}"/>
    <cellStyle name="Porcentaje 2 7 3 7 2" xfId="17546" xr:uid="{00000000-0005-0000-0000-0000D5DF0000}"/>
    <cellStyle name="Porcentaje 2 7 3 7 2 2" xfId="31114" xr:uid="{00000000-0005-0000-0000-0000D6DF0000}"/>
    <cellStyle name="Porcentaje 2 7 3 7 2 2 2" xfId="58247" xr:uid="{00000000-0005-0000-0000-0000D7DF0000}"/>
    <cellStyle name="Porcentaje 2 7 3 7 2 3" xfId="44685" xr:uid="{00000000-0005-0000-0000-0000D8DF0000}"/>
    <cellStyle name="Porcentaje 2 7 3 7 3" xfId="24333" xr:uid="{00000000-0005-0000-0000-0000D9DF0000}"/>
    <cellStyle name="Porcentaje 2 7 3 7 3 2" xfId="51466" xr:uid="{00000000-0005-0000-0000-0000DADF0000}"/>
    <cellStyle name="Porcentaje 2 7 3 7 4" xfId="37904" xr:uid="{00000000-0005-0000-0000-0000DBDF0000}"/>
    <cellStyle name="Porcentaje 2 7 3 8" xfId="14157" xr:uid="{00000000-0005-0000-0000-0000DCDF0000}"/>
    <cellStyle name="Porcentaje 2 7 3 8 2" xfId="27725" xr:uid="{00000000-0005-0000-0000-0000DDDF0000}"/>
    <cellStyle name="Porcentaje 2 7 3 8 2 2" xfId="54858" xr:uid="{00000000-0005-0000-0000-0000DEDF0000}"/>
    <cellStyle name="Porcentaje 2 7 3 8 3" xfId="41296" xr:uid="{00000000-0005-0000-0000-0000DFDF0000}"/>
    <cellStyle name="Porcentaje 2 7 3 9" xfId="20944" xr:uid="{00000000-0005-0000-0000-0000E0DF0000}"/>
    <cellStyle name="Porcentaje 2 7 3 9 2" xfId="48077" xr:uid="{00000000-0005-0000-0000-0000E1DF0000}"/>
    <cellStyle name="Porcentaje 2 7 4" xfId="7265" xr:uid="{00000000-0005-0000-0000-0000E2DF0000}"/>
    <cellStyle name="Porcentaje 2 7 4 2" xfId="7266" xr:uid="{00000000-0005-0000-0000-0000E3DF0000}"/>
    <cellStyle name="Porcentaje 2 7 4 2 2" xfId="7267" xr:uid="{00000000-0005-0000-0000-0000E4DF0000}"/>
    <cellStyle name="Porcentaje 2 7 4 2 2 2" xfId="10774" xr:uid="{00000000-0005-0000-0000-0000E5DF0000}"/>
    <cellStyle name="Porcentaje 2 7 4 2 2 2 2" xfId="17564" xr:uid="{00000000-0005-0000-0000-0000E6DF0000}"/>
    <cellStyle name="Porcentaje 2 7 4 2 2 2 2 2" xfId="31132" xr:uid="{00000000-0005-0000-0000-0000E7DF0000}"/>
    <cellStyle name="Porcentaje 2 7 4 2 2 2 2 2 2" xfId="58265" xr:uid="{00000000-0005-0000-0000-0000E8DF0000}"/>
    <cellStyle name="Porcentaje 2 7 4 2 2 2 2 3" xfId="44703" xr:uid="{00000000-0005-0000-0000-0000E9DF0000}"/>
    <cellStyle name="Porcentaje 2 7 4 2 2 2 3" xfId="24351" xr:uid="{00000000-0005-0000-0000-0000EADF0000}"/>
    <cellStyle name="Porcentaje 2 7 4 2 2 2 3 2" xfId="51484" xr:uid="{00000000-0005-0000-0000-0000EBDF0000}"/>
    <cellStyle name="Porcentaje 2 7 4 2 2 2 4" xfId="37922" xr:uid="{00000000-0005-0000-0000-0000ECDF0000}"/>
    <cellStyle name="Porcentaje 2 7 4 2 2 3" xfId="14175" xr:uid="{00000000-0005-0000-0000-0000EDDF0000}"/>
    <cellStyle name="Porcentaje 2 7 4 2 2 3 2" xfId="27743" xr:uid="{00000000-0005-0000-0000-0000EEDF0000}"/>
    <cellStyle name="Porcentaje 2 7 4 2 2 3 2 2" xfId="54876" xr:uid="{00000000-0005-0000-0000-0000EFDF0000}"/>
    <cellStyle name="Porcentaje 2 7 4 2 2 3 3" xfId="41314" xr:uid="{00000000-0005-0000-0000-0000F0DF0000}"/>
    <cellStyle name="Porcentaje 2 7 4 2 2 4" xfId="20962" xr:uid="{00000000-0005-0000-0000-0000F1DF0000}"/>
    <cellStyle name="Porcentaje 2 7 4 2 2 4 2" xfId="48095" xr:uid="{00000000-0005-0000-0000-0000F2DF0000}"/>
    <cellStyle name="Porcentaje 2 7 4 2 2 5" xfId="34533" xr:uid="{00000000-0005-0000-0000-0000F3DF0000}"/>
    <cellStyle name="Porcentaje 2 7 4 2 3" xfId="7268" xr:uid="{00000000-0005-0000-0000-0000F4DF0000}"/>
    <cellStyle name="Porcentaje 2 7 4 2 3 2" xfId="10775" xr:uid="{00000000-0005-0000-0000-0000F5DF0000}"/>
    <cellStyle name="Porcentaje 2 7 4 2 3 2 2" xfId="17565" xr:uid="{00000000-0005-0000-0000-0000F6DF0000}"/>
    <cellStyle name="Porcentaje 2 7 4 2 3 2 2 2" xfId="31133" xr:uid="{00000000-0005-0000-0000-0000F7DF0000}"/>
    <cellStyle name="Porcentaje 2 7 4 2 3 2 2 2 2" xfId="58266" xr:uid="{00000000-0005-0000-0000-0000F8DF0000}"/>
    <cellStyle name="Porcentaje 2 7 4 2 3 2 2 3" xfId="44704" xr:uid="{00000000-0005-0000-0000-0000F9DF0000}"/>
    <cellStyle name="Porcentaje 2 7 4 2 3 2 3" xfId="24352" xr:uid="{00000000-0005-0000-0000-0000FADF0000}"/>
    <cellStyle name="Porcentaje 2 7 4 2 3 2 3 2" xfId="51485" xr:uid="{00000000-0005-0000-0000-0000FBDF0000}"/>
    <cellStyle name="Porcentaje 2 7 4 2 3 2 4" xfId="37923" xr:uid="{00000000-0005-0000-0000-0000FCDF0000}"/>
    <cellStyle name="Porcentaje 2 7 4 2 3 3" xfId="14176" xr:uid="{00000000-0005-0000-0000-0000FDDF0000}"/>
    <cellStyle name="Porcentaje 2 7 4 2 3 3 2" xfId="27744" xr:uid="{00000000-0005-0000-0000-0000FEDF0000}"/>
    <cellStyle name="Porcentaje 2 7 4 2 3 3 2 2" xfId="54877" xr:uid="{00000000-0005-0000-0000-0000FFDF0000}"/>
    <cellStyle name="Porcentaje 2 7 4 2 3 3 3" xfId="41315" xr:uid="{00000000-0005-0000-0000-000000E00000}"/>
    <cellStyle name="Porcentaje 2 7 4 2 3 4" xfId="20963" xr:uid="{00000000-0005-0000-0000-000001E00000}"/>
    <cellStyle name="Porcentaje 2 7 4 2 3 4 2" xfId="48096" xr:uid="{00000000-0005-0000-0000-000002E00000}"/>
    <cellStyle name="Porcentaje 2 7 4 2 3 5" xfId="34534" xr:uid="{00000000-0005-0000-0000-000003E00000}"/>
    <cellStyle name="Porcentaje 2 7 4 2 4" xfId="10773" xr:uid="{00000000-0005-0000-0000-000004E00000}"/>
    <cellStyle name="Porcentaje 2 7 4 2 4 2" xfId="17563" xr:uid="{00000000-0005-0000-0000-000005E00000}"/>
    <cellStyle name="Porcentaje 2 7 4 2 4 2 2" xfId="31131" xr:uid="{00000000-0005-0000-0000-000006E00000}"/>
    <cellStyle name="Porcentaje 2 7 4 2 4 2 2 2" xfId="58264" xr:uid="{00000000-0005-0000-0000-000007E00000}"/>
    <cellStyle name="Porcentaje 2 7 4 2 4 2 3" xfId="44702" xr:uid="{00000000-0005-0000-0000-000008E00000}"/>
    <cellStyle name="Porcentaje 2 7 4 2 4 3" xfId="24350" xr:uid="{00000000-0005-0000-0000-000009E00000}"/>
    <cellStyle name="Porcentaje 2 7 4 2 4 3 2" xfId="51483" xr:uid="{00000000-0005-0000-0000-00000AE00000}"/>
    <cellStyle name="Porcentaje 2 7 4 2 4 4" xfId="37921" xr:uid="{00000000-0005-0000-0000-00000BE00000}"/>
    <cellStyle name="Porcentaje 2 7 4 2 5" xfId="14174" xr:uid="{00000000-0005-0000-0000-00000CE00000}"/>
    <cellStyle name="Porcentaje 2 7 4 2 5 2" xfId="27742" xr:uid="{00000000-0005-0000-0000-00000DE00000}"/>
    <cellStyle name="Porcentaje 2 7 4 2 5 2 2" xfId="54875" xr:uid="{00000000-0005-0000-0000-00000EE00000}"/>
    <cellStyle name="Porcentaje 2 7 4 2 5 3" xfId="41313" xr:uid="{00000000-0005-0000-0000-00000FE00000}"/>
    <cellStyle name="Porcentaje 2 7 4 2 6" xfId="20961" xr:uid="{00000000-0005-0000-0000-000010E00000}"/>
    <cellStyle name="Porcentaje 2 7 4 2 6 2" xfId="48094" xr:uid="{00000000-0005-0000-0000-000011E00000}"/>
    <cellStyle name="Porcentaje 2 7 4 2 7" xfId="34532" xr:uid="{00000000-0005-0000-0000-000012E00000}"/>
    <cellStyle name="Porcentaje 2 7 4 3" xfId="7269" xr:uid="{00000000-0005-0000-0000-000013E00000}"/>
    <cellStyle name="Porcentaje 2 7 4 3 2" xfId="7270" xr:uid="{00000000-0005-0000-0000-000014E00000}"/>
    <cellStyle name="Porcentaje 2 7 4 3 2 2" xfId="10777" xr:uid="{00000000-0005-0000-0000-000015E00000}"/>
    <cellStyle name="Porcentaje 2 7 4 3 2 2 2" xfId="17567" xr:uid="{00000000-0005-0000-0000-000016E00000}"/>
    <cellStyle name="Porcentaje 2 7 4 3 2 2 2 2" xfId="31135" xr:uid="{00000000-0005-0000-0000-000017E00000}"/>
    <cellStyle name="Porcentaje 2 7 4 3 2 2 2 2 2" xfId="58268" xr:uid="{00000000-0005-0000-0000-000018E00000}"/>
    <cellStyle name="Porcentaje 2 7 4 3 2 2 2 3" xfId="44706" xr:uid="{00000000-0005-0000-0000-000019E00000}"/>
    <cellStyle name="Porcentaje 2 7 4 3 2 2 3" xfId="24354" xr:uid="{00000000-0005-0000-0000-00001AE00000}"/>
    <cellStyle name="Porcentaje 2 7 4 3 2 2 3 2" xfId="51487" xr:uid="{00000000-0005-0000-0000-00001BE00000}"/>
    <cellStyle name="Porcentaje 2 7 4 3 2 2 4" xfId="37925" xr:uid="{00000000-0005-0000-0000-00001CE00000}"/>
    <cellStyle name="Porcentaje 2 7 4 3 2 3" xfId="14178" xr:uid="{00000000-0005-0000-0000-00001DE00000}"/>
    <cellStyle name="Porcentaje 2 7 4 3 2 3 2" xfId="27746" xr:uid="{00000000-0005-0000-0000-00001EE00000}"/>
    <cellStyle name="Porcentaje 2 7 4 3 2 3 2 2" xfId="54879" xr:uid="{00000000-0005-0000-0000-00001FE00000}"/>
    <cellStyle name="Porcentaje 2 7 4 3 2 3 3" xfId="41317" xr:uid="{00000000-0005-0000-0000-000020E00000}"/>
    <cellStyle name="Porcentaje 2 7 4 3 2 4" xfId="20965" xr:uid="{00000000-0005-0000-0000-000021E00000}"/>
    <cellStyle name="Porcentaje 2 7 4 3 2 4 2" xfId="48098" xr:uid="{00000000-0005-0000-0000-000022E00000}"/>
    <cellStyle name="Porcentaje 2 7 4 3 2 5" xfId="34536" xr:uid="{00000000-0005-0000-0000-000023E00000}"/>
    <cellStyle name="Porcentaje 2 7 4 3 3" xfId="10776" xr:uid="{00000000-0005-0000-0000-000024E00000}"/>
    <cellStyle name="Porcentaje 2 7 4 3 3 2" xfId="17566" xr:uid="{00000000-0005-0000-0000-000025E00000}"/>
    <cellStyle name="Porcentaje 2 7 4 3 3 2 2" xfId="31134" xr:uid="{00000000-0005-0000-0000-000026E00000}"/>
    <cellStyle name="Porcentaje 2 7 4 3 3 2 2 2" xfId="58267" xr:uid="{00000000-0005-0000-0000-000027E00000}"/>
    <cellStyle name="Porcentaje 2 7 4 3 3 2 3" xfId="44705" xr:uid="{00000000-0005-0000-0000-000028E00000}"/>
    <cellStyle name="Porcentaje 2 7 4 3 3 3" xfId="24353" xr:uid="{00000000-0005-0000-0000-000029E00000}"/>
    <cellStyle name="Porcentaje 2 7 4 3 3 3 2" xfId="51486" xr:uid="{00000000-0005-0000-0000-00002AE00000}"/>
    <cellStyle name="Porcentaje 2 7 4 3 3 4" xfId="37924" xr:uid="{00000000-0005-0000-0000-00002BE00000}"/>
    <cellStyle name="Porcentaje 2 7 4 3 4" xfId="14177" xr:uid="{00000000-0005-0000-0000-00002CE00000}"/>
    <cellStyle name="Porcentaje 2 7 4 3 4 2" xfId="27745" xr:uid="{00000000-0005-0000-0000-00002DE00000}"/>
    <cellStyle name="Porcentaje 2 7 4 3 4 2 2" xfId="54878" xr:uid="{00000000-0005-0000-0000-00002EE00000}"/>
    <cellStyle name="Porcentaje 2 7 4 3 4 3" xfId="41316" xr:uid="{00000000-0005-0000-0000-00002FE00000}"/>
    <cellStyle name="Porcentaje 2 7 4 3 5" xfId="20964" xr:uid="{00000000-0005-0000-0000-000030E00000}"/>
    <cellStyle name="Porcentaje 2 7 4 3 5 2" xfId="48097" xr:uid="{00000000-0005-0000-0000-000031E00000}"/>
    <cellStyle name="Porcentaje 2 7 4 3 6" xfId="34535" xr:uid="{00000000-0005-0000-0000-000032E00000}"/>
    <cellStyle name="Porcentaje 2 7 4 4" xfId="7271" xr:uid="{00000000-0005-0000-0000-000033E00000}"/>
    <cellStyle name="Porcentaje 2 7 4 4 2" xfId="10778" xr:uid="{00000000-0005-0000-0000-000034E00000}"/>
    <cellStyle name="Porcentaje 2 7 4 4 2 2" xfId="17568" xr:uid="{00000000-0005-0000-0000-000035E00000}"/>
    <cellStyle name="Porcentaje 2 7 4 4 2 2 2" xfId="31136" xr:uid="{00000000-0005-0000-0000-000036E00000}"/>
    <cellStyle name="Porcentaje 2 7 4 4 2 2 2 2" xfId="58269" xr:uid="{00000000-0005-0000-0000-000037E00000}"/>
    <cellStyle name="Porcentaje 2 7 4 4 2 2 3" xfId="44707" xr:uid="{00000000-0005-0000-0000-000038E00000}"/>
    <cellStyle name="Porcentaje 2 7 4 4 2 3" xfId="24355" xr:uid="{00000000-0005-0000-0000-000039E00000}"/>
    <cellStyle name="Porcentaje 2 7 4 4 2 3 2" xfId="51488" xr:uid="{00000000-0005-0000-0000-00003AE00000}"/>
    <cellStyle name="Porcentaje 2 7 4 4 2 4" xfId="37926" xr:uid="{00000000-0005-0000-0000-00003BE00000}"/>
    <cellStyle name="Porcentaje 2 7 4 4 3" xfId="14179" xr:uid="{00000000-0005-0000-0000-00003CE00000}"/>
    <cellStyle name="Porcentaje 2 7 4 4 3 2" xfId="27747" xr:uid="{00000000-0005-0000-0000-00003DE00000}"/>
    <cellStyle name="Porcentaje 2 7 4 4 3 2 2" xfId="54880" xr:uid="{00000000-0005-0000-0000-00003EE00000}"/>
    <cellStyle name="Porcentaje 2 7 4 4 3 3" xfId="41318" xr:uid="{00000000-0005-0000-0000-00003FE00000}"/>
    <cellStyle name="Porcentaje 2 7 4 4 4" xfId="20966" xr:uid="{00000000-0005-0000-0000-000040E00000}"/>
    <cellStyle name="Porcentaje 2 7 4 4 4 2" xfId="48099" xr:uid="{00000000-0005-0000-0000-000041E00000}"/>
    <cellStyle name="Porcentaje 2 7 4 4 5" xfId="34537" xr:uid="{00000000-0005-0000-0000-000042E00000}"/>
    <cellStyle name="Porcentaje 2 7 4 5" xfId="7272" xr:uid="{00000000-0005-0000-0000-000043E00000}"/>
    <cellStyle name="Porcentaje 2 7 4 5 2" xfId="10779" xr:uid="{00000000-0005-0000-0000-000044E00000}"/>
    <cellStyle name="Porcentaje 2 7 4 5 2 2" xfId="17569" xr:uid="{00000000-0005-0000-0000-000045E00000}"/>
    <cellStyle name="Porcentaje 2 7 4 5 2 2 2" xfId="31137" xr:uid="{00000000-0005-0000-0000-000046E00000}"/>
    <cellStyle name="Porcentaje 2 7 4 5 2 2 2 2" xfId="58270" xr:uid="{00000000-0005-0000-0000-000047E00000}"/>
    <cellStyle name="Porcentaje 2 7 4 5 2 2 3" xfId="44708" xr:uid="{00000000-0005-0000-0000-000048E00000}"/>
    <cellStyle name="Porcentaje 2 7 4 5 2 3" xfId="24356" xr:uid="{00000000-0005-0000-0000-000049E00000}"/>
    <cellStyle name="Porcentaje 2 7 4 5 2 3 2" xfId="51489" xr:uid="{00000000-0005-0000-0000-00004AE00000}"/>
    <cellStyle name="Porcentaje 2 7 4 5 2 4" xfId="37927" xr:uid="{00000000-0005-0000-0000-00004BE00000}"/>
    <cellStyle name="Porcentaje 2 7 4 5 3" xfId="14180" xr:uid="{00000000-0005-0000-0000-00004CE00000}"/>
    <cellStyle name="Porcentaje 2 7 4 5 3 2" xfId="27748" xr:uid="{00000000-0005-0000-0000-00004DE00000}"/>
    <cellStyle name="Porcentaje 2 7 4 5 3 2 2" xfId="54881" xr:uid="{00000000-0005-0000-0000-00004EE00000}"/>
    <cellStyle name="Porcentaje 2 7 4 5 3 3" xfId="41319" xr:uid="{00000000-0005-0000-0000-00004FE00000}"/>
    <cellStyle name="Porcentaje 2 7 4 5 4" xfId="20967" xr:uid="{00000000-0005-0000-0000-000050E00000}"/>
    <cellStyle name="Porcentaje 2 7 4 5 4 2" xfId="48100" xr:uid="{00000000-0005-0000-0000-000051E00000}"/>
    <cellStyle name="Porcentaje 2 7 4 5 5" xfId="34538" xr:uid="{00000000-0005-0000-0000-000052E00000}"/>
    <cellStyle name="Porcentaje 2 7 4 6" xfId="10772" xr:uid="{00000000-0005-0000-0000-000053E00000}"/>
    <cellStyle name="Porcentaje 2 7 4 6 2" xfId="17562" xr:uid="{00000000-0005-0000-0000-000054E00000}"/>
    <cellStyle name="Porcentaje 2 7 4 6 2 2" xfId="31130" xr:uid="{00000000-0005-0000-0000-000055E00000}"/>
    <cellStyle name="Porcentaje 2 7 4 6 2 2 2" xfId="58263" xr:uid="{00000000-0005-0000-0000-000056E00000}"/>
    <cellStyle name="Porcentaje 2 7 4 6 2 3" xfId="44701" xr:uid="{00000000-0005-0000-0000-000057E00000}"/>
    <cellStyle name="Porcentaje 2 7 4 6 3" xfId="24349" xr:uid="{00000000-0005-0000-0000-000058E00000}"/>
    <cellStyle name="Porcentaje 2 7 4 6 3 2" xfId="51482" xr:uid="{00000000-0005-0000-0000-000059E00000}"/>
    <cellStyle name="Porcentaje 2 7 4 6 4" xfId="37920" xr:uid="{00000000-0005-0000-0000-00005AE00000}"/>
    <cellStyle name="Porcentaje 2 7 4 7" xfId="14173" xr:uid="{00000000-0005-0000-0000-00005BE00000}"/>
    <cellStyle name="Porcentaje 2 7 4 7 2" xfId="27741" xr:uid="{00000000-0005-0000-0000-00005CE00000}"/>
    <cellStyle name="Porcentaje 2 7 4 7 2 2" xfId="54874" xr:uid="{00000000-0005-0000-0000-00005DE00000}"/>
    <cellStyle name="Porcentaje 2 7 4 7 3" xfId="41312" xr:uid="{00000000-0005-0000-0000-00005EE00000}"/>
    <cellStyle name="Porcentaje 2 7 4 8" xfId="20960" xr:uid="{00000000-0005-0000-0000-00005FE00000}"/>
    <cellStyle name="Porcentaje 2 7 4 8 2" xfId="48093" xr:uid="{00000000-0005-0000-0000-000060E00000}"/>
    <cellStyle name="Porcentaje 2 7 4 9" xfId="34531" xr:uid="{00000000-0005-0000-0000-000061E00000}"/>
    <cellStyle name="Porcentaje 2 7 5" xfId="7273" xr:uid="{00000000-0005-0000-0000-000062E00000}"/>
    <cellStyle name="Porcentaje 2 7 5 2" xfId="7274" xr:uid="{00000000-0005-0000-0000-000063E00000}"/>
    <cellStyle name="Porcentaje 2 7 5 2 2" xfId="7275" xr:uid="{00000000-0005-0000-0000-000064E00000}"/>
    <cellStyle name="Porcentaje 2 7 5 2 2 2" xfId="10782" xr:uid="{00000000-0005-0000-0000-000065E00000}"/>
    <cellStyle name="Porcentaje 2 7 5 2 2 2 2" xfId="17572" xr:uid="{00000000-0005-0000-0000-000066E00000}"/>
    <cellStyle name="Porcentaje 2 7 5 2 2 2 2 2" xfId="31140" xr:uid="{00000000-0005-0000-0000-000067E00000}"/>
    <cellStyle name="Porcentaje 2 7 5 2 2 2 2 2 2" xfId="58273" xr:uid="{00000000-0005-0000-0000-000068E00000}"/>
    <cellStyle name="Porcentaje 2 7 5 2 2 2 2 3" xfId="44711" xr:uid="{00000000-0005-0000-0000-000069E00000}"/>
    <cellStyle name="Porcentaje 2 7 5 2 2 2 3" xfId="24359" xr:uid="{00000000-0005-0000-0000-00006AE00000}"/>
    <cellStyle name="Porcentaje 2 7 5 2 2 2 3 2" xfId="51492" xr:uid="{00000000-0005-0000-0000-00006BE00000}"/>
    <cellStyle name="Porcentaje 2 7 5 2 2 2 4" xfId="37930" xr:uid="{00000000-0005-0000-0000-00006CE00000}"/>
    <cellStyle name="Porcentaje 2 7 5 2 2 3" xfId="14183" xr:uid="{00000000-0005-0000-0000-00006DE00000}"/>
    <cellStyle name="Porcentaje 2 7 5 2 2 3 2" xfId="27751" xr:uid="{00000000-0005-0000-0000-00006EE00000}"/>
    <cellStyle name="Porcentaje 2 7 5 2 2 3 2 2" xfId="54884" xr:uid="{00000000-0005-0000-0000-00006FE00000}"/>
    <cellStyle name="Porcentaje 2 7 5 2 2 3 3" xfId="41322" xr:uid="{00000000-0005-0000-0000-000070E00000}"/>
    <cellStyle name="Porcentaje 2 7 5 2 2 4" xfId="20970" xr:uid="{00000000-0005-0000-0000-000071E00000}"/>
    <cellStyle name="Porcentaje 2 7 5 2 2 4 2" xfId="48103" xr:uid="{00000000-0005-0000-0000-000072E00000}"/>
    <cellStyle name="Porcentaje 2 7 5 2 2 5" xfId="34541" xr:uid="{00000000-0005-0000-0000-000073E00000}"/>
    <cellStyle name="Porcentaje 2 7 5 2 3" xfId="7276" xr:uid="{00000000-0005-0000-0000-000074E00000}"/>
    <cellStyle name="Porcentaje 2 7 5 2 3 2" xfId="10783" xr:uid="{00000000-0005-0000-0000-000075E00000}"/>
    <cellStyle name="Porcentaje 2 7 5 2 3 2 2" xfId="17573" xr:uid="{00000000-0005-0000-0000-000076E00000}"/>
    <cellStyle name="Porcentaje 2 7 5 2 3 2 2 2" xfId="31141" xr:uid="{00000000-0005-0000-0000-000077E00000}"/>
    <cellStyle name="Porcentaje 2 7 5 2 3 2 2 2 2" xfId="58274" xr:uid="{00000000-0005-0000-0000-000078E00000}"/>
    <cellStyle name="Porcentaje 2 7 5 2 3 2 2 3" xfId="44712" xr:uid="{00000000-0005-0000-0000-000079E00000}"/>
    <cellStyle name="Porcentaje 2 7 5 2 3 2 3" xfId="24360" xr:uid="{00000000-0005-0000-0000-00007AE00000}"/>
    <cellStyle name="Porcentaje 2 7 5 2 3 2 3 2" xfId="51493" xr:uid="{00000000-0005-0000-0000-00007BE00000}"/>
    <cellStyle name="Porcentaje 2 7 5 2 3 2 4" xfId="37931" xr:uid="{00000000-0005-0000-0000-00007CE00000}"/>
    <cellStyle name="Porcentaje 2 7 5 2 3 3" xfId="14184" xr:uid="{00000000-0005-0000-0000-00007DE00000}"/>
    <cellStyle name="Porcentaje 2 7 5 2 3 3 2" xfId="27752" xr:uid="{00000000-0005-0000-0000-00007EE00000}"/>
    <cellStyle name="Porcentaje 2 7 5 2 3 3 2 2" xfId="54885" xr:uid="{00000000-0005-0000-0000-00007FE00000}"/>
    <cellStyle name="Porcentaje 2 7 5 2 3 3 3" xfId="41323" xr:uid="{00000000-0005-0000-0000-000080E00000}"/>
    <cellStyle name="Porcentaje 2 7 5 2 3 4" xfId="20971" xr:uid="{00000000-0005-0000-0000-000081E00000}"/>
    <cellStyle name="Porcentaje 2 7 5 2 3 4 2" xfId="48104" xr:uid="{00000000-0005-0000-0000-000082E00000}"/>
    <cellStyle name="Porcentaje 2 7 5 2 3 5" xfId="34542" xr:uid="{00000000-0005-0000-0000-000083E00000}"/>
    <cellStyle name="Porcentaje 2 7 5 2 4" xfId="10781" xr:uid="{00000000-0005-0000-0000-000084E00000}"/>
    <cellStyle name="Porcentaje 2 7 5 2 4 2" xfId="17571" xr:uid="{00000000-0005-0000-0000-000085E00000}"/>
    <cellStyle name="Porcentaje 2 7 5 2 4 2 2" xfId="31139" xr:uid="{00000000-0005-0000-0000-000086E00000}"/>
    <cellStyle name="Porcentaje 2 7 5 2 4 2 2 2" xfId="58272" xr:uid="{00000000-0005-0000-0000-000087E00000}"/>
    <cellStyle name="Porcentaje 2 7 5 2 4 2 3" xfId="44710" xr:uid="{00000000-0005-0000-0000-000088E00000}"/>
    <cellStyle name="Porcentaje 2 7 5 2 4 3" xfId="24358" xr:uid="{00000000-0005-0000-0000-000089E00000}"/>
    <cellStyle name="Porcentaje 2 7 5 2 4 3 2" xfId="51491" xr:uid="{00000000-0005-0000-0000-00008AE00000}"/>
    <cellStyle name="Porcentaje 2 7 5 2 4 4" xfId="37929" xr:uid="{00000000-0005-0000-0000-00008BE00000}"/>
    <cellStyle name="Porcentaje 2 7 5 2 5" xfId="14182" xr:uid="{00000000-0005-0000-0000-00008CE00000}"/>
    <cellStyle name="Porcentaje 2 7 5 2 5 2" xfId="27750" xr:uid="{00000000-0005-0000-0000-00008DE00000}"/>
    <cellStyle name="Porcentaje 2 7 5 2 5 2 2" xfId="54883" xr:uid="{00000000-0005-0000-0000-00008EE00000}"/>
    <cellStyle name="Porcentaje 2 7 5 2 5 3" xfId="41321" xr:uid="{00000000-0005-0000-0000-00008FE00000}"/>
    <cellStyle name="Porcentaje 2 7 5 2 6" xfId="20969" xr:uid="{00000000-0005-0000-0000-000090E00000}"/>
    <cellStyle name="Porcentaje 2 7 5 2 6 2" xfId="48102" xr:uid="{00000000-0005-0000-0000-000091E00000}"/>
    <cellStyle name="Porcentaje 2 7 5 2 7" xfId="34540" xr:uid="{00000000-0005-0000-0000-000092E00000}"/>
    <cellStyle name="Porcentaje 2 7 5 3" xfId="7277" xr:uid="{00000000-0005-0000-0000-000093E00000}"/>
    <cellStyle name="Porcentaje 2 7 5 3 2" xfId="10784" xr:uid="{00000000-0005-0000-0000-000094E00000}"/>
    <cellStyle name="Porcentaje 2 7 5 3 2 2" xfId="17574" xr:uid="{00000000-0005-0000-0000-000095E00000}"/>
    <cellStyle name="Porcentaje 2 7 5 3 2 2 2" xfId="31142" xr:uid="{00000000-0005-0000-0000-000096E00000}"/>
    <cellStyle name="Porcentaje 2 7 5 3 2 2 2 2" xfId="58275" xr:uid="{00000000-0005-0000-0000-000097E00000}"/>
    <cellStyle name="Porcentaje 2 7 5 3 2 2 3" xfId="44713" xr:uid="{00000000-0005-0000-0000-000098E00000}"/>
    <cellStyle name="Porcentaje 2 7 5 3 2 3" xfId="24361" xr:uid="{00000000-0005-0000-0000-000099E00000}"/>
    <cellStyle name="Porcentaje 2 7 5 3 2 3 2" xfId="51494" xr:uid="{00000000-0005-0000-0000-00009AE00000}"/>
    <cellStyle name="Porcentaje 2 7 5 3 2 4" xfId="37932" xr:uid="{00000000-0005-0000-0000-00009BE00000}"/>
    <cellStyle name="Porcentaje 2 7 5 3 3" xfId="14185" xr:uid="{00000000-0005-0000-0000-00009CE00000}"/>
    <cellStyle name="Porcentaje 2 7 5 3 3 2" xfId="27753" xr:uid="{00000000-0005-0000-0000-00009DE00000}"/>
    <cellStyle name="Porcentaje 2 7 5 3 3 2 2" xfId="54886" xr:uid="{00000000-0005-0000-0000-00009EE00000}"/>
    <cellStyle name="Porcentaje 2 7 5 3 3 3" xfId="41324" xr:uid="{00000000-0005-0000-0000-00009FE00000}"/>
    <cellStyle name="Porcentaje 2 7 5 3 4" xfId="20972" xr:uid="{00000000-0005-0000-0000-0000A0E00000}"/>
    <cellStyle name="Porcentaje 2 7 5 3 4 2" xfId="48105" xr:uid="{00000000-0005-0000-0000-0000A1E00000}"/>
    <cellStyle name="Porcentaje 2 7 5 3 5" xfId="34543" xr:uid="{00000000-0005-0000-0000-0000A2E00000}"/>
    <cellStyle name="Porcentaje 2 7 5 4" xfId="7278" xr:uid="{00000000-0005-0000-0000-0000A3E00000}"/>
    <cellStyle name="Porcentaje 2 7 5 4 2" xfId="10785" xr:uid="{00000000-0005-0000-0000-0000A4E00000}"/>
    <cellStyle name="Porcentaje 2 7 5 4 2 2" xfId="17575" xr:uid="{00000000-0005-0000-0000-0000A5E00000}"/>
    <cellStyle name="Porcentaje 2 7 5 4 2 2 2" xfId="31143" xr:uid="{00000000-0005-0000-0000-0000A6E00000}"/>
    <cellStyle name="Porcentaje 2 7 5 4 2 2 2 2" xfId="58276" xr:uid="{00000000-0005-0000-0000-0000A7E00000}"/>
    <cellStyle name="Porcentaje 2 7 5 4 2 2 3" xfId="44714" xr:uid="{00000000-0005-0000-0000-0000A8E00000}"/>
    <cellStyle name="Porcentaje 2 7 5 4 2 3" xfId="24362" xr:uid="{00000000-0005-0000-0000-0000A9E00000}"/>
    <cellStyle name="Porcentaje 2 7 5 4 2 3 2" xfId="51495" xr:uid="{00000000-0005-0000-0000-0000AAE00000}"/>
    <cellStyle name="Porcentaje 2 7 5 4 2 4" xfId="37933" xr:uid="{00000000-0005-0000-0000-0000ABE00000}"/>
    <cellStyle name="Porcentaje 2 7 5 4 3" xfId="14186" xr:uid="{00000000-0005-0000-0000-0000ACE00000}"/>
    <cellStyle name="Porcentaje 2 7 5 4 3 2" xfId="27754" xr:uid="{00000000-0005-0000-0000-0000ADE00000}"/>
    <cellStyle name="Porcentaje 2 7 5 4 3 2 2" xfId="54887" xr:uid="{00000000-0005-0000-0000-0000AEE00000}"/>
    <cellStyle name="Porcentaje 2 7 5 4 3 3" xfId="41325" xr:uid="{00000000-0005-0000-0000-0000AFE00000}"/>
    <cellStyle name="Porcentaje 2 7 5 4 4" xfId="20973" xr:uid="{00000000-0005-0000-0000-0000B0E00000}"/>
    <cellStyle name="Porcentaje 2 7 5 4 4 2" xfId="48106" xr:uid="{00000000-0005-0000-0000-0000B1E00000}"/>
    <cellStyle name="Porcentaje 2 7 5 4 5" xfId="34544" xr:uid="{00000000-0005-0000-0000-0000B2E00000}"/>
    <cellStyle name="Porcentaje 2 7 5 5" xfId="10780" xr:uid="{00000000-0005-0000-0000-0000B3E00000}"/>
    <cellStyle name="Porcentaje 2 7 5 5 2" xfId="17570" xr:uid="{00000000-0005-0000-0000-0000B4E00000}"/>
    <cellStyle name="Porcentaje 2 7 5 5 2 2" xfId="31138" xr:uid="{00000000-0005-0000-0000-0000B5E00000}"/>
    <cellStyle name="Porcentaje 2 7 5 5 2 2 2" xfId="58271" xr:uid="{00000000-0005-0000-0000-0000B6E00000}"/>
    <cellStyle name="Porcentaje 2 7 5 5 2 3" xfId="44709" xr:uid="{00000000-0005-0000-0000-0000B7E00000}"/>
    <cellStyle name="Porcentaje 2 7 5 5 3" xfId="24357" xr:uid="{00000000-0005-0000-0000-0000B8E00000}"/>
    <cellStyle name="Porcentaje 2 7 5 5 3 2" xfId="51490" xr:uid="{00000000-0005-0000-0000-0000B9E00000}"/>
    <cellStyle name="Porcentaje 2 7 5 5 4" xfId="37928" xr:uid="{00000000-0005-0000-0000-0000BAE00000}"/>
    <cellStyle name="Porcentaje 2 7 5 6" xfId="14181" xr:uid="{00000000-0005-0000-0000-0000BBE00000}"/>
    <cellStyle name="Porcentaje 2 7 5 6 2" xfId="27749" xr:uid="{00000000-0005-0000-0000-0000BCE00000}"/>
    <cellStyle name="Porcentaje 2 7 5 6 2 2" xfId="54882" xr:uid="{00000000-0005-0000-0000-0000BDE00000}"/>
    <cellStyle name="Porcentaje 2 7 5 6 3" xfId="41320" xr:uid="{00000000-0005-0000-0000-0000BEE00000}"/>
    <cellStyle name="Porcentaje 2 7 5 7" xfId="20968" xr:uid="{00000000-0005-0000-0000-0000BFE00000}"/>
    <cellStyle name="Porcentaje 2 7 5 7 2" xfId="48101" xr:uid="{00000000-0005-0000-0000-0000C0E00000}"/>
    <cellStyle name="Porcentaje 2 7 5 8" xfId="34539" xr:uid="{00000000-0005-0000-0000-0000C1E00000}"/>
    <cellStyle name="Porcentaje 2 7 6" xfId="7279" xr:uid="{00000000-0005-0000-0000-0000C2E00000}"/>
    <cellStyle name="Porcentaje 2 7 6 2" xfId="7280" xr:uid="{00000000-0005-0000-0000-0000C3E00000}"/>
    <cellStyle name="Porcentaje 2 7 6 2 2" xfId="7281" xr:uid="{00000000-0005-0000-0000-0000C4E00000}"/>
    <cellStyle name="Porcentaje 2 7 6 2 2 2" xfId="10788" xr:uid="{00000000-0005-0000-0000-0000C5E00000}"/>
    <cellStyle name="Porcentaje 2 7 6 2 2 2 2" xfId="17578" xr:uid="{00000000-0005-0000-0000-0000C6E00000}"/>
    <cellStyle name="Porcentaje 2 7 6 2 2 2 2 2" xfId="31146" xr:uid="{00000000-0005-0000-0000-0000C7E00000}"/>
    <cellStyle name="Porcentaje 2 7 6 2 2 2 2 2 2" xfId="58279" xr:uid="{00000000-0005-0000-0000-0000C8E00000}"/>
    <cellStyle name="Porcentaje 2 7 6 2 2 2 2 3" xfId="44717" xr:uid="{00000000-0005-0000-0000-0000C9E00000}"/>
    <cellStyle name="Porcentaje 2 7 6 2 2 2 3" xfId="24365" xr:uid="{00000000-0005-0000-0000-0000CAE00000}"/>
    <cellStyle name="Porcentaje 2 7 6 2 2 2 3 2" xfId="51498" xr:uid="{00000000-0005-0000-0000-0000CBE00000}"/>
    <cellStyle name="Porcentaje 2 7 6 2 2 2 4" xfId="37936" xr:uid="{00000000-0005-0000-0000-0000CCE00000}"/>
    <cellStyle name="Porcentaje 2 7 6 2 2 3" xfId="14189" xr:uid="{00000000-0005-0000-0000-0000CDE00000}"/>
    <cellStyle name="Porcentaje 2 7 6 2 2 3 2" xfId="27757" xr:uid="{00000000-0005-0000-0000-0000CEE00000}"/>
    <cellStyle name="Porcentaje 2 7 6 2 2 3 2 2" xfId="54890" xr:uid="{00000000-0005-0000-0000-0000CFE00000}"/>
    <cellStyle name="Porcentaje 2 7 6 2 2 3 3" xfId="41328" xr:uid="{00000000-0005-0000-0000-0000D0E00000}"/>
    <cellStyle name="Porcentaje 2 7 6 2 2 4" xfId="20976" xr:uid="{00000000-0005-0000-0000-0000D1E00000}"/>
    <cellStyle name="Porcentaje 2 7 6 2 2 4 2" xfId="48109" xr:uid="{00000000-0005-0000-0000-0000D2E00000}"/>
    <cellStyle name="Porcentaje 2 7 6 2 2 5" xfId="34547" xr:uid="{00000000-0005-0000-0000-0000D3E00000}"/>
    <cellStyle name="Porcentaje 2 7 6 2 3" xfId="7282" xr:uid="{00000000-0005-0000-0000-0000D4E00000}"/>
    <cellStyle name="Porcentaje 2 7 6 2 3 2" xfId="10789" xr:uid="{00000000-0005-0000-0000-0000D5E00000}"/>
    <cellStyle name="Porcentaje 2 7 6 2 3 2 2" xfId="17579" xr:uid="{00000000-0005-0000-0000-0000D6E00000}"/>
    <cellStyle name="Porcentaje 2 7 6 2 3 2 2 2" xfId="31147" xr:uid="{00000000-0005-0000-0000-0000D7E00000}"/>
    <cellStyle name="Porcentaje 2 7 6 2 3 2 2 2 2" xfId="58280" xr:uid="{00000000-0005-0000-0000-0000D8E00000}"/>
    <cellStyle name="Porcentaje 2 7 6 2 3 2 2 3" xfId="44718" xr:uid="{00000000-0005-0000-0000-0000D9E00000}"/>
    <cellStyle name="Porcentaje 2 7 6 2 3 2 3" xfId="24366" xr:uid="{00000000-0005-0000-0000-0000DAE00000}"/>
    <cellStyle name="Porcentaje 2 7 6 2 3 2 3 2" xfId="51499" xr:uid="{00000000-0005-0000-0000-0000DBE00000}"/>
    <cellStyle name="Porcentaje 2 7 6 2 3 2 4" xfId="37937" xr:uid="{00000000-0005-0000-0000-0000DCE00000}"/>
    <cellStyle name="Porcentaje 2 7 6 2 3 3" xfId="14190" xr:uid="{00000000-0005-0000-0000-0000DDE00000}"/>
    <cellStyle name="Porcentaje 2 7 6 2 3 3 2" xfId="27758" xr:uid="{00000000-0005-0000-0000-0000DEE00000}"/>
    <cellStyle name="Porcentaje 2 7 6 2 3 3 2 2" xfId="54891" xr:uid="{00000000-0005-0000-0000-0000DFE00000}"/>
    <cellStyle name="Porcentaje 2 7 6 2 3 3 3" xfId="41329" xr:uid="{00000000-0005-0000-0000-0000E0E00000}"/>
    <cellStyle name="Porcentaje 2 7 6 2 3 4" xfId="20977" xr:uid="{00000000-0005-0000-0000-0000E1E00000}"/>
    <cellStyle name="Porcentaje 2 7 6 2 3 4 2" xfId="48110" xr:uid="{00000000-0005-0000-0000-0000E2E00000}"/>
    <cellStyle name="Porcentaje 2 7 6 2 3 5" xfId="34548" xr:uid="{00000000-0005-0000-0000-0000E3E00000}"/>
    <cellStyle name="Porcentaje 2 7 6 2 4" xfId="10787" xr:uid="{00000000-0005-0000-0000-0000E4E00000}"/>
    <cellStyle name="Porcentaje 2 7 6 2 4 2" xfId="17577" xr:uid="{00000000-0005-0000-0000-0000E5E00000}"/>
    <cellStyle name="Porcentaje 2 7 6 2 4 2 2" xfId="31145" xr:uid="{00000000-0005-0000-0000-0000E6E00000}"/>
    <cellStyle name="Porcentaje 2 7 6 2 4 2 2 2" xfId="58278" xr:uid="{00000000-0005-0000-0000-0000E7E00000}"/>
    <cellStyle name="Porcentaje 2 7 6 2 4 2 3" xfId="44716" xr:uid="{00000000-0005-0000-0000-0000E8E00000}"/>
    <cellStyle name="Porcentaje 2 7 6 2 4 3" xfId="24364" xr:uid="{00000000-0005-0000-0000-0000E9E00000}"/>
    <cellStyle name="Porcentaje 2 7 6 2 4 3 2" xfId="51497" xr:uid="{00000000-0005-0000-0000-0000EAE00000}"/>
    <cellStyle name="Porcentaje 2 7 6 2 4 4" xfId="37935" xr:uid="{00000000-0005-0000-0000-0000EBE00000}"/>
    <cellStyle name="Porcentaje 2 7 6 2 5" xfId="14188" xr:uid="{00000000-0005-0000-0000-0000ECE00000}"/>
    <cellStyle name="Porcentaje 2 7 6 2 5 2" xfId="27756" xr:uid="{00000000-0005-0000-0000-0000EDE00000}"/>
    <cellStyle name="Porcentaje 2 7 6 2 5 2 2" xfId="54889" xr:uid="{00000000-0005-0000-0000-0000EEE00000}"/>
    <cellStyle name="Porcentaje 2 7 6 2 5 3" xfId="41327" xr:uid="{00000000-0005-0000-0000-0000EFE00000}"/>
    <cellStyle name="Porcentaje 2 7 6 2 6" xfId="20975" xr:uid="{00000000-0005-0000-0000-0000F0E00000}"/>
    <cellStyle name="Porcentaje 2 7 6 2 6 2" xfId="48108" xr:uid="{00000000-0005-0000-0000-0000F1E00000}"/>
    <cellStyle name="Porcentaje 2 7 6 2 7" xfId="34546" xr:uid="{00000000-0005-0000-0000-0000F2E00000}"/>
    <cellStyle name="Porcentaje 2 7 6 3" xfId="7283" xr:uid="{00000000-0005-0000-0000-0000F3E00000}"/>
    <cellStyle name="Porcentaje 2 7 6 3 2" xfId="10790" xr:uid="{00000000-0005-0000-0000-0000F4E00000}"/>
    <cellStyle name="Porcentaje 2 7 6 3 2 2" xfId="17580" xr:uid="{00000000-0005-0000-0000-0000F5E00000}"/>
    <cellStyle name="Porcentaje 2 7 6 3 2 2 2" xfId="31148" xr:uid="{00000000-0005-0000-0000-0000F6E00000}"/>
    <cellStyle name="Porcentaje 2 7 6 3 2 2 2 2" xfId="58281" xr:uid="{00000000-0005-0000-0000-0000F7E00000}"/>
    <cellStyle name="Porcentaje 2 7 6 3 2 2 3" xfId="44719" xr:uid="{00000000-0005-0000-0000-0000F8E00000}"/>
    <cellStyle name="Porcentaje 2 7 6 3 2 3" xfId="24367" xr:uid="{00000000-0005-0000-0000-0000F9E00000}"/>
    <cellStyle name="Porcentaje 2 7 6 3 2 3 2" xfId="51500" xr:uid="{00000000-0005-0000-0000-0000FAE00000}"/>
    <cellStyle name="Porcentaje 2 7 6 3 2 4" xfId="37938" xr:uid="{00000000-0005-0000-0000-0000FBE00000}"/>
    <cellStyle name="Porcentaje 2 7 6 3 3" xfId="14191" xr:uid="{00000000-0005-0000-0000-0000FCE00000}"/>
    <cellStyle name="Porcentaje 2 7 6 3 3 2" xfId="27759" xr:uid="{00000000-0005-0000-0000-0000FDE00000}"/>
    <cellStyle name="Porcentaje 2 7 6 3 3 2 2" xfId="54892" xr:uid="{00000000-0005-0000-0000-0000FEE00000}"/>
    <cellStyle name="Porcentaje 2 7 6 3 3 3" xfId="41330" xr:uid="{00000000-0005-0000-0000-0000FFE00000}"/>
    <cellStyle name="Porcentaje 2 7 6 3 4" xfId="20978" xr:uid="{00000000-0005-0000-0000-000000E10000}"/>
    <cellStyle name="Porcentaje 2 7 6 3 4 2" xfId="48111" xr:uid="{00000000-0005-0000-0000-000001E10000}"/>
    <cellStyle name="Porcentaje 2 7 6 3 5" xfId="34549" xr:uid="{00000000-0005-0000-0000-000002E10000}"/>
    <cellStyle name="Porcentaje 2 7 6 4" xfId="7284" xr:uid="{00000000-0005-0000-0000-000003E10000}"/>
    <cellStyle name="Porcentaje 2 7 6 4 2" xfId="10791" xr:uid="{00000000-0005-0000-0000-000004E10000}"/>
    <cellStyle name="Porcentaje 2 7 6 4 2 2" xfId="17581" xr:uid="{00000000-0005-0000-0000-000005E10000}"/>
    <cellStyle name="Porcentaje 2 7 6 4 2 2 2" xfId="31149" xr:uid="{00000000-0005-0000-0000-000006E10000}"/>
    <cellStyle name="Porcentaje 2 7 6 4 2 2 2 2" xfId="58282" xr:uid="{00000000-0005-0000-0000-000007E10000}"/>
    <cellStyle name="Porcentaje 2 7 6 4 2 2 3" xfId="44720" xr:uid="{00000000-0005-0000-0000-000008E10000}"/>
    <cellStyle name="Porcentaje 2 7 6 4 2 3" xfId="24368" xr:uid="{00000000-0005-0000-0000-000009E10000}"/>
    <cellStyle name="Porcentaje 2 7 6 4 2 3 2" xfId="51501" xr:uid="{00000000-0005-0000-0000-00000AE10000}"/>
    <cellStyle name="Porcentaje 2 7 6 4 2 4" xfId="37939" xr:uid="{00000000-0005-0000-0000-00000BE10000}"/>
    <cellStyle name="Porcentaje 2 7 6 4 3" xfId="14192" xr:uid="{00000000-0005-0000-0000-00000CE10000}"/>
    <cellStyle name="Porcentaje 2 7 6 4 3 2" xfId="27760" xr:uid="{00000000-0005-0000-0000-00000DE10000}"/>
    <cellStyle name="Porcentaje 2 7 6 4 3 2 2" xfId="54893" xr:uid="{00000000-0005-0000-0000-00000EE10000}"/>
    <cellStyle name="Porcentaje 2 7 6 4 3 3" xfId="41331" xr:uid="{00000000-0005-0000-0000-00000FE10000}"/>
    <cellStyle name="Porcentaje 2 7 6 4 4" xfId="20979" xr:uid="{00000000-0005-0000-0000-000010E10000}"/>
    <cellStyle name="Porcentaje 2 7 6 4 4 2" xfId="48112" xr:uid="{00000000-0005-0000-0000-000011E10000}"/>
    <cellStyle name="Porcentaje 2 7 6 4 5" xfId="34550" xr:uid="{00000000-0005-0000-0000-000012E10000}"/>
    <cellStyle name="Porcentaje 2 7 6 5" xfId="10786" xr:uid="{00000000-0005-0000-0000-000013E10000}"/>
    <cellStyle name="Porcentaje 2 7 6 5 2" xfId="17576" xr:uid="{00000000-0005-0000-0000-000014E10000}"/>
    <cellStyle name="Porcentaje 2 7 6 5 2 2" xfId="31144" xr:uid="{00000000-0005-0000-0000-000015E10000}"/>
    <cellStyle name="Porcentaje 2 7 6 5 2 2 2" xfId="58277" xr:uid="{00000000-0005-0000-0000-000016E10000}"/>
    <cellStyle name="Porcentaje 2 7 6 5 2 3" xfId="44715" xr:uid="{00000000-0005-0000-0000-000017E10000}"/>
    <cellStyle name="Porcentaje 2 7 6 5 3" xfId="24363" xr:uid="{00000000-0005-0000-0000-000018E10000}"/>
    <cellStyle name="Porcentaje 2 7 6 5 3 2" xfId="51496" xr:uid="{00000000-0005-0000-0000-000019E10000}"/>
    <cellStyle name="Porcentaje 2 7 6 5 4" xfId="37934" xr:uid="{00000000-0005-0000-0000-00001AE10000}"/>
    <cellStyle name="Porcentaje 2 7 6 6" xfId="14187" xr:uid="{00000000-0005-0000-0000-00001BE10000}"/>
    <cellStyle name="Porcentaje 2 7 6 6 2" xfId="27755" xr:uid="{00000000-0005-0000-0000-00001CE10000}"/>
    <cellStyle name="Porcentaje 2 7 6 6 2 2" xfId="54888" xr:uid="{00000000-0005-0000-0000-00001DE10000}"/>
    <cellStyle name="Porcentaje 2 7 6 6 3" xfId="41326" xr:uid="{00000000-0005-0000-0000-00001EE10000}"/>
    <cellStyle name="Porcentaje 2 7 6 7" xfId="20974" xr:uid="{00000000-0005-0000-0000-00001FE10000}"/>
    <cellStyle name="Porcentaje 2 7 6 7 2" xfId="48107" xr:uid="{00000000-0005-0000-0000-000020E10000}"/>
    <cellStyle name="Porcentaje 2 7 6 8" xfId="34545" xr:uid="{00000000-0005-0000-0000-000021E10000}"/>
    <cellStyle name="Porcentaje 2 7 7" xfId="7285" xr:uid="{00000000-0005-0000-0000-000022E10000}"/>
    <cellStyle name="Porcentaje 2 7 7 2" xfId="7286" xr:uid="{00000000-0005-0000-0000-000023E10000}"/>
    <cellStyle name="Porcentaje 2 7 7 2 2" xfId="10793" xr:uid="{00000000-0005-0000-0000-000024E10000}"/>
    <cellStyle name="Porcentaje 2 7 7 2 2 2" xfId="17583" xr:uid="{00000000-0005-0000-0000-000025E10000}"/>
    <cellStyle name="Porcentaje 2 7 7 2 2 2 2" xfId="31151" xr:uid="{00000000-0005-0000-0000-000026E10000}"/>
    <cellStyle name="Porcentaje 2 7 7 2 2 2 2 2" xfId="58284" xr:uid="{00000000-0005-0000-0000-000027E10000}"/>
    <cellStyle name="Porcentaje 2 7 7 2 2 2 3" xfId="44722" xr:uid="{00000000-0005-0000-0000-000028E10000}"/>
    <cellStyle name="Porcentaje 2 7 7 2 2 3" xfId="24370" xr:uid="{00000000-0005-0000-0000-000029E10000}"/>
    <cellStyle name="Porcentaje 2 7 7 2 2 3 2" xfId="51503" xr:uid="{00000000-0005-0000-0000-00002AE10000}"/>
    <cellStyle name="Porcentaje 2 7 7 2 2 4" xfId="37941" xr:uid="{00000000-0005-0000-0000-00002BE10000}"/>
    <cellStyle name="Porcentaje 2 7 7 2 3" xfId="14194" xr:uid="{00000000-0005-0000-0000-00002CE10000}"/>
    <cellStyle name="Porcentaje 2 7 7 2 3 2" xfId="27762" xr:uid="{00000000-0005-0000-0000-00002DE10000}"/>
    <cellStyle name="Porcentaje 2 7 7 2 3 2 2" xfId="54895" xr:uid="{00000000-0005-0000-0000-00002EE10000}"/>
    <cellStyle name="Porcentaje 2 7 7 2 3 3" xfId="41333" xr:uid="{00000000-0005-0000-0000-00002FE10000}"/>
    <cellStyle name="Porcentaje 2 7 7 2 4" xfId="20981" xr:uid="{00000000-0005-0000-0000-000030E10000}"/>
    <cellStyle name="Porcentaje 2 7 7 2 4 2" xfId="48114" xr:uid="{00000000-0005-0000-0000-000031E10000}"/>
    <cellStyle name="Porcentaje 2 7 7 2 5" xfId="34552" xr:uid="{00000000-0005-0000-0000-000032E10000}"/>
    <cellStyle name="Porcentaje 2 7 7 3" xfId="7287" xr:uid="{00000000-0005-0000-0000-000033E10000}"/>
    <cellStyle name="Porcentaje 2 7 7 3 2" xfId="10794" xr:uid="{00000000-0005-0000-0000-000034E10000}"/>
    <cellStyle name="Porcentaje 2 7 7 3 2 2" xfId="17584" xr:uid="{00000000-0005-0000-0000-000035E10000}"/>
    <cellStyle name="Porcentaje 2 7 7 3 2 2 2" xfId="31152" xr:uid="{00000000-0005-0000-0000-000036E10000}"/>
    <cellStyle name="Porcentaje 2 7 7 3 2 2 2 2" xfId="58285" xr:uid="{00000000-0005-0000-0000-000037E10000}"/>
    <cellStyle name="Porcentaje 2 7 7 3 2 2 3" xfId="44723" xr:uid="{00000000-0005-0000-0000-000038E10000}"/>
    <cellStyle name="Porcentaje 2 7 7 3 2 3" xfId="24371" xr:uid="{00000000-0005-0000-0000-000039E10000}"/>
    <cellStyle name="Porcentaje 2 7 7 3 2 3 2" xfId="51504" xr:uid="{00000000-0005-0000-0000-00003AE10000}"/>
    <cellStyle name="Porcentaje 2 7 7 3 2 4" xfId="37942" xr:uid="{00000000-0005-0000-0000-00003BE10000}"/>
    <cellStyle name="Porcentaje 2 7 7 3 3" xfId="14195" xr:uid="{00000000-0005-0000-0000-00003CE10000}"/>
    <cellStyle name="Porcentaje 2 7 7 3 3 2" xfId="27763" xr:uid="{00000000-0005-0000-0000-00003DE10000}"/>
    <cellStyle name="Porcentaje 2 7 7 3 3 2 2" xfId="54896" xr:uid="{00000000-0005-0000-0000-00003EE10000}"/>
    <cellStyle name="Porcentaje 2 7 7 3 3 3" xfId="41334" xr:uid="{00000000-0005-0000-0000-00003FE10000}"/>
    <cellStyle name="Porcentaje 2 7 7 3 4" xfId="20982" xr:uid="{00000000-0005-0000-0000-000040E10000}"/>
    <cellStyle name="Porcentaje 2 7 7 3 4 2" xfId="48115" xr:uid="{00000000-0005-0000-0000-000041E10000}"/>
    <cellStyle name="Porcentaje 2 7 7 3 5" xfId="34553" xr:uid="{00000000-0005-0000-0000-000042E10000}"/>
    <cellStyle name="Porcentaje 2 7 7 4" xfId="10792" xr:uid="{00000000-0005-0000-0000-000043E10000}"/>
    <cellStyle name="Porcentaje 2 7 7 4 2" xfId="17582" xr:uid="{00000000-0005-0000-0000-000044E10000}"/>
    <cellStyle name="Porcentaje 2 7 7 4 2 2" xfId="31150" xr:uid="{00000000-0005-0000-0000-000045E10000}"/>
    <cellStyle name="Porcentaje 2 7 7 4 2 2 2" xfId="58283" xr:uid="{00000000-0005-0000-0000-000046E10000}"/>
    <cellStyle name="Porcentaje 2 7 7 4 2 3" xfId="44721" xr:uid="{00000000-0005-0000-0000-000047E10000}"/>
    <cellStyle name="Porcentaje 2 7 7 4 3" xfId="24369" xr:uid="{00000000-0005-0000-0000-000048E10000}"/>
    <cellStyle name="Porcentaje 2 7 7 4 3 2" xfId="51502" xr:uid="{00000000-0005-0000-0000-000049E10000}"/>
    <cellStyle name="Porcentaje 2 7 7 4 4" xfId="37940" xr:uid="{00000000-0005-0000-0000-00004AE10000}"/>
    <cellStyle name="Porcentaje 2 7 7 5" xfId="14193" xr:uid="{00000000-0005-0000-0000-00004BE10000}"/>
    <cellStyle name="Porcentaje 2 7 7 5 2" xfId="27761" xr:uid="{00000000-0005-0000-0000-00004CE10000}"/>
    <cellStyle name="Porcentaje 2 7 7 5 2 2" xfId="54894" xr:uid="{00000000-0005-0000-0000-00004DE10000}"/>
    <cellStyle name="Porcentaje 2 7 7 5 3" xfId="41332" xr:uid="{00000000-0005-0000-0000-00004EE10000}"/>
    <cellStyle name="Porcentaje 2 7 7 6" xfId="20980" xr:uid="{00000000-0005-0000-0000-00004FE10000}"/>
    <cellStyle name="Porcentaje 2 7 7 6 2" xfId="48113" xr:uid="{00000000-0005-0000-0000-000050E10000}"/>
    <cellStyle name="Porcentaje 2 7 7 7" xfId="34551" xr:uid="{00000000-0005-0000-0000-000051E10000}"/>
    <cellStyle name="Porcentaje 2 7 8" xfId="7288" xr:uid="{00000000-0005-0000-0000-000052E10000}"/>
    <cellStyle name="Porcentaje 2 7 8 2" xfId="7289" xr:uid="{00000000-0005-0000-0000-000053E10000}"/>
    <cellStyle name="Porcentaje 2 7 8 2 2" xfId="10796" xr:uid="{00000000-0005-0000-0000-000054E10000}"/>
    <cellStyle name="Porcentaje 2 7 8 2 2 2" xfId="17586" xr:uid="{00000000-0005-0000-0000-000055E10000}"/>
    <cellStyle name="Porcentaje 2 7 8 2 2 2 2" xfId="31154" xr:uid="{00000000-0005-0000-0000-000056E10000}"/>
    <cellStyle name="Porcentaje 2 7 8 2 2 2 2 2" xfId="58287" xr:uid="{00000000-0005-0000-0000-000057E10000}"/>
    <cellStyle name="Porcentaje 2 7 8 2 2 2 3" xfId="44725" xr:uid="{00000000-0005-0000-0000-000058E10000}"/>
    <cellStyle name="Porcentaje 2 7 8 2 2 3" xfId="24373" xr:uid="{00000000-0005-0000-0000-000059E10000}"/>
    <cellStyle name="Porcentaje 2 7 8 2 2 3 2" xfId="51506" xr:uid="{00000000-0005-0000-0000-00005AE10000}"/>
    <cellStyle name="Porcentaje 2 7 8 2 2 4" xfId="37944" xr:uid="{00000000-0005-0000-0000-00005BE10000}"/>
    <cellStyle name="Porcentaje 2 7 8 2 3" xfId="14197" xr:uid="{00000000-0005-0000-0000-00005CE10000}"/>
    <cellStyle name="Porcentaje 2 7 8 2 3 2" xfId="27765" xr:uid="{00000000-0005-0000-0000-00005DE10000}"/>
    <cellStyle name="Porcentaje 2 7 8 2 3 2 2" xfId="54898" xr:uid="{00000000-0005-0000-0000-00005EE10000}"/>
    <cellStyle name="Porcentaje 2 7 8 2 3 3" xfId="41336" xr:uid="{00000000-0005-0000-0000-00005FE10000}"/>
    <cellStyle name="Porcentaje 2 7 8 2 4" xfId="20984" xr:uid="{00000000-0005-0000-0000-000060E10000}"/>
    <cellStyle name="Porcentaje 2 7 8 2 4 2" xfId="48117" xr:uid="{00000000-0005-0000-0000-000061E10000}"/>
    <cellStyle name="Porcentaje 2 7 8 2 5" xfId="34555" xr:uid="{00000000-0005-0000-0000-000062E10000}"/>
    <cellStyle name="Porcentaje 2 7 8 3" xfId="7290" xr:uid="{00000000-0005-0000-0000-000063E10000}"/>
    <cellStyle name="Porcentaje 2 7 8 3 2" xfId="10797" xr:uid="{00000000-0005-0000-0000-000064E10000}"/>
    <cellStyle name="Porcentaje 2 7 8 3 2 2" xfId="17587" xr:uid="{00000000-0005-0000-0000-000065E10000}"/>
    <cellStyle name="Porcentaje 2 7 8 3 2 2 2" xfId="31155" xr:uid="{00000000-0005-0000-0000-000066E10000}"/>
    <cellStyle name="Porcentaje 2 7 8 3 2 2 2 2" xfId="58288" xr:uid="{00000000-0005-0000-0000-000067E10000}"/>
    <cellStyle name="Porcentaje 2 7 8 3 2 2 3" xfId="44726" xr:uid="{00000000-0005-0000-0000-000068E10000}"/>
    <cellStyle name="Porcentaje 2 7 8 3 2 3" xfId="24374" xr:uid="{00000000-0005-0000-0000-000069E10000}"/>
    <cellStyle name="Porcentaje 2 7 8 3 2 3 2" xfId="51507" xr:uid="{00000000-0005-0000-0000-00006AE10000}"/>
    <cellStyle name="Porcentaje 2 7 8 3 2 4" xfId="37945" xr:uid="{00000000-0005-0000-0000-00006BE10000}"/>
    <cellStyle name="Porcentaje 2 7 8 3 3" xfId="14198" xr:uid="{00000000-0005-0000-0000-00006CE10000}"/>
    <cellStyle name="Porcentaje 2 7 8 3 3 2" xfId="27766" xr:uid="{00000000-0005-0000-0000-00006DE10000}"/>
    <cellStyle name="Porcentaje 2 7 8 3 3 2 2" xfId="54899" xr:uid="{00000000-0005-0000-0000-00006EE10000}"/>
    <cellStyle name="Porcentaje 2 7 8 3 3 3" xfId="41337" xr:uid="{00000000-0005-0000-0000-00006FE10000}"/>
    <cellStyle name="Porcentaje 2 7 8 3 4" xfId="20985" xr:uid="{00000000-0005-0000-0000-000070E10000}"/>
    <cellStyle name="Porcentaje 2 7 8 3 4 2" xfId="48118" xr:uid="{00000000-0005-0000-0000-000071E10000}"/>
    <cellStyle name="Porcentaje 2 7 8 3 5" xfId="34556" xr:uid="{00000000-0005-0000-0000-000072E10000}"/>
    <cellStyle name="Porcentaje 2 7 8 4" xfId="10795" xr:uid="{00000000-0005-0000-0000-000073E10000}"/>
    <cellStyle name="Porcentaje 2 7 8 4 2" xfId="17585" xr:uid="{00000000-0005-0000-0000-000074E10000}"/>
    <cellStyle name="Porcentaje 2 7 8 4 2 2" xfId="31153" xr:uid="{00000000-0005-0000-0000-000075E10000}"/>
    <cellStyle name="Porcentaje 2 7 8 4 2 2 2" xfId="58286" xr:uid="{00000000-0005-0000-0000-000076E10000}"/>
    <cellStyle name="Porcentaje 2 7 8 4 2 3" xfId="44724" xr:uid="{00000000-0005-0000-0000-000077E10000}"/>
    <cellStyle name="Porcentaje 2 7 8 4 3" xfId="24372" xr:uid="{00000000-0005-0000-0000-000078E10000}"/>
    <cellStyle name="Porcentaje 2 7 8 4 3 2" xfId="51505" xr:uid="{00000000-0005-0000-0000-000079E10000}"/>
    <cellStyle name="Porcentaje 2 7 8 4 4" xfId="37943" xr:uid="{00000000-0005-0000-0000-00007AE10000}"/>
    <cellStyle name="Porcentaje 2 7 8 5" xfId="14196" xr:uid="{00000000-0005-0000-0000-00007BE10000}"/>
    <cellStyle name="Porcentaje 2 7 8 5 2" xfId="27764" xr:uid="{00000000-0005-0000-0000-00007CE10000}"/>
    <cellStyle name="Porcentaje 2 7 8 5 2 2" xfId="54897" xr:uid="{00000000-0005-0000-0000-00007DE10000}"/>
    <cellStyle name="Porcentaje 2 7 8 5 3" xfId="41335" xr:uid="{00000000-0005-0000-0000-00007EE10000}"/>
    <cellStyle name="Porcentaje 2 7 8 6" xfId="20983" xr:uid="{00000000-0005-0000-0000-00007FE10000}"/>
    <cellStyle name="Porcentaje 2 7 8 6 2" xfId="48116" xr:uid="{00000000-0005-0000-0000-000080E10000}"/>
    <cellStyle name="Porcentaje 2 7 8 7" xfId="34554" xr:uid="{00000000-0005-0000-0000-000081E10000}"/>
    <cellStyle name="Porcentaje 2 7 9" xfId="7291" xr:uid="{00000000-0005-0000-0000-000082E10000}"/>
    <cellStyle name="Porcentaje 2 7 9 2" xfId="10798" xr:uid="{00000000-0005-0000-0000-000083E10000}"/>
    <cellStyle name="Porcentaje 2 7 9 2 2" xfId="17588" xr:uid="{00000000-0005-0000-0000-000084E10000}"/>
    <cellStyle name="Porcentaje 2 7 9 2 2 2" xfId="31156" xr:uid="{00000000-0005-0000-0000-000085E10000}"/>
    <cellStyle name="Porcentaje 2 7 9 2 2 2 2" xfId="58289" xr:uid="{00000000-0005-0000-0000-000086E10000}"/>
    <cellStyle name="Porcentaje 2 7 9 2 2 3" xfId="44727" xr:uid="{00000000-0005-0000-0000-000087E10000}"/>
    <cellStyle name="Porcentaje 2 7 9 2 3" xfId="24375" xr:uid="{00000000-0005-0000-0000-000088E10000}"/>
    <cellStyle name="Porcentaje 2 7 9 2 3 2" xfId="51508" xr:uid="{00000000-0005-0000-0000-000089E10000}"/>
    <cellStyle name="Porcentaje 2 7 9 2 4" xfId="37946" xr:uid="{00000000-0005-0000-0000-00008AE10000}"/>
    <cellStyle name="Porcentaje 2 7 9 3" xfId="14199" xr:uid="{00000000-0005-0000-0000-00008BE10000}"/>
    <cellStyle name="Porcentaje 2 7 9 3 2" xfId="27767" xr:uid="{00000000-0005-0000-0000-00008CE10000}"/>
    <cellStyle name="Porcentaje 2 7 9 3 2 2" xfId="54900" xr:uid="{00000000-0005-0000-0000-00008DE10000}"/>
    <cellStyle name="Porcentaje 2 7 9 3 3" xfId="41338" xr:uid="{00000000-0005-0000-0000-00008EE10000}"/>
    <cellStyle name="Porcentaje 2 7 9 4" xfId="20986" xr:uid="{00000000-0005-0000-0000-00008FE10000}"/>
    <cellStyle name="Porcentaje 2 7 9 4 2" xfId="48119" xr:uid="{00000000-0005-0000-0000-000090E10000}"/>
    <cellStyle name="Porcentaje 2 7 9 5" xfId="34557" xr:uid="{00000000-0005-0000-0000-000091E10000}"/>
    <cellStyle name="Porcentaje 2 8" xfId="7292" xr:uid="{00000000-0005-0000-0000-000092E10000}"/>
    <cellStyle name="Porcentaje 2 9" xfId="7293" xr:uid="{00000000-0005-0000-0000-000093E10000}"/>
    <cellStyle name="Porcentaje 3" xfId="6" xr:uid="{00000000-0005-0000-0000-000094E10000}"/>
    <cellStyle name="Porcentaje 3 2" xfId="7315" xr:uid="{00000000-0005-0000-0000-000095E10000}"/>
    <cellStyle name="Porcentaje 3 2 2" xfId="58364" xr:uid="{00000000-0005-0000-0000-000096E10000}"/>
    <cellStyle name="Porcentaje 3 3" xfId="7316" xr:uid="{00000000-0005-0000-0000-000097E10000}"/>
    <cellStyle name="Porcentaje 3 4" xfId="10801" xr:uid="{00000000-0005-0000-0000-000098E10000}"/>
    <cellStyle name="Porcentaje 3 4 2" xfId="17591" xr:uid="{00000000-0005-0000-0000-000099E10000}"/>
    <cellStyle name="Porcentaje 3 4 2 2" xfId="31159" xr:uid="{00000000-0005-0000-0000-00009AE10000}"/>
    <cellStyle name="Porcentaje 3 4 2 2 2" xfId="58292" xr:uid="{00000000-0005-0000-0000-00009BE10000}"/>
    <cellStyle name="Porcentaje 3 4 2 3" xfId="44730" xr:uid="{00000000-0005-0000-0000-00009CE10000}"/>
    <cellStyle name="Porcentaje 3 4 3" xfId="24378" xr:uid="{00000000-0005-0000-0000-00009DE10000}"/>
    <cellStyle name="Porcentaje 3 4 3 2" xfId="51511" xr:uid="{00000000-0005-0000-0000-00009EE10000}"/>
    <cellStyle name="Porcentaje 3 4 4" xfId="37949" xr:uid="{00000000-0005-0000-0000-00009FE10000}"/>
    <cellStyle name="Porcentaje 3 5" xfId="14202" xr:uid="{00000000-0005-0000-0000-0000A0E10000}"/>
    <cellStyle name="Porcentaje 3 5 2" xfId="27770" xr:uid="{00000000-0005-0000-0000-0000A1E10000}"/>
    <cellStyle name="Porcentaje 3 5 2 2" xfId="54903" xr:uid="{00000000-0005-0000-0000-0000A2E10000}"/>
    <cellStyle name="Porcentaje 3 5 3" xfId="41341" xr:uid="{00000000-0005-0000-0000-0000A3E10000}"/>
    <cellStyle name="Porcentaje 3 6" xfId="20989" xr:uid="{00000000-0005-0000-0000-0000A4E10000}"/>
    <cellStyle name="Porcentaje 3 6 2" xfId="48122" xr:uid="{00000000-0005-0000-0000-0000A5E10000}"/>
    <cellStyle name="Porcentaje 3 7" xfId="34560" xr:uid="{00000000-0005-0000-0000-0000A6E10000}"/>
    <cellStyle name="Porcentaje 4" xfId="7304" xr:uid="{00000000-0005-0000-0000-0000A7E10000}"/>
    <cellStyle name="Porcentaje 4 2" xfId="58365" xr:uid="{00000000-0005-0000-0000-0000A8E10000}"/>
    <cellStyle name="Porcentaje 5" xfId="10848" xr:uid="{00000000-0005-0000-0000-0000A9E10000}"/>
    <cellStyle name="Porcentaje 5 2" xfId="7317" xr:uid="{00000000-0005-0000-0000-0000AAE10000}"/>
    <cellStyle name="Porcentual 2" xfId="74" xr:uid="{00000000-0005-0000-0000-0000ABE10000}"/>
    <cellStyle name="Porcentual 2 2" xfId="163" xr:uid="{00000000-0005-0000-0000-0000ACE10000}"/>
    <cellStyle name="Porcentual 2 2 2" xfId="7294" xr:uid="{00000000-0005-0000-0000-0000ADE10000}"/>
    <cellStyle name="Porcentual 2 3" xfId="199" xr:uid="{00000000-0005-0000-0000-0000AEE10000}"/>
    <cellStyle name="Porcentual 3" xfId="75" xr:uid="{00000000-0005-0000-0000-0000AFE10000}"/>
    <cellStyle name="Porcentual 4" xfId="2867" xr:uid="{00000000-0005-0000-0000-0000B0E10000}"/>
    <cellStyle name="Porcentual 4 2" xfId="2868" xr:uid="{00000000-0005-0000-0000-0000B1E10000}"/>
    <cellStyle name="Porcentual 5" xfId="2869" xr:uid="{00000000-0005-0000-0000-0000B2E10000}"/>
    <cellStyle name="Porcentual 6" xfId="7452" xr:uid="{00000000-0005-0000-0000-0000B3E10000}"/>
    <cellStyle name="Porcentual 6 2" xfId="7453" xr:uid="{00000000-0005-0000-0000-0000B4E10000}"/>
    <cellStyle name="Porcentual 6 2 2" xfId="10846" xr:uid="{00000000-0005-0000-0000-0000B5E10000}"/>
    <cellStyle name="Porcentual 6 2 2 2" xfId="17636" xr:uid="{00000000-0005-0000-0000-0000B6E10000}"/>
    <cellStyle name="Porcentual 6 2 2 2 2" xfId="31204" xr:uid="{00000000-0005-0000-0000-0000B7E10000}"/>
    <cellStyle name="Porcentual 6 2 2 2 2 2" xfId="58337" xr:uid="{00000000-0005-0000-0000-0000B8E10000}"/>
    <cellStyle name="Porcentual 6 2 2 2 3" xfId="44775" xr:uid="{00000000-0005-0000-0000-0000B9E10000}"/>
    <cellStyle name="Porcentual 6 2 2 3" xfId="24423" xr:uid="{00000000-0005-0000-0000-0000BAE10000}"/>
    <cellStyle name="Porcentual 6 2 2 3 2" xfId="51556" xr:uid="{00000000-0005-0000-0000-0000BBE10000}"/>
    <cellStyle name="Porcentual 6 2 2 4" xfId="37994" xr:uid="{00000000-0005-0000-0000-0000BCE10000}"/>
    <cellStyle name="Porcentual 6 2 3" xfId="14247" xr:uid="{00000000-0005-0000-0000-0000BDE10000}"/>
    <cellStyle name="Porcentual 6 2 3 2" xfId="27815" xr:uid="{00000000-0005-0000-0000-0000BEE10000}"/>
    <cellStyle name="Porcentual 6 2 3 2 2" xfId="54948" xr:uid="{00000000-0005-0000-0000-0000BFE10000}"/>
    <cellStyle name="Porcentual 6 2 3 3" xfId="41386" xr:uid="{00000000-0005-0000-0000-0000C0E10000}"/>
    <cellStyle name="Porcentual 6 2 4" xfId="21034" xr:uid="{00000000-0005-0000-0000-0000C1E10000}"/>
    <cellStyle name="Porcentual 6 2 4 2" xfId="48167" xr:uid="{00000000-0005-0000-0000-0000C2E10000}"/>
    <cellStyle name="Porcentual 6 2 5" xfId="34605" xr:uid="{00000000-0005-0000-0000-0000C3E10000}"/>
    <cellStyle name="Porcentual 6 3" xfId="10845" xr:uid="{00000000-0005-0000-0000-0000C4E10000}"/>
    <cellStyle name="Porcentual 6 3 2" xfId="17635" xr:uid="{00000000-0005-0000-0000-0000C5E10000}"/>
    <cellStyle name="Porcentual 6 3 2 2" xfId="31203" xr:uid="{00000000-0005-0000-0000-0000C6E10000}"/>
    <cellStyle name="Porcentual 6 3 2 2 2" xfId="58336" xr:uid="{00000000-0005-0000-0000-0000C7E10000}"/>
    <cellStyle name="Porcentual 6 3 2 3" xfId="44774" xr:uid="{00000000-0005-0000-0000-0000C8E10000}"/>
    <cellStyle name="Porcentual 6 3 3" xfId="24422" xr:uid="{00000000-0005-0000-0000-0000C9E10000}"/>
    <cellStyle name="Porcentual 6 3 3 2" xfId="51555" xr:uid="{00000000-0005-0000-0000-0000CAE10000}"/>
    <cellStyle name="Porcentual 6 3 4" xfId="37993" xr:uid="{00000000-0005-0000-0000-0000CBE10000}"/>
    <cellStyle name="Porcentual 6 4" xfId="14246" xr:uid="{00000000-0005-0000-0000-0000CCE10000}"/>
    <cellStyle name="Porcentual 6 4 2" xfId="27814" xr:uid="{00000000-0005-0000-0000-0000CDE10000}"/>
    <cellStyle name="Porcentual 6 4 2 2" xfId="54947" xr:uid="{00000000-0005-0000-0000-0000CEE10000}"/>
    <cellStyle name="Porcentual 6 4 3" xfId="41385" xr:uid="{00000000-0005-0000-0000-0000CFE10000}"/>
    <cellStyle name="Porcentual 6 5" xfId="21033" xr:uid="{00000000-0005-0000-0000-0000D0E10000}"/>
    <cellStyle name="Porcentual 6 5 2" xfId="48166" xr:uid="{00000000-0005-0000-0000-0000D1E10000}"/>
    <cellStyle name="Porcentual 6 6" xfId="34604" xr:uid="{00000000-0005-0000-0000-0000D2E10000}"/>
    <cellStyle name="Punto0" xfId="76" xr:uid="{00000000-0005-0000-0000-0000D3E10000}"/>
    <cellStyle name="Punto0 2" xfId="164" xr:uid="{00000000-0005-0000-0000-0000D4E10000}"/>
    <cellStyle name="Punto0 2 2" xfId="165" xr:uid="{00000000-0005-0000-0000-0000D5E10000}"/>
    <cellStyle name="Punto0 3" xfId="166" xr:uid="{00000000-0005-0000-0000-0000D6E10000}"/>
    <cellStyle name="RM" xfId="7295" xr:uid="{00000000-0005-0000-0000-0000D7E10000}"/>
    <cellStyle name="Salida 10" xfId="2870" xr:uid="{00000000-0005-0000-0000-0000D8E10000}"/>
    <cellStyle name="Salida 11" xfId="2871" xr:uid="{00000000-0005-0000-0000-0000D9E10000}"/>
    <cellStyle name="Salida 12" xfId="2872" xr:uid="{00000000-0005-0000-0000-0000DAE10000}"/>
    <cellStyle name="Salida 13" xfId="2873" xr:uid="{00000000-0005-0000-0000-0000DBE10000}"/>
    <cellStyle name="Salida 14" xfId="2874" xr:uid="{00000000-0005-0000-0000-0000DCE10000}"/>
    <cellStyle name="Salida 15" xfId="2875" xr:uid="{00000000-0005-0000-0000-0000DDE10000}"/>
    <cellStyle name="Salida 16" xfId="2876" xr:uid="{00000000-0005-0000-0000-0000DEE10000}"/>
    <cellStyle name="Salida 17" xfId="2877" xr:uid="{00000000-0005-0000-0000-0000DFE10000}"/>
    <cellStyle name="Salida 18" xfId="2878" xr:uid="{00000000-0005-0000-0000-0000E0E10000}"/>
    <cellStyle name="Salida 19" xfId="2879" xr:uid="{00000000-0005-0000-0000-0000E1E10000}"/>
    <cellStyle name="Salida 2" xfId="167" xr:uid="{00000000-0005-0000-0000-0000E2E10000}"/>
    <cellStyle name="Salida 2 2" xfId="2880" xr:uid="{00000000-0005-0000-0000-0000E3E10000}"/>
    <cellStyle name="Salida 2 3" xfId="2881" xr:uid="{00000000-0005-0000-0000-0000E4E10000}"/>
    <cellStyle name="Salida 2 4" xfId="2882" xr:uid="{00000000-0005-0000-0000-0000E5E10000}"/>
    <cellStyle name="Salida 2 5" xfId="2883" xr:uid="{00000000-0005-0000-0000-0000E6E10000}"/>
    <cellStyle name="Salida 20" xfId="2884" xr:uid="{00000000-0005-0000-0000-0000E7E10000}"/>
    <cellStyle name="Salida 21" xfId="2885" xr:uid="{00000000-0005-0000-0000-0000E8E10000}"/>
    <cellStyle name="Salida 22" xfId="2886" xr:uid="{00000000-0005-0000-0000-0000E9E10000}"/>
    <cellStyle name="Salida 23" xfId="2887" xr:uid="{00000000-0005-0000-0000-0000EAE10000}"/>
    <cellStyle name="Salida 24" xfId="2888" xr:uid="{00000000-0005-0000-0000-0000EBE10000}"/>
    <cellStyle name="Salida 25" xfId="2889" xr:uid="{00000000-0005-0000-0000-0000ECE10000}"/>
    <cellStyle name="Salida 26" xfId="2890" xr:uid="{00000000-0005-0000-0000-0000EDE10000}"/>
    <cellStyle name="Salida 27" xfId="2891" xr:uid="{00000000-0005-0000-0000-0000EEE10000}"/>
    <cellStyle name="Salida 28" xfId="2892" xr:uid="{00000000-0005-0000-0000-0000EFE10000}"/>
    <cellStyle name="Salida 29" xfId="2893" xr:uid="{00000000-0005-0000-0000-0000F0E10000}"/>
    <cellStyle name="Salida 3" xfId="2894" xr:uid="{00000000-0005-0000-0000-0000F1E10000}"/>
    <cellStyle name="Salida 30" xfId="2895" xr:uid="{00000000-0005-0000-0000-0000F2E10000}"/>
    <cellStyle name="Salida 31" xfId="2896" xr:uid="{00000000-0005-0000-0000-0000F3E10000}"/>
    <cellStyle name="Salida 32" xfId="2897" xr:uid="{00000000-0005-0000-0000-0000F4E10000}"/>
    <cellStyle name="Salida 33" xfId="2898" xr:uid="{00000000-0005-0000-0000-0000F5E10000}"/>
    <cellStyle name="Salida 34" xfId="2899" xr:uid="{00000000-0005-0000-0000-0000F6E10000}"/>
    <cellStyle name="Salida 35" xfId="2900" xr:uid="{00000000-0005-0000-0000-0000F7E10000}"/>
    <cellStyle name="Salida 36" xfId="2901" xr:uid="{00000000-0005-0000-0000-0000F8E10000}"/>
    <cellStyle name="Salida 37" xfId="2902" xr:uid="{00000000-0005-0000-0000-0000F9E10000}"/>
    <cellStyle name="Salida 38" xfId="2903" xr:uid="{00000000-0005-0000-0000-0000FAE10000}"/>
    <cellStyle name="Salida 39" xfId="2904" xr:uid="{00000000-0005-0000-0000-0000FBE10000}"/>
    <cellStyle name="Salida 4" xfId="2905" xr:uid="{00000000-0005-0000-0000-0000FCE10000}"/>
    <cellStyle name="Salida 40" xfId="2906" xr:uid="{00000000-0005-0000-0000-0000FDE10000}"/>
    <cellStyle name="Salida 41" xfId="2907" xr:uid="{00000000-0005-0000-0000-0000FEE10000}"/>
    <cellStyle name="Salida 42" xfId="2908" xr:uid="{00000000-0005-0000-0000-0000FFE10000}"/>
    <cellStyle name="Salida 43" xfId="2909" xr:uid="{00000000-0005-0000-0000-000000E20000}"/>
    <cellStyle name="Salida 44" xfId="2910" xr:uid="{00000000-0005-0000-0000-000001E20000}"/>
    <cellStyle name="Salida 45" xfId="2911" xr:uid="{00000000-0005-0000-0000-000002E20000}"/>
    <cellStyle name="Salida 46" xfId="2912" xr:uid="{00000000-0005-0000-0000-000003E20000}"/>
    <cellStyle name="Salida 47" xfId="2913" xr:uid="{00000000-0005-0000-0000-000004E20000}"/>
    <cellStyle name="Salida 48" xfId="2914" xr:uid="{00000000-0005-0000-0000-000005E20000}"/>
    <cellStyle name="Salida 49" xfId="2915" xr:uid="{00000000-0005-0000-0000-000006E20000}"/>
    <cellStyle name="Salida 5" xfId="2916" xr:uid="{00000000-0005-0000-0000-000007E20000}"/>
    <cellStyle name="Salida 50" xfId="2917" xr:uid="{00000000-0005-0000-0000-000008E20000}"/>
    <cellStyle name="Salida 51" xfId="2918" xr:uid="{00000000-0005-0000-0000-000009E20000}"/>
    <cellStyle name="Salida 52" xfId="2919" xr:uid="{00000000-0005-0000-0000-00000AE20000}"/>
    <cellStyle name="Salida 53" xfId="2920" xr:uid="{00000000-0005-0000-0000-00000BE20000}"/>
    <cellStyle name="Salida 54" xfId="2921" xr:uid="{00000000-0005-0000-0000-00000CE20000}"/>
    <cellStyle name="Salida 55" xfId="2922" xr:uid="{00000000-0005-0000-0000-00000DE20000}"/>
    <cellStyle name="Salida 56" xfId="2923" xr:uid="{00000000-0005-0000-0000-00000EE20000}"/>
    <cellStyle name="Salida 57" xfId="2924" xr:uid="{00000000-0005-0000-0000-00000FE20000}"/>
    <cellStyle name="Salida 58" xfId="2925" xr:uid="{00000000-0005-0000-0000-000010E20000}"/>
    <cellStyle name="Salida 59" xfId="2926" xr:uid="{00000000-0005-0000-0000-000011E20000}"/>
    <cellStyle name="Salida 6" xfId="2927" xr:uid="{00000000-0005-0000-0000-000012E20000}"/>
    <cellStyle name="Salida 60" xfId="2928" xr:uid="{00000000-0005-0000-0000-000013E20000}"/>
    <cellStyle name="Salida 61" xfId="2929" xr:uid="{00000000-0005-0000-0000-000014E20000}"/>
    <cellStyle name="Salida 62" xfId="2930" xr:uid="{00000000-0005-0000-0000-000015E20000}"/>
    <cellStyle name="Salida 63" xfId="2931" xr:uid="{00000000-0005-0000-0000-000016E20000}"/>
    <cellStyle name="Salida 64" xfId="2932" xr:uid="{00000000-0005-0000-0000-000017E20000}"/>
    <cellStyle name="Salida 65" xfId="2933" xr:uid="{00000000-0005-0000-0000-000018E20000}"/>
    <cellStyle name="Salida 66" xfId="2934" xr:uid="{00000000-0005-0000-0000-000019E20000}"/>
    <cellStyle name="Salida 67" xfId="2935" xr:uid="{00000000-0005-0000-0000-00001AE20000}"/>
    <cellStyle name="Salida 7" xfId="2936" xr:uid="{00000000-0005-0000-0000-00001BE20000}"/>
    <cellStyle name="Salida 8" xfId="2937" xr:uid="{00000000-0005-0000-0000-00001CE20000}"/>
    <cellStyle name="Salida 9" xfId="2938" xr:uid="{00000000-0005-0000-0000-00001DE20000}"/>
    <cellStyle name="Style 1" xfId="185" xr:uid="{00000000-0005-0000-0000-00001EE20000}"/>
    <cellStyle name="Texto de advertencia 10" xfId="2939" xr:uid="{00000000-0005-0000-0000-00001FE20000}"/>
    <cellStyle name="Texto de advertencia 11" xfId="2940" xr:uid="{00000000-0005-0000-0000-000020E20000}"/>
    <cellStyle name="Texto de advertencia 12" xfId="2941" xr:uid="{00000000-0005-0000-0000-000021E20000}"/>
    <cellStyle name="Texto de advertencia 13" xfId="2942" xr:uid="{00000000-0005-0000-0000-000022E20000}"/>
    <cellStyle name="Texto de advertencia 14" xfId="2943" xr:uid="{00000000-0005-0000-0000-000023E20000}"/>
    <cellStyle name="Texto de advertencia 15" xfId="2944" xr:uid="{00000000-0005-0000-0000-000024E20000}"/>
    <cellStyle name="Texto de advertencia 16" xfId="2945" xr:uid="{00000000-0005-0000-0000-000025E20000}"/>
    <cellStyle name="Texto de advertencia 17" xfId="2946" xr:uid="{00000000-0005-0000-0000-000026E20000}"/>
    <cellStyle name="Texto de advertencia 18" xfId="2947" xr:uid="{00000000-0005-0000-0000-000027E20000}"/>
    <cellStyle name="Texto de advertencia 19" xfId="2948" xr:uid="{00000000-0005-0000-0000-000028E20000}"/>
    <cellStyle name="Texto de advertencia 2" xfId="168" xr:uid="{00000000-0005-0000-0000-000029E20000}"/>
    <cellStyle name="Texto de advertencia 2 2" xfId="2949" xr:uid="{00000000-0005-0000-0000-00002AE20000}"/>
    <cellStyle name="Texto de advertencia 2 3" xfId="2950" xr:uid="{00000000-0005-0000-0000-00002BE20000}"/>
    <cellStyle name="Texto de advertencia 2 4" xfId="2951" xr:uid="{00000000-0005-0000-0000-00002CE20000}"/>
    <cellStyle name="Texto de advertencia 2 5" xfId="2952" xr:uid="{00000000-0005-0000-0000-00002DE20000}"/>
    <cellStyle name="Texto de advertencia 20" xfId="2953" xr:uid="{00000000-0005-0000-0000-00002EE20000}"/>
    <cellStyle name="Texto de advertencia 21" xfId="2954" xr:uid="{00000000-0005-0000-0000-00002FE20000}"/>
    <cellStyle name="Texto de advertencia 22" xfId="2955" xr:uid="{00000000-0005-0000-0000-000030E20000}"/>
    <cellStyle name="Texto de advertencia 23" xfId="2956" xr:uid="{00000000-0005-0000-0000-000031E20000}"/>
    <cellStyle name="Texto de advertencia 24" xfId="2957" xr:uid="{00000000-0005-0000-0000-000032E20000}"/>
    <cellStyle name="Texto de advertencia 25" xfId="2958" xr:uid="{00000000-0005-0000-0000-000033E20000}"/>
    <cellStyle name="Texto de advertencia 26" xfId="2959" xr:uid="{00000000-0005-0000-0000-000034E20000}"/>
    <cellStyle name="Texto de advertencia 27" xfId="2960" xr:uid="{00000000-0005-0000-0000-000035E20000}"/>
    <cellStyle name="Texto de advertencia 28" xfId="2961" xr:uid="{00000000-0005-0000-0000-000036E20000}"/>
    <cellStyle name="Texto de advertencia 29" xfId="2962" xr:uid="{00000000-0005-0000-0000-000037E20000}"/>
    <cellStyle name="Texto de advertencia 3" xfId="2963" xr:uid="{00000000-0005-0000-0000-000038E20000}"/>
    <cellStyle name="Texto de advertencia 30" xfId="2964" xr:uid="{00000000-0005-0000-0000-000039E20000}"/>
    <cellStyle name="Texto de advertencia 31" xfId="2965" xr:uid="{00000000-0005-0000-0000-00003AE20000}"/>
    <cellStyle name="Texto de advertencia 32" xfId="2966" xr:uid="{00000000-0005-0000-0000-00003BE20000}"/>
    <cellStyle name="Texto de advertencia 33" xfId="2967" xr:uid="{00000000-0005-0000-0000-00003CE20000}"/>
    <cellStyle name="Texto de advertencia 34" xfId="2968" xr:uid="{00000000-0005-0000-0000-00003DE20000}"/>
    <cellStyle name="Texto de advertencia 35" xfId="2969" xr:uid="{00000000-0005-0000-0000-00003EE20000}"/>
    <cellStyle name="Texto de advertencia 36" xfId="2970" xr:uid="{00000000-0005-0000-0000-00003FE20000}"/>
    <cellStyle name="Texto de advertencia 37" xfId="2971" xr:uid="{00000000-0005-0000-0000-000040E20000}"/>
    <cellStyle name="Texto de advertencia 38" xfId="2972" xr:uid="{00000000-0005-0000-0000-000041E20000}"/>
    <cellStyle name="Texto de advertencia 39" xfId="2973" xr:uid="{00000000-0005-0000-0000-000042E20000}"/>
    <cellStyle name="Texto de advertencia 4" xfId="2974" xr:uid="{00000000-0005-0000-0000-000043E20000}"/>
    <cellStyle name="Texto de advertencia 40" xfId="2975" xr:uid="{00000000-0005-0000-0000-000044E20000}"/>
    <cellStyle name="Texto de advertencia 41" xfId="2976" xr:uid="{00000000-0005-0000-0000-000045E20000}"/>
    <cellStyle name="Texto de advertencia 42" xfId="2977" xr:uid="{00000000-0005-0000-0000-000046E20000}"/>
    <cellStyle name="Texto de advertencia 43" xfId="2978" xr:uid="{00000000-0005-0000-0000-000047E20000}"/>
    <cellStyle name="Texto de advertencia 44" xfId="2979" xr:uid="{00000000-0005-0000-0000-000048E20000}"/>
    <cellStyle name="Texto de advertencia 45" xfId="2980" xr:uid="{00000000-0005-0000-0000-000049E20000}"/>
    <cellStyle name="Texto de advertencia 46" xfId="2981" xr:uid="{00000000-0005-0000-0000-00004AE20000}"/>
    <cellStyle name="Texto de advertencia 47" xfId="2982" xr:uid="{00000000-0005-0000-0000-00004BE20000}"/>
    <cellStyle name="Texto de advertencia 48" xfId="2983" xr:uid="{00000000-0005-0000-0000-00004CE20000}"/>
    <cellStyle name="Texto de advertencia 49" xfId="2984" xr:uid="{00000000-0005-0000-0000-00004DE20000}"/>
    <cellStyle name="Texto de advertencia 5" xfId="2985" xr:uid="{00000000-0005-0000-0000-00004EE20000}"/>
    <cellStyle name="Texto de advertencia 50" xfId="2986" xr:uid="{00000000-0005-0000-0000-00004FE20000}"/>
    <cellStyle name="Texto de advertencia 51" xfId="2987" xr:uid="{00000000-0005-0000-0000-000050E20000}"/>
    <cellStyle name="Texto de advertencia 52" xfId="2988" xr:uid="{00000000-0005-0000-0000-000051E20000}"/>
    <cellStyle name="Texto de advertencia 53" xfId="2989" xr:uid="{00000000-0005-0000-0000-000052E20000}"/>
    <cellStyle name="Texto de advertencia 54" xfId="2990" xr:uid="{00000000-0005-0000-0000-000053E20000}"/>
    <cellStyle name="Texto de advertencia 55" xfId="2991" xr:uid="{00000000-0005-0000-0000-000054E20000}"/>
    <cellStyle name="Texto de advertencia 56" xfId="2992" xr:uid="{00000000-0005-0000-0000-000055E20000}"/>
    <cellStyle name="Texto de advertencia 57" xfId="2993" xr:uid="{00000000-0005-0000-0000-000056E20000}"/>
    <cellStyle name="Texto de advertencia 58" xfId="2994" xr:uid="{00000000-0005-0000-0000-000057E20000}"/>
    <cellStyle name="Texto de advertencia 59" xfId="2995" xr:uid="{00000000-0005-0000-0000-000058E20000}"/>
    <cellStyle name="Texto de advertencia 6" xfId="2996" xr:uid="{00000000-0005-0000-0000-000059E20000}"/>
    <cellStyle name="Texto de advertencia 60" xfId="2997" xr:uid="{00000000-0005-0000-0000-00005AE20000}"/>
    <cellStyle name="Texto de advertencia 61" xfId="2998" xr:uid="{00000000-0005-0000-0000-00005BE20000}"/>
    <cellStyle name="Texto de advertencia 62" xfId="2999" xr:uid="{00000000-0005-0000-0000-00005CE20000}"/>
    <cellStyle name="Texto de advertencia 63" xfId="3000" xr:uid="{00000000-0005-0000-0000-00005DE20000}"/>
    <cellStyle name="Texto de advertencia 64" xfId="3001" xr:uid="{00000000-0005-0000-0000-00005EE20000}"/>
    <cellStyle name="Texto de advertencia 65" xfId="3002" xr:uid="{00000000-0005-0000-0000-00005FE20000}"/>
    <cellStyle name="Texto de advertencia 66" xfId="3003" xr:uid="{00000000-0005-0000-0000-000060E20000}"/>
    <cellStyle name="Texto de advertencia 67" xfId="3004" xr:uid="{00000000-0005-0000-0000-000061E20000}"/>
    <cellStyle name="Texto de advertencia 7" xfId="3005" xr:uid="{00000000-0005-0000-0000-000062E20000}"/>
    <cellStyle name="Texto de advertencia 8" xfId="3006" xr:uid="{00000000-0005-0000-0000-000063E20000}"/>
    <cellStyle name="Texto de advertencia 9" xfId="3007" xr:uid="{00000000-0005-0000-0000-000064E20000}"/>
    <cellStyle name="Texto explicativo 10" xfId="3008" xr:uid="{00000000-0005-0000-0000-000065E20000}"/>
    <cellStyle name="Texto explicativo 11" xfId="3009" xr:uid="{00000000-0005-0000-0000-000066E20000}"/>
    <cellStyle name="Texto explicativo 12" xfId="3010" xr:uid="{00000000-0005-0000-0000-000067E20000}"/>
    <cellStyle name="Texto explicativo 13" xfId="3011" xr:uid="{00000000-0005-0000-0000-000068E20000}"/>
    <cellStyle name="Texto explicativo 14" xfId="3012" xr:uid="{00000000-0005-0000-0000-000069E20000}"/>
    <cellStyle name="Texto explicativo 15" xfId="3013" xr:uid="{00000000-0005-0000-0000-00006AE20000}"/>
    <cellStyle name="Texto explicativo 16" xfId="3014" xr:uid="{00000000-0005-0000-0000-00006BE20000}"/>
    <cellStyle name="Texto explicativo 17" xfId="3015" xr:uid="{00000000-0005-0000-0000-00006CE20000}"/>
    <cellStyle name="Texto explicativo 18" xfId="3016" xr:uid="{00000000-0005-0000-0000-00006DE20000}"/>
    <cellStyle name="Texto explicativo 19" xfId="3017" xr:uid="{00000000-0005-0000-0000-00006EE20000}"/>
    <cellStyle name="Texto explicativo 2" xfId="169" xr:uid="{00000000-0005-0000-0000-00006FE20000}"/>
    <cellStyle name="Texto explicativo 2 2" xfId="3018" xr:uid="{00000000-0005-0000-0000-000070E20000}"/>
    <cellStyle name="Texto explicativo 2 3" xfId="3019" xr:uid="{00000000-0005-0000-0000-000071E20000}"/>
    <cellStyle name="Texto explicativo 2 4" xfId="3020" xr:uid="{00000000-0005-0000-0000-000072E20000}"/>
    <cellStyle name="Texto explicativo 2 5" xfId="3021" xr:uid="{00000000-0005-0000-0000-000073E20000}"/>
    <cellStyle name="Texto explicativo 20" xfId="3022" xr:uid="{00000000-0005-0000-0000-000074E20000}"/>
    <cellStyle name="Texto explicativo 21" xfId="3023" xr:uid="{00000000-0005-0000-0000-000075E20000}"/>
    <cellStyle name="Texto explicativo 22" xfId="3024" xr:uid="{00000000-0005-0000-0000-000076E20000}"/>
    <cellStyle name="Texto explicativo 23" xfId="3025" xr:uid="{00000000-0005-0000-0000-000077E20000}"/>
    <cellStyle name="Texto explicativo 24" xfId="3026" xr:uid="{00000000-0005-0000-0000-000078E20000}"/>
    <cellStyle name="Texto explicativo 25" xfId="3027" xr:uid="{00000000-0005-0000-0000-000079E20000}"/>
    <cellStyle name="Texto explicativo 26" xfId="3028" xr:uid="{00000000-0005-0000-0000-00007AE20000}"/>
    <cellStyle name="Texto explicativo 27" xfId="3029" xr:uid="{00000000-0005-0000-0000-00007BE20000}"/>
    <cellStyle name="Texto explicativo 28" xfId="3030" xr:uid="{00000000-0005-0000-0000-00007CE20000}"/>
    <cellStyle name="Texto explicativo 29" xfId="3031" xr:uid="{00000000-0005-0000-0000-00007DE20000}"/>
    <cellStyle name="Texto explicativo 3" xfId="3032" xr:uid="{00000000-0005-0000-0000-00007EE20000}"/>
    <cellStyle name="Texto explicativo 30" xfId="3033" xr:uid="{00000000-0005-0000-0000-00007FE20000}"/>
    <cellStyle name="Texto explicativo 31" xfId="3034" xr:uid="{00000000-0005-0000-0000-000080E20000}"/>
    <cellStyle name="Texto explicativo 32" xfId="3035" xr:uid="{00000000-0005-0000-0000-000081E20000}"/>
    <cellStyle name="Texto explicativo 33" xfId="3036" xr:uid="{00000000-0005-0000-0000-000082E20000}"/>
    <cellStyle name="Texto explicativo 34" xfId="3037" xr:uid="{00000000-0005-0000-0000-000083E20000}"/>
    <cellStyle name="Texto explicativo 35" xfId="3038" xr:uid="{00000000-0005-0000-0000-000084E20000}"/>
    <cellStyle name="Texto explicativo 36" xfId="3039" xr:uid="{00000000-0005-0000-0000-000085E20000}"/>
    <cellStyle name="Texto explicativo 37" xfId="3040" xr:uid="{00000000-0005-0000-0000-000086E20000}"/>
    <cellStyle name="Texto explicativo 38" xfId="3041" xr:uid="{00000000-0005-0000-0000-000087E20000}"/>
    <cellStyle name="Texto explicativo 39" xfId="3042" xr:uid="{00000000-0005-0000-0000-000088E20000}"/>
    <cellStyle name="Texto explicativo 4" xfId="3043" xr:uid="{00000000-0005-0000-0000-000089E20000}"/>
    <cellStyle name="Texto explicativo 40" xfId="3044" xr:uid="{00000000-0005-0000-0000-00008AE20000}"/>
    <cellStyle name="Texto explicativo 41" xfId="3045" xr:uid="{00000000-0005-0000-0000-00008BE20000}"/>
    <cellStyle name="Texto explicativo 42" xfId="3046" xr:uid="{00000000-0005-0000-0000-00008CE20000}"/>
    <cellStyle name="Texto explicativo 43" xfId="3047" xr:uid="{00000000-0005-0000-0000-00008DE20000}"/>
    <cellStyle name="Texto explicativo 44" xfId="3048" xr:uid="{00000000-0005-0000-0000-00008EE20000}"/>
    <cellStyle name="Texto explicativo 45" xfId="3049" xr:uid="{00000000-0005-0000-0000-00008FE20000}"/>
    <cellStyle name="Texto explicativo 46" xfId="3050" xr:uid="{00000000-0005-0000-0000-000090E20000}"/>
    <cellStyle name="Texto explicativo 47" xfId="3051" xr:uid="{00000000-0005-0000-0000-000091E20000}"/>
    <cellStyle name="Texto explicativo 48" xfId="3052" xr:uid="{00000000-0005-0000-0000-000092E20000}"/>
    <cellStyle name="Texto explicativo 49" xfId="3053" xr:uid="{00000000-0005-0000-0000-000093E20000}"/>
    <cellStyle name="Texto explicativo 5" xfId="3054" xr:uid="{00000000-0005-0000-0000-000094E20000}"/>
    <cellStyle name="Texto explicativo 50" xfId="3055" xr:uid="{00000000-0005-0000-0000-000095E20000}"/>
    <cellStyle name="Texto explicativo 51" xfId="3056" xr:uid="{00000000-0005-0000-0000-000096E20000}"/>
    <cellStyle name="Texto explicativo 52" xfId="3057" xr:uid="{00000000-0005-0000-0000-000097E20000}"/>
    <cellStyle name="Texto explicativo 53" xfId="3058" xr:uid="{00000000-0005-0000-0000-000098E20000}"/>
    <cellStyle name="Texto explicativo 54" xfId="3059" xr:uid="{00000000-0005-0000-0000-000099E20000}"/>
    <cellStyle name="Texto explicativo 55" xfId="3060" xr:uid="{00000000-0005-0000-0000-00009AE20000}"/>
    <cellStyle name="Texto explicativo 56" xfId="3061" xr:uid="{00000000-0005-0000-0000-00009BE20000}"/>
    <cellStyle name="Texto explicativo 57" xfId="3062" xr:uid="{00000000-0005-0000-0000-00009CE20000}"/>
    <cellStyle name="Texto explicativo 58" xfId="3063" xr:uid="{00000000-0005-0000-0000-00009DE20000}"/>
    <cellStyle name="Texto explicativo 59" xfId="3064" xr:uid="{00000000-0005-0000-0000-00009EE20000}"/>
    <cellStyle name="Texto explicativo 6" xfId="3065" xr:uid="{00000000-0005-0000-0000-00009FE20000}"/>
    <cellStyle name="Texto explicativo 60" xfId="3066" xr:uid="{00000000-0005-0000-0000-0000A0E20000}"/>
    <cellStyle name="Texto explicativo 61" xfId="3067" xr:uid="{00000000-0005-0000-0000-0000A1E20000}"/>
    <cellStyle name="Texto explicativo 62" xfId="3068" xr:uid="{00000000-0005-0000-0000-0000A2E20000}"/>
    <cellStyle name="Texto explicativo 63" xfId="3069" xr:uid="{00000000-0005-0000-0000-0000A3E20000}"/>
    <cellStyle name="Texto explicativo 64" xfId="3070" xr:uid="{00000000-0005-0000-0000-0000A4E20000}"/>
    <cellStyle name="Texto explicativo 65" xfId="3071" xr:uid="{00000000-0005-0000-0000-0000A5E20000}"/>
    <cellStyle name="Texto explicativo 66" xfId="3072" xr:uid="{00000000-0005-0000-0000-0000A6E20000}"/>
    <cellStyle name="Texto explicativo 67" xfId="3073" xr:uid="{00000000-0005-0000-0000-0000A7E20000}"/>
    <cellStyle name="Texto explicativo 7" xfId="3074" xr:uid="{00000000-0005-0000-0000-0000A8E20000}"/>
    <cellStyle name="Texto explicativo 8" xfId="3075" xr:uid="{00000000-0005-0000-0000-0000A9E20000}"/>
    <cellStyle name="Texto explicativo 9" xfId="3076" xr:uid="{00000000-0005-0000-0000-0000AAE20000}"/>
    <cellStyle name="Title" xfId="7296" xr:uid="{00000000-0005-0000-0000-0000ABE20000}"/>
    <cellStyle name="Título 1 10" xfId="3077" xr:uid="{00000000-0005-0000-0000-0000ACE20000}"/>
    <cellStyle name="Título 1 11" xfId="3078" xr:uid="{00000000-0005-0000-0000-0000ADE20000}"/>
    <cellStyle name="Título 1 12" xfId="3079" xr:uid="{00000000-0005-0000-0000-0000AEE20000}"/>
    <cellStyle name="Título 1 13" xfId="3080" xr:uid="{00000000-0005-0000-0000-0000AFE20000}"/>
    <cellStyle name="Título 1 14" xfId="3081" xr:uid="{00000000-0005-0000-0000-0000B0E20000}"/>
    <cellStyle name="Título 1 15" xfId="3082" xr:uid="{00000000-0005-0000-0000-0000B1E20000}"/>
    <cellStyle name="Título 1 16" xfId="3083" xr:uid="{00000000-0005-0000-0000-0000B2E20000}"/>
    <cellStyle name="Título 1 17" xfId="3084" xr:uid="{00000000-0005-0000-0000-0000B3E20000}"/>
    <cellStyle name="Título 1 18" xfId="3085" xr:uid="{00000000-0005-0000-0000-0000B4E20000}"/>
    <cellStyle name="Título 1 19" xfId="3086" xr:uid="{00000000-0005-0000-0000-0000B5E20000}"/>
    <cellStyle name="Título 1 2" xfId="170" xr:uid="{00000000-0005-0000-0000-0000B6E20000}"/>
    <cellStyle name="Título 1 2 2" xfId="3087" xr:uid="{00000000-0005-0000-0000-0000B7E20000}"/>
    <cellStyle name="Título 1 2 3" xfId="3088" xr:uid="{00000000-0005-0000-0000-0000B8E20000}"/>
    <cellStyle name="Título 1 2 4" xfId="3089" xr:uid="{00000000-0005-0000-0000-0000B9E20000}"/>
    <cellStyle name="Título 1 2 5" xfId="3090" xr:uid="{00000000-0005-0000-0000-0000BAE20000}"/>
    <cellStyle name="Título 1 20" xfId="3091" xr:uid="{00000000-0005-0000-0000-0000BBE20000}"/>
    <cellStyle name="Título 1 21" xfId="3092" xr:uid="{00000000-0005-0000-0000-0000BCE20000}"/>
    <cellStyle name="Título 1 22" xfId="3093" xr:uid="{00000000-0005-0000-0000-0000BDE20000}"/>
    <cellStyle name="Título 1 23" xfId="3094" xr:uid="{00000000-0005-0000-0000-0000BEE20000}"/>
    <cellStyle name="Título 1 24" xfId="3095" xr:uid="{00000000-0005-0000-0000-0000BFE20000}"/>
    <cellStyle name="Título 1 25" xfId="3096" xr:uid="{00000000-0005-0000-0000-0000C0E20000}"/>
    <cellStyle name="Título 1 26" xfId="3097" xr:uid="{00000000-0005-0000-0000-0000C1E20000}"/>
    <cellStyle name="Título 1 27" xfId="3098" xr:uid="{00000000-0005-0000-0000-0000C2E20000}"/>
    <cellStyle name="Título 1 28" xfId="3099" xr:uid="{00000000-0005-0000-0000-0000C3E20000}"/>
    <cellStyle name="Título 1 29" xfId="3100" xr:uid="{00000000-0005-0000-0000-0000C4E20000}"/>
    <cellStyle name="Título 1 3" xfId="3101" xr:uid="{00000000-0005-0000-0000-0000C5E20000}"/>
    <cellStyle name="Título 1 30" xfId="3102" xr:uid="{00000000-0005-0000-0000-0000C6E20000}"/>
    <cellStyle name="Título 1 31" xfId="3103" xr:uid="{00000000-0005-0000-0000-0000C7E20000}"/>
    <cellStyle name="Título 1 32" xfId="3104" xr:uid="{00000000-0005-0000-0000-0000C8E20000}"/>
    <cellStyle name="Título 1 33" xfId="3105" xr:uid="{00000000-0005-0000-0000-0000C9E20000}"/>
    <cellStyle name="Título 1 34" xfId="3106" xr:uid="{00000000-0005-0000-0000-0000CAE20000}"/>
    <cellStyle name="Título 1 35" xfId="3107" xr:uid="{00000000-0005-0000-0000-0000CBE20000}"/>
    <cellStyle name="Título 1 36" xfId="3108" xr:uid="{00000000-0005-0000-0000-0000CCE20000}"/>
    <cellStyle name="Título 1 37" xfId="3109" xr:uid="{00000000-0005-0000-0000-0000CDE20000}"/>
    <cellStyle name="Título 1 38" xfId="3110" xr:uid="{00000000-0005-0000-0000-0000CEE20000}"/>
    <cellStyle name="Título 1 39" xfId="3111" xr:uid="{00000000-0005-0000-0000-0000CFE20000}"/>
    <cellStyle name="Título 1 4" xfId="3112" xr:uid="{00000000-0005-0000-0000-0000D0E20000}"/>
    <cellStyle name="Título 1 40" xfId="3113" xr:uid="{00000000-0005-0000-0000-0000D1E20000}"/>
    <cellStyle name="Título 1 41" xfId="3114" xr:uid="{00000000-0005-0000-0000-0000D2E20000}"/>
    <cellStyle name="Título 1 42" xfId="3115" xr:uid="{00000000-0005-0000-0000-0000D3E20000}"/>
    <cellStyle name="Título 1 43" xfId="3116" xr:uid="{00000000-0005-0000-0000-0000D4E20000}"/>
    <cellStyle name="Título 1 44" xfId="3117" xr:uid="{00000000-0005-0000-0000-0000D5E20000}"/>
    <cellStyle name="Título 1 45" xfId="3118" xr:uid="{00000000-0005-0000-0000-0000D6E20000}"/>
    <cellStyle name="Título 1 46" xfId="3119" xr:uid="{00000000-0005-0000-0000-0000D7E20000}"/>
    <cellStyle name="Título 1 47" xfId="3120" xr:uid="{00000000-0005-0000-0000-0000D8E20000}"/>
    <cellStyle name="Título 1 48" xfId="3121" xr:uid="{00000000-0005-0000-0000-0000D9E20000}"/>
    <cellStyle name="Título 1 49" xfId="3122" xr:uid="{00000000-0005-0000-0000-0000DAE20000}"/>
    <cellStyle name="Título 1 5" xfId="3123" xr:uid="{00000000-0005-0000-0000-0000DBE20000}"/>
    <cellStyle name="Título 1 50" xfId="3124" xr:uid="{00000000-0005-0000-0000-0000DCE20000}"/>
    <cellStyle name="Título 1 51" xfId="3125" xr:uid="{00000000-0005-0000-0000-0000DDE20000}"/>
    <cellStyle name="Título 1 52" xfId="3126" xr:uid="{00000000-0005-0000-0000-0000DEE20000}"/>
    <cellStyle name="Título 1 53" xfId="3127" xr:uid="{00000000-0005-0000-0000-0000DFE20000}"/>
    <cellStyle name="Título 1 54" xfId="3128" xr:uid="{00000000-0005-0000-0000-0000E0E20000}"/>
    <cellStyle name="Título 1 55" xfId="3129" xr:uid="{00000000-0005-0000-0000-0000E1E20000}"/>
    <cellStyle name="Título 1 56" xfId="3130" xr:uid="{00000000-0005-0000-0000-0000E2E20000}"/>
    <cellStyle name="Título 1 57" xfId="3131" xr:uid="{00000000-0005-0000-0000-0000E3E20000}"/>
    <cellStyle name="Título 1 58" xfId="3132" xr:uid="{00000000-0005-0000-0000-0000E4E20000}"/>
    <cellStyle name="Título 1 59" xfId="3133" xr:uid="{00000000-0005-0000-0000-0000E5E20000}"/>
    <cellStyle name="Título 1 6" xfId="3134" xr:uid="{00000000-0005-0000-0000-0000E6E20000}"/>
    <cellStyle name="Título 1 60" xfId="3135" xr:uid="{00000000-0005-0000-0000-0000E7E20000}"/>
    <cellStyle name="Título 1 61" xfId="3136" xr:uid="{00000000-0005-0000-0000-0000E8E20000}"/>
    <cellStyle name="Título 1 62" xfId="3137" xr:uid="{00000000-0005-0000-0000-0000E9E20000}"/>
    <cellStyle name="Título 1 63" xfId="3138" xr:uid="{00000000-0005-0000-0000-0000EAE20000}"/>
    <cellStyle name="Título 1 64" xfId="3139" xr:uid="{00000000-0005-0000-0000-0000EBE20000}"/>
    <cellStyle name="Título 1 65" xfId="3140" xr:uid="{00000000-0005-0000-0000-0000ECE20000}"/>
    <cellStyle name="Título 1 66" xfId="3141" xr:uid="{00000000-0005-0000-0000-0000EDE20000}"/>
    <cellStyle name="Título 1 67" xfId="3142" xr:uid="{00000000-0005-0000-0000-0000EEE20000}"/>
    <cellStyle name="Título 1 7" xfId="3143" xr:uid="{00000000-0005-0000-0000-0000EFE20000}"/>
    <cellStyle name="Título 1 8" xfId="3144" xr:uid="{00000000-0005-0000-0000-0000F0E20000}"/>
    <cellStyle name="Título 1 9" xfId="3145" xr:uid="{00000000-0005-0000-0000-0000F1E20000}"/>
    <cellStyle name="Título 10" xfId="3146" xr:uid="{00000000-0005-0000-0000-0000F2E20000}"/>
    <cellStyle name="Título 11" xfId="3147" xr:uid="{00000000-0005-0000-0000-0000F3E20000}"/>
    <cellStyle name="Título 12" xfId="3148" xr:uid="{00000000-0005-0000-0000-0000F4E20000}"/>
    <cellStyle name="Título 13" xfId="3149" xr:uid="{00000000-0005-0000-0000-0000F5E20000}"/>
    <cellStyle name="Título 14" xfId="3150" xr:uid="{00000000-0005-0000-0000-0000F6E20000}"/>
    <cellStyle name="Título 15" xfId="3151" xr:uid="{00000000-0005-0000-0000-0000F7E20000}"/>
    <cellStyle name="Título 16" xfId="3152" xr:uid="{00000000-0005-0000-0000-0000F8E20000}"/>
    <cellStyle name="Título 17" xfId="3153" xr:uid="{00000000-0005-0000-0000-0000F9E20000}"/>
    <cellStyle name="Título 18" xfId="3154" xr:uid="{00000000-0005-0000-0000-0000FAE20000}"/>
    <cellStyle name="Título 19" xfId="3155" xr:uid="{00000000-0005-0000-0000-0000FBE20000}"/>
    <cellStyle name="Título 2 10" xfId="3156" xr:uid="{00000000-0005-0000-0000-0000FCE20000}"/>
    <cellStyle name="Título 2 11" xfId="3157" xr:uid="{00000000-0005-0000-0000-0000FDE20000}"/>
    <cellStyle name="Título 2 12" xfId="3158" xr:uid="{00000000-0005-0000-0000-0000FEE20000}"/>
    <cellStyle name="Título 2 13" xfId="3159" xr:uid="{00000000-0005-0000-0000-0000FFE20000}"/>
    <cellStyle name="Título 2 14" xfId="3160" xr:uid="{00000000-0005-0000-0000-000000E30000}"/>
    <cellStyle name="Título 2 15" xfId="3161" xr:uid="{00000000-0005-0000-0000-000001E30000}"/>
    <cellStyle name="Título 2 16" xfId="3162" xr:uid="{00000000-0005-0000-0000-000002E30000}"/>
    <cellStyle name="Título 2 17" xfId="3163" xr:uid="{00000000-0005-0000-0000-000003E30000}"/>
    <cellStyle name="Título 2 18" xfId="3164" xr:uid="{00000000-0005-0000-0000-000004E30000}"/>
    <cellStyle name="Título 2 19" xfId="3165" xr:uid="{00000000-0005-0000-0000-000005E30000}"/>
    <cellStyle name="Título 2 2" xfId="171" xr:uid="{00000000-0005-0000-0000-000006E30000}"/>
    <cellStyle name="Título 2 2 2" xfId="3166" xr:uid="{00000000-0005-0000-0000-000007E30000}"/>
    <cellStyle name="Título 2 2 3" xfId="3167" xr:uid="{00000000-0005-0000-0000-000008E30000}"/>
    <cellStyle name="Título 2 2 4" xfId="3168" xr:uid="{00000000-0005-0000-0000-000009E30000}"/>
    <cellStyle name="Título 2 2 5" xfId="3169" xr:uid="{00000000-0005-0000-0000-00000AE30000}"/>
    <cellStyle name="Título 2 20" xfId="3170" xr:uid="{00000000-0005-0000-0000-00000BE30000}"/>
    <cellStyle name="Título 2 21" xfId="3171" xr:uid="{00000000-0005-0000-0000-00000CE30000}"/>
    <cellStyle name="Título 2 22" xfId="3172" xr:uid="{00000000-0005-0000-0000-00000DE30000}"/>
    <cellStyle name="Título 2 23" xfId="3173" xr:uid="{00000000-0005-0000-0000-00000EE30000}"/>
    <cellStyle name="Título 2 24" xfId="3174" xr:uid="{00000000-0005-0000-0000-00000FE30000}"/>
    <cellStyle name="Título 2 25" xfId="3175" xr:uid="{00000000-0005-0000-0000-000010E30000}"/>
    <cellStyle name="Título 2 26" xfId="3176" xr:uid="{00000000-0005-0000-0000-000011E30000}"/>
    <cellStyle name="Título 2 27" xfId="3177" xr:uid="{00000000-0005-0000-0000-000012E30000}"/>
    <cellStyle name="Título 2 28" xfId="3178" xr:uid="{00000000-0005-0000-0000-000013E30000}"/>
    <cellStyle name="Título 2 29" xfId="3179" xr:uid="{00000000-0005-0000-0000-000014E30000}"/>
    <cellStyle name="Título 2 3" xfId="3180" xr:uid="{00000000-0005-0000-0000-000015E30000}"/>
    <cellStyle name="Título 2 30" xfId="3181" xr:uid="{00000000-0005-0000-0000-000016E30000}"/>
    <cellStyle name="Título 2 31" xfId="3182" xr:uid="{00000000-0005-0000-0000-000017E30000}"/>
    <cellStyle name="Título 2 32" xfId="3183" xr:uid="{00000000-0005-0000-0000-000018E30000}"/>
    <cellStyle name="Título 2 33" xfId="3184" xr:uid="{00000000-0005-0000-0000-000019E30000}"/>
    <cellStyle name="Título 2 34" xfId="3185" xr:uid="{00000000-0005-0000-0000-00001AE30000}"/>
    <cellStyle name="Título 2 35" xfId="3186" xr:uid="{00000000-0005-0000-0000-00001BE30000}"/>
    <cellStyle name="Título 2 36" xfId="3187" xr:uid="{00000000-0005-0000-0000-00001CE30000}"/>
    <cellStyle name="Título 2 37" xfId="3188" xr:uid="{00000000-0005-0000-0000-00001DE30000}"/>
    <cellStyle name="Título 2 38" xfId="3189" xr:uid="{00000000-0005-0000-0000-00001EE30000}"/>
    <cellStyle name="Título 2 39" xfId="3190" xr:uid="{00000000-0005-0000-0000-00001FE30000}"/>
    <cellStyle name="Título 2 4" xfId="3191" xr:uid="{00000000-0005-0000-0000-000020E30000}"/>
    <cellStyle name="Título 2 40" xfId="3192" xr:uid="{00000000-0005-0000-0000-000021E30000}"/>
    <cellStyle name="Título 2 41" xfId="3193" xr:uid="{00000000-0005-0000-0000-000022E30000}"/>
    <cellStyle name="Título 2 42" xfId="3194" xr:uid="{00000000-0005-0000-0000-000023E30000}"/>
    <cellStyle name="Título 2 43" xfId="3195" xr:uid="{00000000-0005-0000-0000-000024E30000}"/>
    <cellStyle name="Título 2 44" xfId="3196" xr:uid="{00000000-0005-0000-0000-000025E30000}"/>
    <cellStyle name="Título 2 45" xfId="3197" xr:uid="{00000000-0005-0000-0000-000026E30000}"/>
    <cellStyle name="Título 2 46" xfId="3198" xr:uid="{00000000-0005-0000-0000-000027E30000}"/>
    <cellStyle name="Título 2 47" xfId="3199" xr:uid="{00000000-0005-0000-0000-000028E30000}"/>
    <cellStyle name="Título 2 48" xfId="3200" xr:uid="{00000000-0005-0000-0000-000029E30000}"/>
    <cellStyle name="Título 2 49" xfId="3201" xr:uid="{00000000-0005-0000-0000-00002AE30000}"/>
    <cellStyle name="Título 2 5" xfId="3202" xr:uid="{00000000-0005-0000-0000-00002BE30000}"/>
    <cellStyle name="Título 2 50" xfId="3203" xr:uid="{00000000-0005-0000-0000-00002CE30000}"/>
    <cellStyle name="Título 2 51" xfId="3204" xr:uid="{00000000-0005-0000-0000-00002DE30000}"/>
    <cellStyle name="Título 2 52" xfId="3205" xr:uid="{00000000-0005-0000-0000-00002EE30000}"/>
    <cellStyle name="Título 2 53" xfId="3206" xr:uid="{00000000-0005-0000-0000-00002FE30000}"/>
    <cellStyle name="Título 2 54" xfId="3207" xr:uid="{00000000-0005-0000-0000-000030E30000}"/>
    <cellStyle name="Título 2 55" xfId="3208" xr:uid="{00000000-0005-0000-0000-000031E30000}"/>
    <cellStyle name="Título 2 56" xfId="3209" xr:uid="{00000000-0005-0000-0000-000032E30000}"/>
    <cellStyle name="Título 2 57" xfId="3210" xr:uid="{00000000-0005-0000-0000-000033E30000}"/>
    <cellStyle name="Título 2 58" xfId="3211" xr:uid="{00000000-0005-0000-0000-000034E30000}"/>
    <cellStyle name="Título 2 59" xfId="3212" xr:uid="{00000000-0005-0000-0000-000035E30000}"/>
    <cellStyle name="Título 2 6" xfId="3213" xr:uid="{00000000-0005-0000-0000-000036E30000}"/>
    <cellStyle name="Título 2 60" xfId="3214" xr:uid="{00000000-0005-0000-0000-000037E30000}"/>
    <cellStyle name="Título 2 61" xfId="3215" xr:uid="{00000000-0005-0000-0000-000038E30000}"/>
    <cellStyle name="Título 2 62" xfId="3216" xr:uid="{00000000-0005-0000-0000-000039E30000}"/>
    <cellStyle name="Título 2 63" xfId="3217" xr:uid="{00000000-0005-0000-0000-00003AE30000}"/>
    <cellStyle name="Título 2 64" xfId="3218" xr:uid="{00000000-0005-0000-0000-00003BE30000}"/>
    <cellStyle name="Título 2 65" xfId="3219" xr:uid="{00000000-0005-0000-0000-00003CE30000}"/>
    <cellStyle name="Título 2 66" xfId="3220" xr:uid="{00000000-0005-0000-0000-00003DE30000}"/>
    <cellStyle name="Título 2 67" xfId="3221" xr:uid="{00000000-0005-0000-0000-00003EE30000}"/>
    <cellStyle name="Título 2 7" xfId="3222" xr:uid="{00000000-0005-0000-0000-00003FE30000}"/>
    <cellStyle name="Título 2 8" xfId="3223" xr:uid="{00000000-0005-0000-0000-000040E30000}"/>
    <cellStyle name="Título 2 9" xfId="3224" xr:uid="{00000000-0005-0000-0000-000041E30000}"/>
    <cellStyle name="Título 20" xfId="3225" xr:uid="{00000000-0005-0000-0000-000042E30000}"/>
    <cellStyle name="Título 21" xfId="3226" xr:uid="{00000000-0005-0000-0000-000043E30000}"/>
    <cellStyle name="Título 22" xfId="3227" xr:uid="{00000000-0005-0000-0000-000044E30000}"/>
    <cellStyle name="Título 23" xfId="3228" xr:uid="{00000000-0005-0000-0000-000045E30000}"/>
    <cellStyle name="Título 24" xfId="3229" xr:uid="{00000000-0005-0000-0000-000046E30000}"/>
    <cellStyle name="Título 25" xfId="3230" xr:uid="{00000000-0005-0000-0000-000047E30000}"/>
    <cellStyle name="Título 26" xfId="3231" xr:uid="{00000000-0005-0000-0000-000048E30000}"/>
    <cellStyle name="Título 27" xfId="3232" xr:uid="{00000000-0005-0000-0000-000049E30000}"/>
    <cellStyle name="Título 28" xfId="3233" xr:uid="{00000000-0005-0000-0000-00004AE30000}"/>
    <cellStyle name="Título 29" xfId="3234" xr:uid="{00000000-0005-0000-0000-00004BE30000}"/>
    <cellStyle name="Título 3 10" xfId="3235" xr:uid="{00000000-0005-0000-0000-00004CE30000}"/>
    <cellStyle name="Título 3 11" xfId="3236" xr:uid="{00000000-0005-0000-0000-00004DE30000}"/>
    <cellStyle name="Título 3 12" xfId="3237" xr:uid="{00000000-0005-0000-0000-00004EE30000}"/>
    <cellStyle name="Título 3 13" xfId="3238" xr:uid="{00000000-0005-0000-0000-00004FE30000}"/>
    <cellStyle name="Título 3 14" xfId="3239" xr:uid="{00000000-0005-0000-0000-000050E30000}"/>
    <cellStyle name="Título 3 15" xfId="3240" xr:uid="{00000000-0005-0000-0000-000051E30000}"/>
    <cellStyle name="Título 3 16" xfId="3241" xr:uid="{00000000-0005-0000-0000-000052E30000}"/>
    <cellStyle name="Título 3 17" xfId="3242" xr:uid="{00000000-0005-0000-0000-000053E30000}"/>
    <cellStyle name="Título 3 18" xfId="3243" xr:uid="{00000000-0005-0000-0000-000054E30000}"/>
    <cellStyle name="Título 3 19" xfId="3244" xr:uid="{00000000-0005-0000-0000-000055E30000}"/>
    <cellStyle name="Título 3 2" xfId="172" xr:uid="{00000000-0005-0000-0000-000056E30000}"/>
    <cellStyle name="Título 3 2 2" xfId="3245" xr:uid="{00000000-0005-0000-0000-000057E30000}"/>
    <cellStyle name="Título 3 2 3" xfId="3246" xr:uid="{00000000-0005-0000-0000-000058E30000}"/>
    <cellStyle name="Título 3 2 4" xfId="3247" xr:uid="{00000000-0005-0000-0000-000059E30000}"/>
    <cellStyle name="Título 3 2 5" xfId="3248" xr:uid="{00000000-0005-0000-0000-00005AE30000}"/>
    <cellStyle name="Título 3 20" xfId="3249" xr:uid="{00000000-0005-0000-0000-00005BE30000}"/>
    <cellStyle name="Título 3 21" xfId="3250" xr:uid="{00000000-0005-0000-0000-00005CE30000}"/>
    <cellStyle name="Título 3 22" xfId="3251" xr:uid="{00000000-0005-0000-0000-00005DE30000}"/>
    <cellStyle name="Título 3 23" xfId="3252" xr:uid="{00000000-0005-0000-0000-00005EE30000}"/>
    <cellStyle name="Título 3 24" xfId="3253" xr:uid="{00000000-0005-0000-0000-00005FE30000}"/>
    <cellStyle name="Título 3 25" xfId="3254" xr:uid="{00000000-0005-0000-0000-000060E30000}"/>
    <cellStyle name="Título 3 26" xfId="3255" xr:uid="{00000000-0005-0000-0000-000061E30000}"/>
    <cellStyle name="Título 3 27" xfId="3256" xr:uid="{00000000-0005-0000-0000-000062E30000}"/>
    <cellStyle name="Título 3 28" xfId="3257" xr:uid="{00000000-0005-0000-0000-000063E30000}"/>
    <cellStyle name="Título 3 29" xfId="3258" xr:uid="{00000000-0005-0000-0000-000064E30000}"/>
    <cellStyle name="Título 3 3" xfId="3259" xr:uid="{00000000-0005-0000-0000-000065E30000}"/>
    <cellStyle name="Título 3 30" xfId="3260" xr:uid="{00000000-0005-0000-0000-000066E30000}"/>
    <cellStyle name="Título 3 31" xfId="3261" xr:uid="{00000000-0005-0000-0000-000067E30000}"/>
    <cellStyle name="Título 3 32" xfId="3262" xr:uid="{00000000-0005-0000-0000-000068E30000}"/>
    <cellStyle name="Título 3 33" xfId="3263" xr:uid="{00000000-0005-0000-0000-000069E30000}"/>
    <cellStyle name="Título 3 34" xfId="3264" xr:uid="{00000000-0005-0000-0000-00006AE30000}"/>
    <cellStyle name="Título 3 35" xfId="3265" xr:uid="{00000000-0005-0000-0000-00006BE30000}"/>
    <cellStyle name="Título 3 36" xfId="3266" xr:uid="{00000000-0005-0000-0000-00006CE30000}"/>
    <cellStyle name="Título 3 37" xfId="3267" xr:uid="{00000000-0005-0000-0000-00006DE30000}"/>
    <cellStyle name="Título 3 38" xfId="3268" xr:uid="{00000000-0005-0000-0000-00006EE30000}"/>
    <cellStyle name="Título 3 39" xfId="3269" xr:uid="{00000000-0005-0000-0000-00006FE30000}"/>
    <cellStyle name="Título 3 4" xfId="3270" xr:uid="{00000000-0005-0000-0000-000070E30000}"/>
    <cellStyle name="Título 3 40" xfId="3271" xr:uid="{00000000-0005-0000-0000-000071E30000}"/>
    <cellStyle name="Título 3 41" xfId="3272" xr:uid="{00000000-0005-0000-0000-000072E30000}"/>
    <cellStyle name="Título 3 42" xfId="3273" xr:uid="{00000000-0005-0000-0000-000073E30000}"/>
    <cellStyle name="Título 3 43" xfId="3274" xr:uid="{00000000-0005-0000-0000-000074E30000}"/>
    <cellStyle name="Título 3 44" xfId="3275" xr:uid="{00000000-0005-0000-0000-000075E30000}"/>
    <cellStyle name="Título 3 45" xfId="3276" xr:uid="{00000000-0005-0000-0000-000076E30000}"/>
    <cellStyle name="Título 3 46" xfId="3277" xr:uid="{00000000-0005-0000-0000-000077E30000}"/>
    <cellStyle name="Título 3 47" xfId="3278" xr:uid="{00000000-0005-0000-0000-000078E30000}"/>
    <cellStyle name="Título 3 48" xfId="3279" xr:uid="{00000000-0005-0000-0000-000079E30000}"/>
    <cellStyle name="Título 3 49" xfId="3280" xr:uid="{00000000-0005-0000-0000-00007AE30000}"/>
    <cellStyle name="Título 3 5" xfId="3281" xr:uid="{00000000-0005-0000-0000-00007BE30000}"/>
    <cellStyle name="Título 3 50" xfId="3282" xr:uid="{00000000-0005-0000-0000-00007CE30000}"/>
    <cellStyle name="Título 3 51" xfId="3283" xr:uid="{00000000-0005-0000-0000-00007DE30000}"/>
    <cellStyle name="Título 3 52" xfId="3284" xr:uid="{00000000-0005-0000-0000-00007EE30000}"/>
    <cellStyle name="Título 3 53" xfId="3285" xr:uid="{00000000-0005-0000-0000-00007FE30000}"/>
    <cellStyle name="Título 3 54" xfId="3286" xr:uid="{00000000-0005-0000-0000-000080E30000}"/>
    <cellStyle name="Título 3 55" xfId="3287" xr:uid="{00000000-0005-0000-0000-000081E30000}"/>
    <cellStyle name="Título 3 56" xfId="3288" xr:uid="{00000000-0005-0000-0000-000082E30000}"/>
    <cellStyle name="Título 3 57" xfId="3289" xr:uid="{00000000-0005-0000-0000-000083E30000}"/>
    <cellStyle name="Título 3 58" xfId="3290" xr:uid="{00000000-0005-0000-0000-000084E30000}"/>
    <cellStyle name="Título 3 59" xfId="3291" xr:uid="{00000000-0005-0000-0000-000085E30000}"/>
    <cellStyle name="Título 3 6" xfId="3292" xr:uid="{00000000-0005-0000-0000-000086E30000}"/>
    <cellStyle name="Título 3 60" xfId="3293" xr:uid="{00000000-0005-0000-0000-000087E30000}"/>
    <cellStyle name="Título 3 61" xfId="3294" xr:uid="{00000000-0005-0000-0000-000088E30000}"/>
    <cellStyle name="Título 3 62" xfId="3295" xr:uid="{00000000-0005-0000-0000-000089E30000}"/>
    <cellStyle name="Título 3 63" xfId="3296" xr:uid="{00000000-0005-0000-0000-00008AE30000}"/>
    <cellStyle name="Título 3 64" xfId="3297" xr:uid="{00000000-0005-0000-0000-00008BE30000}"/>
    <cellStyle name="Título 3 65" xfId="3298" xr:uid="{00000000-0005-0000-0000-00008CE30000}"/>
    <cellStyle name="Título 3 66" xfId="3299" xr:uid="{00000000-0005-0000-0000-00008DE30000}"/>
    <cellStyle name="Título 3 67" xfId="3300" xr:uid="{00000000-0005-0000-0000-00008EE30000}"/>
    <cellStyle name="Título 3 7" xfId="3301" xr:uid="{00000000-0005-0000-0000-00008FE30000}"/>
    <cellStyle name="Título 3 8" xfId="3302" xr:uid="{00000000-0005-0000-0000-000090E30000}"/>
    <cellStyle name="Título 3 9" xfId="3303" xr:uid="{00000000-0005-0000-0000-000091E30000}"/>
    <cellStyle name="Título 30" xfId="3304" xr:uid="{00000000-0005-0000-0000-000092E30000}"/>
    <cellStyle name="Título 31" xfId="3305" xr:uid="{00000000-0005-0000-0000-000093E30000}"/>
    <cellStyle name="Título 32" xfId="3306" xr:uid="{00000000-0005-0000-0000-000094E30000}"/>
    <cellStyle name="Título 33" xfId="3307" xr:uid="{00000000-0005-0000-0000-000095E30000}"/>
    <cellStyle name="Título 34" xfId="3308" xr:uid="{00000000-0005-0000-0000-000096E30000}"/>
    <cellStyle name="Título 35" xfId="3309" xr:uid="{00000000-0005-0000-0000-000097E30000}"/>
    <cellStyle name="Título 36" xfId="3310" xr:uid="{00000000-0005-0000-0000-000098E30000}"/>
    <cellStyle name="Título 37" xfId="3311" xr:uid="{00000000-0005-0000-0000-000099E30000}"/>
    <cellStyle name="Título 38" xfId="3312" xr:uid="{00000000-0005-0000-0000-00009AE30000}"/>
    <cellStyle name="Título 39" xfId="3313" xr:uid="{00000000-0005-0000-0000-00009BE30000}"/>
    <cellStyle name="Título 4" xfId="173" xr:uid="{00000000-0005-0000-0000-00009CE30000}"/>
    <cellStyle name="Título 4 2" xfId="3314" xr:uid="{00000000-0005-0000-0000-00009DE30000}"/>
    <cellStyle name="Título 4 3" xfId="3315" xr:uid="{00000000-0005-0000-0000-00009EE30000}"/>
    <cellStyle name="Título 4 4" xfId="3316" xr:uid="{00000000-0005-0000-0000-00009FE30000}"/>
    <cellStyle name="Título 4 5" xfId="3317" xr:uid="{00000000-0005-0000-0000-0000A0E30000}"/>
    <cellStyle name="Título 40" xfId="3318" xr:uid="{00000000-0005-0000-0000-0000A1E30000}"/>
    <cellStyle name="Título 41" xfId="3319" xr:uid="{00000000-0005-0000-0000-0000A2E30000}"/>
    <cellStyle name="Título 42" xfId="3320" xr:uid="{00000000-0005-0000-0000-0000A3E30000}"/>
    <cellStyle name="Título 43" xfId="3321" xr:uid="{00000000-0005-0000-0000-0000A4E30000}"/>
    <cellStyle name="Título 44" xfId="3322" xr:uid="{00000000-0005-0000-0000-0000A5E30000}"/>
    <cellStyle name="Título 45" xfId="3323" xr:uid="{00000000-0005-0000-0000-0000A6E30000}"/>
    <cellStyle name="Título 46" xfId="3324" xr:uid="{00000000-0005-0000-0000-0000A7E30000}"/>
    <cellStyle name="Título 47" xfId="3325" xr:uid="{00000000-0005-0000-0000-0000A8E30000}"/>
    <cellStyle name="Título 48" xfId="3326" xr:uid="{00000000-0005-0000-0000-0000A9E30000}"/>
    <cellStyle name="Título 49" xfId="3327" xr:uid="{00000000-0005-0000-0000-0000AAE30000}"/>
    <cellStyle name="Título 5" xfId="3328" xr:uid="{00000000-0005-0000-0000-0000ABE30000}"/>
    <cellStyle name="Título 50" xfId="3329" xr:uid="{00000000-0005-0000-0000-0000ACE30000}"/>
    <cellStyle name="Título 51" xfId="3330" xr:uid="{00000000-0005-0000-0000-0000ADE30000}"/>
    <cellStyle name="Título 52" xfId="3331" xr:uid="{00000000-0005-0000-0000-0000AEE30000}"/>
    <cellStyle name="Título 53" xfId="3332" xr:uid="{00000000-0005-0000-0000-0000AFE30000}"/>
    <cellStyle name="Título 54" xfId="3333" xr:uid="{00000000-0005-0000-0000-0000B0E30000}"/>
    <cellStyle name="Título 55" xfId="3334" xr:uid="{00000000-0005-0000-0000-0000B1E30000}"/>
    <cellStyle name="Título 56" xfId="3335" xr:uid="{00000000-0005-0000-0000-0000B2E30000}"/>
    <cellStyle name="Título 57" xfId="3336" xr:uid="{00000000-0005-0000-0000-0000B3E30000}"/>
    <cellStyle name="Título 58" xfId="3337" xr:uid="{00000000-0005-0000-0000-0000B4E30000}"/>
    <cellStyle name="Título 59" xfId="3338" xr:uid="{00000000-0005-0000-0000-0000B5E30000}"/>
    <cellStyle name="Título 6" xfId="3339" xr:uid="{00000000-0005-0000-0000-0000B6E30000}"/>
    <cellStyle name="Título 60" xfId="3340" xr:uid="{00000000-0005-0000-0000-0000B7E30000}"/>
    <cellStyle name="Título 61" xfId="3341" xr:uid="{00000000-0005-0000-0000-0000B8E30000}"/>
    <cellStyle name="Título 62" xfId="3342" xr:uid="{00000000-0005-0000-0000-0000B9E30000}"/>
    <cellStyle name="Título 63" xfId="3343" xr:uid="{00000000-0005-0000-0000-0000BAE30000}"/>
    <cellStyle name="Título 64" xfId="3344" xr:uid="{00000000-0005-0000-0000-0000BBE30000}"/>
    <cellStyle name="Título 65" xfId="3345" xr:uid="{00000000-0005-0000-0000-0000BCE30000}"/>
    <cellStyle name="Título 66" xfId="3346" xr:uid="{00000000-0005-0000-0000-0000BDE30000}"/>
    <cellStyle name="Título 67" xfId="3347" xr:uid="{00000000-0005-0000-0000-0000BEE30000}"/>
    <cellStyle name="Título 68" xfId="3348" xr:uid="{00000000-0005-0000-0000-0000BFE30000}"/>
    <cellStyle name="Título 69" xfId="3349" xr:uid="{00000000-0005-0000-0000-0000C0E30000}"/>
    <cellStyle name="Título 7" xfId="3350" xr:uid="{00000000-0005-0000-0000-0000C1E30000}"/>
    <cellStyle name="Título 8" xfId="3351" xr:uid="{00000000-0005-0000-0000-0000C2E30000}"/>
    <cellStyle name="Título 9" xfId="3352" xr:uid="{00000000-0005-0000-0000-0000C3E30000}"/>
    <cellStyle name="Total 10" xfId="3353" xr:uid="{00000000-0005-0000-0000-0000C4E30000}"/>
    <cellStyle name="Total 11" xfId="3354" xr:uid="{00000000-0005-0000-0000-0000C5E30000}"/>
    <cellStyle name="Total 12" xfId="3355" xr:uid="{00000000-0005-0000-0000-0000C6E30000}"/>
    <cellStyle name="Total 13" xfId="3356" xr:uid="{00000000-0005-0000-0000-0000C7E30000}"/>
    <cellStyle name="Total 14" xfId="3357" xr:uid="{00000000-0005-0000-0000-0000C8E30000}"/>
    <cellStyle name="Total 15" xfId="3358" xr:uid="{00000000-0005-0000-0000-0000C9E30000}"/>
    <cellStyle name="Total 16" xfId="3359" xr:uid="{00000000-0005-0000-0000-0000CAE30000}"/>
    <cellStyle name="Total 17" xfId="3360" xr:uid="{00000000-0005-0000-0000-0000CBE30000}"/>
    <cellStyle name="Total 18" xfId="3361" xr:uid="{00000000-0005-0000-0000-0000CCE30000}"/>
    <cellStyle name="Total 19" xfId="3362" xr:uid="{00000000-0005-0000-0000-0000CDE30000}"/>
    <cellStyle name="Total 2" xfId="174" xr:uid="{00000000-0005-0000-0000-0000CEE30000}"/>
    <cellStyle name="Total 2 2" xfId="3363" xr:uid="{00000000-0005-0000-0000-0000CFE30000}"/>
    <cellStyle name="Total 2 2 2" xfId="7309" xr:uid="{00000000-0005-0000-0000-0000D0E30000}"/>
    <cellStyle name="Total 2 3" xfId="3364" xr:uid="{00000000-0005-0000-0000-0000D1E30000}"/>
    <cellStyle name="Total 2 4" xfId="3365" xr:uid="{00000000-0005-0000-0000-0000D2E30000}"/>
    <cellStyle name="Total 2 5" xfId="3366" xr:uid="{00000000-0005-0000-0000-0000D3E30000}"/>
    <cellStyle name="Total 20" xfId="3367" xr:uid="{00000000-0005-0000-0000-0000D4E30000}"/>
    <cellStyle name="Total 21" xfId="3368" xr:uid="{00000000-0005-0000-0000-0000D5E30000}"/>
    <cellStyle name="Total 22" xfId="3369" xr:uid="{00000000-0005-0000-0000-0000D6E30000}"/>
    <cellStyle name="Total 23" xfId="3370" xr:uid="{00000000-0005-0000-0000-0000D7E30000}"/>
    <cellStyle name="Total 24" xfId="3371" xr:uid="{00000000-0005-0000-0000-0000D8E30000}"/>
    <cellStyle name="Total 25" xfId="3372" xr:uid="{00000000-0005-0000-0000-0000D9E30000}"/>
    <cellStyle name="Total 26" xfId="3373" xr:uid="{00000000-0005-0000-0000-0000DAE30000}"/>
    <cellStyle name="Total 27" xfId="3374" xr:uid="{00000000-0005-0000-0000-0000DBE30000}"/>
    <cellStyle name="Total 28" xfId="3375" xr:uid="{00000000-0005-0000-0000-0000DCE30000}"/>
    <cellStyle name="Total 29" xfId="3376" xr:uid="{00000000-0005-0000-0000-0000DDE30000}"/>
    <cellStyle name="Total 3" xfId="175" xr:uid="{00000000-0005-0000-0000-0000DEE30000}"/>
    <cellStyle name="Total 30" xfId="3377" xr:uid="{00000000-0005-0000-0000-0000DFE30000}"/>
    <cellStyle name="Total 31" xfId="3378" xr:uid="{00000000-0005-0000-0000-0000E0E30000}"/>
    <cellStyle name="Total 32" xfId="3379" xr:uid="{00000000-0005-0000-0000-0000E1E30000}"/>
    <cellStyle name="Total 33" xfId="3380" xr:uid="{00000000-0005-0000-0000-0000E2E30000}"/>
    <cellStyle name="Total 34" xfId="3381" xr:uid="{00000000-0005-0000-0000-0000E3E30000}"/>
    <cellStyle name="Total 35" xfId="3382" xr:uid="{00000000-0005-0000-0000-0000E4E30000}"/>
    <cellStyle name="Total 36" xfId="3383" xr:uid="{00000000-0005-0000-0000-0000E5E30000}"/>
    <cellStyle name="Total 37" xfId="3384" xr:uid="{00000000-0005-0000-0000-0000E6E30000}"/>
    <cellStyle name="Total 38" xfId="3385" xr:uid="{00000000-0005-0000-0000-0000E7E30000}"/>
    <cellStyle name="Total 39" xfId="3386" xr:uid="{00000000-0005-0000-0000-0000E8E30000}"/>
    <cellStyle name="Total 4" xfId="3387" xr:uid="{00000000-0005-0000-0000-0000E9E30000}"/>
    <cellStyle name="Total 40" xfId="3388" xr:uid="{00000000-0005-0000-0000-0000EAE30000}"/>
    <cellStyle name="Total 41" xfId="3389" xr:uid="{00000000-0005-0000-0000-0000EBE30000}"/>
    <cellStyle name="Total 42" xfId="3390" xr:uid="{00000000-0005-0000-0000-0000ECE30000}"/>
    <cellStyle name="Total 43" xfId="3391" xr:uid="{00000000-0005-0000-0000-0000EDE30000}"/>
    <cellStyle name="Total 44" xfId="3392" xr:uid="{00000000-0005-0000-0000-0000EEE30000}"/>
    <cellStyle name="Total 45" xfId="3393" xr:uid="{00000000-0005-0000-0000-0000EFE30000}"/>
    <cellStyle name="Total 46" xfId="3394" xr:uid="{00000000-0005-0000-0000-0000F0E30000}"/>
    <cellStyle name="Total 47" xfId="3395" xr:uid="{00000000-0005-0000-0000-0000F1E30000}"/>
    <cellStyle name="Total 48" xfId="3396" xr:uid="{00000000-0005-0000-0000-0000F2E30000}"/>
    <cellStyle name="Total 49" xfId="3397" xr:uid="{00000000-0005-0000-0000-0000F3E30000}"/>
    <cellStyle name="Total 5" xfId="3398" xr:uid="{00000000-0005-0000-0000-0000F4E30000}"/>
    <cellStyle name="Total 50" xfId="3399" xr:uid="{00000000-0005-0000-0000-0000F5E30000}"/>
    <cellStyle name="Total 51" xfId="3400" xr:uid="{00000000-0005-0000-0000-0000F6E30000}"/>
    <cellStyle name="Total 52" xfId="3401" xr:uid="{00000000-0005-0000-0000-0000F7E30000}"/>
    <cellStyle name="Total 53" xfId="3402" xr:uid="{00000000-0005-0000-0000-0000F8E30000}"/>
    <cellStyle name="Total 54" xfId="3403" xr:uid="{00000000-0005-0000-0000-0000F9E30000}"/>
    <cellStyle name="Total 55" xfId="3404" xr:uid="{00000000-0005-0000-0000-0000FAE30000}"/>
    <cellStyle name="Total 56" xfId="3405" xr:uid="{00000000-0005-0000-0000-0000FBE30000}"/>
    <cellStyle name="Total 57" xfId="3406" xr:uid="{00000000-0005-0000-0000-0000FCE30000}"/>
    <cellStyle name="Total 58" xfId="3407" xr:uid="{00000000-0005-0000-0000-0000FDE30000}"/>
    <cellStyle name="Total 59" xfId="3408" xr:uid="{00000000-0005-0000-0000-0000FEE30000}"/>
    <cellStyle name="Total 6" xfId="3409" xr:uid="{00000000-0005-0000-0000-0000FFE30000}"/>
    <cellStyle name="Total 60" xfId="3410" xr:uid="{00000000-0005-0000-0000-000000E40000}"/>
    <cellStyle name="Total 61" xfId="3411" xr:uid="{00000000-0005-0000-0000-000001E40000}"/>
    <cellStyle name="Total 62" xfId="3412" xr:uid="{00000000-0005-0000-0000-000002E40000}"/>
    <cellStyle name="Total 63" xfId="3413" xr:uid="{00000000-0005-0000-0000-000003E40000}"/>
    <cellStyle name="Total 64" xfId="3414" xr:uid="{00000000-0005-0000-0000-000004E40000}"/>
    <cellStyle name="Total 65" xfId="3415" xr:uid="{00000000-0005-0000-0000-000005E40000}"/>
    <cellStyle name="Total 66" xfId="3416" xr:uid="{00000000-0005-0000-0000-000006E40000}"/>
    <cellStyle name="Total 67" xfId="3417" xr:uid="{00000000-0005-0000-0000-000007E40000}"/>
    <cellStyle name="Total 68" xfId="7460" xr:uid="{00000000-0005-0000-0000-000008E40000}"/>
    <cellStyle name="Total 69" xfId="10861" xr:uid="{00000000-0005-0000-0000-000009E40000}"/>
    <cellStyle name="Total 7" xfId="3418" xr:uid="{00000000-0005-0000-0000-00000AE40000}"/>
    <cellStyle name="Total 70" xfId="17645" xr:uid="{00000000-0005-0000-0000-00000BE40000}"/>
    <cellStyle name="Total 71" xfId="17650" xr:uid="{00000000-0005-0000-0000-00000CE40000}"/>
    <cellStyle name="Total 72" xfId="31219" xr:uid="{00000000-0005-0000-0000-00000DE40000}"/>
    <cellStyle name="Total 73" xfId="77" xr:uid="{00000000-0005-0000-0000-00000EE40000}"/>
    <cellStyle name="Total 8" xfId="3419" xr:uid="{00000000-0005-0000-0000-00000FE40000}"/>
    <cellStyle name="Total 9" xfId="3420" xr:uid="{00000000-0005-0000-0000-000010E40000}"/>
    <cellStyle name="Warning Text" xfId="7454" xr:uid="{00000000-0005-0000-0000-000011E40000}"/>
    <cellStyle name="常规_BQ" xfId="7297" xr:uid="{00000000-0005-0000-0000-000012E40000}"/>
  </cellStyles>
  <dxfs count="20">
    <dxf>
      <font>
        <condense val="0"/>
        <extend val="0"/>
        <color indexed="9"/>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colors>
    <mruColors>
      <color rgb="FF0000CC"/>
      <color rgb="FF0066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86139</xdr:colOff>
      <xdr:row>0</xdr:row>
      <xdr:rowOff>114301</xdr:rowOff>
    </xdr:from>
    <xdr:to>
      <xdr:col>6</xdr:col>
      <xdr:colOff>548640</xdr:colOff>
      <xdr:row>4</xdr:row>
      <xdr:rowOff>1</xdr:rowOff>
    </xdr:to>
    <xdr:pic>
      <xdr:nvPicPr>
        <xdr:cNvPr id="2" name="Imagen 1">
          <a:extLst>
            <a:ext uri="{FF2B5EF4-FFF2-40B4-BE49-F238E27FC236}">
              <a16:creationId xmlns:a16="http://schemas.microsoft.com/office/drawing/2014/main" id="{94DA5369-6660-44BC-8B61-6E42FB0A3978}"/>
            </a:ext>
          </a:extLst>
        </xdr:cNvPr>
        <xdr:cNvPicPr>
          <a:picLocks noChangeAspect="1"/>
        </xdr:cNvPicPr>
      </xdr:nvPicPr>
      <xdr:blipFill>
        <a:blip xmlns:r="http://schemas.openxmlformats.org/officeDocument/2006/relationships" r:embed="rId1"/>
        <a:stretch>
          <a:fillRect/>
        </a:stretch>
      </xdr:blipFill>
      <xdr:spPr>
        <a:xfrm>
          <a:off x="6121179" y="114301"/>
          <a:ext cx="1234026" cy="609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657639</xdr:colOff>
      <xdr:row>0</xdr:row>
      <xdr:rowOff>114301</xdr:rowOff>
    </xdr:from>
    <xdr:to>
      <xdr:col>6</xdr:col>
      <xdr:colOff>396240</xdr:colOff>
      <xdr:row>4</xdr:row>
      <xdr:rowOff>15241</xdr:rowOff>
    </xdr:to>
    <xdr:pic>
      <xdr:nvPicPr>
        <xdr:cNvPr id="2" name="Imagen 1">
          <a:extLst>
            <a:ext uri="{FF2B5EF4-FFF2-40B4-BE49-F238E27FC236}">
              <a16:creationId xmlns:a16="http://schemas.microsoft.com/office/drawing/2014/main" id="{2169B436-AD0D-4279-B8D6-3A09B98D7368}"/>
            </a:ext>
          </a:extLst>
        </xdr:cNvPr>
        <xdr:cNvPicPr>
          <a:picLocks noChangeAspect="1"/>
        </xdr:cNvPicPr>
      </xdr:nvPicPr>
      <xdr:blipFill>
        <a:blip xmlns:r="http://schemas.openxmlformats.org/officeDocument/2006/relationships" r:embed="rId1"/>
        <a:stretch>
          <a:fillRect/>
        </a:stretch>
      </xdr:blipFill>
      <xdr:spPr>
        <a:xfrm>
          <a:off x="6296439" y="114301"/>
          <a:ext cx="1256886" cy="6134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381414</xdr:colOff>
      <xdr:row>0</xdr:row>
      <xdr:rowOff>152401</xdr:rowOff>
    </xdr:from>
    <xdr:to>
      <xdr:col>6</xdr:col>
      <xdr:colOff>17145</xdr:colOff>
      <xdr:row>4</xdr:row>
      <xdr:rowOff>38101</xdr:rowOff>
    </xdr:to>
    <xdr:pic>
      <xdr:nvPicPr>
        <xdr:cNvPr id="2" name="Imagen 1">
          <a:extLst>
            <a:ext uri="{FF2B5EF4-FFF2-40B4-BE49-F238E27FC236}">
              <a16:creationId xmlns:a16="http://schemas.microsoft.com/office/drawing/2014/main" id="{0C9B4A30-D0F8-4871-AA71-03F4E8084A36}"/>
            </a:ext>
          </a:extLst>
        </xdr:cNvPr>
        <xdr:cNvPicPr>
          <a:picLocks noChangeAspect="1"/>
        </xdr:cNvPicPr>
      </xdr:nvPicPr>
      <xdr:blipFill>
        <a:blip xmlns:r="http://schemas.openxmlformats.org/officeDocument/2006/relationships" r:embed="rId1"/>
        <a:stretch>
          <a:fillRect/>
        </a:stretch>
      </xdr:blipFill>
      <xdr:spPr>
        <a:xfrm>
          <a:off x="6782214" y="152401"/>
          <a:ext cx="1235931" cy="647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419515</xdr:colOff>
      <xdr:row>0</xdr:row>
      <xdr:rowOff>1</xdr:rowOff>
    </xdr:from>
    <xdr:to>
      <xdr:col>5</xdr:col>
      <xdr:colOff>744856</xdr:colOff>
      <xdr:row>3</xdr:row>
      <xdr:rowOff>152401</xdr:rowOff>
    </xdr:to>
    <xdr:pic>
      <xdr:nvPicPr>
        <xdr:cNvPr id="2" name="Imagen 1">
          <a:extLst>
            <a:ext uri="{FF2B5EF4-FFF2-40B4-BE49-F238E27FC236}">
              <a16:creationId xmlns:a16="http://schemas.microsoft.com/office/drawing/2014/main" id="{211A1F1A-FCEE-42EE-9DD0-A20BF0312CF2}"/>
            </a:ext>
          </a:extLst>
        </xdr:cNvPr>
        <xdr:cNvPicPr>
          <a:picLocks noChangeAspect="1"/>
        </xdr:cNvPicPr>
      </xdr:nvPicPr>
      <xdr:blipFill>
        <a:blip xmlns:r="http://schemas.openxmlformats.org/officeDocument/2006/relationships" r:embed="rId1"/>
        <a:stretch>
          <a:fillRect/>
        </a:stretch>
      </xdr:blipFill>
      <xdr:spPr>
        <a:xfrm>
          <a:off x="5743990" y="1"/>
          <a:ext cx="1102581" cy="723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uario\V%20&amp;%20V%20BRAVO%20S.A.C\PPTOS%20-%20ARCHIVOS\1.%20LICITACIONES\2022-103%20PARDO%20VYV%20669\1.%20Presupuesto\PPTO%20REV%207\Presupuesto_%20PARDO%20669_interno_rev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ISS"/>
      <sheetName val="IIEE"/>
      <sheetName val="CRONOGRAMA2"/>
      <sheetName val="CRONOGRAMA"/>
      <sheetName val="PLAN"/>
      <sheetName val="ARQ-SOTANOS"/>
      <sheetName val="APU_ARQ"/>
      <sheetName val="ARQ-TORRE"/>
      <sheetName val="A. SANITARIOS"/>
      <sheetName val="GG"/>
      <sheetName val="Resumen Escenario"/>
      <sheetName val="EST-SOTANOS-PPTO"/>
      <sheetName val="Hoja2"/>
      <sheetName val="OP"/>
      <sheetName val="SEG"/>
      <sheetName val="APU-TAB"/>
      <sheetName val="Sust Seguridad"/>
      <sheetName val="EST-TORRE-PPTO"/>
      <sheetName val="escuadras"/>
      <sheetName val="Hoja1"/>
      <sheetName val="APU EST"/>
      <sheetName val="IIMM"/>
      <sheetName val="CTO BOMBAS-ACI"/>
      <sheetName val="INSTALACIONES"/>
      <sheetName val="ratio vidrios"/>
      <sheetName val="MUEBLE COCINA"/>
      <sheetName val="OBRAS CIVILES"/>
      <sheetName val="MOV. TIERRAS"/>
      <sheetName val="Mano de Obra"/>
      <sheetName val="Apu pintura"/>
      <sheetName val="Cuadro de área"/>
      <sheetName val="Cos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Set>
  </externalBook>
</externalLink>
</file>

<file path=xl/persons/person.xml><?xml version="1.0" encoding="utf-8"?>
<personList xmlns="http://schemas.microsoft.com/office/spreadsheetml/2018/threadedcomments" xmlns:x="http://schemas.openxmlformats.org/spreadsheetml/2006/main">
  <person displayName="Ana Karina Timaná Curay" id="{2990A451-C830-454B-BD17-FA87A0A311D5}" userId="S::ktimana@vyvbravo.pe::3c012300-d316-4a45-ac3c-092b4ec354f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7" dT="2024-07-24T17:37:19.99" personId="{2990A451-C830-454B-BD17-FA87A0A311D5}" id="{D8FF613B-F716-43E2-A0DB-8479924575AA}">
    <text>A solicitud de inmobiliaria no se considera</text>
  </threadedComment>
  <threadedComment ref="B38" dT="2024-07-24T17:38:44.35" personId="{2990A451-C830-454B-BD17-FA87A0A311D5}" id="{AF5537C5-162D-47B4-A8C1-B75A19976F60}">
    <text xml:space="preserve"> A SOLICITUD DE INMOB NO SE CONSIDERA</text>
  </threadedComment>
  <threadedComment ref="B39" dT="2024-07-24T17:39:18.35" personId="{2990A451-C830-454B-BD17-FA87A0A311D5}" id="{98CD8617-E563-40BB-8C44-24E35E30CBC6}">
    <text>NO SE CONSIDERA A SOLICITUD DE INMOB</text>
  </threadedComment>
  <threadedComment ref="B40" dT="2024-07-24T17:39:23.72" personId="{2990A451-C830-454B-BD17-FA87A0A311D5}" id="{3F624396-A43A-414D-ACDE-CFB97967D03A}">
    <text>NO SE CONSIDERA A SOLICITUD DE INMOB</text>
  </threadedComment>
</ThreadedComments>
</file>

<file path=xl/threadedComments/threadedComment2.xml><?xml version="1.0" encoding="utf-8"?>
<ThreadedComments xmlns="http://schemas.microsoft.com/office/spreadsheetml/2018/threadedcomments" xmlns:x="http://schemas.openxmlformats.org/spreadsheetml/2006/main">
  <threadedComment ref="D60" dT="2024-07-25T22:59:43.14" personId="{2990A451-C830-454B-BD17-FA87A0A311D5}" id="{E65B194A-0470-4AEF-A45B-82AED35E9A03}">
    <text>Por proc constructivo, es menor metrado y mayo metrado al de 420</text>
  </threadedComment>
  <threadedComment ref="D61" dT="2024-07-25T22:59:43.14" personId="{2990A451-C830-454B-BD17-FA87A0A311D5}" id="{C06D0DC7-DA1B-452B-B4C0-329DB7F81592}">
    <text>Por proc constructivo, es menor metrado y mayo metrado al de 420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39997558519241921"/>
    <outlinePr summaryBelow="0" summaryRight="0"/>
  </sheetPr>
  <dimension ref="A1:K202"/>
  <sheetViews>
    <sheetView tabSelected="1" topLeftCell="A18" zoomScale="86" zoomScaleNormal="86" workbookViewId="0">
      <selection activeCell="F59" sqref="F59"/>
    </sheetView>
  </sheetViews>
  <sheetFormatPr defaultColWidth="11.42578125" defaultRowHeight="15" outlineLevelRow="2" outlineLevelCol="1"/>
  <cols>
    <col min="1" max="1" width="12.42578125" style="36" bestFit="1" customWidth="1"/>
    <col min="2" max="2" width="55" style="36" customWidth="1"/>
    <col min="3" max="3" width="7.5703125" style="43" customWidth="1"/>
    <col min="4" max="4" width="13.7109375" style="44" customWidth="1"/>
    <col min="5" max="5" width="16.28515625" style="38" customWidth="1"/>
    <col min="6" max="6" width="15.140625" style="38" customWidth="1"/>
    <col min="7" max="7" width="15.140625" style="38" customWidth="1" outlineLevel="1"/>
    <col min="8" max="9" width="16.42578125" style="38" customWidth="1" outlineLevel="1"/>
    <col min="10" max="10" width="18.140625" style="38" customWidth="1" outlineLevel="1"/>
    <col min="11" max="11" width="18.28515625" style="38" customWidth="1" outlineLevel="1"/>
  </cols>
  <sheetData>
    <row r="1" spans="1:11" s="2" customFormat="1" ht="11.25">
      <c r="C1" s="3"/>
    </row>
    <row r="2" spans="1:11" s="2" customFormat="1" ht="15" customHeight="1">
      <c r="A2" s="1" t="s">
        <v>7</v>
      </c>
      <c r="B2" s="1"/>
      <c r="C2" s="1"/>
      <c r="D2" s="1"/>
      <c r="E2" s="1"/>
      <c r="F2" s="1"/>
      <c r="G2" s="1"/>
      <c r="H2" s="1"/>
      <c r="I2" s="1"/>
      <c r="J2" s="1"/>
      <c r="K2" s="1"/>
    </row>
    <row r="3" spans="1:11" s="2" customFormat="1" ht="11.25">
      <c r="C3" s="3"/>
      <c r="F3" s="146"/>
      <c r="G3" s="146"/>
      <c r="K3" s="194"/>
    </row>
    <row r="4" spans="1:11" s="2" customFormat="1" ht="12.75">
      <c r="A4" s="147" t="s">
        <v>0</v>
      </c>
      <c r="B4" s="74" t="e">
        <f>#REF!</f>
        <v>#REF!</v>
      </c>
      <c r="C4" s="3"/>
      <c r="F4" s="146"/>
      <c r="G4" s="146"/>
      <c r="H4" s="180"/>
      <c r="K4" s="194"/>
    </row>
    <row r="5" spans="1:11" s="2" customFormat="1" ht="12.75">
      <c r="A5" s="147" t="s">
        <v>14</v>
      </c>
      <c r="B5" s="74" t="str">
        <f>$A$2</f>
        <v>OBRAS PROVISIONALES</v>
      </c>
      <c r="F5" s="146"/>
      <c r="G5" s="146"/>
      <c r="H5" s="180"/>
      <c r="K5" s="22"/>
    </row>
    <row r="6" spans="1:11" s="2" customFormat="1" ht="12.75">
      <c r="A6" s="147" t="s">
        <v>1</v>
      </c>
      <c r="B6" s="75" t="e">
        <f>#REF!</f>
        <v>#REF!</v>
      </c>
      <c r="F6" s="146"/>
      <c r="G6" s="146"/>
      <c r="H6" s="180"/>
      <c r="K6" s="22"/>
    </row>
    <row r="7" spans="1:11" s="2" customFormat="1" ht="12.75">
      <c r="A7" s="147" t="s">
        <v>3</v>
      </c>
      <c r="B7" s="75" t="e">
        <f>#REF!</f>
        <v>#REF!</v>
      </c>
      <c r="F7" s="146"/>
      <c r="G7" s="146"/>
      <c r="H7" s="180"/>
      <c r="K7" s="22"/>
    </row>
    <row r="8" spans="1:11" s="2" customFormat="1" ht="12.75">
      <c r="A8" s="59" t="s">
        <v>15</v>
      </c>
      <c r="B8" s="9" t="e">
        <f>#REF!</f>
        <v>#REF!</v>
      </c>
      <c r="F8" s="146"/>
      <c r="G8" s="146"/>
      <c r="H8" s="180"/>
      <c r="K8" s="22"/>
    </row>
    <row r="9" spans="1:11" s="2" customFormat="1" ht="12.75">
      <c r="A9" s="59"/>
      <c r="B9" s="9"/>
      <c r="F9" s="146"/>
      <c r="G9" s="146"/>
      <c r="H9" s="180"/>
    </row>
    <row r="10" spans="1:11" s="2" customFormat="1" ht="12.75">
      <c r="B10" s="9"/>
      <c r="C10" s="3"/>
      <c r="F10" s="146"/>
    </row>
    <row r="11" spans="1:11" s="2" customFormat="1" ht="16.5" customHeight="1" thickBot="1">
      <c r="C11" s="3"/>
    </row>
    <row r="12" spans="1:11" s="2" customFormat="1" ht="31.5" customHeight="1" thickTop="1" thickBot="1">
      <c r="A12" s="11" t="s">
        <v>5</v>
      </c>
      <c r="B12" s="12" t="s">
        <v>16</v>
      </c>
      <c r="C12" s="12" t="s">
        <v>17</v>
      </c>
      <c r="D12" s="13" t="s">
        <v>18</v>
      </c>
      <c r="E12" s="13" t="s">
        <v>19</v>
      </c>
      <c r="F12" s="13" t="s">
        <v>20</v>
      </c>
      <c r="G12" s="13" t="s">
        <v>21</v>
      </c>
      <c r="H12" s="73" t="s">
        <v>22</v>
      </c>
      <c r="I12" s="73" t="s">
        <v>23</v>
      </c>
      <c r="J12" s="73" t="s">
        <v>24</v>
      </c>
      <c r="K12" s="14" t="s">
        <v>13</v>
      </c>
    </row>
    <row r="13" spans="1:11" s="2" customFormat="1" ht="14.1" customHeight="1" thickTop="1" thickBot="1">
      <c r="A13" s="62" t="s">
        <v>25</v>
      </c>
      <c r="B13" s="16" t="s">
        <v>26</v>
      </c>
      <c r="C13" s="17"/>
      <c r="D13" s="18"/>
      <c r="E13" s="18"/>
      <c r="F13" s="18"/>
      <c r="G13" s="18"/>
      <c r="H13" s="18"/>
      <c r="I13" s="18"/>
      <c r="J13" s="18"/>
      <c r="K13" s="19"/>
    </row>
    <row r="14" spans="1:11" ht="15.75" thickTop="1">
      <c r="A14" s="220">
        <f>A13+0.01</f>
        <v>1.01</v>
      </c>
      <c r="B14" s="182" t="s">
        <v>27</v>
      </c>
      <c r="C14" s="183"/>
      <c r="D14" s="184"/>
      <c r="E14" s="225"/>
      <c r="F14" s="203"/>
      <c r="G14" s="213" t="str">
        <f t="shared" ref="G14:G44" si="0">IFERROR(IF(D14=0,"",(E14+F14*TC)),"")</f>
        <v/>
      </c>
      <c r="H14" s="212" t="str">
        <f>IFERROR(IF(D14=0,"",$D14*E14),"")</f>
        <v/>
      </c>
      <c r="I14" s="200" t="str">
        <f>IFERROR(IF(D14=0,"",$D14*F14),"")</f>
        <v/>
      </c>
      <c r="J14" s="93" t="str">
        <f>IFERROR(IF(D14&lt;&gt;0,(D14*G14)," "),0)</f>
        <v xml:space="preserve"> </v>
      </c>
      <c r="K14" s="206" t="e">
        <f>SUM(J15:J44)</f>
        <v>#REF!</v>
      </c>
    </row>
    <row r="15" spans="1:11" outlineLevel="1">
      <c r="A15" s="221">
        <f>GG!A13+0.0001</f>
        <v>12.0101</v>
      </c>
      <c r="B15" s="185" t="s">
        <v>28</v>
      </c>
      <c r="C15" s="47" t="s">
        <v>29</v>
      </c>
      <c r="D15" s="48">
        <v>1</v>
      </c>
      <c r="E15" s="95">
        <v>8315.7900000000009</v>
      </c>
      <c r="F15" s="102"/>
      <c r="G15" s="213" t="str">
        <f t="shared" si="0"/>
        <v/>
      </c>
      <c r="H15" s="213">
        <f>+ROUND(D15*E15,2)</f>
        <v>8315.7900000000009</v>
      </c>
      <c r="I15" s="201">
        <f>+ROUND(D15*F15,2)</f>
        <v>0</v>
      </c>
      <c r="J15" s="93" t="e">
        <f t="shared" ref="J15:J44" si="1">+ROUND(H15+I15*TC,2)</f>
        <v>#REF!</v>
      </c>
      <c r="K15" s="207"/>
    </row>
    <row r="16" spans="1:11" outlineLevel="1">
      <c r="A16" s="221">
        <f t="shared" ref="A16:A44" si="2">A15+0.0001</f>
        <v>12.010199999999999</v>
      </c>
      <c r="B16" s="186" t="s">
        <v>30</v>
      </c>
      <c r="C16" s="49" t="s">
        <v>29</v>
      </c>
      <c r="D16" s="50">
        <v>0</v>
      </c>
      <c r="E16" s="96"/>
      <c r="F16" s="114"/>
      <c r="G16" s="329" t="str">
        <f t="shared" si="0"/>
        <v/>
      </c>
      <c r="H16" s="329">
        <f t="shared" ref="H16:H75" si="3">+ROUND(D16*E16,2)</f>
        <v>0</v>
      </c>
      <c r="I16" s="330">
        <f t="shared" ref="I16:I75" si="4">+ROUND(D16*F16,2)</f>
        <v>0</v>
      </c>
      <c r="J16" s="93" t="e">
        <f t="shared" si="1"/>
        <v>#REF!</v>
      </c>
      <c r="K16" s="207"/>
    </row>
    <row r="17" spans="1:11" outlineLevel="1">
      <c r="A17" s="221">
        <f t="shared" si="2"/>
        <v>12.010299999999999</v>
      </c>
      <c r="B17" s="185" t="s">
        <v>31</v>
      </c>
      <c r="C17" s="47" t="s">
        <v>29</v>
      </c>
      <c r="D17" s="48">
        <v>1</v>
      </c>
      <c r="E17" s="95">
        <v>3246.71</v>
      </c>
      <c r="F17" s="102"/>
      <c r="G17" s="213" t="str">
        <f t="shared" si="0"/>
        <v/>
      </c>
      <c r="H17" s="213">
        <f t="shared" si="3"/>
        <v>3246.71</v>
      </c>
      <c r="I17" s="201">
        <f t="shared" si="4"/>
        <v>0</v>
      </c>
      <c r="J17" s="93" t="e">
        <f t="shared" si="1"/>
        <v>#REF!</v>
      </c>
      <c r="K17" s="207"/>
    </row>
    <row r="18" spans="1:11" outlineLevel="1">
      <c r="A18" s="221">
        <f t="shared" si="2"/>
        <v>12.010399999999999</v>
      </c>
      <c r="B18" s="185" t="s">
        <v>32</v>
      </c>
      <c r="C18" s="47" t="s">
        <v>29</v>
      </c>
      <c r="D18" s="48">
        <v>1</v>
      </c>
      <c r="E18" s="305">
        <v>10690.24</v>
      </c>
      <c r="F18" s="102"/>
      <c r="G18" s="213" t="str">
        <f t="shared" si="0"/>
        <v/>
      </c>
      <c r="H18" s="213">
        <f t="shared" si="3"/>
        <v>10690.24</v>
      </c>
      <c r="I18" s="201">
        <f t="shared" si="4"/>
        <v>0</v>
      </c>
      <c r="J18" s="93" t="e">
        <f t="shared" si="1"/>
        <v>#REF!</v>
      </c>
      <c r="K18" s="207"/>
    </row>
    <row r="19" spans="1:11" outlineLevel="1">
      <c r="A19" s="221">
        <f t="shared" si="2"/>
        <v>12.010499999999999</v>
      </c>
      <c r="B19" s="185" t="s">
        <v>33</v>
      </c>
      <c r="C19" s="47" t="s">
        <v>29</v>
      </c>
      <c r="D19" s="48">
        <v>1</v>
      </c>
      <c r="E19" s="95">
        <v>6229.18</v>
      </c>
      <c r="F19" s="102"/>
      <c r="G19" s="213" t="str">
        <f t="shared" si="0"/>
        <v/>
      </c>
      <c r="H19" s="213">
        <f t="shared" si="3"/>
        <v>6229.18</v>
      </c>
      <c r="I19" s="201">
        <f t="shared" si="4"/>
        <v>0</v>
      </c>
      <c r="J19" s="93" t="e">
        <f t="shared" si="1"/>
        <v>#REF!</v>
      </c>
      <c r="K19" s="207"/>
    </row>
    <row r="20" spans="1:11" outlineLevel="1">
      <c r="A20" s="221">
        <f t="shared" si="2"/>
        <v>12.010599999999998</v>
      </c>
      <c r="B20" s="186" t="s">
        <v>34</v>
      </c>
      <c r="C20" s="49" t="s">
        <v>29</v>
      </c>
      <c r="D20" s="50">
        <v>1</v>
      </c>
      <c r="E20" s="95">
        <v>6906.27</v>
      </c>
      <c r="F20" s="102"/>
      <c r="G20" s="213" t="str">
        <f t="shared" si="0"/>
        <v/>
      </c>
      <c r="H20" s="213">
        <f t="shared" si="3"/>
        <v>6906.27</v>
      </c>
      <c r="I20" s="201">
        <f t="shared" si="4"/>
        <v>0</v>
      </c>
      <c r="J20" s="93" t="e">
        <f t="shared" si="1"/>
        <v>#REF!</v>
      </c>
      <c r="K20" s="207"/>
    </row>
    <row r="21" spans="1:11" outlineLevel="1">
      <c r="A21" s="221">
        <f t="shared" si="2"/>
        <v>12.010699999999998</v>
      </c>
      <c r="B21" s="186" t="s">
        <v>35</v>
      </c>
      <c r="C21" s="49" t="s">
        <v>36</v>
      </c>
      <c r="D21" s="50">
        <v>1</v>
      </c>
      <c r="E21" s="95">
        <v>5282.76</v>
      </c>
      <c r="F21" s="102"/>
      <c r="G21" s="213" t="str">
        <f t="shared" si="0"/>
        <v/>
      </c>
      <c r="H21" s="213">
        <f t="shared" si="3"/>
        <v>5282.76</v>
      </c>
      <c r="I21" s="201">
        <f t="shared" si="4"/>
        <v>0</v>
      </c>
      <c r="J21" s="93" t="e">
        <f t="shared" si="1"/>
        <v>#REF!</v>
      </c>
      <c r="K21" s="207"/>
    </row>
    <row r="22" spans="1:11" outlineLevel="1">
      <c r="A22" s="221">
        <f t="shared" si="2"/>
        <v>12.010799999999998</v>
      </c>
      <c r="B22" s="186" t="s">
        <v>37</v>
      </c>
      <c r="C22" s="49" t="s">
        <v>29</v>
      </c>
      <c r="D22" s="50">
        <v>1</v>
      </c>
      <c r="E22" s="96">
        <v>850</v>
      </c>
      <c r="F22" s="102"/>
      <c r="G22" s="213" t="str">
        <f t="shared" si="0"/>
        <v/>
      </c>
      <c r="H22" s="213">
        <f t="shared" si="3"/>
        <v>850</v>
      </c>
      <c r="I22" s="201">
        <f t="shared" si="4"/>
        <v>0</v>
      </c>
      <c r="J22" s="93" t="e">
        <f t="shared" si="1"/>
        <v>#REF!</v>
      </c>
      <c r="K22" s="207"/>
    </row>
    <row r="23" spans="1:11" ht="24.6" customHeight="1" outlineLevel="1">
      <c r="A23" s="221">
        <f t="shared" si="2"/>
        <v>12.010899999999998</v>
      </c>
      <c r="B23" s="51" t="s">
        <v>38</v>
      </c>
      <c r="C23" s="49" t="s">
        <v>39</v>
      </c>
      <c r="D23" s="50">
        <v>10.5</v>
      </c>
      <c r="E23" s="96">
        <v>780</v>
      </c>
      <c r="F23" s="102"/>
      <c r="G23" s="213" t="str">
        <f t="shared" si="0"/>
        <v/>
      </c>
      <c r="H23" s="213">
        <f t="shared" si="3"/>
        <v>8190</v>
      </c>
      <c r="I23" s="201">
        <f t="shared" si="4"/>
        <v>0</v>
      </c>
      <c r="J23" s="93" t="e">
        <f t="shared" si="1"/>
        <v>#REF!</v>
      </c>
      <c r="K23" s="207"/>
    </row>
    <row r="24" spans="1:11" outlineLevel="1">
      <c r="A24" s="221">
        <f t="shared" si="2"/>
        <v>12.010999999999997</v>
      </c>
      <c r="B24" s="186" t="s">
        <v>40</v>
      </c>
      <c r="C24" s="49" t="s">
        <v>29</v>
      </c>
      <c r="D24" s="50">
        <v>1</v>
      </c>
      <c r="E24" s="96">
        <v>9936.2999999999993</v>
      </c>
      <c r="F24" s="102"/>
      <c r="G24" s="213" t="str">
        <f t="shared" si="0"/>
        <v/>
      </c>
      <c r="H24" s="213">
        <f t="shared" si="3"/>
        <v>9936.2999999999993</v>
      </c>
      <c r="I24" s="201">
        <f t="shared" si="4"/>
        <v>0</v>
      </c>
      <c r="J24" s="93" t="e">
        <f t="shared" si="1"/>
        <v>#REF!</v>
      </c>
      <c r="K24" s="207"/>
    </row>
    <row r="25" spans="1:11" outlineLevel="1">
      <c r="A25" s="221">
        <f t="shared" si="2"/>
        <v>12.011099999999997</v>
      </c>
      <c r="B25" s="186" t="s">
        <v>41</v>
      </c>
      <c r="C25" s="49" t="s">
        <v>29</v>
      </c>
      <c r="D25" s="50">
        <v>1</v>
      </c>
      <c r="E25" s="95">
        <v>7590</v>
      </c>
      <c r="F25" s="102"/>
      <c r="G25" s="213" t="str">
        <f t="shared" si="0"/>
        <v/>
      </c>
      <c r="H25" s="213">
        <f t="shared" si="3"/>
        <v>7590</v>
      </c>
      <c r="I25" s="201">
        <f t="shared" si="4"/>
        <v>0</v>
      </c>
      <c r="J25" s="93" t="e">
        <f t="shared" si="1"/>
        <v>#REF!</v>
      </c>
      <c r="K25" s="207"/>
    </row>
    <row r="26" spans="1:11" outlineLevel="1">
      <c r="A26" s="221">
        <f t="shared" si="2"/>
        <v>12.011199999999997</v>
      </c>
      <c r="B26" s="186" t="s">
        <v>42</v>
      </c>
      <c r="C26" s="49" t="s">
        <v>39</v>
      </c>
      <c r="D26" s="50">
        <v>10.5</v>
      </c>
      <c r="E26" s="96">
        <v>560</v>
      </c>
      <c r="F26" s="102"/>
      <c r="G26" s="213" t="str">
        <f t="shared" si="0"/>
        <v/>
      </c>
      <c r="H26" s="213">
        <f t="shared" si="3"/>
        <v>5880</v>
      </c>
      <c r="I26" s="201">
        <f t="shared" si="4"/>
        <v>0</v>
      </c>
      <c r="J26" s="93" t="e">
        <f t="shared" si="1"/>
        <v>#REF!</v>
      </c>
      <c r="K26" s="207"/>
    </row>
    <row r="27" spans="1:11" outlineLevel="1">
      <c r="A27" s="221">
        <f t="shared" si="2"/>
        <v>12.011299999999997</v>
      </c>
      <c r="B27" s="186" t="s">
        <v>43</v>
      </c>
      <c r="C27" s="49" t="s">
        <v>39</v>
      </c>
      <c r="D27" s="50">
        <v>13.5</v>
      </c>
      <c r="E27" s="96">
        <v>660</v>
      </c>
      <c r="F27" s="102"/>
      <c r="G27" s="213" t="str">
        <f>IFERROR(IF(D27=0,"",(E27+F27*TC)),"")</f>
        <v/>
      </c>
      <c r="H27" s="213">
        <f t="shared" si="3"/>
        <v>8910</v>
      </c>
      <c r="I27" s="201">
        <f t="shared" si="4"/>
        <v>0</v>
      </c>
      <c r="J27" s="93" t="e">
        <f t="shared" si="1"/>
        <v>#REF!</v>
      </c>
      <c r="K27" s="207"/>
    </row>
    <row r="28" spans="1:11" outlineLevel="1">
      <c r="A28" s="221">
        <f t="shared" si="2"/>
        <v>12.011399999999997</v>
      </c>
      <c r="B28" s="187" t="s">
        <v>44</v>
      </c>
      <c r="C28" s="49"/>
      <c r="D28" s="50"/>
      <c r="E28" s="96"/>
      <c r="F28" s="102">
        <v>0</v>
      </c>
      <c r="G28" s="213" t="str">
        <f t="shared" si="0"/>
        <v/>
      </c>
      <c r="H28" s="213">
        <f t="shared" si="3"/>
        <v>0</v>
      </c>
      <c r="I28" s="201">
        <f t="shared" si="4"/>
        <v>0</v>
      </c>
      <c r="J28" s="93" t="e">
        <f t="shared" si="1"/>
        <v>#REF!</v>
      </c>
      <c r="K28" s="207"/>
    </row>
    <row r="29" spans="1:11" outlineLevel="2">
      <c r="A29" s="221">
        <f t="shared" si="2"/>
        <v>12.011499999999996</v>
      </c>
      <c r="B29" s="188" t="s">
        <v>45</v>
      </c>
      <c r="C29" s="49" t="s">
        <v>46</v>
      </c>
      <c r="D29" s="50">
        <v>52</v>
      </c>
      <c r="E29" s="96">
        <v>712.5</v>
      </c>
      <c r="F29" s="102"/>
      <c r="G29" s="213" t="str">
        <f t="shared" si="0"/>
        <v/>
      </c>
      <c r="H29" s="213">
        <f t="shared" si="3"/>
        <v>37050</v>
      </c>
      <c r="I29" s="201">
        <f t="shared" si="4"/>
        <v>0</v>
      </c>
      <c r="J29" s="93" t="e">
        <f t="shared" si="1"/>
        <v>#REF!</v>
      </c>
      <c r="K29" s="207"/>
    </row>
    <row r="30" spans="1:11" outlineLevel="2">
      <c r="A30" s="221">
        <f t="shared" si="2"/>
        <v>12.011599999999996</v>
      </c>
      <c r="B30" s="188" t="s">
        <v>47</v>
      </c>
      <c r="C30" s="49" t="s">
        <v>46</v>
      </c>
      <c r="D30" s="50">
        <v>52</v>
      </c>
      <c r="E30" s="96">
        <v>118.82</v>
      </c>
      <c r="F30" s="102"/>
      <c r="G30" s="213" t="str">
        <f t="shared" si="0"/>
        <v/>
      </c>
      <c r="H30" s="213">
        <f t="shared" si="3"/>
        <v>6178.64</v>
      </c>
      <c r="I30" s="201">
        <f t="shared" si="4"/>
        <v>0</v>
      </c>
      <c r="J30" s="93" t="e">
        <f t="shared" si="1"/>
        <v>#REF!</v>
      </c>
      <c r="K30" s="207"/>
    </row>
    <row r="31" spans="1:11" outlineLevel="2">
      <c r="A31" s="221">
        <f t="shared" si="2"/>
        <v>12.011699999999996</v>
      </c>
      <c r="B31" s="188" t="s">
        <v>48</v>
      </c>
      <c r="C31" s="49" t="s">
        <v>36</v>
      </c>
      <c r="D31" s="50">
        <v>416</v>
      </c>
      <c r="E31" s="96"/>
      <c r="F31" s="102">
        <v>8.6999999999999993</v>
      </c>
      <c r="G31" s="213" t="str">
        <f t="shared" si="0"/>
        <v/>
      </c>
      <c r="H31" s="213">
        <f t="shared" si="3"/>
        <v>0</v>
      </c>
      <c r="I31" s="201">
        <f t="shared" si="4"/>
        <v>3619.2</v>
      </c>
      <c r="J31" s="93" t="e">
        <f t="shared" si="1"/>
        <v>#REF!</v>
      </c>
      <c r="K31" s="207"/>
    </row>
    <row r="32" spans="1:11" outlineLevel="2">
      <c r="A32" s="221">
        <f t="shared" si="2"/>
        <v>12.011799999999996</v>
      </c>
      <c r="B32" s="188" t="s">
        <v>49</v>
      </c>
      <c r="C32" s="49" t="s">
        <v>46</v>
      </c>
      <c r="D32" s="50">
        <v>52</v>
      </c>
      <c r="E32" s="96">
        <v>46.66</v>
      </c>
      <c r="F32" s="102"/>
      <c r="G32" s="213" t="str">
        <f t="shared" si="0"/>
        <v/>
      </c>
      <c r="H32" s="213">
        <f t="shared" si="3"/>
        <v>2426.3200000000002</v>
      </c>
      <c r="I32" s="201">
        <f t="shared" si="4"/>
        <v>0</v>
      </c>
      <c r="J32" s="93" t="e">
        <f t="shared" si="1"/>
        <v>#REF!</v>
      </c>
      <c r="K32" s="207"/>
    </row>
    <row r="33" spans="1:11" outlineLevel="2">
      <c r="A33" s="221">
        <f t="shared" si="2"/>
        <v>12.011899999999995</v>
      </c>
      <c r="B33" s="195" t="s">
        <v>50</v>
      </c>
      <c r="C33" s="49" t="s">
        <v>36</v>
      </c>
      <c r="D33" s="48">
        <v>112</v>
      </c>
      <c r="E33" s="95">
        <v>127.5</v>
      </c>
      <c r="F33" s="102"/>
      <c r="G33" s="213" t="str">
        <f t="shared" si="0"/>
        <v/>
      </c>
      <c r="H33" s="213">
        <f t="shared" si="3"/>
        <v>14280</v>
      </c>
      <c r="I33" s="201">
        <f t="shared" si="4"/>
        <v>0</v>
      </c>
      <c r="J33" s="93" t="e">
        <f t="shared" si="1"/>
        <v>#REF!</v>
      </c>
      <c r="K33" s="207"/>
    </row>
    <row r="34" spans="1:11" ht="22.5" outlineLevel="2">
      <c r="A34" s="221">
        <f t="shared" si="2"/>
        <v>12.011999999999995</v>
      </c>
      <c r="B34" s="195" t="s">
        <v>51</v>
      </c>
      <c r="C34" s="49" t="s">
        <v>46</v>
      </c>
      <c r="D34" s="50">
        <v>52</v>
      </c>
      <c r="E34" s="96">
        <v>87.76</v>
      </c>
      <c r="F34" s="102"/>
      <c r="G34" s="213" t="str">
        <f t="shared" si="0"/>
        <v/>
      </c>
      <c r="H34" s="213">
        <f t="shared" si="3"/>
        <v>4563.5200000000004</v>
      </c>
      <c r="I34" s="201">
        <f t="shared" si="4"/>
        <v>0</v>
      </c>
      <c r="J34" s="93" t="e">
        <f t="shared" si="1"/>
        <v>#REF!</v>
      </c>
      <c r="K34" s="207"/>
    </row>
    <row r="35" spans="1:11" outlineLevel="1">
      <c r="A35" s="221">
        <f t="shared" si="2"/>
        <v>12.012099999999995</v>
      </c>
      <c r="B35" s="186" t="s">
        <v>52</v>
      </c>
      <c r="C35" s="49" t="s">
        <v>29</v>
      </c>
      <c r="D35" s="50">
        <v>1</v>
      </c>
      <c r="E35" s="96">
        <v>7350</v>
      </c>
      <c r="F35" s="102"/>
      <c r="G35" s="213" t="str">
        <f t="shared" si="0"/>
        <v/>
      </c>
      <c r="H35" s="213">
        <f t="shared" si="3"/>
        <v>7350</v>
      </c>
      <c r="I35" s="201">
        <f t="shared" si="4"/>
        <v>0</v>
      </c>
      <c r="J35" s="93" t="e">
        <f t="shared" si="1"/>
        <v>#REF!</v>
      </c>
      <c r="K35" s="207"/>
    </row>
    <row r="36" spans="1:11" outlineLevel="1">
      <c r="A36" s="221">
        <f t="shared" si="2"/>
        <v>12.012199999999995</v>
      </c>
      <c r="B36" s="186" t="s">
        <v>53</v>
      </c>
      <c r="C36" s="49" t="s">
        <v>29</v>
      </c>
      <c r="D36" s="50">
        <v>1</v>
      </c>
      <c r="E36" s="96">
        <v>28599.53</v>
      </c>
      <c r="F36" s="102"/>
      <c r="G36" s="213" t="str">
        <f t="shared" si="0"/>
        <v/>
      </c>
      <c r="H36" s="213">
        <f t="shared" si="3"/>
        <v>28599.53</v>
      </c>
      <c r="I36" s="201">
        <f t="shared" si="4"/>
        <v>0</v>
      </c>
      <c r="J36" s="93" t="e">
        <f t="shared" si="1"/>
        <v>#REF!</v>
      </c>
      <c r="K36" s="207"/>
    </row>
    <row r="37" spans="1:11" outlineLevel="1">
      <c r="A37" s="221">
        <f t="shared" si="2"/>
        <v>12.012299999999994</v>
      </c>
      <c r="B37" s="51" t="s">
        <v>54</v>
      </c>
      <c r="C37" s="49" t="s">
        <v>29</v>
      </c>
      <c r="D37" s="50">
        <v>0</v>
      </c>
      <c r="E37" s="96">
        <v>3324.88</v>
      </c>
      <c r="F37" s="102"/>
      <c r="G37" s="213" t="str">
        <f t="shared" si="0"/>
        <v/>
      </c>
      <c r="H37" s="213">
        <f t="shared" si="3"/>
        <v>0</v>
      </c>
      <c r="I37" s="201">
        <f t="shared" si="4"/>
        <v>0</v>
      </c>
      <c r="J37" s="93" t="e">
        <f t="shared" si="1"/>
        <v>#REF!</v>
      </c>
      <c r="K37" s="207"/>
    </row>
    <row r="38" spans="1:11" s="304" customFormat="1" ht="15" customHeight="1" outlineLevel="1">
      <c r="A38" s="221">
        <f t="shared" si="2"/>
        <v>12.012399999999994</v>
      </c>
      <c r="B38" s="327" t="s">
        <v>55</v>
      </c>
      <c r="C38" s="204" t="s">
        <v>46</v>
      </c>
      <c r="D38" s="52">
        <v>0</v>
      </c>
      <c r="E38" s="226">
        <v>475</v>
      </c>
      <c r="F38" s="328"/>
      <c r="G38" s="329" t="str">
        <f t="shared" si="0"/>
        <v/>
      </c>
      <c r="H38" s="213">
        <f t="shared" si="3"/>
        <v>0</v>
      </c>
      <c r="I38" s="201">
        <f t="shared" si="4"/>
        <v>0</v>
      </c>
      <c r="J38" s="93" t="e">
        <f t="shared" si="1"/>
        <v>#REF!</v>
      </c>
      <c r="K38" s="331"/>
    </row>
    <row r="39" spans="1:11" s="304" customFormat="1" ht="22.5" outlineLevel="1">
      <c r="A39" s="221">
        <f t="shared" si="2"/>
        <v>12.012499999999994</v>
      </c>
      <c r="B39" s="332" t="s">
        <v>56</v>
      </c>
      <c r="C39" s="204" t="s">
        <v>46</v>
      </c>
      <c r="D39" s="52">
        <v>0</v>
      </c>
      <c r="E39" s="226">
        <v>98.89</v>
      </c>
      <c r="F39" s="328"/>
      <c r="G39" s="329" t="str">
        <f t="shared" si="0"/>
        <v/>
      </c>
      <c r="H39" s="213">
        <f t="shared" si="3"/>
        <v>0</v>
      </c>
      <c r="I39" s="201">
        <f t="shared" si="4"/>
        <v>0</v>
      </c>
      <c r="J39" s="93" t="e">
        <f t="shared" si="1"/>
        <v>#REF!</v>
      </c>
      <c r="K39" s="331"/>
    </row>
    <row r="40" spans="1:11" outlineLevel="1">
      <c r="A40" s="221">
        <f t="shared" si="2"/>
        <v>12.012599999999994</v>
      </c>
      <c r="B40" s="186" t="s">
        <v>57</v>
      </c>
      <c r="C40" s="49" t="s">
        <v>46</v>
      </c>
      <c r="D40" s="50">
        <v>0</v>
      </c>
      <c r="E40" s="96">
        <v>74.400000000000006</v>
      </c>
      <c r="F40" s="102"/>
      <c r="G40" s="213" t="str">
        <f t="shared" si="0"/>
        <v/>
      </c>
      <c r="H40" s="213">
        <f t="shared" si="3"/>
        <v>0</v>
      </c>
      <c r="I40" s="201">
        <f t="shared" si="4"/>
        <v>0</v>
      </c>
      <c r="J40" s="93" t="e">
        <f t="shared" si="1"/>
        <v>#REF!</v>
      </c>
      <c r="K40" s="207"/>
    </row>
    <row r="41" spans="1:11" outlineLevel="1">
      <c r="A41" s="221">
        <f t="shared" si="2"/>
        <v>12.012699999999993</v>
      </c>
      <c r="B41" s="186" t="s">
        <v>58</v>
      </c>
      <c r="C41" s="49" t="s">
        <v>46</v>
      </c>
      <c r="D41" s="50">
        <v>26</v>
      </c>
      <c r="E41" s="96">
        <v>80.7</v>
      </c>
      <c r="F41" s="102"/>
      <c r="G41" s="213" t="str">
        <f t="shared" si="0"/>
        <v/>
      </c>
      <c r="H41" s="213">
        <f t="shared" si="3"/>
        <v>2098.1999999999998</v>
      </c>
      <c r="I41" s="201">
        <f t="shared" si="4"/>
        <v>0</v>
      </c>
      <c r="J41" s="93" t="e">
        <f t="shared" si="1"/>
        <v>#REF!</v>
      </c>
      <c r="K41" s="207"/>
    </row>
    <row r="42" spans="1:11" outlineLevel="1">
      <c r="A42" s="221">
        <f t="shared" si="2"/>
        <v>12.012799999999993</v>
      </c>
      <c r="B42" s="186" t="s">
        <v>59</v>
      </c>
      <c r="C42" s="49" t="s">
        <v>29</v>
      </c>
      <c r="D42" s="50">
        <v>1</v>
      </c>
      <c r="E42" s="96">
        <v>3250</v>
      </c>
      <c r="F42" s="114"/>
      <c r="G42" s="213" t="str">
        <f t="shared" si="0"/>
        <v/>
      </c>
      <c r="H42" s="213">
        <f t="shared" si="3"/>
        <v>3250</v>
      </c>
      <c r="I42" s="201">
        <f t="shared" si="4"/>
        <v>0</v>
      </c>
      <c r="J42" s="93" t="e">
        <f t="shared" si="1"/>
        <v>#REF!</v>
      </c>
      <c r="K42" s="207"/>
    </row>
    <row r="43" spans="1:11" outlineLevel="1">
      <c r="A43" s="221">
        <f t="shared" si="2"/>
        <v>12.012899999999993</v>
      </c>
      <c r="B43" s="51" t="s">
        <v>60</v>
      </c>
      <c r="C43" s="49" t="s">
        <v>29</v>
      </c>
      <c r="D43" s="50">
        <v>1</v>
      </c>
      <c r="E43" s="96">
        <v>3000</v>
      </c>
      <c r="F43" s="114"/>
      <c r="G43" s="213" t="str">
        <f t="shared" si="0"/>
        <v/>
      </c>
      <c r="H43" s="213">
        <f t="shared" si="3"/>
        <v>3000</v>
      </c>
      <c r="I43" s="201">
        <f t="shared" si="4"/>
        <v>0</v>
      </c>
      <c r="J43" s="93" t="e">
        <f t="shared" si="1"/>
        <v>#REF!</v>
      </c>
      <c r="K43" s="207"/>
    </row>
    <row r="44" spans="1:11" outlineLevel="1">
      <c r="A44" s="221">
        <f t="shared" si="2"/>
        <v>12.012999999999993</v>
      </c>
      <c r="B44" s="189" t="s">
        <v>61</v>
      </c>
      <c r="C44" s="49" t="s">
        <v>29</v>
      </c>
      <c r="D44" s="50">
        <v>1</v>
      </c>
      <c r="E44" s="96">
        <v>1400</v>
      </c>
      <c r="F44" s="102"/>
      <c r="G44" s="213" t="str">
        <f t="shared" si="0"/>
        <v/>
      </c>
      <c r="H44" s="213">
        <f t="shared" si="3"/>
        <v>1400</v>
      </c>
      <c r="I44" s="201">
        <f t="shared" si="4"/>
        <v>0</v>
      </c>
      <c r="J44" s="93" t="e">
        <f t="shared" si="1"/>
        <v>#REF!</v>
      </c>
      <c r="K44" s="208"/>
    </row>
    <row r="45" spans="1:11">
      <c r="A45" s="220">
        <f>A14+0.01</f>
        <v>1.02</v>
      </c>
      <c r="B45" s="196" t="s">
        <v>62</v>
      </c>
      <c r="C45" s="190"/>
      <c r="D45" s="191"/>
      <c r="E45" s="227"/>
      <c r="F45" s="102">
        <v>0</v>
      </c>
      <c r="G45" s="213"/>
      <c r="H45" s="213"/>
      <c r="I45" s="201"/>
      <c r="J45" s="93"/>
      <c r="K45" s="209" t="e">
        <f>SUM(J46:J49)</f>
        <v>#REF!</v>
      </c>
    </row>
    <row r="46" spans="1:11" outlineLevel="1">
      <c r="A46" s="221">
        <f t="shared" ref="A46:A66" si="5">A45+0.0001</f>
        <v>1.0201</v>
      </c>
      <c r="B46" s="186" t="s">
        <v>63</v>
      </c>
      <c r="C46" s="49" t="s">
        <v>46</v>
      </c>
      <c r="D46" s="50">
        <v>0</v>
      </c>
      <c r="E46" s="96">
        <v>1281.3024999999998</v>
      </c>
      <c r="F46" s="114">
        <v>0</v>
      </c>
      <c r="G46" s="329" t="str">
        <f t="shared" ref="G46:G74" si="6">IFERROR(IF(D46=0,"",(E46+F46*TC)),"")</f>
        <v/>
      </c>
      <c r="H46" s="329">
        <f t="shared" si="3"/>
        <v>0</v>
      </c>
      <c r="I46" s="330">
        <f t="shared" si="4"/>
        <v>0</v>
      </c>
      <c r="J46" s="93" t="e">
        <f>+ROUND(H46+I46*TC,2)</f>
        <v>#REF!</v>
      </c>
      <c r="K46" s="207"/>
    </row>
    <row r="47" spans="1:11" ht="22.5" outlineLevel="1">
      <c r="A47" s="221">
        <f t="shared" si="5"/>
        <v>1.0202</v>
      </c>
      <c r="B47" s="51" t="s">
        <v>64</v>
      </c>
      <c r="C47" s="49" t="s">
        <v>36</v>
      </c>
      <c r="D47" s="50">
        <v>0</v>
      </c>
      <c r="E47" s="96">
        <v>1643.74</v>
      </c>
      <c r="F47" s="114">
        <v>0</v>
      </c>
      <c r="G47" s="329" t="str">
        <f t="shared" si="6"/>
        <v/>
      </c>
      <c r="H47" s="329">
        <f t="shared" si="3"/>
        <v>0</v>
      </c>
      <c r="I47" s="330">
        <f t="shared" si="4"/>
        <v>0</v>
      </c>
      <c r="J47" s="93" t="e">
        <f>+ROUND(H47+I47*TC,2)</f>
        <v>#REF!</v>
      </c>
      <c r="K47" s="207"/>
    </row>
    <row r="48" spans="1:11" outlineLevel="1">
      <c r="A48" s="221">
        <f t="shared" si="5"/>
        <v>1.0203</v>
      </c>
      <c r="B48" s="186" t="s">
        <v>65</v>
      </c>
      <c r="C48" s="49" t="s">
        <v>29</v>
      </c>
      <c r="D48" s="50">
        <v>0</v>
      </c>
      <c r="E48" s="96">
        <v>2400</v>
      </c>
      <c r="F48" s="114">
        <v>0</v>
      </c>
      <c r="G48" s="329" t="str">
        <f t="shared" si="6"/>
        <v/>
      </c>
      <c r="H48" s="329">
        <f t="shared" si="3"/>
        <v>0</v>
      </c>
      <c r="I48" s="330">
        <f t="shared" si="4"/>
        <v>0</v>
      </c>
      <c r="J48" s="93" t="e">
        <f>+ROUND(H48+I48*TC,2)</f>
        <v>#REF!</v>
      </c>
      <c r="K48" s="207"/>
    </row>
    <row r="49" spans="1:11" outlineLevel="1">
      <c r="A49" s="221">
        <f t="shared" si="5"/>
        <v>1.0204</v>
      </c>
      <c r="B49" s="186" t="s">
        <v>66</v>
      </c>
      <c r="C49" s="49" t="s">
        <v>29</v>
      </c>
      <c r="D49" s="50">
        <v>0</v>
      </c>
      <c r="E49" s="96">
        <v>1500</v>
      </c>
      <c r="F49" s="114">
        <v>0</v>
      </c>
      <c r="G49" s="329" t="str">
        <f t="shared" si="6"/>
        <v/>
      </c>
      <c r="H49" s="329">
        <f t="shared" si="3"/>
        <v>0</v>
      </c>
      <c r="I49" s="330">
        <f t="shared" si="4"/>
        <v>0</v>
      </c>
      <c r="J49" s="93" t="e">
        <f>+ROUND(H49+I49*TC,2)</f>
        <v>#REF!</v>
      </c>
      <c r="K49" s="207"/>
    </row>
    <row r="50" spans="1:11">
      <c r="A50" s="220">
        <f>A45+0.01</f>
        <v>1.03</v>
      </c>
      <c r="B50" s="196" t="s">
        <v>67</v>
      </c>
      <c r="C50" s="190"/>
      <c r="D50" s="191"/>
      <c r="E50" s="227"/>
      <c r="F50" s="114"/>
      <c r="G50" s="329"/>
      <c r="H50" s="329"/>
      <c r="I50" s="330"/>
      <c r="J50" s="93"/>
      <c r="K50" s="209" t="e">
        <f>SUM(J51:J56)</f>
        <v>#REF!</v>
      </c>
    </row>
    <row r="51" spans="1:11" outlineLevel="1">
      <c r="A51" s="221">
        <f t="shared" si="5"/>
        <v>1.0301</v>
      </c>
      <c r="B51" s="186" t="s">
        <v>68</v>
      </c>
      <c r="C51" s="49" t="s">
        <v>39</v>
      </c>
      <c r="D51" s="50">
        <v>20.5</v>
      </c>
      <c r="E51" s="96">
        <v>1250</v>
      </c>
      <c r="F51" s="114"/>
      <c r="G51" s="329" t="str">
        <f t="shared" si="6"/>
        <v/>
      </c>
      <c r="H51" s="329">
        <f t="shared" si="3"/>
        <v>25625</v>
      </c>
      <c r="I51" s="330">
        <f t="shared" si="4"/>
        <v>0</v>
      </c>
      <c r="J51" s="93" t="e">
        <f t="shared" ref="J51:J66" si="7">+ROUND(H51+I51*TC,2)</f>
        <v>#REF!</v>
      </c>
      <c r="K51" s="207"/>
    </row>
    <row r="52" spans="1:11" outlineLevel="1">
      <c r="A52" s="221">
        <f t="shared" si="5"/>
        <v>1.0302</v>
      </c>
      <c r="B52" s="186" t="s">
        <v>69</v>
      </c>
      <c r="C52" s="49" t="s">
        <v>70</v>
      </c>
      <c r="D52" s="50">
        <v>0</v>
      </c>
      <c r="E52" s="96">
        <v>0</v>
      </c>
      <c r="F52" s="114">
        <v>120</v>
      </c>
      <c r="G52" s="329" t="str">
        <f t="shared" si="6"/>
        <v/>
      </c>
      <c r="H52" s="329">
        <f t="shared" si="3"/>
        <v>0</v>
      </c>
      <c r="I52" s="330">
        <f t="shared" si="4"/>
        <v>0</v>
      </c>
      <c r="J52" s="93" t="e">
        <f t="shared" si="7"/>
        <v>#REF!</v>
      </c>
      <c r="K52" s="207"/>
    </row>
    <row r="53" spans="1:11" outlineLevel="1">
      <c r="A53" s="221">
        <f t="shared" si="5"/>
        <v>1.0303</v>
      </c>
      <c r="B53" s="186" t="s">
        <v>71</v>
      </c>
      <c r="C53" s="49" t="s">
        <v>29</v>
      </c>
      <c r="D53" s="50">
        <v>1</v>
      </c>
      <c r="E53" s="96">
        <v>2550</v>
      </c>
      <c r="F53" s="114"/>
      <c r="G53" s="329" t="str">
        <f t="shared" si="6"/>
        <v/>
      </c>
      <c r="H53" s="329">
        <f t="shared" si="3"/>
        <v>2550</v>
      </c>
      <c r="I53" s="330">
        <f t="shared" si="4"/>
        <v>0</v>
      </c>
      <c r="J53" s="93" t="e">
        <f t="shared" si="7"/>
        <v>#REF!</v>
      </c>
      <c r="K53" s="207"/>
    </row>
    <row r="54" spans="1:11" outlineLevel="1">
      <c r="A54" s="221">
        <f t="shared" si="5"/>
        <v>1.0304</v>
      </c>
      <c r="B54" s="186" t="s">
        <v>72</v>
      </c>
      <c r="C54" s="49" t="s">
        <v>73</v>
      </c>
      <c r="D54" s="50">
        <v>10</v>
      </c>
      <c r="E54" s="96">
        <v>850</v>
      </c>
      <c r="F54" s="114"/>
      <c r="G54" s="329" t="str">
        <f t="shared" si="6"/>
        <v/>
      </c>
      <c r="H54" s="329">
        <f t="shared" si="3"/>
        <v>8500</v>
      </c>
      <c r="I54" s="330">
        <f t="shared" si="4"/>
        <v>0</v>
      </c>
      <c r="J54" s="93" t="e">
        <f t="shared" si="7"/>
        <v>#REF!</v>
      </c>
      <c r="K54" s="207"/>
    </row>
    <row r="55" spans="1:11" outlineLevel="1">
      <c r="A55" s="221" t="e">
        <f>#REF!+0.0001</f>
        <v>#REF!</v>
      </c>
      <c r="B55" s="186" t="s">
        <v>74</v>
      </c>
      <c r="C55" s="49" t="s">
        <v>29</v>
      </c>
      <c r="D55" s="50">
        <v>1</v>
      </c>
      <c r="E55" s="96">
        <v>2550</v>
      </c>
      <c r="F55" s="114"/>
      <c r="G55" s="329" t="str">
        <f t="shared" si="6"/>
        <v/>
      </c>
      <c r="H55" s="329">
        <f t="shared" si="3"/>
        <v>2550</v>
      </c>
      <c r="I55" s="330">
        <f t="shared" si="4"/>
        <v>0</v>
      </c>
      <c r="J55" s="93" t="e">
        <f t="shared" si="7"/>
        <v>#REF!</v>
      </c>
      <c r="K55" s="207"/>
    </row>
    <row r="56" spans="1:11" outlineLevel="1">
      <c r="A56" s="221" t="e">
        <f t="shared" si="5"/>
        <v>#REF!</v>
      </c>
      <c r="B56" s="186" t="s">
        <v>75</v>
      </c>
      <c r="C56" s="49" t="s">
        <v>70</v>
      </c>
      <c r="D56" s="50">
        <v>0</v>
      </c>
      <c r="E56" s="96">
        <v>0</v>
      </c>
      <c r="F56" s="114">
        <v>120</v>
      </c>
      <c r="G56" s="329" t="str">
        <f t="shared" si="6"/>
        <v/>
      </c>
      <c r="H56" s="329">
        <f t="shared" si="3"/>
        <v>0</v>
      </c>
      <c r="I56" s="330">
        <f t="shared" si="4"/>
        <v>0</v>
      </c>
      <c r="J56" s="93" t="e">
        <f t="shared" si="7"/>
        <v>#REF!</v>
      </c>
      <c r="K56" s="207"/>
    </row>
    <row r="57" spans="1:11">
      <c r="A57" s="220">
        <f>A50+0.01</f>
        <v>1.04</v>
      </c>
      <c r="B57" s="196" t="s">
        <v>76</v>
      </c>
      <c r="C57" s="190"/>
      <c r="D57" s="191"/>
      <c r="E57" s="227"/>
      <c r="F57" s="114">
        <v>0</v>
      </c>
      <c r="G57" s="329" t="str">
        <f t="shared" si="6"/>
        <v/>
      </c>
      <c r="H57" s="329">
        <f t="shared" si="3"/>
        <v>0</v>
      </c>
      <c r="I57" s="330">
        <f t="shared" si="4"/>
        <v>0</v>
      </c>
      <c r="J57" s="93" t="e">
        <f t="shared" si="7"/>
        <v>#REF!</v>
      </c>
      <c r="K57" s="209" t="e">
        <f>SUM(J58:J66)</f>
        <v>#REF!</v>
      </c>
    </row>
    <row r="58" spans="1:11" s="304" customFormat="1" ht="15" customHeight="1" outlineLevel="1">
      <c r="A58" s="480">
        <f t="shared" si="5"/>
        <v>1.0401</v>
      </c>
      <c r="B58" s="327" t="s">
        <v>77</v>
      </c>
      <c r="C58" s="204" t="s">
        <v>29</v>
      </c>
      <c r="D58" s="52">
        <v>0</v>
      </c>
      <c r="E58" s="226"/>
      <c r="F58" s="328"/>
      <c r="G58" s="329" t="str">
        <f t="shared" si="6"/>
        <v/>
      </c>
      <c r="H58" s="329">
        <f t="shared" si="3"/>
        <v>0</v>
      </c>
      <c r="I58" s="330">
        <f t="shared" si="4"/>
        <v>0</v>
      </c>
      <c r="J58" s="93" t="e">
        <f t="shared" si="7"/>
        <v>#REF!</v>
      </c>
      <c r="K58" s="331"/>
    </row>
    <row r="59" spans="1:11" s="304" customFormat="1" ht="15.75" customHeight="1" outlineLevel="1">
      <c r="A59" s="480">
        <f t="shared" si="5"/>
        <v>1.0402</v>
      </c>
      <c r="B59" s="198" t="s">
        <v>78</v>
      </c>
      <c r="C59" s="204" t="s">
        <v>29</v>
      </c>
      <c r="D59" s="52">
        <v>0</v>
      </c>
      <c r="E59" s="226"/>
      <c r="F59" s="328"/>
      <c r="G59" s="329" t="str">
        <f t="shared" si="6"/>
        <v/>
      </c>
      <c r="H59" s="329">
        <f t="shared" si="3"/>
        <v>0</v>
      </c>
      <c r="I59" s="330">
        <f t="shared" si="4"/>
        <v>0</v>
      </c>
      <c r="J59" s="93" t="e">
        <f t="shared" si="7"/>
        <v>#REF!</v>
      </c>
      <c r="K59" s="331"/>
    </row>
    <row r="60" spans="1:11" outlineLevel="1">
      <c r="A60" s="221">
        <f t="shared" si="5"/>
        <v>1.0403</v>
      </c>
      <c r="B60" s="186" t="s">
        <v>79</v>
      </c>
      <c r="C60" s="49" t="s">
        <v>29</v>
      </c>
      <c r="D60" s="50">
        <v>0</v>
      </c>
      <c r="E60" s="226"/>
      <c r="F60" s="114"/>
      <c r="G60" s="329" t="str">
        <f t="shared" si="6"/>
        <v/>
      </c>
      <c r="H60" s="329">
        <f t="shared" si="3"/>
        <v>0</v>
      </c>
      <c r="I60" s="330">
        <f t="shared" si="4"/>
        <v>0</v>
      </c>
      <c r="J60" s="93" t="e">
        <f t="shared" si="7"/>
        <v>#REF!</v>
      </c>
      <c r="K60" s="207"/>
    </row>
    <row r="61" spans="1:11" outlineLevel="1">
      <c r="A61" s="221">
        <f t="shared" si="5"/>
        <v>1.0404</v>
      </c>
      <c r="B61" s="186" t="s">
        <v>80</v>
      </c>
      <c r="C61" s="47" t="s">
        <v>29</v>
      </c>
      <c r="D61" s="50">
        <v>0</v>
      </c>
      <c r="E61" s="305"/>
      <c r="F61" s="114"/>
      <c r="G61" s="329" t="str">
        <f t="shared" si="6"/>
        <v/>
      </c>
      <c r="H61" s="213">
        <f t="shared" si="3"/>
        <v>0</v>
      </c>
      <c r="I61" s="201">
        <f t="shared" si="4"/>
        <v>0</v>
      </c>
      <c r="J61" s="93" t="e">
        <f t="shared" si="7"/>
        <v>#REF!</v>
      </c>
      <c r="K61" s="207"/>
    </row>
    <row r="62" spans="1:11" outlineLevel="1">
      <c r="A62" s="221">
        <f t="shared" si="5"/>
        <v>1.0405</v>
      </c>
      <c r="B62" s="186" t="s">
        <v>81</v>
      </c>
      <c r="C62" s="47" t="s">
        <v>29</v>
      </c>
      <c r="D62" s="50">
        <v>0</v>
      </c>
      <c r="E62" s="305"/>
      <c r="F62" s="114"/>
      <c r="G62" s="329" t="str">
        <f>IFERROR(IF(D62=0,"",(E62+F62*TC)),"")</f>
        <v/>
      </c>
      <c r="H62" s="213">
        <f t="shared" si="3"/>
        <v>0</v>
      </c>
      <c r="I62" s="201">
        <f t="shared" si="4"/>
        <v>0</v>
      </c>
      <c r="J62" s="93" t="e">
        <f t="shared" si="7"/>
        <v>#REF!</v>
      </c>
      <c r="K62" s="207"/>
    </row>
    <row r="63" spans="1:11" outlineLevel="1">
      <c r="A63" s="221">
        <f>A61+0.0001</f>
        <v>1.0405</v>
      </c>
      <c r="B63" s="186" t="s">
        <v>82</v>
      </c>
      <c r="C63" s="47" t="s">
        <v>29</v>
      </c>
      <c r="D63" s="50">
        <v>4</v>
      </c>
      <c r="E63" s="95">
        <v>4600</v>
      </c>
      <c r="F63" s="102"/>
      <c r="G63" s="213" t="str">
        <f t="shared" si="6"/>
        <v/>
      </c>
      <c r="H63" s="213">
        <f t="shared" si="3"/>
        <v>18400</v>
      </c>
      <c r="I63" s="201">
        <f t="shared" si="4"/>
        <v>0</v>
      </c>
      <c r="J63" s="93" t="e">
        <f t="shared" si="7"/>
        <v>#REF!</v>
      </c>
      <c r="K63" s="207"/>
    </row>
    <row r="64" spans="1:11" outlineLevel="1">
      <c r="A64" s="221">
        <f t="shared" si="5"/>
        <v>1.0406</v>
      </c>
      <c r="B64" s="186" t="s">
        <v>83</v>
      </c>
      <c r="C64" s="47" t="s">
        <v>29</v>
      </c>
      <c r="D64" s="50">
        <v>10</v>
      </c>
      <c r="E64" s="95">
        <v>675</v>
      </c>
      <c r="F64" s="102"/>
      <c r="G64" s="213" t="str">
        <f t="shared" si="6"/>
        <v/>
      </c>
      <c r="H64" s="213">
        <f t="shared" si="3"/>
        <v>6750</v>
      </c>
      <c r="I64" s="201">
        <f t="shared" si="4"/>
        <v>0</v>
      </c>
      <c r="J64" s="93" t="e">
        <f t="shared" si="7"/>
        <v>#REF!</v>
      </c>
      <c r="K64" s="207"/>
    </row>
    <row r="65" spans="1:11" outlineLevel="1">
      <c r="A65" s="221">
        <f t="shared" si="5"/>
        <v>1.0407</v>
      </c>
      <c r="B65" s="186" t="s">
        <v>84</v>
      </c>
      <c r="C65" s="47" t="s">
        <v>29</v>
      </c>
      <c r="D65" s="50">
        <v>3</v>
      </c>
      <c r="E65" s="95">
        <v>2250</v>
      </c>
      <c r="F65" s="102"/>
      <c r="G65" s="213" t="str">
        <f t="shared" si="6"/>
        <v/>
      </c>
      <c r="H65" s="213">
        <f t="shared" si="3"/>
        <v>6750</v>
      </c>
      <c r="I65" s="201">
        <f t="shared" si="4"/>
        <v>0</v>
      </c>
      <c r="J65" s="93" t="e">
        <f t="shared" si="7"/>
        <v>#REF!</v>
      </c>
      <c r="K65" s="207"/>
    </row>
    <row r="66" spans="1:11" outlineLevel="1">
      <c r="A66" s="221">
        <f t="shared" si="5"/>
        <v>1.0407999999999999</v>
      </c>
      <c r="B66" s="186" t="s">
        <v>85</v>
      </c>
      <c r="C66" s="47" t="s">
        <v>29</v>
      </c>
      <c r="D66" s="50">
        <v>1</v>
      </c>
      <c r="E66" s="95">
        <v>1350</v>
      </c>
      <c r="F66" s="102"/>
      <c r="G66" s="213" t="str">
        <f t="shared" si="6"/>
        <v/>
      </c>
      <c r="H66" s="213">
        <f t="shared" si="3"/>
        <v>1350</v>
      </c>
      <c r="I66" s="201">
        <f t="shared" si="4"/>
        <v>0</v>
      </c>
      <c r="J66" s="93" t="e">
        <f t="shared" si="7"/>
        <v>#REF!</v>
      </c>
      <c r="K66" s="207"/>
    </row>
    <row r="67" spans="1:11">
      <c r="A67" s="220">
        <f>A57+0.01</f>
        <v>1.05</v>
      </c>
      <c r="B67" s="196" t="s">
        <v>86</v>
      </c>
      <c r="C67" s="190"/>
      <c r="D67" s="191"/>
      <c r="E67" s="227"/>
      <c r="F67" s="102">
        <v>0</v>
      </c>
      <c r="G67" s="213" t="str">
        <f t="shared" si="6"/>
        <v/>
      </c>
      <c r="H67" s="213"/>
      <c r="I67" s="201"/>
      <c r="J67" s="93"/>
      <c r="K67" s="209" t="e">
        <f>SUM(J69:J109)</f>
        <v>#REF!</v>
      </c>
    </row>
    <row r="68" spans="1:11" outlineLevel="1">
      <c r="A68" s="223">
        <f>A67+0.0001</f>
        <v>1.0501</v>
      </c>
      <c r="B68" s="197" t="s">
        <v>87</v>
      </c>
      <c r="C68" s="49"/>
      <c r="D68" s="50"/>
      <c r="E68" s="96"/>
      <c r="F68" s="102"/>
      <c r="G68" s="213" t="str">
        <f t="shared" si="6"/>
        <v/>
      </c>
      <c r="H68" s="213"/>
      <c r="I68" s="201"/>
      <c r="J68" s="93"/>
      <c r="K68" s="207"/>
    </row>
    <row r="69" spans="1:11" outlineLevel="2">
      <c r="A69" s="222">
        <f t="shared" ref="A69:A109" si="8">A68+0.000001</f>
        <v>1.050101</v>
      </c>
      <c r="B69" s="198" t="s">
        <v>88</v>
      </c>
      <c r="C69" s="204" t="s">
        <v>39</v>
      </c>
      <c r="D69" s="50">
        <v>8</v>
      </c>
      <c r="E69" s="96">
        <v>0</v>
      </c>
      <c r="F69" s="114">
        <v>6000</v>
      </c>
      <c r="G69" s="329" t="str">
        <f t="shared" si="6"/>
        <v/>
      </c>
      <c r="H69" s="213">
        <f t="shared" si="3"/>
        <v>0</v>
      </c>
      <c r="I69" s="201">
        <f t="shared" si="4"/>
        <v>48000</v>
      </c>
      <c r="J69" s="93" t="e">
        <f t="shared" ref="J69:J109" si="9">+ROUND(H69+I69*TC,2)</f>
        <v>#REF!</v>
      </c>
      <c r="K69" s="207"/>
    </row>
    <row r="70" spans="1:11" outlineLevel="2">
      <c r="A70" s="222">
        <f t="shared" si="8"/>
        <v>1.0501019999999999</v>
      </c>
      <c r="B70" s="198" t="s">
        <v>89</v>
      </c>
      <c r="C70" s="204" t="s">
        <v>39</v>
      </c>
      <c r="D70" s="50">
        <v>8</v>
      </c>
      <c r="E70" s="96">
        <v>0</v>
      </c>
      <c r="F70" s="114">
        <v>275</v>
      </c>
      <c r="G70" s="329" t="str">
        <f t="shared" si="6"/>
        <v/>
      </c>
      <c r="H70" s="213">
        <f t="shared" si="3"/>
        <v>0</v>
      </c>
      <c r="I70" s="201">
        <f t="shared" si="4"/>
        <v>2200</v>
      </c>
      <c r="J70" s="93" t="e">
        <f t="shared" si="9"/>
        <v>#REF!</v>
      </c>
      <c r="K70" s="207"/>
    </row>
    <row r="71" spans="1:11" outlineLevel="2">
      <c r="A71" s="222">
        <f t="shared" si="8"/>
        <v>1.0501029999999998</v>
      </c>
      <c r="B71" s="198" t="s">
        <v>90</v>
      </c>
      <c r="C71" s="204" t="s">
        <v>39</v>
      </c>
      <c r="D71" s="50">
        <v>8</v>
      </c>
      <c r="E71" s="96">
        <v>0</v>
      </c>
      <c r="F71" s="114">
        <v>400</v>
      </c>
      <c r="G71" s="329" t="str">
        <f t="shared" si="6"/>
        <v/>
      </c>
      <c r="H71" s="213">
        <f t="shared" si="3"/>
        <v>0</v>
      </c>
      <c r="I71" s="201">
        <f t="shared" si="4"/>
        <v>3200</v>
      </c>
      <c r="J71" s="93" t="e">
        <f t="shared" si="9"/>
        <v>#REF!</v>
      </c>
      <c r="K71" s="207"/>
    </row>
    <row r="72" spans="1:11" outlineLevel="2">
      <c r="A72" s="222">
        <f t="shared" si="8"/>
        <v>1.0501039999999997</v>
      </c>
      <c r="B72" s="198" t="s">
        <v>91</v>
      </c>
      <c r="C72" s="204" t="s">
        <v>39</v>
      </c>
      <c r="D72" s="50">
        <v>8</v>
      </c>
      <c r="E72" s="96">
        <v>0</v>
      </c>
      <c r="F72" s="114">
        <v>180</v>
      </c>
      <c r="G72" s="329" t="str">
        <f>IFERROR(IF(D72=0,"",(E72+F72*TC)),"")</f>
        <v/>
      </c>
      <c r="H72" s="213">
        <f t="shared" si="3"/>
        <v>0</v>
      </c>
      <c r="I72" s="201">
        <f t="shared" si="4"/>
        <v>1440</v>
      </c>
      <c r="J72" s="93" t="e">
        <f t="shared" si="9"/>
        <v>#REF!</v>
      </c>
      <c r="K72" s="207"/>
    </row>
    <row r="73" spans="1:11" outlineLevel="2">
      <c r="A73" s="222">
        <f>A71+0.000001</f>
        <v>1.0501039999999997</v>
      </c>
      <c r="B73" s="198" t="s">
        <v>92</v>
      </c>
      <c r="C73" s="204" t="s">
        <v>39</v>
      </c>
      <c r="D73" s="50">
        <v>8</v>
      </c>
      <c r="E73" s="96">
        <v>0</v>
      </c>
      <c r="F73" s="114">
        <v>2000</v>
      </c>
      <c r="G73" s="329" t="str">
        <f t="shared" si="6"/>
        <v/>
      </c>
      <c r="H73" s="213">
        <f t="shared" si="3"/>
        <v>0</v>
      </c>
      <c r="I73" s="201">
        <f t="shared" si="4"/>
        <v>16000</v>
      </c>
      <c r="J73" s="93" t="e">
        <f t="shared" si="9"/>
        <v>#REF!</v>
      </c>
      <c r="K73" s="207"/>
    </row>
    <row r="74" spans="1:11" outlineLevel="2">
      <c r="A74" s="222">
        <f t="shared" si="8"/>
        <v>1.0501049999999996</v>
      </c>
      <c r="B74" s="198" t="s">
        <v>93</v>
      </c>
      <c r="C74" s="204" t="s">
        <v>29</v>
      </c>
      <c r="D74" s="50">
        <v>1</v>
      </c>
      <c r="E74" s="96">
        <v>0</v>
      </c>
      <c r="F74" s="102">
        <v>275</v>
      </c>
      <c r="G74" s="213" t="str">
        <f t="shared" si="6"/>
        <v/>
      </c>
      <c r="H74" s="213">
        <f t="shared" si="3"/>
        <v>0</v>
      </c>
      <c r="I74" s="201">
        <f t="shared" si="4"/>
        <v>275</v>
      </c>
      <c r="J74" s="93" t="e">
        <f t="shared" si="9"/>
        <v>#REF!</v>
      </c>
      <c r="K74" s="207"/>
    </row>
    <row r="75" spans="1:11" outlineLevel="2">
      <c r="A75" s="222">
        <f t="shared" si="8"/>
        <v>1.0501059999999995</v>
      </c>
      <c r="B75" s="198" t="s">
        <v>94</v>
      </c>
      <c r="C75" s="204" t="s">
        <v>29</v>
      </c>
      <c r="D75" s="50">
        <v>1</v>
      </c>
      <c r="E75" s="96">
        <v>0</v>
      </c>
      <c r="F75" s="114">
        <v>300</v>
      </c>
      <c r="G75" s="213" t="str">
        <f t="shared" ref="G75:G106" si="10">IFERROR(IF(D75=0,"",(E75+F75*TC)),"")</f>
        <v/>
      </c>
      <c r="H75" s="213">
        <f t="shared" si="3"/>
        <v>0</v>
      </c>
      <c r="I75" s="201">
        <f t="shared" si="4"/>
        <v>300</v>
      </c>
      <c r="J75" s="93" t="e">
        <f t="shared" si="9"/>
        <v>#REF!</v>
      </c>
      <c r="K75" s="207"/>
    </row>
    <row r="76" spans="1:11" outlineLevel="2">
      <c r="A76" s="222">
        <f t="shared" si="8"/>
        <v>1.0501069999999995</v>
      </c>
      <c r="B76" s="198" t="s">
        <v>95</v>
      </c>
      <c r="C76" s="204" t="s">
        <v>29</v>
      </c>
      <c r="D76" s="50">
        <v>1</v>
      </c>
      <c r="E76" s="96">
        <v>0</v>
      </c>
      <c r="F76" s="114">
        <v>700</v>
      </c>
      <c r="G76" s="213" t="str">
        <f t="shared" si="10"/>
        <v/>
      </c>
      <c r="H76" s="213">
        <f t="shared" ref="H76:H140" si="11">+ROUND(D76*E76,2)</f>
        <v>0</v>
      </c>
      <c r="I76" s="201">
        <f t="shared" ref="I76:I140" si="12">+ROUND(D76*F76,2)</f>
        <v>700</v>
      </c>
      <c r="J76" s="93" t="e">
        <f t="shared" si="9"/>
        <v>#REF!</v>
      </c>
      <c r="K76" s="207"/>
    </row>
    <row r="77" spans="1:11" outlineLevel="2">
      <c r="A77" s="222">
        <f t="shared" si="8"/>
        <v>1.0501079999999994</v>
      </c>
      <c r="B77" s="198" t="s">
        <v>96</v>
      </c>
      <c r="C77" s="204" t="s">
        <v>29</v>
      </c>
      <c r="D77" s="50">
        <v>1</v>
      </c>
      <c r="E77" s="96">
        <v>0</v>
      </c>
      <c r="F77" s="114">
        <v>500</v>
      </c>
      <c r="G77" s="213" t="str">
        <f t="shared" si="10"/>
        <v/>
      </c>
      <c r="H77" s="213">
        <f t="shared" si="11"/>
        <v>0</v>
      </c>
      <c r="I77" s="201">
        <f t="shared" si="12"/>
        <v>500</v>
      </c>
      <c r="J77" s="93" t="e">
        <f t="shared" si="9"/>
        <v>#REF!</v>
      </c>
      <c r="K77" s="207"/>
    </row>
    <row r="78" spans="1:11" outlineLevel="2">
      <c r="A78" s="222">
        <f t="shared" si="8"/>
        <v>1.0501089999999993</v>
      </c>
      <c r="B78" s="198" t="s">
        <v>97</v>
      </c>
      <c r="C78" s="204" t="s">
        <v>29</v>
      </c>
      <c r="D78" s="50">
        <v>1</v>
      </c>
      <c r="E78" s="96">
        <v>0</v>
      </c>
      <c r="F78" s="114">
        <v>8500</v>
      </c>
      <c r="G78" s="213" t="str">
        <f t="shared" si="10"/>
        <v/>
      </c>
      <c r="H78" s="213">
        <f t="shared" si="11"/>
        <v>0</v>
      </c>
      <c r="I78" s="201">
        <f t="shared" si="12"/>
        <v>8500</v>
      </c>
      <c r="J78" s="93" t="e">
        <f t="shared" si="9"/>
        <v>#REF!</v>
      </c>
      <c r="K78" s="207"/>
    </row>
    <row r="79" spans="1:11" outlineLevel="2">
      <c r="A79" s="222">
        <f t="shared" si="8"/>
        <v>1.0501099999999992</v>
      </c>
      <c r="B79" s="198" t="s">
        <v>98</v>
      </c>
      <c r="C79" s="204" t="s">
        <v>29</v>
      </c>
      <c r="D79" s="50">
        <v>1</v>
      </c>
      <c r="E79" s="96">
        <v>0</v>
      </c>
      <c r="F79" s="114">
        <v>850</v>
      </c>
      <c r="G79" s="213" t="str">
        <f t="shared" si="10"/>
        <v/>
      </c>
      <c r="H79" s="213">
        <f t="shared" si="11"/>
        <v>0</v>
      </c>
      <c r="I79" s="201">
        <f t="shared" si="12"/>
        <v>850</v>
      </c>
      <c r="J79" s="93" t="e">
        <f t="shared" si="9"/>
        <v>#REF!</v>
      </c>
      <c r="K79" s="207"/>
    </row>
    <row r="80" spans="1:11" outlineLevel="2">
      <c r="A80" s="222">
        <f t="shared" si="8"/>
        <v>1.0501109999999991</v>
      </c>
      <c r="B80" s="198" t="s">
        <v>99</v>
      </c>
      <c r="C80" s="204" t="s">
        <v>29</v>
      </c>
      <c r="D80" s="50">
        <v>1</v>
      </c>
      <c r="E80" s="96">
        <v>0</v>
      </c>
      <c r="F80" s="114">
        <v>2400</v>
      </c>
      <c r="G80" s="213" t="str">
        <f t="shared" si="10"/>
        <v/>
      </c>
      <c r="H80" s="213">
        <f t="shared" si="11"/>
        <v>0</v>
      </c>
      <c r="I80" s="201">
        <f t="shared" si="12"/>
        <v>2400</v>
      </c>
      <c r="J80" s="93" t="e">
        <f t="shared" si="9"/>
        <v>#REF!</v>
      </c>
      <c r="K80" s="207"/>
    </row>
    <row r="81" spans="1:11" outlineLevel="2">
      <c r="A81" s="222">
        <f t="shared" si="8"/>
        <v>1.050111999999999</v>
      </c>
      <c r="B81" s="198" t="s">
        <v>100</v>
      </c>
      <c r="C81" s="204" t="s">
        <v>29</v>
      </c>
      <c r="D81" s="50">
        <v>1</v>
      </c>
      <c r="E81" s="96">
        <v>0</v>
      </c>
      <c r="F81" s="114">
        <v>3200</v>
      </c>
      <c r="G81" s="213" t="str">
        <f t="shared" si="10"/>
        <v/>
      </c>
      <c r="H81" s="213">
        <f t="shared" si="11"/>
        <v>0</v>
      </c>
      <c r="I81" s="201">
        <f t="shared" si="12"/>
        <v>3200</v>
      </c>
      <c r="J81" s="93" t="e">
        <f t="shared" si="9"/>
        <v>#REF!</v>
      </c>
      <c r="K81" s="207"/>
    </row>
    <row r="82" spans="1:11" outlineLevel="2">
      <c r="A82" s="222">
        <f t="shared" si="8"/>
        <v>1.050112999999999</v>
      </c>
      <c r="B82" s="198" t="s">
        <v>101</v>
      </c>
      <c r="C82" s="204" t="s">
        <v>29</v>
      </c>
      <c r="D82" s="50">
        <v>1</v>
      </c>
      <c r="E82" s="96">
        <v>0</v>
      </c>
      <c r="F82" s="114">
        <v>6500</v>
      </c>
      <c r="G82" s="213" t="str">
        <f t="shared" si="10"/>
        <v/>
      </c>
      <c r="H82" s="213">
        <f t="shared" si="11"/>
        <v>0</v>
      </c>
      <c r="I82" s="201">
        <f t="shared" si="12"/>
        <v>6500</v>
      </c>
      <c r="J82" s="93" t="e">
        <f t="shared" si="9"/>
        <v>#REF!</v>
      </c>
      <c r="K82" s="207"/>
    </row>
    <row r="83" spans="1:11" outlineLevel="2">
      <c r="A83" s="222">
        <f t="shared" si="8"/>
        <v>1.0501139999999989</v>
      </c>
      <c r="B83" s="198" t="s">
        <v>102</v>
      </c>
      <c r="C83" s="204" t="s">
        <v>29</v>
      </c>
      <c r="D83" s="50">
        <v>1</v>
      </c>
      <c r="E83" s="96">
        <v>0</v>
      </c>
      <c r="F83" s="114">
        <v>3200</v>
      </c>
      <c r="G83" s="213" t="str">
        <f t="shared" si="10"/>
        <v/>
      </c>
      <c r="H83" s="213">
        <f t="shared" si="11"/>
        <v>0</v>
      </c>
      <c r="I83" s="201">
        <f t="shared" si="12"/>
        <v>3200</v>
      </c>
      <c r="J83" s="93" t="e">
        <f t="shared" si="9"/>
        <v>#REF!</v>
      </c>
      <c r="K83" s="207"/>
    </row>
    <row r="84" spans="1:11" ht="22.5" outlineLevel="2">
      <c r="A84" s="222">
        <f t="shared" si="8"/>
        <v>1.0501149999999988</v>
      </c>
      <c r="B84" s="216" t="s">
        <v>103</v>
      </c>
      <c r="C84" s="204" t="s">
        <v>29</v>
      </c>
      <c r="D84" s="50">
        <v>1</v>
      </c>
      <c r="E84" s="96">
        <v>0</v>
      </c>
      <c r="F84" s="114">
        <v>6500</v>
      </c>
      <c r="G84" s="213" t="str">
        <f t="shared" si="10"/>
        <v/>
      </c>
      <c r="H84" s="213">
        <f t="shared" si="11"/>
        <v>0</v>
      </c>
      <c r="I84" s="201">
        <f t="shared" si="12"/>
        <v>6500</v>
      </c>
      <c r="J84" s="93" t="e">
        <f t="shared" si="9"/>
        <v>#REF!</v>
      </c>
      <c r="K84" s="207"/>
    </row>
    <row r="85" spans="1:11" outlineLevel="2">
      <c r="A85" s="222">
        <f t="shared" si="8"/>
        <v>1.0501159999999987</v>
      </c>
      <c r="B85" s="198" t="s">
        <v>104</v>
      </c>
      <c r="C85" s="204" t="s">
        <v>29</v>
      </c>
      <c r="D85" s="50">
        <v>1</v>
      </c>
      <c r="E85" s="96">
        <v>0</v>
      </c>
      <c r="F85" s="114">
        <v>2400</v>
      </c>
      <c r="G85" s="213" t="str">
        <f t="shared" si="10"/>
        <v/>
      </c>
      <c r="H85" s="213">
        <f t="shared" si="11"/>
        <v>0</v>
      </c>
      <c r="I85" s="201">
        <f t="shared" si="12"/>
        <v>2400</v>
      </c>
      <c r="J85" s="93" t="e">
        <f t="shared" si="9"/>
        <v>#REF!</v>
      </c>
      <c r="K85" s="207"/>
    </row>
    <row r="86" spans="1:11" outlineLevel="2">
      <c r="A86" s="222">
        <f t="shared" si="8"/>
        <v>1.0501169999999986</v>
      </c>
      <c r="B86" s="198" t="s">
        <v>105</v>
      </c>
      <c r="C86" s="204" t="s">
        <v>29</v>
      </c>
      <c r="D86" s="50">
        <v>1</v>
      </c>
      <c r="E86" s="96">
        <v>0</v>
      </c>
      <c r="F86" s="114">
        <v>850</v>
      </c>
      <c r="G86" s="213" t="str">
        <f t="shared" si="10"/>
        <v/>
      </c>
      <c r="H86" s="213">
        <f t="shared" si="11"/>
        <v>0</v>
      </c>
      <c r="I86" s="201">
        <f t="shared" si="12"/>
        <v>850</v>
      </c>
      <c r="J86" s="93" t="e">
        <f t="shared" si="9"/>
        <v>#REF!</v>
      </c>
      <c r="K86" s="207"/>
    </row>
    <row r="87" spans="1:11" outlineLevel="2">
      <c r="A87" s="222">
        <f t="shared" si="8"/>
        <v>1.0501179999999986</v>
      </c>
      <c r="B87" s="186" t="s">
        <v>106</v>
      </c>
      <c r="C87" s="49" t="s">
        <v>39</v>
      </c>
      <c r="D87" s="50">
        <v>8</v>
      </c>
      <c r="E87" s="96">
        <v>10811.84</v>
      </c>
      <c r="F87" s="102"/>
      <c r="G87" s="213" t="str">
        <f t="shared" si="10"/>
        <v/>
      </c>
      <c r="H87" s="213">
        <f t="shared" si="11"/>
        <v>86494.720000000001</v>
      </c>
      <c r="I87" s="201">
        <f t="shared" si="12"/>
        <v>0</v>
      </c>
      <c r="J87" s="93" t="e">
        <f t="shared" si="9"/>
        <v>#REF!</v>
      </c>
      <c r="K87" s="207"/>
    </row>
    <row r="88" spans="1:11" outlineLevel="1">
      <c r="A88" s="223">
        <f>A68+0.0001</f>
        <v>1.0502</v>
      </c>
      <c r="B88" s="197" t="s">
        <v>107</v>
      </c>
      <c r="C88" s="49"/>
      <c r="D88" s="50"/>
      <c r="E88" s="96"/>
      <c r="F88" s="102"/>
      <c r="G88" s="213" t="str">
        <f t="shared" si="10"/>
        <v/>
      </c>
      <c r="H88" s="213">
        <f t="shared" si="11"/>
        <v>0</v>
      </c>
      <c r="I88" s="201">
        <f t="shared" si="12"/>
        <v>0</v>
      </c>
      <c r="J88" s="93" t="e">
        <f t="shared" si="9"/>
        <v>#REF!</v>
      </c>
      <c r="K88" s="207"/>
    </row>
    <row r="89" spans="1:11" outlineLevel="2">
      <c r="A89" s="222">
        <f>A87+0.000001</f>
        <v>1.0501189999999985</v>
      </c>
      <c r="B89" s="186" t="s">
        <v>108</v>
      </c>
      <c r="C89" s="49" t="s">
        <v>29</v>
      </c>
      <c r="D89" s="50">
        <v>1</v>
      </c>
      <c r="E89" s="96">
        <v>22804.97</v>
      </c>
      <c r="F89" s="114">
        <v>9990.6200000000008</v>
      </c>
      <c r="G89" s="213" t="str">
        <f t="shared" si="10"/>
        <v/>
      </c>
      <c r="H89" s="213">
        <f t="shared" si="11"/>
        <v>22804.97</v>
      </c>
      <c r="I89" s="201">
        <f t="shared" si="12"/>
        <v>9990.6200000000008</v>
      </c>
      <c r="J89" s="93" t="e">
        <f t="shared" si="9"/>
        <v>#REF!</v>
      </c>
      <c r="K89" s="207"/>
    </row>
    <row r="90" spans="1:11" outlineLevel="1">
      <c r="A90" s="223">
        <f>A88+0.0001</f>
        <v>1.0503</v>
      </c>
      <c r="B90" s="199" t="s">
        <v>109</v>
      </c>
      <c r="C90" s="49"/>
      <c r="D90" s="50"/>
      <c r="E90" s="226"/>
      <c r="F90" s="102"/>
      <c r="G90" s="213" t="str">
        <f t="shared" si="10"/>
        <v/>
      </c>
      <c r="H90" s="213">
        <f t="shared" si="11"/>
        <v>0</v>
      </c>
      <c r="I90" s="201">
        <f t="shared" si="12"/>
        <v>0</v>
      </c>
      <c r="J90" s="93" t="e">
        <f t="shared" si="9"/>
        <v>#REF!</v>
      </c>
      <c r="K90" s="207"/>
    </row>
    <row r="91" spans="1:11" outlineLevel="2">
      <c r="A91" s="222">
        <f t="shared" si="8"/>
        <v>1.0503009999999999</v>
      </c>
      <c r="B91" s="186" t="s">
        <v>110</v>
      </c>
      <c r="C91" s="49" t="s">
        <v>39</v>
      </c>
      <c r="D91" s="50">
        <v>6</v>
      </c>
      <c r="E91" s="96">
        <v>0</v>
      </c>
      <c r="F91" s="114">
        <v>1500</v>
      </c>
      <c r="G91" s="213" t="str">
        <f t="shared" si="10"/>
        <v/>
      </c>
      <c r="H91" s="213">
        <f t="shared" si="11"/>
        <v>0</v>
      </c>
      <c r="I91" s="201">
        <f t="shared" si="12"/>
        <v>9000</v>
      </c>
      <c r="J91" s="93" t="e">
        <f t="shared" si="9"/>
        <v>#REF!</v>
      </c>
      <c r="K91" s="207"/>
    </row>
    <row r="92" spans="1:11" outlineLevel="2">
      <c r="A92" s="222">
        <f>A94+0.000001</f>
        <v>1.0503039999999997</v>
      </c>
      <c r="B92" s="186" t="s">
        <v>111</v>
      </c>
      <c r="C92" s="49" t="s">
        <v>39</v>
      </c>
      <c r="D92" s="50">
        <v>6</v>
      </c>
      <c r="E92" s="96">
        <v>0</v>
      </c>
      <c r="F92" s="114">
        <v>350</v>
      </c>
      <c r="G92" s="213" t="str">
        <f>IFERROR(IF(D92=0,"",(E92+F92*TC)),"")</f>
        <v/>
      </c>
      <c r="H92" s="213">
        <f t="shared" si="11"/>
        <v>0</v>
      </c>
      <c r="I92" s="201">
        <f t="shared" si="12"/>
        <v>2100</v>
      </c>
      <c r="J92" s="93" t="e">
        <f t="shared" si="9"/>
        <v>#REF!</v>
      </c>
      <c r="K92" s="207"/>
    </row>
    <row r="93" spans="1:11" outlineLevel="2">
      <c r="A93" s="222">
        <f>A91+0.000001</f>
        <v>1.0503019999999998</v>
      </c>
      <c r="B93" s="51" t="s">
        <v>91</v>
      </c>
      <c r="C93" s="49" t="s">
        <v>39</v>
      </c>
      <c r="D93" s="50">
        <v>6</v>
      </c>
      <c r="E93" s="96">
        <v>0</v>
      </c>
      <c r="F93" s="114">
        <v>150</v>
      </c>
      <c r="G93" s="213" t="str">
        <f t="shared" si="10"/>
        <v/>
      </c>
      <c r="H93" s="213">
        <f t="shared" si="11"/>
        <v>0</v>
      </c>
      <c r="I93" s="201">
        <f t="shared" si="12"/>
        <v>900</v>
      </c>
      <c r="J93" s="93" t="e">
        <f t="shared" si="9"/>
        <v>#REF!</v>
      </c>
      <c r="K93" s="207"/>
    </row>
    <row r="94" spans="1:11" outlineLevel="2">
      <c r="A94" s="222">
        <f t="shared" si="8"/>
        <v>1.0503029999999998</v>
      </c>
      <c r="B94" s="186" t="s">
        <v>112</v>
      </c>
      <c r="C94" s="49" t="s">
        <v>39</v>
      </c>
      <c r="D94" s="50">
        <v>6</v>
      </c>
      <c r="E94" s="96">
        <v>0</v>
      </c>
      <c r="F94" s="114">
        <v>1920</v>
      </c>
      <c r="G94" s="213" t="str">
        <f t="shared" si="10"/>
        <v/>
      </c>
      <c r="H94" s="213">
        <f t="shared" si="11"/>
        <v>0</v>
      </c>
      <c r="I94" s="201">
        <f t="shared" si="12"/>
        <v>11520</v>
      </c>
      <c r="J94" s="93" t="e">
        <f t="shared" si="9"/>
        <v>#REF!</v>
      </c>
      <c r="K94" s="207"/>
    </row>
    <row r="95" spans="1:11" outlineLevel="2">
      <c r="A95" s="222">
        <f>A92+0.000001</f>
        <v>1.0503049999999996</v>
      </c>
      <c r="B95" s="186" t="s">
        <v>113</v>
      </c>
      <c r="C95" s="49" t="s">
        <v>29</v>
      </c>
      <c r="D95" s="50">
        <v>1</v>
      </c>
      <c r="E95" s="96">
        <v>0</v>
      </c>
      <c r="F95" s="114">
        <v>7120</v>
      </c>
      <c r="G95" s="213" t="str">
        <f t="shared" si="10"/>
        <v/>
      </c>
      <c r="H95" s="213">
        <f t="shared" si="11"/>
        <v>0</v>
      </c>
      <c r="I95" s="201">
        <f t="shared" si="12"/>
        <v>7120</v>
      </c>
      <c r="J95" s="93" t="e">
        <f t="shared" si="9"/>
        <v>#REF!</v>
      </c>
      <c r="K95" s="207"/>
    </row>
    <row r="96" spans="1:11" outlineLevel="2">
      <c r="A96" s="222">
        <f t="shared" si="8"/>
        <v>1.0503059999999995</v>
      </c>
      <c r="B96" s="186" t="s">
        <v>114</v>
      </c>
      <c r="C96" s="49" t="s">
        <v>29</v>
      </c>
      <c r="D96" s="50">
        <v>1</v>
      </c>
      <c r="E96" s="96">
        <v>0</v>
      </c>
      <c r="F96" s="114">
        <v>5980</v>
      </c>
      <c r="G96" s="213" t="str">
        <f t="shared" si="10"/>
        <v/>
      </c>
      <c r="H96" s="213">
        <f t="shared" si="11"/>
        <v>0</v>
      </c>
      <c r="I96" s="201">
        <f t="shared" si="12"/>
        <v>5980</v>
      </c>
      <c r="J96" s="93" t="e">
        <f t="shared" si="9"/>
        <v>#REF!</v>
      </c>
      <c r="K96" s="207"/>
    </row>
    <row r="97" spans="1:11" outlineLevel="1">
      <c r="A97" s="223">
        <f>A90+0.0001</f>
        <v>1.0504</v>
      </c>
      <c r="B97" s="199" t="s">
        <v>115</v>
      </c>
      <c r="C97" s="49"/>
      <c r="D97" s="50"/>
      <c r="E97" s="96"/>
      <c r="F97" s="102"/>
      <c r="G97" s="213" t="str">
        <f t="shared" si="10"/>
        <v/>
      </c>
      <c r="H97" s="213">
        <f t="shared" si="11"/>
        <v>0</v>
      </c>
      <c r="I97" s="201">
        <f t="shared" si="12"/>
        <v>0</v>
      </c>
      <c r="J97" s="93" t="e">
        <f t="shared" si="9"/>
        <v>#REF!</v>
      </c>
      <c r="K97" s="207"/>
    </row>
    <row r="98" spans="1:11" outlineLevel="2">
      <c r="A98" s="222">
        <f>A97+0.000001</f>
        <v>1.0504009999999999</v>
      </c>
      <c r="B98" s="186" t="s">
        <v>116</v>
      </c>
      <c r="C98" s="49" t="s">
        <v>29</v>
      </c>
      <c r="D98" s="50">
        <v>1</v>
      </c>
      <c r="E98" s="226">
        <v>3967.6</v>
      </c>
      <c r="F98" s="102"/>
      <c r="G98" s="213" t="str">
        <f t="shared" si="10"/>
        <v/>
      </c>
      <c r="H98" s="213">
        <f t="shared" si="11"/>
        <v>3967.6</v>
      </c>
      <c r="I98" s="201">
        <f t="shared" si="12"/>
        <v>0</v>
      </c>
      <c r="J98" s="93" t="e">
        <f t="shared" si="9"/>
        <v>#REF!</v>
      </c>
      <c r="K98" s="207"/>
    </row>
    <row r="99" spans="1:11" outlineLevel="2">
      <c r="A99" s="222">
        <f>A98+0.000001</f>
        <v>1.0504019999999998</v>
      </c>
      <c r="B99" s="186" t="s">
        <v>117</v>
      </c>
      <c r="C99" s="49" t="s">
        <v>39</v>
      </c>
      <c r="D99" s="50">
        <v>8</v>
      </c>
      <c r="E99" s="226">
        <v>580</v>
      </c>
      <c r="F99" s="102"/>
      <c r="G99" s="213" t="str">
        <f>IFERROR(IF(D99=0,"",(E99+F99*TC)),"")</f>
        <v/>
      </c>
      <c r="H99" s="213">
        <f t="shared" si="11"/>
        <v>4640</v>
      </c>
      <c r="I99" s="201">
        <f t="shared" si="12"/>
        <v>0</v>
      </c>
      <c r="J99" s="93" t="e">
        <f t="shared" si="9"/>
        <v>#REF!</v>
      </c>
      <c r="K99" s="207"/>
    </row>
    <row r="100" spans="1:11" outlineLevel="2">
      <c r="A100" s="222">
        <f>A98+0.000001</f>
        <v>1.0504019999999998</v>
      </c>
      <c r="B100" s="186" t="s">
        <v>118</v>
      </c>
      <c r="C100" s="47" t="s">
        <v>36</v>
      </c>
      <c r="D100" s="50">
        <v>2</v>
      </c>
      <c r="E100" s="96">
        <v>4940</v>
      </c>
      <c r="F100" s="102"/>
      <c r="G100" s="213" t="str">
        <f t="shared" si="10"/>
        <v/>
      </c>
      <c r="H100" s="213">
        <f t="shared" si="11"/>
        <v>9880</v>
      </c>
      <c r="I100" s="201">
        <f t="shared" si="12"/>
        <v>0</v>
      </c>
      <c r="J100" s="93" t="e">
        <f t="shared" si="9"/>
        <v>#REF!</v>
      </c>
      <c r="K100" s="207"/>
    </row>
    <row r="101" spans="1:11" outlineLevel="2">
      <c r="A101" s="222">
        <f>A100+0.000001</f>
        <v>1.0504029999999998</v>
      </c>
      <c r="B101" s="186" t="s">
        <v>119</v>
      </c>
      <c r="C101" s="47" t="s">
        <v>36</v>
      </c>
      <c r="D101" s="50">
        <v>2</v>
      </c>
      <c r="E101" s="96"/>
      <c r="F101" s="102">
        <v>459</v>
      </c>
      <c r="G101" s="213" t="str">
        <f t="shared" si="10"/>
        <v/>
      </c>
      <c r="H101" s="213">
        <f t="shared" si="11"/>
        <v>0</v>
      </c>
      <c r="I101" s="201">
        <f t="shared" si="12"/>
        <v>918</v>
      </c>
      <c r="J101" s="93" t="e">
        <f t="shared" si="9"/>
        <v>#REF!</v>
      </c>
      <c r="K101" s="207"/>
    </row>
    <row r="102" spans="1:11" ht="22.5" outlineLevel="2">
      <c r="A102" s="222">
        <f>A101+0.000001</f>
        <v>1.0504039999999997</v>
      </c>
      <c r="B102" s="51" t="s">
        <v>120</v>
      </c>
      <c r="C102" s="49" t="s">
        <v>36</v>
      </c>
      <c r="D102" s="50">
        <v>21</v>
      </c>
      <c r="E102" s="226">
        <v>201.25</v>
      </c>
      <c r="F102" s="102"/>
      <c r="G102" s="213" t="str">
        <f t="shared" si="10"/>
        <v/>
      </c>
      <c r="H102" s="213">
        <f t="shared" si="11"/>
        <v>4226.25</v>
      </c>
      <c r="I102" s="201">
        <f t="shared" si="12"/>
        <v>0</v>
      </c>
      <c r="J102" s="93" t="e">
        <f t="shared" si="9"/>
        <v>#REF!</v>
      </c>
      <c r="K102" s="207"/>
    </row>
    <row r="103" spans="1:11" ht="22.5" outlineLevel="2">
      <c r="A103" s="222">
        <f>A102+0.000001</f>
        <v>1.0504049999999996</v>
      </c>
      <c r="B103" s="51" t="s">
        <v>121</v>
      </c>
      <c r="C103" s="49" t="s">
        <v>122</v>
      </c>
      <c r="D103" s="50">
        <v>0</v>
      </c>
      <c r="E103" s="226">
        <v>3450</v>
      </c>
      <c r="F103" s="114"/>
      <c r="G103" s="329" t="str">
        <f t="shared" si="10"/>
        <v/>
      </c>
      <c r="H103" s="329">
        <f t="shared" si="11"/>
        <v>0</v>
      </c>
      <c r="I103" s="330">
        <f t="shared" si="12"/>
        <v>0</v>
      </c>
      <c r="J103" s="93" t="e">
        <f t="shared" si="9"/>
        <v>#REF!</v>
      </c>
      <c r="K103" s="207"/>
    </row>
    <row r="104" spans="1:11" outlineLevel="1">
      <c r="A104" s="223">
        <f>A97+0.0001</f>
        <v>1.0505</v>
      </c>
      <c r="B104" s="199" t="s">
        <v>123</v>
      </c>
      <c r="C104" s="49"/>
      <c r="D104" s="50"/>
      <c r="E104" s="96"/>
      <c r="F104" s="102"/>
      <c r="G104" s="213" t="str">
        <f t="shared" si="10"/>
        <v/>
      </c>
      <c r="H104" s="213">
        <f t="shared" si="11"/>
        <v>0</v>
      </c>
      <c r="I104" s="201">
        <f t="shared" si="12"/>
        <v>0</v>
      </c>
      <c r="J104" s="93" t="e">
        <f t="shared" si="9"/>
        <v>#REF!</v>
      </c>
      <c r="K104" s="207"/>
    </row>
    <row r="105" spans="1:11" outlineLevel="2">
      <c r="A105" s="222">
        <f>A104+0.000001</f>
        <v>1.0505009999999999</v>
      </c>
      <c r="B105" s="186" t="s">
        <v>124</v>
      </c>
      <c r="C105" s="49" t="s">
        <v>39</v>
      </c>
      <c r="D105" s="50">
        <v>6</v>
      </c>
      <c r="E105" s="96">
        <v>1918.8</v>
      </c>
      <c r="F105" s="102"/>
      <c r="G105" s="213" t="str">
        <f t="shared" si="10"/>
        <v/>
      </c>
      <c r="H105" s="213">
        <f t="shared" si="11"/>
        <v>11512.8</v>
      </c>
      <c r="I105" s="201">
        <f t="shared" si="12"/>
        <v>0</v>
      </c>
      <c r="J105" s="93" t="e">
        <f t="shared" si="9"/>
        <v>#REF!</v>
      </c>
      <c r="K105" s="207"/>
    </row>
    <row r="106" spans="1:11" outlineLevel="2">
      <c r="A106" s="222">
        <f>A105+0.000001</f>
        <v>1.0505019999999998</v>
      </c>
      <c r="B106" s="186" t="s">
        <v>125</v>
      </c>
      <c r="C106" s="49" t="s">
        <v>39</v>
      </c>
      <c r="D106" s="50">
        <v>7</v>
      </c>
      <c r="E106" s="96">
        <v>3837.6</v>
      </c>
      <c r="F106" s="114"/>
      <c r="G106" s="329" t="str">
        <f t="shared" si="10"/>
        <v/>
      </c>
      <c r="H106" s="213">
        <f t="shared" si="11"/>
        <v>26863.200000000001</v>
      </c>
      <c r="I106" s="201">
        <f t="shared" si="12"/>
        <v>0</v>
      </c>
      <c r="J106" s="93" t="e">
        <f t="shared" si="9"/>
        <v>#REF!</v>
      </c>
      <c r="K106" s="207"/>
    </row>
    <row r="107" spans="1:11" outlineLevel="2">
      <c r="A107" s="222">
        <f>A106+0.000001</f>
        <v>1.0505029999999997</v>
      </c>
      <c r="B107" s="186" t="s">
        <v>126</v>
      </c>
      <c r="C107" s="49" t="s">
        <v>39</v>
      </c>
      <c r="D107" s="50">
        <v>6.5</v>
      </c>
      <c r="E107" s="96">
        <v>3837.6</v>
      </c>
      <c r="F107" s="102"/>
      <c r="G107" s="213" t="str">
        <f t="shared" ref="G107:G136" si="13">IFERROR(IF(D107=0,"",(E107+F107*TC)),"")</f>
        <v/>
      </c>
      <c r="H107" s="213">
        <f t="shared" si="11"/>
        <v>24944.400000000001</v>
      </c>
      <c r="I107" s="201">
        <f t="shared" si="12"/>
        <v>0</v>
      </c>
      <c r="J107" s="93" t="e">
        <f t="shared" si="9"/>
        <v>#REF!</v>
      </c>
      <c r="K107" s="207"/>
    </row>
    <row r="108" spans="1:11" ht="22.5" outlineLevel="2">
      <c r="A108" s="222">
        <f>A107+0.000001</f>
        <v>1.0505039999999997</v>
      </c>
      <c r="B108" s="51" t="s">
        <v>127</v>
      </c>
      <c r="C108" s="49" t="s">
        <v>39</v>
      </c>
      <c r="D108" s="50">
        <v>11.5</v>
      </c>
      <c r="E108" s="96">
        <v>5756.4</v>
      </c>
      <c r="F108" s="102"/>
      <c r="G108" s="213" t="str">
        <f t="shared" si="13"/>
        <v/>
      </c>
      <c r="H108" s="213">
        <f t="shared" si="11"/>
        <v>66198.600000000006</v>
      </c>
      <c r="I108" s="201">
        <f t="shared" si="12"/>
        <v>0</v>
      </c>
      <c r="J108" s="93" t="e">
        <f t="shared" si="9"/>
        <v>#REF!</v>
      </c>
      <c r="K108" s="207"/>
    </row>
    <row r="109" spans="1:11" outlineLevel="2">
      <c r="A109" s="222">
        <f t="shared" si="8"/>
        <v>1.0505049999999996</v>
      </c>
      <c r="B109" s="234" t="s">
        <v>128</v>
      </c>
      <c r="C109" s="49" t="s">
        <v>39</v>
      </c>
      <c r="D109" s="50">
        <v>6</v>
      </c>
      <c r="E109" s="96">
        <v>9126</v>
      </c>
      <c r="F109" s="102"/>
      <c r="G109" s="213" t="str">
        <f t="shared" si="13"/>
        <v/>
      </c>
      <c r="H109" s="213">
        <f t="shared" si="11"/>
        <v>54756</v>
      </c>
      <c r="I109" s="201">
        <f t="shared" si="12"/>
        <v>0</v>
      </c>
      <c r="J109" s="93" t="e">
        <f t="shared" si="9"/>
        <v>#REF!</v>
      </c>
      <c r="K109" s="207"/>
    </row>
    <row r="110" spans="1:11">
      <c r="A110" s="220">
        <f>A67+0.01</f>
        <v>1.06</v>
      </c>
      <c r="B110" s="196" t="s">
        <v>129</v>
      </c>
      <c r="C110" s="190"/>
      <c r="D110" s="191"/>
      <c r="E110" s="227"/>
      <c r="F110" s="102">
        <v>0</v>
      </c>
      <c r="G110" s="213" t="str">
        <f t="shared" si="13"/>
        <v/>
      </c>
      <c r="H110" s="213"/>
      <c r="I110" s="201"/>
      <c r="J110" s="93"/>
      <c r="K110" s="209" t="e">
        <f>SUM(J112:J136)</f>
        <v>#REF!</v>
      </c>
    </row>
    <row r="111" spans="1:11" outlineLevel="1">
      <c r="A111" s="233">
        <f>A110+0.0001</f>
        <v>1.0601</v>
      </c>
      <c r="B111" s="232" t="s">
        <v>130</v>
      </c>
      <c r="C111" s="190"/>
      <c r="D111" s="191"/>
      <c r="E111" s="227"/>
      <c r="F111" s="102"/>
      <c r="G111" s="213" t="str">
        <f t="shared" si="13"/>
        <v/>
      </c>
      <c r="H111" s="213"/>
      <c r="I111" s="201"/>
      <c r="J111" s="93"/>
      <c r="K111" s="209"/>
    </row>
    <row r="112" spans="1:11" outlineLevel="2">
      <c r="A112" s="222">
        <f>A111+0.000001</f>
        <v>1.060101</v>
      </c>
      <c r="B112" s="186" t="s">
        <v>131</v>
      </c>
      <c r="C112" s="49" t="s">
        <v>29</v>
      </c>
      <c r="D112" s="50">
        <v>1</v>
      </c>
      <c r="E112" s="96">
        <v>13045.6</v>
      </c>
      <c r="F112" s="102"/>
      <c r="G112" s="213" t="str">
        <f t="shared" si="13"/>
        <v/>
      </c>
      <c r="H112" s="213">
        <f t="shared" si="11"/>
        <v>13045.6</v>
      </c>
      <c r="I112" s="201">
        <f t="shared" si="12"/>
        <v>0</v>
      </c>
      <c r="J112" s="93" t="e">
        <f t="shared" ref="J112:J136" si="14">+ROUND(H112+I112*TC,2)</f>
        <v>#REF!</v>
      </c>
      <c r="K112" s="207"/>
    </row>
    <row r="113" spans="1:11" ht="22.5" outlineLevel="2">
      <c r="A113" s="222">
        <f t="shared" ref="A113:A122" si="15">A112+0.000001</f>
        <v>1.0601019999999999</v>
      </c>
      <c r="B113" s="51" t="s">
        <v>132</v>
      </c>
      <c r="C113" s="49" t="s">
        <v>29</v>
      </c>
      <c r="D113" s="50">
        <v>1</v>
      </c>
      <c r="E113" s="96">
        <v>57276.73</v>
      </c>
      <c r="F113" s="102"/>
      <c r="G113" s="213" t="str">
        <f t="shared" si="13"/>
        <v/>
      </c>
      <c r="H113" s="213">
        <f t="shared" si="11"/>
        <v>57276.73</v>
      </c>
      <c r="I113" s="201">
        <f t="shared" si="12"/>
        <v>0</v>
      </c>
      <c r="J113" s="93" t="e">
        <f t="shared" si="14"/>
        <v>#REF!</v>
      </c>
      <c r="K113" s="207"/>
    </row>
    <row r="114" spans="1:11" ht="22.5" outlineLevel="2">
      <c r="A114" s="222">
        <f t="shared" si="15"/>
        <v>1.0601029999999998</v>
      </c>
      <c r="B114" s="51" t="s">
        <v>133</v>
      </c>
      <c r="C114" s="49" t="s">
        <v>39</v>
      </c>
      <c r="D114" s="50">
        <v>15.5</v>
      </c>
      <c r="E114" s="96">
        <v>4236.96</v>
      </c>
      <c r="F114" s="102"/>
      <c r="G114" s="213" t="str">
        <f t="shared" si="13"/>
        <v/>
      </c>
      <c r="H114" s="213">
        <f t="shared" si="11"/>
        <v>65672.88</v>
      </c>
      <c r="I114" s="201">
        <f t="shared" si="12"/>
        <v>0</v>
      </c>
      <c r="J114" s="93" t="e">
        <f t="shared" si="14"/>
        <v>#REF!</v>
      </c>
      <c r="K114" s="207"/>
    </row>
    <row r="115" spans="1:11" ht="22.5" outlineLevel="2">
      <c r="A115" s="222">
        <f t="shared" si="15"/>
        <v>1.0601039999999997</v>
      </c>
      <c r="B115" s="51" t="s">
        <v>134</v>
      </c>
      <c r="C115" s="49" t="s">
        <v>29</v>
      </c>
      <c r="D115" s="50">
        <v>0</v>
      </c>
      <c r="E115" s="96">
        <v>950</v>
      </c>
      <c r="F115" s="114"/>
      <c r="G115" s="329" t="str">
        <f t="shared" si="13"/>
        <v/>
      </c>
      <c r="H115" s="329">
        <f t="shared" si="11"/>
        <v>0</v>
      </c>
      <c r="I115" s="330">
        <f t="shared" si="12"/>
        <v>0</v>
      </c>
      <c r="J115" s="93" t="e">
        <f t="shared" si="14"/>
        <v>#REF!</v>
      </c>
      <c r="K115" s="207"/>
    </row>
    <row r="116" spans="1:11" outlineLevel="2">
      <c r="A116" s="222">
        <f t="shared" si="15"/>
        <v>1.0601049999999996</v>
      </c>
      <c r="B116" s="186" t="s">
        <v>135</v>
      </c>
      <c r="C116" s="49" t="s">
        <v>29</v>
      </c>
      <c r="D116" s="50">
        <v>2</v>
      </c>
      <c r="E116" s="96">
        <v>1300</v>
      </c>
      <c r="F116" s="114"/>
      <c r="G116" s="329" t="str">
        <f t="shared" si="13"/>
        <v/>
      </c>
      <c r="H116" s="329">
        <f t="shared" si="11"/>
        <v>2600</v>
      </c>
      <c r="I116" s="330">
        <f t="shared" si="12"/>
        <v>0</v>
      </c>
      <c r="J116" s="93" t="e">
        <f t="shared" si="14"/>
        <v>#REF!</v>
      </c>
      <c r="K116" s="207"/>
    </row>
    <row r="117" spans="1:11" outlineLevel="2">
      <c r="A117" s="222">
        <f t="shared" si="15"/>
        <v>1.0601059999999995</v>
      </c>
      <c r="B117" s="478" t="s">
        <v>136</v>
      </c>
      <c r="C117" s="49" t="s">
        <v>29</v>
      </c>
      <c r="D117" s="298">
        <v>1</v>
      </c>
      <c r="E117" s="298">
        <v>9000</v>
      </c>
      <c r="F117" s="114"/>
      <c r="G117" s="329" t="str">
        <f>IFERROR(IF(D117=0,"",(E117+F117*TC)),"")</f>
        <v/>
      </c>
      <c r="H117" s="329">
        <f>+ROUND(D117*E117,2)</f>
        <v>9000</v>
      </c>
      <c r="I117" s="330">
        <f>+ROUND(D117*F117,2)</f>
        <v>0</v>
      </c>
      <c r="J117" s="93" t="e">
        <f>+ROUND(H117+I117*TC,2)</f>
        <v>#REF!</v>
      </c>
      <c r="K117" s="207"/>
    </row>
    <row r="118" spans="1:11" outlineLevel="2">
      <c r="A118" s="222"/>
      <c r="B118" s="478" t="s">
        <v>137</v>
      </c>
      <c r="C118" s="49" t="s">
        <v>29</v>
      </c>
      <c r="D118" s="298">
        <v>1</v>
      </c>
      <c r="E118" s="298">
        <v>3000</v>
      </c>
      <c r="F118" s="114"/>
      <c r="G118" s="329" t="str">
        <f>IFERROR(IF(D118=0,"",(E118+F118*TC)),"")</f>
        <v/>
      </c>
      <c r="H118" s="329">
        <f>+ROUND(D118*E118,2)</f>
        <v>3000</v>
      </c>
      <c r="I118" s="330">
        <f>+ROUND(D118*F118,2)</f>
        <v>0</v>
      </c>
      <c r="J118" s="93" t="e">
        <f>+ROUND(H118+I118*TC,2)</f>
        <v>#REF!</v>
      </c>
      <c r="K118" s="207"/>
    </row>
    <row r="119" spans="1:11" outlineLevel="2">
      <c r="A119" s="222">
        <f>A117+0.000001</f>
        <v>1.0601069999999995</v>
      </c>
      <c r="B119" s="186" t="s">
        <v>138</v>
      </c>
      <c r="C119" s="49" t="s">
        <v>39</v>
      </c>
      <c r="D119" s="50">
        <v>20.5</v>
      </c>
      <c r="E119" s="96">
        <v>1500</v>
      </c>
      <c r="F119" s="102"/>
      <c r="G119" s="213" t="str">
        <f t="shared" si="13"/>
        <v/>
      </c>
      <c r="H119" s="213">
        <f t="shared" si="11"/>
        <v>30750</v>
      </c>
      <c r="I119" s="201">
        <f t="shared" si="12"/>
        <v>0</v>
      </c>
      <c r="J119" s="93" t="e">
        <f t="shared" si="14"/>
        <v>#REF!</v>
      </c>
      <c r="K119" s="207"/>
    </row>
    <row r="120" spans="1:11" outlineLevel="2">
      <c r="A120" s="222">
        <f t="shared" si="15"/>
        <v>1.0601079999999994</v>
      </c>
      <c r="B120" s="186" t="s">
        <v>139</v>
      </c>
      <c r="C120" s="49" t="s">
        <v>73</v>
      </c>
      <c r="D120" s="50">
        <v>11</v>
      </c>
      <c r="E120" s="96">
        <v>340</v>
      </c>
      <c r="F120" s="102"/>
      <c r="G120" s="213" t="str">
        <f t="shared" si="13"/>
        <v/>
      </c>
      <c r="H120" s="213">
        <f t="shared" si="11"/>
        <v>3740</v>
      </c>
      <c r="I120" s="201">
        <f t="shared" si="12"/>
        <v>0</v>
      </c>
      <c r="J120" s="93" t="e">
        <f t="shared" si="14"/>
        <v>#REF!</v>
      </c>
      <c r="K120" s="207"/>
    </row>
    <row r="121" spans="1:11" outlineLevel="2">
      <c r="A121" s="222">
        <f t="shared" si="15"/>
        <v>1.0601089999999993</v>
      </c>
      <c r="B121" s="189" t="s">
        <v>140</v>
      </c>
      <c r="C121" s="49" t="s">
        <v>39</v>
      </c>
      <c r="D121" s="50">
        <v>7</v>
      </c>
      <c r="E121" s="96">
        <v>900</v>
      </c>
      <c r="F121" s="102"/>
      <c r="G121" s="213" t="str">
        <f t="shared" si="13"/>
        <v/>
      </c>
      <c r="H121" s="213">
        <f t="shared" si="11"/>
        <v>6300</v>
      </c>
      <c r="I121" s="201">
        <f t="shared" si="12"/>
        <v>0</v>
      </c>
      <c r="J121" s="93" t="e">
        <f t="shared" si="14"/>
        <v>#REF!</v>
      </c>
      <c r="K121" s="207"/>
    </row>
    <row r="122" spans="1:11" outlineLevel="2">
      <c r="A122" s="222">
        <f t="shared" si="15"/>
        <v>1.0601099999999992</v>
      </c>
      <c r="B122" s="189" t="s">
        <v>141</v>
      </c>
      <c r="C122" s="49" t="s">
        <v>39</v>
      </c>
      <c r="D122" s="50">
        <v>13.5</v>
      </c>
      <c r="E122" s="96">
        <v>7992.6</v>
      </c>
      <c r="F122" s="102"/>
      <c r="G122" s="213" t="str">
        <f t="shared" si="13"/>
        <v/>
      </c>
      <c r="H122" s="213">
        <f t="shared" si="11"/>
        <v>107900.1</v>
      </c>
      <c r="I122" s="201">
        <f t="shared" si="12"/>
        <v>0</v>
      </c>
      <c r="J122" s="93" t="e">
        <f t="shared" si="14"/>
        <v>#REF!</v>
      </c>
      <c r="K122" s="207"/>
    </row>
    <row r="123" spans="1:11" outlineLevel="1">
      <c r="A123" s="223">
        <f>A111+0.0001</f>
        <v>1.0602</v>
      </c>
      <c r="B123" s="197" t="s">
        <v>142</v>
      </c>
      <c r="C123" s="49"/>
      <c r="D123" s="50"/>
      <c r="E123" s="96"/>
      <c r="F123" s="102"/>
      <c r="G123" s="213" t="str">
        <f t="shared" si="13"/>
        <v/>
      </c>
      <c r="H123" s="213">
        <f t="shared" si="11"/>
        <v>0</v>
      </c>
      <c r="I123" s="201">
        <f t="shared" si="12"/>
        <v>0</v>
      </c>
      <c r="J123" s="93" t="e">
        <f t="shared" si="14"/>
        <v>#REF!</v>
      </c>
      <c r="K123" s="207"/>
    </row>
    <row r="124" spans="1:11" outlineLevel="2">
      <c r="A124" s="222">
        <f>A123+0.000001</f>
        <v>1.0602009999999999</v>
      </c>
      <c r="B124" s="186" t="s">
        <v>143</v>
      </c>
      <c r="C124" s="49" t="s">
        <v>144</v>
      </c>
      <c r="D124" s="50">
        <v>0</v>
      </c>
      <c r="E124" s="226"/>
      <c r="F124" s="102"/>
      <c r="G124" s="213" t="str">
        <f t="shared" si="13"/>
        <v/>
      </c>
      <c r="H124" s="213">
        <f t="shared" si="11"/>
        <v>0</v>
      </c>
      <c r="I124" s="201">
        <f t="shared" si="12"/>
        <v>0</v>
      </c>
      <c r="J124" s="93" t="e">
        <f t="shared" si="14"/>
        <v>#REF!</v>
      </c>
      <c r="K124" s="207"/>
    </row>
    <row r="125" spans="1:11" outlineLevel="2">
      <c r="A125" s="222">
        <f>A124+0.000001</f>
        <v>1.0602019999999999</v>
      </c>
      <c r="B125" s="186" t="s">
        <v>145</v>
      </c>
      <c r="C125" s="49" t="s">
        <v>39</v>
      </c>
      <c r="D125" s="50">
        <v>0</v>
      </c>
      <c r="E125" s="226"/>
      <c r="F125" s="102"/>
      <c r="G125" s="213" t="str">
        <f t="shared" si="13"/>
        <v/>
      </c>
      <c r="H125" s="213">
        <f t="shared" si="11"/>
        <v>0</v>
      </c>
      <c r="I125" s="201">
        <f t="shared" si="12"/>
        <v>0</v>
      </c>
      <c r="J125" s="93" t="e">
        <f t="shared" si="14"/>
        <v>#REF!</v>
      </c>
      <c r="K125" s="207"/>
    </row>
    <row r="126" spans="1:11" outlineLevel="2">
      <c r="A126" s="222">
        <f>A125+0.000001</f>
        <v>1.0602029999999998</v>
      </c>
      <c r="B126" s="186" t="s">
        <v>146</v>
      </c>
      <c r="C126" s="49" t="s">
        <v>39</v>
      </c>
      <c r="D126" s="50">
        <v>0</v>
      </c>
      <c r="E126" s="226"/>
      <c r="F126" s="102"/>
      <c r="G126" s="213" t="str">
        <f t="shared" si="13"/>
        <v/>
      </c>
      <c r="H126" s="213">
        <f t="shared" si="11"/>
        <v>0</v>
      </c>
      <c r="I126" s="201">
        <f t="shared" si="12"/>
        <v>0</v>
      </c>
      <c r="J126" s="93" t="e">
        <f t="shared" si="14"/>
        <v>#REF!</v>
      </c>
      <c r="K126" s="207"/>
    </row>
    <row r="127" spans="1:11" outlineLevel="2">
      <c r="A127" s="222">
        <f>A126+0.000001</f>
        <v>1.0602039999999997</v>
      </c>
      <c r="B127" s="186" t="s">
        <v>147</v>
      </c>
      <c r="C127" s="49" t="s">
        <v>39</v>
      </c>
      <c r="D127" s="50">
        <v>0</v>
      </c>
      <c r="E127" s="226">
        <v>0</v>
      </c>
      <c r="F127" s="102">
        <v>3741.9199999999996</v>
      </c>
      <c r="G127" s="213" t="str">
        <f t="shared" si="13"/>
        <v/>
      </c>
      <c r="H127" s="213">
        <f t="shared" si="11"/>
        <v>0</v>
      </c>
      <c r="I127" s="201">
        <f t="shared" si="12"/>
        <v>0</v>
      </c>
      <c r="J127" s="93" t="e">
        <f t="shared" si="14"/>
        <v>#REF!</v>
      </c>
      <c r="K127" s="207"/>
    </row>
    <row r="128" spans="1:11" outlineLevel="1">
      <c r="A128" s="223">
        <f>A123+0.0001</f>
        <v>1.0603</v>
      </c>
      <c r="B128" s="197" t="s">
        <v>148</v>
      </c>
      <c r="C128" s="49"/>
      <c r="D128" s="50"/>
      <c r="E128" s="96"/>
      <c r="F128" s="102"/>
      <c r="G128" s="213" t="str">
        <f t="shared" si="13"/>
        <v/>
      </c>
      <c r="H128" s="213">
        <f t="shared" si="11"/>
        <v>0</v>
      </c>
      <c r="I128" s="201">
        <f t="shared" si="12"/>
        <v>0</v>
      </c>
      <c r="J128" s="93" t="e">
        <f t="shared" si="14"/>
        <v>#REF!</v>
      </c>
      <c r="K128" s="207"/>
    </row>
    <row r="129" spans="1:11" outlineLevel="2">
      <c r="A129" s="222">
        <f>A128+0.000001</f>
        <v>1.0603009999999999</v>
      </c>
      <c r="B129" s="186" t="s">
        <v>149</v>
      </c>
      <c r="C129" s="49" t="s">
        <v>144</v>
      </c>
      <c r="D129" s="50">
        <v>0</v>
      </c>
      <c r="E129" s="226"/>
      <c r="F129" s="102">
        <v>220</v>
      </c>
      <c r="G129" s="213" t="str">
        <f t="shared" si="13"/>
        <v/>
      </c>
      <c r="H129" s="213">
        <f t="shared" si="11"/>
        <v>0</v>
      </c>
      <c r="I129" s="201">
        <f t="shared" si="12"/>
        <v>0</v>
      </c>
      <c r="J129" s="93" t="e">
        <f t="shared" si="14"/>
        <v>#REF!</v>
      </c>
      <c r="K129" s="207"/>
    </row>
    <row r="130" spans="1:11" outlineLevel="2">
      <c r="A130" s="222">
        <f>A129+0.000001</f>
        <v>1.0603019999999999</v>
      </c>
      <c r="B130" s="186" t="s">
        <v>150</v>
      </c>
      <c r="C130" s="49" t="s">
        <v>39</v>
      </c>
      <c r="D130" s="50">
        <v>0</v>
      </c>
      <c r="E130" s="226"/>
      <c r="F130" s="102">
        <v>750</v>
      </c>
      <c r="G130" s="213" t="str">
        <f t="shared" si="13"/>
        <v/>
      </c>
      <c r="H130" s="213">
        <f t="shared" si="11"/>
        <v>0</v>
      </c>
      <c r="I130" s="201">
        <f t="shared" si="12"/>
        <v>0</v>
      </c>
      <c r="J130" s="93" t="e">
        <f t="shared" si="14"/>
        <v>#REF!</v>
      </c>
      <c r="K130" s="207"/>
    </row>
    <row r="131" spans="1:11" outlineLevel="2">
      <c r="A131" s="222">
        <f>A130+0.000001</f>
        <v>1.0603029999999998</v>
      </c>
      <c r="B131" s="186" t="s">
        <v>151</v>
      </c>
      <c r="C131" s="49" t="s">
        <v>39</v>
      </c>
      <c r="D131" s="50">
        <v>0</v>
      </c>
      <c r="E131" s="226"/>
      <c r="F131" s="102">
        <v>2405.52</v>
      </c>
      <c r="G131" s="213" t="str">
        <f t="shared" si="13"/>
        <v/>
      </c>
      <c r="H131" s="213">
        <f t="shared" si="11"/>
        <v>0</v>
      </c>
      <c r="I131" s="201">
        <f t="shared" si="12"/>
        <v>0</v>
      </c>
      <c r="J131" s="93" t="e">
        <f t="shared" si="14"/>
        <v>#REF!</v>
      </c>
      <c r="K131" s="207"/>
    </row>
    <row r="132" spans="1:11" outlineLevel="1">
      <c r="A132" s="223">
        <f>A128+0.0001</f>
        <v>1.0604</v>
      </c>
      <c r="B132" s="479" t="s">
        <v>152</v>
      </c>
      <c r="C132" s="49"/>
      <c r="D132" s="50"/>
      <c r="E132" s="96"/>
      <c r="F132" s="114"/>
      <c r="G132" s="329" t="str">
        <f t="shared" si="13"/>
        <v/>
      </c>
      <c r="H132" s="329">
        <f t="shared" si="11"/>
        <v>0</v>
      </c>
      <c r="I132" s="330">
        <f t="shared" si="12"/>
        <v>0</v>
      </c>
      <c r="J132" s="93" t="e">
        <f t="shared" si="14"/>
        <v>#REF!</v>
      </c>
      <c r="K132" s="207"/>
    </row>
    <row r="133" spans="1:11" ht="22.5" outlineLevel="2">
      <c r="A133" s="222">
        <f>A132+0.000001</f>
        <v>1.0604009999999999</v>
      </c>
      <c r="B133" s="51" t="s">
        <v>153</v>
      </c>
      <c r="C133" s="49" t="s">
        <v>29</v>
      </c>
      <c r="D133" s="50">
        <v>0</v>
      </c>
      <c r="E133" s="226"/>
      <c r="F133" s="114"/>
      <c r="G133" s="329" t="str">
        <f t="shared" si="13"/>
        <v/>
      </c>
      <c r="H133" s="329">
        <f t="shared" si="11"/>
        <v>0</v>
      </c>
      <c r="I133" s="330">
        <f t="shared" si="12"/>
        <v>0</v>
      </c>
      <c r="J133" s="93" t="e">
        <f t="shared" si="14"/>
        <v>#REF!</v>
      </c>
      <c r="K133" s="207"/>
    </row>
    <row r="134" spans="1:11" ht="22.5" outlineLevel="2">
      <c r="A134" s="222">
        <f>A133+0.000001</f>
        <v>1.0604019999999998</v>
      </c>
      <c r="B134" s="51" t="s">
        <v>154</v>
      </c>
      <c r="C134" s="49" t="s">
        <v>39</v>
      </c>
      <c r="D134" s="50">
        <v>0</v>
      </c>
      <c r="E134" s="226"/>
      <c r="F134" s="114"/>
      <c r="G134" s="329" t="str">
        <f t="shared" si="13"/>
        <v/>
      </c>
      <c r="H134" s="329">
        <f t="shared" si="11"/>
        <v>0</v>
      </c>
      <c r="I134" s="330">
        <f t="shared" si="12"/>
        <v>0</v>
      </c>
      <c r="J134" s="93" t="e">
        <f t="shared" si="14"/>
        <v>#REF!</v>
      </c>
      <c r="K134" s="207"/>
    </row>
    <row r="135" spans="1:11" ht="22.5" outlineLevel="2">
      <c r="A135" s="222">
        <f>A134+0.000001</f>
        <v>1.0604029999999998</v>
      </c>
      <c r="B135" s="51" t="s">
        <v>155</v>
      </c>
      <c r="C135" s="49" t="s">
        <v>39</v>
      </c>
      <c r="D135" s="50">
        <v>0</v>
      </c>
      <c r="E135" s="226"/>
      <c r="F135" s="114"/>
      <c r="G135" s="329" t="str">
        <f t="shared" si="13"/>
        <v/>
      </c>
      <c r="H135" s="329">
        <f t="shared" si="11"/>
        <v>0</v>
      </c>
      <c r="I135" s="330">
        <f t="shared" si="12"/>
        <v>0</v>
      </c>
      <c r="J135" s="93" t="e">
        <f t="shared" si="14"/>
        <v>#REF!</v>
      </c>
      <c r="K135" s="207"/>
    </row>
    <row r="136" spans="1:11" ht="22.5" outlineLevel="2">
      <c r="A136" s="222">
        <f>A135+0.000001</f>
        <v>1.0604039999999997</v>
      </c>
      <c r="B136" s="51" t="s">
        <v>156</v>
      </c>
      <c r="C136" s="49" t="s">
        <v>39</v>
      </c>
      <c r="D136" s="50">
        <v>0</v>
      </c>
      <c r="E136" s="226"/>
      <c r="F136" s="114"/>
      <c r="G136" s="329" t="str">
        <f t="shared" si="13"/>
        <v/>
      </c>
      <c r="H136" s="329">
        <f t="shared" si="11"/>
        <v>0</v>
      </c>
      <c r="I136" s="330">
        <f t="shared" si="12"/>
        <v>0</v>
      </c>
      <c r="J136" s="93" t="e">
        <f t="shared" si="14"/>
        <v>#REF!</v>
      </c>
      <c r="K136" s="207"/>
    </row>
    <row r="137" spans="1:11">
      <c r="A137" s="220">
        <f>A110+0.01</f>
        <v>1.07</v>
      </c>
      <c r="B137" s="196" t="s">
        <v>157</v>
      </c>
      <c r="C137" s="190"/>
      <c r="D137" s="191"/>
      <c r="E137" s="227"/>
      <c r="F137" s="102"/>
      <c r="G137" s="213"/>
      <c r="H137" s="213"/>
      <c r="I137" s="201"/>
      <c r="J137" s="93"/>
      <c r="K137" s="209" t="e">
        <f>SUM(J138)</f>
        <v>#REF!</v>
      </c>
    </row>
    <row r="138" spans="1:11" outlineLevel="1">
      <c r="A138" s="221">
        <f t="shared" ref="A138:A174" si="16">A137+0.0001</f>
        <v>1.0701000000000001</v>
      </c>
      <c r="B138" s="51" t="s">
        <v>158</v>
      </c>
      <c r="C138" s="49" t="s">
        <v>39</v>
      </c>
      <c r="D138" s="50">
        <v>20.5</v>
      </c>
      <c r="E138" s="226">
        <v>17783.429999999997</v>
      </c>
      <c r="F138" s="102">
        <v>0</v>
      </c>
      <c r="G138" s="213" t="str">
        <f t="shared" ref="G138:G166" si="17">IFERROR(IF(D138=0,"",(E138+F138*TC)),"")</f>
        <v/>
      </c>
      <c r="H138" s="213">
        <f t="shared" si="11"/>
        <v>364560.32</v>
      </c>
      <c r="I138" s="201">
        <f t="shared" si="12"/>
        <v>0</v>
      </c>
      <c r="J138" s="93" t="e">
        <f>+ROUND(H138+I138*TC,2)</f>
        <v>#REF!</v>
      </c>
      <c r="K138" s="207"/>
    </row>
    <row r="139" spans="1:11">
      <c r="A139" s="220">
        <f>A137+0.01</f>
        <v>1.08</v>
      </c>
      <c r="B139" s="196" t="s">
        <v>159</v>
      </c>
      <c r="C139" s="192"/>
      <c r="D139" s="193"/>
      <c r="E139" s="235"/>
      <c r="F139" s="102">
        <v>0</v>
      </c>
      <c r="G139" s="213"/>
      <c r="H139" s="213"/>
      <c r="I139" s="201"/>
      <c r="J139" s="93"/>
      <c r="K139" s="209" t="e">
        <f>SUM(J140:J147)</f>
        <v>#REF!</v>
      </c>
    </row>
    <row r="140" spans="1:11" outlineLevel="1">
      <c r="A140" s="221">
        <f t="shared" si="16"/>
        <v>1.0801000000000001</v>
      </c>
      <c r="B140" s="186" t="s">
        <v>160</v>
      </c>
      <c r="C140" s="49" t="s">
        <v>39</v>
      </c>
      <c r="D140" s="50">
        <v>6.5</v>
      </c>
      <c r="E140" s="96">
        <v>3837.6</v>
      </c>
      <c r="F140" s="114"/>
      <c r="G140" s="329" t="str">
        <f t="shared" si="17"/>
        <v/>
      </c>
      <c r="H140" s="213">
        <f t="shared" si="11"/>
        <v>24944.400000000001</v>
      </c>
      <c r="I140" s="201">
        <f t="shared" si="12"/>
        <v>0</v>
      </c>
      <c r="J140" s="93" t="e">
        <f t="shared" ref="J140:J146" si="18">+ROUND(H140+I140*TC,2)</f>
        <v>#REF!</v>
      </c>
      <c r="K140" s="207"/>
    </row>
    <row r="141" spans="1:11" outlineLevel="1">
      <c r="A141" s="221">
        <f t="shared" si="16"/>
        <v>1.0802</v>
      </c>
      <c r="B141" s="186" t="s">
        <v>161</v>
      </c>
      <c r="C141" s="49" t="s">
        <v>39</v>
      </c>
      <c r="D141" s="50">
        <v>13</v>
      </c>
      <c r="E141" s="96">
        <v>5756.4</v>
      </c>
      <c r="F141" s="102"/>
      <c r="G141" s="213" t="str">
        <f t="shared" si="17"/>
        <v/>
      </c>
      <c r="H141" s="213">
        <f t="shared" ref="H141:H174" si="19">+ROUND(D141*E141,2)</f>
        <v>74833.2</v>
      </c>
      <c r="I141" s="201">
        <f t="shared" ref="I141:I174" si="20">+ROUND(D141*F141,2)</f>
        <v>0</v>
      </c>
      <c r="J141" s="93" t="e">
        <f t="shared" si="18"/>
        <v>#REF!</v>
      </c>
      <c r="K141" s="207"/>
    </row>
    <row r="142" spans="1:11" outlineLevel="1">
      <c r="A142" s="221">
        <f t="shared" si="16"/>
        <v>1.0803</v>
      </c>
      <c r="B142" s="51" t="s">
        <v>162</v>
      </c>
      <c r="C142" s="49" t="s">
        <v>163</v>
      </c>
      <c r="D142" s="50">
        <v>2081</v>
      </c>
      <c r="E142" s="96">
        <v>39</v>
      </c>
      <c r="F142" s="102"/>
      <c r="G142" s="213" t="str">
        <f t="shared" si="17"/>
        <v/>
      </c>
      <c r="H142" s="213">
        <f t="shared" si="19"/>
        <v>81159</v>
      </c>
      <c r="I142" s="201">
        <f t="shared" si="20"/>
        <v>0</v>
      </c>
      <c r="J142" s="93" t="e">
        <f t="shared" si="18"/>
        <v>#REF!</v>
      </c>
      <c r="K142" s="207"/>
    </row>
    <row r="143" spans="1:11" ht="22.5" outlineLevel="1">
      <c r="A143" s="221">
        <f t="shared" si="16"/>
        <v>1.0804</v>
      </c>
      <c r="B143" s="51" t="s">
        <v>164</v>
      </c>
      <c r="C143" s="49" t="s">
        <v>73</v>
      </c>
      <c r="D143" s="50">
        <v>66</v>
      </c>
      <c r="E143" s="96">
        <v>470</v>
      </c>
      <c r="F143" s="102"/>
      <c r="G143" s="213" t="str">
        <f>IFERROR(IF(D143=0,"",(E143+F143*TC)),"")</f>
        <v/>
      </c>
      <c r="H143" s="213">
        <f t="shared" si="19"/>
        <v>31020</v>
      </c>
      <c r="I143" s="201">
        <f t="shared" si="20"/>
        <v>0</v>
      </c>
      <c r="J143" s="93" t="e">
        <f t="shared" si="18"/>
        <v>#REF!</v>
      </c>
      <c r="K143" s="207"/>
    </row>
    <row r="144" spans="1:11" outlineLevel="1">
      <c r="A144" s="221">
        <f t="shared" si="16"/>
        <v>1.0805</v>
      </c>
      <c r="B144" s="186" t="s">
        <v>165</v>
      </c>
      <c r="C144" s="49" t="s">
        <v>29</v>
      </c>
      <c r="D144" s="50">
        <v>1</v>
      </c>
      <c r="E144" s="96">
        <v>19780.45</v>
      </c>
      <c r="F144" s="102"/>
      <c r="G144" s="213" t="str">
        <f t="shared" si="17"/>
        <v/>
      </c>
      <c r="H144" s="213">
        <f t="shared" si="19"/>
        <v>19780.45</v>
      </c>
      <c r="I144" s="201">
        <f t="shared" si="20"/>
        <v>0</v>
      </c>
      <c r="J144" s="93" t="e">
        <f t="shared" si="18"/>
        <v>#REF!</v>
      </c>
      <c r="K144" s="207"/>
    </row>
    <row r="145" spans="1:11" outlineLevel="1">
      <c r="A145" s="221">
        <f t="shared" si="16"/>
        <v>1.0806</v>
      </c>
      <c r="B145" s="51" t="s">
        <v>166</v>
      </c>
      <c r="C145" s="49" t="s">
        <v>39</v>
      </c>
      <c r="D145" s="50">
        <v>8</v>
      </c>
      <c r="E145" s="96">
        <v>10960.31</v>
      </c>
      <c r="F145" s="102"/>
      <c r="G145" s="213" t="str">
        <f t="shared" si="17"/>
        <v/>
      </c>
      <c r="H145" s="213">
        <f t="shared" si="19"/>
        <v>87682.48</v>
      </c>
      <c r="I145" s="201">
        <f t="shared" si="20"/>
        <v>0</v>
      </c>
      <c r="J145" s="93" t="e">
        <f t="shared" si="18"/>
        <v>#REF!</v>
      </c>
      <c r="K145" s="207"/>
    </row>
    <row r="146" spans="1:11" outlineLevel="1">
      <c r="A146" s="221">
        <f t="shared" si="16"/>
        <v>1.0807</v>
      </c>
      <c r="B146" s="186" t="s">
        <v>167</v>
      </c>
      <c r="C146" s="49" t="s">
        <v>29</v>
      </c>
      <c r="D146" s="50">
        <v>1</v>
      </c>
      <c r="E146" s="96">
        <v>28710</v>
      </c>
      <c r="F146" s="102"/>
      <c r="G146" s="213" t="str">
        <f t="shared" si="17"/>
        <v/>
      </c>
      <c r="H146" s="213">
        <f t="shared" si="19"/>
        <v>28710</v>
      </c>
      <c r="I146" s="201">
        <f t="shared" si="20"/>
        <v>0</v>
      </c>
      <c r="J146" s="93" t="e">
        <f t="shared" si="18"/>
        <v>#REF!</v>
      </c>
      <c r="K146" s="207"/>
    </row>
    <row r="147" spans="1:11" outlineLevel="1">
      <c r="A147" s="221">
        <f t="shared" si="16"/>
        <v>1.0808</v>
      </c>
      <c r="B147" s="186" t="s">
        <v>168</v>
      </c>
      <c r="C147" s="49" t="s">
        <v>169</v>
      </c>
      <c r="D147" s="298"/>
      <c r="E147" s="96"/>
      <c r="F147" s="102"/>
      <c r="G147" s="213" t="str">
        <f t="shared" si="17"/>
        <v/>
      </c>
      <c r="H147" s="213" t="str">
        <f>IFERROR(IF(E147=0,"",(F147+G147*TC)),"")</f>
        <v/>
      </c>
      <c r="I147" s="213" t="str">
        <f>IFERROR(IF(F147=0,"",(G147+H147*TC)),"")</f>
        <v/>
      </c>
      <c r="J147" s="213" t="str">
        <f>IFERROR(IF(G147=0,"",(H147+I147*TC)),"")</f>
        <v/>
      </c>
      <c r="K147" s="207"/>
    </row>
    <row r="148" spans="1:11">
      <c r="A148" s="220">
        <f>A139+0.01</f>
        <v>1.0900000000000001</v>
      </c>
      <c r="B148" s="196" t="s">
        <v>170</v>
      </c>
      <c r="C148" s="190"/>
      <c r="D148" s="191"/>
      <c r="E148" s="227"/>
      <c r="F148" s="102">
        <v>0</v>
      </c>
      <c r="G148" s="213" t="str">
        <f t="shared" si="17"/>
        <v/>
      </c>
      <c r="H148" s="213"/>
      <c r="I148" s="201"/>
      <c r="J148" s="93"/>
      <c r="K148" s="209" t="e">
        <f>SUM(J149:J152)</f>
        <v>#REF!</v>
      </c>
    </row>
    <row r="149" spans="1:11" outlineLevel="1">
      <c r="A149" s="221">
        <f t="shared" si="16"/>
        <v>1.0901000000000001</v>
      </c>
      <c r="B149" s="186" t="s">
        <v>171</v>
      </c>
      <c r="C149" s="49" t="s">
        <v>169</v>
      </c>
      <c r="D149" s="50">
        <v>19210.239999999998</v>
      </c>
      <c r="E149" s="96">
        <v>6.12</v>
      </c>
      <c r="F149" s="102"/>
      <c r="G149" s="213" t="str">
        <f t="shared" si="17"/>
        <v/>
      </c>
      <c r="H149" s="213">
        <f t="shared" si="19"/>
        <v>117566.67</v>
      </c>
      <c r="I149" s="201">
        <f t="shared" si="20"/>
        <v>0</v>
      </c>
      <c r="J149" s="93" t="e">
        <f>+ROUND(H149+I149*TC,2)</f>
        <v>#REF!</v>
      </c>
      <c r="K149" s="207"/>
    </row>
    <row r="150" spans="1:11" ht="22.5" outlineLevel="1">
      <c r="A150" s="221">
        <f t="shared" si="16"/>
        <v>1.0902000000000001</v>
      </c>
      <c r="B150" s="53" t="s">
        <v>172</v>
      </c>
      <c r="C150" s="49" t="s">
        <v>169</v>
      </c>
      <c r="D150" s="50">
        <v>0</v>
      </c>
      <c r="E150" s="96"/>
      <c r="F150" s="114"/>
      <c r="G150" s="329" t="str">
        <f t="shared" si="17"/>
        <v/>
      </c>
      <c r="H150" s="329">
        <f t="shared" si="19"/>
        <v>0</v>
      </c>
      <c r="I150" s="330">
        <f t="shared" si="20"/>
        <v>0</v>
      </c>
      <c r="J150" s="93" t="e">
        <f>+ROUND(H150+I150*TC,2)</f>
        <v>#REF!</v>
      </c>
      <c r="K150" s="207"/>
    </row>
    <row r="151" spans="1:11" ht="33.75" outlineLevel="1">
      <c r="A151" s="221">
        <f t="shared" si="16"/>
        <v>1.0903</v>
      </c>
      <c r="B151" s="53" t="s">
        <v>173</v>
      </c>
      <c r="C151" s="49" t="s">
        <v>169</v>
      </c>
      <c r="D151" s="50">
        <v>0</v>
      </c>
      <c r="E151" s="96"/>
      <c r="F151" s="114"/>
      <c r="G151" s="329" t="str">
        <f t="shared" si="17"/>
        <v/>
      </c>
      <c r="H151" s="329">
        <f t="shared" si="19"/>
        <v>0</v>
      </c>
      <c r="I151" s="330">
        <f t="shared" si="20"/>
        <v>0</v>
      </c>
      <c r="J151" s="93" t="e">
        <f>+ROUND(H151+I151*TC,2)</f>
        <v>#REF!</v>
      </c>
      <c r="K151" s="207"/>
    </row>
    <row r="152" spans="1:11" outlineLevel="1">
      <c r="A152" s="221">
        <f t="shared" si="16"/>
        <v>1.0904</v>
      </c>
      <c r="B152" s="57" t="s">
        <v>174</v>
      </c>
      <c r="C152" s="49" t="s">
        <v>46</v>
      </c>
      <c r="D152" s="50">
        <v>1393.0900000000001</v>
      </c>
      <c r="E152" s="96">
        <v>6.59</v>
      </c>
      <c r="F152" s="102"/>
      <c r="G152" s="213" t="str">
        <f t="shared" si="17"/>
        <v/>
      </c>
      <c r="H152" s="213">
        <f t="shared" si="19"/>
        <v>9180.4599999999991</v>
      </c>
      <c r="I152" s="201">
        <f t="shared" si="20"/>
        <v>0</v>
      </c>
      <c r="J152" s="93" t="e">
        <f>+ROUND(H152+I152*TC,2)</f>
        <v>#REF!</v>
      </c>
      <c r="K152" s="207"/>
    </row>
    <row r="153" spans="1:11">
      <c r="A153" s="220">
        <f>A148+0.01</f>
        <v>1.1000000000000001</v>
      </c>
      <c r="B153" s="196" t="s">
        <v>175</v>
      </c>
      <c r="C153" s="190"/>
      <c r="D153" s="205"/>
      <c r="E153" s="227"/>
      <c r="F153" s="102">
        <v>0</v>
      </c>
      <c r="G153" s="213"/>
      <c r="H153" s="213"/>
      <c r="I153" s="201"/>
      <c r="J153" s="93"/>
      <c r="K153" s="209" t="e">
        <f>SUM(J154:J158)</f>
        <v>#REF!</v>
      </c>
    </row>
    <row r="154" spans="1:11" outlineLevel="1">
      <c r="A154" s="221">
        <f t="shared" si="16"/>
        <v>1.1001000000000001</v>
      </c>
      <c r="B154" s="189" t="s">
        <v>176</v>
      </c>
      <c r="C154" s="49" t="s">
        <v>39</v>
      </c>
      <c r="D154" s="50">
        <v>9</v>
      </c>
      <c r="E154" s="96">
        <v>3407.56</v>
      </c>
      <c r="F154" s="102"/>
      <c r="G154" s="213" t="str">
        <f t="shared" si="17"/>
        <v/>
      </c>
      <c r="H154" s="213">
        <f t="shared" si="19"/>
        <v>30668.04</v>
      </c>
      <c r="I154" s="201">
        <f t="shared" si="20"/>
        <v>0</v>
      </c>
      <c r="J154" s="93" t="e">
        <f>+ROUND(H154+I154*TC,2)</f>
        <v>#REF!</v>
      </c>
      <c r="K154" s="207"/>
    </row>
    <row r="155" spans="1:11" outlineLevel="1">
      <c r="A155" s="221">
        <f t="shared" si="16"/>
        <v>1.1002000000000001</v>
      </c>
      <c r="B155" s="186" t="s">
        <v>177</v>
      </c>
      <c r="C155" s="49" t="s">
        <v>39</v>
      </c>
      <c r="D155" s="50">
        <v>7</v>
      </c>
      <c r="E155" s="96">
        <v>1650</v>
      </c>
      <c r="F155" s="102"/>
      <c r="G155" s="213" t="str">
        <f t="shared" si="17"/>
        <v/>
      </c>
      <c r="H155" s="213">
        <f t="shared" si="19"/>
        <v>11550</v>
      </c>
      <c r="I155" s="201">
        <f t="shared" si="20"/>
        <v>0</v>
      </c>
      <c r="J155" s="93" t="e">
        <f>+ROUND(H155+I155*TC,2)</f>
        <v>#REF!</v>
      </c>
      <c r="K155" s="207"/>
    </row>
    <row r="156" spans="1:11" outlineLevel="1">
      <c r="A156" s="221">
        <f t="shared" si="16"/>
        <v>1.1003000000000001</v>
      </c>
      <c r="B156" s="189" t="s">
        <v>178</v>
      </c>
      <c r="C156" s="49" t="s">
        <v>39</v>
      </c>
      <c r="D156" s="50">
        <v>6.5</v>
      </c>
      <c r="E156" s="96">
        <v>960</v>
      </c>
      <c r="F156" s="102"/>
      <c r="G156" s="213" t="str">
        <f t="shared" si="17"/>
        <v/>
      </c>
      <c r="H156" s="213">
        <f t="shared" si="19"/>
        <v>6240</v>
      </c>
      <c r="I156" s="201">
        <f t="shared" si="20"/>
        <v>0</v>
      </c>
      <c r="J156" s="93" t="e">
        <f>+ROUND(H156+I156*TC,2)</f>
        <v>#REF!</v>
      </c>
      <c r="K156" s="207"/>
    </row>
    <row r="157" spans="1:11" ht="22.5" outlineLevel="1">
      <c r="A157" s="221">
        <f t="shared" si="16"/>
        <v>1.1004</v>
      </c>
      <c r="B157" s="53" t="s">
        <v>179</v>
      </c>
      <c r="C157" s="49" t="s">
        <v>39</v>
      </c>
      <c r="D157" s="50">
        <v>9.5</v>
      </c>
      <c r="E157" s="96">
        <v>4310</v>
      </c>
      <c r="F157" s="102"/>
      <c r="G157" s="213" t="str">
        <f t="shared" si="17"/>
        <v/>
      </c>
      <c r="H157" s="213">
        <f t="shared" si="19"/>
        <v>40945</v>
      </c>
      <c r="I157" s="201">
        <f t="shared" si="20"/>
        <v>0</v>
      </c>
      <c r="J157" s="93" t="e">
        <f>+ROUND(H157+I157*TC,2)</f>
        <v>#REF!</v>
      </c>
      <c r="K157" s="207"/>
    </row>
    <row r="158" spans="1:11" ht="22.5" outlineLevel="1">
      <c r="A158" s="221">
        <f t="shared" si="16"/>
        <v>1.1005</v>
      </c>
      <c r="B158" s="53" t="s">
        <v>180</v>
      </c>
      <c r="C158" s="49" t="s">
        <v>39</v>
      </c>
      <c r="D158" s="50"/>
      <c r="E158" s="96">
        <v>0</v>
      </c>
      <c r="F158" s="102"/>
      <c r="G158" s="213" t="str">
        <f t="shared" si="17"/>
        <v/>
      </c>
      <c r="H158" s="213">
        <f t="shared" si="19"/>
        <v>0</v>
      </c>
      <c r="I158" s="201">
        <f t="shared" si="20"/>
        <v>0</v>
      </c>
      <c r="J158" s="93" t="e">
        <f>+ROUND(H158+I158*TC,2)</f>
        <v>#REF!</v>
      </c>
      <c r="K158" s="207"/>
    </row>
    <row r="159" spans="1:11">
      <c r="A159" s="220">
        <f>A153+0.01</f>
        <v>1.1100000000000001</v>
      </c>
      <c r="B159" s="196" t="s">
        <v>181</v>
      </c>
      <c r="C159" s="190"/>
      <c r="D159" s="205"/>
      <c r="E159" s="227"/>
      <c r="F159" s="102">
        <v>0</v>
      </c>
      <c r="G159" s="213"/>
      <c r="H159" s="213"/>
      <c r="I159" s="201"/>
      <c r="J159" s="93"/>
      <c r="K159" s="209" t="e">
        <f>SUM(J160:J163)</f>
        <v>#REF!</v>
      </c>
    </row>
    <row r="160" spans="1:11" outlineLevel="1">
      <c r="A160" s="221">
        <f t="shared" si="16"/>
        <v>1.1101000000000001</v>
      </c>
      <c r="B160" s="189" t="s">
        <v>182</v>
      </c>
      <c r="C160" s="49" t="s">
        <v>36</v>
      </c>
      <c r="D160" s="50">
        <v>0</v>
      </c>
      <c r="E160" s="96">
        <v>23.4</v>
      </c>
      <c r="F160" s="114"/>
      <c r="G160" s="329" t="str">
        <f t="shared" si="17"/>
        <v/>
      </c>
      <c r="H160" s="329">
        <f t="shared" si="19"/>
        <v>0</v>
      </c>
      <c r="I160" s="330">
        <f t="shared" si="20"/>
        <v>0</v>
      </c>
      <c r="J160" s="93" t="e">
        <f>+ROUND(H160+I160*TC,2)</f>
        <v>#REF!</v>
      </c>
      <c r="K160" s="207"/>
    </row>
    <row r="161" spans="1:11" outlineLevel="1">
      <c r="A161" s="221">
        <f t="shared" si="16"/>
        <v>1.1102000000000001</v>
      </c>
      <c r="B161" s="189" t="s">
        <v>183</v>
      </c>
      <c r="C161" s="49" t="s">
        <v>36</v>
      </c>
      <c r="D161" s="50">
        <v>0</v>
      </c>
      <c r="E161" s="96">
        <v>2.46</v>
      </c>
      <c r="F161" s="114"/>
      <c r="G161" s="329" t="str">
        <f t="shared" si="17"/>
        <v/>
      </c>
      <c r="H161" s="329">
        <f t="shared" si="19"/>
        <v>0</v>
      </c>
      <c r="I161" s="330">
        <f t="shared" si="20"/>
        <v>0</v>
      </c>
      <c r="J161" s="93" t="e">
        <f>+ROUND(H161+I161*TC,2)</f>
        <v>#REF!</v>
      </c>
      <c r="K161" s="207"/>
    </row>
    <row r="162" spans="1:11" outlineLevel="1">
      <c r="A162" s="221">
        <f t="shared" si="16"/>
        <v>1.1103000000000001</v>
      </c>
      <c r="B162" s="189" t="s">
        <v>184</v>
      </c>
      <c r="C162" s="49" t="s">
        <v>185</v>
      </c>
      <c r="D162" s="50">
        <v>0</v>
      </c>
      <c r="E162" s="96">
        <v>4.55</v>
      </c>
      <c r="F162" s="114"/>
      <c r="G162" s="329" t="str">
        <f t="shared" si="17"/>
        <v/>
      </c>
      <c r="H162" s="329">
        <f t="shared" si="19"/>
        <v>0</v>
      </c>
      <c r="I162" s="330">
        <f t="shared" si="20"/>
        <v>0</v>
      </c>
      <c r="J162" s="93" t="e">
        <f>+ROUND(H162+I162*TC,2)</f>
        <v>#REF!</v>
      </c>
      <c r="K162" s="207"/>
    </row>
    <row r="163" spans="1:11" outlineLevel="1">
      <c r="A163" s="221">
        <f t="shared" si="16"/>
        <v>1.1104000000000001</v>
      </c>
      <c r="B163" s="189" t="s">
        <v>186</v>
      </c>
      <c r="C163" s="49" t="s">
        <v>36</v>
      </c>
      <c r="D163" s="50">
        <v>0</v>
      </c>
      <c r="E163" s="96">
        <v>0.47047499999999998</v>
      </c>
      <c r="F163" s="114"/>
      <c r="G163" s="329" t="str">
        <f t="shared" si="17"/>
        <v/>
      </c>
      <c r="H163" s="329">
        <f t="shared" si="19"/>
        <v>0</v>
      </c>
      <c r="I163" s="330">
        <f t="shared" si="20"/>
        <v>0</v>
      </c>
      <c r="J163" s="93" t="e">
        <f>+ROUND(H163+I163*TC,2)</f>
        <v>#REF!</v>
      </c>
      <c r="K163" s="207"/>
    </row>
    <row r="164" spans="1:11">
      <c r="A164" s="220">
        <f>A159+0.01</f>
        <v>1.1200000000000001</v>
      </c>
      <c r="B164" s="196" t="s">
        <v>187</v>
      </c>
      <c r="C164" s="192"/>
      <c r="D164" s="193"/>
      <c r="E164" s="235"/>
      <c r="F164" s="102">
        <v>0</v>
      </c>
      <c r="G164" s="213" t="str">
        <f t="shared" si="17"/>
        <v/>
      </c>
      <c r="H164" s="213"/>
      <c r="I164" s="201"/>
      <c r="J164" s="93"/>
      <c r="K164" s="209" t="e">
        <f>SUM(J165:J170)</f>
        <v>#REF!</v>
      </c>
    </row>
    <row r="165" spans="1:11" outlineLevel="1">
      <c r="A165" s="221">
        <f t="shared" si="16"/>
        <v>1.1201000000000001</v>
      </c>
      <c r="B165" s="186" t="s">
        <v>188</v>
      </c>
      <c r="C165" s="47" t="s">
        <v>189</v>
      </c>
      <c r="D165" s="50">
        <v>389</v>
      </c>
      <c r="E165" s="95">
        <v>90</v>
      </c>
      <c r="F165" s="102"/>
      <c r="G165" s="213" t="str">
        <f t="shared" si="17"/>
        <v/>
      </c>
      <c r="H165" s="213">
        <f t="shared" si="19"/>
        <v>35010</v>
      </c>
      <c r="I165" s="201">
        <f t="shared" si="20"/>
        <v>0</v>
      </c>
      <c r="J165" s="93" t="e">
        <f t="shared" ref="J165:J170" si="21">+ROUND(H165+I165*TC,2)</f>
        <v>#REF!</v>
      </c>
      <c r="K165" s="207"/>
    </row>
    <row r="166" spans="1:11" outlineLevel="1">
      <c r="A166" s="221">
        <f t="shared" si="16"/>
        <v>1.1202000000000001</v>
      </c>
      <c r="B166" s="186" t="s">
        <v>190</v>
      </c>
      <c r="C166" s="49" t="s">
        <v>189</v>
      </c>
      <c r="D166" s="50">
        <v>4</v>
      </c>
      <c r="E166" s="96">
        <v>229.99999999999997</v>
      </c>
      <c r="F166" s="102"/>
      <c r="G166" s="213" t="str">
        <f t="shared" si="17"/>
        <v/>
      </c>
      <c r="H166" s="213">
        <f t="shared" si="19"/>
        <v>920</v>
      </c>
      <c r="I166" s="201">
        <f t="shared" si="20"/>
        <v>0</v>
      </c>
      <c r="J166" s="93" t="e">
        <f t="shared" si="21"/>
        <v>#REF!</v>
      </c>
      <c r="K166" s="207"/>
    </row>
    <row r="167" spans="1:11" outlineLevel="1">
      <c r="A167" s="221">
        <f t="shared" si="16"/>
        <v>1.1203000000000001</v>
      </c>
      <c r="B167" s="186" t="s">
        <v>191</v>
      </c>
      <c r="C167" s="49" t="s">
        <v>189</v>
      </c>
      <c r="D167" s="50">
        <v>4</v>
      </c>
      <c r="E167" s="96">
        <v>172.5</v>
      </c>
      <c r="F167" s="102"/>
      <c r="G167" s="213" t="str">
        <f t="shared" ref="G167:G172" si="22">IFERROR(IF(D167=0,"",(E167+F167*TC)),"")</f>
        <v/>
      </c>
      <c r="H167" s="213">
        <f t="shared" si="19"/>
        <v>690</v>
      </c>
      <c r="I167" s="201">
        <f t="shared" si="20"/>
        <v>0</v>
      </c>
      <c r="J167" s="93" t="e">
        <f t="shared" si="21"/>
        <v>#REF!</v>
      </c>
      <c r="K167" s="207"/>
    </row>
    <row r="168" spans="1:11" outlineLevel="1">
      <c r="A168" s="221">
        <f t="shared" si="16"/>
        <v>1.1204000000000001</v>
      </c>
      <c r="B168" s="186" t="s">
        <v>192</v>
      </c>
      <c r="C168" s="49" t="s">
        <v>189</v>
      </c>
      <c r="D168" s="50">
        <v>12</v>
      </c>
      <c r="E168" s="96">
        <v>57.499999999999993</v>
      </c>
      <c r="F168" s="102"/>
      <c r="G168" s="213" t="str">
        <f t="shared" si="22"/>
        <v/>
      </c>
      <c r="H168" s="213">
        <f t="shared" si="19"/>
        <v>690</v>
      </c>
      <c r="I168" s="201">
        <f t="shared" si="20"/>
        <v>0</v>
      </c>
      <c r="J168" s="93" t="e">
        <f t="shared" si="21"/>
        <v>#REF!</v>
      </c>
      <c r="K168" s="207"/>
    </row>
    <row r="169" spans="1:11" outlineLevel="1">
      <c r="A169" s="221">
        <f t="shared" si="16"/>
        <v>1.1205000000000001</v>
      </c>
      <c r="B169" s="186" t="s">
        <v>193</v>
      </c>
      <c r="C169" s="49" t="s">
        <v>29</v>
      </c>
      <c r="D169" s="50">
        <v>4</v>
      </c>
      <c r="E169" s="96">
        <v>276</v>
      </c>
      <c r="F169" s="102"/>
      <c r="G169" s="213" t="str">
        <f t="shared" si="22"/>
        <v/>
      </c>
      <c r="H169" s="213">
        <f t="shared" si="19"/>
        <v>1104</v>
      </c>
      <c r="I169" s="201">
        <f t="shared" si="20"/>
        <v>0</v>
      </c>
      <c r="J169" s="93" t="e">
        <f t="shared" si="21"/>
        <v>#REF!</v>
      </c>
      <c r="K169" s="207"/>
    </row>
    <row r="170" spans="1:11" outlineLevel="1">
      <c r="A170" s="221">
        <f t="shared" si="16"/>
        <v>1.1206</v>
      </c>
      <c r="B170" s="186" t="s">
        <v>194</v>
      </c>
      <c r="C170" s="49" t="s">
        <v>189</v>
      </c>
      <c r="D170" s="50">
        <v>15</v>
      </c>
      <c r="E170" s="96">
        <v>85</v>
      </c>
      <c r="F170" s="102"/>
      <c r="G170" s="213" t="str">
        <f t="shared" si="22"/>
        <v/>
      </c>
      <c r="H170" s="213">
        <f t="shared" si="19"/>
        <v>1275</v>
      </c>
      <c r="I170" s="201">
        <f t="shared" si="20"/>
        <v>0</v>
      </c>
      <c r="J170" s="93" t="e">
        <f t="shared" si="21"/>
        <v>#REF!</v>
      </c>
      <c r="K170" s="207"/>
    </row>
    <row r="171" spans="1:11">
      <c r="A171" s="220">
        <f>A164+0.01</f>
        <v>1.1300000000000001</v>
      </c>
      <c r="B171" s="196" t="s">
        <v>195</v>
      </c>
      <c r="C171" s="190"/>
      <c r="D171" s="191"/>
      <c r="E171" s="227"/>
      <c r="F171" s="102"/>
      <c r="G171" s="213"/>
      <c r="H171" s="213"/>
      <c r="I171" s="201"/>
      <c r="J171" s="93"/>
      <c r="K171" s="209" t="e">
        <f>SUM(J172:J174)</f>
        <v>#REF!</v>
      </c>
    </row>
    <row r="172" spans="1:11" outlineLevel="1">
      <c r="A172" s="221">
        <f t="shared" si="16"/>
        <v>1.1301000000000001</v>
      </c>
      <c r="B172" s="185" t="s">
        <v>196</v>
      </c>
      <c r="C172" s="47" t="s">
        <v>169</v>
      </c>
      <c r="D172" s="50">
        <v>50</v>
      </c>
      <c r="E172" s="95">
        <v>200</v>
      </c>
      <c r="F172" s="48"/>
      <c r="G172" s="213" t="str">
        <f t="shared" si="22"/>
        <v/>
      </c>
      <c r="H172" s="213">
        <f t="shared" si="19"/>
        <v>10000</v>
      </c>
      <c r="I172" s="201">
        <f t="shared" si="20"/>
        <v>0</v>
      </c>
      <c r="J172" s="93" t="e">
        <f>+ROUND(H172+I172*TC,2)</f>
        <v>#REF!</v>
      </c>
      <c r="K172" s="207"/>
    </row>
    <row r="173" spans="1:11" outlineLevel="1">
      <c r="A173" s="221">
        <f t="shared" si="16"/>
        <v>1.1302000000000001</v>
      </c>
      <c r="B173" s="185" t="s">
        <v>197</v>
      </c>
      <c r="C173" s="47" t="s">
        <v>169</v>
      </c>
      <c r="D173" s="443">
        <v>0</v>
      </c>
      <c r="E173" s="95">
        <v>195</v>
      </c>
      <c r="F173" s="48"/>
      <c r="G173" s="213" t="str">
        <f>IFERROR(IF(D173=0,"",(E173+F173*TC)),"")</f>
        <v/>
      </c>
      <c r="H173" s="213">
        <f t="shared" si="19"/>
        <v>0</v>
      </c>
      <c r="I173" s="201">
        <f t="shared" si="20"/>
        <v>0</v>
      </c>
      <c r="J173" s="93" t="e">
        <f>+ROUND(H173+I173*TC,2)</f>
        <v>#REF!</v>
      </c>
      <c r="K173" s="207"/>
    </row>
    <row r="174" spans="1:11" ht="15.75" outlineLevel="1" thickBot="1">
      <c r="A174" s="221">
        <f t="shared" si="16"/>
        <v>1.1303000000000001</v>
      </c>
      <c r="B174" s="185" t="s">
        <v>198</v>
      </c>
      <c r="C174" s="47" t="s">
        <v>39</v>
      </c>
      <c r="D174" s="48">
        <v>4</v>
      </c>
      <c r="E174" s="95">
        <v>13431.6</v>
      </c>
      <c r="F174" s="48"/>
      <c r="G174" s="213" t="str">
        <f>IFERROR(IF(D174=0,"",(E174+F174*TC)),"")</f>
        <v/>
      </c>
      <c r="H174" s="213">
        <f t="shared" si="19"/>
        <v>53726.400000000001</v>
      </c>
      <c r="I174" s="201">
        <f t="shared" si="20"/>
        <v>0</v>
      </c>
      <c r="J174" s="93" t="e">
        <f>+ROUND(H174+I174*TC,2)</f>
        <v>#REF!</v>
      </c>
      <c r="K174" s="207"/>
    </row>
    <row r="175" spans="1:11" ht="16.5" thickTop="1" thickBot="1">
      <c r="A175" s="39"/>
      <c r="B175" s="39"/>
      <c r="C175" s="40"/>
      <c r="D175" s="98" t="s">
        <v>12</v>
      </c>
      <c r="E175" s="41"/>
      <c r="F175" s="181"/>
      <c r="G175" s="181"/>
      <c r="H175" s="214">
        <f>SUM(H14:H174)</f>
        <v>1912527.7299999995</v>
      </c>
      <c r="I175" s="202">
        <f>SUM(I14:I174)</f>
        <v>158162.82</v>
      </c>
      <c r="J175" s="214" t="e">
        <f>SUM(J14:J174)</f>
        <v>#REF!</v>
      </c>
      <c r="K175" s="211" t="e">
        <f>SUM(K14:K174)</f>
        <v>#REF!</v>
      </c>
    </row>
    <row r="176" spans="1:11" ht="15.75" thickTop="1"/>
    <row r="177" spans="1:11" s="299" customFormat="1" thickBot="1">
      <c r="A177" s="36"/>
      <c r="C177" s="43"/>
      <c r="D177" s="43"/>
      <c r="E177" s="38"/>
      <c r="F177" s="38"/>
      <c r="G177" s="38"/>
      <c r="H177" s="38" t="e">
        <f>+H175+I175*TC-J175</f>
        <v>#REF!</v>
      </c>
      <c r="I177" s="38"/>
      <c r="J177" s="38"/>
      <c r="K177" s="38"/>
    </row>
    <row r="178" spans="1:11" s="299" customFormat="1" ht="16.5" thickTop="1" thickBot="1">
      <c r="A178" s="36"/>
      <c r="B178" s="45"/>
      <c r="C178" s="43"/>
      <c r="D178" s="36"/>
      <c r="E178" s="38"/>
      <c r="F178" s="38"/>
      <c r="G178" s="38" t="s">
        <v>199</v>
      </c>
      <c r="H178" s="214">
        <v>1912527.73</v>
      </c>
      <c r="I178" s="202">
        <v>158162.82</v>
      </c>
      <c r="J178" s="38"/>
      <c r="K178" s="38"/>
    </row>
    <row r="179" spans="1:11" s="299" customFormat="1" ht="16.5" thickTop="1" thickBot="1">
      <c r="A179" s="36"/>
      <c r="B179" s="45"/>
      <c r="C179" s="43"/>
      <c r="D179" s="36"/>
      <c r="E179" s="38"/>
      <c r="F179" s="38"/>
      <c r="G179" s="38"/>
      <c r="H179" s="214">
        <f>+H175-H178</f>
        <v>0</v>
      </c>
      <c r="I179" s="202"/>
      <c r="J179" s="38"/>
      <c r="K179" s="38"/>
    </row>
    <row r="180" spans="1:11" s="299" customFormat="1" ht="15.75" thickTop="1">
      <c r="A180" s="36"/>
      <c r="B180" s="45"/>
      <c r="C180" s="43"/>
      <c r="D180" s="36"/>
      <c r="E180" s="38"/>
      <c r="F180" s="38"/>
      <c r="G180" s="38"/>
      <c r="H180" s="38"/>
      <c r="I180" s="46"/>
      <c r="J180" s="46" t="e">
        <f>+J173</f>
        <v>#REF!</v>
      </c>
      <c r="K180" s="38"/>
    </row>
    <row r="181" spans="1:11" s="299" customFormat="1">
      <c r="A181" s="36"/>
      <c r="B181" s="45"/>
      <c r="C181" s="36"/>
      <c r="D181" s="36"/>
      <c r="E181" s="38"/>
      <c r="F181" s="38"/>
      <c r="G181" s="38"/>
      <c r="H181" s="38"/>
      <c r="I181" s="38"/>
      <c r="J181" s="38"/>
      <c r="K181" s="38"/>
    </row>
    <row r="182" spans="1:11" s="299" customFormat="1">
      <c r="A182" s="36"/>
      <c r="B182" s="45"/>
      <c r="C182" s="43"/>
      <c r="D182" s="44"/>
      <c r="E182" s="38"/>
      <c r="F182" s="38"/>
      <c r="G182" s="38"/>
      <c r="H182" s="38"/>
      <c r="I182" s="38"/>
      <c r="J182" s="38"/>
      <c r="K182" s="38"/>
    </row>
    <row r="183" spans="1:11" s="299" customFormat="1">
      <c r="A183" s="36"/>
      <c r="B183" s="45"/>
      <c r="C183" s="43"/>
      <c r="D183" s="44"/>
      <c r="E183" s="38"/>
      <c r="F183" s="38"/>
      <c r="G183" s="38"/>
      <c r="H183" s="38"/>
      <c r="I183" s="38"/>
      <c r="J183" s="38"/>
      <c r="K183" s="38"/>
    </row>
    <row r="184" spans="1:11" s="299" customFormat="1" ht="14.25">
      <c r="A184" s="36"/>
      <c r="B184" s="36"/>
      <c r="C184" s="43"/>
      <c r="D184" s="44"/>
      <c r="E184" s="38"/>
      <c r="F184" s="38"/>
      <c r="G184" s="38"/>
      <c r="H184" s="38"/>
      <c r="I184" s="38"/>
      <c r="J184" s="38"/>
      <c r="K184" s="38"/>
    </row>
    <row r="185" spans="1:11" s="299" customFormat="1" ht="14.25">
      <c r="A185" s="36"/>
      <c r="B185" s="36"/>
      <c r="C185" s="43"/>
      <c r="D185" s="44"/>
      <c r="E185" s="38"/>
      <c r="F185" s="38"/>
      <c r="G185" s="38"/>
      <c r="H185" s="38"/>
      <c r="I185" s="38"/>
      <c r="J185" s="38"/>
      <c r="K185" s="38"/>
    </row>
    <row r="186" spans="1:11" s="299" customFormat="1" ht="14.25">
      <c r="A186" s="36"/>
      <c r="B186" s="36"/>
      <c r="C186" s="43"/>
      <c r="D186" s="44"/>
      <c r="E186" s="38"/>
      <c r="F186" s="38"/>
      <c r="G186" s="38"/>
      <c r="H186" s="38"/>
      <c r="I186" s="38"/>
      <c r="J186" s="38"/>
      <c r="K186" s="36"/>
    </row>
    <row r="187" spans="1:11" s="299" customFormat="1" ht="14.25">
      <c r="A187" s="36"/>
      <c r="B187" s="36"/>
      <c r="C187" s="43"/>
      <c r="D187" s="44"/>
      <c r="E187" s="38"/>
      <c r="F187" s="38"/>
      <c r="G187" s="38"/>
      <c r="H187" s="38"/>
      <c r="I187" s="38"/>
      <c r="J187" s="38"/>
      <c r="K187" s="38"/>
    </row>
    <row r="188" spans="1:11" s="299" customFormat="1" ht="14.25">
      <c r="A188" s="36"/>
      <c r="B188" s="36"/>
      <c r="C188" s="43"/>
      <c r="D188" s="44"/>
      <c r="E188" s="38"/>
      <c r="F188" s="38"/>
      <c r="G188" s="38"/>
      <c r="H188" s="38"/>
      <c r="I188" s="38"/>
      <c r="J188" s="38"/>
      <c r="K188" s="38"/>
    </row>
    <row r="189" spans="1:11" s="299" customFormat="1" ht="14.25">
      <c r="A189" s="36"/>
      <c r="B189" s="36"/>
      <c r="C189" s="36"/>
      <c r="D189" s="36"/>
      <c r="E189" s="38"/>
      <c r="F189" s="36"/>
      <c r="G189" s="36"/>
      <c r="H189" s="38"/>
      <c r="I189" s="36"/>
      <c r="J189" s="36"/>
      <c r="K189" s="38"/>
    </row>
    <row r="190" spans="1:11" s="299" customFormat="1">
      <c r="A190" s="36"/>
      <c r="B190" s="45"/>
      <c r="C190" s="43"/>
      <c r="D190" s="44"/>
      <c r="E190" s="38"/>
      <c r="F190" s="38"/>
      <c r="G190" s="38"/>
      <c r="H190" s="38"/>
      <c r="I190" s="38"/>
      <c r="J190" s="38"/>
      <c r="K190" s="38"/>
    </row>
    <row r="191" spans="1:11" s="299" customFormat="1" ht="14.25">
      <c r="A191" s="36"/>
      <c r="B191" s="36"/>
      <c r="C191" s="43"/>
      <c r="D191" s="44"/>
      <c r="E191" s="38"/>
      <c r="F191" s="38"/>
      <c r="G191" s="38"/>
      <c r="H191" s="38"/>
      <c r="I191" s="38"/>
      <c r="J191" s="38"/>
      <c r="K191" s="36"/>
    </row>
    <row r="192" spans="1:11" s="299" customFormat="1" ht="14.25">
      <c r="A192" s="36"/>
      <c r="B192" s="36"/>
      <c r="C192" s="43"/>
      <c r="D192" s="44"/>
      <c r="E192" s="38"/>
      <c r="F192" s="38"/>
      <c r="G192" s="38"/>
      <c r="H192" s="38"/>
      <c r="I192" s="38"/>
      <c r="J192" s="38"/>
      <c r="K192" s="38"/>
    </row>
    <row r="193" spans="1:11" s="299" customFormat="1" ht="14.25">
      <c r="A193" s="36"/>
      <c r="B193" s="36"/>
      <c r="C193" s="43"/>
      <c r="D193" s="44"/>
      <c r="E193" s="38"/>
      <c r="F193" s="38"/>
      <c r="G193" s="38"/>
      <c r="H193" s="38"/>
      <c r="I193" s="38"/>
      <c r="J193" s="38"/>
      <c r="K193" s="38"/>
    </row>
    <row r="194" spans="1:11" s="299" customFormat="1" ht="14.25">
      <c r="A194" s="36"/>
      <c r="B194" s="36"/>
      <c r="C194" s="43"/>
      <c r="D194" s="44"/>
      <c r="E194" s="38"/>
      <c r="F194" s="38"/>
      <c r="G194" s="38"/>
      <c r="H194" s="38"/>
      <c r="I194" s="38"/>
      <c r="J194" s="38"/>
      <c r="K194" s="38"/>
    </row>
    <row r="195" spans="1:11" s="299" customFormat="1" ht="14.25">
      <c r="A195" s="36"/>
      <c r="B195" s="36"/>
      <c r="C195" s="43"/>
      <c r="D195" s="44"/>
      <c r="E195" s="38"/>
      <c r="F195" s="38"/>
      <c r="G195" s="38"/>
      <c r="H195" s="38"/>
      <c r="I195" s="38"/>
      <c r="J195" s="38"/>
      <c r="K195" s="38"/>
    </row>
    <row r="196" spans="1:11" s="299" customFormat="1" ht="14.25">
      <c r="A196" s="36"/>
      <c r="B196" s="36"/>
      <c r="C196" s="43"/>
      <c r="D196" s="44"/>
      <c r="E196" s="38"/>
      <c r="F196" s="38"/>
      <c r="G196" s="38"/>
      <c r="H196" s="38"/>
      <c r="I196" s="38"/>
      <c r="J196" s="38"/>
      <c r="K196" s="38"/>
    </row>
    <row r="197" spans="1:11" s="299" customFormat="1" ht="14.25">
      <c r="A197" s="36"/>
      <c r="B197" s="36"/>
      <c r="C197" s="43"/>
      <c r="D197" s="44"/>
      <c r="E197" s="38"/>
      <c r="F197" s="38"/>
      <c r="G197" s="38"/>
      <c r="H197" s="38"/>
      <c r="I197" s="38"/>
      <c r="J197" s="38"/>
      <c r="K197" s="38"/>
    </row>
    <row r="198" spans="1:11" s="299" customFormat="1" ht="14.25">
      <c r="A198" s="36"/>
      <c r="B198" s="36"/>
      <c r="C198" s="43"/>
      <c r="D198" s="44"/>
      <c r="E198" s="38"/>
      <c r="F198" s="38"/>
      <c r="G198" s="38"/>
      <c r="H198" s="38"/>
      <c r="I198" s="38"/>
      <c r="J198" s="38"/>
      <c r="K198" s="38"/>
    </row>
    <row r="199" spans="1:11" s="299" customFormat="1">
      <c r="A199" s="36"/>
      <c r="B199" s="45"/>
      <c r="C199" s="43"/>
      <c r="D199" s="44"/>
      <c r="E199" s="38"/>
      <c r="F199" s="38"/>
      <c r="G199" s="38"/>
      <c r="H199" s="38"/>
      <c r="I199" s="38"/>
      <c r="J199" s="38"/>
      <c r="K199" s="38"/>
    </row>
    <row r="200" spans="1:11" s="299" customFormat="1" ht="14.25">
      <c r="A200" s="36"/>
      <c r="B200" s="36"/>
      <c r="C200" s="43"/>
      <c r="D200" s="44"/>
      <c r="E200" s="38"/>
      <c r="F200" s="38"/>
      <c r="G200" s="38"/>
      <c r="H200" s="38"/>
      <c r="I200" s="38"/>
      <c r="J200" s="38"/>
      <c r="K200" s="38"/>
    </row>
    <row r="201" spans="1:11" s="299" customFormat="1" ht="14.25">
      <c r="A201" s="36"/>
      <c r="B201" s="36"/>
      <c r="C201" s="43"/>
      <c r="D201" s="44"/>
      <c r="E201" s="38"/>
      <c r="F201" s="38"/>
      <c r="G201" s="38"/>
      <c r="H201" s="38"/>
      <c r="I201" s="38"/>
      <c r="J201" s="38"/>
      <c r="K201" s="38"/>
    </row>
    <row r="202" spans="1:11" s="299" customFormat="1" ht="14.25">
      <c r="A202" s="36"/>
      <c r="B202" s="36"/>
      <c r="C202" s="43"/>
      <c r="D202" s="44"/>
      <c r="E202" s="38"/>
      <c r="F202" s="38"/>
      <c r="G202" s="38"/>
      <c r="H202" s="38"/>
      <c r="I202" s="38"/>
      <c r="J202" s="38"/>
      <c r="K202" s="38"/>
    </row>
  </sheetData>
  <autoFilter ref="A13:K175" xr:uid="{00000000-0001-0000-0400-000000000000}"/>
  <mergeCells count="1">
    <mergeCell ref="A2:K2"/>
  </mergeCells>
  <phoneticPr fontId="12" type="noConversion"/>
  <conditionalFormatting sqref="F15:F174 K46:K49 K51:K56 K112:K136 K140:K144">
    <cfRule type="cellIs" dxfId="19" priority="36" stopIfTrue="1" operator="equal">
      <formula>0</formula>
    </cfRule>
  </conditionalFormatting>
  <conditionalFormatting sqref="K15:K36 K40:K44 K68:K109 K138 K172:K174">
    <cfRule type="cellIs" dxfId="18" priority="46" stopIfTrue="1" operator="equal">
      <formula>0</formula>
    </cfRule>
  </conditionalFormatting>
  <pageMargins left="0.7" right="0.7" top="0.75" bottom="0.75" header="0.3" footer="0.3"/>
  <pageSetup orientation="portrait" r:id="rId1"/>
  <ignoredErrors>
    <ignoredError sqref="K86 K76:K80 A88 K106:K109 K104 K90:K91 A68 A90 A111:A112 C123 A130 A124:A127 K28:K30 A172:A174 A14:A17 G14:J14 C124:C127 G63:G71 G73:G91 A93:A96 G93:G98 K133:K136 K144:K147 G144:G152 G173:G174 G28:G44 K119:K127 G119:G136 G15:G26 K15:K26 K63:K66 K32:K44 K46:K49 G51:G54 G46:G49 K51:K54 K58:K61 K68:K71 G138 G140:G142 K140:K142 K149:K152 G154:G158 K154:K158 G160:G170 K160:K163 K165:K170 G172 G100:G116 K112:K117 G55:G61 K55:K56" unlockedFormula="1"/>
    <ignoredError sqref="A63:A67 A128:A129 A89 A73:A87 A91 A123 A100:A110 A69:A71 A97:A98 K130:K131 A132:A141 A148:A149 A45:A54 A152:A171 A55:A61" formula="1" unlockedFormula="1"/>
    <ignoredError sqref="C128 C129 C130:C131 K128:K129 L128:XDJ131" formula="1"/>
    <ignoredError sqref="A13" numberStoredAsText="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outlinePr summaryBelow="0" summaryRight="0"/>
  </sheetPr>
  <dimension ref="A1:G65"/>
  <sheetViews>
    <sheetView workbookViewId="0">
      <selection activeCell="K23" sqref="K23"/>
    </sheetView>
  </sheetViews>
  <sheetFormatPr defaultColWidth="11.42578125" defaultRowHeight="15" outlineLevelRow="1"/>
  <cols>
    <col min="1" max="1" width="12.42578125" style="36" bestFit="1" customWidth="1"/>
    <col min="2" max="2" width="60.85546875" style="36" customWidth="1"/>
    <col min="3" max="3" width="9.7109375" style="43" customWidth="1"/>
    <col min="4" max="4" width="11.42578125" style="44" customWidth="1"/>
    <col min="5" max="5" width="14.7109375" style="44" customWidth="1"/>
    <col min="6" max="6" width="13.7109375" style="38" customWidth="1"/>
    <col min="7" max="7" width="14.7109375" style="44" customWidth="1"/>
  </cols>
  <sheetData>
    <row r="1" spans="1:7" s="2" customFormat="1" ht="11.25">
      <c r="C1" s="3"/>
    </row>
    <row r="2" spans="1:7" s="2" customFormat="1" ht="15" customHeight="1">
      <c r="A2" s="1" t="s">
        <v>200</v>
      </c>
      <c r="B2" s="1"/>
      <c r="C2" s="1"/>
      <c r="D2" s="1"/>
      <c r="E2" s="1"/>
      <c r="F2" s="1"/>
      <c r="G2" s="1"/>
    </row>
    <row r="3" spans="1:7" s="2" customFormat="1" ht="11.25">
      <c r="C3" s="3"/>
      <c r="F3" s="146"/>
    </row>
    <row r="4" spans="1:7" s="2" customFormat="1" ht="12.75">
      <c r="A4" s="147" t="s">
        <v>0</v>
      </c>
      <c r="B4" s="74" t="e">
        <f>#REF!</f>
        <v>#REF!</v>
      </c>
      <c r="C4" s="3"/>
      <c r="F4" s="146"/>
    </row>
    <row r="5" spans="1:7" s="2" customFormat="1" ht="12.75">
      <c r="A5" s="147" t="s">
        <v>14</v>
      </c>
      <c r="B5" s="74" t="str">
        <f>$A$2</f>
        <v>SEGURIDAD Y SALUD</v>
      </c>
      <c r="C5" s="3"/>
      <c r="F5" s="146"/>
    </row>
    <row r="6" spans="1:7" s="2" customFormat="1" ht="12.75">
      <c r="A6" s="147" t="s">
        <v>1</v>
      </c>
      <c r="B6" s="75" t="e">
        <f>#REF!</f>
        <v>#REF!</v>
      </c>
      <c r="C6" s="3"/>
      <c r="F6" s="146"/>
    </row>
    <row r="7" spans="1:7" s="2" customFormat="1" ht="12.75">
      <c r="A7" s="147" t="s">
        <v>3</v>
      </c>
      <c r="B7" s="75" t="e">
        <f>#REF!</f>
        <v>#REF!</v>
      </c>
      <c r="C7" s="3"/>
      <c r="F7" s="146"/>
    </row>
    <row r="8" spans="1:7" s="2" customFormat="1" ht="12.75">
      <c r="A8" s="59" t="s">
        <v>15</v>
      </c>
      <c r="B8" s="9" t="e">
        <f>#REF!</f>
        <v>#REF!</v>
      </c>
      <c r="C8" s="3"/>
      <c r="F8" s="146"/>
    </row>
    <row r="9" spans="1:7" ht="15.75" thickBot="1">
      <c r="A9" s="2"/>
      <c r="B9" s="2"/>
      <c r="C9" s="3"/>
      <c r="D9" s="2"/>
      <c r="E9" s="2"/>
      <c r="F9" s="2"/>
      <c r="G9" s="2"/>
    </row>
    <row r="10" spans="1:7" ht="16.5" thickTop="1" thickBot="1">
      <c r="A10" s="11" t="s">
        <v>5</v>
      </c>
      <c r="B10" s="12" t="s">
        <v>16</v>
      </c>
      <c r="C10" s="12" t="s">
        <v>17</v>
      </c>
      <c r="D10" s="13" t="s">
        <v>18</v>
      </c>
      <c r="E10" s="13" t="s">
        <v>19</v>
      </c>
      <c r="F10" s="14" t="s">
        <v>201</v>
      </c>
      <c r="G10" s="14" t="s">
        <v>13</v>
      </c>
    </row>
    <row r="11" spans="1:7" ht="16.5" thickTop="1" thickBot="1">
      <c r="A11" s="62" t="s">
        <v>202</v>
      </c>
      <c r="B11" s="16" t="s">
        <v>200</v>
      </c>
      <c r="C11" s="17"/>
      <c r="D11" s="18"/>
      <c r="E11" s="18"/>
      <c r="F11" s="18"/>
      <c r="G11" s="19"/>
    </row>
    <row r="12" spans="1:7" ht="23.25" thickTop="1">
      <c r="A12" s="219">
        <f>A11+0.01</f>
        <v>2.0099999999999998</v>
      </c>
      <c r="B12" s="224" t="s">
        <v>203</v>
      </c>
      <c r="C12" s="183"/>
      <c r="D12" s="184"/>
      <c r="E12" s="225"/>
      <c r="F12" s="225"/>
      <c r="G12" s="206">
        <f>SUM(F13:F20)</f>
        <v>569835.75</v>
      </c>
    </row>
    <row r="13" spans="1:7" outlineLevel="1">
      <c r="A13" s="221">
        <f>A12+0.0001</f>
        <v>2.0101</v>
      </c>
      <c r="B13" s="266" t="s">
        <v>204</v>
      </c>
      <c r="C13" s="49" t="s">
        <v>29</v>
      </c>
      <c r="D13" s="50">
        <v>1</v>
      </c>
      <c r="E13" s="226">
        <v>145377.81524858758</v>
      </c>
      <c r="F13" s="226">
        <f>+ROUND(D13*E13,2)</f>
        <v>145377.82</v>
      </c>
      <c r="G13" s="207"/>
    </row>
    <row r="14" spans="1:7" outlineLevel="1">
      <c r="A14" s="221">
        <f t="shared" ref="A14:A20" si="0">A13+0.0001</f>
        <v>2.0102000000000002</v>
      </c>
      <c r="B14" s="266" t="s">
        <v>205</v>
      </c>
      <c r="C14" s="49" t="s">
        <v>29</v>
      </c>
      <c r="D14" s="50">
        <v>1</v>
      </c>
      <c r="E14" s="226">
        <v>162292.96155600005</v>
      </c>
      <c r="F14" s="226">
        <f t="shared" ref="F14:F27" si="1">+ROUND(D14*E14,2)</f>
        <v>162292.96</v>
      </c>
      <c r="G14" s="207"/>
    </row>
    <row r="15" spans="1:7" outlineLevel="1">
      <c r="A15" s="221">
        <f t="shared" si="0"/>
        <v>2.0103000000000004</v>
      </c>
      <c r="B15" s="266" t="s">
        <v>206</v>
      </c>
      <c r="C15" s="49" t="s">
        <v>36</v>
      </c>
      <c r="D15" s="50">
        <v>4</v>
      </c>
      <c r="E15" s="226">
        <v>900</v>
      </c>
      <c r="F15" s="226">
        <f t="shared" si="1"/>
        <v>3600</v>
      </c>
      <c r="G15" s="207"/>
    </row>
    <row r="16" spans="1:7" outlineLevel="1">
      <c r="A16" s="221">
        <f t="shared" si="0"/>
        <v>2.0104000000000006</v>
      </c>
      <c r="B16" s="266" t="s">
        <v>207</v>
      </c>
      <c r="C16" s="49" t="s">
        <v>39</v>
      </c>
      <c r="D16" s="50">
        <v>0</v>
      </c>
      <c r="E16" s="226">
        <v>1505</v>
      </c>
      <c r="F16" s="226">
        <f t="shared" si="1"/>
        <v>0</v>
      </c>
      <c r="G16" s="207"/>
    </row>
    <row r="17" spans="1:7" outlineLevel="1">
      <c r="A17" s="221">
        <f t="shared" si="0"/>
        <v>2.0105000000000008</v>
      </c>
      <c r="B17" s="266" t="s">
        <v>208</v>
      </c>
      <c r="C17" s="49" t="s">
        <v>36</v>
      </c>
      <c r="D17" s="50">
        <v>190</v>
      </c>
      <c r="E17" s="96">
        <v>130</v>
      </c>
      <c r="F17" s="226">
        <f t="shared" si="1"/>
        <v>24700</v>
      </c>
      <c r="G17" s="207"/>
    </row>
    <row r="18" spans="1:7" outlineLevel="1">
      <c r="A18" s="221">
        <f t="shared" si="0"/>
        <v>2.0106000000000011</v>
      </c>
      <c r="B18" s="266" t="s">
        <v>209</v>
      </c>
      <c r="C18" s="49" t="s">
        <v>29</v>
      </c>
      <c r="D18" s="50">
        <v>1</v>
      </c>
      <c r="E18" s="96">
        <v>84895.8</v>
      </c>
      <c r="F18" s="226">
        <f t="shared" si="1"/>
        <v>84895.8</v>
      </c>
      <c r="G18" s="207"/>
    </row>
    <row r="19" spans="1:7" outlineLevel="1">
      <c r="A19" s="221">
        <f t="shared" si="0"/>
        <v>2.0107000000000013</v>
      </c>
      <c r="B19" s="266" t="s">
        <v>210</v>
      </c>
      <c r="C19" s="49" t="s">
        <v>29</v>
      </c>
      <c r="D19" s="50">
        <v>1</v>
      </c>
      <c r="E19" s="96">
        <v>12734.37</v>
      </c>
      <c r="F19" s="226">
        <f t="shared" si="1"/>
        <v>12734.37</v>
      </c>
      <c r="G19" s="207"/>
    </row>
    <row r="20" spans="1:7" outlineLevel="1">
      <c r="A20" s="221">
        <f t="shared" si="0"/>
        <v>2.0108000000000015</v>
      </c>
      <c r="B20" s="186" t="s">
        <v>211</v>
      </c>
      <c r="C20" s="49" t="s">
        <v>39</v>
      </c>
      <c r="D20" s="50">
        <v>20.5</v>
      </c>
      <c r="E20" s="96">
        <v>6645.6</v>
      </c>
      <c r="F20" s="226">
        <f t="shared" si="1"/>
        <v>136234.79999999999</v>
      </c>
      <c r="G20" s="207"/>
    </row>
    <row r="21" spans="1:7">
      <c r="A21" s="220">
        <f>A12+0.01</f>
        <v>2.0199999999999996</v>
      </c>
      <c r="B21" s="196" t="s">
        <v>212</v>
      </c>
      <c r="C21" s="190"/>
      <c r="D21" s="191"/>
      <c r="E21" s="227"/>
      <c r="F21" s="226"/>
      <c r="G21" s="209">
        <f>SUM(F22:F24)</f>
        <v>157853.28</v>
      </c>
    </row>
    <row r="22" spans="1:7" outlineLevel="1">
      <c r="A22" s="221">
        <f>A21+0.0001</f>
        <v>2.0200999999999998</v>
      </c>
      <c r="B22" s="266" t="s">
        <v>213</v>
      </c>
      <c r="C22" s="49" t="s">
        <v>39</v>
      </c>
      <c r="D22" s="50">
        <v>20.500000000000004</v>
      </c>
      <c r="E22" s="226">
        <v>4236.96</v>
      </c>
      <c r="F22" s="226">
        <f t="shared" si="1"/>
        <v>86857.68</v>
      </c>
      <c r="G22" s="207"/>
    </row>
    <row r="23" spans="1:7" outlineLevel="1">
      <c r="A23" s="221">
        <f>A22+0.0001</f>
        <v>2.0202</v>
      </c>
      <c r="B23" s="266" t="s">
        <v>214</v>
      </c>
      <c r="C23" s="49" t="s">
        <v>39</v>
      </c>
      <c r="D23" s="50">
        <v>9.9999999999999982</v>
      </c>
      <c r="E23" s="226">
        <v>3837.6</v>
      </c>
      <c r="F23" s="226">
        <f t="shared" si="1"/>
        <v>38376</v>
      </c>
      <c r="G23" s="207"/>
    </row>
    <row r="24" spans="1:7" outlineLevel="1">
      <c r="A24" s="221">
        <f>A23+0.0001</f>
        <v>2.0203000000000002</v>
      </c>
      <c r="B24" s="266" t="s">
        <v>215</v>
      </c>
      <c r="C24" s="49" t="s">
        <v>39</v>
      </c>
      <c r="D24" s="50">
        <v>8.4999999999999982</v>
      </c>
      <c r="E24" s="226">
        <v>3837.6</v>
      </c>
      <c r="F24" s="226">
        <f t="shared" si="1"/>
        <v>32619.599999999999</v>
      </c>
      <c r="G24" s="207"/>
    </row>
    <row r="25" spans="1:7">
      <c r="A25" s="220">
        <f>A21+0.01</f>
        <v>2.0299999999999994</v>
      </c>
      <c r="B25" s="196" t="s">
        <v>216</v>
      </c>
      <c r="C25" s="190"/>
      <c r="D25" s="191"/>
      <c r="E25" s="227"/>
      <c r="F25" s="226"/>
      <c r="G25" s="209">
        <f>SUM(F26:F27)</f>
        <v>7857.5</v>
      </c>
    </row>
    <row r="26" spans="1:7" outlineLevel="1">
      <c r="A26" s="221">
        <f>A25+0.0001</f>
        <v>2.0300999999999996</v>
      </c>
      <c r="B26" s="266" t="s">
        <v>217</v>
      </c>
      <c r="C26" s="49" t="s">
        <v>29</v>
      </c>
      <c r="D26" s="50">
        <v>1</v>
      </c>
      <c r="E26" s="96">
        <v>5500</v>
      </c>
      <c r="F26" s="226">
        <f t="shared" si="1"/>
        <v>5500</v>
      </c>
      <c r="G26" s="207"/>
    </row>
    <row r="27" spans="1:7" ht="15.75" outlineLevel="1" thickBot="1">
      <c r="A27" s="221">
        <f>A26+0.0001</f>
        <v>2.0301999999999998</v>
      </c>
      <c r="B27" s="476" t="s">
        <v>218</v>
      </c>
      <c r="C27" s="477" t="s">
        <v>39</v>
      </c>
      <c r="D27" s="306">
        <v>20.5</v>
      </c>
      <c r="E27" s="307">
        <v>115</v>
      </c>
      <c r="F27" s="226">
        <f t="shared" si="1"/>
        <v>2357.5</v>
      </c>
      <c r="G27" s="210"/>
    </row>
    <row r="28" spans="1:7" ht="16.5" thickTop="1" thickBot="1">
      <c r="A28" s="39"/>
      <c r="B28" s="39"/>
      <c r="C28" s="40"/>
      <c r="D28" s="98" t="s">
        <v>12</v>
      </c>
      <c r="E28" s="215"/>
      <c r="F28" s="41"/>
      <c r="G28" s="211">
        <f>SUM(G12:G27)</f>
        <v>735546.53</v>
      </c>
    </row>
    <row r="29" spans="1:7" ht="16.5" thickTop="1" thickBot="1">
      <c r="G29" s="179"/>
    </row>
    <row r="30" spans="1:7" ht="16.5" thickTop="1" thickBot="1">
      <c r="F30" s="38" t="s">
        <v>199</v>
      </c>
      <c r="G30" s="214">
        <v>735546.53</v>
      </c>
    </row>
    <row r="31" spans="1:7" ht="16.5" thickTop="1" thickBot="1">
      <c r="G31" s="214">
        <f>+G28-G30</f>
        <v>0</v>
      </c>
    </row>
    <row r="32" spans="1:7" ht="15.75" thickTop="1">
      <c r="G32" s="38"/>
    </row>
    <row r="33" spans="7:7">
      <c r="G33" s="38"/>
    </row>
    <row r="34" spans="7:7">
      <c r="G34" s="38"/>
    </row>
    <row r="35" spans="7:7">
      <c r="G35" s="38"/>
    </row>
    <row r="36" spans="7:7">
      <c r="G36" s="38"/>
    </row>
    <row r="37" spans="7:7">
      <c r="G37" s="38"/>
    </row>
    <row r="38" spans="7:7">
      <c r="G38" s="38"/>
    </row>
    <row r="39" spans="7:7">
      <c r="G39" s="38"/>
    </row>
    <row r="40" spans="7:7">
      <c r="G40" s="38"/>
    </row>
    <row r="41" spans="7:7">
      <c r="G41" s="38"/>
    </row>
    <row r="42" spans="7:7">
      <c r="G42" s="38"/>
    </row>
    <row r="43" spans="7:7">
      <c r="G43" s="38"/>
    </row>
    <row r="44" spans="7:7">
      <c r="G44" s="38"/>
    </row>
    <row r="45" spans="7:7">
      <c r="G45" s="38"/>
    </row>
    <row r="46" spans="7:7">
      <c r="G46" s="38"/>
    </row>
    <row r="47" spans="7:7">
      <c r="G47" s="38"/>
    </row>
    <row r="48" spans="7:7">
      <c r="G48" s="38"/>
    </row>
    <row r="49" spans="7:7">
      <c r="G49" s="38"/>
    </row>
    <row r="50" spans="7:7">
      <c r="G50" s="38"/>
    </row>
    <row r="51" spans="7:7">
      <c r="G51" s="38"/>
    </row>
    <row r="52" spans="7:7">
      <c r="G52" s="38"/>
    </row>
    <row r="53" spans="7:7">
      <c r="G53" s="38"/>
    </row>
    <row r="54" spans="7:7">
      <c r="G54" s="38"/>
    </row>
    <row r="55" spans="7:7">
      <c r="G55" s="38"/>
    </row>
    <row r="56" spans="7:7">
      <c r="G56" s="38"/>
    </row>
    <row r="57" spans="7:7">
      <c r="G57" s="38"/>
    </row>
    <row r="58" spans="7:7">
      <c r="G58" s="38"/>
    </row>
    <row r="59" spans="7:7">
      <c r="G59" s="38"/>
    </row>
    <row r="60" spans="7:7">
      <c r="G60" s="38"/>
    </row>
    <row r="61" spans="7:7">
      <c r="G61" s="38"/>
    </row>
    <row r="62" spans="7:7">
      <c r="G62" s="38"/>
    </row>
    <row r="63" spans="7:7">
      <c r="G63" s="38"/>
    </row>
    <row r="64" spans="7:7">
      <c r="G64" s="38"/>
    </row>
    <row r="65" spans="7:7">
      <c r="G65" s="38"/>
    </row>
  </sheetData>
  <mergeCells count="1">
    <mergeCell ref="A2:G2"/>
  </mergeCells>
  <conditionalFormatting sqref="G20">
    <cfRule type="cellIs" dxfId="17" priority="10" stopIfTrue="1" operator="equal">
      <formula>0</formula>
    </cfRule>
  </conditionalFormatting>
  <conditionalFormatting sqref="G22:G24">
    <cfRule type="cellIs" dxfId="16" priority="8" stopIfTrue="1" operator="equal">
      <formula>0</formula>
    </cfRule>
  </conditionalFormatting>
  <pageMargins left="0.7" right="0.7" top="0.75" bottom="0.75" header="0.3" footer="0.3"/>
  <ignoredErrors>
    <ignoredError sqref="G12 F21:G21 A26:A27 A12:A14 G15 G18 G20 G13 G14 G16:G17 F25:G25 G22:G24 G26:G27" unlockedFormula="1"/>
    <ignoredError sqref="A21:A25" formula="1"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outlinePr summaryBelow="0" summaryRight="0"/>
  </sheetPr>
  <dimension ref="A1:J137"/>
  <sheetViews>
    <sheetView topLeftCell="A34" zoomScale="118" zoomScaleNormal="118" workbookViewId="0">
      <selection activeCell="F124" sqref="F124"/>
    </sheetView>
  </sheetViews>
  <sheetFormatPr defaultColWidth="11.42578125" defaultRowHeight="11.25" outlineLevelRow="2"/>
  <cols>
    <col min="1" max="1" width="12.42578125" style="4" customWidth="1"/>
    <col min="2" max="2" width="49.7109375" style="4" customWidth="1"/>
    <col min="3" max="3" width="5.42578125" style="10" customWidth="1"/>
    <col min="4" max="4" width="10" style="146" customWidth="1"/>
    <col min="5" max="5" width="10" style="7" customWidth="1"/>
    <col min="6" max="6" width="11.140625" style="7" customWidth="1"/>
    <col min="7" max="7" width="11.140625" style="4" bestFit="1" customWidth="1"/>
    <col min="8" max="8" width="14.28515625" style="7" customWidth="1"/>
    <col min="9" max="9" width="16.85546875" style="4" customWidth="1"/>
    <col min="10" max="119" width="11.42578125" style="2"/>
    <col min="120" max="120" width="12.28515625" style="2" customWidth="1"/>
    <col min="121" max="121" width="50.7109375" style="2" customWidth="1"/>
    <col min="122" max="122" width="5.42578125" style="2" customWidth="1"/>
    <col min="123" max="123" width="8.85546875" style="2" bestFit="1" customWidth="1"/>
    <col min="124" max="126" width="12.7109375" style="2" customWidth="1"/>
    <col min="127" max="128" width="14" style="2" customWidth="1"/>
    <col min="129" max="129" width="15.85546875" style="2" customWidth="1"/>
    <col min="130" max="130" width="11.5703125" style="2" customWidth="1"/>
    <col min="131" max="375" width="11.42578125" style="2"/>
    <col min="376" max="376" width="12.28515625" style="2" customWidth="1"/>
    <col min="377" max="377" width="50.7109375" style="2" customWidth="1"/>
    <col min="378" max="378" width="5.42578125" style="2" customWidth="1"/>
    <col min="379" max="379" width="8.85546875" style="2" bestFit="1" customWidth="1"/>
    <col min="380" max="382" width="12.7109375" style="2" customWidth="1"/>
    <col min="383" max="384" width="14" style="2" customWidth="1"/>
    <col min="385" max="385" width="15.85546875" style="2" customWidth="1"/>
    <col min="386" max="386" width="11.5703125" style="2" customWidth="1"/>
    <col min="387" max="631" width="11.42578125" style="2"/>
    <col min="632" max="632" width="12.28515625" style="2" customWidth="1"/>
    <col min="633" max="633" width="50.7109375" style="2" customWidth="1"/>
    <col min="634" max="634" width="5.42578125" style="2" customWidth="1"/>
    <col min="635" max="635" width="8.85546875" style="2" bestFit="1" customWidth="1"/>
    <col min="636" max="638" width="12.7109375" style="2" customWidth="1"/>
    <col min="639" max="640" width="14" style="2" customWidth="1"/>
    <col min="641" max="641" width="15.85546875" style="2" customWidth="1"/>
    <col min="642" max="642" width="11.5703125" style="2" customWidth="1"/>
    <col min="643" max="887" width="11.42578125" style="2"/>
    <col min="888" max="888" width="12.28515625" style="2" customWidth="1"/>
    <col min="889" max="889" width="50.7109375" style="2" customWidth="1"/>
    <col min="890" max="890" width="5.42578125" style="2" customWidth="1"/>
    <col min="891" max="891" width="8.85546875" style="2" bestFit="1" customWidth="1"/>
    <col min="892" max="894" width="12.7109375" style="2" customWidth="1"/>
    <col min="895" max="896" width="14" style="2" customWidth="1"/>
    <col min="897" max="897" width="15.85546875" style="2" customWidth="1"/>
    <col min="898" max="898" width="11.5703125" style="2" customWidth="1"/>
    <col min="899" max="1143" width="11.42578125" style="2"/>
    <col min="1144" max="1144" width="12.28515625" style="2" customWidth="1"/>
    <col min="1145" max="1145" width="50.7109375" style="2" customWidth="1"/>
    <col min="1146" max="1146" width="5.42578125" style="2" customWidth="1"/>
    <col min="1147" max="1147" width="8.85546875" style="2" bestFit="1" customWidth="1"/>
    <col min="1148" max="1150" width="12.7109375" style="2" customWidth="1"/>
    <col min="1151" max="1152" width="14" style="2" customWidth="1"/>
    <col min="1153" max="1153" width="15.85546875" style="2" customWidth="1"/>
    <col min="1154" max="1154" width="11.5703125" style="2" customWidth="1"/>
    <col min="1155" max="1399" width="11.42578125" style="2"/>
    <col min="1400" max="1400" width="12.28515625" style="2" customWidth="1"/>
    <col min="1401" max="1401" width="50.7109375" style="2" customWidth="1"/>
    <col min="1402" max="1402" width="5.42578125" style="2" customWidth="1"/>
    <col min="1403" max="1403" width="8.85546875" style="2" bestFit="1" customWidth="1"/>
    <col min="1404" max="1406" width="12.7109375" style="2" customWidth="1"/>
    <col min="1407" max="1408" width="14" style="2" customWidth="1"/>
    <col min="1409" max="1409" width="15.85546875" style="2" customWidth="1"/>
    <col min="1410" max="1410" width="11.5703125" style="2" customWidth="1"/>
    <col min="1411" max="1655" width="11.42578125" style="2"/>
    <col min="1656" max="1656" width="12.28515625" style="2" customWidth="1"/>
    <col min="1657" max="1657" width="50.7109375" style="2" customWidth="1"/>
    <col min="1658" max="1658" width="5.42578125" style="2" customWidth="1"/>
    <col min="1659" max="1659" width="8.85546875" style="2" bestFit="1" customWidth="1"/>
    <col min="1660" max="1662" width="12.7109375" style="2" customWidth="1"/>
    <col min="1663" max="1664" width="14" style="2" customWidth="1"/>
    <col min="1665" max="1665" width="15.85546875" style="2" customWidth="1"/>
    <col min="1666" max="1666" width="11.5703125" style="2" customWidth="1"/>
    <col min="1667" max="1911" width="11.42578125" style="2"/>
    <col min="1912" max="1912" width="12.28515625" style="2" customWidth="1"/>
    <col min="1913" max="1913" width="50.7109375" style="2" customWidth="1"/>
    <col min="1914" max="1914" width="5.42578125" style="2" customWidth="1"/>
    <col min="1915" max="1915" width="8.85546875" style="2" bestFit="1" customWidth="1"/>
    <col min="1916" max="1918" width="12.7109375" style="2" customWidth="1"/>
    <col min="1919" max="1920" width="14" style="2" customWidth="1"/>
    <col min="1921" max="1921" width="15.85546875" style="2" customWidth="1"/>
    <col min="1922" max="1922" width="11.5703125" style="2" customWidth="1"/>
    <col min="1923" max="2167" width="11.42578125" style="2"/>
    <col min="2168" max="2168" width="12.28515625" style="2" customWidth="1"/>
    <col min="2169" max="2169" width="50.7109375" style="2" customWidth="1"/>
    <col min="2170" max="2170" width="5.42578125" style="2" customWidth="1"/>
    <col min="2171" max="2171" width="8.85546875" style="2" bestFit="1" customWidth="1"/>
    <col min="2172" max="2174" width="12.7109375" style="2" customWidth="1"/>
    <col min="2175" max="2176" width="14" style="2" customWidth="1"/>
    <col min="2177" max="2177" width="15.85546875" style="2" customWidth="1"/>
    <col min="2178" max="2178" width="11.5703125" style="2" customWidth="1"/>
    <col min="2179" max="2423" width="11.42578125" style="2"/>
    <col min="2424" max="2424" width="12.28515625" style="2" customWidth="1"/>
    <col min="2425" max="2425" width="50.7109375" style="2" customWidth="1"/>
    <col min="2426" max="2426" width="5.42578125" style="2" customWidth="1"/>
    <col min="2427" max="2427" width="8.85546875" style="2" bestFit="1" customWidth="1"/>
    <col min="2428" max="2430" width="12.7109375" style="2" customWidth="1"/>
    <col min="2431" max="2432" width="14" style="2" customWidth="1"/>
    <col min="2433" max="2433" width="15.85546875" style="2" customWidth="1"/>
    <col min="2434" max="2434" width="11.5703125" style="2" customWidth="1"/>
    <col min="2435" max="2679" width="11.42578125" style="2"/>
    <col min="2680" max="2680" width="12.28515625" style="2" customWidth="1"/>
    <col min="2681" max="2681" width="50.7109375" style="2" customWidth="1"/>
    <col min="2682" max="2682" width="5.42578125" style="2" customWidth="1"/>
    <col min="2683" max="2683" width="8.85546875" style="2" bestFit="1" customWidth="1"/>
    <col min="2684" max="2686" width="12.7109375" style="2" customWidth="1"/>
    <col min="2687" max="2688" width="14" style="2" customWidth="1"/>
    <col min="2689" max="2689" width="15.85546875" style="2" customWidth="1"/>
    <col min="2690" max="2690" width="11.5703125" style="2" customWidth="1"/>
    <col min="2691" max="2935" width="11.42578125" style="2"/>
    <col min="2936" max="2936" width="12.28515625" style="2" customWidth="1"/>
    <col min="2937" max="2937" width="50.7109375" style="2" customWidth="1"/>
    <col min="2938" max="2938" width="5.42578125" style="2" customWidth="1"/>
    <col min="2939" max="2939" width="8.85546875" style="2" bestFit="1" customWidth="1"/>
    <col min="2940" max="2942" width="12.7109375" style="2" customWidth="1"/>
    <col min="2943" max="2944" width="14" style="2" customWidth="1"/>
    <col min="2945" max="2945" width="15.85546875" style="2" customWidth="1"/>
    <col min="2946" max="2946" width="11.5703125" style="2" customWidth="1"/>
    <col min="2947" max="3191" width="11.42578125" style="2"/>
    <col min="3192" max="3192" width="12.28515625" style="2" customWidth="1"/>
    <col min="3193" max="3193" width="50.7109375" style="2" customWidth="1"/>
    <col min="3194" max="3194" width="5.42578125" style="2" customWidth="1"/>
    <col min="3195" max="3195" width="8.85546875" style="2" bestFit="1" customWidth="1"/>
    <col min="3196" max="3198" width="12.7109375" style="2" customWidth="1"/>
    <col min="3199" max="3200" width="14" style="2" customWidth="1"/>
    <col min="3201" max="3201" width="15.85546875" style="2" customWidth="1"/>
    <col min="3202" max="3202" width="11.5703125" style="2" customWidth="1"/>
    <col min="3203" max="3447" width="11.42578125" style="2"/>
    <col min="3448" max="3448" width="12.28515625" style="2" customWidth="1"/>
    <col min="3449" max="3449" width="50.7109375" style="2" customWidth="1"/>
    <col min="3450" max="3450" width="5.42578125" style="2" customWidth="1"/>
    <col min="3451" max="3451" width="8.85546875" style="2" bestFit="1" customWidth="1"/>
    <col min="3452" max="3454" width="12.7109375" style="2" customWidth="1"/>
    <col min="3455" max="3456" width="14" style="2" customWidth="1"/>
    <col min="3457" max="3457" width="15.85546875" style="2" customWidth="1"/>
    <col min="3458" max="3458" width="11.5703125" style="2" customWidth="1"/>
    <col min="3459" max="3703" width="11.42578125" style="2"/>
    <col min="3704" max="3704" width="12.28515625" style="2" customWidth="1"/>
    <col min="3705" max="3705" width="50.7109375" style="2" customWidth="1"/>
    <col min="3706" max="3706" width="5.42578125" style="2" customWidth="1"/>
    <col min="3707" max="3707" width="8.85546875" style="2" bestFit="1" customWidth="1"/>
    <col min="3708" max="3710" width="12.7109375" style="2" customWidth="1"/>
    <col min="3711" max="3712" width="14" style="2" customWidth="1"/>
    <col min="3713" max="3713" width="15.85546875" style="2" customWidth="1"/>
    <col min="3714" max="3714" width="11.5703125" style="2" customWidth="1"/>
    <col min="3715" max="3959" width="11.42578125" style="2"/>
    <col min="3960" max="3960" width="12.28515625" style="2" customWidth="1"/>
    <col min="3961" max="3961" width="50.7109375" style="2" customWidth="1"/>
    <col min="3962" max="3962" width="5.42578125" style="2" customWidth="1"/>
    <col min="3963" max="3963" width="8.85546875" style="2" bestFit="1" customWidth="1"/>
    <col min="3964" max="3966" width="12.7109375" style="2" customWidth="1"/>
    <col min="3967" max="3968" width="14" style="2" customWidth="1"/>
    <col min="3969" max="3969" width="15.85546875" style="2" customWidth="1"/>
    <col min="3970" max="3970" width="11.5703125" style="2" customWidth="1"/>
    <col min="3971" max="4215" width="11.42578125" style="2"/>
    <col min="4216" max="4216" width="12.28515625" style="2" customWidth="1"/>
    <col min="4217" max="4217" width="50.7109375" style="2" customWidth="1"/>
    <col min="4218" max="4218" width="5.42578125" style="2" customWidth="1"/>
    <col min="4219" max="4219" width="8.85546875" style="2" bestFit="1" customWidth="1"/>
    <col min="4220" max="4222" width="12.7109375" style="2" customWidth="1"/>
    <col min="4223" max="4224" width="14" style="2" customWidth="1"/>
    <col min="4225" max="4225" width="15.85546875" style="2" customWidth="1"/>
    <col min="4226" max="4226" width="11.5703125" style="2" customWidth="1"/>
    <col min="4227" max="4471" width="11.42578125" style="2"/>
    <col min="4472" max="4472" width="12.28515625" style="2" customWidth="1"/>
    <col min="4473" max="4473" width="50.7109375" style="2" customWidth="1"/>
    <col min="4474" max="4474" width="5.42578125" style="2" customWidth="1"/>
    <col min="4475" max="4475" width="8.85546875" style="2" bestFit="1" customWidth="1"/>
    <col min="4476" max="4478" width="12.7109375" style="2" customWidth="1"/>
    <col min="4479" max="4480" width="14" style="2" customWidth="1"/>
    <col min="4481" max="4481" width="15.85546875" style="2" customWidth="1"/>
    <col min="4482" max="4482" width="11.5703125" style="2" customWidth="1"/>
    <col min="4483" max="4727" width="11.42578125" style="2"/>
    <col min="4728" max="4728" width="12.28515625" style="2" customWidth="1"/>
    <col min="4729" max="4729" width="50.7109375" style="2" customWidth="1"/>
    <col min="4730" max="4730" width="5.42578125" style="2" customWidth="1"/>
    <col min="4731" max="4731" width="8.85546875" style="2" bestFit="1" customWidth="1"/>
    <col min="4732" max="4734" width="12.7109375" style="2" customWidth="1"/>
    <col min="4735" max="4736" width="14" style="2" customWidth="1"/>
    <col min="4737" max="4737" width="15.85546875" style="2" customWidth="1"/>
    <col min="4738" max="4738" width="11.5703125" style="2" customWidth="1"/>
    <col min="4739" max="4983" width="11.42578125" style="2"/>
    <col min="4984" max="4984" width="12.28515625" style="2" customWidth="1"/>
    <col min="4985" max="4985" width="50.7109375" style="2" customWidth="1"/>
    <col min="4986" max="4986" width="5.42578125" style="2" customWidth="1"/>
    <col min="4987" max="4987" width="8.85546875" style="2" bestFit="1" customWidth="1"/>
    <col min="4988" max="4990" width="12.7109375" style="2" customWidth="1"/>
    <col min="4991" max="4992" width="14" style="2" customWidth="1"/>
    <col min="4993" max="4993" width="15.85546875" style="2" customWidth="1"/>
    <col min="4994" max="4994" width="11.5703125" style="2" customWidth="1"/>
    <col min="4995" max="5239" width="11.42578125" style="2"/>
    <col min="5240" max="5240" width="12.28515625" style="2" customWidth="1"/>
    <col min="5241" max="5241" width="50.7109375" style="2" customWidth="1"/>
    <col min="5242" max="5242" width="5.42578125" style="2" customWidth="1"/>
    <col min="5243" max="5243" width="8.85546875" style="2" bestFit="1" customWidth="1"/>
    <col min="5244" max="5246" width="12.7109375" style="2" customWidth="1"/>
    <col min="5247" max="5248" width="14" style="2" customWidth="1"/>
    <col min="5249" max="5249" width="15.85546875" style="2" customWidth="1"/>
    <col min="5250" max="5250" width="11.5703125" style="2" customWidth="1"/>
    <col min="5251" max="5495" width="11.42578125" style="2"/>
    <col min="5496" max="5496" width="12.28515625" style="2" customWidth="1"/>
    <col min="5497" max="5497" width="50.7109375" style="2" customWidth="1"/>
    <col min="5498" max="5498" width="5.42578125" style="2" customWidth="1"/>
    <col min="5499" max="5499" width="8.85546875" style="2" bestFit="1" customWidth="1"/>
    <col min="5500" max="5502" width="12.7109375" style="2" customWidth="1"/>
    <col min="5503" max="5504" width="14" style="2" customWidth="1"/>
    <col min="5505" max="5505" width="15.85546875" style="2" customWidth="1"/>
    <col min="5506" max="5506" width="11.5703125" style="2" customWidth="1"/>
    <col min="5507" max="5751" width="11.42578125" style="2"/>
    <col min="5752" max="5752" width="12.28515625" style="2" customWidth="1"/>
    <col min="5753" max="5753" width="50.7109375" style="2" customWidth="1"/>
    <col min="5754" max="5754" width="5.42578125" style="2" customWidth="1"/>
    <col min="5755" max="5755" width="8.85546875" style="2" bestFit="1" customWidth="1"/>
    <col min="5756" max="5758" width="12.7109375" style="2" customWidth="1"/>
    <col min="5759" max="5760" width="14" style="2" customWidth="1"/>
    <col min="5761" max="5761" width="15.85546875" style="2" customWidth="1"/>
    <col min="5762" max="5762" width="11.5703125" style="2" customWidth="1"/>
    <col min="5763" max="6007" width="11.42578125" style="2"/>
    <col min="6008" max="6008" width="12.28515625" style="2" customWidth="1"/>
    <col min="6009" max="6009" width="50.7109375" style="2" customWidth="1"/>
    <col min="6010" max="6010" width="5.42578125" style="2" customWidth="1"/>
    <col min="6011" max="6011" width="8.85546875" style="2" bestFit="1" customWidth="1"/>
    <col min="6012" max="6014" width="12.7109375" style="2" customWidth="1"/>
    <col min="6015" max="6016" width="14" style="2" customWidth="1"/>
    <col min="6017" max="6017" width="15.85546875" style="2" customWidth="1"/>
    <col min="6018" max="6018" width="11.5703125" style="2" customWidth="1"/>
    <col min="6019" max="6263" width="11.42578125" style="2"/>
    <col min="6264" max="6264" width="12.28515625" style="2" customWidth="1"/>
    <col min="6265" max="6265" width="50.7109375" style="2" customWidth="1"/>
    <col min="6266" max="6266" width="5.42578125" style="2" customWidth="1"/>
    <col min="6267" max="6267" width="8.85546875" style="2" bestFit="1" customWidth="1"/>
    <col min="6268" max="6270" width="12.7109375" style="2" customWidth="1"/>
    <col min="6271" max="6272" width="14" style="2" customWidth="1"/>
    <col min="6273" max="6273" width="15.85546875" style="2" customWidth="1"/>
    <col min="6274" max="6274" width="11.5703125" style="2" customWidth="1"/>
    <col min="6275" max="6519" width="11.42578125" style="2"/>
    <col min="6520" max="6520" width="12.28515625" style="2" customWidth="1"/>
    <col min="6521" max="6521" width="50.7109375" style="2" customWidth="1"/>
    <col min="6522" max="6522" width="5.42578125" style="2" customWidth="1"/>
    <col min="6523" max="6523" width="8.85546875" style="2" bestFit="1" customWidth="1"/>
    <col min="6524" max="6526" width="12.7109375" style="2" customWidth="1"/>
    <col min="6527" max="6528" width="14" style="2" customWidth="1"/>
    <col min="6529" max="6529" width="15.85546875" style="2" customWidth="1"/>
    <col min="6530" max="6530" width="11.5703125" style="2" customWidth="1"/>
    <col min="6531" max="6775" width="11.42578125" style="2"/>
    <col min="6776" max="6776" width="12.28515625" style="2" customWidth="1"/>
    <col min="6777" max="6777" width="50.7109375" style="2" customWidth="1"/>
    <col min="6778" max="6778" width="5.42578125" style="2" customWidth="1"/>
    <col min="6779" max="6779" width="8.85546875" style="2" bestFit="1" customWidth="1"/>
    <col min="6780" max="6782" width="12.7109375" style="2" customWidth="1"/>
    <col min="6783" max="6784" width="14" style="2" customWidth="1"/>
    <col min="6785" max="6785" width="15.85546875" style="2" customWidth="1"/>
    <col min="6786" max="6786" width="11.5703125" style="2" customWidth="1"/>
    <col min="6787" max="7031" width="11.42578125" style="2"/>
    <col min="7032" max="7032" width="12.28515625" style="2" customWidth="1"/>
    <col min="7033" max="7033" width="50.7109375" style="2" customWidth="1"/>
    <col min="7034" max="7034" width="5.42578125" style="2" customWidth="1"/>
    <col min="7035" max="7035" width="8.85546875" style="2" bestFit="1" customWidth="1"/>
    <col min="7036" max="7038" width="12.7109375" style="2" customWidth="1"/>
    <col min="7039" max="7040" width="14" style="2" customWidth="1"/>
    <col min="7041" max="7041" width="15.85546875" style="2" customWidth="1"/>
    <col min="7042" max="7042" width="11.5703125" style="2" customWidth="1"/>
    <col min="7043" max="7287" width="11.42578125" style="2"/>
    <col min="7288" max="7288" width="12.28515625" style="2" customWidth="1"/>
    <col min="7289" max="7289" width="50.7109375" style="2" customWidth="1"/>
    <col min="7290" max="7290" width="5.42578125" style="2" customWidth="1"/>
    <col min="7291" max="7291" width="8.85546875" style="2" bestFit="1" customWidth="1"/>
    <col min="7292" max="7294" width="12.7109375" style="2" customWidth="1"/>
    <col min="7295" max="7296" width="14" style="2" customWidth="1"/>
    <col min="7297" max="7297" width="15.85546875" style="2" customWidth="1"/>
    <col min="7298" max="7298" width="11.5703125" style="2" customWidth="1"/>
    <col min="7299" max="7543" width="11.42578125" style="2"/>
    <col min="7544" max="7544" width="12.28515625" style="2" customWidth="1"/>
    <col min="7545" max="7545" width="50.7109375" style="2" customWidth="1"/>
    <col min="7546" max="7546" width="5.42578125" style="2" customWidth="1"/>
    <col min="7547" max="7547" width="8.85546875" style="2" bestFit="1" customWidth="1"/>
    <col min="7548" max="7550" width="12.7109375" style="2" customWidth="1"/>
    <col min="7551" max="7552" width="14" style="2" customWidth="1"/>
    <col min="7553" max="7553" width="15.85546875" style="2" customWidth="1"/>
    <col min="7554" max="7554" width="11.5703125" style="2" customWidth="1"/>
    <col min="7555" max="7799" width="11.42578125" style="2"/>
    <col min="7800" max="7800" width="12.28515625" style="2" customWidth="1"/>
    <col min="7801" max="7801" width="50.7109375" style="2" customWidth="1"/>
    <col min="7802" max="7802" width="5.42578125" style="2" customWidth="1"/>
    <col min="7803" max="7803" width="8.85546875" style="2" bestFit="1" customWidth="1"/>
    <col min="7804" max="7806" width="12.7109375" style="2" customWidth="1"/>
    <col min="7807" max="7808" width="14" style="2" customWidth="1"/>
    <col min="7809" max="7809" width="15.85546875" style="2" customWidth="1"/>
    <col min="7810" max="7810" width="11.5703125" style="2" customWidth="1"/>
    <col min="7811" max="8055" width="11.42578125" style="2"/>
    <col min="8056" max="8056" width="12.28515625" style="2" customWidth="1"/>
    <col min="8057" max="8057" width="50.7109375" style="2" customWidth="1"/>
    <col min="8058" max="8058" width="5.42578125" style="2" customWidth="1"/>
    <col min="8059" max="8059" width="8.85546875" style="2" bestFit="1" customWidth="1"/>
    <col min="8060" max="8062" width="12.7109375" style="2" customWidth="1"/>
    <col min="8063" max="8064" width="14" style="2" customWidth="1"/>
    <col min="8065" max="8065" width="15.85546875" style="2" customWidth="1"/>
    <col min="8066" max="8066" width="11.5703125" style="2" customWidth="1"/>
    <col min="8067" max="8311" width="11.42578125" style="2"/>
    <col min="8312" max="8312" width="12.28515625" style="2" customWidth="1"/>
    <col min="8313" max="8313" width="50.7109375" style="2" customWidth="1"/>
    <col min="8314" max="8314" width="5.42578125" style="2" customWidth="1"/>
    <col min="8315" max="8315" width="8.85546875" style="2" bestFit="1" customWidth="1"/>
    <col min="8316" max="8318" width="12.7109375" style="2" customWidth="1"/>
    <col min="8319" max="8320" width="14" style="2" customWidth="1"/>
    <col min="8321" max="8321" width="15.85546875" style="2" customWidth="1"/>
    <col min="8322" max="8322" width="11.5703125" style="2" customWidth="1"/>
    <col min="8323" max="8567" width="11.42578125" style="2"/>
    <col min="8568" max="8568" width="12.28515625" style="2" customWidth="1"/>
    <col min="8569" max="8569" width="50.7109375" style="2" customWidth="1"/>
    <col min="8570" max="8570" width="5.42578125" style="2" customWidth="1"/>
    <col min="8571" max="8571" width="8.85546875" style="2" bestFit="1" customWidth="1"/>
    <col min="8572" max="8574" width="12.7109375" style="2" customWidth="1"/>
    <col min="8575" max="8576" width="14" style="2" customWidth="1"/>
    <col min="8577" max="8577" width="15.85546875" style="2" customWidth="1"/>
    <col min="8578" max="8578" width="11.5703125" style="2" customWidth="1"/>
    <col min="8579" max="8823" width="11.42578125" style="2"/>
    <col min="8824" max="8824" width="12.28515625" style="2" customWidth="1"/>
    <col min="8825" max="8825" width="50.7109375" style="2" customWidth="1"/>
    <col min="8826" max="8826" width="5.42578125" style="2" customWidth="1"/>
    <col min="8827" max="8827" width="8.85546875" style="2" bestFit="1" customWidth="1"/>
    <col min="8828" max="8830" width="12.7109375" style="2" customWidth="1"/>
    <col min="8831" max="8832" width="14" style="2" customWidth="1"/>
    <col min="8833" max="8833" width="15.85546875" style="2" customWidth="1"/>
    <col min="8834" max="8834" width="11.5703125" style="2" customWidth="1"/>
    <col min="8835" max="9079" width="11.42578125" style="2"/>
    <col min="9080" max="9080" width="12.28515625" style="2" customWidth="1"/>
    <col min="9081" max="9081" width="50.7109375" style="2" customWidth="1"/>
    <col min="9082" max="9082" width="5.42578125" style="2" customWidth="1"/>
    <col min="9083" max="9083" width="8.85546875" style="2" bestFit="1" customWidth="1"/>
    <col min="9084" max="9086" width="12.7109375" style="2" customWidth="1"/>
    <col min="9087" max="9088" width="14" style="2" customWidth="1"/>
    <col min="9089" max="9089" width="15.85546875" style="2" customWidth="1"/>
    <col min="9090" max="9090" width="11.5703125" style="2" customWidth="1"/>
    <col min="9091" max="9335" width="11.42578125" style="2"/>
    <col min="9336" max="9336" width="12.28515625" style="2" customWidth="1"/>
    <col min="9337" max="9337" width="50.7109375" style="2" customWidth="1"/>
    <col min="9338" max="9338" width="5.42578125" style="2" customWidth="1"/>
    <col min="9339" max="9339" width="8.85546875" style="2" bestFit="1" customWidth="1"/>
    <col min="9340" max="9342" width="12.7109375" style="2" customWidth="1"/>
    <col min="9343" max="9344" width="14" style="2" customWidth="1"/>
    <col min="9345" max="9345" width="15.85546875" style="2" customWidth="1"/>
    <col min="9346" max="9346" width="11.5703125" style="2" customWidth="1"/>
    <col min="9347" max="9591" width="11.42578125" style="2"/>
    <col min="9592" max="9592" width="12.28515625" style="2" customWidth="1"/>
    <col min="9593" max="9593" width="50.7109375" style="2" customWidth="1"/>
    <col min="9594" max="9594" width="5.42578125" style="2" customWidth="1"/>
    <col min="9595" max="9595" width="8.85546875" style="2" bestFit="1" customWidth="1"/>
    <col min="9596" max="9598" width="12.7109375" style="2" customWidth="1"/>
    <col min="9599" max="9600" width="14" style="2" customWidth="1"/>
    <col min="9601" max="9601" width="15.85546875" style="2" customWidth="1"/>
    <col min="9602" max="9602" width="11.5703125" style="2" customWidth="1"/>
    <col min="9603" max="9847" width="11.42578125" style="2"/>
    <col min="9848" max="9848" width="12.28515625" style="2" customWidth="1"/>
    <col min="9849" max="9849" width="50.7109375" style="2" customWidth="1"/>
    <col min="9850" max="9850" width="5.42578125" style="2" customWidth="1"/>
    <col min="9851" max="9851" width="8.85546875" style="2" bestFit="1" customWidth="1"/>
    <col min="9852" max="9854" width="12.7109375" style="2" customWidth="1"/>
    <col min="9855" max="9856" width="14" style="2" customWidth="1"/>
    <col min="9857" max="9857" width="15.85546875" style="2" customWidth="1"/>
    <col min="9858" max="9858" width="11.5703125" style="2" customWidth="1"/>
    <col min="9859" max="10103" width="11.42578125" style="2"/>
    <col min="10104" max="10104" width="12.28515625" style="2" customWidth="1"/>
    <col min="10105" max="10105" width="50.7109375" style="2" customWidth="1"/>
    <col min="10106" max="10106" width="5.42578125" style="2" customWidth="1"/>
    <col min="10107" max="10107" width="8.85546875" style="2" bestFit="1" customWidth="1"/>
    <col min="10108" max="10110" width="12.7109375" style="2" customWidth="1"/>
    <col min="10111" max="10112" width="14" style="2" customWidth="1"/>
    <col min="10113" max="10113" width="15.85546875" style="2" customWidth="1"/>
    <col min="10114" max="10114" width="11.5703125" style="2" customWidth="1"/>
    <col min="10115" max="10359" width="11.42578125" style="2"/>
    <col min="10360" max="10360" width="12.28515625" style="2" customWidth="1"/>
    <col min="10361" max="10361" width="50.7109375" style="2" customWidth="1"/>
    <col min="10362" max="10362" width="5.42578125" style="2" customWidth="1"/>
    <col min="10363" max="10363" width="8.85546875" style="2" bestFit="1" customWidth="1"/>
    <col min="10364" max="10366" width="12.7109375" style="2" customWidth="1"/>
    <col min="10367" max="10368" width="14" style="2" customWidth="1"/>
    <col min="10369" max="10369" width="15.85546875" style="2" customWidth="1"/>
    <col min="10370" max="10370" width="11.5703125" style="2" customWidth="1"/>
    <col min="10371" max="10615" width="11.42578125" style="2"/>
    <col min="10616" max="10616" width="12.28515625" style="2" customWidth="1"/>
    <col min="10617" max="10617" width="50.7109375" style="2" customWidth="1"/>
    <col min="10618" max="10618" width="5.42578125" style="2" customWidth="1"/>
    <col min="10619" max="10619" width="8.85546875" style="2" bestFit="1" customWidth="1"/>
    <col min="10620" max="10622" width="12.7109375" style="2" customWidth="1"/>
    <col min="10623" max="10624" width="14" style="2" customWidth="1"/>
    <col min="10625" max="10625" width="15.85546875" style="2" customWidth="1"/>
    <col min="10626" max="10626" width="11.5703125" style="2" customWidth="1"/>
    <col min="10627" max="10871" width="11.42578125" style="2"/>
    <col min="10872" max="10872" width="12.28515625" style="2" customWidth="1"/>
    <col min="10873" max="10873" width="50.7109375" style="2" customWidth="1"/>
    <col min="10874" max="10874" width="5.42578125" style="2" customWidth="1"/>
    <col min="10875" max="10875" width="8.85546875" style="2" bestFit="1" customWidth="1"/>
    <col min="10876" max="10878" width="12.7109375" style="2" customWidth="1"/>
    <col min="10879" max="10880" width="14" style="2" customWidth="1"/>
    <col min="10881" max="10881" width="15.85546875" style="2" customWidth="1"/>
    <col min="10882" max="10882" width="11.5703125" style="2" customWidth="1"/>
    <col min="10883" max="11127" width="11.42578125" style="2"/>
    <col min="11128" max="11128" width="12.28515625" style="2" customWidth="1"/>
    <col min="11129" max="11129" width="50.7109375" style="2" customWidth="1"/>
    <col min="11130" max="11130" width="5.42578125" style="2" customWidth="1"/>
    <col min="11131" max="11131" width="8.85546875" style="2" bestFit="1" customWidth="1"/>
    <col min="11132" max="11134" width="12.7109375" style="2" customWidth="1"/>
    <col min="11135" max="11136" width="14" style="2" customWidth="1"/>
    <col min="11137" max="11137" width="15.85546875" style="2" customWidth="1"/>
    <col min="11138" max="11138" width="11.5703125" style="2" customWidth="1"/>
    <col min="11139" max="11383" width="11.42578125" style="2"/>
    <col min="11384" max="11384" width="12.28515625" style="2" customWidth="1"/>
    <col min="11385" max="11385" width="50.7109375" style="2" customWidth="1"/>
    <col min="11386" max="11386" width="5.42578125" style="2" customWidth="1"/>
    <col min="11387" max="11387" width="8.85546875" style="2" bestFit="1" customWidth="1"/>
    <col min="11388" max="11390" width="12.7109375" style="2" customWidth="1"/>
    <col min="11391" max="11392" width="14" style="2" customWidth="1"/>
    <col min="11393" max="11393" width="15.85546875" style="2" customWidth="1"/>
    <col min="11394" max="11394" width="11.5703125" style="2" customWidth="1"/>
    <col min="11395" max="11639" width="11.42578125" style="2"/>
    <col min="11640" max="11640" width="12.28515625" style="2" customWidth="1"/>
    <col min="11641" max="11641" width="50.7109375" style="2" customWidth="1"/>
    <col min="11642" max="11642" width="5.42578125" style="2" customWidth="1"/>
    <col min="11643" max="11643" width="8.85546875" style="2" bestFit="1" customWidth="1"/>
    <col min="11644" max="11646" width="12.7109375" style="2" customWidth="1"/>
    <col min="11647" max="11648" width="14" style="2" customWidth="1"/>
    <col min="11649" max="11649" width="15.85546875" style="2" customWidth="1"/>
    <col min="11650" max="11650" width="11.5703125" style="2" customWidth="1"/>
    <col min="11651" max="11895" width="11.42578125" style="2"/>
    <col min="11896" max="11896" width="12.28515625" style="2" customWidth="1"/>
    <col min="11897" max="11897" width="50.7109375" style="2" customWidth="1"/>
    <col min="11898" max="11898" width="5.42578125" style="2" customWidth="1"/>
    <col min="11899" max="11899" width="8.85546875" style="2" bestFit="1" customWidth="1"/>
    <col min="11900" max="11902" width="12.7109375" style="2" customWidth="1"/>
    <col min="11903" max="11904" width="14" style="2" customWidth="1"/>
    <col min="11905" max="11905" width="15.85546875" style="2" customWidth="1"/>
    <col min="11906" max="11906" width="11.5703125" style="2" customWidth="1"/>
    <col min="11907" max="12151" width="11.42578125" style="2"/>
    <col min="12152" max="12152" width="12.28515625" style="2" customWidth="1"/>
    <col min="12153" max="12153" width="50.7109375" style="2" customWidth="1"/>
    <col min="12154" max="12154" width="5.42578125" style="2" customWidth="1"/>
    <col min="12155" max="12155" width="8.85546875" style="2" bestFit="1" customWidth="1"/>
    <col min="12156" max="12158" width="12.7109375" style="2" customWidth="1"/>
    <col min="12159" max="12160" width="14" style="2" customWidth="1"/>
    <col min="12161" max="12161" width="15.85546875" style="2" customWidth="1"/>
    <col min="12162" max="12162" width="11.5703125" style="2" customWidth="1"/>
    <col min="12163" max="12407" width="11.42578125" style="2"/>
    <col min="12408" max="12408" width="12.28515625" style="2" customWidth="1"/>
    <col min="12409" max="12409" width="50.7109375" style="2" customWidth="1"/>
    <col min="12410" max="12410" width="5.42578125" style="2" customWidth="1"/>
    <col min="12411" max="12411" width="8.85546875" style="2" bestFit="1" customWidth="1"/>
    <col min="12412" max="12414" width="12.7109375" style="2" customWidth="1"/>
    <col min="12415" max="12416" width="14" style="2" customWidth="1"/>
    <col min="12417" max="12417" width="15.85546875" style="2" customWidth="1"/>
    <col min="12418" max="12418" width="11.5703125" style="2" customWidth="1"/>
    <col min="12419" max="12663" width="11.42578125" style="2"/>
    <col min="12664" max="12664" width="12.28515625" style="2" customWidth="1"/>
    <col min="12665" max="12665" width="50.7109375" style="2" customWidth="1"/>
    <col min="12666" max="12666" width="5.42578125" style="2" customWidth="1"/>
    <col min="12667" max="12667" width="8.85546875" style="2" bestFit="1" customWidth="1"/>
    <col min="12668" max="12670" width="12.7109375" style="2" customWidth="1"/>
    <col min="12671" max="12672" width="14" style="2" customWidth="1"/>
    <col min="12673" max="12673" width="15.85546875" style="2" customWidth="1"/>
    <col min="12674" max="12674" width="11.5703125" style="2" customWidth="1"/>
    <col min="12675" max="12919" width="11.42578125" style="2"/>
    <col min="12920" max="12920" width="12.28515625" style="2" customWidth="1"/>
    <col min="12921" max="12921" width="50.7109375" style="2" customWidth="1"/>
    <col min="12922" max="12922" width="5.42578125" style="2" customWidth="1"/>
    <col min="12923" max="12923" width="8.85546875" style="2" bestFit="1" customWidth="1"/>
    <col min="12924" max="12926" width="12.7109375" style="2" customWidth="1"/>
    <col min="12927" max="12928" width="14" style="2" customWidth="1"/>
    <col min="12929" max="12929" width="15.85546875" style="2" customWidth="1"/>
    <col min="12930" max="12930" width="11.5703125" style="2" customWidth="1"/>
    <col min="12931" max="13175" width="11.42578125" style="2"/>
    <col min="13176" max="13176" width="12.28515625" style="2" customWidth="1"/>
    <col min="13177" max="13177" width="50.7109375" style="2" customWidth="1"/>
    <col min="13178" max="13178" width="5.42578125" style="2" customWidth="1"/>
    <col min="13179" max="13179" width="8.85546875" style="2" bestFit="1" customWidth="1"/>
    <col min="13180" max="13182" width="12.7109375" style="2" customWidth="1"/>
    <col min="13183" max="13184" width="14" style="2" customWidth="1"/>
    <col min="13185" max="13185" width="15.85546875" style="2" customWidth="1"/>
    <col min="13186" max="13186" width="11.5703125" style="2" customWidth="1"/>
    <col min="13187" max="13431" width="11.42578125" style="2"/>
    <col min="13432" max="13432" width="12.28515625" style="2" customWidth="1"/>
    <col min="13433" max="13433" width="50.7109375" style="2" customWidth="1"/>
    <col min="13434" max="13434" width="5.42578125" style="2" customWidth="1"/>
    <col min="13435" max="13435" width="8.85546875" style="2" bestFit="1" customWidth="1"/>
    <col min="13436" max="13438" width="12.7109375" style="2" customWidth="1"/>
    <col min="13439" max="13440" width="14" style="2" customWidth="1"/>
    <col min="13441" max="13441" width="15.85546875" style="2" customWidth="1"/>
    <col min="13442" max="13442" width="11.5703125" style="2" customWidth="1"/>
    <col min="13443" max="13687" width="11.42578125" style="2"/>
    <col min="13688" max="13688" width="12.28515625" style="2" customWidth="1"/>
    <col min="13689" max="13689" width="50.7109375" style="2" customWidth="1"/>
    <col min="13690" max="13690" width="5.42578125" style="2" customWidth="1"/>
    <col min="13691" max="13691" width="8.85546875" style="2" bestFit="1" customWidth="1"/>
    <col min="13692" max="13694" width="12.7109375" style="2" customWidth="1"/>
    <col min="13695" max="13696" width="14" style="2" customWidth="1"/>
    <col min="13697" max="13697" width="15.85546875" style="2" customWidth="1"/>
    <col min="13698" max="13698" width="11.5703125" style="2" customWidth="1"/>
    <col min="13699" max="13943" width="11.42578125" style="2"/>
    <col min="13944" max="13944" width="12.28515625" style="2" customWidth="1"/>
    <col min="13945" max="13945" width="50.7109375" style="2" customWidth="1"/>
    <col min="13946" max="13946" width="5.42578125" style="2" customWidth="1"/>
    <col min="13947" max="13947" width="8.85546875" style="2" bestFit="1" customWidth="1"/>
    <col min="13948" max="13950" width="12.7109375" style="2" customWidth="1"/>
    <col min="13951" max="13952" width="14" style="2" customWidth="1"/>
    <col min="13953" max="13953" width="15.85546875" style="2" customWidth="1"/>
    <col min="13954" max="13954" width="11.5703125" style="2" customWidth="1"/>
    <col min="13955" max="14199" width="11.42578125" style="2"/>
    <col min="14200" max="14200" width="12.28515625" style="2" customWidth="1"/>
    <col min="14201" max="14201" width="50.7109375" style="2" customWidth="1"/>
    <col min="14202" max="14202" width="5.42578125" style="2" customWidth="1"/>
    <col min="14203" max="14203" width="8.85546875" style="2" bestFit="1" customWidth="1"/>
    <col min="14204" max="14206" width="12.7109375" style="2" customWidth="1"/>
    <col min="14207" max="14208" width="14" style="2" customWidth="1"/>
    <col min="14209" max="14209" width="15.85546875" style="2" customWidth="1"/>
    <col min="14210" max="14210" width="11.5703125" style="2" customWidth="1"/>
    <col min="14211" max="14455" width="11.42578125" style="2"/>
    <col min="14456" max="14456" width="12.28515625" style="2" customWidth="1"/>
    <col min="14457" max="14457" width="50.7109375" style="2" customWidth="1"/>
    <col min="14458" max="14458" width="5.42578125" style="2" customWidth="1"/>
    <col min="14459" max="14459" width="8.85546875" style="2" bestFit="1" customWidth="1"/>
    <col min="14460" max="14462" width="12.7109375" style="2" customWidth="1"/>
    <col min="14463" max="14464" width="14" style="2" customWidth="1"/>
    <col min="14465" max="14465" width="15.85546875" style="2" customWidth="1"/>
    <col min="14466" max="14466" width="11.5703125" style="2" customWidth="1"/>
    <col min="14467" max="14711" width="11.42578125" style="2"/>
    <col min="14712" max="14712" width="12.28515625" style="2" customWidth="1"/>
    <col min="14713" max="14713" width="50.7109375" style="2" customWidth="1"/>
    <col min="14714" max="14714" width="5.42578125" style="2" customWidth="1"/>
    <col min="14715" max="14715" width="8.85546875" style="2" bestFit="1" customWidth="1"/>
    <col min="14716" max="14718" width="12.7109375" style="2" customWidth="1"/>
    <col min="14719" max="14720" width="14" style="2" customWidth="1"/>
    <col min="14721" max="14721" width="15.85546875" style="2" customWidth="1"/>
    <col min="14722" max="14722" width="11.5703125" style="2" customWidth="1"/>
    <col min="14723" max="14967" width="11.42578125" style="2"/>
    <col min="14968" max="14968" width="12.28515625" style="2" customWidth="1"/>
    <col min="14969" max="14969" width="50.7109375" style="2" customWidth="1"/>
    <col min="14970" max="14970" width="5.42578125" style="2" customWidth="1"/>
    <col min="14971" max="14971" width="8.85546875" style="2" bestFit="1" customWidth="1"/>
    <col min="14972" max="14974" width="12.7109375" style="2" customWidth="1"/>
    <col min="14975" max="14976" width="14" style="2" customWidth="1"/>
    <col min="14977" max="14977" width="15.85546875" style="2" customWidth="1"/>
    <col min="14978" max="14978" width="11.5703125" style="2" customWidth="1"/>
    <col min="14979" max="15223" width="11.42578125" style="2"/>
    <col min="15224" max="15224" width="12.28515625" style="2" customWidth="1"/>
    <col min="15225" max="15225" width="50.7109375" style="2" customWidth="1"/>
    <col min="15226" max="15226" width="5.42578125" style="2" customWidth="1"/>
    <col min="15227" max="15227" width="8.85546875" style="2" bestFit="1" customWidth="1"/>
    <col min="15228" max="15230" width="12.7109375" style="2" customWidth="1"/>
    <col min="15231" max="15232" width="14" style="2" customWidth="1"/>
    <col min="15233" max="15233" width="15.85546875" style="2" customWidth="1"/>
    <col min="15234" max="15234" width="11.5703125" style="2" customWidth="1"/>
    <col min="15235" max="15479" width="11.42578125" style="2"/>
    <col min="15480" max="15480" width="12.28515625" style="2" customWidth="1"/>
    <col min="15481" max="15481" width="50.7109375" style="2" customWidth="1"/>
    <col min="15482" max="15482" width="5.42578125" style="2" customWidth="1"/>
    <col min="15483" max="15483" width="8.85546875" style="2" bestFit="1" customWidth="1"/>
    <col min="15484" max="15486" width="12.7109375" style="2" customWidth="1"/>
    <col min="15487" max="15488" width="14" style="2" customWidth="1"/>
    <col min="15489" max="15489" width="15.85546875" style="2" customWidth="1"/>
    <col min="15490" max="15490" width="11.5703125" style="2" customWidth="1"/>
    <col min="15491" max="15735" width="11.42578125" style="2"/>
    <col min="15736" max="15736" width="12.28515625" style="2" customWidth="1"/>
    <col min="15737" max="15737" width="50.7109375" style="2" customWidth="1"/>
    <col min="15738" max="15738" width="5.42578125" style="2" customWidth="1"/>
    <col min="15739" max="15739" width="8.85546875" style="2" bestFit="1" customWidth="1"/>
    <col min="15740" max="15742" width="12.7109375" style="2" customWidth="1"/>
    <col min="15743" max="15744" width="14" style="2" customWidth="1"/>
    <col min="15745" max="15745" width="15.85546875" style="2" customWidth="1"/>
    <col min="15746" max="15746" width="11.5703125" style="2" customWidth="1"/>
    <col min="15747" max="15991" width="11.42578125" style="2"/>
    <col min="15992" max="15992" width="12.28515625" style="2" customWidth="1"/>
    <col min="15993" max="15993" width="50.7109375" style="2" customWidth="1"/>
    <col min="15994" max="15994" width="5.42578125" style="2" customWidth="1"/>
    <col min="15995" max="15995" width="8.85546875" style="2" bestFit="1" customWidth="1"/>
    <col min="15996" max="15998" width="12.7109375" style="2" customWidth="1"/>
    <col min="15999" max="16000" width="14" style="2" customWidth="1"/>
    <col min="16001" max="16001" width="15.85546875" style="2" customWidth="1"/>
    <col min="16002" max="16002" width="11.5703125" style="2" customWidth="1"/>
    <col min="16003" max="16274" width="11.42578125" style="2"/>
    <col min="16275" max="16384" width="11.42578125" style="2" customWidth="1"/>
  </cols>
  <sheetData>
    <row r="1" spans="1:10">
      <c r="A1" s="2"/>
      <c r="B1" s="2"/>
      <c r="C1" s="3"/>
      <c r="G1" s="2"/>
      <c r="I1" s="2"/>
    </row>
    <row r="2" spans="1:10" ht="15">
      <c r="A2" s="1" t="s">
        <v>219</v>
      </c>
      <c r="B2" s="1"/>
      <c r="C2" s="1"/>
      <c r="D2" s="1"/>
      <c r="E2" s="1"/>
      <c r="F2" s="1"/>
      <c r="G2" s="1"/>
      <c r="H2" s="1"/>
      <c r="I2" s="1"/>
    </row>
    <row r="3" spans="1:10">
      <c r="A3" s="2"/>
      <c r="B3" s="2"/>
      <c r="C3" s="3"/>
      <c r="G3" s="2"/>
      <c r="H3" s="146"/>
      <c r="I3" s="2"/>
    </row>
    <row r="4" spans="1:10" ht="12.75">
      <c r="A4" s="147" t="s">
        <v>0</v>
      </c>
      <c r="B4" s="74" t="e">
        <f>#REF!</f>
        <v>#REF!</v>
      </c>
      <c r="C4" s="3"/>
      <c r="G4" s="2"/>
      <c r="H4" s="146"/>
      <c r="I4" s="2"/>
    </row>
    <row r="5" spans="1:10" ht="12.75">
      <c r="A5" s="147" t="s">
        <v>14</v>
      </c>
      <c r="B5" s="74" t="str">
        <f>A2</f>
        <v>GASTOS GENERALES</v>
      </c>
      <c r="C5" s="3"/>
      <c r="G5" s="2"/>
      <c r="H5" s="146"/>
    </row>
    <row r="6" spans="1:10" ht="12.75">
      <c r="A6" s="147" t="s">
        <v>1</v>
      </c>
      <c r="B6" s="75" t="e">
        <f>#REF!</f>
        <v>#REF!</v>
      </c>
      <c r="C6" s="3"/>
      <c r="G6" s="2"/>
      <c r="H6" s="146"/>
      <c r="I6" s="8"/>
    </row>
    <row r="7" spans="1:10" ht="12.75">
      <c r="A7" s="147" t="s">
        <v>3</v>
      </c>
      <c r="B7" s="75" t="e">
        <f>#REF!</f>
        <v>#REF!</v>
      </c>
      <c r="C7" s="3"/>
      <c r="G7" s="2"/>
      <c r="H7" s="146"/>
      <c r="I7" s="2"/>
    </row>
    <row r="8" spans="1:10" ht="12.75">
      <c r="A8" s="2" t="s">
        <v>15</v>
      </c>
      <c r="B8" s="9" t="e">
        <f>#REF!</f>
        <v>#REF!</v>
      </c>
      <c r="C8" s="3"/>
      <c r="G8" s="2"/>
      <c r="H8" s="146"/>
      <c r="I8" s="2"/>
    </row>
    <row r="9" spans="1:10">
      <c r="A9" s="2"/>
      <c r="B9" s="2"/>
    </row>
    <row r="10" spans="1:10" ht="12" thickBot="1">
      <c r="B10" s="148"/>
    </row>
    <row r="11" spans="1:10" ht="25.9" customHeight="1" thickTop="1" thickBot="1">
      <c r="A11" s="11" t="s">
        <v>5</v>
      </c>
      <c r="B11" s="12" t="s">
        <v>16</v>
      </c>
      <c r="C11" s="12" t="s">
        <v>17</v>
      </c>
      <c r="D11" s="149" t="s">
        <v>18</v>
      </c>
      <c r="E11" s="149" t="s">
        <v>4</v>
      </c>
      <c r="F11" s="13" t="s">
        <v>220</v>
      </c>
      <c r="G11" s="13"/>
      <c r="H11" s="150" t="s">
        <v>201</v>
      </c>
      <c r="I11" s="14" t="s">
        <v>13</v>
      </c>
    </row>
    <row r="12" spans="1:10" ht="12.75" thickTop="1" thickBot="1">
      <c r="A12" s="15" t="s">
        <v>221</v>
      </c>
      <c r="B12" s="16" t="s">
        <v>219</v>
      </c>
      <c r="C12" s="17"/>
      <c r="D12" s="151"/>
      <c r="E12" s="152"/>
      <c r="F12" s="152"/>
      <c r="G12" s="18"/>
      <c r="H12" s="153"/>
      <c r="I12" s="19"/>
    </row>
    <row r="13" spans="1:10" ht="12" thickTop="1">
      <c r="A13" s="415">
        <f>A12+0.01</f>
        <v>12.01</v>
      </c>
      <c r="B13" s="20" t="s">
        <v>222</v>
      </c>
      <c r="C13" s="21"/>
      <c r="D13" s="154"/>
      <c r="E13" s="155"/>
      <c r="F13" s="308"/>
      <c r="G13" s="309"/>
      <c r="H13" s="310"/>
      <c r="I13" s="311">
        <f>SUM(H14:H24)</f>
        <v>1627787.22</v>
      </c>
    </row>
    <row r="14" spans="1:10" outlineLevel="1">
      <c r="A14" s="414">
        <f>A13+0.0001</f>
        <v>12.0101</v>
      </c>
      <c r="B14" s="34" t="s">
        <v>223</v>
      </c>
      <c r="C14" s="25" t="s">
        <v>39</v>
      </c>
      <c r="D14" s="157">
        <v>1</v>
      </c>
      <c r="E14" s="145">
        <v>20.5</v>
      </c>
      <c r="F14" s="312">
        <v>16200</v>
      </c>
      <c r="G14" s="313"/>
      <c r="H14" s="314">
        <f>+ROUND(D14*E14*F14,2)</f>
        <v>332100</v>
      </c>
      <c r="I14" s="313"/>
      <c r="J14" s="22">
        <f>+D14*E14</f>
        <v>20.5</v>
      </c>
    </row>
    <row r="15" spans="1:10" outlineLevel="1">
      <c r="A15" s="414">
        <f t="shared" ref="A15:A24" si="0">A14+0.0001</f>
        <v>12.010199999999999</v>
      </c>
      <c r="B15" s="24" t="s">
        <v>224</v>
      </c>
      <c r="C15" s="25" t="s">
        <v>39</v>
      </c>
      <c r="D15" s="156">
        <v>1</v>
      </c>
      <c r="E15" s="145">
        <v>21.5</v>
      </c>
      <c r="F15" s="312">
        <v>10500</v>
      </c>
      <c r="G15" s="313"/>
      <c r="H15" s="314">
        <f t="shared" ref="H15:H32" si="1">+ROUND(D15*E15*F15,2)</f>
        <v>225750</v>
      </c>
      <c r="I15" s="313"/>
      <c r="J15" s="22">
        <f t="shared" ref="J15:J78" si="2">+D15*E15</f>
        <v>21.5</v>
      </c>
    </row>
    <row r="16" spans="1:10" s="37" customFormat="1" outlineLevel="1">
      <c r="A16" s="414">
        <f t="shared" si="0"/>
        <v>12.010299999999999</v>
      </c>
      <c r="B16" s="24" t="s">
        <v>225</v>
      </c>
      <c r="C16" s="25" t="s">
        <v>39</v>
      </c>
      <c r="D16" s="156">
        <v>1</v>
      </c>
      <c r="E16" s="145">
        <v>21.5</v>
      </c>
      <c r="F16" s="312">
        <v>10500.004199999999</v>
      </c>
      <c r="G16" s="313"/>
      <c r="H16" s="314">
        <f t="shared" si="1"/>
        <v>225750.09</v>
      </c>
      <c r="I16" s="313"/>
      <c r="J16" s="22">
        <f t="shared" si="2"/>
        <v>21.5</v>
      </c>
    </row>
    <row r="17" spans="1:10" outlineLevel="1">
      <c r="A17" s="414">
        <f t="shared" si="0"/>
        <v>12.010399999999999</v>
      </c>
      <c r="B17" s="24" t="s">
        <v>226</v>
      </c>
      <c r="C17" s="25" t="s">
        <v>39</v>
      </c>
      <c r="D17" s="156">
        <v>1</v>
      </c>
      <c r="E17" s="145">
        <v>17.5</v>
      </c>
      <c r="F17" s="312">
        <v>7500</v>
      </c>
      <c r="G17" s="313"/>
      <c r="H17" s="314">
        <f t="shared" si="1"/>
        <v>131250</v>
      </c>
      <c r="I17" s="313"/>
      <c r="J17" s="22">
        <f t="shared" si="2"/>
        <v>17.5</v>
      </c>
    </row>
    <row r="18" spans="1:10" outlineLevel="1">
      <c r="A18" s="414">
        <f t="shared" si="0"/>
        <v>12.010499999999999</v>
      </c>
      <c r="B18" s="24" t="s">
        <v>227</v>
      </c>
      <c r="C18" s="25" t="s">
        <v>39</v>
      </c>
      <c r="D18" s="156">
        <v>1</v>
      </c>
      <c r="E18" s="145">
        <v>13.5</v>
      </c>
      <c r="F18" s="312">
        <v>7500</v>
      </c>
      <c r="G18" s="313"/>
      <c r="H18" s="314">
        <f t="shared" si="1"/>
        <v>101250</v>
      </c>
      <c r="I18" s="313"/>
      <c r="J18" s="22">
        <f t="shared" si="2"/>
        <v>13.5</v>
      </c>
    </row>
    <row r="19" spans="1:10" outlineLevel="1">
      <c r="A19" s="414"/>
      <c r="B19" s="24" t="s">
        <v>228</v>
      </c>
      <c r="C19" s="25" t="s">
        <v>39</v>
      </c>
      <c r="D19" s="156">
        <v>1</v>
      </c>
      <c r="E19" s="145">
        <v>7</v>
      </c>
      <c r="F19" s="312">
        <v>5250</v>
      </c>
      <c r="G19" s="313"/>
      <c r="H19" s="314">
        <f t="shared" si="1"/>
        <v>36750</v>
      </c>
      <c r="I19" s="313"/>
      <c r="J19" s="22">
        <f t="shared" si="2"/>
        <v>7</v>
      </c>
    </row>
    <row r="20" spans="1:10" outlineLevel="1">
      <c r="A20" s="414">
        <f>A18+0.0001</f>
        <v>12.010599999999998</v>
      </c>
      <c r="B20" s="24" t="s">
        <v>229</v>
      </c>
      <c r="C20" s="25" t="s">
        <v>39</v>
      </c>
      <c r="D20" s="156">
        <v>0.5</v>
      </c>
      <c r="E20" s="145">
        <v>13.5</v>
      </c>
      <c r="F20" s="312">
        <v>10500.004199999999</v>
      </c>
      <c r="G20" s="313"/>
      <c r="H20" s="314">
        <f t="shared" si="1"/>
        <v>70875.03</v>
      </c>
      <c r="I20" s="313"/>
      <c r="J20" s="22">
        <f t="shared" si="2"/>
        <v>6.75</v>
      </c>
    </row>
    <row r="21" spans="1:10" outlineLevel="1">
      <c r="A21" s="414">
        <f t="shared" si="0"/>
        <v>12.010699999999998</v>
      </c>
      <c r="B21" s="34" t="s">
        <v>230</v>
      </c>
      <c r="C21" s="25" t="s">
        <v>39</v>
      </c>
      <c r="D21" s="157">
        <v>1</v>
      </c>
      <c r="E21" s="145">
        <v>13.5</v>
      </c>
      <c r="F21" s="312">
        <v>9000</v>
      </c>
      <c r="G21" s="313"/>
      <c r="H21" s="314">
        <f t="shared" si="1"/>
        <v>121500</v>
      </c>
      <c r="I21" s="313"/>
      <c r="J21" s="22">
        <f t="shared" si="2"/>
        <v>13.5</v>
      </c>
    </row>
    <row r="22" spans="1:10" outlineLevel="1">
      <c r="A22" s="414">
        <f t="shared" si="0"/>
        <v>12.010799999999998</v>
      </c>
      <c r="B22" s="26" t="s">
        <v>231</v>
      </c>
      <c r="C22" s="27" t="s">
        <v>39</v>
      </c>
      <c r="D22" s="156">
        <v>1</v>
      </c>
      <c r="E22" s="145">
        <v>20.5</v>
      </c>
      <c r="F22" s="312">
        <v>6750</v>
      </c>
      <c r="G22" s="313"/>
      <c r="H22" s="314">
        <f t="shared" si="1"/>
        <v>138375</v>
      </c>
      <c r="I22" s="313"/>
      <c r="J22" s="22">
        <f t="shared" si="2"/>
        <v>20.5</v>
      </c>
    </row>
    <row r="23" spans="1:10" outlineLevel="1">
      <c r="A23" s="414">
        <f t="shared" si="0"/>
        <v>12.010899999999998</v>
      </c>
      <c r="B23" s="24" t="s">
        <v>232</v>
      </c>
      <c r="C23" s="25" t="s">
        <v>39</v>
      </c>
      <c r="D23" s="156">
        <v>1</v>
      </c>
      <c r="E23" s="145">
        <v>21.5</v>
      </c>
      <c r="F23" s="312">
        <v>6491.2602739726026</v>
      </c>
      <c r="G23" s="313"/>
      <c r="H23" s="314">
        <f t="shared" si="1"/>
        <v>139562.1</v>
      </c>
      <c r="I23" s="313"/>
      <c r="J23" s="22">
        <f t="shared" si="2"/>
        <v>21.5</v>
      </c>
    </row>
    <row r="24" spans="1:10" outlineLevel="1">
      <c r="A24" s="414">
        <f t="shared" si="0"/>
        <v>12.010999999999997</v>
      </c>
      <c r="B24" s="24" t="s">
        <v>233</v>
      </c>
      <c r="C24" s="25" t="s">
        <v>39</v>
      </c>
      <c r="D24" s="156">
        <v>1</v>
      </c>
      <c r="E24" s="145">
        <v>15.5</v>
      </c>
      <c r="F24" s="312">
        <v>6750</v>
      </c>
      <c r="G24" s="313"/>
      <c r="H24" s="314">
        <f t="shared" si="1"/>
        <v>104625</v>
      </c>
      <c r="I24" s="313"/>
      <c r="J24" s="22">
        <f t="shared" si="2"/>
        <v>15.5</v>
      </c>
    </row>
    <row r="25" spans="1:10">
      <c r="A25" s="416">
        <f>A13+0.01</f>
        <v>12.02</v>
      </c>
      <c r="B25" s="29" t="s">
        <v>234</v>
      </c>
      <c r="C25" s="30"/>
      <c r="D25" s="157"/>
      <c r="E25" s="158"/>
      <c r="F25" s="315"/>
      <c r="G25" s="316"/>
      <c r="H25" s="314">
        <f t="shared" si="1"/>
        <v>0</v>
      </c>
      <c r="I25" s="316">
        <f>SUM(H26:H32)</f>
        <v>599894.77</v>
      </c>
      <c r="J25" s="22">
        <f t="shared" si="2"/>
        <v>0</v>
      </c>
    </row>
    <row r="26" spans="1:10" outlineLevel="1">
      <c r="A26" s="414">
        <f>A25+0.0001</f>
        <v>12.020099999999999</v>
      </c>
      <c r="B26" s="24" t="s">
        <v>235</v>
      </c>
      <c r="C26" s="25" t="s">
        <v>39</v>
      </c>
      <c r="D26" s="157">
        <v>2</v>
      </c>
      <c r="E26" s="145">
        <v>13.5</v>
      </c>
      <c r="F26" s="312">
        <v>3990</v>
      </c>
      <c r="G26" s="313"/>
      <c r="H26" s="314">
        <f t="shared" si="1"/>
        <v>107730</v>
      </c>
      <c r="I26" s="313"/>
      <c r="J26" s="22">
        <f t="shared" si="2"/>
        <v>27</v>
      </c>
    </row>
    <row r="27" spans="1:10" outlineLevel="1">
      <c r="A27" s="414">
        <f t="shared" ref="A27:A32" si="3">A26+0.0001</f>
        <v>12.020199999999999</v>
      </c>
      <c r="B27" s="24" t="s">
        <v>236</v>
      </c>
      <c r="C27" s="25" t="s">
        <v>39</v>
      </c>
      <c r="D27" s="157">
        <v>1</v>
      </c>
      <c r="E27" s="145">
        <v>13.5</v>
      </c>
      <c r="F27" s="312">
        <v>8102.46</v>
      </c>
      <c r="G27" s="313"/>
      <c r="H27" s="314">
        <f t="shared" si="1"/>
        <v>109383.21</v>
      </c>
      <c r="I27" s="313"/>
      <c r="J27" s="22">
        <f t="shared" si="2"/>
        <v>13.5</v>
      </c>
    </row>
    <row r="28" spans="1:10" outlineLevel="1">
      <c r="A28" s="414">
        <f t="shared" si="3"/>
        <v>12.020299999999999</v>
      </c>
      <c r="B28" s="24" t="s">
        <v>237</v>
      </c>
      <c r="C28" s="25" t="s">
        <v>39</v>
      </c>
      <c r="D28" s="157">
        <v>1</v>
      </c>
      <c r="E28" s="145">
        <v>6.5</v>
      </c>
      <c r="F28" s="312">
        <v>6757.92</v>
      </c>
      <c r="G28" s="313"/>
      <c r="H28" s="314">
        <f t="shared" si="1"/>
        <v>43926.48</v>
      </c>
      <c r="I28" s="313"/>
      <c r="J28" s="22">
        <f t="shared" si="2"/>
        <v>6.5</v>
      </c>
    </row>
    <row r="29" spans="1:10" outlineLevel="1">
      <c r="A29" s="414">
        <f t="shared" si="3"/>
        <v>12.020399999999999</v>
      </c>
      <c r="B29" s="24" t="s">
        <v>238</v>
      </c>
      <c r="C29" s="25" t="s">
        <v>39</v>
      </c>
      <c r="D29" s="157">
        <v>1</v>
      </c>
      <c r="E29" s="145">
        <v>11.5</v>
      </c>
      <c r="F29" s="312">
        <v>6757.92</v>
      </c>
      <c r="G29" s="313"/>
      <c r="H29" s="314">
        <f t="shared" si="1"/>
        <v>77716.08</v>
      </c>
      <c r="I29" s="313"/>
      <c r="J29" s="22">
        <f t="shared" si="2"/>
        <v>11.5</v>
      </c>
    </row>
    <row r="30" spans="1:10" outlineLevel="1">
      <c r="A30" s="414">
        <f t="shared" si="3"/>
        <v>12.020499999999998</v>
      </c>
      <c r="B30" s="24" t="s">
        <v>239</v>
      </c>
      <c r="C30" s="25" t="s">
        <v>39</v>
      </c>
      <c r="D30" s="157">
        <v>1</v>
      </c>
      <c r="E30" s="145">
        <v>21.5</v>
      </c>
      <c r="F30" s="312">
        <v>5586</v>
      </c>
      <c r="G30" s="313"/>
      <c r="H30" s="314">
        <f t="shared" si="1"/>
        <v>120099</v>
      </c>
      <c r="I30" s="313"/>
      <c r="J30" s="22">
        <f t="shared" si="2"/>
        <v>21.5</v>
      </c>
    </row>
    <row r="31" spans="1:10" outlineLevel="1">
      <c r="A31" s="414">
        <f t="shared" si="3"/>
        <v>12.020599999999998</v>
      </c>
      <c r="B31" s="24" t="s">
        <v>240</v>
      </c>
      <c r="C31" s="25" t="s">
        <v>39</v>
      </c>
      <c r="D31" s="157">
        <v>1</v>
      </c>
      <c r="E31" s="145">
        <v>20.5</v>
      </c>
      <c r="F31" s="312">
        <v>6880</v>
      </c>
      <c r="G31" s="313"/>
      <c r="H31" s="314">
        <f t="shared" si="1"/>
        <v>141040</v>
      </c>
      <c r="I31" s="313"/>
      <c r="J31" s="22">
        <f t="shared" si="2"/>
        <v>20.5</v>
      </c>
    </row>
    <row r="32" spans="1:10" ht="22.5" outlineLevel="1">
      <c r="A32" s="414">
        <f t="shared" si="3"/>
        <v>12.020699999999998</v>
      </c>
      <c r="B32" s="178" t="s">
        <v>241</v>
      </c>
      <c r="C32" s="159" t="s">
        <v>39</v>
      </c>
      <c r="D32" s="160">
        <v>0</v>
      </c>
      <c r="E32" s="161">
        <v>11</v>
      </c>
      <c r="F32" s="317">
        <v>6880</v>
      </c>
      <c r="G32" s="313"/>
      <c r="H32" s="314">
        <f t="shared" si="1"/>
        <v>0</v>
      </c>
      <c r="I32" s="313"/>
      <c r="J32" s="22">
        <f t="shared" si="2"/>
        <v>0</v>
      </c>
    </row>
    <row r="33" spans="1:10">
      <c r="A33" s="416">
        <f>A25+0.01</f>
        <v>12.03</v>
      </c>
      <c r="B33" s="29" t="s">
        <v>242</v>
      </c>
      <c r="C33" s="30"/>
      <c r="D33" s="162"/>
      <c r="E33" s="158"/>
      <c r="F33" s="315"/>
      <c r="G33" s="316"/>
      <c r="H33" s="314"/>
      <c r="I33" s="316">
        <f>SUM(H34:H71)</f>
        <v>67463.620312499988</v>
      </c>
      <c r="J33" s="22">
        <f t="shared" si="2"/>
        <v>0</v>
      </c>
    </row>
    <row r="34" spans="1:10" outlineLevel="1" collapsed="1">
      <c r="A34" s="414">
        <f>A33+0.0001</f>
        <v>12.030099999999999</v>
      </c>
      <c r="B34" s="24" t="s">
        <v>243</v>
      </c>
      <c r="C34" s="165" t="s">
        <v>39</v>
      </c>
      <c r="D34" s="157"/>
      <c r="E34" s="145"/>
      <c r="F34" s="312"/>
      <c r="G34" s="313"/>
      <c r="H34" s="314">
        <f>SUM(G36:G49)</f>
        <v>20607.370312499996</v>
      </c>
      <c r="I34" s="313"/>
      <c r="J34" s="22">
        <f t="shared" si="2"/>
        <v>0</v>
      </c>
    </row>
    <row r="35" spans="1:10" hidden="1" outlineLevel="2">
      <c r="A35" s="414">
        <f>A34+0.0001</f>
        <v>12.030199999999999</v>
      </c>
      <c r="B35" s="164" t="s">
        <v>244</v>
      </c>
      <c r="C35" s="165"/>
      <c r="D35" s="157"/>
      <c r="E35" s="167"/>
      <c r="F35" s="318"/>
      <c r="G35" s="319"/>
      <c r="H35" s="320"/>
      <c r="I35" s="319"/>
      <c r="J35" s="22">
        <f t="shared" si="2"/>
        <v>0</v>
      </c>
    </row>
    <row r="36" spans="1:10" hidden="1" outlineLevel="2">
      <c r="A36" s="163" t="s">
        <v>245</v>
      </c>
      <c r="B36" s="168" t="str">
        <f>+B15</f>
        <v xml:space="preserve">INGENIERO RESIDENTE </v>
      </c>
      <c r="C36" s="165" t="s">
        <v>36</v>
      </c>
      <c r="D36" s="157">
        <v>1</v>
      </c>
      <c r="E36" s="167">
        <v>21.5</v>
      </c>
      <c r="F36" s="312">
        <v>92.306249999999991</v>
      </c>
      <c r="G36" s="313">
        <f>+D36*E36*F36</f>
        <v>1984.5843749999999</v>
      </c>
      <c r="H36" s="320"/>
      <c r="I36" s="319"/>
      <c r="J36" s="22">
        <f t="shared" si="2"/>
        <v>21.5</v>
      </c>
    </row>
    <row r="37" spans="1:10" hidden="1" outlineLevel="2">
      <c r="A37" s="163" t="s">
        <v>246</v>
      </c>
      <c r="B37" s="168" t="str">
        <f>+B16</f>
        <v xml:space="preserve">INGENIERO DE OFICINA TECNICA </v>
      </c>
      <c r="C37" s="165" t="s">
        <v>36</v>
      </c>
      <c r="D37" s="157">
        <v>1</v>
      </c>
      <c r="E37" s="167">
        <v>21.5</v>
      </c>
      <c r="F37" s="312">
        <v>92.306249999999991</v>
      </c>
      <c r="G37" s="313">
        <f t="shared" ref="G37:G49" si="4">+D37*E37*F37</f>
        <v>1984.5843749999999</v>
      </c>
      <c r="H37" s="321"/>
      <c r="I37" s="319"/>
      <c r="J37" s="22">
        <f t="shared" si="2"/>
        <v>21.5</v>
      </c>
    </row>
    <row r="38" spans="1:10" hidden="1" outlineLevel="2">
      <c r="A38" s="163" t="s">
        <v>247</v>
      </c>
      <c r="B38" s="168" t="str">
        <f>+B17</f>
        <v>INGENIERO DE CAMPO</v>
      </c>
      <c r="C38" s="165" t="s">
        <v>36</v>
      </c>
      <c r="D38" s="157">
        <v>1</v>
      </c>
      <c r="E38" s="167">
        <v>17.5</v>
      </c>
      <c r="F38" s="312">
        <v>92.306249999999991</v>
      </c>
      <c r="G38" s="313">
        <f t="shared" si="4"/>
        <v>1615.3593749999998</v>
      </c>
      <c r="H38" s="321"/>
      <c r="I38" s="319"/>
      <c r="J38" s="22">
        <f t="shared" si="2"/>
        <v>17.5</v>
      </c>
    </row>
    <row r="39" spans="1:10" hidden="1" outlineLevel="2">
      <c r="A39" s="163" t="s">
        <v>248</v>
      </c>
      <c r="B39" s="168" t="str">
        <f>+B18</f>
        <v>INGENIERO DE CALIDAD</v>
      </c>
      <c r="C39" s="165" t="s">
        <v>36</v>
      </c>
      <c r="D39" s="157">
        <v>1</v>
      </c>
      <c r="E39" s="167">
        <v>13.5</v>
      </c>
      <c r="F39" s="312">
        <v>92.306249999999991</v>
      </c>
      <c r="G39" s="313">
        <f t="shared" si="4"/>
        <v>1246.1343749999999</v>
      </c>
      <c r="H39" s="321"/>
      <c r="I39" s="319"/>
      <c r="J39" s="22">
        <f t="shared" si="2"/>
        <v>13.5</v>
      </c>
    </row>
    <row r="40" spans="1:10" hidden="1" outlineLevel="2">
      <c r="A40" s="163"/>
      <c r="B40" s="168" t="s">
        <v>228</v>
      </c>
      <c r="C40" s="165" t="s">
        <v>36</v>
      </c>
      <c r="D40" s="157">
        <v>1</v>
      </c>
      <c r="E40" s="167">
        <v>7</v>
      </c>
      <c r="F40" s="312">
        <v>92.306249999999991</v>
      </c>
      <c r="G40" s="313">
        <f t="shared" si="4"/>
        <v>646.14374999999995</v>
      </c>
      <c r="H40" s="321"/>
      <c r="I40" s="319"/>
      <c r="J40" s="22">
        <f t="shared" si="2"/>
        <v>7</v>
      </c>
    </row>
    <row r="41" spans="1:10" hidden="1" outlineLevel="2">
      <c r="A41" s="163" t="s">
        <v>249</v>
      </c>
      <c r="B41" s="168" t="str">
        <f>+B20</f>
        <v>INGENIERO ELECTROMECANICO</v>
      </c>
      <c r="C41" s="165" t="s">
        <v>36</v>
      </c>
      <c r="D41" s="157">
        <v>0.5</v>
      </c>
      <c r="E41" s="167">
        <v>13.5</v>
      </c>
      <c r="F41" s="312">
        <v>92.306249999999991</v>
      </c>
      <c r="G41" s="313">
        <f t="shared" si="4"/>
        <v>623.06718749999993</v>
      </c>
      <c r="H41" s="321"/>
      <c r="I41" s="319"/>
      <c r="J41" s="22">
        <f t="shared" si="2"/>
        <v>6.75</v>
      </c>
    </row>
    <row r="42" spans="1:10" hidden="1" outlineLevel="2">
      <c r="A42" s="163" t="s">
        <v>250</v>
      </c>
      <c r="B42" s="174" t="str">
        <f>+B21</f>
        <v xml:space="preserve">ARQUITECTO DE ACABADOS </v>
      </c>
      <c r="C42" s="165" t="s">
        <v>36</v>
      </c>
      <c r="D42" s="157">
        <v>1</v>
      </c>
      <c r="E42" s="167">
        <v>13.5</v>
      </c>
      <c r="F42" s="312">
        <v>92.306249999999991</v>
      </c>
      <c r="G42" s="313">
        <f t="shared" si="4"/>
        <v>1246.1343749999999</v>
      </c>
      <c r="H42" s="321"/>
      <c r="I42" s="319"/>
      <c r="J42" s="22">
        <f t="shared" si="2"/>
        <v>13.5</v>
      </c>
    </row>
    <row r="43" spans="1:10" hidden="1" outlineLevel="2">
      <c r="A43" s="163" t="s">
        <v>251</v>
      </c>
      <c r="B43" s="168" t="str">
        <f>+B22</f>
        <v xml:space="preserve">PREVENCIONISTA DE RIEGOS - SUBJEFE DE PDR </v>
      </c>
      <c r="C43" s="165" t="s">
        <v>36</v>
      </c>
      <c r="D43" s="157">
        <v>1</v>
      </c>
      <c r="E43" s="167">
        <v>20.5</v>
      </c>
      <c r="F43" s="312">
        <v>92.306249999999991</v>
      </c>
      <c r="G43" s="313">
        <f t="shared" si="4"/>
        <v>1892.2781249999998</v>
      </c>
      <c r="H43" s="321"/>
      <c r="I43" s="319"/>
      <c r="J43" s="22">
        <f t="shared" si="2"/>
        <v>20.5</v>
      </c>
    </row>
    <row r="44" spans="1:10" hidden="1" outlineLevel="2">
      <c r="A44" s="163" t="s">
        <v>252</v>
      </c>
      <c r="B44" s="168" t="str">
        <f>+B23</f>
        <v xml:space="preserve">ADMINISTRADOR DE OBRA </v>
      </c>
      <c r="C44" s="165" t="s">
        <v>36</v>
      </c>
      <c r="D44" s="157">
        <v>1</v>
      </c>
      <c r="E44" s="167">
        <v>21.5</v>
      </c>
      <c r="F44" s="312">
        <v>92.306249999999991</v>
      </c>
      <c r="G44" s="313">
        <f t="shared" si="4"/>
        <v>1984.5843749999999</v>
      </c>
      <c r="H44" s="321"/>
      <c r="I44" s="319"/>
      <c r="J44" s="22">
        <f t="shared" si="2"/>
        <v>21.5</v>
      </c>
    </row>
    <row r="45" spans="1:10" hidden="1" outlineLevel="2">
      <c r="A45" s="163" t="s">
        <v>253</v>
      </c>
      <c r="B45" s="168" t="s">
        <v>233</v>
      </c>
      <c r="C45" s="165" t="s">
        <v>36</v>
      </c>
      <c r="D45" s="157">
        <v>1</v>
      </c>
      <c r="E45" s="167">
        <v>15.5</v>
      </c>
      <c r="F45" s="312">
        <v>92.306249999999991</v>
      </c>
      <c r="G45" s="313">
        <f t="shared" si="4"/>
        <v>1430.7468749999998</v>
      </c>
      <c r="H45" s="321"/>
      <c r="I45" s="319"/>
      <c r="J45" s="22">
        <f t="shared" si="2"/>
        <v>15.5</v>
      </c>
    </row>
    <row r="46" spans="1:10" hidden="1" outlineLevel="2">
      <c r="A46" s="163" t="s">
        <v>254</v>
      </c>
      <c r="B46" s="168" t="str">
        <f>+B26</f>
        <v>ASISTENTE (CAMPO/CALIDAD/ARQ)</v>
      </c>
      <c r="C46" s="165" t="s">
        <v>36</v>
      </c>
      <c r="D46" s="157">
        <v>2</v>
      </c>
      <c r="E46" s="167">
        <v>13.5</v>
      </c>
      <c r="F46" s="312">
        <v>92.306249999999991</v>
      </c>
      <c r="G46" s="313">
        <f t="shared" si="4"/>
        <v>2492.2687499999997</v>
      </c>
      <c r="H46" s="321"/>
      <c r="I46" s="319"/>
      <c r="J46" s="22">
        <f t="shared" si="2"/>
        <v>27</v>
      </c>
    </row>
    <row r="47" spans="1:10" hidden="1" outlineLevel="2">
      <c r="A47" s="163" t="s">
        <v>255</v>
      </c>
      <c r="B47" s="168" t="str">
        <f>+B30</f>
        <v>JEFE DE ALMACEN</v>
      </c>
      <c r="C47" s="165" t="s">
        <v>36</v>
      </c>
      <c r="D47" s="157">
        <v>1</v>
      </c>
      <c r="E47" s="167">
        <v>21.5</v>
      </c>
      <c r="F47" s="312">
        <v>92.306249999999991</v>
      </c>
      <c r="G47" s="313">
        <f t="shared" si="4"/>
        <v>1984.5843749999999</v>
      </c>
      <c r="H47" s="321"/>
      <c r="I47" s="319"/>
      <c r="J47" s="22">
        <f t="shared" si="2"/>
        <v>21.5</v>
      </c>
    </row>
    <row r="48" spans="1:10" hidden="1" outlineLevel="2">
      <c r="A48" s="163" t="s">
        <v>256</v>
      </c>
      <c r="B48" s="168" t="s">
        <v>257</v>
      </c>
      <c r="C48" s="165" t="s">
        <v>36</v>
      </c>
      <c r="D48" s="157">
        <v>1</v>
      </c>
      <c r="E48" s="167">
        <v>12</v>
      </c>
      <c r="F48" s="312">
        <v>92.306249999999991</v>
      </c>
      <c r="G48" s="313">
        <f t="shared" si="4"/>
        <v>1107.675</v>
      </c>
      <c r="H48" s="321"/>
      <c r="I48" s="319"/>
      <c r="J48" s="22">
        <f t="shared" si="2"/>
        <v>12</v>
      </c>
    </row>
    <row r="49" spans="1:10" hidden="1" outlineLevel="2">
      <c r="A49" s="163" t="s">
        <v>258</v>
      </c>
      <c r="B49" s="168" t="s">
        <v>259</v>
      </c>
      <c r="C49" s="165" t="s">
        <v>36</v>
      </c>
      <c r="D49" s="157">
        <v>1</v>
      </c>
      <c r="E49" s="167">
        <v>4</v>
      </c>
      <c r="F49" s="312">
        <v>92.306249999999991</v>
      </c>
      <c r="G49" s="313">
        <f t="shared" si="4"/>
        <v>369.22499999999997</v>
      </c>
      <c r="H49" s="321"/>
      <c r="I49" s="319"/>
      <c r="J49" s="22">
        <f t="shared" si="2"/>
        <v>4</v>
      </c>
    </row>
    <row r="50" spans="1:10" outlineLevel="1">
      <c r="A50" s="163" t="s">
        <v>260</v>
      </c>
      <c r="B50" s="168" t="s">
        <v>261</v>
      </c>
      <c r="C50" s="25" t="s">
        <v>39</v>
      </c>
      <c r="D50" s="157">
        <v>1</v>
      </c>
      <c r="E50" s="167">
        <v>20.5</v>
      </c>
      <c r="F50" s="318">
        <v>135</v>
      </c>
      <c r="G50" s="313"/>
      <c r="H50" s="321">
        <f>+D50*E50*F50</f>
        <v>2767.5</v>
      </c>
      <c r="I50" s="319"/>
      <c r="J50" s="22">
        <f t="shared" si="2"/>
        <v>20.5</v>
      </c>
    </row>
    <row r="51" spans="1:10" outlineLevel="1" collapsed="1">
      <c r="A51" s="163" t="s">
        <v>262</v>
      </c>
      <c r="B51" s="168" t="s">
        <v>263</v>
      </c>
      <c r="C51" s="25" t="s">
        <v>39</v>
      </c>
      <c r="D51" s="157"/>
      <c r="E51" s="167"/>
      <c r="F51" s="318"/>
      <c r="G51" s="313"/>
      <c r="H51" s="321">
        <f>SUM(G53:G66)</f>
        <v>14868.75</v>
      </c>
      <c r="I51" s="319"/>
      <c r="J51" s="22">
        <f t="shared" si="2"/>
        <v>0</v>
      </c>
    </row>
    <row r="52" spans="1:10" hidden="1" outlineLevel="2">
      <c r="A52" s="163" t="s">
        <v>264</v>
      </c>
      <c r="B52" s="164" t="s">
        <v>265</v>
      </c>
      <c r="C52" s="165"/>
      <c r="D52" s="157"/>
      <c r="E52" s="167"/>
      <c r="F52" s="318"/>
      <c r="G52" s="313"/>
      <c r="H52" s="321"/>
      <c r="I52" s="319"/>
      <c r="J52" s="22">
        <f t="shared" si="2"/>
        <v>0</v>
      </c>
    </row>
    <row r="53" spans="1:10" hidden="1" outlineLevel="2">
      <c r="A53" s="163" t="s">
        <v>266</v>
      </c>
      <c r="B53" s="168" t="str">
        <f>+B15</f>
        <v xml:space="preserve">INGENIERO RESIDENTE </v>
      </c>
      <c r="C53" s="165"/>
      <c r="D53" s="157">
        <v>1</v>
      </c>
      <c r="E53" s="166">
        <v>21.5</v>
      </c>
      <c r="F53" s="318">
        <v>65</v>
      </c>
      <c r="G53" s="313">
        <f>+D53*E53*F53</f>
        <v>1397.5</v>
      </c>
      <c r="H53" s="321"/>
      <c r="I53" s="319"/>
      <c r="J53" s="22">
        <f t="shared" si="2"/>
        <v>21.5</v>
      </c>
    </row>
    <row r="54" spans="1:10" hidden="1" outlineLevel="2">
      <c r="A54" s="163" t="s">
        <v>267</v>
      </c>
      <c r="B54" s="168" t="str">
        <f>+B16</f>
        <v xml:space="preserve">INGENIERO DE OFICINA TECNICA </v>
      </c>
      <c r="C54" s="165"/>
      <c r="D54" s="157">
        <v>1</v>
      </c>
      <c r="E54" s="166">
        <v>21.5</v>
      </c>
      <c r="F54" s="318">
        <v>65</v>
      </c>
      <c r="G54" s="313">
        <f t="shared" ref="G54:G66" si="5">+D54*E54*F54</f>
        <v>1397.5</v>
      </c>
      <c r="H54" s="321"/>
      <c r="I54" s="319"/>
      <c r="J54" s="22">
        <f t="shared" si="2"/>
        <v>21.5</v>
      </c>
    </row>
    <row r="55" spans="1:10" hidden="1" outlineLevel="2">
      <c r="A55" s="163" t="s">
        <v>268</v>
      </c>
      <c r="B55" s="168" t="str">
        <f>+B17</f>
        <v>INGENIERO DE CAMPO</v>
      </c>
      <c r="C55" s="165"/>
      <c r="D55" s="157">
        <v>1</v>
      </c>
      <c r="E55" s="166">
        <v>17.5</v>
      </c>
      <c r="F55" s="318">
        <v>65</v>
      </c>
      <c r="G55" s="313">
        <f t="shared" si="5"/>
        <v>1137.5</v>
      </c>
      <c r="H55" s="321"/>
      <c r="I55" s="319"/>
      <c r="J55" s="22">
        <f t="shared" si="2"/>
        <v>17.5</v>
      </c>
    </row>
    <row r="56" spans="1:10" hidden="1" outlineLevel="2">
      <c r="A56" s="163" t="s">
        <v>269</v>
      </c>
      <c r="B56" s="168" t="str">
        <f>+B18</f>
        <v>INGENIERO DE CALIDAD</v>
      </c>
      <c r="C56" s="165"/>
      <c r="D56" s="157">
        <v>1</v>
      </c>
      <c r="E56" s="166">
        <v>13.5</v>
      </c>
      <c r="F56" s="318">
        <v>65</v>
      </c>
      <c r="G56" s="313">
        <f t="shared" si="5"/>
        <v>877.5</v>
      </c>
      <c r="H56" s="321"/>
      <c r="I56" s="319"/>
      <c r="J56" s="22">
        <f t="shared" si="2"/>
        <v>13.5</v>
      </c>
    </row>
    <row r="57" spans="1:10" hidden="1" outlineLevel="2">
      <c r="A57" s="163"/>
      <c r="B57" s="168" t="s">
        <v>228</v>
      </c>
      <c r="C57" s="165"/>
      <c r="D57" s="157">
        <v>1</v>
      </c>
      <c r="E57" s="166">
        <v>7</v>
      </c>
      <c r="F57" s="318">
        <v>65</v>
      </c>
      <c r="G57" s="313">
        <f t="shared" si="5"/>
        <v>455</v>
      </c>
      <c r="H57" s="321"/>
      <c r="I57" s="319"/>
      <c r="J57" s="22">
        <f t="shared" si="2"/>
        <v>7</v>
      </c>
    </row>
    <row r="58" spans="1:10" hidden="1" outlineLevel="2">
      <c r="A58" s="163" t="s">
        <v>270</v>
      </c>
      <c r="B58" s="168" t="str">
        <f>+B20</f>
        <v>INGENIERO ELECTROMECANICO</v>
      </c>
      <c r="C58" s="165"/>
      <c r="D58" s="157">
        <v>0.5</v>
      </c>
      <c r="E58" s="166">
        <v>13.5</v>
      </c>
      <c r="F58" s="318">
        <v>65</v>
      </c>
      <c r="G58" s="313">
        <f t="shared" si="5"/>
        <v>438.75</v>
      </c>
      <c r="H58" s="321"/>
      <c r="I58" s="319"/>
      <c r="J58" s="22">
        <f t="shared" si="2"/>
        <v>6.75</v>
      </c>
    </row>
    <row r="59" spans="1:10" hidden="1" outlineLevel="2">
      <c r="A59" s="163" t="s">
        <v>271</v>
      </c>
      <c r="B59" s="174" t="str">
        <f>+B21</f>
        <v xml:space="preserve">ARQUITECTO DE ACABADOS </v>
      </c>
      <c r="C59" s="165"/>
      <c r="D59" s="157">
        <v>1</v>
      </c>
      <c r="E59" s="166">
        <v>13.5</v>
      </c>
      <c r="F59" s="318">
        <v>65</v>
      </c>
      <c r="G59" s="313">
        <f t="shared" si="5"/>
        <v>877.5</v>
      </c>
      <c r="H59" s="321"/>
      <c r="I59" s="319"/>
      <c r="J59" s="22">
        <f t="shared" si="2"/>
        <v>13.5</v>
      </c>
    </row>
    <row r="60" spans="1:10" hidden="1" outlineLevel="2">
      <c r="A60" s="163" t="s">
        <v>272</v>
      </c>
      <c r="B60" s="168" t="str">
        <f>+B22</f>
        <v xml:space="preserve">PREVENCIONISTA DE RIEGOS - SUBJEFE DE PDR </v>
      </c>
      <c r="C60" s="165"/>
      <c r="D60" s="157">
        <v>1</v>
      </c>
      <c r="E60" s="166">
        <v>20.5</v>
      </c>
      <c r="F60" s="318">
        <v>65</v>
      </c>
      <c r="G60" s="313">
        <f t="shared" si="5"/>
        <v>1332.5</v>
      </c>
      <c r="H60" s="321"/>
      <c r="I60" s="319"/>
      <c r="J60" s="22">
        <f t="shared" si="2"/>
        <v>20.5</v>
      </c>
    </row>
    <row r="61" spans="1:10" hidden="1" outlineLevel="2">
      <c r="A61" s="163" t="s">
        <v>273</v>
      </c>
      <c r="B61" s="168" t="str">
        <f>+B23</f>
        <v xml:space="preserve">ADMINISTRADOR DE OBRA </v>
      </c>
      <c r="C61" s="165"/>
      <c r="D61" s="157">
        <v>1</v>
      </c>
      <c r="E61" s="166">
        <v>21.5</v>
      </c>
      <c r="F61" s="318">
        <v>65</v>
      </c>
      <c r="G61" s="313">
        <f t="shared" si="5"/>
        <v>1397.5</v>
      </c>
      <c r="H61" s="321"/>
      <c r="I61" s="319"/>
      <c r="J61" s="22">
        <f t="shared" si="2"/>
        <v>21.5</v>
      </c>
    </row>
    <row r="62" spans="1:10" hidden="1" outlineLevel="2">
      <c r="A62" s="163" t="s">
        <v>274</v>
      </c>
      <c r="B62" s="168" t="str">
        <f>+B26</f>
        <v>ASISTENTE (CAMPO/CALIDAD/ARQ)</v>
      </c>
      <c r="C62" s="165"/>
      <c r="D62" s="157">
        <v>2</v>
      </c>
      <c r="E62" s="166">
        <v>13.5</v>
      </c>
      <c r="F62" s="318">
        <v>65</v>
      </c>
      <c r="G62" s="313">
        <f t="shared" si="5"/>
        <v>1755</v>
      </c>
      <c r="H62" s="321"/>
      <c r="I62" s="319"/>
      <c r="J62" s="22">
        <f t="shared" si="2"/>
        <v>27</v>
      </c>
    </row>
    <row r="63" spans="1:10" hidden="1" outlineLevel="2">
      <c r="A63" s="23" t="s">
        <v>275</v>
      </c>
      <c r="B63" s="24" t="str">
        <f>+B30</f>
        <v>JEFE DE ALMACEN</v>
      </c>
      <c r="C63" s="165"/>
      <c r="D63" s="157">
        <v>1</v>
      </c>
      <c r="E63" s="157">
        <v>21.5</v>
      </c>
      <c r="F63" s="312">
        <v>65</v>
      </c>
      <c r="G63" s="313">
        <f t="shared" si="5"/>
        <v>1397.5</v>
      </c>
      <c r="H63" s="322"/>
      <c r="I63" s="319"/>
      <c r="J63" s="22">
        <f t="shared" si="2"/>
        <v>21.5</v>
      </c>
    </row>
    <row r="64" spans="1:10" ht="22.5" hidden="1" outlineLevel="2">
      <c r="A64" s="23" t="s">
        <v>276</v>
      </c>
      <c r="B64" s="175" t="s">
        <v>277</v>
      </c>
      <c r="C64" s="165"/>
      <c r="D64" s="157">
        <v>1</v>
      </c>
      <c r="E64" s="157">
        <v>19</v>
      </c>
      <c r="F64" s="312">
        <v>65</v>
      </c>
      <c r="G64" s="313">
        <f t="shared" si="5"/>
        <v>1235</v>
      </c>
      <c r="H64" s="322"/>
      <c r="I64" s="319"/>
      <c r="J64" s="22">
        <f t="shared" si="2"/>
        <v>19</v>
      </c>
    </row>
    <row r="65" spans="1:10" hidden="1" outlineLevel="2">
      <c r="A65" s="23" t="s">
        <v>278</v>
      </c>
      <c r="B65" s="169" t="s">
        <v>279</v>
      </c>
      <c r="C65" s="165"/>
      <c r="D65" s="157">
        <v>1</v>
      </c>
      <c r="E65" s="157">
        <v>10</v>
      </c>
      <c r="F65" s="312">
        <v>65</v>
      </c>
      <c r="G65" s="313">
        <f t="shared" si="5"/>
        <v>650</v>
      </c>
      <c r="H65" s="322"/>
      <c r="I65" s="319"/>
      <c r="J65" s="22">
        <f t="shared" si="2"/>
        <v>10</v>
      </c>
    </row>
    <row r="66" spans="1:10" hidden="1" outlineLevel="2">
      <c r="A66" s="23" t="s">
        <v>280</v>
      </c>
      <c r="B66" s="169" t="s">
        <v>281</v>
      </c>
      <c r="C66" s="165"/>
      <c r="D66" s="157">
        <v>1</v>
      </c>
      <c r="E66" s="157">
        <v>8</v>
      </c>
      <c r="F66" s="312">
        <v>65</v>
      </c>
      <c r="G66" s="313">
        <f t="shared" si="5"/>
        <v>520</v>
      </c>
      <c r="H66" s="322"/>
      <c r="I66" s="319"/>
      <c r="J66" s="22">
        <f t="shared" si="2"/>
        <v>8</v>
      </c>
    </row>
    <row r="67" spans="1:10" outlineLevel="1">
      <c r="A67" s="23" t="s">
        <v>282</v>
      </c>
      <c r="B67" s="24" t="s">
        <v>283</v>
      </c>
      <c r="C67" s="25" t="s">
        <v>36</v>
      </c>
      <c r="D67" s="157">
        <v>15</v>
      </c>
      <c r="E67" s="145">
        <v>1</v>
      </c>
      <c r="F67" s="312">
        <v>825</v>
      </c>
      <c r="G67" s="313"/>
      <c r="H67" s="322">
        <f>+D67*E67*F67</f>
        <v>12375</v>
      </c>
      <c r="I67" s="319"/>
      <c r="J67" s="22">
        <f t="shared" si="2"/>
        <v>15</v>
      </c>
    </row>
    <row r="68" spans="1:10" outlineLevel="1">
      <c r="A68" s="23" t="s">
        <v>284</v>
      </c>
      <c r="B68" s="24" t="s">
        <v>285</v>
      </c>
      <c r="C68" s="25" t="s">
        <v>36</v>
      </c>
      <c r="D68" s="157">
        <v>1</v>
      </c>
      <c r="E68" s="145">
        <v>20.5</v>
      </c>
      <c r="F68" s="312">
        <v>240</v>
      </c>
      <c r="G68" s="313"/>
      <c r="H68" s="322">
        <f>+D68*E68*F68</f>
        <v>4920</v>
      </c>
      <c r="I68" s="319"/>
      <c r="J68" s="22">
        <f t="shared" si="2"/>
        <v>20.5</v>
      </c>
    </row>
    <row r="69" spans="1:10" outlineLevel="1">
      <c r="A69" s="23" t="s">
        <v>286</v>
      </c>
      <c r="B69" s="24" t="s">
        <v>287</v>
      </c>
      <c r="C69" s="25" t="s">
        <v>36</v>
      </c>
      <c r="D69" s="157">
        <v>15</v>
      </c>
      <c r="E69" s="145">
        <v>1</v>
      </c>
      <c r="F69" s="312">
        <v>250</v>
      </c>
      <c r="G69" s="313"/>
      <c r="H69" s="322">
        <f>+D69*E69*F69</f>
        <v>3750</v>
      </c>
      <c r="I69" s="319"/>
      <c r="J69" s="22">
        <f t="shared" si="2"/>
        <v>15</v>
      </c>
    </row>
    <row r="70" spans="1:10" outlineLevel="1">
      <c r="A70" s="23" t="s">
        <v>288</v>
      </c>
      <c r="B70" s="24" t="s">
        <v>289</v>
      </c>
      <c r="C70" s="25" t="s">
        <v>36</v>
      </c>
      <c r="D70" s="157">
        <v>1</v>
      </c>
      <c r="E70" s="145">
        <v>2</v>
      </c>
      <c r="F70" s="312">
        <v>500</v>
      </c>
      <c r="G70" s="313"/>
      <c r="H70" s="322">
        <f>+D70*E70*F70</f>
        <v>1000</v>
      </c>
      <c r="I70" s="319"/>
      <c r="J70" s="22">
        <f t="shared" si="2"/>
        <v>2</v>
      </c>
    </row>
    <row r="71" spans="1:10" outlineLevel="1">
      <c r="A71" s="23" t="s">
        <v>290</v>
      </c>
      <c r="B71" s="24" t="s">
        <v>291</v>
      </c>
      <c r="C71" s="25" t="s">
        <v>29</v>
      </c>
      <c r="D71" s="157">
        <v>1</v>
      </c>
      <c r="E71" s="145">
        <v>20.5</v>
      </c>
      <c r="F71" s="312">
        <v>350</v>
      </c>
      <c r="G71" s="313"/>
      <c r="H71" s="322">
        <f>+D71*E71*F71</f>
        <v>7175</v>
      </c>
      <c r="I71" s="319"/>
      <c r="J71" s="22">
        <f t="shared" si="2"/>
        <v>20.5</v>
      </c>
    </row>
    <row r="72" spans="1:10">
      <c r="A72" s="28" t="s">
        <v>292</v>
      </c>
      <c r="B72" s="29" t="s">
        <v>293</v>
      </c>
      <c r="C72" s="30"/>
      <c r="D72" s="162"/>
      <c r="E72" s="158"/>
      <c r="F72" s="315"/>
      <c r="G72" s="313"/>
      <c r="H72" s="322"/>
      <c r="I72" s="323">
        <f>SUM(H73:H88)</f>
        <v>486064.66666666669</v>
      </c>
      <c r="J72" s="22">
        <f t="shared" si="2"/>
        <v>0</v>
      </c>
    </row>
    <row r="73" spans="1:10" outlineLevel="1">
      <c r="A73" s="23" t="s">
        <v>294</v>
      </c>
      <c r="B73" s="24" t="s">
        <v>295</v>
      </c>
      <c r="C73" s="25" t="s">
        <v>39</v>
      </c>
      <c r="D73" s="157">
        <v>1</v>
      </c>
      <c r="E73" s="145">
        <v>20.5</v>
      </c>
      <c r="F73" s="312">
        <v>250</v>
      </c>
      <c r="G73" s="313"/>
      <c r="H73" s="322">
        <f t="shared" ref="H73:H88" si="6">+D73*E73*F73</f>
        <v>5125</v>
      </c>
      <c r="I73" s="319"/>
      <c r="J73" s="22">
        <f t="shared" si="2"/>
        <v>20.5</v>
      </c>
    </row>
    <row r="74" spans="1:10" outlineLevel="1">
      <c r="A74" s="23" t="s">
        <v>296</v>
      </c>
      <c r="B74" s="24" t="s">
        <v>297</v>
      </c>
      <c r="C74" s="25" t="s">
        <v>39</v>
      </c>
      <c r="D74" s="157">
        <v>0</v>
      </c>
      <c r="E74" s="145">
        <v>20.5</v>
      </c>
      <c r="F74" s="312">
        <v>1950</v>
      </c>
      <c r="G74" s="313"/>
      <c r="H74" s="322">
        <f t="shared" si="6"/>
        <v>0</v>
      </c>
      <c r="I74" s="319"/>
      <c r="J74" s="22">
        <f t="shared" si="2"/>
        <v>0</v>
      </c>
    </row>
    <row r="75" spans="1:10" outlineLevel="1">
      <c r="A75" s="23" t="s">
        <v>298</v>
      </c>
      <c r="B75" s="24" t="s">
        <v>299</v>
      </c>
      <c r="C75" s="25" t="s">
        <v>39</v>
      </c>
      <c r="D75" s="157">
        <v>1</v>
      </c>
      <c r="E75" s="145">
        <v>20.5</v>
      </c>
      <c r="F75" s="312">
        <v>300</v>
      </c>
      <c r="G75" s="313"/>
      <c r="H75" s="322">
        <f t="shared" si="6"/>
        <v>6150</v>
      </c>
      <c r="I75" s="319"/>
      <c r="J75" s="22">
        <f t="shared" si="2"/>
        <v>20.5</v>
      </c>
    </row>
    <row r="76" spans="1:10" outlineLevel="1">
      <c r="A76" s="23" t="s">
        <v>300</v>
      </c>
      <c r="B76" s="24" t="s">
        <v>301</v>
      </c>
      <c r="C76" s="25" t="s">
        <v>39</v>
      </c>
      <c r="D76" s="157">
        <v>1</v>
      </c>
      <c r="E76" s="145">
        <v>20.5</v>
      </c>
      <c r="F76" s="312">
        <v>450</v>
      </c>
      <c r="G76" s="313"/>
      <c r="H76" s="322">
        <f t="shared" si="6"/>
        <v>9225</v>
      </c>
      <c r="I76" s="319"/>
      <c r="J76" s="22">
        <f t="shared" si="2"/>
        <v>20.5</v>
      </c>
    </row>
    <row r="77" spans="1:10" outlineLevel="1">
      <c r="A77" s="23" t="s">
        <v>302</v>
      </c>
      <c r="B77" s="24" t="s">
        <v>303</v>
      </c>
      <c r="C77" s="25" t="s">
        <v>39</v>
      </c>
      <c r="D77" s="157">
        <v>1</v>
      </c>
      <c r="E77" s="145">
        <v>3</v>
      </c>
      <c r="F77" s="312">
        <v>1200</v>
      </c>
      <c r="G77" s="313"/>
      <c r="H77" s="322">
        <f t="shared" si="6"/>
        <v>3600</v>
      </c>
      <c r="I77" s="319"/>
      <c r="J77" s="22">
        <f t="shared" si="2"/>
        <v>3</v>
      </c>
    </row>
    <row r="78" spans="1:10" outlineLevel="1">
      <c r="A78" s="23" t="s">
        <v>304</v>
      </c>
      <c r="B78" s="24" t="s">
        <v>305</v>
      </c>
      <c r="C78" s="25" t="s">
        <v>29</v>
      </c>
      <c r="D78" s="157">
        <v>1</v>
      </c>
      <c r="E78" s="145">
        <v>1</v>
      </c>
      <c r="F78" s="312">
        <v>3000</v>
      </c>
      <c r="G78" s="313"/>
      <c r="H78" s="322">
        <f t="shared" si="6"/>
        <v>3000</v>
      </c>
      <c r="I78" s="319"/>
      <c r="J78" s="22">
        <f t="shared" si="2"/>
        <v>1</v>
      </c>
    </row>
    <row r="79" spans="1:10" outlineLevel="1">
      <c r="A79" s="163" t="s">
        <v>306</v>
      </c>
      <c r="B79" s="168" t="s">
        <v>307</v>
      </c>
      <c r="C79" s="165" t="s">
        <v>39</v>
      </c>
      <c r="D79" s="157">
        <v>1</v>
      </c>
      <c r="E79" s="167">
        <v>20.5</v>
      </c>
      <c r="F79" s="318">
        <v>400</v>
      </c>
      <c r="G79" s="313"/>
      <c r="H79" s="322">
        <f t="shared" si="6"/>
        <v>8200</v>
      </c>
      <c r="I79" s="319"/>
      <c r="J79" s="22">
        <f t="shared" ref="J79:J124" si="7">+D79*E79</f>
        <v>20.5</v>
      </c>
    </row>
    <row r="80" spans="1:10" outlineLevel="1">
      <c r="A80" s="163" t="s">
        <v>308</v>
      </c>
      <c r="B80" s="168" t="s">
        <v>309</v>
      </c>
      <c r="C80" s="165" t="s">
        <v>39</v>
      </c>
      <c r="D80" s="157">
        <v>1</v>
      </c>
      <c r="E80" s="167">
        <v>20.5</v>
      </c>
      <c r="F80" s="318">
        <v>522.66666666666674</v>
      </c>
      <c r="G80" s="313"/>
      <c r="H80" s="322">
        <f t="shared" si="6"/>
        <v>10714.666666666668</v>
      </c>
      <c r="I80" s="319"/>
      <c r="J80" s="22">
        <f t="shared" si="7"/>
        <v>20.5</v>
      </c>
    </row>
    <row r="81" spans="1:10" outlineLevel="1">
      <c r="A81" s="163" t="s">
        <v>310</v>
      </c>
      <c r="B81" s="168" t="s">
        <v>311</v>
      </c>
      <c r="C81" s="165" t="s">
        <v>39</v>
      </c>
      <c r="D81" s="157">
        <v>1</v>
      </c>
      <c r="E81" s="167">
        <v>2</v>
      </c>
      <c r="F81" s="318">
        <v>300</v>
      </c>
      <c r="G81" s="313"/>
      <c r="H81" s="322">
        <f t="shared" si="6"/>
        <v>600</v>
      </c>
      <c r="I81" s="319"/>
      <c r="J81" s="22">
        <f t="shared" si="7"/>
        <v>2</v>
      </c>
    </row>
    <row r="82" spans="1:10" outlineLevel="1">
      <c r="A82" s="23" t="s">
        <v>312</v>
      </c>
      <c r="B82" s="24" t="s">
        <v>313</v>
      </c>
      <c r="C82" s="25" t="s">
        <v>29</v>
      </c>
      <c r="D82" s="157">
        <v>1</v>
      </c>
      <c r="E82" s="145">
        <v>1</v>
      </c>
      <c r="F82" s="312">
        <v>3000</v>
      </c>
      <c r="G82" s="313"/>
      <c r="H82" s="322">
        <f t="shared" si="6"/>
        <v>3000</v>
      </c>
      <c r="I82" s="313"/>
      <c r="J82" s="22">
        <f t="shared" si="7"/>
        <v>1</v>
      </c>
    </row>
    <row r="83" spans="1:10" outlineLevel="1">
      <c r="A83" s="23" t="s">
        <v>314</v>
      </c>
      <c r="B83" s="24" t="s">
        <v>315</v>
      </c>
      <c r="C83" s="25" t="s">
        <v>39</v>
      </c>
      <c r="D83" s="157">
        <v>1</v>
      </c>
      <c r="E83" s="145">
        <v>20.5</v>
      </c>
      <c r="F83" s="312">
        <v>500</v>
      </c>
      <c r="G83" s="313"/>
      <c r="H83" s="322">
        <f t="shared" si="6"/>
        <v>10250</v>
      </c>
      <c r="I83" s="313"/>
      <c r="J83" s="22">
        <f t="shared" si="7"/>
        <v>20.5</v>
      </c>
    </row>
    <row r="84" spans="1:10" outlineLevel="1">
      <c r="A84" s="23" t="s">
        <v>316</v>
      </c>
      <c r="B84" s="24" t="s">
        <v>317</v>
      </c>
      <c r="C84" s="25" t="s">
        <v>39</v>
      </c>
      <c r="D84" s="157">
        <v>1</v>
      </c>
      <c r="E84" s="145">
        <v>20.5</v>
      </c>
      <c r="F84" s="312">
        <v>20000</v>
      </c>
      <c r="G84" s="313"/>
      <c r="H84" s="322">
        <f t="shared" si="6"/>
        <v>410000</v>
      </c>
      <c r="I84" s="313"/>
      <c r="J84" s="22">
        <f t="shared" si="7"/>
        <v>20.5</v>
      </c>
    </row>
    <row r="85" spans="1:10" outlineLevel="1">
      <c r="A85" s="23" t="s">
        <v>318</v>
      </c>
      <c r="B85" s="24" t="s">
        <v>319</v>
      </c>
      <c r="C85" s="25" t="s">
        <v>29</v>
      </c>
      <c r="D85" s="157">
        <v>1</v>
      </c>
      <c r="E85" s="145">
        <v>1</v>
      </c>
      <c r="F85" s="312">
        <v>7000</v>
      </c>
      <c r="G85" s="313"/>
      <c r="H85" s="322">
        <f t="shared" si="6"/>
        <v>7000</v>
      </c>
      <c r="I85" s="313"/>
      <c r="J85" s="22">
        <f t="shared" si="7"/>
        <v>1</v>
      </c>
    </row>
    <row r="86" spans="1:10" outlineLevel="1">
      <c r="A86" s="23" t="s">
        <v>320</v>
      </c>
      <c r="B86" s="24" t="s">
        <v>321</v>
      </c>
      <c r="C86" s="25" t="s">
        <v>29</v>
      </c>
      <c r="D86" s="157">
        <v>0</v>
      </c>
      <c r="E86" s="145">
        <v>1</v>
      </c>
      <c r="F86" s="312">
        <v>0</v>
      </c>
      <c r="G86" s="313"/>
      <c r="H86" s="322">
        <f t="shared" si="6"/>
        <v>0</v>
      </c>
      <c r="I86" s="313"/>
      <c r="J86" s="22">
        <f t="shared" si="7"/>
        <v>0</v>
      </c>
    </row>
    <row r="87" spans="1:10" ht="22.5" outlineLevel="1">
      <c r="A87" s="23" t="s">
        <v>322</v>
      </c>
      <c r="B87" s="34" t="s">
        <v>323</v>
      </c>
      <c r="C87" s="25" t="s">
        <v>29</v>
      </c>
      <c r="D87" s="157">
        <v>1</v>
      </c>
      <c r="E87" s="145">
        <v>2</v>
      </c>
      <c r="F87" s="312">
        <v>4600</v>
      </c>
      <c r="G87" s="313"/>
      <c r="H87" s="322">
        <f t="shared" si="6"/>
        <v>9200</v>
      </c>
      <c r="I87" s="313"/>
      <c r="J87" s="22">
        <f t="shared" si="7"/>
        <v>2</v>
      </c>
    </row>
    <row r="88" spans="1:10" outlineLevel="1">
      <c r="A88" s="23" t="s">
        <v>324</v>
      </c>
      <c r="B88" s="24" t="s">
        <v>325</v>
      </c>
      <c r="C88" s="25" t="s">
        <v>29</v>
      </c>
      <c r="D88" s="157">
        <v>0</v>
      </c>
      <c r="E88" s="145">
        <v>1</v>
      </c>
      <c r="F88" s="312">
        <v>4500</v>
      </c>
      <c r="G88" s="313"/>
      <c r="H88" s="322">
        <f t="shared" si="6"/>
        <v>0</v>
      </c>
      <c r="I88" s="313"/>
      <c r="J88" s="22">
        <f t="shared" si="7"/>
        <v>0</v>
      </c>
    </row>
    <row r="89" spans="1:10">
      <c r="A89" s="28" t="s">
        <v>326</v>
      </c>
      <c r="B89" s="29" t="s">
        <v>327</v>
      </c>
      <c r="C89" s="30"/>
      <c r="D89" s="162"/>
      <c r="E89" s="158"/>
      <c r="F89" s="315"/>
      <c r="G89" s="313"/>
      <c r="H89" s="322"/>
      <c r="I89" s="316">
        <f>SUM(H90)</f>
        <v>0</v>
      </c>
      <c r="J89" s="22">
        <f t="shared" si="7"/>
        <v>0</v>
      </c>
    </row>
    <row r="90" spans="1:10" outlineLevel="1">
      <c r="A90" s="23" t="s">
        <v>328</v>
      </c>
      <c r="B90" s="24" t="s">
        <v>329</v>
      </c>
      <c r="C90" s="25" t="s">
        <v>39</v>
      </c>
      <c r="D90" s="157">
        <v>0</v>
      </c>
      <c r="E90" s="145">
        <v>8.5</v>
      </c>
      <c r="F90" s="312">
        <v>2800</v>
      </c>
      <c r="G90" s="313"/>
      <c r="H90" s="322">
        <f>+D90*E90*F90</f>
        <v>0</v>
      </c>
      <c r="I90" s="313"/>
      <c r="J90" s="22">
        <f t="shared" si="7"/>
        <v>0</v>
      </c>
    </row>
    <row r="91" spans="1:10">
      <c r="A91" s="28" t="s">
        <v>330</v>
      </c>
      <c r="B91" s="29" t="s">
        <v>331</v>
      </c>
      <c r="C91" s="30"/>
      <c r="D91" s="162"/>
      <c r="E91" s="158"/>
      <c r="F91" s="315"/>
      <c r="G91" s="313"/>
      <c r="H91" s="322"/>
      <c r="I91" s="316">
        <f>SUM(H92:H124)</f>
        <v>275540.98357561126</v>
      </c>
      <c r="J91" s="22">
        <f t="shared" si="7"/>
        <v>0</v>
      </c>
    </row>
    <row r="92" spans="1:10" outlineLevel="1">
      <c r="A92" s="23" t="s">
        <v>332</v>
      </c>
      <c r="B92" s="24" t="s">
        <v>333</v>
      </c>
      <c r="C92" s="25" t="s">
        <v>29</v>
      </c>
      <c r="D92" s="157">
        <v>1</v>
      </c>
      <c r="E92" s="145">
        <v>1</v>
      </c>
      <c r="F92" s="312">
        <v>67854.750605084555</v>
      </c>
      <c r="G92" s="313"/>
      <c r="H92" s="322">
        <f t="shared" ref="H92:H93" si="8">+D92*E92*F92</f>
        <v>67854.750605084555</v>
      </c>
      <c r="I92" s="313"/>
      <c r="J92" s="22">
        <f t="shared" si="7"/>
        <v>1</v>
      </c>
    </row>
    <row r="93" spans="1:10" outlineLevel="1">
      <c r="A93" s="23" t="s">
        <v>334</v>
      </c>
      <c r="B93" s="24" t="s">
        <v>335</v>
      </c>
      <c r="C93" s="25" t="s">
        <v>29</v>
      </c>
      <c r="D93" s="157">
        <v>1</v>
      </c>
      <c r="E93" s="145">
        <v>1</v>
      </c>
      <c r="F93" s="312">
        <v>2000</v>
      </c>
      <c r="G93" s="313"/>
      <c r="H93" s="322">
        <f t="shared" si="8"/>
        <v>2000</v>
      </c>
      <c r="I93" s="313"/>
      <c r="J93" s="22">
        <f t="shared" si="7"/>
        <v>1</v>
      </c>
    </row>
    <row r="94" spans="1:10" outlineLevel="1" collapsed="1">
      <c r="A94" s="23" t="s">
        <v>336</v>
      </c>
      <c r="B94" s="24" t="s">
        <v>337</v>
      </c>
      <c r="C94" s="25" t="s">
        <v>39</v>
      </c>
      <c r="D94" s="157"/>
      <c r="E94" s="145"/>
      <c r="F94" s="312"/>
      <c r="G94" s="313"/>
      <c r="H94" s="322">
        <f>SUM(G96:G118)</f>
        <v>21462.398756323291</v>
      </c>
      <c r="I94" s="313"/>
      <c r="J94" s="22">
        <f t="shared" si="7"/>
        <v>0</v>
      </c>
    </row>
    <row r="95" spans="1:10" hidden="1" outlineLevel="2">
      <c r="A95" s="23" t="s">
        <v>338</v>
      </c>
      <c r="B95" s="170" t="s">
        <v>339</v>
      </c>
      <c r="C95" s="25"/>
      <c r="D95" s="157"/>
      <c r="E95" s="145"/>
      <c r="F95" s="312"/>
      <c r="G95" s="313"/>
      <c r="H95" s="322"/>
      <c r="I95" s="313"/>
      <c r="J95" s="22">
        <f t="shared" si="7"/>
        <v>0</v>
      </c>
    </row>
    <row r="96" spans="1:10" hidden="1" outlineLevel="2">
      <c r="A96" s="163" t="s">
        <v>340</v>
      </c>
      <c r="B96" s="174" t="str">
        <f>+B14</f>
        <v>GERENTE DE PROYECTOS</v>
      </c>
      <c r="C96" s="165"/>
      <c r="D96" s="157">
        <v>1</v>
      </c>
      <c r="E96" s="166">
        <v>20.5</v>
      </c>
      <c r="F96" s="324">
        <v>16200</v>
      </c>
      <c r="G96" s="313">
        <v>2656.8</v>
      </c>
      <c r="H96" s="322"/>
      <c r="I96" s="319"/>
      <c r="J96" s="22">
        <f t="shared" si="7"/>
        <v>20.5</v>
      </c>
    </row>
    <row r="97" spans="1:10" hidden="1" outlineLevel="2">
      <c r="A97" s="163" t="s">
        <v>341</v>
      </c>
      <c r="B97" s="168" t="str">
        <f>+B15</f>
        <v xml:space="preserve">INGENIERO RESIDENTE </v>
      </c>
      <c r="C97" s="165"/>
      <c r="D97" s="157">
        <v>1</v>
      </c>
      <c r="E97" s="166">
        <v>21.5</v>
      </c>
      <c r="F97" s="324">
        <v>10500</v>
      </c>
      <c r="G97" s="313">
        <v>1806</v>
      </c>
      <c r="H97" s="322"/>
      <c r="I97" s="319"/>
      <c r="J97" s="22">
        <f t="shared" si="7"/>
        <v>21.5</v>
      </c>
    </row>
    <row r="98" spans="1:10" hidden="1" outlineLevel="2">
      <c r="A98" s="163" t="s">
        <v>342</v>
      </c>
      <c r="B98" s="168" t="str">
        <f>+B16</f>
        <v xml:space="preserve">INGENIERO DE OFICINA TECNICA </v>
      </c>
      <c r="C98" s="165"/>
      <c r="D98" s="157">
        <v>1</v>
      </c>
      <c r="E98" s="166">
        <v>21.5</v>
      </c>
      <c r="F98" s="324">
        <v>10500.004199999999</v>
      </c>
      <c r="G98" s="313">
        <v>1806.0007223999999</v>
      </c>
      <c r="H98" s="322"/>
      <c r="I98" s="319"/>
      <c r="J98" s="22">
        <f t="shared" si="7"/>
        <v>21.5</v>
      </c>
    </row>
    <row r="99" spans="1:10" hidden="1" outlineLevel="2">
      <c r="A99" s="163" t="s">
        <v>343</v>
      </c>
      <c r="B99" s="168" t="str">
        <f>+B17</f>
        <v>INGENIERO DE CAMPO</v>
      </c>
      <c r="C99" s="165"/>
      <c r="D99" s="157">
        <v>1</v>
      </c>
      <c r="E99" s="166">
        <v>17.5</v>
      </c>
      <c r="F99" s="324">
        <v>7500</v>
      </c>
      <c r="G99" s="313">
        <v>1050</v>
      </c>
      <c r="H99" s="322"/>
      <c r="I99" s="319"/>
      <c r="J99" s="22">
        <f t="shared" si="7"/>
        <v>17.5</v>
      </c>
    </row>
    <row r="100" spans="1:10" hidden="1" outlineLevel="2">
      <c r="A100" s="163" t="s">
        <v>344</v>
      </c>
      <c r="B100" s="168" t="s">
        <v>227</v>
      </c>
      <c r="C100" s="165"/>
      <c r="D100" s="157">
        <v>1</v>
      </c>
      <c r="E100" s="166">
        <v>13.5</v>
      </c>
      <c r="F100" s="324">
        <v>7500</v>
      </c>
      <c r="G100" s="313">
        <v>810</v>
      </c>
      <c r="H100" s="322"/>
      <c r="I100" s="319"/>
      <c r="J100" s="22">
        <f t="shared" si="7"/>
        <v>13.5</v>
      </c>
    </row>
    <row r="101" spans="1:10" hidden="1" outlineLevel="2">
      <c r="A101" s="163"/>
      <c r="B101" s="168" t="s">
        <v>228</v>
      </c>
      <c r="C101" s="165"/>
      <c r="D101" s="157">
        <v>1</v>
      </c>
      <c r="E101" s="166">
        <v>7</v>
      </c>
      <c r="F101" s="324">
        <v>5250</v>
      </c>
      <c r="G101" s="313">
        <v>294</v>
      </c>
      <c r="H101" s="322"/>
      <c r="I101" s="319"/>
      <c r="J101" s="22">
        <f t="shared" si="7"/>
        <v>7</v>
      </c>
    </row>
    <row r="102" spans="1:10" hidden="1" outlineLevel="2">
      <c r="A102" s="163" t="s">
        <v>345</v>
      </c>
      <c r="B102" s="168" t="str">
        <f>+B20</f>
        <v>INGENIERO ELECTROMECANICO</v>
      </c>
      <c r="C102" s="165"/>
      <c r="D102" s="157">
        <v>0.5</v>
      </c>
      <c r="E102" s="166">
        <v>13.5</v>
      </c>
      <c r="F102" s="324">
        <v>10500.004199999999</v>
      </c>
      <c r="G102" s="313">
        <v>567.00022679999995</v>
      </c>
      <c r="H102" s="322"/>
      <c r="I102" s="319"/>
      <c r="J102" s="22">
        <f t="shared" si="7"/>
        <v>6.75</v>
      </c>
    </row>
    <row r="103" spans="1:10" hidden="1" outlineLevel="2">
      <c r="A103" s="163" t="s">
        <v>346</v>
      </c>
      <c r="B103" s="174" t="str">
        <f>+B21</f>
        <v xml:space="preserve">ARQUITECTO DE ACABADOS </v>
      </c>
      <c r="C103" s="165"/>
      <c r="D103" s="157">
        <v>1</v>
      </c>
      <c r="E103" s="166">
        <v>13.5</v>
      </c>
      <c r="F103" s="324">
        <v>9000</v>
      </c>
      <c r="G103" s="313">
        <v>972</v>
      </c>
      <c r="H103" s="322"/>
      <c r="I103" s="319"/>
      <c r="J103" s="22">
        <f t="shared" si="7"/>
        <v>13.5</v>
      </c>
    </row>
    <row r="104" spans="1:10" hidden="1" outlineLevel="2">
      <c r="A104" s="163" t="s">
        <v>347</v>
      </c>
      <c r="B104" s="168" t="str">
        <f>+B22</f>
        <v xml:space="preserve">PREVENCIONISTA DE RIEGOS - SUBJEFE DE PDR </v>
      </c>
      <c r="C104" s="165"/>
      <c r="D104" s="157">
        <v>1</v>
      </c>
      <c r="E104" s="166">
        <v>20.5</v>
      </c>
      <c r="F104" s="324">
        <v>6750</v>
      </c>
      <c r="G104" s="313">
        <v>1107</v>
      </c>
      <c r="H104" s="322"/>
      <c r="I104" s="319"/>
      <c r="J104" s="22">
        <f t="shared" si="7"/>
        <v>20.5</v>
      </c>
    </row>
    <row r="105" spans="1:10" hidden="1" outlineLevel="2">
      <c r="A105" s="163" t="s">
        <v>348</v>
      </c>
      <c r="B105" s="168" t="str">
        <f>+B23</f>
        <v xml:space="preserve">ADMINISTRADOR DE OBRA </v>
      </c>
      <c r="C105" s="165"/>
      <c r="D105" s="157">
        <v>1</v>
      </c>
      <c r="E105" s="166">
        <v>21.5</v>
      </c>
      <c r="F105" s="324">
        <v>6491.2602739726026</v>
      </c>
      <c r="G105" s="313">
        <v>1116.4967671232876</v>
      </c>
      <c r="H105" s="322"/>
      <c r="I105" s="319"/>
      <c r="J105" s="22">
        <f t="shared" si="7"/>
        <v>21.5</v>
      </c>
    </row>
    <row r="106" spans="1:10" hidden="1" outlineLevel="2">
      <c r="A106" s="163" t="s">
        <v>349</v>
      </c>
      <c r="B106" s="168" t="s">
        <v>233</v>
      </c>
      <c r="C106" s="165"/>
      <c r="D106" s="157">
        <v>1</v>
      </c>
      <c r="E106" s="166">
        <v>15.5</v>
      </c>
      <c r="F106" s="324">
        <v>6750</v>
      </c>
      <c r="G106" s="313">
        <v>837</v>
      </c>
      <c r="H106" s="322"/>
      <c r="I106" s="319"/>
      <c r="J106" s="22">
        <f t="shared" si="7"/>
        <v>15.5</v>
      </c>
    </row>
    <row r="107" spans="1:10" hidden="1" outlineLevel="2">
      <c r="A107" s="163" t="s">
        <v>350</v>
      </c>
      <c r="B107" s="168" t="str">
        <f t="shared" ref="B107:B112" si="9">+B26</f>
        <v>ASISTENTE (CAMPO/CALIDAD/ARQ)</v>
      </c>
      <c r="C107" s="165"/>
      <c r="D107" s="157">
        <v>2</v>
      </c>
      <c r="E107" s="166">
        <v>13.5</v>
      </c>
      <c r="F107" s="324">
        <v>3990</v>
      </c>
      <c r="G107" s="313">
        <v>861.84</v>
      </c>
      <c r="H107" s="322"/>
      <c r="I107" s="319"/>
      <c r="J107" s="22">
        <f t="shared" si="7"/>
        <v>27</v>
      </c>
    </row>
    <row r="108" spans="1:10" hidden="1" outlineLevel="2">
      <c r="A108" s="163" t="s">
        <v>351</v>
      </c>
      <c r="B108" s="168" t="str">
        <f t="shared" si="9"/>
        <v xml:space="preserve">MAESTRO DE OBRA </v>
      </c>
      <c r="C108" s="165"/>
      <c r="D108" s="157">
        <v>1</v>
      </c>
      <c r="E108" s="166">
        <v>13.5</v>
      </c>
      <c r="F108" s="324">
        <v>8102.46</v>
      </c>
      <c r="G108" s="313">
        <v>875.06568000000004</v>
      </c>
      <c r="H108" s="322"/>
      <c r="I108" s="319"/>
      <c r="J108" s="22">
        <f t="shared" si="7"/>
        <v>13.5</v>
      </c>
    </row>
    <row r="109" spans="1:10" hidden="1" outlineLevel="2">
      <c r="A109" s="163" t="s">
        <v>352</v>
      </c>
      <c r="B109" s="168" t="str">
        <f t="shared" si="9"/>
        <v>CAPATAZ DE OBRA ESTRUCTURAS</v>
      </c>
      <c r="C109" s="165"/>
      <c r="D109" s="157">
        <v>1</v>
      </c>
      <c r="E109" s="166">
        <v>6.5</v>
      </c>
      <c r="F109" s="324">
        <v>6757.92</v>
      </c>
      <c r="G109" s="313">
        <v>351.41184000000004</v>
      </c>
      <c r="H109" s="322"/>
      <c r="I109" s="319"/>
      <c r="J109" s="22">
        <f t="shared" si="7"/>
        <v>6.5</v>
      </c>
    </row>
    <row r="110" spans="1:10" hidden="1" outlineLevel="2">
      <c r="A110" s="163" t="s">
        <v>353</v>
      </c>
      <c r="B110" s="168" t="str">
        <f t="shared" si="9"/>
        <v>CAPATAZ DE OBRA ARQUITECTURA N°1</v>
      </c>
      <c r="C110" s="165"/>
      <c r="D110" s="157">
        <v>1</v>
      </c>
      <c r="E110" s="166">
        <v>11.5</v>
      </c>
      <c r="F110" s="324">
        <v>6757.92</v>
      </c>
      <c r="G110" s="313">
        <v>621.72864000000004</v>
      </c>
      <c r="H110" s="322"/>
      <c r="I110" s="319"/>
      <c r="J110" s="22">
        <f t="shared" si="7"/>
        <v>11.5</v>
      </c>
    </row>
    <row r="111" spans="1:10" hidden="1" outlineLevel="2">
      <c r="A111" s="163" t="s">
        <v>354</v>
      </c>
      <c r="B111" s="168" t="str">
        <f t="shared" si="9"/>
        <v>JEFE DE ALMACEN</v>
      </c>
      <c r="C111" s="165"/>
      <c r="D111" s="157">
        <v>1</v>
      </c>
      <c r="E111" s="166">
        <v>21.5</v>
      </c>
      <c r="F111" s="324">
        <v>5586</v>
      </c>
      <c r="G111" s="313">
        <v>960.79200000000003</v>
      </c>
      <c r="H111" s="322"/>
      <c r="I111" s="319"/>
      <c r="J111" s="22">
        <f t="shared" si="7"/>
        <v>21.5</v>
      </c>
    </row>
    <row r="112" spans="1:10" hidden="1" outlineLevel="2">
      <c r="A112" s="163" t="s">
        <v>355</v>
      </c>
      <c r="B112" s="168" t="str">
        <f t="shared" si="9"/>
        <v>GUARDIAN DE OBRA Y PORTERIA</v>
      </c>
      <c r="C112" s="165"/>
      <c r="D112" s="157">
        <v>1</v>
      </c>
      <c r="E112" s="166">
        <v>20.5</v>
      </c>
      <c r="F112" s="324">
        <v>6880</v>
      </c>
      <c r="G112" s="313">
        <v>1128.32</v>
      </c>
      <c r="H112" s="322"/>
      <c r="I112" s="319"/>
      <c r="J112" s="22">
        <f t="shared" si="7"/>
        <v>20.5</v>
      </c>
    </row>
    <row r="113" spans="1:10" ht="22.5" hidden="1" outlineLevel="2">
      <c r="A113" s="163" t="s">
        <v>356</v>
      </c>
      <c r="B113" s="34" t="s">
        <v>357</v>
      </c>
      <c r="C113" s="25"/>
      <c r="D113" s="157">
        <v>1</v>
      </c>
      <c r="E113" s="157">
        <v>13.5</v>
      </c>
      <c r="F113" s="325">
        <v>3989.44</v>
      </c>
      <c r="G113" s="313">
        <v>430.85952000000003</v>
      </c>
      <c r="H113" s="322"/>
      <c r="I113" s="319"/>
      <c r="J113" s="22">
        <f t="shared" si="7"/>
        <v>13.5</v>
      </c>
    </row>
    <row r="114" spans="1:10" hidden="1" outlineLevel="2">
      <c r="A114" s="163" t="s">
        <v>358</v>
      </c>
      <c r="B114" s="24" t="s">
        <v>279</v>
      </c>
      <c r="C114" s="25"/>
      <c r="D114" s="157">
        <v>1</v>
      </c>
      <c r="E114" s="157">
        <v>17</v>
      </c>
      <c r="F114" s="325">
        <v>3602.56</v>
      </c>
      <c r="G114" s="313">
        <v>489.94815999999997</v>
      </c>
      <c r="H114" s="322"/>
      <c r="I114" s="319"/>
      <c r="J114" s="22">
        <f t="shared" si="7"/>
        <v>17</v>
      </c>
    </row>
    <row r="115" spans="1:10" hidden="1" outlineLevel="2">
      <c r="A115" s="163" t="s">
        <v>359</v>
      </c>
      <c r="B115" s="24" t="s">
        <v>281</v>
      </c>
      <c r="C115" s="25"/>
      <c r="D115" s="157">
        <v>1</v>
      </c>
      <c r="E115" s="157">
        <v>5</v>
      </c>
      <c r="F115" s="325">
        <v>3602.56</v>
      </c>
      <c r="G115" s="313">
        <v>144.10239999999999</v>
      </c>
      <c r="H115" s="322"/>
      <c r="I115" s="319"/>
      <c r="J115" s="22">
        <f t="shared" si="7"/>
        <v>5</v>
      </c>
    </row>
    <row r="116" spans="1:10" hidden="1" outlineLevel="2">
      <c r="A116" s="163" t="s">
        <v>360</v>
      </c>
      <c r="B116" s="24" t="s">
        <v>257</v>
      </c>
      <c r="C116" s="25"/>
      <c r="D116" s="157">
        <v>1</v>
      </c>
      <c r="E116" s="157">
        <v>11</v>
      </c>
      <c r="F116" s="326">
        <v>11930.06</v>
      </c>
      <c r="G116" s="313">
        <v>1049.84528</v>
      </c>
      <c r="H116" s="322"/>
      <c r="I116" s="319"/>
      <c r="J116" s="22">
        <f t="shared" si="7"/>
        <v>11</v>
      </c>
    </row>
    <row r="117" spans="1:10" hidden="1" outlineLevel="2">
      <c r="A117" s="163" t="s">
        <v>361</v>
      </c>
      <c r="B117" s="24" t="s">
        <v>259</v>
      </c>
      <c r="C117" s="25"/>
      <c r="D117" s="157">
        <v>1</v>
      </c>
      <c r="E117" s="157">
        <v>11</v>
      </c>
      <c r="F117" s="326">
        <v>9256</v>
      </c>
      <c r="G117" s="313">
        <v>814.52799999999991</v>
      </c>
      <c r="H117" s="322"/>
      <c r="I117" s="319"/>
      <c r="J117" s="22">
        <f t="shared" si="7"/>
        <v>11</v>
      </c>
    </row>
    <row r="118" spans="1:10" hidden="1" outlineLevel="2">
      <c r="A118" s="163" t="s">
        <v>362</v>
      </c>
      <c r="B118" s="24" t="s">
        <v>363</v>
      </c>
      <c r="C118" s="25"/>
      <c r="D118" s="157">
        <v>1</v>
      </c>
      <c r="E118" s="157">
        <v>11</v>
      </c>
      <c r="F118" s="326">
        <v>8087.0399999999991</v>
      </c>
      <c r="G118" s="313">
        <v>711.65951999999982</v>
      </c>
      <c r="H118" s="322"/>
      <c r="I118" s="319"/>
      <c r="J118" s="22">
        <f t="shared" si="7"/>
        <v>11</v>
      </c>
    </row>
    <row r="119" spans="1:10" outlineLevel="1">
      <c r="A119" s="163" t="s">
        <v>364</v>
      </c>
      <c r="B119" s="168" t="s">
        <v>365</v>
      </c>
      <c r="C119" s="165" t="s">
        <v>39</v>
      </c>
      <c r="D119" s="157">
        <v>20.5</v>
      </c>
      <c r="E119" s="167">
        <v>60</v>
      </c>
      <c r="F119" s="318">
        <v>56.4</v>
      </c>
      <c r="G119" s="313"/>
      <c r="H119" s="322">
        <f t="shared" ref="H119:H124" si="10">+D119*E119*F119</f>
        <v>69372</v>
      </c>
      <c r="I119" s="319"/>
      <c r="J119" s="22">
        <f>+E119*F119</f>
        <v>3384</v>
      </c>
    </row>
    <row r="120" spans="1:10" outlineLevel="1">
      <c r="A120" s="163" t="s">
        <v>366</v>
      </c>
      <c r="B120" s="168" t="s">
        <v>367</v>
      </c>
      <c r="C120" s="165" t="s">
        <v>39</v>
      </c>
      <c r="D120" s="157">
        <v>20.5</v>
      </c>
      <c r="E120" s="145">
        <v>16.5</v>
      </c>
      <c r="F120" s="318">
        <v>20.299999999999997</v>
      </c>
      <c r="G120" s="313"/>
      <c r="H120" s="322">
        <f t="shared" si="10"/>
        <v>6866.4749999999995</v>
      </c>
      <c r="I120" s="319"/>
      <c r="J120" s="22">
        <f t="shared" ref="J120:J121" si="11">+E120*F120</f>
        <v>334.94999999999993</v>
      </c>
    </row>
    <row r="121" spans="1:10" outlineLevel="1">
      <c r="A121" s="163" t="s">
        <v>368</v>
      </c>
      <c r="B121" s="168" t="s">
        <v>369</v>
      </c>
      <c r="C121" s="165" t="s">
        <v>39</v>
      </c>
      <c r="D121" s="157">
        <v>20.5</v>
      </c>
      <c r="E121" s="167">
        <v>60</v>
      </c>
      <c r="F121" s="318">
        <v>13.629999999999999</v>
      </c>
      <c r="G121" s="313"/>
      <c r="H121" s="322">
        <f t="shared" si="10"/>
        <v>16764.899999999998</v>
      </c>
      <c r="I121" s="319"/>
      <c r="J121" s="22">
        <f t="shared" si="11"/>
        <v>817.8</v>
      </c>
    </row>
    <row r="122" spans="1:10" outlineLevel="1">
      <c r="A122" s="163" t="s">
        <v>370</v>
      </c>
      <c r="B122" s="24" t="s">
        <v>371</v>
      </c>
      <c r="C122" s="25" t="s">
        <v>29</v>
      </c>
      <c r="D122" s="157">
        <v>1</v>
      </c>
      <c r="E122" s="171">
        <v>1</v>
      </c>
      <c r="F122" s="318">
        <v>2126.7640085662943</v>
      </c>
      <c r="G122" s="313"/>
      <c r="H122" s="322">
        <f t="shared" si="10"/>
        <v>2126.7640085662943</v>
      </c>
      <c r="I122" s="313"/>
      <c r="J122" s="22">
        <f t="shared" si="7"/>
        <v>1</v>
      </c>
    </row>
    <row r="123" spans="1:10" outlineLevel="1">
      <c r="A123" s="163" t="s">
        <v>372</v>
      </c>
      <c r="B123" s="24" t="s">
        <v>373</v>
      </c>
      <c r="C123" s="25" t="s">
        <v>29</v>
      </c>
      <c r="D123" s="157">
        <v>1</v>
      </c>
      <c r="E123" s="171">
        <v>1</v>
      </c>
      <c r="F123" s="312">
        <v>72093.695205637094</v>
      </c>
      <c r="G123" s="313"/>
      <c r="H123" s="322">
        <f t="shared" si="10"/>
        <v>72093.695205637094</v>
      </c>
      <c r="I123" s="313"/>
      <c r="J123" s="22">
        <f t="shared" si="7"/>
        <v>1</v>
      </c>
    </row>
    <row r="124" spans="1:10" ht="12" outlineLevel="1" thickBot="1">
      <c r="A124" s="163" t="s">
        <v>374</v>
      </c>
      <c r="B124" s="24" t="s">
        <v>375</v>
      </c>
      <c r="C124" s="25" t="s">
        <v>29</v>
      </c>
      <c r="D124" s="157">
        <v>1</v>
      </c>
      <c r="E124" s="171">
        <v>1</v>
      </c>
      <c r="F124" s="312">
        <v>17000</v>
      </c>
      <c r="G124" s="313"/>
      <c r="H124" s="322">
        <f t="shared" si="10"/>
        <v>17000</v>
      </c>
      <c r="I124" s="313"/>
      <c r="J124" s="22">
        <f t="shared" si="7"/>
        <v>1</v>
      </c>
    </row>
    <row r="125" spans="1:10" ht="12.75" thickTop="1" thickBot="1">
      <c r="A125" s="176"/>
      <c r="B125" s="40"/>
      <c r="C125" s="40"/>
      <c r="D125" s="177"/>
      <c r="E125" s="177"/>
      <c r="F125" s="98" t="s">
        <v>12</v>
      </c>
      <c r="G125" s="228"/>
      <c r="H125" s="181">
        <f>SUM(H14:H124)</f>
        <v>3056751.2605547779</v>
      </c>
      <c r="I125" s="42">
        <f>SUM(I13:I124)</f>
        <v>3056751.2605547779</v>
      </c>
    </row>
    <row r="126" spans="1:10" ht="12" thickTop="1">
      <c r="B126" s="2"/>
      <c r="C126" s="3"/>
      <c r="G126" s="2"/>
      <c r="I126" s="2"/>
    </row>
    <row r="127" spans="1:10">
      <c r="B127" s="31"/>
      <c r="C127" s="32"/>
      <c r="D127" s="172"/>
      <c r="E127" s="173"/>
      <c r="G127" s="2"/>
      <c r="I127" s="6"/>
    </row>
    <row r="128" spans="1:10">
      <c r="B128" s="2"/>
      <c r="C128" s="3"/>
      <c r="G128" s="2"/>
      <c r="I128" s="7"/>
    </row>
    <row r="129" spans="2:9">
      <c r="B129" s="2"/>
      <c r="C129" s="3"/>
      <c r="G129" s="2"/>
      <c r="I129" s="7"/>
    </row>
    <row r="130" spans="2:9">
      <c r="B130" s="2"/>
      <c r="C130" s="3"/>
      <c r="G130" s="2"/>
      <c r="I130" s="7"/>
    </row>
    <row r="131" spans="2:9">
      <c r="B131" s="2"/>
      <c r="C131" s="3"/>
      <c r="G131" s="2"/>
      <c r="I131" s="7"/>
    </row>
    <row r="132" spans="2:9">
      <c r="B132" s="2"/>
      <c r="C132" s="3"/>
      <c r="G132" s="2"/>
      <c r="I132" s="7"/>
    </row>
    <row r="133" spans="2:9">
      <c r="B133" s="2"/>
      <c r="C133" s="3"/>
      <c r="G133" s="2"/>
      <c r="I133" s="7"/>
    </row>
    <row r="134" spans="2:9">
      <c r="B134" s="2"/>
      <c r="C134" s="3"/>
      <c r="G134" s="2"/>
      <c r="I134" s="7"/>
    </row>
    <row r="135" spans="2:9">
      <c r="B135" s="2"/>
      <c r="C135" s="3"/>
      <c r="G135" s="2"/>
      <c r="I135" s="7"/>
    </row>
    <row r="136" spans="2:9">
      <c r="B136" s="2"/>
      <c r="C136" s="3"/>
      <c r="G136" s="2"/>
      <c r="I136" s="7"/>
    </row>
    <row r="137" spans="2:9">
      <c r="B137" s="2"/>
      <c r="C137" s="3"/>
      <c r="G137" s="2"/>
      <c r="I137" s="7"/>
    </row>
  </sheetData>
  <autoFilter ref="A11:WQL125" xr:uid="{00000000-0009-0000-0000-000006000000}"/>
  <mergeCells count="1">
    <mergeCell ref="A2:I2"/>
  </mergeCells>
  <phoneticPr fontId="12" type="noConversion"/>
  <pageMargins left="0.7" right="0.7" top="0.75" bottom="0.75" header="0.3" footer="0.3"/>
  <pageSetup orientation="portrait" r:id="rId1"/>
  <ignoredErrors>
    <ignoredError sqref="I18 H33:I33 H50:H51 H88:I93 B96:B99 H65:H66 B53:B56 B36:B39 I72 H116 H117 H118 H108 H109 H110 H111 H112 H113 H114 H115 H95:I95 I94 H79 H122 H119:H121 I13:I17 H70:H73 H68:I68 H124 H67:I67 H77 I20:I21 B41:B42 B58:B59 B102:B103 A15 A13:A14 A33 A34:A35 H123 H69:I69 H81:H87 H80 H75:H76 H74 I34 I32 I31 H78 I22 I23:I25 B47 B44:B46 B43 B63 B62 B61 B60 B110 B105:B109 B104 B111 B112" unlockedFormula="1"/>
    <ignoredError sqref="A25 A26" formula="1" unlockedFormula="1"/>
    <ignoredError sqref="A36:A39 A48:A56 A47 A44:A46 A43 A41:A42 A63 A62 A61 A60 A58:A59 A64:A91"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CC"/>
    <outlinePr summaryBelow="0" summaryRight="0"/>
  </sheetPr>
  <dimension ref="A1:M296"/>
  <sheetViews>
    <sheetView topLeftCell="A75" zoomScaleNormal="100" workbookViewId="0">
      <selection activeCell="L91" sqref="L91:L93"/>
    </sheetView>
  </sheetViews>
  <sheetFormatPr defaultColWidth="7.85546875" defaultRowHeight="11.25" outlineLevelRow="2" outlineLevelCol="1"/>
  <cols>
    <col min="1" max="1" width="7.5703125" style="4" customWidth="1"/>
    <col min="2" max="2" width="3.28515625" style="4" customWidth="1"/>
    <col min="3" max="3" width="12.42578125" style="59" bestFit="1" customWidth="1"/>
    <col min="4" max="4" width="72.140625" style="60" customWidth="1"/>
    <col min="5" max="5" width="5.28515625" style="10" customWidth="1"/>
    <col min="6" max="6" width="17.5703125" style="10" customWidth="1"/>
    <col min="7" max="7" width="17.140625" style="426" customWidth="1" outlineLevel="1"/>
    <col min="8" max="9" width="17.140625" style="4" customWidth="1" outlineLevel="1"/>
    <col min="10" max="10" width="17.28515625" style="4" customWidth="1" outlineLevel="1"/>
    <col min="11" max="11" width="16.42578125" style="4" customWidth="1" outlineLevel="1"/>
    <col min="12" max="12" width="15.7109375" style="4" customWidth="1" outlineLevel="1"/>
    <col min="13" max="13" width="19.7109375" style="4" customWidth="1" outlineLevel="1"/>
    <col min="14" max="16384" width="7.85546875" style="4"/>
  </cols>
  <sheetData>
    <row r="1" spans="3:13" ht="14.25" customHeight="1">
      <c r="C1" s="35"/>
      <c r="D1" s="58"/>
      <c r="E1" s="3"/>
      <c r="F1" s="3"/>
      <c r="G1" s="425"/>
      <c r="H1" s="2"/>
      <c r="I1" s="2"/>
      <c r="J1" s="2"/>
    </row>
    <row r="2" spans="3:13" ht="14.25" customHeight="1">
      <c r="C2" s="1" t="s">
        <v>376</v>
      </c>
      <c r="D2" s="1"/>
      <c r="E2" s="1"/>
      <c r="F2" s="1"/>
      <c r="G2" s="1"/>
      <c r="H2" s="1"/>
      <c r="I2" s="1"/>
      <c r="J2" s="1"/>
      <c r="K2" s="1"/>
      <c r="L2" s="1"/>
      <c r="M2" s="1"/>
    </row>
    <row r="3" spans="3:13" ht="14.25" customHeight="1">
      <c r="C3" s="35"/>
      <c r="D3" s="58"/>
      <c r="E3" s="3"/>
      <c r="F3" s="3"/>
      <c r="G3" s="425"/>
      <c r="H3" s="2"/>
      <c r="I3" s="2"/>
      <c r="J3" s="2"/>
    </row>
    <row r="4" spans="3:13" ht="14.25" customHeight="1">
      <c r="C4" s="5" t="s">
        <v>0</v>
      </c>
      <c r="D4" s="74" t="e">
        <f>OP!$B$4</f>
        <v>#REF!</v>
      </c>
      <c r="E4" s="3"/>
      <c r="F4" s="3"/>
      <c r="G4" s="425"/>
      <c r="H4" s="2"/>
      <c r="I4" s="2"/>
      <c r="J4" s="2"/>
    </row>
    <row r="5" spans="3:13" ht="14.25" customHeight="1">
      <c r="C5" s="5" t="s">
        <v>14</v>
      </c>
      <c r="D5" s="74" t="str">
        <f>+$C$2</f>
        <v>ESTRUCTURAS SÓTANOS</v>
      </c>
      <c r="E5" s="3"/>
      <c r="F5" s="3"/>
      <c r="G5" s="425"/>
      <c r="H5" s="2"/>
      <c r="I5" s="2"/>
      <c r="J5" s="2"/>
    </row>
    <row r="6" spans="3:13" ht="14.25" customHeight="1">
      <c r="C6" s="5" t="s">
        <v>1</v>
      </c>
      <c r="D6" s="75" t="e">
        <f>OP!$B$6</f>
        <v>#REF!</v>
      </c>
      <c r="E6" s="3"/>
      <c r="F6" s="3"/>
    </row>
    <row r="7" spans="3:13" ht="14.25" customHeight="1">
      <c r="C7" s="5" t="s">
        <v>3</v>
      </c>
      <c r="D7" s="75" t="e">
        <f>OP!$B$7</f>
        <v>#REF!</v>
      </c>
      <c r="E7" s="3"/>
      <c r="F7" s="3"/>
      <c r="G7" s="425"/>
      <c r="H7" s="2"/>
      <c r="I7" s="2"/>
      <c r="J7" s="2"/>
    </row>
    <row r="8" spans="3:13" ht="14.25" customHeight="1">
      <c r="C8" s="2" t="s">
        <v>15</v>
      </c>
      <c r="D8" s="9" t="e">
        <f>#REF!</f>
        <v>#REF!</v>
      </c>
      <c r="E8" s="3"/>
      <c r="F8" s="3"/>
      <c r="G8" s="425"/>
      <c r="H8" s="2"/>
      <c r="I8" s="2"/>
      <c r="J8" s="2"/>
    </row>
    <row r="9" spans="3:13" ht="14.25" customHeight="1" thickBot="1">
      <c r="C9" s="2"/>
      <c r="D9" s="76"/>
      <c r="E9" s="288"/>
      <c r="F9" s="280"/>
      <c r="G9" s="427"/>
      <c r="H9" s="294"/>
      <c r="I9" s="2"/>
      <c r="J9" s="2"/>
    </row>
    <row r="10" spans="3:13" ht="24" thickTop="1" thickBot="1">
      <c r="C10" s="11" t="s">
        <v>5</v>
      </c>
      <c r="D10" s="61" t="s">
        <v>16</v>
      </c>
      <c r="E10" s="12" t="s">
        <v>17</v>
      </c>
      <c r="F10" s="73" t="s">
        <v>377</v>
      </c>
      <c r="G10" s="13" t="s">
        <v>19</v>
      </c>
      <c r="H10" s="13" t="s">
        <v>20</v>
      </c>
      <c r="I10" s="13" t="s">
        <v>378</v>
      </c>
      <c r="J10" s="73" t="s">
        <v>22</v>
      </c>
      <c r="K10" s="73" t="s">
        <v>23</v>
      </c>
      <c r="L10" s="73" t="s">
        <v>24</v>
      </c>
      <c r="M10" s="69" t="s">
        <v>13</v>
      </c>
    </row>
    <row r="11" spans="3:13" ht="12.75" thickTop="1" thickBot="1">
      <c r="C11" s="62" t="s">
        <v>379</v>
      </c>
      <c r="D11" s="77" t="str">
        <f>$C$2</f>
        <v>ESTRUCTURAS SÓTANOS</v>
      </c>
      <c r="E11" s="17"/>
      <c r="F11" s="17"/>
      <c r="G11" s="18"/>
      <c r="H11" s="18"/>
      <c r="I11" s="18"/>
      <c r="J11" s="70"/>
      <c r="K11" s="71"/>
      <c r="L11" s="301"/>
      <c r="M11" s="72"/>
    </row>
    <row r="12" spans="3:13" ht="12" thickTop="1">
      <c r="C12" s="217">
        <f>C11+0.01</f>
        <v>3.01</v>
      </c>
      <c r="D12" s="130" t="s">
        <v>380</v>
      </c>
      <c r="E12" s="78"/>
      <c r="F12" s="78"/>
      <c r="G12" s="79"/>
      <c r="H12" s="79"/>
      <c r="I12" s="79" t="str">
        <f>IFERROR(IF(E12&lt;&gt;0,G12+H12*TC," ")," ")</f>
        <v xml:space="preserve"> </v>
      </c>
      <c r="J12" s="79" t="str">
        <f>IFERROR(IF($F12=0,"",$F12*G12),"")</f>
        <v/>
      </c>
      <c r="K12" s="79" t="str">
        <f>IFERROR(IF($F12=0,"",$F12*H12),"")</f>
        <v/>
      </c>
      <c r="L12" s="79" t="str">
        <f>IFERROR(IF(F12&lt;&gt;0,(F12*I12)," "),0)</f>
        <v xml:space="preserve"> </v>
      </c>
      <c r="M12" s="135" t="e">
        <f>SUM(J12:J17)+SUM(K12:K17)*TC</f>
        <v>#REF!</v>
      </c>
    </row>
    <row r="13" spans="3:13" ht="14.1" customHeight="1" outlineLevel="2">
      <c r="C13" s="369">
        <f>C12+0.0001</f>
        <v>3.0101</v>
      </c>
      <c r="D13" s="89" t="s">
        <v>381</v>
      </c>
      <c r="E13" s="81" t="s">
        <v>29</v>
      </c>
      <c r="F13" s="111">
        <v>1</v>
      </c>
      <c r="G13" s="378">
        <v>6000</v>
      </c>
      <c r="H13" s="82"/>
      <c r="I13" s="213" t="e">
        <f t="shared" ref="I13:I44" si="0">+ROUND(G13+H13*TC,2)</f>
        <v>#REF!</v>
      </c>
      <c r="J13" s="213">
        <f>+ROUND(F13*G13,2)</f>
        <v>6000</v>
      </c>
      <c r="K13" s="201">
        <f>+ROUND(F13*H13,2)</f>
        <v>0</v>
      </c>
      <c r="L13" s="93" t="e">
        <f t="shared" ref="L13:L44" si="1">+ROUND(J13+K13*TC,2)</f>
        <v>#REF!</v>
      </c>
      <c r="M13" s="105"/>
    </row>
    <row r="14" spans="3:13" ht="14.1" customHeight="1" outlineLevel="2">
      <c r="C14" s="369">
        <f>C13+0.0001</f>
        <v>3.0102000000000002</v>
      </c>
      <c r="D14" s="89" t="s">
        <v>382</v>
      </c>
      <c r="E14" s="81" t="s">
        <v>29</v>
      </c>
      <c r="F14" s="111">
        <v>2</v>
      </c>
      <c r="G14" s="378">
        <v>6000</v>
      </c>
      <c r="H14" s="82"/>
      <c r="I14" s="213" t="e">
        <f t="shared" si="0"/>
        <v>#REF!</v>
      </c>
      <c r="J14" s="213">
        <f t="shared" ref="J14:J83" si="2">+ROUND(F14*G14,2)</f>
        <v>12000</v>
      </c>
      <c r="K14" s="201">
        <f t="shared" ref="K14:K83" si="3">+ROUND(F14*H14,2)</f>
        <v>0</v>
      </c>
      <c r="L14" s="93" t="e">
        <f t="shared" si="1"/>
        <v>#REF!</v>
      </c>
      <c r="M14" s="105"/>
    </row>
    <row r="15" spans="3:13" ht="14.1" customHeight="1" outlineLevel="2">
      <c r="C15" s="369">
        <f>C14+0.0001</f>
        <v>3.0103000000000004</v>
      </c>
      <c r="D15" s="89" t="s">
        <v>383</v>
      </c>
      <c r="E15" s="81" t="s">
        <v>29</v>
      </c>
      <c r="F15" s="111">
        <v>1</v>
      </c>
      <c r="G15" s="378">
        <v>11000</v>
      </c>
      <c r="H15" s="82"/>
      <c r="I15" s="213" t="e">
        <f t="shared" si="0"/>
        <v>#REF!</v>
      </c>
      <c r="J15" s="213">
        <f t="shared" si="2"/>
        <v>11000</v>
      </c>
      <c r="K15" s="201">
        <f t="shared" si="3"/>
        <v>0</v>
      </c>
      <c r="L15" s="93" t="e">
        <f t="shared" si="1"/>
        <v>#REF!</v>
      </c>
      <c r="M15" s="105"/>
    </row>
    <row r="16" spans="3:13" ht="14.1" customHeight="1" outlineLevel="2">
      <c r="C16" s="369">
        <f>C15+0.0001</f>
        <v>3.0104000000000006</v>
      </c>
      <c r="D16" s="89" t="s">
        <v>384</v>
      </c>
      <c r="E16" s="81" t="s">
        <v>29</v>
      </c>
      <c r="F16" s="111">
        <v>4</v>
      </c>
      <c r="G16" s="378"/>
      <c r="H16" s="82">
        <v>720</v>
      </c>
      <c r="I16" s="213" t="e">
        <f t="shared" si="0"/>
        <v>#REF!</v>
      </c>
      <c r="J16" s="213">
        <f t="shared" si="2"/>
        <v>0</v>
      </c>
      <c r="K16" s="201">
        <f t="shared" si="3"/>
        <v>2880</v>
      </c>
      <c r="L16" s="93" t="e">
        <f t="shared" si="1"/>
        <v>#REF!</v>
      </c>
      <c r="M16" s="105"/>
    </row>
    <row r="17" spans="3:13" ht="14.1" customHeight="1" outlineLevel="2">
      <c r="C17" s="369">
        <f>C16+0.0001</f>
        <v>3.0105000000000008</v>
      </c>
      <c r="D17" s="89" t="s">
        <v>385</v>
      </c>
      <c r="E17" s="81" t="s">
        <v>73</v>
      </c>
      <c r="F17" s="111">
        <v>13</v>
      </c>
      <c r="G17" s="378">
        <v>340</v>
      </c>
      <c r="H17" s="82"/>
      <c r="I17" s="213" t="e">
        <f t="shared" si="0"/>
        <v>#REF!</v>
      </c>
      <c r="J17" s="213">
        <f t="shared" si="2"/>
        <v>4420</v>
      </c>
      <c r="K17" s="201">
        <f t="shared" si="3"/>
        <v>0</v>
      </c>
      <c r="L17" s="93" t="e">
        <f t="shared" si="1"/>
        <v>#REF!</v>
      </c>
      <c r="M17" s="105"/>
    </row>
    <row r="18" spans="3:13">
      <c r="C18" s="218">
        <f>C12+0.01</f>
        <v>3.0199999999999996</v>
      </c>
      <c r="D18" s="131" t="s">
        <v>386</v>
      </c>
      <c r="E18" s="83"/>
      <c r="F18" s="418"/>
      <c r="G18" s="84"/>
      <c r="H18" s="84"/>
      <c r="I18" s="84"/>
      <c r="J18" s="84"/>
      <c r="K18" s="84"/>
      <c r="L18" s="84"/>
      <c r="M18" s="136" t="e">
        <f>SUM(J18:J44)+SUM(K18:K44)*TC</f>
        <v>#REF!</v>
      </c>
    </row>
    <row r="19" spans="3:13" ht="12.75" customHeight="1" outlineLevel="1">
      <c r="C19" s="140">
        <f>C18+0.0001</f>
        <v>3.0200999999999998</v>
      </c>
      <c r="D19" s="132" t="s">
        <v>387</v>
      </c>
      <c r="E19" s="85"/>
      <c r="F19" s="111"/>
      <c r="G19" s="82"/>
      <c r="H19" s="82"/>
      <c r="I19" s="213"/>
      <c r="J19" s="213"/>
      <c r="K19" s="201"/>
      <c r="L19" s="93"/>
      <c r="M19" s="97"/>
    </row>
    <row r="20" spans="3:13" ht="14.1" customHeight="1" outlineLevel="2">
      <c r="C20" s="142">
        <f t="shared" ref="C20:C25" si="4">C19+0.000001</f>
        <v>3.0201009999999999</v>
      </c>
      <c r="D20" s="89" t="s">
        <v>388</v>
      </c>
      <c r="E20" s="81" t="s">
        <v>163</v>
      </c>
      <c r="F20" s="111">
        <v>2878.06</v>
      </c>
      <c r="G20" s="378">
        <v>23</v>
      </c>
      <c r="H20" s="82"/>
      <c r="I20" s="213" t="e">
        <f t="shared" si="0"/>
        <v>#REF!</v>
      </c>
      <c r="J20" s="213">
        <f t="shared" si="2"/>
        <v>66195.38</v>
      </c>
      <c r="K20" s="201">
        <f t="shared" si="3"/>
        <v>0</v>
      </c>
      <c r="L20" s="93" t="e">
        <f t="shared" si="1"/>
        <v>#REF!</v>
      </c>
      <c r="M20" s="105"/>
    </row>
    <row r="21" spans="3:13" ht="14.1" customHeight="1" outlineLevel="2">
      <c r="C21" s="142">
        <f t="shared" si="4"/>
        <v>3.0201020000000001</v>
      </c>
      <c r="D21" s="89" t="s">
        <v>389</v>
      </c>
      <c r="E21" s="81" t="s">
        <v>163</v>
      </c>
      <c r="F21" s="111">
        <v>2265.37</v>
      </c>
      <c r="G21" s="378">
        <v>24</v>
      </c>
      <c r="H21" s="82"/>
      <c r="I21" s="213" t="e">
        <f t="shared" si="0"/>
        <v>#REF!</v>
      </c>
      <c r="J21" s="213">
        <f t="shared" si="2"/>
        <v>54368.88</v>
      </c>
      <c r="K21" s="201">
        <f t="shared" si="3"/>
        <v>0</v>
      </c>
      <c r="L21" s="93" t="e">
        <f t="shared" si="1"/>
        <v>#REF!</v>
      </c>
      <c r="M21" s="105"/>
    </row>
    <row r="22" spans="3:13" ht="14.1" customHeight="1" outlineLevel="2">
      <c r="C22" s="142">
        <f t="shared" si="4"/>
        <v>3.0201030000000002</v>
      </c>
      <c r="D22" s="89" t="s">
        <v>390</v>
      </c>
      <c r="E22" s="81" t="s">
        <v>163</v>
      </c>
      <c r="F22" s="111">
        <v>2176.69</v>
      </c>
      <c r="G22" s="378">
        <v>25</v>
      </c>
      <c r="H22" s="82"/>
      <c r="I22" s="213" t="e">
        <f t="shared" si="0"/>
        <v>#REF!</v>
      </c>
      <c r="J22" s="213">
        <f t="shared" si="2"/>
        <v>54417.25</v>
      </c>
      <c r="K22" s="201">
        <f t="shared" si="3"/>
        <v>0</v>
      </c>
      <c r="L22" s="93" t="e">
        <f t="shared" si="1"/>
        <v>#REF!</v>
      </c>
      <c r="M22" s="105"/>
    </row>
    <row r="23" spans="3:13" ht="14.1" customHeight="1" outlineLevel="2">
      <c r="C23" s="142">
        <f t="shared" si="4"/>
        <v>3.0201040000000003</v>
      </c>
      <c r="D23" s="89" t="s">
        <v>391</v>
      </c>
      <c r="E23" s="81" t="s">
        <v>163</v>
      </c>
      <c r="F23" s="111">
        <v>2176.69</v>
      </c>
      <c r="G23" s="378">
        <v>26</v>
      </c>
      <c r="H23" s="82"/>
      <c r="I23" s="213" t="e">
        <f t="shared" si="0"/>
        <v>#REF!</v>
      </c>
      <c r="J23" s="213">
        <f t="shared" si="2"/>
        <v>56593.94</v>
      </c>
      <c r="K23" s="201">
        <f t="shared" si="3"/>
        <v>0</v>
      </c>
      <c r="L23" s="93" t="e">
        <f t="shared" si="1"/>
        <v>#REF!</v>
      </c>
      <c r="M23" s="105"/>
    </row>
    <row r="24" spans="3:13" ht="14.1" customHeight="1" outlineLevel="2">
      <c r="C24" s="142">
        <f t="shared" si="4"/>
        <v>3.0201050000000005</v>
      </c>
      <c r="D24" s="89" t="s">
        <v>392</v>
      </c>
      <c r="E24" s="81" t="s">
        <v>163</v>
      </c>
      <c r="F24" s="111">
        <v>2176.69</v>
      </c>
      <c r="G24" s="378">
        <v>27</v>
      </c>
      <c r="H24" s="82"/>
      <c r="I24" s="213" t="e">
        <f t="shared" si="0"/>
        <v>#REF!</v>
      </c>
      <c r="J24" s="213">
        <f t="shared" si="2"/>
        <v>58770.63</v>
      </c>
      <c r="K24" s="201">
        <f t="shared" si="3"/>
        <v>0</v>
      </c>
      <c r="L24" s="93" t="e">
        <f t="shared" si="1"/>
        <v>#REF!</v>
      </c>
      <c r="M24" s="105"/>
    </row>
    <row r="25" spans="3:13" ht="14.1" customHeight="1" outlineLevel="2">
      <c r="C25" s="142">
        <f t="shared" si="4"/>
        <v>3.0201060000000006</v>
      </c>
      <c r="D25" s="89" t="s">
        <v>393</v>
      </c>
      <c r="E25" s="81" t="s">
        <v>163</v>
      </c>
      <c r="F25" s="111">
        <v>1918.76</v>
      </c>
      <c r="G25" s="378">
        <v>40</v>
      </c>
      <c r="H25" s="82"/>
      <c r="I25" s="213" t="e">
        <f t="shared" ref="I25" si="5">+ROUND(G25+H25*TC,2)</f>
        <v>#REF!</v>
      </c>
      <c r="J25" s="213">
        <f t="shared" ref="J25" si="6">+ROUND(F25*G25,2)</f>
        <v>76750.399999999994</v>
      </c>
      <c r="K25" s="201">
        <f t="shared" ref="K25" si="7">+ROUND(F25*H25,2)</f>
        <v>0</v>
      </c>
      <c r="L25" s="93" t="e">
        <f t="shared" ref="L25" si="8">+ROUND(J25+K25*TC,2)</f>
        <v>#REF!</v>
      </c>
      <c r="M25" s="105"/>
    </row>
    <row r="26" spans="3:13" ht="12.75" customHeight="1" outlineLevel="1">
      <c r="C26" s="140">
        <f>C19+0.0001</f>
        <v>3.0202</v>
      </c>
      <c r="D26" s="132" t="s">
        <v>394</v>
      </c>
      <c r="E26" s="85"/>
      <c r="F26" s="111"/>
      <c r="G26" s="82"/>
      <c r="H26" s="82"/>
      <c r="I26" s="213"/>
      <c r="J26" s="213"/>
      <c r="K26" s="201"/>
      <c r="L26" s="93"/>
      <c r="M26" s="97"/>
    </row>
    <row r="27" spans="3:13" ht="14.1" customHeight="1" outlineLevel="2">
      <c r="C27" s="142">
        <f>C26+0.000001</f>
        <v>3.0202010000000001</v>
      </c>
      <c r="D27" s="89" t="s">
        <v>395</v>
      </c>
      <c r="E27" s="81" t="s">
        <v>163</v>
      </c>
      <c r="F27" s="111">
        <v>783.45</v>
      </c>
      <c r="G27" s="378">
        <v>40</v>
      </c>
      <c r="H27" s="82"/>
      <c r="I27" s="213" t="e">
        <f t="shared" si="0"/>
        <v>#REF!</v>
      </c>
      <c r="J27" s="213">
        <f t="shared" si="2"/>
        <v>31338</v>
      </c>
      <c r="K27" s="201">
        <f t="shared" si="3"/>
        <v>0</v>
      </c>
      <c r="L27" s="93" t="e">
        <f t="shared" si="1"/>
        <v>#REF!</v>
      </c>
      <c r="M27" s="105"/>
    </row>
    <row r="28" spans="3:13" ht="14.1" customHeight="1" outlineLevel="2">
      <c r="C28" s="142">
        <f>C27+0.000001</f>
        <v>3.0202020000000003</v>
      </c>
      <c r="D28" s="89" t="s">
        <v>396</v>
      </c>
      <c r="E28" s="81" t="s">
        <v>163</v>
      </c>
      <c r="F28" s="111">
        <v>993.48</v>
      </c>
      <c r="G28" s="378">
        <v>40</v>
      </c>
      <c r="H28" s="82"/>
      <c r="I28" s="213" t="e">
        <f t="shared" si="0"/>
        <v>#REF!</v>
      </c>
      <c r="J28" s="213">
        <f t="shared" si="2"/>
        <v>39739.199999999997</v>
      </c>
      <c r="K28" s="201">
        <f t="shared" si="3"/>
        <v>0</v>
      </c>
      <c r="L28" s="93" t="e">
        <f t="shared" si="1"/>
        <v>#REF!</v>
      </c>
      <c r="M28" s="105"/>
    </row>
    <row r="29" spans="3:13" ht="14.1" customHeight="1" outlineLevel="2">
      <c r="C29" s="142">
        <f t="shared" ref="C29:C32" si="9">C28+0.000001</f>
        <v>3.0202030000000004</v>
      </c>
      <c r="D29" s="89" t="s">
        <v>397</v>
      </c>
      <c r="E29" s="81" t="s">
        <v>163</v>
      </c>
      <c r="F29" s="111">
        <v>7.56</v>
      </c>
      <c r="G29" s="82">
        <v>38.75</v>
      </c>
      <c r="H29" s="82"/>
      <c r="I29" s="213" t="e">
        <f t="shared" ref="I29:I32" si="10">+ROUND(G29+H29*TC,2)</f>
        <v>#REF!</v>
      </c>
      <c r="J29" s="213">
        <f t="shared" ref="J29:J32" si="11">+ROUND(F29*G29,2)</f>
        <v>292.95</v>
      </c>
      <c r="K29" s="201">
        <f t="shared" ref="K29:K32" si="12">+ROUND(F29*H29,2)</f>
        <v>0</v>
      </c>
      <c r="L29" s="93" t="e">
        <f t="shared" ref="L29:L32" si="13">+ROUND(J29+K29*TC,2)</f>
        <v>#REF!</v>
      </c>
      <c r="M29" s="105"/>
    </row>
    <row r="30" spans="3:13" ht="14.1" customHeight="1" outlineLevel="2">
      <c r="C30" s="142">
        <f t="shared" si="9"/>
        <v>3.0202040000000006</v>
      </c>
      <c r="D30" s="89" t="s">
        <v>398</v>
      </c>
      <c r="E30" s="81" t="s">
        <v>163</v>
      </c>
      <c r="F30" s="111">
        <v>13.36</v>
      </c>
      <c r="G30" s="378">
        <v>38.75</v>
      </c>
      <c r="H30" s="82"/>
      <c r="I30" s="213" t="e">
        <f t="shared" si="10"/>
        <v>#REF!</v>
      </c>
      <c r="J30" s="213">
        <f t="shared" si="11"/>
        <v>517.70000000000005</v>
      </c>
      <c r="K30" s="201">
        <f t="shared" si="12"/>
        <v>0</v>
      </c>
      <c r="L30" s="93" t="e">
        <f t="shared" si="13"/>
        <v>#REF!</v>
      </c>
      <c r="M30" s="105"/>
    </row>
    <row r="31" spans="3:13" ht="14.1" customHeight="1" outlineLevel="2">
      <c r="C31" s="142">
        <f t="shared" si="9"/>
        <v>3.0202050000000007</v>
      </c>
      <c r="D31" s="89" t="s">
        <v>399</v>
      </c>
      <c r="E31" s="81" t="s">
        <v>163</v>
      </c>
      <c r="F31" s="111">
        <v>6.62</v>
      </c>
      <c r="G31" s="378">
        <v>38.75</v>
      </c>
      <c r="H31" s="82"/>
      <c r="I31" s="213" t="e">
        <f t="shared" si="10"/>
        <v>#REF!</v>
      </c>
      <c r="J31" s="213">
        <f t="shared" si="11"/>
        <v>256.52999999999997</v>
      </c>
      <c r="K31" s="201">
        <f t="shared" si="12"/>
        <v>0</v>
      </c>
      <c r="L31" s="93" t="e">
        <f t="shared" si="13"/>
        <v>#REF!</v>
      </c>
      <c r="M31" s="105"/>
    </row>
    <row r="32" spans="3:13" ht="14.1" customHeight="1" outlineLevel="2">
      <c r="C32" s="142">
        <f t="shared" si="9"/>
        <v>3.0202060000000008</v>
      </c>
      <c r="D32" s="57" t="s">
        <v>400</v>
      </c>
      <c r="E32" s="81" t="s">
        <v>163</v>
      </c>
      <c r="F32" s="111">
        <v>35.799999999999997</v>
      </c>
      <c r="G32" s="378">
        <v>38.08</v>
      </c>
      <c r="H32" s="82"/>
      <c r="I32" s="213" t="e">
        <f t="shared" si="10"/>
        <v>#REF!</v>
      </c>
      <c r="J32" s="213">
        <f t="shared" si="11"/>
        <v>1363.26</v>
      </c>
      <c r="K32" s="201">
        <f t="shared" si="12"/>
        <v>0</v>
      </c>
      <c r="L32" s="93" t="e">
        <f t="shared" si="13"/>
        <v>#REF!</v>
      </c>
      <c r="M32" s="105"/>
    </row>
    <row r="33" spans="2:13" ht="14.25" customHeight="1" outlineLevel="1">
      <c r="C33" s="140">
        <f>C26+0.0001</f>
        <v>3.0203000000000002</v>
      </c>
      <c r="D33" s="132" t="s">
        <v>401</v>
      </c>
      <c r="E33" s="85"/>
      <c r="F33" s="111"/>
      <c r="G33" s="82"/>
      <c r="H33" s="82"/>
      <c r="I33" s="213"/>
      <c r="J33" s="213"/>
      <c r="K33" s="201"/>
      <c r="L33" s="93"/>
      <c r="M33" s="105"/>
    </row>
    <row r="34" spans="2:13" ht="14.1" customHeight="1" outlineLevel="2">
      <c r="C34" s="142">
        <f>C33+0.000001</f>
        <v>3.0203010000000003</v>
      </c>
      <c r="D34" s="89" t="s">
        <v>402</v>
      </c>
      <c r="E34" s="81" t="s">
        <v>46</v>
      </c>
      <c r="F34" s="111">
        <v>0</v>
      </c>
      <c r="G34" s="378">
        <v>80</v>
      </c>
      <c r="H34" s="82"/>
      <c r="I34" s="213" t="e">
        <f t="shared" si="0"/>
        <v>#REF!</v>
      </c>
      <c r="J34" s="213">
        <f t="shared" si="2"/>
        <v>0</v>
      </c>
      <c r="K34" s="201">
        <f t="shared" si="3"/>
        <v>0</v>
      </c>
      <c r="L34" s="93" t="e">
        <f t="shared" si="1"/>
        <v>#REF!</v>
      </c>
      <c r="M34" s="105"/>
    </row>
    <row r="35" spans="2:13" ht="14.1" customHeight="1" outlineLevel="2">
      <c r="C35" s="142">
        <f>C34+0.000001</f>
        <v>3.0203020000000005</v>
      </c>
      <c r="D35" s="89" t="s">
        <v>403</v>
      </c>
      <c r="E35" s="81" t="s">
        <v>163</v>
      </c>
      <c r="F35" s="111">
        <v>0</v>
      </c>
      <c r="G35" s="378">
        <v>35</v>
      </c>
      <c r="H35" s="82"/>
      <c r="I35" s="213" t="e">
        <f t="shared" si="0"/>
        <v>#REF!</v>
      </c>
      <c r="J35" s="213">
        <f t="shared" si="2"/>
        <v>0</v>
      </c>
      <c r="K35" s="201">
        <f t="shared" si="3"/>
        <v>0</v>
      </c>
      <c r="L35" s="93" t="e">
        <f t="shared" si="1"/>
        <v>#REF!</v>
      </c>
      <c r="M35" s="105"/>
    </row>
    <row r="36" spans="2:13" ht="12.75" customHeight="1" outlineLevel="1">
      <c r="C36" s="140">
        <f>C33+0.0001</f>
        <v>3.0204000000000004</v>
      </c>
      <c r="D36" s="132" t="s">
        <v>404</v>
      </c>
      <c r="E36" s="85"/>
      <c r="F36" s="111"/>
      <c r="G36" s="82"/>
      <c r="H36" s="82"/>
      <c r="I36" s="213"/>
      <c r="J36" s="213"/>
      <c r="K36" s="201"/>
      <c r="L36" s="93"/>
      <c r="M36" s="105"/>
    </row>
    <row r="37" spans="2:13" ht="14.1" customHeight="1" outlineLevel="2">
      <c r="C37" s="142">
        <f>C36+0.000001</f>
        <v>3.0204010000000006</v>
      </c>
      <c r="D37" s="89" t="s">
        <v>405</v>
      </c>
      <c r="E37" s="81" t="s">
        <v>163</v>
      </c>
      <c r="F37" s="111">
        <v>144.49</v>
      </c>
      <c r="G37" s="378">
        <v>52</v>
      </c>
      <c r="H37" s="82"/>
      <c r="I37" s="213" t="e">
        <f t="shared" si="0"/>
        <v>#REF!</v>
      </c>
      <c r="J37" s="213">
        <f t="shared" si="2"/>
        <v>7513.48</v>
      </c>
      <c r="K37" s="201">
        <f t="shared" si="3"/>
        <v>0</v>
      </c>
      <c r="L37" s="93" t="e">
        <f t="shared" si="1"/>
        <v>#REF!</v>
      </c>
      <c r="M37" s="105"/>
    </row>
    <row r="38" spans="2:13" ht="14.1" customHeight="1" outlineLevel="2">
      <c r="C38" s="142">
        <f>C37+0.000001</f>
        <v>3.0204020000000007</v>
      </c>
      <c r="D38" s="89" t="s">
        <v>406</v>
      </c>
      <c r="E38" s="81" t="s">
        <v>163</v>
      </c>
      <c r="F38" s="111">
        <v>13.25</v>
      </c>
      <c r="G38" s="378">
        <v>52</v>
      </c>
      <c r="H38" s="82"/>
      <c r="I38" s="213" t="e">
        <f t="shared" si="0"/>
        <v>#REF!</v>
      </c>
      <c r="J38" s="213">
        <f t="shared" si="2"/>
        <v>689</v>
      </c>
      <c r="K38" s="201">
        <f t="shared" si="3"/>
        <v>0</v>
      </c>
      <c r="L38" s="93" t="e">
        <f t="shared" si="1"/>
        <v>#REF!</v>
      </c>
      <c r="M38" s="105"/>
    </row>
    <row r="39" spans="2:13" ht="12" customHeight="1" outlineLevel="1">
      <c r="C39" s="140">
        <f>C36+0.0001</f>
        <v>3.0205000000000006</v>
      </c>
      <c r="D39" s="132" t="s">
        <v>407</v>
      </c>
      <c r="E39" s="85"/>
      <c r="F39" s="111"/>
      <c r="G39" s="82"/>
      <c r="H39" s="82"/>
      <c r="I39" s="213" t="e">
        <f t="shared" si="0"/>
        <v>#REF!</v>
      </c>
      <c r="J39" s="213">
        <f t="shared" si="2"/>
        <v>0</v>
      </c>
      <c r="K39" s="201">
        <f t="shared" si="3"/>
        <v>0</v>
      </c>
      <c r="L39" s="93" t="e">
        <f t="shared" si="1"/>
        <v>#REF!</v>
      </c>
      <c r="M39" s="97"/>
    </row>
    <row r="40" spans="2:13" ht="14.1" customHeight="1" outlineLevel="2">
      <c r="C40" s="142">
        <f>C39+0.000001</f>
        <v>3.0205010000000008</v>
      </c>
      <c r="D40" s="89" t="s">
        <v>408</v>
      </c>
      <c r="E40" s="81" t="s">
        <v>169</v>
      </c>
      <c r="F40" s="111">
        <v>698.47</v>
      </c>
      <c r="G40" s="378">
        <v>6.39</v>
      </c>
      <c r="H40" s="82"/>
      <c r="I40" s="213" t="e">
        <f t="shared" si="0"/>
        <v>#REF!</v>
      </c>
      <c r="J40" s="213">
        <f t="shared" si="2"/>
        <v>4463.22</v>
      </c>
      <c r="K40" s="201">
        <f t="shared" si="3"/>
        <v>0</v>
      </c>
      <c r="L40" s="93" t="e">
        <f t="shared" si="1"/>
        <v>#REF!</v>
      </c>
      <c r="M40" s="105"/>
    </row>
    <row r="41" spans="2:13" ht="14.1" customHeight="1" outlineLevel="2">
      <c r="C41" s="142">
        <f>C40+0.000001</f>
        <v>3.0205020000000009</v>
      </c>
      <c r="D41" s="89" t="s">
        <v>409</v>
      </c>
      <c r="E41" s="81" t="s">
        <v>169</v>
      </c>
      <c r="F41" s="111">
        <v>698.47</v>
      </c>
      <c r="G41" s="378">
        <v>38.21</v>
      </c>
      <c r="H41" s="82"/>
      <c r="I41" s="213" t="e">
        <f t="shared" si="0"/>
        <v>#REF!</v>
      </c>
      <c r="J41" s="213">
        <f t="shared" si="2"/>
        <v>26688.54</v>
      </c>
      <c r="K41" s="201">
        <f t="shared" si="3"/>
        <v>0</v>
      </c>
      <c r="L41" s="93" t="e">
        <f t="shared" si="1"/>
        <v>#REF!</v>
      </c>
      <c r="M41" s="105"/>
    </row>
    <row r="42" spans="2:13" ht="13.5" customHeight="1" outlineLevel="1">
      <c r="C42" s="140">
        <f>C39+0.0001</f>
        <v>3.0206000000000008</v>
      </c>
      <c r="D42" s="132" t="s">
        <v>195</v>
      </c>
      <c r="E42" s="85"/>
      <c r="F42" s="111"/>
      <c r="G42" s="82"/>
      <c r="H42" s="82"/>
      <c r="I42" s="213" t="e">
        <f t="shared" si="0"/>
        <v>#REF!</v>
      </c>
      <c r="J42" s="213">
        <f t="shared" si="2"/>
        <v>0</v>
      </c>
      <c r="K42" s="201">
        <f t="shared" si="3"/>
        <v>0</v>
      </c>
      <c r="L42" s="93" t="e">
        <f t="shared" si="1"/>
        <v>#REF!</v>
      </c>
      <c r="M42" s="97"/>
    </row>
    <row r="43" spans="2:13" ht="14.1" customHeight="1" outlineLevel="2">
      <c r="C43" s="142">
        <f>C42+0.000001</f>
        <v>3.020601000000001</v>
      </c>
      <c r="D43" s="89" t="s">
        <v>410</v>
      </c>
      <c r="E43" s="81" t="s">
        <v>70</v>
      </c>
      <c r="F43" s="111">
        <v>550</v>
      </c>
      <c r="G43" s="378">
        <v>250</v>
      </c>
      <c r="H43" s="82"/>
      <c r="I43" s="213" t="e">
        <f t="shared" si="0"/>
        <v>#REF!</v>
      </c>
      <c r="J43" s="213">
        <f t="shared" si="2"/>
        <v>137500</v>
      </c>
      <c r="K43" s="201">
        <f t="shared" si="3"/>
        <v>0</v>
      </c>
      <c r="L43" s="93" t="e">
        <f t="shared" si="1"/>
        <v>#REF!</v>
      </c>
      <c r="M43" s="105"/>
    </row>
    <row r="44" spans="2:13" ht="14.1" customHeight="1" outlineLevel="2">
      <c r="C44" s="142">
        <f>C43+0.000001</f>
        <v>3.0206020000000011</v>
      </c>
      <c r="D44" s="89" t="s">
        <v>411</v>
      </c>
      <c r="E44" s="81" t="s">
        <v>39</v>
      </c>
      <c r="F44" s="111">
        <v>5.5</v>
      </c>
      <c r="G44" s="378">
        <v>3837.6</v>
      </c>
      <c r="H44" s="82"/>
      <c r="I44" s="213" t="e">
        <f t="shared" si="0"/>
        <v>#REF!</v>
      </c>
      <c r="J44" s="213">
        <f t="shared" si="2"/>
        <v>21106.799999999999</v>
      </c>
      <c r="K44" s="201">
        <f t="shared" si="3"/>
        <v>0</v>
      </c>
      <c r="L44" s="93" t="e">
        <f t="shared" si="1"/>
        <v>#REF!</v>
      </c>
      <c r="M44" s="105"/>
    </row>
    <row r="45" spans="2:13">
      <c r="C45" s="218">
        <f>C18+0.01</f>
        <v>3.0299999999999994</v>
      </c>
      <c r="D45" s="131" t="s">
        <v>412</v>
      </c>
      <c r="E45" s="83"/>
      <c r="F45" s="419"/>
      <c r="G45" s="84"/>
      <c r="H45" s="84"/>
      <c r="I45" s="213"/>
      <c r="J45" s="213"/>
      <c r="K45" s="201"/>
      <c r="L45" s="93"/>
      <c r="M45" s="136" t="e">
        <f>SUM(J45:J50)+SUM(K45:K50)*TC</f>
        <v>#REF!</v>
      </c>
    </row>
    <row r="46" spans="2:13" ht="14.1" customHeight="1" outlineLevel="1">
      <c r="C46" s="140">
        <f>C45+0.0001</f>
        <v>3.0300999999999996</v>
      </c>
      <c r="D46" s="132" t="s">
        <v>413</v>
      </c>
      <c r="E46" s="85"/>
      <c r="F46" s="111"/>
      <c r="G46" s="82"/>
      <c r="H46" s="82"/>
      <c r="I46" s="213"/>
      <c r="J46" s="213"/>
      <c r="K46" s="201"/>
      <c r="L46" s="93"/>
      <c r="M46" s="97"/>
    </row>
    <row r="47" spans="2:13" ht="14.1" customHeight="1" outlineLevel="2">
      <c r="B47" s="4" t="s">
        <v>414</v>
      </c>
      <c r="C47" s="142">
        <f>C46+0.000001</f>
        <v>3.0301009999999997</v>
      </c>
      <c r="D47" s="89" t="s">
        <v>415</v>
      </c>
      <c r="E47" s="81" t="s">
        <v>169</v>
      </c>
      <c r="F47" s="111">
        <v>567.07000000000005</v>
      </c>
      <c r="G47" s="82">
        <v>28.79</v>
      </c>
      <c r="H47" s="82"/>
      <c r="I47" s="213" t="e">
        <f>+ROUND(G47+H47*TC,2)</f>
        <v>#REF!</v>
      </c>
      <c r="J47" s="213">
        <f t="shared" si="2"/>
        <v>16325.95</v>
      </c>
      <c r="K47" s="201">
        <f t="shared" si="3"/>
        <v>0</v>
      </c>
      <c r="L47" s="93" t="e">
        <f>+ROUND(J47+K47*TC,2)</f>
        <v>#REF!</v>
      </c>
      <c r="M47" s="105"/>
    </row>
    <row r="48" spans="2:13" ht="14.1" customHeight="1" outlineLevel="1">
      <c r="C48" s="140">
        <f>C46+0.0001</f>
        <v>3.0301999999999998</v>
      </c>
      <c r="D48" s="132" t="s">
        <v>416</v>
      </c>
      <c r="E48" s="85"/>
      <c r="F48" s="111"/>
      <c r="G48" s="82"/>
      <c r="H48" s="82"/>
      <c r="I48" s="213"/>
      <c r="J48" s="213"/>
      <c r="K48" s="201"/>
      <c r="L48" s="93"/>
      <c r="M48" s="97"/>
    </row>
    <row r="49" spans="1:13" ht="14.1" customHeight="1" outlineLevel="2">
      <c r="B49" s="4" t="s">
        <v>417</v>
      </c>
      <c r="C49" s="142">
        <f>C48+0.000001</f>
        <v>3.0302009999999999</v>
      </c>
      <c r="D49" s="89" t="s">
        <v>418</v>
      </c>
      <c r="E49" s="81" t="s">
        <v>163</v>
      </c>
      <c r="F49" s="111">
        <v>22.2</v>
      </c>
      <c r="G49" s="82">
        <v>298.43</v>
      </c>
      <c r="H49" s="82"/>
      <c r="I49" s="213" t="e">
        <f>+ROUND(G49+H49*TC,2)</f>
        <v>#REF!</v>
      </c>
      <c r="J49" s="213">
        <f t="shared" si="2"/>
        <v>6625.15</v>
      </c>
      <c r="K49" s="201">
        <f t="shared" si="3"/>
        <v>0</v>
      </c>
      <c r="L49" s="93" t="e">
        <f>+ROUND(J49+K49*TC,2)</f>
        <v>#REF!</v>
      </c>
      <c r="M49" s="97"/>
    </row>
    <row r="50" spans="1:13" ht="14.1" customHeight="1" outlineLevel="2">
      <c r="A50" s="4" t="s">
        <v>419</v>
      </c>
      <c r="C50" s="142">
        <f>C49+0.000001</f>
        <v>3.0302020000000001</v>
      </c>
      <c r="D50" s="89" t="s">
        <v>420</v>
      </c>
      <c r="E50" s="81" t="s">
        <v>169</v>
      </c>
      <c r="F50" s="111">
        <v>25.48</v>
      </c>
      <c r="G50" s="82">
        <v>43</v>
      </c>
      <c r="H50" s="82"/>
      <c r="I50" s="213" t="e">
        <f>+ROUND(G50+H50*TC,2)</f>
        <v>#REF!</v>
      </c>
      <c r="J50" s="213">
        <f t="shared" si="2"/>
        <v>1095.6400000000001</v>
      </c>
      <c r="K50" s="201">
        <f t="shared" si="3"/>
        <v>0</v>
      </c>
      <c r="L50" s="93" t="e">
        <f>+ROUND(J50+K50*TC,2)</f>
        <v>#REF!</v>
      </c>
      <c r="M50" s="105"/>
    </row>
    <row r="51" spans="1:13">
      <c r="C51" s="218">
        <f>C45+0.01</f>
        <v>3.0399999999999991</v>
      </c>
      <c r="D51" s="131" t="s">
        <v>421</v>
      </c>
      <c r="E51" s="83"/>
      <c r="F51" s="420"/>
      <c r="G51" s="84"/>
      <c r="H51" s="84"/>
      <c r="I51" s="213"/>
      <c r="J51" s="213"/>
      <c r="K51" s="201"/>
      <c r="L51" s="93"/>
      <c r="M51" s="136" t="e">
        <f>SUM(J51:J273)+SUM(K51:K273)*TC</f>
        <v>#REF!</v>
      </c>
    </row>
    <row r="52" spans="1:13" ht="14.1" customHeight="1" outlineLevel="1">
      <c r="C52" s="140">
        <f>C51+0.0001</f>
        <v>3.0400999999999994</v>
      </c>
      <c r="D52" s="132" t="s">
        <v>422</v>
      </c>
      <c r="E52" s="85"/>
      <c r="F52" s="111"/>
      <c r="G52" s="82"/>
      <c r="H52" s="82"/>
      <c r="I52" s="213"/>
      <c r="J52" s="213"/>
      <c r="K52" s="201"/>
      <c r="L52" s="93"/>
      <c r="M52" s="97"/>
    </row>
    <row r="53" spans="1:13" ht="23.25" customHeight="1" outlineLevel="2">
      <c r="A53" s="4" t="s">
        <v>423</v>
      </c>
      <c r="B53" s="4" t="s">
        <v>424</v>
      </c>
      <c r="C53" s="142">
        <f t="shared" ref="C53:C58" si="14">C52+0.000001</f>
        <v>3.0401009999999995</v>
      </c>
      <c r="D53" s="89" t="s">
        <v>425</v>
      </c>
      <c r="E53" s="81" t="s">
        <v>163</v>
      </c>
      <c r="F53" s="111">
        <v>0</v>
      </c>
      <c r="G53" s="82">
        <v>471.04</v>
      </c>
      <c r="H53" s="82"/>
      <c r="I53" s="213" t="e">
        <f t="shared" ref="I53:I58" si="15">+ROUND(G53+H53*TC,2)</f>
        <v>#REF!</v>
      </c>
      <c r="J53" s="213">
        <f t="shared" si="2"/>
        <v>0</v>
      </c>
      <c r="K53" s="201">
        <f t="shared" si="3"/>
        <v>0</v>
      </c>
      <c r="L53" s="93" t="e">
        <f t="shared" ref="L53:L58" si="16">+ROUND(J53+K53*TC,2)</f>
        <v>#REF!</v>
      </c>
      <c r="M53" s="97"/>
    </row>
    <row r="54" spans="1:13" ht="23.25" customHeight="1" outlineLevel="2">
      <c r="A54" s="4" t="s">
        <v>423</v>
      </c>
      <c r="B54" s="4" t="s">
        <v>424</v>
      </c>
      <c r="C54" s="142">
        <f t="shared" si="14"/>
        <v>3.0401019999999996</v>
      </c>
      <c r="D54" s="89" t="s">
        <v>426</v>
      </c>
      <c r="E54" s="81" t="s">
        <v>163</v>
      </c>
      <c r="F54" s="111">
        <v>256.95999999999998</v>
      </c>
      <c r="G54" s="82">
        <v>508.15</v>
      </c>
      <c r="H54" s="82"/>
      <c r="I54" s="213" t="e">
        <f t="shared" si="15"/>
        <v>#REF!</v>
      </c>
      <c r="J54" s="213">
        <f t="shared" si="2"/>
        <v>130574.22</v>
      </c>
      <c r="K54" s="201">
        <f t="shared" si="3"/>
        <v>0</v>
      </c>
      <c r="L54" s="93" t="e">
        <f t="shared" si="16"/>
        <v>#REF!</v>
      </c>
      <c r="M54" s="97"/>
    </row>
    <row r="55" spans="1:13" ht="14.1" customHeight="1" outlineLevel="2">
      <c r="A55" s="4" t="s">
        <v>419</v>
      </c>
      <c r="B55" s="4" t="s">
        <v>427</v>
      </c>
      <c r="C55" s="142">
        <f t="shared" si="14"/>
        <v>3.0401029999999998</v>
      </c>
      <c r="D55" s="89" t="s">
        <v>428</v>
      </c>
      <c r="E55" s="81" t="s">
        <v>169</v>
      </c>
      <c r="F55" s="111">
        <v>160.69999999999999</v>
      </c>
      <c r="G55" s="82">
        <v>45</v>
      </c>
      <c r="H55" s="82"/>
      <c r="I55" s="213" t="e">
        <f t="shared" si="15"/>
        <v>#REF!</v>
      </c>
      <c r="J55" s="213">
        <f t="shared" si="2"/>
        <v>7231.5</v>
      </c>
      <c r="K55" s="201">
        <f t="shared" si="3"/>
        <v>0</v>
      </c>
      <c r="L55" s="93" t="e">
        <f t="shared" si="16"/>
        <v>#REF!</v>
      </c>
      <c r="M55" s="97"/>
    </row>
    <row r="56" spans="1:13" ht="14.1" customHeight="1" outlineLevel="2">
      <c r="A56" s="4" t="s">
        <v>429</v>
      </c>
      <c r="B56" s="4" t="s">
        <v>427</v>
      </c>
      <c r="C56" s="142">
        <f t="shared" si="14"/>
        <v>3.0401039999999999</v>
      </c>
      <c r="D56" s="89" t="s">
        <v>430</v>
      </c>
      <c r="E56" s="81" t="s">
        <v>185</v>
      </c>
      <c r="F56" s="111">
        <v>17691.96</v>
      </c>
      <c r="G56" s="82">
        <v>1.19</v>
      </c>
      <c r="H56" s="82">
        <v>0.91</v>
      </c>
      <c r="I56" s="213" t="e">
        <f t="shared" si="15"/>
        <v>#REF!</v>
      </c>
      <c r="J56" s="213">
        <f t="shared" si="2"/>
        <v>21053.43</v>
      </c>
      <c r="K56" s="201">
        <f t="shared" si="3"/>
        <v>16099.68</v>
      </c>
      <c r="L56" s="93" t="e">
        <f t="shared" si="16"/>
        <v>#REF!</v>
      </c>
      <c r="M56" s="97"/>
    </row>
    <row r="57" spans="1:13" ht="14.1" customHeight="1" outlineLevel="2">
      <c r="C57" s="142">
        <f t="shared" si="14"/>
        <v>3.0401050000000001</v>
      </c>
      <c r="D57" s="89" t="s">
        <v>431</v>
      </c>
      <c r="E57" s="81" t="s">
        <v>169</v>
      </c>
      <c r="F57" s="111">
        <v>160.69999999999999</v>
      </c>
      <c r="G57" s="82">
        <v>1.44</v>
      </c>
      <c r="H57" s="82"/>
      <c r="I57" s="213" t="e">
        <f t="shared" si="15"/>
        <v>#REF!</v>
      </c>
      <c r="J57" s="213">
        <f t="shared" si="2"/>
        <v>231.41</v>
      </c>
      <c r="K57" s="201">
        <f t="shared" si="3"/>
        <v>0</v>
      </c>
      <c r="L57" s="93" t="e">
        <f t="shared" si="16"/>
        <v>#REF!</v>
      </c>
      <c r="M57" s="97"/>
    </row>
    <row r="58" spans="1:13" ht="14.1" customHeight="1" outlineLevel="2">
      <c r="C58" s="142">
        <f t="shared" si="14"/>
        <v>3.0401060000000002</v>
      </c>
      <c r="D58" s="89" t="s">
        <v>432</v>
      </c>
      <c r="E58" s="81" t="s">
        <v>169</v>
      </c>
      <c r="F58" s="111">
        <v>342.19</v>
      </c>
      <c r="G58" s="82">
        <v>20.09</v>
      </c>
      <c r="H58" s="82"/>
      <c r="I58" s="213" t="e">
        <f t="shared" si="15"/>
        <v>#REF!</v>
      </c>
      <c r="J58" s="213">
        <f t="shared" si="2"/>
        <v>6874.6</v>
      </c>
      <c r="K58" s="201">
        <f t="shared" si="3"/>
        <v>0</v>
      </c>
      <c r="L58" s="93" t="e">
        <f t="shared" si="16"/>
        <v>#REF!</v>
      </c>
      <c r="M58" s="97"/>
    </row>
    <row r="59" spans="1:13" ht="14.1" customHeight="1" outlineLevel="1">
      <c r="C59" s="140">
        <f>C52+0.0001</f>
        <v>3.0401999999999996</v>
      </c>
      <c r="D59" s="132" t="s">
        <v>433</v>
      </c>
      <c r="E59" s="81"/>
      <c r="F59" s="111"/>
      <c r="G59" s="86"/>
      <c r="H59" s="86"/>
      <c r="I59" s="213"/>
      <c r="J59" s="213"/>
      <c r="K59" s="201"/>
      <c r="L59" s="93"/>
      <c r="M59" s="97"/>
    </row>
    <row r="60" spans="1:13" ht="14.1" customHeight="1" outlineLevel="2">
      <c r="A60" s="4" t="s">
        <v>423</v>
      </c>
      <c r="B60" s="4" t="s">
        <v>424</v>
      </c>
      <c r="C60" s="142">
        <f>C59+0.000001</f>
        <v>3.0402009999999997</v>
      </c>
      <c r="D60" s="481" t="s">
        <v>434</v>
      </c>
      <c r="E60" s="81" t="s">
        <v>163</v>
      </c>
      <c r="F60" s="111">
        <v>383.09</v>
      </c>
      <c r="G60" s="82">
        <v>622.76</v>
      </c>
      <c r="H60" s="82"/>
      <c r="I60" s="213" t="e">
        <f t="shared" ref="I60:I79" si="17">+ROUND(G60+H60*TC,2)</f>
        <v>#REF!</v>
      </c>
      <c r="J60" s="213">
        <f t="shared" si="2"/>
        <v>238573.13</v>
      </c>
      <c r="K60" s="201">
        <f t="shared" si="3"/>
        <v>0</v>
      </c>
      <c r="L60" s="93" t="e">
        <f t="shared" ref="L60:L79" si="18">+ROUND(J60+K60*TC,2)</f>
        <v>#REF!</v>
      </c>
      <c r="M60" s="97"/>
    </row>
    <row r="61" spans="1:13" ht="14.1" customHeight="1" outlineLevel="2">
      <c r="A61" s="4" t="s">
        <v>423</v>
      </c>
      <c r="B61" s="4" t="s">
        <v>424</v>
      </c>
      <c r="C61" s="142"/>
      <c r="D61" s="481" t="s">
        <v>435</v>
      </c>
      <c r="E61" s="81" t="s">
        <v>163</v>
      </c>
      <c r="F61" s="111">
        <v>342.83</v>
      </c>
      <c r="G61" s="82">
        <v>644.42999999999995</v>
      </c>
      <c r="H61" s="82"/>
      <c r="I61" s="213" t="e">
        <f t="shared" ref="I61" si="19">+ROUND(G61+H61*TC,2)</f>
        <v>#REF!</v>
      </c>
      <c r="J61" s="213">
        <f t="shared" ref="J61" si="20">+ROUND(F61*G61,2)</f>
        <v>220929.94</v>
      </c>
      <c r="K61" s="201">
        <f t="shared" ref="K61" si="21">+ROUND(F61*H61,2)</f>
        <v>0</v>
      </c>
      <c r="L61" s="93" t="e">
        <f t="shared" ref="L61" si="22">+ROUND(J61+K61*TC,2)</f>
        <v>#REF!</v>
      </c>
      <c r="M61" s="97"/>
    </row>
    <row r="62" spans="1:13" ht="14.1" customHeight="1" outlineLevel="2">
      <c r="A62" s="4" t="s">
        <v>419</v>
      </c>
      <c r="C62" s="142">
        <f>C60+0.000001</f>
        <v>3.0402019999999998</v>
      </c>
      <c r="D62" s="89" t="s">
        <v>436</v>
      </c>
      <c r="E62" s="81" t="s">
        <v>169</v>
      </c>
      <c r="F62" s="111">
        <v>2159.5100000000002</v>
      </c>
      <c r="G62" s="82">
        <v>58</v>
      </c>
      <c r="H62" s="82"/>
      <c r="I62" s="213" t="e">
        <f t="shared" si="17"/>
        <v>#REF!</v>
      </c>
      <c r="J62" s="213">
        <f t="shared" si="2"/>
        <v>125251.58</v>
      </c>
      <c r="K62" s="201">
        <f t="shared" si="3"/>
        <v>0</v>
      </c>
      <c r="L62" s="93" t="e">
        <f t="shared" si="18"/>
        <v>#REF!</v>
      </c>
      <c r="M62" s="97"/>
    </row>
    <row r="63" spans="1:13" ht="14.1" customHeight="1" outlineLevel="2">
      <c r="A63" s="4" t="s">
        <v>419</v>
      </c>
      <c r="C63" s="142">
        <f>C62+0.000001</f>
        <v>3.040203</v>
      </c>
      <c r="D63" s="89" t="s">
        <v>437</v>
      </c>
      <c r="E63" s="81" t="s">
        <v>169</v>
      </c>
      <c r="F63" s="111">
        <v>201.38</v>
      </c>
      <c r="G63" s="82">
        <v>50.5</v>
      </c>
      <c r="H63" s="82"/>
      <c r="I63" s="213" t="e">
        <f t="shared" si="17"/>
        <v>#REF!</v>
      </c>
      <c r="J63" s="213">
        <f t="shared" si="2"/>
        <v>10169.69</v>
      </c>
      <c r="K63" s="201">
        <f t="shared" si="3"/>
        <v>0</v>
      </c>
      <c r="L63" s="93" t="e">
        <f t="shared" si="18"/>
        <v>#REF!</v>
      </c>
      <c r="M63" s="97"/>
    </row>
    <row r="64" spans="1:13" ht="14.1" customHeight="1" outlineLevel="2">
      <c r="A64" s="4" t="s">
        <v>429</v>
      </c>
      <c r="B64" s="4" t="s">
        <v>427</v>
      </c>
      <c r="C64" s="142">
        <f t="shared" ref="C64:C79" si="23">C63+0.000001</f>
        <v>3.0402040000000001</v>
      </c>
      <c r="D64" s="89" t="s">
        <v>430</v>
      </c>
      <c r="E64" s="81" t="s">
        <v>185</v>
      </c>
      <c r="F64" s="111">
        <v>75073.83</v>
      </c>
      <c r="G64" s="82">
        <v>1.19</v>
      </c>
      <c r="H64" s="82">
        <v>0.91</v>
      </c>
      <c r="I64" s="213" t="e">
        <f t="shared" si="17"/>
        <v>#REF!</v>
      </c>
      <c r="J64" s="213">
        <f t="shared" si="2"/>
        <v>89337.86</v>
      </c>
      <c r="K64" s="201">
        <f t="shared" si="3"/>
        <v>68317.19</v>
      </c>
      <c r="L64" s="93" t="e">
        <f t="shared" si="18"/>
        <v>#REF!</v>
      </c>
      <c r="M64" s="97"/>
    </row>
    <row r="65" spans="1:13" ht="14.1" customHeight="1" outlineLevel="2">
      <c r="C65" s="142">
        <f t="shared" si="23"/>
        <v>3.0402050000000003</v>
      </c>
      <c r="D65" s="89" t="s">
        <v>438</v>
      </c>
      <c r="E65" s="81" t="s">
        <v>163</v>
      </c>
      <c r="F65" s="417">
        <v>853</v>
      </c>
      <c r="G65" s="82">
        <v>37.5</v>
      </c>
      <c r="H65" s="82"/>
      <c r="I65" s="213" t="e">
        <f t="shared" si="17"/>
        <v>#REF!</v>
      </c>
      <c r="J65" s="213">
        <f t="shared" si="2"/>
        <v>31987.5</v>
      </c>
      <c r="K65" s="201">
        <f t="shared" si="3"/>
        <v>0</v>
      </c>
      <c r="L65" s="93" t="e">
        <f t="shared" si="18"/>
        <v>#REF!</v>
      </c>
      <c r="M65" s="97"/>
    </row>
    <row r="66" spans="1:13" ht="23.25" customHeight="1" outlineLevel="2">
      <c r="A66" s="4" t="s">
        <v>423</v>
      </c>
      <c r="B66" s="4" t="s">
        <v>424</v>
      </c>
      <c r="C66" s="142">
        <f t="shared" si="23"/>
        <v>3.0402060000000004</v>
      </c>
      <c r="D66" s="80" t="s">
        <v>439</v>
      </c>
      <c r="E66" s="81" t="s">
        <v>163</v>
      </c>
      <c r="F66" s="111">
        <v>41.14</v>
      </c>
      <c r="G66" s="82">
        <v>485.71</v>
      </c>
      <c r="H66" s="82"/>
      <c r="I66" s="213" t="e">
        <f t="shared" si="17"/>
        <v>#REF!</v>
      </c>
      <c r="J66" s="213">
        <f t="shared" si="2"/>
        <v>19982.11</v>
      </c>
      <c r="K66" s="201">
        <f t="shared" si="3"/>
        <v>0</v>
      </c>
      <c r="L66" s="93" t="e">
        <f t="shared" si="18"/>
        <v>#REF!</v>
      </c>
      <c r="M66" s="97"/>
    </row>
    <row r="67" spans="1:13" ht="14.1" customHeight="1" outlineLevel="2">
      <c r="A67" s="4" t="s">
        <v>419</v>
      </c>
      <c r="C67" s="142">
        <f t="shared" si="23"/>
        <v>3.0402070000000005</v>
      </c>
      <c r="D67" s="89" t="s">
        <v>440</v>
      </c>
      <c r="E67" s="81" t="s">
        <v>169</v>
      </c>
      <c r="F67" s="111">
        <v>205.68000000000004</v>
      </c>
      <c r="G67" s="82">
        <v>50</v>
      </c>
      <c r="H67" s="82"/>
      <c r="I67" s="213" t="e">
        <f t="shared" si="17"/>
        <v>#REF!</v>
      </c>
      <c r="J67" s="213">
        <f t="shared" si="2"/>
        <v>10284</v>
      </c>
      <c r="K67" s="201">
        <f t="shared" si="3"/>
        <v>0</v>
      </c>
      <c r="L67" s="93" t="e">
        <f t="shared" si="18"/>
        <v>#REF!</v>
      </c>
      <c r="M67" s="97"/>
    </row>
    <row r="68" spans="1:13" ht="14.1" customHeight="1" outlineLevel="2">
      <c r="C68" s="142">
        <f t="shared" si="23"/>
        <v>3.0402080000000007</v>
      </c>
      <c r="D68" s="89" t="s">
        <v>441</v>
      </c>
      <c r="E68" s="81" t="s">
        <v>163</v>
      </c>
      <c r="F68" s="111">
        <v>41.14</v>
      </c>
      <c r="G68" s="82">
        <v>105.16</v>
      </c>
      <c r="H68" s="82"/>
      <c r="I68" s="213" t="e">
        <f t="shared" si="17"/>
        <v>#REF!</v>
      </c>
      <c r="J68" s="213">
        <f t="shared" si="2"/>
        <v>4326.28</v>
      </c>
      <c r="K68" s="201">
        <f t="shared" si="3"/>
        <v>0</v>
      </c>
      <c r="L68" s="93" t="e">
        <f t="shared" si="18"/>
        <v>#REF!</v>
      </c>
      <c r="M68" s="97"/>
    </row>
    <row r="69" spans="1:13" ht="14.1" customHeight="1" outlineLevel="2">
      <c r="C69" s="142">
        <f t="shared" si="23"/>
        <v>3.0402090000000008</v>
      </c>
      <c r="D69" s="89" t="s">
        <v>442</v>
      </c>
      <c r="E69" s="81" t="s">
        <v>36</v>
      </c>
      <c r="F69" s="111">
        <v>147</v>
      </c>
      <c r="G69" s="82">
        <v>33.24</v>
      </c>
      <c r="H69" s="82"/>
      <c r="I69" s="213" t="e">
        <f t="shared" si="17"/>
        <v>#REF!</v>
      </c>
      <c r="J69" s="213">
        <f t="shared" si="2"/>
        <v>4886.28</v>
      </c>
      <c r="K69" s="201">
        <f t="shared" si="3"/>
        <v>0</v>
      </c>
      <c r="L69" s="93" t="e">
        <f t="shared" si="18"/>
        <v>#REF!</v>
      </c>
      <c r="M69" s="97"/>
    </row>
    <row r="70" spans="1:13" ht="14.1" customHeight="1" outlineLevel="2">
      <c r="C70" s="142">
        <f t="shared" si="23"/>
        <v>3.040210000000001</v>
      </c>
      <c r="D70" s="89" t="s">
        <v>443</v>
      </c>
      <c r="E70" s="81" t="s">
        <v>46</v>
      </c>
      <c r="F70" s="111">
        <v>580.04999999999995</v>
      </c>
      <c r="G70" s="82">
        <v>10.77</v>
      </c>
      <c r="H70" s="82"/>
      <c r="I70" s="213" t="e">
        <f t="shared" si="17"/>
        <v>#REF!</v>
      </c>
      <c r="J70" s="213">
        <f t="shared" si="2"/>
        <v>6247.14</v>
      </c>
      <c r="K70" s="201">
        <f t="shared" si="3"/>
        <v>0</v>
      </c>
      <c r="L70" s="93" t="e">
        <f t="shared" si="18"/>
        <v>#REF!</v>
      </c>
      <c r="M70" s="97"/>
    </row>
    <row r="71" spans="1:13" ht="14.1" customHeight="1" outlineLevel="2">
      <c r="C71" s="142">
        <f t="shared" si="23"/>
        <v>3.0402110000000011</v>
      </c>
      <c r="D71" s="89" t="s">
        <v>444</v>
      </c>
      <c r="E71" s="81" t="s">
        <v>46</v>
      </c>
      <c r="F71" s="111">
        <v>580.04999999999995</v>
      </c>
      <c r="G71" s="82">
        <v>7.37</v>
      </c>
      <c r="H71" s="82"/>
      <c r="I71" s="213" t="e">
        <f t="shared" si="17"/>
        <v>#REF!</v>
      </c>
      <c r="J71" s="213">
        <f t="shared" si="2"/>
        <v>4274.97</v>
      </c>
      <c r="K71" s="201">
        <f t="shared" si="3"/>
        <v>0</v>
      </c>
      <c r="L71" s="93" t="e">
        <f t="shared" si="18"/>
        <v>#REF!</v>
      </c>
      <c r="M71" s="97"/>
    </row>
    <row r="72" spans="1:13" ht="14.1" customHeight="1" outlineLevel="2">
      <c r="C72" s="142">
        <f t="shared" si="23"/>
        <v>3.0402120000000012</v>
      </c>
      <c r="D72" s="89" t="s">
        <v>445</v>
      </c>
      <c r="E72" s="81" t="s">
        <v>46</v>
      </c>
      <c r="F72" s="111">
        <v>580.04999999999995</v>
      </c>
      <c r="G72" s="82">
        <v>44.63</v>
      </c>
      <c r="H72" s="82"/>
      <c r="I72" s="213" t="e">
        <f t="shared" si="17"/>
        <v>#REF!</v>
      </c>
      <c r="J72" s="213">
        <f t="shared" si="2"/>
        <v>25887.63</v>
      </c>
      <c r="K72" s="201">
        <f t="shared" si="3"/>
        <v>0</v>
      </c>
      <c r="L72" s="93" t="e">
        <f t="shared" si="18"/>
        <v>#REF!</v>
      </c>
      <c r="M72" s="97"/>
    </row>
    <row r="73" spans="1:13" ht="14.1" customHeight="1" outlineLevel="2">
      <c r="C73" s="142">
        <f t="shared" si="23"/>
        <v>3.0402130000000014</v>
      </c>
      <c r="D73" s="89" t="s">
        <v>446</v>
      </c>
      <c r="E73" s="81" t="s">
        <v>169</v>
      </c>
      <c r="F73" s="111">
        <v>2159.5100000000002</v>
      </c>
      <c r="G73" s="421">
        <v>7.5</v>
      </c>
      <c r="H73" s="82"/>
      <c r="I73" s="213" t="e">
        <f t="shared" si="17"/>
        <v>#REF!</v>
      </c>
      <c r="J73" s="213">
        <f t="shared" si="2"/>
        <v>16196.33</v>
      </c>
      <c r="K73" s="201">
        <f t="shared" si="3"/>
        <v>0</v>
      </c>
      <c r="L73" s="93" t="e">
        <f t="shared" si="18"/>
        <v>#REF!</v>
      </c>
      <c r="M73" s="97"/>
    </row>
    <row r="74" spans="1:13" ht="14.1" customHeight="1" outlineLevel="2">
      <c r="C74" s="142">
        <f t="shared" si="23"/>
        <v>3.0402140000000015</v>
      </c>
      <c r="D74" s="89" t="s">
        <v>447</v>
      </c>
      <c r="E74" s="81" t="s">
        <v>169</v>
      </c>
      <c r="F74" s="111">
        <v>2159.5100000000002</v>
      </c>
      <c r="G74" s="82">
        <v>16.27</v>
      </c>
      <c r="H74" s="82"/>
      <c r="I74" s="213" t="e">
        <f t="shared" si="17"/>
        <v>#REF!</v>
      </c>
      <c r="J74" s="213">
        <f t="shared" si="2"/>
        <v>35135.230000000003</v>
      </c>
      <c r="K74" s="201">
        <f t="shared" si="3"/>
        <v>0</v>
      </c>
      <c r="L74" s="93" t="e">
        <f t="shared" si="18"/>
        <v>#REF!</v>
      </c>
      <c r="M74" s="97"/>
    </row>
    <row r="75" spans="1:13" ht="14.1" customHeight="1" outlineLevel="2">
      <c r="C75" s="142">
        <f t="shared" si="23"/>
        <v>3.0402150000000017</v>
      </c>
      <c r="D75" s="89" t="s">
        <v>448</v>
      </c>
      <c r="E75" s="81" t="s">
        <v>169</v>
      </c>
      <c r="F75" s="111">
        <v>2159.5100000000002</v>
      </c>
      <c r="G75" s="82">
        <v>2.5099999999999998</v>
      </c>
      <c r="H75" s="82"/>
      <c r="I75" s="213" t="e">
        <f t="shared" si="17"/>
        <v>#REF!</v>
      </c>
      <c r="J75" s="213">
        <f t="shared" si="2"/>
        <v>5420.37</v>
      </c>
      <c r="K75" s="201">
        <f t="shared" si="3"/>
        <v>0</v>
      </c>
      <c r="L75" s="93" t="e">
        <f t="shared" si="18"/>
        <v>#REF!</v>
      </c>
      <c r="M75" s="97"/>
    </row>
    <row r="76" spans="1:13" ht="14.1" customHeight="1" outlineLevel="2">
      <c r="C76" s="142">
        <f t="shared" si="23"/>
        <v>3.0402160000000018</v>
      </c>
      <c r="D76" s="89" t="s">
        <v>449</v>
      </c>
      <c r="E76" s="81" t="s">
        <v>36</v>
      </c>
      <c r="F76" s="111">
        <v>1161</v>
      </c>
      <c r="G76" s="82">
        <v>35.15</v>
      </c>
      <c r="H76" s="82">
        <v>1.35</v>
      </c>
      <c r="I76" s="213" t="e">
        <f t="shared" si="17"/>
        <v>#REF!</v>
      </c>
      <c r="J76" s="213">
        <f t="shared" si="2"/>
        <v>40809.15</v>
      </c>
      <c r="K76" s="201">
        <f t="shared" si="3"/>
        <v>1567.35</v>
      </c>
      <c r="L76" s="93" t="e">
        <f t="shared" si="18"/>
        <v>#REF!</v>
      </c>
      <c r="M76" s="97"/>
    </row>
    <row r="77" spans="1:13" ht="14.1" customHeight="1" outlineLevel="2">
      <c r="C77" s="142">
        <f t="shared" si="23"/>
        <v>3.0402170000000019</v>
      </c>
      <c r="D77" s="89" t="s">
        <v>450</v>
      </c>
      <c r="E77" s="81" t="s">
        <v>36</v>
      </c>
      <c r="F77" s="111">
        <v>147</v>
      </c>
      <c r="G77" s="82">
        <v>49.12</v>
      </c>
      <c r="H77" s="82"/>
      <c r="I77" s="213" t="e">
        <f t="shared" si="17"/>
        <v>#REF!</v>
      </c>
      <c r="J77" s="213">
        <f t="shared" si="2"/>
        <v>7220.64</v>
      </c>
      <c r="K77" s="201">
        <f t="shared" si="3"/>
        <v>0</v>
      </c>
      <c r="L77" s="93" t="e">
        <f t="shared" si="18"/>
        <v>#REF!</v>
      </c>
      <c r="M77" s="97"/>
    </row>
    <row r="78" spans="1:13" ht="14.1" customHeight="1" outlineLevel="2">
      <c r="C78" s="142">
        <f t="shared" si="23"/>
        <v>3.0402180000000021</v>
      </c>
      <c r="D78" s="89" t="s">
        <v>451</v>
      </c>
      <c r="E78" s="81" t="s">
        <v>46</v>
      </c>
      <c r="F78" s="111">
        <v>514.20000000000005</v>
      </c>
      <c r="G78" s="82">
        <v>23.93</v>
      </c>
      <c r="H78" s="82"/>
      <c r="I78" s="213" t="e">
        <f t="shared" si="17"/>
        <v>#REF!</v>
      </c>
      <c r="J78" s="213">
        <f t="shared" si="2"/>
        <v>12304.81</v>
      </c>
      <c r="K78" s="201">
        <f t="shared" si="3"/>
        <v>0</v>
      </c>
      <c r="L78" s="93" t="e">
        <f t="shared" si="18"/>
        <v>#REF!</v>
      </c>
      <c r="M78" s="97"/>
    </row>
    <row r="79" spans="1:13" ht="13.5" customHeight="1" outlineLevel="2">
      <c r="C79" s="142">
        <f t="shared" si="23"/>
        <v>3.0402190000000022</v>
      </c>
      <c r="D79" s="89" t="s">
        <v>431</v>
      </c>
      <c r="E79" s="81" t="s">
        <v>169</v>
      </c>
      <c r="F79" s="111">
        <v>2159.5100000000002</v>
      </c>
      <c r="G79" s="82">
        <v>1.44</v>
      </c>
      <c r="H79" s="82"/>
      <c r="I79" s="213" t="e">
        <f t="shared" si="17"/>
        <v>#REF!</v>
      </c>
      <c r="J79" s="213">
        <f t="shared" si="2"/>
        <v>3109.69</v>
      </c>
      <c r="K79" s="201">
        <f t="shared" si="3"/>
        <v>0</v>
      </c>
      <c r="L79" s="93" t="e">
        <f t="shared" si="18"/>
        <v>#REF!</v>
      </c>
      <c r="M79" s="97"/>
    </row>
    <row r="80" spans="1:13" ht="14.1" customHeight="1" outlineLevel="1">
      <c r="C80" s="140">
        <f>C59+0.0001</f>
        <v>3.0402999999999998</v>
      </c>
      <c r="D80" s="132" t="s">
        <v>452</v>
      </c>
      <c r="E80" s="81"/>
      <c r="F80" s="111"/>
      <c r="G80" s="86"/>
      <c r="H80" s="86"/>
      <c r="I80" s="213"/>
      <c r="J80" s="213"/>
      <c r="K80" s="201"/>
      <c r="L80" s="93"/>
      <c r="M80" s="97"/>
    </row>
    <row r="81" spans="1:13" ht="13.5" customHeight="1" outlineLevel="2">
      <c r="A81" s="4" t="s">
        <v>423</v>
      </c>
      <c r="C81" s="142">
        <f t="shared" ref="C81:C86" si="24">C80+0.000001</f>
        <v>3.0403009999999999</v>
      </c>
      <c r="D81" s="89" t="s">
        <v>453</v>
      </c>
      <c r="E81" s="81" t="s">
        <v>163</v>
      </c>
      <c r="F81" s="111">
        <v>12.84</v>
      </c>
      <c r="G81" s="82">
        <v>488.27</v>
      </c>
      <c r="H81" s="82"/>
      <c r="I81" s="213" t="e">
        <f t="shared" ref="I81:I86" si="25">+ROUND(G81+H81*TC,2)</f>
        <v>#REF!</v>
      </c>
      <c r="J81" s="213">
        <f t="shared" si="2"/>
        <v>6269.39</v>
      </c>
      <c r="K81" s="201">
        <f t="shared" si="3"/>
        <v>0</v>
      </c>
      <c r="L81" s="93" t="e">
        <f t="shared" ref="L81:L86" si="26">+ROUND(J81+K81*TC,2)</f>
        <v>#REF!</v>
      </c>
      <c r="M81" s="97"/>
    </row>
    <row r="82" spans="1:13" ht="13.5" customHeight="1" outlineLevel="2">
      <c r="A82" s="4" t="s">
        <v>423</v>
      </c>
      <c r="C82" s="142">
        <f t="shared" si="24"/>
        <v>3.0403020000000001</v>
      </c>
      <c r="D82" s="89" t="s">
        <v>454</v>
      </c>
      <c r="E82" s="81" t="s">
        <v>163</v>
      </c>
      <c r="F82" s="111">
        <v>38.78</v>
      </c>
      <c r="G82" s="82">
        <v>505.61</v>
      </c>
      <c r="H82" s="82"/>
      <c r="I82" s="213" t="e">
        <f t="shared" si="25"/>
        <v>#REF!</v>
      </c>
      <c r="J82" s="213">
        <f t="shared" si="2"/>
        <v>19607.560000000001</v>
      </c>
      <c r="K82" s="201">
        <f t="shared" si="3"/>
        <v>0</v>
      </c>
      <c r="L82" s="93" t="e">
        <f t="shared" si="26"/>
        <v>#REF!</v>
      </c>
      <c r="M82" s="97"/>
    </row>
    <row r="83" spans="1:13" ht="13.5" customHeight="1" outlineLevel="2">
      <c r="A83" s="4" t="s">
        <v>419</v>
      </c>
      <c r="C83" s="142">
        <f>C82+0.000001</f>
        <v>3.0403030000000002</v>
      </c>
      <c r="D83" s="89" t="s">
        <v>455</v>
      </c>
      <c r="E83" s="81" t="s">
        <v>169</v>
      </c>
      <c r="F83" s="111">
        <v>166.87</v>
      </c>
      <c r="G83" s="82">
        <v>43.7</v>
      </c>
      <c r="H83" s="82"/>
      <c r="I83" s="213" t="e">
        <f t="shared" si="25"/>
        <v>#REF!</v>
      </c>
      <c r="J83" s="213">
        <f t="shared" si="2"/>
        <v>7292.22</v>
      </c>
      <c r="K83" s="201">
        <f t="shared" si="3"/>
        <v>0</v>
      </c>
      <c r="L83" s="93" t="e">
        <f t="shared" si="26"/>
        <v>#REF!</v>
      </c>
      <c r="M83" s="97"/>
    </row>
    <row r="84" spans="1:13" ht="13.5" customHeight="1" outlineLevel="2">
      <c r="A84" s="4" t="s">
        <v>419</v>
      </c>
      <c r="C84" s="142">
        <f t="shared" si="24"/>
        <v>3.0403040000000003</v>
      </c>
      <c r="D84" s="89" t="s">
        <v>456</v>
      </c>
      <c r="E84" s="81" t="s">
        <v>169</v>
      </c>
      <c r="F84" s="111">
        <v>0</v>
      </c>
      <c r="G84" s="82">
        <v>51.7</v>
      </c>
      <c r="H84" s="82"/>
      <c r="I84" s="213" t="e">
        <f t="shared" si="25"/>
        <v>#REF!</v>
      </c>
      <c r="J84" s="213">
        <f t="shared" ref="J84:J163" si="27">+ROUND(F84*G84,2)</f>
        <v>0</v>
      </c>
      <c r="K84" s="201">
        <f t="shared" ref="K84:K163" si="28">+ROUND(F84*H84,2)</f>
        <v>0</v>
      </c>
      <c r="L84" s="93" t="e">
        <f t="shared" si="26"/>
        <v>#REF!</v>
      </c>
      <c r="M84" s="97"/>
    </row>
    <row r="85" spans="1:13" ht="13.5" customHeight="1" outlineLevel="2">
      <c r="A85" s="4" t="s">
        <v>429</v>
      </c>
      <c r="C85" s="142">
        <f t="shared" si="24"/>
        <v>3.0403050000000005</v>
      </c>
      <c r="D85" s="80" t="s">
        <v>457</v>
      </c>
      <c r="E85" s="81" t="s">
        <v>185</v>
      </c>
      <c r="F85" s="111">
        <v>4552.1899999999996</v>
      </c>
      <c r="G85" s="82">
        <v>1.19</v>
      </c>
      <c r="H85" s="82">
        <v>0.91</v>
      </c>
      <c r="I85" s="213" t="e">
        <f t="shared" si="25"/>
        <v>#REF!</v>
      </c>
      <c r="J85" s="213">
        <f t="shared" si="27"/>
        <v>5417.11</v>
      </c>
      <c r="K85" s="201">
        <f t="shared" si="28"/>
        <v>4142.49</v>
      </c>
      <c r="L85" s="93" t="e">
        <f t="shared" si="26"/>
        <v>#REF!</v>
      </c>
      <c r="M85" s="97"/>
    </row>
    <row r="86" spans="1:13" ht="13.5" customHeight="1" outlineLevel="2">
      <c r="C86" s="142">
        <f t="shared" si="24"/>
        <v>3.0403060000000006</v>
      </c>
      <c r="D86" s="89" t="s">
        <v>431</v>
      </c>
      <c r="E86" s="81" t="s">
        <v>169</v>
      </c>
      <c r="F86" s="111">
        <v>166.87</v>
      </c>
      <c r="G86" s="82">
        <v>1.44</v>
      </c>
      <c r="H86" s="82"/>
      <c r="I86" s="213" t="e">
        <f t="shared" si="25"/>
        <v>#REF!</v>
      </c>
      <c r="J86" s="213">
        <f t="shared" si="27"/>
        <v>240.29</v>
      </c>
      <c r="K86" s="201">
        <f t="shared" si="28"/>
        <v>0</v>
      </c>
      <c r="L86" s="93" t="e">
        <f t="shared" si="26"/>
        <v>#REF!</v>
      </c>
      <c r="M86" s="97"/>
    </row>
    <row r="87" spans="1:13" ht="14.1" customHeight="1" outlineLevel="1">
      <c r="C87" s="140">
        <f>C80+0.0001</f>
        <v>3.0404</v>
      </c>
      <c r="D87" s="132" t="s">
        <v>458</v>
      </c>
      <c r="E87" s="81"/>
      <c r="F87" s="111"/>
      <c r="G87" s="86"/>
      <c r="H87" s="86"/>
      <c r="I87" s="213"/>
      <c r="J87" s="213"/>
      <c r="K87" s="201"/>
      <c r="L87" s="93"/>
      <c r="M87" s="97"/>
    </row>
    <row r="88" spans="1:13" ht="14.1" customHeight="1" outlineLevel="2">
      <c r="C88" s="142">
        <f t="shared" ref="C88:C93" si="29">C87+0.000001</f>
        <v>3.0404010000000001</v>
      </c>
      <c r="D88" s="89" t="s">
        <v>459</v>
      </c>
      <c r="E88" s="81" t="s">
        <v>29</v>
      </c>
      <c r="F88" s="111">
        <v>1</v>
      </c>
      <c r="G88" s="422">
        <v>0</v>
      </c>
      <c r="H88" s="422">
        <v>3000</v>
      </c>
      <c r="I88" s="213" t="e">
        <f t="shared" ref="I88:I93" si="30">+ROUND(G88+H88*TC,2)</f>
        <v>#REF!</v>
      </c>
      <c r="J88" s="213">
        <f t="shared" si="27"/>
        <v>0</v>
      </c>
      <c r="K88" s="201">
        <f t="shared" si="28"/>
        <v>3000</v>
      </c>
      <c r="L88" s="93" t="e">
        <f t="shared" ref="L88:L93" si="31">+ROUND(J88+K88*TC,2)</f>
        <v>#REF!</v>
      </c>
      <c r="M88" s="97"/>
    </row>
    <row r="89" spans="1:13" ht="23.25" customHeight="1" outlineLevel="2">
      <c r="C89" s="142">
        <f t="shared" si="29"/>
        <v>3.0404020000000003</v>
      </c>
      <c r="D89" s="80" t="s">
        <v>460</v>
      </c>
      <c r="E89" s="81" t="s">
        <v>46</v>
      </c>
      <c r="F89" s="111">
        <v>1767</v>
      </c>
      <c r="G89" s="422">
        <v>0</v>
      </c>
      <c r="H89" s="422">
        <v>79</v>
      </c>
      <c r="I89" s="213" t="e">
        <f t="shared" si="30"/>
        <v>#REF!</v>
      </c>
      <c r="J89" s="213">
        <f t="shared" si="27"/>
        <v>0</v>
      </c>
      <c r="K89" s="201">
        <f t="shared" si="28"/>
        <v>139593</v>
      </c>
      <c r="L89" s="93" t="e">
        <f t="shared" si="31"/>
        <v>#REF!</v>
      </c>
      <c r="M89" s="97"/>
    </row>
    <row r="90" spans="1:13" ht="14.1" customHeight="1" outlineLevel="2">
      <c r="C90" s="142">
        <f t="shared" si="29"/>
        <v>3.0404030000000004</v>
      </c>
      <c r="D90" s="89" t="s">
        <v>461</v>
      </c>
      <c r="E90" s="81" t="s">
        <v>462</v>
      </c>
      <c r="F90" s="111">
        <v>1497</v>
      </c>
      <c r="G90" s="422">
        <v>22.54</v>
      </c>
      <c r="H90" s="422"/>
      <c r="I90" s="213" t="e">
        <f t="shared" si="30"/>
        <v>#REF!</v>
      </c>
      <c r="J90" s="213">
        <f t="shared" si="27"/>
        <v>33742.379999999997</v>
      </c>
      <c r="K90" s="201">
        <f t="shared" si="28"/>
        <v>0</v>
      </c>
      <c r="L90" s="93" t="e">
        <f t="shared" si="31"/>
        <v>#REF!</v>
      </c>
      <c r="M90" s="97"/>
    </row>
    <row r="91" spans="1:13" ht="14.1" customHeight="1" outlineLevel="2">
      <c r="C91" s="142">
        <f t="shared" si="29"/>
        <v>3.0404040000000006</v>
      </c>
      <c r="D91" s="80" t="s">
        <v>463</v>
      </c>
      <c r="E91" s="81" t="s">
        <v>29</v>
      </c>
      <c r="F91" s="111">
        <v>1</v>
      </c>
      <c r="G91" s="422">
        <v>0</v>
      </c>
      <c r="H91" s="422">
        <v>2000</v>
      </c>
      <c r="I91" s="213" t="e">
        <f t="shared" si="30"/>
        <v>#REF!</v>
      </c>
      <c r="J91" s="213">
        <f t="shared" ref="J91:J93" si="32">+ROUND(F91*G91,2)</f>
        <v>0</v>
      </c>
      <c r="K91" s="201">
        <f t="shared" ref="K91:K93" si="33">+ROUND(F91*H91,2)</f>
        <v>2000</v>
      </c>
      <c r="L91" s="93" t="e">
        <f t="shared" si="31"/>
        <v>#REF!</v>
      </c>
      <c r="M91" s="97"/>
    </row>
    <row r="92" spans="1:13" ht="23.25" customHeight="1" outlineLevel="2">
      <c r="C92" s="142">
        <f t="shared" si="29"/>
        <v>3.0404050000000007</v>
      </c>
      <c r="D92" s="80" t="s">
        <v>464</v>
      </c>
      <c r="E92" s="81" t="s">
        <v>46</v>
      </c>
      <c r="F92" s="111">
        <v>126.5</v>
      </c>
      <c r="G92" s="422">
        <v>0</v>
      </c>
      <c r="H92" s="422">
        <v>70</v>
      </c>
      <c r="I92" s="213" t="e">
        <f t="shared" si="30"/>
        <v>#REF!</v>
      </c>
      <c r="J92" s="213">
        <f t="shared" si="32"/>
        <v>0</v>
      </c>
      <c r="K92" s="201">
        <f t="shared" si="33"/>
        <v>8855</v>
      </c>
      <c r="L92" s="93" t="e">
        <f t="shared" si="31"/>
        <v>#REF!</v>
      </c>
      <c r="M92" s="97"/>
    </row>
    <row r="93" spans="1:13" ht="14.1" customHeight="1" outlineLevel="2">
      <c r="C93" s="142">
        <f t="shared" si="29"/>
        <v>3.0404060000000008</v>
      </c>
      <c r="D93" s="89" t="s">
        <v>465</v>
      </c>
      <c r="E93" s="81" t="s">
        <v>462</v>
      </c>
      <c r="F93" s="111">
        <v>108</v>
      </c>
      <c r="G93" s="422">
        <v>22.54</v>
      </c>
      <c r="H93" s="422"/>
      <c r="I93" s="213" t="e">
        <f t="shared" si="30"/>
        <v>#REF!</v>
      </c>
      <c r="J93" s="213">
        <f t="shared" si="32"/>
        <v>2434.3200000000002</v>
      </c>
      <c r="K93" s="201">
        <f t="shared" si="33"/>
        <v>0</v>
      </c>
      <c r="L93" s="93" t="e">
        <f t="shared" si="31"/>
        <v>#REF!</v>
      </c>
      <c r="M93" s="97"/>
    </row>
    <row r="94" spans="1:13" ht="14.1" customHeight="1" outlineLevel="1">
      <c r="C94" s="140">
        <f>C87+0.0001</f>
        <v>3.0405000000000002</v>
      </c>
      <c r="D94" s="132" t="s">
        <v>466</v>
      </c>
      <c r="E94" s="81"/>
      <c r="F94" s="111"/>
      <c r="G94" s="86"/>
      <c r="H94" s="86"/>
      <c r="I94" s="213"/>
      <c r="J94" s="213"/>
      <c r="K94" s="201"/>
      <c r="L94" s="93"/>
      <c r="M94" s="97"/>
    </row>
    <row r="95" spans="1:13" ht="14.1" customHeight="1" outlineLevel="2">
      <c r="A95" s="4" t="s">
        <v>423</v>
      </c>
      <c r="B95" s="4" t="s">
        <v>417</v>
      </c>
      <c r="C95" s="142">
        <f>C94+0.000001</f>
        <v>3.0405010000000003</v>
      </c>
      <c r="D95" s="89" t="s">
        <v>467</v>
      </c>
      <c r="E95" s="81" t="s">
        <v>163</v>
      </c>
      <c r="F95" s="111">
        <v>349.58</v>
      </c>
      <c r="G95" s="82">
        <v>392.69</v>
      </c>
      <c r="H95" s="82"/>
      <c r="I95" s="213" t="e">
        <f>+ROUND(G95+H95*TC,2)</f>
        <v>#REF!</v>
      </c>
      <c r="J95" s="213">
        <f t="shared" si="27"/>
        <v>137276.57</v>
      </c>
      <c r="K95" s="201">
        <f t="shared" si="28"/>
        <v>0</v>
      </c>
      <c r="L95" s="93" t="e">
        <f>+ROUND(J95+K95*TC,2)</f>
        <v>#REF!</v>
      </c>
      <c r="M95" s="97"/>
    </row>
    <row r="96" spans="1:13" ht="14.1" customHeight="1" outlineLevel="2">
      <c r="A96" s="4" t="s">
        <v>419</v>
      </c>
      <c r="C96" s="142">
        <f>C95+0.000001</f>
        <v>3.0405020000000005</v>
      </c>
      <c r="D96" s="89" t="s">
        <v>468</v>
      </c>
      <c r="E96" s="81" t="s">
        <v>169</v>
      </c>
      <c r="F96" s="111">
        <v>296.13</v>
      </c>
      <c r="G96" s="82">
        <v>47</v>
      </c>
      <c r="H96" s="82"/>
      <c r="I96" s="213" t="e">
        <f>+ROUND(G96+H96*TC,2)</f>
        <v>#REF!</v>
      </c>
      <c r="J96" s="213">
        <f t="shared" si="27"/>
        <v>13918.11</v>
      </c>
      <c r="K96" s="201">
        <f t="shared" si="28"/>
        <v>0</v>
      </c>
      <c r="L96" s="93" t="e">
        <f>+ROUND(J96+K96*TC,2)</f>
        <v>#REF!</v>
      </c>
      <c r="M96" s="97"/>
    </row>
    <row r="97" spans="1:13" ht="14.1" customHeight="1" outlineLevel="2">
      <c r="A97" s="4" t="s">
        <v>429</v>
      </c>
      <c r="C97" s="142">
        <f>C96+0.000001</f>
        <v>3.0405030000000006</v>
      </c>
      <c r="D97" s="80" t="s">
        <v>457</v>
      </c>
      <c r="E97" s="81" t="s">
        <v>185</v>
      </c>
      <c r="F97" s="111">
        <v>17320.82</v>
      </c>
      <c r="G97" s="82">
        <v>1.19</v>
      </c>
      <c r="H97" s="82">
        <v>0.91</v>
      </c>
      <c r="I97" s="213" t="e">
        <f>+ROUND(G97+H97*TC,2)</f>
        <v>#REF!</v>
      </c>
      <c r="J97" s="213">
        <f t="shared" si="27"/>
        <v>20611.78</v>
      </c>
      <c r="K97" s="201">
        <f t="shared" si="28"/>
        <v>15761.95</v>
      </c>
      <c r="L97" s="93" t="e">
        <f>+ROUND(J97+K97*TC,2)</f>
        <v>#REF!</v>
      </c>
      <c r="M97" s="97"/>
    </row>
    <row r="98" spans="1:13" ht="14.1" customHeight="1" outlineLevel="2">
      <c r="C98" s="142">
        <f>C97+0.000001</f>
        <v>3.0405040000000008</v>
      </c>
      <c r="D98" s="89" t="s">
        <v>431</v>
      </c>
      <c r="E98" s="81" t="s">
        <v>169</v>
      </c>
      <c r="F98" s="111">
        <v>513.14</v>
      </c>
      <c r="G98" s="82">
        <v>1.44</v>
      </c>
      <c r="H98" s="82"/>
      <c r="I98" s="213" t="e">
        <f>+ROUND(G98+H98*TC,2)</f>
        <v>#REF!</v>
      </c>
      <c r="J98" s="213">
        <f t="shared" si="27"/>
        <v>738.92</v>
      </c>
      <c r="K98" s="201">
        <f t="shared" si="28"/>
        <v>0</v>
      </c>
      <c r="L98" s="93" t="e">
        <f>+ROUND(J98+K98*TC,2)</f>
        <v>#REF!</v>
      </c>
      <c r="M98" s="97"/>
    </row>
    <row r="99" spans="1:13" ht="14.1" customHeight="1" outlineLevel="2">
      <c r="C99" s="142">
        <f>C98+0.000001</f>
        <v>3.0405050000000009</v>
      </c>
      <c r="D99" s="89" t="s">
        <v>432</v>
      </c>
      <c r="E99" s="81" t="s">
        <v>169</v>
      </c>
      <c r="F99" s="111">
        <v>513.14</v>
      </c>
      <c r="G99" s="82">
        <v>20.09</v>
      </c>
      <c r="H99" s="82"/>
      <c r="I99" s="213" t="e">
        <f>+ROUND(G99+H99*TC,2)</f>
        <v>#REF!</v>
      </c>
      <c r="J99" s="213">
        <f t="shared" si="27"/>
        <v>10308.98</v>
      </c>
      <c r="K99" s="201">
        <f t="shared" si="28"/>
        <v>0</v>
      </c>
      <c r="L99" s="93" t="e">
        <f>+ROUND(J99+K99*TC,2)</f>
        <v>#REF!</v>
      </c>
      <c r="M99" s="97"/>
    </row>
    <row r="100" spans="1:13" ht="14.1" customHeight="1" outlineLevel="1">
      <c r="C100" s="140">
        <f>C94+0.0001</f>
        <v>3.0406000000000004</v>
      </c>
      <c r="D100" s="132" t="s">
        <v>469</v>
      </c>
      <c r="E100" s="81"/>
      <c r="F100" s="111"/>
      <c r="G100" s="86"/>
      <c r="H100" s="86"/>
      <c r="I100" s="213"/>
      <c r="J100" s="213"/>
      <c r="K100" s="201"/>
      <c r="L100" s="93"/>
      <c r="M100" s="97"/>
    </row>
    <row r="101" spans="1:13" ht="14.1" customHeight="1" outlineLevel="2">
      <c r="A101" s="4" t="s">
        <v>423</v>
      </c>
      <c r="B101" s="4" t="s">
        <v>417</v>
      </c>
      <c r="C101" s="142">
        <f>C100+0.000001</f>
        <v>3.0406010000000006</v>
      </c>
      <c r="D101" s="89" t="s">
        <v>467</v>
      </c>
      <c r="E101" s="81" t="s">
        <v>163</v>
      </c>
      <c r="F101" s="111">
        <v>10.79</v>
      </c>
      <c r="G101" s="82">
        <v>392.69</v>
      </c>
      <c r="H101" s="82"/>
      <c r="I101" s="213" t="e">
        <f>+ROUND(G101+H101*TC,2)</f>
        <v>#REF!</v>
      </c>
      <c r="J101" s="213">
        <f t="shared" ref="J101:J105" si="34">+ROUND(F101*G101,2)</f>
        <v>4237.13</v>
      </c>
      <c r="K101" s="201">
        <f t="shared" ref="K101:K105" si="35">+ROUND(F101*H101,2)</f>
        <v>0</v>
      </c>
      <c r="L101" s="93" t="e">
        <f>+ROUND(J101+K101*TC,2)</f>
        <v>#REF!</v>
      </c>
      <c r="M101" s="97"/>
    </row>
    <row r="102" spans="1:13" ht="14.1" customHeight="1" outlineLevel="2">
      <c r="A102" s="4" t="s">
        <v>419</v>
      </c>
      <c r="C102" s="142">
        <f>C101+0.000001</f>
        <v>3.0406020000000007</v>
      </c>
      <c r="D102" s="89" t="s">
        <v>468</v>
      </c>
      <c r="E102" s="81" t="s">
        <v>169</v>
      </c>
      <c r="F102" s="111">
        <v>35.979999999999997</v>
      </c>
      <c r="G102" s="82">
        <v>47</v>
      </c>
      <c r="H102" s="82"/>
      <c r="I102" s="213" t="e">
        <f>+ROUND(G102+H102*TC,2)</f>
        <v>#REF!</v>
      </c>
      <c r="J102" s="213">
        <f t="shared" si="34"/>
        <v>1691.06</v>
      </c>
      <c r="K102" s="201">
        <f t="shared" si="35"/>
        <v>0</v>
      </c>
      <c r="L102" s="93" t="e">
        <f>+ROUND(J102+K102*TC,2)</f>
        <v>#REF!</v>
      </c>
      <c r="M102" s="97"/>
    </row>
    <row r="103" spans="1:13" ht="14.1" customHeight="1" outlineLevel="2">
      <c r="A103" s="4" t="s">
        <v>429</v>
      </c>
      <c r="C103" s="142">
        <f>C102+0.000001</f>
        <v>3.0406030000000008</v>
      </c>
      <c r="D103" s="80" t="s">
        <v>457</v>
      </c>
      <c r="E103" s="81" t="s">
        <v>185</v>
      </c>
      <c r="F103" s="111">
        <v>138.35</v>
      </c>
      <c r="G103" s="82">
        <v>1.19</v>
      </c>
      <c r="H103" s="82">
        <v>0.91</v>
      </c>
      <c r="I103" s="213" t="e">
        <f>+ROUND(G103+H103*TC,2)</f>
        <v>#REF!</v>
      </c>
      <c r="J103" s="213">
        <f t="shared" si="34"/>
        <v>164.64</v>
      </c>
      <c r="K103" s="201">
        <f t="shared" si="35"/>
        <v>125.9</v>
      </c>
      <c r="L103" s="93" t="e">
        <f>+ROUND(J103+K103*TC,2)</f>
        <v>#REF!</v>
      </c>
      <c r="M103" s="97"/>
    </row>
    <row r="104" spans="1:13" ht="14.1" customHeight="1" outlineLevel="2">
      <c r="C104" s="142">
        <f>C103+0.000001</f>
        <v>3.040604000000001</v>
      </c>
      <c r="D104" s="89" t="s">
        <v>431</v>
      </c>
      <c r="E104" s="81" t="s">
        <v>169</v>
      </c>
      <c r="F104" s="111">
        <v>53.96</v>
      </c>
      <c r="G104" s="82">
        <v>1.44</v>
      </c>
      <c r="H104" s="82"/>
      <c r="I104" s="213" t="e">
        <f>+ROUND(G104+H104*TC,2)</f>
        <v>#REF!</v>
      </c>
      <c r="J104" s="213">
        <f t="shared" si="34"/>
        <v>77.7</v>
      </c>
      <c r="K104" s="201">
        <f t="shared" si="35"/>
        <v>0</v>
      </c>
      <c r="L104" s="93" t="e">
        <f>+ROUND(J104+K104*TC,2)</f>
        <v>#REF!</v>
      </c>
      <c r="M104" s="97"/>
    </row>
    <row r="105" spans="1:13" ht="14.1" customHeight="1" outlineLevel="2">
      <c r="C105" s="142">
        <f>C104+0.000001</f>
        <v>3.0406050000000011</v>
      </c>
      <c r="D105" s="89" t="s">
        <v>432</v>
      </c>
      <c r="E105" s="81" t="s">
        <v>169</v>
      </c>
      <c r="F105" s="111">
        <v>53.96</v>
      </c>
      <c r="G105" s="82">
        <v>20.09</v>
      </c>
      <c r="H105" s="82"/>
      <c r="I105" s="213" t="e">
        <f>+ROUND(G105+H105*TC,2)</f>
        <v>#REF!</v>
      </c>
      <c r="J105" s="213">
        <f t="shared" si="34"/>
        <v>1084.06</v>
      </c>
      <c r="K105" s="201">
        <f t="shared" si="35"/>
        <v>0</v>
      </c>
      <c r="L105" s="93" t="e">
        <f>+ROUND(J105+K105*TC,2)</f>
        <v>#REF!</v>
      </c>
      <c r="M105" s="97"/>
    </row>
    <row r="106" spans="1:13" ht="14.1" customHeight="1" outlineLevel="1">
      <c r="C106" s="140">
        <f>C100+0.0001</f>
        <v>3.0407000000000006</v>
      </c>
      <c r="D106" s="132" t="s">
        <v>470</v>
      </c>
      <c r="E106" s="85"/>
      <c r="F106" s="111"/>
      <c r="G106" s="82"/>
      <c r="H106" s="52"/>
      <c r="I106" s="213"/>
      <c r="J106" s="213"/>
      <c r="K106" s="201"/>
      <c r="L106" s="93"/>
      <c r="M106" s="97"/>
    </row>
    <row r="107" spans="1:13" ht="23.25" customHeight="1" outlineLevel="2">
      <c r="A107" s="4" t="s">
        <v>423</v>
      </c>
      <c r="B107" s="4" t="s">
        <v>417</v>
      </c>
      <c r="C107" s="142">
        <f t="shared" ref="C107:C112" si="36">C106+0.000001</f>
        <v>3.0407010000000008</v>
      </c>
      <c r="D107" s="80" t="s">
        <v>471</v>
      </c>
      <c r="E107" s="81" t="s">
        <v>163</v>
      </c>
      <c r="F107" s="111">
        <v>8.4499999999999993</v>
      </c>
      <c r="G107" s="82">
        <v>418.91</v>
      </c>
      <c r="H107" s="52"/>
      <c r="I107" s="213" t="e">
        <f t="shared" ref="I107:I112" si="37">+ROUND(G107+H107*TC,2)</f>
        <v>#REF!</v>
      </c>
      <c r="J107" s="213">
        <f t="shared" si="27"/>
        <v>3539.79</v>
      </c>
      <c r="K107" s="201">
        <f t="shared" si="28"/>
        <v>0</v>
      </c>
      <c r="L107" s="93" t="e">
        <f t="shared" ref="L107:L112" si="38">+ROUND(J107+K107*TC,2)</f>
        <v>#REF!</v>
      </c>
      <c r="M107" s="97"/>
    </row>
    <row r="108" spans="1:13" ht="14.1" customHeight="1" outlineLevel="2">
      <c r="A108" s="4" t="s">
        <v>419</v>
      </c>
      <c r="C108" s="142">
        <f t="shared" si="36"/>
        <v>3.0407020000000009</v>
      </c>
      <c r="D108" s="80" t="s">
        <v>472</v>
      </c>
      <c r="E108" s="81" t="s">
        <v>169</v>
      </c>
      <c r="F108" s="111">
        <v>42.27</v>
      </c>
      <c r="G108" s="82">
        <v>47</v>
      </c>
      <c r="H108" s="82"/>
      <c r="I108" s="213" t="e">
        <f t="shared" si="37"/>
        <v>#REF!</v>
      </c>
      <c r="J108" s="213">
        <f t="shared" si="27"/>
        <v>1986.69</v>
      </c>
      <c r="K108" s="201">
        <f t="shared" si="28"/>
        <v>0</v>
      </c>
      <c r="L108" s="93" t="e">
        <f t="shared" si="38"/>
        <v>#REF!</v>
      </c>
      <c r="M108" s="97"/>
    </row>
    <row r="109" spans="1:13" ht="14.1" customHeight="1" outlineLevel="2">
      <c r="A109" s="4" t="s">
        <v>429</v>
      </c>
      <c r="C109" s="142">
        <f t="shared" si="36"/>
        <v>3.040703000000001</v>
      </c>
      <c r="D109" s="80" t="s">
        <v>457</v>
      </c>
      <c r="E109" s="81" t="s">
        <v>185</v>
      </c>
      <c r="F109" s="111">
        <v>2394.04</v>
      </c>
      <c r="G109" s="82">
        <v>1.19</v>
      </c>
      <c r="H109" s="82">
        <v>0.91</v>
      </c>
      <c r="I109" s="213" t="e">
        <f t="shared" si="37"/>
        <v>#REF!</v>
      </c>
      <c r="J109" s="213">
        <f t="shared" si="27"/>
        <v>2848.91</v>
      </c>
      <c r="K109" s="201">
        <f t="shared" si="28"/>
        <v>2178.58</v>
      </c>
      <c r="L109" s="93" t="e">
        <f t="shared" si="38"/>
        <v>#REF!</v>
      </c>
      <c r="M109" s="97"/>
    </row>
    <row r="110" spans="1:13" ht="14.1" customHeight="1" outlineLevel="2">
      <c r="C110" s="142">
        <f t="shared" si="36"/>
        <v>3.0407040000000012</v>
      </c>
      <c r="D110" s="89" t="s">
        <v>431</v>
      </c>
      <c r="E110" s="81" t="s">
        <v>169</v>
      </c>
      <c r="F110" s="111">
        <v>42.27</v>
      </c>
      <c r="G110" s="82">
        <v>1.44</v>
      </c>
      <c r="H110" s="82"/>
      <c r="I110" s="213" t="e">
        <f t="shared" si="37"/>
        <v>#REF!</v>
      </c>
      <c r="J110" s="213">
        <f t="shared" si="27"/>
        <v>60.87</v>
      </c>
      <c r="K110" s="201">
        <f t="shared" si="28"/>
        <v>0</v>
      </c>
      <c r="L110" s="93" t="e">
        <f t="shared" si="38"/>
        <v>#REF!</v>
      </c>
      <c r="M110" s="97"/>
    </row>
    <row r="111" spans="1:13" ht="14.1" customHeight="1" outlineLevel="2">
      <c r="C111" s="142">
        <f t="shared" si="36"/>
        <v>3.0407050000000013</v>
      </c>
      <c r="D111" s="80" t="s">
        <v>473</v>
      </c>
      <c r="E111" s="81" t="s">
        <v>169</v>
      </c>
      <c r="F111" s="111">
        <v>4.58</v>
      </c>
      <c r="G111" s="421">
        <v>12.57</v>
      </c>
      <c r="H111" s="82"/>
      <c r="I111" s="213" t="e">
        <f t="shared" si="37"/>
        <v>#REF!</v>
      </c>
      <c r="J111" s="213">
        <f t="shared" si="27"/>
        <v>57.57</v>
      </c>
      <c r="K111" s="201">
        <f t="shared" si="28"/>
        <v>0</v>
      </c>
      <c r="L111" s="93" t="e">
        <f t="shared" si="38"/>
        <v>#REF!</v>
      </c>
      <c r="M111" s="97"/>
    </row>
    <row r="112" spans="1:13" ht="14.1" customHeight="1" outlineLevel="2">
      <c r="C112" s="142">
        <f t="shared" si="36"/>
        <v>3.0407060000000015</v>
      </c>
      <c r="D112" s="80" t="s">
        <v>432</v>
      </c>
      <c r="E112" s="81" t="s">
        <v>169</v>
      </c>
      <c r="F112" s="111">
        <v>46.85</v>
      </c>
      <c r="G112" s="82">
        <v>20.09</v>
      </c>
      <c r="H112" s="82"/>
      <c r="I112" s="213" t="e">
        <f t="shared" si="37"/>
        <v>#REF!</v>
      </c>
      <c r="J112" s="213">
        <f t="shared" si="27"/>
        <v>941.22</v>
      </c>
      <c r="K112" s="201">
        <f t="shared" si="28"/>
        <v>0</v>
      </c>
      <c r="L112" s="93" t="e">
        <f t="shared" si="38"/>
        <v>#REF!</v>
      </c>
      <c r="M112" s="97"/>
    </row>
    <row r="113" spans="1:13" ht="14.1" customHeight="1" outlineLevel="1">
      <c r="C113" s="140">
        <f>C106+0.0001</f>
        <v>3.0408000000000008</v>
      </c>
      <c r="D113" s="132" t="s">
        <v>474</v>
      </c>
      <c r="E113" s="81"/>
      <c r="F113" s="111"/>
      <c r="G113" s="86"/>
      <c r="H113" s="86"/>
      <c r="I113" s="213"/>
      <c r="J113" s="213"/>
      <c r="K113" s="201"/>
      <c r="L113" s="93"/>
      <c r="M113" s="97"/>
    </row>
    <row r="114" spans="1:13" ht="12" customHeight="1" outlineLevel="2">
      <c r="A114" s="4" t="s">
        <v>423</v>
      </c>
      <c r="B114" s="4" t="s">
        <v>417</v>
      </c>
      <c r="C114" s="142">
        <f>C113+0.000001</f>
        <v>3.040801000000001</v>
      </c>
      <c r="D114" s="80" t="s">
        <v>418</v>
      </c>
      <c r="E114" s="81" t="s">
        <v>163</v>
      </c>
      <c r="F114" s="111">
        <v>14.8</v>
      </c>
      <c r="G114" s="82">
        <v>298.43</v>
      </c>
      <c r="H114" s="82"/>
      <c r="I114" s="213" t="e">
        <f>+ROUND(G114+H114*TC,2)</f>
        <v>#REF!</v>
      </c>
      <c r="J114" s="213">
        <f t="shared" si="27"/>
        <v>4416.76</v>
      </c>
      <c r="K114" s="201">
        <f t="shared" si="28"/>
        <v>0</v>
      </c>
      <c r="L114" s="93" t="e">
        <f>+ROUND(J114+K114*TC,2)</f>
        <v>#REF!</v>
      </c>
      <c r="M114" s="97"/>
    </row>
    <row r="115" spans="1:13" ht="14.1" customHeight="1" outlineLevel="2">
      <c r="A115" s="4" t="s">
        <v>419</v>
      </c>
      <c r="C115" s="142">
        <f>C114+0.000001</f>
        <v>3.0408020000000011</v>
      </c>
      <c r="D115" s="80" t="s">
        <v>475</v>
      </c>
      <c r="E115" s="81" t="s">
        <v>169</v>
      </c>
      <c r="F115" s="111">
        <v>20.56</v>
      </c>
      <c r="G115" s="82">
        <v>44.2</v>
      </c>
      <c r="H115" s="82"/>
      <c r="I115" s="213" t="e">
        <f>+ROUND(G115+H115*TC,2)</f>
        <v>#REF!</v>
      </c>
      <c r="J115" s="213">
        <f t="shared" si="27"/>
        <v>908.75</v>
      </c>
      <c r="K115" s="201">
        <f t="shared" si="28"/>
        <v>0</v>
      </c>
      <c r="L115" s="93" t="e">
        <f>+ROUND(J115+K115*TC,2)</f>
        <v>#REF!</v>
      </c>
      <c r="M115" s="97"/>
    </row>
    <row r="116" spans="1:13" ht="14.1" customHeight="1" outlineLevel="2">
      <c r="A116" s="4" t="s">
        <v>429</v>
      </c>
      <c r="C116" s="142">
        <f t="shared" ref="C116" si="39">C115+0.000001</f>
        <v>3.0408030000000013</v>
      </c>
      <c r="D116" s="80" t="s">
        <v>457</v>
      </c>
      <c r="E116" s="81" t="s">
        <v>185</v>
      </c>
      <c r="F116" s="111">
        <v>286.08999999999997</v>
      </c>
      <c r="G116" s="82">
        <v>1.19</v>
      </c>
      <c r="H116" s="82">
        <v>0.91</v>
      </c>
      <c r="I116" s="213" t="e">
        <f t="shared" ref="I116" si="40">+ROUND(G116+H116*TC,2)</f>
        <v>#REF!</v>
      </c>
      <c r="J116" s="213">
        <f t="shared" ref="J116" si="41">+ROUND(F116*G116,2)</f>
        <v>340.45</v>
      </c>
      <c r="K116" s="201">
        <f t="shared" ref="K116" si="42">+ROUND(F116*H116,2)</f>
        <v>260.33999999999997</v>
      </c>
      <c r="L116" s="93" t="e">
        <f t="shared" ref="L116" si="43">+ROUND(J116+K116*TC,2)</f>
        <v>#REF!</v>
      </c>
      <c r="M116" s="97"/>
    </row>
    <row r="117" spans="1:13" ht="14.1" customHeight="1" outlineLevel="2">
      <c r="C117" s="142">
        <f>C116+0.000001</f>
        <v>3.0408040000000014</v>
      </c>
      <c r="D117" s="89" t="s">
        <v>431</v>
      </c>
      <c r="E117" s="81" t="s">
        <v>169</v>
      </c>
      <c r="F117" s="111">
        <v>20.56</v>
      </c>
      <c r="G117" s="82">
        <v>1.44</v>
      </c>
      <c r="H117" s="82"/>
      <c r="I117" s="213" t="e">
        <f>+ROUND(G117+H117*TC,2)</f>
        <v>#REF!</v>
      </c>
      <c r="J117" s="213">
        <f t="shared" si="27"/>
        <v>29.61</v>
      </c>
      <c r="K117" s="201">
        <f t="shared" si="28"/>
        <v>0</v>
      </c>
      <c r="L117" s="93" t="e">
        <f>+ROUND(J117+K117*TC,2)</f>
        <v>#REF!</v>
      </c>
      <c r="M117" s="97"/>
    </row>
    <row r="118" spans="1:13" ht="14.1" customHeight="1" outlineLevel="1">
      <c r="C118" s="140">
        <f>C113+0.0001</f>
        <v>3.040900000000001</v>
      </c>
      <c r="D118" s="132" t="s">
        <v>476</v>
      </c>
      <c r="E118" s="81"/>
      <c r="F118" s="111"/>
      <c r="G118" s="86"/>
      <c r="H118" s="86"/>
      <c r="I118" s="213"/>
      <c r="J118" s="213"/>
      <c r="K118" s="201"/>
      <c r="L118" s="93"/>
      <c r="M118" s="97"/>
    </row>
    <row r="119" spans="1:13" ht="23.25" customHeight="1" outlineLevel="2">
      <c r="A119" s="4" t="s">
        <v>423</v>
      </c>
      <c r="B119" s="4" t="s">
        <v>477</v>
      </c>
      <c r="C119" s="142">
        <f>C118+0.000001</f>
        <v>3.0409010000000012</v>
      </c>
      <c r="D119" s="80" t="s">
        <v>478</v>
      </c>
      <c r="E119" s="81" t="s">
        <v>163</v>
      </c>
      <c r="F119" s="111">
        <v>55.9</v>
      </c>
      <c r="G119" s="82">
        <v>476.14</v>
      </c>
      <c r="H119" s="82"/>
      <c r="I119" s="213" t="e">
        <f t="shared" ref="I119:I125" si="44">+ROUND(G119+H119*TC,2)</f>
        <v>#REF!</v>
      </c>
      <c r="J119" s="213">
        <f t="shared" si="27"/>
        <v>26616.23</v>
      </c>
      <c r="K119" s="201">
        <f t="shared" si="28"/>
        <v>0</v>
      </c>
      <c r="L119" s="93" t="e">
        <f t="shared" ref="L119:L125" si="45">+ROUND(J119+K119*TC,2)</f>
        <v>#REF!</v>
      </c>
      <c r="M119" s="97"/>
    </row>
    <row r="120" spans="1:13" ht="14.1" customHeight="1" outlineLevel="2">
      <c r="A120" s="4" t="s">
        <v>429</v>
      </c>
      <c r="C120" s="142">
        <f>C119+0.000001</f>
        <v>3.0409020000000013</v>
      </c>
      <c r="D120" s="80" t="s">
        <v>457</v>
      </c>
      <c r="E120" s="81" t="s">
        <v>185</v>
      </c>
      <c r="F120" s="111">
        <v>0</v>
      </c>
      <c r="G120" s="82">
        <v>1.19</v>
      </c>
      <c r="H120" s="82">
        <v>0.91</v>
      </c>
      <c r="I120" s="213" t="e">
        <f t="shared" si="44"/>
        <v>#REF!</v>
      </c>
      <c r="J120" s="213">
        <f t="shared" si="27"/>
        <v>0</v>
      </c>
      <c r="K120" s="201">
        <f t="shared" si="28"/>
        <v>0</v>
      </c>
      <c r="L120" s="93" t="e">
        <f t="shared" si="45"/>
        <v>#REF!</v>
      </c>
      <c r="M120" s="97"/>
    </row>
    <row r="121" spans="1:13" ht="14.1" customHeight="1" outlineLevel="2">
      <c r="C121" s="142">
        <f>C120+0.000001</f>
        <v>3.0409030000000015</v>
      </c>
      <c r="D121" s="89" t="s">
        <v>431</v>
      </c>
      <c r="E121" s="81" t="s">
        <v>169</v>
      </c>
      <c r="F121" s="111">
        <v>559</v>
      </c>
      <c r="G121" s="82">
        <v>1.44</v>
      </c>
      <c r="H121" s="82"/>
      <c r="I121" s="213" t="e">
        <f t="shared" si="44"/>
        <v>#REF!</v>
      </c>
      <c r="J121" s="213">
        <f t="shared" si="27"/>
        <v>804.96</v>
      </c>
      <c r="K121" s="201">
        <f t="shared" si="28"/>
        <v>0</v>
      </c>
      <c r="L121" s="93" t="e">
        <f t="shared" si="45"/>
        <v>#REF!</v>
      </c>
      <c r="M121" s="97"/>
    </row>
    <row r="122" spans="1:13" ht="14.1" customHeight="1" outlineLevel="1">
      <c r="C122" s="140">
        <f>C118+0.0001</f>
        <v>3.0410000000000013</v>
      </c>
      <c r="D122" s="132" t="s">
        <v>479</v>
      </c>
      <c r="E122" s="81"/>
      <c r="F122" s="111">
        <v>0</v>
      </c>
      <c r="G122" s="86"/>
      <c r="H122" s="86"/>
      <c r="I122" s="213" t="e">
        <f t="shared" si="44"/>
        <v>#REF!</v>
      </c>
      <c r="J122" s="213">
        <f t="shared" si="27"/>
        <v>0</v>
      </c>
      <c r="K122" s="201">
        <f t="shared" si="28"/>
        <v>0</v>
      </c>
      <c r="L122" s="93" t="e">
        <f t="shared" si="45"/>
        <v>#REF!</v>
      </c>
      <c r="M122" s="97"/>
    </row>
    <row r="123" spans="1:13" ht="14.1" customHeight="1" outlineLevel="2">
      <c r="C123" s="142">
        <f>C122+0.000001</f>
        <v>3.0410010000000014</v>
      </c>
      <c r="D123" s="80" t="s">
        <v>480</v>
      </c>
      <c r="E123" s="81" t="s">
        <v>46</v>
      </c>
      <c r="F123" s="111">
        <v>50.37</v>
      </c>
      <c r="G123" s="421">
        <v>30.81</v>
      </c>
      <c r="H123" s="82"/>
      <c r="I123" s="213" t="e">
        <f t="shared" si="44"/>
        <v>#REF!</v>
      </c>
      <c r="J123" s="213">
        <f t="shared" si="27"/>
        <v>1551.9</v>
      </c>
      <c r="K123" s="201">
        <f t="shared" si="28"/>
        <v>0</v>
      </c>
      <c r="L123" s="93" t="e">
        <f t="shared" si="45"/>
        <v>#REF!</v>
      </c>
      <c r="M123" s="97"/>
    </row>
    <row r="124" spans="1:13" ht="14.1" customHeight="1" outlineLevel="2">
      <c r="C124" s="142">
        <f>C123+0.000001</f>
        <v>3.0410020000000015</v>
      </c>
      <c r="D124" s="80" t="s">
        <v>481</v>
      </c>
      <c r="E124" s="81" t="s">
        <v>46</v>
      </c>
      <c r="F124" s="111">
        <v>301.10000000000002</v>
      </c>
      <c r="G124" s="421">
        <v>22.49</v>
      </c>
      <c r="H124" s="82"/>
      <c r="I124" s="213" t="e">
        <f t="shared" si="44"/>
        <v>#REF!</v>
      </c>
      <c r="J124" s="213">
        <f t="shared" si="27"/>
        <v>6771.74</v>
      </c>
      <c r="K124" s="201">
        <f t="shared" si="28"/>
        <v>0</v>
      </c>
      <c r="L124" s="93" t="e">
        <f t="shared" si="45"/>
        <v>#REF!</v>
      </c>
      <c r="M124" s="97"/>
    </row>
    <row r="125" spans="1:13" ht="14.1" customHeight="1" outlineLevel="2">
      <c r="C125" s="142">
        <f>C124+0.000001</f>
        <v>3.0410030000000017</v>
      </c>
      <c r="D125" s="80" t="s">
        <v>482</v>
      </c>
      <c r="E125" s="81" t="s">
        <v>46</v>
      </c>
      <c r="F125" s="111">
        <v>213.12</v>
      </c>
      <c r="G125" s="421">
        <v>16.03</v>
      </c>
      <c r="H125" s="82"/>
      <c r="I125" s="213" t="e">
        <f t="shared" si="44"/>
        <v>#REF!</v>
      </c>
      <c r="J125" s="213">
        <f t="shared" si="27"/>
        <v>3416.31</v>
      </c>
      <c r="K125" s="201">
        <f t="shared" si="28"/>
        <v>0</v>
      </c>
      <c r="L125" s="93" t="e">
        <f t="shared" si="45"/>
        <v>#REF!</v>
      </c>
      <c r="M125" s="97"/>
    </row>
    <row r="126" spans="1:13" ht="14.1" customHeight="1" outlineLevel="1">
      <c r="C126" s="140">
        <f>C122+0.0001</f>
        <v>3.0411000000000015</v>
      </c>
      <c r="D126" s="132" t="s">
        <v>483</v>
      </c>
      <c r="E126" s="81"/>
      <c r="F126" s="111"/>
      <c r="G126" s="86"/>
      <c r="H126" s="86"/>
      <c r="I126" s="213"/>
      <c r="J126" s="213"/>
      <c r="K126" s="201"/>
      <c r="L126" s="93"/>
      <c r="M126" s="97"/>
    </row>
    <row r="127" spans="1:13" ht="23.25" customHeight="1" outlineLevel="2">
      <c r="A127" s="4" t="s">
        <v>423</v>
      </c>
      <c r="B127" s="4" t="s">
        <v>477</v>
      </c>
      <c r="C127" s="142">
        <f t="shared" ref="C127:C176" si="46">C126+0.000001</f>
        <v>3.0411010000000016</v>
      </c>
      <c r="D127" s="89" t="s">
        <v>426</v>
      </c>
      <c r="E127" s="81" t="s">
        <v>163</v>
      </c>
      <c r="F127" s="111">
        <v>6.66</v>
      </c>
      <c r="G127" s="82">
        <v>508.15</v>
      </c>
      <c r="H127" s="82"/>
      <c r="I127" s="213" t="e">
        <f>+ROUND(G127+H127*TC,2)</f>
        <v>#REF!</v>
      </c>
      <c r="J127" s="213">
        <f t="shared" si="27"/>
        <v>3384.28</v>
      </c>
      <c r="K127" s="201">
        <f t="shared" si="28"/>
        <v>0</v>
      </c>
      <c r="L127" s="93" t="e">
        <f>+ROUND(J127+K127*TC,2)</f>
        <v>#REF!</v>
      </c>
      <c r="M127" s="97"/>
    </row>
    <row r="128" spans="1:13" ht="14.1" customHeight="1" outlineLevel="2">
      <c r="A128" s="4" t="s">
        <v>419</v>
      </c>
      <c r="C128" s="142">
        <f t="shared" si="46"/>
        <v>3.0411020000000017</v>
      </c>
      <c r="D128" s="89" t="s">
        <v>428</v>
      </c>
      <c r="E128" s="81" t="s">
        <v>169</v>
      </c>
      <c r="F128" s="111">
        <v>22.21</v>
      </c>
      <c r="G128" s="82">
        <v>45</v>
      </c>
      <c r="H128" s="82"/>
      <c r="I128" s="213" t="e">
        <f>+ROUND(G128+H128*TC,2)</f>
        <v>#REF!</v>
      </c>
      <c r="J128" s="213">
        <f t="shared" si="27"/>
        <v>999.45</v>
      </c>
      <c r="K128" s="201">
        <f t="shared" si="28"/>
        <v>0</v>
      </c>
      <c r="L128" s="93" t="e">
        <f>+ROUND(J128+K128*TC,2)</f>
        <v>#REF!</v>
      </c>
      <c r="M128" s="97"/>
    </row>
    <row r="129" spans="1:13" ht="14.1" customHeight="1" outlineLevel="2">
      <c r="A129" s="4" t="s">
        <v>429</v>
      </c>
      <c r="C129" s="142">
        <f t="shared" si="46"/>
        <v>3.0411030000000019</v>
      </c>
      <c r="D129" s="80" t="s">
        <v>457</v>
      </c>
      <c r="E129" s="81" t="s">
        <v>185</v>
      </c>
      <c r="F129" s="111">
        <v>189.79</v>
      </c>
      <c r="G129" s="82">
        <v>1.19</v>
      </c>
      <c r="H129" s="82">
        <v>0.91</v>
      </c>
      <c r="I129" s="213" t="e">
        <f>+ROUND(G129+H129*TC,2)</f>
        <v>#REF!</v>
      </c>
      <c r="J129" s="213">
        <f t="shared" si="27"/>
        <v>225.85</v>
      </c>
      <c r="K129" s="201">
        <f t="shared" si="28"/>
        <v>172.71</v>
      </c>
      <c r="L129" s="93" t="e">
        <f>+ROUND(J129+K129*TC,2)</f>
        <v>#REF!</v>
      </c>
      <c r="M129" s="97"/>
    </row>
    <row r="130" spans="1:13" ht="14.1" customHeight="1" outlineLevel="2">
      <c r="C130" s="142">
        <f t="shared" si="46"/>
        <v>3.041104000000002</v>
      </c>
      <c r="D130" s="80" t="s">
        <v>431</v>
      </c>
      <c r="E130" s="81" t="s">
        <v>169</v>
      </c>
      <c r="F130" s="111">
        <v>22.21</v>
      </c>
      <c r="G130" s="82">
        <v>1.44</v>
      </c>
      <c r="H130" s="82"/>
      <c r="I130" s="213" t="e">
        <f>+ROUND(G130+H130*TC,2)</f>
        <v>#REF!</v>
      </c>
      <c r="J130" s="213">
        <f t="shared" si="27"/>
        <v>31.98</v>
      </c>
      <c r="K130" s="201">
        <f t="shared" si="28"/>
        <v>0</v>
      </c>
      <c r="L130" s="93" t="e">
        <f>+ROUND(J130+K130*TC,2)</f>
        <v>#REF!</v>
      </c>
      <c r="M130" s="97"/>
    </row>
    <row r="131" spans="1:13" ht="14.1" customHeight="1" outlineLevel="1">
      <c r="C131" s="140">
        <f>C126+0.0001</f>
        <v>3.0412000000000017</v>
      </c>
      <c r="D131" s="132" t="s">
        <v>484</v>
      </c>
      <c r="E131" s="81"/>
      <c r="F131" s="111"/>
      <c r="G131" s="86"/>
      <c r="H131" s="86"/>
      <c r="I131" s="213"/>
      <c r="J131" s="213"/>
      <c r="K131" s="201"/>
      <c r="L131" s="93"/>
      <c r="M131" s="97"/>
    </row>
    <row r="132" spans="1:13" ht="23.25" customHeight="1" outlineLevel="2">
      <c r="A132" s="4" t="s">
        <v>423</v>
      </c>
      <c r="B132" s="4" t="s">
        <v>477</v>
      </c>
      <c r="C132" s="142">
        <f t="shared" si="46"/>
        <v>3.0412010000000018</v>
      </c>
      <c r="D132" s="88" t="s">
        <v>485</v>
      </c>
      <c r="E132" s="81" t="s">
        <v>163</v>
      </c>
      <c r="F132" s="111">
        <v>27.89</v>
      </c>
      <c r="G132" s="82">
        <v>474.96</v>
      </c>
      <c r="H132" s="82"/>
      <c r="I132" s="213" t="e">
        <f>+ROUND(G132+H132*TC,2)</f>
        <v>#REF!</v>
      </c>
      <c r="J132" s="213">
        <f t="shared" si="27"/>
        <v>13246.63</v>
      </c>
      <c r="K132" s="201">
        <f t="shared" si="28"/>
        <v>0</v>
      </c>
      <c r="L132" s="93" t="e">
        <f>+ROUND(J132+K132*TC,2)</f>
        <v>#REF!</v>
      </c>
      <c r="M132" s="97"/>
    </row>
    <row r="133" spans="1:13" ht="14.1" customHeight="1" outlineLevel="2">
      <c r="A133" s="4" t="s">
        <v>429</v>
      </c>
      <c r="C133" s="142">
        <f t="shared" si="46"/>
        <v>3.041202000000002</v>
      </c>
      <c r="D133" s="80" t="s">
        <v>457</v>
      </c>
      <c r="E133" s="81" t="s">
        <v>185</v>
      </c>
      <c r="F133" s="111">
        <v>782.77</v>
      </c>
      <c r="G133" s="82">
        <v>1.19</v>
      </c>
      <c r="H133" s="82">
        <v>0.91</v>
      </c>
      <c r="I133" s="213" t="e">
        <f>+ROUND(G133+H133*TC,2)</f>
        <v>#REF!</v>
      </c>
      <c r="J133" s="213">
        <f t="shared" si="27"/>
        <v>931.5</v>
      </c>
      <c r="K133" s="201">
        <f t="shared" si="28"/>
        <v>712.32</v>
      </c>
      <c r="L133" s="93" t="e">
        <f>+ROUND(J133+K133*TC,2)</f>
        <v>#REF!</v>
      </c>
      <c r="M133" s="97"/>
    </row>
    <row r="134" spans="1:13" ht="14.1" customHeight="1" outlineLevel="2">
      <c r="C134" s="142">
        <f t="shared" si="46"/>
        <v>3.0412030000000021</v>
      </c>
      <c r="D134" s="88" t="s">
        <v>431</v>
      </c>
      <c r="E134" s="81" t="s">
        <v>169</v>
      </c>
      <c r="F134" s="111">
        <v>139.47</v>
      </c>
      <c r="G134" s="82">
        <v>1.44</v>
      </c>
      <c r="H134" s="82"/>
      <c r="I134" s="213" t="e">
        <f>+ROUND(G134+H134*TC,2)</f>
        <v>#REF!</v>
      </c>
      <c r="J134" s="213">
        <f t="shared" si="27"/>
        <v>200.84</v>
      </c>
      <c r="K134" s="201">
        <f t="shared" si="28"/>
        <v>0</v>
      </c>
      <c r="L134" s="93" t="e">
        <f>+ROUND(J134+K134*TC,2)</f>
        <v>#REF!</v>
      </c>
      <c r="M134" s="97"/>
    </row>
    <row r="135" spans="1:13" ht="14.1" customHeight="1" outlineLevel="1">
      <c r="C135" s="140">
        <f>C131+0.0001</f>
        <v>3.0413000000000019</v>
      </c>
      <c r="D135" s="132" t="s">
        <v>486</v>
      </c>
      <c r="E135" s="81"/>
      <c r="F135" s="111"/>
      <c r="G135" s="86"/>
      <c r="H135" s="86"/>
      <c r="I135" s="213"/>
      <c r="J135" s="213"/>
      <c r="K135" s="201"/>
      <c r="L135" s="93"/>
      <c r="M135" s="97"/>
    </row>
    <row r="136" spans="1:13" ht="27" customHeight="1" outlineLevel="2">
      <c r="A136" s="4" t="s">
        <v>423</v>
      </c>
      <c r="B136" s="4" t="s">
        <v>477</v>
      </c>
      <c r="C136" s="142">
        <f t="shared" si="46"/>
        <v>3.041301000000002</v>
      </c>
      <c r="D136" s="88" t="s">
        <v>485</v>
      </c>
      <c r="E136" s="81" t="s">
        <v>163</v>
      </c>
      <c r="F136" s="111">
        <v>0</v>
      </c>
      <c r="G136" s="82">
        <v>474.96</v>
      </c>
      <c r="H136" s="82"/>
      <c r="I136" s="213" t="e">
        <f t="shared" ref="I136:I141" si="47">+ROUND(G136+H136*TC,2)</f>
        <v>#REF!</v>
      </c>
      <c r="J136" s="213">
        <f t="shared" si="27"/>
        <v>0</v>
      </c>
      <c r="K136" s="201">
        <f t="shared" si="28"/>
        <v>0</v>
      </c>
      <c r="L136" s="93" t="e">
        <f t="shared" ref="L136:L141" si="48">+ROUND(J136+K136*TC,2)</f>
        <v>#REF!</v>
      </c>
      <c r="M136" s="97"/>
    </row>
    <row r="137" spans="1:13" ht="27" customHeight="1" outlineLevel="2">
      <c r="A137" s="4" t="s">
        <v>423</v>
      </c>
      <c r="C137" s="142">
        <f t="shared" si="46"/>
        <v>3.0413020000000022</v>
      </c>
      <c r="D137" s="88" t="s">
        <v>487</v>
      </c>
      <c r="E137" s="81" t="s">
        <v>163</v>
      </c>
      <c r="F137" s="111">
        <v>61.94</v>
      </c>
      <c r="G137" s="82">
        <v>481.46</v>
      </c>
      <c r="H137" s="82"/>
      <c r="I137" s="213" t="e">
        <f t="shared" si="47"/>
        <v>#REF!</v>
      </c>
      <c r="J137" s="213">
        <f t="shared" si="27"/>
        <v>29821.63</v>
      </c>
      <c r="K137" s="201">
        <f t="shared" si="28"/>
        <v>0</v>
      </c>
      <c r="L137" s="93" t="e">
        <f t="shared" si="48"/>
        <v>#REF!</v>
      </c>
      <c r="M137" s="97"/>
    </row>
    <row r="138" spans="1:13" ht="14.1" customHeight="1" outlineLevel="2">
      <c r="A138" s="4" t="s">
        <v>419</v>
      </c>
      <c r="C138" s="142">
        <f t="shared" si="46"/>
        <v>3.0413030000000023</v>
      </c>
      <c r="D138" s="89" t="s">
        <v>488</v>
      </c>
      <c r="E138" s="81" t="s">
        <v>169</v>
      </c>
      <c r="F138" s="111">
        <v>470.83</v>
      </c>
      <c r="G138" s="82">
        <v>55.1</v>
      </c>
      <c r="H138" s="82"/>
      <c r="I138" s="213" t="e">
        <f t="shared" si="47"/>
        <v>#REF!</v>
      </c>
      <c r="J138" s="213">
        <f t="shared" si="27"/>
        <v>25942.73</v>
      </c>
      <c r="K138" s="201">
        <f t="shared" si="28"/>
        <v>0</v>
      </c>
      <c r="L138" s="93" t="e">
        <f t="shared" si="48"/>
        <v>#REF!</v>
      </c>
      <c r="M138" s="97"/>
    </row>
    <row r="139" spans="1:13" ht="14.1" customHeight="1" outlineLevel="2">
      <c r="A139" s="4" t="s">
        <v>429</v>
      </c>
      <c r="C139" s="142">
        <f t="shared" si="46"/>
        <v>3.0413040000000024</v>
      </c>
      <c r="D139" s="80" t="s">
        <v>457</v>
      </c>
      <c r="E139" s="81" t="s">
        <v>185</v>
      </c>
      <c r="F139" s="111">
        <v>5905.91</v>
      </c>
      <c r="G139" s="82">
        <v>1.19</v>
      </c>
      <c r="H139" s="82">
        <v>0.91</v>
      </c>
      <c r="I139" s="213" t="e">
        <f t="shared" si="47"/>
        <v>#REF!</v>
      </c>
      <c r="J139" s="213">
        <f t="shared" si="27"/>
        <v>7028.03</v>
      </c>
      <c r="K139" s="201">
        <f t="shared" si="28"/>
        <v>5374.38</v>
      </c>
      <c r="L139" s="93" t="e">
        <f t="shared" si="48"/>
        <v>#REF!</v>
      </c>
      <c r="M139" s="97"/>
    </row>
    <row r="140" spans="1:13" ht="14.1" customHeight="1" outlineLevel="2">
      <c r="C140" s="142">
        <f t="shared" si="46"/>
        <v>3.0413050000000026</v>
      </c>
      <c r="D140" s="88" t="s">
        <v>431</v>
      </c>
      <c r="E140" s="81" t="s">
        <v>169</v>
      </c>
      <c r="F140" s="111">
        <v>470.83</v>
      </c>
      <c r="G140" s="82">
        <v>1.44</v>
      </c>
      <c r="H140" s="82"/>
      <c r="I140" s="213" t="e">
        <f t="shared" si="47"/>
        <v>#REF!</v>
      </c>
      <c r="J140" s="213">
        <f t="shared" si="27"/>
        <v>678</v>
      </c>
      <c r="K140" s="201">
        <f t="shared" si="28"/>
        <v>0</v>
      </c>
      <c r="L140" s="93" t="e">
        <f t="shared" si="48"/>
        <v>#REF!</v>
      </c>
      <c r="M140" s="97"/>
    </row>
    <row r="141" spans="1:13" ht="14.1" customHeight="1" outlineLevel="2">
      <c r="C141" s="142">
        <f t="shared" si="46"/>
        <v>3.0413060000000027</v>
      </c>
      <c r="D141" s="88" t="s">
        <v>489</v>
      </c>
      <c r="E141" s="81" t="s">
        <v>46</v>
      </c>
      <c r="F141" s="111">
        <v>95.45</v>
      </c>
      <c r="G141" s="82">
        <v>30.57</v>
      </c>
      <c r="H141" s="82"/>
      <c r="I141" s="213" t="e">
        <f t="shared" si="47"/>
        <v>#REF!</v>
      </c>
      <c r="J141" s="213">
        <f t="shared" si="27"/>
        <v>2917.91</v>
      </c>
      <c r="K141" s="201">
        <f t="shared" si="28"/>
        <v>0</v>
      </c>
      <c r="L141" s="93" t="e">
        <f t="shared" si="48"/>
        <v>#REF!</v>
      </c>
      <c r="M141" s="97"/>
    </row>
    <row r="142" spans="1:13" ht="14.1" customHeight="1" outlineLevel="1">
      <c r="C142" s="140">
        <f>C135+0.0001</f>
        <v>3.0414000000000021</v>
      </c>
      <c r="D142" s="132" t="s">
        <v>490</v>
      </c>
      <c r="E142" s="81"/>
      <c r="F142" s="111"/>
      <c r="G142" s="86"/>
      <c r="H142" s="86"/>
      <c r="I142" s="213"/>
      <c r="J142" s="213"/>
      <c r="K142" s="201"/>
      <c r="L142" s="93"/>
      <c r="M142" s="97"/>
    </row>
    <row r="143" spans="1:13" ht="23.25" customHeight="1" outlineLevel="2">
      <c r="A143" s="4" t="s">
        <v>423</v>
      </c>
      <c r="B143" s="4" t="s">
        <v>477</v>
      </c>
      <c r="C143" s="142">
        <f t="shared" si="46"/>
        <v>3.0414010000000022</v>
      </c>
      <c r="D143" s="88" t="s">
        <v>485</v>
      </c>
      <c r="E143" s="81" t="s">
        <v>163</v>
      </c>
      <c r="F143" s="111">
        <v>3.73</v>
      </c>
      <c r="G143" s="82">
        <v>474.96</v>
      </c>
      <c r="H143" s="82"/>
      <c r="I143" s="213" t="e">
        <f t="shared" ref="I143:I164" si="49">+ROUND(G143+H143*TC,2)</f>
        <v>#REF!</v>
      </c>
      <c r="J143" s="213">
        <f t="shared" si="27"/>
        <v>1771.6</v>
      </c>
      <c r="K143" s="201">
        <f t="shared" si="28"/>
        <v>0</v>
      </c>
      <c r="L143" s="93" t="e">
        <f t="shared" ref="L143:L164" si="50">+ROUND(J143+K143*TC,2)</f>
        <v>#REF!</v>
      </c>
      <c r="M143" s="97"/>
    </row>
    <row r="144" spans="1:13" ht="14.1" customHeight="1" outlineLevel="2">
      <c r="A144" s="4" t="s">
        <v>419</v>
      </c>
      <c r="C144" s="142">
        <f t="shared" si="46"/>
        <v>3.0414020000000024</v>
      </c>
      <c r="D144" s="89" t="s">
        <v>491</v>
      </c>
      <c r="E144" s="81" t="s">
        <v>169</v>
      </c>
      <c r="F144" s="111">
        <v>29.7</v>
      </c>
      <c r="G144" s="82">
        <v>46.6</v>
      </c>
      <c r="H144" s="82"/>
      <c r="I144" s="213" t="e">
        <f t="shared" si="49"/>
        <v>#REF!</v>
      </c>
      <c r="J144" s="213">
        <f t="shared" si="27"/>
        <v>1384.02</v>
      </c>
      <c r="K144" s="201">
        <f t="shared" si="28"/>
        <v>0</v>
      </c>
      <c r="L144" s="93" t="e">
        <f t="shared" si="50"/>
        <v>#REF!</v>
      </c>
      <c r="M144" s="97"/>
    </row>
    <row r="145" spans="1:13" ht="14.1" customHeight="1" outlineLevel="2">
      <c r="A145" s="4" t="s">
        <v>429</v>
      </c>
      <c r="C145" s="142">
        <f t="shared" si="46"/>
        <v>3.0414030000000025</v>
      </c>
      <c r="D145" s="80" t="s">
        <v>457</v>
      </c>
      <c r="E145" s="81" t="s">
        <v>185</v>
      </c>
      <c r="F145" s="111">
        <v>290.27</v>
      </c>
      <c r="G145" s="82">
        <v>1.19</v>
      </c>
      <c r="H145" s="82">
        <v>0.91</v>
      </c>
      <c r="I145" s="213" t="e">
        <f t="shared" si="49"/>
        <v>#REF!</v>
      </c>
      <c r="J145" s="213">
        <f t="shared" si="27"/>
        <v>345.42</v>
      </c>
      <c r="K145" s="201">
        <f t="shared" si="28"/>
        <v>264.14999999999998</v>
      </c>
      <c r="L145" s="93" t="e">
        <f t="shared" si="50"/>
        <v>#REF!</v>
      </c>
      <c r="M145" s="97"/>
    </row>
    <row r="146" spans="1:13" ht="12" customHeight="1" outlineLevel="2">
      <c r="C146" s="142">
        <f t="shared" si="46"/>
        <v>3.0414040000000027</v>
      </c>
      <c r="D146" s="88" t="s">
        <v>431</v>
      </c>
      <c r="E146" s="81" t="s">
        <v>169</v>
      </c>
      <c r="F146" s="111">
        <v>29.7</v>
      </c>
      <c r="G146" s="82">
        <v>1.44</v>
      </c>
      <c r="H146" s="82"/>
      <c r="I146" s="213" t="e">
        <f t="shared" si="49"/>
        <v>#REF!</v>
      </c>
      <c r="J146" s="213">
        <f t="shared" si="27"/>
        <v>42.77</v>
      </c>
      <c r="K146" s="201">
        <f t="shared" si="28"/>
        <v>0</v>
      </c>
      <c r="L146" s="93" t="e">
        <f t="shared" si="50"/>
        <v>#REF!</v>
      </c>
      <c r="M146" s="97"/>
    </row>
    <row r="147" spans="1:13" ht="14.1" customHeight="1" outlineLevel="1">
      <c r="C147" s="140">
        <f>C142+0.0001</f>
        <v>3.0415000000000023</v>
      </c>
      <c r="D147" s="435" t="s">
        <v>492</v>
      </c>
      <c r="E147" s="81"/>
      <c r="F147" s="111">
        <v>0</v>
      </c>
      <c r="G147" s="86"/>
      <c r="H147" s="86"/>
      <c r="I147" s="213" t="e">
        <f t="shared" si="49"/>
        <v>#REF!</v>
      </c>
      <c r="J147" s="213">
        <f t="shared" si="27"/>
        <v>0</v>
      </c>
      <c r="K147" s="201">
        <f t="shared" si="28"/>
        <v>0</v>
      </c>
      <c r="L147" s="93" t="e">
        <f t="shared" si="50"/>
        <v>#REF!</v>
      </c>
      <c r="M147" s="97"/>
    </row>
    <row r="148" spans="1:13" ht="14.1" customHeight="1" outlineLevel="2">
      <c r="A148" s="4" t="s">
        <v>423</v>
      </c>
      <c r="B148" s="4" t="s">
        <v>477</v>
      </c>
      <c r="C148" s="142">
        <f t="shared" si="46"/>
        <v>3.0415010000000025</v>
      </c>
      <c r="D148" s="436" t="s">
        <v>493</v>
      </c>
      <c r="E148" s="81" t="s">
        <v>163</v>
      </c>
      <c r="F148" s="111">
        <v>89.99</v>
      </c>
      <c r="G148" s="82">
        <v>412.45</v>
      </c>
      <c r="H148" s="82"/>
      <c r="I148" s="213" t="e">
        <f t="shared" si="49"/>
        <v>#REF!</v>
      </c>
      <c r="J148" s="213">
        <f t="shared" si="27"/>
        <v>37116.379999999997</v>
      </c>
      <c r="K148" s="201">
        <f t="shared" si="28"/>
        <v>0</v>
      </c>
      <c r="L148" s="93" t="e">
        <f t="shared" si="50"/>
        <v>#REF!</v>
      </c>
      <c r="M148" s="97"/>
    </row>
    <row r="149" spans="1:13" ht="14.1" customHeight="1" outlineLevel="2">
      <c r="A149" s="4" t="s">
        <v>419</v>
      </c>
      <c r="C149" s="142">
        <f t="shared" si="46"/>
        <v>3.0415020000000026</v>
      </c>
      <c r="D149" s="436" t="s">
        <v>455</v>
      </c>
      <c r="E149" s="81" t="s">
        <v>169</v>
      </c>
      <c r="F149" s="111">
        <v>969.42</v>
      </c>
      <c r="G149" s="82">
        <v>43.7</v>
      </c>
      <c r="H149" s="82"/>
      <c r="I149" s="213" t="e">
        <f t="shared" si="49"/>
        <v>#REF!</v>
      </c>
      <c r="J149" s="213">
        <f t="shared" si="27"/>
        <v>42363.65</v>
      </c>
      <c r="K149" s="201">
        <f t="shared" si="28"/>
        <v>0</v>
      </c>
      <c r="L149" s="93" t="e">
        <f t="shared" si="50"/>
        <v>#REF!</v>
      </c>
      <c r="M149" s="97"/>
    </row>
    <row r="150" spans="1:13" ht="14.1" customHeight="1" outlineLevel="2">
      <c r="A150" s="4" t="s">
        <v>419</v>
      </c>
      <c r="C150" s="142">
        <f t="shared" si="46"/>
        <v>3.0415030000000027</v>
      </c>
      <c r="D150" s="436" t="s">
        <v>456</v>
      </c>
      <c r="E150" s="81" t="s">
        <v>169</v>
      </c>
      <c r="F150" s="111">
        <v>65.36</v>
      </c>
      <c r="G150" s="82">
        <v>51.7</v>
      </c>
      <c r="H150" s="82"/>
      <c r="I150" s="213" t="e">
        <f t="shared" si="49"/>
        <v>#REF!</v>
      </c>
      <c r="J150" s="213">
        <f t="shared" si="27"/>
        <v>3379.11</v>
      </c>
      <c r="K150" s="201">
        <f t="shared" si="28"/>
        <v>0</v>
      </c>
      <c r="L150" s="93" t="e">
        <f t="shared" si="50"/>
        <v>#REF!</v>
      </c>
      <c r="M150" s="97"/>
    </row>
    <row r="151" spans="1:13" ht="14.1" customHeight="1" outlineLevel="2">
      <c r="A151" s="4" t="s">
        <v>429</v>
      </c>
      <c r="C151" s="142">
        <f t="shared" si="46"/>
        <v>3.0415040000000029</v>
      </c>
      <c r="D151" s="436" t="s">
        <v>457</v>
      </c>
      <c r="E151" s="81" t="s">
        <v>185</v>
      </c>
      <c r="F151" s="111">
        <v>5543.47</v>
      </c>
      <c r="G151" s="82">
        <v>1.19</v>
      </c>
      <c r="H151" s="82">
        <v>0.91</v>
      </c>
      <c r="I151" s="213" t="e">
        <f t="shared" si="49"/>
        <v>#REF!</v>
      </c>
      <c r="J151" s="213">
        <f t="shared" si="27"/>
        <v>6596.73</v>
      </c>
      <c r="K151" s="201">
        <f t="shared" si="28"/>
        <v>5044.5600000000004</v>
      </c>
      <c r="L151" s="93" t="e">
        <f t="shared" si="50"/>
        <v>#REF!</v>
      </c>
      <c r="M151" s="97"/>
    </row>
    <row r="152" spans="1:13" ht="14.1" customHeight="1" outlineLevel="2">
      <c r="C152" s="142">
        <f t="shared" si="46"/>
        <v>3.041505000000003</v>
      </c>
      <c r="D152" s="436" t="s">
        <v>431</v>
      </c>
      <c r="E152" s="81" t="s">
        <v>169</v>
      </c>
      <c r="F152" s="111">
        <v>1034.78</v>
      </c>
      <c r="G152" s="82">
        <v>1.44</v>
      </c>
      <c r="H152" s="82"/>
      <c r="I152" s="213" t="e">
        <f t="shared" si="49"/>
        <v>#REF!</v>
      </c>
      <c r="J152" s="213">
        <f t="shared" si="27"/>
        <v>1490.08</v>
      </c>
      <c r="K152" s="201">
        <f t="shared" si="28"/>
        <v>0</v>
      </c>
      <c r="L152" s="93" t="e">
        <f t="shared" si="50"/>
        <v>#REF!</v>
      </c>
      <c r="M152" s="97"/>
    </row>
    <row r="153" spans="1:13" ht="14.1" customHeight="1" outlineLevel="1">
      <c r="C153" s="140">
        <f>C147+0.0001</f>
        <v>3.0416000000000025</v>
      </c>
      <c r="D153" s="435" t="s">
        <v>494</v>
      </c>
      <c r="E153" s="81"/>
      <c r="F153" s="111">
        <v>0</v>
      </c>
      <c r="G153" s="86"/>
      <c r="H153" s="86"/>
      <c r="I153" s="213" t="e">
        <f t="shared" ref="I153:I158" si="51">+ROUND(G153+H153*TC,2)</f>
        <v>#REF!</v>
      </c>
      <c r="J153" s="213">
        <f t="shared" ref="J153:J158" si="52">+ROUND(F153*G153,2)</f>
        <v>0</v>
      </c>
      <c r="K153" s="201">
        <f t="shared" ref="K153:K158" si="53">+ROUND(F153*H153,2)</f>
        <v>0</v>
      </c>
      <c r="L153" s="93" t="e">
        <f t="shared" ref="L153:L158" si="54">+ROUND(J153+K153*TC,2)</f>
        <v>#REF!</v>
      </c>
      <c r="M153" s="97"/>
    </row>
    <row r="154" spans="1:13" ht="14.1" customHeight="1" outlineLevel="2">
      <c r="A154" s="4" t="s">
        <v>423</v>
      </c>
      <c r="B154" s="4" t="s">
        <v>477</v>
      </c>
      <c r="C154" s="142">
        <f t="shared" si="46"/>
        <v>3.0416010000000027</v>
      </c>
      <c r="D154" s="436" t="s">
        <v>495</v>
      </c>
      <c r="E154" s="81" t="s">
        <v>163</v>
      </c>
      <c r="F154" s="111">
        <v>177.65</v>
      </c>
      <c r="G154" s="82">
        <v>466.93</v>
      </c>
      <c r="H154" s="82"/>
      <c r="I154" s="213" t="e">
        <f t="shared" si="51"/>
        <v>#REF!</v>
      </c>
      <c r="J154" s="213">
        <f t="shared" si="52"/>
        <v>82950.11</v>
      </c>
      <c r="K154" s="201">
        <f t="shared" si="53"/>
        <v>0</v>
      </c>
      <c r="L154" s="93" t="e">
        <f t="shared" si="54"/>
        <v>#REF!</v>
      </c>
      <c r="M154" s="97"/>
    </row>
    <row r="155" spans="1:13" ht="14.1" customHeight="1" outlineLevel="2">
      <c r="A155" s="4" t="s">
        <v>419</v>
      </c>
      <c r="C155" s="142">
        <f t="shared" si="46"/>
        <v>3.0416020000000028</v>
      </c>
      <c r="D155" s="107" t="s">
        <v>455</v>
      </c>
      <c r="E155" s="81" t="s">
        <v>169</v>
      </c>
      <c r="F155" s="111">
        <v>959.93</v>
      </c>
      <c r="G155" s="82">
        <v>43.7</v>
      </c>
      <c r="H155" s="82"/>
      <c r="I155" s="213" t="e">
        <f t="shared" si="51"/>
        <v>#REF!</v>
      </c>
      <c r="J155" s="213">
        <f t="shared" si="52"/>
        <v>41948.94</v>
      </c>
      <c r="K155" s="201">
        <f t="shared" si="53"/>
        <v>0</v>
      </c>
      <c r="L155" s="93" t="e">
        <f t="shared" si="54"/>
        <v>#REF!</v>
      </c>
      <c r="M155" s="97"/>
    </row>
    <row r="156" spans="1:13" ht="14.1" customHeight="1" outlineLevel="2">
      <c r="A156" s="4" t="s">
        <v>419</v>
      </c>
      <c r="C156" s="142">
        <f t="shared" si="46"/>
        <v>3.0416030000000029</v>
      </c>
      <c r="D156" s="107" t="s">
        <v>456</v>
      </c>
      <c r="E156" s="81" t="s">
        <v>169</v>
      </c>
      <c r="F156" s="111">
        <v>527.91</v>
      </c>
      <c r="G156" s="82">
        <v>51.7</v>
      </c>
      <c r="H156" s="82"/>
      <c r="I156" s="213" t="e">
        <f t="shared" si="51"/>
        <v>#REF!</v>
      </c>
      <c r="J156" s="213">
        <f t="shared" si="52"/>
        <v>27292.95</v>
      </c>
      <c r="K156" s="201">
        <f t="shared" si="53"/>
        <v>0</v>
      </c>
      <c r="L156" s="93" t="e">
        <f t="shared" si="54"/>
        <v>#REF!</v>
      </c>
      <c r="M156" s="97"/>
    </row>
    <row r="157" spans="1:13" ht="14.1" customHeight="1" outlineLevel="2">
      <c r="A157" s="4" t="s">
        <v>429</v>
      </c>
      <c r="C157" s="142">
        <f t="shared" si="46"/>
        <v>3.0416040000000031</v>
      </c>
      <c r="D157" s="89" t="s">
        <v>457</v>
      </c>
      <c r="E157" s="81" t="s">
        <v>185</v>
      </c>
      <c r="F157" s="111">
        <v>35536.99</v>
      </c>
      <c r="G157" s="82">
        <v>1.19</v>
      </c>
      <c r="H157" s="82">
        <v>0.91</v>
      </c>
      <c r="I157" s="213" t="e">
        <f t="shared" si="51"/>
        <v>#REF!</v>
      </c>
      <c r="J157" s="213">
        <f t="shared" si="52"/>
        <v>42289.02</v>
      </c>
      <c r="K157" s="201">
        <f t="shared" si="53"/>
        <v>32338.66</v>
      </c>
      <c r="L157" s="93" t="e">
        <f t="shared" si="54"/>
        <v>#REF!</v>
      </c>
      <c r="M157" s="97"/>
    </row>
    <row r="158" spans="1:13" ht="14.1" customHeight="1" outlineLevel="2">
      <c r="C158" s="142">
        <f t="shared" si="46"/>
        <v>3.0416050000000032</v>
      </c>
      <c r="D158" s="89" t="s">
        <v>431</v>
      </c>
      <c r="E158" s="81" t="s">
        <v>169</v>
      </c>
      <c r="F158" s="111">
        <v>1487.84</v>
      </c>
      <c r="G158" s="82">
        <v>1.44</v>
      </c>
      <c r="H158" s="82"/>
      <c r="I158" s="213" t="e">
        <f t="shared" si="51"/>
        <v>#REF!</v>
      </c>
      <c r="J158" s="213">
        <f t="shared" si="52"/>
        <v>2142.4899999999998</v>
      </c>
      <c r="K158" s="201">
        <f t="shared" si="53"/>
        <v>0</v>
      </c>
      <c r="L158" s="93" t="e">
        <f t="shared" si="54"/>
        <v>#REF!</v>
      </c>
      <c r="M158" s="97"/>
    </row>
    <row r="159" spans="1:13" ht="14.1" customHeight="1" outlineLevel="1">
      <c r="C159" s="140">
        <f>C153+0.0001</f>
        <v>3.0417000000000027</v>
      </c>
      <c r="D159" s="435" t="s">
        <v>496</v>
      </c>
      <c r="E159" s="81"/>
      <c r="F159" s="111">
        <v>0</v>
      </c>
      <c r="G159" s="86"/>
      <c r="H159" s="86"/>
      <c r="I159" s="213" t="e">
        <f t="shared" si="49"/>
        <v>#REF!</v>
      </c>
      <c r="J159" s="213">
        <f t="shared" si="27"/>
        <v>0</v>
      </c>
      <c r="K159" s="201">
        <f t="shared" si="28"/>
        <v>0</v>
      </c>
      <c r="L159" s="93" t="e">
        <f t="shared" si="50"/>
        <v>#REF!</v>
      </c>
      <c r="M159" s="97"/>
    </row>
    <row r="160" spans="1:13" ht="14.1" customHeight="1" outlineLevel="2">
      <c r="A160" s="4" t="s">
        <v>423</v>
      </c>
      <c r="B160" s="4" t="s">
        <v>477</v>
      </c>
      <c r="C160" s="142">
        <f t="shared" si="46"/>
        <v>3.0417010000000029</v>
      </c>
      <c r="D160" s="436" t="s">
        <v>497</v>
      </c>
      <c r="E160" s="81" t="s">
        <v>163</v>
      </c>
      <c r="F160" s="111">
        <v>33.06</v>
      </c>
      <c r="G160" s="82">
        <v>468.67</v>
      </c>
      <c r="H160" s="82"/>
      <c r="I160" s="213" t="e">
        <f t="shared" si="49"/>
        <v>#REF!</v>
      </c>
      <c r="J160" s="213">
        <f t="shared" si="27"/>
        <v>15494.23</v>
      </c>
      <c r="K160" s="201">
        <f t="shared" si="28"/>
        <v>0</v>
      </c>
      <c r="L160" s="93" t="e">
        <f t="shared" si="50"/>
        <v>#REF!</v>
      </c>
      <c r="M160" s="97"/>
    </row>
    <row r="161" spans="1:13" ht="14.1" customHeight="1" outlineLevel="2">
      <c r="A161" s="4" t="s">
        <v>419</v>
      </c>
      <c r="C161" s="142">
        <f t="shared" si="46"/>
        <v>3.041702000000003</v>
      </c>
      <c r="D161" s="436" t="s">
        <v>498</v>
      </c>
      <c r="E161" s="81" t="s">
        <v>169</v>
      </c>
      <c r="F161" s="111">
        <v>166.69</v>
      </c>
      <c r="G161" s="82">
        <v>44.1</v>
      </c>
      <c r="H161" s="82"/>
      <c r="I161" s="213" t="e">
        <f t="shared" si="49"/>
        <v>#REF!</v>
      </c>
      <c r="J161" s="213">
        <f t="shared" si="27"/>
        <v>7351.03</v>
      </c>
      <c r="K161" s="201">
        <f t="shared" si="28"/>
        <v>0</v>
      </c>
      <c r="L161" s="93" t="e">
        <f t="shared" si="50"/>
        <v>#REF!</v>
      </c>
      <c r="M161" s="97"/>
    </row>
    <row r="162" spans="1:13" ht="14.1" customHeight="1" outlineLevel="2">
      <c r="A162" s="4" t="s">
        <v>419</v>
      </c>
      <c r="C162" s="142">
        <f t="shared" si="46"/>
        <v>3.0417030000000032</v>
      </c>
      <c r="D162" s="89" t="s">
        <v>499</v>
      </c>
      <c r="E162" s="81" t="s">
        <v>169</v>
      </c>
      <c r="F162" s="111">
        <v>90.86</v>
      </c>
      <c r="G162" s="82">
        <v>52.1</v>
      </c>
      <c r="H162" s="82"/>
      <c r="I162" s="213" t="e">
        <f t="shared" si="49"/>
        <v>#REF!</v>
      </c>
      <c r="J162" s="213">
        <f t="shared" si="27"/>
        <v>4733.8100000000004</v>
      </c>
      <c r="K162" s="201">
        <f t="shared" si="28"/>
        <v>0</v>
      </c>
      <c r="L162" s="93" t="e">
        <f t="shared" si="50"/>
        <v>#REF!</v>
      </c>
      <c r="M162" s="97"/>
    </row>
    <row r="163" spans="1:13" ht="14.1" customHeight="1" outlineLevel="2">
      <c r="A163" s="4" t="s">
        <v>429</v>
      </c>
      <c r="C163" s="142">
        <f t="shared" si="46"/>
        <v>3.0417040000000033</v>
      </c>
      <c r="D163" s="89" t="s">
        <v>457</v>
      </c>
      <c r="E163" s="81" t="s">
        <v>185</v>
      </c>
      <c r="F163" s="111">
        <v>5594.78</v>
      </c>
      <c r="G163" s="82">
        <v>1.19</v>
      </c>
      <c r="H163" s="82">
        <v>0.91</v>
      </c>
      <c r="I163" s="213" t="e">
        <f t="shared" si="49"/>
        <v>#REF!</v>
      </c>
      <c r="J163" s="213">
        <f t="shared" si="27"/>
        <v>6657.79</v>
      </c>
      <c r="K163" s="201">
        <f t="shared" si="28"/>
        <v>5091.25</v>
      </c>
      <c r="L163" s="93" t="e">
        <f t="shared" si="50"/>
        <v>#REF!</v>
      </c>
      <c r="M163" s="97"/>
    </row>
    <row r="164" spans="1:13" ht="14.1" customHeight="1" outlineLevel="2">
      <c r="C164" s="142">
        <f t="shared" si="46"/>
        <v>3.0417050000000034</v>
      </c>
      <c r="D164" s="89" t="s">
        <v>431</v>
      </c>
      <c r="E164" s="81" t="s">
        <v>169</v>
      </c>
      <c r="F164" s="111">
        <v>257.55</v>
      </c>
      <c r="G164" s="82">
        <v>1.44</v>
      </c>
      <c r="H164" s="82"/>
      <c r="I164" s="213" t="e">
        <f t="shared" si="49"/>
        <v>#REF!</v>
      </c>
      <c r="J164" s="213">
        <f t="shared" ref="J164:J278" si="55">+ROUND(F164*G164,2)</f>
        <v>370.87</v>
      </c>
      <c r="K164" s="201">
        <f t="shared" ref="K164:K278" si="56">+ROUND(F164*H164,2)</f>
        <v>0</v>
      </c>
      <c r="L164" s="93" t="e">
        <f t="shared" si="50"/>
        <v>#REF!</v>
      </c>
      <c r="M164" s="97"/>
    </row>
    <row r="165" spans="1:13" ht="14.1" customHeight="1" outlineLevel="1">
      <c r="C165" s="140">
        <f>C159+0.0001</f>
        <v>3.0418000000000029</v>
      </c>
      <c r="D165" s="435" t="s">
        <v>500</v>
      </c>
      <c r="E165" s="81"/>
      <c r="F165" s="111"/>
      <c r="G165" s="86"/>
      <c r="H165" s="86"/>
      <c r="I165" s="213"/>
      <c r="J165" s="213"/>
      <c r="K165" s="201"/>
      <c r="L165" s="93"/>
      <c r="M165" s="97"/>
    </row>
    <row r="166" spans="1:13" ht="14.1" customHeight="1" outlineLevel="2">
      <c r="A166" s="4" t="s">
        <v>423</v>
      </c>
      <c r="B166" s="4" t="s">
        <v>477</v>
      </c>
      <c r="C166" s="142">
        <f t="shared" si="46"/>
        <v>3.0418010000000031</v>
      </c>
      <c r="D166" s="481" t="s">
        <v>501</v>
      </c>
      <c r="E166" s="81" t="s">
        <v>163</v>
      </c>
      <c r="F166" s="111">
        <v>105.46</v>
      </c>
      <c r="G166" s="82">
        <v>395.7</v>
      </c>
      <c r="H166" s="82"/>
      <c r="I166" s="213" t="e">
        <f t="shared" ref="I166:I171" si="57">+ROUND(G166+H166*TC,2)</f>
        <v>#REF!</v>
      </c>
      <c r="J166" s="213">
        <f t="shared" si="55"/>
        <v>41730.519999999997</v>
      </c>
      <c r="K166" s="201">
        <f t="shared" si="56"/>
        <v>0</v>
      </c>
      <c r="L166" s="93" t="e">
        <f t="shared" ref="L166:L171" si="58">+ROUND(J166+K166*TC,2)</f>
        <v>#REF!</v>
      </c>
      <c r="M166" s="97"/>
    </row>
    <row r="167" spans="1:13" ht="14.1" customHeight="1" outlineLevel="2">
      <c r="A167" s="4" t="s">
        <v>423</v>
      </c>
      <c r="B167" s="4" t="s">
        <v>477</v>
      </c>
      <c r="C167" s="142">
        <f t="shared" si="46"/>
        <v>3.0418020000000032</v>
      </c>
      <c r="D167" s="481" t="s">
        <v>502</v>
      </c>
      <c r="E167" s="81" t="s">
        <v>163</v>
      </c>
      <c r="F167" s="111">
        <v>19.989999999999998</v>
      </c>
      <c r="G167" s="82">
        <v>465.98</v>
      </c>
      <c r="H167" s="82"/>
      <c r="I167" s="213" t="e">
        <f t="shared" si="57"/>
        <v>#REF!</v>
      </c>
      <c r="J167" s="213">
        <f t="shared" ref="J167" si="59">+ROUND(F167*G167,2)</f>
        <v>9314.94</v>
      </c>
      <c r="K167" s="201">
        <f t="shared" ref="K167" si="60">+ROUND(F167*H167,2)</f>
        <v>0</v>
      </c>
      <c r="L167" s="93" t="e">
        <f t="shared" si="58"/>
        <v>#REF!</v>
      </c>
      <c r="M167" s="97"/>
    </row>
    <row r="168" spans="1:13" ht="14.1" customHeight="1" outlineLevel="2">
      <c r="A168" s="4" t="s">
        <v>419</v>
      </c>
      <c r="C168" s="142">
        <f t="shared" si="46"/>
        <v>3.0418030000000034</v>
      </c>
      <c r="D168" s="89" t="s">
        <v>503</v>
      </c>
      <c r="E168" s="81" t="s">
        <v>169</v>
      </c>
      <c r="F168" s="111">
        <v>536.22</v>
      </c>
      <c r="G168" s="82">
        <v>54.1</v>
      </c>
      <c r="H168" s="82"/>
      <c r="I168" s="213" t="e">
        <f t="shared" si="57"/>
        <v>#REF!</v>
      </c>
      <c r="J168" s="213">
        <f t="shared" si="55"/>
        <v>29009.5</v>
      </c>
      <c r="K168" s="201">
        <f t="shared" si="56"/>
        <v>0</v>
      </c>
      <c r="L168" s="93" t="e">
        <f t="shared" si="58"/>
        <v>#REF!</v>
      </c>
      <c r="M168" s="97"/>
    </row>
    <row r="169" spans="1:13" ht="14.1" customHeight="1" outlineLevel="2">
      <c r="A169" s="4" t="s">
        <v>419</v>
      </c>
      <c r="C169" s="142">
        <f t="shared" si="46"/>
        <v>3.0418040000000035</v>
      </c>
      <c r="D169" s="89" t="s">
        <v>504</v>
      </c>
      <c r="E169" s="81" t="s">
        <v>169</v>
      </c>
      <c r="F169" s="111">
        <v>238.48</v>
      </c>
      <c r="G169" s="82">
        <v>62.1</v>
      </c>
      <c r="H169" s="82"/>
      <c r="I169" s="213" t="e">
        <f t="shared" si="57"/>
        <v>#REF!</v>
      </c>
      <c r="J169" s="213">
        <f t="shared" si="55"/>
        <v>14809.61</v>
      </c>
      <c r="K169" s="201">
        <f t="shared" si="56"/>
        <v>0</v>
      </c>
      <c r="L169" s="93" t="e">
        <f t="shared" si="58"/>
        <v>#REF!</v>
      </c>
      <c r="M169" s="97"/>
    </row>
    <row r="170" spans="1:13" ht="14.1" customHeight="1" outlineLevel="2">
      <c r="A170" s="4" t="s">
        <v>429</v>
      </c>
      <c r="C170" s="142">
        <f t="shared" si="46"/>
        <v>3.0418050000000036</v>
      </c>
      <c r="D170" s="89" t="s">
        <v>457</v>
      </c>
      <c r="E170" s="81" t="s">
        <v>185</v>
      </c>
      <c r="F170" s="111">
        <v>18719.21</v>
      </c>
      <c r="G170" s="82">
        <v>1.19</v>
      </c>
      <c r="H170" s="82">
        <v>0.91</v>
      </c>
      <c r="I170" s="213" t="e">
        <f t="shared" si="57"/>
        <v>#REF!</v>
      </c>
      <c r="J170" s="213">
        <f t="shared" si="55"/>
        <v>22275.86</v>
      </c>
      <c r="K170" s="201">
        <f t="shared" si="56"/>
        <v>17034.48</v>
      </c>
      <c r="L170" s="93" t="e">
        <f t="shared" si="58"/>
        <v>#REF!</v>
      </c>
      <c r="M170" s="97"/>
    </row>
    <row r="171" spans="1:13" ht="14.1" customHeight="1" outlineLevel="2">
      <c r="C171" s="142">
        <f t="shared" si="46"/>
        <v>3.0418060000000038</v>
      </c>
      <c r="D171" s="89" t="s">
        <v>431</v>
      </c>
      <c r="E171" s="81" t="s">
        <v>169</v>
      </c>
      <c r="F171" s="111">
        <v>789.31000000000006</v>
      </c>
      <c r="G171" s="82">
        <v>1.44</v>
      </c>
      <c r="H171" s="82"/>
      <c r="I171" s="213" t="e">
        <f t="shared" si="57"/>
        <v>#REF!</v>
      </c>
      <c r="J171" s="213">
        <f t="shared" si="55"/>
        <v>1136.6099999999999</v>
      </c>
      <c r="K171" s="201">
        <f t="shared" si="56"/>
        <v>0</v>
      </c>
      <c r="L171" s="93" t="e">
        <f t="shared" si="58"/>
        <v>#REF!</v>
      </c>
      <c r="M171" s="97"/>
    </row>
    <row r="172" spans="1:13" ht="14.1" customHeight="1" outlineLevel="1">
      <c r="C172" s="140">
        <f>C165+0.0001</f>
        <v>3.0419000000000032</v>
      </c>
      <c r="D172" s="132" t="s">
        <v>505</v>
      </c>
      <c r="E172" s="81"/>
      <c r="F172" s="111"/>
      <c r="G172" s="82"/>
      <c r="H172" s="82"/>
      <c r="I172" s="213"/>
      <c r="J172" s="213"/>
      <c r="K172" s="201"/>
      <c r="L172" s="93"/>
      <c r="M172" s="97"/>
    </row>
    <row r="173" spans="1:13" ht="14.1" customHeight="1" outlineLevel="2">
      <c r="A173" s="4" t="s">
        <v>429</v>
      </c>
      <c r="C173" s="142">
        <f t="shared" si="46"/>
        <v>3.0419010000000033</v>
      </c>
      <c r="D173" s="89" t="s">
        <v>457</v>
      </c>
      <c r="E173" s="81" t="s">
        <v>185</v>
      </c>
      <c r="F173" s="111">
        <v>563.22</v>
      </c>
      <c r="G173" s="82">
        <v>1.19</v>
      </c>
      <c r="H173" s="82">
        <v>0.91</v>
      </c>
      <c r="I173" s="213" t="e">
        <f>+ROUND(G173+H173*TC,2)</f>
        <v>#REF!</v>
      </c>
      <c r="J173" s="213">
        <f t="shared" si="55"/>
        <v>670.23</v>
      </c>
      <c r="K173" s="201">
        <f t="shared" si="56"/>
        <v>512.53</v>
      </c>
      <c r="L173" s="93" t="e">
        <f>+ROUND(J173+K173*TC,2)</f>
        <v>#REF!</v>
      </c>
      <c r="M173" s="97"/>
    </row>
    <row r="174" spans="1:13" ht="14.1" customHeight="1" outlineLevel="2">
      <c r="C174" s="142">
        <f t="shared" si="46"/>
        <v>3.0419020000000034</v>
      </c>
      <c r="D174" s="89" t="s">
        <v>506</v>
      </c>
      <c r="E174" s="81" t="s">
        <v>169</v>
      </c>
      <c r="F174" s="111">
        <v>14.61</v>
      </c>
      <c r="G174" s="82">
        <v>45.2</v>
      </c>
      <c r="H174" s="82"/>
      <c r="I174" s="213" t="e">
        <f>+ROUND(G174+H174*TC,2)</f>
        <v>#REF!</v>
      </c>
      <c r="J174" s="213">
        <f t="shared" si="55"/>
        <v>660.37</v>
      </c>
      <c r="K174" s="201">
        <f t="shared" si="56"/>
        <v>0</v>
      </c>
      <c r="L174" s="93" t="e">
        <f>+ROUND(J174+K174*TC,2)</f>
        <v>#REF!</v>
      </c>
      <c r="M174" s="97"/>
    </row>
    <row r="175" spans="1:13" ht="14.1" customHeight="1" outlineLevel="2">
      <c r="C175" s="142">
        <f t="shared" si="46"/>
        <v>3.0419030000000036</v>
      </c>
      <c r="D175" s="89" t="s">
        <v>507</v>
      </c>
      <c r="E175" s="81" t="s">
        <v>169</v>
      </c>
      <c r="F175" s="111">
        <v>14.61</v>
      </c>
      <c r="G175" s="82">
        <v>5.17</v>
      </c>
      <c r="H175" s="82"/>
      <c r="I175" s="213" t="e">
        <f>+ROUND(G175+H175*TC,2)</f>
        <v>#REF!</v>
      </c>
      <c r="J175" s="213">
        <f t="shared" si="55"/>
        <v>75.53</v>
      </c>
      <c r="K175" s="201">
        <f t="shared" si="56"/>
        <v>0</v>
      </c>
      <c r="L175" s="93" t="e">
        <f>+ROUND(J175+K175*TC,2)</f>
        <v>#REF!</v>
      </c>
      <c r="M175" s="97"/>
    </row>
    <row r="176" spans="1:13" ht="23.25" customHeight="1" outlineLevel="2">
      <c r="A176" s="4" t="s">
        <v>419</v>
      </c>
      <c r="C176" s="142">
        <f t="shared" si="46"/>
        <v>3.0419040000000037</v>
      </c>
      <c r="D176" s="89" t="s">
        <v>508</v>
      </c>
      <c r="E176" s="81" t="s">
        <v>169</v>
      </c>
      <c r="F176" s="111">
        <v>14.61</v>
      </c>
      <c r="G176" s="82">
        <v>43.3</v>
      </c>
      <c r="H176" s="82"/>
      <c r="I176" s="213" t="e">
        <f>+ROUND(G176+H176*TC,2)</f>
        <v>#REF!</v>
      </c>
      <c r="J176" s="213">
        <f t="shared" si="55"/>
        <v>632.61</v>
      </c>
      <c r="K176" s="201">
        <f t="shared" si="56"/>
        <v>0</v>
      </c>
      <c r="L176" s="93" t="e">
        <f>+ROUND(J176+K176*TC,2)</f>
        <v>#REF!</v>
      </c>
      <c r="M176" s="97"/>
    </row>
    <row r="177" spans="1:13" ht="14.1" customHeight="1" outlineLevel="1">
      <c r="C177" s="140">
        <f>C172+0.0001</f>
        <v>3.0420000000000034</v>
      </c>
      <c r="D177" s="133" t="s">
        <v>509</v>
      </c>
      <c r="E177" s="81"/>
      <c r="F177" s="111"/>
      <c r="G177" s="82"/>
      <c r="H177" s="82"/>
      <c r="I177" s="213"/>
      <c r="J177" s="213"/>
      <c r="K177" s="201"/>
      <c r="L177" s="93"/>
      <c r="M177" s="97"/>
    </row>
    <row r="178" spans="1:13" ht="23.25" customHeight="1" outlineLevel="2">
      <c r="A178" s="4" t="s">
        <v>423</v>
      </c>
      <c r="B178" s="4" t="s">
        <v>477</v>
      </c>
      <c r="C178" s="142">
        <f t="shared" ref="C178:C187" si="61">C177+0.000001</f>
        <v>3.0420010000000035</v>
      </c>
      <c r="D178" s="88" t="s">
        <v>510</v>
      </c>
      <c r="E178" s="81" t="s">
        <v>163</v>
      </c>
      <c r="F178" s="111">
        <v>72.42</v>
      </c>
      <c r="G178" s="82">
        <v>395.7</v>
      </c>
      <c r="H178" s="82"/>
      <c r="I178" s="213" t="e">
        <f t="shared" ref="I178" si="62">+ROUND(G178+H178*TC,2)</f>
        <v>#REF!</v>
      </c>
      <c r="J178" s="213">
        <f t="shared" ref="J178:J187" si="63">+ROUND(F178*G178,2)</f>
        <v>28656.59</v>
      </c>
      <c r="K178" s="201">
        <f t="shared" ref="K178:K187" si="64">+ROUND(F178*H178,2)</f>
        <v>0</v>
      </c>
      <c r="L178" s="93" t="e">
        <f t="shared" ref="L178" si="65">+ROUND(J178+K178*TC,2)</f>
        <v>#REF!</v>
      </c>
      <c r="M178" s="97"/>
    </row>
    <row r="179" spans="1:13" ht="14.1" customHeight="1" outlineLevel="2">
      <c r="A179" s="4" t="s">
        <v>423</v>
      </c>
      <c r="B179" s="4" t="s">
        <v>477</v>
      </c>
      <c r="C179" s="142">
        <f t="shared" si="61"/>
        <v>3.0420020000000036</v>
      </c>
      <c r="D179" s="481" t="s">
        <v>502</v>
      </c>
      <c r="E179" s="81" t="s">
        <v>163</v>
      </c>
      <c r="F179" s="111">
        <v>12.55</v>
      </c>
      <c r="G179" s="82">
        <v>465.98</v>
      </c>
      <c r="H179" s="82"/>
      <c r="I179" s="213" t="e">
        <f>+ROUND(G179+H179*TC,2)</f>
        <v>#REF!</v>
      </c>
      <c r="J179" s="213">
        <f t="shared" si="63"/>
        <v>5848.05</v>
      </c>
      <c r="K179" s="201">
        <f t="shared" si="64"/>
        <v>0</v>
      </c>
      <c r="L179" s="93" t="e">
        <f>+ROUND(J179+K179*TC,2)</f>
        <v>#REF!</v>
      </c>
      <c r="M179" s="97"/>
    </row>
    <row r="180" spans="1:13" ht="14.1" customHeight="1" outlineLevel="2">
      <c r="A180" s="4" t="s">
        <v>419</v>
      </c>
      <c r="C180" s="142">
        <f t="shared" si="61"/>
        <v>3.0420030000000038</v>
      </c>
      <c r="D180" s="89" t="s">
        <v>511</v>
      </c>
      <c r="E180" s="81" t="s">
        <v>169</v>
      </c>
      <c r="F180" s="111">
        <v>1097.02</v>
      </c>
      <c r="G180" s="82">
        <v>37.520000000000003</v>
      </c>
      <c r="H180" s="82"/>
      <c r="I180" s="213" t="e">
        <f t="shared" ref="I180:I187" si="66">+ROUND(G180+H180*TC,2)</f>
        <v>#REF!</v>
      </c>
      <c r="J180" s="213">
        <f t="shared" si="63"/>
        <v>41160.19</v>
      </c>
      <c r="K180" s="201">
        <f t="shared" si="64"/>
        <v>0</v>
      </c>
      <c r="L180" s="93" t="e">
        <f t="shared" ref="L180:L187" si="67">+ROUND(J180+K180*TC,2)</f>
        <v>#REF!</v>
      </c>
      <c r="M180" s="97"/>
    </row>
    <row r="181" spans="1:13" ht="12" customHeight="1" outlineLevel="2">
      <c r="A181" s="4" t="s">
        <v>419</v>
      </c>
      <c r="C181" s="142">
        <f t="shared" si="61"/>
        <v>3.0420040000000039</v>
      </c>
      <c r="D181" s="89" t="s">
        <v>512</v>
      </c>
      <c r="E181" s="81" t="s">
        <v>169</v>
      </c>
      <c r="F181" s="111">
        <v>0</v>
      </c>
      <c r="G181" s="82">
        <v>43.7</v>
      </c>
      <c r="H181" s="82"/>
      <c r="I181" s="213" t="e">
        <f t="shared" si="66"/>
        <v>#REF!</v>
      </c>
      <c r="J181" s="213">
        <f t="shared" si="63"/>
        <v>0</v>
      </c>
      <c r="K181" s="201">
        <f t="shared" si="64"/>
        <v>0</v>
      </c>
      <c r="L181" s="93" t="e">
        <f t="shared" si="67"/>
        <v>#REF!</v>
      </c>
      <c r="M181" s="97"/>
    </row>
    <row r="182" spans="1:13" ht="14.1" customHeight="1" outlineLevel="2">
      <c r="C182" s="142">
        <f t="shared" si="61"/>
        <v>3.0420050000000041</v>
      </c>
      <c r="D182" s="89" t="s">
        <v>513</v>
      </c>
      <c r="E182" s="81" t="s">
        <v>169</v>
      </c>
      <c r="F182" s="111">
        <v>1097.02</v>
      </c>
      <c r="G182" s="82">
        <v>57.9</v>
      </c>
      <c r="H182" s="82"/>
      <c r="I182" s="213" t="e">
        <f t="shared" si="66"/>
        <v>#REF!</v>
      </c>
      <c r="J182" s="213">
        <f t="shared" si="63"/>
        <v>63517.46</v>
      </c>
      <c r="K182" s="201">
        <f t="shared" si="64"/>
        <v>0</v>
      </c>
      <c r="L182" s="93" t="e">
        <f t="shared" si="67"/>
        <v>#REF!</v>
      </c>
      <c r="M182" s="97"/>
    </row>
    <row r="183" spans="1:13" ht="14.1" customHeight="1" outlineLevel="2">
      <c r="C183" s="142">
        <f t="shared" si="61"/>
        <v>3.0420060000000042</v>
      </c>
      <c r="D183" s="89" t="s">
        <v>507</v>
      </c>
      <c r="E183" s="81" t="s">
        <v>169</v>
      </c>
      <c r="F183" s="111">
        <v>1097.02</v>
      </c>
      <c r="G183" s="82">
        <v>5.17</v>
      </c>
      <c r="H183" s="82"/>
      <c r="I183" s="213" t="e">
        <f t="shared" si="66"/>
        <v>#REF!</v>
      </c>
      <c r="J183" s="213">
        <f t="shared" si="63"/>
        <v>5671.59</v>
      </c>
      <c r="K183" s="201">
        <f t="shared" si="64"/>
        <v>0</v>
      </c>
      <c r="L183" s="93" t="e">
        <f t="shared" si="67"/>
        <v>#REF!</v>
      </c>
      <c r="M183" s="97"/>
    </row>
    <row r="184" spans="1:13" ht="14.1" customHeight="1" outlineLevel="2">
      <c r="A184" s="4" t="s">
        <v>429</v>
      </c>
      <c r="C184" s="142">
        <f t="shared" si="61"/>
        <v>3.0420070000000043</v>
      </c>
      <c r="D184" s="89" t="s">
        <v>514</v>
      </c>
      <c r="E184" s="81" t="s">
        <v>185</v>
      </c>
      <c r="F184" s="111">
        <v>3105.41</v>
      </c>
      <c r="G184" s="82">
        <v>1.19</v>
      </c>
      <c r="H184" s="82">
        <v>0.91</v>
      </c>
      <c r="I184" s="213" t="e">
        <f t="shared" si="66"/>
        <v>#REF!</v>
      </c>
      <c r="J184" s="213">
        <f t="shared" si="63"/>
        <v>3695.44</v>
      </c>
      <c r="K184" s="201">
        <f t="shared" si="64"/>
        <v>2825.92</v>
      </c>
      <c r="L184" s="93" t="e">
        <f t="shared" si="67"/>
        <v>#REF!</v>
      </c>
      <c r="M184" s="97"/>
    </row>
    <row r="185" spans="1:13" ht="15" customHeight="1" outlineLevel="2">
      <c r="A185" s="4" t="s">
        <v>429</v>
      </c>
      <c r="C185" s="142">
        <f t="shared" si="61"/>
        <v>3.0420080000000045</v>
      </c>
      <c r="D185" s="89" t="s">
        <v>515</v>
      </c>
      <c r="E185" s="81" t="s">
        <v>185</v>
      </c>
      <c r="F185" s="111">
        <v>3262.57</v>
      </c>
      <c r="G185" s="82">
        <v>0</v>
      </c>
      <c r="H185" s="82">
        <v>0.91</v>
      </c>
      <c r="I185" s="213" t="e">
        <f t="shared" si="66"/>
        <v>#REF!</v>
      </c>
      <c r="J185" s="213">
        <f t="shared" si="63"/>
        <v>0</v>
      </c>
      <c r="K185" s="201">
        <f t="shared" si="64"/>
        <v>2968.94</v>
      </c>
      <c r="L185" s="93" t="e">
        <f t="shared" si="67"/>
        <v>#REF!</v>
      </c>
      <c r="M185" s="97"/>
    </row>
    <row r="186" spans="1:13" ht="23.25" customHeight="1" outlineLevel="2">
      <c r="A186" s="4" t="s">
        <v>429</v>
      </c>
      <c r="C186" s="142">
        <f t="shared" si="61"/>
        <v>3.0420090000000046</v>
      </c>
      <c r="D186" s="230" t="s">
        <v>516</v>
      </c>
      <c r="E186" s="81" t="s">
        <v>185</v>
      </c>
      <c r="F186" s="417">
        <v>2194.04</v>
      </c>
      <c r="G186" s="82">
        <v>0</v>
      </c>
      <c r="H186" s="82">
        <v>0.91</v>
      </c>
      <c r="I186" s="213" t="e">
        <f t="shared" si="66"/>
        <v>#REF!</v>
      </c>
      <c r="J186" s="213">
        <f t="shared" si="63"/>
        <v>0</v>
      </c>
      <c r="K186" s="201">
        <f t="shared" si="64"/>
        <v>1996.58</v>
      </c>
      <c r="L186" s="93" t="e">
        <f t="shared" si="67"/>
        <v>#REF!</v>
      </c>
      <c r="M186" s="97"/>
    </row>
    <row r="187" spans="1:13" ht="14.1" customHeight="1" outlineLevel="2">
      <c r="C187" s="142">
        <f t="shared" si="61"/>
        <v>3.0420100000000048</v>
      </c>
      <c r="D187" s="89" t="s">
        <v>431</v>
      </c>
      <c r="E187" s="81" t="s">
        <v>169</v>
      </c>
      <c r="F187" s="111">
        <v>1097.02</v>
      </c>
      <c r="G187" s="82">
        <v>1.44</v>
      </c>
      <c r="H187" s="82"/>
      <c r="I187" s="213" t="e">
        <f t="shared" si="66"/>
        <v>#REF!</v>
      </c>
      <c r="J187" s="213">
        <f t="shared" si="63"/>
        <v>1579.71</v>
      </c>
      <c r="K187" s="201">
        <f t="shared" si="64"/>
        <v>0</v>
      </c>
      <c r="L187" s="93" t="e">
        <f t="shared" si="67"/>
        <v>#REF!</v>
      </c>
      <c r="M187" s="97"/>
    </row>
    <row r="188" spans="1:13" ht="14.1" customHeight="1" outlineLevel="1">
      <c r="C188" s="140">
        <f>C177+0.0001</f>
        <v>3.0421000000000036</v>
      </c>
      <c r="D188" s="133" t="s">
        <v>517</v>
      </c>
      <c r="E188" s="81"/>
      <c r="F188" s="111"/>
      <c r="G188" s="82"/>
      <c r="H188" s="82"/>
      <c r="I188" s="213"/>
      <c r="J188" s="213"/>
      <c r="K188" s="201"/>
      <c r="L188" s="93"/>
      <c r="M188" s="97"/>
    </row>
    <row r="189" spans="1:13" ht="23.25" customHeight="1" outlineLevel="2">
      <c r="A189" s="4" t="s">
        <v>423</v>
      </c>
      <c r="B189" s="4" t="s">
        <v>477</v>
      </c>
      <c r="C189" s="142">
        <f t="shared" ref="C189:C242" si="68">C188+0.000001</f>
        <v>3.0421010000000037</v>
      </c>
      <c r="D189" s="88" t="s">
        <v>510</v>
      </c>
      <c r="E189" s="81" t="s">
        <v>163</v>
      </c>
      <c r="F189" s="111">
        <v>160.26</v>
      </c>
      <c r="G189" s="82">
        <v>395.7</v>
      </c>
      <c r="H189" s="82"/>
      <c r="I189" s="213" t="e">
        <f t="shared" ref="I189:I198" si="69">+ROUND(G189+H189*TC,2)</f>
        <v>#REF!</v>
      </c>
      <c r="J189" s="213">
        <f t="shared" si="55"/>
        <v>63414.879999999997</v>
      </c>
      <c r="K189" s="201">
        <f t="shared" si="56"/>
        <v>0</v>
      </c>
      <c r="L189" s="93" t="e">
        <f t="shared" ref="L189:L198" si="70">+ROUND(J189+K189*TC,2)</f>
        <v>#REF!</v>
      </c>
      <c r="M189" s="97"/>
    </row>
    <row r="190" spans="1:13" ht="14.1" customHeight="1" outlineLevel="2">
      <c r="A190" s="4" t="s">
        <v>423</v>
      </c>
      <c r="B190" s="4" t="s">
        <v>477</v>
      </c>
      <c r="C190" s="142">
        <f t="shared" si="68"/>
        <v>3.0421020000000039</v>
      </c>
      <c r="D190" s="481" t="s">
        <v>502</v>
      </c>
      <c r="E190" s="81" t="s">
        <v>163</v>
      </c>
      <c r="F190" s="111">
        <v>14.92</v>
      </c>
      <c r="G190" s="82">
        <v>465.98</v>
      </c>
      <c r="H190" s="82"/>
      <c r="I190" s="213" t="e">
        <f>+ROUND(G190+H190*TC,2)</f>
        <v>#REF!</v>
      </c>
      <c r="J190" s="213">
        <f t="shared" si="55"/>
        <v>6952.42</v>
      </c>
      <c r="K190" s="201">
        <f t="shared" si="56"/>
        <v>0</v>
      </c>
      <c r="L190" s="93" t="e">
        <f>+ROUND(J190+K190*TC,2)</f>
        <v>#REF!</v>
      </c>
      <c r="M190" s="97"/>
    </row>
    <row r="191" spans="1:13" ht="14.1" customHeight="1" outlineLevel="2">
      <c r="A191" s="4" t="s">
        <v>419</v>
      </c>
      <c r="C191" s="142">
        <f t="shared" si="68"/>
        <v>3.042103000000004</v>
      </c>
      <c r="D191" s="89" t="s">
        <v>511</v>
      </c>
      <c r="E191" s="81" t="s">
        <v>169</v>
      </c>
      <c r="F191" s="111">
        <v>1989.19</v>
      </c>
      <c r="G191" s="82">
        <v>37.520000000000003</v>
      </c>
      <c r="H191" s="82"/>
      <c r="I191" s="213" t="e">
        <f t="shared" si="69"/>
        <v>#REF!</v>
      </c>
      <c r="J191" s="213">
        <f t="shared" si="55"/>
        <v>74634.41</v>
      </c>
      <c r="K191" s="201">
        <f t="shared" si="56"/>
        <v>0</v>
      </c>
      <c r="L191" s="93" t="e">
        <f t="shared" si="70"/>
        <v>#REF!</v>
      </c>
      <c r="M191" s="97"/>
    </row>
    <row r="192" spans="1:13" ht="12" customHeight="1" outlineLevel="2">
      <c r="A192" s="4" t="s">
        <v>419</v>
      </c>
      <c r="C192" s="142">
        <f t="shared" si="68"/>
        <v>3.0421040000000041</v>
      </c>
      <c r="D192" s="89" t="s">
        <v>512</v>
      </c>
      <c r="E192" s="81" t="s">
        <v>169</v>
      </c>
      <c r="F192" s="111">
        <v>42.28</v>
      </c>
      <c r="G192" s="82">
        <v>43.7</v>
      </c>
      <c r="H192" s="82"/>
      <c r="I192" s="213" t="e">
        <f t="shared" si="69"/>
        <v>#REF!</v>
      </c>
      <c r="J192" s="213">
        <f t="shared" si="55"/>
        <v>1847.64</v>
      </c>
      <c r="K192" s="201">
        <f t="shared" si="56"/>
        <v>0</v>
      </c>
      <c r="L192" s="93" t="e">
        <f t="shared" si="70"/>
        <v>#REF!</v>
      </c>
      <c r="M192" s="97"/>
    </row>
    <row r="193" spans="1:13" ht="14.1" customHeight="1" outlineLevel="2">
      <c r="C193" s="142">
        <f t="shared" si="68"/>
        <v>3.0421050000000043</v>
      </c>
      <c r="D193" s="89" t="s">
        <v>518</v>
      </c>
      <c r="E193" s="81" t="s">
        <v>169</v>
      </c>
      <c r="F193" s="111">
        <v>2031.47</v>
      </c>
      <c r="G193" s="82">
        <v>62.9</v>
      </c>
      <c r="H193" s="82"/>
      <c r="I193" s="213" t="e">
        <f t="shared" si="69"/>
        <v>#REF!</v>
      </c>
      <c r="J193" s="213">
        <f t="shared" si="55"/>
        <v>127779.46</v>
      </c>
      <c r="K193" s="201">
        <f t="shared" si="56"/>
        <v>0</v>
      </c>
      <c r="L193" s="93" t="e">
        <f t="shared" si="70"/>
        <v>#REF!</v>
      </c>
      <c r="M193" s="97"/>
    </row>
    <row r="194" spans="1:13" ht="14.1" customHeight="1" outlineLevel="2">
      <c r="C194" s="142">
        <f t="shared" si="68"/>
        <v>3.0421060000000044</v>
      </c>
      <c r="D194" s="89" t="s">
        <v>507</v>
      </c>
      <c r="E194" s="81" t="s">
        <v>169</v>
      </c>
      <c r="F194" s="111">
        <v>2031.47</v>
      </c>
      <c r="G194" s="82">
        <v>5.17</v>
      </c>
      <c r="H194" s="82"/>
      <c r="I194" s="213" t="e">
        <f t="shared" si="69"/>
        <v>#REF!</v>
      </c>
      <c r="J194" s="213">
        <f t="shared" si="55"/>
        <v>10502.7</v>
      </c>
      <c r="K194" s="201">
        <f t="shared" si="56"/>
        <v>0</v>
      </c>
      <c r="L194" s="93" t="e">
        <f t="shared" si="70"/>
        <v>#REF!</v>
      </c>
      <c r="M194" s="97"/>
    </row>
    <row r="195" spans="1:13" ht="14.1" customHeight="1" outlineLevel="2">
      <c r="A195" s="4" t="s">
        <v>429</v>
      </c>
      <c r="C195" s="142">
        <f t="shared" si="68"/>
        <v>3.0421070000000046</v>
      </c>
      <c r="D195" s="89" t="s">
        <v>514</v>
      </c>
      <c r="E195" s="81" t="s">
        <v>185</v>
      </c>
      <c r="F195" s="111">
        <v>8048.83</v>
      </c>
      <c r="G195" s="82">
        <v>1.19</v>
      </c>
      <c r="H195" s="82">
        <v>0.91</v>
      </c>
      <c r="I195" s="213" t="e">
        <f t="shared" si="69"/>
        <v>#REF!</v>
      </c>
      <c r="J195" s="213">
        <f t="shared" si="55"/>
        <v>9578.11</v>
      </c>
      <c r="K195" s="201">
        <f t="shared" si="56"/>
        <v>7324.44</v>
      </c>
      <c r="L195" s="93" t="e">
        <f t="shared" si="70"/>
        <v>#REF!</v>
      </c>
      <c r="M195" s="97"/>
    </row>
    <row r="196" spans="1:13" ht="15" customHeight="1" outlineLevel="2">
      <c r="A196" s="4" t="s">
        <v>429</v>
      </c>
      <c r="C196" s="142">
        <f t="shared" si="68"/>
        <v>3.0421080000000047</v>
      </c>
      <c r="D196" s="89" t="s">
        <v>515</v>
      </c>
      <c r="E196" s="81" t="s">
        <v>185</v>
      </c>
      <c r="F196" s="111">
        <v>5769.28</v>
      </c>
      <c r="G196" s="82">
        <v>0</v>
      </c>
      <c r="H196" s="82">
        <v>0.91</v>
      </c>
      <c r="I196" s="213" t="e">
        <f t="shared" si="69"/>
        <v>#REF!</v>
      </c>
      <c r="J196" s="213">
        <f t="shared" si="55"/>
        <v>0</v>
      </c>
      <c r="K196" s="201">
        <f t="shared" si="56"/>
        <v>5250.04</v>
      </c>
      <c r="L196" s="93" t="e">
        <f t="shared" si="70"/>
        <v>#REF!</v>
      </c>
      <c r="M196" s="97"/>
    </row>
    <row r="197" spans="1:13" ht="23.25" customHeight="1" outlineLevel="2">
      <c r="A197" s="4" t="s">
        <v>429</v>
      </c>
      <c r="C197" s="142">
        <f t="shared" si="68"/>
        <v>3.0421090000000048</v>
      </c>
      <c r="D197" s="230" t="s">
        <v>516</v>
      </c>
      <c r="E197" s="81" t="s">
        <v>185</v>
      </c>
      <c r="F197" s="417">
        <v>4062.94</v>
      </c>
      <c r="G197" s="82">
        <v>0</v>
      </c>
      <c r="H197" s="82">
        <v>0.91</v>
      </c>
      <c r="I197" s="213" t="e">
        <f t="shared" si="69"/>
        <v>#REF!</v>
      </c>
      <c r="J197" s="213">
        <f t="shared" si="55"/>
        <v>0</v>
      </c>
      <c r="K197" s="201">
        <f t="shared" si="56"/>
        <v>3697.28</v>
      </c>
      <c r="L197" s="93" t="e">
        <f t="shared" si="70"/>
        <v>#REF!</v>
      </c>
      <c r="M197" s="97"/>
    </row>
    <row r="198" spans="1:13" ht="14.1" customHeight="1" outlineLevel="2">
      <c r="C198" s="142">
        <f t="shared" si="68"/>
        <v>3.042110000000005</v>
      </c>
      <c r="D198" s="89" t="s">
        <v>431</v>
      </c>
      <c r="E198" s="81" t="s">
        <v>169</v>
      </c>
      <c r="F198" s="111">
        <v>2031.47</v>
      </c>
      <c r="G198" s="82">
        <v>1.44</v>
      </c>
      <c r="H198" s="82"/>
      <c r="I198" s="213" t="e">
        <f t="shared" si="69"/>
        <v>#REF!</v>
      </c>
      <c r="J198" s="213">
        <f t="shared" si="55"/>
        <v>2925.32</v>
      </c>
      <c r="K198" s="201">
        <f t="shared" si="56"/>
        <v>0</v>
      </c>
      <c r="L198" s="93" t="e">
        <f t="shared" si="70"/>
        <v>#REF!</v>
      </c>
      <c r="M198" s="97"/>
    </row>
    <row r="199" spans="1:13" ht="14.1" customHeight="1" outlineLevel="1">
      <c r="C199" s="140">
        <f>C188+0.0001</f>
        <v>3.0422000000000038</v>
      </c>
      <c r="D199" s="133" t="s">
        <v>519</v>
      </c>
      <c r="E199" s="81"/>
      <c r="F199" s="111"/>
      <c r="G199" s="82"/>
      <c r="H199" s="82"/>
      <c r="I199" s="213"/>
      <c r="J199" s="213"/>
      <c r="K199" s="201"/>
      <c r="L199" s="93"/>
      <c r="M199" s="97"/>
    </row>
    <row r="200" spans="1:13" ht="23.25" customHeight="1" outlineLevel="2">
      <c r="A200" s="4" t="s">
        <v>423</v>
      </c>
      <c r="B200" s="4" t="s">
        <v>477</v>
      </c>
      <c r="C200" s="142">
        <f t="shared" si="68"/>
        <v>3.0422010000000039</v>
      </c>
      <c r="D200" s="88" t="s">
        <v>520</v>
      </c>
      <c r="E200" s="81" t="s">
        <v>163</v>
      </c>
      <c r="F200" s="111">
        <v>24.62</v>
      </c>
      <c r="G200" s="82">
        <v>395.7</v>
      </c>
      <c r="H200" s="82"/>
      <c r="I200" s="213" t="e">
        <f t="shared" ref="I200" si="71">+ROUND(G200+H200*TC,2)</f>
        <v>#REF!</v>
      </c>
      <c r="J200" s="213">
        <f t="shared" ref="J200:J209" si="72">+ROUND(F200*G200,2)</f>
        <v>9742.1299999999992</v>
      </c>
      <c r="K200" s="201">
        <f t="shared" ref="K200:K209" si="73">+ROUND(F200*H200,2)</f>
        <v>0</v>
      </c>
      <c r="L200" s="93" t="e">
        <f t="shared" ref="L200" si="74">+ROUND(J200+K200*TC,2)</f>
        <v>#REF!</v>
      </c>
      <c r="M200" s="97"/>
    </row>
    <row r="201" spans="1:13" ht="14.1" customHeight="1" outlineLevel="2">
      <c r="A201" s="4" t="s">
        <v>423</v>
      </c>
      <c r="B201" s="4" t="s">
        <v>477</v>
      </c>
      <c r="C201" s="142">
        <f t="shared" si="68"/>
        <v>3.0422020000000041</v>
      </c>
      <c r="D201" s="481" t="s">
        <v>502</v>
      </c>
      <c r="E201" s="81" t="s">
        <v>163</v>
      </c>
      <c r="F201" s="111">
        <v>3.98</v>
      </c>
      <c r="G201" s="82">
        <v>465.98</v>
      </c>
      <c r="H201" s="82"/>
      <c r="I201" s="213" t="e">
        <f>+ROUND(G201+H201*TC,2)</f>
        <v>#REF!</v>
      </c>
      <c r="J201" s="213">
        <f t="shared" si="72"/>
        <v>1854.6</v>
      </c>
      <c r="K201" s="201">
        <f t="shared" si="73"/>
        <v>0</v>
      </c>
      <c r="L201" s="93" t="e">
        <f>+ROUND(J201+K201*TC,2)</f>
        <v>#REF!</v>
      </c>
      <c r="M201" s="97"/>
    </row>
    <row r="202" spans="1:13" ht="14.1" customHeight="1" outlineLevel="2">
      <c r="A202" s="4" t="s">
        <v>419</v>
      </c>
      <c r="C202" s="142">
        <f t="shared" si="68"/>
        <v>3.0422030000000042</v>
      </c>
      <c r="D202" s="88" t="s">
        <v>521</v>
      </c>
      <c r="E202" s="81" t="s">
        <v>169</v>
      </c>
      <c r="F202" s="111">
        <v>0</v>
      </c>
      <c r="G202" s="82">
        <v>37.520000000000003</v>
      </c>
      <c r="H202" s="82"/>
      <c r="I202" s="213" t="e">
        <f t="shared" ref="I202:I209" si="75">+ROUND(G202+H202*TC,2)</f>
        <v>#REF!</v>
      </c>
      <c r="J202" s="213">
        <f t="shared" si="72"/>
        <v>0</v>
      </c>
      <c r="K202" s="201">
        <f t="shared" si="73"/>
        <v>0</v>
      </c>
      <c r="L202" s="93" t="e">
        <f t="shared" ref="L202:L209" si="76">+ROUND(J202+K202*TC,2)</f>
        <v>#REF!</v>
      </c>
      <c r="M202" s="97"/>
    </row>
    <row r="203" spans="1:13" ht="14.1" customHeight="1" outlineLevel="2">
      <c r="A203" s="4" t="s">
        <v>419</v>
      </c>
      <c r="C203" s="142">
        <f t="shared" si="68"/>
        <v>3.0422040000000043</v>
      </c>
      <c r="D203" s="88" t="s">
        <v>522</v>
      </c>
      <c r="E203" s="81" t="s">
        <v>169</v>
      </c>
      <c r="F203" s="111">
        <v>286.04000000000002</v>
      </c>
      <c r="G203" s="82">
        <v>43.7</v>
      </c>
      <c r="H203" s="82"/>
      <c r="I203" s="213" t="e">
        <f t="shared" si="75"/>
        <v>#REF!</v>
      </c>
      <c r="J203" s="213">
        <f t="shared" si="72"/>
        <v>12499.95</v>
      </c>
      <c r="K203" s="201">
        <f t="shared" si="73"/>
        <v>0</v>
      </c>
      <c r="L203" s="93" t="e">
        <f t="shared" si="76"/>
        <v>#REF!</v>
      </c>
      <c r="M203" s="97"/>
    </row>
    <row r="204" spans="1:13" ht="14.1" customHeight="1" outlineLevel="2">
      <c r="C204" s="142">
        <f t="shared" si="68"/>
        <v>3.0422050000000045</v>
      </c>
      <c r="D204" s="80" t="s">
        <v>523</v>
      </c>
      <c r="E204" s="81" t="s">
        <v>169</v>
      </c>
      <c r="F204" s="111">
        <v>286.04000000000002</v>
      </c>
      <c r="G204" s="82">
        <v>45.2</v>
      </c>
      <c r="H204" s="82"/>
      <c r="I204" s="213" t="e">
        <f t="shared" si="75"/>
        <v>#REF!</v>
      </c>
      <c r="J204" s="213">
        <f t="shared" si="72"/>
        <v>12929.01</v>
      </c>
      <c r="K204" s="201">
        <f t="shared" si="73"/>
        <v>0</v>
      </c>
      <c r="L204" s="93" t="e">
        <f t="shared" si="76"/>
        <v>#REF!</v>
      </c>
      <c r="M204" s="97"/>
    </row>
    <row r="205" spans="1:13" ht="14.1" customHeight="1" outlineLevel="2">
      <c r="C205" s="142">
        <f t="shared" si="68"/>
        <v>3.0422060000000046</v>
      </c>
      <c r="D205" s="88" t="s">
        <v>507</v>
      </c>
      <c r="E205" s="81" t="s">
        <v>169</v>
      </c>
      <c r="F205" s="111">
        <v>286.04000000000002</v>
      </c>
      <c r="G205" s="82">
        <v>5.17</v>
      </c>
      <c r="H205" s="82"/>
      <c r="I205" s="213" t="e">
        <f t="shared" si="75"/>
        <v>#REF!</v>
      </c>
      <c r="J205" s="213">
        <f t="shared" si="72"/>
        <v>1478.83</v>
      </c>
      <c r="K205" s="201">
        <f t="shared" si="73"/>
        <v>0</v>
      </c>
      <c r="L205" s="93" t="e">
        <f t="shared" si="76"/>
        <v>#REF!</v>
      </c>
      <c r="M205" s="97"/>
    </row>
    <row r="206" spans="1:13" ht="14.25" customHeight="1" outlineLevel="2">
      <c r="A206" s="4" t="s">
        <v>429</v>
      </c>
      <c r="C206" s="142">
        <f t="shared" si="68"/>
        <v>3.0422070000000048</v>
      </c>
      <c r="D206" s="89" t="s">
        <v>514</v>
      </c>
      <c r="E206" s="81" t="s">
        <v>185</v>
      </c>
      <c r="F206" s="111">
        <v>1917.6</v>
      </c>
      <c r="G206" s="82">
        <v>1.19</v>
      </c>
      <c r="H206" s="82">
        <v>0.91</v>
      </c>
      <c r="I206" s="213" t="e">
        <f t="shared" si="75"/>
        <v>#REF!</v>
      </c>
      <c r="J206" s="213">
        <f t="shared" si="72"/>
        <v>2281.94</v>
      </c>
      <c r="K206" s="201">
        <f t="shared" si="73"/>
        <v>1745.02</v>
      </c>
      <c r="L206" s="93" t="e">
        <f t="shared" si="76"/>
        <v>#REF!</v>
      </c>
      <c r="M206" s="97"/>
    </row>
    <row r="207" spans="1:13" ht="14.1" customHeight="1" outlineLevel="2">
      <c r="A207" s="4" t="s">
        <v>429</v>
      </c>
      <c r="C207" s="142">
        <f t="shared" si="68"/>
        <v>3.0422080000000049</v>
      </c>
      <c r="D207" s="89" t="s">
        <v>515</v>
      </c>
      <c r="E207" s="81" t="s">
        <v>185</v>
      </c>
      <c r="F207" s="111">
        <v>1187.42</v>
      </c>
      <c r="G207" s="82">
        <v>0</v>
      </c>
      <c r="H207" s="82">
        <v>0.91</v>
      </c>
      <c r="I207" s="213" t="e">
        <f t="shared" si="75"/>
        <v>#REF!</v>
      </c>
      <c r="J207" s="213">
        <f t="shared" si="72"/>
        <v>0</v>
      </c>
      <c r="K207" s="201">
        <f t="shared" si="73"/>
        <v>1080.55</v>
      </c>
      <c r="L207" s="93" t="e">
        <f t="shared" si="76"/>
        <v>#REF!</v>
      </c>
      <c r="M207" s="97"/>
    </row>
    <row r="208" spans="1:13" ht="23.25" customHeight="1" outlineLevel="2">
      <c r="A208" s="4" t="s">
        <v>429</v>
      </c>
      <c r="C208" s="142">
        <f t="shared" si="68"/>
        <v>3.042209000000005</v>
      </c>
      <c r="D208" s="231" t="s">
        <v>524</v>
      </c>
      <c r="E208" s="81" t="s">
        <v>185</v>
      </c>
      <c r="F208" s="417">
        <v>1227.1099999999999</v>
      </c>
      <c r="G208" s="82">
        <v>1.19</v>
      </c>
      <c r="H208" s="82">
        <v>0.91</v>
      </c>
      <c r="I208" s="213" t="e">
        <f t="shared" si="75"/>
        <v>#REF!</v>
      </c>
      <c r="J208" s="213">
        <f t="shared" si="72"/>
        <v>1460.26</v>
      </c>
      <c r="K208" s="201">
        <f t="shared" si="73"/>
        <v>1116.67</v>
      </c>
      <c r="L208" s="93" t="e">
        <f t="shared" si="76"/>
        <v>#REF!</v>
      </c>
      <c r="M208" s="97"/>
    </row>
    <row r="209" spans="1:13" ht="14.1" customHeight="1" outlineLevel="2">
      <c r="C209" s="142">
        <f t="shared" si="68"/>
        <v>3.0422100000000052</v>
      </c>
      <c r="D209" s="89" t="s">
        <v>431</v>
      </c>
      <c r="E209" s="81" t="s">
        <v>169</v>
      </c>
      <c r="F209" s="111">
        <v>286.04000000000002</v>
      </c>
      <c r="G209" s="82">
        <v>1.44</v>
      </c>
      <c r="H209" s="82"/>
      <c r="I209" s="213" t="e">
        <f t="shared" si="75"/>
        <v>#REF!</v>
      </c>
      <c r="J209" s="213">
        <f t="shared" si="72"/>
        <v>411.9</v>
      </c>
      <c r="K209" s="201">
        <f t="shared" si="73"/>
        <v>0</v>
      </c>
      <c r="L209" s="93" t="e">
        <f t="shared" si="76"/>
        <v>#REF!</v>
      </c>
      <c r="M209" s="97"/>
    </row>
    <row r="210" spans="1:13" ht="14.1" customHeight="1" outlineLevel="1">
      <c r="C210" s="140">
        <f>C199+0.0001</f>
        <v>3.042300000000004</v>
      </c>
      <c r="D210" s="133" t="s">
        <v>525</v>
      </c>
      <c r="E210" s="81"/>
      <c r="F210" s="111"/>
      <c r="G210" s="82"/>
      <c r="H210" s="82"/>
      <c r="I210" s="213"/>
      <c r="J210" s="213"/>
      <c r="K210" s="201"/>
      <c r="L210" s="93"/>
      <c r="M210" s="97"/>
    </row>
    <row r="211" spans="1:13" ht="23.25" customHeight="1" outlineLevel="2">
      <c r="A211" s="4" t="s">
        <v>423</v>
      </c>
      <c r="B211" s="4" t="s">
        <v>477</v>
      </c>
      <c r="C211" s="142">
        <f t="shared" si="68"/>
        <v>3.0423010000000041</v>
      </c>
      <c r="D211" s="88" t="s">
        <v>520</v>
      </c>
      <c r="E211" s="81" t="s">
        <v>163</v>
      </c>
      <c r="F211" s="111">
        <v>71.83</v>
      </c>
      <c r="G211" s="82">
        <v>395.7</v>
      </c>
      <c r="H211" s="82"/>
      <c r="I211" s="213" t="e">
        <f t="shared" ref="I211:I220" si="77">+ROUND(G211+H211*TC,2)</f>
        <v>#REF!</v>
      </c>
      <c r="J211" s="213">
        <f t="shared" si="55"/>
        <v>28423.13</v>
      </c>
      <c r="K211" s="201">
        <f t="shared" si="56"/>
        <v>0</v>
      </c>
      <c r="L211" s="93" t="e">
        <f t="shared" ref="L211:L220" si="78">+ROUND(J211+K211*TC,2)</f>
        <v>#REF!</v>
      </c>
      <c r="M211" s="97"/>
    </row>
    <row r="212" spans="1:13" ht="14.1" customHeight="1" outlineLevel="2">
      <c r="A212" s="4" t="s">
        <v>423</v>
      </c>
      <c r="B212" s="4" t="s">
        <v>477</v>
      </c>
      <c r="C212" s="142">
        <f t="shared" si="68"/>
        <v>3.0423020000000043</v>
      </c>
      <c r="D212" s="481" t="s">
        <v>502</v>
      </c>
      <c r="E212" s="81" t="s">
        <v>163</v>
      </c>
      <c r="F212" s="111">
        <v>9.9600000000000009</v>
      </c>
      <c r="G212" s="82">
        <v>465.98</v>
      </c>
      <c r="H212" s="82"/>
      <c r="I212" s="213" t="e">
        <f>+ROUND(G212+H212*TC,2)</f>
        <v>#REF!</v>
      </c>
      <c r="J212" s="213">
        <f t="shared" ref="J212" si="79">+ROUND(F212*G212,2)</f>
        <v>4641.16</v>
      </c>
      <c r="K212" s="201">
        <f t="shared" ref="K212" si="80">+ROUND(F212*H212,2)</f>
        <v>0</v>
      </c>
      <c r="L212" s="93" t="e">
        <f>+ROUND(J212+K212*TC,2)</f>
        <v>#REF!</v>
      </c>
      <c r="M212" s="97"/>
    </row>
    <row r="213" spans="1:13" ht="14.1" customHeight="1" outlineLevel="2">
      <c r="A213" s="4" t="s">
        <v>419</v>
      </c>
      <c r="C213" s="142">
        <f t="shared" si="68"/>
        <v>3.0423030000000044</v>
      </c>
      <c r="D213" s="88" t="s">
        <v>521</v>
      </c>
      <c r="E213" s="81" t="s">
        <v>169</v>
      </c>
      <c r="F213" s="111">
        <v>98.89</v>
      </c>
      <c r="G213" s="82">
        <v>37.520000000000003</v>
      </c>
      <c r="H213" s="82"/>
      <c r="I213" s="213" t="e">
        <f t="shared" si="77"/>
        <v>#REF!</v>
      </c>
      <c r="J213" s="213">
        <f t="shared" si="55"/>
        <v>3710.35</v>
      </c>
      <c r="K213" s="201">
        <f t="shared" si="56"/>
        <v>0</v>
      </c>
      <c r="L213" s="93" t="e">
        <f t="shared" si="78"/>
        <v>#REF!</v>
      </c>
      <c r="M213" s="97"/>
    </row>
    <row r="214" spans="1:13" ht="14.1" customHeight="1" outlineLevel="2">
      <c r="A214" s="4" t="s">
        <v>419</v>
      </c>
      <c r="C214" s="142">
        <f t="shared" si="68"/>
        <v>3.0423040000000046</v>
      </c>
      <c r="D214" s="88" t="s">
        <v>522</v>
      </c>
      <c r="E214" s="81" t="s">
        <v>169</v>
      </c>
      <c r="F214" s="111">
        <v>446.36</v>
      </c>
      <c r="G214" s="82">
        <v>43.7</v>
      </c>
      <c r="H214" s="82"/>
      <c r="I214" s="213" t="e">
        <f t="shared" si="77"/>
        <v>#REF!</v>
      </c>
      <c r="J214" s="213">
        <f t="shared" si="55"/>
        <v>19505.93</v>
      </c>
      <c r="K214" s="201">
        <f t="shared" si="56"/>
        <v>0</v>
      </c>
      <c r="L214" s="93" t="e">
        <f t="shared" si="78"/>
        <v>#REF!</v>
      </c>
      <c r="M214" s="97"/>
    </row>
    <row r="215" spans="1:13" ht="14.1" customHeight="1" outlineLevel="2">
      <c r="C215" s="142">
        <f t="shared" si="68"/>
        <v>3.0423050000000047</v>
      </c>
      <c r="D215" s="80" t="s">
        <v>506</v>
      </c>
      <c r="E215" s="81" t="s">
        <v>169</v>
      </c>
      <c r="F215" s="111">
        <v>545.25</v>
      </c>
      <c r="G215" s="82">
        <v>45.2</v>
      </c>
      <c r="H215" s="82"/>
      <c r="I215" s="213" t="e">
        <f t="shared" si="77"/>
        <v>#REF!</v>
      </c>
      <c r="J215" s="213">
        <f t="shared" si="55"/>
        <v>24645.3</v>
      </c>
      <c r="K215" s="201">
        <f t="shared" si="56"/>
        <v>0</v>
      </c>
      <c r="L215" s="93" t="e">
        <f t="shared" si="78"/>
        <v>#REF!</v>
      </c>
      <c r="M215" s="97"/>
    </row>
    <row r="216" spans="1:13" ht="14.1" customHeight="1" outlineLevel="2">
      <c r="C216" s="142">
        <f t="shared" si="68"/>
        <v>3.0423060000000048</v>
      </c>
      <c r="D216" s="88" t="s">
        <v>507</v>
      </c>
      <c r="E216" s="81" t="s">
        <v>169</v>
      </c>
      <c r="F216" s="111">
        <v>545.25</v>
      </c>
      <c r="G216" s="82">
        <v>5.17</v>
      </c>
      <c r="H216" s="82"/>
      <c r="I216" s="213" t="e">
        <f t="shared" si="77"/>
        <v>#REF!</v>
      </c>
      <c r="J216" s="213">
        <f t="shared" si="55"/>
        <v>2818.94</v>
      </c>
      <c r="K216" s="201">
        <f t="shared" si="56"/>
        <v>0</v>
      </c>
      <c r="L216" s="93" t="e">
        <f t="shared" si="78"/>
        <v>#REF!</v>
      </c>
      <c r="M216" s="97"/>
    </row>
    <row r="217" spans="1:13" ht="14.25" customHeight="1" outlineLevel="2">
      <c r="A217" s="4" t="s">
        <v>429</v>
      </c>
      <c r="C217" s="142">
        <f t="shared" si="68"/>
        <v>3.042307000000005</v>
      </c>
      <c r="D217" s="89" t="s">
        <v>514</v>
      </c>
      <c r="E217" s="81" t="s">
        <v>185</v>
      </c>
      <c r="F217" s="111">
        <v>3425.67</v>
      </c>
      <c r="G217" s="82">
        <v>1.19</v>
      </c>
      <c r="H217" s="82">
        <v>0.91</v>
      </c>
      <c r="I217" s="213" t="e">
        <f t="shared" si="77"/>
        <v>#REF!</v>
      </c>
      <c r="J217" s="213">
        <f t="shared" si="55"/>
        <v>4076.55</v>
      </c>
      <c r="K217" s="201">
        <f t="shared" si="56"/>
        <v>3117.36</v>
      </c>
      <c r="L217" s="93" t="e">
        <f t="shared" si="78"/>
        <v>#REF!</v>
      </c>
      <c r="M217" s="97"/>
    </row>
    <row r="218" spans="1:13" ht="14.1" customHeight="1" outlineLevel="2">
      <c r="A218" s="4" t="s">
        <v>429</v>
      </c>
      <c r="C218" s="142">
        <f t="shared" si="68"/>
        <v>3.0423080000000051</v>
      </c>
      <c r="D218" s="89" t="s">
        <v>515</v>
      </c>
      <c r="E218" s="81" t="s">
        <v>185</v>
      </c>
      <c r="F218" s="111">
        <v>3728.1</v>
      </c>
      <c r="G218" s="82">
        <v>0</v>
      </c>
      <c r="H218" s="82">
        <v>0.91</v>
      </c>
      <c r="I218" s="213" t="e">
        <f t="shared" si="77"/>
        <v>#REF!</v>
      </c>
      <c r="J218" s="213">
        <f t="shared" si="55"/>
        <v>0</v>
      </c>
      <c r="K218" s="201">
        <f t="shared" si="56"/>
        <v>3392.57</v>
      </c>
      <c r="L218" s="93" t="e">
        <f t="shared" si="78"/>
        <v>#REF!</v>
      </c>
      <c r="M218" s="97"/>
    </row>
    <row r="219" spans="1:13" ht="23.25" customHeight="1" outlineLevel="2">
      <c r="A219" s="4" t="s">
        <v>429</v>
      </c>
      <c r="C219" s="142">
        <f t="shared" si="68"/>
        <v>3.0423090000000053</v>
      </c>
      <c r="D219" s="231" t="s">
        <v>524</v>
      </c>
      <c r="E219" s="81" t="s">
        <v>185</v>
      </c>
      <c r="F219" s="417">
        <v>2339.12</v>
      </c>
      <c r="G219" s="82">
        <v>1.19</v>
      </c>
      <c r="H219" s="82">
        <v>0.91</v>
      </c>
      <c r="I219" s="213" t="e">
        <f t="shared" si="77"/>
        <v>#REF!</v>
      </c>
      <c r="J219" s="213">
        <f t="shared" si="55"/>
        <v>2783.55</v>
      </c>
      <c r="K219" s="201">
        <f t="shared" si="56"/>
        <v>2128.6</v>
      </c>
      <c r="L219" s="93" t="e">
        <f t="shared" si="78"/>
        <v>#REF!</v>
      </c>
      <c r="M219" s="97"/>
    </row>
    <row r="220" spans="1:13" ht="14.1" customHeight="1" outlineLevel="2">
      <c r="C220" s="142">
        <f t="shared" si="68"/>
        <v>3.0423100000000054</v>
      </c>
      <c r="D220" s="89" t="s">
        <v>431</v>
      </c>
      <c r="E220" s="81" t="s">
        <v>169</v>
      </c>
      <c r="F220" s="111">
        <v>545.25</v>
      </c>
      <c r="G220" s="82">
        <v>1.44</v>
      </c>
      <c r="H220" s="82"/>
      <c r="I220" s="213" t="e">
        <f t="shared" si="77"/>
        <v>#REF!</v>
      </c>
      <c r="J220" s="213">
        <f t="shared" si="55"/>
        <v>785.16</v>
      </c>
      <c r="K220" s="201">
        <f t="shared" si="56"/>
        <v>0</v>
      </c>
      <c r="L220" s="93" t="e">
        <f t="shared" si="78"/>
        <v>#REF!</v>
      </c>
      <c r="M220" s="97"/>
    </row>
    <row r="221" spans="1:13" ht="14.1" customHeight="1" outlineLevel="1">
      <c r="C221" s="140">
        <f>C210+0.0001</f>
        <v>3.0424000000000042</v>
      </c>
      <c r="D221" s="133" t="s">
        <v>526</v>
      </c>
      <c r="E221" s="81"/>
      <c r="F221" s="111"/>
      <c r="G221" s="82"/>
      <c r="H221" s="82"/>
      <c r="I221" s="213"/>
      <c r="J221" s="213"/>
      <c r="K221" s="201"/>
      <c r="L221" s="93"/>
      <c r="M221" s="97"/>
    </row>
    <row r="222" spans="1:13" ht="23.25" customHeight="1" outlineLevel="2">
      <c r="A222" s="4" t="s">
        <v>423</v>
      </c>
      <c r="B222" s="4" t="s">
        <v>477</v>
      </c>
      <c r="C222" s="142">
        <f t="shared" si="68"/>
        <v>3.0424010000000044</v>
      </c>
      <c r="D222" s="88" t="s">
        <v>520</v>
      </c>
      <c r="E222" s="81" t="s">
        <v>163</v>
      </c>
      <c r="F222" s="111">
        <v>9.56</v>
      </c>
      <c r="G222" s="82">
        <v>395.7</v>
      </c>
      <c r="H222" s="82"/>
      <c r="I222" s="213" t="e">
        <f t="shared" ref="I222" si="81">+ROUND(G222+H222*TC,2)</f>
        <v>#REF!</v>
      </c>
      <c r="J222" s="213">
        <f t="shared" ref="J222:J231" si="82">+ROUND(F222*G222,2)</f>
        <v>3782.89</v>
      </c>
      <c r="K222" s="201">
        <f t="shared" ref="K222:K231" si="83">+ROUND(F222*H222,2)</f>
        <v>0</v>
      </c>
      <c r="L222" s="93" t="e">
        <f t="shared" ref="L222" si="84">+ROUND(J222+K222*TC,2)</f>
        <v>#REF!</v>
      </c>
      <c r="M222" s="97"/>
    </row>
    <row r="223" spans="1:13" ht="14.1" customHeight="1" outlineLevel="2">
      <c r="A223" s="4" t="s">
        <v>423</v>
      </c>
      <c r="B223" s="4" t="s">
        <v>477</v>
      </c>
      <c r="C223" s="142">
        <f t="shared" si="68"/>
        <v>3.0424020000000045</v>
      </c>
      <c r="D223" s="481" t="s">
        <v>502</v>
      </c>
      <c r="E223" s="81" t="s">
        <v>163</v>
      </c>
      <c r="F223" s="111">
        <v>0.68</v>
      </c>
      <c r="G223" s="82">
        <v>465.98</v>
      </c>
      <c r="H223" s="82"/>
      <c r="I223" s="213" t="e">
        <f>+ROUND(G223+H223*TC,2)</f>
        <v>#REF!</v>
      </c>
      <c r="J223" s="213">
        <f t="shared" si="82"/>
        <v>316.87</v>
      </c>
      <c r="K223" s="201">
        <f t="shared" si="83"/>
        <v>0</v>
      </c>
      <c r="L223" s="93" t="e">
        <f>+ROUND(J223+K223*TC,2)</f>
        <v>#REF!</v>
      </c>
      <c r="M223" s="97"/>
    </row>
    <row r="224" spans="1:13" ht="14.1" customHeight="1" outlineLevel="2">
      <c r="A224" s="4" t="s">
        <v>419</v>
      </c>
      <c r="C224" s="142">
        <f t="shared" si="68"/>
        <v>3.0424030000000046</v>
      </c>
      <c r="D224" s="88" t="s">
        <v>521</v>
      </c>
      <c r="E224" s="81" t="s">
        <v>169</v>
      </c>
      <c r="F224" s="111">
        <v>0</v>
      </c>
      <c r="G224" s="82">
        <v>37.520000000000003</v>
      </c>
      <c r="H224" s="82"/>
      <c r="I224" s="213" t="e">
        <f t="shared" ref="I224:I231" si="85">+ROUND(G224+H224*TC,2)</f>
        <v>#REF!</v>
      </c>
      <c r="J224" s="213">
        <f t="shared" si="82"/>
        <v>0</v>
      </c>
      <c r="K224" s="201">
        <f t="shared" si="83"/>
        <v>0</v>
      </c>
      <c r="L224" s="93" t="e">
        <f t="shared" ref="L224:L231" si="86">+ROUND(J224+K224*TC,2)</f>
        <v>#REF!</v>
      </c>
      <c r="M224" s="97"/>
    </row>
    <row r="225" spans="1:13" ht="14.1" customHeight="1" outlineLevel="2">
      <c r="A225" s="4" t="s">
        <v>419</v>
      </c>
      <c r="C225" s="142">
        <f t="shared" si="68"/>
        <v>3.0424040000000048</v>
      </c>
      <c r="D225" s="88" t="s">
        <v>522</v>
      </c>
      <c r="E225" s="81" t="s">
        <v>169</v>
      </c>
      <c r="F225" s="111">
        <v>56.91</v>
      </c>
      <c r="G225" s="82">
        <v>43.7</v>
      </c>
      <c r="H225" s="82"/>
      <c r="I225" s="213" t="e">
        <f t="shared" si="85"/>
        <v>#REF!</v>
      </c>
      <c r="J225" s="213">
        <f t="shared" si="82"/>
        <v>2486.9699999999998</v>
      </c>
      <c r="K225" s="201">
        <f t="shared" si="83"/>
        <v>0</v>
      </c>
      <c r="L225" s="93" t="e">
        <f t="shared" si="86"/>
        <v>#REF!</v>
      </c>
      <c r="M225" s="97"/>
    </row>
    <row r="226" spans="1:13" ht="14.1" customHeight="1" outlineLevel="2">
      <c r="C226" s="142">
        <f t="shared" si="68"/>
        <v>3.0424050000000049</v>
      </c>
      <c r="D226" s="80" t="s">
        <v>506</v>
      </c>
      <c r="E226" s="81" t="s">
        <v>169</v>
      </c>
      <c r="F226" s="111">
        <v>56.91</v>
      </c>
      <c r="G226" s="82">
        <v>45.2</v>
      </c>
      <c r="H226" s="82"/>
      <c r="I226" s="213" t="e">
        <f t="shared" si="85"/>
        <v>#REF!</v>
      </c>
      <c r="J226" s="213">
        <f t="shared" si="82"/>
        <v>2572.33</v>
      </c>
      <c r="K226" s="201">
        <f t="shared" si="83"/>
        <v>0</v>
      </c>
      <c r="L226" s="93" t="e">
        <f t="shared" si="86"/>
        <v>#REF!</v>
      </c>
      <c r="M226" s="97"/>
    </row>
    <row r="227" spans="1:13" ht="14.1" customHeight="1" outlineLevel="2">
      <c r="C227" s="142">
        <f t="shared" si="68"/>
        <v>3.0424060000000051</v>
      </c>
      <c r="D227" s="88" t="s">
        <v>507</v>
      </c>
      <c r="E227" s="81" t="s">
        <v>169</v>
      </c>
      <c r="F227" s="111">
        <v>56.91</v>
      </c>
      <c r="G227" s="82">
        <v>5.17</v>
      </c>
      <c r="H227" s="82"/>
      <c r="I227" s="213" t="e">
        <f t="shared" si="85"/>
        <v>#REF!</v>
      </c>
      <c r="J227" s="213">
        <f t="shared" si="82"/>
        <v>294.22000000000003</v>
      </c>
      <c r="K227" s="201">
        <f t="shared" si="83"/>
        <v>0</v>
      </c>
      <c r="L227" s="93" t="e">
        <f t="shared" si="86"/>
        <v>#REF!</v>
      </c>
      <c r="M227" s="97"/>
    </row>
    <row r="228" spans="1:13" ht="14.25" customHeight="1" outlineLevel="2">
      <c r="A228" s="4" t="s">
        <v>429</v>
      </c>
      <c r="C228" s="142">
        <f t="shared" si="68"/>
        <v>3.0424070000000052</v>
      </c>
      <c r="D228" s="89" t="s">
        <v>514</v>
      </c>
      <c r="E228" s="81" t="s">
        <v>185</v>
      </c>
      <c r="F228" s="111">
        <v>409.93</v>
      </c>
      <c r="G228" s="82">
        <v>1.19</v>
      </c>
      <c r="H228" s="82">
        <v>0.91</v>
      </c>
      <c r="I228" s="213" t="e">
        <f t="shared" si="85"/>
        <v>#REF!</v>
      </c>
      <c r="J228" s="213">
        <f t="shared" si="82"/>
        <v>487.82</v>
      </c>
      <c r="K228" s="201">
        <f t="shared" si="83"/>
        <v>373.04</v>
      </c>
      <c r="L228" s="93" t="e">
        <f t="shared" si="86"/>
        <v>#REF!</v>
      </c>
      <c r="M228" s="97"/>
    </row>
    <row r="229" spans="1:13" ht="14.1" customHeight="1" outlineLevel="2">
      <c r="A229" s="4" t="s">
        <v>429</v>
      </c>
      <c r="C229" s="142">
        <f t="shared" si="68"/>
        <v>3.0424080000000053</v>
      </c>
      <c r="D229" s="89" t="s">
        <v>515</v>
      </c>
      <c r="E229" s="81" t="s">
        <v>185</v>
      </c>
      <c r="F229" s="111">
        <v>571.47</v>
      </c>
      <c r="G229" s="82">
        <v>0</v>
      </c>
      <c r="H229" s="82">
        <v>0.91</v>
      </c>
      <c r="I229" s="213" t="e">
        <f t="shared" si="85"/>
        <v>#REF!</v>
      </c>
      <c r="J229" s="213">
        <f t="shared" si="82"/>
        <v>0</v>
      </c>
      <c r="K229" s="201">
        <f t="shared" si="83"/>
        <v>520.04</v>
      </c>
      <c r="L229" s="93" t="e">
        <f t="shared" si="86"/>
        <v>#REF!</v>
      </c>
      <c r="M229" s="97"/>
    </row>
    <row r="230" spans="1:13" ht="23.25" customHeight="1" outlineLevel="2">
      <c r="A230" s="4" t="s">
        <v>429</v>
      </c>
      <c r="C230" s="142">
        <f t="shared" si="68"/>
        <v>3.0424090000000055</v>
      </c>
      <c r="D230" s="231" t="s">
        <v>524</v>
      </c>
      <c r="E230" s="81" t="s">
        <v>185</v>
      </c>
      <c r="F230" s="417">
        <v>244.14</v>
      </c>
      <c r="G230" s="82">
        <v>1.19</v>
      </c>
      <c r="H230" s="82">
        <v>0.91</v>
      </c>
      <c r="I230" s="213" t="e">
        <f t="shared" si="85"/>
        <v>#REF!</v>
      </c>
      <c r="J230" s="213">
        <f t="shared" si="82"/>
        <v>290.52999999999997</v>
      </c>
      <c r="K230" s="201">
        <f t="shared" si="83"/>
        <v>222.17</v>
      </c>
      <c r="L230" s="93" t="e">
        <f t="shared" si="86"/>
        <v>#REF!</v>
      </c>
      <c r="M230" s="97"/>
    </row>
    <row r="231" spans="1:13" ht="14.1" customHeight="1" outlineLevel="2">
      <c r="C231" s="142">
        <f t="shared" si="68"/>
        <v>3.0424100000000056</v>
      </c>
      <c r="D231" s="89" t="s">
        <v>431</v>
      </c>
      <c r="E231" s="81" t="s">
        <v>169</v>
      </c>
      <c r="F231" s="111">
        <v>56.91</v>
      </c>
      <c r="G231" s="82">
        <v>1.44</v>
      </c>
      <c r="H231" s="82"/>
      <c r="I231" s="213" t="e">
        <f t="shared" si="85"/>
        <v>#REF!</v>
      </c>
      <c r="J231" s="213">
        <f t="shared" si="82"/>
        <v>81.95</v>
      </c>
      <c r="K231" s="201">
        <f t="shared" si="83"/>
        <v>0</v>
      </c>
      <c r="L231" s="93" t="e">
        <f t="shared" si="86"/>
        <v>#REF!</v>
      </c>
      <c r="M231" s="97"/>
    </row>
    <row r="232" spans="1:13" ht="14.1" customHeight="1" outlineLevel="1">
      <c r="C232" s="140">
        <f>C221+0.0001</f>
        <v>3.0425000000000044</v>
      </c>
      <c r="D232" s="133" t="s">
        <v>527</v>
      </c>
      <c r="E232" s="81"/>
      <c r="F232" s="111"/>
      <c r="G232" s="82"/>
      <c r="H232" s="82"/>
      <c r="I232" s="213"/>
      <c r="J232" s="213"/>
      <c r="K232" s="201"/>
      <c r="L232" s="93"/>
      <c r="M232" s="97"/>
    </row>
    <row r="233" spans="1:13" ht="23.25" customHeight="1" outlineLevel="2">
      <c r="A233" s="4" t="s">
        <v>423</v>
      </c>
      <c r="B233" s="4" t="s">
        <v>477</v>
      </c>
      <c r="C233" s="142">
        <f t="shared" si="68"/>
        <v>3.0425010000000046</v>
      </c>
      <c r="D233" s="88" t="s">
        <v>520</v>
      </c>
      <c r="E233" s="81" t="s">
        <v>163</v>
      </c>
      <c r="F233" s="111">
        <v>2.62</v>
      </c>
      <c r="G233" s="82">
        <v>395.7</v>
      </c>
      <c r="H233" s="82"/>
      <c r="I233" s="213" t="e">
        <f t="shared" ref="I233" si="87">+ROUND(G233+H233*TC,2)</f>
        <v>#REF!</v>
      </c>
      <c r="J233" s="213">
        <f t="shared" ref="J233:J242" si="88">+ROUND(F233*G233,2)</f>
        <v>1036.73</v>
      </c>
      <c r="K233" s="201">
        <f t="shared" ref="K233:K242" si="89">+ROUND(F233*H233,2)</f>
        <v>0</v>
      </c>
      <c r="L233" s="93" t="e">
        <f t="shared" ref="L233" si="90">+ROUND(J233+K233*TC,2)</f>
        <v>#REF!</v>
      </c>
      <c r="M233" s="97"/>
    </row>
    <row r="234" spans="1:13" ht="14.1" customHeight="1" outlineLevel="2">
      <c r="A234" s="4" t="s">
        <v>423</v>
      </c>
      <c r="B234" s="4" t="s">
        <v>477</v>
      </c>
      <c r="C234" s="142">
        <f t="shared" si="68"/>
        <v>3.0425020000000047</v>
      </c>
      <c r="D234" s="481" t="s">
        <v>502</v>
      </c>
      <c r="E234" s="81" t="s">
        <v>163</v>
      </c>
      <c r="F234" s="111">
        <v>2.09</v>
      </c>
      <c r="G234" s="82">
        <v>465.98</v>
      </c>
      <c r="H234" s="82"/>
      <c r="I234" s="213" t="e">
        <f>+ROUND(G234+H234*TC,2)</f>
        <v>#REF!</v>
      </c>
      <c r="J234" s="213">
        <f t="shared" si="88"/>
        <v>973.9</v>
      </c>
      <c r="K234" s="201">
        <f t="shared" si="89"/>
        <v>0</v>
      </c>
      <c r="L234" s="93" t="e">
        <f>+ROUND(J234+K234*TC,2)</f>
        <v>#REF!</v>
      </c>
      <c r="M234" s="97"/>
    </row>
    <row r="235" spans="1:13" ht="14.1" customHeight="1" outlineLevel="2">
      <c r="A235" s="4" t="s">
        <v>419</v>
      </c>
      <c r="C235" s="142">
        <f t="shared" si="68"/>
        <v>3.0425030000000048</v>
      </c>
      <c r="D235" s="88" t="s">
        <v>521</v>
      </c>
      <c r="E235" s="81" t="s">
        <v>169</v>
      </c>
      <c r="F235" s="111">
        <v>0</v>
      </c>
      <c r="G235" s="82">
        <v>37.520000000000003</v>
      </c>
      <c r="H235" s="82"/>
      <c r="I235" s="213" t="e">
        <f t="shared" ref="I235:I242" si="91">+ROUND(G235+H235*TC,2)</f>
        <v>#REF!</v>
      </c>
      <c r="J235" s="213">
        <f t="shared" si="88"/>
        <v>0</v>
      </c>
      <c r="K235" s="201">
        <f t="shared" si="89"/>
        <v>0</v>
      </c>
      <c r="L235" s="93" t="e">
        <f t="shared" ref="L235:L242" si="92">+ROUND(J235+K235*TC,2)</f>
        <v>#REF!</v>
      </c>
      <c r="M235" s="97"/>
    </row>
    <row r="236" spans="1:13" ht="14.1" customHeight="1" outlineLevel="2">
      <c r="A236" s="4" t="s">
        <v>419</v>
      </c>
      <c r="C236" s="142">
        <f t="shared" si="68"/>
        <v>3.042504000000005</v>
      </c>
      <c r="D236" s="88" t="s">
        <v>522</v>
      </c>
      <c r="E236" s="81" t="s">
        <v>169</v>
      </c>
      <c r="F236" s="111">
        <v>15.71</v>
      </c>
      <c r="G236" s="82">
        <v>43.7</v>
      </c>
      <c r="H236" s="82"/>
      <c r="I236" s="213" t="e">
        <f t="shared" si="91"/>
        <v>#REF!</v>
      </c>
      <c r="J236" s="213">
        <f t="shared" si="88"/>
        <v>686.53</v>
      </c>
      <c r="K236" s="201">
        <f t="shared" si="89"/>
        <v>0</v>
      </c>
      <c r="L236" s="93" t="e">
        <f t="shared" si="92"/>
        <v>#REF!</v>
      </c>
      <c r="M236" s="97"/>
    </row>
    <row r="237" spans="1:13" ht="14.1" customHeight="1" outlineLevel="2">
      <c r="C237" s="142">
        <f t="shared" si="68"/>
        <v>3.0425050000000051</v>
      </c>
      <c r="D237" s="80" t="s">
        <v>506</v>
      </c>
      <c r="E237" s="81" t="s">
        <v>169</v>
      </c>
      <c r="F237" s="111">
        <v>15.71</v>
      </c>
      <c r="G237" s="82">
        <v>45.2</v>
      </c>
      <c r="H237" s="82"/>
      <c r="I237" s="213" t="e">
        <f t="shared" si="91"/>
        <v>#REF!</v>
      </c>
      <c r="J237" s="213">
        <f t="shared" si="88"/>
        <v>710.09</v>
      </c>
      <c r="K237" s="201">
        <f t="shared" si="89"/>
        <v>0</v>
      </c>
      <c r="L237" s="93" t="e">
        <f t="shared" si="92"/>
        <v>#REF!</v>
      </c>
      <c r="M237" s="97"/>
    </row>
    <row r="238" spans="1:13" ht="14.1" customHeight="1" outlineLevel="2">
      <c r="C238" s="142">
        <f t="shared" si="68"/>
        <v>3.0425060000000053</v>
      </c>
      <c r="D238" s="88" t="s">
        <v>507</v>
      </c>
      <c r="E238" s="81" t="s">
        <v>169</v>
      </c>
      <c r="F238" s="111">
        <v>15.71</v>
      </c>
      <c r="G238" s="82">
        <v>5.17</v>
      </c>
      <c r="H238" s="82"/>
      <c r="I238" s="213" t="e">
        <f t="shared" si="91"/>
        <v>#REF!</v>
      </c>
      <c r="J238" s="213">
        <f t="shared" si="88"/>
        <v>81.22</v>
      </c>
      <c r="K238" s="201">
        <f t="shared" si="89"/>
        <v>0</v>
      </c>
      <c r="L238" s="93" t="e">
        <f t="shared" si="92"/>
        <v>#REF!</v>
      </c>
      <c r="M238" s="97"/>
    </row>
    <row r="239" spans="1:13" ht="14.25" customHeight="1" outlineLevel="2">
      <c r="A239" s="4" t="s">
        <v>429</v>
      </c>
      <c r="C239" s="142">
        <f t="shared" si="68"/>
        <v>3.0425070000000054</v>
      </c>
      <c r="D239" s="89" t="s">
        <v>514</v>
      </c>
      <c r="E239" s="81" t="s">
        <v>185</v>
      </c>
      <c r="F239" s="111">
        <v>721.31</v>
      </c>
      <c r="G239" s="82">
        <v>1.19</v>
      </c>
      <c r="H239" s="82">
        <v>0.91</v>
      </c>
      <c r="I239" s="213" t="e">
        <f t="shared" si="91"/>
        <v>#REF!</v>
      </c>
      <c r="J239" s="213">
        <f t="shared" si="88"/>
        <v>858.36</v>
      </c>
      <c r="K239" s="201">
        <f t="shared" si="89"/>
        <v>656.39</v>
      </c>
      <c r="L239" s="93" t="e">
        <f t="shared" si="92"/>
        <v>#REF!</v>
      </c>
      <c r="M239" s="97"/>
    </row>
    <row r="240" spans="1:13" ht="14.1" customHeight="1" outlineLevel="2">
      <c r="A240" s="4" t="s">
        <v>429</v>
      </c>
      <c r="C240" s="142">
        <f t="shared" si="68"/>
        <v>3.0425080000000055</v>
      </c>
      <c r="D240" s="89" t="s">
        <v>515</v>
      </c>
      <c r="E240" s="81" t="s">
        <v>185</v>
      </c>
      <c r="F240" s="111">
        <v>721.31</v>
      </c>
      <c r="G240" s="82">
        <v>0</v>
      </c>
      <c r="H240" s="82">
        <v>0.91</v>
      </c>
      <c r="I240" s="213" t="e">
        <f t="shared" si="91"/>
        <v>#REF!</v>
      </c>
      <c r="J240" s="213">
        <f t="shared" si="88"/>
        <v>0</v>
      </c>
      <c r="K240" s="201">
        <f t="shared" si="89"/>
        <v>656.39</v>
      </c>
      <c r="L240" s="93" t="e">
        <f t="shared" si="92"/>
        <v>#REF!</v>
      </c>
      <c r="M240" s="97"/>
    </row>
    <row r="241" spans="1:13" ht="23.25" customHeight="1" outlineLevel="2">
      <c r="A241" s="4" t="s">
        <v>429</v>
      </c>
      <c r="C241" s="142">
        <f t="shared" si="68"/>
        <v>3.0425090000000057</v>
      </c>
      <c r="D241" s="231" t="s">
        <v>524</v>
      </c>
      <c r="E241" s="81" t="s">
        <v>185</v>
      </c>
      <c r="F241" s="417">
        <v>67.400000000000006</v>
      </c>
      <c r="G241" s="82">
        <v>1.19</v>
      </c>
      <c r="H241" s="82">
        <v>0.91</v>
      </c>
      <c r="I241" s="213" t="e">
        <f t="shared" si="91"/>
        <v>#REF!</v>
      </c>
      <c r="J241" s="213">
        <f t="shared" si="88"/>
        <v>80.209999999999994</v>
      </c>
      <c r="K241" s="201">
        <f t="shared" si="89"/>
        <v>61.33</v>
      </c>
      <c r="L241" s="93" t="e">
        <f t="shared" si="92"/>
        <v>#REF!</v>
      </c>
      <c r="M241" s="97"/>
    </row>
    <row r="242" spans="1:13" ht="14.1" customHeight="1" outlineLevel="2">
      <c r="C242" s="142">
        <f t="shared" si="68"/>
        <v>3.0425100000000058</v>
      </c>
      <c r="D242" s="89" t="s">
        <v>431</v>
      </c>
      <c r="E242" s="81" t="s">
        <v>169</v>
      </c>
      <c r="F242" s="111">
        <v>15.71</v>
      </c>
      <c r="G242" s="82">
        <v>1.44</v>
      </c>
      <c r="H242" s="82"/>
      <c r="I242" s="213" t="e">
        <f t="shared" si="91"/>
        <v>#REF!</v>
      </c>
      <c r="J242" s="213">
        <f t="shared" si="88"/>
        <v>22.62</v>
      </c>
      <c r="K242" s="201">
        <f t="shared" si="89"/>
        <v>0</v>
      </c>
      <c r="L242" s="93" t="e">
        <f t="shared" si="92"/>
        <v>#REF!</v>
      </c>
      <c r="M242" s="97"/>
    </row>
    <row r="243" spans="1:13" ht="14.1" customHeight="1" outlineLevel="1">
      <c r="C243" s="140">
        <f>C232+0.0001</f>
        <v>3.0426000000000046</v>
      </c>
      <c r="D243" s="134" t="s">
        <v>528</v>
      </c>
      <c r="E243" s="91"/>
      <c r="F243" s="111"/>
      <c r="G243" s="82"/>
      <c r="H243" s="82"/>
      <c r="I243" s="213"/>
      <c r="J243" s="213"/>
      <c r="K243" s="201"/>
      <c r="L243" s="93"/>
      <c r="M243" s="97"/>
    </row>
    <row r="244" spans="1:13" ht="14.1" customHeight="1" outlineLevel="2">
      <c r="A244" s="4" t="s">
        <v>423</v>
      </c>
      <c r="C244" s="142">
        <f>C243+0.000001</f>
        <v>3.0426010000000048</v>
      </c>
      <c r="D244" s="89" t="s">
        <v>529</v>
      </c>
      <c r="E244" s="81" t="s">
        <v>163</v>
      </c>
      <c r="F244" s="111">
        <v>0</v>
      </c>
      <c r="G244" s="82">
        <v>443.12</v>
      </c>
      <c r="H244" s="82"/>
      <c r="I244" s="213" t="e">
        <f>+ROUND(G244+H244*TC,2)</f>
        <v>#REF!</v>
      </c>
      <c r="J244" s="213">
        <f t="shared" si="55"/>
        <v>0</v>
      </c>
      <c r="K244" s="201">
        <f t="shared" si="56"/>
        <v>0</v>
      </c>
      <c r="L244" s="93" t="e">
        <f>+ROUND(J244+K244*TC,2)</f>
        <v>#REF!</v>
      </c>
      <c r="M244" s="97"/>
    </row>
    <row r="245" spans="1:13" ht="14.1" customHeight="1" outlineLevel="2">
      <c r="A245" s="4" t="s">
        <v>419</v>
      </c>
      <c r="C245" s="142">
        <f>C244+0.000001</f>
        <v>3.0426020000000049</v>
      </c>
      <c r="D245" s="89" t="s">
        <v>530</v>
      </c>
      <c r="E245" s="81" t="s">
        <v>169</v>
      </c>
      <c r="F245" s="111">
        <v>0</v>
      </c>
      <c r="G245" s="82">
        <v>37.700000000000003</v>
      </c>
      <c r="H245" s="82"/>
      <c r="I245" s="213" t="e">
        <f>+ROUND(G245+H245*TC,2)</f>
        <v>#REF!</v>
      </c>
      <c r="J245" s="213">
        <f t="shared" si="55"/>
        <v>0</v>
      </c>
      <c r="K245" s="201">
        <f t="shared" si="56"/>
        <v>0</v>
      </c>
      <c r="L245" s="93" t="e">
        <f>+ROUND(J245+K245*TC,2)</f>
        <v>#REF!</v>
      </c>
      <c r="M245" s="97"/>
    </row>
    <row r="246" spans="1:13" ht="14.1" customHeight="1" outlineLevel="2">
      <c r="A246" s="4" t="s">
        <v>429</v>
      </c>
      <c r="C246" s="142">
        <f>C245+0.000001</f>
        <v>3.0426030000000051</v>
      </c>
      <c r="D246" s="89" t="s">
        <v>457</v>
      </c>
      <c r="E246" s="81" t="s">
        <v>185</v>
      </c>
      <c r="F246" s="111">
        <v>0</v>
      </c>
      <c r="G246" s="82">
        <v>1.19</v>
      </c>
      <c r="H246" s="82">
        <v>0.91</v>
      </c>
      <c r="I246" s="213" t="e">
        <f>+ROUND(G246+H246*TC,2)</f>
        <v>#REF!</v>
      </c>
      <c r="J246" s="213">
        <f t="shared" si="55"/>
        <v>0</v>
      </c>
      <c r="K246" s="201">
        <f t="shared" si="56"/>
        <v>0</v>
      </c>
      <c r="L246" s="93" t="e">
        <f>+ROUND(J246+K246*TC,2)</f>
        <v>#REF!</v>
      </c>
      <c r="M246" s="97"/>
    </row>
    <row r="247" spans="1:13" ht="14.1" customHeight="1" outlineLevel="2">
      <c r="C247" s="142">
        <f>C246+0.000001</f>
        <v>3.0426040000000052</v>
      </c>
      <c r="D247" s="89" t="s">
        <v>531</v>
      </c>
      <c r="E247" s="81" t="s">
        <v>163</v>
      </c>
      <c r="F247" s="111">
        <v>0</v>
      </c>
      <c r="G247" s="421">
        <v>302.14999999999998</v>
      </c>
      <c r="H247" s="82"/>
      <c r="I247" s="213" t="e">
        <f>+ROUND(G247+H247*TC,2)</f>
        <v>#REF!</v>
      </c>
      <c r="J247" s="213">
        <f t="shared" si="55"/>
        <v>0</v>
      </c>
      <c r="K247" s="201">
        <f t="shared" si="56"/>
        <v>0</v>
      </c>
      <c r="L247" s="93" t="e">
        <f>+ROUND(J247+K247*TC,2)</f>
        <v>#REF!</v>
      </c>
      <c r="M247" s="97"/>
    </row>
    <row r="248" spans="1:13" ht="13.5" customHeight="1" outlineLevel="2">
      <c r="C248" s="142">
        <f>C247+0.000001</f>
        <v>3.0426050000000053</v>
      </c>
      <c r="D248" s="89" t="s">
        <v>431</v>
      </c>
      <c r="E248" s="81" t="s">
        <v>169</v>
      </c>
      <c r="F248" s="111">
        <v>0</v>
      </c>
      <c r="G248" s="82">
        <v>1.44</v>
      </c>
      <c r="H248" s="82"/>
      <c r="I248" s="213" t="e">
        <f>+ROUND(G248+H248*TC,2)</f>
        <v>#REF!</v>
      </c>
      <c r="J248" s="213">
        <f t="shared" si="55"/>
        <v>0</v>
      </c>
      <c r="K248" s="201">
        <f t="shared" si="56"/>
        <v>0</v>
      </c>
      <c r="L248" s="93" t="e">
        <f>+ROUND(J248+K248*TC,2)</f>
        <v>#REF!</v>
      </c>
      <c r="M248" s="97"/>
    </row>
    <row r="249" spans="1:13" ht="14.1" customHeight="1" outlineLevel="1">
      <c r="C249" s="140">
        <f>C243+0.0001</f>
        <v>3.0427000000000048</v>
      </c>
      <c r="D249" s="134" t="s">
        <v>532</v>
      </c>
      <c r="E249" s="91"/>
      <c r="F249" s="111"/>
      <c r="G249" s="82"/>
      <c r="H249" s="82"/>
      <c r="I249" s="213"/>
      <c r="J249" s="213"/>
      <c r="K249" s="201"/>
      <c r="L249" s="93"/>
      <c r="M249" s="97"/>
    </row>
    <row r="250" spans="1:13" ht="14.1" customHeight="1" outlineLevel="2">
      <c r="A250" s="4" t="s">
        <v>423</v>
      </c>
      <c r="B250" s="4" t="s">
        <v>477</v>
      </c>
      <c r="C250" s="142">
        <f t="shared" ref="C250:C257" si="93">C249+0.000001</f>
        <v>3.042701000000005</v>
      </c>
      <c r="D250" s="89" t="s">
        <v>533</v>
      </c>
      <c r="E250" s="90" t="s">
        <v>163</v>
      </c>
      <c r="F250" s="111">
        <v>22.41</v>
      </c>
      <c r="G250" s="82">
        <v>417.16</v>
      </c>
      <c r="H250" s="82"/>
      <c r="I250" s="213" t="e">
        <f>+ROUND(G250+H250*TC,2)</f>
        <v>#REF!</v>
      </c>
      <c r="J250" s="213">
        <f t="shared" si="55"/>
        <v>9348.56</v>
      </c>
      <c r="K250" s="201">
        <f t="shared" si="56"/>
        <v>0</v>
      </c>
      <c r="L250" s="93" t="e">
        <f>+ROUND(J250+K250*TC,2)</f>
        <v>#REF!</v>
      </c>
      <c r="M250" s="97"/>
    </row>
    <row r="251" spans="1:13" ht="14.1" customHeight="1" outlineLevel="2">
      <c r="A251" s="4" t="s">
        <v>419</v>
      </c>
      <c r="C251" s="142">
        <f t="shared" si="93"/>
        <v>3.0427020000000051</v>
      </c>
      <c r="D251" s="89" t="s">
        <v>534</v>
      </c>
      <c r="E251" s="90" t="s">
        <v>169</v>
      </c>
      <c r="F251" s="111">
        <v>126.62</v>
      </c>
      <c r="G251" s="82">
        <v>52.1</v>
      </c>
      <c r="H251" s="82"/>
      <c r="I251" s="213" t="e">
        <f>+ROUND(G251+H251*TC,2)</f>
        <v>#REF!</v>
      </c>
      <c r="J251" s="213">
        <f t="shared" si="55"/>
        <v>6596.9</v>
      </c>
      <c r="K251" s="201">
        <f t="shared" si="56"/>
        <v>0</v>
      </c>
      <c r="L251" s="93" t="e">
        <f>+ROUND(J251+K251*TC,2)</f>
        <v>#REF!</v>
      </c>
      <c r="M251" s="97"/>
    </row>
    <row r="252" spans="1:13" ht="14.1" customHeight="1" outlineLevel="2">
      <c r="A252" s="4" t="s">
        <v>429</v>
      </c>
      <c r="C252" s="142">
        <f t="shared" si="93"/>
        <v>3.0427030000000053</v>
      </c>
      <c r="D252" s="89" t="s">
        <v>457</v>
      </c>
      <c r="E252" s="90" t="s">
        <v>185</v>
      </c>
      <c r="F252" s="111">
        <v>1838.36</v>
      </c>
      <c r="G252" s="82">
        <v>1.19</v>
      </c>
      <c r="H252" s="82">
        <v>0.91</v>
      </c>
      <c r="I252" s="213" t="e">
        <f>+ROUND(G252+H252*TC,2)</f>
        <v>#REF!</v>
      </c>
      <c r="J252" s="213">
        <f t="shared" si="55"/>
        <v>2187.65</v>
      </c>
      <c r="K252" s="201">
        <f t="shared" si="56"/>
        <v>1672.91</v>
      </c>
      <c r="L252" s="93" t="e">
        <f>+ROUND(J252+K252*TC,2)</f>
        <v>#REF!</v>
      </c>
      <c r="M252" s="97"/>
    </row>
    <row r="253" spans="1:13" ht="14.1" customHeight="1" outlineLevel="2">
      <c r="C253" s="142">
        <f t="shared" si="93"/>
        <v>3.0427040000000054</v>
      </c>
      <c r="D253" s="89" t="s">
        <v>431</v>
      </c>
      <c r="E253" s="90" t="s">
        <v>169</v>
      </c>
      <c r="F253" s="111">
        <v>126.62</v>
      </c>
      <c r="G253" s="82">
        <v>1.44</v>
      </c>
      <c r="H253" s="82"/>
      <c r="I253" s="213" t="e">
        <f>+ROUND(G253+H253*TC,2)</f>
        <v>#REF!</v>
      </c>
      <c r="J253" s="213">
        <f t="shared" si="55"/>
        <v>182.33</v>
      </c>
      <c r="K253" s="201">
        <f t="shared" si="56"/>
        <v>0</v>
      </c>
      <c r="L253" s="93" t="e">
        <f>+ROUND(J253+K253*TC,2)</f>
        <v>#REF!</v>
      </c>
      <c r="M253" s="97"/>
    </row>
    <row r="254" spans="1:13" ht="14.1" customHeight="1" outlineLevel="1">
      <c r="C254" s="140">
        <f>C249+0.0001</f>
        <v>3.0428000000000051</v>
      </c>
      <c r="D254" s="134" t="s">
        <v>535</v>
      </c>
      <c r="E254" s="91"/>
      <c r="F254" s="111"/>
      <c r="G254" s="82"/>
      <c r="H254" s="82"/>
      <c r="I254" s="213"/>
      <c r="J254" s="213"/>
      <c r="K254" s="201"/>
      <c r="L254" s="93"/>
      <c r="M254" s="97"/>
    </row>
    <row r="255" spans="1:13" ht="14.1" customHeight="1" outlineLevel="2">
      <c r="A255" s="4" t="s">
        <v>423</v>
      </c>
      <c r="B255" s="4" t="s">
        <v>477</v>
      </c>
      <c r="C255" s="142">
        <f t="shared" si="93"/>
        <v>3.0428010000000052</v>
      </c>
      <c r="D255" s="89" t="s">
        <v>536</v>
      </c>
      <c r="E255" s="90" t="s">
        <v>163</v>
      </c>
      <c r="F255" s="111">
        <v>3.35</v>
      </c>
      <c r="G255" s="82">
        <v>406.1</v>
      </c>
      <c r="H255" s="82"/>
      <c r="I255" s="213" t="e">
        <f>+ROUND(G255+H255*TC,2)</f>
        <v>#REF!</v>
      </c>
      <c r="J255" s="213">
        <f t="shared" si="55"/>
        <v>1360.44</v>
      </c>
      <c r="K255" s="201">
        <f t="shared" si="56"/>
        <v>0</v>
      </c>
      <c r="L255" s="93" t="e">
        <f>+ROUND(J255+K255*TC,2)</f>
        <v>#REF!</v>
      </c>
      <c r="M255" s="97"/>
    </row>
    <row r="256" spans="1:13" ht="14.1" customHeight="1" outlineLevel="2">
      <c r="A256" s="4" t="s">
        <v>429</v>
      </c>
      <c r="C256" s="142">
        <f t="shared" si="93"/>
        <v>3.0428020000000053</v>
      </c>
      <c r="D256" s="89" t="s">
        <v>457</v>
      </c>
      <c r="E256" s="90" t="s">
        <v>185</v>
      </c>
      <c r="F256" s="111">
        <v>325.95999999999998</v>
      </c>
      <c r="G256" s="82">
        <v>1.19</v>
      </c>
      <c r="H256" s="82">
        <v>0.91</v>
      </c>
      <c r="I256" s="213" t="e">
        <f>+ROUND(G256+H256*TC,2)</f>
        <v>#REF!</v>
      </c>
      <c r="J256" s="213">
        <f t="shared" si="55"/>
        <v>387.89</v>
      </c>
      <c r="K256" s="201">
        <f t="shared" si="56"/>
        <v>296.62</v>
      </c>
      <c r="L256" s="93" t="e">
        <f>+ROUND(J256+K256*TC,2)</f>
        <v>#REF!</v>
      </c>
      <c r="M256" s="97"/>
    </row>
    <row r="257" spans="1:13" ht="14.1" customHeight="1" outlineLevel="2">
      <c r="C257" s="142">
        <f t="shared" si="93"/>
        <v>3.0428030000000055</v>
      </c>
      <c r="D257" s="89" t="s">
        <v>431</v>
      </c>
      <c r="E257" s="90" t="s">
        <v>169</v>
      </c>
      <c r="F257" s="111">
        <v>10.74</v>
      </c>
      <c r="G257" s="82">
        <v>1.44</v>
      </c>
      <c r="H257" s="82"/>
      <c r="I257" s="213" t="e">
        <f>+ROUND(G257+H257*TC,2)</f>
        <v>#REF!</v>
      </c>
      <c r="J257" s="213">
        <f t="shared" si="55"/>
        <v>15.47</v>
      </c>
      <c r="K257" s="201">
        <f t="shared" si="56"/>
        <v>0</v>
      </c>
      <c r="L257" s="93" t="e">
        <f>+ROUND(J257+K257*TC,2)</f>
        <v>#REF!</v>
      </c>
      <c r="M257" s="97"/>
    </row>
    <row r="258" spans="1:13" ht="13.5" customHeight="1" outlineLevel="1">
      <c r="C258" s="140">
        <f>C254+0.0001</f>
        <v>3.0429000000000053</v>
      </c>
      <c r="D258" s="134" t="s">
        <v>537</v>
      </c>
      <c r="E258" s="91"/>
      <c r="F258" s="111"/>
      <c r="G258" s="82"/>
      <c r="H258" s="52"/>
      <c r="I258" s="213"/>
      <c r="J258" s="213"/>
      <c r="K258" s="201"/>
      <c r="L258" s="93"/>
      <c r="M258" s="97"/>
    </row>
    <row r="259" spans="1:13" outlineLevel="2">
      <c r="A259" s="4" t="s">
        <v>423</v>
      </c>
      <c r="B259" s="4" t="s">
        <v>477</v>
      </c>
      <c r="C259" s="142">
        <f>C258+0.000001</f>
        <v>3.0429010000000054</v>
      </c>
      <c r="D259" s="89" t="s">
        <v>538</v>
      </c>
      <c r="E259" s="81" t="s">
        <v>163</v>
      </c>
      <c r="F259" s="111">
        <v>0.57999999999999996</v>
      </c>
      <c r="G259" s="82">
        <v>446.88</v>
      </c>
      <c r="H259" s="82"/>
      <c r="I259" s="213" t="e">
        <f>+ROUND(G259+H259*TC,2)</f>
        <v>#REF!</v>
      </c>
      <c r="J259" s="213">
        <f t="shared" si="55"/>
        <v>259.19</v>
      </c>
      <c r="K259" s="201">
        <f t="shared" si="56"/>
        <v>0</v>
      </c>
      <c r="L259" s="93" t="e">
        <f>+ROUND(J259+K259*TC,2)</f>
        <v>#REF!</v>
      </c>
      <c r="M259" s="97"/>
    </row>
    <row r="260" spans="1:13" ht="14.1" customHeight="1" outlineLevel="2">
      <c r="A260" s="4" t="s">
        <v>419</v>
      </c>
      <c r="C260" s="142">
        <f>C259+0.000001</f>
        <v>3.0429020000000055</v>
      </c>
      <c r="D260" s="89" t="s">
        <v>539</v>
      </c>
      <c r="E260" s="90" t="s">
        <v>169</v>
      </c>
      <c r="F260" s="111">
        <v>3.84</v>
      </c>
      <c r="G260" s="421">
        <v>90.59</v>
      </c>
      <c r="H260" s="52"/>
      <c r="I260" s="213" t="e">
        <f>+ROUND(G260+H260*TC,2)</f>
        <v>#REF!</v>
      </c>
      <c r="J260" s="213">
        <f t="shared" si="55"/>
        <v>347.87</v>
      </c>
      <c r="K260" s="201">
        <f t="shared" si="56"/>
        <v>0</v>
      </c>
      <c r="L260" s="93" t="e">
        <f>+ROUND(J260+K260*TC,2)</f>
        <v>#REF!</v>
      </c>
      <c r="M260" s="97"/>
    </row>
    <row r="261" spans="1:13" ht="14.1" customHeight="1" outlineLevel="2">
      <c r="A261" s="4" t="s">
        <v>429</v>
      </c>
      <c r="C261" s="142">
        <f>C260+0.000001</f>
        <v>3.0429030000000057</v>
      </c>
      <c r="D261" s="89" t="s">
        <v>457</v>
      </c>
      <c r="E261" s="90" t="s">
        <v>185</v>
      </c>
      <c r="F261" s="111">
        <v>72.819999999999993</v>
      </c>
      <c r="G261" s="82">
        <v>1.19</v>
      </c>
      <c r="H261" s="82">
        <v>0.91</v>
      </c>
      <c r="I261" s="213" t="e">
        <f>+ROUND(G261+H261*TC,2)</f>
        <v>#REF!</v>
      </c>
      <c r="J261" s="213">
        <f t="shared" si="55"/>
        <v>86.66</v>
      </c>
      <c r="K261" s="201">
        <f t="shared" si="56"/>
        <v>66.27</v>
      </c>
      <c r="L261" s="93" t="e">
        <f>+ROUND(J261+K261*TC,2)</f>
        <v>#REF!</v>
      </c>
      <c r="M261" s="97"/>
    </row>
    <row r="262" spans="1:13" ht="14.1" customHeight="1" outlineLevel="2">
      <c r="C262" s="142">
        <f>C261+0.000001</f>
        <v>3.0429040000000058</v>
      </c>
      <c r="D262" s="89" t="s">
        <v>431</v>
      </c>
      <c r="E262" s="90" t="s">
        <v>169</v>
      </c>
      <c r="F262" s="111">
        <v>3.84</v>
      </c>
      <c r="G262" s="82">
        <v>1.44</v>
      </c>
      <c r="H262" s="52"/>
      <c r="I262" s="213" t="e">
        <f>+ROUND(G262+H262*TC,2)</f>
        <v>#REF!</v>
      </c>
      <c r="J262" s="213">
        <f t="shared" si="55"/>
        <v>5.53</v>
      </c>
      <c r="K262" s="201">
        <f t="shared" si="56"/>
        <v>0</v>
      </c>
      <c r="L262" s="93" t="e">
        <f>+ROUND(J262+K262*TC,2)</f>
        <v>#REF!</v>
      </c>
      <c r="M262" s="97"/>
    </row>
    <row r="263" spans="1:13" ht="13.5" customHeight="1" outlineLevel="1">
      <c r="C263" s="140">
        <f>C259+0.0001</f>
        <v>3.0430010000000056</v>
      </c>
      <c r="D263" s="134" t="s">
        <v>540</v>
      </c>
      <c r="E263" s="91"/>
      <c r="F263" s="111"/>
      <c r="G263" s="82"/>
      <c r="H263" s="52"/>
      <c r="I263" s="213"/>
      <c r="J263" s="213"/>
      <c r="K263" s="201"/>
      <c r="L263" s="93"/>
      <c r="M263" s="97"/>
    </row>
    <row r="264" spans="1:13" outlineLevel="2">
      <c r="A264" s="4" t="s">
        <v>423</v>
      </c>
      <c r="B264" s="4" t="s">
        <v>477</v>
      </c>
      <c r="C264" s="142">
        <f>C263+0.000001</f>
        <v>3.0430020000000058</v>
      </c>
      <c r="D264" s="89" t="s">
        <v>541</v>
      </c>
      <c r="E264" s="81" t="s">
        <v>163</v>
      </c>
      <c r="F264" s="111">
        <v>1.25</v>
      </c>
      <c r="G264" s="82">
        <v>446.88</v>
      </c>
      <c r="H264" s="82"/>
      <c r="I264" s="213" t="e">
        <f>+ROUND(G264+H264*TC,2)</f>
        <v>#REF!</v>
      </c>
      <c r="J264" s="213">
        <f t="shared" ref="J264:J267" si="94">+ROUND(F264*G264,2)</f>
        <v>558.6</v>
      </c>
      <c r="K264" s="201">
        <f t="shared" ref="K264:K267" si="95">+ROUND(F264*H264,2)</f>
        <v>0</v>
      </c>
      <c r="L264" s="93" t="e">
        <f>+ROUND(J264+K264*TC,2)</f>
        <v>#REF!</v>
      </c>
      <c r="M264" s="97"/>
    </row>
    <row r="265" spans="1:13" ht="14.1" customHeight="1" outlineLevel="2">
      <c r="A265" s="4" t="s">
        <v>419</v>
      </c>
      <c r="C265" s="142">
        <f>C264+0.000001</f>
        <v>3.0430030000000059</v>
      </c>
      <c r="D265" s="89" t="s">
        <v>542</v>
      </c>
      <c r="E265" s="90" t="s">
        <v>169</v>
      </c>
      <c r="F265" s="111">
        <v>9.48</v>
      </c>
      <c r="G265" s="421">
        <v>90.59</v>
      </c>
      <c r="H265" s="52"/>
      <c r="I265" s="213" t="e">
        <f>+ROUND(G265+H265*TC,2)</f>
        <v>#REF!</v>
      </c>
      <c r="J265" s="213">
        <f t="shared" si="94"/>
        <v>858.79</v>
      </c>
      <c r="K265" s="201">
        <f t="shared" si="95"/>
        <v>0</v>
      </c>
      <c r="L265" s="93" t="e">
        <f>+ROUND(J265+K265*TC,2)</f>
        <v>#REF!</v>
      </c>
      <c r="M265" s="97"/>
    </row>
    <row r="266" spans="1:13" ht="14.1" customHeight="1" outlineLevel="2">
      <c r="A266" s="4" t="s">
        <v>429</v>
      </c>
      <c r="C266" s="142">
        <f>C265+0.000001</f>
        <v>3.043004000000006</v>
      </c>
      <c r="D266" s="89" t="s">
        <v>457</v>
      </c>
      <c r="E266" s="90" t="s">
        <v>185</v>
      </c>
      <c r="F266" s="111">
        <v>107.37</v>
      </c>
      <c r="G266" s="82">
        <v>1.19</v>
      </c>
      <c r="H266" s="82">
        <v>0.91</v>
      </c>
      <c r="I266" s="213" t="e">
        <f>+ROUND(G266+H266*TC,2)</f>
        <v>#REF!</v>
      </c>
      <c r="J266" s="213">
        <f t="shared" si="94"/>
        <v>127.77</v>
      </c>
      <c r="K266" s="201">
        <f t="shared" si="95"/>
        <v>97.71</v>
      </c>
      <c r="L266" s="93" t="e">
        <f>+ROUND(J266+K266*TC,2)</f>
        <v>#REF!</v>
      </c>
      <c r="M266" s="97"/>
    </row>
    <row r="267" spans="1:13" ht="14.1" customHeight="1" outlineLevel="2">
      <c r="C267" s="142">
        <f>C266+0.000001</f>
        <v>3.0430050000000062</v>
      </c>
      <c r="D267" s="89" t="s">
        <v>431</v>
      </c>
      <c r="E267" s="90" t="s">
        <v>169</v>
      </c>
      <c r="F267" s="111">
        <v>9.48</v>
      </c>
      <c r="G267" s="82">
        <v>1.44</v>
      </c>
      <c r="H267" s="52"/>
      <c r="I267" s="213" t="e">
        <f>+ROUND(G267+H267*TC,2)</f>
        <v>#REF!</v>
      </c>
      <c r="J267" s="213">
        <f t="shared" si="94"/>
        <v>13.65</v>
      </c>
      <c r="K267" s="201">
        <f t="shared" si="95"/>
        <v>0</v>
      </c>
      <c r="L267" s="93" t="e">
        <f>+ROUND(J267+K267*TC,2)</f>
        <v>#REF!</v>
      </c>
      <c r="M267" s="97"/>
    </row>
    <row r="268" spans="1:13" ht="13.5" customHeight="1" outlineLevel="1">
      <c r="C268" s="140">
        <f>C263+0.0001</f>
        <v>3.0431010000000058</v>
      </c>
      <c r="D268" s="134" t="s">
        <v>543</v>
      </c>
      <c r="E268" s="91"/>
      <c r="F268" s="111"/>
      <c r="G268" s="82"/>
      <c r="H268" s="52"/>
      <c r="I268" s="213"/>
      <c r="J268" s="213"/>
      <c r="K268" s="201"/>
      <c r="L268" s="93"/>
      <c r="M268" s="97"/>
    </row>
    <row r="269" spans="1:13" outlineLevel="2">
      <c r="A269" s="4" t="s">
        <v>423</v>
      </c>
      <c r="B269" s="4" t="s">
        <v>477</v>
      </c>
      <c r="C269" s="142">
        <f>C268+0.0001</f>
        <v>3.043201000000006</v>
      </c>
      <c r="D269" s="89" t="s">
        <v>544</v>
      </c>
      <c r="E269" s="81" t="s">
        <v>163</v>
      </c>
      <c r="F269" s="439">
        <v>4.5</v>
      </c>
      <c r="G269" s="82">
        <v>499.31</v>
      </c>
      <c r="H269" s="82"/>
      <c r="I269" s="213" t="e">
        <f>+ROUND(G269+H269*TC,2)</f>
        <v>#REF!</v>
      </c>
      <c r="J269" s="213">
        <f>+ROUND(F269*G269,2)</f>
        <v>2246.9</v>
      </c>
      <c r="K269" s="201">
        <f>+ROUND(F269*H269,2)</f>
        <v>0</v>
      </c>
      <c r="L269" s="93" t="e">
        <f>+ROUND(J269+K269*TC,2)</f>
        <v>#REF!</v>
      </c>
      <c r="M269" s="97"/>
    </row>
    <row r="270" spans="1:13" ht="14.1" customHeight="1" outlineLevel="2">
      <c r="A270" s="4" t="s">
        <v>419</v>
      </c>
      <c r="C270" s="142">
        <f>C269+0.0001</f>
        <v>3.0433010000000063</v>
      </c>
      <c r="D270" s="89" t="s">
        <v>545</v>
      </c>
      <c r="E270" s="90" t="s">
        <v>169</v>
      </c>
      <c r="F270" s="439">
        <v>18</v>
      </c>
      <c r="G270" s="421">
        <v>90.59</v>
      </c>
      <c r="H270" s="52"/>
      <c r="I270" s="213" t="e">
        <f>+ROUND(G270+H270*TC,2)</f>
        <v>#REF!</v>
      </c>
      <c r="J270" s="213">
        <f>+ROUND(F270*G270,2)</f>
        <v>1630.62</v>
      </c>
      <c r="K270" s="201">
        <f>+ROUND(F270*H270,2)</f>
        <v>0</v>
      </c>
      <c r="L270" s="93" t="e">
        <f>+ROUND(J270+K270*TC,2)</f>
        <v>#REF!</v>
      </c>
      <c r="M270" s="97"/>
    </row>
    <row r="271" spans="1:13" ht="14.1" customHeight="1" outlineLevel="2">
      <c r="A271" s="4" t="s">
        <v>429</v>
      </c>
      <c r="C271" s="142">
        <f>C270+0.0001</f>
        <v>3.0434010000000065</v>
      </c>
      <c r="D271" s="89" t="s">
        <v>457</v>
      </c>
      <c r="E271" s="90" t="s">
        <v>185</v>
      </c>
      <c r="F271" s="439">
        <v>360</v>
      </c>
      <c r="G271" s="82">
        <v>1.19</v>
      </c>
      <c r="H271" s="82">
        <v>0.91</v>
      </c>
      <c r="I271" s="213" t="e">
        <f>+ROUND(G271+H271*TC,2)</f>
        <v>#REF!</v>
      </c>
      <c r="J271" s="213">
        <f>+ROUND(F271*G271,2)</f>
        <v>428.4</v>
      </c>
      <c r="K271" s="201">
        <f>+ROUND(F271*H271,2)</f>
        <v>327.60000000000002</v>
      </c>
      <c r="L271" s="93" t="e">
        <f>+ROUND(J271+K271*TC,2)</f>
        <v>#REF!</v>
      </c>
      <c r="M271" s="97"/>
    </row>
    <row r="272" spans="1:13" ht="14.1" customHeight="1" outlineLevel="2">
      <c r="C272" s="142">
        <f>C271+0.0001</f>
        <v>3.0435010000000067</v>
      </c>
      <c r="D272" s="89" t="s">
        <v>431</v>
      </c>
      <c r="E272" s="90" t="s">
        <v>169</v>
      </c>
      <c r="F272" s="439">
        <v>18</v>
      </c>
      <c r="G272" s="82">
        <v>1.44</v>
      </c>
      <c r="H272" s="52"/>
      <c r="I272" s="213" t="e">
        <f>+ROUND(G272+H272*TC,2)</f>
        <v>#REF!</v>
      </c>
      <c r="J272" s="213">
        <f>+ROUND(F272*G272,2)</f>
        <v>25.92</v>
      </c>
      <c r="K272" s="201">
        <f>+ROUND(F272*H272,2)</f>
        <v>0</v>
      </c>
      <c r="L272" s="93" t="e">
        <f>+ROUND(J272+K272*TC,2)</f>
        <v>#REF!</v>
      </c>
      <c r="M272" s="97"/>
    </row>
    <row r="273" spans="3:13" ht="14.1" customHeight="1" outlineLevel="2">
      <c r="C273" s="142">
        <f>C272+0.0001</f>
        <v>3.0436010000000069</v>
      </c>
      <c r="D273" s="437" t="s">
        <v>546</v>
      </c>
      <c r="E273" s="438" t="s">
        <v>169</v>
      </c>
      <c r="F273" s="439">
        <v>8</v>
      </c>
      <c r="G273" s="421">
        <v>199.14</v>
      </c>
      <c r="H273" s="52"/>
      <c r="I273" s="213" t="e">
        <f>+ROUND(G273+H273*TC,2)</f>
        <v>#REF!</v>
      </c>
      <c r="J273" s="213">
        <f>+ROUND(F273*G273,2)</f>
        <v>1593.12</v>
      </c>
      <c r="K273" s="201">
        <f>+ROUND(F273*H273,2)</f>
        <v>0</v>
      </c>
      <c r="L273" s="93" t="e">
        <f>+ROUND(J273+K273*TC,2)</f>
        <v>#REF!</v>
      </c>
      <c r="M273" s="97"/>
    </row>
    <row r="274" spans="3:13" ht="14.1" customHeight="1">
      <c r="C274" s="218">
        <f>C51+0.01</f>
        <v>3.0499999999999989</v>
      </c>
      <c r="D274" s="138" t="s">
        <v>195</v>
      </c>
      <c r="E274" s="87"/>
      <c r="F274" s="87"/>
      <c r="G274" s="87"/>
      <c r="H274" s="87"/>
      <c r="I274" s="87"/>
      <c r="J274" s="87"/>
      <c r="K274" s="87"/>
      <c r="L274" s="87"/>
      <c r="M274" s="136" t="e">
        <f>SUM(J274:J278)+SUM(K274:K278)*TC</f>
        <v>#REF!</v>
      </c>
    </row>
    <row r="275" spans="3:13" ht="14.1" customHeight="1">
      <c r="C275" s="142">
        <f>C274+0.000001</f>
        <v>3.0500009999999991</v>
      </c>
      <c r="D275" s="89" t="s">
        <v>547</v>
      </c>
      <c r="E275" s="90" t="s">
        <v>462</v>
      </c>
      <c r="F275" s="111">
        <v>161</v>
      </c>
      <c r="G275" s="82">
        <v>22.54</v>
      </c>
      <c r="H275" s="82"/>
      <c r="I275" s="213" t="e">
        <f>+ROUND(G275+H275*TC,2)</f>
        <v>#REF!</v>
      </c>
      <c r="J275" s="213">
        <f>+ROUND(F275*G275,2)</f>
        <v>3628.94</v>
      </c>
      <c r="K275" s="201">
        <f>+ROUND(F275*H275,2)</f>
        <v>0</v>
      </c>
      <c r="L275" s="93" t="e">
        <f>+ROUND(J275+K275*TC,2)</f>
        <v>#REF!</v>
      </c>
      <c r="M275" s="136"/>
    </row>
    <row r="276" spans="3:13" ht="14.1" customHeight="1" outlineLevel="2">
      <c r="C276" s="142">
        <f>C275+0.000001</f>
        <v>3.0500019999999992</v>
      </c>
      <c r="D276" s="107" t="s">
        <v>548</v>
      </c>
      <c r="E276" s="90" t="s">
        <v>39</v>
      </c>
      <c r="F276" s="111">
        <v>2.5</v>
      </c>
      <c r="G276" s="82">
        <v>4500</v>
      </c>
      <c r="H276" s="82"/>
      <c r="I276" s="213" t="e">
        <f>+ROUND(G276+H276*TC,2)</f>
        <v>#REF!</v>
      </c>
      <c r="J276" s="213">
        <f t="shared" si="55"/>
        <v>11250</v>
      </c>
      <c r="K276" s="201">
        <f t="shared" si="56"/>
        <v>0</v>
      </c>
      <c r="L276" s="93" t="e">
        <f>+ROUND(J276+K276*TC,2)</f>
        <v>#REF!</v>
      </c>
      <c r="M276" s="97"/>
    </row>
    <row r="277" spans="3:13" ht="14.1" customHeight="1" outlineLevel="2">
      <c r="C277" s="142">
        <f>C276+0.000001</f>
        <v>3.0500029999999994</v>
      </c>
      <c r="D277" s="286" t="s">
        <v>549</v>
      </c>
      <c r="E277" s="287" t="s">
        <v>39</v>
      </c>
      <c r="F277" s="111">
        <v>2.5</v>
      </c>
      <c r="G277" s="82">
        <v>5000</v>
      </c>
      <c r="H277" s="82"/>
      <c r="I277" s="213" t="e">
        <f>+ROUND(G277+H277*TC,2)</f>
        <v>#REF!</v>
      </c>
      <c r="J277" s="213">
        <f t="shared" si="55"/>
        <v>12500</v>
      </c>
      <c r="K277" s="201">
        <f t="shared" si="56"/>
        <v>0</v>
      </c>
      <c r="L277" s="93" t="e">
        <f>+ROUND(J277+K277*TC,2)</f>
        <v>#REF!</v>
      </c>
      <c r="M277" s="97"/>
    </row>
    <row r="278" spans="3:13" ht="14.1" customHeight="1" outlineLevel="2" thickBot="1">
      <c r="C278" s="142">
        <f>C277+0.000001</f>
        <v>3.0500039999999995</v>
      </c>
      <c r="D278" s="110" t="s">
        <v>550</v>
      </c>
      <c r="E278" s="92" t="s">
        <v>39</v>
      </c>
      <c r="F278" s="111">
        <v>0.5</v>
      </c>
      <c r="G278" s="82">
        <v>25000</v>
      </c>
      <c r="H278" s="82"/>
      <c r="I278" s="213" t="e">
        <f>+ROUND(G278+H278*TC,2)</f>
        <v>#REF!</v>
      </c>
      <c r="J278" s="213">
        <f t="shared" si="55"/>
        <v>12500</v>
      </c>
      <c r="K278" s="201">
        <f t="shared" si="56"/>
        <v>0</v>
      </c>
      <c r="L278" s="93" t="e">
        <f>+ROUND(J278+K278*TC,2)</f>
        <v>#REF!</v>
      </c>
      <c r="M278" s="97"/>
    </row>
    <row r="279" spans="3:13" s="63" customFormat="1" ht="14.1" customHeight="1" thickTop="1" thickBot="1">
      <c r="C279" s="119"/>
      <c r="D279" s="120"/>
      <c r="E279" s="121"/>
      <c r="F279" s="285"/>
      <c r="G279" s="428" t="s">
        <v>12</v>
      </c>
      <c r="H279" s="228"/>
      <c r="I279" s="228"/>
      <c r="J279" s="99">
        <f>SUM(J12:J278)</f>
        <v>3289898.0799999982</v>
      </c>
      <c r="K279" s="100">
        <f>SUM(K12:K278)</f>
        <v>372920.96000000008</v>
      </c>
      <c r="L279" s="99" t="e">
        <f>SUM(L12:L278)</f>
        <v>#REF!</v>
      </c>
      <c r="M279" s="104" t="e">
        <f>SUM(M12:M278)</f>
        <v>#REF!</v>
      </c>
    </row>
    <row r="280" spans="3:13" s="63" customFormat="1" ht="14.1" customHeight="1" thickTop="1">
      <c r="C280" s="59"/>
      <c r="D280" s="60"/>
      <c r="E280" s="10"/>
      <c r="F280" s="10"/>
      <c r="G280" s="426"/>
      <c r="H280" s="4"/>
      <c r="I280" s="4"/>
      <c r="J280" s="4"/>
      <c r="K280" s="4"/>
      <c r="L280" s="4"/>
      <c r="M280" s="127"/>
    </row>
    <row r="281" spans="3:13" s="63" customFormat="1" ht="14.1" customHeight="1" thickBot="1">
      <c r="C281" s="59"/>
      <c r="D281" s="60"/>
      <c r="E281" s="10"/>
      <c r="F281" s="10"/>
      <c r="G281" s="426"/>
      <c r="H281" s="4"/>
      <c r="I281" s="4"/>
      <c r="J281" s="125" t="e">
        <f>+J279+K279*TC-L279</f>
        <v>#REF!</v>
      </c>
      <c r="K281" s="4"/>
      <c r="L281" s="4"/>
      <c r="M281" s="127"/>
    </row>
    <row r="282" spans="3:13" s="63" customFormat="1" ht="14.1" customHeight="1" thickTop="1" thickBot="1">
      <c r="C282" s="59"/>
      <c r="D282" s="60"/>
      <c r="E282" s="10"/>
      <c r="F282" s="10"/>
      <c r="G282" s="426"/>
      <c r="H282" s="4"/>
      <c r="I282" s="38" t="s">
        <v>199</v>
      </c>
      <c r="J282" s="214">
        <v>3289898.08</v>
      </c>
      <c r="K282" s="202">
        <v>372920.96</v>
      </c>
      <c r="M282" s="127"/>
    </row>
    <row r="283" spans="3:13" s="63" customFormat="1" ht="14.1" customHeight="1" thickTop="1" thickBot="1">
      <c r="C283" s="59"/>
      <c r="D283" s="60"/>
      <c r="E283" s="10"/>
      <c r="F283" s="10"/>
      <c r="G283" s="426"/>
      <c r="H283" s="4"/>
      <c r="I283" s="38"/>
      <c r="J283" s="214">
        <f>+J279-J282</f>
        <v>0</v>
      </c>
      <c r="K283" s="202">
        <f>+K279-K282</f>
        <v>0</v>
      </c>
      <c r="M283" s="127"/>
    </row>
    <row r="284" spans="3:13" s="63" customFormat="1" ht="14.1" customHeight="1" thickTop="1">
      <c r="C284" s="59"/>
      <c r="D284" s="60"/>
      <c r="E284" s="10"/>
      <c r="F284" s="10"/>
      <c r="G284" s="426"/>
      <c r="H284" s="4"/>
      <c r="I284" s="4"/>
      <c r="J284" s="125"/>
      <c r="K284" s="4"/>
      <c r="L284" s="4"/>
      <c r="M284" s="127"/>
    </row>
    <row r="285" spans="3:13" s="63" customFormat="1" ht="14.1" customHeight="1" thickBot="1">
      <c r="C285" s="59"/>
      <c r="D285" s="60"/>
      <c r="E285" s="10"/>
      <c r="F285" s="10"/>
      <c r="G285" s="426"/>
      <c r="H285" s="4"/>
      <c r="I285" s="4"/>
      <c r="J285" s="300"/>
      <c r="K285" s="4"/>
      <c r="L285" s="4"/>
      <c r="M285" s="127"/>
    </row>
    <row r="286" spans="3:13" s="2" customFormat="1" ht="12.75" customHeight="1" thickBot="1">
      <c r="C286" s="59"/>
      <c r="D286" s="4"/>
      <c r="E286" s="10"/>
      <c r="F286" s="616" t="s">
        <v>551</v>
      </c>
      <c r="G286" s="617"/>
      <c r="H286" s="618"/>
      <c r="I286" s="277"/>
      <c r="K286" s="302"/>
      <c r="L286" s="302"/>
    </row>
    <row r="287" spans="3:13" s="2" customFormat="1" ht="12.75" customHeight="1" thickBot="1">
      <c r="C287" s="59"/>
      <c r="D287" s="4"/>
      <c r="E287" s="10"/>
      <c r="F287" s="239" t="s">
        <v>552</v>
      </c>
      <c r="G287" s="429" t="s">
        <v>553</v>
      </c>
      <c r="H287" s="240" t="s">
        <v>13</v>
      </c>
      <c r="I287" s="277"/>
      <c r="J287" s="281"/>
      <c r="K287" s="281"/>
      <c r="L287" s="281"/>
      <c r="M287" s="281"/>
    </row>
    <row r="288" spans="3:13" s="2" customFormat="1" ht="12.75" customHeight="1">
      <c r="C288" s="59"/>
      <c r="D288" s="242" t="s">
        <v>554</v>
      </c>
      <c r="E288" s="243"/>
      <c r="F288" s="278">
        <v>4631.07</v>
      </c>
      <c r="G288" s="430">
        <v>10666.18</v>
      </c>
      <c r="H288" s="528">
        <v>15297.25</v>
      </c>
      <c r="I288" s="277"/>
      <c r="J288" s="284"/>
      <c r="K288" s="282"/>
      <c r="L288" s="282"/>
    </row>
    <row r="289" spans="1:13" s="2" customFormat="1" ht="12.75" customHeight="1">
      <c r="A289" s="10" t="s">
        <v>423</v>
      </c>
      <c r="B289" s="10"/>
      <c r="D289" s="244" t="s">
        <v>555</v>
      </c>
      <c r="E289" s="245"/>
      <c r="F289" s="237">
        <v>2453.3599999999997</v>
      </c>
      <c r="G289" s="431">
        <v>3234.8600000000006</v>
      </c>
      <c r="H289" s="238">
        <v>5688.22</v>
      </c>
      <c r="I289" s="277"/>
      <c r="J289" s="282"/>
      <c r="M289" s="290"/>
    </row>
    <row r="290" spans="1:13" s="2" customFormat="1" ht="12.75" customHeight="1">
      <c r="A290" s="10" t="s">
        <v>419</v>
      </c>
      <c r="B290" s="10"/>
      <c r="D290" s="67" t="s">
        <v>556</v>
      </c>
      <c r="E290" s="68"/>
      <c r="F290" s="237">
        <v>11569.64</v>
      </c>
      <c r="G290" s="431">
        <v>26231.34</v>
      </c>
      <c r="H290" s="238">
        <v>37800.979999999996</v>
      </c>
      <c r="I290" s="277"/>
      <c r="J290" s="4"/>
      <c r="K290" s="4"/>
      <c r="L290" s="303"/>
    </row>
    <row r="291" spans="1:13" s="2" customFormat="1" ht="12.75" customHeight="1">
      <c r="A291" s="10" t="s">
        <v>429</v>
      </c>
      <c r="B291" s="10"/>
      <c r="D291" s="67" t="s">
        <v>557</v>
      </c>
      <c r="E291" s="68"/>
      <c r="F291" s="237">
        <v>236291.85</v>
      </c>
      <c r="G291" s="431">
        <v>434390.11</v>
      </c>
      <c r="H291" s="238">
        <v>670681.96</v>
      </c>
      <c r="I291" s="277"/>
      <c r="J291" s="4"/>
      <c r="K291" s="4"/>
      <c r="L291" s="303"/>
    </row>
    <row r="292" spans="1:13" s="2" customFormat="1" ht="12.75" customHeight="1">
      <c r="C292" s="59"/>
      <c r="D292" s="67" t="s">
        <v>558</v>
      </c>
      <c r="E292" s="68"/>
      <c r="F292" s="295">
        <v>96.313565885153437</v>
      </c>
      <c r="G292" s="432">
        <v>134.28405247831432</v>
      </c>
      <c r="H292" s="296">
        <v>117.90717658599701</v>
      </c>
      <c r="I292" s="277"/>
      <c r="J292" s="4"/>
      <c r="K292" s="4"/>
      <c r="L292" s="303"/>
    </row>
    <row r="293" spans="1:13" s="2" customFormat="1" ht="12.75" customHeight="1">
      <c r="C293" s="59"/>
      <c r="D293" s="67" t="s">
        <v>559</v>
      </c>
      <c r="E293" s="68"/>
      <c r="F293" s="237">
        <v>0.52976094077610569</v>
      </c>
      <c r="G293" s="431">
        <v>0.30328196223952725</v>
      </c>
      <c r="H293" s="238">
        <v>0.37184592001830397</v>
      </c>
      <c r="I293" s="277"/>
      <c r="J293" s="4"/>
    </row>
    <row r="294" spans="1:13" s="2" customFormat="1" ht="12.75" customHeight="1">
      <c r="C294" s="59"/>
      <c r="D294" s="67" t="s">
        <v>560</v>
      </c>
      <c r="E294" s="68"/>
      <c r="F294" s="237">
        <v>2.4982649797994849</v>
      </c>
      <c r="G294" s="431">
        <v>2.4593003305775825</v>
      </c>
      <c r="H294" s="238">
        <v>2.4710964389024168</v>
      </c>
      <c r="I294" s="277"/>
      <c r="J294" s="4"/>
    </row>
    <row r="295" spans="1:13" s="2" customFormat="1" ht="12.75" customHeight="1" thickBot="1">
      <c r="C295" s="59"/>
      <c r="D295" s="128" t="s">
        <v>561</v>
      </c>
      <c r="E295" s="129"/>
      <c r="F295" s="241">
        <v>51.023165272820322</v>
      </c>
      <c r="G295" s="433">
        <v>40.725930933098823</v>
      </c>
      <c r="H295" s="292">
        <v>43.843302554380685</v>
      </c>
      <c r="I295" s="277"/>
      <c r="J295" s="22"/>
      <c r="K295" s="303"/>
      <c r="L295" s="303"/>
    </row>
    <row r="296" spans="1:13" s="2" customFormat="1" ht="12.75" customHeight="1">
      <c r="C296" s="59"/>
      <c r="D296" s="4"/>
      <c r="E296" s="4"/>
      <c r="G296" s="426"/>
      <c r="H296" s="4"/>
      <c r="I296" s="277"/>
      <c r="J296" s="4"/>
      <c r="K296" s="4"/>
      <c r="L296" s="4"/>
    </row>
  </sheetData>
  <autoFilter ref="C10:M295" xr:uid="{00000000-0001-0000-0D00-000000000000}"/>
  <mergeCells count="2">
    <mergeCell ref="C2:M2"/>
    <mergeCell ref="F286:H286"/>
  </mergeCells>
  <phoneticPr fontId="12" type="noConversion"/>
  <conditionalFormatting sqref="J287:M287">
    <cfRule type="cellIs" dxfId="15" priority="14" stopIfTrue="1" operator="equal">
      <formula>0</formula>
    </cfRule>
  </conditionalFormatting>
  <pageMargins left="0.7" right="0.7" top="0.75" bottom="0.75" header="0.3" footer="0.3"/>
  <pageSetup orientation="portrait" r:id="rId1"/>
  <ignoredErrors>
    <ignoredError sqref="D11 M26:M27 M274 M38:M47 I12:L12 M243:M253 M49:M50 M258:M262 M52 M12:M24" unlockedFormula="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00CC"/>
    <outlinePr summaryBelow="0" summaryRight="0"/>
  </sheetPr>
  <dimension ref="A1:M179"/>
  <sheetViews>
    <sheetView topLeftCell="A131" zoomScaleNormal="100" workbookViewId="0">
      <selection activeCell="G167" sqref="G167"/>
    </sheetView>
  </sheetViews>
  <sheetFormatPr defaultColWidth="7.85546875" defaultRowHeight="11.25" outlineLevelRow="2"/>
  <cols>
    <col min="1" max="1" width="10.42578125" style="4" customWidth="1"/>
    <col min="2" max="2" width="6.28515625" style="4" customWidth="1"/>
    <col min="3" max="3" width="15.5703125" style="59" customWidth="1"/>
    <col min="4" max="4" width="69.7109375" style="60" customWidth="1"/>
    <col min="5" max="5" width="5.28515625" style="10" customWidth="1"/>
    <col min="6" max="6" width="17.5703125" style="10" customWidth="1"/>
    <col min="7" max="8" width="17.140625" style="4" customWidth="1"/>
    <col min="9" max="9" width="15.7109375" style="4" customWidth="1"/>
    <col min="10" max="10" width="17.28515625" style="4" customWidth="1"/>
    <col min="11" max="11" width="16.42578125" style="4" customWidth="1"/>
    <col min="12" max="12" width="15.42578125" style="4" customWidth="1"/>
    <col min="13" max="13" width="16.42578125" style="4" customWidth="1"/>
    <col min="14" max="16384" width="7.85546875" style="4"/>
  </cols>
  <sheetData>
    <row r="1" spans="1:13" ht="14.25" customHeight="1">
      <c r="C1" s="35"/>
      <c r="D1" s="58"/>
      <c r="E1" s="3"/>
      <c r="F1" s="3"/>
      <c r="G1" s="2"/>
      <c r="H1" s="2"/>
      <c r="I1" s="2"/>
      <c r="J1" s="2"/>
    </row>
    <row r="2" spans="1:13" ht="14.25" customHeight="1">
      <c r="C2" s="1" t="s">
        <v>9</v>
      </c>
      <c r="D2" s="1"/>
      <c r="E2" s="1"/>
      <c r="F2" s="1"/>
      <c r="G2" s="1"/>
      <c r="H2" s="1"/>
      <c r="I2" s="1"/>
      <c r="J2" s="1"/>
      <c r="K2" s="1"/>
      <c r="L2" s="1"/>
      <c r="M2" s="1"/>
    </row>
    <row r="3" spans="1:13" ht="14.25" customHeight="1">
      <c r="C3" s="35"/>
      <c r="D3" s="58"/>
      <c r="E3" s="3"/>
      <c r="F3" s="3"/>
      <c r="G3" s="2"/>
      <c r="H3" s="2"/>
      <c r="I3" s="2"/>
      <c r="J3" s="2"/>
    </row>
    <row r="4" spans="1:13" ht="14.25" customHeight="1">
      <c r="C4" s="5" t="s">
        <v>0</v>
      </c>
      <c r="D4" s="74" t="e">
        <f>#REF!</f>
        <v>#REF!</v>
      </c>
      <c r="E4" s="3"/>
      <c r="F4" s="3"/>
      <c r="G4" s="2"/>
      <c r="H4" s="2"/>
      <c r="I4" s="2"/>
      <c r="J4" s="2"/>
    </row>
    <row r="5" spans="1:13" ht="14.25" customHeight="1">
      <c r="C5" s="5" t="s">
        <v>14</v>
      </c>
      <c r="D5" s="74" t="str">
        <f>+$C$2</f>
        <v>ESTRUCTURAS TORRE</v>
      </c>
      <c r="E5" s="3"/>
      <c r="F5" s="3"/>
      <c r="G5" s="2"/>
      <c r="H5" s="2"/>
      <c r="I5" s="2"/>
      <c r="J5" s="2"/>
    </row>
    <row r="6" spans="1:13" ht="14.25" customHeight="1">
      <c r="C6" s="5" t="s">
        <v>1</v>
      </c>
      <c r="D6" s="75" t="e">
        <f>#REF!</f>
        <v>#REF!</v>
      </c>
      <c r="E6" s="3"/>
      <c r="F6" s="3"/>
    </row>
    <row r="7" spans="1:13" ht="14.25" customHeight="1">
      <c r="C7" s="5" t="s">
        <v>3</v>
      </c>
      <c r="D7" s="75" t="e">
        <f>#REF!</f>
        <v>#REF!</v>
      </c>
      <c r="E7" s="3"/>
      <c r="F7" s="3"/>
      <c r="G7" s="2"/>
      <c r="H7" s="2"/>
      <c r="I7" s="2"/>
      <c r="J7" s="2"/>
    </row>
    <row r="8" spans="1:13" ht="14.25" customHeight="1">
      <c r="C8" s="2" t="s">
        <v>15</v>
      </c>
      <c r="D8" s="9" t="e">
        <f>#REF!</f>
        <v>#REF!</v>
      </c>
      <c r="E8" s="3"/>
      <c r="F8" s="3"/>
      <c r="G8" s="2"/>
      <c r="H8" s="2"/>
      <c r="I8" s="2"/>
      <c r="J8" s="2"/>
    </row>
    <row r="9" spans="1:13" ht="14.25" customHeight="1" thickBot="1">
      <c r="C9" s="2"/>
      <c r="D9" s="76"/>
      <c r="E9" s="33"/>
      <c r="F9" s="280"/>
      <c r="G9" s="33"/>
      <c r="H9" s="294"/>
      <c r="I9" s="2"/>
      <c r="J9" s="2"/>
    </row>
    <row r="10" spans="1:13" ht="24" customHeight="1" thickTop="1" thickBot="1">
      <c r="C10" s="11" t="s">
        <v>5</v>
      </c>
      <c r="D10" s="61" t="s">
        <v>16</v>
      </c>
      <c r="E10" s="12" t="s">
        <v>17</v>
      </c>
      <c r="F10" s="73" t="s">
        <v>377</v>
      </c>
      <c r="G10" s="13" t="s">
        <v>19</v>
      </c>
      <c r="H10" s="13" t="s">
        <v>20</v>
      </c>
      <c r="I10" s="13" t="s">
        <v>378</v>
      </c>
      <c r="J10" s="73" t="s">
        <v>22</v>
      </c>
      <c r="K10" s="73" t="s">
        <v>23</v>
      </c>
      <c r="L10" s="73" t="s">
        <v>24</v>
      </c>
      <c r="M10" s="69" t="s">
        <v>13</v>
      </c>
    </row>
    <row r="11" spans="1:13" ht="14.1" customHeight="1" thickTop="1" thickBot="1">
      <c r="C11" s="62" t="s">
        <v>562</v>
      </c>
      <c r="D11" s="77" t="str">
        <f>$C$2</f>
        <v>ESTRUCTURAS TORRE</v>
      </c>
      <c r="E11" s="17"/>
      <c r="F11" s="17"/>
      <c r="G11" s="18"/>
      <c r="H11" s="18"/>
      <c r="I11" s="18"/>
      <c r="J11" s="70"/>
      <c r="K11" s="71"/>
      <c r="L11" s="301"/>
      <c r="M11" s="72"/>
    </row>
    <row r="12" spans="1:13" ht="12" customHeight="1" thickTop="1">
      <c r="C12" s="217">
        <f>C11+0.01</f>
        <v>4.01</v>
      </c>
      <c r="D12" s="137" t="s">
        <v>421</v>
      </c>
      <c r="E12" s="112"/>
      <c r="F12" s="113"/>
      <c r="G12" s="79"/>
      <c r="H12" s="79"/>
      <c r="I12" s="79" t="str">
        <f>IFERROR(IF(E12&lt;&gt;0,G12+H12*TC," ")," ")</f>
        <v xml:space="preserve"> </v>
      </c>
      <c r="J12" s="94"/>
      <c r="K12" s="101"/>
      <c r="L12" s="101" t="str">
        <f>IFERROR(IF(F12&lt;&gt;0,(F12*I12)," "),0)</f>
        <v xml:space="preserve"> </v>
      </c>
      <c r="M12" s="135" t="e">
        <f>SUM(J12:J135)+SUM(K12:K135)*TC</f>
        <v>#REF!</v>
      </c>
    </row>
    <row r="13" spans="1:13" ht="14.1" customHeight="1" outlineLevel="1">
      <c r="C13" s="140">
        <f>C12+0.0001</f>
        <v>4.0100999999999996</v>
      </c>
      <c r="D13" s="139" t="s">
        <v>494</v>
      </c>
      <c r="E13" s="91"/>
      <c r="F13" s="111"/>
      <c r="G13" s="93"/>
      <c r="H13" s="82"/>
      <c r="I13" s="93" t="str">
        <f>IFERROR(IF(E13&lt;&gt;0,(G13+H13*TC)," ")," ")</f>
        <v xml:space="preserve"> </v>
      </c>
      <c r="J13" s="95" t="str">
        <f>IFERROR(IF($F13=0,"",$F13*G13),"")</f>
        <v/>
      </c>
      <c r="K13" s="102" t="str">
        <f>IFERROR(IF($F13=0,"",$F13*H13),"")</f>
        <v/>
      </c>
      <c r="L13" s="93" t="str">
        <f>IFERROR(IF(F13&lt;&gt;0,(F13*I13)," "),0)</f>
        <v xml:space="preserve"> </v>
      </c>
      <c r="M13" s="105"/>
    </row>
    <row r="14" spans="1:13" ht="14.1" customHeight="1" outlineLevel="2">
      <c r="A14" s="4" t="s">
        <v>423</v>
      </c>
      <c r="B14" s="4" t="s">
        <v>563</v>
      </c>
      <c r="C14" s="142">
        <f t="shared" ref="C14:C58" si="0">C13+0.000001</f>
        <v>4.0101009999999997</v>
      </c>
      <c r="D14" s="107" t="s">
        <v>564</v>
      </c>
      <c r="E14" s="90" t="s">
        <v>163</v>
      </c>
      <c r="F14" s="111">
        <v>276.82</v>
      </c>
      <c r="G14" s="93">
        <v>383.31</v>
      </c>
      <c r="H14" s="103"/>
      <c r="I14" s="213" t="e">
        <f t="shared" ref="I14:I21" si="1">+ROUND(G14+H14*TC,2)</f>
        <v>#REF!</v>
      </c>
      <c r="J14" s="213">
        <f>+ROUND(F14*G14,2)</f>
        <v>106107.87</v>
      </c>
      <c r="K14" s="201">
        <f>+ROUND(F14*H14,2)</f>
        <v>0</v>
      </c>
      <c r="L14" s="93" t="e">
        <f t="shared" ref="L14:L21" si="2">+ROUND(J14+K14*TC,2)</f>
        <v>#REF!</v>
      </c>
      <c r="M14" s="105"/>
    </row>
    <row r="15" spans="1:13" ht="14.1" customHeight="1" outlineLevel="2">
      <c r="A15" s="4" t="s">
        <v>423</v>
      </c>
      <c r="B15" s="4" t="s">
        <v>563</v>
      </c>
      <c r="C15" s="142">
        <f t="shared" si="0"/>
        <v>4.0101019999999998</v>
      </c>
      <c r="D15" s="107" t="s">
        <v>493</v>
      </c>
      <c r="E15" s="90" t="s">
        <v>163</v>
      </c>
      <c r="F15" s="111">
        <v>266.26</v>
      </c>
      <c r="G15" s="93">
        <v>412.45</v>
      </c>
      <c r="H15" s="103"/>
      <c r="I15" s="213" t="e">
        <f t="shared" si="1"/>
        <v>#REF!</v>
      </c>
      <c r="J15" s="213">
        <f t="shared" ref="J15:J63" si="3">+ROUND(F15*G15,2)</f>
        <v>109818.94</v>
      </c>
      <c r="K15" s="201">
        <f t="shared" ref="K15:K63" si="4">+ROUND(F15*H15,2)</f>
        <v>0</v>
      </c>
      <c r="L15" s="93" t="e">
        <f t="shared" si="2"/>
        <v>#REF!</v>
      </c>
      <c r="M15" s="105"/>
    </row>
    <row r="16" spans="1:13" ht="14.1" customHeight="1" outlineLevel="2">
      <c r="A16" s="4" t="s">
        <v>423</v>
      </c>
      <c r="B16" s="4" t="s">
        <v>563</v>
      </c>
      <c r="C16" s="142">
        <f t="shared" si="0"/>
        <v>4.010103</v>
      </c>
      <c r="D16" s="107" t="s">
        <v>565</v>
      </c>
      <c r="E16" s="90" t="s">
        <v>163</v>
      </c>
      <c r="F16" s="111">
        <v>298.75</v>
      </c>
      <c r="G16" s="93">
        <v>451.34</v>
      </c>
      <c r="H16" s="103"/>
      <c r="I16" s="213" t="e">
        <f t="shared" si="1"/>
        <v>#REF!</v>
      </c>
      <c r="J16" s="213">
        <f t="shared" ref="J16" si="5">+ROUND(F16*G16,2)</f>
        <v>134837.82999999999</v>
      </c>
      <c r="K16" s="201">
        <f t="shared" ref="K16" si="6">+ROUND(F16*H16,2)</f>
        <v>0</v>
      </c>
      <c r="L16" s="93" t="e">
        <f t="shared" si="2"/>
        <v>#REF!</v>
      </c>
      <c r="M16" s="105"/>
    </row>
    <row r="17" spans="1:13" ht="14.1" customHeight="1" outlineLevel="2">
      <c r="A17" s="4" t="s">
        <v>423</v>
      </c>
      <c r="B17" s="4" t="s">
        <v>563</v>
      </c>
      <c r="C17" s="142">
        <f t="shared" si="0"/>
        <v>4.0101040000000001</v>
      </c>
      <c r="D17" s="107" t="s">
        <v>495</v>
      </c>
      <c r="E17" s="90" t="s">
        <v>163</v>
      </c>
      <c r="F17" s="111">
        <v>329.7</v>
      </c>
      <c r="G17" s="93">
        <v>466.93</v>
      </c>
      <c r="H17" s="103"/>
      <c r="I17" s="213" t="e">
        <f t="shared" si="1"/>
        <v>#REF!</v>
      </c>
      <c r="J17" s="213">
        <f t="shared" ref="J17" si="7">+ROUND(F17*G17,2)</f>
        <v>153946.82</v>
      </c>
      <c r="K17" s="201">
        <f t="shared" ref="K17" si="8">+ROUND(F17*H17,2)</f>
        <v>0</v>
      </c>
      <c r="L17" s="93" t="e">
        <f t="shared" si="2"/>
        <v>#REF!</v>
      </c>
      <c r="M17" s="105"/>
    </row>
    <row r="18" spans="1:13" ht="14.1" customHeight="1" outlineLevel="2">
      <c r="A18" s="4" t="s">
        <v>419</v>
      </c>
      <c r="C18" s="142">
        <f>C15+0.000001</f>
        <v>4.010103</v>
      </c>
      <c r="D18" s="107" t="s">
        <v>455</v>
      </c>
      <c r="E18" s="90" t="s">
        <v>169</v>
      </c>
      <c r="F18" s="111">
        <v>9197.56</v>
      </c>
      <c r="G18" s="93">
        <v>43.7</v>
      </c>
      <c r="H18" s="103"/>
      <c r="I18" s="213" t="e">
        <f t="shared" si="1"/>
        <v>#REF!</v>
      </c>
      <c r="J18" s="213">
        <f t="shared" si="3"/>
        <v>401933.37</v>
      </c>
      <c r="K18" s="201">
        <f t="shared" si="4"/>
        <v>0</v>
      </c>
      <c r="L18" s="93" t="e">
        <f t="shared" si="2"/>
        <v>#REF!</v>
      </c>
      <c r="M18" s="97"/>
    </row>
    <row r="19" spans="1:13" ht="14.1" customHeight="1" outlineLevel="2">
      <c r="A19" s="4" t="s">
        <v>419</v>
      </c>
      <c r="C19" s="142">
        <f t="shared" si="0"/>
        <v>4.0101040000000001</v>
      </c>
      <c r="D19" s="107" t="s">
        <v>456</v>
      </c>
      <c r="E19" s="90" t="s">
        <v>169</v>
      </c>
      <c r="F19" s="111">
        <v>650.41</v>
      </c>
      <c r="G19" s="93">
        <v>51.7</v>
      </c>
      <c r="H19" s="103"/>
      <c r="I19" s="213" t="e">
        <f t="shared" si="1"/>
        <v>#REF!</v>
      </c>
      <c r="J19" s="213">
        <f t="shared" ref="J19" si="9">+ROUND(F19*G19,2)</f>
        <v>33626.199999999997</v>
      </c>
      <c r="K19" s="201">
        <f t="shared" ref="K19" si="10">+ROUND(F19*H19,2)</f>
        <v>0</v>
      </c>
      <c r="L19" s="93" t="e">
        <f t="shared" si="2"/>
        <v>#REF!</v>
      </c>
      <c r="M19" s="97"/>
    </row>
    <row r="20" spans="1:13" ht="14.1" customHeight="1" outlineLevel="2">
      <c r="A20" s="4" t="s">
        <v>429</v>
      </c>
      <c r="C20" s="142">
        <f>C18+0.000001</f>
        <v>4.0101040000000001</v>
      </c>
      <c r="D20" s="107" t="s">
        <v>457</v>
      </c>
      <c r="E20" s="90" t="s">
        <v>185</v>
      </c>
      <c r="F20" s="111">
        <v>148445.43</v>
      </c>
      <c r="G20" s="93">
        <v>1.19</v>
      </c>
      <c r="H20" s="103">
        <v>0.91</v>
      </c>
      <c r="I20" s="213" t="e">
        <f t="shared" si="1"/>
        <v>#REF!</v>
      </c>
      <c r="J20" s="213">
        <f t="shared" si="3"/>
        <v>176650.06</v>
      </c>
      <c r="K20" s="201">
        <f t="shared" si="4"/>
        <v>135085.34</v>
      </c>
      <c r="L20" s="93" t="e">
        <f t="shared" si="2"/>
        <v>#REF!</v>
      </c>
      <c r="M20" s="97"/>
    </row>
    <row r="21" spans="1:13" ht="14.1" customHeight="1" outlineLevel="2">
      <c r="C21" s="142">
        <f t="shared" si="0"/>
        <v>4.0101050000000003</v>
      </c>
      <c r="D21" s="107" t="s">
        <v>431</v>
      </c>
      <c r="E21" s="90" t="s">
        <v>169</v>
      </c>
      <c r="F21" s="111">
        <v>9847.9699999999993</v>
      </c>
      <c r="G21" s="93">
        <v>1.44</v>
      </c>
      <c r="H21" s="103"/>
      <c r="I21" s="213" t="e">
        <f t="shared" si="1"/>
        <v>#REF!</v>
      </c>
      <c r="J21" s="213">
        <f t="shared" si="3"/>
        <v>14181.08</v>
      </c>
      <c r="K21" s="201">
        <f t="shared" si="4"/>
        <v>0</v>
      </c>
      <c r="L21" s="93" t="e">
        <f t="shared" si="2"/>
        <v>#REF!</v>
      </c>
      <c r="M21" s="97"/>
    </row>
    <row r="22" spans="1:13" ht="13.5" customHeight="1" outlineLevel="1">
      <c r="C22" s="140">
        <f>C13+0.0001</f>
        <v>4.0101999999999993</v>
      </c>
      <c r="D22" s="482" t="s">
        <v>566</v>
      </c>
      <c r="E22" s="91"/>
      <c r="F22" s="111">
        <v>0</v>
      </c>
      <c r="G22" s="93"/>
      <c r="H22" s="103"/>
      <c r="I22" s="213"/>
      <c r="J22" s="213"/>
      <c r="K22" s="201"/>
      <c r="L22" s="93"/>
      <c r="M22" s="105"/>
    </row>
    <row r="23" spans="1:13" ht="22.5" outlineLevel="2">
      <c r="A23" s="4" t="s">
        <v>423</v>
      </c>
      <c r="B23" s="4" t="s">
        <v>563</v>
      </c>
      <c r="C23" s="142">
        <f t="shared" si="0"/>
        <v>4.0102009999999995</v>
      </c>
      <c r="D23" s="483" t="s">
        <v>567</v>
      </c>
      <c r="E23" s="90" t="s">
        <v>163</v>
      </c>
      <c r="F23" s="111">
        <v>0</v>
      </c>
      <c r="G23" s="93">
        <v>479.16</v>
      </c>
      <c r="H23" s="103"/>
      <c r="I23" s="213" t="e">
        <f>+ROUND(G23+H23*TC,2)</f>
        <v>#REF!</v>
      </c>
      <c r="J23" s="213">
        <f t="shared" si="3"/>
        <v>0</v>
      </c>
      <c r="K23" s="201">
        <f t="shared" si="4"/>
        <v>0</v>
      </c>
      <c r="L23" s="93" t="e">
        <f>+ROUND(J23+K23*TC,2)</f>
        <v>#REF!</v>
      </c>
      <c r="M23" s="97"/>
    </row>
    <row r="24" spans="1:13" ht="14.1" customHeight="1" outlineLevel="2">
      <c r="A24" s="4" t="s">
        <v>419</v>
      </c>
      <c r="C24" s="142">
        <f t="shared" si="0"/>
        <v>4.0102019999999996</v>
      </c>
      <c r="D24" s="484" t="s">
        <v>455</v>
      </c>
      <c r="E24" s="90" t="s">
        <v>169</v>
      </c>
      <c r="F24" s="111">
        <v>0</v>
      </c>
      <c r="G24" s="93">
        <v>43.7</v>
      </c>
      <c r="H24" s="103"/>
      <c r="I24" s="213" t="e">
        <f>+ROUND(G24+H24*TC,2)</f>
        <v>#REF!</v>
      </c>
      <c r="J24" s="213">
        <f t="shared" si="3"/>
        <v>0</v>
      </c>
      <c r="K24" s="201">
        <f t="shared" si="4"/>
        <v>0</v>
      </c>
      <c r="L24" s="93" t="e">
        <f>+ROUND(J24+K24*TC,2)</f>
        <v>#REF!</v>
      </c>
      <c r="M24" s="97"/>
    </row>
    <row r="25" spans="1:13" ht="14.1" customHeight="1" outlineLevel="2">
      <c r="A25" s="4" t="s">
        <v>429</v>
      </c>
      <c r="C25" s="142">
        <f t="shared" si="0"/>
        <v>4.0102029999999997</v>
      </c>
      <c r="D25" s="484" t="s">
        <v>457</v>
      </c>
      <c r="E25" s="90" t="s">
        <v>185</v>
      </c>
      <c r="F25" s="111">
        <v>0</v>
      </c>
      <c r="G25" s="93">
        <v>1.19</v>
      </c>
      <c r="H25" s="103">
        <v>0.91</v>
      </c>
      <c r="I25" s="213" t="e">
        <f>+ROUND(G25+H25*TC,2)</f>
        <v>#REF!</v>
      </c>
      <c r="J25" s="213">
        <f t="shared" si="3"/>
        <v>0</v>
      </c>
      <c r="K25" s="201">
        <f t="shared" si="4"/>
        <v>0</v>
      </c>
      <c r="L25" s="93" t="e">
        <f>+ROUND(J25+K25*TC,2)</f>
        <v>#REF!</v>
      </c>
      <c r="M25" s="97"/>
    </row>
    <row r="26" spans="1:13" ht="14.1" customHeight="1" outlineLevel="2">
      <c r="C26" s="142">
        <f t="shared" si="0"/>
        <v>4.0102039999999999</v>
      </c>
      <c r="D26" s="484" t="s">
        <v>431</v>
      </c>
      <c r="E26" s="90" t="s">
        <v>169</v>
      </c>
      <c r="F26" s="111">
        <v>0</v>
      </c>
      <c r="G26" s="93">
        <v>1.44</v>
      </c>
      <c r="H26" s="103"/>
      <c r="I26" s="213" t="e">
        <f>+ROUND(G26+H26*TC,2)</f>
        <v>#REF!</v>
      </c>
      <c r="J26" s="213">
        <f t="shared" si="3"/>
        <v>0</v>
      </c>
      <c r="K26" s="201">
        <f t="shared" si="4"/>
        <v>0</v>
      </c>
      <c r="L26" s="93" t="e">
        <f>+ROUND(J26+K26*TC,2)</f>
        <v>#REF!</v>
      </c>
      <c r="M26" s="97"/>
    </row>
    <row r="27" spans="1:13" outlineLevel="1">
      <c r="C27" s="140">
        <f>C22+0.0001</f>
        <v>4.0102999999999991</v>
      </c>
      <c r="D27" s="139" t="s">
        <v>496</v>
      </c>
      <c r="E27" s="91"/>
      <c r="F27" s="111">
        <v>0</v>
      </c>
      <c r="G27" s="93"/>
      <c r="H27" s="103"/>
      <c r="I27" s="213"/>
      <c r="J27" s="213"/>
      <c r="K27" s="201"/>
      <c r="L27" s="93"/>
      <c r="M27" s="105"/>
    </row>
    <row r="28" spans="1:13" ht="14.1" customHeight="1" outlineLevel="2">
      <c r="A28" s="4" t="s">
        <v>423</v>
      </c>
      <c r="B28" s="4" t="s">
        <v>563</v>
      </c>
      <c r="C28" s="142">
        <f t="shared" si="0"/>
        <v>4.0103009999999992</v>
      </c>
      <c r="D28" s="107" t="s">
        <v>568</v>
      </c>
      <c r="E28" s="90" t="s">
        <v>163</v>
      </c>
      <c r="F28" s="111">
        <v>16.48</v>
      </c>
      <c r="G28" s="93">
        <v>385.05</v>
      </c>
      <c r="H28" s="103"/>
      <c r="I28" s="213" t="e">
        <f t="shared" ref="I28:I35" si="11">+ROUND(G28+H28*TC,2)</f>
        <v>#REF!</v>
      </c>
      <c r="J28" s="213">
        <f t="shared" si="3"/>
        <v>6345.62</v>
      </c>
      <c r="K28" s="201">
        <f t="shared" si="4"/>
        <v>0</v>
      </c>
      <c r="L28" s="93" t="e">
        <f t="shared" ref="L28:L35" si="12">+ROUND(J28+K28*TC,2)</f>
        <v>#REF!</v>
      </c>
      <c r="M28" s="105"/>
    </row>
    <row r="29" spans="1:13" ht="14.1" customHeight="1" outlineLevel="2">
      <c r="A29" s="4" t="s">
        <v>423</v>
      </c>
      <c r="B29" s="4" t="s">
        <v>563</v>
      </c>
      <c r="C29" s="142">
        <f t="shared" si="0"/>
        <v>4.0103019999999994</v>
      </c>
      <c r="D29" s="107" t="s">
        <v>569</v>
      </c>
      <c r="E29" s="90" t="s">
        <v>163</v>
      </c>
      <c r="F29" s="111">
        <v>17.13</v>
      </c>
      <c r="G29" s="93">
        <v>414.19</v>
      </c>
      <c r="H29" s="103"/>
      <c r="I29" s="213" t="e">
        <f t="shared" si="11"/>
        <v>#REF!</v>
      </c>
      <c r="J29" s="213">
        <f t="shared" si="3"/>
        <v>7095.07</v>
      </c>
      <c r="K29" s="201">
        <f t="shared" si="4"/>
        <v>0</v>
      </c>
      <c r="L29" s="93" t="e">
        <f t="shared" si="12"/>
        <v>#REF!</v>
      </c>
      <c r="M29" s="105"/>
    </row>
    <row r="30" spans="1:13" ht="14.1" customHeight="1" outlineLevel="2">
      <c r="A30" s="4" t="s">
        <v>423</v>
      </c>
      <c r="B30" s="4" t="s">
        <v>563</v>
      </c>
      <c r="C30" s="142">
        <f t="shared" si="0"/>
        <v>4.0103029999999995</v>
      </c>
      <c r="D30" s="107" t="s">
        <v>570</v>
      </c>
      <c r="E30" s="90" t="s">
        <v>163</v>
      </c>
      <c r="F30" s="111">
        <v>16.649999999999999</v>
      </c>
      <c r="G30" s="93">
        <v>453.08</v>
      </c>
      <c r="H30" s="103"/>
      <c r="I30" s="213" t="e">
        <f t="shared" si="11"/>
        <v>#REF!</v>
      </c>
      <c r="J30" s="213">
        <f t="shared" si="3"/>
        <v>7543.78</v>
      </c>
      <c r="K30" s="201">
        <f t="shared" si="4"/>
        <v>0</v>
      </c>
      <c r="L30" s="93" t="e">
        <f t="shared" si="12"/>
        <v>#REF!</v>
      </c>
      <c r="M30" s="105"/>
    </row>
    <row r="31" spans="1:13" ht="14.1" customHeight="1" outlineLevel="2">
      <c r="A31" s="4" t="s">
        <v>423</v>
      </c>
      <c r="C31" s="142">
        <f t="shared" si="0"/>
        <v>4.0103039999999996</v>
      </c>
      <c r="D31" s="107" t="s">
        <v>497</v>
      </c>
      <c r="E31" s="90" t="s">
        <v>163</v>
      </c>
      <c r="F31" s="111">
        <v>18.52</v>
      </c>
      <c r="G31" s="93">
        <v>468.67</v>
      </c>
      <c r="H31" s="103"/>
      <c r="I31" s="213" t="e">
        <f t="shared" si="11"/>
        <v>#REF!</v>
      </c>
      <c r="J31" s="213">
        <f t="shared" si="3"/>
        <v>8679.77</v>
      </c>
      <c r="K31" s="201">
        <f t="shared" si="4"/>
        <v>0</v>
      </c>
      <c r="L31" s="93" t="e">
        <f t="shared" si="12"/>
        <v>#REF!</v>
      </c>
      <c r="M31" s="105"/>
    </row>
    <row r="32" spans="1:13" ht="14.1" customHeight="1" outlineLevel="2">
      <c r="A32" s="4" t="s">
        <v>419</v>
      </c>
      <c r="C32" s="142">
        <f t="shared" si="0"/>
        <v>4.0103049999999998</v>
      </c>
      <c r="D32" s="107" t="s">
        <v>498</v>
      </c>
      <c r="E32" s="90" t="s">
        <v>169</v>
      </c>
      <c r="F32" s="111">
        <v>486</v>
      </c>
      <c r="G32" s="93">
        <v>44.1</v>
      </c>
      <c r="H32" s="103"/>
      <c r="I32" s="213" t="e">
        <f t="shared" si="11"/>
        <v>#REF!</v>
      </c>
      <c r="J32" s="213">
        <f t="shared" si="3"/>
        <v>21432.6</v>
      </c>
      <c r="K32" s="201">
        <f t="shared" si="4"/>
        <v>0</v>
      </c>
      <c r="L32" s="93" t="e">
        <f t="shared" si="12"/>
        <v>#REF!</v>
      </c>
      <c r="M32" s="105"/>
    </row>
    <row r="33" spans="1:13" ht="14.1" customHeight="1" outlineLevel="2">
      <c r="A33" s="4" t="s">
        <v>419</v>
      </c>
      <c r="C33" s="142">
        <f t="shared" si="0"/>
        <v>4.0103059999999999</v>
      </c>
      <c r="D33" s="107" t="s">
        <v>499</v>
      </c>
      <c r="E33" s="90" t="s">
        <v>169</v>
      </c>
      <c r="F33" s="111">
        <v>41.71</v>
      </c>
      <c r="G33" s="93">
        <v>52.1</v>
      </c>
      <c r="H33" s="103"/>
      <c r="I33" s="213" t="e">
        <f t="shared" si="11"/>
        <v>#REF!</v>
      </c>
      <c r="J33" s="213">
        <f t="shared" si="3"/>
        <v>2173.09</v>
      </c>
      <c r="K33" s="201">
        <f t="shared" si="4"/>
        <v>0</v>
      </c>
      <c r="L33" s="93" t="e">
        <f t="shared" si="12"/>
        <v>#REF!</v>
      </c>
      <c r="M33" s="97"/>
    </row>
    <row r="34" spans="1:13" ht="14.1" customHeight="1" outlineLevel="2">
      <c r="A34" s="4" t="s">
        <v>429</v>
      </c>
      <c r="C34" s="142">
        <f t="shared" si="0"/>
        <v>4.0103070000000001</v>
      </c>
      <c r="D34" s="107" t="s">
        <v>457</v>
      </c>
      <c r="E34" s="90" t="s">
        <v>185</v>
      </c>
      <c r="F34" s="111">
        <v>11853.06</v>
      </c>
      <c r="G34" s="93">
        <v>1.19</v>
      </c>
      <c r="H34" s="103">
        <v>0.91</v>
      </c>
      <c r="I34" s="213" t="e">
        <f t="shared" si="11"/>
        <v>#REF!</v>
      </c>
      <c r="J34" s="213">
        <f t="shared" si="3"/>
        <v>14105.14</v>
      </c>
      <c r="K34" s="201">
        <f t="shared" si="4"/>
        <v>10786.28</v>
      </c>
      <c r="L34" s="93" t="e">
        <f t="shared" si="12"/>
        <v>#REF!</v>
      </c>
      <c r="M34" s="105"/>
    </row>
    <row r="35" spans="1:13" ht="14.1" customHeight="1" outlineLevel="2">
      <c r="C35" s="142">
        <f t="shared" si="0"/>
        <v>4.0103080000000002</v>
      </c>
      <c r="D35" s="107" t="s">
        <v>431</v>
      </c>
      <c r="E35" s="90" t="s">
        <v>169</v>
      </c>
      <c r="F35" s="111">
        <v>527.71</v>
      </c>
      <c r="G35" s="93">
        <v>1.44</v>
      </c>
      <c r="H35" s="103"/>
      <c r="I35" s="213" t="e">
        <f t="shared" si="11"/>
        <v>#REF!</v>
      </c>
      <c r="J35" s="213">
        <f t="shared" si="3"/>
        <v>759.9</v>
      </c>
      <c r="K35" s="201">
        <f t="shared" si="4"/>
        <v>0</v>
      </c>
      <c r="L35" s="93" t="e">
        <f t="shared" si="12"/>
        <v>#REF!</v>
      </c>
      <c r="M35" s="97"/>
    </row>
    <row r="36" spans="1:13" ht="14.1" customHeight="1" outlineLevel="1">
      <c r="C36" s="140">
        <f>C27+0.0001</f>
        <v>4.0103999999999989</v>
      </c>
      <c r="D36" s="139" t="s">
        <v>571</v>
      </c>
      <c r="E36" s="91"/>
      <c r="F36" s="111">
        <v>0</v>
      </c>
      <c r="G36" s="93"/>
      <c r="H36" s="103"/>
      <c r="I36" s="213"/>
      <c r="J36" s="213"/>
      <c r="K36" s="201"/>
      <c r="L36" s="93"/>
      <c r="M36" s="105"/>
    </row>
    <row r="37" spans="1:13" ht="14.25" customHeight="1" outlineLevel="2">
      <c r="A37" s="4" t="s">
        <v>423</v>
      </c>
      <c r="B37" s="4" t="s">
        <v>563</v>
      </c>
      <c r="C37" s="142">
        <f t="shared" si="0"/>
        <v>4.010400999999999</v>
      </c>
      <c r="D37" s="107" t="s">
        <v>572</v>
      </c>
      <c r="E37" s="90" t="s">
        <v>163</v>
      </c>
      <c r="F37" s="111">
        <v>813.69</v>
      </c>
      <c r="G37" s="93">
        <v>396.14</v>
      </c>
      <c r="H37" s="103"/>
      <c r="I37" s="213" t="e">
        <f t="shared" ref="I37:I43" si="13">+ROUND(G37+H37*TC,2)</f>
        <v>#REF!</v>
      </c>
      <c r="J37" s="213">
        <f t="shared" si="3"/>
        <v>322335.15999999997</v>
      </c>
      <c r="K37" s="201">
        <f t="shared" si="4"/>
        <v>0</v>
      </c>
      <c r="L37" s="93" t="e">
        <f t="shared" ref="L37:L43" si="14">+ROUND(J37+K37*TC,2)</f>
        <v>#REF!</v>
      </c>
      <c r="M37" s="105"/>
    </row>
    <row r="38" spans="1:13" ht="14.25" customHeight="1" outlineLevel="2">
      <c r="A38" s="4" t="s">
        <v>423</v>
      </c>
      <c r="B38" s="4" t="s">
        <v>563</v>
      </c>
      <c r="C38" s="142">
        <f t="shared" si="0"/>
        <v>4.0104019999999991</v>
      </c>
      <c r="D38" s="441" t="s">
        <v>573</v>
      </c>
      <c r="E38" s="90" t="s">
        <v>163</v>
      </c>
      <c r="F38" s="111">
        <v>31.27</v>
      </c>
      <c r="G38" s="93">
        <v>449.73</v>
      </c>
      <c r="H38" s="103"/>
      <c r="I38" s="213" t="e">
        <f t="shared" si="13"/>
        <v>#REF!</v>
      </c>
      <c r="J38" s="213">
        <f t="shared" si="3"/>
        <v>14063.06</v>
      </c>
      <c r="K38" s="201">
        <f t="shared" si="4"/>
        <v>0</v>
      </c>
      <c r="L38" s="93" t="e">
        <f t="shared" si="14"/>
        <v>#REF!</v>
      </c>
      <c r="M38" s="105"/>
    </row>
    <row r="39" spans="1:13" ht="14.25" customHeight="1" outlineLevel="2">
      <c r="A39" s="4" t="s">
        <v>423</v>
      </c>
      <c r="B39" s="4" t="s">
        <v>563</v>
      </c>
      <c r="C39" s="142">
        <f t="shared" si="0"/>
        <v>4.0104029999999993</v>
      </c>
      <c r="D39" s="441" t="s">
        <v>502</v>
      </c>
      <c r="E39" s="90" t="s">
        <v>163</v>
      </c>
      <c r="F39" s="111">
        <v>31</v>
      </c>
      <c r="G39" s="93">
        <v>465.98</v>
      </c>
      <c r="H39" s="103"/>
      <c r="I39" s="213" t="e">
        <f t="shared" ref="I39" si="15">+ROUND(G39+H39*TC,2)</f>
        <v>#REF!</v>
      </c>
      <c r="J39" s="213">
        <f t="shared" ref="J39" si="16">+ROUND(F39*G39,2)</f>
        <v>14445.38</v>
      </c>
      <c r="K39" s="201">
        <f t="shared" ref="K39" si="17">+ROUND(F39*H39,2)</f>
        <v>0</v>
      </c>
      <c r="L39" s="93" t="e">
        <f t="shared" ref="L39" si="18">+ROUND(J39+K39*TC,2)</f>
        <v>#REF!</v>
      </c>
      <c r="M39" s="105"/>
    </row>
    <row r="40" spans="1:13" ht="14.1" customHeight="1" outlineLevel="2">
      <c r="A40" s="4" t="s">
        <v>419</v>
      </c>
      <c r="C40" s="142">
        <f>C38+0.000001</f>
        <v>4.0104029999999993</v>
      </c>
      <c r="D40" s="107" t="s">
        <v>503</v>
      </c>
      <c r="E40" s="90" t="s">
        <v>169</v>
      </c>
      <c r="F40" s="111">
        <v>3986.27</v>
      </c>
      <c r="G40" s="93">
        <v>54.1</v>
      </c>
      <c r="H40" s="103"/>
      <c r="I40" s="213" t="e">
        <f t="shared" si="13"/>
        <v>#REF!</v>
      </c>
      <c r="J40" s="213">
        <f t="shared" si="3"/>
        <v>215657.21</v>
      </c>
      <c r="K40" s="201">
        <f t="shared" si="4"/>
        <v>0</v>
      </c>
      <c r="L40" s="93" t="e">
        <f t="shared" si="14"/>
        <v>#REF!</v>
      </c>
      <c r="M40" s="105"/>
    </row>
    <row r="41" spans="1:13" ht="14.1" customHeight="1" outlineLevel="2">
      <c r="A41" s="4" t="s">
        <v>419</v>
      </c>
      <c r="C41" s="142">
        <f t="shared" ref="C41:C43" si="19">C40+0.000001</f>
        <v>4.0104039999999994</v>
      </c>
      <c r="D41" s="107" t="s">
        <v>504</v>
      </c>
      <c r="E41" s="90" t="s">
        <v>169</v>
      </c>
      <c r="F41" s="111">
        <v>191.82</v>
      </c>
      <c r="G41" s="93">
        <v>62.1</v>
      </c>
      <c r="H41" s="103"/>
      <c r="I41" s="213" t="e">
        <f t="shared" si="13"/>
        <v>#REF!</v>
      </c>
      <c r="J41" s="213">
        <f t="shared" si="3"/>
        <v>11912.02</v>
      </c>
      <c r="K41" s="201">
        <f t="shared" si="4"/>
        <v>0</v>
      </c>
      <c r="L41" s="93" t="e">
        <f t="shared" si="14"/>
        <v>#REF!</v>
      </c>
      <c r="M41" s="105"/>
    </row>
    <row r="42" spans="1:13" ht="14.1" customHeight="1" outlineLevel="2">
      <c r="A42" s="4" t="s">
        <v>429</v>
      </c>
      <c r="C42" s="142">
        <f t="shared" si="19"/>
        <v>4.0104049999999996</v>
      </c>
      <c r="D42" s="107" t="s">
        <v>457</v>
      </c>
      <c r="E42" s="90" t="s">
        <v>185</v>
      </c>
      <c r="F42" s="111">
        <v>131302.91</v>
      </c>
      <c r="G42" s="93">
        <v>1.19</v>
      </c>
      <c r="H42" s="103">
        <v>0.91</v>
      </c>
      <c r="I42" s="213" t="e">
        <f t="shared" si="13"/>
        <v>#REF!</v>
      </c>
      <c r="J42" s="213">
        <f t="shared" si="3"/>
        <v>156250.46</v>
      </c>
      <c r="K42" s="201">
        <f t="shared" si="4"/>
        <v>119485.65</v>
      </c>
      <c r="L42" s="93" t="e">
        <f t="shared" si="14"/>
        <v>#REF!</v>
      </c>
      <c r="M42" s="97"/>
    </row>
    <row r="43" spans="1:13" ht="14.1" customHeight="1" outlineLevel="2">
      <c r="C43" s="142">
        <f t="shared" si="19"/>
        <v>4.0104059999999997</v>
      </c>
      <c r="D43" s="107" t="s">
        <v>431</v>
      </c>
      <c r="E43" s="90" t="s">
        <v>169</v>
      </c>
      <c r="F43" s="111">
        <v>4785.96</v>
      </c>
      <c r="G43" s="93">
        <v>1.44</v>
      </c>
      <c r="H43" s="103"/>
      <c r="I43" s="213" t="e">
        <f t="shared" si="13"/>
        <v>#REF!</v>
      </c>
      <c r="J43" s="213">
        <f t="shared" si="3"/>
        <v>6891.78</v>
      </c>
      <c r="K43" s="201">
        <f t="shared" si="4"/>
        <v>0</v>
      </c>
      <c r="L43" s="93" t="e">
        <f t="shared" si="14"/>
        <v>#REF!</v>
      </c>
      <c r="M43" s="105"/>
    </row>
    <row r="44" spans="1:13" ht="14.1" customHeight="1" outlineLevel="2">
      <c r="C44" s="140">
        <f>C36+0.0001</f>
        <v>4.0104999999999986</v>
      </c>
      <c r="D44" s="139" t="s">
        <v>505</v>
      </c>
      <c r="E44" s="90"/>
      <c r="F44" s="111">
        <v>0</v>
      </c>
      <c r="G44" s="93"/>
      <c r="H44" s="103"/>
      <c r="I44" s="213"/>
      <c r="J44" s="213"/>
      <c r="K44" s="201"/>
      <c r="L44" s="93"/>
      <c r="M44" s="105"/>
    </row>
    <row r="45" spans="1:13" ht="14.1" customHeight="1" outlineLevel="2">
      <c r="A45" s="4" t="s">
        <v>429</v>
      </c>
      <c r="C45" s="142">
        <f t="shared" si="0"/>
        <v>4.0105009999999988</v>
      </c>
      <c r="D45" s="117" t="s">
        <v>457</v>
      </c>
      <c r="E45" s="116" t="s">
        <v>185</v>
      </c>
      <c r="F45" s="111">
        <v>21404.73</v>
      </c>
      <c r="G45" s="93">
        <v>1.19</v>
      </c>
      <c r="H45" s="103">
        <v>0.91</v>
      </c>
      <c r="I45" s="213" t="e">
        <f>+ROUND(G45+H45*TC,2)</f>
        <v>#REF!</v>
      </c>
      <c r="J45" s="213">
        <f t="shared" si="3"/>
        <v>25471.63</v>
      </c>
      <c r="K45" s="201">
        <f t="shared" si="4"/>
        <v>19478.3</v>
      </c>
      <c r="L45" s="93" t="e">
        <f>+ROUND(J45+K45*TC,2)</f>
        <v>#REF!</v>
      </c>
      <c r="M45" s="97"/>
    </row>
    <row r="46" spans="1:13" ht="12.75" customHeight="1" outlineLevel="2">
      <c r="C46" s="142">
        <f t="shared" si="0"/>
        <v>4.0105019999999989</v>
      </c>
      <c r="D46" s="126" t="s">
        <v>506</v>
      </c>
      <c r="E46" s="116" t="s">
        <v>169</v>
      </c>
      <c r="F46" s="111">
        <v>607.87</v>
      </c>
      <c r="G46" s="485">
        <v>45.2</v>
      </c>
      <c r="H46" s="103"/>
      <c r="I46" s="213" t="e">
        <f>+ROUND(G46+H46*TC,2)</f>
        <v>#REF!</v>
      </c>
      <c r="J46" s="213">
        <f t="shared" si="3"/>
        <v>27475.72</v>
      </c>
      <c r="K46" s="201">
        <f t="shared" si="4"/>
        <v>0</v>
      </c>
      <c r="L46" s="93" t="e">
        <f>+ROUND(J46+K46*TC,2)</f>
        <v>#REF!</v>
      </c>
      <c r="M46" s="115"/>
    </row>
    <row r="47" spans="1:13" ht="12.75" customHeight="1" outlineLevel="2">
      <c r="C47" s="142">
        <f t="shared" si="0"/>
        <v>4.010502999999999</v>
      </c>
      <c r="D47" s="126" t="s">
        <v>507</v>
      </c>
      <c r="E47" s="116" t="s">
        <v>169</v>
      </c>
      <c r="F47" s="111">
        <v>607.87</v>
      </c>
      <c r="G47" s="485">
        <v>5.17</v>
      </c>
      <c r="H47" s="103"/>
      <c r="I47" s="213" t="e">
        <f>+ROUND(G47+H47*TC,2)</f>
        <v>#REF!</v>
      </c>
      <c r="J47" s="213">
        <f t="shared" si="3"/>
        <v>3142.69</v>
      </c>
      <c r="K47" s="201">
        <f t="shared" si="4"/>
        <v>0</v>
      </c>
      <c r="L47" s="93" t="e">
        <f>+ROUND(J47+K47*TC,2)</f>
        <v>#REF!</v>
      </c>
      <c r="M47" s="115"/>
    </row>
    <row r="48" spans="1:13" outlineLevel="2">
      <c r="A48" s="4" t="s">
        <v>419</v>
      </c>
      <c r="C48" s="142">
        <f t="shared" si="0"/>
        <v>4.0105039999999992</v>
      </c>
      <c r="D48" s="126" t="s">
        <v>574</v>
      </c>
      <c r="E48" s="116" t="s">
        <v>169</v>
      </c>
      <c r="F48" s="111">
        <v>576.47</v>
      </c>
      <c r="G48" s="93">
        <v>37.119999999999997</v>
      </c>
      <c r="H48" s="103"/>
      <c r="I48" s="213" t="e">
        <f>+ROUND(G48+H48*TC,2)</f>
        <v>#REF!</v>
      </c>
      <c r="J48" s="213">
        <f t="shared" si="3"/>
        <v>21398.57</v>
      </c>
      <c r="K48" s="201">
        <f t="shared" si="4"/>
        <v>0</v>
      </c>
      <c r="L48" s="93" t="e">
        <f>+ROUND(J48+K48*TC,2)</f>
        <v>#REF!</v>
      </c>
      <c r="M48" s="105"/>
    </row>
    <row r="49" spans="1:13" outlineLevel="2">
      <c r="A49" s="4" t="s">
        <v>419</v>
      </c>
      <c r="C49" s="142">
        <f t="shared" si="0"/>
        <v>4.0105049999999993</v>
      </c>
      <c r="D49" s="126" t="s">
        <v>508</v>
      </c>
      <c r="E49" s="116" t="s">
        <v>169</v>
      </c>
      <c r="F49" s="111">
        <v>31.4</v>
      </c>
      <c r="G49" s="93">
        <v>43.3</v>
      </c>
      <c r="H49" s="103"/>
      <c r="I49" s="213" t="e">
        <f>+ROUND(G49+H49*TC,2)</f>
        <v>#REF!</v>
      </c>
      <c r="J49" s="213">
        <f t="shared" ref="J49" si="20">+ROUND(F49*G49,2)</f>
        <v>1359.62</v>
      </c>
      <c r="K49" s="201">
        <f t="shared" ref="K49" si="21">+ROUND(F49*H49,2)</f>
        <v>0</v>
      </c>
      <c r="L49" s="93" t="e">
        <f>+ROUND(J49+K49*TC,2)</f>
        <v>#REF!</v>
      </c>
      <c r="M49" s="105"/>
    </row>
    <row r="50" spans="1:13" ht="14.1" customHeight="1" outlineLevel="1">
      <c r="C50" s="140">
        <f>C44+0.0001</f>
        <v>4.0105999999999984</v>
      </c>
      <c r="D50" s="132" t="s">
        <v>575</v>
      </c>
      <c r="E50" s="85"/>
      <c r="F50" s="111">
        <v>0</v>
      </c>
      <c r="G50" s="93"/>
      <c r="H50" s="82"/>
      <c r="I50" s="213"/>
      <c r="J50" s="213"/>
      <c r="K50" s="201"/>
      <c r="L50" s="93"/>
      <c r="M50" s="97"/>
    </row>
    <row r="51" spans="1:13" outlineLevel="2">
      <c r="A51" s="4" t="s">
        <v>423</v>
      </c>
      <c r="B51" s="4" t="s">
        <v>563</v>
      </c>
      <c r="C51" s="142">
        <f t="shared" si="0"/>
        <v>4.0106009999999985</v>
      </c>
      <c r="D51" s="117" t="s">
        <v>576</v>
      </c>
      <c r="E51" s="116" t="s">
        <v>163</v>
      </c>
      <c r="F51" s="111">
        <v>193.72</v>
      </c>
      <c r="G51" s="93">
        <v>396.14</v>
      </c>
      <c r="H51" s="103"/>
      <c r="I51" s="213" t="e">
        <f t="shared" ref="I51:I61" si="22">+ROUND(G51+H51*TC,2)</f>
        <v>#REF!</v>
      </c>
      <c r="J51" s="213">
        <f t="shared" si="3"/>
        <v>76740.240000000005</v>
      </c>
      <c r="K51" s="201">
        <f t="shared" si="4"/>
        <v>0</v>
      </c>
      <c r="L51" s="93" t="e">
        <f t="shared" ref="L51:L61" si="23">+ROUND(J51+K51*TC,2)</f>
        <v>#REF!</v>
      </c>
      <c r="M51" s="97"/>
    </row>
    <row r="52" spans="1:13" ht="14.1" customHeight="1" outlineLevel="2">
      <c r="A52" s="4" t="s">
        <v>423</v>
      </c>
      <c r="B52" s="4" t="s">
        <v>563</v>
      </c>
      <c r="C52" s="142">
        <f>C50+0.000001</f>
        <v>4.0106009999999985</v>
      </c>
      <c r="D52" s="441" t="s">
        <v>573</v>
      </c>
      <c r="E52" s="116" t="s">
        <v>163</v>
      </c>
      <c r="F52" s="111">
        <v>4.6100000000000003</v>
      </c>
      <c r="G52" s="93">
        <v>449.73</v>
      </c>
      <c r="H52" s="103"/>
      <c r="I52" s="213" t="e">
        <f t="shared" si="22"/>
        <v>#REF!</v>
      </c>
      <c r="J52" s="213">
        <f t="shared" si="3"/>
        <v>2073.2600000000002</v>
      </c>
      <c r="K52" s="201">
        <f t="shared" si="4"/>
        <v>0</v>
      </c>
      <c r="L52" s="93" t="e">
        <f t="shared" si="23"/>
        <v>#REF!</v>
      </c>
      <c r="M52" s="97"/>
    </row>
    <row r="53" spans="1:13" ht="14.1" customHeight="1" outlineLevel="2">
      <c r="A53" s="4" t="s">
        <v>423</v>
      </c>
      <c r="B53" s="4" t="s">
        <v>563</v>
      </c>
      <c r="C53" s="142">
        <f>C51+0.000001</f>
        <v>4.0106019999999987</v>
      </c>
      <c r="D53" s="441" t="s">
        <v>502</v>
      </c>
      <c r="E53" s="116" t="s">
        <v>163</v>
      </c>
      <c r="F53" s="111">
        <v>5.05</v>
      </c>
      <c r="G53" s="93">
        <v>465.98</v>
      </c>
      <c r="H53" s="103"/>
      <c r="I53" s="213" t="e">
        <f t="shared" si="22"/>
        <v>#REF!</v>
      </c>
      <c r="J53" s="213">
        <f t="shared" si="3"/>
        <v>2353.1999999999998</v>
      </c>
      <c r="K53" s="201">
        <f t="shared" si="4"/>
        <v>0</v>
      </c>
      <c r="L53" s="93" t="e">
        <f t="shared" si="23"/>
        <v>#REF!</v>
      </c>
      <c r="M53" s="97"/>
    </row>
    <row r="54" spans="1:13" ht="14.1" customHeight="1" outlineLevel="2">
      <c r="A54" s="4" t="s">
        <v>419</v>
      </c>
      <c r="C54" s="142">
        <f t="shared" si="0"/>
        <v>4.0106029999999988</v>
      </c>
      <c r="D54" s="117" t="s">
        <v>521</v>
      </c>
      <c r="E54" s="116" t="s">
        <v>169</v>
      </c>
      <c r="F54" s="111">
        <v>1278.77</v>
      </c>
      <c r="G54" s="93">
        <v>37.520000000000003</v>
      </c>
      <c r="H54" s="103"/>
      <c r="I54" s="213" t="e">
        <f t="shared" si="22"/>
        <v>#REF!</v>
      </c>
      <c r="J54" s="213">
        <f t="shared" si="3"/>
        <v>47979.45</v>
      </c>
      <c r="K54" s="201">
        <f t="shared" si="4"/>
        <v>0</v>
      </c>
      <c r="L54" s="93" t="e">
        <f t="shared" si="23"/>
        <v>#REF!</v>
      </c>
      <c r="M54" s="97"/>
    </row>
    <row r="55" spans="1:13" ht="14.1" customHeight="1" outlineLevel="2">
      <c r="A55" s="4" t="s">
        <v>419</v>
      </c>
      <c r="C55" s="142">
        <f t="shared" si="0"/>
        <v>4.0106039999999989</v>
      </c>
      <c r="D55" s="117" t="s">
        <v>522</v>
      </c>
      <c r="E55" s="116" t="s">
        <v>169</v>
      </c>
      <c r="F55" s="111">
        <v>57.08</v>
      </c>
      <c r="G55" s="93">
        <v>43.7</v>
      </c>
      <c r="H55" s="103"/>
      <c r="I55" s="213" t="e">
        <f t="shared" si="22"/>
        <v>#REF!</v>
      </c>
      <c r="J55" s="213">
        <f t="shared" si="3"/>
        <v>2494.4</v>
      </c>
      <c r="K55" s="201">
        <f t="shared" si="4"/>
        <v>0</v>
      </c>
      <c r="L55" s="93" t="e">
        <f t="shared" si="23"/>
        <v>#REF!</v>
      </c>
      <c r="M55" s="97"/>
    </row>
    <row r="56" spans="1:13" ht="14.1" customHeight="1" outlineLevel="2">
      <c r="C56" s="142">
        <f t="shared" si="0"/>
        <v>4.0106049999999991</v>
      </c>
      <c r="D56" s="117" t="s">
        <v>506</v>
      </c>
      <c r="E56" s="116" t="s">
        <v>169</v>
      </c>
      <c r="F56" s="111">
        <v>1335.85</v>
      </c>
      <c r="G56" s="93">
        <v>45.2</v>
      </c>
      <c r="H56" s="103"/>
      <c r="I56" s="213" t="e">
        <f t="shared" si="22"/>
        <v>#REF!</v>
      </c>
      <c r="J56" s="213">
        <f t="shared" si="3"/>
        <v>60380.42</v>
      </c>
      <c r="K56" s="201">
        <f t="shared" si="4"/>
        <v>0</v>
      </c>
      <c r="L56" s="93" t="e">
        <f t="shared" si="23"/>
        <v>#REF!</v>
      </c>
      <c r="M56" s="97"/>
    </row>
    <row r="57" spans="1:13" ht="14.1" customHeight="1" outlineLevel="2">
      <c r="C57" s="142">
        <f t="shared" si="0"/>
        <v>4.0106059999999992</v>
      </c>
      <c r="D57" s="126" t="s">
        <v>507</v>
      </c>
      <c r="E57" s="116" t="s">
        <v>169</v>
      </c>
      <c r="F57" s="111">
        <v>1335.85</v>
      </c>
      <c r="G57" s="93">
        <v>5.17</v>
      </c>
      <c r="H57" s="103"/>
      <c r="I57" s="213" t="e">
        <f t="shared" si="22"/>
        <v>#REF!</v>
      </c>
      <c r="J57" s="213">
        <f t="shared" si="3"/>
        <v>6906.34</v>
      </c>
      <c r="K57" s="201">
        <f t="shared" si="4"/>
        <v>0</v>
      </c>
      <c r="L57" s="93" t="e">
        <f t="shared" si="23"/>
        <v>#REF!</v>
      </c>
      <c r="M57" s="97"/>
    </row>
    <row r="58" spans="1:13" ht="14.1" customHeight="1" outlineLevel="2">
      <c r="A58" s="4" t="s">
        <v>429</v>
      </c>
      <c r="C58" s="142">
        <f t="shared" si="0"/>
        <v>4.0106069999999994</v>
      </c>
      <c r="D58" s="126" t="s">
        <v>514</v>
      </c>
      <c r="E58" s="116" t="s">
        <v>185</v>
      </c>
      <c r="F58" s="111">
        <v>11054.27</v>
      </c>
      <c r="G58" s="93">
        <v>1.19</v>
      </c>
      <c r="H58" s="103">
        <v>0.91</v>
      </c>
      <c r="I58" s="213" t="e">
        <f t="shared" si="22"/>
        <v>#REF!</v>
      </c>
      <c r="J58" s="213">
        <f t="shared" si="3"/>
        <v>13154.58</v>
      </c>
      <c r="K58" s="201">
        <f t="shared" si="4"/>
        <v>10059.39</v>
      </c>
      <c r="L58" s="93" t="e">
        <f t="shared" si="23"/>
        <v>#REF!</v>
      </c>
      <c r="M58" s="97"/>
    </row>
    <row r="59" spans="1:13" ht="15" customHeight="1" outlineLevel="2">
      <c r="A59" s="4" t="s">
        <v>429</v>
      </c>
      <c r="C59" s="142">
        <f>C58+0.000001</f>
        <v>4.0106079999999995</v>
      </c>
      <c r="D59" s="117" t="s">
        <v>515</v>
      </c>
      <c r="E59" s="116" t="s">
        <v>185</v>
      </c>
      <c r="F59" s="111">
        <v>13539.5</v>
      </c>
      <c r="G59" s="93">
        <v>0</v>
      </c>
      <c r="H59" s="103">
        <v>0.91</v>
      </c>
      <c r="I59" s="213" t="e">
        <f t="shared" si="22"/>
        <v>#REF!</v>
      </c>
      <c r="J59" s="213">
        <f t="shared" si="3"/>
        <v>0</v>
      </c>
      <c r="K59" s="201">
        <f t="shared" si="4"/>
        <v>12320.95</v>
      </c>
      <c r="L59" s="93" t="e">
        <f t="shared" si="23"/>
        <v>#REF!</v>
      </c>
      <c r="M59" s="97"/>
    </row>
    <row r="60" spans="1:13" outlineLevel="2">
      <c r="A60" s="4" t="s">
        <v>429</v>
      </c>
      <c r="C60" s="142">
        <f>C59+0.000001</f>
        <v>4.0106089999999996</v>
      </c>
      <c r="D60" s="231" t="s">
        <v>524</v>
      </c>
      <c r="E60" s="116" t="s">
        <v>185</v>
      </c>
      <c r="F60" s="111">
        <v>5730.8</v>
      </c>
      <c r="G60" s="93">
        <v>1.19</v>
      </c>
      <c r="H60" s="103">
        <v>0.91</v>
      </c>
      <c r="I60" s="213" t="e">
        <f t="shared" si="22"/>
        <v>#REF!</v>
      </c>
      <c r="J60" s="213">
        <f t="shared" si="3"/>
        <v>6819.65</v>
      </c>
      <c r="K60" s="201">
        <f t="shared" si="4"/>
        <v>5215.03</v>
      </c>
      <c r="L60" s="93" t="e">
        <f t="shared" si="23"/>
        <v>#REF!</v>
      </c>
      <c r="M60" s="97"/>
    </row>
    <row r="61" spans="1:13" ht="14.1" customHeight="1" outlineLevel="2">
      <c r="C61" s="142">
        <f>C60+0.000001</f>
        <v>4.0106099999999998</v>
      </c>
      <c r="D61" s="126" t="s">
        <v>431</v>
      </c>
      <c r="E61" s="116" t="s">
        <v>169</v>
      </c>
      <c r="F61" s="111">
        <v>1335.85</v>
      </c>
      <c r="G61" s="93">
        <v>1.44</v>
      </c>
      <c r="H61" s="103"/>
      <c r="I61" s="213" t="e">
        <f t="shared" si="22"/>
        <v>#REF!</v>
      </c>
      <c r="J61" s="213">
        <f t="shared" si="3"/>
        <v>1923.62</v>
      </c>
      <c r="K61" s="201">
        <f t="shared" si="4"/>
        <v>0</v>
      </c>
      <c r="L61" s="93" t="e">
        <f t="shared" si="23"/>
        <v>#REF!</v>
      </c>
      <c r="M61" s="97"/>
    </row>
    <row r="62" spans="1:13" ht="14.1" customHeight="1" outlineLevel="1">
      <c r="C62" s="140">
        <f>C50+0.0001</f>
        <v>4.0106999999999982</v>
      </c>
      <c r="D62" s="139" t="s">
        <v>509</v>
      </c>
      <c r="E62" s="90"/>
      <c r="F62" s="111">
        <v>0</v>
      </c>
      <c r="G62" s="93"/>
      <c r="H62" s="103"/>
      <c r="I62" s="213"/>
      <c r="J62" s="213"/>
      <c r="K62" s="201"/>
      <c r="L62" s="93"/>
      <c r="M62" s="97"/>
    </row>
    <row r="63" spans="1:13" outlineLevel="2">
      <c r="A63" s="4" t="s">
        <v>423</v>
      </c>
      <c r="B63" s="4" t="s">
        <v>563</v>
      </c>
      <c r="C63" s="142">
        <f t="shared" ref="C63:C72" si="24">C62+0.000001</f>
        <v>4.0107009999999983</v>
      </c>
      <c r="D63" s="108" t="s">
        <v>577</v>
      </c>
      <c r="E63" s="90" t="s">
        <v>163</v>
      </c>
      <c r="F63" s="111">
        <v>5.26</v>
      </c>
      <c r="G63" s="93">
        <v>396.14</v>
      </c>
      <c r="H63" s="103"/>
      <c r="I63" s="213" t="e">
        <f t="shared" ref="I63:I72" si="25">+ROUND(G63+H63*TC,2)</f>
        <v>#REF!</v>
      </c>
      <c r="J63" s="213">
        <f t="shared" si="3"/>
        <v>2083.6999999999998</v>
      </c>
      <c r="K63" s="201">
        <f t="shared" si="4"/>
        <v>0</v>
      </c>
      <c r="L63" s="93" t="e">
        <f t="shared" ref="L63:L72" si="26">+ROUND(J63+K63*TC,2)</f>
        <v>#REF!</v>
      </c>
      <c r="M63" s="105"/>
    </row>
    <row r="64" spans="1:13" ht="14.1" customHeight="1" outlineLevel="2">
      <c r="A64" s="4" t="s">
        <v>419</v>
      </c>
      <c r="C64" s="142">
        <f>C63+0.000001</f>
        <v>4.0107019999999984</v>
      </c>
      <c r="D64" s="108" t="s">
        <v>511</v>
      </c>
      <c r="E64" s="116" t="s">
        <v>169</v>
      </c>
      <c r="F64" s="111">
        <v>63.74</v>
      </c>
      <c r="G64" s="93">
        <v>37.520000000000003</v>
      </c>
      <c r="H64" s="103"/>
      <c r="I64" s="213" t="e">
        <f t="shared" si="25"/>
        <v>#REF!</v>
      </c>
      <c r="J64" s="213">
        <f t="shared" ref="J64:J118" si="27">+ROUND(F64*G64,2)</f>
        <v>2391.52</v>
      </c>
      <c r="K64" s="201">
        <f t="shared" ref="K64:K118" si="28">+ROUND(F64*H64,2)</f>
        <v>0</v>
      </c>
      <c r="L64" s="93" t="e">
        <f t="shared" si="26"/>
        <v>#REF!</v>
      </c>
      <c r="M64" s="97"/>
    </row>
    <row r="65" spans="1:13" ht="14.1" customHeight="1" outlineLevel="2">
      <c r="A65" s="4" t="s">
        <v>419</v>
      </c>
      <c r="C65" s="142">
        <f t="shared" si="24"/>
        <v>4.0107029999999986</v>
      </c>
      <c r="D65" s="108" t="s">
        <v>512</v>
      </c>
      <c r="E65" s="116" t="s">
        <v>169</v>
      </c>
      <c r="F65" s="111">
        <v>0</v>
      </c>
      <c r="G65" s="93">
        <v>43.7</v>
      </c>
      <c r="H65" s="103"/>
      <c r="I65" s="213" t="e">
        <f t="shared" si="25"/>
        <v>#REF!</v>
      </c>
      <c r="J65" s="213">
        <f t="shared" si="27"/>
        <v>0</v>
      </c>
      <c r="K65" s="201">
        <f t="shared" si="28"/>
        <v>0</v>
      </c>
      <c r="L65" s="93" t="e">
        <f t="shared" si="26"/>
        <v>#REF!</v>
      </c>
      <c r="M65" s="97"/>
    </row>
    <row r="66" spans="1:13" ht="14.1" customHeight="1" outlineLevel="2">
      <c r="C66" s="142">
        <f t="shared" si="24"/>
        <v>4.0107039999999987</v>
      </c>
      <c r="D66" s="107" t="s">
        <v>513</v>
      </c>
      <c r="E66" s="90" t="s">
        <v>169</v>
      </c>
      <c r="F66" s="111">
        <v>63.74</v>
      </c>
      <c r="G66" s="93">
        <v>57.9</v>
      </c>
      <c r="H66" s="103"/>
      <c r="I66" s="213" t="e">
        <f t="shared" si="25"/>
        <v>#REF!</v>
      </c>
      <c r="J66" s="213">
        <f t="shared" si="27"/>
        <v>3690.55</v>
      </c>
      <c r="K66" s="201">
        <f t="shared" si="28"/>
        <v>0</v>
      </c>
      <c r="L66" s="93" t="e">
        <f t="shared" si="26"/>
        <v>#REF!</v>
      </c>
      <c r="M66" s="97"/>
    </row>
    <row r="67" spans="1:13" ht="14.1" customHeight="1" outlineLevel="2">
      <c r="C67" s="142">
        <f t="shared" si="24"/>
        <v>4.0107049999999989</v>
      </c>
      <c r="D67" s="107" t="s">
        <v>507</v>
      </c>
      <c r="E67" s="90" t="s">
        <v>169</v>
      </c>
      <c r="F67" s="111">
        <v>63.74</v>
      </c>
      <c r="G67" s="93">
        <v>5.17</v>
      </c>
      <c r="H67" s="103"/>
      <c r="I67" s="213" t="e">
        <f t="shared" si="25"/>
        <v>#REF!</v>
      </c>
      <c r="J67" s="213">
        <f t="shared" si="27"/>
        <v>329.54</v>
      </c>
      <c r="K67" s="201">
        <f t="shared" si="28"/>
        <v>0</v>
      </c>
      <c r="L67" s="93" t="e">
        <f t="shared" si="26"/>
        <v>#REF!</v>
      </c>
      <c r="M67" s="97"/>
    </row>
    <row r="68" spans="1:13" ht="14.1" customHeight="1" outlineLevel="2">
      <c r="A68" s="4" t="s">
        <v>429</v>
      </c>
      <c r="C68" s="142">
        <f t="shared" si="24"/>
        <v>4.010705999999999</v>
      </c>
      <c r="D68" s="89" t="s">
        <v>514</v>
      </c>
      <c r="E68" s="90" t="s">
        <v>185</v>
      </c>
      <c r="F68" s="111">
        <v>272.66000000000003</v>
      </c>
      <c r="G68" s="93">
        <v>1.19</v>
      </c>
      <c r="H68" s="103">
        <v>0.91</v>
      </c>
      <c r="I68" s="213" t="e">
        <f t="shared" si="25"/>
        <v>#REF!</v>
      </c>
      <c r="J68" s="213">
        <f t="shared" si="27"/>
        <v>324.47000000000003</v>
      </c>
      <c r="K68" s="201">
        <f t="shared" si="28"/>
        <v>248.12</v>
      </c>
      <c r="L68" s="93" t="e">
        <f t="shared" si="26"/>
        <v>#REF!</v>
      </c>
      <c r="M68" s="97"/>
    </row>
    <row r="69" spans="1:13" ht="14.1" customHeight="1" outlineLevel="2">
      <c r="A69" s="4" t="s">
        <v>429</v>
      </c>
      <c r="C69" s="142">
        <f t="shared" si="24"/>
        <v>4.0107069999999991</v>
      </c>
      <c r="D69" s="108" t="s">
        <v>515</v>
      </c>
      <c r="E69" s="90" t="s">
        <v>185</v>
      </c>
      <c r="F69" s="111">
        <v>174.79</v>
      </c>
      <c r="G69" s="93">
        <v>0</v>
      </c>
      <c r="H69" s="103">
        <v>0.91</v>
      </c>
      <c r="I69" s="213" t="e">
        <f t="shared" si="25"/>
        <v>#REF!</v>
      </c>
      <c r="J69" s="213">
        <f t="shared" si="27"/>
        <v>0</v>
      </c>
      <c r="K69" s="201">
        <f t="shared" si="28"/>
        <v>159.06</v>
      </c>
      <c r="L69" s="93" t="e">
        <f t="shared" si="26"/>
        <v>#REF!</v>
      </c>
      <c r="M69" s="97"/>
    </row>
    <row r="70" spans="1:13" ht="14.1" customHeight="1" outlineLevel="2">
      <c r="A70" s="4" t="s">
        <v>429</v>
      </c>
      <c r="C70" s="142">
        <f t="shared" si="24"/>
        <v>4.0107079999999993</v>
      </c>
      <c r="D70" s="230" t="s">
        <v>578</v>
      </c>
      <c r="E70" s="90" t="s">
        <v>185</v>
      </c>
      <c r="F70" s="111">
        <v>25.5</v>
      </c>
      <c r="G70" s="93">
        <v>1.19</v>
      </c>
      <c r="H70" s="103">
        <v>0.91</v>
      </c>
      <c r="I70" s="213" t="e">
        <f t="shared" si="25"/>
        <v>#REF!</v>
      </c>
      <c r="J70" s="213">
        <f t="shared" si="27"/>
        <v>30.35</v>
      </c>
      <c r="K70" s="201">
        <f t="shared" si="28"/>
        <v>23.21</v>
      </c>
      <c r="L70" s="93" t="e">
        <f t="shared" si="26"/>
        <v>#REF!</v>
      </c>
      <c r="M70" s="97"/>
    </row>
    <row r="71" spans="1:13" ht="22.5" outlineLevel="2">
      <c r="A71" s="4" t="s">
        <v>429</v>
      </c>
      <c r="C71" s="142">
        <f t="shared" si="24"/>
        <v>4.0107089999999994</v>
      </c>
      <c r="D71" s="230" t="s">
        <v>516</v>
      </c>
      <c r="E71" s="90" t="s">
        <v>185</v>
      </c>
      <c r="F71" s="111">
        <v>127.48</v>
      </c>
      <c r="G71" s="93">
        <v>0</v>
      </c>
      <c r="H71" s="103">
        <v>0.91</v>
      </c>
      <c r="I71" s="213" t="e">
        <f t="shared" si="25"/>
        <v>#REF!</v>
      </c>
      <c r="J71" s="213">
        <f t="shared" si="27"/>
        <v>0</v>
      </c>
      <c r="K71" s="201">
        <f t="shared" si="28"/>
        <v>116.01</v>
      </c>
      <c r="L71" s="93" t="e">
        <f t="shared" si="26"/>
        <v>#REF!</v>
      </c>
      <c r="M71" s="97"/>
    </row>
    <row r="72" spans="1:13" ht="14.1" customHeight="1" outlineLevel="2">
      <c r="C72" s="142">
        <f t="shared" si="24"/>
        <v>4.0107099999999996</v>
      </c>
      <c r="D72" s="89" t="s">
        <v>431</v>
      </c>
      <c r="E72" s="90" t="s">
        <v>169</v>
      </c>
      <c r="F72" s="111">
        <v>63.74</v>
      </c>
      <c r="G72" s="93">
        <v>1.44</v>
      </c>
      <c r="H72" s="103"/>
      <c r="I72" s="213" t="e">
        <f t="shared" si="25"/>
        <v>#REF!</v>
      </c>
      <c r="J72" s="213">
        <f t="shared" si="27"/>
        <v>91.79</v>
      </c>
      <c r="K72" s="201">
        <f t="shared" si="28"/>
        <v>0</v>
      </c>
      <c r="L72" s="93" t="e">
        <f t="shared" si="26"/>
        <v>#REF!</v>
      </c>
      <c r="M72" s="97"/>
    </row>
    <row r="73" spans="1:13" ht="14.1" customHeight="1" outlineLevel="1">
      <c r="C73" s="140">
        <f>C62+0.0001</f>
        <v>4.0107999999999979</v>
      </c>
      <c r="D73" s="139" t="s">
        <v>517</v>
      </c>
      <c r="E73" s="90"/>
      <c r="F73" s="111">
        <v>0</v>
      </c>
      <c r="G73" s="93"/>
      <c r="H73" s="103"/>
      <c r="I73" s="213"/>
      <c r="J73" s="213"/>
      <c r="K73" s="201"/>
      <c r="L73" s="93"/>
      <c r="M73" s="97"/>
    </row>
    <row r="74" spans="1:13" outlineLevel="2">
      <c r="A74" s="4" t="s">
        <v>423</v>
      </c>
      <c r="B74" s="4" t="s">
        <v>563</v>
      </c>
      <c r="C74" s="142">
        <f t="shared" ref="C74:C134" si="29">C73+0.000001</f>
        <v>4.0108009999999981</v>
      </c>
      <c r="D74" s="108" t="s">
        <v>577</v>
      </c>
      <c r="E74" s="90" t="s">
        <v>163</v>
      </c>
      <c r="F74" s="111">
        <v>478.27</v>
      </c>
      <c r="G74" s="93">
        <v>396.14</v>
      </c>
      <c r="H74" s="103"/>
      <c r="I74" s="213" t="e">
        <f t="shared" ref="I74:I85" si="30">+ROUND(G74+H74*TC,2)</f>
        <v>#REF!</v>
      </c>
      <c r="J74" s="213">
        <f t="shared" si="27"/>
        <v>189461.88</v>
      </c>
      <c r="K74" s="201">
        <f t="shared" si="28"/>
        <v>0</v>
      </c>
      <c r="L74" s="93" t="e">
        <f t="shared" ref="L74:L85" si="31">+ROUND(J74+K74*TC,2)</f>
        <v>#REF!</v>
      </c>
      <c r="M74" s="105"/>
    </row>
    <row r="75" spans="1:13" ht="14.1" customHeight="1" outlineLevel="2">
      <c r="A75" s="4" t="s">
        <v>423</v>
      </c>
      <c r="B75" s="4" t="s">
        <v>563</v>
      </c>
      <c r="C75" s="142">
        <f>C73+0.000001</f>
        <v>4.0108009999999981</v>
      </c>
      <c r="D75" s="441" t="s">
        <v>573</v>
      </c>
      <c r="E75" s="116" t="s">
        <v>163</v>
      </c>
      <c r="F75" s="111">
        <v>13.47</v>
      </c>
      <c r="G75" s="93">
        <v>449.73</v>
      </c>
      <c r="H75" s="103"/>
      <c r="I75" s="213" t="e">
        <f t="shared" si="30"/>
        <v>#REF!</v>
      </c>
      <c r="J75" s="213">
        <f t="shared" si="27"/>
        <v>6057.86</v>
      </c>
      <c r="K75" s="201">
        <f t="shared" si="28"/>
        <v>0</v>
      </c>
      <c r="L75" s="93" t="e">
        <f t="shared" si="31"/>
        <v>#REF!</v>
      </c>
      <c r="M75" s="97"/>
    </row>
    <row r="76" spans="1:13" ht="14.1" customHeight="1" outlineLevel="2">
      <c r="A76" s="4" t="s">
        <v>423</v>
      </c>
      <c r="B76" s="4" t="s">
        <v>563</v>
      </c>
      <c r="C76" s="142">
        <f>C74+0.000001</f>
        <v>4.0108019999999982</v>
      </c>
      <c r="D76" s="441" t="s">
        <v>502</v>
      </c>
      <c r="E76" s="116" t="s">
        <v>163</v>
      </c>
      <c r="F76" s="111">
        <v>13.61</v>
      </c>
      <c r="G76" s="93">
        <v>465.98</v>
      </c>
      <c r="H76" s="103"/>
      <c r="I76" s="213" t="e">
        <f t="shared" si="30"/>
        <v>#REF!</v>
      </c>
      <c r="J76" s="213">
        <f t="shared" si="27"/>
        <v>6341.99</v>
      </c>
      <c r="K76" s="201">
        <f t="shared" si="28"/>
        <v>0</v>
      </c>
      <c r="L76" s="93" t="e">
        <f t="shared" si="31"/>
        <v>#REF!</v>
      </c>
      <c r="M76" s="97"/>
    </row>
    <row r="77" spans="1:13" ht="14.1" customHeight="1" outlineLevel="2">
      <c r="A77" s="4" t="s">
        <v>419</v>
      </c>
      <c r="C77" s="142">
        <f>C75+0.000001</f>
        <v>4.0108019999999982</v>
      </c>
      <c r="D77" s="108" t="s">
        <v>511</v>
      </c>
      <c r="E77" s="116" t="s">
        <v>169</v>
      </c>
      <c r="F77" s="111">
        <v>5429.51</v>
      </c>
      <c r="G77" s="93">
        <v>37.520000000000003</v>
      </c>
      <c r="H77" s="103"/>
      <c r="I77" s="213" t="e">
        <f t="shared" si="30"/>
        <v>#REF!</v>
      </c>
      <c r="J77" s="213">
        <f t="shared" si="27"/>
        <v>203715.22</v>
      </c>
      <c r="K77" s="201">
        <f t="shared" si="28"/>
        <v>0</v>
      </c>
      <c r="L77" s="93" t="e">
        <f t="shared" si="31"/>
        <v>#REF!</v>
      </c>
      <c r="M77" s="97"/>
    </row>
    <row r="78" spans="1:13" ht="14.1" customHeight="1" outlineLevel="2">
      <c r="A78" s="4" t="s">
        <v>419</v>
      </c>
      <c r="C78" s="142">
        <f t="shared" ref="C78" si="32">C77+0.000001</f>
        <v>4.0108029999999983</v>
      </c>
      <c r="D78" s="108" t="s">
        <v>512</v>
      </c>
      <c r="E78" s="116" t="s">
        <v>169</v>
      </c>
      <c r="F78" s="111">
        <v>290.49</v>
      </c>
      <c r="G78" s="93">
        <v>43.7</v>
      </c>
      <c r="H78" s="103"/>
      <c r="I78" s="213" t="e">
        <f t="shared" si="30"/>
        <v>#REF!</v>
      </c>
      <c r="J78" s="213">
        <f t="shared" ref="J78" si="33">+ROUND(F78*G78,2)</f>
        <v>12694.41</v>
      </c>
      <c r="K78" s="201">
        <f t="shared" ref="K78" si="34">+ROUND(F78*H78,2)</f>
        <v>0</v>
      </c>
      <c r="L78" s="93" t="e">
        <f t="shared" si="31"/>
        <v>#REF!</v>
      </c>
      <c r="M78" s="97"/>
    </row>
    <row r="79" spans="1:13" ht="14.1" customHeight="1" outlineLevel="2">
      <c r="C79" s="142">
        <f>C77+0.000001</f>
        <v>4.0108029999999983</v>
      </c>
      <c r="D79" s="107" t="s">
        <v>518</v>
      </c>
      <c r="E79" s="90" t="s">
        <v>169</v>
      </c>
      <c r="F79" s="111">
        <v>5720</v>
      </c>
      <c r="G79" s="93">
        <v>62.9</v>
      </c>
      <c r="H79" s="103"/>
      <c r="I79" s="213" t="e">
        <f t="shared" si="30"/>
        <v>#REF!</v>
      </c>
      <c r="J79" s="213">
        <f t="shared" si="27"/>
        <v>359788</v>
      </c>
      <c r="K79" s="201">
        <f t="shared" si="28"/>
        <v>0</v>
      </c>
      <c r="L79" s="93" t="e">
        <f t="shared" si="31"/>
        <v>#REF!</v>
      </c>
      <c r="M79" s="97"/>
    </row>
    <row r="80" spans="1:13" ht="14.1" customHeight="1" outlineLevel="2">
      <c r="C80" s="142">
        <f t="shared" si="29"/>
        <v>4.0108039999999985</v>
      </c>
      <c r="D80" s="107" t="s">
        <v>507</v>
      </c>
      <c r="E80" s="90" t="s">
        <v>169</v>
      </c>
      <c r="F80" s="111">
        <v>5720</v>
      </c>
      <c r="G80" s="93">
        <v>5.17</v>
      </c>
      <c r="H80" s="103"/>
      <c r="I80" s="213" t="e">
        <f t="shared" si="30"/>
        <v>#REF!</v>
      </c>
      <c r="J80" s="213">
        <f t="shared" si="27"/>
        <v>29572.400000000001</v>
      </c>
      <c r="K80" s="201">
        <f t="shared" si="28"/>
        <v>0</v>
      </c>
      <c r="L80" s="93" t="e">
        <f t="shared" si="31"/>
        <v>#REF!</v>
      </c>
      <c r="M80" s="97"/>
    </row>
    <row r="81" spans="1:13" ht="14.1" customHeight="1" outlineLevel="2">
      <c r="A81" s="4" t="s">
        <v>429</v>
      </c>
      <c r="C81" s="142">
        <f t="shared" si="29"/>
        <v>4.0108049999999986</v>
      </c>
      <c r="D81" s="89" t="s">
        <v>514</v>
      </c>
      <c r="E81" s="90" t="s">
        <v>185</v>
      </c>
      <c r="F81" s="111">
        <v>22631.14</v>
      </c>
      <c r="G81" s="93">
        <v>1.19</v>
      </c>
      <c r="H81" s="103">
        <v>0.91</v>
      </c>
      <c r="I81" s="213" t="e">
        <f t="shared" si="30"/>
        <v>#REF!</v>
      </c>
      <c r="J81" s="213">
        <f t="shared" si="27"/>
        <v>26931.06</v>
      </c>
      <c r="K81" s="201">
        <f t="shared" si="28"/>
        <v>20594.34</v>
      </c>
      <c r="L81" s="93" t="e">
        <f t="shared" si="31"/>
        <v>#REF!</v>
      </c>
      <c r="M81" s="97"/>
    </row>
    <row r="82" spans="1:13" ht="14.1" customHeight="1" outlineLevel="2">
      <c r="A82" s="4" t="s">
        <v>429</v>
      </c>
      <c r="C82" s="142">
        <f t="shared" si="29"/>
        <v>4.0108059999999988</v>
      </c>
      <c r="D82" s="108" t="s">
        <v>515</v>
      </c>
      <c r="E82" s="90" t="s">
        <v>185</v>
      </c>
      <c r="F82" s="111">
        <v>23266.01</v>
      </c>
      <c r="G82" s="93">
        <v>0</v>
      </c>
      <c r="H82" s="103">
        <v>0.91</v>
      </c>
      <c r="I82" s="213" t="e">
        <f t="shared" si="30"/>
        <v>#REF!</v>
      </c>
      <c r="J82" s="213">
        <f t="shared" si="27"/>
        <v>0</v>
      </c>
      <c r="K82" s="201">
        <f t="shared" si="28"/>
        <v>21172.07</v>
      </c>
      <c r="L82" s="93" t="e">
        <f t="shared" si="31"/>
        <v>#REF!</v>
      </c>
      <c r="M82" s="97"/>
    </row>
    <row r="83" spans="1:13" ht="14.1" customHeight="1" outlineLevel="2">
      <c r="A83" s="4" t="s">
        <v>429</v>
      </c>
      <c r="C83" s="142">
        <f t="shared" si="29"/>
        <v>4.0108069999999989</v>
      </c>
      <c r="D83" s="230" t="s">
        <v>578</v>
      </c>
      <c r="E83" s="90" t="s">
        <v>185</v>
      </c>
      <c r="F83" s="111">
        <v>2288</v>
      </c>
      <c r="G83" s="93">
        <v>1.19</v>
      </c>
      <c r="H83" s="103">
        <v>0.91</v>
      </c>
      <c r="I83" s="213" t="e">
        <f t="shared" si="30"/>
        <v>#REF!</v>
      </c>
      <c r="J83" s="213">
        <f t="shared" si="27"/>
        <v>2722.72</v>
      </c>
      <c r="K83" s="201">
        <f t="shared" si="28"/>
        <v>2082.08</v>
      </c>
      <c r="L83" s="93" t="e">
        <f t="shared" si="31"/>
        <v>#REF!</v>
      </c>
      <c r="M83" s="97"/>
    </row>
    <row r="84" spans="1:13" ht="22.5" outlineLevel="2">
      <c r="A84" s="4" t="s">
        <v>429</v>
      </c>
      <c r="C84" s="142">
        <f t="shared" si="29"/>
        <v>4.010807999999999</v>
      </c>
      <c r="D84" s="230" t="s">
        <v>516</v>
      </c>
      <c r="E84" s="90" t="s">
        <v>185</v>
      </c>
      <c r="F84" s="111">
        <v>11440</v>
      </c>
      <c r="G84" s="93">
        <v>0</v>
      </c>
      <c r="H84" s="103">
        <v>0.91</v>
      </c>
      <c r="I84" s="213" t="e">
        <f t="shared" si="30"/>
        <v>#REF!</v>
      </c>
      <c r="J84" s="213">
        <f t="shared" si="27"/>
        <v>0</v>
      </c>
      <c r="K84" s="201">
        <f t="shared" si="28"/>
        <v>10410.4</v>
      </c>
      <c r="L84" s="93" t="e">
        <f t="shared" si="31"/>
        <v>#REF!</v>
      </c>
      <c r="M84" s="97"/>
    </row>
    <row r="85" spans="1:13" ht="14.1" customHeight="1" outlineLevel="2">
      <c r="C85" s="142">
        <f t="shared" si="29"/>
        <v>4.0108089999999992</v>
      </c>
      <c r="D85" s="89" t="s">
        <v>431</v>
      </c>
      <c r="E85" s="90" t="s">
        <v>169</v>
      </c>
      <c r="F85" s="111">
        <v>5720</v>
      </c>
      <c r="G85" s="93">
        <v>1.44</v>
      </c>
      <c r="H85" s="103"/>
      <c r="I85" s="213" t="e">
        <f t="shared" si="30"/>
        <v>#REF!</v>
      </c>
      <c r="J85" s="213">
        <f t="shared" si="27"/>
        <v>8236.7999999999993</v>
      </c>
      <c r="K85" s="201">
        <f t="shared" si="28"/>
        <v>0</v>
      </c>
      <c r="L85" s="93" t="e">
        <f t="shared" si="31"/>
        <v>#REF!</v>
      </c>
      <c r="M85" s="97"/>
    </row>
    <row r="86" spans="1:13" ht="14.1" customHeight="1" outlineLevel="1">
      <c r="C86" s="140">
        <f>C73+0.0001</f>
        <v>4.0108999999999977</v>
      </c>
      <c r="D86" s="132" t="s">
        <v>579</v>
      </c>
      <c r="E86" s="85"/>
      <c r="F86" s="111">
        <v>0</v>
      </c>
      <c r="G86" s="93"/>
      <c r="H86" s="82"/>
      <c r="I86" s="213"/>
      <c r="J86" s="213"/>
      <c r="K86" s="201"/>
      <c r="L86" s="93"/>
      <c r="M86" s="97"/>
    </row>
    <row r="87" spans="1:13" outlineLevel="2">
      <c r="A87" s="4" t="s">
        <v>423</v>
      </c>
      <c r="B87" s="4" t="s">
        <v>563</v>
      </c>
      <c r="C87" s="142">
        <f t="shared" si="29"/>
        <v>4.0109009999999978</v>
      </c>
      <c r="D87" s="108" t="s">
        <v>577</v>
      </c>
      <c r="E87" s="90" t="s">
        <v>163</v>
      </c>
      <c r="F87" s="111">
        <v>124.26</v>
      </c>
      <c r="G87" s="93">
        <v>396.14</v>
      </c>
      <c r="H87" s="103"/>
      <c r="I87" s="213" t="e">
        <f t="shared" ref="I87:I97" si="35">+ROUND(G87+H87*TC,2)</f>
        <v>#REF!</v>
      </c>
      <c r="J87" s="213">
        <f t="shared" si="27"/>
        <v>49224.36</v>
      </c>
      <c r="K87" s="201">
        <f t="shared" si="28"/>
        <v>0</v>
      </c>
      <c r="L87" s="93" t="e">
        <f t="shared" ref="L87:L97" si="36">+ROUND(J87+K87*TC,2)</f>
        <v>#REF!</v>
      </c>
      <c r="M87" s="105"/>
    </row>
    <row r="88" spans="1:13" outlineLevel="2">
      <c r="A88" s="4" t="s">
        <v>423</v>
      </c>
      <c r="B88" s="4" t="s">
        <v>563</v>
      </c>
      <c r="C88" s="142">
        <f t="shared" si="29"/>
        <v>4.010901999999998</v>
      </c>
      <c r="D88" s="441" t="s">
        <v>573</v>
      </c>
      <c r="E88" s="90" t="s">
        <v>163</v>
      </c>
      <c r="F88" s="111">
        <v>2.5499999999999998</v>
      </c>
      <c r="G88" s="93">
        <v>449.73</v>
      </c>
      <c r="H88" s="103"/>
      <c r="I88" s="213" t="e">
        <f t="shared" si="35"/>
        <v>#REF!</v>
      </c>
      <c r="J88" s="213">
        <f t="shared" si="27"/>
        <v>1146.81</v>
      </c>
      <c r="K88" s="201">
        <f t="shared" si="28"/>
        <v>0</v>
      </c>
      <c r="L88" s="93" t="e">
        <f t="shared" si="36"/>
        <v>#REF!</v>
      </c>
      <c r="M88" s="105"/>
    </row>
    <row r="89" spans="1:13" ht="14.1" customHeight="1" outlineLevel="2">
      <c r="A89" s="4" t="s">
        <v>423</v>
      </c>
      <c r="B89" s="4" t="s">
        <v>563</v>
      </c>
      <c r="C89" s="142">
        <f>C87+0.000001</f>
        <v>4.010901999999998</v>
      </c>
      <c r="D89" s="441" t="s">
        <v>502</v>
      </c>
      <c r="E89" s="116" t="s">
        <v>163</v>
      </c>
      <c r="F89" s="111">
        <v>2.64</v>
      </c>
      <c r="G89" s="93">
        <v>465.98</v>
      </c>
      <c r="H89" s="103"/>
      <c r="I89" s="213" t="e">
        <f t="shared" si="35"/>
        <v>#REF!</v>
      </c>
      <c r="J89" s="213">
        <f t="shared" ref="J89" si="37">+ROUND(F89*G89,2)</f>
        <v>1230.19</v>
      </c>
      <c r="K89" s="201">
        <f t="shared" ref="K89" si="38">+ROUND(F89*H89,2)</f>
        <v>0</v>
      </c>
      <c r="L89" s="93" t="e">
        <f t="shared" si="36"/>
        <v>#REF!</v>
      </c>
      <c r="M89" s="97"/>
    </row>
    <row r="90" spans="1:13" ht="14.1" customHeight="1" outlineLevel="2">
      <c r="A90" s="4" t="s">
        <v>419</v>
      </c>
      <c r="C90" s="142">
        <f>C88+0.000001</f>
        <v>4.0109029999999981</v>
      </c>
      <c r="D90" s="108" t="s">
        <v>511</v>
      </c>
      <c r="E90" s="90" t="s">
        <v>169</v>
      </c>
      <c r="F90" s="111">
        <v>1137.23</v>
      </c>
      <c r="G90" s="93">
        <v>37.520000000000003</v>
      </c>
      <c r="H90" s="103"/>
      <c r="I90" s="213" t="e">
        <f t="shared" si="35"/>
        <v>#REF!</v>
      </c>
      <c r="J90" s="213">
        <f t="shared" si="27"/>
        <v>42668.87</v>
      </c>
      <c r="K90" s="201">
        <f t="shared" si="28"/>
        <v>0</v>
      </c>
      <c r="L90" s="93" t="e">
        <f t="shared" si="36"/>
        <v>#REF!</v>
      </c>
      <c r="M90" s="97"/>
    </row>
    <row r="91" spans="1:13" ht="14.1" customHeight="1" outlineLevel="2">
      <c r="A91" s="4" t="s">
        <v>419</v>
      </c>
      <c r="C91" s="142">
        <f t="shared" ref="C91" si="39">C90+0.000001</f>
        <v>4.0109039999999982</v>
      </c>
      <c r="D91" s="108" t="s">
        <v>512</v>
      </c>
      <c r="E91" s="116" t="s">
        <v>169</v>
      </c>
      <c r="F91" s="111">
        <v>63.46</v>
      </c>
      <c r="G91" s="93">
        <v>43.7</v>
      </c>
      <c r="H91" s="103"/>
      <c r="I91" s="213" t="e">
        <f t="shared" si="35"/>
        <v>#REF!</v>
      </c>
      <c r="J91" s="213">
        <f t="shared" si="27"/>
        <v>2773.2</v>
      </c>
      <c r="K91" s="201">
        <f t="shared" si="28"/>
        <v>0</v>
      </c>
      <c r="L91" s="93" t="e">
        <f t="shared" si="36"/>
        <v>#REF!</v>
      </c>
      <c r="M91" s="97"/>
    </row>
    <row r="92" spans="1:13" ht="14.1" customHeight="1" outlineLevel="2">
      <c r="C92" s="142">
        <f>C90+0.000001</f>
        <v>4.0109039999999982</v>
      </c>
      <c r="D92" s="107" t="s">
        <v>580</v>
      </c>
      <c r="E92" s="90" t="s">
        <v>169</v>
      </c>
      <c r="F92" s="111">
        <v>1200.69</v>
      </c>
      <c r="G92" s="93">
        <v>60.5</v>
      </c>
      <c r="H92" s="103"/>
      <c r="I92" s="213" t="e">
        <f t="shared" si="35"/>
        <v>#REF!</v>
      </c>
      <c r="J92" s="213">
        <f t="shared" si="27"/>
        <v>72641.75</v>
      </c>
      <c r="K92" s="201">
        <f t="shared" si="28"/>
        <v>0</v>
      </c>
      <c r="L92" s="93" t="e">
        <f t="shared" si="36"/>
        <v>#REF!</v>
      </c>
      <c r="M92" s="97"/>
    </row>
    <row r="93" spans="1:13" ht="14.1" customHeight="1" outlineLevel="2">
      <c r="C93" s="142">
        <f t="shared" si="29"/>
        <v>4.0109049999999984</v>
      </c>
      <c r="D93" s="89" t="s">
        <v>507</v>
      </c>
      <c r="E93" s="90" t="s">
        <v>169</v>
      </c>
      <c r="F93" s="111">
        <v>1200.69</v>
      </c>
      <c r="G93" s="93">
        <v>5.17</v>
      </c>
      <c r="H93" s="103"/>
      <c r="I93" s="213" t="e">
        <f t="shared" si="35"/>
        <v>#REF!</v>
      </c>
      <c r="J93" s="213">
        <f t="shared" si="27"/>
        <v>6207.57</v>
      </c>
      <c r="K93" s="201">
        <f t="shared" si="28"/>
        <v>0</v>
      </c>
      <c r="L93" s="93" t="e">
        <f t="shared" si="36"/>
        <v>#REF!</v>
      </c>
      <c r="M93" s="97"/>
    </row>
    <row r="94" spans="1:13" ht="14.1" customHeight="1" outlineLevel="2">
      <c r="A94" s="4" t="s">
        <v>429</v>
      </c>
      <c r="C94" s="142">
        <f t="shared" si="29"/>
        <v>4.0109059999999985</v>
      </c>
      <c r="D94" s="107" t="s">
        <v>514</v>
      </c>
      <c r="E94" s="90" t="s">
        <v>185</v>
      </c>
      <c r="F94" s="111">
        <v>6031.64</v>
      </c>
      <c r="G94" s="93">
        <v>1.19</v>
      </c>
      <c r="H94" s="103">
        <v>0.91</v>
      </c>
      <c r="I94" s="213" t="e">
        <f t="shared" si="35"/>
        <v>#REF!</v>
      </c>
      <c r="J94" s="213">
        <f t="shared" si="27"/>
        <v>7177.65</v>
      </c>
      <c r="K94" s="201">
        <f t="shared" si="28"/>
        <v>5488.79</v>
      </c>
      <c r="L94" s="93" t="e">
        <f t="shared" si="36"/>
        <v>#REF!</v>
      </c>
      <c r="M94" s="97"/>
    </row>
    <row r="95" spans="1:13" ht="14.1" customHeight="1" outlineLevel="2">
      <c r="A95" s="4" t="s">
        <v>429</v>
      </c>
      <c r="C95" s="142">
        <f t="shared" si="29"/>
        <v>4.0109069999999987</v>
      </c>
      <c r="D95" s="107" t="s">
        <v>515</v>
      </c>
      <c r="E95" s="90" t="s">
        <v>185</v>
      </c>
      <c r="F95" s="111">
        <v>6844.74</v>
      </c>
      <c r="G95" s="93">
        <v>0</v>
      </c>
      <c r="H95" s="103">
        <v>0.91</v>
      </c>
      <c r="I95" s="213" t="e">
        <f t="shared" si="35"/>
        <v>#REF!</v>
      </c>
      <c r="J95" s="213">
        <f t="shared" si="27"/>
        <v>0</v>
      </c>
      <c r="K95" s="201">
        <f t="shared" si="28"/>
        <v>6228.71</v>
      </c>
      <c r="L95" s="93" t="e">
        <f t="shared" si="36"/>
        <v>#REF!</v>
      </c>
      <c r="M95" s="97"/>
    </row>
    <row r="96" spans="1:13" ht="14.1" customHeight="1" outlineLevel="2">
      <c r="A96" s="4" t="s">
        <v>429</v>
      </c>
      <c r="C96" s="142">
        <f t="shared" si="29"/>
        <v>4.0109079999999988</v>
      </c>
      <c r="D96" s="229" t="s">
        <v>578</v>
      </c>
      <c r="E96" s="90" t="s">
        <v>185</v>
      </c>
      <c r="F96" s="111">
        <v>480.28</v>
      </c>
      <c r="G96" s="93">
        <v>1.19</v>
      </c>
      <c r="H96" s="103">
        <v>0.91</v>
      </c>
      <c r="I96" s="213" t="e">
        <f t="shared" si="35"/>
        <v>#REF!</v>
      </c>
      <c r="J96" s="213">
        <f t="shared" si="27"/>
        <v>571.53</v>
      </c>
      <c r="K96" s="201">
        <f t="shared" si="28"/>
        <v>437.05</v>
      </c>
      <c r="L96" s="93" t="e">
        <f t="shared" si="36"/>
        <v>#REF!</v>
      </c>
      <c r="M96" s="97"/>
    </row>
    <row r="97" spans="1:13" ht="14.1" customHeight="1" outlineLevel="2">
      <c r="C97" s="142">
        <f t="shared" si="29"/>
        <v>4.0109089999999989</v>
      </c>
      <c r="D97" s="107" t="s">
        <v>431</v>
      </c>
      <c r="E97" s="90" t="s">
        <v>169</v>
      </c>
      <c r="F97" s="111">
        <v>1200.69</v>
      </c>
      <c r="G97" s="93">
        <v>1.44</v>
      </c>
      <c r="H97" s="103"/>
      <c r="I97" s="213" t="e">
        <f t="shared" si="35"/>
        <v>#REF!</v>
      </c>
      <c r="J97" s="213">
        <f t="shared" si="27"/>
        <v>1728.99</v>
      </c>
      <c r="K97" s="201">
        <f t="shared" si="28"/>
        <v>0</v>
      </c>
      <c r="L97" s="93" t="e">
        <f t="shared" si="36"/>
        <v>#REF!</v>
      </c>
      <c r="M97" s="97"/>
    </row>
    <row r="98" spans="1:13" ht="14.1" customHeight="1" outlineLevel="1">
      <c r="C98" s="140">
        <f>C86+0.0001</f>
        <v>4.0109999999999975</v>
      </c>
      <c r="D98" s="132" t="s">
        <v>581</v>
      </c>
      <c r="E98" s="85"/>
      <c r="F98" s="111">
        <v>0</v>
      </c>
      <c r="G98" s="93"/>
      <c r="H98" s="82"/>
      <c r="I98" s="213"/>
      <c r="J98" s="213"/>
      <c r="K98" s="201"/>
      <c r="L98" s="93"/>
      <c r="M98" s="97"/>
    </row>
    <row r="99" spans="1:13" ht="14.1" customHeight="1" outlineLevel="2">
      <c r="A99" s="4" t="s">
        <v>423</v>
      </c>
      <c r="B99" s="4" t="s">
        <v>563</v>
      </c>
      <c r="C99" s="142">
        <f t="shared" si="29"/>
        <v>4.0110009999999976</v>
      </c>
      <c r="D99" s="109" t="s">
        <v>533</v>
      </c>
      <c r="E99" s="90" t="s">
        <v>163</v>
      </c>
      <c r="F99" s="111">
        <v>80.59</v>
      </c>
      <c r="G99" s="93">
        <v>417.16</v>
      </c>
      <c r="H99" s="103"/>
      <c r="I99" s="213" t="e">
        <f>+ROUND(G99+H99*TC,2)</f>
        <v>#REF!</v>
      </c>
      <c r="J99" s="213">
        <f t="shared" si="27"/>
        <v>33618.92</v>
      </c>
      <c r="K99" s="201">
        <f t="shared" si="28"/>
        <v>0</v>
      </c>
      <c r="L99" s="93" t="e">
        <f>+ROUND(J99+K99*TC,2)</f>
        <v>#REF!</v>
      </c>
      <c r="M99" s="97"/>
    </row>
    <row r="100" spans="1:13" ht="14.1" customHeight="1" outlineLevel="2">
      <c r="A100" s="4" t="s">
        <v>419</v>
      </c>
      <c r="C100" s="142">
        <f t="shared" si="29"/>
        <v>4.0110019999999977</v>
      </c>
      <c r="D100" s="107" t="s">
        <v>534</v>
      </c>
      <c r="E100" s="90" t="s">
        <v>169</v>
      </c>
      <c r="F100" s="111">
        <v>768.86</v>
      </c>
      <c r="G100" s="93">
        <v>52.1</v>
      </c>
      <c r="H100" s="103"/>
      <c r="I100" s="213" t="e">
        <f>+ROUND(G100+H100*TC,2)</f>
        <v>#REF!</v>
      </c>
      <c r="J100" s="213">
        <f t="shared" si="27"/>
        <v>40057.61</v>
      </c>
      <c r="K100" s="201">
        <f t="shared" si="28"/>
        <v>0</v>
      </c>
      <c r="L100" s="93" t="e">
        <f>+ROUND(J100+K100*TC,2)</f>
        <v>#REF!</v>
      </c>
      <c r="M100" s="97"/>
    </row>
    <row r="101" spans="1:13" ht="14.1" customHeight="1" outlineLevel="2">
      <c r="A101" s="4" t="s">
        <v>429</v>
      </c>
      <c r="C101" s="142">
        <f t="shared" si="29"/>
        <v>4.0110029999999979</v>
      </c>
      <c r="D101" s="118" t="s">
        <v>457</v>
      </c>
      <c r="E101" s="90" t="s">
        <v>185</v>
      </c>
      <c r="F101" s="111">
        <v>3884.94</v>
      </c>
      <c r="G101" s="93">
        <v>1.19</v>
      </c>
      <c r="H101" s="103">
        <v>0.91</v>
      </c>
      <c r="I101" s="213" t="e">
        <f>+ROUND(G101+H101*TC,2)</f>
        <v>#REF!</v>
      </c>
      <c r="J101" s="213">
        <f t="shared" si="27"/>
        <v>4623.08</v>
      </c>
      <c r="K101" s="201">
        <f t="shared" si="28"/>
        <v>3535.3</v>
      </c>
      <c r="L101" s="93" t="e">
        <f>+ROUND(J101+K101*TC,2)</f>
        <v>#REF!</v>
      </c>
      <c r="M101" s="97"/>
    </row>
    <row r="102" spans="1:13" ht="14.1" customHeight="1" outlineLevel="2">
      <c r="C102" s="142">
        <f t="shared" si="29"/>
        <v>4.011003999999998</v>
      </c>
      <c r="D102" s="107" t="s">
        <v>431</v>
      </c>
      <c r="E102" s="90" t="s">
        <v>169</v>
      </c>
      <c r="F102" s="111">
        <v>768.86</v>
      </c>
      <c r="G102" s="93">
        <v>1.44</v>
      </c>
      <c r="H102" s="103"/>
      <c r="I102" s="213" t="e">
        <f>+ROUND(G102+H102*TC,2)</f>
        <v>#REF!</v>
      </c>
      <c r="J102" s="213">
        <f t="shared" si="27"/>
        <v>1107.1600000000001</v>
      </c>
      <c r="K102" s="201">
        <f t="shared" si="28"/>
        <v>0</v>
      </c>
      <c r="L102" s="93" t="e">
        <f>+ROUND(J102+K102*TC,2)</f>
        <v>#REF!</v>
      </c>
      <c r="M102" s="97"/>
    </row>
    <row r="103" spans="1:13" ht="14.1" customHeight="1" outlineLevel="1">
      <c r="C103" s="140">
        <f>C98+0.0001</f>
        <v>4.0110999999999972</v>
      </c>
      <c r="D103" s="132" t="s">
        <v>582</v>
      </c>
      <c r="E103" s="85"/>
      <c r="F103" s="111">
        <v>0</v>
      </c>
      <c r="G103" s="93"/>
      <c r="H103" s="82"/>
      <c r="I103" s="213"/>
      <c r="J103" s="213"/>
      <c r="K103" s="201"/>
      <c r="L103" s="93"/>
      <c r="M103" s="97"/>
    </row>
    <row r="104" spans="1:13" ht="14.25" customHeight="1" outlineLevel="2">
      <c r="A104" s="4" t="s">
        <v>423</v>
      </c>
      <c r="B104" s="4" t="s">
        <v>563</v>
      </c>
      <c r="C104" s="142">
        <f t="shared" si="29"/>
        <v>4.0111009999999974</v>
      </c>
      <c r="D104" s="107" t="s">
        <v>583</v>
      </c>
      <c r="E104" s="90" t="s">
        <v>163</v>
      </c>
      <c r="F104" s="111">
        <v>1.76</v>
      </c>
      <c r="G104" s="93">
        <v>386.22</v>
      </c>
      <c r="H104" s="103"/>
      <c r="I104" s="213" t="e">
        <f>+ROUND(G104+H104*TC,2)</f>
        <v>#REF!</v>
      </c>
      <c r="J104" s="213">
        <f t="shared" si="27"/>
        <v>679.75</v>
      </c>
      <c r="K104" s="201">
        <f t="shared" si="28"/>
        <v>0</v>
      </c>
      <c r="L104" s="93" t="e">
        <f>+ROUND(J104+K104*TC,2)</f>
        <v>#REF!</v>
      </c>
      <c r="M104" s="105"/>
    </row>
    <row r="105" spans="1:13" outlineLevel="2">
      <c r="A105" s="4" t="s">
        <v>419</v>
      </c>
      <c r="C105" s="142">
        <f t="shared" si="29"/>
        <v>4.0111019999999975</v>
      </c>
      <c r="D105" s="108" t="s">
        <v>584</v>
      </c>
      <c r="E105" s="90" t="s">
        <v>169</v>
      </c>
      <c r="F105" s="111">
        <v>34.35</v>
      </c>
      <c r="G105" s="93">
        <v>74.099999999999994</v>
      </c>
      <c r="H105" s="103"/>
      <c r="I105" s="213" t="e">
        <f>+ROUND(G105+H105*TC,2)</f>
        <v>#REF!</v>
      </c>
      <c r="J105" s="213">
        <f t="shared" si="27"/>
        <v>2545.34</v>
      </c>
      <c r="K105" s="201">
        <f t="shared" si="28"/>
        <v>0</v>
      </c>
      <c r="L105" s="93" t="e">
        <f>+ROUND(J105+K105*TC,2)</f>
        <v>#REF!</v>
      </c>
      <c r="M105" s="97"/>
    </row>
    <row r="106" spans="1:13" ht="14.1" customHeight="1" outlineLevel="2">
      <c r="A106" s="4" t="s">
        <v>429</v>
      </c>
      <c r="C106" s="142">
        <f t="shared" si="29"/>
        <v>4.0111029999999976</v>
      </c>
      <c r="D106" s="107" t="s">
        <v>457</v>
      </c>
      <c r="E106" s="90" t="s">
        <v>185</v>
      </c>
      <c r="F106" s="111">
        <v>356.06</v>
      </c>
      <c r="G106" s="93">
        <v>1.19</v>
      </c>
      <c r="H106" s="103">
        <v>0.91</v>
      </c>
      <c r="I106" s="213" t="e">
        <f>+ROUND(G106+H106*TC,2)</f>
        <v>#REF!</v>
      </c>
      <c r="J106" s="213">
        <f t="shared" si="27"/>
        <v>423.71</v>
      </c>
      <c r="K106" s="201">
        <f t="shared" si="28"/>
        <v>324.01</v>
      </c>
      <c r="L106" s="93" t="e">
        <f>+ROUND(J106+K106*TC,2)</f>
        <v>#REF!</v>
      </c>
      <c r="M106" s="97"/>
    </row>
    <row r="107" spans="1:13" ht="14.1" customHeight="1" outlineLevel="2">
      <c r="C107" s="142">
        <f t="shared" si="29"/>
        <v>4.0111039999999978</v>
      </c>
      <c r="D107" s="107" t="s">
        <v>431</v>
      </c>
      <c r="E107" s="90" t="s">
        <v>169</v>
      </c>
      <c r="F107" s="111">
        <v>34.35</v>
      </c>
      <c r="G107" s="93">
        <v>1.44</v>
      </c>
      <c r="H107" s="103"/>
      <c r="I107" s="213" t="e">
        <f>+ROUND(G107+H107*TC,2)</f>
        <v>#REF!</v>
      </c>
      <c r="J107" s="213">
        <f t="shared" si="27"/>
        <v>49.46</v>
      </c>
      <c r="K107" s="201">
        <f t="shared" si="28"/>
        <v>0</v>
      </c>
      <c r="L107" s="93" t="e">
        <f>+ROUND(J107+K107*TC,2)</f>
        <v>#REF!</v>
      </c>
      <c r="M107" s="97"/>
    </row>
    <row r="108" spans="1:13" ht="14.1" customHeight="1" outlineLevel="1">
      <c r="C108" s="140">
        <f>C103+0.0001</f>
        <v>4.011199999999997</v>
      </c>
      <c r="D108" s="132" t="s">
        <v>585</v>
      </c>
      <c r="E108" s="85"/>
      <c r="F108" s="111">
        <v>0</v>
      </c>
      <c r="G108" s="93"/>
      <c r="H108" s="82"/>
      <c r="I108" s="213"/>
      <c r="J108" s="213"/>
      <c r="K108" s="201"/>
      <c r="L108" s="93"/>
      <c r="M108" s="97"/>
    </row>
    <row r="109" spans="1:13" ht="14.1" customHeight="1" outlineLevel="2">
      <c r="A109" s="4" t="s">
        <v>423</v>
      </c>
      <c r="B109" s="4" t="s">
        <v>563</v>
      </c>
      <c r="C109" s="143">
        <f t="shared" si="29"/>
        <v>4.0112009999999971</v>
      </c>
      <c r="D109" s="118" t="s">
        <v>586</v>
      </c>
      <c r="E109" s="90" t="s">
        <v>163</v>
      </c>
      <c r="F109" s="111">
        <v>33.450000000000003</v>
      </c>
      <c r="G109" s="93">
        <v>383.31</v>
      </c>
      <c r="H109" s="103"/>
      <c r="I109" s="213" t="e">
        <f>+ROUND(G109+H109*TC,2)</f>
        <v>#REF!</v>
      </c>
      <c r="J109" s="213">
        <f t="shared" si="27"/>
        <v>12821.72</v>
      </c>
      <c r="K109" s="201">
        <f t="shared" si="28"/>
        <v>0</v>
      </c>
      <c r="L109" s="93" t="e">
        <f>+ROUND(J109+K109*TC,2)</f>
        <v>#REF!</v>
      </c>
      <c r="M109" s="97"/>
    </row>
    <row r="110" spans="1:13" ht="14.1" customHeight="1" outlineLevel="2">
      <c r="A110" s="4" t="s">
        <v>423</v>
      </c>
      <c r="B110" s="4" t="s">
        <v>563</v>
      </c>
      <c r="C110" s="143">
        <f t="shared" si="29"/>
        <v>4.0112019999999973</v>
      </c>
      <c r="D110" s="118" t="s">
        <v>587</v>
      </c>
      <c r="E110" s="90" t="s">
        <v>163</v>
      </c>
      <c r="F110" s="111">
        <v>0</v>
      </c>
      <c r="G110" s="93">
        <v>412.45</v>
      </c>
      <c r="H110" s="103"/>
      <c r="I110" s="213" t="e">
        <f>+ROUND(G110+H110*TC,2)</f>
        <v>#REF!</v>
      </c>
      <c r="J110" s="213">
        <f t="shared" si="27"/>
        <v>0</v>
      </c>
      <c r="K110" s="201">
        <f t="shared" si="28"/>
        <v>0</v>
      </c>
      <c r="L110" s="93" t="e">
        <f>+ROUND(J110+K110*TC,2)</f>
        <v>#REF!</v>
      </c>
      <c r="M110" s="97"/>
    </row>
    <row r="111" spans="1:13" ht="14.1" customHeight="1" outlineLevel="2">
      <c r="A111" s="4" t="s">
        <v>419</v>
      </c>
      <c r="C111" s="143">
        <f t="shared" si="29"/>
        <v>4.0112029999999974</v>
      </c>
      <c r="D111" s="107" t="s">
        <v>455</v>
      </c>
      <c r="E111" s="90" t="s">
        <v>169</v>
      </c>
      <c r="F111" s="111">
        <v>459.75</v>
      </c>
      <c r="G111" s="93">
        <v>43.7</v>
      </c>
      <c r="H111" s="103"/>
      <c r="I111" s="213" t="e">
        <f>+ROUND(G111+H111*TC,2)</f>
        <v>#REF!</v>
      </c>
      <c r="J111" s="213">
        <f t="shared" si="27"/>
        <v>20091.080000000002</v>
      </c>
      <c r="K111" s="201">
        <f t="shared" si="28"/>
        <v>0</v>
      </c>
      <c r="L111" s="93" t="e">
        <f>+ROUND(J111+K111*TC,2)</f>
        <v>#REF!</v>
      </c>
      <c r="M111" s="97"/>
    </row>
    <row r="112" spans="1:13" ht="14.1" customHeight="1" outlineLevel="2">
      <c r="A112" s="4" t="s">
        <v>429</v>
      </c>
      <c r="C112" s="143">
        <f t="shared" si="29"/>
        <v>4.0112039999999975</v>
      </c>
      <c r="D112" s="118" t="s">
        <v>457</v>
      </c>
      <c r="E112" s="90" t="s">
        <v>185</v>
      </c>
      <c r="F112" s="111">
        <v>2284.12</v>
      </c>
      <c r="G112" s="93">
        <v>1.19</v>
      </c>
      <c r="H112" s="103">
        <v>0.91</v>
      </c>
      <c r="I112" s="213" t="e">
        <f>+ROUND(G112+H112*TC,2)</f>
        <v>#REF!</v>
      </c>
      <c r="J112" s="213">
        <f t="shared" si="27"/>
        <v>2718.1</v>
      </c>
      <c r="K112" s="201">
        <f t="shared" si="28"/>
        <v>2078.5500000000002</v>
      </c>
      <c r="L112" s="93" t="e">
        <f>+ROUND(J112+K112*TC,2)</f>
        <v>#REF!</v>
      </c>
      <c r="M112" s="97"/>
    </row>
    <row r="113" spans="1:13" ht="14.1" customHeight="1" outlineLevel="2">
      <c r="C113" s="143">
        <f t="shared" si="29"/>
        <v>4.0112049999999977</v>
      </c>
      <c r="D113" s="118" t="s">
        <v>431</v>
      </c>
      <c r="E113" s="90" t="s">
        <v>169</v>
      </c>
      <c r="F113" s="111">
        <v>459.75</v>
      </c>
      <c r="G113" s="93">
        <v>1.44</v>
      </c>
      <c r="H113" s="103"/>
      <c r="I113" s="213" t="e">
        <f>+ROUND(G113+H113*TC,2)</f>
        <v>#REF!</v>
      </c>
      <c r="J113" s="213">
        <f t="shared" si="27"/>
        <v>662.04</v>
      </c>
      <c r="K113" s="201">
        <f t="shared" si="28"/>
        <v>0</v>
      </c>
      <c r="L113" s="93" t="e">
        <f>+ROUND(J113+K113*TC,2)</f>
        <v>#REF!</v>
      </c>
      <c r="M113" s="97"/>
    </row>
    <row r="114" spans="1:13" ht="14.1" customHeight="1" outlineLevel="1">
      <c r="C114" s="140">
        <f>C108+0.0001</f>
        <v>4.0112999999999968</v>
      </c>
      <c r="D114" s="132" t="s">
        <v>588</v>
      </c>
      <c r="E114" s="85"/>
      <c r="F114" s="111">
        <v>0</v>
      </c>
      <c r="G114" s="93"/>
      <c r="H114" s="82"/>
      <c r="I114" s="213"/>
      <c r="J114" s="213"/>
      <c r="K114" s="201"/>
      <c r="L114" s="93"/>
      <c r="M114" s="97"/>
    </row>
    <row r="115" spans="1:13" ht="22.5" outlineLevel="2">
      <c r="A115" s="4" t="s">
        <v>423</v>
      </c>
      <c r="B115" s="4" t="s">
        <v>563</v>
      </c>
      <c r="C115" s="143">
        <f t="shared" si="29"/>
        <v>4.0113009999999969</v>
      </c>
      <c r="D115" s="117" t="s">
        <v>567</v>
      </c>
      <c r="E115" s="90" t="s">
        <v>163</v>
      </c>
      <c r="F115" s="111">
        <v>17.920000000000002</v>
      </c>
      <c r="G115" s="93">
        <v>479.16</v>
      </c>
      <c r="H115" s="103"/>
      <c r="I115" s="213" t="e">
        <f>+ROUND(G115+H115*TC,2)</f>
        <v>#REF!</v>
      </c>
      <c r="J115" s="213">
        <f t="shared" si="27"/>
        <v>8586.5499999999993</v>
      </c>
      <c r="K115" s="201">
        <f t="shared" si="28"/>
        <v>0</v>
      </c>
      <c r="L115" s="93" t="e">
        <f>+ROUND(J115+K115*TC,2)</f>
        <v>#REF!</v>
      </c>
      <c r="M115" s="97"/>
    </row>
    <row r="116" spans="1:13" ht="14.1" customHeight="1" outlineLevel="2">
      <c r="A116" s="4" t="s">
        <v>419</v>
      </c>
      <c r="C116" s="143">
        <f t="shared" si="29"/>
        <v>4.011301999999997</v>
      </c>
      <c r="D116" s="107" t="s">
        <v>455</v>
      </c>
      <c r="E116" s="90" t="s">
        <v>169</v>
      </c>
      <c r="F116" s="111">
        <v>219.16</v>
      </c>
      <c r="G116" s="93">
        <v>43.7</v>
      </c>
      <c r="H116" s="103"/>
      <c r="I116" s="213" t="e">
        <f>+ROUND(G116+H116*TC,2)</f>
        <v>#REF!</v>
      </c>
      <c r="J116" s="213">
        <f t="shared" si="27"/>
        <v>9577.2900000000009</v>
      </c>
      <c r="K116" s="201">
        <f t="shared" si="28"/>
        <v>0</v>
      </c>
      <c r="L116" s="93" t="e">
        <f>+ROUND(J116+K116*TC,2)</f>
        <v>#REF!</v>
      </c>
      <c r="M116" s="97"/>
    </row>
    <row r="117" spans="1:13" ht="14.1" customHeight="1" outlineLevel="2">
      <c r="A117" s="4" t="s">
        <v>429</v>
      </c>
      <c r="C117" s="143">
        <f t="shared" si="29"/>
        <v>4.0113029999999972</v>
      </c>
      <c r="D117" s="118" t="s">
        <v>457</v>
      </c>
      <c r="E117" s="90" t="s">
        <v>185</v>
      </c>
      <c r="F117" s="111">
        <v>242.34</v>
      </c>
      <c r="G117" s="93">
        <v>1.19</v>
      </c>
      <c r="H117" s="103">
        <v>0.91</v>
      </c>
      <c r="I117" s="213" t="e">
        <f>+ROUND(G117+H117*TC,2)</f>
        <v>#REF!</v>
      </c>
      <c r="J117" s="213">
        <f t="shared" si="27"/>
        <v>288.38</v>
      </c>
      <c r="K117" s="201">
        <f t="shared" si="28"/>
        <v>220.53</v>
      </c>
      <c r="L117" s="93" t="e">
        <f>+ROUND(J117+K117*TC,2)</f>
        <v>#REF!</v>
      </c>
      <c r="M117" s="97"/>
    </row>
    <row r="118" spans="1:13" ht="14.1" customHeight="1" outlineLevel="2">
      <c r="C118" s="143">
        <f t="shared" si="29"/>
        <v>4.0113039999999973</v>
      </c>
      <c r="D118" s="118" t="s">
        <v>431</v>
      </c>
      <c r="E118" s="90" t="s">
        <v>169</v>
      </c>
      <c r="F118" s="111">
        <v>219.16</v>
      </c>
      <c r="G118" s="93">
        <v>1.44</v>
      </c>
      <c r="H118" s="103"/>
      <c r="I118" s="213" t="e">
        <f>+ROUND(G118+H118*TC,2)</f>
        <v>#REF!</v>
      </c>
      <c r="J118" s="213">
        <f t="shared" si="27"/>
        <v>315.58999999999997</v>
      </c>
      <c r="K118" s="201">
        <f t="shared" si="28"/>
        <v>0</v>
      </c>
      <c r="L118" s="93" t="e">
        <f>+ROUND(J118+K118*TC,2)</f>
        <v>#REF!</v>
      </c>
      <c r="M118" s="97"/>
    </row>
    <row r="119" spans="1:13" ht="14.1" customHeight="1" outlineLevel="1">
      <c r="C119" s="140">
        <f>C114+0.0001</f>
        <v>4.0113999999999965</v>
      </c>
      <c r="D119" s="132" t="s">
        <v>589</v>
      </c>
      <c r="E119" s="85"/>
      <c r="F119" s="111">
        <v>0</v>
      </c>
      <c r="G119" s="93"/>
      <c r="H119" s="82"/>
      <c r="I119" s="213"/>
      <c r="J119" s="213"/>
      <c r="K119" s="201"/>
      <c r="L119" s="93"/>
      <c r="M119" s="97"/>
    </row>
    <row r="120" spans="1:13" ht="14.1" customHeight="1" outlineLevel="2">
      <c r="A120" s="4" t="s">
        <v>423</v>
      </c>
      <c r="B120" s="4" t="s">
        <v>563</v>
      </c>
      <c r="C120" s="143">
        <f t="shared" si="29"/>
        <v>4.0114009999999967</v>
      </c>
      <c r="D120" s="89" t="s">
        <v>529</v>
      </c>
      <c r="E120" s="90" t="s">
        <v>163</v>
      </c>
      <c r="F120" s="111">
        <v>16.34</v>
      </c>
      <c r="G120" s="93">
        <v>443.12</v>
      </c>
      <c r="H120" s="103"/>
      <c r="I120" s="213" t="e">
        <f>+ROUND(G120+H120*TC,2)</f>
        <v>#REF!</v>
      </c>
      <c r="J120" s="213">
        <f t="shared" ref="J120:J162" si="40">+ROUND(F120*G120,2)</f>
        <v>7240.58</v>
      </c>
      <c r="K120" s="201">
        <f t="shared" ref="K120:K162" si="41">+ROUND(F120*H120,2)</f>
        <v>0</v>
      </c>
      <c r="L120" s="93" t="e">
        <f>+ROUND(J120+K120*TC,2)</f>
        <v>#REF!</v>
      </c>
      <c r="M120" s="97"/>
    </row>
    <row r="121" spans="1:13" ht="14.1" customHeight="1" outlineLevel="2">
      <c r="A121" s="4" t="s">
        <v>419</v>
      </c>
      <c r="C121" s="143">
        <f t="shared" si="29"/>
        <v>4.0114019999999968</v>
      </c>
      <c r="D121" s="118" t="s">
        <v>590</v>
      </c>
      <c r="E121" s="90" t="s">
        <v>169</v>
      </c>
      <c r="F121" s="111">
        <v>103.59</v>
      </c>
      <c r="G121" s="93">
        <v>37.700000000000003</v>
      </c>
      <c r="H121" s="103"/>
      <c r="I121" s="213" t="e">
        <f>+ROUND(G121+H121*TC,2)</f>
        <v>#REF!</v>
      </c>
      <c r="J121" s="213">
        <f t="shared" si="40"/>
        <v>3905.34</v>
      </c>
      <c r="K121" s="201">
        <f t="shared" si="41"/>
        <v>0</v>
      </c>
      <c r="L121" s="93" t="e">
        <f>+ROUND(J121+K121*TC,2)</f>
        <v>#REF!</v>
      </c>
      <c r="M121" s="97"/>
    </row>
    <row r="122" spans="1:13" ht="14.1" customHeight="1" outlineLevel="2">
      <c r="A122" s="4" t="s">
        <v>429</v>
      </c>
      <c r="C122" s="143">
        <f t="shared" si="29"/>
        <v>4.0114029999999969</v>
      </c>
      <c r="D122" s="118" t="s">
        <v>457</v>
      </c>
      <c r="E122" s="90" t="s">
        <v>185</v>
      </c>
      <c r="F122" s="111">
        <v>1502.98</v>
      </c>
      <c r="G122" s="93">
        <v>1.19</v>
      </c>
      <c r="H122" s="103">
        <v>0.91</v>
      </c>
      <c r="I122" s="213" t="e">
        <f>+ROUND(G122+H122*TC,2)</f>
        <v>#REF!</v>
      </c>
      <c r="J122" s="213">
        <f t="shared" si="40"/>
        <v>1788.55</v>
      </c>
      <c r="K122" s="201">
        <f t="shared" si="41"/>
        <v>1367.71</v>
      </c>
      <c r="L122" s="93" t="e">
        <f>+ROUND(J122+K122*TC,2)</f>
        <v>#REF!</v>
      </c>
      <c r="M122" s="97"/>
    </row>
    <row r="123" spans="1:13" ht="14.1" customHeight="1" outlineLevel="2">
      <c r="C123" s="142">
        <f>C122+0.000001</f>
        <v>4.0114039999999971</v>
      </c>
      <c r="D123" s="481" t="s">
        <v>531</v>
      </c>
      <c r="E123" s="81" t="s">
        <v>163</v>
      </c>
      <c r="F123" s="111">
        <v>34.08</v>
      </c>
      <c r="G123" s="421">
        <v>302.14999999999998</v>
      </c>
      <c r="H123" s="82"/>
      <c r="I123" s="213" t="e">
        <f>+ROUND(G123+H123*TC,2)</f>
        <v>#REF!</v>
      </c>
      <c r="J123" s="213">
        <f t="shared" si="40"/>
        <v>10297.27</v>
      </c>
      <c r="K123" s="201">
        <f t="shared" si="41"/>
        <v>0</v>
      </c>
      <c r="L123" s="93" t="e">
        <f>+ROUND(J123+K123*TC,2)</f>
        <v>#REF!</v>
      </c>
      <c r="M123" s="97"/>
    </row>
    <row r="124" spans="1:13" ht="14.1" customHeight="1" outlineLevel="2">
      <c r="C124" s="143">
        <f>C122+0.000001</f>
        <v>4.0114039999999971</v>
      </c>
      <c r="D124" s="118" t="s">
        <v>431</v>
      </c>
      <c r="E124" s="90" t="s">
        <v>169</v>
      </c>
      <c r="F124" s="111">
        <v>103.59</v>
      </c>
      <c r="G124" s="93">
        <v>1.44</v>
      </c>
      <c r="H124" s="103"/>
      <c r="I124" s="213" t="e">
        <f>+ROUND(G124+H124*TC,2)</f>
        <v>#REF!</v>
      </c>
      <c r="J124" s="213">
        <f t="shared" si="40"/>
        <v>149.16999999999999</v>
      </c>
      <c r="K124" s="201">
        <f t="shared" si="41"/>
        <v>0</v>
      </c>
      <c r="L124" s="93" t="e">
        <f>+ROUND(J124+K124*TC,2)</f>
        <v>#REF!</v>
      </c>
      <c r="M124" s="97"/>
    </row>
    <row r="125" spans="1:13" ht="14.1" customHeight="1" outlineLevel="1">
      <c r="C125" s="140">
        <f>C119+0.0001</f>
        <v>4.0114999999999963</v>
      </c>
      <c r="D125" s="132" t="s">
        <v>591</v>
      </c>
      <c r="E125" s="85"/>
      <c r="F125" s="111">
        <v>0</v>
      </c>
      <c r="G125" s="93"/>
      <c r="H125" s="82"/>
      <c r="I125" s="213"/>
      <c r="J125" s="213"/>
      <c r="K125" s="201"/>
      <c r="L125" s="93"/>
      <c r="M125" s="97"/>
    </row>
    <row r="126" spans="1:13" ht="14.1" customHeight="1" outlineLevel="2">
      <c r="A126" s="4" t="s">
        <v>423</v>
      </c>
      <c r="B126" s="4" t="s">
        <v>563</v>
      </c>
      <c r="C126" s="143">
        <f t="shared" si="29"/>
        <v>4.0115009999999964</v>
      </c>
      <c r="D126" s="118" t="s">
        <v>592</v>
      </c>
      <c r="E126" s="90" t="s">
        <v>163</v>
      </c>
      <c r="F126" s="111">
        <v>0</v>
      </c>
      <c r="G126" s="93">
        <v>446.88</v>
      </c>
      <c r="H126" s="103"/>
      <c r="I126" s="213" t="e">
        <f>+ROUND(G126+H126*TC,2)</f>
        <v>#REF!</v>
      </c>
      <c r="J126" s="213">
        <f t="shared" si="40"/>
        <v>0</v>
      </c>
      <c r="K126" s="201">
        <f t="shared" si="41"/>
        <v>0</v>
      </c>
      <c r="L126" s="93" t="e">
        <f>+ROUND(J126+K126*TC,2)</f>
        <v>#REF!</v>
      </c>
      <c r="M126" s="97"/>
    </row>
    <row r="127" spans="1:13" ht="14.1" customHeight="1" outlineLevel="2">
      <c r="A127" s="4" t="s">
        <v>419</v>
      </c>
      <c r="C127" s="143">
        <f t="shared" si="29"/>
        <v>4.0115019999999966</v>
      </c>
      <c r="D127" s="107" t="s">
        <v>455</v>
      </c>
      <c r="E127" s="90" t="s">
        <v>169</v>
      </c>
      <c r="F127" s="111">
        <v>0</v>
      </c>
      <c r="G127" s="93">
        <v>90.59</v>
      </c>
      <c r="H127" s="103"/>
      <c r="I127" s="213" t="e">
        <f>+ROUND(G127+H127*TC,2)</f>
        <v>#REF!</v>
      </c>
      <c r="J127" s="213">
        <f t="shared" si="40"/>
        <v>0</v>
      </c>
      <c r="K127" s="201">
        <f t="shared" si="41"/>
        <v>0</v>
      </c>
      <c r="L127" s="93" t="e">
        <f>+ROUND(J127+K127*TC,2)</f>
        <v>#REF!</v>
      </c>
      <c r="M127" s="97"/>
    </row>
    <row r="128" spans="1:13" ht="14.1" customHeight="1" outlineLevel="2">
      <c r="A128" s="4" t="s">
        <v>429</v>
      </c>
      <c r="C128" s="143">
        <f t="shared" si="29"/>
        <v>4.0115029999999967</v>
      </c>
      <c r="D128" s="118" t="s">
        <v>457</v>
      </c>
      <c r="E128" s="90" t="s">
        <v>185</v>
      </c>
      <c r="F128" s="111">
        <v>0</v>
      </c>
      <c r="G128" s="93">
        <v>1.19</v>
      </c>
      <c r="H128" s="103">
        <v>0.91</v>
      </c>
      <c r="I128" s="213" t="e">
        <f>+ROUND(G128+H128*TC,2)</f>
        <v>#REF!</v>
      </c>
      <c r="J128" s="213">
        <f t="shared" si="40"/>
        <v>0</v>
      </c>
      <c r="K128" s="201">
        <f t="shared" si="41"/>
        <v>0</v>
      </c>
      <c r="L128" s="93" t="e">
        <f>+ROUND(J128+K128*TC,2)</f>
        <v>#REF!</v>
      </c>
      <c r="M128" s="97"/>
    </row>
    <row r="129" spans="1:13" ht="14.1" customHeight="1" outlineLevel="2">
      <c r="C129" s="143">
        <f t="shared" si="29"/>
        <v>4.0115039999999969</v>
      </c>
      <c r="D129" s="118" t="s">
        <v>431</v>
      </c>
      <c r="E129" s="90" t="s">
        <v>169</v>
      </c>
      <c r="F129" s="111">
        <v>0</v>
      </c>
      <c r="G129" s="93">
        <v>1.44</v>
      </c>
      <c r="H129" s="103"/>
      <c r="I129" s="213" t="e">
        <f>+ROUND(G129+H129*TC,2)</f>
        <v>#REF!</v>
      </c>
      <c r="J129" s="213">
        <f t="shared" si="40"/>
        <v>0</v>
      </c>
      <c r="K129" s="201">
        <f t="shared" si="41"/>
        <v>0</v>
      </c>
      <c r="L129" s="93" t="e">
        <f>+ROUND(J129+K129*TC,2)</f>
        <v>#REF!</v>
      </c>
      <c r="M129" s="97"/>
    </row>
    <row r="130" spans="1:13" ht="14.1" customHeight="1" outlineLevel="1">
      <c r="C130" s="140">
        <f>C125+0.0001</f>
        <v>4.0115999999999961</v>
      </c>
      <c r="D130" s="134" t="s">
        <v>543</v>
      </c>
      <c r="E130" s="85"/>
      <c r="F130" s="111">
        <v>0</v>
      </c>
      <c r="G130" s="93"/>
      <c r="H130" s="82"/>
      <c r="I130" s="213"/>
      <c r="J130" s="213"/>
      <c r="K130" s="201"/>
      <c r="L130" s="93"/>
      <c r="M130" s="97"/>
    </row>
    <row r="131" spans="1:13" ht="14.1" customHeight="1" outlineLevel="2">
      <c r="A131" s="4" t="s">
        <v>423</v>
      </c>
      <c r="B131" s="4" t="s">
        <v>563</v>
      </c>
      <c r="C131" s="143">
        <f t="shared" si="29"/>
        <v>4.0116009999999962</v>
      </c>
      <c r="D131" s="89" t="s">
        <v>544</v>
      </c>
      <c r="E131" s="81" t="s">
        <v>163</v>
      </c>
      <c r="F131" s="439">
        <v>3.6</v>
      </c>
      <c r="G131" s="82">
        <v>499.31</v>
      </c>
      <c r="H131" s="103"/>
      <c r="I131" s="213" t="e">
        <f>+ROUND(G131+H131*TC,2)</f>
        <v>#REF!</v>
      </c>
      <c r="J131" s="213">
        <f>+ROUND(F131*G131,2)</f>
        <v>1797.52</v>
      </c>
      <c r="K131" s="201">
        <f>+ROUND(F131*H131,2)</f>
        <v>0</v>
      </c>
      <c r="L131" s="93" t="e">
        <f>+ROUND(J131+K131*TC,2)</f>
        <v>#REF!</v>
      </c>
      <c r="M131" s="97"/>
    </row>
    <row r="132" spans="1:13" ht="14.1" customHeight="1" outlineLevel="2">
      <c r="A132" s="4" t="s">
        <v>419</v>
      </c>
      <c r="C132" s="143">
        <f t="shared" si="29"/>
        <v>4.0116019999999963</v>
      </c>
      <c r="D132" s="89" t="s">
        <v>545</v>
      </c>
      <c r="E132" s="90" t="s">
        <v>169</v>
      </c>
      <c r="F132" s="439">
        <v>14.4</v>
      </c>
      <c r="G132" s="440">
        <v>90.59</v>
      </c>
      <c r="H132" s="103"/>
      <c r="I132" s="213" t="e">
        <f>+ROUND(G132+H132*TC,2)</f>
        <v>#REF!</v>
      </c>
      <c r="J132" s="213">
        <f>+ROUND(F132*G132,2)</f>
        <v>1304.5</v>
      </c>
      <c r="K132" s="201">
        <f>+ROUND(F132*H132,2)</f>
        <v>0</v>
      </c>
      <c r="L132" s="93" t="e">
        <f>+ROUND(J132+K132*TC,2)</f>
        <v>#REF!</v>
      </c>
      <c r="M132" s="97"/>
    </row>
    <row r="133" spans="1:13" ht="14.1" customHeight="1" outlineLevel="2">
      <c r="A133" s="4" t="s">
        <v>429</v>
      </c>
      <c r="C133" s="143">
        <f t="shared" si="29"/>
        <v>4.0116029999999965</v>
      </c>
      <c r="D133" s="89" t="s">
        <v>457</v>
      </c>
      <c r="E133" s="90" t="s">
        <v>185</v>
      </c>
      <c r="F133" s="439">
        <v>288</v>
      </c>
      <c r="G133" s="93">
        <v>1.19</v>
      </c>
      <c r="H133" s="103">
        <v>0.91</v>
      </c>
      <c r="I133" s="213" t="e">
        <f>+ROUND(G133+H133*TC,2)</f>
        <v>#REF!</v>
      </c>
      <c r="J133" s="213">
        <f>+ROUND(F133*G133,2)</f>
        <v>342.72</v>
      </c>
      <c r="K133" s="201">
        <f>+ROUND(F133*H133,2)</f>
        <v>262.08</v>
      </c>
      <c r="L133" s="93" t="e">
        <f>+ROUND(J133+K133*TC,2)</f>
        <v>#REF!</v>
      </c>
      <c r="M133" s="97"/>
    </row>
    <row r="134" spans="1:13" ht="14.1" customHeight="1" outlineLevel="2">
      <c r="C134" s="143">
        <f t="shared" si="29"/>
        <v>4.0116039999999966</v>
      </c>
      <c r="D134" s="89" t="s">
        <v>431</v>
      </c>
      <c r="E134" s="90" t="s">
        <v>169</v>
      </c>
      <c r="F134" s="439">
        <v>14.4</v>
      </c>
      <c r="G134" s="93">
        <v>1.44</v>
      </c>
      <c r="H134" s="103"/>
      <c r="I134" s="213" t="e">
        <f>+ROUND(G134+H134*TC,2)</f>
        <v>#REF!</v>
      </c>
      <c r="J134" s="213">
        <f>+ROUND(F134*G134,2)</f>
        <v>20.74</v>
      </c>
      <c r="K134" s="201">
        <f>+ROUND(F134*H134,2)</f>
        <v>0</v>
      </c>
      <c r="L134" s="93" t="e">
        <f>+ROUND(J134+K134*TC,2)</f>
        <v>#REF!</v>
      </c>
      <c r="M134" s="97"/>
    </row>
    <row r="135" spans="1:13" ht="14.1" customHeight="1" outlineLevel="2">
      <c r="C135" s="143"/>
      <c r="D135" s="437" t="s">
        <v>546</v>
      </c>
      <c r="E135" s="438" t="s">
        <v>169</v>
      </c>
      <c r="F135" s="439">
        <v>8</v>
      </c>
      <c r="G135" s="93">
        <v>199.14</v>
      </c>
      <c r="H135" s="103"/>
      <c r="I135" s="213" t="e">
        <f>+ROUND(G135+H135*TC,2)</f>
        <v>#REF!</v>
      </c>
      <c r="J135" s="213">
        <f>+ROUND(F135*G135,2)</f>
        <v>1593.12</v>
      </c>
      <c r="K135" s="201">
        <f>+ROUND(F135*H135,2)</f>
        <v>0</v>
      </c>
      <c r="L135" s="93" t="e">
        <f>+ROUND(J135+K135*TC,2)</f>
        <v>#REF!</v>
      </c>
      <c r="M135" s="97"/>
    </row>
    <row r="136" spans="1:13" ht="14.1" customHeight="1">
      <c r="C136" s="218">
        <f>C12+0.01</f>
        <v>4.0199999999999996</v>
      </c>
      <c r="D136" s="138" t="s">
        <v>593</v>
      </c>
      <c r="E136" s="124"/>
      <c r="F136" s="122">
        <v>0</v>
      </c>
      <c r="G136" s="123"/>
      <c r="H136" s="87"/>
      <c r="I136" s="213"/>
      <c r="J136" s="213"/>
      <c r="K136" s="201"/>
      <c r="L136" s="93"/>
      <c r="M136" s="136" t="e">
        <f>SUM(J136:J152)+SUM(K136:K152)*TC</f>
        <v>#REF!</v>
      </c>
    </row>
    <row r="137" spans="1:13" ht="14.1" customHeight="1" outlineLevel="1">
      <c r="C137" s="140">
        <f>C136+0.0001</f>
        <v>4.0200999999999993</v>
      </c>
      <c r="D137" s="139" t="s">
        <v>594</v>
      </c>
      <c r="E137" s="90"/>
      <c r="F137" s="111">
        <v>0</v>
      </c>
      <c r="G137" s="93"/>
      <c r="H137" s="103"/>
      <c r="I137" s="213"/>
      <c r="J137" s="213"/>
      <c r="K137" s="201"/>
      <c r="L137" s="93"/>
      <c r="M137" s="97"/>
    </row>
    <row r="138" spans="1:13" outlineLevel="2">
      <c r="A138" s="4" t="s">
        <v>423</v>
      </c>
      <c r="B138" s="4" t="s">
        <v>563</v>
      </c>
      <c r="C138" s="142">
        <f>C137+0.000001</f>
        <v>4.0201009999999995</v>
      </c>
      <c r="D138" s="108" t="s">
        <v>595</v>
      </c>
      <c r="E138" s="90" t="s">
        <v>163</v>
      </c>
      <c r="F138" s="111">
        <v>33.47</v>
      </c>
      <c r="G138" s="93">
        <v>426.03</v>
      </c>
      <c r="H138" s="103"/>
      <c r="I138" s="213" t="e">
        <f>+ROUND(G138+H138*TC,2)</f>
        <v>#REF!</v>
      </c>
      <c r="J138" s="213">
        <f t="shared" si="40"/>
        <v>14259.22</v>
      </c>
      <c r="K138" s="201">
        <f t="shared" si="41"/>
        <v>0</v>
      </c>
      <c r="L138" s="93" t="e">
        <f>+ROUND(J138+K138*TC,2)</f>
        <v>#REF!</v>
      </c>
      <c r="M138" s="105"/>
    </row>
    <row r="139" spans="1:13" ht="13.15" customHeight="1" outlineLevel="2">
      <c r="A139" s="4" t="s">
        <v>419</v>
      </c>
      <c r="C139" s="142">
        <f>C138+0.000001</f>
        <v>4.0201019999999996</v>
      </c>
      <c r="D139" s="117" t="s">
        <v>596</v>
      </c>
      <c r="E139" s="90" t="s">
        <v>169</v>
      </c>
      <c r="F139" s="111">
        <v>278.88</v>
      </c>
      <c r="G139" s="93">
        <v>74.099999999999994</v>
      </c>
      <c r="H139" s="82"/>
      <c r="I139" s="213" t="e">
        <f>+ROUND(G139+H139*TC,2)</f>
        <v>#REF!</v>
      </c>
      <c r="J139" s="213">
        <f t="shared" si="40"/>
        <v>20665.009999999998</v>
      </c>
      <c r="K139" s="201">
        <f t="shared" si="41"/>
        <v>0</v>
      </c>
      <c r="L139" s="93" t="e">
        <f>+ROUND(J139+K139*TC,2)</f>
        <v>#REF!</v>
      </c>
      <c r="M139" s="97"/>
    </row>
    <row r="140" spans="1:13" ht="14.1" customHeight="1" outlineLevel="2">
      <c r="A140" s="4" t="s">
        <v>429</v>
      </c>
      <c r="C140" s="142">
        <f>C139+0.000001</f>
        <v>4.0201029999999998</v>
      </c>
      <c r="D140" s="107" t="s">
        <v>457</v>
      </c>
      <c r="E140" s="90" t="s">
        <v>185</v>
      </c>
      <c r="F140" s="111">
        <v>2289.0100000000002</v>
      </c>
      <c r="G140" s="93">
        <v>1.19</v>
      </c>
      <c r="H140" s="103">
        <v>0.91</v>
      </c>
      <c r="I140" s="213" t="e">
        <f>+ROUND(G140+H140*TC,2)</f>
        <v>#REF!</v>
      </c>
      <c r="J140" s="213">
        <f t="shared" si="40"/>
        <v>2723.92</v>
      </c>
      <c r="K140" s="201">
        <f t="shared" si="41"/>
        <v>2083</v>
      </c>
      <c r="L140" s="93" t="e">
        <f>+ROUND(J140+K140*TC,2)</f>
        <v>#REF!</v>
      </c>
      <c r="M140" s="97"/>
    </row>
    <row r="141" spans="1:13" outlineLevel="2">
      <c r="C141" s="142">
        <f>C140+0.000001</f>
        <v>4.0201039999999999</v>
      </c>
      <c r="D141" s="107" t="s">
        <v>431</v>
      </c>
      <c r="E141" s="90" t="s">
        <v>169</v>
      </c>
      <c r="F141" s="111">
        <v>278.88</v>
      </c>
      <c r="G141" s="93">
        <v>1.44</v>
      </c>
      <c r="H141" s="82"/>
      <c r="I141" s="213" t="e">
        <f>+ROUND(G141+H141*TC,2)</f>
        <v>#REF!</v>
      </c>
      <c r="J141" s="213">
        <f t="shared" si="40"/>
        <v>401.59</v>
      </c>
      <c r="K141" s="201">
        <f t="shared" si="41"/>
        <v>0</v>
      </c>
      <c r="L141" s="93" t="e">
        <f>+ROUND(J141+K141*TC,2)</f>
        <v>#REF!</v>
      </c>
      <c r="M141" s="97"/>
    </row>
    <row r="142" spans="1:13" ht="14.1" customHeight="1" outlineLevel="1">
      <c r="C142" s="140">
        <f>C137+0.0001</f>
        <v>4.0201999999999991</v>
      </c>
      <c r="D142" s="139" t="s">
        <v>597</v>
      </c>
      <c r="E142" s="90"/>
      <c r="F142" s="111">
        <v>0</v>
      </c>
      <c r="G142" s="93"/>
      <c r="H142" s="103"/>
      <c r="I142" s="213"/>
      <c r="J142" s="213"/>
      <c r="K142" s="201"/>
      <c r="L142" s="93"/>
      <c r="M142" s="97"/>
    </row>
    <row r="143" spans="1:13" outlineLevel="2">
      <c r="A143" s="4" t="s">
        <v>423</v>
      </c>
      <c r="B143" s="4" t="s">
        <v>563</v>
      </c>
      <c r="C143" s="142">
        <f>C142+0.000001</f>
        <v>4.0202009999999992</v>
      </c>
      <c r="D143" s="108" t="s">
        <v>595</v>
      </c>
      <c r="E143" s="90" t="s">
        <v>163</v>
      </c>
      <c r="F143" s="111">
        <v>12.04</v>
      </c>
      <c r="G143" s="93">
        <v>426.03</v>
      </c>
      <c r="H143" s="103"/>
      <c r="I143" s="213" t="e">
        <f>+ROUND(G143+H143*TC,2)</f>
        <v>#REF!</v>
      </c>
      <c r="J143" s="213">
        <f t="shared" ref="J143:J146" si="42">+ROUND(F143*G143,2)</f>
        <v>5129.3999999999996</v>
      </c>
      <c r="K143" s="201">
        <f t="shared" ref="K143:K146" si="43">+ROUND(F143*H143,2)</f>
        <v>0</v>
      </c>
      <c r="L143" s="93" t="e">
        <f>+ROUND(J143+K143*TC,2)</f>
        <v>#REF!</v>
      </c>
      <c r="M143" s="105"/>
    </row>
    <row r="144" spans="1:13" ht="13.15" customHeight="1" outlineLevel="2">
      <c r="A144" s="4" t="s">
        <v>419</v>
      </c>
      <c r="C144" s="142">
        <f>C143+0.000001</f>
        <v>4.0202019999999994</v>
      </c>
      <c r="D144" s="117" t="s">
        <v>596</v>
      </c>
      <c r="E144" s="90" t="s">
        <v>169</v>
      </c>
      <c r="F144" s="111">
        <v>120.38</v>
      </c>
      <c r="G144" s="93">
        <v>74.099999999999994</v>
      </c>
      <c r="H144" s="82"/>
      <c r="I144" s="213" t="e">
        <f>+ROUND(G144+H144*TC,2)</f>
        <v>#REF!</v>
      </c>
      <c r="J144" s="213">
        <f t="shared" si="42"/>
        <v>8920.16</v>
      </c>
      <c r="K144" s="201">
        <f t="shared" si="43"/>
        <v>0</v>
      </c>
      <c r="L144" s="93" t="e">
        <f>+ROUND(J144+K144*TC,2)</f>
        <v>#REF!</v>
      </c>
      <c r="M144" s="97"/>
    </row>
    <row r="145" spans="1:13" ht="14.1" customHeight="1" outlineLevel="2">
      <c r="A145" s="4" t="s">
        <v>429</v>
      </c>
      <c r="C145" s="142">
        <f>C144+0.000001</f>
        <v>4.0202029999999995</v>
      </c>
      <c r="D145" s="107" t="s">
        <v>457</v>
      </c>
      <c r="E145" s="90" t="s">
        <v>185</v>
      </c>
      <c r="F145" s="111">
        <v>947.36</v>
      </c>
      <c r="G145" s="93">
        <v>1.19</v>
      </c>
      <c r="H145" s="103">
        <v>0.91</v>
      </c>
      <c r="I145" s="213" t="e">
        <f>+ROUND(G145+H145*TC,2)</f>
        <v>#REF!</v>
      </c>
      <c r="J145" s="213">
        <f t="shared" si="42"/>
        <v>1127.3599999999999</v>
      </c>
      <c r="K145" s="201">
        <f t="shared" si="43"/>
        <v>862.1</v>
      </c>
      <c r="L145" s="93" t="e">
        <f>+ROUND(J145+K145*TC,2)</f>
        <v>#REF!</v>
      </c>
      <c r="M145" s="97"/>
    </row>
    <row r="146" spans="1:13" outlineLevel="2">
      <c r="C146" s="142">
        <f>C145+0.000001</f>
        <v>4.0202039999999997</v>
      </c>
      <c r="D146" s="107" t="s">
        <v>431</v>
      </c>
      <c r="E146" s="90" t="s">
        <v>169</v>
      </c>
      <c r="F146" s="111">
        <v>120.38</v>
      </c>
      <c r="G146" s="93">
        <v>1.44</v>
      </c>
      <c r="H146" s="82"/>
      <c r="I146" s="213" t="e">
        <f>+ROUND(G146+H146*TC,2)</f>
        <v>#REF!</v>
      </c>
      <c r="J146" s="213">
        <f t="shared" si="42"/>
        <v>173.35</v>
      </c>
      <c r="K146" s="201">
        <f t="shared" si="43"/>
        <v>0</v>
      </c>
      <c r="L146" s="93" t="e">
        <f>+ROUND(J146+K146*TC,2)</f>
        <v>#REF!</v>
      </c>
      <c r="M146" s="97"/>
    </row>
    <row r="147" spans="1:13" ht="14.1" customHeight="1" outlineLevel="1">
      <c r="C147" s="140">
        <f>C142+0.0001</f>
        <v>4.0202999999999989</v>
      </c>
      <c r="D147" s="139" t="s">
        <v>598</v>
      </c>
      <c r="E147" s="90"/>
      <c r="F147" s="111">
        <v>0</v>
      </c>
      <c r="G147" s="93"/>
      <c r="H147" s="103"/>
      <c r="I147" s="213"/>
      <c r="J147" s="213"/>
      <c r="K147" s="201"/>
      <c r="L147" s="93"/>
      <c r="M147" s="97"/>
    </row>
    <row r="148" spans="1:13" outlineLevel="2">
      <c r="A148" s="4" t="s">
        <v>423</v>
      </c>
      <c r="B148" s="4" t="s">
        <v>563</v>
      </c>
      <c r="C148" s="142">
        <f>C147+0.000001</f>
        <v>4.020300999999999</v>
      </c>
      <c r="D148" s="108" t="s">
        <v>595</v>
      </c>
      <c r="E148" s="90" t="s">
        <v>163</v>
      </c>
      <c r="F148" s="111">
        <v>75.98</v>
      </c>
      <c r="G148" s="93">
        <v>426.03</v>
      </c>
      <c r="H148" s="103"/>
      <c r="I148" s="213" t="e">
        <f>+ROUND(G148+H148*TC,2)</f>
        <v>#REF!</v>
      </c>
      <c r="J148" s="213">
        <f t="shared" ref="J148:J151" si="44">+ROUND(F148*G148,2)</f>
        <v>32369.759999999998</v>
      </c>
      <c r="K148" s="201">
        <f t="shared" ref="K148:K151" si="45">+ROUND(F148*H148,2)</f>
        <v>0</v>
      </c>
      <c r="L148" s="93" t="e">
        <f>+ROUND(J148+K148*TC,2)</f>
        <v>#REF!</v>
      </c>
      <c r="M148" s="105"/>
    </row>
    <row r="149" spans="1:13" ht="13.15" customHeight="1" outlineLevel="2">
      <c r="A149" s="4" t="s">
        <v>419</v>
      </c>
      <c r="C149" s="142">
        <f>C148+0.000001</f>
        <v>4.0203019999999992</v>
      </c>
      <c r="D149" s="117" t="s">
        <v>596</v>
      </c>
      <c r="E149" s="90" t="s">
        <v>169</v>
      </c>
      <c r="F149" s="111">
        <v>750.05</v>
      </c>
      <c r="G149" s="93">
        <v>74.099999999999994</v>
      </c>
      <c r="H149" s="82"/>
      <c r="I149" s="213" t="e">
        <f>+ROUND(G149+H149*TC,2)</f>
        <v>#REF!</v>
      </c>
      <c r="J149" s="213">
        <f t="shared" si="44"/>
        <v>55578.71</v>
      </c>
      <c r="K149" s="201">
        <f t="shared" si="45"/>
        <v>0</v>
      </c>
      <c r="L149" s="93" t="e">
        <f>+ROUND(J149+K149*TC,2)</f>
        <v>#REF!</v>
      </c>
      <c r="M149" s="97"/>
    </row>
    <row r="150" spans="1:13" ht="14.1" customHeight="1" outlineLevel="2">
      <c r="A150" s="4" t="s">
        <v>429</v>
      </c>
      <c r="C150" s="142">
        <f>C149+0.000001</f>
        <v>4.0203029999999993</v>
      </c>
      <c r="D150" s="107" t="s">
        <v>457</v>
      </c>
      <c r="E150" s="90" t="s">
        <v>185</v>
      </c>
      <c r="F150" s="111">
        <v>5682.36</v>
      </c>
      <c r="G150" s="93">
        <v>1.19</v>
      </c>
      <c r="H150" s="103">
        <v>0.91</v>
      </c>
      <c r="I150" s="213" t="e">
        <f>+ROUND(G150+H150*TC,2)</f>
        <v>#REF!</v>
      </c>
      <c r="J150" s="213">
        <f t="shared" si="44"/>
        <v>6762.01</v>
      </c>
      <c r="K150" s="201">
        <f t="shared" si="45"/>
        <v>5170.95</v>
      </c>
      <c r="L150" s="93" t="e">
        <f>+ROUND(J150+K150*TC,2)</f>
        <v>#REF!</v>
      </c>
      <c r="M150" s="97"/>
    </row>
    <row r="151" spans="1:13" outlineLevel="2">
      <c r="C151" s="142">
        <f>C150+0.000001</f>
        <v>4.0203039999999994</v>
      </c>
      <c r="D151" s="107" t="s">
        <v>431</v>
      </c>
      <c r="E151" s="90" t="s">
        <v>169</v>
      </c>
      <c r="F151" s="111">
        <v>750.05</v>
      </c>
      <c r="G151" s="93">
        <v>1.44</v>
      </c>
      <c r="H151" s="82"/>
      <c r="I151" s="213" t="e">
        <f>+ROUND(G151+H151*TC,2)</f>
        <v>#REF!</v>
      </c>
      <c r="J151" s="213">
        <f t="shared" si="44"/>
        <v>1080.07</v>
      </c>
      <c r="K151" s="201">
        <f t="shared" si="45"/>
        <v>0</v>
      </c>
      <c r="L151" s="93" t="e">
        <f>+ROUND(J151+K151*TC,2)</f>
        <v>#REF!</v>
      </c>
      <c r="M151" s="97"/>
    </row>
    <row r="152" spans="1:13" outlineLevel="2">
      <c r="C152" s="142">
        <f>C151+0.000001</f>
        <v>4.0203049999999996</v>
      </c>
      <c r="D152" s="107" t="s">
        <v>599</v>
      </c>
      <c r="E152" s="90" t="s">
        <v>36</v>
      </c>
      <c r="F152" s="111">
        <v>1333</v>
      </c>
      <c r="G152" s="93">
        <v>35.549999999999997</v>
      </c>
      <c r="H152" s="103">
        <v>0.38</v>
      </c>
      <c r="I152" s="213" t="e">
        <f>+ROUND(G152+H152*TC,2)</f>
        <v>#REF!</v>
      </c>
      <c r="J152" s="213">
        <f t="shared" ref="J152" si="46">+ROUND(F152*G152,2)</f>
        <v>47388.15</v>
      </c>
      <c r="K152" s="201">
        <f t="shared" ref="K152" si="47">+ROUND(F152*H152,2)</f>
        <v>506.54</v>
      </c>
      <c r="L152" s="93" t="e">
        <f>+ROUND(J152+K152*TC,2)</f>
        <v>#REF!</v>
      </c>
      <c r="M152" s="97"/>
    </row>
    <row r="153" spans="1:13" ht="14.1" customHeight="1">
      <c r="C153" s="218">
        <f>C136+0.01</f>
        <v>4.0299999999999994</v>
      </c>
      <c r="D153" s="138" t="s">
        <v>600</v>
      </c>
      <c r="E153" s="124"/>
      <c r="F153" s="122">
        <v>0</v>
      </c>
      <c r="G153" s="123"/>
      <c r="H153" s="87"/>
      <c r="I153" s="213"/>
      <c r="J153" s="213"/>
      <c r="K153" s="201"/>
      <c r="L153" s="93"/>
      <c r="M153" s="136" t="e">
        <f>SUM(J154:J157)+SUM(K154:K157)*TC</f>
        <v>#REF!</v>
      </c>
    </row>
    <row r="154" spans="1:13" ht="14.1" customHeight="1" outlineLevel="1">
      <c r="C154" s="140">
        <f>C153+0.0001</f>
        <v>4.0300999999999991</v>
      </c>
      <c r="D154" s="139" t="s">
        <v>601</v>
      </c>
      <c r="E154" s="90"/>
      <c r="F154" s="111">
        <v>0</v>
      </c>
      <c r="G154" s="93"/>
      <c r="H154" s="103"/>
      <c r="I154" s="213"/>
      <c r="J154" s="213"/>
      <c r="K154" s="201"/>
      <c r="L154" s="93"/>
      <c r="M154" s="97"/>
    </row>
    <row r="155" spans="1:13" outlineLevel="2">
      <c r="C155" s="142">
        <f>C154+0.000001</f>
        <v>4.0301009999999993</v>
      </c>
      <c r="D155" s="108" t="s">
        <v>602</v>
      </c>
      <c r="E155" s="90" t="s">
        <v>46</v>
      </c>
      <c r="F155" s="111">
        <v>18</v>
      </c>
      <c r="G155" s="93">
        <v>350</v>
      </c>
      <c r="H155" s="103"/>
      <c r="I155" s="213" t="e">
        <f>+ROUND(G155+H155*TC,2)</f>
        <v>#REF!</v>
      </c>
      <c r="J155" s="213">
        <f t="shared" ref="J155:J157" si="48">+ROUND(F155*G155,2)</f>
        <v>6300</v>
      </c>
      <c r="K155" s="201">
        <f t="shared" ref="K155:K157" si="49">+ROUND(F155*H155,2)</f>
        <v>0</v>
      </c>
      <c r="L155" s="93" t="e">
        <f>+ROUND(J155+K155*TC,2)</f>
        <v>#REF!</v>
      </c>
      <c r="M155" s="105"/>
    </row>
    <row r="156" spans="1:13" ht="13.15" customHeight="1" outlineLevel="2">
      <c r="C156" s="142">
        <f>C155+0.000001</f>
        <v>4.0301019999999994</v>
      </c>
      <c r="D156" s="117" t="s">
        <v>603</v>
      </c>
      <c r="E156" s="90" t="s">
        <v>46</v>
      </c>
      <c r="F156" s="111">
        <v>33.25</v>
      </c>
      <c r="G156" s="93">
        <v>350</v>
      </c>
      <c r="H156" s="82"/>
      <c r="I156" s="213" t="e">
        <f>+ROUND(G156+H156*TC,2)</f>
        <v>#REF!</v>
      </c>
      <c r="J156" s="213">
        <f t="shared" si="48"/>
        <v>11637.5</v>
      </c>
      <c r="K156" s="201">
        <f t="shared" si="49"/>
        <v>0</v>
      </c>
      <c r="L156" s="93" t="e">
        <f>+ROUND(J156+K156*TC,2)</f>
        <v>#REF!</v>
      </c>
      <c r="M156" s="97"/>
    </row>
    <row r="157" spans="1:13" ht="14.1" customHeight="1" outlineLevel="2">
      <c r="C157" s="142">
        <f>C156+0.000001</f>
        <v>4.0301029999999995</v>
      </c>
      <c r="D157" s="107" t="s">
        <v>604</v>
      </c>
      <c r="E157" s="90" t="s">
        <v>169</v>
      </c>
      <c r="F157" s="111">
        <v>19.5</v>
      </c>
      <c r="G157" s="93"/>
      <c r="H157" s="103"/>
      <c r="I157" s="213" t="e">
        <f>+ROUND(G157+H157*TC,2)</f>
        <v>#REF!</v>
      </c>
      <c r="J157" s="213">
        <f t="shared" si="48"/>
        <v>0</v>
      </c>
      <c r="K157" s="201">
        <f t="shared" si="49"/>
        <v>0</v>
      </c>
      <c r="L157" s="93" t="e">
        <f>+ROUND(J157+K157*TC,2)</f>
        <v>#REF!</v>
      </c>
      <c r="M157" s="97"/>
    </row>
    <row r="158" spans="1:13" ht="14.1" customHeight="1">
      <c r="C158" s="218">
        <f>C153+0.01</f>
        <v>4.0399999999999991</v>
      </c>
      <c r="D158" s="138" t="s">
        <v>195</v>
      </c>
      <c r="E158" s="124"/>
      <c r="F158" s="122">
        <v>0</v>
      </c>
      <c r="G158" s="123"/>
      <c r="H158" s="87"/>
      <c r="I158" s="213"/>
      <c r="J158" s="213"/>
      <c r="K158" s="201"/>
      <c r="L158" s="93"/>
      <c r="M158" s="136" t="e">
        <f>SUM(J158:J162)+SUM(K158:K162)*TC</f>
        <v>#REF!</v>
      </c>
    </row>
    <row r="159" spans="1:13" ht="14.1" customHeight="1">
      <c r="C159" s="142">
        <f>C158+0.000001</f>
        <v>4.0400009999999993</v>
      </c>
      <c r="D159" s="107" t="s">
        <v>547</v>
      </c>
      <c r="E159" s="90" t="s">
        <v>462</v>
      </c>
      <c r="F159" s="111">
        <v>178</v>
      </c>
      <c r="G159" s="82">
        <v>22.54</v>
      </c>
      <c r="H159" s="82"/>
      <c r="I159" s="213" t="e">
        <f>+ROUND(G159+H159*TC,2)</f>
        <v>#REF!</v>
      </c>
      <c r="J159" s="213">
        <f>+ROUND(F159*G159,2)</f>
        <v>4012.12</v>
      </c>
      <c r="K159" s="201">
        <f>+ROUND(F159*H159,2)</f>
        <v>0</v>
      </c>
      <c r="L159" s="93" t="e">
        <f>+ROUND(J159+K159*TC,2)</f>
        <v>#REF!</v>
      </c>
      <c r="M159" s="136"/>
    </row>
    <row r="160" spans="1:13" ht="14.1" customHeight="1" outlineLevel="2">
      <c r="C160" s="142">
        <f t="shared" ref="C160:C162" si="50">C159+0.000001</f>
        <v>4.0400019999999994</v>
      </c>
      <c r="D160" s="107" t="s">
        <v>548</v>
      </c>
      <c r="E160" s="90" t="s">
        <v>39</v>
      </c>
      <c r="F160" s="111">
        <v>4</v>
      </c>
      <c r="G160" s="93">
        <v>4500</v>
      </c>
      <c r="H160" s="82"/>
      <c r="I160" s="213" t="e">
        <f>+ROUND(G160+H160*TC,2)</f>
        <v>#REF!</v>
      </c>
      <c r="J160" s="213">
        <f t="shared" si="40"/>
        <v>18000</v>
      </c>
      <c r="K160" s="201">
        <f t="shared" si="41"/>
        <v>0</v>
      </c>
      <c r="L160" s="93" t="e">
        <f>+ROUND(J160+K160*TC,2)</f>
        <v>#REF!</v>
      </c>
      <c r="M160" s="97"/>
    </row>
    <row r="161" spans="1:13" ht="14.1" customHeight="1" outlineLevel="2">
      <c r="C161" s="142">
        <f t="shared" si="50"/>
        <v>4.0400029999999996</v>
      </c>
      <c r="D161" s="286" t="s">
        <v>549</v>
      </c>
      <c r="E161" s="287" t="s">
        <v>39</v>
      </c>
      <c r="F161" s="111">
        <v>4</v>
      </c>
      <c r="G161" s="93">
        <v>5000</v>
      </c>
      <c r="H161" s="82"/>
      <c r="I161" s="213" t="e">
        <f>+ROUND(G161+H161*TC,2)</f>
        <v>#REF!</v>
      </c>
      <c r="J161" s="213">
        <f t="shared" si="40"/>
        <v>20000</v>
      </c>
      <c r="K161" s="201">
        <f t="shared" si="41"/>
        <v>0</v>
      </c>
      <c r="L161" s="93" t="e">
        <f>+ROUND(J161+K161*TC,2)</f>
        <v>#REF!</v>
      </c>
      <c r="M161" s="97"/>
    </row>
    <row r="162" spans="1:13" ht="14.1" customHeight="1" outlineLevel="2" thickBot="1">
      <c r="C162" s="142">
        <f t="shared" si="50"/>
        <v>4.0400039999999997</v>
      </c>
      <c r="D162" s="110" t="s">
        <v>550</v>
      </c>
      <c r="E162" s="92" t="s">
        <v>39</v>
      </c>
      <c r="F162" s="111">
        <v>0.5</v>
      </c>
      <c r="G162" s="93">
        <v>25000</v>
      </c>
      <c r="H162" s="103"/>
      <c r="I162" s="213" t="e">
        <f>+ROUND(G162+H162*TC,2)</f>
        <v>#REF!</v>
      </c>
      <c r="J162" s="213">
        <f t="shared" si="40"/>
        <v>12500</v>
      </c>
      <c r="K162" s="201">
        <f t="shared" si="41"/>
        <v>0</v>
      </c>
      <c r="L162" s="93" t="e">
        <f>+ROUND(J162+K162*TC,2)</f>
        <v>#REF!</v>
      </c>
      <c r="M162" s="97"/>
    </row>
    <row r="163" spans="1:13" s="63" customFormat="1" ht="14.1" customHeight="1" thickTop="1" thickBot="1">
      <c r="C163" s="119"/>
      <c r="D163" s="120"/>
      <c r="E163" s="121"/>
      <c r="F163" s="121"/>
      <c r="G163" s="98" t="s">
        <v>12</v>
      </c>
      <c r="H163" s="228"/>
      <c r="I163" s="228"/>
      <c r="J163" s="99">
        <f>SUM(J12:J162)</f>
        <v>3715934.4</v>
      </c>
      <c r="K163" s="100">
        <f>SUM(K12:K162)</f>
        <v>395801.55000000016</v>
      </c>
      <c r="L163" s="99" t="e">
        <f>SUM(L12:L162)</f>
        <v>#REF!</v>
      </c>
      <c r="M163" s="104" t="e">
        <f>SUM(M12:M162)</f>
        <v>#REF!</v>
      </c>
    </row>
    <row r="164" spans="1:13" s="63" customFormat="1" ht="14.1" customHeight="1" thickTop="1">
      <c r="C164" s="59"/>
      <c r="D164" s="60"/>
      <c r="E164" s="10"/>
      <c r="F164" s="10"/>
      <c r="G164" s="4"/>
      <c r="H164" s="4"/>
      <c r="I164" s="4"/>
      <c r="J164" s="4"/>
      <c r="K164" s="125"/>
      <c r="L164" s="125"/>
      <c r="M164" s="127"/>
    </row>
    <row r="165" spans="1:13" s="63" customFormat="1" ht="14.1" customHeight="1" thickBot="1">
      <c r="C165" s="59"/>
      <c r="D165" s="60"/>
      <c r="E165" s="10"/>
      <c r="F165" s="10"/>
      <c r="G165" s="4"/>
      <c r="H165" s="4"/>
      <c r="I165" s="4"/>
      <c r="J165" s="300" t="e">
        <f>+J163+K163*TC-L163</f>
        <v>#REF!</v>
      </c>
      <c r="K165" s="125"/>
      <c r="L165" s="125"/>
      <c r="M165" s="127"/>
    </row>
    <row r="166" spans="1:13" s="63" customFormat="1" ht="14.1" customHeight="1" thickTop="1" thickBot="1">
      <c r="C166" s="59"/>
      <c r="D166" s="60"/>
      <c r="E166" s="10"/>
      <c r="F166" s="10"/>
      <c r="G166" s="303">
        <f>+F139+F144+F149</f>
        <v>1149.31</v>
      </c>
      <c r="H166" s="4"/>
      <c r="I166" s="38" t="s">
        <v>199</v>
      </c>
      <c r="J166" s="214">
        <v>3715934.4</v>
      </c>
      <c r="K166" s="202">
        <v>395801.55</v>
      </c>
      <c r="L166" s="125"/>
      <c r="M166" s="127"/>
    </row>
    <row r="167" spans="1:13" s="63" customFormat="1" ht="14.1" customHeight="1" thickTop="1" thickBot="1">
      <c r="C167" s="59"/>
      <c r="D167" s="60"/>
      <c r="E167" s="10"/>
      <c r="F167" s="10"/>
      <c r="G167" s="4">
        <f>+G166*25</f>
        <v>28732.75</v>
      </c>
      <c r="H167" s="4"/>
      <c r="I167" s="38"/>
      <c r="J167" s="214">
        <f>+J163-J166</f>
        <v>0</v>
      </c>
      <c r="K167" s="202">
        <f>+K163-K166</f>
        <v>0</v>
      </c>
      <c r="L167" s="125"/>
      <c r="M167" s="127"/>
    </row>
    <row r="168" spans="1:13" s="63" customFormat="1" ht="14.1" customHeight="1" thickTop="1" thickBot="1">
      <c r="C168" s="59"/>
      <c r="D168" s="60"/>
      <c r="E168" s="10"/>
      <c r="F168" s="10"/>
      <c r="G168" s="4"/>
      <c r="H168" s="4"/>
      <c r="I168" s="38"/>
      <c r="J168" s="125"/>
      <c r="K168" s="125"/>
      <c r="L168" s="125"/>
      <c r="M168" s="127"/>
    </row>
    <row r="169" spans="1:13" s="2" customFormat="1" ht="12.75" customHeight="1" thickBot="1">
      <c r="C169" s="59"/>
      <c r="D169" s="4"/>
      <c r="E169" s="10"/>
      <c r="F169" s="279" t="s">
        <v>551</v>
      </c>
      <c r="H169" s="4"/>
      <c r="I169" s="4"/>
      <c r="K169" s="302"/>
      <c r="L169" s="302"/>
    </row>
    <row r="170" spans="1:13" s="2" customFormat="1" ht="12.75" customHeight="1" thickBot="1">
      <c r="C170" s="59"/>
      <c r="D170" s="4"/>
      <c r="E170" s="10"/>
      <c r="F170" s="65" t="s">
        <v>553</v>
      </c>
      <c r="H170" s="4"/>
      <c r="I170" s="4"/>
      <c r="J170" s="281"/>
      <c r="K170" s="281"/>
      <c r="L170" s="281"/>
    </row>
    <row r="171" spans="1:13" s="2" customFormat="1" ht="12.75" customHeight="1">
      <c r="C171" s="59"/>
      <c r="D171" s="242" t="s">
        <v>554</v>
      </c>
      <c r="E171" s="243"/>
      <c r="F171" s="333">
        <v>10666.18</v>
      </c>
      <c r="H171" s="4"/>
      <c r="I171" s="4"/>
      <c r="J171" s="283"/>
      <c r="K171" s="283"/>
      <c r="L171" s="283"/>
    </row>
    <row r="172" spans="1:13" s="2" customFormat="1" ht="12.75" customHeight="1">
      <c r="A172" s="10" t="s">
        <v>423</v>
      </c>
      <c r="B172" s="10"/>
      <c r="D172" s="244" t="s">
        <v>555</v>
      </c>
      <c r="E172" s="245"/>
      <c r="F172" s="66">
        <v>3234.8600000000006</v>
      </c>
      <c r="H172" s="4"/>
      <c r="I172" s="4"/>
      <c r="J172" s="282"/>
      <c r="K172" s="282"/>
      <c r="L172" s="282"/>
    </row>
    <row r="173" spans="1:13" s="2" customFormat="1" ht="12.75" customHeight="1">
      <c r="A173" s="10" t="s">
        <v>419</v>
      </c>
      <c r="B173" s="10"/>
      <c r="D173" s="67" t="s">
        <v>556</v>
      </c>
      <c r="E173" s="68"/>
      <c r="F173" s="66">
        <v>26231.34</v>
      </c>
      <c r="H173" s="4"/>
      <c r="I173" s="4"/>
      <c r="J173" s="64"/>
    </row>
    <row r="174" spans="1:13" s="2" customFormat="1" ht="12.75" customHeight="1">
      <c r="A174" s="10" t="s">
        <v>429</v>
      </c>
      <c r="B174" s="10"/>
      <c r="D174" s="67" t="s">
        <v>557</v>
      </c>
      <c r="E174" s="68"/>
      <c r="F174" s="66">
        <v>434390.11</v>
      </c>
      <c r="H174" s="4"/>
      <c r="I174" s="4"/>
      <c r="J174" s="64"/>
    </row>
    <row r="175" spans="1:13" s="2" customFormat="1" ht="12.75" customHeight="1">
      <c r="C175" s="59"/>
      <c r="D175" s="67" t="s">
        <v>558</v>
      </c>
      <c r="E175" s="68"/>
      <c r="F175" s="297">
        <v>134.28405247831432</v>
      </c>
      <c r="H175" s="4"/>
      <c r="I175" s="4"/>
      <c r="J175" s="64"/>
    </row>
    <row r="176" spans="1:13" s="2" customFormat="1" ht="12.75" customHeight="1">
      <c r="C176" s="59"/>
      <c r="D176" s="67" t="s">
        <v>559</v>
      </c>
      <c r="E176" s="68"/>
      <c r="F176" s="66">
        <v>0.30328196223952725</v>
      </c>
      <c r="H176" s="4"/>
      <c r="I176" s="4"/>
      <c r="J176" s="64"/>
    </row>
    <row r="177" spans="3:10" s="2" customFormat="1" ht="12.75" customHeight="1">
      <c r="C177" s="59"/>
      <c r="D177" s="67" t="s">
        <v>560</v>
      </c>
      <c r="E177" s="68"/>
      <c r="F177" s="66">
        <v>2.4593003305775825</v>
      </c>
      <c r="H177" s="4"/>
      <c r="I177" s="4"/>
      <c r="J177" s="64"/>
    </row>
    <row r="178" spans="3:10" s="2" customFormat="1" ht="12.75" customHeight="1" thickBot="1">
      <c r="C178" s="59"/>
      <c r="D178" s="128" t="s">
        <v>561</v>
      </c>
      <c r="E178" s="129"/>
      <c r="F178" s="293">
        <v>40.725930933098823</v>
      </c>
      <c r="H178" s="4"/>
      <c r="I178" s="4"/>
      <c r="J178" s="64"/>
    </row>
    <row r="179" spans="3:10" s="2" customFormat="1" ht="12.75" customHeight="1">
      <c r="C179" s="59"/>
      <c r="D179" s="4"/>
      <c r="E179" s="4"/>
      <c r="F179" s="10"/>
      <c r="G179" s="4"/>
      <c r="H179" s="4"/>
      <c r="I179" s="4"/>
      <c r="J179" s="64"/>
    </row>
  </sheetData>
  <autoFilter ref="C10:M163" xr:uid="{00000000-0001-0000-0E00-000000000000}"/>
  <mergeCells count="1">
    <mergeCell ref="C2:M2"/>
  </mergeCells>
  <phoneticPr fontId="12" type="noConversion"/>
  <conditionalFormatting sqref="J12:K13">
    <cfRule type="cellIs" dxfId="14" priority="4" stopIfTrue="1" operator="equal">
      <formula>0</formula>
    </cfRule>
  </conditionalFormatting>
  <conditionalFormatting sqref="J170:L170">
    <cfRule type="cellIs" dxfId="13" priority="2" stopIfTrue="1" operator="equal">
      <formula>0</formula>
    </cfRule>
  </conditionalFormatting>
  <conditionalFormatting sqref="L12">
    <cfRule type="cellIs" dxfId="12" priority="1" stopIfTrue="1" operator="equal">
      <formula>0</formula>
    </cfRule>
  </conditionalFormatting>
  <pageMargins left="0.7" right="0.7" top="0.75" bottom="0.75" header="0.3" footer="0.3"/>
  <pageSetup orientation="portrait" r:id="rId1"/>
  <ignoredErrors>
    <ignoredError sqref="D11 I12:I13 M160:M162 M27:M30 M92:M109 L13:M13 M20:M21 M40:M48 M54:M61 M50:M51 M124:M129 L12 M137:M141 M18 M14:M15 M33:M38 M73:M74 M77 M79:M88 M90 M111:M118 M120:M122" unlockedFormula="1"/>
    <ignoredError sqref="C44 C36 C22:C24 C53 C26:C27 C55:C61 C63 C124:C126 C80:C88 C65:C72 C51 C74 C93:C122" formula="1"/>
    <ignoredError sqref="J13:K13" formula="1" unlockedFormula="1"/>
    <ignoredError sqref="J163" evalError="1"/>
  </ignoredError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49866-0C39-4B9F-B308-0C67BBBA61D6}">
  <sheetPr>
    <tabColor rgb="FF7030A0"/>
    <outlinePr summaryBelow="0" summaryRight="0"/>
  </sheetPr>
  <dimension ref="A1:L215"/>
  <sheetViews>
    <sheetView topLeftCell="A178" zoomScale="72" zoomScaleNormal="72" workbookViewId="0">
      <selection activeCell="M187" sqref="M1:T1048576"/>
    </sheetView>
  </sheetViews>
  <sheetFormatPr defaultColWidth="7.85546875" defaultRowHeight="11.25" outlineLevelRow="3"/>
  <cols>
    <col min="1" max="1" width="5.5703125" style="4" customWidth="1"/>
    <col min="2" max="2" width="12.85546875" style="59" customWidth="1"/>
    <col min="3" max="3" width="78.140625" style="60" bestFit="1" customWidth="1"/>
    <col min="4" max="4" width="5.28515625" style="10" customWidth="1"/>
    <col min="5" max="5" width="12.28515625" style="10" customWidth="1"/>
    <col min="6" max="6" width="14.42578125" style="4" customWidth="1"/>
    <col min="7" max="7" width="11.85546875" style="4" customWidth="1"/>
    <col min="8" max="8" width="14.85546875" style="4" customWidth="1"/>
    <col min="9" max="10" width="15.140625" style="4" customWidth="1"/>
    <col min="11" max="11" width="15.28515625" style="4" customWidth="1"/>
    <col min="12" max="12" width="14.5703125" style="4" customWidth="1"/>
    <col min="13" max="16384" width="7.85546875" style="4"/>
  </cols>
  <sheetData>
    <row r="1" spans="2:12" ht="14.25" customHeight="1">
      <c r="B1" s="35"/>
      <c r="C1" s="58"/>
      <c r="D1" s="3"/>
      <c r="E1" s="3"/>
      <c r="F1" s="2"/>
      <c r="G1" s="2"/>
      <c r="H1" s="2"/>
      <c r="I1" s="2"/>
    </row>
    <row r="2" spans="2:12" ht="14.25" customHeight="1">
      <c r="B2" s="1" t="s">
        <v>605</v>
      </c>
      <c r="C2" s="1"/>
      <c r="D2" s="1"/>
      <c r="E2" s="1"/>
      <c r="F2" s="1"/>
      <c r="G2" s="1"/>
      <c r="H2" s="1"/>
      <c r="I2" s="1"/>
      <c r="J2" s="1"/>
      <c r="K2" s="1"/>
      <c r="L2" s="1"/>
    </row>
    <row r="3" spans="2:12" ht="14.25" customHeight="1">
      <c r="B3" s="35"/>
      <c r="C3" s="58"/>
      <c r="D3" s="3"/>
      <c r="E3" s="3"/>
      <c r="F3" s="2"/>
      <c r="G3" s="2"/>
      <c r="H3" s="2"/>
      <c r="I3" s="2"/>
    </row>
    <row r="4" spans="2:12" ht="14.25" customHeight="1">
      <c r="B4" s="5" t="s">
        <v>0</v>
      </c>
      <c r="C4" s="74" t="s">
        <v>606</v>
      </c>
      <c r="D4" s="3"/>
      <c r="E4" s="3"/>
      <c r="F4" s="2"/>
      <c r="G4" s="2"/>
      <c r="H4" s="2"/>
      <c r="I4" s="2"/>
    </row>
    <row r="5" spans="2:12" ht="14.25" customHeight="1">
      <c r="B5" s="5" t="s">
        <v>14</v>
      </c>
      <c r="C5" s="74" t="str">
        <f>$B$2</f>
        <v>ARQUITECTURA SÓTANOS</v>
      </c>
      <c r="D5" s="3"/>
      <c r="E5" s="3"/>
      <c r="F5" s="2"/>
      <c r="G5" s="2"/>
      <c r="H5" s="2"/>
      <c r="I5" s="2"/>
    </row>
    <row r="6" spans="2:12" ht="14.25" customHeight="1">
      <c r="B6" s="5" t="s">
        <v>1</v>
      </c>
      <c r="C6" s="75" t="s">
        <v>2</v>
      </c>
      <c r="D6" s="3"/>
      <c r="E6" s="3"/>
    </row>
    <row r="7" spans="2:12" ht="14.25" customHeight="1">
      <c r="B7" s="5" t="s">
        <v>3</v>
      </c>
      <c r="C7" s="75" t="s">
        <v>607</v>
      </c>
      <c r="D7" s="3"/>
      <c r="E7" s="3"/>
      <c r="F7" s="2"/>
      <c r="G7" s="2"/>
      <c r="H7" s="2"/>
      <c r="I7" s="2"/>
    </row>
    <row r="8" spans="2:12" ht="14.25" customHeight="1">
      <c r="B8" s="2" t="s">
        <v>15</v>
      </c>
      <c r="C8" s="9" t="e">
        <f>#REF!</f>
        <v>#REF!</v>
      </c>
      <c r="D8" s="3"/>
      <c r="E8" s="3"/>
      <c r="F8" s="2"/>
      <c r="G8" s="2"/>
      <c r="H8" s="2"/>
      <c r="I8" s="2"/>
    </row>
    <row r="9" spans="2:12" ht="14.25" customHeight="1" thickBot="1">
      <c r="B9" s="2"/>
      <c r="C9" s="76"/>
      <c r="D9" s="3"/>
      <c r="E9" s="3"/>
      <c r="F9" s="2"/>
      <c r="G9" s="2"/>
      <c r="H9" s="2"/>
      <c r="I9" s="2"/>
    </row>
    <row r="10" spans="2:12" ht="24" customHeight="1" thickTop="1" thickBot="1">
      <c r="B10" s="11" t="s">
        <v>5</v>
      </c>
      <c r="C10" s="61" t="s">
        <v>16</v>
      </c>
      <c r="D10" s="12" t="s">
        <v>17</v>
      </c>
      <c r="E10" s="73" t="s">
        <v>377</v>
      </c>
      <c r="F10" s="13" t="s">
        <v>19</v>
      </c>
      <c r="G10" s="13" t="s">
        <v>20</v>
      </c>
      <c r="H10" s="73" t="s">
        <v>378</v>
      </c>
      <c r="I10" s="73" t="s">
        <v>22</v>
      </c>
      <c r="J10" s="73" t="s">
        <v>23</v>
      </c>
      <c r="K10" s="73" t="s">
        <v>608</v>
      </c>
      <c r="L10" s="69" t="s">
        <v>13</v>
      </c>
    </row>
    <row r="11" spans="2:12" ht="14.1" customHeight="1" thickTop="1" thickBot="1">
      <c r="B11" s="62" t="s">
        <v>609</v>
      </c>
      <c r="C11" s="77" t="str">
        <f>$B$2</f>
        <v>ARQUITECTURA SÓTANOS</v>
      </c>
      <c r="D11" s="17"/>
      <c r="E11" s="17"/>
      <c r="F11" s="18"/>
      <c r="G11" s="18"/>
      <c r="H11" s="18"/>
      <c r="I11" s="70"/>
      <c r="J11" s="71"/>
      <c r="K11" s="301"/>
      <c r="L11" s="72"/>
    </row>
    <row r="12" spans="2:12" ht="14.1" customHeight="1" thickTop="1">
      <c r="B12" s="217">
        <f>B11+0.01</f>
        <v>5.01</v>
      </c>
      <c r="C12" s="372" t="s">
        <v>610</v>
      </c>
      <c r="D12" s="337"/>
      <c r="E12" s="113"/>
      <c r="F12" s="338"/>
      <c r="G12" s="339"/>
      <c r="H12" s="123" t="str">
        <f>IFERROR(IF(D12&lt;&gt;0,(F12+G12*TC)," ")," ")</f>
        <v xml:space="preserve"> </v>
      </c>
      <c r="I12" s="340" t="str">
        <f t="shared" ref="I12:J14" si="0">IFERROR(IF($E12=0,"",$E12*F12),"")</f>
        <v/>
      </c>
      <c r="J12" s="101" t="str">
        <f t="shared" si="0"/>
        <v/>
      </c>
      <c r="K12" s="123" t="str">
        <f>IFERROR(IF(E12&lt;&gt;0,(E12*H12)," "),0)</f>
        <v xml:space="preserve"> </v>
      </c>
      <c r="L12" s="135" t="e">
        <f>SUM(I12:I49)+SUM(J12:J49)*TC</f>
        <v>#REF!</v>
      </c>
    </row>
    <row r="13" spans="2:12" ht="14.1" customHeight="1" outlineLevel="1">
      <c r="B13" s="140">
        <f>B12+0.0001</f>
        <v>5.0100999999999996</v>
      </c>
      <c r="C13" s="373" t="s">
        <v>611</v>
      </c>
      <c r="D13" s="374"/>
      <c r="E13" s="375"/>
      <c r="F13" s="93" t="s">
        <v>8</v>
      </c>
      <c r="G13" s="376"/>
      <c r="H13" s="93" t="str">
        <f>IFERROR(IF(D13&lt;&gt;0,(F13+G13*TC)," ")," ")</f>
        <v xml:space="preserve"> </v>
      </c>
      <c r="I13" s="95" t="str">
        <f t="shared" si="0"/>
        <v/>
      </c>
      <c r="J13" s="102" t="str">
        <f t="shared" si="0"/>
        <v/>
      </c>
      <c r="K13" s="93" t="str">
        <f>IFERROR(IF(E13&lt;&gt;0,(E13*H13)," "),0)</f>
        <v xml:space="preserve"> </v>
      </c>
      <c r="L13" s="343"/>
    </row>
    <row r="14" spans="2:12" ht="14.1" customHeight="1" outlineLevel="2">
      <c r="B14" s="377">
        <f>B12+0.0001</f>
        <v>5.0100999999999996</v>
      </c>
      <c r="C14" s="345" t="s">
        <v>612</v>
      </c>
      <c r="D14" s="370"/>
      <c r="E14" s="371"/>
      <c r="F14" s="93" t="s">
        <v>8</v>
      </c>
      <c r="G14" s="378"/>
      <c r="H14" s="93" t="str">
        <f>IFERROR(IF(D14&lt;&gt;0,(F14+G14*TC)," ")," ")</f>
        <v xml:space="preserve"> </v>
      </c>
      <c r="I14" s="95" t="str">
        <f t="shared" si="0"/>
        <v/>
      </c>
      <c r="J14" s="102" t="str">
        <f t="shared" si="0"/>
        <v/>
      </c>
      <c r="K14" s="93" t="str">
        <f>IFERROR(IF(E14&lt;&gt;0,(E14*H14)," "),0)</f>
        <v xml:space="preserve"> </v>
      </c>
      <c r="L14" s="105"/>
    </row>
    <row r="15" spans="2:12" ht="14.1" customHeight="1" outlineLevel="3">
      <c r="B15" s="142">
        <f>B14+0.000001</f>
        <v>5.0101009999999997</v>
      </c>
      <c r="C15" s="347" t="s">
        <v>613</v>
      </c>
      <c r="D15" s="81" t="s">
        <v>169</v>
      </c>
      <c r="E15" s="111">
        <v>533.66</v>
      </c>
      <c r="F15" s="93">
        <v>96.71</v>
      </c>
      <c r="G15" s="82"/>
      <c r="H15" s="213" t="e">
        <f>+ROUND(F15+G15*TC,2)</f>
        <v>#REF!</v>
      </c>
      <c r="I15" s="213">
        <f>+ROUND(E15*F15,2)</f>
        <v>51610.26</v>
      </c>
      <c r="J15" s="201">
        <f>+ROUND(E15*G15,2)</f>
        <v>0</v>
      </c>
      <c r="K15" s="93" t="e">
        <f>+ROUND(I15+J15*TC,2)</f>
        <v>#REF!</v>
      </c>
      <c r="L15" s="105"/>
    </row>
    <row r="16" spans="2:12" ht="14.1" customHeight="1" outlineLevel="3">
      <c r="B16" s="142">
        <f>B15+0.000001</f>
        <v>5.0101019999999998</v>
      </c>
      <c r="C16" s="347" t="s">
        <v>614</v>
      </c>
      <c r="D16" s="81" t="s">
        <v>169</v>
      </c>
      <c r="E16" s="111">
        <v>17.75</v>
      </c>
      <c r="F16" s="93">
        <v>103.71</v>
      </c>
      <c r="G16" s="82"/>
      <c r="H16" s="213" t="e">
        <f>+ROUND(F16+G16*TC,2)</f>
        <v>#REF!</v>
      </c>
      <c r="I16" s="213">
        <f>+ROUND(E16*F16,2)</f>
        <v>1840.85</v>
      </c>
      <c r="J16" s="201">
        <f>+ROUND(E16*G16,2)</f>
        <v>0</v>
      </c>
      <c r="K16" s="93" t="e">
        <f>+ROUND(I16+J16*TC,2)</f>
        <v>#REF!</v>
      </c>
      <c r="L16" s="105"/>
    </row>
    <row r="17" spans="1:12" ht="14.1" customHeight="1" outlineLevel="3">
      <c r="B17" s="142">
        <f>B15+0.000001</f>
        <v>5.0101019999999998</v>
      </c>
      <c r="C17" s="347" t="s">
        <v>615</v>
      </c>
      <c r="D17" s="81" t="s">
        <v>169</v>
      </c>
      <c r="E17" s="111">
        <v>32.35</v>
      </c>
      <c r="F17" s="93">
        <v>109.71</v>
      </c>
      <c r="G17" s="82"/>
      <c r="H17" s="213" t="e">
        <f>+ROUND(F17+G17*TC,2)</f>
        <v>#REF!</v>
      </c>
      <c r="I17" s="213">
        <f>+ROUND(E17*F17,2)</f>
        <v>3549.12</v>
      </c>
      <c r="J17" s="201">
        <f>+ROUND(E17*G17,2)</f>
        <v>0</v>
      </c>
      <c r="K17" s="93" t="e">
        <f>+ROUND(I17+J17*TC,2)</f>
        <v>#REF!</v>
      </c>
      <c r="L17" s="105"/>
    </row>
    <row r="18" spans="1:12" ht="14.1" customHeight="1" outlineLevel="3">
      <c r="B18" s="142">
        <f>B17+0.000001</f>
        <v>5.010103</v>
      </c>
      <c r="C18" s="347" t="s">
        <v>616</v>
      </c>
      <c r="D18" s="81" t="s">
        <v>169</v>
      </c>
      <c r="E18" s="111">
        <v>21.64</v>
      </c>
      <c r="F18" s="93">
        <v>118.21</v>
      </c>
      <c r="G18" s="82"/>
      <c r="H18" s="213" t="e">
        <f>+ROUND(F18+G18*TC,2)</f>
        <v>#REF!</v>
      </c>
      <c r="I18" s="213">
        <f>+ROUND(E18*F18,2)</f>
        <v>2558.06</v>
      </c>
      <c r="J18" s="201">
        <f>+ROUND(E18*G18,2)</f>
        <v>0</v>
      </c>
      <c r="K18" s="93" t="e">
        <f>+ROUND(I18+J18*TC,2)</f>
        <v>#REF!</v>
      </c>
      <c r="L18" s="105"/>
    </row>
    <row r="19" spans="1:12" ht="14.1" customHeight="1" outlineLevel="2">
      <c r="B19" s="377">
        <f>B14+0.0001</f>
        <v>5.0101999999999993</v>
      </c>
      <c r="C19" s="345" t="s">
        <v>617</v>
      </c>
      <c r="D19" s="370"/>
      <c r="E19" s="371"/>
      <c r="F19" s="93" t="s">
        <v>8</v>
      </c>
      <c r="G19" s="378"/>
      <c r="H19" s="213"/>
      <c r="I19" s="213"/>
      <c r="J19" s="201"/>
      <c r="K19" s="93"/>
      <c r="L19" s="105"/>
    </row>
    <row r="20" spans="1:12" ht="14.1" customHeight="1" outlineLevel="3">
      <c r="B20" s="142">
        <f>B19+0.000001</f>
        <v>5.0102009999999995</v>
      </c>
      <c r="C20" s="347" t="s">
        <v>618</v>
      </c>
      <c r="D20" s="81" t="s">
        <v>169</v>
      </c>
      <c r="E20" s="111">
        <v>73.58</v>
      </c>
      <c r="F20" s="93">
        <v>104.71</v>
      </c>
      <c r="G20" s="82"/>
      <c r="H20" s="213" t="e">
        <f>+ROUND(F20+G20*TC,2)</f>
        <v>#REF!</v>
      </c>
      <c r="I20" s="213">
        <f>+ROUND(E20*F20,2)</f>
        <v>7704.56</v>
      </c>
      <c r="J20" s="201">
        <f>+ROUND(E20*G20,2)</f>
        <v>0</v>
      </c>
      <c r="K20" s="93" t="e">
        <f>+ROUND(I20+J20*TC,2)</f>
        <v>#REF!</v>
      </c>
      <c r="L20" s="105"/>
    </row>
    <row r="21" spans="1:12" ht="14.1" customHeight="1" outlineLevel="3">
      <c r="B21" s="142">
        <f>B20+0.000001</f>
        <v>5.0102019999999996</v>
      </c>
      <c r="C21" s="347" t="s">
        <v>619</v>
      </c>
      <c r="D21" s="81" t="s">
        <v>169</v>
      </c>
      <c r="E21" s="111">
        <v>28.17</v>
      </c>
      <c r="F21" s="93">
        <v>111.71</v>
      </c>
      <c r="G21" s="82"/>
      <c r="H21" s="213" t="e">
        <f>+ROUND(F21+G21*TC,2)</f>
        <v>#REF!</v>
      </c>
      <c r="I21" s="213">
        <f>+ROUND(E21*F21,2)</f>
        <v>3146.87</v>
      </c>
      <c r="J21" s="201">
        <f>+ROUND(E21*G21,2)</f>
        <v>0</v>
      </c>
      <c r="K21" s="93" t="e">
        <f>+ROUND(I21+J21*TC,2)</f>
        <v>#REF!</v>
      </c>
      <c r="L21" s="105"/>
    </row>
    <row r="22" spans="1:12" ht="14.1" customHeight="1" outlineLevel="3">
      <c r="B22" s="142">
        <f>B21+0.000001</f>
        <v>5.0102029999999997</v>
      </c>
      <c r="C22" s="347" t="s">
        <v>620</v>
      </c>
      <c r="D22" s="81" t="s">
        <v>169</v>
      </c>
      <c r="E22" s="111">
        <v>37.22</v>
      </c>
      <c r="F22" s="93">
        <v>117.71</v>
      </c>
      <c r="G22" s="82"/>
      <c r="H22" s="213" t="e">
        <f>+ROUND(F22+G22*TC,2)</f>
        <v>#REF!</v>
      </c>
      <c r="I22" s="213">
        <f>+ROUND(E22*F22,2)</f>
        <v>4381.17</v>
      </c>
      <c r="J22" s="201">
        <f>+ROUND(E22*G22,2)</f>
        <v>0</v>
      </c>
      <c r="K22" s="93" t="e">
        <f>+ROUND(I22+J22*TC,2)</f>
        <v>#REF!</v>
      </c>
      <c r="L22" s="105"/>
    </row>
    <row r="23" spans="1:12" ht="14.1" customHeight="1" outlineLevel="3">
      <c r="B23" s="142">
        <f>B22+0.000001</f>
        <v>5.0102039999999999</v>
      </c>
      <c r="C23" s="347" t="s">
        <v>621</v>
      </c>
      <c r="D23" s="81" t="s">
        <v>169</v>
      </c>
      <c r="E23" s="111">
        <v>9.99</v>
      </c>
      <c r="F23" s="93">
        <v>126.21</v>
      </c>
      <c r="G23" s="82"/>
      <c r="H23" s="213" t="e">
        <f>+ROUND(F23+G23*TC,2)</f>
        <v>#REF!</v>
      </c>
      <c r="I23" s="213">
        <f>+ROUND(E23*F23,2)</f>
        <v>1260.8399999999999</v>
      </c>
      <c r="J23" s="201">
        <f>+ROUND(E23*G23,2)</f>
        <v>0</v>
      </c>
      <c r="K23" s="93" t="e">
        <f>+ROUND(I23+J23*TC,2)</f>
        <v>#REF!</v>
      </c>
      <c r="L23" s="105"/>
    </row>
    <row r="24" spans="1:12" ht="14.1" customHeight="1" outlineLevel="2">
      <c r="A24" s="10"/>
      <c r="B24" s="377">
        <f>B19+0.0001</f>
        <v>5.0102999999999991</v>
      </c>
      <c r="C24" s="345" t="s">
        <v>622</v>
      </c>
      <c r="D24" s="81"/>
      <c r="E24" s="111">
        <v>0</v>
      </c>
      <c r="F24" s="93" t="s">
        <v>8</v>
      </c>
      <c r="G24" s="82"/>
      <c r="H24" s="213"/>
      <c r="I24" s="213"/>
      <c r="J24" s="201"/>
      <c r="K24" s="93"/>
      <c r="L24" s="105"/>
    </row>
    <row r="25" spans="1:12" ht="14.1" customHeight="1" outlineLevel="3">
      <c r="A25" s="10"/>
      <c r="B25" s="142">
        <f>B23+0.000001</f>
        <v>5.010205</v>
      </c>
      <c r="C25" s="347" t="s">
        <v>623</v>
      </c>
      <c r="D25" s="81" t="s">
        <v>169</v>
      </c>
      <c r="E25" s="111">
        <v>6.07</v>
      </c>
      <c r="F25" s="93">
        <v>106.71</v>
      </c>
      <c r="G25" s="82"/>
      <c r="H25" s="213" t="e">
        <f t="shared" ref="H25" si="1">+ROUND(F25+G25*TC,2)</f>
        <v>#REF!</v>
      </c>
      <c r="I25" s="213">
        <f t="shared" ref="I25" si="2">+ROUND(E25*F25,2)</f>
        <v>647.73</v>
      </c>
      <c r="J25" s="201">
        <f t="shared" ref="J25" si="3">+ROUND(E25*G25,2)</f>
        <v>0</v>
      </c>
      <c r="K25" s="93" t="e">
        <f t="shared" ref="K25" si="4">+ROUND(I25+J25*TC,2)</f>
        <v>#REF!</v>
      </c>
      <c r="L25" s="105"/>
    </row>
    <row r="26" spans="1:12" ht="14.1" customHeight="1" outlineLevel="3">
      <c r="A26" s="10"/>
      <c r="B26" s="142">
        <f>B24+0.000001</f>
        <v>5.0103009999999992</v>
      </c>
      <c r="C26" s="347" t="s">
        <v>624</v>
      </c>
      <c r="D26" s="81" t="s">
        <v>169</v>
      </c>
      <c r="E26" s="111">
        <v>7.82</v>
      </c>
      <c r="F26" s="93">
        <v>113.71</v>
      </c>
      <c r="G26" s="82"/>
      <c r="H26" s="213" t="e">
        <f t="shared" ref="H26:H27" si="5">+ROUND(F26+G26*TC,2)</f>
        <v>#REF!</v>
      </c>
      <c r="I26" s="213">
        <f t="shared" ref="I26:I27" si="6">+ROUND(E26*F26,2)</f>
        <v>889.21</v>
      </c>
      <c r="J26" s="201">
        <f t="shared" ref="J26:J27" si="7">+ROUND(E26*G26,2)</f>
        <v>0</v>
      </c>
      <c r="K26" s="93" t="e">
        <f t="shared" ref="K26:K27" si="8">+ROUND(I26+J26*TC,2)</f>
        <v>#REF!</v>
      </c>
      <c r="L26" s="105"/>
    </row>
    <row r="27" spans="1:12" ht="14.1" customHeight="1" outlineLevel="3">
      <c r="A27" s="10"/>
      <c r="B27" s="142">
        <f t="shared" ref="B27" si="9">B26+0.000001</f>
        <v>5.0103019999999994</v>
      </c>
      <c r="C27" s="347" t="s">
        <v>625</v>
      </c>
      <c r="D27" s="81" t="s">
        <v>169</v>
      </c>
      <c r="E27" s="111">
        <v>143.68</v>
      </c>
      <c r="F27" s="93">
        <v>109.71</v>
      </c>
      <c r="G27" s="82"/>
      <c r="H27" s="213" t="e">
        <f t="shared" si="5"/>
        <v>#REF!</v>
      </c>
      <c r="I27" s="213">
        <f t="shared" si="6"/>
        <v>15763.13</v>
      </c>
      <c r="J27" s="201">
        <f t="shared" si="7"/>
        <v>0</v>
      </c>
      <c r="K27" s="93" t="e">
        <f t="shared" si="8"/>
        <v>#REF!</v>
      </c>
      <c r="L27" s="105"/>
    </row>
    <row r="28" spans="1:12" ht="14.1" customHeight="1" outlineLevel="2">
      <c r="B28" s="377">
        <f>B24+0.0001</f>
        <v>5.0103999999999989</v>
      </c>
      <c r="C28" s="345" t="s">
        <v>626</v>
      </c>
      <c r="D28" s="370"/>
      <c r="E28" s="371"/>
      <c r="F28" s="93" t="s">
        <v>8</v>
      </c>
      <c r="G28" s="378"/>
      <c r="H28" s="213"/>
      <c r="I28" s="213"/>
      <c r="J28" s="201"/>
      <c r="K28" s="93"/>
      <c r="L28" s="105"/>
    </row>
    <row r="29" spans="1:12" ht="14.1" customHeight="1" outlineLevel="3">
      <c r="B29" s="142">
        <f>B27+0.000001</f>
        <v>5.0103029999999995</v>
      </c>
      <c r="C29" s="347" t="s">
        <v>627</v>
      </c>
      <c r="D29" s="81" t="s">
        <v>169</v>
      </c>
      <c r="E29" s="111">
        <v>4.92</v>
      </c>
      <c r="F29" s="93">
        <v>114.71</v>
      </c>
      <c r="G29" s="82"/>
      <c r="H29" s="213" t="e">
        <f>+ROUND(F29+G29*TC,2)</f>
        <v>#REF!</v>
      </c>
      <c r="I29" s="213">
        <f>+ROUND(E29*F29,2)</f>
        <v>564.37</v>
      </c>
      <c r="J29" s="201">
        <f>+ROUND(E29*G29,2)</f>
        <v>0</v>
      </c>
      <c r="K29" s="93" t="e">
        <f>+ROUND(I29+J29*TC,2)</f>
        <v>#REF!</v>
      </c>
      <c r="L29" s="105"/>
    </row>
    <row r="30" spans="1:12" ht="14.1" customHeight="1" outlineLevel="3">
      <c r="B30" s="142">
        <f>B28+0.000001</f>
        <v>5.010400999999999</v>
      </c>
      <c r="C30" s="347" t="s">
        <v>628</v>
      </c>
      <c r="D30" s="81" t="s">
        <v>169</v>
      </c>
      <c r="E30" s="111">
        <v>46.38</v>
      </c>
      <c r="F30" s="93">
        <v>121.71</v>
      </c>
      <c r="G30" s="82"/>
      <c r="H30" s="213" t="e">
        <f>+ROUND(F30+G30*TC,2)</f>
        <v>#REF!</v>
      </c>
      <c r="I30" s="213">
        <f>+ROUND(E30*F30,2)</f>
        <v>5644.91</v>
      </c>
      <c r="J30" s="201">
        <f>+ROUND(E30*G30,2)</f>
        <v>0</v>
      </c>
      <c r="K30" s="93" t="e">
        <f>+ROUND(I30+J30*TC,2)</f>
        <v>#REF!</v>
      </c>
      <c r="L30" s="105"/>
    </row>
    <row r="31" spans="1:12" ht="14.1" customHeight="1" outlineLevel="3">
      <c r="B31" s="142">
        <f>B30+0.000001</f>
        <v>5.0104019999999991</v>
      </c>
      <c r="C31" s="347" t="s">
        <v>629</v>
      </c>
      <c r="D31" s="81" t="s">
        <v>169</v>
      </c>
      <c r="E31" s="111">
        <v>129.77000000000001</v>
      </c>
      <c r="F31" s="93">
        <v>117.71</v>
      </c>
      <c r="G31" s="82"/>
      <c r="H31" s="213" t="e">
        <f>+ROUND(F31+G31*TC,2)</f>
        <v>#REF!</v>
      </c>
      <c r="I31" s="213">
        <f>+ROUND(E31*F31,2)</f>
        <v>15275.23</v>
      </c>
      <c r="J31" s="201">
        <f>+ROUND(E31*G31,2)</f>
        <v>0</v>
      </c>
      <c r="K31" s="93" t="e">
        <f>+ROUND(I31+J31*TC,2)</f>
        <v>#REF!</v>
      </c>
      <c r="L31" s="105"/>
    </row>
    <row r="32" spans="1:12" ht="14.1" customHeight="1" outlineLevel="3">
      <c r="B32" s="142">
        <f>B31+0.000001</f>
        <v>5.0104029999999993</v>
      </c>
      <c r="C32" s="347" t="s">
        <v>630</v>
      </c>
      <c r="D32" s="81" t="s">
        <v>169</v>
      </c>
      <c r="E32" s="111">
        <v>11.36</v>
      </c>
      <c r="F32" s="93">
        <v>126.21</v>
      </c>
      <c r="G32" s="82"/>
      <c r="H32" s="213" t="e">
        <f>+ROUND(F32+G32*TC,2)</f>
        <v>#REF!</v>
      </c>
      <c r="I32" s="213">
        <f>+ROUND(E32*F32,2)</f>
        <v>1433.75</v>
      </c>
      <c r="J32" s="201">
        <f>+ROUND(E32*G32,2)</f>
        <v>0</v>
      </c>
      <c r="K32" s="93" t="e">
        <f>+ROUND(I32+J32*TC,2)</f>
        <v>#REF!</v>
      </c>
      <c r="L32" s="105"/>
    </row>
    <row r="33" spans="2:12" ht="14.1" customHeight="1" outlineLevel="2">
      <c r="B33" s="377">
        <f>B28+0.0001</f>
        <v>5.0104999999999986</v>
      </c>
      <c r="C33" s="345" t="s">
        <v>631</v>
      </c>
      <c r="D33" s="370"/>
      <c r="E33" s="371"/>
      <c r="F33" s="93"/>
      <c r="G33" s="378"/>
      <c r="H33" s="213"/>
      <c r="I33" s="213"/>
      <c r="J33" s="201"/>
      <c r="K33" s="93"/>
      <c r="L33" s="105"/>
    </row>
    <row r="34" spans="2:12" ht="14.1" customHeight="1" outlineLevel="3">
      <c r="B34" s="142">
        <f>B33+0.000001</f>
        <v>5.0105009999999988</v>
      </c>
      <c r="C34" s="347" t="s">
        <v>632</v>
      </c>
      <c r="D34" s="81" t="s">
        <v>185</v>
      </c>
      <c r="E34" s="111">
        <v>1656.54</v>
      </c>
      <c r="F34" s="93">
        <v>0</v>
      </c>
      <c r="G34" s="103">
        <v>0.91</v>
      </c>
      <c r="H34" s="213" t="e">
        <f>+ROUND(F34+G34*TC,2)</f>
        <v>#REF!</v>
      </c>
      <c r="I34" s="213">
        <f>+ROUND(E34*F34,2)</f>
        <v>0</v>
      </c>
      <c r="J34" s="201">
        <f>+ROUND(E34*G34,2)</f>
        <v>1507.45</v>
      </c>
      <c r="K34" s="93" t="e">
        <f>+ROUND(I34+J34*TC,2)</f>
        <v>#REF!</v>
      </c>
      <c r="L34" s="105"/>
    </row>
    <row r="35" spans="2:12" ht="14.1" customHeight="1" outlineLevel="2">
      <c r="B35" s="377">
        <f>B33+0.0001</f>
        <v>5.0105999999999984</v>
      </c>
      <c r="C35" s="345" t="s">
        <v>633</v>
      </c>
      <c r="D35" s="370"/>
      <c r="E35" s="371"/>
      <c r="F35" s="93"/>
      <c r="G35" s="378"/>
      <c r="H35" s="213"/>
      <c r="I35" s="213"/>
      <c r="J35" s="201"/>
      <c r="K35" s="93"/>
      <c r="L35" s="105"/>
    </row>
    <row r="36" spans="2:12" ht="14.1" customHeight="1" outlineLevel="3">
      <c r="B36" s="142">
        <f>B35+0.000001</f>
        <v>5.0106009999999985</v>
      </c>
      <c r="C36" s="348" t="s">
        <v>634</v>
      </c>
      <c r="D36" s="81" t="s">
        <v>36</v>
      </c>
      <c r="E36" s="111">
        <v>103</v>
      </c>
      <c r="F36" s="93">
        <v>120</v>
      </c>
      <c r="G36" s="82"/>
      <c r="H36" s="213" t="e">
        <f>+ROUND(F36+G36*TC,2)</f>
        <v>#REF!</v>
      </c>
      <c r="I36" s="213">
        <f>+ROUND(E36*F36,2)</f>
        <v>12360</v>
      </c>
      <c r="J36" s="201">
        <f>+ROUND(E36*G36,2)</f>
        <v>0</v>
      </c>
      <c r="K36" s="93" t="e">
        <f>+ROUND(I36+J36*TC,2)</f>
        <v>#REF!</v>
      </c>
      <c r="L36" s="105"/>
    </row>
    <row r="37" spans="2:12" ht="14.1" customHeight="1" outlineLevel="3">
      <c r="B37" s="142">
        <f>B36+0.000001</f>
        <v>5.0106019999999987</v>
      </c>
      <c r="C37" s="347" t="s">
        <v>635</v>
      </c>
      <c r="D37" s="81" t="s">
        <v>36</v>
      </c>
      <c r="E37" s="111">
        <v>6</v>
      </c>
      <c r="F37" s="93">
        <v>125</v>
      </c>
      <c r="G37" s="82"/>
      <c r="H37" s="213" t="e">
        <f>+ROUND(F37+G37*TC,2)</f>
        <v>#REF!</v>
      </c>
      <c r="I37" s="213">
        <f>+ROUND(E37*F37,2)</f>
        <v>750</v>
      </c>
      <c r="J37" s="201">
        <f>+ROUND(E37*G37,2)</f>
        <v>0</v>
      </c>
      <c r="K37" s="93" t="e">
        <f>+ROUND(I37+J37*TC,2)</f>
        <v>#REF!</v>
      </c>
      <c r="L37" s="105"/>
    </row>
    <row r="38" spans="2:12" ht="14.1" customHeight="1" outlineLevel="2">
      <c r="B38" s="377">
        <f>B35+0.0001</f>
        <v>5.0106999999999982</v>
      </c>
      <c r="C38" s="345" t="s">
        <v>636</v>
      </c>
      <c r="D38" s="370"/>
      <c r="E38" s="371"/>
      <c r="F38" s="93"/>
      <c r="G38" s="378"/>
      <c r="H38" s="213"/>
      <c r="I38" s="213"/>
      <c r="J38" s="201"/>
      <c r="K38" s="93"/>
      <c r="L38" s="105"/>
    </row>
    <row r="39" spans="2:12" ht="13.15" customHeight="1" outlineLevel="3">
      <c r="B39" s="142">
        <f>B38+0.000001</f>
        <v>5.0107009999999983</v>
      </c>
      <c r="C39" s="365" t="s">
        <v>637</v>
      </c>
      <c r="D39" s="81" t="s">
        <v>36</v>
      </c>
      <c r="E39" s="111">
        <v>6</v>
      </c>
      <c r="F39" s="106">
        <v>80</v>
      </c>
      <c r="G39" s="103"/>
      <c r="H39" s="213" t="e">
        <f>+ROUND(F39+G39*TC,2)</f>
        <v>#REF!</v>
      </c>
      <c r="I39" s="213">
        <f>+ROUND(E39*F39,2)</f>
        <v>480</v>
      </c>
      <c r="J39" s="201">
        <f>+ROUND(E39*G39,2)</f>
        <v>0</v>
      </c>
      <c r="K39" s="93" t="e">
        <f>+ROUND(I39+J39*TC,2)</f>
        <v>#REF!</v>
      </c>
      <c r="L39" s="97"/>
    </row>
    <row r="40" spans="2:12" ht="14.1" customHeight="1" outlineLevel="1">
      <c r="B40" s="140">
        <f>B13+0.0001</f>
        <v>5.0101999999999993</v>
      </c>
      <c r="C40" s="373" t="s">
        <v>638</v>
      </c>
      <c r="D40" s="374"/>
      <c r="E40" s="375"/>
      <c r="F40" s="93" t="s">
        <v>8</v>
      </c>
      <c r="G40" s="376"/>
      <c r="H40" s="93" t="str">
        <f>IFERROR(IF(D40&lt;&gt;0,(F40+G40*TC)," ")," ")</f>
        <v xml:space="preserve"> </v>
      </c>
      <c r="I40" s="95" t="str">
        <f t="shared" ref="I40:I41" si="10">IFERROR(IF($E40=0,"",$E40*F40),"")</f>
        <v/>
      </c>
      <c r="J40" s="102" t="str">
        <f t="shared" ref="J40:J41" si="11">IFERROR(IF($E40=0,"",$E40*G40),"")</f>
        <v/>
      </c>
      <c r="K40" s="93" t="str">
        <f>IFERROR(IF(E40&lt;&gt;0,(E40*H40)," "),0)</f>
        <v xml:space="preserve"> </v>
      </c>
      <c r="L40" s="343"/>
    </row>
    <row r="41" spans="2:12" ht="14.1" customHeight="1" outlineLevel="2">
      <c r="B41" s="377">
        <f>B40+0.00001</f>
        <v>5.0102099999999989</v>
      </c>
      <c r="C41" s="345" t="s">
        <v>639</v>
      </c>
      <c r="D41" s="370"/>
      <c r="E41" s="371"/>
      <c r="F41" s="93" t="s">
        <v>8</v>
      </c>
      <c r="G41" s="378"/>
      <c r="H41" s="93" t="str">
        <f>IFERROR(IF(D41&lt;&gt;0,(F41+G41*TC)," ")," ")</f>
        <v xml:space="preserve"> </v>
      </c>
      <c r="I41" s="95" t="str">
        <f t="shared" si="10"/>
        <v/>
      </c>
      <c r="J41" s="102" t="str">
        <f t="shared" si="11"/>
        <v/>
      </c>
      <c r="K41" s="93" t="str">
        <f>IFERROR(IF(E41&lt;&gt;0,(E41*H41)," "),0)</f>
        <v xml:space="preserve"> </v>
      </c>
      <c r="L41" s="105"/>
    </row>
    <row r="42" spans="2:12" ht="14.1" customHeight="1" outlineLevel="3">
      <c r="B42" s="142"/>
      <c r="C42" s="486" t="s">
        <v>640</v>
      </c>
      <c r="D42" s="487" t="s">
        <v>169</v>
      </c>
      <c r="E42" s="111">
        <v>5.09</v>
      </c>
      <c r="F42" s="106">
        <v>145</v>
      </c>
      <c r="G42" s="82"/>
      <c r="H42" s="213" t="e">
        <f>+ROUND(F42+G42*TC,2)</f>
        <v>#REF!</v>
      </c>
      <c r="I42" s="213">
        <f>+ROUND(E42*F42,2)</f>
        <v>738.05</v>
      </c>
      <c r="J42" s="201">
        <f>+ROUND(E42*G42,2)</f>
        <v>0</v>
      </c>
      <c r="K42" s="93" t="e">
        <f>+ROUND(I42+J42*TC,2)</f>
        <v>#REF!</v>
      </c>
      <c r="L42" s="105"/>
    </row>
    <row r="43" spans="2:12" ht="14.1" customHeight="1" outlineLevel="2">
      <c r="B43" s="377">
        <f>B41+0.0001</f>
        <v>5.0103099999999987</v>
      </c>
      <c r="C43" s="345" t="s">
        <v>641</v>
      </c>
      <c r="D43" s="370"/>
      <c r="E43" s="371"/>
      <c r="F43" s="93" t="s">
        <v>8</v>
      </c>
      <c r="G43" s="378"/>
      <c r="H43" s="213"/>
      <c r="I43" s="213"/>
      <c r="J43" s="201"/>
      <c r="K43" s="93"/>
      <c r="L43" s="105"/>
    </row>
    <row r="44" spans="2:12" ht="14.1" customHeight="1" outlineLevel="3">
      <c r="B44" s="142"/>
      <c r="C44" s="347" t="s">
        <v>642</v>
      </c>
      <c r="D44" s="488" t="s">
        <v>643</v>
      </c>
      <c r="E44" s="111">
        <v>1.9</v>
      </c>
      <c r="F44" s="106">
        <v>145</v>
      </c>
      <c r="G44" s="82"/>
      <c r="H44" s="213" t="e">
        <f>+ROUND(F44+G44*TC,2)</f>
        <v>#REF!</v>
      </c>
      <c r="I44" s="213">
        <f>+ROUND(E44*F44,2)</f>
        <v>275.5</v>
      </c>
      <c r="J44" s="201">
        <f>+ROUND(E44*G44,2)</f>
        <v>0</v>
      </c>
      <c r="K44" s="93" t="e">
        <f>+ROUND(I44+J44*TC,2)</f>
        <v>#REF!</v>
      </c>
      <c r="L44" s="105"/>
    </row>
    <row r="45" spans="2:12" ht="14.1" customHeight="1" outlineLevel="3">
      <c r="B45" s="142"/>
      <c r="C45" s="347" t="s">
        <v>644</v>
      </c>
      <c r="D45" s="488" t="s">
        <v>643</v>
      </c>
      <c r="E45" s="111">
        <v>1.9</v>
      </c>
      <c r="F45" s="106">
        <v>145</v>
      </c>
      <c r="G45" s="82"/>
      <c r="H45" s="213" t="e">
        <f>+ROUND(F45+G45*TC,2)</f>
        <v>#REF!</v>
      </c>
      <c r="I45" s="213">
        <f>+ROUND(E45*F45,2)</f>
        <v>275.5</v>
      </c>
      <c r="J45" s="201">
        <f>+ROUND(E45*G45,2)</f>
        <v>0</v>
      </c>
      <c r="K45" s="93" t="e">
        <f>+ROUND(I45+J45*TC,2)</f>
        <v>#REF!</v>
      </c>
      <c r="L45" s="105"/>
    </row>
    <row r="46" spans="2:12" ht="14.1" customHeight="1" outlineLevel="1">
      <c r="B46" s="140">
        <f>B40+0.0001</f>
        <v>5.0102999999999991</v>
      </c>
      <c r="C46" s="373" t="s">
        <v>645</v>
      </c>
      <c r="D46" s="374"/>
      <c r="E46" s="375"/>
      <c r="F46" s="93" t="s">
        <v>8</v>
      </c>
      <c r="G46" s="376"/>
      <c r="H46" s="93" t="str">
        <f>IFERROR(IF(D46&lt;&gt;0,(F46+G46*TC)," ")," ")</f>
        <v xml:space="preserve"> </v>
      </c>
      <c r="I46" s="95" t="str">
        <f t="shared" ref="I46" si="12">IFERROR(IF($E46=0,"",$E46*F46),"")</f>
        <v/>
      </c>
      <c r="J46" s="102" t="str">
        <f t="shared" ref="J46" si="13">IFERROR(IF($E46=0,"",$E46*G46),"")</f>
        <v/>
      </c>
      <c r="K46" s="93" t="str">
        <f>IFERROR(IF(E46&lt;&gt;0,(E46*H46)," "),0)</f>
        <v xml:space="preserve"> </v>
      </c>
      <c r="L46" s="343"/>
    </row>
    <row r="47" spans="2:12" ht="14.1" customHeight="1" outlineLevel="3">
      <c r="B47" s="143">
        <f>B46+0.000001</f>
        <v>5.0103009999999992</v>
      </c>
      <c r="C47" s="347" t="s">
        <v>646</v>
      </c>
      <c r="D47" s="81" t="s">
        <v>643</v>
      </c>
      <c r="E47" s="111">
        <v>2.59</v>
      </c>
      <c r="F47" s="93">
        <v>49.53</v>
      </c>
      <c r="G47" s="103">
        <v>1.0900000000000001</v>
      </c>
      <c r="H47" s="213" t="e">
        <f>+ROUND(F47+G47*TC,2)</f>
        <v>#REF!</v>
      </c>
      <c r="I47" s="213">
        <f>+ROUND(E47*F47,2)</f>
        <v>128.28</v>
      </c>
      <c r="J47" s="201">
        <f>+ROUND(E47*G47,2)</f>
        <v>2.82</v>
      </c>
      <c r="K47" s="93" t="e">
        <f>+ROUND(I47+J47*TC,2)</f>
        <v>#REF!</v>
      </c>
      <c r="L47" s="105"/>
    </row>
    <row r="48" spans="2:12" ht="14.1" customHeight="1" outlineLevel="3">
      <c r="B48" s="143">
        <f t="shared" ref="B48:B49" si="14">B47+0.000001</f>
        <v>5.0103019999999994</v>
      </c>
      <c r="C48" s="347" t="s">
        <v>647</v>
      </c>
      <c r="D48" s="81" t="s">
        <v>643</v>
      </c>
      <c r="E48" s="111">
        <v>12.730000000000002</v>
      </c>
      <c r="F48" s="93">
        <v>42.92</v>
      </c>
      <c r="G48" s="103">
        <v>0.73</v>
      </c>
      <c r="H48" s="213" t="e">
        <f>+ROUND(F48+G48*TC,2)</f>
        <v>#REF!</v>
      </c>
      <c r="I48" s="213">
        <f>+ROUND(E48*F48,2)</f>
        <v>546.37</v>
      </c>
      <c r="J48" s="201">
        <f>+ROUND(E48*G48,2)</f>
        <v>9.2899999999999991</v>
      </c>
      <c r="K48" s="93" t="e">
        <f>+ROUND(I48+J48*TC,2)</f>
        <v>#REF!</v>
      </c>
      <c r="L48" s="105"/>
    </row>
    <row r="49" spans="2:12" ht="14.1" customHeight="1" outlineLevel="3">
      <c r="B49" s="143">
        <f t="shared" si="14"/>
        <v>5.0103029999999995</v>
      </c>
      <c r="C49" s="347" t="s">
        <v>648</v>
      </c>
      <c r="D49" s="81" t="s">
        <v>643</v>
      </c>
      <c r="E49" s="111">
        <v>7.35</v>
      </c>
      <c r="F49" s="93">
        <v>42.92</v>
      </c>
      <c r="G49" s="103">
        <v>0.73</v>
      </c>
      <c r="H49" s="213" t="e">
        <f>+ROUND(F49+G49*TC,2)</f>
        <v>#REF!</v>
      </c>
      <c r="I49" s="213">
        <f>+ROUND(E49*F49,2)</f>
        <v>315.45999999999998</v>
      </c>
      <c r="J49" s="201">
        <f>+ROUND(E49*G49,2)</f>
        <v>5.37</v>
      </c>
      <c r="K49" s="93" t="e">
        <f>+ROUND(I49+J49*TC,2)</f>
        <v>#REF!</v>
      </c>
      <c r="L49" s="105"/>
    </row>
    <row r="50" spans="2:12" ht="14.1" customHeight="1">
      <c r="B50" s="218">
        <f>B12+0.01</f>
        <v>5.0199999999999996</v>
      </c>
      <c r="C50" s="379" t="s">
        <v>649</v>
      </c>
      <c r="D50" s="354"/>
      <c r="E50" s="111"/>
      <c r="F50" s="123"/>
      <c r="G50" s="87"/>
      <c r="H50" s="213"/>
      <c r="I50" s="213"/>
      <c r="J50" s="201"/>
      <c r="K50" s="93"/>
      <c r="L50" s="136" t="e">
        <f>SUM(I51:I56)+SUM(J51:J56)*TC</f>
        <v>#REF!</v>
      </c>
    </row>
    <row r="51" spans="2:12" ht="14.1" customHeight="1" outlineLevel="1">
      <c r="B51" s="141">
        <f t="shared" ref="B51:B56" si="15">B50+0.0001</f>
        <v>5.0200999999999993</v>
      </c>
      <c r="C51" s="347" t="s">
        <v>650</v>
      </c>
      <c r="D51" s="81" t="s">
        <v>169</v>
      </c>
      <c r="E51" s="111">
        <v>1599.43</v>
      </c>
      <c r="F51" s="93">
        <v>16.03</v>
      </c>
      <c r="G51" s="82"/>
      <c r="H51" s="213" t="e">
        <f t="shared" ref="H51:H56" si="16">+ROUND(F51+G51*TC,2)</f>
        <v>#REF!</v>
      </c>
      <c r="I51" s="213">
        <f t="shared" ref="I51:I56" si="17">+ROUND(E51*F51,2)</f>
        <v>25638.86</v>
      </c>
      <c r="J51" s="201">
        <f t="shared" ref="J51:J56" si="18">+ROUND(E51*G51,2)</f>
        <v>0</v>
      </c>
      <c r="K51" s="93" t="e">
        <f t="shared" ref="K51:K56" si="19">+ROUND(I51+J51*TC,2)</f>
        <v>#REF!</v>
      </c>
      <c r="L51" s="105"/>
    </row>
    <row r="52" spans="2:12" ht="14.1" customHeight="1" outlineLevel="1">
      <c r="B52" s="141">
        <f t="shared" si="15"/>
        <v>5.0201999999999991</v>
      </c>
      <c r="C52" s="347" t="s">
        <v>651</v>
      </c>
      <c r="D52" s="81" t="s">
        <v>169</v>
      </c>
      <c r="E52" s="111">
        <v>1989.4</v>
      </c>
      <c r="F52" s="93">
        <v>15.66</v>
      </c>
      <c r="G52" s="82"/>
      <c r="H52" s="213" t="e">
        <f t="shared" si="16"/>
        <v>#REF!</v>
      </c>
      <c r="I52" s="213">
        <f t="shared" si="17"/>
        <v>31154</v>
      </c>
      <c r="J52" s="201">
        <f t="shared" si="18"/>
        <v>0</v>
      </c>
      <c r="K52" s="93" t="e">
        <f t="shared" si="19"/>
        <v>#REF!</v>
      </c>
      <c r="L52" s="105"/>
    </row>
    <row r="53" spans="2:12" ht="14.1" customHeight="1" outlineLevel="1">
      <c r="B53" s="141">
        <f t="shared" si="15"/>
        <v>5.0202999999999989</v>
      </c>
      <c r="C53" s="347" t="s">
        <v>652</v>
      </c>
      <c r="D53" s="81" t="s">
        <v>169</v>
      </c>
      <c r="E53" s="111">
        <v>234.3</v>
      </c>
      <c r="F53" s="93">
        <v>23.85</v>
      </c>
      <c r="G53" s="82"/>
      <c r="H53" s="213" t="e">
        <f t="shared" si="16"/>
        <v>#REF!</v>
      </c>
      <c r="I53" s="213">
        <f t="shared" si="17"/>
        <v>5588.06</v>
      </c>
      <c r="J53" s="201">
        <f t="shared" si="18"/>
        <v>0</v>
      </c>
      <c r="K53" s="93" t="e">
        <f t="shared" si="19"/>
        <v>#REF!</v>
      </c>
      <c r="L53" s="105"/>
    </row>
    <row r="54" spans="2:12" ht="14.1" customHeight="1" outlineLevel="1">
      <c r="B54" s="141">
        <f t="shared" si="15"/>
        <v>5.0203999999999986</v>
      </c>
      <c r="C54" s="347" t="s">
        <v>653</v>
      </c>
      <c r="D54" s="81" t="s">
        <v>169</v>
      </c>
      <c r="E54" s="111">
        <v>358.44</v>
      </c>
      <c r="F54" s="93">
        <v>8.2799999999999994</v>
      </c>
      <c r="G54" s="82"/>
      <c r="H54" s="213" t="e">
        <f t="shared" si="16"/>
        <v>#REF!</v>
      </c>
      <c r="I54" s="213">
        <f t="shared" si="17"/>
        <v>2967.88</v>
      </c>
      <c r="J54" s="201">
        <f t="shared" si="18"/>
        <v>0</v>
      </c>
      <c r="K54" s="93" t="e">
        <f t="shared" si="19"/>
        <v>#REF!</v>
      </c>
      <c r="L54" s="105"/>
    </row>
    <row r="55" spans="2:12" ht="14.1" customHeight="1" outlineLevel="1">
      <c r="B55" s="141">
        <f t="shared" si="15"/>
        <v>5.0204999999999984</v>
      </c>
      <c r="C55" s="347" t="s">
        <v>654</v>
      </c>
      <c r="D55" s="81" t="s">
        <v>169</v>
      </c>
      <c r="E55" s="111">
        <v>253.92</v>
      </c>
      <c r="F55" s="93">
        <v>15.98</v>
      </c>
      <c r="G55" s="82"/>
      <c r="H55" s="213" t="e">
        <f t="shared" si="16"/>
        <v>#REF!</v>
      </c>
      <c r="I55" s="213">
        <f t="shared" si="17"/>
        <v>4057.64</v>
      </c>
      <c r="J55" s="201">
        <f t="shared" si="18"/>
        <v>0</v>
      </c>
      <c r="K55" s="93" t="e">
        <f t="shared" si="19"/>
        <v>#REF!</v>
      </c>
      <c r="L55" s="105"/>
    </row>
    <row r="56" spans="2:12" ht="33.75" outlineLevel="1">
      <c r="B56" s="141">
        <f t="shared" si="15"/>
        <v>5.0205999999999982</v>
      </c>
      <c r="C56" s="442" t="s">
        <v>655</v>
      </c>
      <c r="D56" s="81" t="s">
        <v>169</v>
      </c>
      <c r="E56" s="111">
        <v>281.93</v>
      </c>
      <c r="F56" s="93">
        <v>53</v>
      </c>
      <c r="G56" s="82"/>
      <c r="H56" s="213" t="e">
        <f t="shared" si="16"/>
        <v>#REF!</v>
      </c>
      <c r="I56" s="213">
        <f t="shared" si="17"/>
        <v>14942.29</v>
      </c>
      <c r="J56" s="201">
        <f t="shared" si="18"/>
        <v>0</v>
      </c>
      <c r="K56" s="93" t="e">
        <f t="shared" si="19"/>
        <v>#REF!</v>
      </c>
      <c r="L56" s="97"/>
    </row>
    <row r="57" spans="2:12" ht="14.1" customHeight="1">
      <c r="B57" s="218">
        <f>B50+0.01</f>
        <v>5.0299999999999994</v>
      </c>
      <c r="C57" s="379" t="s">
        <v>656</v>
      </c>
      <c r="D57" s="354"/>
      <c r="E57" s="111"/>
      <c r="F57" s="123"/>
      <c r="G57" s="87"/>
      <c r="H57" s="213"/>
      <c r="I57" s="213"/>
      <c r="J57" s="201"/>
      <c r="K57" s="93"/>
      <c r="L57" s="136" t="e">
        <f>SUM(I57:I60)+SUM(J57:J60)*TC</f>
        <v>#REF!</v>
      </c>
    </row>
    <row r="58" spans="2:12" ht="14.1" customHeight="1" outlineLevel="1">
      <c r="B58" s="141">
        <f>B57+0.0001</f>
        <v>5.0300999999999991</v>
      </c>
      <c r="C58" s="348" t="s">
        <v>657</v>
      </c>
      <c r="D58" s="81" t="s">
        <v>169</v>
      </c>
      <c r="E58" s="111">
        <v>3835.64</v>
      </c>
      <c r="F58" s="93">
        <v>3.7</v>
      </c>
      <c r="G58" s="82"/>
      <c r="H58" s="213" t="e">
        <f>+ROUND(F58+G58*TC,2)</f>
        <v>#REF!</v>
      </c>
      <c r="I58" s="213">
        <f>+ROUND(E58*F58,2)</f>
        <v>14191.87</v>
      </c>
      <c r="J58" s="201">
        <f>+ROUND(E58*G58,2)</f>
        <v>0</v>
      </c>
      <c r="K58" s="93" t="e">
        <f>+ROUND(I58+J58*TC,2)</f>
        <v>#REF!</v>
      </c>
      <c r="L58" s="105"/>
    </row>
    <row r="59" spans="2:12" ht="14.1" customHeight="1" outlineLevel="1">
      <c r="B59" s="141">
        <f>B57+0.0001</f>
        <v>5.0300999999999991</v>
      </c>
      <c r="C59" s="348" t="s">
        <v>658</v>
      </c>
      <c r="D59" s="81" t="s">
        <v>169</v>
      </c>
      <c r="E59" s="111">
        <v>32.909999999999997</v>
      </c>
      <c r="F59" s="93">
        <v>18.47</v>
      </c>
      <c r="G59" s="82"/>
      <c r="H59" s="213" t="e">
        <f>+ROUND(F59+G59*TC,2)</f>
        <v>#REF!</v>
      </c>
      <c r="I59" s="213">
        <f>+ROUND(E59*F59,2)</f>
        <v>607.85</v>
      </c>
      <c r="J59" s="201">
        <f>+ROUND(E59*G59,2)</f>
        <v>0</v>
      </c>
      <c r="K59" s="93" t="e">
        <f>+ROUND(I59+J59*TC,2)</f>
        <v>#REF!</v>
      </c>
      <c r="L59" s="105"/>
    </row>
    <row r="60" spans="2:12" ht="14.1" customHeight="1" outlineLevel="1">
      <c r="B60" s="141">
        <f>B58+0.0001</f>
        <v>5.0301999999999989</v>
      </c>
      <c r="C60" s="348" t="s">
        <v>659</v>
      </c>
      <c r="D60" s="81" t="s">
        <v>169</v>
      </c>
      <c r="E60" s="111">
        <v>654.89</v>
      </c>
      <c r="F60" s="93">
        <v>21.76</v>
      </c>
      <c r="G60" s="82"/>
      <c r="H60" s="213" t="e">
        <f>+ROUND(F60+G60*TC,2)</f>
        <v>#REF!</v>
      </c>
      <c r="I60" s="213">
        <f>+ROUND(E60*F60,2)</f>
        <v>14250.41</v>
      </c>
      <c r="J60" s="201">
        <f>+ROUND(E60*G60,2)</f>
        <v>0</v>
      </c>
      <c r="K60" s="93" t="e">
        <f>+ROUND(I60+J60*TC,2)</f>
        <v>#REF!</v>
      </c>
      <c r="L60" s="105"/>
    </row>
    <row r="61" spans="2:12" ht="14.1" customHeight="1">
      <c r="B61" s="218">
        <f>B57+0.01</f>
        <v>5.0399999999999991</v>
      </c>
      <c r="C61" s="379" t="s">
        <v>660</v>
      </c>
      <c r="D61" s="354"/>
      <c r="E61" s="111"/>
      <c r="F61" s="123"/>
      <c r="G61" s="87"/>
      <c r="H61" s="213"/>
      <c r="I61" s="213"/>
      <c r="J61" s="201"/>
      <c r="K61" s="93"/>
      <c r="L61" s="136" t="e">
        <f>SUM(I61:I79)+SUM(J61:J79)*TC</f>
        <v>#REF!</v>
      </c>
    </row>
    <row r="62" spans="2:12" ht="14.1" customHeight="1" outlineLevel="1">
      <c r="B62" s="140">
        <f>B61+0.0001</f>
        <v>5.0400999999999989</v>
      </c>
      <c r="C62" s="355" t="s">
        <v>661</v>
      </c>
      <c r="D62" s="81"/>
      <c r="E62" s="111"/>
      <c r="F62" s="93"/>
      <c r="G62" s="103"/>
      <c r="H62" s="213"/>
      <c r="I62" s="213"/>
      <c r="J62" s="201"/>
      <c r="K62" s="93"/>
      <c r="L62" s="97"/>
    </row>
    <row r="63" spans="2:12" ht="14.1" customHeight="1" outlineLevel="3">
      <c r="B63" s="143">
        <f>B62+0.000001</f>
        <v>5.0401009999999991</v>
      </c>
      <c r="C63" s="347" t="s">
        <v>662</v>
      </c>
      <c r="D63" s="81" t="s">
        <v>169</v>
      </c>
      <c r="E63" s="111">
        <v>56.96</v>
      </c>
      <c r="F63" s="93">
        <v>18.03</v>
      </c>
      <c r="G63" s="82"/>
      <c r="H63" s="213" t="e">
        <f>+ROUND(F63+G63*TC,2)</f>
        <v>#REF!</v>
      </c>
      <c r="I63" s="213">
        <f>+ROUND(E63*F63,2)</f>
        <v>1026.99</v>
      </c>
      <c r="J63" s="201">
        <f>+ROUND(E63*G63,2)</f>
        <v>0</v>
      </c>
      <c r="K63" s="93" t="e">
        <f>+ROUND(I63+J63*TC,2)</f>
        <v>#REF!</v>
      </c>
      <c r="L63" s="343"/>
    </row>
    <row r="64" spans="2:12" ht="14.1" customHeight="1" outlineLevel="1">
      <c r="B64" s="140">
        <f>B62+0.0001</f>
        <v>5.0401999999999987</v>
      </c>
      <c r="C64" s="355" t="s">
        <v>663</v>
      </c>
      <c r="D64" s="81"/>
      <c r="E64" s="111"/>
      <c r="F64" s="93"/>
      <c r="G64" s="103"/>
      <c r="H64" s="213"/>
      <c r="I64" s="213"/>
      <c r="J64" s="201"/>
      <c r="K64" s="93"/>
      <c r="L64" s="97"/>
    </row>
    <row r="65" spans="2:12" ht="14.1" customHeight="1" outlineLevel="3">
      <c r="B65" s="143">
        <f>B64+0.000001</f>
        <v>5.0402009999999988</v>
      </c>
      <c r="C65" s="348" t="s">
        <v>664</v>
      </c>
      <c r="D65" s="81" t="s">
        <v>169</v>
      </c>
      <c r="E65" s="111">
        <v>59.57</v>
      </c>
      <c r="F65" s="93">
        <v>43.71</v>
      </c>
      <c r="G65" s="82"/>
      <c r="H65" s="213" t="e">
        <f>+ROUND(F65+G65*TC,2)</f>
        <v>#REF!</v>
      </c>
      <c r="I65" s="213">
        <f>+ROUND(E65*F65,2)</f>
        <v>2603.8000000000002</v>
      </c>
      <c r="J65" s="201">
        <f>+ROUND(E65*G65,2)</f>
        <v>0</v>
      </c>
      <c r="K65" s="93" t="e">
        <f>+ROUND(I65+J65*TC,2)</f>
        <v>#REF!</v>
      </c>
      <c r="L65" s="343"/>
    </row>
    <row r="66" spans="2:12" ht="14.1" customHeight="1" outlineLevel="1">
      <c r="B66" s="140">
        <f>B64+0.0001</f>
        <v>5.0402999999999984</v>
      </c>
      <c r="C66" s="355" t="s">
        <v>665</v>
      </c>
      <c r="D66" s="81"/>
      <c r="E66" s="111"/>
      <c r="F66" s="93"/>
      <c r="G66" s="103"/>
      <c r="H66" s="213"/>
      <c r="I66" s="213"/>
      <c r="J66" s="201"/>
      <c r="K66" s="93"/>
      <c r="L66" s="97"/>
    </row>
    <row r="67" spans="2:12" ht="14.1" customHeight="1" outlineLevel="3">
      <c r="B67" s="143">
        <f>B66+0.000001</f>
        <v>5.0403009999999986</v>
      </c>
      <c r="C67" s="348" t="s">
        <v>664</v>
      </c>
      <c r="D67" s="81" t="s">
        <v>169</v>
      </c>
      <c r="E67" s="111">
        <v>70.569999999999993</v>
      </c>
      <c r="F67" s="93">
        <v>43.71</v>
      </c>
      <c r="G67" s="82"/>
      <c r="H67" s="213" t="e">
        <f>+ROUND(F67+G67*TC,2)</f>
        <v>#REF!</v>
      </c>
      <c r="I67" s="213">
        <f>+ROUND(E67*F67,2)</f>
        <v>3084.61</v>
      </c>
      <c r="J67" s="201">
        <f>+ROUND(E67*G67,2)</f>
        <v>0</v>
      </c>
      <c r="K67" s="93" t="e">
        <f>+ROUND(I67+J67*TC,2)</f>
        <v>#REF!</v>
      </c>
      <c r="L67" s="343"/>
    </row>
    <row r="68" spans="2:12" ht="14.1" customHeight="1" outlineLevel="1">
      <c r="B68" s="140">
        <f>B66+0.0001</f>
        <v>5.0403999999999982</v>
      </c>
      <c r="C68" s="356" t="s">
        <v>666</v>
      </c>
      <c r="D68" s="81"/>
      <c r="E68" s="111"/>
      <c r="F68" s="93"/>
      <c r="G68" s="103"/>
      <c r="H68" s="213"/>
      <c r="I68" s="213"/>
      <c r="J68" s="201"/>
      <c r="K68" s="93"/>
      <c r="L68" s="97"/>
    </row>
    <row r="69" spans="2:12" ht="14.1" customHeight="1" outlineLevel="2">
      <c r="B69" s="142">
        <f>B68+0.000001</f>
        <v>5.0404009999999984</v>
      </c>
      <c r="C69" s="348" t="s">
        <v>667</v>
      </c>
      <c r="D69" s="81" t="s">
        <v>169</v>
      </c>
      <c r="E69" s="111">
        <v>427.46999999999997</v>
      </c>
      <c r="F69" s="93">
        <v>41.98</v>
      </c>
      <c r="G69" s="82"/>
      <c r="H69" s="213" t="e">
        <f>+ROUND(F69+G69*TC,2)</f>
        <v>#REF!</v>
      </c>
      <c r="I69" s="213">
        <f>+ROUND(E69*F69,2)</f>
        <v>17945.189999999999</v>
      </c>
      <c r="J69" s="201">
        <f>+ROUND(E69*G69,2)</f>
        <v>0</v>
      </c>
      <c r="K69" s="93" t="e">
        <f>+ROUND(I69+J69*TC,2)</f>
        <v>#REF!</v>
      </c>
      <c r="L69" s="105"/>
    </row>
    <row r="70" spans="2:12" ht="14.1" customHeight="1" outlineLevel="1">
      <c r="B70" s="140">
        <f>B68+0.0001</f>
        <v>5.040499999999998</v>
      </c>
      <c r="C70" s="356" t="s">
        <v>668</v>
      </c>
      <c r="D70" s="81"/>
      <c r="E70" s="111"/>
      <c r="F70" s="93"/>
      <c r="G70" s="103"/>
      <c r="H70" s="213"/>
      <c r="I70" s="213"/>
      <c r="J70" s="201"/>
      <c r="K70" s="93"/>
      <c r="L70" s="97"/>
    </row>
    <row r="71" spans="2:12" ht="14.1" customHeight="1" outlineLevel="2">
      <c r="B71" s="142">
        <f>B70+0.000001</f>
        <v>5.0405009999999981</v>
      </c>
      <c r="C71" s="348" t="s">
        <v>669</v>
      </c>
      <c r="D71" s="81" t="s">
        <v>169</v>
      </c>
      <c r="E71" s="111">
        <v>2151.6999999999998</v>
      </c>
      <c r="F71" s="93">
        <v>14.23</v>
      </c>
      <c r="G71" s="82"/>
      <c r="H71" s="213" t="e">
        <f>+ROUND(F71+G71*TC,2)</f>
        <v>#REF!</v>
      </c>
      <c r="I71" s="213">
        <f>+ROUND(E71*F71,2)</f>
        <v>30618.69</v>
      </c>
      <c r="J71" s="201">
        <f>+ROUND(E71*G71,2)</f>
        <v>0</v>
      </c>
      <c r="K71" s="93" t="e">
        <f>+ROUND(I71+J71*TC,2)</f>
        <v>#REF!</v>
      </c>
      <c r="L71" s="105"/>
    </row>
    <row r="72" spans="2:12" ht="14.1" customHeight="1" outlineLevel="1">
      <c r="B72" s="140">
        <f>B70+0.0001</f>
        <v>5.0405999999999977</v>
      </c>
      <c r="C72" s="356" t="s">
        <v>670</v>
      </c>
      <c r="D72" s="81"/>
      <c r="E72" s="111"/>
      <c r="F72" s="93"/>
      <c r="G72" s="103"/>
      <c r="H72" s="213"/>
      <c r="I72" s="213"/>
      <c r="J72" s="201"/>
      <c r="K72" s="93"/>
      <c r="L72" s="97"/>
    </row>
    <row r="73" spans="2:12" ht="14.1" customHeight="1" outlineLevel="2">
      <c r="B73" s="142">
        <f>B72+0.000001</f>
        <v>5.0406009999999979</v>
      </c>
      <c r="C73" s="348" t="s">
        <v>671</v>
      </c>
      <c r="D73" s="81" t="s">
        <v>169</v>
      </c>
      <c r="E73" s="111">
        <v>1367.5</v>
      </c>
      <c r="F73" s="93">
        <v>44.73</v>
      </c>
      <c r="G73" s="82"/>
      <c r="H73" s="213" t="e">
        <f>+ROUND(F73+G73*TC,2)</f>
        <v>#REF!</v>
      </c>
      <c r="I73" s="213">
        <f>+ROUND(E73*F73,2)</f>
        <v>61168.28</v>
      </c>
      <c r="J73" s="201">
        <f>+ROUND(E73*G73,2)</f>
        <v>0</v>
      </c>
      <c r="K73" s="93" t="e">
        <f>+ROUND(I73+J73*TC,2)</f>
        <v>#REF!</v>
      </c>
      <c r="L73" s="97"/>
    </row>
    <row r="74" spans="2:12" ht="14.1" customHeight="1" outlineLevel="1">
      <c r="B74" s="140">
        <f>B72+0.0001</f>
        <v>5.0406999999999975</v>
      </c>
      <c r="C74" s="356" t="s">
        <v>672</v>
      </c>
      <c r="D74" s="81"/>
      <c r="E74" s="111"/>
      <c r="F74" s="93"/>
      <c r="G74" s="103"/>
      <c r="H74" s="213"/>
      <c r="I74" s="213"/>
      <c r="J74" s="201"/>
      <c r="K74" s="93"/>
      <c r="L74" s="97"/>
    </row>
    <row r="75" spans="2:12" ht="14.1" customHeight="1" outlineLevel="2">
      <c r="B75" s="142">
        <f>B74+0.000001</f>
        <v>5.0407009999999977</v>
      </c>
      <c r="C75" s="348" t="s">
        <v>673</v>
      </c>
      <c r="D75" s="81" t="s">
        <v>169</v>
      </c>
      <c r="E75" s="111">
        <v>141.07</v>
      </c>
      <c r="F75" s="93">
        <v>53</v>
      </c>
      <c r="G75" s="82"/>
      <c r="H75" s="213" t="e">
        <f>+ROUND(F75+G75*TC,2)</f>
        <v>#REF!</v>
      </c>
      <c r="I75" s="213">
        <f>+ROUND(E75*F75,2)</f>
        <v>7476.71</v>
      </c>
      <c r="J75" s="201">
        <f>+ROUND(E75*G75,2)</f>
        <v>0</v>
      </c>
      <c r="K75" s="93" t="e">
        <f>+ROUND(I75+J75*TC,2)</f>
        <v>#REF!</v>
      </c>
      <c r="L75" s="97"/>
    </row>
    <row r="76" spans="2:12" ht="14.1" customHeight="1" outlineLevel="1">
      <c r="B76" s="140">
        <f>B74+0.0001</f>
        <v>5.0407999999999973</v>
      </c>
      <c r="C76" s="356" t="s">
        <v>674</v>
      </c>
      <c r="D76" s="81"/>
      <c r="E76" s="111"/>
      <c r="F76" s="93"/>
      <c r="G76" s="103"/>
      <c r="H76" s="213"/>
      <c r="I76" s="213"/>
      <c r="J76" s="201"/>
      <c r="K76" s="93"/>
      <c r="L76" s="97"/>
    </row>
    <row r="77" spans="2:12" ht="14.1" customHeight="1" outlineLevel="2">
      <c r="B77" s="142">
        <f>B76+0.000001</f>
        <v>5.0408009999999974</v>
      </c>
      <c r="C77" s="489" t="s">
        <v>675</v>
      </c>
      <c r="D77" s="81" t="s">
        <v>169</v>
      </c>
      <c r="E77" s="111">
        <v>26.91</v>
      </c>
      <c r="F77" s="93">
        <v>75.27000000000001</v>
      </c>
      <c r="G77" s="82"/>
      <c r="H77" s="213" t="e">
        <f>+ROUND(F77+G77*TC,2)</f>
        <v>#REF!</v>
      </c>
      <c r="I77" s="213">
        <f>+ROUND(E77*F77,2)</f>
        <v>2025.52</v>
      </c>
      <c r="J77" s="201">
        <f>+ROUND(E77*G77,2)</f>
        <v>0</v>
      </c>
      <c r="K77" s="93" t="e">
        <f>+ROUND(I77+J77*TC,2)</f>
        <v>#REF!</v>
      </c>
      <c r="L77" s="97"/>
    </row>
    <row r="78" spans="2:12" ht="14.1" customHeight="1" outlineLevel="1">
      <c r="B78" s="140">
        <f>B76+0.0001</f>
        <v>5.040899999999997</v>
      </c>
      <c r="C78" s="356" t="s">
        <v>676</v>
      </c>
      <c r="D78" s="81"/>
      <c r="E78" s="111"/>
      <c r="F78" s="93"/>
      <c r="G78" s="103"/>
      <c r="H78" s="213"/>
      <c r="I78" s="213"/>
      <c r="J78" s="201"/>
      <c r="K78" s="93"/>
      <c r="L78" s="97"/>
    </row>
    <row r="79" spans="2:12" ht="14.1" customHeight="1" outlineLevel="2">
      <c r="B79" s="142">
        <f>B78+0.000001</f>
        <v>5.0409009999999972</v>
      </c>
      <c r="C79" s="56" t="s">
        <v>677</v>
      </c>
      <c r="D79" s="81" t="s">
        <v>169</v>
      </c>
      <c r="E79" s="111">
        <v>6.11</v>
      </c>
      <c r="F79" s="93">
        <v>71.91</v>
      </c>
      <c r="G79" s="82"/>
      <c r="H79" s="213" t="e">
        <f>+ROUND(F79+G79*TC,2)</f>
        <v>#REF!</v>
      </c>
      <c r="I79" s="213">
        <f>+ROUND(E79*F79,2)</f>
        <v>439.37</v>
      </c>
      <c r="J79" s="201">
        <f>+ROUND(E79*G79,2)</f>
        <v>0</v>
      </c>
      <c r="K79" s="93" t="e">
        <f>+ROUND(I79+J79*TC,2)</f>
        <v>#REF!</v>
      </c>
      <c r="L79" s="97"/>
    </row>
    <row r="80" spans="2:12" ht="14.1" customHeight="1">
      <c r="B80" s="218">
        <f>B73+0.01</f>
        <v>5.0506009999999977</v>
      </c>
      <c r="C80" s="379" t="s">
        <v>678</v>
      </c>
      <c r="D80" s="354"/>
      <c r="E80" s="111"/>
      <c r="F80" s="123"/>
      <c r="G80" s="87"/>
      <c r="H80" s="213"/>
      <c r="I80" s="213"/>
      <c r="J80" s="201"/>
      <c r="K80" s="93"/>
      <c r="L80" s="136" t="e">
        <f>SUM(I80:I82)+SUM(J80:J82)*TC</f>
        <v>#REF!</v>
      </c>
    </row>
    <row r="81" spans="2:12" ht="14.1" customHeight="1" outlineLevel="1">
      <c r="B81" s="141" t="s">
        <v>679</v>
      </c>
      <c r="C81" s="489" t="s">
        <v>675</v>
      </c>
      <c r="D81" s="81" t="s">
        <v>169</v>
      </c>
      <c r="E81" s="111">
        <v>54.96</v>
      </c>
      <c r="F81" s="93">
        <v>75.27000000000001</v>
      </c>
      <c r="G81" s="82"/>
      <c r="H81" s="213" t="e">
        <f>+ROUND(F81+G81*TC,2)</f>
        <v>#REF!</v>
      </c>
      <c r="I81" s="213">
        <f>+ROUND(E81*F81,2)</f>
        <v>4136.84</v>
      </c>
      <c r="J81" s="201">
        <f>+ROUND(E81*G81,2)</f>
        <v>0</v>
      </c>
      <c r="K81" s="93" t="e">
        <f>+ROUND(I81+J81*TC,2)</f>
        <v>#REF!</v>
      </c>
      <c r="L81" s="105"/>
    </row>
    <row r="82" spans="2:12" ht="14.1" customHeight="1">
      <c r="B82" s="218">
        <f>B80+0.01</f>
        <v>5.0606009999999975</v>
      </c>
      <c r="C82" s="379" t="s">
        <v>680</v>
      </c>
      <c r="D82" s="354"/>
      <c r="E82" s="111"/>
      <c r="F82" s="123"/>
      <c r="G82" s="87"/>
      <c r="H82" s="213"/>
      <c r="I82" s="213"/>
      <c r="J82" s="201"/>
      <c r="K82" s="93"/>
      <c r="L82" s="136" t="e">
        <f>SUM(I83:I92)+SUM(J83:J92)*TC</f>
        <v>#REF!</v>
      </c>
    </row>
    <row r="83" spans="2:12" ht="14.1" customHeight="1" outlineLevel="1">
      <c r="B83" s="140">
        <f>B82+0.0001</f>
        <v>5.0607009999999972</v>
      </c>
      <c r="C83" s="356" t="s">
        <v>681</v>
      </c>
      <c r="D83" s="81"/>
      <c r="E83" s="111"/>
      <c r="F83" s="93"/>
      <c r="G83" s="82"/>
      <c r="H83" s="213"/>
      <c r="I83" s="213"/>
      <c r="J83" s="201"/>
      <c r="K83" s="93"/>
      <c r="L83" s="97"/>
    </row>
    <row r="84" spans="2:12" ht="14.1" customHeight="1" outlineLevel="2">
      <c r="B84" s="142">
        <f>B83+0.000001</f>
        <v>5.0607019999999974</v>
      </c>
      <c r="C84" s="348" t="s">
        <v>682</v>
      </c>
      <c r="D84" s="81" t="s">
        <v>46</v>
      </c>
      <c r="E84" s="111">
        <v>1944.37</v>
      </c>
      <c r="F84" s="106">
        <v>12.75</v>
      </c>
      <c r="G84" s="82"/>
      <c r="H84" s="213" t="e">
        <f>+ROUND(F84+G84*TC,2)</f>
        <v>#REF!</v>
      </c>
      <c r="I84" s="213">
        <f>+ROUND(E84*F84,2)</f>
        <v>24790.720000000001</v>
      </c>
      <c r="J84" s="201">
        <f>+ROUND(E84*G84,2)</f>
        <v>0</v>
      </c>
      <c r="K84" s="93" t="e">
        <f>+ROUND(I84+J84*TC,2)</f>
        <v>#REF!</v>
      </c>
      <c r="L84" s="97"/>
    </row>
    <row r="85" spans="2:12" ht="14.1" customHeight="1" outlineLevel="1">
      <c r="B85" s="140">
        <f>B83+0.0001</f>
        <v>5.060800999999997</v>
      </c>
      <c r="C85" s="380" t="s">
        <v>683</v>
      </c>
      <c r="D85" s="81"/>
      <c r="E85" s="111"/>
      <c r="F85" s="93"/>
      <c r="G85" s="52"/>
      <c r="H85" s="213"/>
      <c r="I85" s="213"/>
      <c r="J85" s="201"/>
      <c r="K85" s="93"/>
      <c r="L85" s="97"/>
    </row>
    <row r="86" spans="2:12" ht="14.1" customHeight="1" outlineLevel="2">
      <c r="B86" s="142">
        <f>B85+0.000001</f>
        <v>5.0608019999999971</v>
      </c>
      <c r="C86" s="381" t="s">
        <v>684</v>
      </c>
      <c r="D86" s="81" t="s">
        <v>46</v>
      </c>
      <c r="E86" s="111">
        <v>120.82</v>
      </c>
      <c r="F86" s="106">
        <v>12.75</v>
      </c>
      <c r="G86" s="82"/>
      <c r="H86" s="213" t="e">
        <f>+ROUND(F86+G86*TC,2)</f>
        <v>#REF!</v>
      </c>
      <c r="I86" s="213">
        <f>+ROUND(E86*F86,2)</f>
        <v>1540.46</v>
      </c>
      <c r="J86" s="201">
        <f>+ROUND(E86*G86,2)</f>
        <v>0</v>
      </c>
      <c r="K86" s="93" t="e">
        <f>+ROUND(I86+J86*TC,2)</f>
        <v>#REF!</v>
      </c>
      <c r="L86" s="97"/>
    </row>
    <row r="87" spans="2:12" ht="14.1" customHeight="1" outlineLevel="1">
      <c r="B87" s="140">
        <f>B85+0.0001</f>
        <v>5.0609009999999968</v>
      </c>
      <c r="C87" s="380" t="s">
        <v>685</v>
      </c>
      <c r="D87" s="81"/>
      <c r="E87" s="111"/>
      <c r="F87" s="93"/>
      <c r="G87" s="82"/>
      <c r="H87" s="213"/>
      <c r="I87" s="213"/>
      <c r="J87" s="201"/>
      <c r="K87" s="93"/>
      <c r="L87" s="97"/>
    </row>
    <row r="88" spans="2:12" ht="14.1" customHeight="1" outlineLevel="2">
      <c r="B88" s="142">
        <f>B87+0.000001</f>
        <v>5.0609019999999969</v>
      </c>
      <c r="C88" s="347" t="s">
        <v>686</v>
      </c>
      <c r="D88" s="81" t="s">
        <v>46</v>
      </c>
      <c r="E88" s="111">
        <v>83.67</v>
      </c>
      <c r="F88" s="106">
        <v>25.5</v>
      </c>
      <c r="G88" s="82"/>
      <c r="H88" s="213" t="e">
        <f>+ROUND(F88+G88*TC,2)</f>
        <v>#REF!</v>
      </c>
      <c r="I88" s="213">
        <f>+ROUND(E88*F88,2)</f>
        <v>2133.59</v>
      </c>
      <c r="J88" s="201">
        <f>+ROUND(E88*G88,2)</f>
        <v>0</v>
      </c>
      <c r="K88" s="93" t="e">
        <f>+ROUND(I88+J88*TC,2)</f>
        <v>#REF!</v>
      </c>
      <c r="L88" s="97"/>
    </row>
    <row r="89" spans="2:12" ht="14.1" customHeight="1" outlineLevel="1">
      <c r="B89" s="140">
        <f>B87+0.0001</f>
        <v>5.0610009999999965</v>
      </c>
      <c r="C89" s="380" t="s">
        <v>687</v>
      </c>
      <c r="D89" s="81"/>
      <c r="E89" s="111"/>
      <c r="F89" s="93"/>
      <c r="G89" s="82"/>
      <c r="H89" s="213"/>
      <c r="I89" s="213"/>
      <c r="J89" s="201"/>
      <c r="K89" s="93"/>
      <c r="L89" s="97"/>
    </row>
    <row r="90" spans="2:12" ht="14.1" customHeight="1" outlineLevel="2">
      <c r="B90" s="142">
        <f>B89+0.000001</f>
        <v>5.0610019999999967</v>
      </c>
      <c r="C90" s="490" t="s">
        <v>688</v>
      </c>
      <c r="D90" s="81" t="s">
        <v>46</v>
      </c>
      <c r="E90" s="111">
        <v>31.8</v>
      </c>
      <c r="F90" s="93">
        <v>22</v>
      </c>
      <c r="G90" s="82"/>
      <c r="H90" s="213" t="e">
        <f>+ROUND(F90+G90*TC,2)</f>
        <v>#REF!</v>
      </c>
      <c r="I90" s="213">
        <f>+ROUND(E90*F90,2)</f>
        <v>699.6</v>
      </c>
      <c r="J90" s="201">
        <f>+ROUND(E90*G90,2)</f>
        <v>0</v>
      </c>
      <c r="K90" s="93" t="e">
        <f>+ROUND(I90+J90*TC,2)</f>
        <v>#REF!</v>
      </c>
      <c r="L90" s="97"/>
    </row>
    <row r="91" spans="2:12" ht="14.1" customHeight="1" outlineLevel="1">
      <c r="B91" s="140">
        <f>B89+0.0001</f>
        <v>5.0611009999999963</v>
      </c>
      <c r="C91" s="380" t="s">
        <v>689</v>
      </c>
      <c r="D91" s="81"/>
      <c r="E91" s="111"/>
      <c r="F91" s="93"/>
      <c r="G91" s="82"/>
      <c r="H91" s="213"/>
      <c r="I91" s="213"/>
      <c r="J91" s="201"/>
      <c r="K91" s="93"/>
      <c r="L91" s="97"/>
    </row>
    <row r="92" spans="2:12" ht="14.1" customHeight="1" outlineLevel="2">
      <c r="B92" s="142">
        <f>B91+0.000001</f>
        <v>5.0611019999999964</v>
      </c>
      <c r="C92" s="55" t="s">
        <v>690</v>
      </c>
      <c r="D92" s="81" t="s">
        <v>46</v>
      </c>
      <c r="E92" s="111">
        <v>23.02</v>
      </c>
      <c r="F92" s="93">
        <v>21.98</v>
      </c>
      <c r="G92" s="82"/>
      <c r="H92" s="213" t="e">
        <f>+ROUND(F92+G92*TC,2)</f>
        <v>#REF!</v>
      </c>
      <c r="I92" s="213">
        <f>+ROUND(E92*F92,2)</f>
        <v>505.98</v>
      </c>
      <c r="J92" s="201">
        <f>+ROUND(E92*G92,2)</f>
        <v>0</v>
      </c>
      <c r="K92" s="93" t="e">
        <f>+ROUND(I92+J92*TC,2)</f>
        <v>#REF!</v>
      </c>
      <c r="L92" s="97"/>
    </row>
    <row r="93" spans="2:12" ht="14.1" customHeight="1">
      <c r="B93" s="218">
        <f>B82+0.01</f>
        <v>5.0706009999999972</v>
      </c>
      <c r="C93" s="379" t="s">
        <v>691</v>
      </c>
      <c r="D93" s="354"/>
      <c r="E93" s="111"/>
      <c r="F93" s="123"/>
      <c r="G93" s="87"/>
      <c r="H93" s="213"/>
      <c r="I93" s="213"/>
      <c r="J93" s="201"/>
      <c r="K93" s="93"/>
      <c r="L93" s="136" t="e">
        <f>SUM(I94:I101)+SUM(J94:J101)*TC</f>
        <v>#REF!</v>
      </c>
    </row>
    <row r="94" spans="2:12" ht="14.1" customHeight="1" outlineLevel="1">
      <c r="B94" s="140">
        <f>B93+0.0001</f>
        <v>5.070700999999997</v>
      </c>
      <c r="C94" s="356" t="s">
        <v>692</v>
      </c>
      <c r="D94" s="81"/>
      <c r="E94" s="111"/>
      <c r="F94" s="93"/>
      <c r="G94" s="82"/>
      <c r="H94" s="213"/>
      <c r="I94" s="213"/>
      <c r="J94" s="201"/>
      <c r="K94" s="93"/>
      <c r="L94" s="343"/>
    </row>
    <row r="95" spans="2:12" ht="14.1" customHeight="1" outlineLevel="2">
      <c r="B95" s="142">
        <f t="shared" ref="B95:B101" si="20">B94+0.000001</f>
        <v>5.0707019999999972</v>
      </c>
      <c r="C95" s="347" t="s">
        <v>693</v>
      </c>
      <c r="D95" s="81" t="s">
        <v>169</v>
      </c>
      <c r="E95" s="111">
        <v>29.43</v>
      </c>
      <c r="F95" s="93">
        <v>72.430000000000007</v>
      </c>
      <c r="G95" s="82"/>
      <c r="H95" s="213" t="e">
        <f t="shared" ref="H95:H101" si="21">+ROUND(F95+G95*TC,2)</f>
        <v>#REF!</v>
      </c>
      <c r="I95" s="213">
        <f t="shared" ref="I95:I101" si="22">+ROUND(E95*F95,2)</f>
        <v>2131.61</v>
      </c>
      <c r="J95" s="201">
        <f t="shared" ref="J95:J101" si="23">+ROUND(E95*G95,2)</f>
        <v>0</v>
      </c>
      <c r="K95" s="93" t="e">
        <f t="shared" ref="K95:K101" si="24">+ROUND(I95+J95*TC,2)</f>
        <v>#REF!</v>
      </c>
      <c r="L95" s="105"/>
    </row>
    <row r="96" spans="2:12" ht="14.1" customHeight="1" outlineLevel="2">
      <c r="B96" s="142">
        <f t="shared" si="20"/>
        <v>5.0707029999999973</v>
      </c>
      <c r="C96" s="347" t="s">
        <v>694</v>
      </c>
      <c r="D96" s="81" t="s">
        <v>46</v>
      </c>
      <c r="E96" s="111">
        <v>117.25</v>
      </c>
      <c r="F96" s="93">
        <v>42.46</v>
      </c>
      <c r="G96" s="82"/>
      <c r="H96" s="213" t="e">
        <f t="shared" si="21"/>
        <v>#REF!</v>
      </c>
      <c r="I96" s="213">
        <f t="shared" si="22"/>
        <v>4978.4399999999996</v>
      </c>
      <c r="J96" s="201">
        <f t="shared" si="23"/>
        <v>0</v>
      </c>
      <c r="K96" s="93" t="e">
        <f t="shared" si="24"/>
        <v>#REF!</v>
      </c>
      <c r="L96" s="105"/>
    </row>
    <row r="97" spans="2:12" ht="14.1" customHeight="1" outlineLevel="2">
      <c r="B97" s="142">
        <f t="shared" si="20"/>
        <v>5.0707039999999974</v>
      </c>
      <c r="C97" s="347" t="s">
        <v>695</v>
      </c>
      <c r="D97" s="81" t="s">
        <v>169</v>
      </c>
      <c r="E97" s="111">
        <v>29.43</v>
      </c>
      <c r="F97" s="93">
        <v>19.850000000000001</v>
      </c>
      <c r="G97" s="82"/>
      <c r="H97" s="213" t="e">
        <f t="shared" si="21"/>
        <v>#REF!</v>
      </c>
      <c r="I97" s="213">
        <f t="shared" si="22"/>
        <v>584.19000000000005</v>
      </c>
      <c r="J97" s="201">
        <f t="shared" si="23"/>
        <v>0</v>
      </c>
      <c r="K97" s="93" t="e">
        <f t="shared" si="24"/>
        <v>#REF!</v>
      </c>
      <c r="L97" s="105"/>
    </row>
    <row r="98" spans="2:12" ht="14.1" customHeight="1" outlineLevel="2">
      <c r="B98" s="142">
        <f t="shared" si="20"/>
        <v>5.0707049999999976</v>
      </c>
      <c r="C98" s="347" t="s">
        <v>696</v>
      </c>
      <c r="D98" s="81" t="s">
        <v>46</v>
      </c>
      <c r="E98" s="111">
        <v>117.25</v>
      </c>
      <c r="F98" s="93">
        <v>15.04</v>
      </c>
      <c r="G98" s="82"/>
      <c r="H98" s="213" t="e">
        <f t="shared" si="21"/>
        <v>#REF!</v>
      </c>
      <c r="I98" s="213">
        <f t="shared" si="22"/>
        <v>1763.44</v>
      </c>
      <c r="J98" s="201">
        <f t="shared" si="23"/>
        <v>0</v>
      </c>
      <c r="K98" s="93" t="e">
        <f t="shared" si="24"/>
        <v>#REF!</v>
      </c>
      <c r="L98" s="105"/>
    </row>
    <row r="99" spans="2:12" ht="14.1" customHeight="1" outlineLevel="2">
      <c r="B99" s="142">
        <f t="shared" si="20"/>
        <v>5.0707059999999977</v>
      </c>
      <c r="C99" s="347" t="s">
        <v>697</v>
      </c>
      <c r="D99" s="81" t="s">
        <v>46</v>
      </c>
      <c r="E99" s="111">
        <v>117.25</v>
      </c>
      <c r="F99" s="93">
        <v>11.83</v>
      </c>
      <c r="G99" s="82"/>
      <c r="H99" s="213" t="e">
        <f t="shared" si="21"/>
        <v>#REF!</v>
      </c>
      <c r="I99" s="213">
        <f t="shared" si="22"/>
        <v>1387.07</v>
      </c>
      <c r="J99" s="201">
        <f t="shared" si="23"/>
        <v>0</v>
      </c>
      <c r="K99" s="93" t="e">
        <f t="shared" si="24"/>
        <v>#REF!</v>
      </c>
      <c r="L99" s="105"/>
    </row>
    <row r="100" spans="2:12" ht="14.1" customHeight="1" outlineLevel="2">
      <c r="B100" s="142">
        <f t="shared" si="20"/>
        <v>5.0707069999999979</v>
      </c>
      <c r="C100" s="347" t="s">
        <v>698</v>
      </c>
      <c r="D100" s="81" t="s">
        <v>169</v>
      </c>
      <c r="E100" s="111">
        <v>50.13</v>
      </c>
      <c r="F100" s="93">
        <v>16.690000000000001</v>
      </c>
      <c r="G100" s="82"/>
      <c r="H100" s="213" t="e">
        <f t="shared" si="21"/>
        <v>#REF!</v>
      </c>
      <c r="I100" s="213">
        <f t="shared" si="22"/>
        <v>836.67</v>
      </c>
      <c r="J100" s="201">
        <f t="shared" si="23"/>
        <v>0</v>
      </c>
      <c r="K100" s="93" t="e">
        <f t="shared" si="24"/>
        <v>#REF!</v>
      </c>
      <c r="L100" s="105"/>
    </row>
    <row r="101" spans="2:12" ht="14.1" customHeight="1" outlineLevel="2">
      <c r="B101" s="142">
        <f t="shared" si="20"/>
        <v>5.070707999999998</v>
      </c>
      <c r="C101" s="348" t="s">
        <v>699</v>
      </c>
      <c r="D101" s="81" t="s">
        <v>46</v>
      </c>
      <c r="E101" s="111">
        <v>17.25</v>
      </c>
      <c r="F101" s="93">
        <v>19.309999999999999</v>
      </c>
      <c r="G101" s="82"/>
      <c r="H101" s="213" t="e">
        <f t="shared" si="21"/>
        <v>#REF!</v>
      </c>
      <c r="I101" s="213">
        <f t="shared" si="22"/>
        <v>333.1</v>
      </c>
      <c r="J101" s="201">
        <f t="shared" si="23"/>
        <v>0</v>
      </c>
      <c r="K101" s="93" t="e">
        <f t="shared" si="24"/>
        <v>#REF!</v>
      </c>
      <c r="L101" s="105"/>
    </row>
    <row r="102" spans="2:12" ht="14.1" customHeight="1">
      <c r="B102" s="218">
        <f>B93+0.01</f>
        <v>5.080600999999997</v>
      </c>
      <c r="C102" s="379" t="s">
        <v>700</v>
      </c>
      <c r="D102" s="354"/>
      <c r="E102" s="111"/>
      <c r="F102" s="123"/>
      <c r="G102" s="87"/>
      <c r="H102" s="213"/>
      <c r="I102" s="213"/>
      <c r="J102" s="201"/>
      <c r="K102" s="93"/>
      <c r="L102" s="136" t="e">
        <f>SUM(I103:I125)+SUM(J103:J125)*TC</f>
        <v>#REF!</v>
      </c>
    </row>
    <row r="103" spans="2:12" ht="14.1" customHeight="1" outlineLevel="1">
      <c r="B103" s="140">
        <f>B102+0.0001</f>
        <v>5.0807009999999968</v>
      </c>
      <c r="C103" s="355" t="s">
        <v>701</v>
      </c>
      <c r="D103" s="81"/>
      <c r="E103" s="111"/>
      <c r="F103" s="93"/>
      <c r="G103" s="103"/>
      <c r="H103" s="213"/>
      <c r="I103" s="213"/>
      <c r="J103" s="201"/>
      <c r="K103" s="93"/>
      <c r="L103" s="97"/>
    </row>
    <row r="104" spans="2:12" ht="13.5" customHeight="1" outlineLevel="3">
      <c r="B104" s="142">
        <f>B103+0.000001</f>
        <v>5.0807019999999969</v>
      </c>
      <c r="C104" s="347" t="s">
        <v>702</v>
      </c>
      <c r="D104" s="81" t="s">
        <v>36</v>
      </c>
      <c r="E104" s="111">
        <v>8</v>
      </c>
      <c r="F104" s="93">
        <v>0</v>
      </c>
      <c r="G104" s="103">
        <v>355.09999999999997</v>
      </c>
      <c r="H104" s="213" t="e">
        <f>+ROUND(F104+G104*TC,2)</f>
        <v>#REF!</v>
      </c>
      <c r="I104" s="213">
        <f>+ROUND(E104*F104,2)</f>
        <v>0</v>
      </c>
      <c r="J104" s="201">
        <f>+ROUND(E104*G104,2)</f>
        <v>2840.8</v>
      </c>
      <c r="K104" s="93" t="e">
        <f>+ROUND(I104+J104*TC,2)</f>
        <v>#REF!</v>
      </c>
      <c r="L104" s="97"/>
    </row>
    <row r="105" spans="2:12" ht="13.5" customHeight="1" outlineLevel="3">
      <c r="B105" s="143">
        <f>B104+0.000001</f>
        <v>5.0807029999999971</v>
      </c>
      <c r="C105" s="347" t="s">
        <v>703</v>
      </c>
      <c r="D105" s="81" t="s">
        <v>36</v>
      </c>
      <c r="E105" s="111">
        <v>1</v>
      </c>
      <c r="F105" s="93">
        <v>0</v>
      </c>
      <c r="G105" s="103">
        <v>355.09999999999997</v>
      </c>
      <c r="H105" s="213" t="e">
        <f>+ROUND(F105+G105*TC,2)</f>
        <v>#REF!</v>
      </c>
      <c r="I105" s="213">
        <f>+ROUND(E105*F105,2)</f>
        <v>0</v>
      </c>
      <c r="J105" s="201">
        <f>+ROUND(E105*G105,2)</f>
        <v>355.1</v>
      </c>
      <c r="K105" s="93" t="e">
        <f>+ROUND(I105+J105*TC,2)</f>
        <v>#REF!</v>
      </c>
      <c r="L105" s="343"/>
    </row>
    <row r="106" spans="2:12" ht="13.5" customHeight="1" outlineLevel="3">
      <c r="B106" s="142">
        <f>B105+0.000001</f>
        <v>5.0807039999999972</v>
      </c>
      <c r="C106" s="347" t="s">
        <v>704</v>
      </c>
      <c r="D106" s="81" t="s">
        <v>36</v>
      </c>
      <c r="E106" s="111">
        <v>1</v>
      </c>
      <c r="F106" s="93">
        <v>0</v>
      </c>
      <c r="G106" s="103">
        <v>355.09999999999997</v>
      </c>
      <c r="H106" s="213" t="e">
        <f>+ROUND(F106+G106*TC,2)</f>
        <v>#REF!</v>
      </c>
      <c r="I106" s="213">
        <f>+ROUND(E106*F106,2)</f>
        <v>0</v>
      </c>
      <c r="J106" s="201">
        <f>+ROUND(E106*G106,2)</f>
        <v>355.1</v>
      </c>
      <c r="K106" s="93" t="e">
        <f>+ROUND(I106+J106*TC,2)</f>
        <v>#REF!</v>
      </c>
      <c r="L106" s="97"/>
    </row>
    <row r="107" spans="2:12" ht="13.5" customHeight="1" outlineLevel="3">
      <c r="B107" s="143">
        <f>B106+0.000001</f>
        <v>5.0807049999999974</v>
      </c>
      <c r="C107" s="347" t="s">
        <v>705</v>
      </c>
      <c r="D107" s="81" t="s">
        <v>36</v>
      </c>
      <c r="E107" s="111">
        <v>1</v>
      </c>
      <c r="F107" s="93">
        <v>0</v>
      </c>
      <c r="G107" s="103">
        <v>850.19999999999993</v>
      </c>
      <c r="H107" s="213" t="e">
        <f>+ROUND(F107+G107*TC,2)</f>
        <v>#REF!</v>
      </c>
      <c r="I107" s="213">
        <f>+ROUND(E107*F107,2)</f>
        <v>0</v>
      </c>
      <c r="J107" s="201">
        <f>+ROUND(E107*G107,2)</f>
        <v>850.2</v>
      </c>
      <c r="K107" s="93" t="e">
        <f>+ROUND(I107+J107*TC,2)</f>
        <v>#REF!</v>
      </c>
      <c r="L107" s="343"/>
    </row>
    <row r="108" spans="2:12" ht="14.1" customHeight="1" outlineLevel="1">
      <c r="B108" s="140">
        <f>B103+0.0001</f>
        <v>5.0808009999999966</v>
      </c>
      <c r="C108" s="355" t="s">
        <v>706</v>
      </c>
      <c r="D108" s="81"/>
      <c r="E108" s="111"/>
      <c r="F108" s="93"/>
      <c r="G108" s="82"/>
      <c r="H108" s="213"/>
      <c r="I108" s="213"/>
      <c r="J108" s="201"/>
      <c r="K108" s="93"/>
      <c r="L108" s="343"/>
    </row>
    <row r="109" spans="2:12" ht="14.1" customHeight="1" outlineLevel="2">
      <c r="B109" s="382">
        <f>B108+0.000001</f>
        <v>5.0808019999999967</v>
      </c>
      <c r="C109" s="345" t="s">
        <v>707</v>
      </c>
      <c r="D109" s="81"/>
      <c r="E109" s="111"/>
      <c r="F109" s="93"/>
      <c r="G109" s="82"/>
      <c r="H109" s="213"/>
      <c r="I109" s="213"/>
      <c r="J109" s="201"/>
      <c r="K109" s="93"/>
      <c r="L109" s="343"/>
    </row>
    <row r="110" spans="2:12" ht="14.1" customHeight="1" outlineLevel="3">
      <c r="B110" s="346">
        <f>B109+0.00000001</f>
        <v>5.0808020099999966</v>
      </c>
      <c r="C110" s="347" t="s">
        <v>708</v>
      </c>
      <c r="D110" s="81" t="s">
        <v>36</v>
      </c>
      <c r="E110" s="111">
        <v>1</v>
      </c>
      <c r="F110" s="93">
        <v>1017</v>
      </c>
      <c r="G110" s="103"/>
      <c r="H110" s="213" t="e">
        <f t="shared" ref="H110:H115" si="25">+ROUND(F110+G110*TC,2)</f>
        <v>#REF!</v>
      </c>
      <c r="I110" s="213">
        <f t="shared" ref="I110:I115" si="26">+ROUND(E110*F110,2)</f>
        <v>1017</v>
      </c>
      <c r="J110" s="201">
        <f t="shared" ref="J110:J115" si="27">+ROUND(E110*G110,2)</f>
        <v>0</v>
      </c>
      <c r="K110" s="93" t="e">
        <f t="shared" ref="K110:K115" si="28">+ROUND(I110+J110*TC,2)</f>
        <v>#REF!</v>
      </c>
      <c r="L110" s="97"/>
    </row>
    <row r="111" spans="2:12" ht="14.1" customHeight="1" outlineLevel="3">
      <c r="B111" s="346">
        <f t="shared" ref="B111:B115" si="29">B110+0.00000001</f>
        <v>5.0808020199999966</v>
      </c>
      <c r="C111" s="347" t="s">
        <v>709</v>
      </c>
      <c r="D111" s="81" t="s">
        <v>36</v>
      </c>
      <c r="E111" s="111">
        <v>2</v>
      </c>
      <c r="F111" s="93">
        <v>1525.5</v>
      </c>
      <c r="G111" s="103"/>
      <c r="H111" s="213" t="e">
        <f t="shared" si="25"/>
        <v>#REF!</v>
      </c>
      <c r="I111" s="213">
        <f t="shared" si="26"/>
        <v>3051</v>
      </c>
      <c r="J111" s="201">
        <f t="shared" si="27"/>
        <v>0</v>
      </c>
      <c r="K111" s="93" t="e">
        <f t="shared" si="28"/>
        <v>#REF!</v>
      </c>
      <c r="L111" s="97"/>
    </row>
    <row r="112" spans="2:12" ht="14.1" customHeight="1" outlineLevel="3">
      <c r="B112" s="346">
        <f t="shared" si="29"/>
        <v>5.0808020299999965</v>
      </c>
      <c r="C112" s="347" t="s">
        <v>710</v>
      </c>
      <c r="D112" s="81" t="s">
        <v>36</v>
      </c>
      <c r="E112" s="111">
        <v>1</v>
      </c>
      <c r="F112" s="93">
        <v>1248.6500000000001</v>
      </c>
      <c r="G112" s="103"/>
      <c r="H112" s="213" t="e">
        <f t="shared" si="25"/>
        <v>#REF!</v>
      </c>
      <c r="I112" s="213">
        <f t="shared" si="26"/>
        <v>1248.6500000000001</v>
      </c>
      <c r="J112" s="201">
        <f t="shared" si="27"/>
        <v>0</v>
      </c>
      <c r="K112" s="93" t="e">
        <f t="shared" si="28"/>
        <v>#REF!</v>
      </c>
      <c r="L112" s="97"/>
    </row>
    <row r="113" spans="2:12" ht="14.1" customHeight="1" outlineLevel="3">
      <c r="B113" s="346">
        <f t="shared" si="29"/>
        <v>5.0808020399999965</v>
      </c>
      <c r="C113" s="347" t="s">
        <v>711</v>
      </c>
      <c r="D113" s="81" t="s">
        <v>36</v>
      </c>
      <c r="E113" s="111">
        <v>6</v>
      </c>
      <c r="F113" s="93">
        <v>565</v>
      </c>
      <c r="G113" s="103"/>
      <c r="H113" s="213" t="e">
        <f t="shared" si="25"/>
        <v>#REF!</v>
      </c>
      <c r="I113" s="213">
        <f t="shared" si="26"/>
        <v>3390</v>
      </c>
      <c r="J113" s="201">
        <f t="shared" si="27"/>
        <v>0</v>
      </c>
      <c r="K113" s="93" t="e">
        <f t="shared" si="28"/>
        <v>#REF!</v>
      </c>
      <c r="L113" s="97"/>
    </row>
    <row r="114" spans="2:12" ht="14.1" customHeight="1" outlineLevel="3">
      <c r="B114" s="346">
        <f t="shared" si="29"/>
        <v>5.0808020499999964</v>
      </c>
      <c r="C114" s="347" t="s">
        <v>712</v>
      </c>
      <c r="D114" s="81" t="s">
        <v>36</v>
      </c>
      <c r="E114" s="111">
        <v>2</v>
      </c>
      <c r="F114" s="93">
        <v>847.5</v>
      </c>
      <c r="G114" s="103"/>
      <c r="H114" s="213" t="e">
        <f t="shared" si="25"/>
        <v>#REF!</v>
      </c>
      <c r="I114" s="213">
        <f t="shared" si="26"/>
        <v>1695</v>
      </c>
      <c r="J114" s="201">
        <f t="shared" si="27"/>
        <v>0</v>
      </c>
      <c r="K114" s="93" t="e">
        <f t="shared" si="28"/>
        <v>#REF!</v>
      </c>
      <c r="L114" s="97"/>
    </row>
    <row r="115" spans="2:12" ht="14.1" customHeight="1" outlineLevel="3">
      <c r="B115" s="346">
        <f t="shared" si="29"/>
        <v>5.0808020599999963</v>
      </c>
      <c r="C115" s="347" t="s">
        <v>713</v>
      </c>
      <c r="D115" s="81" t="s">
        <v>36</v>
      </c>
      <c r="E115" s="111">
        <v>3</v>
      </c>
      <c r="F115" s="93">
        <v>819.25</v>
      </c>
      <c r="G115" s="103"/>
      <c r="H115" s="213" t="e">
        <f t="shared" si="25"/>
        <v>#REF!</v>
      </c>
      <c r="I115" s="213">
        <f t="shared" si="26"/>
        <v>2457.75</v>
      </c>
      <c r="J115" s="201">
        <f t="shared" si="27"/>
        <v>0</v>
      </c>
      <c r="K115" s="93" t="e">
        <f t="shared" si="28"/>
        <v>#REF!</v>
      </c>
      <c r="L115" s="97"/>
    </row>
    <row r="116" spans="2:12" ht="14.1" customHeight="1" outlineLevel="2">
      <c r="B116" s="382">
        <f>B109+0.000001</f>
        <v>5.0808029999999968</v>
      </c>
      <c r="C116" s="345" t="s">
        <v>714</v>
      </c>
      <c r="D116" s="81"/>
      <c r="E116" s="111"/>
      <c r="F116" s="93"/>
      <c r="G116" s="82"/>
      <c r="H116" s="213"/>
      <c r="I116" s="213"/>
      <c r="J116" s="201"/>
      <c r="K116" s="93"/>
      <c r="L116" s="343"/>
    </row>
    <row r="117" spans="2:12" ht="14.1" customHeight="1" outlineLevel="3">
      <c r="B117" s="346">
        <f>B116+0.00000001</f>
        <v>5.0808030099999968</v>
      </c>
      <c r="C117" s="360" t="s">
        <v>715</v>
      </c>
      <c r="D117" s="81" t="s">
        <v>36</v>
      </c>
      <c r="E117" s="111">
        <v>92</v>
      </c>
      <c r="F117" s="93">
        <v>107</v>
      </c>
      <c r="G117" s="103">
        <v>119</v>
      </c>
      <c r="H117" s="213" t="e">
        <f>+ROUND(F117+G117*TC,2)</f>
        <v>#REF!</v>
      </c>
      <c r="I117" s="213">
        <f>+ROUND(E117*F117,2)</f>
        <v>9844</v>
      </c>
      <c r="J117" s="201">
        <f>+ROUND(E117*G117,2)</f>
        <v>10948</v>
      </c>
      <c r="K117" s="93" t="e">
        <f>+ROUND(I117+J117*TC,2)</f>
        <v>#REF!</v>
      </c>
      <c r="L117" s="97"/>
    </row>
    <row r="118" spans="2:12" ht="14.1" customHeight="1" outlineLevel="2">
      <c r="B118" s="382">
        <f>B116+0.000001</f>
        <v>5.080803999999997</v>
      </c>
      <c r="C118" s="345" t="s">
        <v>716</v>
      </c>
      <c r="D118" s="81"/>
      <c r="E118" s="111"/>
      <c r="F118" s="93"/>
      <c r="G118" s="82"/>
      <c r="H118" s="213"/>
      <c r="I118" s="213"/>
      <c r="J118" s="201"/>
      <c r="K118" s="93"/>
      <c r="L118" s="343"/>
    </row>
    <row r="119" spans="2:12" ht="14.1" customHeight="1" outlineLevel="3">
      <c r="B119" s="346">
        <f>B118+0.00000001</f>
        <v>5.0808040099999969</v>
      </c>
      <c r="C119" s="347" t="s">
        <v>717</v>
      </c>
      <c r="D119" s="81" t="s">
        <v>36</v>
      </c>
      <c r="E119" s="111">
        <v>5</v>
      </c>
      <c r="F119" s="93">
        <v>830</v>
      </c>
      <c r="G119" s="103"/>
      <c r="H119" s="213" t="e">
        <f>+ROUND(F119+G119*TC,2)</f>
        <v>#REF!</v>
      </c>
      <c r="I119" s="213">
        <f>+ROUND(E119*F119,2)</f>
        <v>4150</v>
      </c>
      <c r="J119" s="201">
        <f>+ROUND(E119*G119,2)</f>
        <v>0</v>
      </c>
      <c r="K119" s="93" t="e">
        <f>+ROUND(I119+J119*TC,2)</f>
        <v>#REF!</v>
      </c>
      <c r="L119" s="97"/>
    </row>
    <row r="120" spans="2:12" ht="14.1" customHeight="1" outlineLevel="3">
      <c r="B120" s="346">
        <f>B116+0.00000001</f>
        <v>5.0808030099999968</v>
      </c>
      <c r="C120" s="347" t="s">
        <v>718</v>
      </c>
      <c r="D120" s="81" t="s">
        <v>36</v>
      </c>
      <c r="E120" s="111">
        <v>1</v>
      </c>
      <c r="F120" s="93">
        <v>954.49999999999989</v>
      </c>
      <c r="G120" s="103"/>
      <c r="H120" s="213" t="e">
        <f>+ROUND(F120+G120*TC,2)</f>
        <v>#REF!</v>
      </c>
      <c r="I120" s="213">
        <f>+ROUND(E120*F120,2)</f>
        <v>954.5</v>
      </c>
      <c r="J120" s="201">
        <f>+ROUND(E120*G120,2)</f>
        <v>0</v>
      </c>
      <c r="K120" s="93" t="e">
        <f>+ROUND(I120+J120*TC,2)</f>
        <v>#REF!</v>
      </c>
      <c r="L120" s="97"/>
    </row>
    <row r="121" spans="2:12" ht="14.1" customHeight="1" outlineLevel="3">
      <c r="B121" s="346">
        <f>B120+0.00000001</f>
        <v>5.0808030199999967</v>
      </c>
      <c r="C121" s="347" t="s">
        <v>719</v>
      </c>
      <c r="D121" s="81" t="s">
        <v>36</v>
      </c>
      <c r="E121" s="111">
        <v>5</v>
      </c>
      <c r="F121" s="93">
        <v>705.5</v>
      </c>
      <c r="G121" s="103"/>
      <c r="H121" s="213" t="e">
        <f>+ROUND(F121+G121*TC,2)</f>
        <v>#REF!</v>
      </c>
      <c r="I121" s="213">
        <f>+ROUND(E121*F121,2)</f>
        <v>3527.5</v>
      </c>
      <c r="J121" s="201">
        <f>+ROUND(E121*G121,2)</f>
        <v>0</v>
      </c>
      <c r="K121" s="93" t="e">
        <f>+ROUND(I121+J121*TC,2)</f>
        <v>#REF!</v>
      </c>
      <c r="L121" s="97"/>
    </row>
    <row r="122" spans="2:12" ht="14.1" customHeight="1" outlineLevel="1">
      <c r="B122" s="382">
        <f>B118+0.0001</f>
        <v>5.0809039999999968</v>
      </c>
      <c r="C122" s="345" t="s">
        <v>720</v>
      </c>
      <c r="D122" s="81"/>
      <c r="E122" s="111"/>
      <c r="F122" s="93" t="s">
        <v>8</v>
      </c>
      <c r="G122" s="82"/>
      <c r="H122" s="213"/>
      <c r="I122" s="213"/>
      <c r="J122" s="201"/>
      <c r="K122" s="93"/>
      <c r="L122" s="97"/>
    </row>
    <row r="123" spans="2:12" ht="14.1" customHeight="1" outlineLevel="2">
      <c r="B123" s="143">
        <f>B122+0.000001</f>
        <v>5.0809049999999969</v>
      </c>
      <c r="C123" s="361" t="s">
        <v>721</v>
      </c>
      <c r="D123" s="81" t="s">
        <v>36</v>
      </c>
      <c r="E123" s="111">
        <v>92</v>
      </c>
      <c r="F123" s="93">
        <v>20</v>
      </c>
      <c r="G123" s="103"/>
      <c r="H123" s="213" t="e">
        <f>+ROUND(F123+G123*TC,2)</f>
        <v>#REF!</v>
      </c>
      <c r="I123" s="213">
        <f>+ROUND(E123*F123,2)</f>
        <v>1840</v>
      </c>
      <c r="J123" s="201">
        <f>+ROUND(E123*G123,2)</f>
        <v>0</v>
      </c>
      <c r="K123" s="93" t="e">
        <f>+ROUND(I123+J123*TC,2)</f>
        <v>#REF!</v>
      </c>
      <c r="L123" s="97"/>
    </row>
    <row r="124" spans="2:12" ht="14.1" customHeight="1" outlineLevel="2">
      <c r="B124" s="143">
        <f t="shared" ref="B124:B125" si="30">B123+0.000001</f>
        <v>5.080905999999997</v>
      </c>
      <c r="C124" s="349" t="s">
        <v>722</v>
      </c>
      <c r="D124" s="81" t="s">
        <v>36</v>
      </c>
      <c r="E124" s="111">
        <v>0</v>
      </c>
      <c r="F124" s="93">
        <v>35</v>
      </c>
      <c r="G124" s="103"/>
      <c r="H124" s="213" t="e">
        <f>+ROUND(F124+G124*TC,2)</f>
        <v>#REF!</v>
      </c>
      <c r="I124" s="213">
        <f>+ROUND(E124*F124,2)</f>
        <v>0</v>
      </c>
      <c r="J124" s="201">
        <f>+ROUND(E124*G124,2)</f>
        <v>0</v>
      </c>
      <c r="K124" s="93" t="e">
        <f>+ROUND(I124+J124*TC,2)</f>
        <v>#REF!</v>
      </c>
      <c r="L124" s="97"/>
    </row>
    <row r="125" spans="2:12" ht="14.1" customHeight="1" outlineLevel="2">
      <c r="B125" s="143">
        <f t="shared" si="30"/>
        <v>5.0809069999999972</v>
      </c>
      <c r="C125" s="349" t="s">
        <v>723</v>
      </c>
      <c r="D125" s="81" t="s">
        <v>36</v>
      </c>
      <c r="E125" s="111">
        <v>92</v>
      </c>
      <c r="F125" s="93">
        <v>35</v>
      </c>
      <c r="G125" s="103"/>
      <c r="H125" s="213" t="e">
        <f>+ROUND(F125+G125*TC,2)</f>
        <v>#REF!</v>
      </c>
      <c r="I125" s="213">
        <f>+ROUND(E125*F125,2)</f>
        <v>3220</v>
      </c>
      <c r="J125" s="201">
        <f>+ROUND(E125*G125,2)</f>
        <v>0</v>
      </c>
      <c r="K125" s="93" t="e">
        <f>+ROUND(I125+J125*TC,2)</f>
        <v>#REF!</v>
      </c>
      <c r="L125" s="97"/>
    </row>
    <row r="126" spans="2:12" ht="14.1" customHeight="1">
      <c r="B126" s="218">
        <f>B102+0.01</f>
        <v>5.0906009999999968</v>
      </c>
      <c r="C126" s="379" t="s">
        <v>724</v>
      </c>
      <c r="D126" s="354"/>
      <c r="E126" s="122"/>
      <c r="F126" s="123"/>
      <c r="G126" s="87"/>
      <c r="H126" s="213"/>
      <c r="I126" s="213"/>
      <c r="J126" s="201"/>
      <c r="K126" s="93"/>
      <c r="L126" s="136" t="e">
        <f>SUM(I126:I128)+SUM(J126:J128)*TC</f>
        <v>#REF!</v>
      </c>
    </row>
    <row r="127" spans="2:12" ht="14.1" customHeight="1" outlineLevel="1">
      <c r="B127" s="140">
        <f>B126+0.0001</f>
        <v>5.0907009999999966</v>
      </c>
      <c r="C127" s="355" t="s">
        <v>714</v>
      </c>
      <c r="D127" s="81"/>
      <c r="E127" s="111"/>
      <c r="F127" s="93"/>
      <c r="G127" s="103"/>
      <c r="H127" s="213"/>
      <c r="I127" s="213"/>
      <c r="J127" s="201"/>
      <c r="K127" s="93"/>
      <c r="L127" s="97"/>
    </row>
    <row r="128" spans="2:12" ht="13.15" customHeight="1" outlineLevel="3">
      <c r="B128" s="142">
        <f>B127+0.000001</f>
        <v>5.0907019999999967</v>
      </c>
      <c r="C128" s="365" t="s">
        <v>725</v>
      </c>
      <c r="D128" s="81" t="s">
        <v>36</v>
      </c>
      <c r="E128" s="111">
        <v>92</v>
      </c>
      <c r="F128" s="93"/>
      <c r="G128" s="103">
        <v>6.49</v>
      </c>
      <c r="H128" s="213" t="e">
        <f>+ROUND(F128+G128*TC,2)</f>
        <v>#REF!</v>
      </c>
      <c r="I128" s="213">
        <f>+ROUND(E128*F128,2)</f>
        <v>0</v>
      </c>
      <c r="J128" s="201">
        <f>+ROUND(E128*G128,2)</f>
        <v>597.08000000000004</v>
      </c>
      <c r="K128" s="93" t="e">
        <f>+ROUND(I128+J128*TC,2)</f>
        <v>#REF!</v>
      </c>
      <c r="L128" s="97"/>
    </row>
    <row r="129" spans="2:12" ht="14.1" customHeight="1">
      <c r="B129" s="218">
        <f>B126+0.01</f>
        <v>5.1006009999999966</v>
      </c>
      <c r="C129" s="379" t="s">
        <v>726</v>
      </c>
      <c r="D129" s="354"/>
      <c r="E129" s="122"/>
      <c r="F129" s="123"/>
      <c r="G129" s="87"/>
      <c r="H129" s="213"/>
      <c r="I129" s="213"/>
      <c r="J129" s="201"/>
      <c r="K129" s="93"/>
      <c r="L129" s="136" t="e">
        <f>SUM(I129:I143)+SUM(J129:J143)*TC</f>
        <v>#REF!</v>
      </c>
    </row>
    <row r="130" spans="2:12" ht="14.1" customHeight="1" outlineLevel="1">
      <c r="B130" s="141">
        <f t="shared" ref="B130:B143" si="31">B129+0.0001</f>
        <v>5.1007009999999964</v>
      </c>
      <c r="C130" s="360" t="s">
        <v>727</v>
      </c>
      <c r="D130" s="81" t="s">
        <v>46</v>
      </c>
      <c r="E130" s="111">
        <v>5.3</v>
      </c>
      <c r="F130" s="106">
        <v>350</v>
      </c>
      <c r="G130" s="144"/>
      <c r="H130" s="213" t="e">
        <f t="shared" ref="H130:H143" si="32">+ROUND(F130+G130*TC,2)</f>
        <v>#REF!</v>
      </c>
      <c r="I130" s="213">
        <f t="shared" ref="I130:I143" si="33">+ROUND(E130*F130,2)</f>
        <v>1855</v>
      </c>
      <c r="J130" s="201">
        <f t="shared" ref="J130:J143" si="34">+ROUND(E130*G130,2)</f>
        <v>0</v>
      </c>
      <c r="K130" s="93" t="e">
        <f t="shared" ref="K130:K143" si="35">+ROUND(I130+J130*TC,2)</f>
        <v>#REF!</v>
      </c>
      <c r="L130" s="97"/>
    </row>
    <row r="131" spans="2:12" ht="14.1" customHeight="1" outlineLevel="1">
      <c r="B131" s="141">
        <f t="shared" si="31"/>
        <v>5.1008009999999961</v>
      </c>
      <c r="C131" s="360" t="s">
        <v>728</v>
      </c>
      <c r="D131" s="81" t="s">
        <v>46</v>
      </c>
      <c r="E131" s="111">
        <v>6.12</v>
      </c>
      <c r="F131" s="106">
        <v>350</v>
      </c>
      <c r="G131" s="144"/>
      <c r="H131" s="213" t="e">
        <f t="shared" si="32"/>
        <v>#REF!</v>
      </c>
      <c r="I131" s="213">
        <f t="shared" si="33"/>
        <v>2142</v>
      </c>
      <c r="J131" s="201">
        <f t="shared" si="34"/>
        <v>0</v>
      </c>
      <c r="K131" s="93" t="e">
        <f t="shared" si="35"/>
        <v>#REF!</v>
      </c>
      <c r="L131" s="97"/>
    </row>
    <row r="132" spans="2:12" ht="14.1" customHeight="1" outlineLevel="1">
      <c r="B132" s="141">
        <f t="shared" si="31"/>
        <v>5.1009009999999959</v>
      </c>
      <c r="C132" s="360" t="s">
        <v>729</v>
      </c>
      <c r="D132" s="81" t="s">
        <v>36</v>
      </c>
      <c r="E132" s="111">
        <v>4</v>
      </c>
      <c r="F132" s="106">
        <v>250</v>
      </c>
      <c r="G132" s="144"/>
      <c r="H132" s="213" t="e">
        <f t="shared" si="32"/>
        <v>#REF!</v>
      </c>
      <c r="I132" s="213">
        <f t="shared" si="33"/>
        <v>1000</v>
      </c>
      <c r="J132" s="201">
        <f t="shared" si="34"/>
        <v>0</v>
      </c>
      <c r="K132" s="93" t="e">
        <f t="shared" si="35"/>
        <v>#REF!</v>
      </c>
      <c r="L132" s="97"/>
    </row>
    <row r="133" spans="2:12" ht="14.1" customHeight="1" outlineLevel="1">
      <c r="B133" s="141">
        <f t="shared" si="31"/>
        <v>5.1010009999999957</v>
      </c>
      <c r="C133" s="497" t="s">
        <v>730</v>
      </c>
      <c r="D133" s="498" t="s">
        <v>36</v>
      </c>
      <c r="E133" s="357">
        <v>76</v>
      </c>
      <c r="F133" s="383">
        <v>280</v>
      </c>
      <c r="G133" s="144"/>
      <c r="H133" s="213" t="e">
        <f t="shared" ref="H133" si="36">+ROUND(F133+G133*TC,2)</f>
        <v>#REF!</v>
      </c>
      <c r="I133" s="213">
        <f t="shared" ref="I133" si="37">+ROUND(E133*F133,2)</f>
        <v>21280</v>
      </c>
      <c r="J133" s="201">
        <f t="shared" ref="J133" si="38">+ROUND(E133*G133,2)</f>
        <v>0</v>
      </c>
      <c r="K133" s="93" t="e">
        <f t="shared" ref="K133" si="39">+ROUND(I133+J133*TC,2)</f>
        <v>#REF!</v>
      </c>
      <c r="L133" s="97"/>
    </row>
    <row r="134" spans="2:12" ht="14.1" customHeight="1" outlineLevel="1">
      <c r="B134" s="141">
        <f t="shared" si="31"/>
        <v>5.1011009999999954</v>
      </c>
      <c r="C134" s="360" t="s">
        <v>731</v>
      </c>
      <c r="D134" s="81" t="s">
        <v>36</v>
      </c>
      <c r="E134" s="111">
        <v>1</v>
      </c>
      <c r="F134" s="93">
        <v>350</v>
      </c>
      <c r="G134" s="144"/>
      <c r="H134" s="213" t="e">
        <f t="shared" si="32"/>
        <v>#REF!</v>
      </c>
      <c r="I134" s="213">
        <f t="shared" si="33"/>
        <v>350</v>
      </c>
      <c r="J134" s="201">
        <f t="shared" si="34"/>
        <v>0</v>
      </c>
      <c r="K134" s="93" t="e">
        <f t="shared" si="35"/>
        <v>#REF!</v>
      </c>
      <c r="L134" s="97"/>
    </row>
    <row r="135" spans="2:12" ht="14.1" customHeight="1" outlineLevel="1">
      <c r="B135" s="141">
        <f t="shared" si="31"/>
        <v>5.1012009999999952</v>
      </c>
      <c r="C135" s="360" t="s">
        <v>732</v>
      </c>
      <c r="D135" s="81" t="s">
        <v>36</v>
      </c>
      <c r="E135" s="111">
        <v>3</v>
      </c>
      <c r="F135" s="106">
        <v>600</v>
      </c>
      <c r="G135" s="144"/>
      <c r="H135" s="213" t="e">
        <f t="shared" si="32"/>
        <v>#REF!</v>
      </c>
      <c r="I135" s="213">
        <f t="shared" si="33"/>
        <v>1800</v>
      </c>
      <c r="J135" s="201">
        <f t="shared" si="34"/>
        <v>0</v>
      </c>
      <c r="K135" s="93" t="e">
        <f t="shared" si="35"/>
        <v>#REF!</v>
      </c>
      <c r="L135" s="97"/>
    </row>
    <row r="136" spans="2:12" ht="14.1" customHeight="1" outlineLevel="1">
      <c r="B136" s="141">
        <f t="shared" si="31"/>
        <v>5.101300999999995</v>
      </c>
      <c r="C136" s="360" t="s">
        <v>733</v>
      </c>
      <c r="D136" s="81" t="s">
        <v>36</v>
      </c>
      <c r="E136" s="111">
        <v>1</v>
      </c>
      <c r="F136" s="106">
        <v>600</v>
      </c>
      <c r="G136" s="144"/>
      <c r="H136" s="213" t="e">
        <f t="shared" si="32"/>
        <v>#REF!</v>
      </c>
      <c r="I136" s="213">
        <f t="shared" si="33"/>
        <v>600</v>
      </c>
      <c r="J136" s="201">
        <f t="shared" si="34"/>
        <v>0</v>
      </c>
      <c r="K136" s="93" t="e">
        <f t="shared" si="35"/>
        <v>#REF!</v>
      </c>
      <c r="L136" s="97"/>
    </row>
    <row r="137" spans="2:12" ht="14.1" customHeight="1" outlineLevel="1">
      <c r="B137" s="141">
        <f t="shared" si="31"/>
        <v>5.1014009999999947</v>
      </c>
      <c r="C137" s="360" t="s">
        <v>734</v>
      </c>
      <c r="D137" s="81" t="s">
        <v>36</v>
      </c>
      <c r="E137" s="111">
        <v>65</v>
      </c>
      <c r="F137" s="106">
        <v>140</v>
      </c>
      <c r="G137" s="144"/>
      <c r="H137" s="213" t="e">
        <f t="shared" si="32"/>
        <v>#REF!</v>
      </c>
      <c r="I137" s="213">
        <f t="shared" si="33"/>
        <v>9100</v>
      </c>
      <c r="J137" s="201">
        <f t="shared" si="34"/>
        <v>0</v>
      </c>
      <c r="K137" s="93" t="e">
        <f t="shared" si="35"/>
        <v>#REF!</v>
      </c>
      <c r="L137" s="97"/>
    </row>
    <row r="138" spans="2:12" ht="14.1" customHeight="1" outlineLevel="1">
      <c r="B138" s="141">
        <f t="shared" si="31"/>
        <v>5.1015009999999945</v>
      </c>
      <c r="C138" s="360" t="s">
        <v>735</v>
      </c>
      <c r="D138" s="81" t="s">
        <v>36</v>
      </c>
      <c r="E138" s="111">
        <v>3</v>
      </c>
      <c r="F138" s="106">
        <v>750</v>
      </c>
      <c r="G138" s="144"/>
      <c r="H138" s="213" t="e">
        <f t="shared" si="32"/>
        <v>#REF!</v>
      </c>
      <c r="I138" s="213">
        <f t="shared" si="33"/>
        <v>2250</v>
      </c>
      <c r="J138" s="201">
        <f t="shared" si="34"/>
        <v>0</v>
      </c>
      <c r="K138" s="93" t="e">
        <f t="shared" si="35"/>
        <v>#REF!</v>
      </c>
      <c r="L138" s="97"/>
    </row>
    <row r="139" spans="2:12" ht="14.1" customHeight="1" outlineLevel="1">
      <c r="B139" s="141">
        <f t="shared" si="31"/>
        <v>5.1016009999999943</v>
      </c>
      <c r="C139" s="360" t="s">
        <v>736</v>
      </c>
      <c r="D139" s="81" t="s">
        <v>36</v>
      </c>
      <c r="E139" s="111">
        <v>1</v>
      </c>
      <c r="F139" s="106">
        <v>750</v>
      </c>
      <c r="G139" s="144"/>
      <c r="H139" s="213" t="e">
        <f t="shared" ref="H139" si="40">+ROUND(F139+G139*TC,2)</f>
        <v>#REF!</v>
      </c>
      <c r="I139" s="213">
        <f t="shared" ref="I139" si="41">+ROUND(E139*F139,2)</f>
        <v>750</v>
      </c>
      <c r="J139" s="201">
        <f t="shared" ref="J139" si="42">+ROUND(E139*G139,2)</f>
        <v>0</v>
      </c>
      <c r="K139" s="93" t="e">
        <f t="shared" ref="K139" si="43">+ROUND(I139+J139*TC,2)</f>
        <v>#REF!</v>
      </c>
      <c r="L139" s="97"/>
    </row>
    <row r="140" spans="2:12" ht="14.1" customHeight="1" outlineLevel="1">
      <c r="B140" s="141">
        <f t="shared" si="31"/>
        <v>5.101700999999994</v>
      </c>
      <c r="C140" s="360" t="s">
        <v>737</v>
      </c>
      <c r="D140" s="81" t="s">
        <v>36</v>
      </c>
      <c r="E140" s="111">
        <v>3</v>
      </c>
      <c r="F140" s="106">
        <v>450</v>
      </c>
      <c r="G140" s="144"/>
      <c r="H140" s="213" t="e">
        <f t="shared" si="32"/>
        <v>#REF!</v>
      </c>
      <c r="I140" s="213">
        <f t="shared" si="33"/>
        <v>1350</v>
      </c>
      <c r="J140" s="201">
        <f t="shared" si="34"/>
        <v>0</v>
      </c>
      <c r="K140" s="93" t="e">
        <f t="shared" si="35"/>
        <v>#REF!</v>
      </c>
      <c r="L140" s="97"/>
    </row>
    <row r="141" spans="2:12" ht="14.1" customHeight="1" outlineLevel="1">
      <c r="B141" s="141">
        <f t="shared" si="31"/>
        <v>5.1018009999999938</v>
      </c>
      <c r="C141" s="360" t="s">
        <v>738</v>
      </c>
      <c r="D141" s="81" t="s">
        <v>46</v>
      </c>
      <c r="E141" s="111">
        <v>63.7</v>
      </c>
      <c r="F141" s="106">
        <v>120</v>
      </c>
      <c r="G141" s="144"/>
      <c r="H141" s="213" t="e">
        <f t="shared" si="32"/>
        <v>#REF!</v>
      </c>
      <c r="I141" s="213">
        <f t="shared" si="33"/>
        <v>7644</v>
      </c>
      <c r="J141" s="201">
        <f t="shared" si="34"/>
        <v>0</v>
      </c>
      <c r="K141" s="93" t="e">
        <f t="shared" si="35"/>
        <v>#REF!</v>
      </c>
      <c r="L141" s="97"/>
    </row>
    <row r="142" spans="2:12" ht="14.1" customHeight="1" outlineLevel="1">
      <c r="B142" s="141">
        <f t="shared" si="31"/>
        <v>5.1019009999999936</v>
      </c>
      <c r="C142" s="360" t="s">
        <v>739</v>
      </c>
      <c r="D142" s="81" t="s">
        <v>46</v>
      </c>
      <c r="E142" s="111">
        <v>35.840000000000003</v>
      </c>
      <c r="F142" s="106">
        <v>300</v>
      </c>
      <c r="G142" s="144"/>
      <c r="H142" s="213" t="e">
        <f t="shared" si="32"/>
        <v>#REF!</v>
      </c>
      <c r="I142" s="213">
        <f t="shared" si="33"/>
        <v>10752</v>
      </c>
      <c r="J142" s="201">
        <f t="shared" si="34"/>
        <v>0</v>
      </c>
      <c r="K142" s="93" t="e">
        <f t="shared" si="35"/>
        <v>#REF!</v>
      </c>
      <c r="L142" s="97"/>
    </row>
    <row r="143" spans="2:12" ht="14.1" customHeight="1" outlineLevel="1">
      <c r="B143" s="141">
        <f t="shared" si="31"/>
        <v>5.1020009999999933</v>
      </c>
      <c r="C143" s="360" t="s">
        <v>740</v>
      </c>
      <c r="D143" s="81" t="s">
        <v>46</v>
      </c>
      <c r="E143" s="111">
        <v>19.2</v>
      </c>
      <c r="F143" s="106">
        <v>300</v>
      </c>
      <c r="G143" s="144"/>
      <c r="H143" s="213" t="e">
        <f t="shared" si="32"/>
        <v>#REF!</v>
      </c>
      <c r="I143" s="213">
        <f t="shared" si="33"/>
        <v>5760</v>
      </c>
      <c r="J143" s="201">
        <f t="shared" si="34"/>
        <v>0</v>
      </c>
      <c r="K143" s="93" t="e">
        <f t="shared" si="35"/>
        <v>#REF!</v>
      </c>
      <c r="L143" s="97"/>
    </row>
    <row r="144" spans="2:12" ht="14.1" customHeight="1">
      <c r="B144" s="218">
        <f>B129+0.01</f>
        <v>5.1106009999999964</v>
      </c>
      <c r="C144" s="353" t="s">
        <v>741</v>
      </c>
      <c r="D144" s="354"/>
      <c r="E144" s="122"/>
      <c r="F144" s="123"/>
      <c r="G144" s="87"/>
      <c r="H144" s="213"/>
      <c r="I144" s="213"/>
      <c r="J144" s="201"/>
      <c r="K144" s="93"/>
      <c r="L144" s="136" t="e">
        <f>SUM(I144:I157)+SUM(J144:J157)*TC</f>
        <v>#REF!</v>
      </c>
    </row>
    <row r="145" spans="2:12" ht="14.1" customHeight="1" outlineLevel="1">
      <c r="B145" s="140">
        <f>B144+0.0001</f>
        <v>5.1107009999999962</v>
      </c>
      <c r="C145" s="384" t="s">
        <v>742</v>
      </c>
      <c r="D145" s="81"/>
      <c r="E145" s="111"/>
      <c r="F145" s="93"/>
      <c r="G145" s="103"/>
      <c r="H145" s="213"/>
      <c r="I145" s="213"/>
      <c r="J145" s="201"/>
      <c r="K145" s="93"/>
      <c r="L145" s="97"/>
    </row>
    <row r="146" spans="2:12" ht="14.1" customHeight="1" outlineLevel="2">
      <c r="B146" s="382">
        <f>B140+0.000001</f>
        <v>5.1017019999999942</v>
      </c>
      <c r="C146" s="345" t="s">
        <v>424</v>
      </c>
      <c r="D146" s="81"/>
      <c r="E146" s="111"/>
      <c r="F146" s="93"/>
      <c r="G146" s="103"/>
      <c r="H146" s="213"/>
      <c r="I146" s="213"/>
      <c r="J146" s="201"/>
      <c r="K146" s="93"/>
      <c r="L146" s="97"/>
    </row>
    <row r="147" spans="2:12" ht="14.1" customHeight="1" outlineLevel="3">
      <c r="B147" s="346">
        <f>B146+0.00000001</f>
        <v>5.1017020099999941</v>
      </c>
      <c r="C147" s="57" t="s">
        <v>743</v>
      </c>
      <c r="D147" s="81" t="s">
        <v>169</v>
      </c>
      <c r="E147" s="111">
        <v>2697</v>
      </c>
      <c r="F147" s="93">
        <v>7.42</v>
      </c>
      <c r="G147" s="103"/>
      <c r="H147" s="213" t="e">
        <f>+ROUND(F147+G147*TC,2)</f>
        <v>#REF!</v>
      </c>
      <c r="I147" s="213">
        <f>+ROUND(E147*F147,2)</f>
        <v>20011.740000000002</v>
      </c>
      <c r="J147" s="201">
        <f>+ROUND(E147*G147,2)</f>
        <v>0</v>
      </c>
      <c r="K147" s="93" t="e">
        <f>+ROUND(I147+J147*TC,2)</f>
        <v>#REF!</v>
      </c>
      <c r="L147" s="97"/>
    </row>
    <row r="148" spans="2:12" ht="14.1" customHeight="1" outlineLevel="2">
      <c r="B148" s="382">
        <f>B145+0.000001</f>
        <v>5.1107019999999963</v>
      </c>
      <c r="C148" s="352" t="s">
        <v>744</v>
      </c>
      <c r="D148" s="81"/>
      <c r="E148" s="111"/>
      <c r="F148" s="93"/>
      <c r="G148" s="103"/>
      <c r="H148" s="213"/>
      <c r="I148" s="213"/>
      <c r="J148" s="201"/>
      <c r="K148" s="93"/>
      <c r="L148" s="97"/>
    </row>
    <row r="149" spans="2:12" ht="14.1" customHeight="1" outlineLevel="3">
      <c r="B149" s="346">
        <f>B148+0.00000001</f>
        <v>5.1107020099999962</v>
      </c>
      <c r="C149" s="360" t="s">
        <v>745</v>
      </c>
      <c r="D149" s="81" t="s">
        <v>169</v>
      </c>
      <c r="E149" s="111">
        <v>968</v>
      </c>
      <c r="F149" s="106">
        <v>7.42</v>
      </c>
      <c r="G149" s="82"/>
      <c r="H149" s="213" t="e">
        <f>+ROUND(F149+G149*TC,2)</f>
        <v>#REF!</v>
      </c>
      <c r="I149" s="213">
        <f>+ROUND(E149*F149,2)</f>
        <v>7182.56</v>
      </c>
      <c r="J149" s="201">
        <f>+ROUND(E149*G149,2)</f>
        <v>0</v>
      </c>
      <c r="K149" s="93" t="e">
        <f>+ROUND(I149+J149*TC,2)</f>
        <v>#REF!</v>
      </c>
      <c r="L149" s="97"/>
    </row>
    <row r="150" spans="2:12" ht="14.1" customHeight="1" outlineLevel="2">
      <c r="B150" s="382">
        <f>B148+0.000001</f>
        <v>5.1107029999999964</v>
      </c>
      <c r="C150" s="352" t="s">
        <v>746</v>
      </c>
      <c r="D150" s="81"/>
      <c r="E150" s="111"/>
      <c r="F150" s="93"/>
      <c r="G150" s="103"/>
      <c r="H150" s="213"/>
      <c r="I150" s="213"/>
      <c r="J150" s="201"/>
      <c r="K150" s="93"/>
      <c r="L150" s="97"/>
    </row>
    <row r="151" spans="2:12" ht="14.1" customHeight="1" outlineLevel="3">
      <c r="B151" s="346">
        <f>B150+0.00000001</f>
        <v>5.1107030099999964</v>
      </c>
      <c r="C151" s="360" t="s">
        <v>745</v>
      </c>
      <c r="D151" s="81" t="s">
        <v>169</v>
      </c>
      <c r="E151" s="111">
        <v>1984</v>
      </c>
      <c r="F151" s="106">
        <v>7.42</v>
      </c>
      <c r="G151" s="82"/>
      <c r="H151" s="213" t="e">
        <f>+ROUND(F151+G151*TC,2)</f>
        <v>#REF!</v>
      </c>
      <c r="I151" s="213">
        <f>+ROUND(E151*F151,2)</f>
        <v>14721.28</v>
      </c>
      <c r="J151" s="201">
        <f>+ROUND(E151*G151,2)</f>
        <v>0</v>
      </c>
      <c r="K151" s="93" t="e">
        <f>+ROUND(I151+J151*TC,2)</f>
        <v>#REF!</v>
      </c>
      <c r="L151" s="97"/>
    </row>
    <row r="152" spans="2:12" ht="14.1" customHeight="1" outlineLevel="2">
      <c r="B152" s="382">
        <f>B150+0.000001</f>
        <v>5.1107039999999966</v>
      </c>
      <c r="C152" s="352" t="s">
        <v>747</v>
      </c>
      <c r="D152" s="81"/>
      <c r="E152" s="111"/>
      <c r="F152" s="93"/>
      <c r="G152" s="103"/>
      <c r="H152" s="213"/>
      <c r="I152" s="213"/>
      <c r="J152" s="201"/>
      <c r="K152" s="93"/>
      <c r="L152" s="97"/>
    </row>
    <row r="153" spans="2:12" ht="14.1" customHeight="1" outlineLevel="3">
      <c r="B153" s="346">
        <f>B152+0.00000001</f>
        <v>5.1107040099999965</v>
      </c>
      <c r="C153" s="492" t="s">
        <v>748</v>
      </c>
      <c r="D153" s="81" t="s">
        <v>169</v>
      </c>
      <c r="E153" s="111">
        <v>223.37</v>
      </c>
      <c r="F153" s="106">
        <v>21.5</v>
      </c>
      <c r="G153" s="82"/>
      <c r="H153" s="213" t="e">
        <f>+ROUND(F153+G153*TC,2)</f>
        <v>#REF!</v>
      </c>
      <c r="I153" s="213">
        <f>+ROUND(E153*F153,2)</f>
        <v>4802.46</v>
      </c>
      <c r="J153" s="201">
        <f>+ROUND(E153*G153,2)</f>
        <v>0</v>
      </c>
      <c r="K153" s="93" t="e">
        <f>+ROUND(I153+J153*TC,2)</f>
        <v>#REF!</v>
      </c>
      <c r="L153" s="97"/>
    </row>
    <row r="154" spans="2:12" ht="14.1" customHeight="1" outlineLevel="1">
      <c r="B154" s="140">
        <f>B145+0.0001</f>
        <v>5.1108009999999959</v>
      </c>
      <c r="C154" s="493" t="s">
        <v>749</v>
      </c>
      <c r="D154" s="81"/>
      <c r="E154" s="111"/>
      <c r="F154" s="93"/>
      <c r="G154" s="103"/>
      <c r="H154" s="213"/>
      <c r="I154" s="213"/>
      <c r="J154" s="201"/>
      <c r="K154" s="93"/>
      <c r="L154" s="97"/>
    </row>
    <row r="155" spans="2:12" ht="14.1" customHeight="1" outlineLevel="2">
      <c r="B155" s="143">
        <f>B154+0.000001</f>
        <v>5.1108019999999961</v>
      </c>
      <c r="C155" s="360" t="s">
        <v>750</v>
      </c>
      <c r="D155" s="81" t="s">
        <v>169</v>
      </c>
      <c r="E155" s="111">
        <v>253.92</v>
      </c>
      <c r="F155" s="93">
        <v>12.42</v>
      </c>
      <c r="G155" s="82"/>
      <c r="H155" s="213" t="e">
        <f>+ROUND(F155+G155*TC,2)</f>
        <v>#REF!</v>
      </c>
      <c r="I155" s="213">
        <f>+ROUND(E155*F155,2)</f>
        <v>3153.69</v>
      </c>
      <c r="J155" s="201">
        <f>+ROUND(E155*G155,2)</f>
        <v>0</v>
      </c>
      <c r="K155" s="93" t="e">
        <f>+ROUND(I155+J155*TC,2)</f>
        <v>#REF!</v>
      </c>
      <c r="L155" s="97"/>
    </row>
    <row r="156" spans="2:12" ht="14.1" customHeight="1" outlineLevel="2">
      <c r="B156" s="142">
        <f>B155+0.000001</f>
        <v>5.1108029999999962</v>
      </c>
      <c r="C156" s="360" t="s">
        <v>751</v>
      </c>
      <c r="D156" s="81" t="s">
        <v>169</v>
      </c>
      <c r="E156" s="111">
        <v>62.34</v>
      </c>
      <c r="F156" s="93">
        <v>12.42</v>
      </c>
      <c r="G156" s="82"/>
      <c r="H156" s="213" t="e">
        <f>+ROUND(F156+G156*TC,2)</f>
        <v>#REF!</v>
      </c>
      <c r="I156" s="213">
        <f>+ROUND(E156*F156,2)</f>
        <v>774.26</v>
      </c>
      <c r="J156" s="201">
        <f>+ROUND(E156*G156,2)</f>
        <v>0</v>
      </c>
      <c r="K156" s="93" t="e">
        <f>+ROUND(I156+J156*TC,2)</f>
        <v>#REF!</v>
      </c>
      <c r="L156" s="97"/>
    </row>
    <row r="157" spans="2:12" ht="14.1" customHeight="1" outlineLevel="2">
      <c r="B157" s="142">
        <f>B156+0.000001</f>
        <v>5.1108039999999963</v>
      </c>
      <c r="C157" s="360" t="s">
        <v>752</v>
      </c>
      <c r="D157" s="81" t="s">
        <v>169</v>
      </c>
      <c r="E157" s="111">
        <v>20.7</v>
      </c>
      <c r="F157" s="93">
        <v>12.42</v>
      </c>
      <c r="G157" s="82"/>
      <c r="H157" s="213" t="e">
        <f>+ROUND(F157+G157*TC,2)</f>
        <v>#REF!</v>
      </c>
      <c r="I157" s="213">
        <f>+ROUND(E157*F157,2)</f>
        <v>257.08999999999997</v>
      </c>
      <c r="J157" s="201">
        <f>+ROUND(E157*G157,2)</f>
        <v>0</v>
      </c>
      <c r="K157" s="93" t="e">
        <f>+ROUND(I157+J157*TC,2)</f>
        <v>#REF!</v>
      </c>
      <c r="L157" s="97"/>
    </row>
    <row r="158" spans="2:12" ht="14.1" customHeight="1" outlineLevel="2">
      <c r="B158" s="140">
        <f>B154+0.0001</f>
        <v>5.1109009999999957</v>
      </c>
      <c r="C158" s="493" t="s">
        <v>753</v>
      </c>
      <c r="D158" s="81"/>
      <c r="E158" s="111"/>
      <c r="F158" s="93"/>
      <c r="G158" s="82"/>
      <c r="H158" s="213"/>
      <c r="I158" s="213"/>
      <c r="J158" s="201"/>
      <c r="K158" s="93"/>
      <c r="L158" s="97"/>
    </row>
    <row r="159" spans="2:12" ht="14.1" customHeight="1">
      <c r="B159" s="218">
        <f>B144+0.01</f>
        <v>5.1206009999999962</v>
      </c>
      <c r="C159" s="379" t="s">
        <v>754</v>
      </c>
      <c r="D159" s="81"/>
      <c r="E159" s="111"/>
      <c r="F159" s="123"/>
      <c r="G159" s="87"/>
      <c r="H159" s="213"/>
      <c r="I159" s="213"/>
      <c r="J159" s="201"/>
      <c r="K159" s="93"/>
      <c r="L159" s="136" t="e">
        <f>SUM(I159:I169)+SUM(J159:J169)*TC</f>
        <v>#REF!</v>
      </c>
    </row>
    <row r="160" spans="2:12" ht="14.1" customHeight="1" outlineLevel="1">
      <c r="B160" s="141">
        <f t="shared" ref="B160:B169" si="44">B159+0.0001</f>
        <v>5.120700999999996</v>
      </c>
      <c r="C160" s="360" t="s">
        <v>755</v>
      </c>
      <c r="D160" s="81" t="s">
        <v>46</v>
      </c>
      <c r="E160" s="111">
        <v>355.93</v>
      </c>
      <c r="F160" s="106">
        <v>8</v>
      </c>
      <c r="G160" s="82"/>
      <c r="H160" s="213" t="e">
        <f t="shared" ref="H160:H167" si="45">+ROUND(F160+G160*TC,2)</f>
        <v>#REF!</v>
      </c>
      <c r="I160" s="213">
        <f t="shared" ref="I160:I167" si="46">+ROUND(E160*F160,2)</f>
        <v>2847.44</v>
      </c>
      <c r="J160" s="201">
        <f t="shared" ref="J160:J167" si="47">+ROUND(E160*G160,2)</f>
        <v>0</v>
      </c>
      <c r="K160" s="93" t="e">
        <f t="shared" ref="K160:K167" si="48">+ROUND(I160+J160*TC,2)</f>
        <v>#REF!</v>
      </c>
      <c r="L160" s="97"/>
    </row>
    <row r="161" spans="2:12" ht="22.5" outlineLevel="1">
      <c r="B161" s="141">
        <f t="shared" si="44"/>
        <v>5.1208009999999957</v>
      </c>
      <c r="C161" s="360" t="s">
        <v>756</v>
      </c>
      <c r="D161" s="81" t="s">
        <v>36</v>
      </c>
      <c r="E161" s="111">
        <v>99</v>
      </c>
      <c r="F161" s="106">
        <v>22</v>
      </c>
      <c r="G161" s="82"/>
      <c r="H161" s="213" t="e">
        <f t="shared" si="45"/>
        <v>#REF!</v>
      </c>
      <c r="I161" s="213">
        <f t="shared" si="46"/>
        <v>2178</v>
      </c>
      <c r="J161" s="201">
        <f t="shared" si="47"/>
        <v>0</v>
      </c>
      <c r="K161" s="93" t="e">
        <f t="shared" si="48"/>
        <v>#REF!</v>
      </c>
      <c r="L161" s="97"/>
    </row>
    <row r="162" spans="2:12" outlineLevel="1">
      <c r="B162" s="141">
        <f t="shared" si="44"/>
        <v>5.1209009999999955</v>
      </c>
      <c r="C162" s="360" t="s">
        <v>757</v>
      </c>
      <c r="D162" s="81" t="s">
        <v>36</v>
      </c>
      <c r="E162" s="111">
        <v>99</v>
      </c>
      <c r="F162" s="106">
        <v>35</v>
      </c>
      <c r="G162" s="82"/>
      <c r="H162" s="213" t="e">
        <f t="shared" ref="H162" si="49">+ROUND(F162+G162*TC,2)</f>
        <v>#REF!</v>
      </c>
      <c r="I162" s="213">
        <f t="shared" ref="I162" si="50">+ROUND(E162*F162,2)</f>
        <v>3465</v>
      </c>
      <c r="J162" s="201">
        <f t="shared" ref="J162" si="51">+ROUND(E162*G162,2)</f>
        <v>0</v>
      </c>
      <c r="K162" s="93" t="e">
        <f t="shared" ref="K162" si="52">+ROUND(I162+J162*TC,2)</f>
        <v>#REF!</v>
      </c>
      <c r="L162" s="97"/>
    </row>
    <row r="163" spans="2:12" ht="14.1" customHeight="1" outlineLevel="1">
      <c r="B163" s="141">
        <f t="shared" si="44"/>
        <v>5.1210009999999953</v>
      </c>
      <c r="C163" s="360" t="s">
        <v>758</v>
      </c>
      <c r="D163" s="81" t="s">
        <v>36</v>
      </c>
      <c r="E163" s="111">
        <v>60</v>
      </c>
      <c r="F163" s="106">
        <v>35</v>
      </c>
      <c r="G163" s="82"/>
      <c r="H163" s="213" t="e">
        <f t="shared" si="45"/>
        <v>#REF!</v>
      </c>
      <c r="I163" s="213">
        <f t="shared" si="46"/>
        <v>2100</v>
      </c>
      <c r="J163" s="201">
        <f t="shared" si="47"/>
        <v>0</v>
      </c>
      <c r="K163" s="93" t="e">
        <f t="shared" si="48"/>
        <v>#REF!</v>
      </c>
      <c r="L163" s="97"/>
    </row>
    <row r="164" spans="2:12" ht="14.1" customHeight="1" outlineLevel="1">
      <c r="B164" s="141">
        <f t="shared" si="44"/>
        <v>5.121100999999995</v>
      </c>
      <c r="C164" s="360" t="s">
        <v>759</v>
      </c>
      <c r="D164" s="81" t="s">
        <v>46</v>
      </c>
      <c r="E164" s="111">
        <v>254.16</v>
      </c>
      <c r="F164" s="106">
        <v>35</v>
      </c>
      <c r="G164" s="82"/>
      <c r="H164" s="213" t="e">
        <f t="shared" si="45"/>
        <v>#REF!</v>
      </c>
      <c r="I164" s="213">
        <f t="shared" si="46"/>
        <v>8895.6</v>
      </c>
      <c r="J164" s="201">
        <f t="shared" si="47"/>
        <v>0</v>
      </c>
      <c r="K164" s="93" t="e">
        <f t="shared" si="48"/>
        <v>#REF!</v>
      </c>
      <c r="L164" s="97"/>
    </row>
    <row r="165" spans="2:12" ht="14.1" customHeight="1" outlineLevel="1">
      <c r="B165" s="141">
        <f t="shared" si="44"/>
        <v>5.1212009999999948</v>
      </c>
      <c r="C165" s="360" t="s">
        <v>760</v>
      </c>
      <c r="D165" s="81" t="s">
        <v>36</v>
      </c>
      <c r="E165" s="111">
        <v>11</v>
      </c>
      <c r="F165" s="106">
        <v>35</v>
      </c>
      <c r="G165" s="82"/>
      <c r="H165" s="213" t="e">
        <f t="shared" ref="H165" si="53">+ROUND(F165+G165*TC,2)</f>
        <v>#REF!</v>
      </c>
      <c r="I165" s="213">
        <f t="shared" ref="I165" si="54">+ROUND(E165*F165,2)</f>
        <v>385</v>
      </c>
      <c r="J165" s="201">
        <f t="shared" ref="J165" si="55">+ROUND(E165*G165,2)</f>
        <v>0</v>
      </c>
      <c r="K165" s="93" t="e">
        <f t="shared" ref="K165" si="56">+ROUND(I165+J165*TC,2)</f>
        <v>#REF!</v>
      </c>
      <c r="L165" s="97"/>
    </row>
    <row r="166" spans="2:12" ht="14.1" customHeight="1" outlineLevel="1">
      <c r="B166" s="141">
        <f t="shared" si="44"/>
        <v>5.1213009999999946</v>
      </c>
      <c r="C166" s="360" t="s">
        <v>761</v>
      </c>
      <c r="D166" s="81" t="s">
        <v>36</v>
      </c>
      <c r="E166" s="111">
        <v>80</v>
      </c>
      <c r="F166" s="106">
        <v>22</v>
      </c>
      <c r="G166" s="82"/>
      <c r="H166" s="213" t="e">
        <f t="shared" si="45"/>
        <v>#REF!</v>
      </c>
      <c r="I166" s="213">
        <f t="shared" si="46"/>
        <v>1760</v>
      </c>
      <c r="J166" s="201">
        <f t="shared" si="47"/>
        <v>0</v>
      </c>
      <c r="K166" s="93" t="e">
        <f t="shared" si="48"/>
        <v>#REF!</v>
      </c>
      <c r="L166" s="97"/>
    </row>
    <row r="167" spans="2:12" ht="14.1" customHeight="1" outlineLevel="1">
      <c r="B167" s="141">
        <f t="shared" si="44"/>
        <v>5.1214009999999943</v>
      </c>
      <c r="C167" s="360" t="s">
        <v>762</v>
      </c>
      <c r="D167" s="81" t="s">
        <v>46</v>
      </c>
      <c r="E167" s="111">
        <v>204.27</v>
      </c>
      <c r="F167" s="106">
        <v>10.5</v>
      </c>
      <c r="G167" s="82"/>
      <c r="H167" s="213" t="e">
        <f t="shared" si="45"/>
        <v>#REF!</v>
      </c>
      <c r="I167" s="213">
        <f t="shared" si="46"/>
        <v>2144.84</v>
      </c>
      <c r="J167" s="201">
        <f t="shared" si="47"/>
        <v>0</v>
      </c>
      <c r="K167" s="93" t="e">
        <f t="shared" si="48"/>
        <v>#REF!</v>
      </c>
      <c r="L167" s="97"/>
    </row>
    <row r="168" spans="2:12" ht="14.1" customHeight="1" outlineLevel="1">
      <c r="B168" s="141">
        <f t="shared" si="44"/>
        <v>5.1215009999999941</v>
      </c>
      <c r="C168" s="360" t="s">
        <v>763</v>
      </c>
      <c r="D168" s="81" t="s">
        <v>46</v>
      </c>
      <c r="E168" s="111">
        <v>82.08</v>
      </c>
      <c r="F168" s="106">
        <v>10.5</v>
      </c>
      <c r="G168" s="82"/>
      <c r="H168" s="213" t="e">
        <f t="shared" ref="H168" si="57">+ROUND(F168+G168*TC,2)</f>
        <v>#REF!</v>
      </c>
      <c r="I168" s="213">
        <f t="shared" ref="I168" si="58">+ROUND(E168*F168,2)</f>
        <v>861.84</v>
      </c>
      <c r="J168" s="201">
        <f t="shared" ref="J168" si="59">+ROUND(E168*G168,2)</f>
        <v>0</v>
      </c>
      <c r="K168" s="93" t="e">
        <f t="shared" ref="K168" si="60">+ROUND(I168+J168*TC,2)</f>
        <v>#REF!</v>
      </c>
      <c r="L168" s="97"/>
    </row>
    <row r="169" spans="2:12" ht="14.1" customHeight="1" outlineLevel="1">
      <c r="B169" s="141">
        <f t="shared" si="44"/>
        <v>5.1216009999999939</v>
      </c>
      <c r="C169" s="360" t="s">
        <v>764</v>
      </c>
      <c r="D169" s="81" t="s">
        <v>46</v>
      </c>
      <c r="E169" s="111">
        <v>101</v>
      </c>
      <c r="F169" s="106">
        <v>10.5</v>
      </c>
      <c r="G169" s="82"/>
      <c r="H169" s="213" t="e">
        <f t="shared" ref="H169" si="61">+ROUND(F169+G169*TC,2)</f>
        <v>#REF!</v>
      </c>
      <c r="I169" s="213">
        <f t="shared" ref="I169" si="62">+ROUND(E169*F169,2)</f>
        <v>1060.5</v>
      </c>
      <c r="J169" s="201">
        <f t="shared" ref="J169" si="63">+ROUND(E169*G169,2)</f>
        <v>0</v>
      </c>
      <c r="K169" s="93" t="e">
        <f t="shared" ref="K169" si="64">+ROUND(I169+J169*TC,2)</f>
        <v>#REF!</v>
      </c>
      <c r="L169" s="97"/>
    </row>
    <row r="170" spans="2:12" ht="14.1" customHeight="1">
      <c r="B170" s="218">
        <f>B159+0.01</f>
        <v>5.130600999999996</v>
      </c>
      <c r="C170" s="379" t="s">
        <v>765</v>
      </c>
      <c r="D170" s="354"/>
      <c r="E170" s="122"/>
      <c r="F170" s="123"/>
      <c r="G170" s="87"/>
      <c r="H170" s="213"/>
      <c r="I170" s="213"/>
      <c r="J170" s="201"/>
      <c r="K170" s="93"/>
      <c r="L170" s="136" t="e">
        <f>SUM(I170:I173)+SUM(J170:J173)*TC</f>
        <v>#REF!</v>
      </c>
    </row>
    <row r="171" spans="2:12" ht="14.1" customHeight="1" outlineLevel="1">
      <c r="B171" s="141">
        <f>B170+0.0001</f>
        <v>5.1307009999999957</v>
      </c>
      <c r="C171" s="365" t="s">
        <v>766</v>
      </c>
      <c r="D171" s="81" t="s">
        <v>36</v>
      </c>
      <c r="E171" s="111">
        <v>166</v>
      </c>
      <c r="F171" s="106">
        <v>50.74</v>
      </c>
      <c r="G171" s="82"/>
      <c r="H171" s="213" t="e">
        <f>+ROUND(F171+G171*TC,2)</f>
        <v>#REF!</v>
      </c>
      <c r="I171" s="213">
        <f>+ROUND(E171*F171,2)</f>
        <v>8422.84</v>
      </c>
      <c r="J171" s="201">
        <f>+ROUND(E171*G171,2)</f>
        <v>0</v>
      </c>
      <c r="K171" s="93" t="e">
        <f>+ROUND(I171+J171*TC,2)</f>
        <v>#REF!</v>
      </c>
      <c r="L171" s="97"/>
    </row>
    <row r="172" spans="2:12" ht="14.1" customHeight="1" outlineLevel="1">
      <c r="B172" s="141"/>
      <c r="C172" s="57" t="s">
        <v>767</v>
      </c>
      <c r="D172" s="81" t="s">
        <v>36</v>
      </c>
      <c r="E172" s="111">
        <v>12</v>
      </c>
      <c r="F172" s="106">
        <v>175.43</v>
      </c>
      <c r="G172" s="82"/>
      <c r="H172" s="213" t="e">
        <f>+ROUND(F172+G172*TC,2)</f>
        <v>#REF!</v>
      </c>
      <c r="I172" s="213">
        <f>+ROUND(E172*F172,2)</f>
        <v>2105.16</v>
      </c>
      <c r="J172" s="201">
        <f>+ROUND(E172*G172,2)</f>
        <v>0</v>
      </c>
      <c r="K172" s="93" t="e">
        <f>+ROUND(I172+J172*TC,2)</f>
        <v>#REF!</v>
      </c>
      <c r="L172" s="97"/>
    </row>
    <row r="173" spans="2:12" ht="22.5" outlineLevel="1">
      <c r="B173" s="141">
        <f>B171+0.0001</f>
        <v>5.1308009999999955</v>
      </c>
      <c r="C173" s="365" t="s">
        <v>768</v>
      </c>
      <c r="D173" s="81" t="s">
        <v>36</v>
      </c>
      <c r="E173" s="111">
        <v>198</v>
      </c>
      <c r="F173" s="93">
        <v>69.739999999999995</v>
      </c>
      <c r="G173" s="82"/>
      <c r="H173" s="213" t="e">
        <f>+ROUND(F173+G173*TC,2)</f>
        <v>#REF!</v>
      </c>
      <c r="I173" s="213">
        <f>+ROUND(E173*F173,2)</f>
        <v>13808.52</v>
      </c>
      <c r="J173" s="201">
        <f>+ROUND(E173*G173,2)</f>
        <v>0</v>
      </c>
      <c r="K173" s="93" t="e">
        <f>+ROUND(I173+J173*TC,2)</f>
        <v>#REF!</v>
      </c>
      <c r="L173" s="97"/>
    </row>
    <row r="174" spans="2:12" ht="14.1" customHeight="1">
      <c r="B174" s="218">
        <f>B170+0.01</f>
        <v>5.1406009999999958</v>
      </c>
      <c r="C174" s="379" t="s">
        <v>769</v>
      </c>
      <c r="D174" s="354"/>
      <c r="E174" s="122"/>
      <c r="F174" s="123"/>
      <c r="G174" s="87"/>
      <c r="H174" s="213"/>
      <c r="I174" s="213"/>
      <c r="J174" s="201"/>
      <c r="K174" s="93"/>
      <c r="L174" s="136" t="e">
        <f>SUM(I174:I175)+SUM(J174:J175)*TC</f>
        <v>#REF!</v>
      </c>
    </row>
    <row r="175" spans="2:12" ht="14.1" customHeight="1" outlineLevel="2">
      <c r="B175" s="369">
        <f>B174+0.0001</f>
        <v>5.1407009999999955</v>
      </c>
      <c r="C175" s="365" t="s">
        <v>770</v>
      </c>
      <c r="D175" s="81" t="s">
        <v>36</v>
      </c>
      <c r="E175" s="111">
        <v>1</v>
      </c>
      <c r="F175" s="93">
        <v>0</v>
      </c>
      <c r="G175" s="103">
        <v>10.41</v>
      </c>
      <c r="H175" s="213" t="e">
        <f>+ROUND(F175+G175*TC,2)</f>
        <v>#REF!</v>
      </c>
      <c r="I175" s="213">
        <f>+ROUND(E175*F175,2)</f>
        <v>0</v>
      </c>
      <c r="J175" s="201">
        <f>+ROUND(E175*G175,2)</f>
        <v>10.41</v>
      </c>
      <c r="K175" s="93" t="e">
        <f>+ROUND(I175+J175*TC,2)</f>
        <v>#REF!</v>
      </c>
      <c r="L175" s="97"/>
    </row>
    <row r="176" spans="2:12" ht="14.1" customHeight="1">
      <c r="B176" s="218">
        <f>B174+0.01</f>
        <v>5.1506009999999955</v>
      </c>
      <c r="C176" s="379" t="s">
        <v>771</v>
      </c>
      <c r="D176" s="354"/>
      <c r="E176" s="122"/>
      <c r="F176" s="123"/>
      <c r="G176" s="87"/>
      <c r="H176" s="213"/>
      <c r="I176" s="213"/>
      <c r="J176" s="201"/>
      <c r="K176" s="93"/>
      <c r="L176" s="136" t="e">
        <f>SUM(I176:I182)+SUM(J176:J182)*TC</f>
        <v>#REF!</v>
      </c>
    </row>
    <row r="177" spans="2:12" ht="14.1" customHeight="1" outlineLevel="2">
      <c r="B177" s="369">
        <f t="shared" ref="B177:B181" si="65">B176+0.0001</f>
        <v>5.1507009999999953</v>
      </c>
      <c r="C177" s="495" t="s">
        <v>772</v>
      </c>
      <c r="D177" s="81" t="s">
        <v>36</v>
      </c>
      <c r="E177" s="111">
        <v>137</v>
      </c>
      <c r="F177" s="106"/>
      <c r="G177" s="368">
        <v>27.12</v>
      </c>
      <c r="H177" s="213" t="e">
        <f t="shared" ref="H177:H182" si="66">+ROUND(F177+G177*TC,2)</f>
        <v>#REF!</v>
      </c>
      <c r="I177" s="213">
        <f t="shared" ref="I177:I182" si="67">+ROUND(E177*F177,2)</f>
        <v>0</v>
      </c>
      <c r="J177" s="201">
        <f t="shared" ref="J177:J182" si="68">+ROUND(E177*G177,2)</f>
        <v>3715.44</v>
      </c>
      <c r="K177" s="93" t="e">
        <f t="shared" ref="K177:K182" si="69">+ROUND(I177+J177*TC,2)</f>
        <v>#REF!</v>
      </c>
      <c r="L177" s="97"/>
    </row>
    <row r="178" spans="2:12" ht="14.1" customHeight="1" outlineLevel="2">
      <c r="B178" s="369">
        <f>B177+0.0001</f>
        <v>5.1508009999999951</v>
      </c>
      <c r="C178" s="495" t="s">
        <v>773</v>
      </c>
      <c r="D178" s="81" t="s">
        <v>36</v>
      </c>
      <c r="E178" s="111">
        <v>14</v>
      </c>
      <c r="F178" s="106"/>
      <c r="G178" s="368">
        <v>19.920000000000002</v>
      </c>
      <c r="H178" s="213" t="e">
        <f t="shared" si="66"/>
        <v>#REF!</v>
      </c>
      <c r="I178" s="213">
        <f t="shared" si="67"/>
        <v>0</v>
      </c>
      <c r="J178" s="201">
        <f t="shared" si="68"/>
        <v>278.88</v>
      </c>
      <c r="K178" s="93" t="e">
        <f t="shared" si="69"/>
        <v>#REF!</v>
      </c>
      <c r="L178" s="97"/>
    </row>
    <row r="179" spans="2:12" ht="14.1" customHeight="1" outlineLevel="2">
      <c r="B179" s="369">
        <f t="shared" si="65"/>
        <v>5.1509009999999948</v>
      </c>
      <c r="C179" s="495" t="s">
        <v>774</v>
      </c>
      <c r="D179" s="81" t="s">
        <v>36</v>
      </c>
      <c r="E179" s="111">
        <v>5</v>
      </c>
      <c r="F179" s="106"/>
      <c r="G179" s="368">
        <v>6.27</v>
      </c>
      <c r="H179" s="213" t="e">
        <f t="shared" si="66"/>
        <v>#REF!</v>
      </c>
      <c r="I179" s="213">
        <f t="shared" si="67"/>
        <v>0</v>
      </c>
      <c r="J179" s="201">
        <f t="shared" si="68"/>
        <v>31.35</v>
      </c>
      <c r="K179" s="93" t="e">
        <f t="shared" si="69"/>
        <v>#REF!</v>
      </c>
      <c r="L179" s="97"/>
    </row>
    <row r="180" spans="2:12" ht="14.1" customHeight="1" outlineLevel="2">
      <c r="B180" s="369">
        <f>B179+0.0001</f>
        <v>5.1510009999999946</v>
      </c>
      <c r="C180" s="495" t="s">
        <v>775</v>
      </c>
      <c r="D180" s="81" t="s">
        <v>36</v>
      </c>
      <c r="E180" s="111">
        <v>132</v>
      </c>
      <c r="F180" s="106"/>
      <c r="G180" s="368">
        <v>7.12</v>
      </c>
      <c r="H180" s="213" t="e">
        <f t="shared" si="66"/>
        <v>#REF!</v>
      </c>
      <c r="I180" s="213">
        <f t="shared" si="67"/>
        <v>0</v>
      </c>
      <c r="J180" s="201">
        <f t="shared" si="68"/>
        <v>939.84</v>
      </c>
      <c r="K180" s="93" t="e">
        <f t="shared" si="69"/>
        <v>#REF!</v>
      </c>
      <c r="L180" s="97"/>
    </row>
    <row r="181" spans="2:12" ht="14.1" customHeight="1" outlineLevel="2">
      <c r="B181" s="369">
        <f t="shared" si="65"/>
        <v>5.1511009999999944</v>
      </c>
      <c r="C181" s="495" t="s">
        <v>776</v>
      </c>
      <c r="D181" s="81" t="s">
        <v>36</v>
      </c>
      <c r="E181" s="111">
        <v>0</v>
      </c>
      <c r="F181" s="106"/>
      <c r="G181" s="368">
        <v>7.12</v>
      </c>
      <c r="H181" s="213" t="e">
        <f t="shared" si="66"/>
        <v>#REF!</v>
      </c>
      <c r="I181" s="213">
        <f t="shared" si="67"/>
        <v>0</v>
      </c>
      <c r="J181" s="201">
        <f t="shared" si="68"/>
        <v>0</v>
      </c>
      <c r="K181" s="93" t="e">
        <f t="shared" si="69"/>
        <v>#REF!</v>
      </c>
      <c r="L181" s="97"/>
    </row>
    <row r="182" spans="2:12" ht="14.1" customHeight="1" outlineLevel="2">
      <c r="B182" s="369">
        <f>B181+0.0001</f>
        <v>5.1512009999999941</v>
      </c>
      <c r="C182" s="496" t="s">
        <v>777</v>
      </c>
      <c r="D182" s="81" t="s">
        <v>36</v>
      </c>
      <c r="E182" s="111">
        <v>73</v>
      </c>
      <c r="F182" s="106"/>
      <c r="G182" s="368">
        <v>17.52</v>
      </c>
      <c r="H182" s="213" t="e">
        <f t="shared" si="66"/>
        <v>#REF!</v>
      </c>
      <c r="I182" s="213">
        <f t="shared" si="67"/>
        <v>0</v>
      </c>
      <c r="J182" s="201">
        <f t="shared" si="68"/>
        <v>1278.96</v>
      </c>
      <c r="K182" s="93" t="e">
        <f t="shared" si="69"/>
        <v>#REF!</v>
      </c>
      <c r="L182" s="97"/>
    </row>
    <row r="183" spans="2:12" ht="14.1" customHeight="1">
      <c r="B183" s="218">
        <f>B176+0.01</f>
        <v>5.1606009999999953</v>
      </c>
      <c r="C183" s="379" t="s">
        <v>778</v>
      </c>
      <c r="D183" s="122"/>
      <c r="E183" s="123"/>
      <c r="F183" s="87"/>
      <c r="G183" s="122"/>
      <c r="H183" s="213"/>
      <c r="I183" s="213"/>
      <c r="J183" s="201"/>
      <c r="K183" s="93"/>
      <c r="L183" s="136" t="e">
        <f>SUM(I183:I199)+SUM(J183:J199)*TC</f>
        <v>#REF!</v>
      </c>
    </row>
    <row r="184" spans="2:12" ht="14.1" customHeight="1" outlineLevel="1">
      <c r="B184" s="141">
        <f t="shared" ref="B184:B199" si="70">B183+0.0001</f>
        <v>5.1607009999999951</v>
      </c>
      <c r="C184" s="360" t="s">
        <v>779</v>
      </c>
      <c r="D184" s="81" t="s">
        <v>36</v>
      </c>
      <c r="E184" s="111">
        <v>10</v>
      </c>
      <c r="F184" s="106">
        <v>13.5</v>
      </c>
      <c r="G184" s="82"/>
      <c r="H184" s="213" t="e">
        <f t="shared" ref="H184:H199" si="71">+ROUND(F184+G184*TC,2)</f>
        <v>#REF!</v>
      </c>
      <c r="I184" s="213">
        <f t="shared" ref="I184:I199" si="72">+ROUND(E184*F184,2)</f>
        <v>135</v>
      </c>
      <c r="J184" s="201">
        <f t="shared" ref="J184:J199" si="73">+ROUND(E184*G184,2)</f>
        <v>0</v>
      </c>
      <c r="K184" s="93" t="e">
        <f t="shared" ref="K184:K199" si="74">+ROUND(I184+J184*TC,2)</f>
        <v>#REF!</v>
      </c>
      <c r="L184" s="97"/>
    </row>
    <row r="185" spans="2:12" ht="14.1" customHeight="1" outlineLevel="1">
      <c r="B185" s="141">
        <f t="shared" si="70"/>
        <v>5.1608009999999949</v>
      </c>
      <c r="C185" s="360" t="s">
        <v>780</v>
      </c>
      <c r="D185" s="81" t="s">
        <v>36</v>
      </c>
      <c r="E185" s="4"/>
      <c r="F185" s="106">
        <v>13.5</v>
      </c>
      <c r="G185" s="82"/>
      <c r="H185" s="213" t="e">
        <f t="shared" ref="H185:H190" si="75">+ROUND(F185+G185*TC,2)</f>
        <v>#REF!</v>
      </c>
      <c r="I185" s="213">
        <f t="shared" ref="I185:I190" si="76">+ROUND(E185*F185,2)</f>
        <v>0</v>
      </c>
      <c r="J185" s="201">
        <f t="shared" ref="J185:J190" si="77">+ROUND(E185*G185,2)</f>
        <v>0</v>
      </c>
      <c r="K185" s="93" t="e">
        <f t="shared" ref="K185:K190" si="78">+ROUND(I185+J185*TC,2)</f>
        <v>#REF!</v>
      </c>
      <c r="L185" s="97"/>
    </row>
    <row r="186" spans="2:12" ht="14.1" customHeight="1" outlineLevel="1">
      <c r="B186" s="141">
        <f t="shared" si="70"/>
        <v>5.1609009999999946</v>
      </c>
      <c r="C186" s="360" t="s">
        <v>781</v>
      </c>
      <c r="D186" s="81" t="s">
        <v>36</v>
      </c>
      <c r="E186" s="111">
        <v>29</v>
      </c>
      <c r="F186" s="106">
        <v>13.5</v>
      </c>
      <c r="G186" s="82"/>
      <c r="H186" s="213" t="e">
        <f t="shared" si="75"/>
        <v>#REF!</v>
      </c>
      <c r="I186" s="213">
        <f t="shared" si="76"/>
        <v>391.5</v>
      </c>
      <c r="J186" s="201">
        <f t="shared" si="77"/>
        <v>0</v>
      </c>
      <c r="K186" s="93" t="e">
        <f t="shared" si="78"/>
        <v>#REF!</v>
      </c>
      <c r="L186" s="97"/>
    </row>
    <row r="187" spans="2:12" ht="14.1" customHeight="1" outlineLevel="1">
      <c r="B187" s="141">
        <f t="shared" si="70"/>
        <v>5.1610009999999944</v>
      </c>
      <c r="C187" s="360" t="s">
        <v>782</v>
      </c>
      <c r="D187" s="81" t="s">
        <v>36</v>
      </c>
      <c r="E187" s="111">
        <v>6</v>
      </c>
      <c r="F187" s="106">
        <v>13.5</v>
      </c>
      <c r="G187" s="82"/>
      <c r="H187" s="213" t="e">
        <f t="shared" si="75"/>
        <v>#REF!</v>
      </c>
      <c r="I187" s="213">
        <f t="shared" si="76"/>
        <v>81</v>
      </c>
      <c r="J187" s="201">
        <f t="shared" si="77"/>
        <v>0</v>
      </c>
      <c r="K187" s="93" t="e">
        <f t="shared" si="78"/>
        <v>#REF!</v>
      </c>
      <c r="L187" s="97"/>
    </row>
    <row r="188" spans="2:12" ht="14.1" customHeight="1" outlineLevel="1">
      <c r="B188" s="141">
        <f t="shared" si="70"/>
        <v>5.1611009999999942</v>
      </c>
      <c r="C188" s="360" t="s">
        <v>783</v>
      </c>
      <c r="D188" s="81" t="s">
        <v>36</v>
      </c>
      <c r="E188" s="111">
        <v>6</v>
      </c>
      <c r="F188" s="106">
        <v>13.5</v>
      </c>
      <c r="G188" s="82"/>
      <c r="H188" s="213" t="e">
        <f t="shared" si="75"/>
        <v>#REF!</v>
      </c>
      <c r="I188" s="213">
        <f t="shared" si="76"/>
        <v>81</v>
      </c>
      <c r="J188" s="201">
        <f t="shared" si="77"/>
        <v>0</v>
      </c>
      <c r="K188" s="93" t="e">
        <f t="shared" si="78"/>
        <v>#REF!</v>
      </c>
      <c r="L188" s="97"/>
    </row>
    <row r="189" spans="2:12" ht="14.1" customHeight="1" outlineLevel="1">
      <c r="B189" s="141">
        <f t="shared" si="70"/>
        <v>5.1612009999999939</v>
      </c>
      <c r="C189" s="360" t="s">
        <v>784</v>
      </c>
      <c r="D189" s="81" t="s">
        <v>36</v>
      </c>
      <c r="E189" s="111">
        <v>11</v>
      </c>
      <c r="F189" s="106">
        <v>13.5</v>
      </c>
      <c r="G189" s="82"/>
      <c r="H189" s="213" t="e">
        <f t="shared" si="75"/>
        <v>#REF!</v>
      </c>
      <c r="I189" s="213">
        <f t="shared" si="76"/>
        <v>148.5</v>
      </c>
      <c r="J189" s="201">
        <f t="shared" si="77"/>
        <v>0</v>
      </c>
      <c r="K189" s="93" t="e">
        <f t="shared" si="78"/>
        <v>#REF!</v>
      </c>
      <c r="L189" s="97"/>
    </row>
    <row r="190" spans="2:12" ht="14.1" customHeight="1" outlineLevel="1">
      <c r="B190" s="141">
        <f t="shared" si="70"/>
        <v>5.1613009999999937</v>
      </c>
      <c r="C190" s="360" t="s">
        <v>785</v>
      </c>
      <c r="D190" s="81" t="s">
        <v>36</v>
      </c>
      <c r="E190" s="111">
        <v>1</v>
      </c>
      <c r="F190" s="106">
        <v>13.5</v>
      </c>
      <c r="G190" s="82"/>
      <c r="H190" s="213" t="e">
        <f t="shared" si="75"/>
        <v>#REF!</v>
      </c>
      <c r="I190" s="213">
        <f t="shared" si="76"/>
        <v>13.5</v>
      </c>
      <c r="J190" s="201">
        <f t="shared" si="77"/>
        <v>0</v>
      </c>
      <c r="K190" s="93" t="e">
        <f t="shared" si="78"/>
        <v>#REF!</v>
      </c>
      <c r="L190" s="97"/>
    </row>
    <row r="191" spans="2:12" ht="14.1" customHeight="1" outlineLevel="1">
      <c r="B191" s="141">
        <f t="shared" si="70"/>
        <v>5.1614009999999935</v>
      </c>
      <c r="C191" s="360" t="s">
        <v>786</v>
      </c>
      <c r="D191" s="81" t="s">
        <v>36</v>
      </c>
      <c r="E191" s="111">
        <v>22</v>
      </c>
      <c r="F191" s="106">
        <v>13.5</v>
      </c>
      <c r="G191" s="82"/>
      <c r="H191" s="213" t="e">
        <f t="shared" ref="H191" si="79">+ROUND(F191+G191*TC,2)</f>
        <v>#REF!</v>
      </c>
      <c r="I191" s="213">
        <f t="shared" ref="I191" si="80">+ROUND(E191*F191,2)</f>
        <v>297</v>
      </c>
      <c r="J191" s="201">
        <f t="shared" ref="J191" si="81">+ROUND(E191*G191,2)</f>
        <v>0</v>
      </c>
      <c r="K191" s="93" t="e">
        <f t="shared" ref="K191" si="82">+ROUND(I191+J191*TC,2)</f>
        <v>#REF!</v>
      </c>
      <c r="L191" s="97"/>
    </row>
    <row r="192" spans="2:12" ht="14.1" customHeight="1" outlineLevel="1">
      <c r="B192" s="141">
        <f t="shared" si="70"/>
        <v>5.1615009999999932</v>
      </c>
      <c r="C192" s="360" t="s">
        <v>787</v>
      </c>
      <c r="D192" s="81" t="s">
        <v>36</v>
      </c>
      <c r="E192" s="111">
        <v>19</v>
      </c>
      <c r="F192" s="106">
        <v>13.5</v>
      </c>
      <c r="G192" s="82"/>
      <c r="H192" s="213" t="e">
        <f t="shared" si="71"/>
        <v>#REF!</v>
      </c>
      <c r="I192" s="213">
        <f t="shared" si="72"/>
        <v>256.5</v>
      </c>
      <c r="J192" s="201">
        <f t="shared" si="73"/>
        <v>0</v>
      </c>
      <c r="K192" s="93" t="e">
        <f t="shared" si="74"/>
        <v>#REF!</v>
      </c>
      <c r="L192" s="97"/>
    </row>
    <row r="193" spans="1:12" ht="14.1" customHeight="1" outlineLevel="1">
      <c r="B193" s="141">
        <f t="shared" si="70"/>
        <v>5.161600999999993</v>
      </c>
      <c r="C193" s="360" t="s">
        <v>788</v>
      </c>
      <c r="D193" s="81" t="s">
        <v>36</v>
      </c>
      <c r="E193" s="111">
        <v>18</v>
      </c>
      <c r="F193" s="106">
        <v>13.5</v>
      </c>
      <c r="G193" s="82"/>
      <c r="H193" s="213" t="e">
        <f t="shared" ref="H193:H195" si="83">+ROUND(F193+G193*TC,2)</f>
        <v>#REF!</v>
      </c>
      <c r="I193" s="213">
        <f t="shared" ref="I193:I195" si="84">+ROUND(E193*F193,2)</f>
        <v>243</v>
      </c>
      <c r="J193" s="201">
        <f t="shared" ref="J193:J195" si="85">+ROUND(E193*G193,2)</f>
        <v>0</v>
      </c>
      <c r="K193" s="93" t="e">
        <f t="shared" ref="K193:K195" si="86">+ROUND(I193+J193*TC,2)</f>
        <v>#REF!</v>
      </c>
      <c r="L193" s="97"/>
    </row>
    <row r="194" spans="1:12" ht="14.1" customHeight="1" outlineLevel="1">
      <c r="B194" s="141">
        <f t="shared" si="70"/>
        <v>5.1617009999999928</v>
      </c>
      <c r="C194" s="360" t="s">
        <v>789</v>
      </c>
      <c r="D194" s="81" t="s">
        <v>36</v>
      </c>
      <c r="E194" s="111">
        <v>18</v>
      </c>
      <c r="F194" s="106">
        <v>13.5</v>
      </c>
      <c r="G194" s="82"/>
      <c r="H194" s="213" t="e">
        <f t="shared" si="83"/>
        <v>#REF!</v>
      </c>
      <c r="I194" s="213">
        <f t="shared" si="84"/>
        <v>243</v>
      </c>
      <c r="J194" s="201">
        <f t="shared" si="85"/>
        <v>0</v>
      </c>
      <c r="K194" s="93" t="e">
        <f t="shared" si="86"/>
        <v>#REF!</v>
      </c>
      <c r="L194" s="97"/>
    </row>
    <row r="195" spans="1:12" ht="14.1" customHeight="1" outlineLevel="1">
      <c r="B195" s="141">
        <f t="shared" si="70"/>
        <v>5.1618009999999925</v>
      </c>
      <c r="C195" s="360" t="s">
        <v>790</v>
      </c>
      <c r="D195" s="81" t="s">
        <v>36</v>
      </c>
      <c r="E195" s="111">
        <v>12</v>
      </c>
      <c r="F195" s="106">
        <v>13.5</v>
      </c>
      <c r="G195" s="82"/>
      <c r="H195" s="213" t="e">
        <f t="shared" si="83"/>
        <v>#REF!</v>
      </c>
      <c r="I195" s="213">
        <f t="shared" si="84"/>
        <v>162</v>
      </c>
      <c r="J195" s="201">
        <f t="shared" si="85"/>
        <v>0</v>
      </c>
      <c r="K195" s="93" t="e">
        <f t="shared" si="86"/>
        <v>#REF!</v>
      </c>
      <c r="L195" s="97"/>
    </row>
    <row r="196" spans="1:12" ht="14.1" customHeight="1" outlineLevel="1">
      <c r="B196" s="141">
        <f t="shared" si="70"/>
        <v>5.1619009999999923</v>
      </c>
      <c r="C196" s="360" t="s">
        <v>791</v>
      </c>
      <c r="D196" s="81" t="s">
        <v>36</v>
      </c>
      <c r="E196" s="111">
        <v>6</v>
      </c>
      <c r="F196" s="106">
        <v>13.5</v>
      </c>
      <c r="G196" s="82"/>
      <c r="H196" s="213" t="e">
        <f t="shared" ref="H196" si="87">+ROUND(F196+G196*TC,2)</f>
        <v>#REF!</v>
      </c>
      <c r="I196" s="213">
        <f t="shared" ref="I196" si="88">+ROUND(E196*F196,2)</f>
        <v>81</v>
      </c>
      <c r="J196" s="201">
        <f t="shared" ref="J196" si="89">+ROUND(E196*G196,2)</f>
        <v>0</v>
      </c>
      <c r="K196" s="93" t="e">
        <f t="shared" ref="K196" si="90">+ROUND(I196+J196*TC,2)</f>
        <v>#REF!</v>
      </c>
      <c r="L196" s="97"/>
    </row>
    <row r="197" spans="1:12" ht="14.1" customHeight="1" outlineLevel="1">
      <c r="B197" s="141">
        <f t="shared" si="70"/>
        <v>5.1620009999999921</v>
      </c>
      <c r="C197" s="360" t="s">
        <v>792</v>
      </c>
      <c r="D197" s="81" t="s">
        <v>36</v>
      </c>
      <c r="E197" s="111">
        <v>6</v>
      </c>
      <c r="F197" s="106">
        <v>13.5</v>
      </c>
      <c r="G197" s="82"/>
      <c r="H197" s="213" t="e">
        <f t="shared" si="71"/>
        <v>#REF!</v>
      </c>
      <c r="I197" s="213">
        <f t="shared" si="72"/>
        <v>81</v>
      </c>
      <c r="J197" s="201">
        <f t="shared" si="73"/>
        <v>0</v>
      </c>
      <c r="K197" s="93" t="e">
        <f t="shared" si="74"/>
        <v>#REF!</v>
      </c>
      <c r="L197" s="97"/>
    </row>
    <row r="198" spans="1:12" ht="14.1" customHeight="1" outlineLevel="1">
      <c r="B198" s="141">
        <f t="shared" si="70"/>
        <v>5.1621009999999918</v>
      </c>
      <c r="C198" s="360" t="s">
        <v>793</v>
      </c>
      <c r="D198" s="81" t="s">
        <v>36</v>
      </c>
      <c r="E198" s="111">
        <v>4</v>
      </c>
      <c r="F198" s="106">
        <v>13.5</v>
      </c>
      <c r="G198" s="82"/>
      <c r="H198" s="213" t="e">
        <f t="shared" si="71"/>
        <v>#REF!</v>
      </c>
      <c r="I198" s="213">
        <f t="shared" si="72"/>
        <v>54</v>
      </c>
      <c r="J198" s="201">
        <f t="shared" si="73"/>
        <v>0</v>
      </c>
      <c r="K198" s="93" t="e">
        <f t="shared" si="74"/>
        <v>#REF!</v>
      </c>
      <c r="L198" s="97"/>
    </row>
    <row r="199" spans="1:12" ht="14.1" customHeight="1" outlineLevel="1">
      <c r="B199" s="141">
        <f t="shared" si="70"/>
        <v>5.1622009999999916</v>
      </c>
      <c r="C199" s="360" t="s">
        <v>794</v>
      </c>
      <c r="D199" s="81" t="s">
        <v>36</v>
      </c>
      <c r="E199" s="111">
        <v>0</v>
      </c>
      <c r="F199" s="106">
        <v>13.5</v>
      </c>
      <c r="G199" s="82"/>
      <c r="H199" s="213" t="e">
        <f t="shared" si="71"/>
        <v>#REF!</v>
      </c>
      <c r="I199" s="213">
        <f t="shared" si="72"/>
        <v>0</v>
      </c>
      <c r="J199" s="201">
        <f t="shared" si="73"/>
        <v>0</v>
      </c>
      <c r="K199" s="93" t="e">
        <f t="shared" si="74"/>
        <v>#REF!</v>
      </c>
      <c r="L199" s="97"/>
    </row>
    <row r="200" spans="1:12">
      <c r="A200" s="218">
        <f>A192+0.01</f>
        <v>0.01</v>
      </c>
      <c r="B200" s="218">
        <f>B183+0.01</f>
        <v>5.1706009999999951</v>
      </c>
      <c r="C200" s="494" t="s">
        <v>795</v>
      </c>
      <c r="D200" s="111"/>
      <c r="E200" s="93"/>
      <c r="F200" s="87"/>
      <c r="G200" s="87"/>
      <c r="H200" s="213"/>
      <c r="I200" s="213"/>
      <c r="J200" s="201"/>
      <c r="K200" s="93"/>
      <c r="L200" s="136" t="e">
        <f>SUM(I200:I203)+SUM(J200:J203)*TC</f>
        <v>#REF!</v>
      </c>
    </row>
    <row r="201" spans="1:12" ht="13.15" customHeight="1" outlineLevel="1">
      <c r="B201" s="141">
        <f>B200+0.0001</f>
        <v>5.1707009999999949</v>
      </c>
      <c r="C201" s="360" t="s">
        <v>796</v>
      </c>
      <c r="D201" s="81" t="s">
        <v>36</v>
      </c>
      <c r="E201" s="111">
        <v>20</v>
      </c>
      <c r="F201" s="93">
        <v>75</v>
      </c>
      <c r="G201" s="103"/>
      <c r="H201" s="213" t="e">
        <f>+ROUND(F201+G201*TC,2)</f>
        <v>#REF!</v>
      </c>
      <c r="I201" s="213">
        <f>+ROUND(E201*F201,2)</f>
        <v>1500</v>
      </c>
      <c r="J201" s="201">
        <f>+ROUND(E201*G201,2)</f>
        <v>0</v>
      </c>
      <c r="K201" s="93" t="e">
        <f>+ROUND(I201+J201*TC,2)</f>
        <v>#REF!</v>
      </c>
      <c r="L201" s="97"/>
    </row>
    <row r="202" spans="1:12" ht="13.15" customHeight="1" outlineLevel="1">
      <c r="B202" s="141">
        <f>B201+0.0001</f>
        <v>5.1708009999999947</v>
      </c>
      <c r="C202" s="360" t="s">
        <v>797</v>
      </c>
      <c r="D202" s="81" t="s">
        <v>36</v>
      </c>
      <c r="E202" s="111">
        <v>2</v>
      </c>
      <c r="F202" s="93">
        <v>320</v>
      </c>
      <c r="G202" s="103"/>
      <c r="H202" s="213" t="e">
        <f>+ROUND(F202+G202*TC,2)</f>
        <v>#REF!</v>
      </c>
      <c r="I202" s="213">
        <f>+ROUND(E202*F202,2)</f>
        <v>640</v>
      </c>
      <c r="J202" s="201">
        <f>+ROUND(E202*G202,2)</f>
        <v>0</v>
      </c>
      <c r="K202" s="93" t="e">
        <f>+ROUND(I202+J202*TC,2)</f>
        <v>#REF!</v>
      </c>
      <c r="L202" s="97"/>
    </row>
    <row r="203" spans="1:12" ht="13.15" customHeight="1" outlineLevel="1">
      <c r="B203" s="141">
        <f>B202+0.0001</f>
        <v>5.1709009999999944</v>
      </c>
      <c r="C203" s="361" t="s">
        <v>798</v>
      </c>
      <c r="D203" s="81" t="s">
        <v>36</v>
      </c>
      <c r="E203" s="111">
        <v>0</v>
      </c>
      <c r="F203" s="93">
        <v>130</v>
      </c>
      <c r="G203" s="103"/>
      <c r="H203" s="213" t="e">
        <f>+ROUND(F203+G203*TC,2)</f>
        <v>#REF!</v>
      </c>
      <c r="I203" s="213">
        <f>+ROUND(E203*F203,2)</f>
        <v>0</v>
      </c>
      <c r="J203" s="201">
        <f>+ROUND(E203*G203,2)</f>
        <v>0</v>
      </c>
      <c r="K203" s="93" t="e">
        <f>+ROUND(I203+J203*TC,2)</f>
        <v>#REF!</v>
      </c>
      <c r="L203" s="97"/>
    </row>
    <row r="204" spans="1:12" ht="14.1" customHeight="1">
      <c r="B204" s="218">
        <f>B200+0.01</f>
        <v>5.1806009999999949</v>
      </c>
      <c r="C204" s="494" t="s">
        <v>293</v>
      </c>
      <c r="D204" s="81"/>
      <c r="E204" s="111"/>
      <c r="F204" s="123"/>
      <c r="G204" s="87"/>
      <c r="H204" s="213"/>
      <c r="I204" s="213"/>
      <c r="J204" s="201"/>
      <c r="K204" s="93"/>
      <c r="L204" s="136" t="e">
        <f>SUM(I204:I207)+SUM(J204:J207)*TC</f>
        <v>#REF!</v>
      </c>
    </row>
    <row r="205" spans="1:12" ht="14.1" customHeight="1" outlineLevel="1">
      <c r="B205" s="141">
        <f>B204+0.0001</f>
        <v>5.1807009999999947</v>
      </c>
      <c r="C205" s="360" t="s">
        <v>799</v>
      </c>
      <c r="D205" s="81" t="s">
        <v>36</v>
      </c>
      <c r="E205" s="111">
        <v>96</v>
      </c>
      <c r="F205" s="106">
        <v>35</v>
      </c>
      <c r="G205" s="82"/>
      <c r="H205" s="213" t="e">
        <f>+ROUND(F205+G205*TC,2)</f>
        <v>#REF!</v>
      </c>
      <c r="I205" s="213">
        <f>+ROUND(E205*F205,2)</f>
        <v>3360</v>
      </c>
      <c r="J205" s="201">
        <f>+ROUND(E205*G205,2)</f>
        <v>0</v>
      </c>
      <c r="K205" s="93" t="e">
        <f>+ROUND(I205+J205*TC,2)</f>
        <v>#REF!</v>
      </c>
      <c r="L205" s="97"/>
    </row>
    <row r="206" spans="1:12" ht="14.1" customHeight="1" outlineLevel="1">
      <c r="B206" s="141">
        <f>B205+0.0001</f>
        <v>5.1808009999999944</v>
      </c>
      <c r="C206" s="360" t="s">
        <v>800</v>
      </c>
      <c r="D206" s="81" t="s">
        <v>36</v>
      </c>
      <c r="E206" s="111">
        <v>12</v>
      </c>
      <c r="F206" s="106">
        <v>80</v>
      </c>
      <c r="G206" s="82"/>
      <c r="H206" s="213" t="e">
        <f>+ROUND(F206+G206*TC,2)</f>
        <v>#REF!</v>
      </c>
      <c r="I206" s="213">
        <f>+ROUND(E206*F206,2)</f>
        <v>960</v>
      </c>
      <c r="J206" s="201">
        <f>+ROUND(E206*G206,2)</f>
        <v>0</v>
      </c>
      <c r="K206" s="93" t="e">
        <f>+ROUND(I206+J206*TC,2)</f>
        <v>#REF!</v>
      </c>
      <c r="L206" s="97"/>
    </row>
    <row r="207" spans="1:12" ht="14.1" customHeight="1" outlineLevel="1" thickBot="1">
      <c r="B207" s="141">
        <f>B206+0.0001</f>
        <v>5.1809009999999942</v>
      </c>
      <c r="C207" s="360" t="s">
        <v>801</v>
      </c>
      <c r="D207" s="81" t="s">
        <v>36</v>
      </c>
      <c r="E207" s="111">
        <v>1</v>
      </c>
      <c r="F207" s="106">
        <v>35</v>
      </c>
      <c r="G207" s="82"/>
      <c r="H207" s="213" t="e">
        <f>+ROUND(F207+G207*TC,2)</f>
        <v>#REF!</v>
      </c>
      <c r="I207" s="213">
        <f>+ROUND(E207*F207,2)</f>
        <v>35</v>
      </c>
      <c r="J207" s="201">
        <f>+ROUND(E207*G207,2)</f>
        <v>0</v>
      </c>
      <c r="K207" s="93" t="e">
        <f>+ROUND(I207+J207*TC,2)</f>
        <v>#REF!</v>
      </c>
      <c r="L207" s="97"/>
    </row>
    <row r="208" spans="1:12" s="63" customFormat="1" ht="14.1" customHeight="1" collapsed="1" thickTop="1" thickBot="1">
      <c r="B208" s="119"/>
      <c r="C208" s="120"/>
      <c r="D208" s="120"/>
      <c r="E208" s="120"/>
      <c r="F208" s="98" t="s">
        <v>12</v>
      </c>
      <c r="G208" s="228"/>
      <c r="H208" s="228"/>
      <c r="I208" s="99">
        <f>SUM(I12:I207)</f>
        <v>630478.16999999981</v>
      </c>
      <c r="J208" s="100">
        <f>SUM(J12:J207)</f>
        <v>23726.09</v>
      </c>
      <c r="K208" s="99" t="e">
        <f>SUM(K12:K207)</f>
        <v>#REF!</v>
      </c>
      <c r="L208" s="104" t="e">
        <f>SUM(L12:L207)</f>
        <v>#REF!</v>
      </c>
    </row>
    <row r="209" spans="5:12" ht="12" thickTop="1"/>
    <row r="210" spans="5:12">
      <c r="I210" s="127" t="e">
        <f>+I208+J208*TC-K208</f>
        <v>#REF!</v>
      </c>
      <c r="K210" s="127"/>
      <c r="L210" s="302"/>
    </row>
    <row r="211" spans="5:12">
      <c r="E211" s="386"/>
      <c r="J211" s="127"/>
      <c r="K211" s="385"/>
      <c r="L211" s="302"/>
    </row>
    <row r="212" spans="5:12" ht="12" thickBot="1">
      <c r="J212" s="127"/>
      <c r="K212" s="127"/>
      <c r="L212" s="302"/>
    </row>
    <row r="213" spans="5:12" ht="15.75" thickTop="1" thickBot="1">
      <c r="H213" s="38" t="s">
        <v>199</v>
      </c>
      <c r="I213" s="214">
        <v>630478.17000000004</v>
      </c>
      <c r="J213" s="202">
        <v>23726.09</v>
      </c>
    </row>
    <row r="214" spans="5:12" ht="15.75" thickTop="1" thickBot="1">
      <c r="H214" s="38"/>
      <c r="I214" s="214">
        <f>+I208-I213</f>
        <v>0</v>
      </c>
      <c r="J214" s="202">
        <f>+J208-J213</f>
        <v>0</v>
      </c>
    </row>
    <row r="215" spans="5:12" ht="12" thickTop="1"/>
  </sheetData>
  <autoFilter ref="A11:L208" xr:uid="{EE949866-0C39-4B9F-B308-0C67BBBA61D6}"/>
  <mergeCells count="1">
    <mergeCell ref="B2:L2"/>
  </mergeCells>
  <conditionalFormatting sqref="I12:J14">
    <cfRule type="cellIs" dxfId="11" priority="4" stopIfTrue="1" operator="equal">
      <formula>0</formula>
    </cfRule>
  </conditionalFormatting>
  <conditionalFormatting sqref="I40:J41">
    <cfRule type="cellIs" dxfId="10" priority="2" stopIfTrue="1" operator="equal">
      <formula>0</formula>
    </cfRule>
  </conditionalFormatting>
  <conditionalFormatting sqref="I46:J46">
    <cfRule type="cellIs" dxfId="9" priority="1" stopIfTrue="1" operator="equal">
      <formula>0</formula>
    </cfRule>
  </conditionalFormatting>
  <dataValidations disablePrompts="1" count="1">
    <dataValidation type="list" allowBlank="1" showInputMessage="1" showErrorMessage="1" sqref="C79" xr:uid="{2F3123CE-1315-4AC1-83F7-E602A98A8573}">
      <formula1>#REF!</formula1>
    </dataValidation>
  </dataValidations>
  <pageMargins left="0.7" right="0.7" top="0.75" bottom="0.75" header="0.3" footer="0.3"/>
  <ignoredErrors>
    <ignoredError sqref="L144:L145 L140 L204 C11 H208:J208 L173:L175 L122:L131 L197:L200 H13:L14 L166:L167 L154:L157 L15 L17:L23 L28 L30:L39 L51:L58 L60 L64:L65 L108:L110 L70:L75 L83:L88 H12:K12 L94:L101 L103:L105 L134:L138 L148:L151 L160:L161 L170:L171 L163:L164 L177:L179 L183:L186 L190 L192" unlockedFormula="1"/>
    <ignoredError sqref="B123 B108:B110 B51:B52 B93:B103 B144:B145 B147:B151 B126:B128 B19 B60:B61 B38 B200:B204 B174:B179 B32:B35 B130 B71 B156:B157 B57:B58 B65 B73:B75 B84:B88 B160 B170:B171 B183:B184" formula="1"/>
  </ignoredErrors>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8BBD8-7676-46B5-85F1-048A0B5B7D4E}">
  <sheetPr>
    <tabColor rgb="FF7030A0"/>
    <outlinePr summaryBelow="0" summaryRight="0"/>
  </sheetPr>
  <dimension ref="A1:W780"/>
  <sheetViews>
    <sheetView topLeftCell="C137" zoomScale="85" zoomScaleNormal="85" workbookViewId="0">
      <selection activeCell="O149" sqref="O149"/>
    </sheetView>
  </sheetViews>
  <sheetFormatPr defaultColWidth="7.85546875" defaultRowHeight="11.25" outlineLevelRow="4"/>
  <cols>
    <col min="1" max="1" width="3.42578125" style="10" customWidth="1"/>
    <col min="2" max="2" width="13.42578125" style="59" customWidth="1"/>
    <col min="3" max="3" width="79.28515625" style="4" customWidth="1"/>
    <col min="4" max="4" width="5" style="10" customWidth="1"/>
    <col min="5" max="5" width="15.140625" style="10" bestFit="1" customWidth="1"/>
    <col min="6" max="6" width="14.140625" style="4" bestFit="1" customWidth="1"/>
    <col min="7" max="7" width="11.85546875" style="4" customWidth="1"/>
    <col min="8" max="8" width="12" style="4" customWidth="1"/>
    <col min="9" max="9" width="17.28515625" style="4" customWidth="1"/>
    <col min="10" max="10" width="15" style="4" customWidth="1"/>
    <col min="11" max="11" width="17" style="4" customWidth="1"/>
    <col min="12" max="12" width="21.28515625" style="4" customWidth="1"/>
    <col min="13" max="13" width="11.85546875" style="4" bestFit="1" customWidth="1"/>
    <col min="14" max="15" width="10.7109375" style="4" bestFit="1" customWidth="1"/>
    <col min="16" max="16384" width="7.85546875" style="4"/>
  </cols>
  <sheetData>
    <row r="1" spans="2:13" ht="14.25" customHeight="1">
      <c r="B1" s="35"/>
      <c r="C1" s="2"/>
      <c r="D1" s="3"/>
      <c r="E1" s="3"/>
      <c r="F1" s="2"/>
      <c r="G1" s="2"/>
      <c r="H1" s="2"/>
      <c r="I1" s="2"/>
    </row>
    <row r="2" spans="2:13" ht="14.25" customHeight="1">
      <c r="B2" s="1" t="s">
        <v>10</v>
      </c>
      <c r="C2" s="1"/>
      <c r="D2" s="1"/>
      <c r="E2" s="1"/>
      <c r="F2" s="1"/>
      <c r="G2" s="1"/>
      <c r="H2" s="1"/>
      <c r="I2" s="1"/>
      <c r="J2" s="1"/>
      <c r="K2" s="1"/>
      <c r="L2" s="1"/>
    </row>
    <row r="3" spans="2:13" ht="14.25" customHeight="1">
      <c r="B3" s="35"/>
      <c r="C3" s="2"/>
      <c r="D3" s="3"/>
      <c r="E3" s="3"/>
      <c r="F3" s="2"/>
      <c r="G3" s="2"/>
      <c r="H3" s="2"/>
      <c r="I3" s="2"/>
    </row>
    <row r="4" spans="2:13" ht="14.25" customHeight="1">
      <c r="B4" s="5" t="s">
        <v>0</v>
      </c>
      <c r="C4" s="74" t="e">
        <f>OP!$B$4</f>
        <v>#REF!</v>
      </c>
      <c r="D4" s="3"/>
      <c r="E4" s="3"/>
      <c r="F4" s="2"/>
      <c r="G4" s="2"/>
      <c r="H4" s="2"/>
      <c r="I4" s="2"/>
    </row>
    <row r="5" spans="2:13" ht="14.25" customHeight="1">
      <c r="B5" s="5" t="s">
        <v>14</v>
      </c>
      <c r="C5" s="74" t="str">
        <f>$B$2</f>
        <v>ARQUITECTURA TORRE</v>
      </c>
      <c r="D5" s="3"/>
      <c r="E5" s="3"/>
      <c r="F5" s="2"/>
      <c r="G5" s="2"/>
      <c r="H5" s="2"/>
      <c r="I5" s="2"/>
    </row>
    <row r="6" spans="2:13" ht="14.25" customHeight="1">
      <c r="B6" s="5" t="s">
        <v>1</v>
      </c>
      <c r="C6" s="75" t="e">
        <f>OP!$B$6</f>
        <v>#REF!</v>
      </c>
      <c r="D6" s="3"/>
      <c r="E6" s="410"/>
      <c r="L6" s="334"/>
    </row>
    <row r="7" spans="2:13" ht="14.25" customHeight="1">
      <c r="B7" s="5" t="s">
        <v>3</v>
      </c>
      <c r="C7" s="75" t="e">
        <f>OP!$B$7</f>
        <v>#REF!</v>
      </c>
      <c r="D7" s="3"/>
      <c r="E7" s="410"/>
      <c r="F7" s="2"/>
      <c r="G7" s="2"/>
      <c r="H7" s="2"/>
      <c r="I7" s="2"/>
    </row>
    <row r="8" spans="2:13" ht="14.25" customHeight="1">
      <c r="B8" s="2" t="s">
        <v>15</v>
      </c>
      <c r="C8" s="9" t="e">
        <f>#REF!</f>
        <v>#REF!</v>
      </c>
      <c r="D8" s="3"/>
      <c r="E8" s="410"/>
      <c r="F8" s="2"/>
      <c r="G8" s="2"/>
      <c r="H8" s="2"/>
      <c r="I8" s="2"/>
      <c r="L8" s="127"/>
    </row>
    <row r="9" spans="2:13" ht="14.25" customHeight="1" thickBot="1">
      <c r="B9" s="2"/>
      <c r="C9" s="76"/>
      <c r="D9" s="3"/>
      <c r="E9" s="3"/>
      <c r="F9" s="2"/>
      <c r="G9" s="2"/>
      <c r="H9" s="2"/>
      <c r="I9" s="2"/>
    </row>
    <row r="10" spans="2:13" ht="24" thickTop="1" thickBot="1">
      <c r="B10" s="11" t="s">
        <v>5</v>
      </c>
      <c r="C10" s="12" t="s">
        <v>16</v>
      </c>
      <c r="D10" s="12" t="s">
        <v>17</v>
      </c>
      <c r="E10" s="73" t="s">
        <v>377</v>
      </c>
      <c r="F10" s="13" t="s">
        <v>19</v>
      </c>
      <c r="G10" s="13" t="s">
        <v>20</v>
      </c>
      <c r="H10" s="73" t="s">
        <v>378</v>
      </c>
      <c r="I10" s="73" t="s">
        <v>22</v>
      </c>
      <c r="J10" s="73" t="s">
        <v>23</v>
      </c>
      <c r="K10" s="73" t="s">
        <v>608</v>
      </c>
      <c r="L10" s="69" t="s">
        <v>13</v>
      </c>
    </row>
    <row r="11" spans="2:13" ht="14.1" customHeight="1" thickTop="1" thickBot="1">
      <c r="B11" s="62" t="s">
        <v>802</v>
      </c>
      <c r="C11" s="335" t="str">
        <f>$B$2</f>
        <v>ARQUITECTURA TORRE</v>
      </c>
      <c r="D11" s="17"/>
      <c r="E11" s="17"/>
      <c r="F11" s="18"/>
      <c r="G11" s="18"/>
      <c r="H11" s="18"/>
      <c r="I11" s="70"/>
      <c r="J11" s="71"/>
      <c r="K11" s="301"/>
      <c r="L11" s="72"/>
    </row>
    <row r="12" spans="2:13" ht="14.1" customHeight="1" thickTop="1">
      <c r="B12" s="217">
        <f>B11+0.01</f>
        <v>6.01</v>
      </c>
      <c r="C12" s="336" t="s">
        <v>610</v>
      </c>
      <c r="D12" s="337"/>
      <c r="E12" s="338"/>
      <c r="F12" s="339" t="s">
        <v>8</v>
      </c>
      <c r="G12" s="339"/>
      <c r="H12" s="79" t="str">
        <f>IFERROR(IF(D12&lt;&gt;0,F12+G12*TC," ")," ")</f>
        <v xml:space="preserve"> </v>
      </c>
      <c r="I12" s="340" t="str">
        <f t="shared" ref="I12:J14" si="0">IFERROR(IF($E12=0,"",$E12*F12),"")</f>
        <v/>
      </c>
      <c r="J12" s="341" t="str">
        <f t="shared" si="0"/>
        <v/>
      </c>
      <c r="K12" s="338" t="str">
        <f>IFERROR(IF(E12&lt;&gt;0,(E12*H12)," "),0)</f>
        <v xml:space="preserve"> </v>
      </c>
      <c r="L12" s="611" t="e">
        <f>SUM(I12:I88)+SUM(J12:J88)*TC</f>
        <v>#REF!</v>
      </c>
      <c r="M12" s="127" t="e">
        <f>+L12+L124+L128</f>
        <v>#REF!</v>
      </c>
    </row>
    <row r="13" spans="2:13" ht="14.1" customHeight="1" outlineLevel="1">
      <c r="B13" s="140">
        <f>B12+0.0001</f>
        <v>6.0100999999999996</v>
      </c>
      <c r="C13" s="342" t="s">
        <v>803</v>
      </c>
      <c r="D13" s="81"/>
      <c r="E13" s="111"/>
      <c r="F13" s="93" t="s">
        <v>8</v>
      </c>
      <c r="G13" s="82"/>
      <c r="H13" s="93" t="str">
        <f>IFERROR(IF(D13&lt;&gt;0,(F13+G13*TC)," ")," ")</f>
        <v xml:space="preserve"> </v>
      </c>
      <c r="I13" s="95" t="str">
        <f t="shared" si="0"/>
        <v/>
      </c>
      <c r="J13" s="114" t="str">
        <f t="shared" si="0"/>
        <v/>
      </c>
      <c r="K13" s="93" t="str">
        <f>IFERROR(IF(E13&lt;&gt;0,(E13*H13)," "),0)</f>
        <v xml:space="preserve"> </v>
      </c>
      <c r="L13" s="343"/>
    </row>
    <row r="14" spans="2:13" ht="14.1" customHeight="1" outlineLevel="2">
      <c r="B14" s="344">
        <f>B13+0.000001</f>
        <v>6.0101009999999997</v>
      </c>
      <c r="C14" s="345" t="s">
        <v>612</v>
      </c>
      <c r="D14" s="81"/>
      <c r="E14" s="111"/>
      <c r="F14" s="93" t="s">
        <v>8</v>
      </c>
      <c r="G14" s="82"/>
      <c r="H14" s="93" t="str">
        <f>IFERROR(IF(D14&lt;&gt;0,(F14+G14*TC)," ")," ")</f>
        <v xml:space="preserve"> </v>
      </c>
      <c r="I14" s="95" t="str">
        <f t="shared" si="0"/>
        <v/>
      </c>
      <c r="J14" s="114" t="str">
        <f t="shared" si="0"/>
        <v/>
      </c>
      <c r="K14" s="93" t="str">
        <f>IFERROR(IF(E14&lt;&gt;0,(E14*H14)," "),0)</f>
        <v xml:space="preserve"> </v>
      </c>
      <c r="L14" s="105"/>
    </row>
    <row r="15" spans="2:13" ht="14.1" customHeight="1" outlineLevel="3">
      <c r="B15" s="346">
        <f t="shared" ref="B15:B22" si="1">B14+0.00000001</f>
        <v>6.0101010099999996</v>
      </c>
      <c r="C15" s="348" t="s">
        <v>613</v>
      </c>
      <c r="D15" s="81" t="s">
        <v>169</v>
      </c>
      <c r="E15" s="111">
        <v>1192.22</v>
      </c>
      <c r="F15" s="93">
        <v>96.71</v>
      </c>
      <c r="G15" s="82"/>
      <c r="H15" s="213" t="e">
        <f t="shared" ref="H15:H22" si="2">+ROUND(F15+G15*TC,2)</f>
        <v>#REF!</v>
      </c>
      <c r="I15" s="213">
        <f>+ROUND(E15*F15,2)</f>
        <v>115299.6</v>
      </c>
      <c r="J15" s="201">
        <f>+ROUND(E15*G15,2)</f>
        <v>0</v>
      </c>
      <c r="K15" s="93" t="e">
        <f t="shared" ref="K15:K22" si="3">+ROUND(I15+J15*TC,2)</f>
        <v>#REF!</v>
      </c>
      <c r="L15" s="105"/>
    </row>
    <row r="16" spans="2:13" ht="14.1" customHeight="1" outlineLevel="3">
      <c r="B16" s="346">
        <f t="shared" si="1"/>
        <v>6.0101010199999996</v>
      </c>
      <c r="C16" s="348" t="s">
        <v>614</v>
      </c>
      <c r="D16" s="81" t="s">
        <v>169</v>
      </c>
      <c r="E16" s="111">
        <v>3804.01</v>
      </c>
      <c r="F16" s="93">
        <v>103.71</v>
      </c>
      <c r="G16" s="82"/>
      <c r="H16" s="213" t="e">
        <f t="shared" si="2"/>
        <v>#REF!</v>
      </c>
      <c r="I16" s="213">
        <f t="shared" ref="I16:I74" si="4">+ROUND(E16*F16,2)</f>
        <v>394513.88</v>
      </c>
      <c r="J16" s="201">
        <f t="shared" ref="J16:J80" si="5">+ROUND(E16*G16,2)</f>
        <v>0</v>
      </c>
      <c r="K16" s="93" t="e">
        <f t="shared" si="3"/>
        <v>#REF!</v>
      </c>
      <c r="L16" s="105"/>
    </row>
    <row r="17" spans="2:12" ht="14.1" customHeight="1" outlineLevel="3">
      <c r="B17" s="346">
        <f t="shared" si="1"/>
        <v>6.0101010299999995</v>
      </c>
      <c r="C17" s="348" t="s">
        <v>615</v>
      </c>
      <c r="D17" s="81" t="s">
        <v>169</v>
      </c>
      <c r="E17" s="111">
        <v>659.47</v>
      </c>
      <c r="F17" s="93">
        <v>109.71</v>
      </c>
      <c r="G17" s="82"/>
      <c r="H17" s="213" t="e">
        <f t="shared" si="2"/>
        <v>#REF!</v>
      </c>
      <c r="I17" s="213">
        <f t="shared" si="4"/>
        <v>72350.45</v>
      </c>
      <c r="J17" s="201">
        <f t="shared" si="5"/>
        <v>0</v>
      </c>
      <c r="K17" s="93" t="e">
        <f t="shared" si="3"/>
        <v>#REF!</v>
      </c>
      <c r="L17" s="105"/>
    </row>
    <row r="18" spans="2:12" ht="14.1" customHeight="1" outlineLevel="3">
      <c r="B18" s="346">
        <f t="shared" si="1"/>
        <v>6.0101010399999995</v>
      </c>
      <c r="C18" s="348" t="s">
        <v>616</v>
      </c>
      <c r="D18" s="81" t="s">
        <v>169</v>
      </c>
      <c r="E18" s="111">
        <v>1505.43</v>
      </c>
      <c r="F18" s="93">
        <v>118.21</v>
      </c>
      <c r="G18" s="82"/>
      <c r="H18" s="213" t="e">
        <f t="shared" si="2"/>
        <v>#REF!</v>
      </c>
      <c r="I18" s="213">
        <f t="shared" si="4"/>
        <v>177956.88</v>
      </c>
      <c r="J18" s="201">
        <f t="shared" si="5"/>
        <v>0</v>
      </c>
      <c r="K18" s="93" t="e">
        <f t="shared" si="3"/>
        <v>#REF!</v>
      </c>
      <c r="L18" s="105"/>
    </row>
    <row r="19" spans="2:12" ht="14.1" customHeight="1" outlineLevel="3">
      <c r="B19" s="346">
        <f>B17+0.00000001</f>
        <v>6.0101010399999995</v>
      </c>
      <c r="C19" s="348" t="s">
        <v>804</v>
      </c>
      <c r="D19" s="81" t="s">
        <v>169</v>
      </c>
      <c r="E19" s="111">
        <v>34.049999999999997</v>
      </c>
      <c r="F19" s="93">
        <v>199.21</v>
      </c>
      <c r="G19" s="82"/>
      <c r="H19" s="213" t="e">
        <f t="shared" ref="H19" si="6">+ROUND(F19+G19*TC,2)</f>
        <v>#REF!</v>
      </c>
      <c r="I19" s="213">
        <f t="shared" si="4"/>
        <v>6783.1</v>
      </c>
      <c r="J19" s="201">
        <f t="shared" ref="J19" si="7">+ROUND(E19*G19,2)</f>
        <v>0</v>
      </c>
      <c r="K19" s="93" t="e">
        <f t="shared" ref="K19" si="8">+ROUND(I19+J19*TC,2)</f>
        <v>#REF!</v>
      </c>
      <c r="L19" s="105"/>
    </row>
    <row r="20" spans="2:12" ht="14.1" customHeight="1" outlineLevel="3">
      <c r="B20" s="346">
        <f>B18+0.00000001</f>
        <v>6.0101010499999994</v>
      </c>
      <c r="C20" s="348" t="s">
        <v>805</v>
      </c>
      <c r="D20" s="81" t="s">
        <v>169</v>
      </c>
      <c r="E20" s="111">
        <v>55.4</v>
      </c>
      <c r="F20" s="93">
        <v>211.21</v>
      </c>
      <c r="G20" s="82"/>
      <c r="H20" s="213" t="e">
        <f t="shared" ref="H20" si="9">+ROUND(F20+G20*TC,2)</f>
        <v>#REF!</v>
      </c>
      <c r="I20" s="213">
        <f t="shared" si="4"/>
        <v>11701.03</v>
      </c>
      <c r="J20" s="201">
        <f t="shared" ref="J20" si="10">+ROUND(E20*G20,2)</f>
        <v>0</v>
      </c>
      <c r="K20" s="93" t="e">
        <f t="shared" ref="K20" si="11">+ROUND(I20+J20*TC,2)</f>
        <v>#REF!</v>
      </c>
      <c r="L20" s="105"/>
    </row>
    <row r="21" spans="2:12" ht="14.1" customHeight="1" outlineLevel="3">
      <c r="B21" s="346">
        <f>B18+0.00000001</f>
        <v>6.0101010499999994</v>
      </c>
      <c r="C21" s="348" t="s">
        <v>806</v>
      </c>
      <c r="D21" s="81" t="s">
        <v>169</v>
      </c>
      <c r="E21" s="111">
        <v>49.5</v>
      </c>
      <c r="F21" s="93">
        <v>211.21</v>
      </c>
      <c r="G21" s="82"/>
      <c r="H21" s="213" t="e">
        <f t="shared" si="2"/>
        <v>#REF!</v>
      </c>
      <c r="I21" s="213">
        <f t="shared" si="4"/>
        <v>10454.9</v>
      </c>
      <c r="J21" s="201">
        <f t="shared" si="5"/>
        <v>0</v>
      </c>
      <c r="K21" s="93" t="e">
        <f t="shared" si="3"/>
        <v>#REF!</v>
      </c>
      <c r="L21" s="105"/>
    </row>
    <row r="22" spans="2:12" ht="14.1" customHeight="1" outlineLevel="3">
      <c r="B22" s="346">
        <f t="shared" si="1"/>
        <v>6.0101010599999993</v>
      </c>
      <c r="C22" s="348" t="s">
        <v>807</v>
      </c>
      <c r="D22" s="81" t="s">
        <v>169</v>
      </c>
      <c r="E22" s="111">
        <v>4.09</v>
      </c>
      <c r="F22" s="93">
        <v>211.21</v>
      </c>
      <c r="G22" s="82"/>
      <c r="H22" s="213" t="e">
        <f t="shared" si="2"/>
        <v>#REF!</v>
      </c>
      <c r="I22" s="213">
        <f t="shared" si="4"/>
        <v>863.85</v>
      </c>
      <c r="J22" s="201">
        <f t="shared" si="5"/>
        <v>0</v>
      </c>
      <c r="K22" s="93" t="e">
        <f t="shared" si="3"/>
        <v>#REF!</v>
      </c>
      <c r="L22" s="105"/>
    </row>
    <row r="23" spans="2:12" ht="14.1" customHeight="1" outlineLevel="2">
      <c r="B23" s="344">
        <f>B14+0.000001</f>
        <v>6.0101019999999998</v>
      </c>
      <c r="C23" s="352" t="s">
        <v>617</v>
      </c>
      <c r="D23" s="81"/>
      <c r="E23" s="111">
        <v>0</v>
      </c>
      <c r="F23" s="93" t="s">
        <v>8</v>
      </c>
      <c r="G23" s="82"/>
      <c r="H23" s="213"/>
      <c r="I23" s="213"/>
      <c r="J23" s="201"/>
      <c r="K23" s="93"/>
      <c r="L23" s="105"/>
    </row>
    <row r="24" spans="2:12" ht="14.1" customHeight="1" outlineLevel="4">
      <c r="B24" s="346">
        <f>B23+0.00000001</f>
        <v>6.0101020099999998</v>
      </c>
      <c r="C24" s="348" t="s">
        <v>618</v>
      </c>
      <c r="D24" s="81" t="s">
        <v>169</v>
      </c>
      <c r="E24" s="111">
        <v>36.46</v>
      </c>
      <c r="F24" s="93">
        <v>104.71</v>
      </c>
      <c r="G24" s="82"/>
      <c r="H24" s="213" t="e">
        <f t="shared" ref="H24:H30" si="12">+ROUND(F24+G24*TC,2)</f>
        <v>#REF!</v>
      </c>
      <c r="I24" s="213">
        <f t="shared" si="4"/>
        <v>3817.73</v>
      </c>
      <c r="J24" s="201">
        <f t="shared" ref="J24" si="13">+ROUND(E24*G24,2)</f>
        <v>0</v>
      </c>
      <c r="K24" s="93" t="e">
        <f t="shared" ref="K24:K30" si="14">+ROUND(I24+J24*TC,2)</f>
        <v>#REF!</v>
      </c>
      <c r="L24" s="105"/>
    </row>
    <row r="25" spans="2:12" ht="14.1" customHeight="1" outlineLevel="4">
      <c r="B25" s="346">
        <f>B23+0.00000001</f>
        <v>6.0101020099999998</v>
      </c>
      <c r="C25" s="348" t="s">
        <v>619</v>
      </c>
      <c r="D25" s="81" t="s">
        <v>169</v>
      </c>
      <c r="E25" s="111">
        <v>153.88999999999999</v>
      </c>
      <c r="F25" s="93">
        <v>111.71</v>
      </c>
      <c r="G25" s="82"/>
      <c r="H25" s="213" t="e">
        <f t="shared" si="12"/>
        <v>#REF!</v>
      </c>
      <c r="I25" s="213">
        <f t="shared" si="4"/>
        <v>17191.05</v>
      </c>
      <c r="J25" s="201">
        <f t="shared" si="5"/>
        <v>0</v>
      </c>
      <c r="K25" s="93" t="e">
        <f t="shared" si="14"/>
        <v>#REF!</v>
      </c>
      <c r="L25" s="105"/>
    </row>
    <row r="26" spans="2:12" ht="14.1" customHeight="1" outlineLevel="3">
      <c r="B26" s="346">
        <f>B25+0.00000001</f>
        <v>6.0101020199999997</v>
      </c>
      <c r="C26" s="348" t="s">
        <v>620</v>
      </c>
      <c r="D26" s="81" t="s">
        <v>169</v>
      </c>
      <c r="E26" s="111">
        <v>184.69</v>
      </c>
      <c r="F26" s="93">
        <v>117.71</v>
      </c>
      <c r="G26" s="82"/>
      <c r="H26" s="213" t="e">
        <f t="shared" si="12"/>
        <v>#REF!</v>
      </c>
      <c r="I26" s="213">
        <f t="shared" si="4"/>
        <v>21739.86</v>
      </c>
      <c r="J26" s="201">
        <f t="shared" si="5"/>
        <v>0</v>
      </c>
      <c r="K26" s="93" t="e">
        <f t="shared" si="14"/>
        <v>#REF!</v>
      </c>
      <c r="L26" s="105"/>
    </row>
    <row r="27" spans="2:12" ht="14.1" customHeight="1" outlineLevel="3">
      <c r="B27" s="346">
        <f>B26+0.00000001</f>
        <v>6.0101020299999997</v>
      </c>
      <c r="C27" s="348" t="s">
        <v>621</v>
      </c>
      <c r="D27" s="81" t="s">
        <v>169</v>
      </c>
      <c r="E27" s="111">
        <v>157.51</v>
      </c>
      <c r="F27" s="93">
        <v>126.21</v>
      </c>
      <c r="G27" s="82"/>
      <c r="H27" s="213" t="e">
        <f t="shared" si="12"/>
        <v>#REF!</v>
      </c>
      <c r="I27" s="213">
        <f t="shared" si="4"/>
        <v>19879.34</v>
      </c>
      <c r="J27" s="201">
        <f t="shared" si="5"/>
        <v>0</v>
      </c>
      <c r="K27" s="93" t="e">
        <f t="shared" si="14"/>
        <v>#REF!</v>
      </c>
      <c r="L27" s="105"/>
    </row>
    <row r="28" spans="2:12" ht="14.1" customHeight="1" outlineLevel="3">
      <c r="B28" s="346">
        <f>B27+0.00000001</f>
        <v>6.0101020399999996</v>
      </c>
      <c r="C28" s="348" t="s">
        <v>808</v>
      </c>
      <c r="D28" s="81" t="s">
        <v>169</v>
      </c>
      <c r="E28" s="111">
        <v>0.95</v>
      </c>
      <c r="F28" s="93">
        <v>215.21</v>
      </c>
      <c r="G28" s="82"/>
      <c r="H28" s="213" t="e">
        <f t="shared" si="12"/>
        <v>#REF!</v>
      </c>
      <c r="I28" s="213">
        <f t="shared" si="4"/>
        <v>204.45</v>
      </c>
      <c r="J28" s="201">
        <f t="shared" si="5"/>
        <v>0</v>
      </c>
      <c r="K28" s="93" t="e">
        <f t="shared" si="14"/>
        <v>#REF!</v>
      </c>
      <c r="L28" s="105"/>
    </row>
    <row r="29" spans="2:12" ht="14.1" customHeight="1" outlineLevel="3">
      <c r="B29" s="346">
        <f>B28+0.00000001</f>
        <v>6.0101020499999995</v>
      </c>
      <c r="C29" s="348" t="s">
        <v>809</v>
      </c>
      <c r="D29" s="81" t="s">
        <v>169</v>
      </c>
      <c r="E29" s="111">
        <v>5.18</v>
      </c>
      <c r="F29" s="93">
        <v>227.21</v>
      </c>
      <c r="G29" s="82"/>
      <c r="H29" s="213" t="e">
        <f t="shared" si="12"/>
        <v>#REF!</v>
      </c>
      <c r="I29" s="213">
        <f t="shared" si="4"/>
        <v>1176.95</v>
      </c>
      <c r="J29" s="201">
        <f t="shared" ref="J29" si="15">+ROUND(E29*G29,2)</f>
        <v>0</v>
      </c>
      <c r="K29" s="93" t="e">
        <f t="shared" si="14"/>
        <v>#REF!</v>
      </c>
      <c r="L29" s="105"/>
    </row>
    <row r="30" spans="2:12" ht="14.1" customHeight="1" outlineLevel="3">
      <c r="B30" s="346">
        <f>B28+0.00000001</f>
        <v>6.0101020499999995</v>
      </c>
      <c r="C30" s="348" t="s">
        <v>810</v>
      </c>
      <c r="D30" s="81" t="s">
        <v>169</v>
      </c>
      <c r="E30" s="111">
        <v>3.66</v>
      </c>
      <c r="F30" s="93">
        <v>227.21</v>
      </c>
      <c r="G30" s="82"/>
      <c r="H30" s="213" t="e">
        <f t="shared" si="12"/>
        <v>#REF!</v>
      </c>
      <c r="I30" s="213">
        <f t="shared" si="4"/>
        <v>831.59</v>
      </c>
      <c r="J30" s="201">
        <f t="shared" si="5"/>
        <v>0</v>
      </c>
      <c r="K30" s="93" t="e">
        <f t="shared" si="14"/>
        <v>#REF!</v>
      </c>
      <c r="L30" s="105"/>
    </row>
    <row r="31" spans="2:12" ht="14.1" customHeight="1" outlineLevel="2">
      <c r="B31" s="344">
        <f>B23+0.000001</f>
        <v>6.010103</v>
      </c>
      <c r="C31" s="352" t="s">
        <v>622</v>
      </c>
      <c r="D31" s="81"/>
      <c r="E31" s="111">
        <v>0</v>
      </c>
      <c r="F31" s="93" t="s">
        <v>8</v>
      </c>
      <c r="G31" s="82"/>
      <c r="H31" s="213"/>
      <c r="I31" s="213"/>
      <c r="J31" s="201"/>
      <c r="K31" s="93"/>
      <c r="L31" s="105"/>
    </row>
    <row r="32" spans="2:12" ht="14.1" customHeight="1" outlineLevel="3">
      <c r="B32" s="346">
        <f t="shared" ref="B32:B34" si="16">B31+0.00000001</f>
        <v>6.0101030099999999</v>
      </c>
      <c r="C32" s="348" t="s">
        <v>624</v>
      </c>
      <c r="D32" s="81" t="s">
        <v>169</v>
      </c>
      <c r="E32" s="111">
        <v>1455.53</v>
      </c>
      <c r="F32" s="93">
        <v>113.71</v>
      </c>
      <c r="G32" s="82"/>
      <c r="H32" s="213" t="e">
        <f t="shared" ref="H32:H37" si="17">+ROUND(F32+G32*TC,2)</f>
        <v>#REF!</v>
      </c>
      <c r="I32" s="213">
        <f t="shared" si="4"/>
        <v>165508.32</v>
      </c>
      <c r="J32" s="201">
        <f t="shared" si="5"/>
        <v>0</v>
      </c>
      <c r="K32" s="93" t="e">
        <f t="shared" ref="K32:K37" si="18">+ROUND(I32+J32*TC,2)</f>
        <v>#REF!</v>
      </c>
      <c r="L32" s="105"/>
    </row>
    <row r="33" spans="2:12" ht="14.1" customHeight="1" outlineLevel="3">
      <c r="B33" s="346">
        <f t="shared" si="16"/>
        <v>6.0101030199999999</v>
      </c>
      <c r="C33" s="348" t="s">
        <v>625</v>
      </c>
      <c r="D33" s="81" t="s">
        <v>169</v>
      </c>
      <c r="E33" s="111">
        <v>4994.87</v>
      </c>
      <c r="F33" s="93">
        <v>109.71</v>
      </c>
      <c r="G33" s="82"/>
      <c r="H33" s="213" t="e">
        <f t="shared" si="17"/>
        <v>#REF!</v>
      </c>
      <c r="I33" s="213">
        <f t="shared" si="4"/>
        <v>547987.18999999994</v>
      </c>
      <c r="J33" s="201">
        <f t="shared" si="5"/>
        <v>0</v>
      </c>
      <c r="K33" s="93" t="e">
        <f t="shared" si="18"/>
        <v>#REF!</v>
      </c>
      <c r="L33" s="105"/>
    </row>
    <row r="34" spans="2:12" ht="14.1" customHeight="1" outlineLevel="3">
      <c r="B34" s="346">
        <f t="shared" si="16"/>
        <v>6.0101030299999998</v>
      </c>
      <c r="C34" s="348" t="s">
        <v>811</v>
      </c>
      <c r="D34" s="81" t="s">
        <v>169</v>
      </c>
      <c r="E34" s="111">
        <v>548.37</v>
      </c>
      <c r="F34" s="93">
        <v>118.21</v>
      </c>
      <c r="G34" s="82"/>
      <c r="H34" s="213" t="e">
        <f t="shared" si="17"/>
        <v>#REF!</v>
      </c>
      <c r="I34" s="213">
        <f t="shared" si="4"/>
        <v>64822.82</v>
      </c>
      <c r="J34" s="201">
        <f t="shared" si="5"/>
        <v>0</v>
      </c>
      <c r="K34" s="93" t="e">
        <f t="shared" si="18"/>
        <v>#REF!</v>
      </c>
      <c r="L34" s="105"/>
    </row>
    <row r="35" spans="2:12" ht="14.1" customHeight="1" outlineLevel="3">
      <c r="B35" s="346">
        <f>B33+0.00000001</f>
        <v>6.0101030299999998</v>
      </c>
      <c r="C35" s="348" t="s">
        <v>812</v>
      </c>
      <c r="D35" s="81" t="s">
        <v>169</v>
      </c>
      <c r="E35" s="111">
        <v>91.37</v>
      </c>
      <c r="F35" s="93">
        <v>219.21</v>
      </c>
      <c r="G35" s="82"/>
      <c r="H35" s="213" t="e">
        <f t="shared" ref="H35" si="19">+ROUND(F35+G35*TC,2)</f>
        <v>#REF!</v>
      </c>
      <c r="I35" s="213">
        <f t="shared" si="4"/>
        <v>20029.22</v>
      </c>
      <c r="J35" s="201">
        <f t="shared" ref="J35" si="20">+ROUND(E35*G35,2)</f>
        <v>0</v>
      </c>
      <c r="K35" s="93" t="e">
        <f t="shared" ref="K35" si="21">+ROUND(I35+J35*TC,2)</f>
        <v>#REF!</v>
      </c>
      <c r="L35" s="105"/>
    </row>
    <row r="36" spans="2:12" ht="14.1" customHeight="1" outlineLevel="3">
      <c r="B36" s="346">
        <f>B34+0.00000001</f>
        <v>6.0101030399999997</v>
      </c>
      <c r="C36" s="348" t="s">
        <v>813</v>
      </c>
      <c r="D36" s="81" t="s">
        <v>169</v>
      </c>
      <c r="E36" s="111">
        <v>164.22</v>
      </c>
      <c r="F36" s="93">
        <v>211.21</v>
      </c>
      <c r="G36" s="82"/>
      <c r="H36" s="213" t="e">
        <f t="shared" ref="H36" si="22">+ROUND(F36+G36*TC,2)</f>
        <v>#REF!</v>
      </c>
      <c r="I36" s="213">
        <f t="shared" si="4"/>
        <v>34684.910000000003</v>
      </c>
      <c r="J36" s="201">
        <f t="shared" ref="J36" si="23">+ROUND(E36*G36,2)</f>
        <v>0</v>
      </c>
      <c r="K36" s="93" t="e">
        <f t="shared" ref="K36" si="24">+ROUND(I36+J36*TC,2)</f>
        <v>#REF!</v>
      </c>
      <c r="L36" s="105"/>
    </row>
    <row r="37" spans="2:12" ht="14.1" customHeight="1" outlineLevel="3">
      <c r="B37" s="346">
        <f>B34+0.00000001</f>
        <v>6.0101030399999997</v>
      </c>
      <c r="C37" s="348" t="s">
        <v>814</v>
      </c>
      <c r="D37" s="81" t="s">
        <v>169</v>
      </c>
      <c r="E37" s="111">
        <v>2</v>
      </c>
      <c r="F37" s="93">
        <v>211.21</v>
      </c>
      <c r="G37" s="82"/>
      <c r="H37" s="213" t="e">
        <f t="shared" si="17"/>
        <v>#REF!</v>
      </c>
      <c r="I37" s="213">
        <f t="shared" si="4"/>
        <v>422.42</v>
      </c>
      <c r="J37" s="201">
        <f t="shared" si="5"/>
        <v>0</v>
      </c>
      <c r="K37" s="93" t="e">
        <f t="shared" si="18"/>
        <v>#REF!</v>
      </c>
      <c r="L37" s="105"/>
    </row>
    <row r="38" spans="2:12" outlineLevel="2">
      <c r="B38" s="344">
        <f>B31+0.000001</f>
        <v>6.0101040000000001</v>
      </c>
      <c r="C38" s="352" t="s">
        <v>626</v>
      </c>
      <c r="D38" s="81"/>
      <c r="E38" s="111">
        <v>0</v>
      </c>
      <c r="F38" s="93" t="s">
        <v>8</v>
      </c>
      <c r="G38" s="82"/>
      <c r="H38" s="213"/>
      <c r="I38" s="213"/>
      <c r="J38" s="201"/>
      <c r="K38" s="93"/>
      <c r="L38" s="105"/>
    </row>
    <row r="39" spans="2:12" ht="14.1" customHeight="1" outlineLevel="3">
      <c r="B39" s="346">
        <f>B38+0.00000001</f>
        <v>6.0101040100000001</v>
      </c>
      <c r="C39" s="348" t="s">
        <v>628</v>
      </c>
      <c r="D39" s="81" t="s">
        <v>169</v>
      </c>
      <c r="E39" s="111">
        <v>141.63999999999999</v>
      </c>
      <c r="F39" s="93">
        <v>121.71</v>
      </c>
      <c r="G39" s="82"/>
      <c r="H39" s="213" t="e">
        <f>+ROUND(F39+G39*TC,2)</f>
        <v>#REF!</v>
      </c>
      <c r="I39" s="213">
        <f t="shared" si="4"/>
        <v>17239</v>
      </c>
      <c r="J39" s="201">
        <f t="shared" si="5"/>
        <v>0</v>
      </c>
      <c r="K39" s="93" t="e">
        <f>+ROUND(I39+J39*TC,2)</f>
        <v>#REF!</v>
      </c>
      <c r="L39" s="105"/>
    </row>
    <row r="40" spans="2:12" ht="14.1" customHeight="1" outlineLevel="3">
      <c r="B40" s="346">
        <f>B39+0.00000001</f>
        <v>6.01010402</v>
      </c>
      <c r="C40" s="348" t="s">
        <v>629</v>
      </c>
      <c r="D40" s="81" t="s">
        <v>169</v>
      </c>
      <c r="E40" s="111">
        <v>313.86</v>
      </c>
      <c r="F40" s="93">
        <v>117.71</v>
      </c>
      <c r="G40" s="82"/>
      <c r="H40" s="213" t="e">
        <f>+ROUND(F40+G40*TC,2)</f>
        <v>#REF!</v>
      </c>
      <c r="I40" s="213">
        <f t="shared" si="4"/>
        <v>36944.46</v>
      </c>
      <c r="J40" s="201">
        <f t="shared" si="5"/>
        <v>0</v>
      </c>
      <c r="K40" s="93" t="e">
        <f>+ROUND(I40+J40*TC,2)</f>
        <v>#REF!</v>
      </c>
      <c r="L40" s="105"/>
    </row>
    <row r="41" spans="2:12" ht="14.1" customHeight="1" outlineLevel="3">
      <c r="B41" s="346">
        <f>B40+0.00000001</f>
        <v>6.0101040299999999</v>
      </c>
      <c r="C41" s="348" t="s">
        <v>630</v>
      </c>
      <c r="D41" s="81" t="s">
        <v>169</v>
      </c>
      <c r="E41" s="111">
        <v>48.25</v>
      </c>
      <c r="F41" s="93">
        <v>126.21</v>
      </c>
      <c r="G41" s="82"/>
      <c r="H41" s="213" t="e">
        <f>+ROUND(F41+G41*TC,2)</f>
        <v>#REF!</v>
      </c>
      <c r="I41" s="213">
        <f t="shared" si="4"/>
        <v>6089.63</v>
      </c>
      <c r="J41" s="201">
        <f t="shared" si="5"/>
        <v>0</v>
      </c>
      <c r="K41" s="93" t="e">
        <f>+ROUND(I41+J41*TC,2)</f>
        <v>#REF!</v>
      </c>
      <c r="L41" s="105"/>
    </row>
    <row r="42" spans="2:12" ht="14.1" customHeight="1" outlineLevel="3">
      <c r="B42" s="346">
        <f>B41+0.00000001</f>
        <v>6.0101040399999999</v>
      </c>
      <c r="C42" s="348" t="s">
        <v>815</v>
      </c>
      <c r="D42" s="81" t="s">
        <v>169</v>
      </c>
      <c r="E42" s="111">
        <v>2.2400000000000002</v>
      </c>
      <c r="F42" s="93">
        <v>235.21</v>
      </c>
      <c r="G42" s="82"/>
      <c r="H42" s="213" t="e">
        <f>+ROUND(F42+G42*TC,2)</f>
        <v>#REF!</v>
      </c>
      <c r="I42" s="213">
        <f t="shared" si="4"/>
        <v>526.87</v>
      </c>
      <c r="J42" s="201">
        <f t="shared" si="5"/>
        <v>0</v>
      </c>
      <c r="K42" s="93" t="e">
        <f>+ROUND(I42+J42*TC,2)</f>
        <v>#REF!</v>
      </c>
      <c r="L42" s="105"/>
    </row>
    <row r="43" spans="2:12" ht="14.1" customHeight="1" outlineLevel="3">
      <c r="B43" s="346">
        <f>B42+0.00000001</f>
        <v>6.0101040499999998</v>
      </c>
      <c r="C43" s="348" t="s">
        <v>816</v>
      </c>
      <c r="D43" s="81" t="s">
        <v>169</v>
      </c>
      <c r="E43" s="111">
        <v>10.63</v>
      </c>
      <c r="F43" s="93">
        <v>235.21</v>
      </c>
      <c r="G43" s="82"/>
      <c r="H43" s="213" t="e">
        <f>+ROUND(F43+G43*TC,2)</f>
        <v>#REF!</v>
      </c>
      <c r="I43" s="213">
        <f t="shared" si="4"/>
        <v>2500.2800000000002</v>
      </c>
      <c r="J43" s="201">
        <f t="shared" ref="J43" si="25">+ROUND(E43*G43,2)</f>
        <v>0</v>
      </c>
      <c r="K43" s="93" t="e">
        <f>+ROUND(I43+J43*TC,2)</f>
        <v>#REF!</v>
      </c>
      <c r="L43" s="105"/>
    </row>
    <row r="44" spans="2:12" ht="14.1" customHeight="1" outlineLevel="2">
      <c r="B44" s="344">
        <f>B38+0.000001</f>
        <v>6.0101050000000003</v>
      </c>
      <c r="C44" s="352" t="s">
        <v>631</v>
      </c>
      <c r="D44" s="81"/>
      <c r="E44" s="111"/>
      <c r="F44" s="93" t="s">
        <v>8</v>
      </c>
      <c r="G44" s="82"/>
      <c r="H44" s="213"/>
      <c r="I44" s="213"/>
      <c r="J44" s="201"/>
      <c r="K44" s="93"/>
      <c r="L44" s="105"/>
    </row>
    <row r="45" spans="2:12" ht="14.1" customHeight="1" outlineLevel="3">
      <c r="B45" s="346">
        <f>B44+0.00000001</f>
        <v>6.0101050100000002</v>
      </c>
      <c r="C45" s="348" t="s">
        <v>632</v>
      </c>
      <c r="D45" s="81" t="s">
        <v>185</v>
      </c>
      <c r="E45" s="111">
        <v>23429.24</v>
      </c>
      <c r="F45" s="93">
        <v>0</v>
      </c>
      <c r="G45" s="103">
        <v>0.91</v>
      </c>
      <c r="H45" s="213" t="e">
        <f>+ROUND(F45+G45*TC,2)</f>
        <v>#REF!</v>
      </c>
      <c r="I45" s="213">
        <f t="shared" si="4"/>
        <v>0</v>
      </c>
      <c r="J45" s="201">
        <f t="shared" si="5"/>
        <v>21320.61</v>
      </c>
      <c r="K45" s="93" t="e">
        <f>+ROUND(I45+J45*TC,2)</f>
        <v>#REF!</v>
      </c>
      <c r="L45" s="105"/>
    </row>
    <row r="46" spans="2:12" ht="14.1" customHeight="1" outlineLevel="2">
      <c r="B46" s="344">
        <f>B44+0.000001</f>
        <v>6.0101060000000004</v>
      </c>
      <c r="C46" s="352" t="s">
        <v>633</v>
      </c>
      <c r="D46" s="81"/>
      <c r="E46" s="111"/>
      <c r="F46" s="93" t="s">
        <v>8</v>
      </c>
      <c r="G46" s="103"/>
      <c r="H46" s="213"/>
      <c r="I46" s="213"/>
      <c r="J46" s="201"/>
      <c r="K46" s="93"/>
      <c r="L46" s="105"/>
    </row>
    <row r="47" spans="2:12" ht="14.1" customHeight="1" outlineLevel="3">
      <c r="B47" s="346">
        <f>B46+0.00000001</f>
        <v>6.0101060100000003</v>
      </c>
      <c r="C47" s="348" t="s">
        <v>634</v>
      </c>
      <c r="D47" s="81" t="s">
        <v>36</v>
      </c>
      <c r="E47" s="111">
        <v>890</v>
      </c>
      <c r="F47" s="93">
        <v>120</v>
      </c>
      <c r="G47" s="82"/>
      <c r="H47" s="213" t="e">
        <f>+ROUND(F47+G47*TC,2)</f>
        <v>#REF!</v>
      </c>
      <c r="I47" s="213">
        <f t="shared" si="4"/>
        <v>106800</v>
      </c>
      <c r="J47" s="201">
        <f t="shared" si="5"/>
        <v>0</v>
      </c>
      <c r="K47" s="93" t="e">
        <f>+ROUND(I47+J47*TC,2)</f>
        <v>#REF!</v>
      </c>
      <c r="L47" s="105"/>
    </row>
    <row r="48" spans="2:12" ht="14.1" customHeight="1" outlineLevel="3">
      <c r="B48" s="346">
        <f>B47+0.00000001</f>
        <v>6.0101060200000003</v>
      </c>
      <c r="C48" s="348" t="s">
        <v>635</v>
      </c>
      <c r="D48" s="81" t="s">
        <v>36</v>
      </c>
      <c r="E48" s="111">
        <v>66</v>
      </c>
      <c r="F48" s="93">
        <v>125</v>
      </c>
      <c r="G48" s="82"/>
      <c r="H48" s="213" t="e">
        <f>+ROUND(F48+G48*TC,2)</f>
        <v>#REF!</v>
      </c>
      <c r="I48" s="213">
        <f t="shared" si="4"/>
        <v>8250</v>
      </c>
      <c r="J48" s="201">
        <f t="shared" si="5"/>
        <v>0</v>
      </c>
      <c r="K48" s="93" t="e">
        <f>+ROUND(I48+J48*TC,2)</f>
        <v>#REF!</v>
      </c>
      <c r="L48" s="105"/>
    </row>
    <row r="49" spans="1:12" ht="14.1" customHeight="1" outlineLevel="2">
      <c r="B49" s="344">
        <f>B46+0.000001</f>
        <v>6.0101070000000005</v>
      </c>
      <c r="C49" s="352" t="s">
        <v>636</v>
      </c>
      <c r="D49" s="81"/>
      <c r="E49" s="111"/>
      <c r="F49" s="93" t="s">
        <v>8</v>
      </c>
      <c r="G49" s="103"/>
      <c r="H49" s="213"/>
      <c r="I49" s="213"/>
      <c r="J49" s="201"/>
      <c r="K49" s="93"/>
      <c r="L49" s="105"/>
    </row>
    <row r="50" spans="1:12" ht="14.1" customHeight="1" outlineLevel="3">
      <c r="B50" s="346">
        <f t="shared" ref="B50:B55" si="26">B49+0.00000001</f>
        <v>6.0101070100000005</v>
      </c>
      <c r="C50" s="348" t="s">
        <v>817</v>
      </c>
      <c r="D50" s="81" t="s">
        <v>36</v>
      </c>
      <c r="E50" s="111">
        <v>174</v>
      </c>
      <c r="F50" s="93">
        <v>150</v>
      </c>
      <c r="G50" s="82"/>
      <c r="H50" s="213" t="e">
        <f t="shared" ref="H50:H55" si="27">+ROUND(F50+G50*TC,2)</f>
        <v>#REF!</v>
      </c>
      <c r="I50" s="213">
        <f t="shared" si="4"/>
        <v>26100</v>
      </c>
      <c r="J50" s="201">
        <f t="shared" si="5"/>
        <v>0</v>
      </c>
      <c r="K50" s="93" t="e">
        <f t="shared" ref="K50:K55" si="28">+ROUND(I50+J50*TC,2)</f>
        <v>#REF!</v>
      </c>
      <c r="L50" s="105"/>
    </row>
    <row r="51" spans="1:12" ht="14.1" customHeight="1" outlineLevel="3">
      <c r="B51" s="346">
        <f t="shared" si="26"/>
        <v>6.0101070200000004</v>
      </c>
      <c r="C51" s="348" t="s">
        <v>818</v>
      </c>
      <c r="D51" s="81" t="s">
        <v>36</v>
      </c>
      <c r="E51" s="111">
        <v>907</v>
      </c>
      <c r="F51" s="93">
        <v>60</v>
      </c>
      <c r="G51" s="82"/>
      <c r="H51" s="213" t="e">
        <f t="shared" si="27"/>
        <v>#REF!</v>
      </c>
      <c r="I51" s="213">
        <f t="shared" si="4"/>
        <v>54420</v>
      </c>
      <c r="J51" s="201">
        <f t="shared" si="5"/>
        <v>0</v>
      </c>
      <c r="K51" s="93" t="e">
        <f t="shared" si="28"/>
        <v>#REF!</v>
      </c>
      <c r="L51" s="105"/>
    </row>
    <row r="52" spans="1:12" ht="14.1" customHeight="1" outlineLevel="3">
      <c r="B52" s="346">
        <f t="shared" si="26"/>
        <v>6.0101070300000003</v>
      </c>
      <c r="C52" s="361" t="s">
        <v>819</v>
      </c>
      <c r="D52" s="81" t="s">
        <v>36</v>
      </c>
      <c r="E52" s="111">
        <v>40</v>
      </c>
      <c r="F52" s="93">
        <v>80</v>
      </c>
      <c r="G52" s="103"/>
      <c r="H52" s="213" t="e">
        <f t="shared" si="27"/>
        <v>#REF!</v>
      </c>
      <c r="I52" s="213">
        <f t="shared" si="4"/>
        <v>3200</v>
      </c>
      <c r="J52" s="201">
        <f t="shared" si="5"/>
        <v>0</v>
      </c>
      <c r="K52" s="93" t="e">
        <f t="shared" si="28"/>
        <v>#REF!</v>
      </c>
      <c r="L52" s="97"/>
    </row>
    <row r="53" spans="1:12" ht="13.5" customHeight="1" outlineLevel="3">
      <c r="B53" s="346">
        <f t="shared" si="26"/>
        <v>6.0101070400000003</v>
      </c>
      <c r="C53" s="361" t="s">
        <v>820</v>
      </c>
      <c r="D53" s="81" t="s">
        <v>36</v>
      </c>
      <c r="E53" s="111">
        <v>489</v>
      </c>
      <c r="F53" s="93">
        <v>60</v>
      </c>
      <c r="G53" s="103"/>
      <c r="H53" s="213" t="e">
        <f t="shared" si="27"/>
        <v>#REF!</v>
      </c>
      <c r="I53" s="213">
        <f t="shared" si="4"/>
        <v>29340</v>
      </c>
      <c r="J53" s="201">
        <f t="shared" si="5"/>
        <v>0</v>
      </c>
      <c r="K53" s="93" t="e">
        <f t="shared" si="28"/>
        <v>#REF!</v>
      </c>
      <c r="L53" s="97"/>
    </row>
    <row r="54" spans="1:12" ht="13.5" customHeight="1" outlineLevel="3">
      <c r="B54" s="346">
        <f t="shared" si="26"/>
        <v>6.0101070500000002</v>
      </c>
      <c r="C54" s="361" t="s">
        <v>821</v>
      </c>
      <c r="D54" s="81" t="s">
        <v>36</v>
      </c>
      <c r="E54" s="111">
        <v>149</v>
      </c>
      <c r="F54" s="93">
        <v>60</v>
      </c>
      <c r="G54" s="103"/>
      <c r="H54" s="213" t="e">
        <f t="shared" si="27"/>
        <v>#REF!</v>
      </c>
      <c r="I54" s="213">
        <f t="shared" si="4"/>
        <v>8940</v>
      </c>
      <c r="J54" s="201">
        <f t="shared" ref="J54" si="29">+ROUND(E54*G54,2)</f>
        <v>0</v>
      </c>
      <c r="K54" s="93" t="e">
        <f t="shared" si="28"/>
        <v>#REF!</v>
      </c>
      <c r="L54" s="97"/>
    </row>
    <row r="55" spans="1:12" ht="13.5" customHeight="1" outlineLevel="3">
      <c r="B55" s="346">
        <f t="shared" si="26"/>
        <v>6.0101070600000002</v>
      </c>
      <c r="C55" s="361" t="s">
        <v>822</v>
      </c>
      <c r="D55" s="81" t="s">
        <v>36</v>
      </c>
      <c r="E55" s="111">
        <v>474</v>
      </c>
      <c r="F55" s="93">
        <v>150.80000000000001</v>
      </c>
      <c r="G55" s="103"/>
      <c r="H55" s="329" t="e">
        <f t="shared" si="27"/>
        <v>#REF!</v>
      </c>
      <c r="I55" s="329">
        <f t="shared" si="4"/>
        <v>71479.199999999997</v>
      </c>
      <c r="J55" s="330">
        <f t="shared" ref="J55" si="30">+ROUND(E55*G55,2)</f>
        <v>0</v>
      </c>
      <c r="K55" s="93" t="e">
        <f t="shared" si="28"/>
        <v>#REF!</v>
      </c>
      <c r="L55" s="97"/>
    </row>
    <row r="56" spans="1:12" ht="13.5" customHeight="1" outlineLevel="2">
      <c r="B56" s="344">
        <f>B49+0.000001</f>
        <v>6.0101080000000007</v>
      </c>
      <c r="C56" s="352" t="s">
        <v>823</v>
      </c>
      <c r="D56" s="81"/>
      <c r="E56" s="111"/>
      <c r="F56" s="93" t="s">
        <v>8</v>
      </c>
      <c r="G56" s="103"/>
      <c r="H56" s="329"/>
      <c r="I56" s="329"/>
      <c r="J56" s="330"/>
      <c r="K56" s="93"/>
      <c r="L56" s="105"/>
    </row>
    <row r="57" spans="1:12" ht="13.5" customHeight="1" outlineLevel="3">
      <c r="B57" s="346">
        <f>B56+0.00000001</f>
        <v>6.0101080100000006</v>
      </c>
      <c r="C57" s="361" t="s">
        <v>824</v>
      </c>
      <c r="D57" s="81" t="s">
        <v>29</v>
      </c>
      <c r="E57" s="111">
        <v>1</v>
      </c>
      <c r="F57" s="93">
        <v>1000</v>
      </c>
      <c r="G57" s="103"/>
      <c r="H57" s="213" t="e">
        <f>+ROUND(F57+G57*TC,2)</f>
        <v>#REF!</v>
      </c>
      <c r="I57" s="213">
        <f t="shared" si="4"/>
        <v>1000</v>
      </c>
      <c r="J57" s="201">
        <f t="shared" si="5"/>
        <v>0</v>
      </c>
      <c r="K57" s="93" t="e">
        <f>+ROUND(I57+J57*TC,2)</f>
        <v>#REF!</v>
      </c>
      <c r="L57" s="97"/>
    </row>
    <row r="58" spans="1:12" ht="13.5" customHeight="1" outlineLevel="3">
      <c r="B58" s="346">
        <f>B57+0.00000001</f>
        <v>6.0101080200000006</v>
      </c>
      <c r="C58" s="361" t="s">
        <v>825</v>
      </c>
      <c r="D58" s="81" t="s">
        <v>39</v>
      </c>
      <c r="E58" s="111">
        <v>6</v>
      </c>
      <c r="F58" s="93">
        <v>4500</v>
      </c>
      <c r="G58" s="103"/>
      <c r="H58" s="213" t="e">
        <f>+ROUND(F58+G58*TC,2)</f>
        <v>#REF!</v>
      </c>
      <c r="I58" s="213">
        <f t="shared" si="4"/>
        <v>27000</v>
      </c>
      <c r="J58" s="201">
        <f t="shared" si="5"/>
        <v>0</v>
      </c>
      <c r="K58" s="93" t="e">
        <f>+ROUND(I58+J58*TC,2)</f>
        <v>#REF!</v>
      </c>
      <c r="L58" s="97"/>
    </row>
    <row r="59" spans="1:12" s="350" customFormat="1" ht="14.1" customHeight="1" outlineLevel="2">
      <c r="A59" s="411"/>
      <c r="B59" s="344">
        <f>B56+0.000001</f>
        <v>6.0101090000000008</v>
      </c>
      <c r="C59" s="352" t="s">
        <v>826</v>
      </c>
      <c r="D59" s="502"/>
      <c r="E59" s="503"/>
      <c r="F59" s="93" t="s">
        <v>8</v>
      </c>
      <c r="G59" s="504"/>
      <c r="H59" s="213"/>
      <c r="I59" s="213"/>
      <c r="J59" s="201"/>
      <c r="K59" s="93"/>
      <c r="L59" s="105"/>
    </row>
    <row r="60" spans="1:12" ht="14.1" customHeight="1" outlineLevel="4">
      <c r="B60" s="346">
        <f>B59+0.00000001</f>
        <v>6.0101090100000008</v>
      </c>
      <c r="C60" s="57" t="s">
        <v>827</v>
      </c>
      <c r="D60" s="81" t="s">
        <v>169</v>
      </c>
      <c r="E60" s="111">
        <v>77.22</v>
      </c>
      <c r="F60" s="93">
        <v>74.040000000000006</v>
      </c>
      <c r="G60" s="82"/>
      <c r="H60" s="213" t="e">
        <f>+ROUND(F60+G60*TC,2)</f>
        <v>#REF!</v>
      </c>
      <c r="I60" s="213">
        <f t="shared" si="4"/>
        <v>5717.37</v>
      </c>
      <c r="J60" s="201">
        <f t="shared" si="5"/>
        <v>0</v>
      </c>
      <c r="K60" s="93" t="e">
        <f>+ROUND(I60+J60*TC,2)</f>
        <v>#REF!</v>
      </c>
      <c r="L60" s="105"/>
    </row>
    <row r="61" spans="1:12" ht="14.1" customHeight="1" outlineLevel="4">
      <c r="B61" s="346">
        <f>B60+0.00000001</f>
        <v>6.0101090200000007</v>
      </c>
      <c r="C61" s="348" t="s">
        <v>828</v>
      </c>
      <c r="D61" s="81" t="s">
        <v>169</v>
      </c>
      <c r="E61" s="111">
        <v>117.61</v>
      </c>
      <c r="F61" s="93">
        <v>111.41</v>
      </c>
      <c r="G61" s="82"/>
      <c r="H61" s="213" t="e">
        <f>+ROUND(F61+G61*TC,2)</f>
        <v>#REF!</v>
      </c>
      <c r="I61" s="213">
        <f t="shared" si="4"/>
        <v>13102.93</v>
      </c>
      <c r="J61" s="201">
        <f t="shared" si="5"/>
        <v>0</v>
      </c>
      <c r="K61" s="93" t="e">
        <f>+ROUND(I61+J61*TC,2)</f>
        <v>#REF!</v>
      </c>
      <c r="L61" s="105"/>
    </row>
    <row r="62" spans="1:12" s="350" customFormat="1" ht="14.1" customHeight="1" outlineLevel="2">
      <c r="A62" s="411"/>
      <c r="B62" s="344">
        <f>B59+0.000001</f>
        <v>6.010110000000001</v>
      </c>
      <c r="C62" s="352" t="s">
        <v>829</v>
      </c>
      <c r="D62" s="502"/>
      <c r="E62" s="503"/>
      <c r="F62" s="93" t="s">
        <v>8</v>
      </c>
      <c r="G62" s="504"/>
      <c r="H62" s="213"/>
      <c r="I62" s="213"/>
      <c r="J62" s="201"/>
      <c r="K62" s="93"/>
      <c r="L62" s="105"/>
    </row>
    <row r="63" spans="1:12" ht="28.9" customHeight="1" outlineLevel="4">
      <c r="B63" s="346">
        <f>B62+0.00000001</f>
        <v>6.0101100100000009</v>
      </c>
      <c r="C63" s="57" t="s">
        <v>830</v>
      </c>
      <c r="D63" s="81" t="s">
        <v>169</v>
      </c>
      <c r="E63" s="111">
        <v>12.43</v>
      </c>
      <c r="F63" s="93">
        <v>129.76</v>
      </c>
      <c r="G63" s="103">
        <v>12.74</v>
      </c>
      <c r="H63" s="213" t="e">
        <f>+ROUND(F63+G63*TC,2)</f>
        <v>#REF!</v>
      </c>
      <c r="I63" s="213">
        <f t="shared" si="4"/>
        <v>1612.92</v>
      </c>
      <c r="J63" s="201">
        <f t="shared" ref="J63" si="31">+ROUND(E63*G63,2)</f>
        <v>158.36000000000001</v>
      </c>
      <c r="K63" s="93" t="e">
        <f>+ROUND(I63+J63*TC,2)</f>
        <v>#REF!</v>
      </c>
      <c r="L63" s="105"/>
    </row>
    <row r="64" spans="1:12" s="350" customFormat="1" ht="14.1" customHeight="1" outlineLevel="1">
      <c r="A64" s="411"/>
      <c r="B64" s="140">
        <f>B13+0.0001</f>
        <v>6.0101999999999993</v>
      </c>
      <c r="C64" s="342" t="s">
        <v>831</v>
      </c>
      <c r="D64" s="502"/>
      <c r="E64" s="503"/>
      <c r="F64" s="93" t="s">
        <v>8</v>
      </c>
      <c r="G64" s="82"/>
      <c r="H64" s="213"/>
      <c r="I64" s="213"/>
      <c r="J64" s="201"/>
      <c r="K64" s="93"/>
      <c r="L64" s="105"/>
    </row>
    <row r="65" spans="1:12" ht="14.1" customHeight="1" outlineLevel="3">
      <c r="B65" s="143">
        <f>B64+0.000001</f>
        <v>6.0102009999999995</v>
      </c>
      <c r="C65" s="348" t="s">
        <v>832</v>
      </c>
      <c r="D65" s="81" t="s">
        <v>169</v>
      </c>
      <c r="E65" s="111">
        <v>337.89</v>
      </c>
      <c r="F65" s="106">
        <v>125</v>
      </c>
      <c r="G65" s="144"/>
      <c r="H65" s="213" t="e">
        <f>+ROUND(F65+G65*TC,2)</f>
        <v>#REF!</v>
      </c>
      <c r="I65" s="213">
        <f t="shared" si="4"/>
        <v>42236.25</v>
      </c>
      <c r="J65" s="201">
        <f t="shared" si="5"/>
        <v>0</v>
      </c>
      <c r="K65" s="93" t="e">
        <f>+ROUND(I65+J65*TC,2)</f>
        <v>#REF!</v>
      </c>
      <c r="L65" s="105"/>
    </row>
    <row r="66" spans="1:12" ht="14.1" customHeight="1" outlineLevel="3">
      <c r="B66" s="143">
        <f>B65+0.000001</f>
        <v>6.0102019999999996</v>
      </c>
      <c r="C66" s="348" t="s">
        <v>833</v>
      </c>
      <c r="D66" s="81" t="s">
        <v>169</v>
      </c>
      <c r="E66" s="111">
        <v>7.76</v>
      </c>
      <c r="F66" s="106">
        <v>125</v>
      </c>
      <c r="G66" s="144"/>
      <c r="H66" s="213" t="e">
        <f>+ROUND(F66+G66*TC,2)</f>
        <v>#REF!</v>
      </c>
      <c r="I66" s="213">
        <f t="shared" si="4"/>
        <v>970</v>
      </c>
      <c r="J66" s="201">
        <f t="shared" ref="J66:J67" si="32">+ROUND(E66*G66,2)</f>
        <v>0</v>
      </c>
      <c r="K66" s="93" t="e">
        <f>+ROUND(I66+J66*TC,2)</f>
        <v>#REF!</v>
      </c>
      <c r="L66" s="105"/>
    </row>
    <row r="67" spans="1:12" ht="14.1" customHeight="1" outlineLevel="3">
      <c r="B67" s="143">
        <f t="shared" ref="B67:B69" si="33">B66+0.000001</f>
        <v>6.0102029999999997</v>
      </c>
      <c r="C67" s="348" t="s">
        <v>834</v>
      </c>
      <c r="D67" s="81" t="s">
        <v>46</v>
      </c>
      <c r="E67" s="111">
        <v>70.7</v>
      </c>
      <c r="F67" s="106">
        <v>155</v>
      </c>
      <c r="G67" s="82"/>
      <c r="H67" s="213" t="e">
        <f>+ROUND(F67+G67*TC,2)</f>
        <v>#REF!</v>
      </c>
      <c r="I67" s="213">
        <f t="shared" si="4"/>
        <v>10958.5</v>
      </c>
      <c r="J67" s="201">
        <f t="shared" si="32"/>
        <v>0</v>
      </c>
      <c r="K67" s="93" t="e">
        <f>+ROUND(I67+J67*TC,2)</f>
        <v>#REF!</v>
      </c>
      <c r="L67" s="105"/>
    </row>
    <row r="68" spans="1:12" ht="14.1" customHeight="1" outlineLevel="3">
      <c r="B68" s="143">
        <f t="shared" si="33"/>
        <v>6.0102039999999999</v>
      </c>
      <c r="C68" s="348" t="s">
        <v>835</v>
      </c>
      <c r="D68" s="81" t="s">
        <v>46</v>
      </c>
      <c r="E68" s="111">
        <v>5</v>
      </c>
      <c r="F68" s="106">
        <v>145</v>
      </c>
      <c r="G68" s="82"/>
      <c r="H68" s="213" t="e">
        <f>+ROUND(F68+G68*TC,2)</f>
        <v>#REF!</v>
      </c>
      <c r="I68" s="213">
        <f t="shared" si="4"/>
        <v>725</v>
      </c>
      <c r="J68" s="201">
        <f t="shared" si="5"/>
        <v>0</v>
      </c>
      <c r="K68" s="93" t="e">
        <f>+ROUND(I68+J68*TC,2)</f>
        <v>#REF!</v>
      </c>
      <c r="L68" s="105"/>
    </row>
    <row r="69" spans="1:12" ht="14.1" customHeight="1" outlineLevel="3">
      <c r="B69" s="143">
        <f t="shared" si="33"/>
        <v>6.010205</v>
      </c>
      <c r="C69" s="348" t="s">
        <v>836</v>
      </c>
      <c r="D69" s="81" t="s">
        <v>46</v>
      </c>
      <c r="E69" s="111">
        <v>40</v>
      </c>
      <c r="F69" s="106">
        <v>145</v>
      </c>
      <c r="G69" s="82"/>
      <c r="H69" s="213" t="e">
        <f>+ROUND(F69+G69*TC,2)</f>
        <v>#REF!</v>
      </c>
      <c r="I69" s="213">
        <f t="shared" si="4"/>
        <v>5800</v>
      </c>
      <c r="J69" s="201">
        <f t="shared" ref="J69" si="34">+ROUND(E69*G69,2)</f>
        <v>0</v>
      </c>
      <c r="K69" s="93" t="e">
        <f>+ROUND(I69+J69*TC,2)</f>
        <v>#REF!</v>
      </c>
      <c r="L69" s="105"/>
    </row>
    <row r="70" spans="1:12" s="350" customFormat="1" ht="14.1" customHeight="1" outlineLevel="1">
      <c r="A70" s="411"/>
      <c r="B70" s="140">
        <f>B64+0.0001</f>
        <v>6.0102999999999991</v>
      </c>
      <c r="C70" s="342" t="s">
        <v>837</v>
      </c>
      <c r="D70" s="502"/>
      <c r="E70" s="503">
        <v>0</v>
      </c>
      <c r="F70" s="93" t="s">
        <v>8</v>
      </c>
      <c r="G70" s="504"/>
      <c r="H70" s="213"/>
      <c r="I70" s="213"/>
      <c r="J70" s="201"/>
      <c r="K70" s="93"/>
      <c r="L70" s="105"/>
    </row>
    <row r="71" spans="1:12" s="350" customFormat="1" ht="14.1" customHeight="1" outlineLevel="3">
      <c r="A71" s="411"/>
      <c r="B71" s="143">
        <f>B70+0.000001</f>
        <v>6.0103009999999992</v>
      </c>
      <c r="C71" s="348" t="s">
        <v>838</v>
      </c>
      <c r="D71" s="81" t="s">
        <v>169</v>
      </c>
      <c r="E71" s="111">
        <v>59.18</v>
      </c>
      <c r="F71" s="93">
        <v>103.71</v>
      </c>
      <c r="G71" s="504"/>
      <c r="H71" s="213" t="e">
        <f t="shared" ref="H71:H73" si="35">+ROUND(F71+G71*TC,2)</f>
        <v>#REF!</v>
      </c>
      <c r="I71" s="213">
        <f t="shared" si="4"/>
        <v>6137.56</v>
      </c>
      <c r="J71" s="201">
        <f t="shared" si="5"/>
        <v>0</v>
      </c>
      <c r="K71" s="93" t="e">
        <f t="shared" ref="K71:K73" si="36">+ROUND(I71+J71*TC,2)</f>
        <v>#REF!</v>
      </c>
      <c r="L71" s="105"/>
    </row>
    <row r="72" spans="1:12" ht="14.1" customHeight="1" outlineLevel="3">
      <c r="B72" s="143">
        <f t="shared" ref="B72:B78" si="37">B71+0.000001</f>
        <v>6.0103019999999994</v>
      </c>
      <c r="C72" s="348" t="s">
        <v>839</v>
      </c>
      <c r="D72" s="81" t="s">
        <v>169</v>
      </c>
      <c r="E72" s="111">
        <v>74.78</v>
      </c>
      <c r="F72" s="93">
        <v>103.71</v>
      </c>
      <c r="G72" s="82"/>
      <c r="H72" s="213" t="e">
        <f t="shared" si="35"/>
        <v>#REF!</v>
      </c>
      <c r="I72" s="213">
        <f t="shared" si="4"/>
        <v>7755.43</v>
      </c>
      <c r="J72" s="201">
        <f t="shared" si="5"/>
        <v>0</v>
      </c>
      <c r="K72" s="93" t="e">
        <f t="shared" si="36"/>
        <v>#REF!</v>
      </c>
      <c r="L72" s="105"/>
    </row>
    <row r="73" spans="1:12" ht="14.1" customHeight="1" outlineLevel="3">
      <c r="B73" s="143">
        <f t="shared" si="37"/>
        <v>6.0103029999999995</v>
      </c>
      <c r="C73" s="348" t="s">
        <v>840</v>
      </c>
      <c r="D73" s="81" t="s">
        <v>169</v>
      </c>
      <c r="E73" s="111">
        <v>46.24</v>
      </c>
      <c r="F73" s="93">
        <v>118.21</v>
      </c>
      <c r="G73" s="82"/>
      <c r="H73" s="213" t="e">
        <f t="shared" si="35"/>
        <v>#REF!</v>
      </c>
      <c r="I73" s="213">
        <f t="shared" si="4"/>
        <v>5466.03</v>
      </c>
      <c r="J73" s="201">
        <f t="shared" si="5"/>
        <v>0</v>
      </c>
      <c r="K73" s="93" t="e">
        <f t="shared" si="36"/>
        <v>#REF!</v>
      </c>
      <c r="L73" s="105"/>
    </row>
    <row r="74" spans="1:12" ht="14.1" customHeight="1" outlineLevel="3">
      <c r="B74" s="143">
        <f t="shared" si="37"/>
        <v>6.0103039999999996</v>
      </c>
      <c r="C74" s="348" t="s">
        <v>841</v>
      </c>
      <c r="D74" s="81" t="s">
        <v>169</v>
      </c>
      <c r="E74" s="111">
        <v>23.6</v>
      </c>
      <c r="F74" s="93">
        <v>199.21</v>
      </c>
      <c r="G74" s="82"/>
      <c r="H74" s="213" t="e">
        <f t="shared" ref="H74" si="38">+ROUND(F74+G74*TC,2)</f>
        <v>#REF!</v>
      </c>
      <c r="I74" s="213">
        <f t="shared" si="4"/>
        <v>4701.3599999999997</v>
      </c>
      <c r="J74" s="201">
        <f t="shared" ref="J74" si="39">+ROUND(E74*G74,2)</f>
        <v>0</v>
      </c>
      <c r="K74" s="93" t="e">
        <f t="shared" ref="K74" si="40">+ROUND(I74+J74*TC,2)</f>
        <v>#REF!</v>
      </c>
      <c r="L74" s="105"/>
    </row>
    <row r="75" spans="1:12" ht="15" customHeight="1" outlineLevel="3">
      <c r="B75" s="143" t="e">
        <f>#REF!+0.000001</f>
        <v>#REF!</v>
      </c>
      <c r="C75" s="348" t="s">
        <v>842</v>
      </c>
      <c r="D75" s="81" t="s">
        <v>46</v>
      </c>
      <c r="E75" s="111">
        <v>256.74</v>
      </c>
      <c r="F75" s="93">
        <v>42.92</v>
      </c>
      <c r="G75" s="103">
        <v>0.73</v>
      </c>
      <c r="H75" s="213" t="e">
        <f t="shared" ref="H75" si="41">+ROUND(F75+G75*TC,2)</f>
        <v>#REF!</v>
      </c>
      <c r="I75" s="213">
        <f t="shared" ref="I75:I125" si="42">+ROUND(E75*F75,2)</f>
        <v>11019.28</v>
      </c>
      <c r="J75" s="201">
        <f t="shared" ref="J75" si="43">+ROUND(E75*G75,2)</f>
        <v>187.42</v>
      </c>
      <c r="K75" s="93" t="e">
        <f t="shared" ref="K75" si="44">+ROUND(I75+J75*TC,2)</f>
        <v>#REF!</v>
      </c>
      <c r="L75" s="105"/>
    </row>
    <row r="76" spans="1:12" ht="15" customHeight="1" outlineLevel="3">
      <c r="B76" s="143" t="e">
        <f t="shared" si="37"/>
        <v>#REF!</v>
      </c>
      <c r="C76" s="348" t="s">
        <v>843</v>
      </c>
      <c r="D76" s="81" t="s">
        <v>46</v>
      </c>
      <c r="E76" s="111">
        <v>332.12</v>
      </c>
      <c r="F76" s="93">
        <v>42.92</v>
      </c>
      <c r="G76" s="103">
        <v>0.73</v>
      </c>
      <c r="H76" s="213" t="e">
        <f t="shared" ref="H76" si="45">+ROUND(F76+G76*TC,2)</f>
        <v>#REF!</v>
      </c>
      <c r="I76" s="213">
        <f t="shared" si="42"/>
        <v>14254.59</v>
      </c>
      <c r="J76" s="201">
        <f t="shared" ref="J76" si="46">+ROUND(E76*G76,2)</f>
        <v>242.45</v>
      </c>
      <c r="K76" s="93" t="e">
        <f t="shared" ref="K76" si="47">+ROUND(I76+J76*TC,2)</f>
        <v>#REF!</v>
      </c>
      <c r="L76" s="105"/>
    </row>
    <row r="77" spans="1:12" ht="14.1" customHeight="1" outlineLevel="3">
      <c r="B77" s="143" t="e">
        <f>#REF!+0.000001</f>
        <v>#REF!</v>
      </c>
      <c r="C77" s="348" t="s">
        <v>844</v>
      </c>
      <c r="D77" s="81" t="s">
        <v>46</v>
      </c>
      <c r="E77" s="111">
        <v>21.23</v>
      </c>
      <c r="F77" s="93">
        <v>89.14</v>
      </c>
      <c r="G77" s="103">
        <v>3.28</v>
      </c>
      <c r="H77" s="213" t="e">
        <f t="shared" ref="H77" si="48">+ROUND(F77+G77*TC,2)</f>
        <v>#REF!</v>
      </c>
      <c r="I77" s="213">
        <f t="shared" si="42"/>
        <v>1892.44</v>
      </c>
      <c r="J77" s="201">
        <f t="shared" ref="J77" si="49">+ROUND(E77*G77,2)</f>
        <v>69.63</v>
      </c>
      <c r="K77" s="93" t="e">
        <f t="shared" ref="K77" si="50">+ROUND(I77+J77*TC,2)</f>
        <v>#REF!</v>
      </c>
      <c r="L77" s="105"/>
    </row>
    <row r="78" spans="1:12" ht="14.1" customHeight="1" outlineLevel="3">
      <c r="B78" s="143" t="e">
        <f t="shared" si="37"/>
        <v>#REF!</v>
      </c>
      <c r="C78" s="348" t="s">
        <v>845</v>
      </c>
      <c r="D78" s="81" t="s">
        <v>46</v>
      </c>
      <c r="E78" s="111">
        <v>29.66</v>
      </c>
      <c r="F78" s="93">
        <v>105.85</v>
      </c>
      <c r="G78" s="103">
        <v>4.91</v>
      </c>
      <c r="H78" s="213" t="e">
        <f t="shared" ref="H78" si="51">+ROUND(F78+G78*TC,2)</f>
        <v>#REF!</v>
      </c>
      <c r="I78" s="213">
        <f t="shared" si="42"/>
        <v>3139.51</v>
      </c>
      <c r="J78" s="201">
        <f t="shared" ref="J78" si="52">+ROUND(E78*G78,2)</f>
        <v>145.63</v>
      </c>
      <c r="K78" s="93" t="e">
        <f t="shared" ref="K78" si="53">+ROUND(I78+J78*TC,2)</f>
        <v>#REF!</v>
      </c>
      <c r="L78" s="105"/>
    </row>
    <row r="79" spans="1:12" s="350" customFormat="1" ht="14.1" customHeight="1" outlineLevel="1">
      <c r="A79" s="411"/>
      <c r="B79" s="140">
        <f>B70+0.0001</f>
        <v>6.0103999999999989</v>
      </c>
      <c r="C79" s="342" t="s">
        <v>846</v>
      </c>
      <c r="D79" s="502"/>
      <c r="E79" s="503"/>
      <c r="F79" s="93" t="s">
        <v>8</v>
      </c>
      <c r="G79" s="504"/>
      <c r="H79" s="213"/>
      <c r="I79" s="213"/>
      <c r="J79" s="201"/>
      <c r="K79" s="93"/>
      <c r="L79" s="351"/>
    </row>
    <row r="80" spans="1:12" ht="14.1" customHeight="1" outlineLevel="2">
      <c r="B80" s="143">
        <f>B79+0.000001</f>
        <v>6.010400999999999</v>
      </c>
      <c r="C80" s="57" t="s">
        <v>847</v>
      </c>
      <c r="D80" s="81" t="s">
        <v>46</v>
      </c>
      <c r="E80" s="111">
        <v>15.34</v>
      </c>
      <c r="F80" s="93">
        <v>658.63</v>
      </c>
      <c r="G80" s="103">
        <v>9.83</v>
      </c>
      <c r="H80" s="213" t="e">
        <f t="shared" ref="H80:H88" si="54">+ROUND(F80+G80*TC,2)</f>
        <v>#REF!</v>
      </c>
      <c r="I80" s="213">
        <f t="shared" si="42"/>
        <v>10103.379999999999</v>
      </c>
      <c r="J80" s="201">
        <f t="shared" si="5"/>
        <v>150.79</v>
      </c>
      <c r="K80" s="93" t="e">
        <f t="shared" ref="K80:K88" si="55">+ROUND(I80+J80*TC,2)</f>
        <v>#REF!</v>
      </c>
      <c r="L80" s="105"/>
    </row>
    <row r="81" spans="2:12" ht="14.1" customHeight="1" outlineLevel="2">
      <c r="B81" s="143">
        <f t="shared" ref="B81:B87" si="56">B80+0.000001</f>
        <v>6.0104019999999991</v>
      </c>
      <c r="C81" s="348" t="s">
        <v>848</v>
      </c>
      <c r="D81" s="81" t="s">
        <v>46</v>
      </c>
      <c r="E81" s="111">
        <v>12.82</v>
      </c>
      <c r="F81" s="93">
        <v>658.63</v>
      </c>
      <c r="G81" s="103">
        <v>9.83</v>
      </c>
      <c r="H81" s="213" t="e">
        <f t="shared" si="54"/>
        <v>#REF!</v>
      </c>
      <c r="I81" s="213">
        <f t="shared" si="42"/>
        <v>8443.64</v>
      </c>
      <c r="J81" s="201">
        <f t="shared" ref="J81" si="57">+ROUND(E81*G81,2)</f>
        <v>126.02</v>
      </c>
      <c r="K81" s="93" t="e">
        <f t="shared" si="55"/>
        <v>#REF!</v>
      </c>
      <c r="L81" s="105"/>
    </row>
    <row r="82" spans="2:12" ht="14.1" customHeight="1" outlineLevel="2">
      <c r="B82" s="143">
        <f t="shared" si="56"/>
        <v>6.0104029999999993</v>
      </c>
      <c r="C82" s="505" t="s">
        <v>849</v>
      </c>
      <c r="D82" s="81" t="s">
        <v>46</v>
      </c>
      <c r="E82" s="111">
        <v>7.52</v>
      </c>
      <c r="F82" s="93">
        <v>476.26</v>
      </c>
      <c r="G82" s="103">
        <v>17.47</v>
      </c>
      <c r="H82" s="213" t="e">
        <f t="shared" si="54"/>
        <v>#REF!</v>
      </c>
      <c r="I82" s="213">
        <f t="shared" si="42"/>
        <v>3581.48</v>
      </c>
      <c r="J82" s="201">
        <f t="shared" ref="J82" si="58">+ROUND(E82*G82,2)</f>
        <v>131.37</v>
      </c>
      <c r="K82" s="93" t="e">
        <f t="shared" si="55"/>
        <v>#REF!</v>
      </c>
      <c r="L82" s="105"/>
    </row>
    <row r="83" spans="2:12" ht="14.1" customHeight="1" outlineLevel="2">
      <c r="B83" s="143">
        <f t="shared" si="56"/>
        <v>6.0104039999999994</v>
      </c>
      <c r="C83" s="506" t="s">
        <v>850</v>
      </c>
      <c r="D83" s="81" t="s">
        <v>46</v>
      </c>
      <c r="E83" s="111">
        <v>5.89</v>
      </c>
      <c r="F83" s="93">
        <v>1066.77</v>
      </c>
      <c r="G83" s="103">
        <v>39.31</v>
      </c>
      <c r="H83" s="213" t="e">
        <f t="shared" si="54"/>
        <v>#REF!</v>
      </c>
      <c r="I83" s="213">
        <f t="shared" si="42"/>
        <v>6283.28</v>
      </c>
      <c r="J83" s="201">
        <f t="shared" ref="J83" si="59">+ROUND(E83*G83,2)</f>
        <v>231.54</v>
      </c>
      <c r="K83" s="93" t="e">
        <f t="shared" si="55"/>
        <v>#REF!</v>
      </c>
      <c r="L83" s="105"/>
    </row>
    <row r="84" spans="2:12" ht="14.1" customHeight="1" outlineLevel="2">
      <c r="B84" s="143">
        <f t="shared" si="56"/>
        <v>6.0104049999999996</v>
      </c>
      <c r="C84" s="507" t="s">
        <v>851</v>
      </c>
      <c r="D84" s="81" t="s">
        <v>46</v>
      </c>
      <c r="E84" s="111">
        <v>7.02</v>
      </c>
      <c r="F84" s="93">
        <v>1066.77</v>
      </c>
      <c r="G84" s="103">
        <v>39.31</v>
      </c>
      <c r="H84" s="213" t="e">
        <f t="shared" si="54"/>
        <v>#REF!</v>
      </c>
      <c r="I84" s="213">
        <f t="shared" si="42"/>
        <v>7488.73</v>
      </c>
      <c r="J84" s="201">
        <f t="shared" ref="J84" si="60">+ROUND(E84*G84,2)</f>
        <v>275.95999999999998</v>
      </c>
      <c r="K84" s="93" t="e">
        <f t="shared" si="55"/>
        <v>#REF!</v>
      </c>
      <c r="L84" s="105"/>
    </row>
    <row r="85" spans="2:12" ht="14.1" customHeight="1" outlineLevel="2">
      <c r="B85" s="143">
        <f t="shared" si="56"/>
        <v>6.0104059999999997</v>
      </c>
      <c r="C85" s="505" t="s">
        <v>852</v>
      </c>
      <c r="D85" s="81" t="s">
        <v>46</v>
      </c>
      <c r="E85" s="111">
        <v>3</v>
      </c>
      <c r="F85" s="93">
        <v>314.39999999999998</v>
      </c>
      <c r="G85" s="103">
        <f>+G86</f>
        <v>14.56</v>
      </c>
      <c r="H85" s="213" t="e">
        <f t="shared" si="54"/>
        <v>#REF!</v>
      </c>
      <c r="I85" s="213">
        <f t="shared" si="42"/>
        <v>943.2</v>
      </c>
      <c r="J85" s="201">
        <f t="shared" ref="J85" si="61">+ROUND(E85*G85,2)</f>
        <v>43.68</v>
      </c>
      <c r="K85" s="93" t="e">
        <f t="shared" si="55"/>
        <v>#REF!</v>
      </c>
      <c r="L85" s="105"/>
    </row>
    <row r="86" spans="2:12" ht="14.1" customHeight="1" outlineLevel="2">
      <c r="B86" s="143">
        <f t="shared" si="56"/>
        <v>6.0104069999999998</v>
      </c>
      <c r="C86" s="505" t="s">
        <v>853</v>
      </c>
      <c r="D86" s="81" t="s">
        <v>46</v>
      </c>
      <c r="E86" s="111">
        <v>2.75</v>
      </c>
      <c r="F86" s="93">
        <v>314.39999999999998</v>
      </c>
      <c r="G86" s="103">
        <v>14.56</v>
      </c>
      <c r="H86" s="213" t="e">
        <f t="shared" si="54"/>
        <v>#REF!</v>
      </c>
      <c r="I86" s="213">
        <f t="shared" si="42"/>
        <v>864.6</v>
      </c>
      <c r="J86" s="201">
        <f t="shared" ref="J86" si="62">+ROUND(E86*G86,2)</f>
        <v>40.04</v>
      </c>
      <c r="K86" s="93" t="e">
        <f t="shared" si="55"/>
        <v>#REF!</v>
      </c>
      <c r="L86" s="105"/>
    </row>
    <row r="87" spans="2:12" ht="14.1" customHeight="1" outlineLevel="2">
      <c r="B87" s="143">
        <f t="shared" si="56"/>
        <v>6.010408</v>
      </c>
      <c r="C87" s="505" t="s">
        <v>854</v>
      </c>
      <c r="D87" s="81" t="s">
        <v>46</v>
      </c>
      <c r="E87" s="111">
        <v>7.45</v>
      </c>
      <c r="F87" s="93">
        <v>314.39999999999998</v>
      </c>
      <c r="G87" s="103">
        <v>14.56</v>
      </c>
      <c r="H87" s="213" t="e">
        <f t="shared" si="54"/>
        <v>#REF!</v>
      </c>
      <c r="I87" s="213">
        <f t="shared" si="42"/>
        <v>2342.2800000000002</v>
      </c>
      <c r="J87" s="201">
        <f t="shared" ref="J87" si="63">+ROUND(E87*G87,2)</f>
        <v>108.47</v>
      </c>
      <c r="K87" s="93" t="e">
        <f t="shared" si="55"/>
        <v>#REF!</v>
      </c>
      <c r="L87" s="105"/>
    </row>
    <row r="88" spans="2:12" ht="14.1" customHeight="1" outlineLevel="2">
      <c r="B88" s="143" t="e">
        <f>#REF!+0.000001</f>
        <v>#REF!</v>
      </c>
      <c r="C88" s="348" t="s">
        <v>855</v>
      </c>
      <c r="D88" s="81" t="s">
        <v>46</v>
      </c>
      <c r="E88" s="111">
        <v>5.55</v>
      </c>
      <c r="F88" s="93">
        <v>665.47</v>
      </c>
      <c r="G88" s="103">
        <v>12.38</v>
      </c>
      <c r="H88" s="213" t="e">
        <f t="shared" si="54"/>
        <v>#REF!</v>
      </c>
      <c r="I88" s="213">
        <f t="shared" si="42"/>
        <v>3693.36</v>
      </c>
      <c r="J88" s="201">
        <f>+ROUND(E88*G88,2)</f>
        <v>68.709999999999994</v>
      </c>
      <c r="K88" s="93" t="e">
        <f t="shared" si="55"/>
        <v>#REF!</v>
      </c>
      <c r="L88" s="105"/>
    </row>
    <row r="89" spans="2:12" ht="13.5" customHeight="1">
      <c r="B89" s="218">
        <f>B12+0.01</f>
        <v>6.02</v>
      </c>
      <c r="C89" s="508" t="s">
        <v>856</v>
      </c>
      <c r="D89" s="81"/>
      <c r="E89" s="93"/>
      <c r="F89" s="93" t="s">
        <v>8</v>
      </c>
      <c r="G89" s="82"/>
      <c r="H89" s="213"/>
      <c r="I89" s="213"/>
      <c r="J89" s="201"/>
      <c r="K89" s="93"/>
      <c r="L89" s="612" t="e">
        <f>SUM(I91:I110)+SUM(J91:J110)*TC</f>
        <v>#REF!</v>
      </c>
    </row>
    <row r="90" spans="2:12" ht="14.1" customHeight="1" outlineLevel="1">
      <c r="B90" s="140">
        <f>B89+0.0001</f>
        <v>6.0200999999999993</v>
      </c>
      <c r="C90" s="356" t="s">
        <v>857</v>
      </c>
      <c r="D90" s="81"/>
      <c r="E90" s="111"/>
      <c r="F90" s="93" t="s">
        <v>8</v>
      </c>
      <c r="G90" s="82"/>
      <c r="H90" s="213"/>
      <c r="I90" s="213"/>
      <c r="J90" s="201"/>
      <c r="K90" s="93"/>
      <c r="L90" s="105"/>
    </row>
    <row r="91" spans="2:12" outlineLevel="2">
      <c r="B91" s="142">
        <f t="shared" ref="B91:B99" si="64">B90+0.000001</f>
        <v>6.0201009999999995</v>
      </c>
      <c r="C91" s="509" t="s">
        <v>858</v>
      </c>
      <c r="D91" s="81" t="s">
        <v>169</v>
      </c>
      <c r="E91" s="111">
        <v>1983.04</v>
      </c>
      <c r="F91" s="93">
        <v>1.72</v>
      </c>
      <c r="G91" s="82"/>
      <c r="H91" s="213" t="e">
        <f t="shared" ref="H91:H99" si="65">+ROUND(F91+G91*TC,2)</f>
        <v>#REF!</v>
      </c>
      <c r="I91" s="213">
        <f t="shared" si="42"/>
        <v>3410.83</v>
      </c>
      <c r="J91" s="201">
        <f t="shared" ref="J91:J161" si="66">+ROUND(E91*G91,2)</f>
        <v>0</v>
      </c>
      <c r="K91" s="93" t="e">
        <f t="shared" ref="K91:K99" si="67">+ROUND(I91+J91*TC,2)</f>
        <v>#REF!</v>
      </c>
      <c r="L91" s="105"/>
    </row>
    <row r="92" spans="2:12" ht="45" outlineLevel="2">
      <c r="B92" s="142">
        <f t="shared" si="64"/>
        <v>6.0201019999999996</v>
      </c>
      <c r="C92" s="509" t="s">
        <v>859</v>
      </c>
      <c r="D92" s="81" t="s">
        <v>169</v>
      </c>
      <c r="E92" s="111">
        <v>18024.400000000001</v>
      </c>
      <c r="F92" s="93">
        <v>1.72</v>
      </c>
      <c r="G92" s="82"/>
      <c r="H92" s="213" t="e">
        <f t="shared" si="65"/>
        <v>#REF!</v>
      </c>
      <c r="I92" s="213">
        <f t="shared" si="42"/>
        <v>31001.97</v>
      </c>
      <c r="J92" s="201">
        <f t="shared" si="66"/>
        <v>0</v>
      </c>
      <c r="K92" s="93" t="e">
        <f t="shared" si="67"/>
        <v>#REF!</v>
      </c>
      <c r="L92" s="105"/>
    </row>
    <row r="93" spans="2:12" ht="45" outlineLevel="2">
      <c r="B93" s="142">
        <f t="shared" si="64"/>
        <v>6.0201029999999998</v>
      </c>
      <c r="C93" s="509" t="s">
        <v>860</v>
      </c>
      <c r="D93" s="81" t="s">
        <v>169</v>
      </c>
      <c r="E93" s="111">
        <v>4397.38</v>
      </c>
      <c r="F93" s="93">
        <v>1.72</v>
      </c>
      <c r="G93" s="82"/>
      <c r="H93" s="213" t="e">
        <f t="shared" si="65"/>
        <v>#REF!</v>
      </c>
      <c r="I93" s="213">
        <f t="shared" si="42"/>
        <v>7563.49</v>
      </c>
      <c r="J93" s="201">
        <f t="shared" si="66"/>
        <v>0</v>
      </c>
      <c r="K93" s="93" t="e">
        <f t="shared" si="67"/>
        <v>#REF!</v>
      </c>
      <c r="L93" s="105"/>
    </row>
    <row r="94" spans="2:12" ht="14.1" customHeight="1" outlineLevel="2">
      <c r="B94" s="142">
        <f t="shared" si="64"/>
        <v>6.0201039999999999</v>
      </c>
      <c r="C94" s="348" t="s">
        <v>652</v>
      </c>
      <c r="D94" s="81" t="s">
        <v>169</v>
      </c>
      <c r="E94" s="111">
        <v>1297.72</v>
      </c>
      <c r="F94" s="93">
        <v>23.85</v>
      </c>
      <c r="G94" s="82"/>
      <c r="H94" s="213" t="e">
        <f t="shared" si="65"/>
        <v>#REF!</v>
      </c>
      <c r="I94" s="213">
        <f t="shared" si="42"/>
        <v>30950.62</v>
      </c>
      <c r="J94" s="201">
        <f t="shared" si="66"/>
        <v>0</v>
      </c>
      <c r="K94" s="93" t="e">
        <f t="shared" si="67"/>
        <v>#REF!</v>
      </c>
      <c r="L94" s="105"/>
    </row>
    <row r="95" spans="2:12" ht="14.1" customHeight="1" outlineLevel="2">
      <c r="B95" s="142">
        <f t="shared" si="64"/>
        <v>6.020105</v>
      </c>
      <c r="C95" s="348" t="s">
        <v>654</v>
      </c>
      <c r="D95" s="81" t="s">
        <v>169</v>
      </c>
      <c r="E95" s="111">
        <v>1400.25</v>
      </c>
      <c r="F95" s="93">
        <v>15.98</v>
      </c>
      <c r="G95" s="82"/>
      <c r="H95" s="213" t="e">
        <f t="shared" si="65"/>
        <v>#REF!</v>
      </c>
      <c r="I95" s="213">
        <f t="shared" si="42"/>
        <v>22376</v>
      </c>
      <c r="J95" s="201">
        <f t="shared" si="66"/>
        <v>0</v>
      </c>
      <c r="K95" s="93" t="e">
        <f t="shared" si="67"/>
        <v>#REF!</v>
      </c>
      <c r="L95" s="105"/>
    </row>
    <row r="96" spans="2:12" ht="14.1" customHeight="1" outlineLevel="2">
      <c r="B96" s="142">
        <f t="shared" si="64"/>
        <v>6.0201060000000002</v>
      </c>
      <c r="C96" s="348" t="s">
        <v>861</v>
      </c>
      <c r="D96" s="81" t="s">
        <v>169</v>
      </c>
      <c r="E96" s="111">
        <v>194.83</v>
      </c>
      <c r="F96" s="93">
        <v>32.450000000000003</v>
      </c>
      <c r="G96" s="82"/>
      <c r="H96" s="213" t="e">
        <f t="shared" si="65"/>
        <v>#REF!</v>
      </c>
      <c r="I96" s="213">
        <f t="shared" si="42"/>
        <v>6322.23</v>
      </c>
      <c r="J96" s="201">
        <f t="shared" si="66"/>
        <v>0</v>
      </c>
      <c r="K96" s="93" t="e">
        <f t="shared" si="67"/>
        <v>#REF!</v>
      </c>
      <c r="L96" s="105"/>
    </row>
    <row r="97" spans="2:12" ht="14.1" customHeight="1" outlineLevel="2">
      <c r="B97" s="142">
        <f t="shared" si="64"/>
        <v>6.0201070000000003</v>
      </c>
      <c r="C97" s="348" t="s">
        <v>862</v>
      </c>
      <c r="D97" s="81" t="s">
        <v>169</v>
      </c>
      <c r="E97" s="111">
        <v>3152.52</v>
      </c>
      <c r="F97" s="93">
        <v>35.97</v>
      </c>
      <c r="G97" s="82"/>
      <c r="H97" s="213" t="e">
        <f t="shared" si="65"/>
        <v>#REF!</v>
      </c>
      <c r="I97" s="213">
        <f t="shared" si="42"/>
        <v>113396.14</v>
      </c>
      <c r="J97" s="201">
        <f t="shared" si="66"/>
        <v>0</v>
      </c>
      <c r="K97" s="93" t="e">
        <f t="shared" si="67"/>
        <v>#REF!</v>
      </c>
      <c r="L97" s="105"/>
    </row>
    <row r="98" spans="2:12" ht="14.1" customHeight="1" outlineLevel="2">
      <c r="B98" s="142">
        <f t="shared" si="64"/>
        <v>6.0201080000000005</v>
      </c>
      <c r="C98" s="348" t="s">
        <v>653</v>
      </c>
      <c r="D98" s="81" t="s">
        <v>169</v>
      </c>
      <c r="E98" s="111">
        <v>5328.74</v>
      </c>
      <c r="F98" s="93">
        <v>8.2799999999999994</v>
      </c>
      <c r="G98" s="82"/>
      <c r="H98" s="213" t="e">
        <f t="shared" si="65"/>
        <v>#REF!</v>
      </c>
      <c r="I98" s="213">
        <f t="shared" si="42"/>
        <v>44121.97</v>
      </c>
      <c r="J98" s="201">
        <f t="shared" si="66"/>
        <v>0</v>
      </c>
      <c r="K98" s="93" t="e">
        <f t="shared" si="67"/>
        <v>#REF!</v>
      </c>
      <c r="L98" s="105"/>
    </row>
    <row r="99" spans="2:12" ht="14.1" customHeight="1" outlineLevel="2">
      <c r="B99" s="142">
        <f t="shared" si="64"/>
        <v>6.0201090000000006</v>
      </c>
      <c r="C99" s="348" t="s">
        <v>863</v>
      </c>
      <c r="D99" s="81" t="s">
        <v>46</v>
      </c>
      <c r="E99" s="111">
        <v>2336.1</v>
      </c>
      <c r="F99" s="93">
        <v>17.600000000000001</v>
      </c>
      <c r="G99" s="82"/>
      <c r="H99" s="213" t="e">
        <f t="shared" si="65"/>
        <v>#REF!</v>
      </c>
      <c r="I99" s="213">
        <f t="shared" si="42"/>
        <v>41115.360000000001</v>
      </c>
      <c r="J99" s="201">
        <f t="shared" si="66"/>
        <v>0</v>
      </c>
      <c r="K99" s="93" t="e">
        <f t="shared" si="67"/>
        <v>#REF!</v>
      </c>
      <c r="L99" s="105"/>
    </row>
    <row r="100" spans="2:12" ht="14.1" customHeight="1" outlineLevel="1">
      <c r="B100" s="140">
        <f>B90+0.0001</f>
        <v>6.0201999999999991</v>
      </c>
      <c r="C100" s="356" t="s">
        <v>864</v>
      </c>
      <c r="D100" s="81"/>
      <c r="E100" s="111"/>
      <c r="F100" s="93" t="s">
        <v>8</v>
      </c>
      <c r="G100" s="82"/>
      <c r="H100" s="213"/>
      <c r="I100" s="213"/>
      <c r="J100" s="201"/>
      <c r="K100" s="93"/>
      <c r="L100" s="105"/>
    </row>
    <row r="101" spans="2:12" ht="14.1" customHeight="1" outlineLevel="2">
      <c r="B101" s="143">
        <f t="shared" ref="B101:B110" si="68">B100+0.000001</f>
        <v>6.0202009999999992</v>
      </c>
      <c r="C101" s="348" t="s">
        <v>865</v>
      </c>
      <c r="D101" s="81" t="s">
        <v>169</v>
      </c>
      <c r="E101" s="111">
        <v>108.92</v>
      </c>
      <c r="F101" s="106">
        <v>20.16</v>
      </c>
      <c r="G101" s="82"/>
      <c r="H101" s="213" t="e">
        <f t="shared" ref="H101:H110" si="69">+ROUND(F101+G101*TC,2)</f>
        <v>#REF!</v>
      </c>
      <c r="I101" s="213">
        <f t="shared" si="42"/>
        <v>2195.83</v>
      </c>
      <c r="J101" s="201">
        <f t="shared" si="66"/>
        <v>0</v>
      </c>
      <c r="K101" s="93" t="e">
        <f t="shared" ref="K101:K110" si="70">+ROUND(I101+J101*TC,2)</f>
        <v>#REF!</v>
      </c>
      <c r="L101" s="105"/>
    </row>
    <row r="102" spans="2:12" ht="14.1" customHeight="1" outlineLevel="2">
      <c r="B102" s="143">
        <f t="shared" si="68"/>
        <v>6.0202019999999994</v>
      </c>
      <c r="C102" s="348" t="s">
        <v>866</v>
      </c>
      <c r="D102" s="81" t="s">
        <v>169</v>
      </c>
      <c r="E102" s="111">
        <v>136.37</v>
      </c>
      <c r="F102" s="106">
        <v>20.16</v>
      </c>
      <c r="G102" s="82"/>
      <c r="H102" s="213" t="e">
        <f t="shared" si="69"/>
        <v>#REF!</v>
      </c>
      <c r="I102" s="213">
        <f t="shared" si="42"/>
        <v>2749.22</v>
      </c>
      <c r="J102" s="201">
        <f t="shared" si="66"/>
        <v>0</v>
      </c>
      <c r="K102" s="93" t="e">
        <f t="shared" si="70"/>
        <v>#REF!</v>
      </c>
      <c r="L102" s="105"/>
    </row>
    <row r="103" spans="2:12" ht="13.5" customHeight="1" outlineLevel="2">
      <c r="B103" s="143">
        <f t="shared" si="68"/>
        <v>6.0202029999999995</v>
      </c>
      <c r="C103" s="348" t="s">
        <v>867</v>
      </c>
      <c r="D103" s="81" t="s">
        <v>169</v>
      </c>
      <c r="E103" s="111">
        <v>0</v>
      </c>
      <c r="F103" s="93">
        <v>43.09</v>
      </c>
      <c r="G103" s="82"/>
      <c r="H103" s="213" t="e">
        <f t="shared" si="69"/>
        <v>#REF!</v>
      </c>
      <c r="I103" s="213">
        <f t="shared" si="42"/>
        <v>0</v>
      </c>
      <c r="J103" s="201">
        <f t="shared" si="66"/>
        <v>0</v>
      </c>
      <c r="K103" s="93" t="e">
        <f t="shared" si="70"/>
        <v>#REF!</v>
      </c>
      <c r="L103" s="105"/>
    </row>
    <row r="104" spans="2:12" ht="14.1" customHeight="1" outlineLevel="2">
      <c r="B104" s="143">
        <f t="shared" si="68"/>
        <v>6.0202039999999997</v>
      </c>
      <c r="C104" s="348" t="s">
        <v>868</v>
      </c>
      <c r="D104" s="81" t="s">
        <v>169</v>
      </c>
      <c r="E104" s="111">
        <v>150.41999999999999</v>
      </c>
      <c r="F104" s="93">
        <v>43.09</v>
      </c>
      <c r="G104" s="82"/>
      <c r="H104" s="213" t="e">
        <f t="shared" si="69"/>
        <v>#REF!</v>
      </c>
      <c r="I104" s="213">
        <f t="shared" si="42"/>
        <v>6481.6</v>
      </c>
      <c r="J104" s="201">
        <f t="shared" si="66"/>
        <v>0</v>
      </c>
      <c r="K104" s="93" t="e">
        <f t="shared" si="70"/>
        <v>#REF!</v>
      </c>
      <c r="L104" s="105"/>
    </row>
    <row r="105" spans="2:12" ht="14.1" customHeight="1" outlineLevel="2">
      <c r="B105" s="143">
        <f t="shared" si="68"/>
        <v>6.0202049999999998</v>
      </c>
      <c r="C105" s="348" t="s">
        <v>869</v>
      </c>
      <c r="D105" s="81" t="s">
        <v>46</v>
      </c>
      <c r="E105" s="111">
        <v>380</v>
      </c>
      <c r="F105" s="93">
        <v>13.62</v>
      </c>
      <c r="G105" s="82"/>
      <c r="H105" s="213" t="e">
        <f t="shared" si="69"/>
        <v>#REF!</v>
      </c>
      <c r="I105" s="213">
        <f t="shared" si="42"/>
        <v>5175.6000000000004</v>
      </c>
      <c r="J105" s="201">
        <f t="shared" si="66"/>
        <v>0</v>
      </c>
      <c r="K105" s="93" t="e">
        <f t="shared" si="70"/>
        <v>#REF!</v>
      </c>
      <c r="L105" s="105"/>
    </row>
    <row r="106" spans="2:12" ht="14.1" customHeight="1" outlineLevel="2">
      <c r="B106" s="143">
        <f t="shared" si="68"/>
        <v>6.0202059999999999</v>
      </c>
      <c r="C106" s="348" t="s">
        <v>870</v>
      </c>
      <c r="D106" s="81" t="s">
        <v>169</v>
      </c>
      <c r="E106" s="111">
        <v>151.72</v>
      </c>
      <c r="F106" s="93">
        <v>42.21</v>
      </c>
      <c r="G106" s="82"/>
      <c r="H106" s="213" t="e">
        <f t="shared" si="69"/>
        <v>#REF!</v>
      </c>
      <c r="I106" s="213">
        <f t="shared" si="42"/>
        <v>6404.1</v>
      </c>
      <c r="J106" s="201">
        <f t="shared" si="66"/>
        <v>0</v>
      </c>
      <c r="K106" s="93" t="e">
        <f t="shared" si="70"/>
        <v>#REF!</v>
      </c>
      <c r="L106" s="105"/>
    </row>
    <row r="107" spans="2:12" ht="14.1" customHeight="1" outlineLevel="2">
      <c r="B107" s="143">
        <f t="shared" si="68"/>
        <v>6.0202070000000001</v>
      </c>
      <c r="C107" s="348" t="s">
        <v>871</v>
      </c>
      <c r="D107" s="81" t="s">
        <v>169</v>
      </c>
      <c r="E107" s="111">
        <v>55.93</v>
      </c>
      <c r="F107" s="106">
        <v>46.06</v>
      </c>
      <c r="G107" s="82"/>
      <c r="H107" s="213" t="e">
        <f t="shared" si="69"/>
        <v>#REF!</v>
      </c>
      <c r="I107" s="213">
        <f t="shared" si="42"/>
        <v>2576.14</v>
      </c>
      <c r="J107" s="201">
        <f t="shared" si="66"/>
        <v>0</v>
      </c>
      <c r="K107" s="93" t="e">
        <f t="shared" si="70"/>
        <v>#REF!</v>
      </c>
      <c r="L107" s="105"/>
    </row>
    <row r="108" spans="2:12" ht="14.1" customHeight="1" outlineLevel="2">
      <c r="B108" s="143">
        <f t="shared" si="68"/>
        <v>6.0202080000000002</v>
      </c>
      <c r="C108" s="348" t="s">
        <v>872</v>
      </c>
      <c r="D108" s="81" t="s">
        <v>29</v>
      </c>
      <c r="E108" s="111">
        <v>1</v>
      </c>
      <c r="F108" s="106"/>
      <c r="G108" s="103">
        <v>7388.01</v>
      </c>
      <c r="H108" s="213" t="e">
        <f>+ROUND(F108+G108*TC,2)</f>
        <v>#REF!</v>
      </c>
      <c r="I108" s="213">
        <f t="shared" ref="I108" si="71">+ROUND(E108*F108,2)</f>
        <v>0</v>
      </c>
      <c r="J108" s="201">
        <f t="shared" ref="J108" si="72">+ROUND(E108*G108,2)</f>
        <v>7388.01</v>
      </c>
      <c r="K108" s="93" t="e">
        <f t="shared" ref="K108" si="73">+ROUND(I108+J108*TC,2)</f>
        <v>#REF!</v>
      </c>
      <c r="L108" s="105"/>
    </row>
    <row r="109" spans="2:12" ht="14.1" customHeight="1" outlineLevel="2">
      <c r="B109" s="143">
        <f t="shared" si="68"/>
        <v>6.0202090000000004</v>
      </c>
      <c r="C109" s="348" t="s">
        <v>873</v>
      </c>
      <c r="D109" s="81" t="s">
        <v>169</v>
      </c>
      <c r="E109" s="111">
        <v>0</v>
      </c>
      <c r="F109" s="106">
        <v>56.13</v>
      </c>
      <c r="G109" s="82"/>
      <c r="H109" s="213" t="e">
        <f t="shared" si="69"/>
        <v>#REF!</v>
      </c>
      <c r="I109" s="213">
        <f t="shared" si="42"/>
        <v>0</v>
      </c>
      <c r="J109" s="201">
        <f t="shared" si="66"/>
        <v>0</v>
      </c>
      <c r="K109" s="93" t="e">
        <f t="shared" si="70"/>
        <v>#REF!</v>
      </c>
      <c r="L109" s="105"/>
    </row>
    <row r="110" spans="2:12" ht="14.1" customHeight="1" outlineLevel="2">
      <c r="B110" s="143">
        <f t="shared" si="68"/>
        <v>6.0202100000000005</v>
      </c>
      <c r="C110" s="348" t="s">
        <v>874</v>
      </c>
      <c r="D110" s="81" t="s">
        <v>169</v>
      </c>
      <c r="E110" s="111">
        <v>0</v>
      </c>
      <c r="F110" s="106">
        <v>56.13</v>
      </c>
      <c r="G110" s="82"/>
      <c r="H110" s="213" t="e">
        <f t="shared" si="69"/>
        <v>#REF!</v>
      </c>
      <c r="I110" s="213">
        <f t="shared" si="42"/>
        <v>0</v>
      </c>
      <c r="J110" s="201">
        <f t="shared" si="66"/>
        <v>0</v>
      </c>
      <c r="K110" s="93" t="e">
        <f t="shared" si="70"/>
        <v>#REF!</v>
      </c>
      <c r="L110" s="105"/>
    </row>
    <row r="111" spans="2:12" ht="13.5" customHeight="1">
      <c r="B111" s="218">
        <f>B89+0.01</f>
        <v>6.0299999999999994</v>
      </c>
      <c r="C111" s="508" t="s">
        <v>875</v>
      </c>
      <c r="D111" s="81"/>
      <c r="E111" s="93"/>
      <c r="F111" s="93" t="s">
        <v>8</v>
      </c>
      <c r="G111" s="82"/>
      <c r="H111" s="213"/>
      <c r="I111" s="213"/>
      <c r="J111" s="201"/>
      <c r="K111" s="93"/>
      <c r="L111" s="612" t="e">
        <f>SUM(I111:I123)+SUM(J111:J123)*TC</f>
        <v>#REF!</v>
      </c>
    </row>
    <row r="112" spans="2:12" ht="14.1" customHeight="1" outlineLevel="1">
      <c r="B112" s="140">
        <f>B111+0.0001</f>
        <v>6.0300999999999991</v>
      </c>
      <c r="C112" s="356" t="s">
        <v>876</v>
      </c>
      <c r="D112" s="81"/>
      <c r="E112" s="111"/>
      <c r="F112" s="93" t="s">
        <v>8</v>
      </c>
      <c r="G112" s="82"/>
      <c r="H112" s="213"/>
      <c r="I112" s="213"/>
      <c r="J112" s="201"/>
      <c r="K112" s="93"/>
      <c r="L112" s="105"/>
    </row>
    <row r="113" spans="2:12" ht="14.1" customHeight="1" outlineLevel="2">
      <c r="B113" s="142">
        <f>B112+0.000001</f>
        <v>6.0301009999999993</v>
      </c>
      <c r="C113" s="348" t="s">
        <v>877</v>
      </c>
      <c r="D113" s="81" t="s">
        <v>169</v>
      </c>
      <c r="E113" s="111">
        <v>20.02</v>
      </c>
      <c r="F113" s="93">
        <v>43.52</v>
      </c>
      <c r="G113" s="82"/>
      <c r="H113" s="213" t="e">
        <f t="shared" ref="H113:H116" si="74">+ROUND(F113+G113*TC,2)</f>
        <v>#REF!</v>
      </c>
      <c r="I113" s="213">
        <f t="shared" si="42"/>
        <v>871.27</v>
      </c>
      <c r="J113" s="201">
        <f t="shared" si="66"/>
        <v>0</v>
      </c>
      <c r="K113" s="93" t="e">
        <f t="shared" ref="K113:K116" si="75">+ROUND(I113+J113*TC,2)</f>
        <v>#REF!</v>
      </c>
      <c r="L113" s="105"/>
    </row>
    <row r="114" spans="2:12" ht="14.1" customHeight="1" outlineLevel="2">
      <c r="B114" s="142">
        <f>B113+0.000001</f>
        <v>6.0301019999999994</v>
      </c>
      <c r="C114" s="348" t="s">
        <v>878</v>
      </c>
      <c r="D114" s="81" t="s">
        <v>169</v>
      </c>
      <c r="E114" s="111">
        <v>20.02</v>
      </c>
      <c r="F114" s="93">
        <v>34.5</v>
      </c>
      <c r="G114" s="82"/>
      <c r="H114" s="213" t="e">
        <f t="shared" si="74"/>
        <v>#REF!</v>
      </c>
      <c r="I114" s="213">
        <f t="shared" si="42"/>
        <v>690.69</v>
      </c>
      <c r="J114" s="201">
        <f t="shared" si="66"/>
        <v>0</v>
      </c>
      <c r="K114" s="93" t="e">
        <f t="shared" si="75"/>
        <v>#REF!</v>
      </c>
      <c r="L114" s="105"/>
    </row>
    <row r="115" spans="2:12" ht="14.1" customHeight="1" outlineLevel="2">
      <c r="B115" s="142">
        <f t="shared" ref="B115:B116" si="76">B114+0.000001</f>
        <v>6.0301029999999995</v>
      </c>
      <c r="C115" s="348" t="s">
        <v>879</v>
      </c>
      <c r="D115" s="81" t="s">
        <v>169</v>
      </c>
      <c r="E115" s="111">
        <v>1149.31</v>
      </c>
      <c r="F115" s="93">
        <v>16</v>
      </c>
      <c r="G115" s="82"/>
      <c r="H115" s="213" t="e">
        <f t="shared" si="74"/>
        <v>#REF!</v>
      </c>
      <c r="I115" s="213">
        <f t="shared" si="42"/>
        <v>18388.96</v>
      </c>
      <c r="J115" s="201">
        <f t="shared" ref="J115" si="77">+ROUND(E115*G115,2)</f>
        <v>0</v>
      </c>
      <c r="K115" s="93" t="e">
        <f t="shared" si="75"/>
        <v>#REF!</v>
      </c>
      <c r="L115" s="105"/>
    </row>
    <row r="116" spans="2:12" ht="14.1" customHeight="1" outlineLevel="2">
      <c r="B116" s="142">
        <f t="shared" si="76"/>
        <v>6.0301039999999997</v>
      </c>
      <c r="C116" s="348" t="s">
        <v>880</v>
      </c>
      <c r="D116" s="81" t="s">
        <v>169</v>
      </c>
      <c r="E116" s="111">
        <v>1149.31</v>
      </c>
      <c r="F116" s="93">
        <v>33.729999999999997</v>
      </c>
      <c r="G116" s="82"/>
      <c r="H116" s="213" t="e">
        <f t="shared" si="74"/>
        <v>#REF!</v>
      </c>
      <c r="I116" s="213">
        <f t="shared" si="42"/>
        <v>38766.230000000003</v>
      </c>
      <c r="J116" s="201">
        <f t="shared" ref="J116" si="78">+ROUND(E116*G116,2)</f>
        <v>0</v>
      </c>
      <c r="K116" s="93" t="e">
        <f t="shared" si="75"/>
        <v>#REF!</v>
      </c>
      <c r="L116" s="105"/>
    </row>
    <row r="117" spans="2:12" ht="14.1" customHeight="1" outlineLevel="1">
      <c r="B117" s="140">
        <f>B112+0.0001</f>
        <v>6.0301999999999989</v>
      </c>
      <c r="C117" s="356" t="s">
        <v>881</v>
      </c>
      <c r="D117" s="81"/>
      <c r="E117" s="111">
        <v>0</v>
      </c>
      <c r="F117" s="93" t="s">
        <v>8</v>
      </c>
      <c r="G117" s="82"/>
      <c r="H117" s="213"/>
      <c r="I117" s="213"/>
      <c r="J117" s="201"/>
      <c r="K117" s="93"/>
      <c r="L117" s="105"/>
    </row>
    <row r="118" spans="2:12" ht="14.1" customHeight="1" outlineLevel="2">
      <c r="B118" s="142">
        <f>B117+0.000001</f>
        <v>6.030200999999999</v>
      </c>
      <c r="C118" s="348" t="s">
        <v>882</v>
      </c>
      <c r="D118" s="81" t="s">
        <v>169</v>
      </c>
      <c r="E118" s="111">
        <v>1506.44</v>
      </c>
      <c r="F118" s="93">
        <v>43.52</v>
      </c>
      <c r="G118" s="82"/>
      <c r="H118" s="213" t="e">
        <f>+ROUND(F118+G118*TC,2)</f>
        <v>#REF!</v>
      </c>
      <c r="I118" s="213">
        <f t="shared" si="42"/>
        <v>65560.27</v>
      </c>
      <c r="J118" s="201">
        <f t="shared" si="66"/>
        <v>0</v>
      </c>
      <c r="K118" s="93" t="e">
        <f>+ROUND(I118+J118*TC,2)</f>
        <v>#REF!</v>
      </c>
      <c r="L118" s="105"/>
    </row>
    <row r="119" spans="2:12" ht="14.1" customHeight="1" outlineLevel="2">
      <c r="B119" s="142">
        <f>B118+0.000001</f>
        <v>6.0302019999999992</v>
      </c>
      <c r="C119" s="361" t="s">
        <v>883</v>
      </c>
      <c r="D119" s="81" t="s">
        <v>169</v>
      </c>
      <c r="E119" s="111">
        <v>1506.44</v>
      </c>
      <c r="F119" s="93">
        <v>34.5</v>
      </c>
      <c r="G119" s="82"/>
      <c r="H119" s="213" t="e">
        <f>+ROUND(F119+G119*TC,2)</f>
        <v>#REF!</v>
      </c>
      <c r="I119" s="213">
        <f t="shared" si="42"/>
        <v>51972.18</v>
      </c>
      <c r="J119" s="201">
        <f t="shared" si="66"/>
        <v>0</v>
      </c>
      <c r="K119" s="93" t="e">
        <f>+ROUND(I119+J119*TC,2)</f>
        <v>#REF!</v>
      </c>
      <c r="L119" s="105"/>
    </row>
    <row r="120" spans="2:12" ht="14.1" customHeight="1" outlineLevel="1">
      <c r="B120" s="140">
        <f>B117+0.0001</f>
        <v>6.0302999999999987</v>
      </c>
      <c r="C120" s="356" t="s">
        <v>884</v>
      </c>
      <c r="D120" s="81"/>
      <c r="E120" s="111">
        <v>0</v>
      </c>
      <c r="F120" s="93" t="s">
        <v>8</v>
      </c>
      <c r="G120" s="82"/>
      <c r="H120" s="213"/>
      <c r="I120" s="213"/>
      <c r="J120" s="201"/>
      <c r="K120" s="93"/>
      <c r="L120" s="105"/>
    </row>
    <row r="121" spans="2:12" ht="14.1" customHeight="1" outlineLevel="2">
      <c r="B121" s="142">
        <f>B120+0.000001</f>
        <v>6.0303009999999988</v>
      </c>
      <c r="C121" s="348" t="s">
        <v>885</v>
      </c>
      <c r="D121" s="81" t="s">
        <v>169</v>
      </c>
      <c r="E121" s="111">
        <v>2018.95</v>
      </c>
      <c r="F121" s="93">
        <v>16.29</v>
      </c>
      <c r="G121" s="82"/>
      <c r="H121" s="213" t="e">
        <f>+ROUND(F121+G121*TC,2)</f>
        <v>#REF!</v>
      </c>
      <c r="I121" s="213">
        <f t="shared" si="42"/>
        <v>32888.699999999997</v>
      </c>
      <c r="J121" s="201">
        <f t="shared" si="66"/>
        <v>0</v>
      </c>
      <c r="K121" s="93" t="e">
        <f>+ROUND(I121+J121*TC,2)</f>
        <v>#REF!</v>
      </c>
      <c r="L121" s="105"/>
    </row>
    <row r="122" spans="2:12" ht="28.9" customHeight="1" outlineLevel="2">
      <c r="B122" s="142">
        <f t="shared" ref="B122:B123" si="79">B121+0.000001</f>
        <v>6.0303019999999989</v>
      </c>
      <c r="C122" s="57" t="s">
        <v>886</v>
      </c>
      <c r="D122" s="81" t="s">
        <v>169</v>
      </c>
      <c r="E122" s="111">
        <v>2018.95</v>
      </c>
      <c r="F122" s="93">
        <v>16.39</v>
      </c>
      <c r="G122" s="82"/>
      <c r="H122" s="213" t="e">
        <f>+ROUND(F122+G122*TC,2)</f>
        <v>#REF!</v>
      </c>
      <c r="I122" s="213">
        <f t="shared" si="42"/>
        <v>33090.589999999997</v>
      </c>
      <c r="J122" s="201">
        <f t="shared" si="66"/>
        <v>0</v>
      </c>
      <c r="K122" s="93" t="e">
        <f>+ROUND(I122+J122*TC,2)</f>
        <v>#REF!</v>
      </c>
      <c r="L122" s="105"/>
    </row>
    <row r="123" spans="2:12" ht="14.1" customHeight="1" outlineLevel="2">
      <c r="B123" s="142">
        <f t="shared" si="79"/>
        <v>6.0303029999999991</v>
      </c>
      <c r="C123" s="348" t="s">
        <v>887</v>
      </c>
      <c r="D123" s="81" t="s">
        <v>39</v>
      </c>
      <c r="E123" s="111">
        <v>4</v>
      </c>
      <c r="F123" s="93">
        <v>28387.1</v>
      </c>
      <c r="G123" s="82"/>
      <c r="H123" s="213" t="e">
        <f>+ROUND(F123+G123*TC,2)</f>
        <v>#REF!</v>
      </c>
      <c r="I123" s="213">
        <f t="shared" si="42"/>
        <v>113548.4</v>
      </c>
      <c r="J123" s="201">
        <f>+ROUND(E123*G123,2)</f>
        <v>0</v>
      </c>
      <c r="K123" s="93" t="e">
        <f>+ROUND(I123+J123*TC,2)</f>
        <v>#REF!</v>
      </c>
      <c r="L123" s="105"/>
    </row>
    <row r="124" spans="2:12" ht="13.5" customHeight="1">
      <c r="B124" s="218">
        <f>B111+0.01</f>
        <v>6.0399999999999991</v>
      </c>
      <c r="C124" s="508" t="s">
        <v>888</v>
      </c>
      <c r="D124" s="81"/>
      <c r="E124" s="81"/>
      <c r="F124" s="93"/>
      <c r="G124" s="82"/>
      <c r="H124" s="213"/>
      <c r="I124" s="213">
        <f t="shared" si="42"/>
        <v>0</v>
      </c>
      <c r="J124" s="201"/>
      <c r="K124" s="93"/>
      <c r="L124" s="612" t="e">
        <f>SUM(I124:I127)+SUM(J124:J127)*TC</f>
        <v>#REF!</v>
      </c>
    </row>
    <row r="125" spans="2:12" ht="14.1" customHeight="1" outlineLevel="1">
      <c r="B125" s="358">
        <f>B124+0.0001</f>
        <v>6.0400999999999989</v>
      </c>
      <c r="C125" s="348" t="s">
        <v>889</v>
      </c>
      <c r="D125" s="81" t="s">
        <v>169</v>
      </c>
      <c r="E125" s="111">
        <v>8928.15</v>
      </c>
      <c r="F125" s="93">
        <v>6.9</v>
      </c>
      <c r="G125" s="82"/>
      <c r="H125" s="213" t="e">
        <f>+ROUND(F125+G125*TC,2)</f>
        <v>#REF!</v>
      </c>
      <c r="I125" s="213">
        <f t="shared" si="42"/>
        <v>61604.24</v>
      </c>
      <c r="J125" s="201">
        <f t="shared" si="66"/>
        <v>0</v>
      </c>
      <c r="K125" s="93" t="e">
        <f>+ROUND(I125+J125*TC,2)</f>
        <v>#REF!</v>
      </c>
      <c r="L125" s="613"/>
    </row>
    <row r="126" spans="2:12" ht="14.1" customHeight="1" outlineLevel="1">
      <c r="B126" s="358">
        <f>B125+0.0001</f>
        <v>6.0401999999999987</v>
      </c>
      <c r="C126" s="348" t="s">
        <v>890</v>
      </c>
      <c r="D126" s="81" t="s">
        <v>169</v>
      </c>
      <c r="E126" s="111">
        <v>3770.73</v>
      </c>
      <c r="F126" s="93">
        <v>38.950000000000003</v>
      </c>
      <c r="G126" s="82"/>
      <c r="H126" s="213" t="e">
        <f>+ROUND(F126+G126*TC,2)</f>
        <v>#REF!</v>
      </c>
      <c r="I126" s="213">
        <f t="shared" ref="I126:I185" si="80">+ROUND(E126*F126,2)</f>
        <v>146869.93</v>
      </c>
      <c r="J126" s="201">
        <f t="shared" si="66"/>
        <v>0</v>
      </c>
      <c r="K126" s="93" t="e">
        <f>+ROUND(I126+J126*TC,2)</f>
        <v>#REF!</v>
      </c>
      <c r="L126" s="613"/>
    </row>
    <row r="127" spans="2:12" ht="14.1" customHeight="1" outlineLevel="1">
      <c r="B127" s="358">
        <f>B126+0.0001</f>
        <v>6.0402999999999984</v>
      </c>
      <c r="C127" s="348" t="s">
        <v>891</v>
      </c>
      <c r="D127" s="81" t="s">
        <v>169</v>
      </c>
      <c r="E127" s="111">
        <v>395.21</v>
      </c>
      <c r="F127" s="93">
        <v>49.73</v>
      </c>
      <c r="G127" s="82"/>
      <c r="H127" s="213" t="e">
        <f>+ROUND(F127+G127*TC,2)</f>
        <v>#REF!</v>
      </c>
      <c r="I127" s="213">
        <f t="shared" si="80"/>
        <v>19653.79</v>
      </c>
      <c r="J127" s="201">
        <f t="shared" ref="J127" si="81">+ROUND(E127*G127,2)</f>
        <v>0</v>
      </c>
      <c r="K127" s="93" t="e">
        <f>+ROUND(I127+J127*TC,2)</f>
        <v>#REF!</v>
      </c>
      <c r="L127" s="613"/>
    </row>
    <row r="128" spans="2:12" ht="13.5" customHeight="1">
      <c r="B128" s="218">
        <f>B124+0.01</f>
        <v>6.0499999999999989</v>
      </c>
      <c r="C128" s="508" t="s">
        <v>892</v>
      </c>
      <c r="D128" s="81"/>
      <c r="E128" s="81"/>
      <c r="F128" s="93"/>
      <c r="G128" s="82"/>
      <c r="H128" s="213"/>
      <c r="I128" s="213">
        <f t="shared" si="80"/>
        <v>0</v>
      </c>
      <c r="J128" s="201"/>
      <c r="K128" s="93"/>
      <c r="L128" s="612" t="e">
        <f>SUM(I128:I145)+SUM(J128:J145)*TC</f>
        <v>#REF!</v>
      </c>
    </row>
    <row r="129" spans="2:12" ht="14.1" customHeight="1" outlineLevel="1">
      <c r="B129" s="140">
        <f>B128+0.0001</f>
        <v>6.0500999999999987</v>
      </c>
      <c r="C129" s="356" t="s">
        <v>884</v>
      </c>
      <c r="D129" s="81"/>
      <c r="E129" s="111">
        <v>0</v>
      </c>
      <c r="F129" s="93" t="s">
        <v>8</v>
      </c>
      <c r="G129" s="82"/>
      <c r="H129" s="213"/>
      <c r="I129" s="213"/>
      <c r="J129" s="201"/>
      <c r="K129" s="93"/>
      <c r="L129" s="105"/>
    </row>
    <row r="130" spans="2:12" ht="14.1" customHeight="1" outlineLevel="1">
      <c r="B130" s="141">
        <f>B129+0.0001</f>
        <v>6.0501999999999985</v>
      </c>
      <c r="C130" s="348" t="s">
        <v>893</v>
      </c>
      <c r="D130" s="81" t="s">
        <v>169</v>
      </c>
      <c r="E130" s="111">
        <v>135.11000000000001</v>
      </c>
      <c r="F130" s="106">
        <v>125</v>
      </c>
      <c r="G130" s="82"/>
      <c r="H130" s="213" t="e">
        <f t="shared" ref="H130:H142" si="82">+ROUND(F130+G130*TC,2)</f>
        <v>#REF!</v>
      </c>
      <c r="I130" s="213">
        <f t="shared" si="80"/>
        <v>16888.75</v>
      </c>
      <c r="J130" s="201">
        <f t="shared" si="66"/>
        <v>0</v>
      </c>
      <c r="K130" s="93" t="e">
        <f t="shared" ref="K130:K142" si="83">+ROUND(I130+J130*TC,2)</f>
        <v>#REF!</v>
      </c>
      <c r="L130" s="105"/>
    </row>
    <row r="131" spans="2:12" ht="14.1" customHeight="1" outlineLevel="1">
      <c r="B131" s="141">
        <f t="shared" ref="B131:B145" si="84">B130+0.0001</f>
        <v>6.0502999999999982</v>
      </c>
      <c r="C131" s="505" t="s">
        <v>894</v>
      </c>
      <c r="D131" s="81" t="s">
        <v>169</v>
      </c>
      <c r="E131" s="111">
        <v>20.47</v>
      </c>
      <c r="F131" s="106">
        <v>135</v>
      </c>
      <c r="G131" s="82"/>
      <c r="H131" s="213" t="e">
        <f t="shared" si="82"/>
        <v>#REF!</v>
      </c>
      <c r="I131" s="213">
        <f t="shared" si="80"/>
        <v>2763.45</v>
      </c>
      <c r="J131" s="201">
        <f t="shared" ref="J131:J138" si="85">+ROUND(E131*G131,2)</f>
        <v>0</v>
      </c>
      <c r="K131" s="93" t="e">
        <f t="shared" si="83"/>
        <v>#REF!</v>
      </c>
      <c r="L131" s="105"/>
    </row>
    <row r="132" spans="2:12" ht="14.1" customHeight="1" outlineLevel="1">
      <c r="B132" s="141">
        <f t="shared" si="84"/>
        <v>6.050399999999998</v>
      </c>
      <c r="C132" s="348" t="s">
        <v>895</v>
      </c>
      <c r="D132" s="81" t="s">
        <v>169</v>
      </c>
      <c r="E132" s="111">
        <v>43.82</v>
      </c>
      <c r="F132" s="106">
        <v>130</v>
      </c>
      <c r="G132" s="82"/>
      <c r="H132" s="213" t="e">
        <f t="shared" si="82"/>
        <v>#REF!</v>
      </c>
      <c r="I132" s="213">
        <f t="shared" si="80"/>
        <v>5696.6</v>
      </c>
      <c r="J132" s="201">
        <f t="shared" si="85"/>
        <v>0</v>
      </c>
      <c r="K132" s="93" t="e">
        <f t="shared" si="83"/>
        <v>#REF!</v>
      </c>
      <c r="L132" s="105"/>
    </row>
    <row r="133" spans="2:12" ht="14.1" customHeight="1" outlineLevel="1">
      <c r="B133" s="141">
        <f t="shared" si="84"/>
        <v>6.0504999999999978</v>
      </c>
      <c r="C133" s="348" t="s">
        <v>896</v>
      </c>
      <c r="D133" s="81" t="s">
        <v>169</v>
      </c>
      <c r="E133" s="111">
        <v>104.99</v>
      </c>
      <c r="F133" s="106">
        <v>130</v>
      </c>
      <c r="G133" s="82"/>
      <c r="H133" s="213" t="e">
        <f t="shared" si="82"/>
        <v>#REF!</v>
      </c>
      <c r="I133" s="213">
        <f t="shared" si="80"/>
        <v>13648.7</v>
      </c>
      <c r="J133" s="201">
        <f t="shared" si="85"/>
        <v>0</v>
      </c>
      <c r="K133" s="93" t="e">
        <f t="shared" si="83"/>
        <v>#REF!</v>
      </c>
      <c r="L133" s="105"/>
    </row>
    <row r="134" spans="2:12" ht="14.1" customHeight="1" outlineLevel="1">
      <c r="B134" s="141">
        <f t="shared" si="84"/>
        <v>6.0505999999999975</v>
      </c>
      <c r="C134" s="348" t="s">
        <v>897</v>
      </c>
      <c r="D134" s="81" t="s">
        <v>169</v>
      </c>
      <c r="E134" s="111">
        <v>45.89</v>
      </c>
      <c r="F134" s="106">
        <v>130</v>
      </c>
      <c r="G134" s="82"/>
      <c r="H134" s="213" t="e">
        <f t="shared" si="82"/>
        <v>#REF!</v>
      </c>
      <c r="I134" s="213">
        <f t="shared" si="80"/>
        <v>5965.7</v>
      </c>
      <c r="J134" s="201">
        <f t="shared" si="85"/>
        <v>0</v>
      </c>
      <c r="K134" s="93" t="e">
        <f t="shared" si="83"/>
        <v>#REF!</v>
      </c>
      <c r="L134" s="105"/>
    </row>
    <row r="135" spans="2:12" ht="14.1" customHeight="1" outlineLevel="1">
      <c r="B135" s="141">
        <f t="shared" si="84"/>
        <v>6.0506999999999973</v>
      </c>
      <c r="C135" s="348" t="s">
        <v>898</v>
      </c>
      <c r="D135" s="81" t="s">
        <v>169</v>
      </c>
      <c r="E135" s="111">
        <v>35.78</v>
      </c>
      <c r="F135" s="106">
        <v>155</v>
      </c>
      <c r="G135" s="82"/>
      <c r="H135" s="213" t="e">
        <f t="shared" si="82"/>
        <v>#REF!</v>
      </c>
      <c r="I135" s="213">
        <f t="shared" si="80"/>
        <v>5545.9</v>
      </c>
      <c r="J135" s="201">
        <f t="shared" si="85"/>
        <v>0</v>
      </c>
      <c r="K135" s="93" t="e">
        <f t="shared" si="83"/>
        <v>#REF!</v>
      </c>
      <c r="L135" s="105"/>
    </row>
    <row r="136" spans="2:12" ht="13.9" customHeight="1" outlineLevel="1">
      <c r="B136" s="141">
        <f t="shared" si="84"/>
        <v>6.0507999999999971</v>
      </c>
      <c r="C136" s="348" t="s">
        <v>899</v>
      </c>
      <c r="D136" s="81" t="s">
        <v>169</v>
      </c>
      <c r="E136" s="111">
        <v>14.55</v>
      </c>
      <c r="F136" s="106">
        <v>130</v>
      </c>
      <c r="G136" s="82"/>
      <c r="H136" s="213" t="e">
        <f t="shared" si="82"/>
        <v>#REF!</v>
      </c>
      <c r="I136" s="213">
        <f t="shared" si="80"/>
        <v>1891.5</v>
      </c>
      <c r="J136" s="201">
        <f t="shared" si="85"/>
        <v>0</v>
      </c>
      <c r="K136" s="93" t="e">
        <f t="shared" si="83"/>
        <v>#REF!</v>
      </c>
      <c r="L136" s="105"/>
    </row>
    <row r="137" spans="2:12" ht="14.1" customHeight="1" outlineLevel="1">
      <c r="B137" s="141">
        <f t="shared" si="84"/>
        <v>6.0508999999999968</v>
      </c>
      <c r="C137" s="348" t="s">
        <v>900</v>
      </c>
      <c r="D137" s="81" t="s">
        <v>169</v>
      </c>
      <c r="E137" s="111">
        <v>6.8</v>
      </c>
      <c r="F137" s="106">
        <v>145</v>
      </c>
      <c r="G137" s="82"/>
      <c r="H137" s="213" t="e">
        <f t="shared" si="82"/>
        <v>#REF!</v>
      </c>
      <c r="I137" s="213">
        <f t="shared" si="80"/>
        <v>986</v>
      </c>
      <c r="J137" s="201">
        <f t="shared" si="85"/>
        <v>0</v>
      </c>
      <c r="K137" s="93" t="e">
        <f t="shared" si="83"/>
        <v>#REF!</v>
      </c>
      <c r="L137" s="105"/>
    </row>
    <row r="138" spans="2:12" ht="14.1" customHeight="1" outlineLevel="1">
      <c r="B138" s="141">
        <f t="shared" si="84"/>
        <v>6.0509999999999966</v>
      </c>
      <c r="C138" s="348" t="s">
        <v>901</v>
      </c>
      <c r="D138" s="81" t="s">
        <v>169</v>
      </c>
      <c r="E138" s="111">
        <v>37.79</v>
      </c>
      <c r="F138" s="106">
        <v>149.5</v>
      </c>
      <c r="G138" s="82"/>
      <c r="H138" s="213" t="e">
        <f t="shared" si="82"/>
        <v>#REF!</v>
      </c>
      <c r="I138" s="213">
        <f t="shared" si="80"/>
        <v>5649.61</v>
      </c>
      <c r="J138" s="201">
        <f t="shared" si="85"/>
        <v>0</v>
      </c>
      <c r="K138" s="93" t="e">
        <f t="shared" si="83"/>
        <v>#REF!</v>
      </c>
      <c r="L138" s="105"/>
    </row>
    <row r="139" spans="2:12" ht="14.1" customHeight="1" outlineLevel="1">
      <c r="B139" s="141">
        <f t="shared" si="84"/>
        <v>6.0510999999999964</v>
      </c>
      <c r="C139" s="348" t="s">
        <v>902</v>
      </c>
      <c r="D139" s="81" t="s">
        <v>169</v>
      </c>
      <c r="E139" s="111">
        <v>20.399999999999999</v>
      </c>
      <c r="F139" s="106">
        <v>210</v>
      </c>
      <c r="G139" s="82"/>
      <c r="H139" s="213" t="e">
        <f t="shared" si="82"/>
        <v>#REF!</v>
      </c>
      <c r="I139" s="213">
        <f t="shared" si="80"/>
        <v>4284</v>
      </c>
      <c r="J139" s="201">
        <f t="shared" ref="J139" si="86">+ROUND(E139*G139,2)</f>
        <v>0</v>
      </c>
      <c r="K139" s="93" t="e">
        <f t="shared" si="83"/>
        <v>#REF!</v>
      </c>
      <c r="L139" s="105"/>
    </row>
    <row r="140" spans="2:12" ht="14.1" customHeight="1" outlineLevel="1">
      <c r="B140" s="141">
        <f t="shared" si="84"/>
        <v>6.0511999999999961</v>
      </c>
      <c r="C140" s="348" t="s">
        <v>903</v>
      </c>
      <c r="D140" s="81" t="s">
        <v>169</v>
      </c>
      <c r="E140" s="111">
        <v>20.399999999999999</v>
      </c>
      <c r="F140" s="93">
        <v>142.47</v>
      </c>
      <c r="G140" s="82"/>
      <c r="H140" s="213" t="e">
        <f t="shared" si="82"/>
        <v>#REF!</v>
      </c>
      <c r="I140" s="213">
        <f t="shared" si="80"/>
        <v>2906.39</v>
      </c>
      <c r="J140" s="201">
        <f t="shared" ref="J140" si="87">+ROUND(E140*G140,2)</f>
        <v>0</v>
      </c>
      <c r="K140" s="93" t="e">
        <f t="shared" si="83"/>
        <v>#REF!</v>
      </c>
      <c r="L140" s="105"/>
    </row>
    <row r="141" spans="2:12" ht="14.1" customHeight="1" outlineLevel="1">
      <c r="B141" s="141">
        <f t="shared" si="84"/>
        <v>6.0512999999999959</v>
      </c>
      <c r="C141" s="348" t="s">
        <v>904</v>
      </c>
      <c r="D141" s="81" t="s">
        <v>46</v>
      </c>
      <c r="E141" s="111">
        <v>31.17</v>
      </c>
      <c r="F141" s="106">
        <v>105</v>
      </c>
      <c r="G141" s="82"/>
      <c r="H141" s="213" t="e">
        <f t="shared" si="82"/>
        <v>#REF!</v>
      </c>
      <c r="I141" s="213">
        <f t="shared" si="80"/>
        <v>3272.85</v>
      </c>
      <c r="J141" s="201">
        <f t="shared" ref="J141:J142" si="88">+ROUND(E141*G141,2)</f>
        <v>0</v>
      </c>
      <c r="K141" s="93" t="e">
        <f t="shared" si="83"/>
        <v>#REF!</v>
      </c>
      <c r="L141" s="105"/>
    </row>
    <row r="142" spans="2:12" ht="14.1" customHeight="1" outlineLevel="1">
      <c r="B142" s="141">
        <f t="shared" si="84"/>
        <v>6.0513999999999957</v>
      </c>
      <c r="C142" s="348" t="s">
        <v>905</v>
      </c>
      <c r="D142" s="81" t="s">
        <v>46</v>
      </c>
      <c r="E142" s="111">
        <v>10.73</v>
      </c>
      <c r="F142" s="106">
        <v>125</v>
      </c>
      <c r="G142" s="82"/>
      <c r="H142" s="213" t="e">
        <f t="shared" si="82"/>
        <v>#REF!</v>
      </c>
      <c r="I142" s="213">
        <f t="shared" si="80"/>
        <v>1341.25</v>
      </c>
      <c r="J142" s="201">
        <f t="shared" si="88"/>
        <v>0</v>
      </c>
      <c r="K142" s="93" t="e">
        <f t="shared" si="83"/>
        <v>#REF!</v>
      </c>
      <c r="L142" s="105"/>
    </row>
    <row r="143" spans="2:12" ht="14.1" customHeight="1" outlineLevel="1">
      <c r="B143" s="140">
        <f>B129+0.0001</f>
        <v>6.0501999999999985</v>
      </c>
      <c r="C143" s="356" t="s">
        <v>906</v>
      </c>
      <c r="D143" s="81"/>
      <c r="E143" s="111">
        <v>0</v>
      </c>
      <c r="F143" s="93" t="s">
        <v>8</v>
      </c>
      <c r="G143" s="82"/>
      <c r="H143" s="213"/>
      <c r="I143" s="213"/>
      <c r="J143" s="201"/>
      <c r="K143" s="93"/>
      <c r="L143" s="105"/>
    </row>
    <row r="144" spans="2:12" ht="14.1" customHeight="1" outlineLevel="1">
      <c r="B144" s="141">
        <f>B143+0.0001</f>
        <v>6.0502999999999982</v>
      </c>
      <c r="C144" s="57" t="s">
        <v>907</v>
      </c>
      <c r="D144" s="81" t="s">
        <v>169</v>
      </c>
      <c r="E144" s="111">
        <v>241.21</v>
      </c>
      <c r="F144" s="93">
        <v>78.63000000000001</v>
      </c>
      <c r="G144" s="82"/>
      <c r="H144" s="213" t="e">
        <f>+ROUND(F144+G144*TC,2)</f>
        <v>#REF!</v>
      </c>
      <c r="I144" s="213">
        <f t="shared" si="80"/>
        <v>18966.34</v>
      </c>
      <c r="J144" s="201">
        <f t="shared" si="66"/>
        <v>0</v>
      </c>
      <c r="K144" s="93" t="e">
        <f>+ROUND(I144+J144*TC,2)</f>
        <v>#REF!</v>
      </c>
      <c r="L144" s="105"/>
    </row>
    <row r="145" spans="1:15" ht="14.1" customHeight="1" outlineLevel="1">
      <c r="B145" s="141">
        <f t="shared" si="84"/>
        <v>6.050399999999998</v>
      </c>
      <c r="C145" s="57" t="s">
        <v>908</v>
      </c>
      <c r="D145" s="81" t="s">
        <v>46</v>
      </c>
      <c r="E145" s="111">
        <v>84.2</v>
      </c>
      <c r="F145" s="93">
        <v>41.769999999999996</v>
      </c>
      <c r="G145" s="82"/>
      <c r="H145" s="213" t="e">
        <f>+ROUND(F145+G145*TC,2)</f>
        <v>#REF!</v>
      </c>
      <c r="I145" s="213">
        <f t="shared" si="80"/>
        <v>3517.03</v>
      </c>
      <c r="J145" s="201">
        <f t="shared" si="66"/>
        <v>0</v>
      </c>
      <c r="K145" s="93" t="e">
        <f>+ROUND(I145+J145*TC,2)</f>
        <v>#REF!</v>
      </c>
      <c r="L145" s="105"/>
    </row>
    <row r="146" spans="1:15" ht="13.5" customHeight="1">
      <c r="B146" s="218">
        <f>B128+0.01</f>
        <v>6.0599999999999987</v>
      </c>
      <c r="C146" s="508" t="s">
        <v>909</v>
      </c>
      <c r="D146" s="81"/>
      <c r="E146" s="93"/>
      <c r="F146" s="93"/>
      <c r="G146" s="93"/>
      <c r="H146" s="123"/>
      <c r="I146" s="213">
        <f t="shared" si="80"/>
        <v>0</v>
      </c>
      <c r="J146" s="123"/>
      <c r="K146" s="123"/>
      <c r="L146" s="612" t="e">
        <f>SUM(I146:I151)+SUM(J146:J151)*TC</f>
        <v>#REF!</v>
      </c>
      <c r="M146" s="127" t="e">
        <f>+L146+L352+L402+L479+L571+L585+L630</f>
        <v>#REF!</v>
      </c>
    </row>
    <row r="147" spans="1:15" ht="14.1" customHeight="1" outlineLevel="1">
      <c r="B147" s="141">
        <f>B146+0.0001</f>
        <v>6.0600999999999985</v>
      </c>
      <c r="C147" s="491" t="s">
        <v>910</v>
      </c>
      <c r="D147" s="81" t="s">
        <v>169</v>
      </c>
      <c r="E147" s="111">
        <v>14.83</v>
      </c>
      <c r="F147" s="93">
        <v>1150</v>
      </c>
      <c r="G147" s="82"/>
      <c r="H147" s="213" t="e">
        <f>+ROUND(F147+G147*TC,2)</f>
        <v>#REF!</v>
      </c>
      <c r="I147" s="213">
        <f t="shared" si="80"/>
        <v>17054.5</v>
      </c>
      <c r="J147" s="201">
        <f t="shared" si="66"/>
        <v>0</v>
      </c>
      <c r="K147" s="93" t="e">
        <f>+ROUND(I147+J147*TC,2)</f>
        <v>#REF!</v>
      </c>
      <c r="L147" s="105"/>
    </row>
    <row r="148" spans="1:15" ht="14.1" customHeight="1" outlineLevel="1">
      <c r="B148" s="141">
        <f>B147+0.0001</f>
        <v>6.0601999999999983</v>
      </c>
      <c r="C148" s="491" t="s">
        <v>911</v>
      </c>
      <c r="D148" s="81" t="s">
        <v>169</v>
      </c>
      <c r="E148" s="111">
        <v>17.649999999999999</v>
      </c>
      <c r="F148" s="93">
        <v>1150</v>
      </c>
      <c r="G148" s="82"/>
      <c r="H148" s="213" t="e">
        <f>+ROUND(F148+G148*TC,2)</f>
        <v>#REF!</v>
      </c>
      <c r="I148" s="213">
        <f t="shared" si="80"/>
        <v>20297.5</v>
      </c>
      <c r="J148" s="201">
        <f t="shared" si="66"/>
        <v>0</v>
      </c>
      <c r="K148" s="93" t="e">
        <f>+ROUND(I148+J148*TC,2)</f>
        <v>#REF!</v>
      </c>
      <c r="L148" s="105"/>
      <c r="M148" s="615" t="e">
        <f>+L146+L352+L402</f>
        <v>#REF!</v>
      </c>
    </row>
    <row r="149" spans="1:15" ht="14.1" customHeight="1" outlineLevel="1">
      <c r="B149" s="141">
        <f>B148+0.0001</f>
        <v>6.060299999999998</v>
      </c>
      <c r="C149" s="491" t="s">
        <v>912</v>
      </c>
      <c r="D149" s="81" t="s">
        <v>169</v>
      </c>
      <c r="E149" s="111">
        <v>21.31</v>
      </c>
      <c r="F149" s="93">
        <v>1150</v>
      </c>
      <c r="G149" s="82"/>
      <c r="H149" s="213" t="e">
        <f>+ROUND(F149+G149*TC,2)</f>
        <v>#REF!</v>
      </c>
      <c r="I149" s="213">
        <f t="shared" si="80"/>
        <v>24506.5</v>
      </c>
      <c r="J149" s="201">
        <f t="shared" ref="J149" si="89">+ROUND(E149*G149,2)</f>
        <v>0</v>
      </c>
      <c r="K149" s="93" t="e">
        <f>+ROUND(I149+J149*TC,2)</f>
        <v>#REF!</v>
      </c>
      <c r="L149" s="105"/>
      <c r="M149" s="127" t="e">
        <f>+L479+L571</f>
        <v>#REF!</v>
      </c>
      <c r="N149" s="615" t="e">
        <f>+M479</f>
        <v>#REF!</v>
      </c>
      <c r="O149" s="615" t="e">
        <f>+M571</f>
        <v>#REF!</v>
      </c>
    </row>
    <row r="150" spans="1:15" ht="14.1" customHeight="1" outlineLevel="1">
      <c r="B150" s="141">
        <f>B149+0.0001</f>
        <v>6.0603999999999978</v>
      </c>
      <c r="C150" s="491" t="s">
        <v>913</v>
      </c>
      <c r="D150" s="81" t="s">
        <v>169</v>
      </c>
      <c r="E150" s="111">
        <v>18</v>
      </c>
      <c r="F150" s="93">
        <v>1150</v>
      </c>
      <c r="G150" s="82"/>
      <c r="H150" s="213" t="e">
        <f>+ROUND(F150+G150*TC,2)</f>
        <v>#REF!</v>
      </c>
      <c r="I150" s="213">
        <f t="shared" si="80"/>
        <v>20700</v>
      </c>
      <c r="J150" s="201">
        <f t="shared" ref="J150" si="90">+ROUND(E150*G150,2)</f>
        <v>0</v>
      </c>
      <c r="K150" s="93" t="e">
        <f>+ROUND(I150+J150*TC,2)</f>
        <v>#REF!</v>
      </c>
      <c r="L150" s="105"/>
      <c r="M150" s="615" t="e">
        <f>+L585+L630</f>
        <v>#REF!</v>
      </c>
    </row>
    <row r="151" spans="1:15" ht="14.1" customHeight="1" outlineLevel="1">
      <c r="B151" s="141">
        <f>B150+0.0001</f>
        <v>6.0604999999999976</v>
      </c>
      <c r="C151" s="491" t="s">
        <v>914</v>
      </c>
      <c r="D151" s="81" t="s">
        <v>169</v>
      </c>
      <c r="E151" s="111">
        <v>30.28</v>
      </c>
      <c r="F151" s="93">
        <v>950</v>
      </c>
      <c r="G151" s="82"/>
      <c r="H151" s="213" t="e">
        <f>+ROUND(F151+G151*TC,2)</f>
        <v>#REF!</v>
      </c>
      <c r="I151" s="213">
        <f t="shared" si="80"/>
        <v>28766</v>
      </c>
      <c r="J151" s="201">
        <f t="shared" ref="J151" si="91">+ROUND(E151*G151,2)</f>
        <v>0</v>
      </c>
      <c r="K151" s="93" t="e">
        <f>+ROUND(I151+J151*TC,2)</f>
        <v>#REF!</v>
      </c>
      <c r="L151" s="105"/>
    </row>
    <row r="152" spans="1:15" ht="13.5" customHeight="1">
      <c r="B152" s="218">
        <f>B146+0.01</f>
        <v>6.0699999999999985</v>
      </c>
      <c r="C152" s="508" t="s">
        <v>660</v>
      </c>
      <c r="D152" s="81"/>
      <c r="E152" s="81"/>
      <c r="F152" s="81"/>
      <c r="G152" s="81"/>
      <c r="H152" s="354"/>
      <c r="I152" s="213">
        <f t="shared" si="80"/>
        <v>0</v>
      </c>
      <c r="J152" s="354"/>
      <c r="K152" s="354"/>
      <c r="L152" s="612" t="e">
        <f>SUM(I152:I225)+SUM(J152:J225)*TC</f>
        <v>#REF!</v>
      </c>
    </row>
    <row r="153" spans="1:15" ht="14.1" customHeight="1" outlineLevel="1">
      <c r="B153" s="359">
        <f>B152+0.0001</f>
        <v>6.0700999999999983</v>
      </c>
      <c r="C153" s="356" t="s">
        <v>915</v>
      </c>
      <c r="D153" s="81"/>
      <c r="E153" s="111"/>
      <c r="F153" s="93" t="s">
        <v>8</v>
      </c>
      <c r="G153" s="82"/>
      <c r="H153" s="213"/>
      <c r="I153" s="213"/>
      <c r="J153" s="201"/>
      <c r="K153" s="93"/>
      <c r="L153" s="343"/>
    </row>
    <row r="154" spans="1:15" ht="14.1" customHeight="1" outlineLevel="2">
      <c r="B154" s="143">
        <f>B153+0.000001</f>
        <v>6.0701009999999984</v>
      </c>
      <c r="C154" s="348" t="s">
        <v>662</v>
      </c>
      <c r="D154" s="81" t="s">
        <v>169</v>
      </c>
      <c r="E154" s="111">
        <v>9529.0400000000045</v>
      </c>
      <c r="F154" s="93">
        <v>18.03</v>
      </c>
      <c r="G154" s="82"/>
      <c r="H154" s="213" t="e">
        <f>+ROUND(F154+G154*TC,2)</f>
        <v>#REF!</v>
      </c>
      <c r="I154" s="213">
        <f t="shared" si="80"/>
        <v>171808.59</v>
      </c>
      <c r="J154" s="201">
        <f t="shared" si="66"/>
        <v>0</v>
      </c>
      <c r="K154" s="93" t="e">
        <f>+ROUND(I154+J154*TC,2)</f>
        <v>#REF!</v>
      </c>
      <c r="L154" s="343"/>
    </row>
    <row r="155" spans="1:15" ht="14.1" customHeight="1" outlineLevel="1">
      <c r="B155" s="359">
        <f>B153+0.0001</f>
        <v>6.070199999999998</v>
      </c>
      <c r="C155" s="356" t="s">
        <v>916</v>
      </c>
      <c r="D155" s="81"/>
      <c r="E155" s="111"/>
      <c r="F155" s="93" t="s">
        <v>8</v>
      </c>
      <c r="G155" s="82"/>
      <c r="H155" s="213"/>
      <c r="I155" s="213"/>
      <c r="J155" s="201"/>
      <c r="K155" s="93"/>
      <c r="L155" s="97"/>
    </row>
    <row r="156" spans="1:15" ht="14.1" customHeight="1" outlineLevel="2">
      <c r="B156" s="344">
        <f>B155+0.000001</f>
        <v>6.0702009999999982</v>
      </c>
      <c r="C156" s="352" t="s">
        <v>917</v>
      </c>
      <c r="D156" s="81"/>
      <c r="E156" s="111"/>
      <c r="F156" s="93" t="s">
        <v>8</v>
      </c>
      <c r="G156" s="82"/>
      <c r="H156" s="213"/>
      <c r="I156" s="213"/>
      <c r="J156" s="201"/>
      <c r="K156" s="93"/>
      <c r="L156" s="97"/>
    </row>
    <row r="157" spans="1:15" ht="14.1" customHeight="1" outlineLevel="3">
      <c r="A157" s="10" t="s">
        <v>918</v>
      </c>
      <c r="B157" s="346">
        <f>B156+0.00000001</f>
        <v>6.0702010099999981</v>
      </c>
      <c r="C157" s="55" t="s">
        <v>919</v>
      </c>
      <c r="D157" s="81" t="s">
        <v>169</v>
      </c>
      <c r="E157" s="111">
        <v>5963.12</v>
      </c>
      <c r="F157" s="93">
        <v>6</v>
      </c>
      <c r="G157" s="103">
        <v>11.13</v>
      </c>
      <c r="H157" s="213" t="e">
        <f>+ROUND(F157+G157*TC,2)</f>
        <v>#REF!</v>
      </c>
      <c r="I157" s="213">
        <f t="shared" si="80"/>
        <v>35778.720000000001</v>
      </c>
      <c r="J157" s="201">
        <f t="shared" si="66"/>
        <v>66369.53</v>
      </c>
      <c r="K157" s="93" t="e">
        <f>+ROUND(I157+J157*TC,2)</f>
        <v>#REF!</v>
      </c>
      <c r="L157" s="343"/>
    </row>
    <row r="158" spans="1:15" ht="14.1" customHeight="1" outlineLevel="2">
      <c r="B158" s="344">
        <f>B156+0.000001</f>
        <v>6.0702019999999983</v>
      </c>
      <c r="C158" s="352" t="s">
        <v>920</v>
      </c>
      <c r="D158" s="81"/>
      <c r="E158" s="111"/>
      <c r="F158" s="93" t="s">
        <v>8</v>
      </c>
      <c r="G158" s="82"/>
      <c r="H158" s="213"/>
      <c r="I158" s="213"/>
      <c r="J158" s="201"/>
      <c r="K158" s="93"/>
      <c r="L158" s="97"/>
    </row>
    <row r="159" spans="1:15" ht="14.1" customHeight="1" outlineLevel="3">
      <c r="A159" s="10" t="s">
        <v>918</v>
      </c>
      <c r="B159" s="346">
        <f>B158+0.00000001</f>
        <v>6.0702020099999983</v>
      </c>
      <c r="C159" s="348" t="s">
        <v>921</v>
      </c>
      <c r="D159" s="81" t="s">
        <v>169</v>
      </c>
      <c r="E159" s="111">
        <v>823.46</v>
      </c>
      <c r="F159" s="93">
        <v>73.650000000000006</v>
      </c>
      <c r="G159" s="82"/>
      <c r="H159" s="213" t="e">
        <f>+ROUND(F159+G159*TC,2)</f>
        <v>#REF!</v>
      </c>
      <c r="I159" s="213">
        <f t="shared" si="80"/>
        <v>60647.83</v>
      </c>
      <c r="J159" s="201">
        <f t="shared" si="66"/>
        <v>0</v>
      </c>
      <c r="K159" s="93" t="e">
        <f>+ROUND(I159+J159*TC,2)</f>
        <v>#REF!</v>
      </c>
      <c r="L159" s="343"/>
    </row>
    <row r="160" spans="1:15" ht="14.1" customHeight="1" outlineLevel="2">
      <c r="B160" s="344">
        <f>B158+0.000001</f>
        <v>6.0702029999999985</v>
      </c>
      <c r="C160" s="352" t="s">
        <v>922</v>
      </c>
      <c r="D160" s="81"/>
      <c r="E160" s="111"/>
      <c r="F160" s="93" t="s">
        <v>8</v>
      </c>
      <c r="G160" s="82"/>
      <c r="H160" s="213"/>
      <c r="I160" s="213"/>
      <c r="J160" s="201"/>
      <c r="K160" s="93"/>
      <c r="L160" s="97"/>
    </row>
    <row r="161" spans="1:12" ht="14.1" customHeight="1" outlineLevel="3">
      <c r="A161" s="10" t="s">
        <v>918</v>
      </c>
      <c r="B161" s="346">
        <f>B160+0.00000001</f>
        <v>6.0702030099999984</v>
      </c>
      <c r="C161" s="348" t="s">
        <v>923</v>
      </c>
      <c r="D161" s="81" t="s">
        <v>169</v>
      </c>
      <c r="E161" s="111">
        <v>155.44999999999999</v>
      </c>
      <c r="F161" s="93">
        <v>69.22</v>
      </c>
      <c r="G161" s="82"/>
      <c r="H161" s="213" t="e">
        <f>+ROUND(F161+G161*TC,2)</f>
        <v>#REF!</v>
      </c>
      <c r="I161" s="213">
        <f t="shared" si="80"/>
        <v>10760.25</v>
      </c>
      <c r="J161" s="201">
        <f t="shared" si="66"/>
        <v>0</v>
      </c>
      <c r="K161" s="93" t="e">
        <f>+ROUND(I161+J161*TC,2)</f>
        <v>#REF!</v>
      </c>
      <c r="L161" s="105"/>
    </row>
    <row r="162" spans="1:12" ht="14.1" customHeight="1" outlineLevel="2">
      <c r="B162" s="344">
        <f>B160+0.000001</f>
        <v>6.0702039999999986</v>
      </c>
      <c r="C162" s="352" t="s">
        <v>924</v>
      </c>
      <c r="D162" s="81"/>
      <c r="E162" s="111"/>
      <c r="F162" s="93" t="s">
        <v>8</v>
      </c>
      <c r="G162" s="82"/>
      <c r="H162" s="213"/>
      <c r="I162" s="213"/>
      <c r="J162" s="201"/>
      <c r="K162" s="93"/>
      <c r="L162" s="105"/>
    </row>
    <row r="163" spans="1:12" ht="14.1" customHeight="1" outlineLevel="3">
      <c r="A163" s="10" t="s">
        <v>918</v>
      </c>
      <c r="B163" s="346">
        <f>B162+0.00000001</f>
        <v>6.0702040099999985</v>
      </c>
      <c r="C163" s="510" t="s">
        <v>925</v>
      </c>
      <c r="D163" s="81" t="s">
        <v>169</v>
      </c>
      <c r="E163" s="111">
        <v>403.01</v>
      </c>
      <c r="F163" s="93">
        <v>75.37</v>
      </c>
      <c r="G163" s="82"/>
      <c r="H163" s="213" t="e">
        <f>+ROUND(F163+G163*TC,2)</f>
        <v>#REF!</v>
      </c>
      <c r="I163" s="213">
        <f t="shared" si="80"/>
        <v>30374.86</v>
      </c>
      <c r="J163" s="201">
        <f t="shared" ref="J163:J235" si="92">+ROUND(E163*G163,2)</f>
        <v>0</v>
      </c>
      <c r="K163" s="93" t="e">
        <f>+ROUND(I163+J163*TC,2)</f>
        <v>#REF!</v>
      </c>
      <c r="L163" s="105"/>
    </row>
    <row r="164" spans="1:12" ht="14.1" customHeight="1" outlineLevel="1">
      <c r="B164" s="359">
        <f>B155+0.0001</f>
        <v>6.0702999999999978</v>
      </c>
      <c r="C164" s="356" t="s">
        <v>926</v>
      </c>
      <c r="D164" s="81"/>
      <c r="E164" s="111"/>
      <c r="F164" s="93" t="s">
        <v>8</v>
      </c>
      <c r="G164" s="82"/>
      <c r="H164" s="213"/>
      <c r="I164" s="213"/>
      <c r="J164" s="201"/>
      <c r="K164" s="93"/>
      <c r="L164" s="105"/>
    </row>
    <row r="165" spans="1:12" ht="14.1" customHeight="1" outlineLevel="2">
      <c r="B165" s="344">
        <f>B164+0.000001</f>
        <v>6.0703009999999979</v>
      </c>
      <c r="C165" s="352" t="s">
        <v>927</v>
      </c>
      <c r="D165" s="81"/>
      <c r="E165" s="111"/>
      <c r="F165" s="93" t="s">
        <v>8</v>
      </c>
      <c r="G165" s="82"/>
      <c r="H165" s="213"/>
      <c r="I165" s="213"/>
      <c r="J165" s="201"/>
      <c r="K165" s="93"/>
      <c r="L165" s="343"/>
    </row>
    <row r="166" spans="1:12" ht="14.1" customHeight="1" outlineLevel="3">
      <c r="B166" s="346">
        <f>B165+0.00000001</f>
        <v>6.0703010099999979</v>
      </c>
      <c r="C166" s="510" t="s">
        <v>928</v>
      </c>
      <c r="D166" s="81" t="s">
        <v>169</v>
      </c>
      <c r="E166" s="111">
        <v>38.24</v>
      </c>
      <c r="F166" s="93">
        <v>200</v>
      </c>
      <c r="G166" s="82"/>
      <c r="H166" s="213" t="e">
        <f t="shared" ref="H166:H171" si="93">+ROUND(F166+G166*TC,2)</f>
        <v>#REF!</v>
      </c>
      <c r="I166" s="213">
        <f t="shared" si="80"/>
        <v>7648</v>
      </c>
      <c r="J166" s="201">
        <f t="shared" ref="J166:J171" si="94">+ROUND(E166*G166,2)</f>
        <v>0</v>
      </c>
      <c r="K166" s="93" t="e">
        <f t="shared" ref="K166:K171" si="95">+ROUND(I166+J166*TC,2)</f>
        <v>#REF!</v>
      </c>
      <c r="L166" s="343"/>
    </row>
    <row r="167" spans="1:12" ht="14.1" customHeight="1" outlineLevel="3">
      <c r="B167" s="346">
        <f t="shared" ref="B167:B171" si="96">B166+0.00000001</f>
        <v>6.0703010199999978</v>
      </c>
      <c r="C167" s="510" t="s">
        <v>929</v>
      </c>
      <c r="D167" s="81" t="s">
        <v>169</v>
      </c>
      <c r="E167" s="111">
        <v>49.839999999999996</v>
      </c>
      <c r="F167" s="93">
        <v>110</v>
      </c>
      <c r="G167" s="82"/>
      <c r="H167" s="213" t="e">
        <f t="shared" si="93"/>
        <v>#REF!</v>
      </c>
      <c r="I167" s="213">
        <f t="shared" si="80"/>
        <v>5482.4</v>
      </c>
      <c r="J167" s="201">
        <f t="shared" si="94"/>
        <v>0</v>
      </c>
      <c r="K167" s="93" t="e">
        <f t="shared" si="95"/>
        <v>#REF!</v>
      </c>
      <c r="L167" s="343"/>
    </row>
    <row r="168" spans="1:12" ht="14.1" customHeight="1" outlineLevel="3">
      <c r="B168" s="346">
        <f t="shared" si="96"/>
        <v>6.0703010299999978</v>
      </c>
      <c r="C168" s="55" t="s">
        <v>930</v>
      </c>
      <c r="D168" s="81" t="s">
        <v>169</v>
      </c>
      <c r="E168" s="111">
        <v>26.98</v>
      </c>
      <c r="F168" s="93">
        <v>47.26</v>
      </c>
      <c r="G168" s="103">
        <v>29.4</v>
      </c>
      <c r="H168" s="213" t="e">
        <f t="shared" si="93"/>
        <v>#REF!</v>
      </c>
      <c r="I168" s="213">
        <f t="shared" si="80"/>
        <v>1275.07</v>
      </c>
      <c r="J168" s="201">
        <f t="shared" si="94"/>
        <v>793.21</v>
      </c>
      <c r="K168" s="93" t="e">
        <f t="shared" si="95"/>
        <v>#REF!</v>
      </c>
      <c r="L168" s="343"/>
    </row>
    <row r="169" spans="1:12" ht="14.1" customHeight="1" outlineLevel="3">
      <c r="B169" s="346">
        <f t="shared" si="96"/>
        <v>6.0703010399999977</v>
      </c>
      <c r="C169" s="348" t="s">
        <v>671</v>
      </c>
      <c r="D169" s="81" t="s">
        <v>169</v>
      </c>
      <c r="E169" s="111">
        <v>87.26</v>
      </c>
      <c r="F169" s="93">
        <v>44.73</v>
      </c>
      <c r="G169" s="82"/>
      <c r="H169" s="213" t="e">
        <f t="shared" si="93"/>
        <v>#REF!</v>
      </c>
      <c r="I169" s="213">
        <f t="shared" si="80"/>
        <v>3903.14</v>
      </c>
      <c r="J169" s="201">
        <f t="shared" si="94"/>
        <v>0</v>
      </c>
      <c r="K169" s="93" t="e">
        <f t="shared" si="95"/>
        <v>#REF!</v>
      </c>
      <c r="L169" s="343"/>
    </row>
    <row r="170" spans="1:12" ht="14.1" customHeight="1" outlineLevel="3">
      <c r="B170" s="346">
        <f t="shared" si="96"/>
        <v>6.0703010499999976</v>
      </c>
      <c r="C170" s="348" t="s">
        <v>669</v>
      </c>
      <c r="D170" s="81" t="s">
        <v>169</v>
      </c>
      <c r="E170" s="111">
        <v>30.87</v>
      </c>
      <c r="F170" s="93">
        <v>14.23</v>
      </c>
      <c r="G170" s="82"/>
      <c r="H170" s="213" t="e">
        <f t="shared" si="93"/>
        <v>#REF!</v>
      </c>
      <c r="I170" s="213">
        <f t="shared" si="80"/>
        <v>439.28</v>
      </c>
      <c r="J170" s="201">
        <f t="shared" si="94"/>
        <v>0</v>
      </c>
      <c r="K170" s="93" t="e">
        <f t="shared" si="95"/>
        <v>#REF!</v>
      </c>
      <c r="L170" s="343"/>
    </row>
    <row r="171" spans="1:12" ht="14.1" customHeight="1" outlineLevel="3">
      <c r="B171" s="346">
        <f t="shared" si="96"/>
        <v>6.0703010599999976</v>
      </c>
      <c r="C171" s="510" t="s">
        <v>931</v>
      </c>
      <c r="D171" s="81" t="s">
        <v>169</v>
      </c>
      <c r="E171" s="111">
        <v>24.98</v>
      </c>
      <c r="F171" s="93">
        <v>200</v>
      </c>
      <c r="G171" s="82"/>
      <c r="H171" s="213" t="e">
        <f t="shared" si="93"/>
        <v>#REF!</v>
      </c>
      <c r="I171" s="213">
        <f t="shared" si="80"/>
        <v>4996</v>
      </c>
      <c r="J171" s="201">
        <f t="shared" si="94"/>
        <v>0</v>
      </c>
      <c r="K171" s="93" t="e">
        <f t="shared" si="95"/>
        <v>#REF!</v>
      </c>
      <c r="L171" s="343"/>
    </row>
    <row r="172" spans="1:12" ht="14.1" customHeight="1" outlineLevel="2">
      <c r="B172" s="344">
        <f>B165+0.000001</f>
        <v>6.0703019999999981</v>
      </c>
      <c r="C172" s="352" t="s">
        <v>932</v>
      </c>
      <c r="D172" s="81"/>
      <c r="E172" s="111"/>
      <c r="F172" s="93" t="s">
        <v>8</v>
      </c>
      <c r="G172" s="82"/>
      <c r="H172" s="213"/>
      <c r="I172" s="213"/>
      <c r="J172" s="201"/>
      <c r="K172" s="93"/>
      <c r="L172" s="343"/>
    </row>
    <row r="173" spans="1:12" ht="14.1" customHeight="1" outlineLevel="3">
      <c r="B173" s="346">
        <f>B172+0.00000001</f>
        <v>6.070302009999998</v>
      </c>
      <c r="C173" s="510" t="s">
        <v>933</v>
      </c>
      <c r="D173" s="81" t="s">
        <v>169</v>
      </c>
      <c r="E173" s="111">
        <v>101.64</v>
      </c>
      <c r="F173" s="93">
        <v>147.87</v>
      </c>
      <c r="G173" s="82"/>
      <c r="H173" s="213" t="e">
        <f>+ROUND(F173+G173*TC,2)</f>
        <v>#REF!</v>
      </c>
      <c r="I173" s="213">
        <f t="shared" si="80"/>
        <v>15029.51</v>
      </c>
      <c r="J173" s="201">
        <f>+ROUND(E173*G173,2)</f>
        <v>0</v>
      </c>
      <c r="K173" s="93" t="e">
        <f>+ROUND(I173+J173*TC,2)</f>
        <v>#REF!</v>
      </c>
      <c r="L173" s="343"/>
    </row>
    <row r="174" spans="1:12" ht="14.1" customHeight="1" outlineLevel="2">
      <c r="B174" s="344">
        <f>B172+0.000001</f>
        <v>6.0703029999999982</v>
      </c>
      <c r="C174" s="511" t="s">
        <v>934</v>
      </c>
      <c r="D174" s="81"/>
      <c r="E174" s="111"/>
      <c r="F174" s="93" t="s">
        <v>8</v>
      </c>
      <c r="G174" s="82"/>
      <c r="H174" s="213"/>
      <c r="I174" s="213"/>
      <c r="J174" s="201"/>
      <c r="K174" s="93"/>
      <c r="L174" s="343"/>
    </row>
    <row r="175" spans="1:12" ht="14.1" customHeight="1" outlineLevel="3">
      <c r="B175" s="346">
        <f>B174+0.00000001</f>
        <v>6.0703030099999982</v>
      </c>
      <c r="C175" s="510" t="s">
        <v>935</v>
      </c>
      <c r="D175" s="81" t="s">
        <v>169</v>
      </c>
      <c r="E175" s="111">
        <v>11.91</v>
      </c>
      <c r="F175" s="93">
        <v>77.680000000000007</v>
      </c>
      <c r="G175" s="82"/>
      <c r="H175" s="213" t="e">
        <f>+ROUND(F175+G175*TC,2)</f>
        <v>#REF!</v>
      </c>
      <c r="I175" s="213">
        <f t="shared" si="80"/>
        <v>925.17</v>
      </c>
      <c r="J175" s="201">
        <f t="shared" si="92"/>
        <v>0</v>
      </c>
      <c r="K175" s="93" t="e">
        <f>+ROUND(I175+J175*TC,2)</f>
        <v>#REF!</v>
      </c>
      <c r="L175" s="343"/>
    </row>
    <row r="176" spans="1:12" ht="14.1" customHeight="1" outlineLevel="2">
      <c r="B176" s="344">
        <f>B174+0.000001</f>
        <v>6.0703039999999984</v>
      </c>
      <c r="C176" s="511" t="s">
        <v>936</v>
      </c>
      <c r="D176" s="81"/>
      <c r="E176" s="111"/>
      <c r="F176" s="93" t="s">
        <v>8</v>
      </c>
      <c r="G176" s="82"/>
      <c r="H176" s="213"/>
      <c r="I176" s="213"/>
      <c r="J176" s="201"/>
      <c r="K176" s="93"/>
      <c r="L176" s="343"/>
    </row>
    <row r="177" spans="2:12" ht="14.1" customHeight="1" outlineLevel="3">
      <c r="B177" s="346">
        <f>B176+0.00000001</f>
        <v>6.0703040099999983</v>
      </c>
      <c r="C177" s="510" t="s">
        <v>937</v>
      </c>
      <c r="D177" s="81" t="s">
        <v>169</v>
      </c>
      <c r="E177" s="111">
        <v>4.38</v>
      </c>
      <c r="F177" s="93">
        <v>74.66</v>
      </c>
      <c r="G177" s="82"/>
      <c r="H177" s="213" t="e">
        <f>+ROUND(F177+G177*TC,2)</f>
        <v>#REF!</v>
      </c>
      <c r="I177" s="213">
        <f t="shared" si="80"/>
        <v>327.01</v>
      </c>
      <c r="J177" s="201">
        <f t="shared" ref="J177" si="97">+ROUND(E177*G177,2)</f>
        <v>0</v>
      </c>
      <c r="K177" s="93" t="e">
        <f>+ROUND(I177+J177*TC,2)</f>
        <v>#REF!</v>
      </c>
      <c r="L177" s="343"/>
    </row>
    <row r="178" spans="2:12" ht="14.1" customHeight="1" outlineLevel="2">
      <c r="B178" s="344">
        <f>B176+0.000001</f>
        <v>6.0703049999999985</v>
      </c>
      <c r="C178" s="511" t="s">
        <v>938</v>
      </c>
      <c r="D178" s="81"/>
      <c r="E178" s="111"/>
      <c r="F178" s="93" t="s">
        <v>8</v>
      </c>
      <c r="G178" s="82"/>
      <c r="H178" s="213"/>
      <c r="I178" s="213"/>
      <c r="J178" s="201"/>
      <c r="K178" s="93"/>
      <c r="L178" s="343"/>
    </row>
    <row r="179" spans="2:12" ht="14.1" customHeight="1" outlineLevel="3">
      <c r="B179" s="346">
        <f>B178+0.00000001</f>
        <v>6.0703050099999984</v>
      </c>
      <c r="C179" s="348" t="s">
        <v>669</v>
      </c>
      <c r="D179" s="81" t="s">
        <v>169</v>
      </c>
      <c r="E179" s="111">
        <v>9.9600000000000009</v>
      </c>
      <c r="F179" s="93">
        <v>14.23</v>
      </c>
      <c r="G179" s="82"/>
      <c r="H179" s="213" t="e">
        <f>+ROUND(F179+G179*TC,2)</f>
        <v>#REF!</v>
      </c>
      <c r="I179" s="213">
        <f t="shared" si="80"/>
        <v>141.72999999999999</v>
      </c>
      <c r="J179" s="201">
        <f t="shared" ref="J179" si="98">+ROUND(E179*G179,2)</f>
        <v>0</v>
      </c>
      <c r="K179" s="93" t="e">
        <f>+ROUND(I179+J179*TC,2)</f>
        <v>#REF!</v>
      </c>
      <c r="L179" s="343"/>
    </row>
    <row r="180" spans="2:12" ht="14.1" customHeight="1" outlineLevel="2">
      <c r="B180" s="344">
        <f>B178+0.000001</f>
        <v>6.0703059999999986</v>
      </c>
      <c r="C180" s="352" t="s">
        <v>939</v>
      </c>
      <c r="D180" s="81"/>
      <c r="E180" s="111"/>
      <c r="F180" s="93" t="s">
        <v>8</v>
      </c>
      <c r="G180" s="82"/>
      <c r="H180" s="329"/>
      <c r="I180" s="213"/>
      <c r="J180" s="201"/>
      <c r="K180" s="93"/>
      <c r="L180" s="105"/>
    </row>
    <row r="181" spans="2:12" ht="14.1" customHeight="1" outlineLevel="3">
      <c r="B181" s="346">
        <f>B180+0.00000001</f>
        <v>6.0703060099999986</v>
      </c>
      <c r="C181" s="510" t="s">
        <v>940</v>
      </c>
      <c r="D181" s="81" t="s">
        <v>169</v>
      </c>
      <c r="E181" s="111">
        <v>43.82</v>
      </c>
      <c r="F181" s="93">
        <v>0</v>
      </c>
      <c r="G181" s="103">
        <v>18.79</v>
      </c>
      <c r="H181" s="213" t="e">
        <f>+ROUND(F181+G181*TC,2)</f>
        <v>#REF!</v>
      </c>
      <c r="I181" s="213">
        <f t="shared" si="80"/>
        <v>0</v>
      </c>
      <c r="J181" s="201">
        <f t="shared" ref="J181" si="99">+ROUND(E181*G181,2)</f>
        <v>823.38</v>
      </c>
      <c r="K181" s="93" t="e">
        <f>+ROUND(I181+J181*TC,2)</f>
        <v>#REF!</v>
      </c>
      <c r="L181" s="343"/>
    </row>
    <row r="182" spans="2:12" ht="14.1" customHeight="1" outlineLevel="3">
      <c r="B182" s="346">
        <f>B181+0.00000001</f>
        <v>6.0703060199999985</v>
      </c>
      <c r="C182" s="510" t="s">
        <v>941</v>
      </c>
      <c r="D182" s="81" t="s">
        <v>169</v>
      </c>
      <c r="E182" s="111">
        <v>21.31</v>
      </c>
      <c r="F182" s="93">
        <v>131.1</v>
      </c>
      <c r="G182" s="82"/>
      <c r="H182" s="329" t="e">
        <f>+ROUND(F182+G182*TC,2)</f>
        <v>#REF!</v>
      </c>
      <c r="I182" s="213">
        <f t="shared" si="80"/>
        <v>2793.74</v>
      </c>
      <c r="J182" s="201">
        <f t="shared" ref="J182" si="100">+ROUND(E182*G182,2)</f>
        <v>0</v>
      </c>
      <c r="K182" s="93" t="e">
        <f>+ROUND(I182+J182*TC,2)</f>
        <v>#REF!</v>
      </c>
      <c r="L182" s="343"/>
    </row>
    <row r="183" spans="2:12" ht="14.1" customHeight="1" outlineLevel="2">
      <c r="B183" s="344">
        <f>B180+0.000001</f>
        <v>6.0703069999999988</v>
      </c>
      <c r="C183" s="352" t="s">
        <v>942</v>
      </c>
      <c r="D183" s="81"/>
      <c r="E183" s="111"/>
      <c r="F183" s="93" t="s">
        <v>8</v>
      </c>
      <c r="G183" s="82"/>
      <c r="H183" s="213"/>
      <c r="I183" s="213"/>
      <c r="J183" s="201"/>
      <c r="K183" s="93"/>
      <c r="L183" s="343"/>
    </row>
    <row r="184" spans="2:12" ht="14.1" customHeight="1" outlineLevel="3">
      <c r="B184" s="346">
        <f>B183+0.00000001</f>
        <v>6.0703070099999987</v>
      </c>
      <c r="C184" s="510" t="s">
        <v>943</v>
      </c>
      <c r="D184" s="81" t="s">
        <v>169</v>
      </c>
      <c r="E184" s="111">
        <v>11.76</v>
      </c>
      <c r="F184" s="93">
        <v>0</v>
      </c>
      <c r="G184" s="103">
        <v>14.36</v>
      </c>
      <c r="H184" s="213" t="e">
        <f>+ROUND(F184+G184*TC,2)</f>
        <v>#REF!</v>
      </c>
      <c r="I184" s="213">
        <f t="shared" si="80"/>
        <v>0</v>
      </c>
      <c r="J184" s="201">
        <f>+ROUND(E184*G184,2)</f>
        <v>168.87</v>
      </c>
      <c r="K184" s="93" t="e">
        <f>+ROUND(I184+J184*TC,2)</f>
        <v>#REF!</v>
      </c>
      <c r="L184" s="343"/>
    </row>
    <row r="185" spans="2:12" ht="14.1" customHeight="1" outlineLevel="3">
      <c r="B185" s="346">
        <f t="shared" ref="B185" si="101">B184+0.00000001</f>
        <v>6.0703070199999987</v>
      </c>
      <c r="C185" s="510" t="s">
        <v>944</v>
      </c>
      <c r="D185" s="81" t="s">
        <v>169</v>
      </c>
      <c r="E185" s="111">
        <v>2.5</v>
      </c>
      <c r="F185" s="93">
        <v>110</v>
      </c>
      <c r="G185" s="82"/>
      <c r="H185" s="213" t="e">
        <f>+ROUND(F185+G185*TC,2)</f>
        <v>#REF!</v>
      </c>
      <c r="I185" s="213">
        <f t="shared" si="80"/>
        <v>275</v>
      </c>
      <c r="J185" s="201">
        <f t="shared" ref="J185" si="102">+ROUND(E185*G185,2)</f>
        <v>0</v>
      </c>
      <c r="K185" s="93" t="e">
        <f>+ROUND(I185+J185*TC,2)</f>
        <v>#REF!</v>
      </c>
      <c r="L185" s="343"/>
    </row>
    <row r="186" spans="2:12" ht="14.1" customHeight="1" outlineLevel="2">
      <c r="B186" s="344">
        <f>B183+0.000001</f>
        <v>6.0703079999999989</v>
      </c>
      <c r="C186" s="352" t="s">
        <v>945</v>
      </c>
      <c r="D186" s="81"/>
      <c r="E186" s="111"/>
      <c r="F186" s="93" t="s">
        <v>8</v>
      </c>
      <c r="G186" s="82"/>
      <c r="H186" s="213"/>
      <c r="I186" s="213"/>
      <c r="J186" s="201"/>
      <c r="K186" s="93"/>
      <c r="L186" s="343"/>
    </row>
    <row r="187" spans="2:12" ht="14.1" customHeight="1" outlineLevel="3">
      <c r="B187" s="346">
        <f>B186+0.00000001</f>
        <v>6.0703080099999989</v>
      </c>
      <c r="C187" s="510" t="s">
        <v>943</v>
      </c>
      <c r="D187" s="81" t="s">
        <v>169</v>
      </c>
      <c r="E187" s="111">
        <v>36.31</v>
      </c>
      <c r="F187" s="93">
        <v>0</v>
      </c>
      <c r="G187" s="103">
        <v>14.36</v>
      </c>
      <c r="H187" s="213" t="e">
        <f>+ROUND(F187+G187*TC,2)</f>
        <v>#REF!</v>
      </c>
      <c r="I187" s="213">
        <f t="shared" ref="I187:I225" si="103">+ROUND(E187*F187,2)</f>
        <v>0</v>
      </c>
      <c r="J187" s="201">
        <f t="shared" ref="J187" si="104">+ROUND(E187*G187,2)</f>
        <v>521.41</v>
      </c>
      <c r="K187" s="93" t="e">
        <f>+ROUND(I187+J187*TC,2)</f>
        <v>#REF!</v>
      </c>
      <c r="L187" s="343"/>
    </row>
    <row r="188" spans="2:12" ht="14.1" customHeight="1" outlineLevel="3">
      <c r="B188" s="346">
        <f>B187+0.00000001</f>
        <v>6.0703080199999988</v>
      </c>
      <c r="C188" s="510" t="s">
        <v>946</v>
      </c>
      <c r="D188" s="81" t="s">
        <v>169</v>
      </c>
      <c r="E188" s="111">
        <v>31.42</v>
      </c>
      <c r="F188" s="93">
        <v>62.92</v>
      </c>
      <c r="G188" s="103">
        <v>48</v>
      </c>
      <c r="H188" s="213" t="e">
        <f>+ROUND(F188+G188*TC,2)</f>
        <v>#REF!</v>
      </c>
      <c r="I188" s="213">
        <f t="shared" si="103"/>
        <v>1976.95</v>
      </c>
      <c r="J188" s="201">
        <f t="shared" ref="J188" si="105">+ROUND(E188*G188,2)</f>
        <v>1508.16</v>
      </c>
      <c r="K188" s="93" t="e">
        <f>+ROUND(I188+J188*TC,2)</f>
        <v>#REF!</v>
      </c>
      <c r="L188" s="343"/>
    </row>
    <row r="189" spans="2:12" ht="14.1" customHeight="1" outlineLevel="3">
      <c r="B189" s="346">
        <f t="shared" ref="B189:B190" si="106">B188+0.00000001</f>
        <v>6.0703080299999987</v>
      </c>
      <c r="C189" s="510" t="s">
        <v>947</v>
      </c>
      <c r="D189" s="81" t="s">
        <v>169</v>
      </c>
      <c r="E189" s="111">
        <v>4.83</v>
      </c>
      <c r="F189" s="93">
        <v>62.92</v>
      </c>
      <c r="G189" s="103">
        <v>48</v>
      </c>
      <c r="H189" s="213" t="e">
        <f>+ROUND(F189+G189*TC,2)</f>
        <v>#REF!</v>
      </c>
      <c r="I189" s="213">
        <f t="shared" si="103"/>
        <v>303.89999999999998</v>
      </c>
      <c r="J189" s="201">
        <f t="shared" ref="J189:J190" si="107">+ROUND(E189*G189,2)</f>
        <v>231.84</v>
      </c>
      <c r="K189" s="93" t="e">
        <f>+ROUND(I189+J189*TC,2)</f>
        <v>#REF!</v>
      </c>
      <c r="L189" s="343"/>
    </row>
    <row r="190" spans="2:12" ht="14.1" customHeight="1" outlineLevel="3">
      <c r="B190" s="346">
        <f t="shared" si="106"/>
        <v>6.0703080399999987</v>
      </c>
      <c r="C190" s="510" t="s">
        <v>948</v>
      </c>
      <c r="D190" s="81" t="s">
        <v>169</v>
      </c>
      <c r="E190" s="111">
        <v>4.71</v>
      </c>
      <c r="F190" s="93">
        <v>62.92</v>
      </c>
      <c r="G190" s="103">
        <v>48</v>
      </c>
      <c r="H190" s="213" t="e">
        <f>+ROUND(F190+G190*TC,2)</f>
        <v>#REF!</v>
      </c>
      <c r="I190" s="213">
        <f t="shared" si="103"/>
        <v>296.35000000000002</v>
      </c>
      <c r="J190" s="201">
        <f t="shared" si="107"/>
        <v>226.08</v>
      </c>
      <c r="K190" s="93" t="e">
        <f>+ROUND(I190+J190*TC,2)</f>
        <v>#REF!</v>
      </c>
      <c r="L190" s="343"/>
    </row>
    <row r="191" spans="2:12" ht="14.1" customHeight="1" outlineLevel="2">
      <c r="B191" s="344">
        <f>B186+0.000001</f>
        <v>6.0703089999999991</v>
      </c>
      <c r="C191" s="352" t="s">
        <v>949</v>
      </c>
      <c r="D191" s="81"/>
      <c r="E191" s="111"/>
      <c r="F191" s="93" t="s">
        <v>8</v>
      </c>
      <c r="G191" s="82"/>
      <c r="H191" s="213"/>
      <c r="I191" s="213"/>
      <c r="J191" s="201"/>
      <c r="K191" s="93"/>
      <c r="L191" s="343"/>
    </row>
    <row r="192" spans="2:12" ht="14.1" customHeight="1" outlineLevel="3">
      <c r="B192" s="346">
        <f>B191+0.00000001</f>
        <v>6.070309009999999</v>
      </c>
      <c r="C192" s="348" t="s">
        <v>664</v>
      </c>
      <c r="D192" s="81" t="s">
        <v>169</v>
      </c>
      <c r="E192" s="111">
        <v>280.64</v>
      </c>
      <c r="F192" s="93">
        <v>43.71</v>
      </c>
      <c r="G192" s="82"/>
      <c r="H192" s="213" t="e">
        <f>+ROUND(F192+G192*TC,2)</f>
        <v>#REF!</v>
      </c>
      <c r="I192" s="213">
        <f t="shared" si="103"/>
        <v>12266.77</v>
      </c>
      <c r="J192" s="201">
        <f t="shared" ref="J192" si="108">+ROUND(E192*G192,2)</f>
        <v>0</v>
      </c>
      <c r="K192" s="93" t="e">
        <f>+ROUND(I192+J192*TC,2)</f>
        <v>#REF!</v>
      </c>
      <c r="L192" s="343"/>
    </row>
    <row r="193" spans="2:12" ht="14.1" customHeight="1" outlineLevel="2">
      <c r="B193" s="344">
        <f>B188+0.000001</f>
        <v>6.0703090199999989</v>
      </c>
      <c r="C193" s="352" t="s">
        <v>950</v>
      </c>
      <c r="D193" s="81"/>
      <c r="E193" s="111"/>
      <c r="F193" s="93" t="s">
        <v>8</v>
      </c>
      <c r="G193" s="82"/>
      <c r="H193" s="213"/>
      <c r="I193" s="213"/>
      <c r="J193" s="201"/>
      <c r="K193" s="93"/>
      <c r="L193" s="343"/>
    </row>
    <row r="194" spans="2:12" ht="14.1" customHeight="1" outlineLevel="3">
      <c r="B194" s="346">
        <f>B193+0.00000001</f>
        <v>6.0703090299999989</v>
      </c>
      <c r="C194" s="348" t="s">
        <v>664</v>
      </c>
      <c r="D194" s="81" t="s">
        <v>169</v>
      </c>
      <c r="E194" s="111">
        <v>4.55</v>
      </c>
      <c r="F194" s="93">
        <v>43.71</v>
      </c>
      <c r="G194" s="82"/>
      <c r="H194" s="213" t="e">
        <f>+ROUND(F194+G194*TC,2)</f>
        <v>#REF!</v>
      </c>
      <c r="I194" s="213">
        <f t="shared" si="103"/>
        <v>198.88</v>
      </c>
      <c r="J194" s="201">
        <f t="shared" ref="J194" si="109">+ROUND(E194*G194,2)</f>
        <v>0</v>
      </c>
      <c r="K194" s="93" t="e">
        <f>+ROUND(I194+J194*TC,2)</f>
        <v>#REF!</v>
      </c>
      <c r="L194" s="343"/>
    </row>
    <row r="195" spans="2:12" ht="14.1" customHeight="1" outlineLevel="2">
      <c r="B195" s="344">
        <f>B190+0.000001</f>
        <v>6.0703090399999988</v>
      </c>
      <c r="C195" s="352" t="s">
        <v>951</v>
      </c>
      <c r="D195" s="81"/>
      <c r="E195" s="111"/>
      <c r="F195" s="93" t="s">
        <v>8</v>
      </c>
      <c r="G195" s="82"/>
      <c r="H195" s="213"/>
      <c r="I195" s="213"/>
      <c r="J195" s="201"/>
      <c r="K195" s="93"/>
      <c r="L195" s="343"/>
    </row>
    <row r="196" spans="2:12" ht="14.1" customHeight="1" outlineLevel="3">
      <c r="B196" s="346">
        <f>B195+0.00000001</f>
        <v>6.0703090499999988</v>
      </c>
      <c r="C196" s="348" t="s">
        <v>923</v>
      </c>
      <c r="D196" s="81" t="s">
        <v>169</v>
      </c>
      <c r="E196" s="111">
        <v>40.04</v>
      </c>
      <c r="F196" s="93">
        <v>69.22</v>
      </c>
      <c r="G196" s="82"/>
      <c r="H196" s="213" t="e">
        <f>+ROUND(F196+G196*TC,2)</f>
        <v>#REF!</v>
      </c>
      <c r="I196" s="213">
        <f t="shared" si="103"/>
        <v>2771.57</v>
      </c>
      <c r="J196" s="201">
        <f t="shared" ref="J196" si="110">+ROUND(E196*G196,2)</f>
        <v>0</v>
      </c>
      <c r="K196" s="93" t="e">
        <f>+ROUND(I196+J196*TC,2)</f>
        <v>#REF!</v>
      </c>
      <c r="L196" s="343"/>
    </row>
    <row r="197" spans="2:12" ht="14.1" customHeight="1" outlineLevel="2">
      <c r="B197" s="344">
        <f>B192+0.000001</f>
        <v>6.0703100099999991</v>
      </c>
      <c r="C197" s="352" t="s">
        <v>952</v>
      </c>
      <c r="D197" s="81"/>
      <c r="E197" s="111"/>
      <c r="F197" s="93" t="s">
        <v>8</v>
      </c>
      <c r="G197" s="82"/>
      <c r="H197" s="213"/>
      <c r="I197" s="213"/>
      <c r="J197" s="201"/>
      <c r="K197" s="93"/>
      <c r="L197" s="343"/>
    </row>
    <row r="198" spans="2:12" ht="14.1" customHeight="1" outlineLevel="3">
      <c r="B198" s="346">
        <f>B197+0.00000001</f>
        <v>6.0703100199999991</v>
      </c>
      <c r="C198" s="348" t="s">
        <v>930</v>
      </c>
      <c r="D198" s="81" t="s">
        <v>169</v>
      </c>
      <c r="E198" s="111">
        <v>24.15</v>
      </c>
      <c r="F198" s="93">
        <v>47.26</v>
      </c>
      <c r="G198" s="103">
        <v>29.4</v>
      </c>
      <c r="H198" s="213" t="e">
        <f>+ROUND(F198+G198*TC,2)</f>
        <v>#REF!</v>
      </c>
      <c r="I198" s="213">
        <f t="shared" si="103"/>
        <v>1141.33</v>
      </c>
      <c r="J198" s="201">
        <f t="shared" ref="J198" si="111">+ROUND(E198*G198,2)</f>
        <v>710.01</v>
      </c>
      <c r="K198" s="93" t="e">
        <f>+ROUND(I198+J198*TC,2)</f>
        <v>#REF!</v>
      </c>
      <c r="L198" s="343"/>
    </row>
    <row r="199" spans="2:12" ht="14.1" customHeight="1" outlineLevel="3">
      <c r="B199" s="346">
        <f>B198+0.00000001</f>
        <v>6.070310029999999</v>
      </c>
      <c r="C199" s="348" t="s">
        <v>953</v>
      </c>
      <c r="D199" s="81" t="s">
        <v>169</v>
      </c>
      <c r="E199" s="111">
        <v>3.42</v>
      </c>
      <c r="F199" s="93">
        <v>60</v>
      </c>
      <c r="G199" s="103"/>
      <c r="H199" s="213" t="e">
        <f>+ROUND(F199+G199*TC,2)</f>
        <v>#REF!</v>
      </c>
      <c r="I199" s="213">
        <f t="shared" si="103"/>
        <v>205.2</v>
      </c>
      <c r="J199" s="201">
        <f t="shared" ref="J199" si="112">+ROUND(E199*G199,2)</f>
        <v>0</v>
      </c>
      <c r="K199" s="93" t="e">
        <f>+ROUND(I199+J199*TC,2)</f>
        <v>#REF!</v>
      </c>
      <c r="L199" s="343"/>
    </row>
    <row r="200" spans="2:12" ht="14.1" customHeight="1" outlineLevel="2">
      <c r="B200" s="344">
        <f>B197+0.000001</f>
        <v>6.0703110099999993</v>
      </c>
      <c r="C200" s="352" t="s">
        <v>954</v>
      </c>
      <c r="D200" s="81"/>
      <c r="E200" s="111"/>
      <c r="F200" s="93" t="s">
        <v>8</v>
      </c>
      <c r="G200" s="82"/>
      <c r="H200" s="213"/>
      <c r="I200" s="213"/>
      <c r="J200" s="201"/>
      <c r="K200" s="93"/>
      <c r="L200" s="343"/>
    </row>
    <row r="201" spans="2:12" ht="14.1" customHeight="1" outlineLevel="3">
      <c r="B201" s="346">
        <f>B200+0.00000001</f>
        <v>6.0703110199999992</v>
      </c>
      <c r="C201" s="510" t="s">
        <v>955</v>
      </c>
      <c r="D201" s="81" t="s">
        <v>169</v>
      </c>
      <c r="E201" s="111">
        <v>24.45</v>
      </c>
      <c r="F201" s="93">
        <v>229.29000000000002</v>
      </c>
      <c r="G201" s="103">
        <v>0</v>
      </c>
      <c r="H201" s="213" t="e">
        <f>+ROUND(F201+G201*TC,2)</f>
        <v>#REF!</v>
      </c>
      <c r="I201" s="213">
        <f t="shared" si="103"/>
        <v>5606.14</v>
      </c>
      <c r="J201" s="201">
        <f t="shared" ref="J201:J202" si="113">+ROUND(E201*G201,2)</f>
        <v>0</v>
      </c>
      <c r="K201" s="93" t="e">
        <f>+ROUND(I201+J201*TC,2)</f>
        <v>#REF!</v>
      </c>
      <c r="L201" s="343"/>
    </row>
    <row r="202" spans="2:12" ht="14.1" customHeight="1" outlineLevel="3">
      <c r="B202" s="346">
        <f>B201+0.00000001</f>
        <v>6.0703110299999992</v>
      </c>
      <c r="C202" s="510" t="s">
        <v>946</v>
      </c>
      <c r="D202" s="81" t="s">
        <v>169</v>
      </c>
      <c r="E202" s="111">
        <v>31.73</v>
      </c>
      <c r="F202" s="93">
        <v>62.92</v>
      </c>
      <c r="G202" s="103">
        <v>48</v>
      </c>
      <c r="H202" s="213" t="e">
        <f>+ROUND(F202+G202*TC,2)</f>
        <v>#REF!</v>
      </c>
      <c r="I202" s="213">
        <f t="shared" si="103"/>
        <v>1996.45</v>
      </c>
      <c r="J202" s="201">
        <f t="shared" si="113"/>
        <v>1523.04</v>
      </c>
      <c r="K202" s="93" t="e">
        <f>+ROUND(I202+J202*TC,2)</f>
        <v>#REF!</v>
      </c>
      <c r="L202" s="343"/>
    </row>
    <row r="203" spans="2:12" ht="14.1" customHeight="1" outlineLevel="3">
      <c r="B203" s="346">
        <f>B202+0.00000001</f>
        <v>6.0703110399999991</v>
      </c>
      <c r="C203" s="510" t="s">
        <v>956</v>
      </c>
      <c r="D203" s="81" t="s">
        <v>169</v>
      </c>
      <c r="E203" s="111">
        <v>4.41</v>
      </c>
      <c r="F203" s="93">
        <v>110</v>
      </c>
      <c r="G203" s="103"/>
      <c r="H203" s="213" t="e">
        <f>+ROUND(F203+G203*TC,2)</f>
        <v>#REF!</v>
      </c>
      <c r="I203" s="213">
        <f t="shared" si="103"/>
        <v>485.1</v>
      </c>
      <c r="J203" s="201">
        <f t="shared" ref="J203" si="114">+ROUND(E203*G203,2)</f>
        <v>0</v>
      </c>
      <c r="K203" s="93" t="e">
        <f>+ROUND(I203+J203*TC,2)</f>
        <v>#REF!</v>
      </c>
      <c r="L203" s="343"/>
    </row>
    <row r="204" spans="2:12" ht="14.1" customHeight="1" outlineLevel="2">
      <c r="B204" s="344">
        <f>B201+0.000001</f>
        <v>6.0703120199999994</v>
      </c>
      <c r="C204" s="352" t="s">
        <v>957</v>
      </c>
      <c r="D204" s="81"/>
      <c r="E204" s="111"/>
      <c r="F204" s="93" t="s">
        <v>8</v>
      </c>
      <c r="G204" s="82"/>
      <c r="H204" s="213"/>
      <c r="I204" s="213"/>
      <c r="J204" s="201"/>
      <c r="K204" s="93"/>
      <c r="L204" s="343"/>
    </row>
    <row r="205" spans="2:12" ht="14.1" customHeight="1" outlineLevel="3">
      <c r="B205" s="346">
        <f>B204+0.00000001</f>
        <v>6.0703120299999993</v>
      </c>
      <c r="C205" s="510" t="s">
        <v>958</v>
      </c>
      <c r="D205" s="81" t="s">
        <v>169</v>
      </c>
      <c r="E205" s="111">
        <v>35.770000000000003</v>
      </c>
      <c r="F205" s="93">
        <v>95</v>
      </c>
      <c r="G205" s="103"/>
      <c r="H205" s="213" t="e">
        <f>+ROUND(F205+G205*TC,2)</f>
        <v>#REF!</v>
      </c>
      <c r="I205" s="213">
        <f t="shared" si="103"/>
        <v>3398.15</v>
      </c>
      <c r="J205" s="201">
        <f t="shared" ref="J205:J206" si="115">+ROUND(E205*G205,2)</f>
        <v>0</v>
      </c>
      <c r="K205" s="93" t="e">
        <f>+ROUND(I205+J205*TC,2)</f>
        <v>#REF!</v>
      </c>
      <c r="L205" s="343"/>
    </row>
    <row r="206" spans="2:12" ht="14.1" customHeight="1" outlineLevel="3">
      <c r="B206" s="346">
        <f>B205+0.00000001</f>
        <v>6.0703120399999992</v>
      </c>
      <c r="C206" s="510" t="s">
        <v>959</v>
      </c>
      <c r="D206" s="81" t="s">
        <v>169</v>
      </c>
      <c r="E206" s="111">
        <v>17.61</v>
      </c>
      <c r="F206" s="93">
        <v>110</v>
      </c>
      <c r="G206" s="103"/>
      <c r="H206" s="213" t="e">
        <f>+ROUND(F206+G206*TC,2)</f>
        <v>#REF!</v>
      </c>
      <c r="I206" s="213">
        <f t="shared" si="103"/>
        <v>1937.1</v>
      </c>
      <c r="J206" s="201">
        <f t="shared" si="115"/>
        <v>0</v>
      </c>
      <c r="K206" s="93" t="e">
        <f>+ROUND(I206+J206*TC,2)</f>
        <v>#REF!</v>
      </c>
      <c r="L206" s="343"/>
    </row>
    <row r="207" spans="2:12" ht="14.1" customHeight="1" outlineLevel="2">
      <c r="B207" s="344">
        <f>B204+0.000001</f>
        <v>6.0703130199999995</v>
      </c>
      <c r="C207" s="352" t="s">
        <v>960</v>
      </c>
      <c r="D207" s="81"/>
      <c r="E207" s="111"/>
      <c r="F207" s="93" t="s">
        <v>8</v>
      </c>
      <c r="G207" s="82"/>
      <c r="H207" s="213"/>
      <c r="I207" s="213"/>
      <c r="J207" s="201"/>
      <c r="K207" s="93"/>
      <c r="L207" s="343"/>
    </row>
    <row r="208" spans="2:12" ht="14.1" customHeight="1" outlineLevel="3">
      <c r="B208" s="346">
        <f>B207+0.00000001</f>
        <v>6.0703130299999994</v>
      </c>
      <c r="C208" s="510" t="s">
        <v>930</v>
      </c>
      <c r="D208" s="81" t="s">
        <v>169</v>
      </c>
      <c r="E208" s="111">
        <v>12.49</v>
      </c>
      <c r="F208" s="93">
        <v>47.26</v>
      </c>
      <c r="G208" s="103">
        <v>29.4</v>
      </c>
      <c r="H208" s="213" t="e">
        <f>+ROUND(F208+G208*TC,2)</f>
        <v>#REF!</v>
      </c>
      <c r="I208" s="213">
        <f t="shared" si="103"/>
        <v>590.28</v>
      </c>
      <c r="J208" s="201">
        <f t="shared" ref="J208" si="116">+ROUND(E208*G208,2)</f>
        <v>367.21</v>
      </c>
      <c r="K208" s="93" t="e">
        <f>+ROUND(I208+J208*TC,2)</f>
        <v>#REF!</v>
      </c>
      <c r="L208" s="343"/>
    </row>
    <row r="209" spans="1:12" ht="14.1" customHeight="1" outlineLevel="3">
      <c r="B209" s="346">
        <f>B208+0.00000001</f>
        <v>6.0703130399999994</v>
      </c>
      <c r="C209" s="510" t="s">
        <v>961</v>
      </c>
      <c r="D209" s="81" t="s">
        <v>169</v>
      </c>
      <c r="E209" s="111">
        <v>11.75</v>
      </c>
      <c r="F209" s="93">
        <v>259.64</v>
      </c>
      <c r="G209" s="103">
        <v>0</v>
      </c>
      <c r="H209" s="213" t="e">
        <f>+ROUND(F209+G209*TC,2)</f>
        <v>#REF!</v>
      </c>
      <c r="I209" s="213">
        <f t="shared" si="103"/>
        <v>3050.77</v>
      </c>
      <c r="J209" s="201">
        <f t="shared" ref="J209" si="117">+ROUND(E209*G209,2)</f>
        <v>0</v>
      </c>
      <c r="K209" s="93" t="e">
        <f>+ROUND(I209+J209*TC,2)</f>
        <v>#REF!</v>
      </c>
      <c r="L209" s="343"/>
    </row>
    <row r="210" spans="1:12" ht="14.1" customHeight="1" outlineLevel="2">
      <c r="B210" s="344">
        <f>B207+0.000001</f>
        <v>6.0703140199999996</v>
      </c>
      <c r="C210" s="352" t="s">
        <v>962</v>
      </c>
      <c r="D210" s="81"/>
      <c r="E210" s="111"/>
      <c r="F210" s="93" t="s">
        <v>8</v>
      </c>
      <c r="G210" s="82"/>
      <c r="H210" s="213"/>
      <c r="I210" s="213"/>
      <c r="J210" s="201"/>
      <c r="K210" s="93"/>
      <c r="L210" s="343"/>
    </row>
    <row r="211" spans="1:12" ht="14.1" customHeight="1" outlineLevel="3">
      <c r="B211" s="346">
        <f>B210+0.00000001</f>
        <v>6.0703140299999996</v>
      </c>
      <c r="C211" s="510" t="s">
        <v>935</v>
      </c>
      <c r="D211" s="81" t="s">
        <v>169</v>
      </c>
      <c r="E211" s="111">
        <v>25.23</v>
      </c>
      <c r="F211" s="93">
        <v>77.680000000000007</v>
      </c>
      <c r="G211" s="103">
        <v>0</v>
      </c>
      <c r="H211" s="213" t="e">
        <f>+ROUND(F211+G211*TC,2)</f>
        <v>#REF!</v>
      </c>
      <c r="I211" s="213">
        <f t="shared" si="103"/>
        <v>1959.87</v>
      </c>
      <c r="J211" s="201">
        <f t="shared" ref="J211" si="118">+ROUND(E211*G211,2)</f>
        <v>0</v>
      </c>
      <c r="K211" s="93" t="e">
        <f>+ROUND(I211+J211*TC,2)</f>
        <v>#REF!</v>
      </c>
      <c r="L211" s="343"/>
    </row>
    <row r="212" spans="1:12" ht="14.1" customHeight="1" outlineLevel="2">
      <c r="B212" s="344">
        <f>B210+0.000001</f>
        <v>6.0703150199999998</v>
      </c>
      <c r="C212" s="352" t="s">
        <v>963</v>
      </c>
      <c r="D212" s="81"/>
      <c r="E212" s="111"/>
      <c r="F212" s="93" t="s">
        <v>8</v>
      </c>
      <c r="G212" s="82"/>
      <c r="H212" s="213"/>
      <c r="I212" s="213"/>
      <c r="J212" s="201"/>
      <c r="K212" s="93"/>
      <c r="L212" s="343"/>
    </row>
    <row r="213" spans="1:12" ht="14.1" customHeight="1" outlineLevel="3">
      <c r="B213" s="346">
        <f>B212+0.00000001</f>
        <v>6.0703150299999997</v>
      </c>
      <c r="C213" s="510" t="s">
        <v>930</v>
      </c>
      <c r="D213" s="81" t="s">
        <v>169</v>
      </c>
      <c r="E213" s="111">
        <v>30.53</v>
      </c>
      <c r="F213" s="93">
        <v>47.26</v>
      </c>
      <c r="G213" s="103">
        <v>29.4</v>
      </c>
      <c r="H213" s="213" t="e">
        <f>+ROUND(F213+G213*TC,2)</f>
        <v>#REF!</v>
      </c>
      <c r="I213" s="213">
        <f t="shared" si="103"/>
        <v>1442.85</v>
      </c>
      <c r="J213" s="201">
        <f t="shared" ref="J213:J217" si="119">+ROUND(E213*G213,2)</f>
        <v>897.58</v>
      </c>
      <c r="K213" s="93" t="e">
        <f>+ROUND(I213+J213*TC,2)</f>
        <v>#REF!</v>
      </c>
      <c r="L213" s="343"/>
    </row>
    <row r="214" spans="1:12" ht="14.1" customHeight="1" outlineLevel="3">
      <c r="B214" s="346">
        <f>B213+0.00000001</f>
        <v>6.0703150399999997</v>
      </c>
      <c r="C214" s="510" t="s">
        <v>964</v>
      </c>
      <c r="D214" s="81" t="s">
        <v>169</v>
      </c>
      <c r="E214" s="111">
        <v>7.29</v>
      </c>
      <c r="F214" s="93">
        <v>110</v>
      </c>
      <c r="G214" s="103"/>
      <c r="H214" s="213" t="e">
        <f>+ROUND(F214+G214*TC,2)</f>
        <v>#REF!</v>
      </c>
      <c r="I214" s="213">
        <f t="shared" si="103"/>
        <v>801.9</v>
      </c>
      <c r="J214" s="201">
        <f t="shared" ref="J214" si="120">+ROUND(E214*G214,2)</f>
        <v>0</v>
      </c>
      <c r="K214" s="93" t="e">
        <f>+ROUND(I214+J214*TC,2)</f>
        <v>#REF!</v>
      </c>
      <c r="L214" s="343"/>
    </row>
    <row r="215" spans="1:12" ht="14.1" customHeight="1" outlineLevel="3">
      <c r="B215" s="346">
        <f>B214+0.00000001</f>
        <v>6.0703150499999996</v>
      </c>
      <c r="C215" s="348" t="s">
        <v>953</v>
      </c>
      <c r="D215" s="81" t="s">
        <v>169</v>
      </c>
      <c r="E215" s="111">
        <v>1.45</v>
      </c>
      <c r="F215" s="93">
        <v>60</v>
      </c>
      <c r="G215" s="103"/>
      <c r="H215" s="213" t="e">
        <f>+ROUND(F215+G215*TC,2)</f>
        <v>#REF!</v>
      </c>
      <c r="I215" s="213">
        <f t="shared" si="103"/>
        <v>87</v>
      </c>
      <c r="J215" s="201">
        <f t="shared" si="119"/>
        <v>0</v>
      </c>
      <c r="K215" s="93" t="e">
        <f>+ROUND(I215+J215*TC,2)</f>
        <v>#REF!</v>
      </c>
      <c r="L215" s="343"/>
    </row>
    <row r="216" spans="1:12" ht="14.1" customHeight="1" outlineLevel="3">
      <c r="B216" s="346">
        <f>B215+0.00000001</f>
        <v>6.0703150599999995</v>
      </c>
      <c r="C216" s="510" t="s">
        <v>955</v>
      </c>
      <c r="D216" s="81" t="s">
        <v>169</v>
      </c>
      <c r="E216" s="111">
        <v>10.23</v>
      </c>
      <c r="F216" s="93">
        <v>229.29000000000002</v>
      </c>
      <c r="G216" s="103">
        <v>0</v>
      </c>
      <c r="H216" s="213" t="e">
        <f>+ROUND(F216+G216*TC,2)</f>
        <v>#REF!</v>
      </c>
      <c r="I216" s="213">
        <f t="shared" si="103"/>
        <v>2345.64</v>
      </c>
      <c r="J216" s="201">
        <f t="shared" si="119"/>
        <v>0</v>
      </c>
      <c r="K216" s="93" t="e">
        <f>+ROUND(I216+J216*TC,2)</f>
        <v>#REF!</v>
      </c>
      <c r="L216" s="343"/>
    </row>
    <row r="217" spans="1:12" ht="14.1" customHeight="1" outlineLevel="3">
      <c r="B217" s="346">
        <f>B213+0.00000001</f>
        <v>6.0703150399999997</v>
      </c>
      <c r="C217" s="510" t="s">
        <v>965</v>
      </c>
      <c r="D217" s="81" t="s">
        <v>169</v>
      </c>
      <c r="E217" s="111">
        <v>0</v>
      </c>
      <c r="F217" s="93"/>
      <c r="G217" s="103"/>
      <c r="H217" s="213" t="e">
        <f>+ROUND(F217+G217*TC,2)</f>
        <v>#REF!</v>
      </c>
      <c r="I217" s="213">
        <f t="shared" si="103"/>
        <v>0</v>
      </c>
      <c r="J217" s="201">
        <f t="shared" si="119"/>
        <v>0</v>
      </c>
      <c r="K217" s="93" t="e">
        <f>+ROUND(I217+J217*TC,2)</f>
        <v>#REF!</v>
      </c>
      <c r="L217" s="343"/>
    </row>
    <row r="218" spans="1:12" ht="14.1" customHeight="1" outlineLevel="2">
      <c r="B218" s="344">
        <f>B216+0.000001</f>
        <v>6.0703160599999997</v>
      </c>
      <c r="C218" s="511" t="s">
        <v>966</v>
      </c>
      <c r="D218" s="81"/>
      <c r="E218" s="111"/>
      <c r="F218" s="93" t="s">
        <v>8</v>
      </c>
      <c r="G218" s="82"/>
      <c r="H218" s="213"/>
      <c r="I218" s="213"/>
      <c r="J218" s="201"/>
      <c r="K218" s="93"/>
      <c r="L218" s="343"/>
    </row>
    <row r="219" spans="1:12" ht="14.1" customHeight="1" outlineLevel="3">
      <c r="B219" s="346">
        <f>B218+0.00000001</f>
        <v>6.0703160699999996</v>
      </c>
      <c r="C219" s="510" t="s">
        <v>967</v>
      </c>
      <c r="D219" s="81" t="s">
        <v>169</v>
      </c>
      <c r="E219" s="111">
        <v>20.399999999999999</v>
      </c>
      <c r="F219" s="93">
        <v>47.54</v>
      </c>
      <c r="G219" s="103">
        <v>31.08</v>
      </c>
      <c r="H219" s="213" t="e">
        <f>+ROUND(F219+G219*TC,2)</f>
        <v>#REF!</v>
      </c>
      <c r="I219" s="213">
        <f t="shared" si="103"/>
        <v>969.82</v>
      </c>
      <c r="J219" s="201">
        <f t="shared" ref="J219:J220" si="121">+ROUND(E219*G219,2)</f>
        <v>634.03</v>
      </c>
      <c r="K219" s="93" t="e">
        <f>+ROUND(I219+J219*TC,2)</f>
        <v>#REF!</v>
      </c>
      <c r="L219" s="343"/>
    </row>
    <row r="220" spans="1:12" ht="14.1" customHeight="1" outlineLevel="3">
      <c r="B220" s="346">
        <f>B219+0.00000001</f>
        <v>6.0703160799999996</v>
      </c>
      <c r="C220" s="510" t="s">
        <v>968</v>
      </c>
      <c r="D220" s="81" t="s">
        <v>169</v>
      </c>
      <c r="E220" s="111">
        <v>5.75</v>
      </c>
      <c r="F220" s="93">
        <v>192.82000000000002</v>
      </c>
      <c r="G220" s="103">
        <v>0</v>
      </c>
      <c r="H220" s="213" t="e">
        <f>+ROUND(F220+G220*TC,2)</f>
        <v>#REF!</v>
      </c>
      <c r="I220" s="213">
        <f t="shared" si="103"/>
        <v>1108.72</v>
      </c>
      <c r="J220" s="201">
        <f t="shared" si="121"/>
        <v>0</v>
      </c>
      <c r="K220" s="93" t="e">
        <f>+ROUND(I220+J220*TC,2)</f>
        <v>#REF!</v>
      </c>
      <c r="L220" s="343"/>
    </row>
    <row r="221" spans="1:12" ht="14.1" customHeight="1" outlineLevel="1">
      <c r="B221" s="359">
        <f>B164+0.0001</f>
        <v>6.0703999999999976</v>
      </c>
      <c r="C221" s="356" t="s">
        <v>969</v>
      </c>
      <c r="D221" s="81"/>
      <c r="E221" s="111"/>
      <c r="F221" s="93" t="s">
        <v>8</v>
      </c>
      <c r="G221" s="82"/>
      <c r="H221" s="213"/>
      <c r="I221" s="213"/>
      <c r="J221" s="201"/>
      <c r="K221" s="93"/>
      <c r="L221" s="105"/>
    </row>
    <row r="222" spans="1:12" ht="14.1" customHeight="1" outlineLevel="2">
      <c r="B222" s="344">
        <f>B221+0.000001</f>
        <v>6.0704009999999977</v>
      </c>
      <c r="C222" s="352" t="s">
        <v>970</v>
      </c>
      <c r="D222" s="81"/>
      <c r="E222" s="111"/>
      <c r="F222" s="93" t="s">
        <v>8</v>
      </c>
      <c r="G222" s="82"/>
      <c r="H222" s="213"/>
      <c r="I222" s="213"/>
      <c r="J222" s="201"/>
      <c r="K222" s="93"/>
      <c r="L222" s="343"/>
    </row>
    <row r="223" spans="1:12" ht="14.1" customHeight="1" outlineLevel="3">
      <c r="A223" s="10" t="s">
        <v>918</v>
      </c>
      <c r="B223" s="346">
        <f>B222+0.00000001</f>
        <v>6.0704010099999977</v>
      </c>
      <c r="C223" s="510" t="s">
        <v>935</v>
      </c>
      <c r="D223" s="81" t="s">
        <v>169</v>
      </c>
      <c r="E223" s="111">
        <v>55.32</v>
      </c>
      <c r="F223" s="93">
        <v>77.680000000000007</v>
      </c>
      <c r="G223" s="82"/>
      <c r="H223" s="213" t="e">
        <f>+ROUND(F223+G223*TC,2)</f>
        <v>#REF!</v>
      </c>
      <c r="I223" s="213">
        <f t="shared" si="103"/>
        <v>4297.26</v>
      </c>
      <c r="J223" s="201">
        <f t="shared" si="92"/>
        <v>0</v>
      </c>
      <c r="K223" s="93" t="e">
        <f>+ROUND(I223+J223*TC,2)</f>
        <v>#REF!</v>
      </c>
      <c r="L223" s="343"/>
    </row>
    <row r="224" spans="1:12" ht="14.1" customHeight="1" outlineLevel="2">
      <c r="B224" s="344">
        <f>B222+0.000001</f>
        <v>6.0704019999999979</v>
      </c>
      <c r="C224" s="352" t="s">
        <v>971</v>
      </c>
      <c r="D224" s="81"/>
      <c r="E224" s="111"/>
      <c r="F224" s="93" t="s">
        <v>8</v>
      </c>
      <c r="G224" s="82"/>
      <c r="H224" s="213"/>
      <c r="I224" s="213"/>
      <c r="J224" s="201"/>
      <c r="K224" s="93"/>
      <c r="L224" s="343"/>
    </row>
    <row r="225" spans="1:13" ht="14.1" customHeight="1" outlineLevel="3">
      <c r="A225" s="10" t="s">
        <v>918</v>
      </c>
      <c r="B225" s="346">
        <f>B224+0.00000001</f>
        <v>6.0704020099999978</v>
      </c>
      <c r="C225" s="510" t="s">
        <v>935</v>
      </c>
      <c r="D225" s="81" t="s">
        <v>169</v>
      </c>
      <c r="E225" s="111">
        <v>1013.45</v>
      </c>
      <c r="F225" s="93">
        <v>77.680000000000007</v>
      </c>
      <c r="G225" s="82"/>
      <c r="H225" s="213" t="e">
        <f>+ROUND(F225+G225*TC,2)</f>
        <v>#REF!</v>
      </c>
      <c r="I225" s="213">
        <f t="shared" si="103"/>
        <v>78724.800000000003</v>
      </c>
      <c r="J225" s="201">
        <f t="shared" si="92"/>
        <v>0</v>
      </c>
      <c r="K225" s="93" t="e">
        <f>+ROUND(I225+J225*TC,2)</f>
        <v>#REF!</v>
      </c>
      <c r="L225" s="343"/>
    </row>
    <row r="226" spans="1:13" ht="13.5" customHeight="1">
      <c r="B226" s="218">
        <f>B152+0.01</f>
        <v>6.0799999999999983</v>
      </c>
      <c r="C226" s="508" t="s">
        <v>972</v>
      </c>
      <c r="D226" s="81"/>
      <c r="E226" s="81"/>
      <c r="F226" s="81"/>
      <c r="G226" s="81"/>
      <c r="H226" s="354"/>
      <c r="I226" s="213">
        <f t="shared" ref="I226:I245" si="122">+ROUND(E226*F226,2)</f>
        <v>0</v>
      </c>
      <c r="J226" s="354"/>
      <c r="K226" s="354"/>
      <c r="L226" s="612" t="e">
        <f>SUM(I226:I236)+SUM(J226:J236)*TC</f>
        <v>#REF!</v>
      </c>
      <c r="M226" s="127" t="e">
        <f>+L226+L291+L294</f>
        <v>#REF!</v>
      </c>
    </row>
    <row r="227" spans="1:13" ht="14.1" customHeight="1" outlineLevel="1">
      <c r="B227" s="359">
        <f>B226+0.0001</f>
        <v>6.0800999999999981</v>
      </c>
      <c r="C227" s="356" t="s">
        <v>916</v>
      </c>
      <c r="D227" s="81"/>
      <c r="E227" s="111"/>
      <c r="F227" s="93" t="s">
        <v>8</v>
      </c>
      <c r="G227" s="82"/>
      <c r="H227" s="213"/>
      <c r="I227" s="213"/>
      <c r="J227" s="201"/>
      <c r="K227" s="93"/>
      <c r="L227" s="343"/>
    </row>
    <row r="228" spans="1:13" ht="14.1" customHeight="1" outlineLevel="2">
      <c r="B228" s="344">
        <f>B227+0.000001</f>
        <v>6.0801009999999982</v>
      </c>
      <c r="C228" s="352" t="s">
        <v>973</v>
      </c>
      <c r="D228" s="81"/>
      <c r="E228" s="111"/>
      <c r="F228" s="93" t="s">
        <v>8</v>
      </c>
      <c r="G228" s="82"/>
      <c r="H228" s="213"/>
      <c r="I228" s="213"/>
      <c r="J228" s="201"/>
      <c r="K228" s="93"/>
      <c r="L228" s="343"/>
    </row>
    <row r="229" spans="1:13" ht="14.1" customHeight="1" outlineLevel="3">
      <c r="A229" s="413" t="s">
        <v>974</v>
      </c>
      <c r="B229" s="346">
        <f>B228+0.00000001</f>
        <v>6.0801010099999981</v>
      </c>
      <c r="C229" s="512" t="s">
        <v>975</v>
      </c>
      <c r="D229" s="81" t="s">
        <v>169</v>
      </c>
      <c r="E229" s="111">
        <v>3225.24</v>
      </c>
      <c r="F229" s="93">
        <v>73.490000000000009</v>
      </c>
      <c r="G229" s="82"/>
      <c r="H229" s="213" t="e">
        <f>+ROUND(F229+G229*TC,2)</f>
        <v>#REF!</v>
      </c>
      <c r="I229" s="213">
        <f t="shared" si="122"/>
        <v>237022.89</v>
      </c>
      <c r="J229" s="201">
        <f t="shared" si="92"/>
        <v>0</v>
      </c>
      <c r="K229" s="93" t="e">
        <f>+ROUND(I229+J229*TC,2)</f>
        <v>#REF!</v>
      </c>
      <c r="L229" s="343"/>
    </row>
    <row r="230" spans="1:13" ht="14.1" customHeight="1" outlineLevel="2">
      <c r="B230" s="344">
        <f>B228+0.000001</f>
        <v>6.0801019999999983</v>
      </c>
      <c r="C230" s="352" t="s">
        <v>976</v>
      </c>
      <c r="D230" s="81"/>
      <c r="E230" s="111"/>
      <c r="F230" s="93" t="s">
        <v>8</v>
      </c>
      <c r="G230" s="82"/>
      <c r="H230" s="213"/>
      <c r="I230" s="213"/>
      <c r="J230" s="201"/>
      <c r="K230" s="93"/>
      <c r="L230" s="343"/>
    </row>
    <row r="231" spans="1:13" ht="14.1" customHeight="1" outlineLevel="3">
      <c r="A231" s="10" t="s">
        <v>918</v>
      </c>
      <c r="B231" s="346">
        <f>B230+0.00000001</f>
        <v>6.0801020099999983</v>
      </c>
      <c r="C231" s="512" t="s">
        <v>977</v>
      </c>
      <c r="D231" s="81" t="s">
        <v>169</v>
      </c>
      <c r="E231" s="111">
        <v>756.06</v>
      </c>
      <c r="F231" s="93">
        <v>47.099999999999994</v>
      </c>
      <c r="G231" s="103">
        <v>25.8</v>
      </c>
      <c r="H231" s="213" t="e">
        <f>+ROUND(F231+G231*TC,2)</f>
        <v>#REF!</v>
      </c>
      <c r="I231" s="213">
        <f t="shared" si="122"/>
        <v>35610.43</v>
      </c>
      <c r="J231" s="201">
        <f t="shared" si="92"/>
        <v>19506.349999999999</v>
      </c>
      <c r="K231" s="93" t="e">
        <f>+ROUND(I231+J231*TC,2)</f>
        <v>#REF!</v>
      </c>
      <c r="L231" s="343"/>
    </row>
    <row r="232" spans="1:13" ht="14.1" customHeight="1" outlineLevel="2">
      <c r="B232" s="344">
        <f>B230+0.000001</f>
        <v>6.0801029999999985</v>
      </c>
      <c r="C232" s="352" t="s">
        <v>978</v>
      </c>
      <c r="D232" s="81"/>
      <c r="E232" s="111"/>
      <c r="F232" s="93" t="s">
        <v>8</v>
      </c>
      <c r="G232" s="82"/>
      <c r="H232" s="213"/>
      <c r="I232" s="213"/>
      <c r="J232" s="201"/>
      <c r="K232" s="93"/>
      <c r="L232" s="343"/>
    </row>
    <row r="233" spans="1:13" ht="14.1" customHeight="1" outlineLevel="3">
      <c r="A233" s="10" t="s">
        <v>918</v>
      </c>
      <c r="B233" s="346">
        <f>B232+0.00000001</f>
        <v>6.0801030099999984</v>
      </c>
      <c r="C233" s="512" t="s">
        <v>979</v>
      </c>
      <c r="D233" s="81" t="s">
        <v>169</v>
      </c>
      <c r="E233" s="111">
        <v>398.27</v>
      </c>
      <c r="F233" s="93">
        <v>70.319999999999993</v>
      </c>
      <c r="G233" s="82"/>
      <c r="H233" s="213" t="e">
        <f>+ROUND(F233+G233*TC,2)</f>
        <v>#REF!</v>
      </c>
      <c r="I233" s="213">
        <f t="shared" si="122"/>
        <v>28006.35</v>
      </c>
      <c r="J233" s="201">
        <f t="shared" si="92"/>
        <v>0</v>
      </c>
      <c r="K233" s="93" t="e">
        <f>+ROUND(I233+J233*TC,2)</f>
        <v>#REF!</v>
      </c>
      <c r="L233" s="343"/>
    </row>
    <row r="234" spans="1:13" ht="14.1" customHeight="1" outlineLevel="2">
      <c r="B234" s="344">
        <f>B232+0.000001</f>
        <v>6.0801039999999986</v>
      </c>
      <c r="C234" s="352" t="s">
        <v>980</v>
      </c>
      <c r="D234" s="81"/>
      <c r="E234" s="111"/>
      <c r="F234" s="93" t="s">
        <v>8</v>
      </c>
      <c r="G234" s="82"/>
      <c r="H234" s="213"/>
      <c r="I234" s="213"/>
      <c r="J234" s="201"/>
      <c r="K234" s="93"/>
      <c r="L234" s="343"/>
    </row>
    <row r="235" spans="1:13" ht="14.1" customHeight="1" outlineLevel="3">
      <c r="A235" s="10" t="s">
        <v>918</v>
      </c>
      <c r="B235" s="346">
        <f>B234+0.00000001</f>
        <v>6.0801040099999986</v>
      </c>
      <c r="C235" s="510" t="s">
        <v>923</v>
      </c>
      <c r="D235" s="81" t="s">
        <v>169</v>
      </c>
      <c r="E235" s="111">
        <v>601.25</v>
      </c>
      <c r="F235" s="93">
        <v>69.22</v>
      </c>
      <c r="G235" s="82"/>
      <c r="H235" s="213" t="e">
        <f>+ROUND(F235+G235*TC,2)</f>
        <v>#REF!</v>
      </c>
      <c r="I235" s="213">
        <f t="shared" si="122"/>
        <v>41618.53</v>
      </c>
      <c r="J235" s="201">
        <f t="shared" si="92"/>
        <v>0</v>
      </c>
      <c r="K235" s="93" t="e">
        <f>+ROUND(I235+J235*TC,2)</f>
        <v>#REF!</v>
      </c>
      <c r="L235" s="343"/>
    </row>
    <row r="236" spans="1:13" ht="14.1" customHeight="1" outlineLevel="1">
      <c r="B236" s="359">
        <f>B227+0.0001</f>
        <v>6.0801999999999978</v>
      </c>
      <c r="C236" s="356" t="s">
        <v>981</v>
      </c>
      <c r="D236" s="81"/>
      <c r="E236" s="111"/>
      <c r="F236" s="93" t="s">
        <v>8</v>
      </c>
      <c r="G236" s="82"/>
      <c r="H236" s="213"/>
      <c r="I236" s="213"/>
      <c r="J236" s="201"/>
      <c r="K236" s="93"/>
      <c r="L236" s="343"/>
    </row>
    <row r="237" spans="1:13" ht="14.1" customHeight="1" outlineLevel="2">
      <c r="B237" s="344">
        <f>B236+0.000001</f>
        <v>6.080200999999998</v>
      </c>
      <c r="C237" s="352" t="s">
        <v>982</v>
      </c>
      <c r="D237" s="81"/>
      <c r="E237" s="111"/>
      <c r="F237" s="93" t="s">
        <v>8</v>
      </c>
      <c r="G237" s="82"/>
      <c r="H237" s="213"/>
      <c r="I237" s="213"/>
      <c r="J237" s="201"/>
      <c r="K237" s="93"/>
      <c r="L237" s="343"/>
    </row>
    <row r="238" spans="1:13" ht="14.1" customHeight="1" outlineLevel="3">
      <c r="B238" s="346">
        <f>B237+0.00000001</f>
        <v>6.0802010099999979</v>
      </c>
      <c r="C238" s="510" t="s">
        <v>983</v>
      </c>
      <c r="D238" s="81" t="s">
        <v>169</v>
      </c>
      <c r="E238" s="111">
        <v>38.96</v>
      </c>
      <c r="F238" s="93">
        <v>450</v>
      </c>
      <c r="G238" s="82"/>
      <c r="H238" s="213" t="e">
        <f>+ROUND(F238+G238*TC,2)</f>
        <v>#REF!</v>
      </c>
      <c r="I238" s="213">
        <f t="shared" si="122"/>
        <v>17532</v>
      </c>
      <c r="J238" s="201">
        <f t="shared" ref="J238" si="123">+ROUND(E238*G238,2)</f>
        <v>0</v>
      </c>
      <c r="K238" s="93" t="e">
        <f>+ROUND(I238+J238*TC,2)</f>
        <v>#REF!</v>
      </c>
      <c r="L238" s="343"/>
    </row>
    <row r="239" spans="1:13" ht="14.1" customHeight="1" outlineLevel="3">
      <c r="B239" s="346">
        <f>B238+0.00000001</f>
        <v>6.0802010199999978</v>
      </c>
      <c r="C239" s="510" t="s">
        <v>984</v>
      </c>
      <c r="D239" s="81" t="s">
        <v>169</v>
      </c>
      <c r="E239" s="111">
        <v>25.41</v>
      </c>
      <c r="F239" s="93">
        <v>75</v>
      </c>
      <c r="G239" s="82"/>
      <c r="H239" s="213" t="e">
        <f>+ROUND(F239+G239*TC,2)</f>
        <v>#REF!</v>
      </c>
      <c r="I239" s="213">
        <f t="shared" si="122"/>
        <v>1905.75</v>
      </c>
      <c r="J239" s="201">
        <f t="shared" ref="J239:J240" si="124">+ROUND(E239*G239,2)</f>
        <v>0</v>
      </c>
      <c r="K239" s="93" t="e">
        <f>+ROUND(I239+J239*TC,2)</f>
        <v>#REF!</v>
      </c>
      <c r="L239" s="343"/>
    </row>
    <row r="240" spans="1:13" ht="14.1" customHeight="1" outlineLevel="3">
      <c r="B240" s="346">
        <f>B238+0.00000001</f>
        <v>6.0802010199999978</v>
      </c>
      <c r="C240" s="510" t="s">
        <v>985</v>
      </c>
      <c r="D240" s="81" t="s">
        <v>169</v>
      </c>
      <c r="E240" s="111">
        <v>42.69</v>
      </c>
      <c r="F240" s="93">
        <v>47.18</v>
      </c>
      <c r="G240" s="103">
        <v>75.48</v>
      </c>
      <c r="H240" s="213" t="e">
        <f>+ROUND(F240+G240*TC,2)</f>
        <v>#REF!</v>
      </c>
      <c r="I240" s="213">
        <f t="shared" si="122"/>
        <v>2014.11</v>
      </c>
      <c r="J240" s="201">
        <f t="shared" si="124"/>
        <v>3222.24</v>
      </c>
      <c r="K240" s="93" t="e">
        <f>+ROUND(I240+J240*TC,2)</f>
        <v>#REF!</v>
      </c>
      <c r="L240" s="343"/>
    </row>
    <row r="241" spans="2:12" ht="14.1" customHeight="1" outlineLevel="3">
      <c r="B241" s="346">
        <f>B239+0.00000001</f>
        <v>6.0802010299999978</v>
      </c>
      <c r="C241" s="510" t="s">
        <v>986</v>
      </c>
      <c r="D241" s="81" t="s">
        <v>169</v>
      </c>
      <c r="E241" s="111">
        <v>2.61</v>
      </c>
      <c r="F241" s="93">
        <v>450</v>
      </c>
      <c r="G241" s="82"/>
      <c r="H241" s="213" t="e">
        <f>+ROUND(F241+G241*TC,2)</f>
        <v>#REF!</v>
      </c>
      <c r="I241" s="213">
        <f t="shared" si="122"/>
        <v>1174.5</v>
      </c>
      <c r="J241" s="201">
        <f t="shared" ref="J241" si="125">+ROUND(E241*G241,2)</f>
        <v>0</v>
      </c>
      <c r="K241" s="93" t="e">
        <f>+ROUND(I241+J241*TC,2)</f>
        <v>#REF!</v>
      </c>
      <c r="L241" s="343"/>
    </row>
    <row r="242" spans="2:12" ht="14.1" customHeight="1" outlineLevel="2">
      <c r="B242" s="344">
        <f>B241+0.000001</f>
        <v>6.0802020299999979</v>
      </c>
      <c r="C242" s="352" t="s">
        <v>987</v>
      </c>
      <c r="D242" s="81"/>
      <c r="E242" s="111"/>
      <c r="F242" s="93" t="s">
        <v>8</v>
      </c>
      <c r="G242" s="82"/>
      <c r="H242" s="213"/>
      <c r="I242" s="213"/>
      <c r="J242" s="201"/>
      <c r="K242" s="93"/>
      <c r="L242" s="343"/>
    </row>
    <row r="243" spans="2:12" ht="14.1" customHeight="1" outlineLevel="3">
      <c r="B243" s="346">
        <f>B242+0.00000001</f>
        <v>6.0802020399999979</v>
      </c>
      <c r="C243" s="510" t="s">
        <v>984</v>
      </c>
      <c r="D243" s="81" t="s">
        <v>169</v>
      </c>
      <c r="E243" s="111">
        <v>13.12</v>
      </c>
      <c r="F243" s="93">
        <v>75</v>
      </c>
      <c r="G243" s="82"/>
      <c r="H243" s="213" t="e">
        <f>+ROUND(F243+G243*TC,2)</f>
        <v>#REF!</v>
      </c>
      <c r="I243" s="213">
        <f t="shared" si="122"/>
        <v>984</v>
      </c>
      <c r="J243" s="201">
        <f t="shared" ref="J243" si="126">+ROUND(E243*G243,2)</f>
        <v>0</v>
      </c>
      <c r="K243" s="93" t="e">
        <f>+ROUND(I243+J243*TC,2)</f>
        <v>#REF!</v>
      </c>
      <c r="L243" s="343"/>
    </row>
    <row r="244" spans="2:12" ht="14.1" customHeight="1" outlineLevel="2">
      <c r="B244" s="344">
        <f>B243+0.000001</f>
        <v>6.080203039999998</v>
      </c>
      <c r="C244" s="352" t="s">
        <v>988</v>
      </c>
      <c r="D244" s="81"/>
      <c r="E244" s="111"/>
      <c r="F244" s="93" t="s">
        <v>8</v>
      </c>
      <c r="G244" s="82"/>
      <c r="H244" s="213"/>
      <c r="I244" s="213"/>
      <c r="J244" s="201"/>
      <c r="K244" s="93"/>
      <c r="L244" s="343"/>
    </row>
    <row r="245" spans="2:12" ht="14.1" customHeight="1" outlineLevel="3">
      <c r="B245" s="346">
        <f>B243+0.00000001</f>
        <v>6.0802020499999978</v>
      </c>
      <c r="C245" s="510" t="s">
        <v>989</v>
      </c>
      <c r="D245" s="81" t="s">
        <v>169</v>
      </c>
      <c r="E245" s="111">
        <v>158.55000000000001</v>
      </c>
      <c r="F245" s="93">
        <v>75</v>
      </c>
      <c r="G245" s="82"/>
      <c r="H245" s="213" t="e">
        <f>+ROUND(F245+G245*TC,2)</f>
        <v>#REF!</v>
      </c>
      <c r="I245" s="213">
        <f t="shared" si="122"/>
        <v>11891.25</v>
      </c>
      <c r="J245" s="201">
        <f t="shared" ref="J245" si="127">+ROUND(E245*G245,2)</f>
        <v>0</v>
      </c>
      <c r="K245" s="93" t="e">
        <f>+ROUND(I245+J245*TC,2)</f>
        <v>#REF!</v>
      </c>
      <c r="L245" s="343"/>
    </row>
    <row r="246" spans="2:12" ht="14.1" customHeight="1" outlineLevel="3">
      <c r="B246" s="346">
        <f>B244+0.00000001</f>
        <v>6.0802030499999979</v>
      </c>
      <c r="C246" s="510" t="s">
        <v>990</v>
      </c>
      <c r="D246" s="81" t="s">
        <v>169</v>
      </c>
      <c r="E246" s="111">
        <v>36.79</v>
      </c>
      <c r="F246" s="93">
        <v>75</v>
      </c>
      <c r="G246" s="82"/>
      <c r="H246" s="213" t="e">
        <f>+ROUND(F246+G246*TC,2)</f>
        <v>#REF!</v>
      </c>
      <c r="I246" s="213">
        <f t="shared" ref="I246:I304" si="128">+ROUND(E246*F246,2)</f>
        <v>2759.25</v>
      </c>
      <c r="J246" s="201">
        <f t="shared" ref="J246" si="129">+ROUND(E246*G246,2)</f>
        <v>0</v>
      </c>
      <c r="K246" s="93" t="e">
        <f>+ROUND(I246+J246*TC,2)</f>
        <v>#REF!</v>
      </c>
      <c r="L246" s="343"/>
    </row>
    <row r="247" spans="2:12" ht="14.1" customHeight="1" outlineLevel="3">
      <c r="B247" s="346">
        <f>B244+0.00000001</f>
        <v>6.0802030499999979</v>
      </c>
      <c r="C247" s="510" t="s">
        <v>991</v>
      </c>
      <c r="D247" s="81" t="s">
        <v>169</v>
      </c>
      <c r="E247" s="111">
        <v>11.76</v>
      </c>
      <c r="F247" s="93">
        <v>110</v>
      </c>
      <c r="G247" s="82"/>
      <c r="H247" s="213" t="e">
        <f>+ROUND(F247+G247*TC,2)</f>
        <v>#REF!</v>
      </c>
      <c r="I247" s="213">
        <f t="shared" si="128"/>
        <v>1293.5999999999999</v>
      </c>
      <c r="J247" s="201">
        <f t="shared" ref="J247" si="130">+ROUND(E247*G247,2)</f>
        <v>0</v>
      </c>
      <c r="K247" s="93" t="e">
        <f>+ROUND(I247+J247*TC,2)</f>
        <v>#REF!</v>
      </c>
      <c r="L247" s="343"/>
    </row>
    <row r="248" spans="2:12" ht="14.1" customHeight="1" outlineLevel="2">
      <c r="B248" s="344">
        <f>B247+0.000001</f>
        <v>6.0802040499999981</v>
      </c>
      <c r="C248" s="352" t="s">
        <v>992</v>
      </c>
      <c r="D248" s="81"/>
      <c r="E248" s="111"/>
      <c r="F248" s="93" t="s">
        <v>8</v>
      </c>
      <c r="G248" s="82"/>
      <c r="H248" s="213"/>
      <c r="I248" s="213"/>
      <c r="J248" s="201"/>
      <c r="K248" s="93"/>
      <c r="L248" s="343"/>
    </row>
    <row r="249" spans="2:12" ht="14.1" customHeight="1" outlineLevel="3">
      <c r="B249" s="346">
        <f>B247+0.00000001</f>
        <v>6.0802030599999979</v>
      </c>
      <c r="C249" s="510" t="s">
        <v>923</v>
      </c>
      <c r="D249" s="81" t="s">
        <v>169</v>
      </c>
      <c r="E249" s="111">
        <v>31.06</v>
      </c>
      <c r="F249" s="93">
        <v>69.22</v>
      </c>
      <c r="G249" s="103">
        <v>0</v>
      </c>
      <c r="H249" s="213" t="e">
        <f>+ROUND(F249+G249*TC,2)</f>
        <v>#REF!</v>
      </c>
      <c r="I249" s="213">
        <f t="shared" si="128"/>
        <v>2149.9699999999998</v>
      </c>
      <c r="J249" s="201">
        <f t="shared" ref="J249" si="131">+ROUND(E249*G249,2)</f>
        <v>0</v>
      </c>
      <c r="K249" s="93" t="e">
        <f>+ROUND(I249+J249*TC,2)</f>
        <v>#REF!</v>
      </c>
      <c r="L249" s="343"/>
    </row>
    <row r="250" spans="2:12" ht="14.1" customHeight="1" outlineLevel="2">
      <c r="B250" s="344">
        <f>B249+0.000001</f>
        <v>6.080204059999998</v>
      </c>
      <c r="C250" s="352" t="s">
        <v>993</v>
      </c>
      <c r="D250" s="81"/>
      <c r="E250" s="111"/>
      <c r="F250" s="93" t="s">
        <v>8</v>
      </c>
      <c r="G250" s="82"/>
      <c r="H250" s="213"/>
      <c r="I250" s="213"/>
      <c r="J250" s="201"/>
      <c r="K250" s="93"/>
      <c r="L250" s="343"/>
    </row>
    <row r="251" spans="2:12" ht="14.1" customHeight="1" outlineLevel="3">
      <c r="B251" s="346">
        <f>B249+0.00000001</f>
        <v>6.0802030699999978</v>
      </c>
      <c r="C251" s="510" t="s">
        <v>994</v>
      </c>
      <c r="D251" s="81" t="s">
        <v>169</v>
      </c>
      <c r="E251" s="111">
        <v>86.57</v>
      </c>
      <c r="F251" s="93">
        <v>75</v>
      </c>
      <c r="G251" s="82"/>
      <c r="H251" s="213" t="e">
        <f>+ROUND(F251+G251*TC,2)</f>
        <v>#REF!</v>
      </c>
      <c r="I251" s="213">
        <f t="shared" si="128"/>
        <v>6492.75</v>
      </c>
      <c r="J251" s="201">
        <f t="shared" ref="J251" si="132">+ROUND(E251*G251,2)</f>
        <v>0</v>
      </c>
      <c r="K251" s="93" t="e">
        <f>+ROUND(I251+J251*TC,2)</f>
        <v>#REF!</v>
      </c>
      <c r="L251" s="343"/>
    </row>
    <row r="252" spans="2:12" ht="14.1" customHeight="1" outlineLevel="3">
      <c r="B252" s="346">
        <f t="shared" ref="B252:B253" si="133">B250+0.00000001</f>
        <v>6.080204069999998</v>
      </c>
      <c r="C252" s="510" t="s">
        <v>995</v>
      </c>
      <c r="D252" s="81" t="s">
        <v>169</v>
      </c>
      <c r="E252" s="111">
        <v>12.42</v>
      </c>
      <c r="F252" s="93">
        <v>16.8</v>
      </c>
      <c r="G252" s="103">
        <v>5.31</v>
      </c>
      <c r="H252" s="213" t="e">
        <f>+ROUND(F252+G252*TC,2)</f>
        <v>#REF!</v>
      </c>
      <c r="I252" s="213">
        <f t="shared" si="128"/>
        <v>208.66</v>
      </c>
      <c r="J252" s="201">
        <f t="shared" ref="J252" si="134">+ROUND(E252*G252,2)</f>
        <v>65.95</v>
      </c>
      <c r="K252" s="93" t="e">
        <f>+ROUND(I252+J252*TC,2)</f>
        <v>#REF!</v>
      </c>
      <c r="L252" s="343"/>
    </row>
    <row r="253" spans="2:12" ht="14.1" customHeight="1" outlineLevel="3">
      <c r="B253" s="346">
        <f t="shared" si="133"/>
        <v>6.0802030799999978</v>
      </c>
      <c r="C253" s="510" t="s">
        <v>996</v>
      </c>
      <c r="D253" s="81" t="s">
        <v>169</v>
      </c>
      <c r="E253" s="111">
        <v>21.09</v>
      </c>
      <c r="F253" s="93">
        <v>450</v>
      </c>
      <c r="G253" s="103"/>
      <c r="H253" s="213" t="e">
        <f>+ROUND(F253+G253*TC,2)</f>
        <v>#REF!</v>
      </c>
      <c r="I253" s="213">
        <f t="shared" si="128"/>
        <v>9490.5</v>
      </c>
      <c r="J253" s="201">
        <f t="shared" ref="J253" si="135">+ROUND(E253*G253,2)</f>
        <v>0</v>
      </c>
      <c r="K253" s="93" t="e">
        <f>+ROUND(I253+J253*TC,2)</f>
        <v>#REF!</v>
      </c>
      <c r="L253" s="343"/>
    </row>
    <row r="254" spans="2:12" ht="14.1" customHeight="1" outlineLevel="2">
      <c r="B254" s="344">
        <f>B253+0.000001</f>
        <v>6.0802040799999979</v>
      </c>
      <c r="C254" s="352" t="s">
        <v>939</v>
      </c>
      <c r="D254" s="81"/>
      <c r="E254" s="111"/>
      <c r="F254" s="93" t="s">
        <v>8</v>
      </c>
      <c r="G254" s="82"/>
      <c r="H254" s="213"/>
      <c r="I254" s="213"/>
      <c r="J254" s="201"/>
      <c r="K254" s="93"/>
      <c r="L254" s="343"/>
    </row>
    <row r="255" spans="2:12" ht="14.1" customHeight="1" outlineLevel="3">
      <c r="B255" s="346">
        <f>B253+0.00000001</f>
        <v>6.0802030899999977</v>
      </c>
      <c r="C255" s="510" t="s">
        <v>997</v>
      </c>
      <c r="D255" s="81" t="s">
        <v>169</v>
      </c>
      <c r="E255" s="111">
        <v>85.5</v>
      </c>
      <c r="F255" s="93">
        <v>75</v>
      </c>
      <c r="G255" s="82"/>
      <c r="H255" s="213" t="e">
        <f>+ROUND(F255+G255*TC,2)</f>
        <v>#REF!</v>
      </c>
      <c r="I255" s="213">
        <f t="shared" si="128"/>
        <v>6412.5</v>
      </c>
      <c r="J255" s="201">
        <f t="shared" ref="J255" si="136">+ROUND(E255*G255,2)</f>
        <v>0</v>
      </c>
      <c r="K255" s="93" t="e">
        <f>+ROUND(I255+J255*TC,2)</f>
        <v>#REF!</v>
      </c>
      <c r="L255" s="343"/>
    </row>
    <row r="256" spans="2:12" ht="14.1" customHeight="1" outlineLevel="2">
      <c r="B256" s="344">
        <f>B255+0.000001</f>
        <v>6.0802040899999978</v>
      </c>
      <c r="C256" s="352" t="s">
        <v>942</v>
      </c>
      <c r="D256" s="81"/>
      <c r="E256" s="111"/>
      <c r="F256" s="93" t="s">
        <v>8</v>
      </c>
      <c r="G256" s="82"/>
      <c r="H256" s="213"/>
      <c r="I256" s="213"/>
      <c r="J256" s="201"/>
      <c r="K256" s="93"/>
      <c r="L256" s="343"/>
    </row>
    <row r="257" spans="1:12" ht="14.1" customHeight="1" outlineLevel="3">
      <c r="B257" s="346">
        <f>B255+0.00000001</f>
        <v>6.0802030999999976</v>
      </c>
      <c r="C257" s="512" t="s">
        <v>979</v>
      </c>
      <c r="D257" s="81" t="s">
        <v>169</v>
      </c>
      <c r="E257" s="111">
        <v>1.33</v>
      </c>
      <c r="F257" s="93">
        <v>70.319999999999993</v>
      </c>
      <c r="G257" s="103">
        <v>0</v>
      </c>
      <c r="H257" s="213" t="e">
        <f>+ROUND(F257+G257*TC,2)</f>
        <v>#REF!</v>
      </c>
      <c r="I257" s="213">
        <f t="shared" si="128"/>
        <v>93.53</v>
      </c>
      <c r="J257" s="201">
        <f t="shared" ref="J257" si="137">+ROUND(E257*G257,2)</f>
        <v>0</v>
      </c>
      <c r="K257" s="93" t="e">
        <f>+ROUND(I257+J257*TC,2)</f>
        <v>#REF!</v>
      </c>
      <c r="L257" s="343"/>
    </row>
    <row r="258" spans="1:12" ht="14.1" customHeight="1" outlineLevel="1">
      <c r="B258" s="359">
        <f>B248+0.0001</f>
        <v>6.0803040499999979</v>
      </c>
      <c r="C258" s="356" t="s">
        <v>998</v>
      </c>
      <c r="D258" s="81"/>
      <c r="E258" s="111"/>
      <c r="F258" s="93" t="s">
        <v>8</v>
      </c>
      <c r="G258" s="82"/>
      <c r="H258" s="213"/>
      <c r="I258" s="213"/>
      <c r="J258" s="201"/>
      <c r="K258" s="93"/>
      <c r="L258" s="343"/>
    </row>
    <row r="259" spans="1:12" ht="14.1" customHeight="1" outlineLevel="2">
      <c r="B259" s="344">
        <f>B258+0.000001</f>
        <v>6.080305049999998</v>
      </c>
      <c r="C259" s="352" t="s">
        <v>999</v>
      </c>
      <c r="D259" s="81"/>
      <c r="E259" s="111"/>
      <c r="F259" s="93" t="s">
        <v>8</v>
      </c>
      <c r="G259" s="82"/>
      <c r="H259" s="213"/>
      <c r="I259" s="213"/>
      <c r="J259" s="201"/>
      <c r="K259" s="93"/>
      <c r="L259" s="343"/>
    </row>
    <row r="260" spans="1:12" ht="14.1" customHeight="1" outlineLevel="3">
      <c r="A260" s="413"/>
      <c r="B260" s="346">
        <f>B259+0.00000001</f>
        <v>6.0803050599999979</v>
      </c>
      <c r="C260" s="510" t="s">
        <v>923</v>
      </c>
      <c r="D260" s="81" t="s">
        <v>169</v>
      </c>
      <c r="E260" s="111">
        <v>155.65</v>
      </c>
      <c r="F260" s="93">
        <v>69.22</v>
      </c>
      <c r="G260" s="82"/>
      <c r="H260" s="213" t="e">
        <f>+ROUND(F260+G260*TC,2)</f>
        <v>#REF!</v>
      </c>
      <c r="I260" s="213">
        <f t="shared" si="128"/>
        <v>10774.09</v>
      </c>
      <c r="J260" s="201">
        <f t="shared" ref="J260" si="138">+ROUND(E260*G260,2)</f>
        <v>0</v>
      </c>
      <c r="K260" s="93" t="e">
        <f>+ROUND(I260+J260*TC,2)</f>
        <v>#REF!</v>
      </c>
      <c r="L260" s="343"/>
    </row>
    <row r="261" spans="1:12" ht="14.1" customHeight="1" outlineLevel="2">
      <c r="B261" s="344">
        <f>B259+0.000001</f>
        <v>6.0803060499999981</v>
      </c>
      <c r="C261" s="352" t="s">
        <v>1000</v>
      </c>
      <c r="D261" s="81"/>
      <c r="E261" s="111"/>
      <c r="F261" s="93" t="s">
        <v>8</v>
      </c>
      <c r="G261" s="82"/>
      <c r="H261" s="213"/>
      <c r="I261" s="213"/>
      <c r="J261" s="201"/>
      <c r="K261" s="93"/>
      <c r="L261" s="343"/>
    </row>
    <row r="262" spans="1:12" ht="14.1" customHeight="1" outlineLevel="3">
      <c r="B262" s="346">
        <f>B261+0.00000001</f>
        <v>6.0803060599999981</v>
      </c>
      <c r="C262" s="510" t="s">
        <v>1001</v>
      </c>
      <c r="D262" s="81" t="s">
        <v>169</v>
      </c>
      <c r="E262" s="111">
        <v>38.51</v>
      </c>
      <c r="F262" s="93">
        <v>75</v>
      </c>
      <c r="G262" s="82"/>
      <c r="H262" s="213" t="e">
        <f>+ROUND(F262+G262*TC,2)</f>
        <v>#REF!</v>
      </c>
      <c r="I262" s="213">
        <f t="shared" si="128"/>
        <v>2888.25</v>
      </c>
      <c r="J262" s="201">
        <f t="shared" ref="J262:J263" si="139">+ROUND(E262*G262,2)</f>
        <v>0</v>
      </c>
      <c r="K262" s="93" t="e">
        <f>+ROUND(I262+J262*TC,2)</f>
        <v>#REF!</v>
      </c>
      <c r="L262" s="343"/>
    </row>
    <row r="263" spans="1:12" ht="14.1" customHeight="1" outlineLevel="3">
      <c r="B263" s="346">
        <f>B262+0.00000001</f>
        <v>6.080306069999998</v>
      </c>
      <c r="C263" s="510" t="s">
        <v>1002</v>
      </c>
      <c r="D263" s="81" t="s">
        <v>169</v>
      </c>
      <c r="E263" s="111">
        <v>40.96</v>
      </c>
      <c r="F263" s="93">
        <v>110</v>
      </c>
      <c r="G263" s="103"/>
      <c r="H263" s="213" t="e">
        <f>+ROUND(F263+G263*TC,2)</f>
        <v>#REF!</v>
      </c>
      <c r="I263" s="213">
        <f t="shared" si="128"/>
        <v>4505.6000000000004</v>
      </c>
      <c r="J263" s="201">
        <f t="shared" si="139"/>
        <v>0</v>
      </c>
      <c r="K263" s="93" t="e">
        <f>+ROUND(I263+J263*TC,2)</f>
        <v>#REF!</v>
      </c>
      <c r="L263" s="343"/>
    </row>
    <row r="264" spans="1:12" ht="14.1" customHeight="1" outlineLevel="3">
      <c r="B264" s="346">
        <f>B263+0.00000001</f>
        <v>6.0803060799999979</v>
      </c>
      <c r="C264" s="510" t="s">
        <v>1003</v>
      </c>
      <c r="D264" s="81" t="s">
        <v>169</v>
      </c>
      <c r="E264" s="111">
        <v>28.64</v>
      </c>
      <c r="F264" s="93">
        <v>75</v>
      </c>
      <c r="G264" s="82"/>
      <c r="H264" s="213" t="e">
        <f>+ROUND(F264+G264*TC,2)</f>
        <v>#REF!</v>
      </c>
      <c r="I264" s="213">
        <f t="shared" si="128"/>
        <v>2148</v>
      </c>
      <c r="J264" s="201">
        <f t="shared" ref="J264:J265" si="140">+ROUND(E264*G264,2)</f>
        <v>0</v>
      </c>
      <c r="K264" s="93" t="e">
        <f>+ROUND(I264+J264*TC,2)</f>
        <v>#REF!</v>
      </c>
      <c r="L264" s="343"/>
    </row>
    <row r="265" spans="1:12" ht="14.1" customHeight="1" outlineLevel="3">
      <c r="B265" s="346">
        <f>B264+0.00000001</f>
        <v>6.0803060899999979</v>
      </c>
      <c r="C265" s="513" t="s">
        <v>1004</v>
      </c>
      <c r="D265" s="81" t="s">
        <v>169</v>
      </c>
      <c r="E265" s="111">
        <v>16.79</v>
      </c>
      <c r="F265" s="93">
        <v>250</v>
      </c>
      <c r="G265" s="103"/>
      <c r="H265" s="213" t="e">
        <f>+ROUND(F265+G265*TC,2)</f>
        <v>#REF!</v>
      </c>
      <c r="I265" s="213">
        <f t="shared" si="128"/>
        <v>4197.5</v>
      </c>
      <c r="J265" s="201">
        <f t="shared" si="140"/>
        <v>0</v>
      </c>
      <c r="K265" s="93" t="e">
        <f>+ROUND(I265+J265*TC,2)</f>
        <v>#REF!</v>
      </c>
      <c r="L265" s="343"/>
    </row>
    <row r="266" spans="1:12" ht="14.1" customHeight="1" outlineLevel="2">
      <c r="B266" s="344">
        <f>B263+0.000001</f>
        <v>6.0803070699999981</v>
      </c>
      <c r="C266" s="352" t="s">
        <v>952</v>
      </c>
      <c r="D266" s="81"/>
      <c r="E266" s="111"/>
      <c r="F266" s="93" t="s">
        <v>8</v>
      </c>
      <c r="G266" s="82"/>
      <c r="H266" s="213"/>
      <c r="I266" s="213"/>
      <c r="J266" s="201"/>
      <c r="K266" s="93"/>
      <c r="L266" s="343"/>
    </row>
    <row r="267" spans="1:12" ht="14.1" customHeight="1" outlineLevel="3">
      <c r="B267" s="346">
        <f>B266+0.00000001</f>
        <v>6.0803070799999981</v>
      </c>
      <c r="C267" s="510" t="s">
        <v>1005</v>
      </c>
      <c r="D267" s="81" t="s">
        <v>169</v>
      </c>
      <c r="E267" s="111">
        <v>82.64</v>
      </c>
      <c r="F267" s="93">
        <v>75</v>
      </c>
      <c r="G267" s="82"/>
      <c r="H267" s="213" t="e">
        <f>+ROUND(F267+G267*TC,2)</f>
        <v>#REF!</v>
      </c>
      <c r="I267" s="213">
        <f t="shared" si="128"/>
        <v>6198</v>
      </c>
      <c r="J267" s="201">
        <f t="shared" ref="J267:J269" si="141">+ROUND(E267*G267,2)</f>
        <v>0</v>
      </c>
      <c r="K267" s="93" t="e">
        <f>+ROUND(I267+J267*TC,2)</f>
        <v>#REF!</v>
      </c>
      <c r="L267" s="343"/>
    </row>
    <row r="268" spans="1:12" ht="14.1" customHeight="1" outlineLevel="3">
      <c r="B268" s="346">
        <f>B267+0.00000001</f>
        <v>6.080307089999998</v>
      </c>
      <c r="C268" s="510" t="s">
        <v>1002</v>
      </c>
      <c r="D268" s="81" t="s">
        <v>169</v>
      </c>
      <c r="E268" s="111">
        <v>9.61</v>
      </c>
      <c r="F268" s="93">
        <v>110</v>
      </c>
      <c r="G268" s="103"/>
      <c r="H268" s="213" t="e">
        <f>+ROUND(F268+G268*TC,2)</f>
        <v>#REF!</v>
      </c>
      <c r="I268" s="213">
        <f t="shared" si="128"/>
        <v>1057.0999999999999</v>
      </c>
      <c r="J268" s="201">
        <f t="shared" si="141"/>
        <v>0</v>
      </c>
      <c r="K268" s="93" t="e">
        <f>+ROUND(I268+J268*TC,2)</f>
        <v>#REF!</v>
      </c>
      <c r="L268" s="343"/>
    </row>
    <row r="269" spans="1:12" ht="14.1" customHeight="1" outlineLevel="3">
      <c r="B269" s="346">
        <f>B268+0.00000001</f>
        <v>6.080307099999998</v>
      </c>
      <c r="C269" s="510" t="s">
        <v>930</v>
      </c>
      <c r="D269" s="81" t="s">
        <v>169</v>
      </c>
      <c r="E269" s="111">
        <v>16.16</v>
      </c>
      <c r="F269" s="93">
        <v>47.26</v>
      </c>
      <c r="G269" s="103">
        <v>29.4</v>
      </c>
      <c r="H269" s="213" t="e">
        <f>+ROUND(F269+G269*TC,2)</f>
        <v>#REF!</v>
      </c>
      <c r="I269" s="213">
        <f t="shared" si="128"/>
        <v>763.72</v>
      </c>
      <c r="J269" s="201">
        <f t="shared" si="141"/>
        <v>475.1</v>
      </c>
      <c r="K269" s="93" t="e">
        <f>+ROUND(I269+J269*TC,2)</f>
        <v>#REF!</v>
      </c>
      <c r="L269" s="343"/>
    </row>
    <row r="270" spans="1:12" ht="14.1" customHeight="1" outlineLevel="3">
      <c r="B270" s="346">
        <f>B269+0.00000001</f>
        <v>6.0803071099999979</v>
      </c>
      <c r="C270" s="510" t="s">
        <v>1006</v>
      </c>
      <c r="D270" s="81" t="s">
        <v>169</v>
      </c>
      <c r="E270" s="111">
        <v>22.78</v>
      </c>
      <c r="F270" s="93">
        <v>250</v>
      </c>
      <c r="G270" s="103"/>
      <c r="H270" s="213" t="e">
        <f>+ROUND(F270+G270*TC,2)</f>
        <v>#REF!</v>
      </c>
      <c r="I270" s="213">
        <f t="shared" si="128"/>
        <v>5695</v>
      </c>
      <c r="J270" s="201">
        <f t="shared" ref="J270" si="142">+ROUND(E270*G270,2)</f>
        <v>0</v>
      </c>
      <c r="K270" s="93" t="e">
        <f>+ROUND(I270+J270*TC,2)</f>
        <v>#REF!</v>
      </c>
      <c r="L270" s="343"/>
    </row>
    <row r="271" spans="1:12" ht="14.1" customHeight="1" outlineLevel="2">
      <c r="B271" s="344">
        <f>B261+0.000001</f>
        <v>6.0803070499999983</v>
      </c>
      <c r="C271" s="352" t="s">
        <v>966</v>
      </c>
      <c r="D271" s="81"/>
      <c r="E271" s="111"/>
      <c r="F271" s="93" t="s">
        <v>8</v>
      </c>
      <c r="G271" s="82"/>
      <c r="H271" s="213"/>
      <c r="I271" s="213"/>
      <c r="J271" s="201"/>
      <c r="K271" s="93"/>
      <c r="L271" s="343"/>
    </row>
    <row r="272" spans="1:12" ht="14.1" customHeight="1" outlineLevel="3">
      <c r="B272" s="346">
        <f>B271+0.00000001</f>
        <v>6.0803070599999982</v>
      </c>
      <c r="C272" s="510" t="s">
        <v>975</v>
      </c>
      <c r="D272" s="81" t="s">
        <v>169</v>
      </c>
      <c r="E272" s="111">
        <v>14.43</v>
      </c>
      <c r="F272" s="93">
        <v>73.490000000000009</v>
      </c>
      <c r="G272" s="103">
        <v>0</v>
      </c>
      <c r="H272" s="213" t="e">
        <f>+ROUND(F272+G272*TC,2)</f>
        <v>#REF!</v>
      </c>
      <c r="I272" s="213">
        <f t="shared" si="128"/>
        <v>1060.46</v>
      </c>
      <c r="J272" s="201">
        <f t="shared" ref="J272" si="143">+ROUND(E272*G272,2)</f>
        <v>0</v>
      </c>
      <c r="K272" s="93" t="e">
        <f>+ROUND(I272+J272*TC,2)</f>
        <v>#REF!</v>
      </c>
      <c r="L272" s="343"/>
    </row>
    <row r="273" spans="2:12" ht="14.1" customHeight="1" outlineLevel="2">
      <c r="B273" s="344">
        <f>B263+0.000001</f>
        <v>6.0803070699999981</v>
      </c>
      <c r="C273" s="352" t="s">
        <v>1007</v>
      </c>
      <c r="D273" s="81"/>
      <c r="E273" s="111"/>
      <c r="F273" s="93" t="s">
        <v>8</v>
      </c>
      <c r="G273" s="82"/>
      <c r="H273" s="213"/>
      <c r="I273" s="213"/>
      <c r="J273" s="201"/>
      <c r="K273" s="93"/>
      <c r="L273" s="343"/>
    </row>
    <row r="274" spans="2:12" ht="14.1" customHeight="1" outlineLevel="3">
      <c r="B274" s="346">
        <f>B273+0.00000001</f>
        <v>6.0803070799999981</v>
      </c>
      <c r="C274" s="510" t="s">
        <v>975</v>
      </c>
      <c r="D274" s="81" t="s">
        <v>169</v>
      </c>
      <c r="E274" s="111">
        <v>96.16</v>
      </c>
      <c r="F274" s="93">
        <v>73.490000000000009</v>
      </c>
      <c r="G274" s="103">
        <v>0</v>
      </c>
      <c r="H274" s="213" t="e">
        <f>+ROUND(F274+G274*TC,2)</f>
        <v>#REF!</v>
      </c>
      <c r="I274" s="213">
        <f t="shared" si="128"/>
        <v>7066.8</v>
      </c>
      <c r="J274" s="201">
        <f t="shared" ref="J274" si="144">+ROUND(E274*G274,2)</f>
        <v>0</v>
      </c>
      <c r="K274" s="93" t="e">
        <f>+ROUND(I274+J274*TC,2)</f>
        <v>#REF!</v>
      </c>
      <c r="L274" s="343"/>
    </row>
    <row r="275" spans="2:12" ht="14.1" customHeight="1" outlineLevel="2">
      <c r="B275" s="344">
        <f>B265+0.000001</f>
        <v>6.080307089999998</v>
      </c>
      <c r="C275" s="352" t="s">
        <v>957</v>
      </c>
      <c r="D275" s="81"/>
      <c r="E275" s="111"/>
      <c r="F275" s="93" t="s">
        <v>8</v>
      </c>
      <c r="G275" s="82"/>
      <c r="H275" s="213"/>
      <c r="I275" s="213"/>
      <c r="J275" s="201"/>
      <c r="K275" s="93"/>
      <c r="L275" s="343"/>
    </row>
    <row r="276" spans="2:12" ht="14.1" customHeight="1" outlineLevel="3">
      <c r="B276" s="346">
        <f>B275+0.00000001</f>
        <v>6.080307099999998</v>
      </c>
      <c r="C276" s="510" t="s">
        <v>1008</v>
      </c>
      <c r="D276" s="81" t="s">
        <v>169</v>
      </c>
      <c r="E276" s="111">
        <v>109.05</v>
      </c>
      <c r="F276" s="93">
        <v>50</v>
      </c>
      <c r="G276" s="103"/>
      <c r="H276" s="213" t="e">
        <f>+ROUND(F276+G276*TC,2)</f>
        <v>#REF!</v>
      </c>
      <c r="I276" s="213">
        <f t="shared" si="128"/>
        <v>5452.5</v>
      </c>
      <c r="J276" s="201">
        <f t="shared" ref="J276:J277" si="145">+ROUND(E276*G276,2)</f>
        <v>0</v>
      </c>
      <c r="K276" s="93" t="e">
        <f>+ROUND(I276+J276*TC,2)</f>
        <v>#REF!</v>
      </c>
      <c r="L276" s="343"/>
    </row>
    <row r="277" spans="2:12" ht="14.1" customHeight="1" outlineLevel="3">
      <c r="B277" s="346">
        <f>B276+0.00000001</f>
        <v>6.0803071099999979</v>
      </c>
      <c r="C277" s="510" t="s">
        <v>1005</v>
      </c>
      <c r="D277" s="81" t="s">
        <v>169</v>
      </c>
      <c r="E277" s="111">
        <v>2.83</v>
      </c>
      <c r="F277" s="93">
        <v>75</v>
      </c>
      <c r="G277" s="82"/>
      <c r="H277" s="213" t="e">
        <f>+ROUND(F277+G277*TC,2)</f>
        <v>#REF!</v>
      </c>
      <c r="I277" s="213">
        <f t="shared" si="128"/>
        <v>212.25</v>
      </c>
      <c r="J277" s="201">
        <f t="shared" si="145"/>
        <v>0</v>
      </c>
      <c r="K277" s="93" t="e">
        <f>+ROUND(I277+J277*TC,2)</f>
        <v>#REF!</v>
      </c>
      <c r="L277" s="343"/>
    </row>
    <row r="278" spans="2:12" ht="14.1" customHeight="1" outlineLevel="2">
      <c r="B278" s="344">
        <f>B268+0.000001</f>
        <v>6.0803080899999982</v>
      </c>
      <c r="C278" s="352" t="s">
        <v>960</v>
      </c>
      <c r="D278" s="81"/>
      <c r="E278" s="111"/>
      <c r="F278" s="93" t="s">
        <v>8</v>
      </c>
      <c r="G278" s="82"/>
      <c r="H278" s="213"/>
      <c r="I278" s="213"/>
      <c r="J278" s="201"/>
      <c r="K278" s="93"/>
      <c r="L278" s="343"/>
    </row>
    <row r="279" spans="2:12" ht="14.1" customHeight="1" outlineLevel="3">
      <c r="B279" s="346">
        <f>B278+0.00000001</f>
        <v>6.0803080999999981</v>
      </c>
      <c r="C279" s="510" t="s">
        <v>955</v>
      </c>
      <c r="D279" s="81" t="s">
        <v>169</v>
      </c>
      <c r="E279" s="111">
        <v>16.45</v>
      </c>
      <c r="F279" s="93">
        <v>229.29000000000002</v>
      </c>
      <c r="G279" s="103">
        <v>0</v>
      </c>
      <c r="H279" s="213" t="e">
        <f t="shared" ref="H279:H284" si="146">+ROUND(F279+G279*TC,2)</f>
        <v>#REF!</v>
      </c>
      <c r="I279" s="213">
        <f t="shared" si="128"/>
        <v>3771.82</v>
      </c>
      <c r="J279" s="201">
        <f t="shared" ref="J279" si="147">+ROUND(E279*G279,2)</f>
        <v>0</v>
      </c>
      <c r="K279" s="93" t="e">
        <f t="shared" ref="K279:K284" si="148">+ROUND(I279+J279*TC,2)</f>
        <v>#REF!</v>
      </c>
      <c r="L279" s="343"/>
    </row>
    <row r="280" spans="2:12" ht="14.1" customHeight="1" outlineLevel="3">
      <c r="B280" s="346"/>
      <c r="C280" s="510" t="s">
        <v>1009</v>
      </c>
      <c r="D280" s="81" t="s">
        <v>169</v>
      </c>
      <c r="E280" s="111">
        <v>1.47</v>
      </c>
      <c r="F280" s="93">
        <v>950</v>
      </c>
      <c r="G280" s="103"/>
      <c r="H280" s="213" t="e">
        <f t="shared" si="146"/>
        <v>#REF!</v>
      </c>
      <c r="I280" s="213">
        <f t="shared" si="128"/>
        <v>1396.5</v>
      </c>
      <c r="J280" s="201">
        <f t="shared" ref="J280:J283" si="149">+ROUND(E280*G280,2)</f>
        <v>0</v>
      </c>
      <c r="K280" s="93" t="e">
        <f t="shared" si="148"/>
        <v>#REF!</v>
      </c>
      <c r="L280" s="343"/>
    </row>
    <row r="281" spans="2:12" ht="14.1" customHeight="1" outlineLevel="3">
      <c r="B281" s="346">
        <f>B280+0.00000001</f>
        <v>1E-8</v>
      </c>
      <c r="C281" s="510" t="s">
        <v>997</v>
      </c>
      <c r="D281" s="81" t="s">
        <v>169</v>
      </c>
      <c r="E281" s="111">
        <v>8.6</v>
      </c>
      <c r="F281" s="93">
        <v>75</v>
      </c>
      <c r="G281" s="82"/>
      <c r="H281" s="213" t="e">
        <f t="shared" si="146"/>
        <v>#REF!</v>
      </c>
      <c r="I281" s="213">
        <f t="shared" si="128"/>
        <v>645</v>
      </c>
      <c r="J281" s="201">
        <f t="shared" si="149"/>
        <v>0</v>
      </c>
      <c r="K281" s="93" t="e">
        <f t="shared" si="148"/>
        <v>#REF!</v>
      </c>
      <c r="L281" s="343"/>
    </row>
    <row r="282" spans="2:12" ht="14.1" customHeight="1" outlineLevel="3">
      <c r="B282" s="346">
        <f>B279+0.00000001</f>
        <v>6.080308109999998</v>
      </c>
      <c r="C282" s="510" t="s">
        <v>1010</v>
      </c>
      <c r="D282" s="81" t="s">
        <v>169</v>
      </c>
      <c r="E282" s="111">
        <v>1.9</v>
      </c>
      <c r="F282" s="93">
        <v>110</v>
      </c>
      <c r="G282" s="82"/>
      <c r="H282" s="213" t="e">
        <f t="shared" si="146"/>
        <v>#REF!</v>
      </c>
      <c r="I282" s="213">
        <f t="shared" si="128"/>
        <v>209</v>
      </c>
      <c r="J282" s="201">
        <f t="shared" si="149"/>
        <v>0</v>
      </c>
      <c r="K282" s="93" t="e">
        <f t="shared" si="148"/>
        <v>#REF!</v>
      </c>
      <c r="L282" s="343"/>
    </row>
    <row r="283" spans="2:12" ht="14.1" customHeight="1" outlineLevel="3">
      <c r="B283" s="346">
        <f>B282+0.00000001</f>
        <v>6.080308119999998</v>
      </c>
      <c r="C283" s="510" t="s">
        <v>1011</v>
      </c>
      <c r="D283" s="81" t="s">
        <v>169</v>
      </c>
      <c r="E283" s="111">
        <v>15.03</v>
      </c>
      <c r="F283" s="93">
        <v>290</v>
      </c>
      <c r="G283" s="103"/>
      <c r="H283" s="213" t="e">
        <f t="shared" si="146"/>
        <v>#REF!</v>
      </c>
      <c r="I283" s="213">
        <f t="shared" si="128"/>
        <v>4358.7</v>
      </c>
      <c r="J283" s="201">
        <f t="shared" si="149"/>
        <v>0</v>
      </c>
      <c r="K283" s="93" t="e">
        <f t="shared" si="148"/>
        <v>#REF!</v>
      </c>
      <c r="L283" s="343"/>
    </row>
    <row r="284" spans="2:12" ht="14.1" customHeight="1" outlineLevel="3">
      <c r="B284" s="346">
        <f>B283+0.00000001</f>
        <v>6.0803081299999979</v>
      </c>
      <c r="C284" s="510" t="s">
        <v>1012</v>
      </c>
      <c r="D284" s="81" t="s">
        <v>169</v>
      </c>
      <c r="E284" s="111">
        <v>6.5</v>
      </c>
      <c r="F284" s="93">
        <v>290</v>
      </c>
      <c r="G284" s="103"/>
      <c r="H284" s="213" t="e">
        <f t="shared" si="146"/>
        <v>#REF!</v>
      </c>
      <c r="I284" s="213">
        <f t="shared" si="128"/>
        <v>1885</v>
      </c>
      <c r="J284" s="201">
        <f t="shared" ref="J284" si="150">+ROUND(E284*G284,2)</f>
        <v>0</v>
      </c>
      <c r="K284" s="93" t="e">
        <f t="shared" si="148"/>
        <v>#REF!</v>
      </c>
      <c r="L284" s="343"/>
    </row>
    <row r="285" spans="2:12" ht="14.1" customHeight="1" outlineLevel="2">
      <c r="B285" s="344">
        <f>B275+0.000001</f>
        <v>6.0803080899999982</v>
      </c>
      <c r="C285" s="352" t="s">
        <v>954</v>
      </c>
      <c r="D285" s="81"/>
      <c r="E285" s="111"/>
      <c r="F285" s="93" t="s">
        <v>8</v>
      </c>
      <c r="G285" s="82"/>
      <c r="H285" s="213"/>
      <c r="I285" s="213"/>
      <c r="J285" s="201"/>
      <c r="K285" s="93"/>
      <c r="L285" s="343"/>
    </row>
    <row r="286" spans="2:12" ht="14.1" customHeight="1" outlineLevel="3">
      <c r="B286" s="346">
        <f>B285+0.00000001</f>
        <v>6.0803080999999981</v>
      </c>
      <c r="C286" s="510" t="s">
        <v>1005</v>
      </c>
      <c r="D286" s="81" t="s">
        <v>169</v>
      </c>
      <c r="E286" s="111">
        <v>41.57</v>
      </c>
      <c r="F286" s="93">
        <v>75</v>
      </c>
      <c r="G286" s="82"/>
      <c r="H286" s="213" t="e">
        <f>+ROUND(F286+G286*TC,2)</f>
        <v>#REF!</v>
      </c>
      <c r="I286" s="213">
        <f t="shared" si="128"/>
        <v>3117.75</v>
      </c>
      <c r="J286" s="201">
        <f t="shared" ref="J286:J287" si="151">+ROUND(E286*G286,2)</f>
        <v>0</v>
      </c>
      <c r="K286" s="93" t="e">
        <f>+ROUND(I286+J286*TC,2)</f>
        <v>#REF!</v>
      </c>
      <c r="L286" s="343"/>
    </row>
    <row r="287" spans="2:12" ht="14.1" customHeight="1" outlineLevel="3">
      <c r="B287" s="346">
        <f>B286+0.00000001</f>
        <v>6.080308109999998</v>
      </c>
      <c r="C287" s="510" t="s">
        <v>946</v>
      </c>
      <c r="D287" s="81" t="s">
        <v>169</v>
      </c>
      <c r="E287" s="111">
        <v>2.21</v>
      </c>
      <c r="F287" s="93">
        <v>62.92</v>
      </c>
      <c r="G287" s="103">
        <v>48</v>
      </c>
      <c r="H287" s="213" t="e">
        <f>+ROUND(F287+G287*TC,2)</f>
        <v>#REF!</v>
      </c>
      <c r="I287" s="213">
        <f t="shared" si="128"/>
        <v>139.05000000000001</v>
      </c>
      <c r="J287" s="201">
        <f t="shared" si="151"/>
        <v>106.08</v>
      </c>
      <c r="K287" s="93" t="e">
        <f>+ROUND(I287+J287*TC,2)</f>
        <v>#REF!</v>
      </c>
      <c r="L287" s="343"/>
    </row>
    <row r="288" spans="2:12" ht="14.1" customHeight="1" outlineLevel="2">
      <c r="B288" s="344">
        <f>B278+0.000001</f>
        <v>6.0803090899999983</v>
      </c>
      <c r="C288" s="352" t="s">
        <v>1013</v>
      </c>
      <c r="D288" s="81"/>
      <c r="E288" s="111"/>
      <c r="F288" s="93" t="s">
        <v>8</v>
      </c>
      <c r="G288" s="82"/>
      <c r="H288" s="213"/>
      <c r="I288" s="213"/>
      <c r="J288" s="201"/>
      <c r="K288" s="93"/>
      <c r="L288" s="343"/>
    </row>
    <row r="289" spans="2:12" ht="14.1" customHeight="1" outlineLevel="3">
      <c r="B289" s="346">
        <f>B288+0.00000001</f>
        <v>6.0803090999999982</v>
      </c>
      <c r="C289" s="510" t="s">
        <v>1014</v>
      </c>
      <c r="D289" s="81" t="s">
        <v>169</v>
      </c>
      <c r="E289" s="111">
        <v>2.93</v>
      </c>
      <c r="F289" s="93">
        <v>75</v>
      </c>
      <c r="G289" s="82"/>
      <c r="H289" s="213" t="e">
        <f>+ROUND(F289+G289*TC,2)</f>
        <v>#REF!</v>
      </c>
      <c r="I289" s="213">
        <f t="shared" si="128"/>
        <v>219.75</v>
      </c>
      <c r="J289" s="201">
        <f t="shared" ref="J289" si="152">+ROUND(E289*G289,2)</f>
        <v>0</v>
      </c>
      <c r="K289" s="93" t="e">
        <f>+ROUND(I289+J289*TC,2)</f>
        <v>#REF!</v>
      </c>
      <c r="L289" s="343"/>
    </row>
    <row r="290" spans="2:12" ht="14.1" customHeight="1" outlineLevel="3">
      <c r="B290" s="346">
        <f>B289+0.00000001</f>
        <v>6.0803091099999982</v>
      </c>
      <c r="C290" s="510" t="s">
        <v>1015</v>
      </c>
      <c r="D290" s="81" t="s">
        <v>169</v>
      </c>
      <c r="E290" s="111">
        <v>40.85</v>
      </c>
      <c r="F290" s="93">
        <v>75</v>
      </c>
      <c r="G290" s="82"/>
      <c r="H290" s="213" t="e">
        <f>+ROUND(F290+G290*TC,2)</f>
        <v>#REF!</v>
      </c>
      <c r="I290" s="213">
        <f t="shared" si="128"/>
        <v>3063.75</v>
      </c>
      <c r="J290" s="201">
        <f t="shared" ref="J290" si="153">+ROUND(E290*G290,2)</f>
        <v>0</v>
      </c>
      <c r="K290" s="93" t="e">
        <f>+ROUND(I290+J290*TC,2)</f>
        <v>#REF!</v>
      </c>
      <c r="L290" s="343"/>
    </row>
    <row r="291" spans="2:12" ht="13.5" customHeight="1">
      <c r="B291" s="218">
        <f>B226+0.01</f>
        <v>6.0899999999999981</v>
      </c>
      <c r="C291" s="508" t="s">
        <v>1016</v>
      </c>
      <c r="D291" s="81"/>
      <c r="E291" s="81"/>
      <c r="F291" s="81"/>
      <c r="G291" s="81"/>
      <c r="H291" s="354"/>
      <c r="I291" s="213">
        <f t="shared" si="128"/>
        <v>0</v>
      </c>
      <c r="J291" s="354"/>
      <c r="K291" s="354"/>
      <c r="L291" s="612" t="e">
        <f>SUM(I291:I293)+SUM(J291:J293)*TC</f>
        <v>#REF!</v>
      </c>
    </row>
    <row r="292" spans="2:12" ht="14.1" customHeight="1" outlineLevel="1">
      <c r="B292" s="359">
        <f>B291+0.0001</f>
        <v>6.0900999999999978</v>
      </c>
      <c r="C292" s="356" t="s">
        <v>916</v>
      </c>
      <c r="D292" s="81"/>
      <c r="E292" s="111"/>
      <c r="F292" s="93" t="s">
        <v>8</v>
      </c>
      <c r="G292" s="82"/>
      <c r="H292" s="213"/>
      <c r="I292" s="213"/>
      <c r="J292" s="201"/>
      <c r="K292" s="93"/>
      <c r="L292" s="343"/>
    </row>
    <row r="293" spans="2:12" ht="14.1" customHeight="1" outlineLevel="2">
      <c r="B293" s="143">
        <f>B292+0.000001</f>
        <v>6.090100999999998</v>
      </c>
      <c r="C293" s="348" t="s">
        <v>1017</v>
      </c>
      <c r="D293" s="81" t="s">
        <v>46</v>
      </c>
      <c r="E293" s="111">
        <v>256.74</v>
      </c>
      <c r="F293" s="93">
        <v>72.38</v>
      </c>
      <c r="G293" s="82"/>
      <c r="H293" s="213" t="e">
        <f>+ROUND(F293+G293*TC,2)</f>
        <v>#REF!</v>
      </c>
      <c r="I293" s="213">
        <f t="shared" si="128"/>
        <v>18582.84</v>
      </c>
      <c r="J293" s="201">
        <f t="shared" ref="J293:J334" si="154">+ROUND(E293*G293,2)</f>
        <v>0</v>
      </c>
      <c r="K293" s="93" t="e">
        <f>+ROUND(I293+J293*TC,2)</f>
        <v>#REF!</v>
      </c>
      <c r="L293" s="343"/>
    </row>
    <row r="294" spans="2:12" ht="13.5" customHeight="1">
      <c r="B294" s="218">
        <f>B291+0.01</f>
        <v>6.0999999999999979</v>
      </c>
      <c r="C294" s="508" t="s">
        <v>680</v>
      </c>
      <c r="D294" s="81"/>
      <c r="E294" s="81"/>
      <c r="F294" s="81"/>
      <c r="G294" s="81"/>
      <c r="H294" s="354"/>
      <c r="I294" s="213">
        <f t="shared" si="128"/>
        <v>0</v>
      </c>
      <c r="J294" s="354"/>
      <c r="K294" s="354"/>
      <c r="L294" s="612" t="e">
        <f>SUM(I294:I338)+SUM(J294:J338)*TC</f>
        <v>#REF!</v>
      </c>
    </row>
    <row r="295" spans="2:12" ht="14.1" customHeight="1" outlineLevel="1">
      <c r="B295" s="359">
        <f>B294+0.0001</f>
        <v>6.1000999999999976</v>
      </c>
      <c r="C295" s="356" t="s">
        <v>916</v>
      </c>
      <c r="D295" s="81"/>
      <c r="E295" s="111"/>
      <c r="F295" s="93" t="s">
        <v>8</v>
      </c>
      <c r="G295" s="103"/>
      <c r="H295" s="213"/>
      <c r="I295" s="213"/>
      <c r="J295" s="201"/>
      <c r="K295" s="93"/>
      <c r="L295" s="97"/>
    </row>
    <row r="296" spans="2:12" ht="14.1" customHeight="1" outlineLevel="2">
      <c r="B296" s="344">
        <f>B295+0.000001</f>
        <v>6.1001009999999978</v>
      </c>
      <c r="C296" s="514" t="s">
        <v>1018</v>
      </c>
      <c r="D296" s="81"/>
      <c r="E296" s="111"/>
      <c r="F296" s="93" t="s">
        <v>8</v>
      </c>
      <c r="G296" s="103"/>
      <c r="H296" s="213"/>
      <c r="I296" s="213"/>
      <c r="J296" s="201"/>
      <c r="K296" s="93"/>
      <c r="L296" s="97"/>
    </row>
    <row r="297" spans="2:12" ht="14.1" customHeight="1" outlineLevel="3">
      <c r="B297" s="346">
        <f>B296+0.00000001</f>
        <v>6.1001010099999977</v>
      </c>
      <c r="C297" s="56" t="s">
        <v>1019</v>
      </c>
      <c r="D297" s="81" t="s">
        <v>46</v>
      </c>
      <c r="E297" s="111">
        <v>5542.6100000000006</v>
      </c>
      <c r="F297" s="93">
        <v>6.5</v>
      </c>
      <c r="G297" s="103">
        <v>4.04</v>
      </c>
      <c r="H297" s="213" t="e">
        <f>+ROUND(F297+G297*TC,2)</f>
        <v>#REF!</v>
      </c>
      <c r="I297" s="213">
        <f t="shared" si="128"/>
        <v>36026.97</v>
      </c>
      <c r="J297" s="201">
        <f t="shared" si="154"/>
        <v>22392.14</v>
      </c>
      <c r="K297" s="93" t="e">
        <f>+ROUND(I297+J297*TC,2)</f>
        <v>#REF!</v>
      </c>
      <c r="L297" s="97"/>
    </row>
    <row r="298" spans="2:12" ht="14.1" customHeight="1" outlineLevel="2">
      <c r="B298" s="344">
        <f>B296+0.000001</f>
        <v>6.1001019999999979</v>
      </c>
      <c r="C298" s="515" t="s">
        <v>1020</v>
      </c>
      <c r="D298" s="81"/>
      <c r="E298" s="111"/>
      <c r="F298" s="93" t="s">
        <v>8</v>
      </c>
      <c r="G298" s="82"/>
      <c r="H298" s="213"/>
      <c r="I298" s="213"/>
      <c r="J298" s="201"/>
      <c r="K298" s="93"/>
      <c r="L298" s="343"/>
    </row>
    <row r="299" spans="2:12" ht="14.1" customHeight="1" outlineLevel="3">
      <c r="B299" s="346">
        <f>B298+0.00000001</f>
        <v>6.1001020099999979</v>
      </c>
      <c r="C299" s="510" t="s">
        <v>1021</v>
      </c>
      <c r="D299" s="81" t="s">
        <v>46</v>
      </c>
      <c r="E299" s="111">
        <v>318.79000000000002</v>
      </c>
      <c r="F299" s="93">
        <v>23.44</v>
      </c>
      <c r="G299" s="82"/>
      <c r="H299" s="213" t="e">
        <f>+ROUND(F299+G299*TC,2)</f>
        <v>#REF!</v>
      </c>
      <c r="I299" s="213">
        <f t="shared" si="128"/>
        <v>7472.44</v>
      </c>
      <c r="J299" s="201">
        <f t="shared" si="154"/>
        <v>0</v>
      </c>
      <c r="K299" s="93" t="e">
        <f>+ROUND(I299+J299*TC,2)</f>
        <v>#REF!</v>
      </c>
      <c r="L299" s="343"/>
    </row>
    <row r="300" spans="2:12" ht="14.1" customHeight="1" outlineLevel="1">
      <c r="B300" s="359">
        <f>B295+0.0001</f>
        <v>6.1001999999999974</v>
      </c>
      <c r="C300" s="356" t="s">
        <v>1022</v>
      </c>
      <c r="D300" s="81"/>
      <c r="E300" s="111"/>
      <c r="F300" s="93" t="s">
        <v>8</v>
      </c>
      <c r="G300" s="103"/>
      <c r="H300" s="213"/>
      <c r="I300" s="213"/>
      <c r="J300" s="201"/>
      <c r="K300" s="93"/>
      <c r="L300" s="97"/>
    </row>
    <row r="301" spans="2:12" ht="14.1" customHeight="1" outlineLevel="2">
      <c r="B301" s="344">
        <f>B300+0.000001</f>
        <v>6.1002009999999975</v>
      </c>
      <c r="C301" s="352" t="s">
        <v>1023</v>
      </c>
      <c r="D301" s="81"/>
      <c r="E301" s="111"/>
      <c r="F301" s="93" t="s">
        <v>8</v>
      </c>
      <c r="G301" s="82"/>
      <c r="H301" s="213"/>
      <c r="I301" s="213"/>
      <c r="J301" s="201"/>
      <c r="K301" s="93"/>
      <c r="L301" s="343"/>
    </row>
    <row r="302" spans="2:12" ht="14.1" customHeight="1" outlineLevel="3">
      <c r="B302" s="346">
        <f>B301+0.00000001</f>
        <v>6.1002010099999975</v>
      </c>
      <c r="C302" s="516" t="s">
        <v>1024</v>
      </c>
      <c r="D302" s="81" t="s">
        <v>46</v>
      </c>
      <c r="E302" s="111">
        <v>10.27</v>
      </c>
      <c r="F302" s="93">
        <v>51.09</v>
      </c>
      <c r="G302" s="82"/>
      <c r="H302" s="213" t="e">
        <f>+ROUND(F302+G302*TC,2)</f>
        <v>#REF!</v>
      </c>
      <c r="I302" s="213">
        <f t="shared" si="128"/>
        <v>524.69000000000005</v>
      </c>
      <c r="J302" s="201">
        <f t="shared" ref="J302" si="155">+ROUND(E302*G302,2)</f>
        <v>0</v>
      </c>
      <c r="K302" s="93" t="e">
        <f>+ROUND(I302+J302*TC,2)</f>
        <v>#REF!</v>
      </c>
      <c r="L302" s="343"/>
    </row>
    <row r="303" spans="2:12" ht="14.1" customHeight="1" outlineLevel="2">
      <c r="B303" s="344">
        <f>B305+0.000001</f>
        <v>6.1002019999999977</v>
      </c>
      <c r="C303" s="352" t="s">
        <v>1025</v>
      </c>
      <c r="D303" s="81"/>
      <c r="E303" s="111"/>
      <c r="F303" s="93" t="s">
        <v>8</v>
      </c>
      <c r="G303" s="82"/>
      <c r="H303" s="213"/>
      <c r="I303" s="213"/>
      <c r="J303" s="201"/>
      <c r="K303" s="93"/>
      <c r="L303" s="343"/>
    </row>
    <row r="304" spans="2:12" ht="14.1" customHeight="1" outlineLevel="3">
      <c r="B304" s="346">
        <f>B303+0.00000001</f>
        <v>6.1002020099999976</v>
      </c>
      <c r="C304" s="510" t="s">
        <v>1026</v>
      </c>
      <c r="D304" s="81" t="s">
        <v>46</v>
      </c>
      <c r="E304" s="111">
        <v>16.399999999999999</v>
      </c>
      <c r="F304" s="93">
        <v>83.2</v>
      </c>
      <c r="G304" s="82"/>
      <c r="H304" s="213" t="e">
        <f>+ROUND(F304+G304*TC,2)</f>
        <v>#REF!</v>
      </c>
      <c r="I304" s="213">
        <f t="shared" si="128"/>
        <v>1364.48</v>
      </c>
      <c r="J304" s="201">
        <f>+ROUND(E304*G304,2)</f>
        <v>0</v>
      </c>
      <c r="K304" s="93" t="e">
        <f>+ROUND(I304+J304*TC,2)</f>
        <v>#REF!</v>
      </c>
      <c r="L304" s="343"/>
    </row>
    <row r="305" spans="1:12" ht="14.1" customHeight="1" outlineLevel="2">
      <c r="B305" s="344">
        <f>B300+0.000001</f>
        <v>6.1002009999999975</v>
      </c>
      <c r="C305" s="352" t="s">
        <v>1027</v>
      </c>
      <c r="D305" s="81"/>
      <c r="E305" s="111"/>
      <c r="F305" s="93"/>
      <c r="G305" s="82"/>
      <c r="H305" s="213"/>
      <c r="I305" s="213">
        <f t="shared" ref="I305:I338" si="156">+ROUND(E305*F305,2)</f>
        <v>0</v>
      </c>
      <c r="J305" s="201"/>
      <c r="K305" s="93"/>
      <c r="L305" s="343"/>
    </row>
    <row r="306" spans="1:12" ht="14.1" customHeight="1" outlineLevel="3">
      <c r="B306" s="346">
        <f>B305+0.00000001</f>
        <v>6.1002010099999975</v>
      </c>
      <c r="C306" s="510" t="s">
        <v>1028</v>
      </c>
      <c r="D306" s="81" t="s">
        <v>46</v>
      </c>
      <c r="E306" s="111">
        <v>27.44</v>
      </c>
      <c r="F306" s="93">
        <v>30.82</v>
      </c>
      <c r="G306" s="82"/>
      <c r="H306" s="213" t="e">
        <f>+ROUND(F306+G306*TC,2)</f>
        <v>#REF!</v>
      </c>
      <c r="I306" s="213">
        <f t="shared" si="156"/>
        <v>845.7</v>
      </c>
      <c r="J306" s="201">
        <f t="shared" si="154"/>
        <v>0</v>
      </c>
      <c r="K306" s="93" t="e">
        <f>+ROUND(I306+J306*TC,2)</f>
        <v>#REF!</v>
      </c>
      <c r="L306" s="343"/>
    </row>
    <row r="307" spans="1:12" ht="14.1" customHeight="1" outlineLevel="2">
      <c r="B307" s="344">
        <f>B302+0.000001</f>
        <v>6.1002020099999976</v>
      </c>
      <c r="C307" s="352" t="s">
        <v>1029</v>
      </c>
      <c r="D307" s="81"/>
      <c r="E307" s="111"/>
      <c r="F307" s="93" t="s">
        <v>8</v>
      </c>
      <c r="G307" s="82"/>
      <c r="H307" s="213"/>
      <c r="I307" s="213"/>
      <c r="J307" s="201"/>
      <c r="K307" s="93"/>
      <c r="L307" s="343"/>
    </row>
    <row r="308" spans="1:12" ht="14.1" customHeight="1" outlineLevel="3">
      <c r="B308" s="346">
        <f>B307+0.00000001</f>
        <v>6.1002020199999976</v>
      </c>
      <c r="C308" s="510" t="s">
        <v>1028</v>
      </c>
      <c r="D308" s="81" t="s">
        <v>46</v>
      </c>
      <c r="E308" s="111">
        <v>7.85</v>
      </c>
      <c r="F308" s="93">
        <v>30.82</v>
      </c>
      <c r="G308" s="82"/>
      <c r="H308" s="213" t="e">
        <f>+ROUND(F308+G308*TC,2)</f>
        <v>#REF!</v>
      </c>
      <c r="I308" s="213">
        <f t="shared" si="156"/>
        <v>241.94</v>
      </c>
      <c r="J308" s="201">
        <f t="shared" ref="J308" si="157">+ROUND(E308*G308,2)</f>
        <v>0</v>
      </c>
      <c r="K308" s="93" t="e">
        <f>+ROUND(I308+J308*TC,2)</f>
        <v>#REF!</v>
      </c>
      <c r="L308" s="343"/>
    </row>
    <row r="309" spans="1:12" ht="14.1" customHeight="1" outlineLevel="2">
      <c r="B309" s="344">
        <f>B303+0.000001</f>
        <v>6.1002029999999978</v>
      </c>
      <c r="C309" s="352" t="s">
        <v>1030</v>
      </c>
      <c r="D309" s="81"/>
      <c r="E309" s="111"/>
      <c r="F309" s="93" t="s">
        <v>8</v>
      </c>
      <c r="G309" s="82"/>
      <c r="H309" s="213"/>
      <c r="I309" s="213"/>
      <c r="J309" s="201"/>
      <c r="K309" s="93"/>
      <c r="L309" s="343"/>
    </row>
    <row r="310" spans="1:12" ht="14.1" customHeight="1" outlineLevel="2">
      <c r="A310" s="4"/>
      <c r="B310" s="142">
        <f>B309+0.000001</f>
        <v>6.100203999999998</v>
      </c>
      <c r="C310" s="348" t="s">
        <v>686</v>
      </c>
      <c r="D310" s="81" t="s">
        <v>46</v>
      </c>
      <c r="E310" s="111">
        <v>39.619999999999997</v>
      </c>
      <c r="F310" s="106">
        <v>25.5</v>
      </c>
      <c r="G310" s="82"/>
      <c r="H310" s="213" t="e">
        <f>+ROUND(F310+G310*TC,2)</f>
        <v>#REF!</v>
      </c>
      <c r="I310" s="213">
        <f t="shared" si="156"/>
        <v>1010.31</v>
      </c>
      <c r="J310" s="201">
        <f>+ROUND(E310*G310,2)</f>
        <v>0</v>
      </c>
      <c r="K310" s="93" t="e">
        <f>+ROUND(I310+J310*TC,2)</f>
        <v>#REF!</v>
      </c>
      <c r="L310" s="97"/>
    </row>
    <row r="311" spans="1:12" ht="14.1" customHeight="1" outlineLevel="3">
      <c r="B311" s="346">
        <f>B309+0.00000001</f>
        <v>6.1002030099999978</v>
      </c>
      <c r="C311" s="510" t="s">
        <v>1031</v>
      </c>
      <c r="D311" s="81" t="s">
        <v>46</v>
      </c>
      <c r="E311" s="111">
        <v>0</v>
      </c>
      <c r="F311" s="93">
        <v>48.04</v>
      </c>
      <c r="G311" s="82"/>
      <c r="H311" s="213" t="e">
        <f>+ROUND(F311+G311*TC,2)</f>
        <v>#REF!</v>
      </c>
      <c r="I311" s="213">
        <f t="shared" si="156"/>
        <v>0</v>
      </c>
      <c r="J311" s="201">
        <f t="shared" si="154"/>
        <v>0</v>
      </c>
      <c r="K311" s="93" t="e">
        <f>+ROUND(I311+J311*TC,2)</f>
        <v>#REF!</v>
      </c>
      <c r="L311" s="343"/>
    </row>
    <row r="312" spans="1:12" ht="14.1" customHeight="1" outlineLevel="2">
      <c r="B312" s="344">
        <f>B306+0.000001</f>
        <v>6.1002020099999976</v>
      </c>
      <c r="C312" s="352" t="s">
        <v>1032</v>
      </c>
      <c r="D312" s="81"/>
      <c r="E312" s="111"/>
      <c r="F312" s="93" t="s">
        <v>8</v>
      </c>
      <c r="G312" s="82"/>
      <c r="H312" s="213"/>
      <c r="I312" s="213"/>
      <c r="J312" s="201"/>
      <c r="K312" s="93"/>
      <c r="L312" s="343"/>
    </row>
    <row r="313" spans="1:12" ht="14.1" customHeight="1" outlineLevel="2">
      <c r="A313" s="4"/>
      <c r="B313" s="142">
        <f>B312+0.000001</f>
        <v>6.1002030099999978</v>
      </c>
      <c r="C313" s="510" t="s">
        <v>1033</v>
      </c>
      <c r="D313" s="81" t="s">
        <v>46</v>
      </c>
      <c r="E313" s="111">
        <v>45.75</v>
      </c>
      <c r="F313" s="93">
        <v>38.770000000000003</v>
      </c>
      <c r="G313" s="103"/>
      <c r="H313" s="213" t="e">
        <f>+ROUND(F313+G313*TC,2)</f>
        <v>#REF!</v>
      </c>
      <c r="I313" s="213">
        <f t="shared" si="156"/>
        <v>1773.73</v>
      </c>
      <c r="J313" s="201">
        <f>+ROUND(E313*G313,2)</f>
        <v>0</v>
      </c>
      <c r="K313" s="93" t="e">
        <f>+ROUND(I313+J313*TC,2)</f>
        <v>#REF!</v>
      </c>
      <c r="L313" s="97"/>
    </row>
    <row r="314" spans="1:12" ht="14.1" customHeight="1" outlineLevel="2">
      <c r="B314" s="344">
        <f>B308+0.000001</f>
        <v>6.1002030199999977</v>
      </c>
      <c r="C314" s="352" t="s">
        <v>1034</v>
      </c>
      <c r="D314" s="81"/>
      <c r="E314" s="111"/>
      <c r="F314" s="93" t="s">
        <v>8</v>
      </c>
      <c r="G314" s="82"/>
      <c r="H314" s="213"/>
      <c r="I314" s="213"/>
      <c r="J314" s="201"/>
      <c r="K314" s="93"/>
      <c r="L314" s="343"/>
    </row>
    <row r="315" spans="1:12" ht="14.1" customHeight="1" outlineLevel="2">
      <c r="A315" s="4"/>
      <c r="B315" s="142">
        <f>B314+0.000001</f>
        <v>6.1002040199999978</v>
      </c>
      <c r="C315" s="510" t="s">
        <v>1035</v>
      </c>
      <c r="D315" s="81" t="s">
        <v>46</v>
      </c>
      <c r="E315" s="111">
        <v>16</v>
      </c>
      <c r="F315" s="106">
        <v>12.75</v>
      </c>
      <c r="G315" s="82"/>
      <c r="H315" s="213" t="e">
        <f>+ROUND(F315+G315*TC,2)</f>
        <v>#REF!</v>
      </c>
      <c r="I315" s="213">
        <f t="shared" si="156"/>
        <v>204</v>
      </c>
      <c r="J315" s="201">
        <f t="shared" ref="J315" si="158">+ROUND(E315*G315,2)</f>
        <v>0</v>
      </c>
      <c r="K315" s="93" t="e">
        <f>+ROUND(I315+J315*TC,2)</f>
        <v>#REF!</v>
      </c>
      <c r="L315" s="97"/>
    </row>
    <row r="316" spans="1:12" ht="14.1" customHeight="1" outlineLevel="2">
      <c r="B316" s="344">
        <f>B310+0.000001</f>
        <v>6.1002049999999981</v>
      </c>
      <c r="C316" s="352" t="s">
        <v>993</v>
      </c>
      <c r="D316" s="81"/>
      <c r="E316" s="111"/>
      <c r="F316" s="93" t="s">
        <v>8</v>
      </c>
      <c r="G316" s="82"/>
      <c r="H316" s="213"/>
      <c r="I316" s="213"/>
      <c r="J316" s="201"/>
      <c r="K316" s="93"/>
      <c r="L316" s="343"/>
    </row>
    <row r="317" spans="1:12" ht="14.1" customHeight="1" outlineLevel="2">
      <c r="A317" s="4"/>
      <c r="B317" s="142">
        <f>B316+0.000001</f>
        <v>6.1002059999999982</v>
      </c>
      <c r="C317" s="510" t="s">
        <v>1036</v>
      </c>
      <c r="D317" s="81" t="s">
        <v>46</v>
      </c>
      <c r="E317" s="111">
        <v>50.02</v>
      </c>
      <c r="F317" s="93">
        <v>23.79</v>
      </c>
      <c r="G317" s="82"/>
      <c r="H317" s="213" t="e">
        <f>+ROUND(F317+G317*TC,2)</f>
        <v>#REF!</v>
      </c>
      <c r="I317" s="213">
        <f t="shared" si="156"/>
        <v>1189.98</v>
      </c>
      <c r="J317" s="201">
        <f t="shared" ref="J317" si="159">+ROUND(E317*G317,2)</f>
        <v>0</v>
      </c>
      <c r="K317" s="93" t="e">
        <f>+ROUND(I317+J317*TC,2)</f>
        <v>#REF!</v>
      </c>
      <c r="L317" s="97"/>
    </row>
    <row r="318" spans="1:12" ht="14.1" customHeight="1" outlineLevel="2">
      <c r="B318" s="344">
        <f>B312+0.000001</f>
        <v>6.1002030099999978</v>
      </c>
      <c r="C318" s="352" t="s">
        <v>942</v>
      </c>
      <c r="D318" s="81"/>
      <c r="E318" s="111"/>
      <c r="F318" s="93" t="s">
        <v>8</v>
      </c>
      <c r="G318" s="82"/>
      <c r="H318" s="213"/>
      <c r="I318" s="213"/>
      <c r="J318" s="201"/>
      <c r="K318" s="93"/>
      <c r="L318" s="343"/>
    </row>
    <row r="319" spans="1:12" ht="14.1" customHeight="1" outlineLevel="2">
      <c r="A319" s="4"/>
      <c r="B319" s="142">
        <f>B318+0.000001</f>
        <v>6.1002040099999979</v>
      </c>
      <c r="C319" s="510" t="s">
        <v>1037</v>
      </c>
      <c r="D319" s="81" t="s">
        <v>46</v>
      </c>
      <c r="E319" s="111">
        <v>16.02</v>
      </c>
      <c r="F319" s="93">
        <v>28.55</v>
      </c>
      <c r="G319" s="82"/>
      <c r="H319" s="213" t="e">
        <f>+ROUND(F319+G319*TC,2)</f>
        <v>#REF!</v>
      </c>
      <c r="I319" s="213">
        <f t="shared" si="156"/>
        <v>457.37</v>
      </c>
      <c r="J319" s="201">
        <f t="shared" ref="J319" si="160">+ROUND(E319*G319,2)</f>
        <v>0</v>
      </c>
      <c r="K319" s="93" t="e">
        <f>+ROUND(I319+J319*TC,2)</f>
        <v>#REF!</v>
      </c>
      <c r="L319" s="97"/>
    </row>
    <row r="320" spans="1:12" ht="14.1" customHeight="1" outlineLevel="2">
      <c r="B320" s="344">
        <f>B314+0.000001</f>
        <v>6.1002040199999978</v>
      </c>
      <c r="C320" s="352" t="s">
        <v>939</v>
      </c>
      <c r="D320" s="81"/>
      <c r="E320" s="111"/>
      <c r="F320" s="93" t="s">
        <v>8</v>
      </c>
      <c r="G320" s="82"/>
      <c r="H320" s="213"/>
      <c r="I320" s="213"/>
      <c r="J320" s="201"/>
      <c r="K320" s="93"/>
      <c r="L320" s="343"/>
    </row>
    <row r="321" spans="1:12" ht="14.1" customHeight="1" outlineLevel="2">
      <c r="A321" s="4"/>
      <c r="B321" s="142">
        <f>B320+0.000001</f>
        <v>6.100205019999998</v>
      </c>
      <c r="C321" s="510" t="s">
        <v>1037</v>
      </c>
      <c r="D321" s="81" t="s">
        <v>46</v>
      </c>
      <c r="E321" s="111">
        <v>36.6</v>
      </c>
      <c r="F321" s="93">
        <v>28.55</v>
      </c>
      <c r="G321" s="82"/>
      <c r="H321" s="213" t="e">
        <f>+ROUND(F321+G321*TC,2)</f>
        <v>#REF!</v>
      </c>
      <c r="I321" s="213">
        <f t="shared" si="156"/>
        <v>1044.93</v>
      </c>
      <c r="J321" s="201">
        <f t="shared" ref="J321" si="161">+ROUND(E321*G321,2)</f>
        <v>0</v>
      </c>
      <c r="K321" s="93" t="e">
        <f>+ROUND(I321+J321*TC,2)</f>
        <v>#REF!</v>
      </c>
      <c r="L321" s="97"/>
    </row>
    <row r="322" spans="1:12" ht="14.1" customHeight="1" outlineLevel="1">
      <c r="B322" s="359">
        <f>B300+0.0001</f>
        <v>6.1002999999999972</v>
      </c>
      <c r="C322" s="356" t="s">
        <v>1038</v>
      </c>
      <c r="D322" s="81"/>
      <c r="E322" s="111"/>
      <c r="F322" s="93" t="s">
        <v>8</v>
      </c>
      <c r="G322" s="103"/>
      <c r="H322" s="213"/>
      <c r="I322" s="213"/>
      <c r="J322" s="201"/>
      <c r="K322" s="93"/>
      <c r="L322" s="97"/>
    </row>
    <row r="323" spans="1:12" ht="14.1" customHeight="1" outlineLevel="2">
      <c r="B323" s="344">
        <f>B322+0.000001</f>
        <v>6.1003009999999973</v>
      </c>
      <c r="C323" s="352" t="s">
        <v>1039</v>
      </c>
      <c r="D323" s="81"/>
      <c r="E323" s="111"/>
      <c r="F323" s="93" t="s">
        <v>8</v>
      </c>
      <c r="G323" s="82"/>
      <c r="H323" s="213"/>
      <c r="I323" s="213"/>
      <c r="J323" s="201"/>
      <c r="K323" s="93"/>
      <c r="L323" s="343"/>
    </row>
    <row r="324" spans="1:12" ht="14.1" customHeight="1" outlineLevel="3">
      <c r="B324" s="346">
        <f>B323+0.00000001</f>
        <v>6.1003010099999972</v>
      </c>
      <c r="C324" s="516" t="s">
        <v>1040</v>
      </c>
      <c r="D324" s="81" t="s">
        <v>46</v>
      </c>
      <c r="E324" s="111">
        <v>1384.11</v>
      </c>
      <c r="F324" s="93">
        <v>34.57</v>
      </c>
      <c r="G324" s="82"/>
      <c r="H324" s="213" t="e">
        <f>+ROUND(F324+G324*TC,2)</f>
        <v>#REF!</v>
      </c>
      <c r="I324" s="213">
        <f t="shared" si="156"/>
        <v>47848.68</v>
      </c>
      <c r="J324" s="201">
        <f t="shared" ref="J324" si="162">+ROUND(E324*G324,2)</f>
        <v>0</v>
      </c>
      <c r="K324" s="93" t="e">
        <f>+ROUND(I324+J324*TC,2)</f>
        <v>#REF!</v>
      </c>
      <c r="L324" s="343"/>
    </row>
    <row r="325" spans="1:12" ht="14.1" customHeight="1" outlineLevel="2">
      <c r="B325" s="344">
        <f>B329+0.000001</f>
        <v>6.1003019999999974</v>
      </c>
      <c r="C325" s="352" t="s">
        <v>949</v>
      </c>
      <c r="D325" s="81"/>
      <c r="E325" s="111"/>
      <c r="F325" s="93" t="s">
        <v>8</v>
      </c>
      <c r="G325" s="82"/>
      <c r="H325" s="213"/>
      <c r="I325" s="213"/>
      <c r="J325" s="201"/>
      <c r="K325" s="93"/>
      <c r="L325" s="343"/>
    </row>
    <row r="326" spans="1:12" ht="14.1" customHeight="1" outlineLevel="2">
      <c r="A326" s="4"/>
      <c r="B326" s="142">
        <f>B325+0.000001</f>
        <v>6.1003029999999976</v>
      </c>
      <c r="C326" s="381" t="s">
        <v>684</v>
      </c>
      <c r="D326" s="81" t="s">
        <v>46</v>
      </c>
      <c r="E326" s="111">
        <v>449.55</v>
      </c>
      <c r="F326" s="106">
        <v>12.75</v>
      </c>
      <c r="G326" s="82"/>
      <c r="H326" s="213" t="e">
        <f>+ROUND(F326+G326*TC,2)</f>
        <v>#REF!</v>
      </c>
      <c r="I326" s="213">
        <f t="shared" si="156"/>
        <v>5731.76</v>
      </c>
      <c r="J326" s="201">
        <f>+ROUND(E326*G326,2)</f>
        <v>0</v>
      </c>
      <c r="K326" s="93" t="e">
        <f>+ROUND(I326+J326*TC,2)</f>
        <v>#REF!</v>
      </c>
      <c r="L326" s="97"/>
    </row>
    <row r="327" spans="1:12" ht="14.1" customHeight="1" outlineLevel="2">
      <c r="B327" s="344">
        <f>B325+0.000001</f>
        <v>6.1003029999999976</v>
      </c>
      <c r="C327" s="352" t="s">
        <v>581</v>
      </c>
      <c r="D327" s="81"/>
      <c r="E327" s="111"/>
      <c r="F327" s="93" t="s">
        <v>8</v>
      </c>
      <c r="G327" s="82"/>
      <c r="H327" s="213"/>
      <c r="I327" s="213"/>
      <c r="J327" s="201"/>
      <c r="K327" s="93"/>
      <c r="L327" s="343"/>
    </row>
    <row r="328" spans="1:12" ht="14.1" customHeight="1" outlineLevel="2">
      <c r="A328" s="4"/>
      <c r="B328" s="142">
        <f>B327+0.000001</f>
        <v>6.1003039999999977</v>
      </c>
      <c r="C328" s="381" t="s">
        <v>684</v>
      </c>
      <c r="D328" s="81" t="s">
        <v>46</v>
      </c>
      <c r="E328" s="111">
        <v>442.15</v>
      </c>
      <c r="F328" s="106">
        <v>12.75</v>
      </c>
      <c r="G328" s="82"/>
      <c r="H328" s="213" t="e">
        <f>+ROUND(F328+G328*TC,2)</f>
        <v>#REF!</v>
      </c>
      <c r="I328" s="213">
        <f t="shared" si="156"/>
        <v>5637.41</v>
      </c>
      <c r="J328" s="201">
        <f>+ROUND(E328*G328,2)</f>
        <v>0</v>
      </c>
      <c r="K328" s="93" t="e">
        <f>+ROUND(I328+J328*TC,2)</f>
        <v>#REF!</v>
      </c>
      <c r="L328" s="97"/>
    </row>
    <row r="329" spans="1:12" ht="14.1" customHeight="1" outlineLevel="2">
      <c r="B329" s="344">
        <f>B322+0.000001</f>
        <v>6.1003009999999973</v>
      </c>
      <c r="C329" s="352" t="s">
        <v>1041</v>
      </c>
      <c r="D329" s="81"/>
      <c r="E329" s="111"/>
      <c r="F329" s="93" t="s">
        <v>8</v>
      </c>
      <c r="G329" s="82"/>
      <c r="H329" s="213"/>
      <c r="I329" s="213"/>
      <c r="J329" s="201"/>
      <c r="K329" s="93"/>
      <c r="L329" s="343"/>
    </row>
    <row r="330" spans="1:12" ht="14.1" customHeight="1" outlineLevel="3">
      <c r="B330" s="346">
        <f>B329+0.00000001</f>
        <v>6.1003010099999972</v>
      </c>
      <c r="C330" s="510" t="s">
        <v>1042</v>
      </c>
      <c r="D330" s="81" t="s">
        <v>46</v>
      </c>
      <c r="E330" s="111">
        <v>8.5299999999999994</v>
      </c>
      <c r="F330" s="93">
        <v>21.56</v>
      </c>
      <c r="G330" s="82"/>
      <c r="H330" s="213" t="e">
        <f>+ROUND(F330+G330*TC,2)</f>
        <v>#REF!</v>
      </c>
      <c r="I330" s="213">
        <f t="shared" si="156"/>
        <v>183.91</v>
      </c>
      <c r="J330" s="201">
        <f t="shared" ref="J330" si="163">+ROUND(E330*G330,2)</f>
        <v>0</v>
      </c>
      <c r="K330" s="93" t="e">
        <f>+ROUND(I330+J330*TC,2)</f>
        <v>#REF!</v>
      </c>
      <c r="L330" s="343"/>
    </row>
    <row r="331" spans="1:12" ht="14.1" customHeight="1" outlineLevel="1">
      <c r="B331" s="359">
        <f>B300+0.0001</f>
        <v>6.1002999999999972</v>
      </c>
      <c r="C331" s="356" t="s">
        <v>1043</v>
      </c>
      <c r="D331" s="81"/>
      <c r="E331" s="111"/>
      <c r="F331" s="93" t="s">
        <v>8</v>
      </c>
      <c r="G331" s="82"/>
      <c r="H331" s="213"/>
      <c r="I331" s="213"/>
      <c r="J331" s="201"/>
      <c r="K331" s="93"/>
      <c r="L331" s="105"/>
    </row>
    <row r="332" spans="1:12" ht="14.1" customHeight="1" outlineLevel="2">
      <c r="B332" s="344">
        <f>B331+0.000001</f>
        <v>6.1003009999999973</v>
      </c>
      <c r="C332" s="352" t="s">
        <v>954</v>
      </c>
      <c r="D332" s="81"/>
      <c r="E332" s="111"/>
      <c r="F332" s="93" t="s">
        <v>8</v>
      </c>
      <c r="G332" s="82"/>
      <c r="H332" s="213"/>
      <c r="I332" s="213"/>
      <c r="J332" s="201"/>
      <c r="K332" s="93"/>
      <c r="L332" s="343"/>
    </row>
    <row r="333" spans="1:12" ht="14.1" customHeight="1" outlineLevel="2">
      <c r="A333" s="4"/>
      <c r="B333" s="142">
        <f>B332+0.000001</f>
        <v>6.1003019999999974</v>
      </c>
      <c r="C333" s="510" t="s">
        <v>1037</v>
      </c>
      <c r="D333" s="81" t="s">
        <v>46</v>
      </c>
      <c r="E333" s="111">
        <v>32.770000000000003</v>
      </c>
      <c r="F333" s="93">
        <v>28.55</v>
      </c>
      <c r="G333" s="82"/>
      <c r="H333" s="213" t="e">
        <f>+ROUND(F333+G333*TC,2)</f>
        <v>#REF!</v>
      </c>
      <c r="I333" s="213">
        <f t="shared" si="156"/>
        <v>935.58</v>
      </c>
      <c r="J333" s="201">
        <f t="shared" ref="J333" si="164">+ROUND(E333*G333,2)</f>
        <v>0</v>
      </c>
      <c r="K333" s="93" t="e">
        <f>+ROUND(I333+J333*TC,2)</f>
        <v>#REF!</v>
      </c>
      <c r="L333" s="97"/>
    </row>
    <row r="334" spans="1:12" ht="14.1" customHeight="1" outlineLevel="3">
      <c r="B334" s="346">
        <f>B332+0.00000001</f>
        <v>6.1003010099999972</v>
      </c>
      <c r="C334" s="510" t="s">
        <v>1044</v>
      </c>
      <c r="D334" s="81" t="s">
        <v>46</v>
      </c>
      <c r="E334" s="111">
        <v>1.82</v>
      </c>
      <c r="F334" s="93">
        <v>43.48</v>
      </c>
      <c r="G334" s="82"/>
      <c r="H334" s="213" t="e">
        <f>+ROUND(F334+G334*TC,2)</f>
        <v>#REF!</v>
      </c>
      <c r="I334" s="213">
        <f t="shared" si="156"/>
        <v>79.13</v>
      </c>
      <c r="J334" s="201">
        <f t="shared" si="154"/>
        <v>0</v>
      </c>
      <c r="K334" s="93" t="e">
        <f>+ROUND(I334+J334*TC,2)</f>
        <v>#REF!</v>
      </c>
      <c r="L334" s="343"/>
    </row>
    <row r="335" spans="1:12" ht="14.1" customHeight="1" outlineLevel="2">
      <c r="B335" s="344">
        <f>B332+0.000001</f>
        <v>6.1003019999999974</v>
      </c>
      <c r="C335" s="352" t="s">
        <v>1045</v>
      </c>
      <c r="D335" s="81"/>
      <c r="E335" s="111"/>
      <c r="F335" s="93" t="s">
        <v>8</v>
      </c>
      <c r="G335" s="82"/>
      <c r="H335" s="213"/>
      <c r="I335" s="213"/>
      <c r="J335" s="201"/>
      <c r="K335" s="93"/>
      <c r="L335" s="343"/>
    </row>
    <row r="336" spans="1:12" ht="14.1" customHeight="1" outlineLevel="3">
      <c r="B336" s="346">
        <f>B335+0.00000001</f>
        <v>6.1003020099999974</v>
      </c>
      <c r="C336" s="510" t="s">
        <v>1046</v>
      </c>
      <c r="D336" s="81" t="s">
        <v>46</v>
      </c>
      <c r="E336" s="111">
        <v>37.26</v>
      </c>
      <c r="F336" s="93">
        <v>21.68</v>
      </c>
      <c r="G336" s="82"/>
      <c r="H336" s="213" t="e">
        <f>+ROUND(F336+G336*TC,2)</f>
        <v>#REF!</v>
      </c>
      <c r="I336" s="213">
        <f t="shared" si="156"/>
        <v>807.8</v>
      </c>
      <c r="J336" s="201">
        <f t="shared" ref="J336:J381" si="165">+ROUND(E336*G336,2)</f>
        <v>0</v>
      </c>
      <c r="K336" s="93" t="e">
        <f>+ROUND(I336+J336*TC,2)</f>
        <v>#REF!</v>
      </c>
      <c r="L336" s="343"/>
    </row>
    <row r="337" spans="2:13" ht="14.1" customHeight="1" outlineLevel="2">
      <c r="B337" s="344">
        <f>B334+0.000001</f>
        <v>6.1003020099999974</v>
      </c>
      <c r="C337" s="352" t="s">
        <v>966</v>
      </c>
      <c r="D337" s="81"/>
      <c r="E337" s="111"/>
      <c r="F337" s="93" t="s">
        <v>8</v>
      </c>
      <c r="G337" s="82"/>
      <c r="H337" s="213"/>
      <c r="I337" s="213"/>
      <c r="J337" s="201"/>
      <c r="K337" s="93"/>
      <c r="L337" s="343"/>
    </row>
    <row r="338" spans="2:13" ht="14.1" customHeight="1" outlineLevel="3">
      <c r="B338" s="346">
        <f>B337+0.00000001</f>
        <v>6.1003020199999973</v>
      </c>
      <c r="C338" s="510" t="s">
        <v>1047</v>
      </c>
      <c r="D338" s="81" t="s">
        <v>46</v>
      </c>
      <c r="E338" s="111">
        <v>15.56</v>
      </c>
      <c r="F338" s="93">
        <v>41.07</v>
      </c>
      <c r="G338" s="82"/>
      <c r="H338" s="213" t="e">
        <f>+ROUND(F338+G338*TC,2)</f>
        <v>#REF!</v>
      </c>
      <c r="I338" s="213">
        <f t="shared" si="156"/>
        <v>639.04999999999995</v>
      </c>
      <c r="J338" s="201">
        <f t="shared" ref="J338" si="166">+ROUND(E338*G338,2)</f>
        <v>0</v>
      </c>
      <c r="K338" s="93" t="e">
        <f>+ROUND(I338+J338*TC,2)</f>
        <v>#REF!</v>
      </c>
      <c r="L338" s="343"/>
    </row>
    <row r="339" spans="2:13" ht="13.5" customHeight="1">
      <c r="B339" s="218">
        <f>B294+0.01</f>
        <v>6.1099999999999977</v>
      </c>
      <c r="C339" s="508" t="s">
        <v>691</v>
      </c>
      <c r="D339" s="81"/>
      <c r="E339" s="81"/>
      <c r="F339" s="81"/>
      <c r="G339" s="81"/>
      <c r="H339" s="354"/>
      <c r="I339" s="213">
        <f t="shared" ref="I339:I401" si="167">+ROUND(E339*F339,2)</f>
        <v>0</v>
      </c>
      <c r="J339" s="354"/>
      <c r="K339" s="354"/>
      <c r="L339" s="136" t="e">
        <f>SUM(I339:I351)+SUM(J339:J351)*TC</f>
        <v>#REF!</v>
      </c>
    </row>
    <row r="340" spans="2:13" ht="14.1" customHeight="1" outlineLevel="1">
      <c r="B340" s="359">
        <f>B339+0.0001</f>
        <v>6.1100999999999974</v>
      </c>
      <c r="C340" s="342" t="s">
        <v>1048</v>
      </c>
      <c r="D340" s="81"/>
      <c r="E340" s="111"/>
      <c r="F340" s="93" t="s">
        <v>8</v>
      </c>
      <c r="G340" s="82"/>
      <c r="H340" s="213"/>
      <c r="I340" s="213"/>
      <c r="J340" s="201"/>
      <c r="K340" s="93"/>
      <c r="L340" s="97"/>
    </row>
    <row r="341" spans="2:13" ht="13.5" customHeight="1" outlineLevel="3">
      <c r="B341" s="143">
        <f t="shared" ref="B341:B347" si="168">B340+0.000001</f>
        <v>6.1101009999999976</v>
      </c>
      <c r="C341" s="360" t="s">
        <v>694</v>
      </c>
      <c r="D341" s="81" t="s">
        <v>46</v>
      </c>
      <c r="E341" s="111">
        <v>782.4</v>
      </c>
      <c r="F341" s="93">
        <v>42.46</v>
      </c>
      <c r="G341" s="103"/>
      <c r="H341" s="213" t="e">
        <f t="shared" ref="H341:H347" si="169">+ROUND(F341+G341*TC,2)</f>
        <v>#REF!</v>
      </c>
      <c r="I341" s="213">
        <f t="shared" si="167"/>
        <v>33220.699999999997</v>
      </c>
      <c r="J341" s="201">
        <f t="shared" si="165"/>
        <v>0</v>
      </c>
      <c r="K341" s="93" t="e">
        <f t="shared" ref="K341:K347" si="170">+ROUND(I341+J341*TC,2)</f>
        <v>#REF!</v>
      </c>
      <c r="L341" s="343"/>
    </row>
    <row r="342" spans="2:13" ht="13.5" customHeight="1" outlineLevel="3">
      <c r="B342" s="143">
        <f t="shared" si="168"/>
        <v>6.1101019999999977</v>
      </c>
      <c r="C342" s="360" t="s">
        <v>693</v>
      </c>
      <c r="D342" s="81" t="s">
        <v>169</v>
      </c>
      <c r="E342" s="111">
        <v>99.18</v>
      </c>
      <c r="F342" s="93">
        <v>72.430000000000007</v>
      </c>
      <c r="G342" s="103"/>
      <c r="H342" s="213" t="e">
        <f t="shared" si="169"/>
        <v>#REF!</v>
      </c>
      <c r="I342" s="213">
        <f t="shared" si="167"/>
        <v>7183.61</v>
      </c>
      <c r="J342" s="201">
        <f t="shared" si="165"/>
        <v>0</v>
      </c>
      <c r="K342" s="93" t="e">
        <f t="shared" si="170"/>
        <v>#REF!</v>
      </c>
      <c r="L342" s="343"/>
    </row>
    <row r="343" spans="2:13" ht="13.5" customHeight="1" outlineLevel="3">
      <c r="B343" s="143">
        <f t="shared" si="168"/>
        <v>6.1101029999999978</v>
      </c>
      <c r="C343" s="360" t="s">
        <v>695</v>
      </c>
      <c r="D343" s="81" t="s">
        <v>169</v>
      </c>
      <c r="E343" s="111">
        <v>99.18</v>
      </c>
      <c r="F343" s="93">
        <v>19.850000000000001</v>
      </c>
      <c r="G343" s="103"/>
      <c r="H343" s="213" t="e">
        <f t="shared" si="169"/>
        <v>#REF!</v>
      </c>
      <c r="I343" s="213">
        <f t="shared" si="167"/>
        <v>1968.72</v>
      </c>
      <c r="J343" s="201">
        <f t="shared" si="165"/>
        <v>0</v>
      </c>
      <c r="K343" s="93" t="e">
        <f t="shared" si="170"/>
        <v>#REF!</v>
      </c>
      <c r="L343" s="343"/>
    </row>
    <row r="344" spans="2:13" ht="13.5" customHeight="1" outlineLevel="3">
      <c r="B344" s="143">
        <f t="shared" si="168"/>
        <v>6.110103999999998</v>
      </c>
      <c r="C344" s="360" t="s">
        <v>696</v>
      </c>
      <c r="D344" s="81" t="s">
        <v>46</v>
      </c>
      <c r="E344" s="111">
        <v>782.4</v>
      </c>
      <c r="F344" s="93">
        <v>15.04</v>
      </c>
      <c r="G344" s="103"/>
      <c r="H344" s="213" t="e">
        <f t="shared" si="169"/>
        <v>#REF!</v>
      </c>
      <c r="I344" s="213">
        <f t="shared" si="167"/>
        <v>11767.3</v>
      </c>
      <c r="J344" s="201">
        <f t="shared" si="165"/>
        <v>0</v>
      </c>
      <c r="K344" s="93" t="e">
        <f t="shared" si="170"/>
        <v>#REF!</v>
      </c>
      <c r="L344" s="343"/>
    </row>
    <row r="345" spans="2:13" ht="13.5" customHeight="1" outlineLevel="3">
      <c r="B345" s="143">
        <f t="shared" si="168"/>
        <v>6.1101049999999981</v>
      </c>
      <c r="C345" s="360" t="s">
        <v>697</v>
      </c>
      <c r="D345" s="81" t="s">
        <v>46</v>
      </c>
      <c r="E345" s="111">
        <v>782.4</v>
      </c>
      <c r="F345" s="93">
        <v>11.83</v>
      </c>
      <c r="G345" s="103"/>
      <c r="H345" s="213" t="e">
        <f t="shared" si="169"/>
        <v>#REF!</v>
      </c>
      <c r="I345" s="213">
        <f t="shared" si="167"/>
        <v>9255.7900000000009</v>
      </c>
      <c r="J345" s="201">
        <f t="shared" si="165"/>
        <v>0</v>
      </c>
      <c r="K345" s="93" t="e">
        <f t="shared" si="170"/>
        <v>#REF!</v>
      </c>
      <c r="L345" s="343"/>
    </row>
    <row r="346" spans="2:13" ht="13.5" customHeight="1" outlineLevel="3">
      <c r="B346" s="143">
        <f t="shared" si="168"/>
        <v>6.1101059999999983</v>
      </c>
      <c r="C346" s="360" t="s">
        <v>698</v>
      </c>
      <c r="D346" s="81" t="s">
        <v>169</v>
      </c>
      <c r="E346" s="111">
        <v>257.88</v>
      </c>
      <c r="F346" s="93">
        <v>16.690000000000001</v>
      </c>
      <c r="G346" s="103"/>
      <c r="H346" s="213" t="e">
        <f t="shared" si="169"/>
        <v>#REF!</v>
      </c>
      <c r="I346" s="213">
        <f t="shared" si="167"/>
        <v>4304.0200000000004</v>
      </c>
      <c r="J346" s="201">
        <f t="shared" si="165"/>
        <v>0</v>
      </c>
      <c r="K346" s="93" t="e">
        <f t="shared" si="170"/>
        <v>#REF!</v>
      </c>
      <c r="L346" s="343"/>
    </row>
    <row r="347" spans="2:13" ht="13.5" customHeight="1" outlineLevel="3">
      <c r="B347" s="143">
        <f t="shared" si="168"/>
        <v>6.1101069999999984</v>
      </c>
      <c r="C347" s="360" t="s">
        <v>699</v>
      </c>
      <c r="D347" s="81" t="s">
        <v>46</v>
      </c>
      <c r="E347" s="111">
        <v>133.25</v>
      </c>
      <c r="F347" s="93">
        <v>19.309999999999999</v>
      </c>
      <c r="G347" s="103"/>
      <c r="H347" s="213" t="e">
        <f t="shared" si="169"/>
        <v>#REF!</v>
      </c>
      <c r="I347" s="213">
        <f t="shared" si="167"/>
        <v>2573.06</v>
      </c>
      <c r="J347" s="201">
        <f t="shared" si="165"/>
        <v>0</v>
      </c>
      <c r="K347" s="93" t="e">
        <f t="shared" si="170"/>
        <v>#REF!</v>
      </c>
      <c r="L347" s="343"/>
    </row>
    <row r="348" spans="2:13" ht="14.1" customHeight="1" outlineLevel="1">
      <c r="B348" s="359">
        <f>B340+0.0001</f>
        <v>6.1101999999999972</v>
      </c>
      <c r="C348" s="342" t="s">
        <v>1049</v>
      </c>
      <c r="D348" s="81"/>
      <c r="E348" s="111"/>
      <c r="F348" s="93"/>
      <c r="G348" s="82"/>
      <c r="H348" s="213"/>
      <c r="I348" s="213">
        <f t="shared" si="167"/>
        <v>0</v>
      </c>
      <c r="J348" s="201"/>
      <c r="K348" s="93"/>
      <c r="L348" s="97"/>
    </row>
    <row r="349" spans="2:13" ht="14.25" customHeight="1" outlineLevel="2">
      <c r="B349" s="143">
        <f>B341+0.000001</f>
        <v>6.1101019999999977</v>
      </c>
      <c r="C349" s="360" t="s">
        <v>1050</v>
      </c>
      <c r="D349" s="81" t="s">
        <v>46</v>
      </c>
      <c r="E349" s="111">
        <v>6</v>
      </c>
      <c r="F349" s="93">
        <v>42.46</v>
      </c>
      <c r="G349" s="103"/>
      <c r="H349" s="213" t="e">
        <f>+ROUND(F349+G349*TC,2)</f>
        <v>#REF!</v>
      </c>
      <c r="I349" s="213">
        <f t="shared" si="167"/>
        <v>254.76</v>
      </c>
      <c r="J349" s="201">
        <f t="shared" si="165"/>
        <v>0</v>
      </c>
      <c r="K349" s="93" t="e">
        <f>+ROUND(I349+J349*TC,2)</f>
        <v>#REF!</v>
      </c>
      <c r="L349" s="97"/>
    </row>
    <row r="350" spans="2:13" ht="13.5" customHeight="1" outlineLevel="2">
      <c r="B350" s="143">
        <f t="shared" ref="B350:B351" si="171">B342+0.000001</f>
        <v>6.1101029999999978</v>
      </c>
      <c r="C350" s="360" t="s">
        <v>1051</v>
      </c>
      <c r="D350" s="81" t="s">
        <v>169</v>
      </c>
      <c r="E350" s="111">
        <v>2.9</v>
      </c>
      <c r="F350" s="93">
        <v>16.690000000000001</v>
      </c>
      <c r="G350" s="103"/>
      <c r="H350" s="213" t="e">
        <f>+ROUND(F350+G350*TC,2)</f>
        <v>#REF!</v>
      </c>
      <c r="I350" s="213">
        <f t="shared" si="167"/>
        <v>48.4</v>
      </c>
      <c r="J350" s="201">
        <f t="shared" si="165"/>
        <v>0</v>
      </c>
      <c r="K350" s="93" t="e">
        <f>+ROUND(I350+J350*TC,2)</f>
        <v>#REF!</v>
      </c>
      <c r="L350" s="97"/>
    </row>
    <row r="351" spans="2:13" ht="13.5" customHeight="1" outlineLevel="2">
      <c r="B351" s="143">
        <f t="shared" si="171"/>
        <v>6.110103999999998</v>
      </c>
      <c r="C351" s="360" t="s">
        <v>1052</v>
      </c>
      <c r="D351" s="81" t="s">
        <v>46</v>
      </c>
      <c r="E351" s="111">
        <v>2.4</v>
      </c>
      <c r="F351" s="93">
        <v>19.309999999999999</v>
      </c>
      <c r="G351" s="103"/>
      <c r="H351" s="213" t="e">
        <f>+ROUND(F351+G351*TC,2)</f>
        <v>#REF!</v>
      </c>
      <c r="I351" s="213">
        <f t="shared" si="167"/>
        <v>46.34</v>
      </c>
      <c r="J351" s="201">
        <f t="shared" si="165"/>
        <v>0</v>
      </c>
      <c r="K351" s="93" t="e">
        <f>+ROUND(I351+J351*TC,2)</f>
        <v>#REF!</v>
      </c>
      <c r="L351" s="97"/>
    </row>
    <row r="352" spans="2:13" ht="13.5" customHeight="1">
      <c r="B352" s="218">
        <f>B339+0.01</f>
        <v>6.1199999999999974</v>
      </c>
      <c r="C352" s="508" t="s">
        <v>700</v>
      </c>
      <c r="D352" s="81"/>
      <c r="E352" s="81"/>
      <c r="F352" s="81"/>
      <c r="G352" s="81"/>
      <c r="H352" s="354"/>
      <c r="I352" s="213">
        <f t="shared" si="167"/>
        <v>0</v>
      </c>
      <c r="J352" s="354"/>
      <c r="K352" s="354"/>
      <c r="L352" s="612" t="e">
        <f>SUM(I352:I401)+SUM(J352:J401)*TC</f>
        <v>#REF!</v>
      </c>
      <c r="M352" s="127" t="e">
        <f>+L352+L402</f>
        <v>#REF!</v>
      </c>
    </row>
    <row r="353" spans="2:12" ht="14.1" customHeight="1" outlineLevel="1">
      <c r="B353" s="359">
        <f>B352+0.0001</f>
        <v>6.1200999999999972</v>
      </c>
      <c r="C353" s="342" t="s">
        <v>1053</v>
      </c>
      <c r="D353" s="81"/>
      <c r="E353" s="111"/>
      <c r="F353" s="93" t="s">
        <v>8</v>
      </c>
      <c r="G353" s="82"/>
      <c r="H353" s="213"/>
      <c r="I353" s="213"/>
      <c r="J353" s="201"/>
      <c r="K353" s="93"/>
      <c r="L353" s="614"/>
    </row>
    <row r="354" spans="2:12" ht="13.5" customHeight="1" outlineLevel="3">
      <c r="B354" s="143">
        <f>B353+0.000001</f>
        <v>6.1201009999999973</v>
      </c>
      <c r="C354" s="360" t="s">
        <v>1054</v>
      </c>
      <c r="D354" s="81" t="s">
        <v>36</v>
      </c>
      <c r="E354" s="111">
        <v>84</v>
      </c>
      <c r="F354" s="93">
        <v>0</v>
      </c>
      <c r="G354" s="103">
        <v>355.09999999999997</v>
      </c>
      <c r="H354" s="213" t="e">
        <f t="shared" ref="H354:H356" si="172">+ROUND(F354+G354*TC,2)</f>
        <v>#REF!</v>
      </c>
      <c r="I354" s="213">
        <f t="shared" si="167"/>
        <v>0</v>
      </c>
      <c r="J354" s="201">
        <f t="shared" si="165"/>
        <v>29828.400000000001</v>
      </c>
      <c r="K354" s="93" t="e">
        <f t="shared" ref="K354:K356" si="173">+ROUND(I354+J354*TC,2)</f>
        <v>#REF!</v>
      </c>
      <c r="L354" s="612"/>
    </row>
    <row r="355" spans="2:12" ht="13.5" customHeight="1" outlineLevel="3">
      <c r="B355" s="143">
        <f t="shared" ref="B355:B359" si="174">B354+0.000001</f>
        <v>6.1201019999999975</v>
      </c>
      <c r="C355" s="360" t="s">
        <v>1055</v>
      </c>
      <c r="D355" s="81" t="s">
        <v>36</v>
      </c>
      <c r="E355" s="111">
        <v>1</v>
      </c>
      <c r="F355" s="93">
        <v>0</v>
      </c>
      <c r="G355" s="103">
        <v>385.09999999999997</v>
      </c>
      <c r="H355" s="213" t="e">
        <f t="shared" si="172"/>
        <v>#REF!</v>
      </c>
      <c r="I355" s="213">
        <f t="shared" si="167"/>
        <v>0</v>
      </c>
      <c r="J355" s="201">
        <f t="shared" si="165"/>
        <v>385.1</v>
      </c>
      <c r="K355" s="93" t="e">
        <f t="shared" si="173"/>
        <v>#REF!</v>
      </c>
      <c r="L355" s="612"/>
    </row>
    <row r="356" spans="2:12" ht="14.1" customHeight="1" outlineLevel="3">
      <c r="B356" s="143">
        <f t="shared" si="174"/>
        <v>6.1201029999999976</v>
      </c>
      <c r="C356" s="360" t="s">
        <v>1056</v>
      </c>
      <c r="D356" s="81" t="s">
        <v>36</v>
      </c>
      <c r="E356" s="111">
        <v>1</v>
      </c>
      <c r="F356" s="93">
        <v>0</v>
      </c>
      <c r="G356" s="103">
        <v>355.09999999999997</v>
      </c>
      <c r="H356" s="213" t="e">
        <f t="shared" si="172"/>
        <v>#REF!</v>
      </c>
      <c r="I356" s="213">
        <f t="shared" si="167"/>
        <v>0</v>
      </c>
      <c r="J356" s="201">
        <f t="shared" si="165"/>
        <v>355.1</v>
      </c>
      <c r="K356" s="93" t="e">
        <f t="shared" si="173"/>
        <v>#REF!</v>
      </c>
      <c r="L356" s="612"/>
    </row>
    <row r="357" spans="2:12" ht="13.5" customHeight="1" outlineLevel="3">
      <c r="B357" s="143">
        <f>B356+0.000001</f>
        <v>6.1201039999999978</v>
      </c>
      <c r="C357" s="360" t="s">
        <v>1057</v>
      </c>
      <c r="D357" s="81" t="s">
        <v>36</v>
      </c>
      <c r="E357" s="111">
        <v>1</v>
      </c>
      <c r="F357" s="93">
        <v>0</v>
      </c>
      <c r="G357" s="103">
        <v>1063.2</v>
      </c>
      <c r="H357" s="213" t="e">
        <f t="shared" ref="H357:H359" si="175">+ROUND(F357+G357*TC,2)</f>
        <v>#REF!</v>
      </c>
      <c r="I357" s="213">
        <f t="shared" si="167"/>
        <v>0</v>
      </c>
      <c r="J357" s="201">
        <f t="shared" ref="J357:J359" si="176">+ROUND(E357*G357,2)</f>
        <v>1063.2</v>
      </c>
      <c r="K357" s="93" t="e">
        <f t="shared" ref="K357:K359" si="177">+ROUND(I357+J357*TC,2)</f>
        <v>#REF!</v>
      </c>
      <c r="L357" s="612"/>
    </row>
    <row r="358" spans="2:12" ht="13.5" customHeight="1" outlineLevel="3">
      <c r="B358" s="143">
        <f t="shared" si="174"/>
        <v>6.1201049999999979</v>
      </c>
      <c r="C358" s="360" t="s">
        <v>1058</v>
      </c>
      <c r="D358" s="81" t="s">
        <v>36</v>
      </c>
      <c r="E358" s="111">
        <v>1</v>
      </c>
      <c r="F358" s="93">
        <v>0</v>
      </c>
      <c r="G358" s="103">
        <v>755.19999999999993</v>
      </c>
      <c r="H358" s="213" t="e">
        <f t="shared" si="175"/>
        <v>#REF!</v>
      </c>
      <c r="I358" s="213">
        <f t="shared" si="167"/>
        <v>0</v>
      </c>
      <c r="J358" s="201">
        <f t="shared" si="176"/>
        <v>755.2</v>
      </c>
      <c r="K358" s="93" t="e">
        <f t="shared" si="177"/>
        <v>#REF!</v>
      </c>
      <c r="L358" s="612"/>
    </row>
    <row r="359" spans="2:12" ht="14.1" customHeight="1" outlineLevel="3">
      <c r="B359" s="143">
        <f t="shared" si="174"/>
        <v>6.120105999999998</v>
      </c>
      <c r="C359" s="360" t="s">
        <v>1059</v>
      </c>
      <c r="D359" s="81" t="s">
        <v>36</v>
      </c>
      <c r="E359" s="111">
        <v>1</v>
      </c>
      <c r="F359" s="93">
        <v>0</v>
      </c>
      <c r="G359" s="103">
        <v>755.19999999999993</v>
      </c>
      <c r="H359" s="213" t="e">
        <f t="shared" si="175"/>
        <v>#REF!</v>
      </c>
      <c r="I359" s="213">
        <f t="shared" si="167"/>
        <v>0</v>
      </c>
      <c r="J359" s="201">
        <f t="shared" si="176"/>
        <v>755.2</v>
      </c>
      <c r="K359" s="93" t="e">
        <f t="shared" si="177"/>
        <v>#REF!</v>
      </c>
      <c r="L359" s="612"/>
    </row>
    <row r="360" spans="2:12" ht="14.1" customHeight="1" outlineLevel="1">
      <c r="B360" s="359">
        <f>B353+0.0001</f>
        <v>6.120199999999997</v>
      </c>
      <c r="C360" s="342" t="s">
        <v>706</v>
      </c>
      <c r="D360" s="81"/>
      <c r="E360" s="111"/>
      <c r="F360" s="93" t="s">
        <v>8</v>
      </c>
      <c r="G360" s="103" t="s">
        <v>8</v>
      </c>
      <c r="H360" s="213"/>
      <c r="I360" s="213"/>
      <c r="J360" s="201"/>
      <c r="K360" s="93"/>
      <c r="L360" s="612"/>
    </row>
    <row r="361" spans="2:12" ht="14.1" customHeight="1" outlineLevel="2">
      <c r="B361" s="344">
        <f>B360+0.000001</f>
        <v>6.1202009999999971</v>
      </c>
      <c r="C361" s="517" t="s">
        <v>1060</v>
      </c>
      <c r="D361" s="81"/>
      <c r="E361" s="111"/>
      <c r="F361" s="93"/>
      <c r="G361" s="103" t="s">
        <v>8</v>
      </c>
      <c r="H361" s="213"/>
      <c r="I361" s="213">
        <f t="shared" si="167"/>
        <v>0</v>
      </c>
      <c r="J361" s="201"/>
      <c r="K361" s="93"/>
      <c r="L361" s="612"/>
    </row>
    <row r="362" spans="2:12" ht="14.1" customHeight="1" outlineLevel="4">
      <c r="B362" s="367">
        <f>B361+0.00000001</f>
        <v>6.1202010099999971</v>
      </c>
      <c r="C362" s="360" t="s">
        <v>1061</v>
      </c>
      <c r="D362" s="81" t="s">
        <v>36</v>
      </c>
      <c r="E362" s="111">
        <v>150</v>
      </c>
      <c r="F362" s="93">
        <v>150</v>
      </c>
      <c r="G362" s="103">
        <v>110.5</v>
      </c>
      <c r="H362" s="213" t="e">
        <f t="shared" ref="H362:H368" si="178">+ROUND(F362+G362*TC,2)</f>
        <v>#REF!</v>
      </c>
      <c r="I362" s="213">
        <f t="shared" si="167"/>
        <v>22500</v>
      </c>
      <c r="J362" s="201">
        <f t="shared" si="165"/>
        <v>16575</v>
      </c>
      <c r="K362" s="93" t="e">
        <f t="shared" ref="K362:K368" si="179">+ROUND(I362+J362*TC,2)</f>
        <v>#REF!</v>
      </c>
      <c r="L362" s="612"/>
    </row>
    <row r="363" spans="2:12" ht="14.1" customHeight="1" outlineLevel="4">
      <c r="B363" s="367">
        <f t="shared" ref="B363:B369" si="180">B362+0.00000001</f>
        <v>6.120201019999997</v>
      </c>
      <c r="C363" s="360" t="s">
        <v>1062</v>
      </c>
      <c r="D363" s="81" t="s">
        <v>36</v>
      </c>
      <c r="E363" s="111">
        <v>24</v>
      </c>
      <c r="F363" s="93">
        <v>150</v>
      </c>
      <c r="G363" s="103">
        <v>110.5</v>
      </c>
      <c r="H363" s="213" t="e">
        <f t="shared" si="178"/>
        <v>#REF!</v>
      </c>
      <c r="I363" s="213">
        <f t="shared" si="167"/>
        <v>3600</v>
      </c>
      <c r="J363" s="201">
        <f t="shared" si="165"/>
        <v>2652</v>
      </c>
      <c r="K363" s="93" t="e">
        <f t="shared" si="179"/>
        <v>#REF!</v>
      </c>
      <c r="L363" s="612"/>
    </row>
    <row r="364" spans="2:12" ht="14.1" customHeight="1" outlineLevel="4">
      <c r="B364" s="367">
        <f t="shared" si="180"/>
        <v>6.1202010299999969</v>
      </c>
      <c r="C364" s="360" t="s">
        <v>1063</v>
      </c>
      <c r="D364" s="81" t="s">
        <v>36</v>
      </c>
      <c r="E364" s="111">
        <v>118</v>
      </c>
      <c r="F364" s="93">
        <v>107</v>
      </c>
      <c r="G364" s="103">
        <v>90</v>
      </c>
      <c r="H364" s="213" t="e">
        <f t="shared" si="178"/>
        <v>#REF!</v>
      </c>
      <c r="I364" s="213">
        <f t="shared" si="167"/>
        <v>12626</v>
      </c>
      <c r="J364" s="201">
        <f t="shared" si="165"/>
        <v>10620</v>
      </c>
      <c r="K364" s="93" t="e">
        <f t="shared" si="179"/>
        <v>#REF!</v>
      </c>
      <c r="L364" s="612"/>
    </row>
    <row r="365" spans="2:12" ht="14.1" customHeight="1" outlineLevel="4">
      <c r="B365" s="367">
        <f t="shared" si="180"/>
        <v>6.1202010399999969</v>
      </c>
      <c r="C365" s="360" t="s">
        <v>1064</v>
      </c>
      <c r="D365" s="81" t="s">
        <v>36</v>
      </c>
      <c r="E365" s="111">
        <v>123</v>
      </c>
      <c r="F365" s="93">
        <v>107</v>
      </c>
      <c r="G365" s="103">
        <v>90</v>
      </c>
      <c r="H365" s="213" t="e">
        <f t="shared" si="178"/>
        <v>#REF!</v>
      </c>
      <c r="I365" s="213">
        <f t="shared" si="167"/>
        <v>13161</v>
      </c>
      <c r="J365" s="201">
        <f t="shared" si="165"/>
        <v>11070</v>
      </c>
      <c r="K365" s="93" t="e">
        <f t="shared" si="179"/>
        <v>#REF!</v>
      </c>
      <c r="L365" s="612"/>
    </row>
    <row r="366" spans="2:12" ht="14.1" customHeight="1" outlineLevel="4">
      <c r="B366" s="367">
        <f t="shared" si="180"/>
        <v>6.1202010499999968</v>
      </c>
      <c r="C366" s="360" t="s">
        <v>1065</v>
      </c>
      <c r="D366" s="81" t="s">
        <v>36</v>
      </c>
      <c r="E366" s="111">
        <v>14</v>
      </c>
      <c r="F366" s="93">
        <v>107</v>
      </c>
      <c r="G366" s="103">
        <v>90</v>
      </c>
      <c r="H366" s="213" t="e">
        <f t="shared" si="178"/>
        <v>#REF!</v>
      </c>
      <c r="I366" s="213">
        <f t="shared" si="167"/>
        <v>1498</v>
      </c>
      <c r="J366" s="201">
        <f t="shared" si="165"/>
        <v>1260</v>
      </c>
      <c r="K366" s="93" t="e">
        <f t="shared" si="179"/>
        <v>#REF!</v>
      </c>
      <c r="L366" s="612"/>
    </row>
    <row r="367" spans="2:12" ht="14.1" customHeight="1" outlineLevel="4">
      <c r="B367" s="367">
        <f t="shared" si="180"/>
        <v>6.1202010599999968</v>
      </c>
      <c r="C367" s="360" t="s">
        <v>1066</v>
      </c>
      <c r="D367" s="81" t="s">
        <v>36</v>
      </c>
      <c r="E367" s="111">
        <v>25</v>
      </c>
      <c r="F367" s="93">
        <v>107</v>
      </c>
      <c r="G367" s="103">
        <v>90</v>
      </c>
      <c r="H367" s="213" t="e">
        <f t="shared" si="178"/>
        <v>#REF!</v>
      </c>
      <c r="I367" s="213">
        <f t="shared" si="167"/>
        <v>2675</v>
      </c>
      <c r="J367" s="201">
        <f t="shared" si="165"/>
        <v>2250</v>
      </c>
      <c r="K367" s="93" t="e">
        <f t="shared" si="179"/>
        <v>#REF!</v>
      </c>
      <c r="L367" s="612"/>
    </row>
    <row r="368" spans="2:12" ht="14.1" customHeight="1" outlineLevel="4">
      <c r="B368" s="367">
        <f t="shared" si="180"/>
        <v>6.1202010699999967</v>
      </c>
      <c r="C368" s="360" t="s">
        <v>1067</v>
      </c>
      <c r="D368" s="81" t="s">
        <v>36</v>
      </c>
      <c r="E368" s="111">
        <v>19</v>
      </c>
      <c r="F368" s="93">
        <v>107</v>
      </c>
      <c r="G368" s="103">
        <v>90</v>
      </c>
      <c r="H368" s="213" t="e">
        <f t="shared" si="178"/>
        <v>#REF!</v>
      </c>
      <c r="I368" s="213">
        <f t="shared" si="167"/>
        <v>2033</v>
      </c>
      <c r="J368" s="201">
        <f t="shared" si="165"/>
        <v>1710</v>
      </c>
      <c r="K368" s="93" t="e">
        <f t="shared" si="179"/>
        <v>#REF!</v>
      </c>
      <c r="L368" s="612"/>
    </row>
    <row r="369" spans="2:12" ht="14.1" customHeight="1" outlineLevel="4">
      <c r="B369" s="367">
        <f t="shared" si="180"/>
        <v>6.1202010799999966</v>
      </c>
      <c r="C369" s="360" t="s">
        <v>1068</v>
      </c>
      <c r="D369" s="81" t="s">
        <v>36</v>
      </c>
      <c r="E369" s="111">
        <v>262</v>
      </c>
      <c r="F369" s="93">
        <v>107</v>
      </c>
      <c r="G369" s="103">
        <v>90</v>
      </c>
      <c r="H369" s="213" t="e">
        <f t="shared" ref="H369" si="181">+ROUND(F369+G369*TC,2)</f>
        <v>#REF!</v>
      </c>
      <c r="I369" s="213">
        <f t="shared" si="167"/>
        <v>28034</v>
      </c>
      <c r="J369" s="201">
        <f t="shared" ref="J369" si="182">+ROUND(E369*G369,2)</f>
        <v>23580</v>
      </c>
      <c r="K369" s="93" t="e">
        <f t="shared" ref="K369" si="183">+ROUND(I369+J369*TC,2)</f>
        <v>#REF!</v>
      </c>
      <c r="L369" s="612"/>
    </row>
    <row r="370" spans="2:12" ht="14.1" customHeight="1" outlineLevel="2">
      <c r="B370" s="344">
        <f>B361+0.000001</f>
        <v>6.1202019999999973</v>
      </c>
      <c r="C370" s="517" t="s">
        <v>1069</v>
      </c>
      <c r="D370" s="81"/>
      <c r="E370" s="111"/>
      <c r="F370" s="93" t="s">
        <v>8</v>
      </c>
      <c r="G370" s="103" t="s">
        <v>8</v>
      </c>
      <c r="H370" s="213"/>
      <c r="I370" s="213"/>
      <c r="J370" s="201"/>
      <c r="K370" s="93"/>
      <c r="L370" s="612"/>
    </row>
    <row r="371" spans="2:12" ht="14.1" customHeight="1" outlineLevel="4">
      <c r="B371" s="367">
        <f t="shared" ref="B371:B378" si="184">B370+0.00000001</f>
        <v>6.1202020099999972</v>
      </c>
      <c r="C371" s="360" t="s">
        <v>1070</v>
      </c>
      <c r="D371" s="81" t="s">
        <v>36</v>
      </c>
      <c r="E371" s="111">
        <v>1</v>
      </c>
      <c r="F371" s="93">
        <v>128</v>
      </c>
      <c r="G371" s="103">
        <v>119</v>
      </c>
      <c r="H371" s="213" t="e">
        <f t="shared" ref="H371:H378" si="185">+ROUND(F371+G371*TC,2)</f>
        <v>#REF!</v>
      </c>
      <c r="I371" s="213">
        <f t="shared" si="167"/>
        <v>128</v>
      </c>
      <c r="J371" s="201">
        <f t="shared" si="165"/>
        <v>119</v>
      </c>
      <c r="K371" s="93" t="e">
        <f t="shared" ref="K371:K378" si="186">+ROUND(I371+J371*TC,2)</f>
        <v>#REF!</v>
      </c>
      <c r="L371" s="612"/>
    </row>
    <row r="372" spans="2:12" ht="14.1" customHeight="1" outlineLevel="4">
      <c r="B372" s="367">
        <f t="shared" si="184"/>
        <v>6.1202020199999971</v>
      </c>
      <c r="C372" s="360" t="s">
        <v>1071</v>
      </c>
      <c r="D372" s="81" t="s">
        <v>36</v>
      </c>
      <c r="E372" s="111">
        <v>19</v>
      </c>
      <c r="F372" s="93">
        <v>107</v>
      </c>
      <c r="G372" s="103">
        <v>90</v>
      </c>
      <c r="H372" s="213" t="e">
        <f t="shared" si="185"/>
        <v>#REF!</v>
      </c>
      <c r="I372" s="213">
        <f t="shared" si="167"/>
        <v>2033</v>
      </c>
      <c r="J372" s="201">
        <f t="shared" si="165"/>
        <v>1710</v>
      </c>
      <c r="K372" s="93" t="e">
        <f t="shared" si="186"/>
        <v>#REF!</v>
      </c>
      <c r="L372" s="612"/>
    </row>
    <row r="373" spans="2:12" ht="14.1" customHeight="1" outlineLevel="4">
      <c r="B373" s="367">
        <f t="shared" si="184"/>
        <v>6.1202020299999971</v>
      </c>
      <c r="C373" s="360" t="s">
        <v>1072</v>
      </c>
      <c r="D373" s="81" t="s">
        <v>36</v>
      </c>
      <c r="E373" s="111">
        <v>21</v>
      </c>
      <c r="F373" s="93">
        <v>107</v>
      </c>
      <c r="G373" s="103">
        <v>90</v>
      </c>
      <c r="H373" s="213" t="e">
        <f t="shared" si="185"/>
        <v>#REF!</v>
      </c>
      <c r="I373" s="213">
        <f t="shared" si="167"/>
        <v>2247</v>
      </c>
      <c r="J373" s="201">
        <f t="shared" ref="J373" si="187">+ROUND(E373*G373,2)</f>
        <v>1890</v>
      </c>
      <c r="K373" s="93" t="e">
        <f t="shared" si="186"/>
        <v>#REF!</v>
      </c>
      <c r="L373" s="612"/>
    </row>
    <row r="374" spans="2:12" ht="14.1" customHeight="1" outlineLevel="4">
      <c r="B374" s="367">
        <f t="shared" si="184"/>
        <v>6.120202039999997</v>
      </c>
      <c r="C374" s="360" t="s">
        <v>1073</v>
      </c>
      <c r="D374" s="81" t="s">
        <v>36</v>
      </c>
      <c r="E374" s="111">
        <v>2</v>
      </c>
      <c r="F374" s="93">
        <v>107</v>
      </c>
      <c r="G374" s="103">
        <v>90</v>
      </c>
      <c r="H374" s="213" t="e">
        <f t="shared" si="185"/>
        <v>#REF!</v>
      </c>
      <c r="I374" s="213">
        <f t="shared" si="167"/>
        <v>214</v>
      </c>
      <c r="J374" s="201">
        <f t="shared" ref="J374" si="188">+ROUND(E374*G374,2)</f>
        <v>180</v>
      </c>
      <c r="K374" s="93" t="e">
        <f t="shared" si="186"/>
        <v>#REF!</v>
      </c>
      <c r="L374" s="612"/>
    </row>
    <row r="375" spans="2:12" ht="14.1" customHeight="1" outlineLevel="4">
      <c r="B375" s="367">
        <f t="shared" si="184"/>
        <v>6.120202049999997</v>
      </c>
      <c r="C375" s="360" t="s">
        <v>1074</v>
      </c>
      <c r="D375" s="81" t="s">
        <v>36</v>
      </c>
      <c r="E375" s="111">
        <v>6</v>
      </c>
      <c r="F375" s="93">
        <v>107</v>
      </c>
      <c r="G375" s="103">
        <v>90</v>
      </c>
      <c r="H375" s="213" t="e">
        <f t="shared" si="185"/>
        <v>#REF!</v>
      </c>
      <c r="I375" s="213">
        <f t="shared" si="167"/>
        <v>642</v>
      </c>
      <c r="J375" s="201">
        <f t="shared" ref="J375" si="189">+ROUND(E375*G375,2)</f>
        <v>540</v>
      </c>
      <c r="K375" s="93" t="e">
        <f t="shared" si="186"/>
        <v>#REF!</v>
      </c>
      <c r="L375" s="612"/>
    </row>
    <row r="376" spans="2:12" ht="14.1" customHeight="1" outlineLevel="4">
      <c r="B376" s="367">
        <f t="shared" si="184"/>
        <v>6.1202020599999969</v>
      </c>
      <c r="C376" s="360" t="s">
        <v>1075</v>
      </c>
      <c r="D376" s="81" t="s">
        <v>36</v>
      </c>
      <c r="E376" s="111">
        <v>1</v>
      </c>
      <c r="F376" s="93">
        <v>107</v>
      </c>
      <c r="G376" s="103">
        <v>90</v>
      </c>
      <c r="H376" s="213" t="e">
        <f t="shared" si="185"/>
        <v>#REF!</v>
      </c>
      <c r="I376" s="213">
        <f t="shared" si="167"/>
        <v>107</v>
      </c>
      <c r="J376" s="201">
        <f t="shared" ref="J376" si="190">+ROUND(E376*G376,2)</f>
        <v>90</v>
      </c>
      <c r="K376" s="93" t="e">
        <f t="shared" si="186"/>
        <v>#REF!</v>
      </c>
      <c r="L376" s="612"/>
    </row>
    <row r="377" spans="2:12" ht="14.1" customHeight="1" outlineLevel="4">
      <c r="B377" s="367">
        <f t="shared" si="184"/>
        <v>6.1202020699999968</v>
      </c>
      <c r="C377" s="360" t="s">
        <v>1076</v>
      </c>
      <c r="D377" s="81" t="s">
        <v>36</v>
      </c>
      <c r="E377" s="111">
        <v>1</v>
      </c>
      <c r="F377" s="93">
        <v>107</v>
      </c>
      <c r="G377" s="103">
        <v>90</v>
      </c>
      <c r="H377" s="213" t="e">
        <f t="shared" si="185"/>
        <v>#REF!</v>
      </c>
      <c r="I377" s="213">
        <f t="shared" si="167"/>
        <v>107</v>
      </c>
      <c r="J377" s="201">
        <f t="shared" ref="J377" si="191">+ROUND(E377*G377,2)</f>
        <v>90</v>
      </c>
      <c r="K377" s="93" t="e">
        <f t="shared" si="186"/>
        <v>#REF!</v>
      </c>
      <c r="L377" s="612"/>
    </row>
    <row r="378" spans="2:12" ht="14.1" customHeight="1" outlineLevel="4">
      <c r="B378" s="367">
        <f t="shared" si="184"/>
        <v>6.1202020799999968</v>
      </c>
      <c r="C378" s="360" t="s">
        <v>1077</v>
      </c>
      <c r="D378" s="81" t="s">
        <v>36</v>
      </c>
      <c r="E378" s="111">
        <v>1</v>
      </c>
      <c r="F378" s="93">
        <v>107</v>
      </c>
      <c r="G378" s="103">
        <v>90</v>
      </c>
      <c r="H378" s="213" t="e">
        <f t="shared" si="185"/>
        <v>#REF!</v>
      </c>
      <c r="I378" s="213">
        <f t="shared" si="167"/>
        <v>107</v>
      </c>
      <c r="J378" s="201">
        <f t="shared" ref="J378" si="192">+ROUND(E378*G378,2)</f>
        <v>90</v>
      </c>
      <c r="K378" s="93" t="e">
        <f t="shared" si="186"/>
        <v>#REF!</v>
      </c>
      <c r="L378" s="612"/>
    </row>
    <row r="379" spans="2:12" ht="14.1" customHeight="1" outlineLevel="1">
      <c r="B379" s="359">
        <f>B360+0.0001</f>
        <v>6.1202999999999967</v>
      </c>
      <c r="C379" s="342" t="s">
        <v>720</v>
      </c>
      <c r="D379" s="81"/>
      <c r="E379" s="111"/>
      <c r="F379" s="93" t="s">
        <v>8</v>
      </c>
      <c r="G379" s="103" t="s">
        <v>8</v>
      </c>
      <c r="H379" s="213"/>
      <c r="I379" s="213"/>
      <c r="J379" s="201"/>
      <c r="K379" s="93"/>
      <c r="L379" s="612"/>
    </row>
    <row r="380" spans="2:12" ht="14.1" customHeight="1" outlineLevel="4">
      <c r="B380" s="143">
        <f>B379+0.000001</f>
        <v>6.1203009999999969</v>
      </c>
      <c r="C380" s="361" t="s">
        <v>721</v>
      </c>
      <c r="D380" s="81" t="s">
        <v>36</v>
      </c>
      <c r="E380" s="111">
        <v>787</v>
      </c>
      <c r="F380" s="93">
        <v>20</v>
      </c>
      <c r="G380" s="103"/>
      <c r="H380" s="213" t="e">
        <f>+ROUND(F380+G380*TC,2)</f>
        <v>#REF!</v>
      </c>
      <c r="I380" s="213">
        <f t="shared" si="167"/>
        <v>15740</v>
      </c>
      <c r="J380" s="201">
        <f t="shared" si="165"/>
        <v>0</v>
      </c>
      <c r="K380" s="93" t="e">
        <f>+ROUND(I380+J380*TC,2)</f>
        <v>#REF!</v>
      </c>
      <c r="L380" s="612"/>
    </row>
    <row r="381" spans="2:12" ht="14.1" customHeight="1" outlineLevel="4">
      <c r="B381" s="143">
        <f>B380+0.000001</f>
        <v>6.120301999999997</v>
      </c>
      <c r="C381" s="361" t="s">
        <v>1078</v>
      </c>
      <c r="D381" s="81" t="s">
        <v>36</v>
      </c>
      <c r="E381" s="111">
        <v>0</v>
      </c>
      <c r="F381" s="93">
        <v>35</v>
      </c>
      <c r="G381" s="103"/>
      <c r="H381" s="213" t="e">
        <f>+ROUND(F381+G381*TC,2)</f>
        <v>#REF!</v>
      </c>
      <c r="I381" s="213">
        <f t="shared" si="167"/>
        <v>0</v>
      </c>
      <c r="J381" s="201">
        <f t="shared" si="165"/>
        <v>0</v>
      </c>
      <c r="K381" s="93" t="e">
        <f>+ROUND(I381+J381*TC,2)</f>
        <v>#REF!</v>
      </c>
      <c r="L381" s="612"/>
    </row>
    <row r="382" spans="2:12" ht="14.1" customHeight="1" outlineLevel="4">
      <c r="B382" s="143">
        <f>B381+0.000001</f>
        <v>6.1203029999999972</v>
      </c>
      <c r="C382" s="361" t="s">
        <v>1079</v>
      </c>
      <c r="D382" s="81" t="s">
        <v>36</v>
      </c>
      <c r="E382" s="111">
        <v>787</v>
      </c>
      <c r="F382" s="93">
        <v>35</v>
      </c>
      <c r="G382" s="103"/>
      <c r="H382" s="213" t="e">
        <f>+ROUND(F382+G382*TC,2)</f>
        <v>#REF!</v>
      </c>
      <c r="I382" s="213">
        <f t="shared" si="167"/>
        <v>27545</v>
      </c>
      <c r="J382" s="201">
        <f t="shared" ref="J382:J431" si="193">+ROUND(E382*G382,2)</f>
        <v>0</v>
      </c>
      <c r="K382" s="93" t="e">
        <f>+ROUND(I382+J382*TC,2)</f>
        <v>#REF!</v>
      </c>
      <c r="L382" s="612"/>
    </row>
    <row r="383" spans="2:12" ht="14.1" customHeight="1" outlineLevel="1">
      <c r="B383" s="140">
        <f>B379+0.0001</f>
        <v>6.1203999999999965</v>
      </c>
      <c r="C383" s="356" t="s">
        <v>1080</v>
      </c>
      <c r="D383" s="81"/>
      <c r="E383" s="111"/>
      <c r="F383" s="93" t="s">
        <v>8</v>
      </c>
      <c r="G383" s="103"/>
      <c r="H383" s="213"/>
      <c r="I383" s="213"/>
      <c r="J383" s="201"/>
      <c r="K383" s="93"/>
      <c r="L383" s="612"/>
    </row>
    <row r="384" spans="2:12" ht="14.1" customHeight="1" outlineLevel="2">
      <c r="B384" s="344">
        <f>B383+0.000001</f>
        <v>6.1204009999999966</v>
      </c>
      <c r="C384" s="517" t="s">
        <v>916</v>
      </c>
      <c r="D384" s="81"/>
      <c r="E384" s="111"/>
      <c r="F384" s="93" t="s">
        <v>8</v>
      </c>
      <c r="G384" s="103"/>
      <c r="H384" s="213"/>
      <c r="I384" s="213"/>
      <c r="J384" s="201"/>
      <c r="K384" s="93"/>
      <c r="L384" s="612"/>
    </row>
    <row r="385" spans="2:12" ht="14.1" customHeight="1" outlineLevel="3">
      <c r="B385" s="362">
        <f>B384+0.00000001</f>
        <v>6.1204010099999966</v>
      </c>
      <c r="C385" s="518" t="s">
        <v>1081</v>
      </c>
      <c r="D385" s="81"/>
      <c r="E385" s="111"/>
      <c r="F385" s="93" t="s">
        <v>8</v>
      </c>
      <c r="G385" s="103"/>
      <c r="H385" s="213"/>
      <c r="I385" s="213"/>
      <c r="J385" s="201"/>
      <c r="K385" s="93"/>
      <c r="L385" s="612"/>
    </row>
    <row r="386" spans="2:12" ht="14.1" customHeight="1" outlineLevel="4">
      <c r="B386" s="363">
        <f>B385+0.0000000001</f>
        <v>6.1204010100999966</v>
      </c>
      <c r="C386" s="361" t="s">
        <v>1082</v>
      </c>
      <c r="D386" s="81" t="s">
        <v>36</v>
      </c>
      <c r="E386" s="111">
        <v>1</v>
      </c>
      <c r="F386" s="93">
        <v>0</v>
      </c>
      <c r="G386" s="103">
        <v>384</v>
      </c>
      <c r="H386" s="213" t="e">
        <f t="shared" ref="H386:H387" si="194">+ROUND(F386+G386*TC,2)</f>
        <v>#REF!</v>
      </c>
      <c r="I386" s="213">
        <f t="shared" si="167"/>
        <v>0</v>
      </c>
      <c r="J386" s="201">
        <f t="shared" si="193"/>
        <v>384</v>
      </c>
      <c r="K386" s="93" t="e">
        <f t="shared" ref="K386:K387" si="195">+ROUND(I386+J386*TC,2)</f>
        <v>#REF!</v>
      </c>
      <c r="L386" s="612"/>
    </row>
    <row r="387" spans="2:12" ht="14.1" customHeight="1" outlineLevel="4">
      <c r="B387" s="363">
        <f t="shared" ref="B387:B388" si="196">B386+0.0000000001</f>
        <v>6.1204010101999966</v>
      </c>
      <c r="C387" s="361" t="s">
        <v>1083</v>
      </c>
      <c r="D387" s="81" t="s">
        <v>36</v>
      </c>
      <c r="E387" s="111">
        <v>171</v>
      </c>
      <c r="F387" s="93">
        <v>0</v>
      </c>
      <c r="G387" s="103">
        <v>158.5</v>
      </c>
      <c r="H387" s="213" t="e">
        <f t="shared" si="194"/>
        <v>#REF!</v>
      </c>
      <c r="I387" s="213">
        <f t="shared" si="167"/>
        <v>0</v>
      </c>
      <c r="J387" s="201">
        <f t="shared" si="193"/>
        <v>27103.5</v>
      </c>
      <c r="K387" s="93" t="e">
        <f t="shared" si="195"/>
        <v>#REF!</v>
      </c>
      <c r="L387" s="612"/>
    </row>
    <row r="388" spans="2:12" ht="14.1" customHeight="1" outlineLevel="4">
      <c r="B388" s="363">
        <f t="shared" si="196"/>
        <v>6.1204010102999966</v>
      </c>
      <c r="C388" s="361" t="s">
        <v>1084</v>
      </c>
      <c r="D388" s="81" t="s">
        <v>36</v>
      </c>
      <c r="E388" s="111">
        <v>2</v>
      </c>
      <c r="F388" s="93">
        <v>0</v>
      </c>
      <c r="G388" s="103">
        <v>174.75</v>
      </c>
      <c r="H388" s="213" t="e">
        <f t="shared" ref="H388" si="197">+ROUND(F388+G388*TC,2)</f>
        <v>#REF!</v>
      </c>
      <c r="I388" s="213">
        <f t="shared" si="167"/>
        <v>0</v>
      </c>
      <c r="J388" s="201">
        <f t="shared" ref="J388" si="198">+ROUND(E388*G388,2)</f>
        <v>349.5</v>
      </c>
      <c r="K388" s="93" t="e">
        <f t="shared" ref="K388" si="199">+ROUND(I388+J388*TC,2)</f>
        <v>#REF!</v>
      </c>
      <c r="L388" s="612"/>
    </row>
    <row r="389" spans="2:12" ht="14.1" customHeight="1" outlineLevel="2">
      <c r="B389" s="344">
        <f>B384+0.000001</f>
        <v>6.1204019999999968</v>
      </c>
      <c r="C389" s="517" t="s">
        <v>1069</v>
      </c>
      <c r="D389" s="81"/>
      <c r="E389" s="111"/>
      <c r="F389" s="93" t="s">
        <v>8</v>
      </c>
      <c r="G389" s="103"/>
      <c r="H389" s="213"/>
      <c r="I389" s="213"/>
      <c r="J389" s="201"/>
      <c r="K389" s="93"/>
      <c r="L389" s="612"/>
    </row>
    <row r="390" spans="2:12" ht="14.1" customHeight="1" outlineLevel="3">
      <c r="B390" s="362">
        <f>B389+0.00000001</f>
        <v>6.1204020099999967</v>
      </c>
      <c r="C390" s="519" t="s">
        <v>1085</v>
      </c>
      <c r="D390" s="81"/>
      <c r="E390" s="111"/>
      <c r="F390" s="93" t="s">
        <v>8</v>
      </c>
      <c r="G390" s="103"/>
      <c r="H390" s="213"/>
      <c r="I390" s="213"/>
      <c r="J390" s="201"/>
      <c r="K390" s="93"/>
      <c r="L390" s="612"/>
    </row>
    <row r="391" spans="2:12" ht="14.1" customHeight="1" outlineLevel="4">
      <c r="B391" s="363">
        <f t="shared" ref="B391:B397" si="200">B390+0.0000000001</f>
        <v>6.1204020100999967</v>
      </c>
      <c r="C391" s="360" t="s">
        <v>1086</v>
      </c>
      <c r="D391" s="81" t="s">
        <v>36</v>
      </c>
      <c r="E391" s="111">
        <v>22</v>
      </c>
      <c r="F391" s="93">
        <v>0</v>
      </c>
      <c r="G391" s="103">
        <v>332.4</v>
      </c>
      <c r="H391" s="213" t="e">
        <f t="shared" ref="H391:H398" si="201">+ROUND(F391+G391*TC,2)</f>
        <v>#REF!</v>
      </c>
      <c r="I391" s="213">
        <f t="shared" si="167"/>
        <v>0</v>
      </c>
      <c r="J391" s="201">
        <f t="shared" ref="J391" si="202">+ROUND(E391*G391,2)</f>
        <v>7312.8</v>
      </c>
      <c r="K391" s="93" t="e">
        <f t="shared" ref="K391:K398" si="203">+ROUND(I391+J391*TC,2)</f>
        <v>#REF!</v>
      </c>
      <c r="L391" s="612"/>
    </row>
    <row r="392" spans="2:12" ht="14.1" customHeight="1" outlineLevel="4">
      <c r="B392" s="363">
        <f t="shared" si="200"/>
        <v>6.1204020101999967</v>
      </c>
      <c r="C392" s="360" t="s">
        <v>1087</v>
      </c>
      <c r="D392" s="81" t="s">
        <v>36</v>
      </c>
      <c r="E392" s="111">
        <v>2</v>
      </c>
      <c r="F392" s="93">
        <v>0</v>
      </c>
      <c r="G392" s="103">
        <v>269.7</v>
      </c>
      <c r="H392" s="213" t="e">
        <f t="shared" si="201"/>
        <v>#REF!</v>
      </c>
      <c r="I392" s="213">
        <f t="shared" si="167"/>
        <v>0</v>
      </c>
      <c r="J392" s="201">
        <f t="shared" ref="J392:J393" si="204">+ROUND(E392*G392,2)</f>
        <v>539.4</v>
      </c>
      <c r="K392" s="93" t="e">
        <f t="shared" si="203"/>
        <v>#REF!</v>
      </c>
      <c r="L392" s="612"/>
    </row>
    <row r="393" spans="2:12" ht="14.1" customHeight="1" outlineLevel="4">
      <c r="B393" s="363">
        <f t="shared" si="200"/>
        <v>6.1204020102999968</v>
      </c>
      <c r="C393" s="360" t="s">
        <v>1088</v>
      </c>
      <c r="D393" s="81" t="s">
        <v>36</v>
      </c>
      <c r="E393" s="111">
        <v>1</v>
      </c>
      <c r="F393" s="93">
        <v>0</v>
      </c>
      <c r="G393" s="103">
        <v>266.39999999999998</v>
      </c>
      <c r="H393" s="213" t="e">
        <f t="shared" si="201"/>
        <v>#REF!</v>
      </c>
      <c r="I393" s="213">
        <f t="shared" si="167"/>
        <v>0</v>
      </c>
      <c r="J393" s="201">
        <f t="shared" si="204"/>
        <v>266.39999999999998</v>
      </c>
      <c r="K393" s="93" t="e">
        <f t="shared" si="203"/>
        <v>#REF!</v>
      </c>
      <c r="L393" s="612"/>
    </row>
    <row r="394" spans="2:12" ht="14.1" customHeight="1" outlineLevel="4">
      <c r="B394" s="363">
        <f t="shared" si="200"/>
        <v>6.1204020103999968</v>
      </c>
      <c r="C394" s="360" t="s">
        <v>1089</v>
      </c>
      <c r="D394" s="81" t="s">
        <v>36</v>
      </c>
      <c r="E394" s="111">
        <v>1</v>
      </c>
      <c r="F394" s="93">
        <v>0</v>
      </c>
      <c r="G394" s="103">
        <v>264.75</v>
      </c>
      <c r="H394" s="213" t="e">
        <f t="shared" si="201"/>
        <v>#REF!</v>
      </c>
      <c r="I394" s="213">
        <f t="shared" si="167"/>
        <v>0</v>
      </c>
      <c r="J394" s="201">
        <f t="shared" ref="J394:J395" si="205">+ROUND(E394*G394,2)</f>
        <v>264.75</v>
      </c>
      <c r="K394" s="93" t="e">
        <f t="shared" si="203"/>
        <v>#REF!</v>
      </c>
      <c r="L394" s="612"/>
    </row>
    <row r="395" spans="2:12" ht="14.1" customHeight="1" outlineLevel="4">
      <c r="B395" s="363">
        <f t="shared" si="200"/>
        <v>6.1204020104999968</v>
      </c>
      <c r="C395" s="360" t="s">
        <v>1090</v>
      </c>
      <c r="D395" s="81" t="s">
        <v>36</v>
      </c>
      <c r="E395" s="111">
        <v>12</v>
      </c>
      <c r="F395" s="93">
        <v>0</v>
      </c>
      <c r="G395" s="103">
        <v>266.39999999999998</v>
      </c>
      <c r="H395" s="213" t="e">
        <f t="shared" si="201"/>
        <v>#REF!</v>
      </c>
      <c r="I395" s="213">
        <f t="shared" si="167"/>
        <v>0</v>
      </c>
      <c r="J395" s="201">
        <f t="shared" si="205"/>
        <v>3196.8</v>
      </c>
      <c r="K395" s="93" t="e">
        <f t="shared" si="203"/>
        <v>#REF!</v>
      </c>
      <c r="L395" s="612"/>
    </row>
    <row r="396" spans="2:12" ht="14.1" customHeight="1" outlineLevel="4">
      <c r="B396" s="363">
        <f t="shared" si="200"/>
        <v>6.1204020105999968</v>
      </c>
      <c r="C396" s="360" t="s">
        <v>1091</v>
      </c>
      <c r="D396" s="81" t="s">
        <v>36</v>
      </c>
      <c r="E396" s="111">
        <v>4</v>
      </c>
      <c r="F396" s="93">
        <v>0</v>
      </c>
      <c r="G396" s="103">
        <v>220.2</v>
      </c>
      <c r="H396" s="213" t="e">
        <f t="shared" si="201"/>
        <v>#REF!</v>
      </c>
      <c r="I396" s="213">
        <f t="shared" si="167"/>
        <v>0</v>
      </c>
      <c r="J396" s="201">
        <f t="shared" ref="J396:J397" si="206">+ROUND(E396*G396,2)</f>
        <v>880.8</v>
      </c>
      <c r="K396" s="93" t="e">
        <f t="shared" si="203"/>
        <v>#REF!</v>
      </c>
      <c r="L396" s="612"/>
    </row>
    <row r="397" spans="2:12" ht="14.1" customHeight="1" outlineLevel="4">
      <c r="B397" s="363">
        <f t="shared" si="200"/>
        <v>6.1204020106999968</v>
      </c>
      <c r="C397" s="360" t="s">
        <v>1092</v>
      </c>
      <c r="D397" s="81" t="s">
        <v>36</v>
      </c>
      <c r="E397" s="111">
        <v>22</v>
      </c>
      <c r="F397" s="93">
        <v>0</v>
      </c>
      <c r="G397" s="103">
        <v>182.25</v>
      </c>
      <c r="H397" s="213" t="e">
        <f t="shared" si="201"/>
        <v>#REF!</v>
      </c>
      <c r="I397" s="213">
        <f t="shared" si="167"/>
        <v>0</v>
      </c>
      <c r="J397" s="201">
        <f t="shared" si="206"/>
        <v>4009.5</v>
      </c>
      <c r="K397" s="93" t="e">
        <f t="shared" si="203"/>
        <v>#REF!</v>
      </c>
      <c r="L397" s="612"/>
    </row>
    <row r="398" spans="2:12" ht="14.1" customHeight="1" outlineLevel="4">
      <c r="B398" s="363">
        <f>B400+0.0000000001</f>
        <v>6.1204020201999967</v>
      </c>
      <c r="C398" s="360" t="s">
        <v>1093</v>
      </c>
      <c r="D398" s="81" t="s">
        <v>36</v>
      </c>
      <c r="E398" s="111">
        <v>20</v>
      </c>
      <c r="F398" s="93">
        <v>0</v>
      </c>
      <c r="G398" s="103">
        <v>185.55</v>
      </c>
      <c r="H398" s="213" t="e">
        <f t="shared" si="201"/>
        <v>#REF!</v>
      </c>
      <c r="I398" s="213">
        <f t="shared" si="167"/>
        <v>0</v>
      </c>
      <c r="J398" s="201">
        <f t="shared" ref="J398" si="207">+ROUND(E398*G398,2)</f>
        <v>3711</v>
      </c>
      <c r="K398" s="93" t="e">
        <f t="shared" si="203"/>
        <v>#REF!</v>
      </c>
      <c r="L398" s="612"/>
    </row>
    <row r="399" spans="2:12" ht="14.1" customHeight="1" outlineLevel="3">
      <c r="B399" s="362">
        <f>B390+0.00000001</f>
        <v>6.1204020199999967</v>
      </c>
      <c r="C399" s="519" t="s">
        <v>1094</v>
      </c>
      <c r="D399" s="81"/>
      <c r="E399" s="111"/>
      <c r="F399" s="93" t="s">
        <v>8</v>
      </c>
      <c r="G399" s="103"/>
      <c r="H399" s="213"/>
      <c r="I399" s="213"/>
      <c r="J399" s="201"/>
      <c r="K399" s="93"/>
      <c r="L399" s="612"/>
    </row>
    <row r="400" spans="2:12" ht="14.1" customHeight="1" outlineLevel="4">
      <c r="B400" s="363">
        <f>B399+0.0000000001</f>
        <v>6.1204020200999967</v>
      </c>
      <c r="C400" s="360" t="s">
        <v>1095</v>
      </c>
      <c r="D400" s="81" t="s">
        <v>36</v>
      </c>
      <c r="E400" s="111">
        <v>18</v>
      </c>
      <c r="F400" s="93">
        <v>124.19999999999999</v>
      </c>
      <c r="G400" s="103">
        <v>167.4</v>
      </c>
      <c r="H400" s="213" t="e">
        <f>+ROUND(F400+G400*TC,2)</f>
        <v>#REF!</v>
      </c>
      <c r="I400" s="213">
        <f t="shared" si="167"/>
        <v>2235.6</v>
      </c>
      <c r="J400" s="201">
        <f>+ROUND(E400*G400,2)</f>
        <v>3013.2</v>
      </c>
      <c r="K400" s="93" t="e">
        <f>+ROUND(I400+J400*TC,2)</f>
        <v>#REF!</v>
      </c>
      <c r="L400" s="612"/>
    </row>
    <row r="401" spans="2:13" ht="14.1" customHeight="1" outlineLevel="4">
      <c r="B401" s="363">
        <f>B400+0.0000000001</f>
        <v>6.1204020201999967</v>
      </c>
      <c r="C401" s="360" t="s">
        <v>1096</v>
      </c>
      <c r="D401" s="81" t="s">
        <v>36</v>
      </c>
      <c r="E401" s="111">
        <v>22</v>
      </c>
      <c r="F401" s="93">
        <v>129.15</v>
      </c>
      <c r="G401" s="103">
        <v>185.55</v>
      </c>
      <c r="H401" s="213" t="e">
        <f>+ROUND(F401+G401*TC,2)</f>
        <v>#REF!</v>
      </c>
      <c r="I401" s="213">
        <f t="shared" si="167"/>
        <v>2841.3</v>
      </c>
      <c r="J401" s="201">
        <f t="shared" ref="J401" si="208">+ROUND(E401*G401,2)</f>
        <v>4082.1</v>
      </c>
      <c r="K401" s="93" t="e">
        <f>+ROUND(I401+J401*TC,2)</f>
        <v>#REF!</v>
      </c>
      <c r="L401" s="612"/>
    </row>
    <row r="402" spans="2:13" ht="13.5" customHeight="1">
      <c r="B402" s="218">
        <f>B352+0.01</f>
        <v>6.1299999999999972</v>
      </c>
      <c r="C402" s="508" t="s">
        <v>724</v>
      </c>
      <c r="D402" s="81"/>
      <c r="E402" s="111"/>
      <c r="F402" s="93" t="s">
        <v>8</v>
      </c>
      <c r="G402" s="103"/>
      <c r="H402" s="213"/>
      <c r="I402" s="213"/>
      <c r="J402" s="201"/>
      <c r="K402" s="93"/>
      <c r="L402" s="612" t="e">
        <f>SUM(I402:I406)+SUM(J402:J406)*TC</f>
        <v>#REF!</v>
      </c>
    </row>
    <row r="403" spans="2:13" ht="14.1" customHeight="1" outlineLevel="1">
      <c r="B403" s="364">
        <f>B402+0.0001</f>
        <v>6.130099999999997</v>
      </c>
      <c r="C403" s="361" t="s">
        <v>1097</v>
      </c>
      <c r="D403" s="81" t="s">
        <v>36</v>
      </c>
      <c r="E403" s="111">
        <v>174</v>
      </c>
      <c r="F403" s="93"/>
      <c r="G403" s="103">
        <v>26.99</v>
      </c>
      <c r="H403" s="213" t="e">
        <f>+ROUND(F403+G403*TC,2)</f>
        <v>#REF!</v>
      </c>
      <c r="I403" s="213">
        <f t="shared" ref="I403:I465" si="209">+ROUND(E403*F403,2)</f>
        <v>0</v>
      </c>
      <c r="J403" s="201">
        <f t="shared" si="193"/>
        <v>4696.26</v>
      </c>
      <c r="K403" s="93" t="e">
        <f>+ROUND(I403+J403*TC,2)</f>
        <v>#REF!</v>
      </c>
      <c r="L403" s="343"/>
    </row>
    <row r="404" spans="2:13" ht="14.1" customHeight="1" outlineLevel="1">
      <c r="B404" s="364">
        <f>B403+0.0001</f>
        <v>6.1301999999999968</v>
      </c>
      <c r="C404" s="361" t="s">
        <v>1098</v>
      </c>
      <c r="D404" s="81" t="s">
        <v>36</v>
      </c>
      <c r="E404" s="111">
        <v>299</v>
      </c>
      <c r="F404" s="93"/>
      <c r="G404" s="103">
        <v>6.49</v>
      </c>
      <c r="H404" s="213" t="e">
        <f>+ROUND(F404+G404*TC,2)</f>
        <v>#REF!</v>
      </c>
      <c r="I404" s="213">
        <f t="shared" si="209"/>
        <v>0</v>
      </c>
      <c r="J404" s="201">
        <f t="shared" si="193"/>
        <v>1940.51</v>
      </c>
      <c r="K404" s="93" t="e">
        <f>+ROUND(I404+J404*TC,2)</f>
        <v>#REF!</v>
      </c>
      <c r="L404" s="343"/>
    </row>
    <row r="405" spans="2:13" ht="14.1" customHeight="1" outlineLevel="1">
      <c r="B405" s="364">
        <f>B404+0.0001</f>
        <v>6.1302999999999965</v>
      </c>
      <c r="C405" s="361" t="s">
        <v>1099</v>
      </c>
      <c r="D405" s="81" t="s">
        <v>36</v>
      </c>
      <c r="E405" s="111">
        <v>262</v>
      </c>
      <c r="F405" s="93"/>
      <c r="G405" s="103">
        <v>6.29</v>
      </c>
      <c r="H405" s="213" t="e">
        <f>+ROUND(F405+G405*TC,2)</f>
        <v>#REF!</v>
      </c>
      <c r="I405" s="213">
        <f t="shared" si="209"/>
        <v>0</v>
      </c>
      <c r="J405" s="201">
        <f t="shared" si="193"/>
        <v>1647.98</v>
      </c>
      <c r="K405" s="93" t="e">
        <f>+ROUND(I405+J405*TC,2)</f>
        <v>#REF!</v>
      </c>
      <c r="L405" s="343"/>
    </row>
    <row r="406" spans="2:13" ht="14.1" customHeight="1" outlineLevel="1">
      <c r="B406" s="364">
        <f>B405+0.0001</f>
        <v>6.1303999999999963</v>
      </c>
      <c r="C406" s="361" t="s">
        <v>1100</v>
      </c>
      <c r="D406" s="81" t="s">
        <v>36</v>
      </c>
      <c r="E406" s="111">
        <v>52</v>
      </c>
      <c r="F406" s="93"/>
      <c r="G406" s="103">
        <v>6.49</v>
      </c>
      <c r="H406" s="213" t="e">
        <f>+ROUND(F406+G406*TC,2)</f>
        <v>#REF!</v>
      </c>
      <c r="I406" s="213">
        <f t="shared" si="209"/>
        <v>0</v>
      </c>
      <c r="J406" s="201">
        <f t="shared" si="193"/>
        <v>337.48</v>
      </c>
      <c r="K406" s="93" t="e">
        <f>+ROUND(I406+J406*TC,2)</f>
        <v>#REF!</v>
      </c>
      <c r="L406" s="343"/>
    </row>
    <row r="407" spans="2:13" ht="13.5" customHeight="1">
      <c r="B407" s="218">
        <f>B402+0.01</f>
        <v>6.139999999999997</v>
      </c>
      <c r="C407" s="508" t="s">
        <v>1101</v>
      </c>
      <c r="D407" s="81"/>
      <c r="E407" s="81"/>
      <c r="F407" s="93" t="s">
        <v>8</v>
      </c>
      <c r="G407" s="103"/>
      <c r="H407" s="213"/>
      <c r="I407" s="213"/>
      <c r="J407" s="201"/>
      <c r="K407" s="93"/>
      <c r="L407" s="612" t="e">
        <f>SUM(I407:I429)+SUM(J407:J429)*TC</f>
        <v>#REF!</v>
      </c>
      <c r="M407" s="127" t="e">
        <f>+L407+L430+L462+L704</f>
        <v>#REF!</v>
      </c>
    </row>
    <row r="408" spans="2:13" ht="14.1" customHeight="1" outlineLevel="1">
      <c r="B408" s="364">
        <f>B407+0.0001</f>
        <v>6.1400999999999968</v>
      </c>
      <c r="C408" s="361" t="s">
        <v>1102</v>
      </c>
      <c r="D408" s="81" t="s">
        <v>36</v>
      </c>
      <c r="E408" s="111">
        <v>20</v>
      </c>
      <c r="F408" s="93">
        <v>4207</v>
      </c>
      <c r="G408" s="103"/>
      <c r="H408" s="501" t="e">
        <f t="shared" ref="H408:H429" si="210">+ROUND(F408+G408*TC,2)</f>
        <v>#REF!</v>
      </c>
      <c r="I408" s="213">
        <f t="shared" si="209"/>
        <v>84140</v>
      </c>
      <c r="J408" s="201">
        <f t="shared" si="193"/>
        <v>0</v>
      </c>
      <c r="K408" s="93" t="e">
        <f t="shared" ref="K408:K429" si="211">+ROUND(I408+J408*TC,2)</f>
        <v>#REF!</v>
      </c>
      <c r="L408" s="612"/>
    </row>
    <row r="409" spans="2:13" ht="14.1" customHeight="1" outlineLevel="1">
      <c r="B409" s="364">
        <f t="shared" ref="B409:B461" si="212">B408+0.0001</f>
        <v>6.1401999999999965</v>
      </c>
      <c r="C409" s="361" t="s">
        <v>1103</v>
      </c>
      <c r="D409" s="81" t="s">
        <v>36</v>
      </c>
      <c r="E409" s="111">
        <v>1</v>
      </c>
      <c r="F409" s="93">
        <v>4207</v>
      </c>
      <c r="G409" s="103"/>
      <c r="H409" s="501" t="e">
        <f t="shared" si="210"/>
        <v>#REF!</v>
      </c>
      <c r="I409" s="213">
        <f t="shared" si="209"/>
        <v>4207</v>
      </c>
      <c r="J409" s="201">
        <f t="shared" si="193"/>
        <v>0</v>
      </c>
      <c r="K409" s="93" t="e">
        <f t="shared" si="211"/>
        <v>#REF!</v>
      </c>
      <c r="L409" s="612"/>
    </row>
    <row r="410" spans="2:13" ht="14.1" customHeight="1" outlineLevel="1">
      <c r="B410" s="364">
        <f t="shared" si="212"/>
        <v>6.1402999999999963</v>
      </c>
      <c r="C410" s="361" t="s">
        <v>1104</v>
      </c>
      <c r="D410" s="81" t="s">
        <v>36</v>
      </c>
      <c r="E410" s="111">
        <v>19</v>
      </c>
      <c r="F410" s="93">
        <v>4237</v>
      </c>
      <c r="G410" s="103"/>
      <c r="H410" s="501" t="e">
        <f t="shared" si="210"/>
        <v>#REF!</v>
      </c>
      <c r="I410" s="213">
        <f t="shared" si="209"/>
        <v>80503</v>
      </c>
      <c r="J410" s="201">
        <f t="shared" si="193"/>
        <v>0</v>
      </c>
      <c r="K410" s="93" t="e">
        <f t="shared" si="211"/>
        <v>#REF!</v>
      </c>
      <c r="L410" s="612"/>
    </row>
    <row r="411" spans="2:13" ht="14.1" customHeight="1" outlineLevel="1">
      <c r="B411" s="364">
        <f t="shared" si="212"/>
        <v>6.1403999999999961</v>
      </c>
      <c r="C411" s="361" t="s">
        <v>1105</v>
      </c>
      <c r="D411" s="81" t="s">
        <v>36</v>
      </c>
      <c r="E411" s="111">
        <v>7</v>
      </c>
      <c r="F411" s="93">
        <v>4453.8999999999996</v>
      </c>
      <c r="G411" s="103"/>
      <c r="H411" s="501" t="e">
        <f t="shared" si="210"/>
        <v>#REF!</v>
      </c>
      <c r="I411" s="213">
        <f t="shared" si="209"/>
        <v>31177.3</v>
      </c>
      <c r="J411" s="201">
        <f t="shared" si="193"/>
        <v>0</v>
      </c>
      <c r="K411" s="93" t="e">
        <f t="shared" si="211"/>
        <v>#REF!</v>
      </c>
      <c r="L411" s="612"/>
    </row>
    <row r="412" spans="2:13" ht="14.1" customHeight="1" outlineLevel="1">
      <c r="B412" s="364">
        <f t="shared" si="212"/>
        <v>6.1404999999999959</v>
      </c>
      <c r="C412" s="361" t="s">
        <v>1106</v>
      </c>
      <c r="D412" s="81" t="s">
        <v>36</v>
      </c>
      <c r="E412" s="111">
        <v>13</v>
      </c>
      <c r="F412" s="93">
        <v>4453.8999999999996</v>
      </c>
      <c r="G412" s="103"/>
      <c r="H412" s="501" t="e">
        <f t="shared" ref="H412:H417" si="213">+ROUND(F412+G412*TC,2)</f>
        <v>#REF!</v>
      </c>
      <c r="I412" s="213">
        <f t="shared" si="209"/>
        <v>57900.7</v>
      </c>
      <c r="J412" s="201">
        <f t="shared" ref="J412:J417" si="214">+ROUND(E412*G412,2)</f>
        <v>0</v>
      </c>
      <c r="K412" s="93" t="e">
        <f t="shared" ref="K412:K417" si="215">+ROUND(I412+J412*TC,2)</f>
        <v>#REF!</v>
      </c>
      <c r="L412" s="612"/>
    </row>
    <row r="413" spans="2:13" outlineLevel="1">
      <c r="B413" s="364">
        <f t="shared" si="212"/>
        <v>6.1405999999999956</v>
      </c>
      <c r="C413" s="361" t="s">
        <v>1107</v>
      </c>
      <c r="D413" s="81" t="s">
        <v>36</v>
      </c>
      <c r="E413" s="111">
        <v>1</v>
      </c>
      <c r="F413" s="93">
        <v>4453.8999999999996</v>
      </c>
      <c r="G413" s="103"/>
      <c r="H413" s="501" t="e">
        <f t="shared" si="213"/>
        <v>#REF!</v>
      </c>
      <c r="I413" s="213">
        <f t="shared" si="209"/>
        <v>4453.8999999999996</v>
      </c>
      <c r="J413" s="201">
        <f t="shared" si="214"/>
        <v>0</v>
      </c>
      <c r="K413" s="93" t="e">
        <f t="shared" si="215"/>
        <v>#REF!</v>
      </c>
      <c r="L413" s="612"/>
    </row>
    <row r="414" spans="2:13" outlineLevel="1">
      <c r="B414" s="364">
        <f t="shared" si="212"/>
        <v>6.1406999999999954</v>
      </c>
      <c r="C414" s="361" t="s">
        <v>1108</v>
      </c>
      <c r="D414" s="81" t="s">
        <v>36</v>
      </c>
      <c r="E414" s="111">
        <v>7</v>
      </c>
      <c r="F414" s="93">
        <v>4670.55</v>
      </c>
      <c r="G414" s="103"/>
      <c r="H414" s="501" t="e">
        <f t="shared" si="213"/>
        <v>#REF!</v>
      </c>
      <c r="I414" s="213">
        <f t="shared" si="209"/>
        <v>32693.85</v>
      </c>
      <c r="J414" s="201">
        <f t="shared" si="214"/>
        <v>0</v>
      </c>
      <c r="K414" s="93" t="e">
        <f t="shared" si="215"/>
        <v>#REF!</v>
      </c>
      <c r="L414" s="612"/>
    </row>
    <row r="415" spans="2:13" outlineLevel="1">
      <c r="B415" s="364">
        <f t="shared" si="212"/>
        <v>6.1407999999999952</v>
      </c>
      <c r="C415" s="361" t="s">
        <v>1109</v>
      </c>
      <c r="D415" s="81" t="s">
        <v>36</v>
      </c>
      <c r="E415" s="111">
        <v>7</v>
      </c>
      <c r="F415" s="93">
        <v>5248.35</v>
      </c>
      <c r="G415" s="103"/>
      <c r="H415" s="501" t="e">
        <f t="shared" si="213"/>
        <v>#REF!</v>
      </c>
      <c r="I415" s="213">
        <f t="shared" si="209"/>
        <v>36738.449999999997</v>
      </c>
      <c r="J415" s="201">
        <f t="shared" si="214"/>
        <v>0</v>
      </c>
      <c r="K415" s="93" t="e">
        <f t="shared" si="215"/>
        <v>#REF!</v>
      </c>
      <c r="L415" s="612"/>
    </row>
    <row r="416" spans="2:13" ht="14.1" customHeight="1" outlineLevel="1">
      <c r="B416" s="364">
        <f t="shared" si="212"/>
        <v>6.1408999999999949</v>
      </c>
      <c r="C416" s="361" t="s">
        <v>1110</v>
      </c>
      <c r="D416" s="81" t="s">
        <v>36</v>
      </c>
      <c r="E416" s="111">
        <v>12</v>
      </c>
      <c r="F416" s="93">
        <v>5106.3500000000004</v>
      </c>
      <c r="G416" s="103"/>
      <c r="H416" s="501" t="e">
        <f t="shared" si="213"/>
        <v>#REF!</v>
      </c>
      <c r="I416" s="213">
        <f t="shared" si="209"/>
        <v>61276.2</v>
      </c>
      <c r="J416" s="201">
        <f t="shared" si="214"/>
        <v>0</v>
      </c>
      <c r="K416" s="93" t="e">
        <f t="shared" si="215"/>
        <v>#REF!</v>
      </c>
      <c r="L416" s="612"/>
    </row>
    <row r="417" spans="2:12" ht="14.1" customHeight="1" outlineLevel="1">
      <c r="B417" s="364">
        <f t="shared" si="212"/>
        <v>6.1409999999999947</v>
      </c>
      <c r="C417" s="361" t="s">
        <v>1111</v>
      </c>
      <c r="D417" s="81" t="s">
        <v>36</v>
      </c>
      <c r="E417" s="111">
        <v>1</v>
      </c>
      <c r="F417" s="93">
        <v>3778</v>
      </c>
      <c r="G417" s="103"/>
      <c r="H417" s="501" t="e">
        <f t="shared" si="213"/>
        <v>#REF!</v>
      </c>
      <c r="I417" s="213">
        <f t="shared" si="209"/>
        <v>3778</v>
      </c>
      <c r="J417" s="201">
        <f t="shared" si="214"/>
        <v>0</v>
      </c>
      <c r="K417" s="93" t="e">
        <f t="shared" si="215"/>
        <v>#REF!</v>
      </c>
      <c r="L417" s="612"/>
    </row>
    <row r="418" spans="2:12" ht="14.1" customHeight="1" outlineLevel="1">
      <c r="B418" s="364">
        <f t="shared" si="212"/>
        <v>6.1410999999999945</v>
      </c>
      <c r="C418" s="361" t="s">
        <v>1112</v>
      </c>
      <c r="D418" s="81" t="s">
        <v>36</v>
      </c>
      <c r="E418" s="111">
        <v>1</v>
      </c>
      <c r="F418" s="93">
        <v>3778</v>
      </c>
      <c r="G418" s="103"/>
      <c r="H418" s="501" t="e">
        <f t="shared" si="210"/>
        <v>#REF!</v>
      </c>
      <c r="I418" s="213">
        <f t="shared" si="209"/>
        <v>3778</v>
      </c>
      <c r="J418" s="201">
        <f t="shared" si="193"/>
        <v>0</v>
      </c>
      <c r="K418" s="93" t="e">
        <f t="shared" si="211"/>
        <v>#REF!</v>
      </c>
      <c r="L418" s="612"/>
    </row>
    <row r="419" spans="2:12" outlineLevel="1">
      <c r="B419" s="364">
        <f t="shared" si="212"/>
        <v>6.1411999999999942</v>
      </c>
      <c r="C419" s="361" t="s">
        <v>1113</v>
      </c>
      <c r="D419" s="81" t="s">
        <v>36</v>
      </c>
      <c r="E419" s="111">
        <v>18</v>
      </c>
      <c r="F419" s="93">
        <v>5479.7000000000007</v>
      </c>
      <c r="G419" s="103"/>
      <c r="H419" s="501" t="e">
        <f t="shared" si="210"/>
        <v>#REF!</v>
      </c>
      <c r="I419" s="213">
        <f t="shared" si="209"/>
        <v>98634.6</v>
      </c>
      <c r="J419" s="201">
        <f t="shared" si="193"/>
        <v>0</v>
      </c>
      <c r="K419" s="93" t="e">
        <f t="shared" si="211"/>
        <v>#REF!</v>
      </c>
      <c r="L419" s="612"/>
    </row>
    <row r="420" spans="2:12" outlineLevel="1">
      <c r="B420" s="364">
        <f t="shared" si="212"/>
        <v>6.141299999999994</v>
      </c>
      <c r="C420" s="361" t="s">
        <v>1114</v>
      </c>
      <c r="D420" s="81" t="s">
        <v>36</v>
      </c>
      <c r="E420" s="111">
        <v>1</v>
      </c>
      <c r="F420" s="93">
        <v>5078.05</v>
      </c>
      <c r="G420" s="103"/>
      <c r="H420" s="501" t="e">
        <f t="shared" si="210"/>
        <v>#REF!</v>
      </c>
      <c r="I420" s="213">
        <f t="shared" si="209"/>
        <v>5078.05</v>
      </c>
      <c r="J420" s="201">
        <f t="shared" si="193"/>
        <v>0</v>
      </c>
      <c r="K420" s="93" t="e">
        <f t="shared" si="211"/>
        <v>#REF!</v>
      </c>
      <c r="L420" s="612"/>
    </row>
    <row r="421" spans="2:12" outlineLevel="1">
      <c r="B421" s="364">
        <f t="shared" si="212"/>
        <v>6.1413999999999938</v>
      </c>
      <c r="C421" s="361" t="s">
        <v>1115</v>
      </c>
      <c r="D421" s="81" t="s">
        <v>36</v>
      </c>
      <c r="E421" s="111">
        <v>2</v>
      </c>
      <c r="F421" s="93">
        <v>4444.2</v>
      </c>
      <c r="G421" s="103"/>
      <c r="H421" s="501" t="e">
        <f t="shared" si="210"/>
        <v>#REF!</v>
      </c>
      <c r="I421" s="213">
        <f t="shared" si="209"/>
        <v>8888.4</v>
      </c>
      <c r="J421" s="201">
        <f t="shared" si="193"/>
        <v>0</v>
      </c>
      <c r="K421" s="93" t="e">
        <f t="shared" si="211"/>
        <v>#REF!</v>
      </c>
      <c r="L421" s="612"/>
    </row>
    <row r="422" spans="2:12" ht="14.1" customHeight="1" outlineLevel="1">
      <c r="B422" s="364">
        <f t="shared" si="212"/>
        <v>6.1414999999999935</v>
      </c>
      <c r="C422" s="361" t="s">
        <v>1116</v>
      </c>
      <c r="D422" s="81" t="s">
        <v>36</v>
      </c>
      <c r="E422" s="111">
        <v>17</v>
      </c>
      <c r="F422" s="93">
        <v>3579.1499999999996</v>
      </c>
      <c r="G422" s="103"/>
      <c r="H422" s="501" t="e">
        <f t="shared" ref="H422:H428" si="216">+ROUND(F422+G422*TC,2)</f>
        <v>#REF!</v>
      </c>
      <c r="I422" s="213">
        <f t="shared" si="209"/>
        <v>60845.55</v>
      </c>
      <c r="J422" s="201">
        <f t="shared" ref="J422:J428" si="217">+ROUND(E422*G422,2)</f>
        <v>0</v>
      </c>
      <c r="K422" s="93" t="e">
        <f t="shared" ref="K422:K428" si="218">+ROUND(I422+J422*TC,2)</f>
        <v>#REF!</v>
      </c>
      <c r="L422" s="612"/>
    </row>
    <row r="423" spans="2:12" ht="14.1" customHeight="1" outlineLevel="1">
      <c r="B423" s="364">
        <f t="shared" si="212"/>
        <v>6.1415999999999933</v>
      </c>
      <c r="C423" s="361" t="s">
        <v>1117</v>
      </c>
      <c r="D423" s="81" t="s">
        <v>36</v>
      </c>
      <c r="E423" s="111">
        <v>1</v>
      </c>
      <c r="F423" s="93">
        <v>2263.4499999999998</v>
      </c>
      <c r="G423" s="103"/>
      <c r="H423" s="501" t="e">
        <f t="shared" si="216"/>
        <v>#REF!</v>
      </c>
      <c r="I423" s="213">
        <f t="shared" si="209"/>
        <v>2263.4499999999998</v>
      </c>
      <c r="J423" s="201">
        <f t="shared" si="217"/>
        <v>0</v>
      </c>
      <c r="K423" s="93" t="e">
        <f t="shared" si="218"/>
        <v>#REF!</v>
      </c>
      <c r="L423" s="612"/>
    </row>
    <row r="424" spans="2:12" ht="14.1" customHeight="1" outlineLevel="1">
      <c r="B424" s="364">
        <f t="shared" si="212"/>
        <v>6.1416999999999931</v>
      </c>
      <c r="C424" s="361" t="s">
        <v>1118</v>
      </c>
      <c r="D424" s="81" t="s">
        <v>36</v>
      </c>
      <c r="E424" s="111">
        <v>17</v>
      </c>
      <c r="F424" s="93">
        <v>4427.7999999999993</v>
      </c>
      <c r="G424" s="103"/>
      <c r="H424" s="501" t="e">
        <f t="shared" si="216"/>
        <v>#REF!</v>
      </c>
      <c r="I424" s="213">
        <f t="shared" si="209"/>
        <v>75272.600000000006</v>
      </c>
      <c r="J424" s="201">
        <f t="shared" si="217"/>
        <v>0</v>
      </c>
      <c r="K424" s="93" t="e">
        <f t="shared" si="218"/>
        <v>#REF!</v>
      </c>
      <c r="L424" s="612"/>
    </row>
    <row r="425" spans="2:12" ht="14.1" customHeight="1" outlineLevel="1">
      <c r="B425" s="364">
        <f t="shared" si="212"/>
        <v>6.1417999999999928</v>
      </c>
      <c r="C425" s="361" t="s">
        <v>1119</v>
      </c>
      <c r="D425" s="81" t="s">
        <v>36</v>
      </c>
      <c r="E425" s="111">
        <v>1</v>
      </c>
      <c r="F425" s="93">
        <v>2453</v>
      </c>
      <c r="G425" s="103"/>
      <c r="H425" s="501" t="e">
        <f t="shared" si="216"/>
        <v>#REF!</v>
      </c>
      <c r="I425" s="213">
        <f t="shared" si="209"/>
        <v>2453</v>
      </c>
      <c r="J425" s="201">
        <f t="shared" si="217"/>
        <v>0</v>
      </c>
      <c r="K425" s="93" t="e">
        <f t="shared" si="218"/>
        <v>#REF!</v>
      </c>
      <c r="L425" s="612"/>
    </row>
    <row r="426" spans="2:12" outlineLevel="1">
      <c r="B426" s="364">
        <f t="shared" si="212"/>
        <v>6.1418999999999926</v>
      </c>
      <c r="C426" s="361" t="s">
        <v>1120</v>
      </c>
      <c r="D426" s="81" t="s">
        <v>36</v>
      </c>
      <c r="E426" s="111">
        <v>12</v>
      </c>
      <c r="F426" s="93">
        <v>4473.8</v>
      </c>
      <c r="G426" s="103"/>
      <c r="H426" s="501" t="e">
        <f t="shared" si="216"/>
        <v>#REF!</v>
      </c>
      <c r="I426" s="213">
        <f t="shared" si="209"/>
        <v>53685.599999999999</v>
      </c>
      <c r="J426" s="201">
        <f t="shared" si="217"/>
        <v>0</v>
      </c>
      <c r="K426" s="93" t="e">
        <f t="shared" si="218"/>
        <v>#REF!</v>
      </c>
      <c r="L426" s="612"/>
    </row>
    <row r="427" spans="2:12" outlineLevel="1">
      <c r="B427" s="364">
        <f t="shared" si="212"/>
        <v>6.1419999999999924</v>
      </c>
      <c r="C427" s="361" t="s">
        <v>1121</v>
      </c>
      <c r="D427" s="81" t="s">
        <v>36</v>
      </c>
      <c r="E427" s="111">
        <v>4</v>
      </c>
      <c r="F427" s="93">
        <v>4578.45</v>
      </c>
      <c r="G427" s="103"/>
      <c r="H427" s="501" t="e">
        <f t="shared" si="216"/>
        <v>#REF!</v>
      </c>
      <c r="I427" s="213">
        <f t="shared" si="209"/>
        <v>18313.8</v>
      </c>
      <c r="J427" s="201">
        <f t="shared" si="217"/>
        <v>0</v>
      </c>
      <c r="K427" s="93" t="e">
        <f t="shared" si="218"/>
        <v>#REF!</v>
      </c>
      <c r="L427" s="612"/>
    </row>
    <row r="428" spans="2:12" outlineLevel="1">
      <c r="B428" s="364">
        <f t="shared" si="212"/>
        <v>6.1420999999999921</v>
      </c>
      <c r="C428" s="361" t="s">
        <v>1122</v>
      </c>
      <c r="D428" s="81" t="s">
        <v>36</v>
      </c>
      <c r="E428" s="111">
        <v>12</v>
      </c>
      <c r="F428" s="93">
        <v>2965.8999999999996</v>
      </c>
      <c r="G428" s="103"/>
      <c r="H428" s="501" t="e">
        <f t="shared" si="216"/>
        <v>#REF!</v>
      </c>
      <c r="I428" s="213">
        <f t="shared" si="209"/>
        <v>35590.800000000003</v>
      </c>
      <c r="J428" s="201">
        <f t="shared" si="217"/>
        <v>0</v>
      </c>
      <c r="K428" s="93" t="e">
        <f t="shared" si="218"/>
        <v>#REF!</v>
      </c>
      <c r="L428" s="612"/>
    </row>
    <row r="429" spans="2:12" ht="14.1" customHeight="1" outlineLevel="1">
      <c r="B429" s="364">
        <f t="shared" si="212"/>
        <v>6.1421999999999919</v>
      </c>
      <c r="C429" s="361" t="s">
        <v>1123</v>
      </c>
      <c r="D429" s="81" t="s">
        <v>36</v>
      </c>
      <c r="E429" s="111">
        <v>0</v>
      </c>
      <c r="F429" s="93"/>
      <c r="G429" s="103"/>
      <c r="H429" s="213" t="e">
        <f t="shared" si="210"/>
        <v>#REF!</v>
      </c>
      <c r="I429" s="213">
        <f t="shared" si="209"/>
        <v>0</v>
      </c>
      <c r="J429" s="201">
        <f t="shared" si="193"/>
        <v>0</v>
      </c>
      <c r="K429" s="93" t="e">
        <f t="shared" si="211"/>
        <v>#REF!</v>
      </c>
      <c r="L429" s="612"/>
    </row>
    <row r="430" spans="2:12" ht="13.5" customHeight="1">
      <c r="B430" s="218">
        <f>B407+0.01</f>
        <v>6.1499999999999968</v>
      </c>
      <c r="C430" s="508" t="s">
        <v>1124</v>
      </c>
      <c r="D430" s="81"/>
      <c r="E430" s="81"/>
      <c r="F430" s="93" t="s">
        <v>8</v>
      </c>
      <c r="G430" s="103"/>
      <c r="H430" s="213"/>
      <c r="I430" s="213"/>
      <c r="J430" s="201"/>
      <c r="K430" s="93"/>
      <c r="L430" s="612" t="e">
        <f>SUM(I430:I461)+SUM(J430:J461)*TC</f>
        <v>#REF!</v>
      </c>
    </row>
    <row r="431" spans="2:12" ht="17.45" customHeight="1" outlineLevel="1">
      <c r="B431" s="364">
        <f t="shared" si="212"/>
        <v>6.1500999999999966</v>
      </c>
      <c r="C431" s="361" t="s">
        <v>1125</v>
      </c>
      <c r="D431" s="81" t="s">
        <v>36</v>
      </c>
      <c r="E431" s="111">
        <v>18</v>
      </c>
      <c r="F431" s="93"/>
      <c r="G431" s="103">
        <v>267.2</v>
      </c>
      <c r="H431" s="213" t="e">
        <f t="shared" ref="H431:H461" si="219">+ROUND(F431+G431*TC,2)</f>
        <v>#REF!</v>
      </c>
      <c r="I431" s="213">
        <f t="shared" si="209"/>
        <v>0</v>
      </c>
      <c r="J431" s="201">
        <f t="shared" si="193"/>
        <v>4809.6000000000004</v>
      </c>
      <c r="K431" s="93" t="e">
        <f t="shared" ref="K431:K461" si="220">+ROUND(I431+J431*TC,2)</f>
        <v>#REF!</v>
      </c>
      <c r="L431" s="614"/>
    </row>
    <row r="432" spans="2:12" ht="17.45" customHeight="1" outlineLevel="1">
      <c r="B432" s="364">
        <f t="shared" si="212"/>
        <v>6.1501999999999963</v>
      </c>
      <c r="C432" s="361" t="s">
        <v>1126</v>
      </c>
      <c r="D432" s="81" t="s">
        <v>36</v>
      </c>
      <c r="E432" s="111">
        <v>1</v>
      </c>
      <c r="F432" s="93"/>
      <c r="G432" s="103">
        <v>267.2</v>
      </c>
      <c r="H432" s="213" t="e">
        <f t="shared" si="219"/>
        <v>#REF!</v>
      </c>
      <c r="I432" s="213">
        <f t="shared" si="209"/>
        <v>0</v>
      </c>
      <c r="J432" s="201">
        <f t="shared" ref="J432:J461" si="221">+ROUND(E432*G432,2)</f>
        <v>267.2</v>
      </c>
      <c r="K432" s="93" t="e">
        <f t="shared" si="220"/>
        <v>#REF!</v>
      </c>
      <c r="L432" s="614"/>
    </row>
    <row r="433" spans="2:12" ht="17.45" customHeight="1" outlineLevel="1">
      <c r="B433" s="364">
        <f t="shared" si="212"/>
        <v>6.1502999999999961</v>
      </c>
      <c r="C433" s="361" t="s">
        <v>1127</v>
      </c>
      <c r="D433" s="81" t="s">
        <v>36</v>
      </c>
      <c r="E433" s="111">
        <v>14</v>
      </c>
      <c r="F433" s="93"/>
      <c r="G433" s="103">
        <v>310.48</v>
      </c>
      <c r="H433" s="213" t="e">
        <f t="shared" si="219"/>
        <v>#REF!</v>
      </c>
      <c r="I433" s="213">
        <f t="shared" si="209"/>
        <v>0</v>
      </c>
      <c r="J433" s="201">
        <f t="shared" si="221"/>
        <v>4346.72</v>
      </c>
      <c r="K433" s="93" t="e">
        <f t="shared" si="220"/>
        <v>#REF!</v>
      </c>
      <c r="L433" s="614"/>
    </row>
    <row r="434" spans="2:12" ht="17.45" customHeight="1" outlineLevel="1">
      <c r="B434" s="364">
        <f t="shared" si="212"/>
        <v>6.1503999999999959</v>
      </c>
      <c r="C434" s="361" t="s">
        <v>1128</v>
      </c>
      <c r="D434" s="81" t="s">
        <v>36</v>
      </c>
      <c r="E434" s="111">
        <v>17</v>
      </c>
      <c r="F434" s="93"/>
      <c r="G434" s="103">
        <v>393.36</v>
      </c>
      <c r="H434" s="213" t="e">
        <f t="shared" si="219"/>
        <v>#REF!</v>
      </c>
      <c r="I434" s="213">
        <f t="shared" si="209"/>
        <v>0</v>
      </c>
      <c r="J434" s="201">
        <f t="shared" si="221"/>
        <v>6687.12</v>
      </c>
      <c r="K434" s="93" t="e">
        <f t="shared" si="220"/>
        <v>#REF!</v>
      </c>
      <c r="L434" s="614"/>
    </row>
    <row r="435" spans="2:12" ht="17.45" customHeight="1" outlineLevel="1">
      <c r="B435" s="364">
        <f t="shared" si="212"/>
        <v>6.1504999999999956</v>
      </c>
      <c r="C435" s="361" t="s">
        <v>1129</v>
      </c>
      <c r="D435" s="81" t="s">
        <v>36</v>
      </c>
      <c r="E435" s="111">
        <v>17</v>
      </c>
      <c r="F435" s="93"/>
      <c r="G435" s="103">
        <v>112</v>
      </c>
      <c r="H435" s="213" t="e">
        <f t="shared" si="219"/>
        <v>#REF!</v>
      </c>
      <c r="I435" s="213">
        <f t="shared" si="209"/>
        <v>0</v>
      </c>
      <c r="J435" s="201">
        <f t="shared" si="221"/>
        <v>1904</v>
      </c>
      <c r="K435" s="93" t="e">
        <f t="shared" si="220"/>
        <v>#REF!</v>
      </c>
      <c r="L435" s="614"/>
    </row>
    <row r="436" spans="2:12" ht="17.45" customHeight="1" outlineLevel="1">
      <c r="B436" s="364">
        <f t="shared" si="212"/>
        <v>6.1505999999999954</v>
      </c>
      <c r="C436" s="361" t="s">
        <v>1130</v>
      </c>
      <c r="D436" s="81" t="s">
        <v>36</v>
      </c>
      <c r="E436" s="111">
        <v>12</v>
      </c>
      <c r="F436" s="93"/>
      <c r="G436" s="103">
        <v>235</v>
      </c>
      <c r="H436" s="213" t="e">
        <f t="shared" si="219"/>
        <v>#REF!</v>
      </c>
      <c r="I436" s="213">
        <f t="shared" si="209"/>
        <v>0</v>
      </c>
      <c r="J436" s="201">
        <f t="shared" si="221"/>
        <v>2820</v>
      </c>
      <c r="K436" s="93" t="e">
        <f t="shared" si="220"/>
        <v>#REF!</v>
      </c>
      <c r="L436" s="614"/>
    </row>
    <row r="437" spans="2:12" ht="17.45" customHeight="1" outlineLevel="1">
      <c r="B437" s="364">
        <f t="shared" si="212"/>
        <v>6.1506999999999952</v>
      </c>
      <c r="C437" s="361" t="s">
        <v>1131</v>
      </c>
      <c r="D437" s="81" t="s">
        <v>36</v>
      </c>
      <c r="E437" s="111">
        <v>14</v>
      </c>
      <c r="F437" s="93"/>
      <c r="G437" s="103">
        <v>252.08</v>
      </c>
      <c r="H437" s="329" t="e">
        <f t="shared" si="219"/>
        <v>#REF!</v>
      </c>
      <c r="I437" s="213">
        <f t="shared" si="209"/>
        <v>0</v>
      </c>
      <c r="J437" s="330">
        <f t="shared" si="221"/>
        <v>3529.12</v>
      </c>
      <c r="K437" s="93" t="e">
        <f t="shared" si="220"/>
        <v>#REF!</v>
      </c>
      <c r="L437" s="614"/>
    </row>
    <row r="438" spans="2:12" ht="17.45" customHeight="1" outlineLevel="1">
      <c r="B438" s="364">
        <f t="shared" si="212"/>
        <v>6.1507999999999949</v>
      </c>
      <c r="C438" s="361" t="s">
        <v>1132</v>
      </c>
      <c r="D438" s="81" t="s">
        <v>36</v>
      </c>
      <c r="E438" s="111">
        <v>1</v>
      </c>
      <c r="F438" s="93"/>
      <c r="G438" s="103">
        <v>301.08</v>
      </c>
      <c r="H438" s="329" t="e">
        <f t="shared" si="219"/>
        <v>#REF!</v>
      </c>
      <c r="I438" s="213">
        <f t="shared" si="209"/>
        <v>0</v>
      </c>
      <c r="J438" s="330">
        <f t="shared" si="221"/>
        <v>301.08</v>
      </c>
      <c r="K438" s="93" t="e">
        <f t="shared" si="220"/>
        <v>#REF!</v>
      </c>
      <c r="L438" s="614"/>
    </row>
    <row r="439" spans="2:12" ht="17.45" customHeight="1" outlineLevel="1">
      <c r="B439" s="364">
        <f t="shared" si="212"/>
        <v>6.1508999999999947</v>
      </c>
      <c r="C439" s="361" t="s">
        <v>1133</v>
      </c>
      <c r="D439" s="81" t="s">
        <v>36</v>
      </c>
      <c r="E439" s="111">
        <v>2</v>
      </c>
      <c r="F439" s="93"/>
      <c r="G439" s="103">
        <v>348</v>
      </c>
      <c r="H439" s="329" t="e">
        <f t="shared" si="219"/>
        <v>#REF!</v>
      </c>
      <c r="I439" s="213">
        <f t="shared" si="209"/>
        <v>0</v>
      </c>
      <c r="J439" s="330">
        <f t="shared" si="221"/>
        <v>696</v>
      </c>
      <c r="K439" s="93" t="e">
        <f t="shared" si="220"/>
        <v>#REF!</v>
      </c>
      <c r="L439" s="614"/>
    </row>
    <row r="440" spans="2:12" ht="17.45" customHeight="1" outlineLevel="1">
      <c r="B440" s="364">
        <f t="shared" si="212"/>
        <v>6.1509999999999945</v>
      </c>
      <c r="C440" s="361" t="s">
        <v>1134</v>
      </c>
      <c r="D440" s="81" t="s">
        <v>36</v>
      </c>
      <c r="E440" s="111">
        <v>21</v>
      </c>
      <c r="F440" s="93"/>
      <c r="G440" s="103">
        <v>535.76</v>
      </c>
      <c r="H440" s="329" t="e">
        <f t="shared" si="219"/>
        <v>#REF!</v>
      </c>
      <c r="I440" s="213">
        <f t="shared" si="209"/>
        <v>0</v>
      </c>
      <c r="J440" s="330">
        <f t="shared" si="221"/>
        <v>11250.96</v>
      </c>
      <c r="K440" s="93" t="e">
        <f t="shared" si="220"/>
        <v>#REF!</v>
      </c>
      <c r="L440" s="614"/>
    </row>
    <row r="441" spans="2:12" ht="17.45" customHeight="1" outlineLevel="1">
      <c r="B441" s="364">
        <f t="shared" si="212"/>
        <v>6.1510999999999942</v>
      </c>
      <c r="C441" s="361" t="s">
        <v>1135</v>
      </c>
      <c r="D441" s="81" t="s">
        <v>36</v>
      </c>
      <c r="E441" s="111">
        <v>7</v>
      </c>
      <c r="F441" s="93"/>
      <c r="G441" s="103">
        <v>550.79999999999995</v>
      </c>
      <c r="H441" s="329" t="e">
        <f t="shared" si="219"/>
        <v>#REF!</v>
      </c>
      <c r="I441" s="213">
        <f t="shared" si="209"/>
        <v>0</v>
      </c>
      <c r="J441" s="330">
        <f t="shared" si="221"/>
        <v>3855.6</v>
      </c>
      <c r="K441" s="93" t="e">
        <f t="shared" si="220"/>
        <v>#REF!</v>
      </c>
      <c r="L441" s="614"/>
    </row>
    <row r="442" spans="2:12" ht="17.45" customHeight="1" outlineLevel="1">
      <c r="B442" s="364">
        <f t="shared" si="212"/>
        <v>6.151199999999994</v>
      </c>
      <c r="C442" s="361" t="s">
        <v>1136</v>
      </c>
      <c r="D442" s="81" t="s">
        <v>36</v>
      </c>
      <c r="E442" s="111">
        <v>7</v>
      </c>
      <c r="F442" s="93"/>
      <c r="G442" s="103">
        <v>486.72</v>
      </c>
      <c r="H442" s="329" t="e">
        <f t="shared" si="219"/>
        <v>#REF!</v>
      </c>
      <c r="I442" s="213">
        <f t="shared" si="209"/>
        <v>0</v>
      </c>
      <c r="J442" s="330">
        <f t="shared" si="221"/>
        <v>3407.04</v>
      </c>
      <c r="K442" s="93" t="e">
        <f t="shared" si="220"/>
        <v>#REF!</v>
      </c>
      <c r="L442" s="614"/>
    </row>
    <row r="443" spans="2:12" ht="17.45" customHeight="1" outlineLevel="1">
      <c r="B443" s="364">
        <f t="shared" si="212"/>
        <v>6.1512999999999938</v>
      </c>
      <c r="C443" s="361" t="s">
        <v>1137</v>
      </c>
      <c r="D443" s="81" t="s">
        <v>36</v>
      </c>
      <c r="E443" s="111">
        <v>7</v>
      </c>
      <c r="F443" s="93"/>
      <c r="G443" s="103">
        <v>529.66</v>
      </c>
      <c r="H443" s="329" t="e">
        <f t="shared" si="219"/>
        <v>#REF!</v>
      </c>
      <c r="I443" s="213">
        <f t="shared" si="209"/>
        <v>0</v>
      </c>
      <c r="J443" s="330">
        <f t="shared" si="221"/>
        <v>3707.62</v>
      </c>
      <c r="K443" s="93" t="e">
        <f t="shared" si="220"/>
        <v>#REF!</v>
      </c>
      <c r="L443" s="614"/>
    </row>
    <row r="444" spans="2:12" ht="17.45" customHeight="1" outlineLevel="1">
      <c r="B444" s="364">
        <f t="shared" si="212"/>
        <v>6.1513999999999935</v>
      </c>
      <c r="C444" s="361" t="s">
        <v>1138</v>
      </c>
      <c r="D444" s="81" t="s">
        <v>36</v>
      </c>
      <c r="E444" s="111">
        <v>18</v>
      </c>
      <c r="F444" s="93"/>
      <c r="G444" s="103">
        <v>464.64</v>
      </c>
      <c r="H444" s="329" t="e">
        <f t="shared" si="219"/>
        <v>#REF!</v>
      </c>
      <c r="I444" s="213">
        <f t="shared" si="209"/>
        <v>0</v>
      </c>
      <c r="J444" s="330">
        <f t="shared" si="221"/>
        <v>8363.52</v>
      </c>
      <c r="K444" s="93" t="e">
        <f t="shared" si="220"/>
        <v>#REF!</v>
      </c>
      <c r="L444" s="614"/>
    </row>
    <row r="445" spans="2:12" ht="17.45" customHeight="1" outlineLevel="1">
      <c r="B445" s="364">
        <f t="shared" si="212"/>
        <v>6.1514999999999933</v>
      </c>
      <c r="C445" s="361" t="s">
        <v>1139</v>
      </c>
      <c r="D445" s="81" t="s">
        <v>36</v>
      </c>
      <c r="E445" s="111">
        <v>18</v>
      </c>
      <c r="F445" s="93"/>
      <c r="G445" s="103">
        <v>247.5</v>
      </c>
      <c r="H445" s="329" t="e">
        <f t="shared" si="219"/>
        <v>#REF!</v>
      </c>
      <c r="I445" s="213">
        <f t="shared" si="209"/>
        <v>0</v>
      </c>
      <c r="J445" s="330">
        <f t="shared" si="221"/>
        <v>4455</v>
      </c>
      <c r="K445" s="93" t="e">
        <f t="shared" si="220"/>
        <v>#REF!</v>
      </c>
      <c r="L445" s="614"/>
    </row>
    <row r="446" spans="2:12" ht="17.45" customHeight="1" outlineLevel="1">
      <c r="B446" s="364">
        <f t="shared" si="212"/>
        <v>6.1515999999999931</v>
      </c>
      <c r="C446" s="361" t="s">
        <v>1140</v>
      </c>
      <c r="D446" s="81" t="s">
        <v>36</v>
      </c>
      <c r="E446" s="111">
        <v>17</v>
      </c>
      <c r="F446" s="93"/>
      <c r="G446" s="103">
        <v>560.82000000000005</v>
      </c>
      <c r="H446" s="329" t="e">
        <f t="shared" si="219"/>
        <v>#REF!</v>
      </c>
      <c r="I446" s="213">
        <f t="shared" si="209"/>
        <v>0</v>
      </c>
      <c r="J446" s="330">
        <f t="shared" si="221"/>
        <v>9533.94</v>
      </c>
      <c r="K446" s="93" t="e">
        <f t="shared" si="220"/>
        <v>#REF!</v>
      </c>
      <c r="L446" s="614"/>
    </row>
    <row r="447" spans="2:12" ht="17.45" customHeight="1" outlineLevel="1">
      <c r="B447" s="364">
        <f t="shared" si="212"/>
        <v>6.1516999999999928</v>
      </c>
      <c r="C447" s="361" t="s">
        <v>1141</v>
      </c>
      <c r="D447" s="81" t="s">
        <v>36</v>
      </c>
      <c r="E447" s="111">
        <v>12</v>
      </c>
      <c r="F447" s="93"/>
      <c r="G447" s="103">
        <v>445.06</v>
      </c>
      <c r="H447" s="329" t="e">
        <f t="shared" si="219"/>
        <v>#REF!</v>
      </c>
      <c r="I447" s="213">
        <f t="shared" si="209"/>
        <v>0</v>
      </c>
      <c r="J447" s="330">
        <f t="shared" si="221"/>
        <v>5340.72</v>
      </c>
      <c r="K447" s="93" t="e">
        <f t="shared" si="220"/>
        <v>#REF!</v>
      </c>
      <c r="L447" s="614"/>
    </row>
    <row r="448" spans="2:12" ht="17.45" customHeight="1" outlineLevel="1">
      <c r="B448" s="364">
        <f t="shared" si="212"/>
        <v>6.1517999999999926</v>
      </c>
      <c r="C448" s="361" t="s">
        <v>1142</v>
      </c>
      <c r="D448" s="81" t="s">
        <v>36</v>
      </c>
      <c r="E448" s="111">
        <v>12</v>
      </c>
      <c r="F448" s="93"/>
      <c r="G448" s="103">
        <v>370.52</v>
      </c>
      <c r="H448" s="329" t="e">
        <f t="shared" si="219"/>
        <v>#REF!</v>
      </c>
      <c r="I448" s="213">
        <f t="shared" si="209"/>
        <v>0</v>
      </c>
      <c r="J448" s="330">
        <f t="shared" si="221"/>
        <v>4446.24</v>
      </c>
      <c r="K448" s="93" t="e">
        <f t="shared" si="220"/>
        <v>#REF!</v>
      </c>
      <c r="L448" s="614"/>
    </row>
    <row r="449" spans="2:12" ht="17.45" customHeight="1" outlineLevel="1">
      <c r="B449" s="364">
        <f t="shared" si="212"/>
        <v>6.1518999999999924</v>
      </c>
      <c r="C449" s="361" t="s">
        <v>1143</v>
      </c>
      <c r="D449" s="81" t="s">
        <v>36</v>
      </c>
      <c r="E449" s="111">
        <v>4</v>
      </c>
      <c r="F449" s="93"/>
      <c r="G449" s="103">
        <v>655</v>
      </c>
      <c r="H449" s="329" t="e">
        <f t="shared" si="219"/>
        <v>#REF!</v>
      </c>
      <c r="I449" s="213">
        <f t="shared" si="209"/>
        <v>0</v>
      </c>
      <c r="J449" s="330">
        <f t="shared" si="221"/>
        <v>2620</v>
      </c>
      <c r="K449" s="93" t="e">
        <f t="shared" si="220"/>
        <v>#REF!</v>
      </c>
      <c r="L449" s="614"/>
    </row>
    <row r="450" spans="2:12" ht="17.45" customHeight="1" outlineLevel="1">
      <c r="B450" s="364">
        <f t="shared" si="212"/>
        <v>6.1519999999999921</v>
      </c>
      <c r="C450" s="361" t="s">
        <v>1144</v>
      </c>
      <c r="D450" s="81" t="s">
        <v>36</v>
      </c>
      <c r="E450" s="111">
        <v>1</v>
      </c>
      <c r="F450" s="93"/>
      <c r="G450" s="103">
        <v>535.4</v>
      </c>
      <c r="H450" s="329" t="e">
        <f t="shared" si="219"/>
        <v>#REF!</v>
      </c>
      <c r="I450" s="213">
        <f t="shared" si="209"/>
        <v>0</v>
      </c>
      <c r="J450" s="330">
        <f t="shared" si="221"/>
        <v>535.4</v>
      </c>
      <c r="K450" s="93" t="e">
        <f t="shared" si="220"/>
        <v>#REF!</v>
      </c>
      <c r="L450" s="614"/>
    </row>
    <row r="451" spans="2:12" ht="17.45" customHeight="1" outlineLevel="1">
      <c r="B451" s="364">
        <f t="shared" si="212"/>
        <v>6.1520999999999919</v>
      </c>
      <c r="C451" s="361" t="s">
        <v>1145</v>
      </c>
      <c r="D451" s="81" t="s">
        <v>36</v>
      </c>
      <c r="E451" s="111">
        <v>1</v>
      </c>
      <c r="F451" s="93"/>
      <c r="G451" s="103">
        <v>514.24</v>
      </c>
      <c r="H451" s="329" t="e">
        <f t="shared" si="219"/>
        <v>#REF!</v>
      </c>
      <c r="I451" s="213">
        <f t="shared" si="209"/>
        <v>0</v>
      </c>
      <c r="J451" s="330">
        <f t="shared" si="221"/>
        <v>514.24</v>
      </c>
      <c r="K451" s="93" t="e">
        <f t="shared" si="220"/>
        <v>#REF!</v>
      </c>
      <c r="L451" s="614"/>
    </row>
    <row r="452" spans="2:12" ht="17.45" customHeight="1" outlineLevel="1">
      <c r="B452" s="364">
        <f t="shared" si="212"/>
        <v>6.1521999999999917</v>
      </c>
      <c r="C452" s="361" t="s">
        <v>1146</v>
      </c>
      <c r="D452" s="81" t="s">
        <v>36</v>
      </c>
      <c r="E452" s="111">
        <v>1</v>
      </c>
      <c r="F452" s="93"/>
      <c r="G452" s="103">
        <v>537.62</v>
      </c>
      <c r="H452" s="329" t="e">
        <f t="shared" si="219"/>
        <v>#REF!</v>
      </c>
      <c r="I452" s="213">
        <f t="shared" si="209"/>
        <v>0</v>
      </c>
      <c r="J452" s="330">
        <f t="shared" si="221"/>
        <v>537.62</v>
      </c>
      <c r="K452" s="93" t="e">
        <f t="shared" si="220"/>
        <v>#REF!</v>
      </c>
      <c r="L452" s="614"/>
    </row>
    <row r="453" spans="2:12" ht="17.45" customHeight="1" outlineLevel="1">
      <c r="B453" s="364">
        <f t="shared" si="212"/>
        <v>6.1522999999999914</v>
      </c>
      <c r="C453" s="361" t="s">
        <v>1147</v>
      </c>
      <c r="D453" s="81" t="s">
        <v>36</v>
      </c>
      <c r="E453" s="111">
        <v>18</v>
      </c>
      <c r="F453" s="93"/>
      <c r="G453" s="103">
        <v>460.68</v>
      </c>
      <c r="H453" s="329" t="e">
        <f t="shared" si="219"/>
        <v>#REF!</v>
      </c>
      <c r="I453" s="213">
        <f t="shared" si="209"/>
        <v>0</v>
      </c>
      <c r="J453" s="330">
        <f t="shared" si="221"/>
        <v>8292.24</v>
      </c>
      <c r="K453" s="93" t="e">
        <f t="shared" si="220"/>
        <v>#REF!</v>
      </c>
      <c r="L453" s="614"/>
    </row>
    <row r="454" spans="2:12" ht="17.45" customHeight="1" outlineLevel="1">
      <c r="B454" s="364">
        <f t="shared" si="212"/>
        <v>6.1523999999999912</v>
      </c>
      <c r="C454" s="361" t="s">
        <v>1148</v>
      </c>
      <c r="D454" s="81" t="s">
        <v>36</v>
      </c>
      <c r="E454" s="111">
        <v>1</v>
      </c>
      <c r="F454" s="93"/>
      <c r="G454" s="103">
        <v>460.68</v>
      </c>
      <c r="H454" s="329" t="e">
        <f t="shared" si="219"/>
        <v>#REF!</v>
      </c>
      <c r="I454" s="213">
        <f t="shared" si="209"/>
        <v>0</v>
      </c>
      <c r="J454" s="330">
        <f t="shared" si="221"/>
        <v>460.68</v>
      </c>
      <c r="K454" s="93" t="e">
        <f t="shared" si="220"/>
        <v>#REF!</v>
      </c>
      <c r="L454" s="614"/>
    </row>
    <row r="455" spans="2:12" ht="17.45" customHeight="1" outlineLevel="1">
      <c r="B455" s="364">
        <f t="shared" si="212"/>
        <v>6.152499999999991</v>
      </c>
      <c r="C455" s="361" t="s">
        <v>1149</v>
      </c>
      <c r="D455" s="81" t="s">
        <v>36</v>
      </c>
      <c r="E455" s="111">
        <v>14</v>
      </c>
      <c r="F455" s="93"/>
      <c r="G455" s="103">
        <v>444.02</v>
      </c>
      <c r="H455" s="329" t="e">
        <f t="shared" si="219"/>
        <v>#REF!</v>
      </c>
      <c r="I455" s="213">
        <f t="shared" si="209"/>
        <v>0</v>
      </c>
      <c r="J455" s="330">
        <f t="shared" si="221"/>
        <v>6216.28</v>
      </c>
      <c r="K455" s="93" t="e">
        <f t="shared" si="220"/>
        <v>#REF!</v>
      </c>
      <c r="L455" s="614"/>
    </row>
    <row r="456" spans="2:12" ht="17.45" customHeight="1" outlineLevel="1">
      <c r="B456" s="364">
        <f t="shared" si="212"/>
        <v>6.1525999999999907</v>
      </c>
      <c r="C456" s="361" t="s">
        <v>1150</v>
      </c>
      <c r="D456" s="81" t="s">
        <v>36</v>
      </c>
      <c r="E456" s="111">
        <v>1</v>
      </c>
      <c r="F456" s="93"/>
      <c r="G456" s="103">
        <v>341.04</v>
      </c>
      <c r="H456" s="329" t="e">
        <f t="shared" si="219"/>
        <v>#REF!</v>
      </c>
      <c r="I456" s="213">
        <f t="shared" si="209"/>
        <v>0</v>
      </c>
      <c r="J456" s="330">
        <f t="shared" si="221"/>
        <v>341.04</v>
      </c>
      <c r="K456" s="93" t="e">
        <f t="shared" si="220"/>
        <v>#REF!</v>
      </c>
      <c r="L456" s="614"/>
    </row>
    <row r="457" spans="2:12" ht="17.45" customHeight="1" outlineLevel="1">
      <c r="B457" s="364">
        <f t="shared" si="212"/>
        <v>6.1526999999999905</v>
      </c>
      <c r="C457" s="361" t="s">
        <v>1151</v>
      </c>
      <c r="D457" s="81" t="s">
        <v>36</v>
      </c>
      <c r="E457" s="111">
        <v>3</v>
      </c>
      <c r="F457" s="93"/>
      <c r="G457" s="103">
        <v>202.6</v>
      </c>
      <c r="H457" s="329" t="e">
        <f t="shared" si="219"/>
        <v>#REF!</v>
      </c>
      <c r="I457" s="213">
        <f t="shared" si="209"/>
        <v>0</v>
      </c>
      <c r="J457" s="330">
        <f t="shared" si="221"/>
        <v>607.79999999999995</v>
      </c>
      <c r="K457" s="93" t="e">
        <f t="shared" si="220"/>
        <v>#REF!</v>
      </c>
      <c r="L457" s="614"/>
    </row>
    <row r="458" spans="2:12" ht="17.45" customHeight="1" outlineLevel="1">
      <c r="B458" s="364">
        <f t="shared" si="212"/>
        <v>6.1527999999999903</v>
      </c>
      <c r="C458" s="361" t="s">
        <v>1152</v>
      </c>
      <c r="D458" s="81" t="s">
        <v>36</v>
      </c>
      <c r="E458" s="111">
        <v>1</v>
      </c>
      <c r="F458" s="93"/>
      <c r="G458" s="103">
        <v>48.4</v>
      </c>
      <c r="H458" s="213" t="e">
        <f t="shared" si="219"/>
        <v>#REF!</v>
      </c>
      <c r="I458" s="213">
        <f t="shared" si="209"/>
        <v>0</v>
      </c>
      <c r="J458" s="201">
        <f t="shared" si="221"/>
        <v>48.4</v>
      </c>
      <c r="K458" s="93" t="e">
        <f t="shared" si="220"/>
        <v>#REF!</v>
      </c>
      <c r="L458" s="614"/>
    </row>
    <row r="459" spans="2:12" ht="17.45" customHeight="1" outlineLevel="1">
      <c r="B459" s="364">
        <f t="shared" si="212"/>
        <v>6.15289999999999</v>
      </c>
      <c r="C459" s="361" t="s">
        <v>1153</v>
      </c>
      <c r="D459" s="81" t="s">
        <v>36</v>
      </c>
      <c r="E459" s="111">
        <v>2</v>
      </c>
      <c r="F459" s="93"/>
      <c r="G459" s="103">
        <v>82.5</v>
      </c>
      <c r="H459" s="213" t="e">
        <f t="shared" si="219"/>
        <v>#REF!</v>
      </c>
      <c r="I459" s="213">
        <f t="shared" si="209"/>
        <v>0</v>
      </c>
      <c r="J459" s="201">
        <f t="shared" si="221"/>
        <v>165</v>
      </c>
      <c r="K459" s="93" t="e">
        <f t="shared" si="220"/>
        <v>#REF!</v>
      </c>
      <c r="L459" s="614"/>
    </row>
    <row r="460" spans="2:12" ht="17.45" customHeight="1" outlineLevel="1">
      <c r="B460" s="364">
        <f t="shared" si="212"/>
        <v>6.1529999999999898</v>
      </c>
      <c r="C460" s="361" t="s">
        <v>1154</v>
      </c>
      <c r="D460" s="81" t="s">
        <v>36</v>
      </c>
      <c r="E460" s="111">
        <v>2</v>
      </c>
      <c r="F460" s="93"/>
      <c r="G460" s="103">
        <v>365.14</v>
      </c>
      <c r="H460" s="213" t="e">
        <f t="shared" si="219"/>
        <v>#REF!</v>
      </c>
      <c r="I460" s="213">
        <f t="shared" si="209"/>
        <v>0</v>
      </c>
      <c r="J460" s="201">
        <f t="shared" si="221"/>
        <v>730.28</v>
      </c>
      <c r="K460" s="93" t="e">
        <f t="shared" si="220"/>
        <v>#REF!</v>
      </c>
      <c r="L460" s="614"/>
    </row>
    <row r="461" spans="2:12" ht="17.45" customHeight="1" outlineLevel="1">
      <c r="B461" s="364">
        <f t="shared" si="212"/>
        <v>6.1530999999999896</v>
      </c>
      <c r="C461" s="361" t="s">
        <v>1155</v>
      </c>
      <c r="D461" s="81" t="s">
        <v>36</v>
      </c>
      <c r="E461" s="111">
        <v>12</v>
      </c>
      <c r="F461" s="93"/>
      <c r="G461" s="103">
        <v>344.76</v>
      </c>
      <c r="H461" s="213" t="e">
        <f t="shared" si="219"/>
        <v>#REF!</v>
      </c>
      <c r="I461" s="213">
        <f t="shared" si="209"/>
        <v>0</v>
      </c>
      <c r="J461" s="201">
        <f t="shared" si="221"/>
        <v>4137.12</v>
      </c>
      <c r="K461" s="93" t="e">
        <f t="shared" si="220"/>
        <v>#REF!</v>
      </c>
      <c r="L461" s="614"/>
    </row>
    <row r="462" spans="2:12" ht="13.5" customHeight="1">
      <c r="B462" s="218">
        <f>B430+0.01</f>
        <v>6.1599999999999966</v>
      </c>
      <c r="C462" s="508" t="s">
        <v>1156</v>
      </c>
      <c r="D462" s="81"/>
      <c r="E462" s="81"/>
      <c r="F462" s="81"/>
      <c r="G462" s="81"/>
      <c r="H462" s="354"/>
      <c r="I462" s="213">
        <f t="shared" si="209"/>
        <v>0</v>
      </c>
      <c r="J462" s="354"/>
      <c r="K462" s="354"/>
      <c r="L462" s="612" t="e">
        <f>SUM(I462:I478)+SUM(J462:J478)*TC</f>
        <v>#REF!</v>
      </c>
    </row>
    <row r="463" spans="2:12" ht="14.25" customHeight="1" outlineLevel="1">
      <c r="B463" s="359">
        <f>B462+0.0001</f>
        <v>6.1600999999999964</v>
      </c>
      <c r="C463" s="356" t="s">
        <v>1157</v>
      </c>
      <c r="D463" s="81"/>
      <c r="E463" s="111"/>
      <c r="F463" s="93" t="s">
        <v>8</v>
      </c>
      <c r="G463" s="103"/>
      <c r="H463" s="213"/>
      <c r="I463" s="213"/>
      <c r="J463" s="201"/>
      <c r="K463" s="93"/>
      <c r="L463" s="97"/>
    </row>
    <row r="464" spans="2:12" ht="12.75" customHeight="1" outlineLevel="2">
      <c r="B464" s="366">
        <f>B463+0.000001</f>
        <v>6.1601009999999965</v>
      </c>
      <c r="C464" s="509" t="s">
        <v>1158</v>
      </c>
      <c r="D464" s="81" t="s">
        <v>29</v>
      </c>
      <c r="E464" s="111">
        <v>1</v>
      </c>
      <c r="F464" s="93"/>
      <c r="G464" s="103">
        <v>2397</v>
      </c>
      <c r="H464" s="213" t="e">
        <f t="shared" ref="H464:H474" si="222">+ROUND(F464+G464*TC,2)</f>
        <v>#REF!</v>
      </c>
      <c r="I464" s="213">
        <f t="shared" si="209"/>
        <v>0</v>
      </c>
      <c r="J464" s="201">
        <f t="shared" ref="J464:J505" si="223">+ROUND(E464*G464,2)</f>
        <v>2397</v>
      </c>
      <c r="K464" s="93" t="e">
        <f t="shared" ref="K464:K474" si="224">+ROUND(I464+J464*TC,2)</f>
        <v>#REF!</v>
      </c>
      <c r="L464" s="97"/>
    </row>
    <row r="465" spans="2:13" ht="12.75" customHeight="1" outlineLevel="2">
      <c r="B465" s="366">
        <f t="shared" ref="B465:B474" si="225">B464+0.000001</f>
        <v>6.1601019999999966</v>
      </c>
      <c r="C465" s="509" t="s">
        <v>1159</v>
      </c>
      <c r="D465" s="81" t="s">
        <v>29</v>
      </c>
      <c r="E465" s="111">
        <v>1</v>
      </c>
      <c r="F465" s="93"/>
      <c r="G465" s="103">
        <v>231</v>
      </c>
      <c r="H465" s="213" t="e">
        <f t="shared" si="222"/>
        <v>#REF!</v>
      </c>
      <c r="I465" s="213">
        <f t="shared" si="209"/>
        <v>0</v>
      </c>
      <c r="J465" s="201">
        <f t="shared" ref="J465" si="226">+ROUND(E465*G465,2)</f>
        <v>231</v>
      </c>
      <c r="K465" s="93" t="e">
        <f t="shared" si="224"/>
        <v>#REF!</v>
      </c>
      <c r="L465" s="97"/>
    </row>
    <row r="466" spans="2:13" ht="12.75" customHeight="1" outlineLevel="2">
      <c r="B466" s="366">
        <f t="shared" si="225"/>
        <v>6.1601029999999968</v>
      </c>
      <c r="C466" s="509" t="s">
        <v>1160</v>
      </c>
      <c r="D466" s="81" t="s">
        <v>29</v>
      </c>
      <c r="E466" s="111">
        <v>1</v>
      </c>
      <c r="F466" s="93"/>
      <c r="G466" s="103">
        <v>101.25</v>
      </c>
      <c r="H466" s="213" t="e">
        <f t="shared" si="222"/>
        <v>#REF!</v>
      </c>
      <c r="I466" s="213">
        <f t="shared" ref="I466:I530" si="227">+ROUND(E466*F466,2)</f>
        <v>0</v>
      </c>
      <c r="J466" s="201">
        <f t="shared" ref="J466" si="228">+ROUND(E466*G466,2)</f>
        <v>101.25</v>
      </c>
      <c r="K466" s="93" t="e">
        <f t="shared" si="224"/>
        <v>#REF!</v>
      </c>
      <c r="L466" s="97"/>
    </row>
    <row r="467" spans="2:13" ht="12.75" customHeight="1" outlineLevel="2">
      <c r="B467" s="366">
        <f t="shared" si="225"/>
        <v>6.1601039999999969</v>
      </c>
      <c r="C467" s="509" t="s">
        <v>1161</v>
      </c>
      <c r="D467" s="81" t="s">
        <v>29</v>
      </c>
      <c r="E467" s="111">
        <v>1</v>
      </c>
      <c r="F467" s="93"/>
      <c r="G467" s="103">
        <v>236.25</v>
      </c>
      <c r="H467" s="213" t="e">
        <f t="shared" si="222"/>
        <v>#REF!</v>
      </c>
      <c r="I467" s="213">
        <f t="shared" si="227"/>
        <v>0</v>
      </c>
      <c r="J467" s="201">
        <f t="shared" ref="J467" si="229">+ROUND(E467*G467,2)</f>
        <v>236.25</v>
      </c>
      <c r="K467" s="93" t="e">
        <f t="shared" si="224"/>
        <v>#REF!</v>
      </c>
      <c r="L467" s="97"/>
    </row>
    <row r="468" spans="2:13" ht="12.75" customHeight="1" outlineLevel="2">
      <c r="B468" s="366">
        <f t="shared" si="225"/>
        <v>6.1601049999999971</v>
      </c>
      <c r="C468" s="509" t="s">
        <v>1162</v>
      </c>
      <c r="D468" s="81" t="s">
        <v>29</v>
      </c>
      <c r="E468" s="111">
        <v>1</v>
      </c>
      <c r="F468" s="93"/>
      <c r="G468" s="103">
        <v>349.8</v>
      </c>
      <c r="H468" s="213" t="e">
        <f t="shared" si="222"/>
        <v>#REF!</v>
      </c>
      <c r="I468" s="213">
        <f t="shared" si="227"/>
        <v>0</v>
      </c>
      <c r="J468" s="201">
        <f t="shared" ref="J468" si="230">+ROUND(E468*G468,2)</f>
        <v>349.8</v>
      </c>
      <c r="K468" s="93" t="e">
        <f t="shared" si="224"/>
        <v>#REF!</v>
      </c>
      <c r="L468" s="97"/>
    </row>
    <row r="469" spans="2:13" ht="12.75" customHeight="1" outlineLevel="2">
      <c r="B469" s="366">
        <f t="shared" si="225"/>
        <v>6.1601059999999972</v>
      </c>
      <c r="C469" s="509" t="s">
        <v>1163</v>
      </c>
      <c r="D469" s="81" t="s">
        <v>29</v>
      </c>
      <c r="E469" s="111">
        <v>1</v>
      </c>
      <c r="F469" s="93"/>
      <c r="G469" s="103">
        <v>142.80000000000001</v>
      </c>
      <c r="H469" s="213" t="e">
        <f t="shared" si="222"/>
        <v>#REF!</v>
      </c>
      <c r="I469" s="213">
        <f t="shared" si="227"/>
        <v>0</v>
      </c>
      <c r="J469" s="201">
        <f t="shared" ref="J469" si="231">+ROUND(E469*G469,2)</f>
        <v>142.80000000000001</v>
      </c>
      <c r="K469" s="93" t="e">
        <f t="shared" si="224"/>
        <v>#REF!</v>
      </c>
      <c r="L469" s="97"/>
    </row>
    <row r="470" spans="2:13" ht="12.75" customHeight="1" outlineLevel="2">
      <c r="B470" s="366">
        <f t="shared" si="225"/>
        <v>6.1601069999999973</v>
      </c>
      <c r="C470" s="509" t="s">
        <v>1164</v>
      </c>
      <c r="D470" s="81" t="s">
        <v>29</v>
      </c>
      <c r="E470" s="111">
        <v>1</v>
      </c>
      <c r="F470" s="93"/>
      <c r="G470" s="103">
        <v>2204.48</v>
      </c>
      <c r="H470" s="213" t="e">
        <f t="shared" si="222"/>
        <v>#REF!</v>
      </c>
      <c r="I470" s="213">
        <f t="shared" si="227"/>
        <v>0</v>
      </c>
      <c r="J470" s="201">
        <f t="shared" ref="J470:J471" si="232">+ROUND(E470*G470,2)</f>
        <v>2204.48</v>
      </c>
      <c r="K470" s="93" t="e">
        <f t="shared" si="224"/>
        <v>#REF!</v>
      </c>
      <c r="L470" s="97"/>
    </row>
    <row r="471" spans="2:13" ht="12.75" customHeight="1" outlineLevel="2">
      <c r="B471" s="366">
        <f t="shared" si="225"/>
        <v>6.1601079999999975</v>
      </c>
      <c r="C471" s="509" t="s">
        <v>1165</v>
      </c>
      <c r="D471" s="81" t="s">
        <v>29</v>
      </c>
      <c r="E471" s="111">
        <v>1</v>
      </c>
      <c r="F471" s="93"/>
      <c r="G471" s="103">
        <v>346.5</v>
      </c>
      <c r="H471" s="213" t="e">
        <f t="shared" si="222"/>
        <v>#REF!</v>
      </c>
      <c r="I471" s="213">
        <f t="shared" si="227"/>
        <v>0</v>
      </c>
      <c r="J471" s="201">
        <f t="shared" si="232"/>
        <v>346.5</v>
      </c>
      <c r="K471" s="93" t="e">
        <f t="shared" si="224"/>
        <v>#REF!</v>
      </c>
      <c r="L471" s="97"/>
    </row>
    <row r="472" spans="2:13" ht="12.75" customHeight="1" outlineLevel="2">
      <c r="B472" s="366">
        <f t="shared" si="225"/>
        <v>6.1601089999999976</v>
      </c>
      <c r="C472" s="509" t="s">
        <v>1166</v>
      </c>
      <c r="D472" s="81" t="s">
        <v>29</v>
      </c>
      <c r="E472" s="111">
        <v>1</v>
      </c>
      <c r="F472" s="93"/>
      <c r="G472" s="103">
        <v>461.99999999999994</v>
      </c>
      <c r="H472" s="213" t="e">
        <f t="shared" si="222"/>
        <v>#REF!</v>
      </c>
      <c r="I472" s="213">
        <f t="shared" si="227"/>
        <v>0</v>
      </c>
      <c r="J472" s="201">
        <f t="shared" ref="J472" si="233">+ROUND(E472*G472,2)</f>
        <v>462</v>
      </c>
      <c r="K472" s="93" t="e">
        <f t="shared" si="224"/>
        <v>#REF!</v>
      </c>
      <c r="L472" s="97"/>
    </row>
    <row r="473" spans="2:13" ht="12.75" customHeight="1" outlineLevel="2">
      <c r="B473" s="366">
        <f t="shared" si="225"/>
        <v>6.1601099999999978</v>
      </c>
      <c r="C473" s="520" t="s">
        <v>1167</v>
      </c>
      <c r="D473" s="81" t="s">
        <v>29</v>
      </c>
      <c r="E473" s="111">
        <v>1</v>
      </c>
      <c r="F473" s="93"/>
      <c r="G473" s="103">
        <v>780</v>
      </c>
      <c r="H473" s="213" t="e">
        <f t="shared" si="222"/>
        <v>#REF!</v>
      </c>
      <c r="I473" s="213">
        <f t="shared" si="227"/>
        <v>0</v>
      </c>
      <c r="J473" s="201">
        <f t="shared" ref="J473" si="234">+ROUND(E473*G473,2)</f>
        <v>780</v>
      </c>
      <c r="K473" s="93" t="e">
        <f t="shared" si="224"/>
        <v>#REF!</v>
      </c>
      <c r="L473" s="97"/>
    </row>
    <row r="474" spans="2:13" ht="12.75" customHeight="1" outlineLevel="2">
      <c r="B474" s="366">
        <f t="shared" si="225"/>
        <v>6.1601109999999979</v>
      </c>
      <c r="C474" s="520" t="s">
        <v>1168</v>
      </c>
      <c r="D474" s="81" t="s">
        <v>46</v>
      </c>
      <c r="E474" s="111">
        <v>4</v>
      </c>
      <c r="F474" s="93"/>
      <c r="G474" s="103">
        <v>70</v>
      </c>
      <c r="H474" s="213" t="e">
        <f t="shared" si="222"/>
        <v>#REF!</v>
      </c>
      <c r="I474" s="213">
        <f t="shared" si="227"/>
        <v>0</v>
      </c>
      <c r="J474" s="201">
        <f t="shared" ref="J474" si="235">+ROUND(E474*G474,2)</f>
        <v>280</v>
      </c>
      <c r="K474" s="93" t="e">
        <f t="shared" si="224"/>
        <v>#REF!</v>
      </c>
      <c r="L474" s="97"/>
    </row>
    <row r="475" spans="2:13" ht="12.75" customHeight="1" outlineLevel="1">
      <c r="B475" s="359">
        <f>B463+0.0001</f>
        <v>6.1601999999999961</v>
      </c>
      <c r="C475" s="521" t="s">
        <v>1169</v>
      </c>
      <c r="D475" s="81"/>
      <c r="E475" s="111"/>
      <c r="F475" s="93" t="s">
        <v>8</v>
      </c>
      <c r="G475" s="103"/>
      <c r="H475" s="213"/>
      <c r="I475" s="213"/>
      <c r="J475" s="201"/>
      <c r="K475" s="93"/>
      <c r="L475" s="97"/>
    </row>
    <row r="476" spans="2:13" ht="12.75" customHeight="1" outlineLevel="2">
      <c r="B476" s="366">
        <f>B475+0.000001</f>
        <v>6.1602009999999963</v>
      </c>
      <c r="C476" s="509" t="s">
        <v>1170</v>
      </c>
      <c r="D476" s="81" t="s">
        <v>36</v>
      </c>
      <c r="E476" s="111">
        <v>1</v>
      </c>
      <c r="F476" s="93">
        <v>0</v>
      </c>
      <c r="G476" s="103">
        <v>2800</v>
      </c>
      <c r="H476" s="213" t="e">
        <f>+ROUND(F476+G476*TC,2)</f>
        <v>#REF!</v>
      </c>
      <c r="I476" s="213">
        <f t="shared" si="227"/>
        <v>0</v>
      </c>
      <c r="J476" s="201">
        <f>+ROUND(E476*G476,2)</f>
        <v>2800</v>
      </c>
      <c r="K476" s="93" t="e">
        <f>+ROUND(I476+J476*TC,2)</f>
        <v>#REF!</v>
      </c>
      <c r="L476" s="97"/>
    </row>
    <row r="477" spans="2:13" ht="12.75" customHeight="1" outlineLevel="1">
      <c r="B477" s="359">
        <f>B475+0.0001</f>
        <v>6.1602999999999959</v>
      </c>
      <c r="C477" s="521" t="s">
        <v>1171</v>
      </c>
      <c r="D477" s="81"/>
      <c r="E477" s="111"/>
      <c r="F477" s="93" t="s">
        <v>8</v>
      </c>
      <c r="G477" s="103"/>
      <c r="H477" s="213"/>
      <c r="I477" s="213"/>
      <c r="J477" s="201"/>
      <c r="K477" s="93"/>
      <c r="L477" s="97"/>
    </row>
    <row r="478" spans="2:13" ht="12.75" customHeight="1" outlineLevel="2">
      <c r="B478" s="366">
        <f>B477+0.000001</f>
        <v>6.160300999999996</v>
      </c>
      <c r="C478" s="509" t="s">
        <v>1172</v>
      </c>
      <c r="D478" s="81" t="s">
        <v>46</v>
      </c>
      <c r="E478" s="111">
        <v>8.19</v>
      </c>
      <c r="F478" s="93">
        <v>0</v>
      </c>
      <c r="G478" s="103">
        <v>120</v>
      </c>
      <c r="H478" s="213" t="e">
        <f>+ROUND(F478+G478*TC,2)</f>
        <v>#REF!</v>
      </c>
      <c r="I478" s="213">
        <f t="shared" si="227"/>
        <v>0</v>
      </c>
      <c r="J478" s="201">
        <f>+ROUND(E478*G478,2)</f>
        <v>982.8</v>
      </c>
      <c r="K478" s="93" t="e">
        <f>+ROUND(I478+J478*TC,2)</f>
        <v>#REF!</v>
      </c>
      <c r="L478" s="97"/>
    </row>
    <row r="479" spans="2:13" ht="13.5" customHeight="1">
      <c r="B479" s="218">
        <f>B462+0.01</f>
        <v>6.1699999999999964</v>
      </c>
      <c r="C479" s="508" t="s">
        <v>1173</v>
      </c>
      <c r="D479" s="81"/>
      <c r="E479" s="81"/>
      <c r="F479" s="81"/>
      <c r="G479" s="81"/>
      <c r="H479" s="354"/>
      <c r="I479" s="213">
        <f t="shared" si="227"/>
        <v>0</v>
      </c>
      <c r="J479" s="354"/>
      <c r="K479" s="354"/>
      <c r="L479" s="612" t="e">
        <f>SUM(I479:I570)+SUM(J479:J570)*TC</f>
        <v>#REF!</v>
      </c>
      <c r="M479" s="127" t="e">
        <f>SUM(K481:K561)</f>
        <v>#REF!</v>
      </c>
    </row>
    <row r="480" spans="2:13" ht="14.1" customHeight="1" outlineLevel="1">
      <c r="B480" s="359">
        <f>B479+0.0001</f>
        <v>6.1700999999999961</v>
      </c>
      <c r="C480" s="342" t="s">
        <v>1174</v>
      </c>
      <c r="D480" s="81"/>
      <c r="E480" s="111"/>
      <c r="F480" s="93" t="s">
        <v>8</v>
      </c>
      <c r="G480" s="82"/>
      <c r="H480" s="213"/>
      <c r="I480" s="213"/>
      <c r="J480" s="201"/>
      <c r="K480" s="93"/>
      <c r="L480" s="614"/>
    </row>
    <row r="481" spans="2:12" ht="14.1" customHeight="1" outlineLevel="2">
      <c r="B481" s="366">
        <f t="shared" ref="B481:B570" si="236">B480+0.000001</f>
        <v>6.1701009999999963</v>
      </c>
      <c r="C481" s="361" t="s">
        <v>1175</v>
      </c>
      <c r="D481" s="81" t="s">
        <v>36</v>
      </c>
      <c r="E481" s="111">
        <v>19</v>
      </c>
      <c r="F481" s="93"/>
      <c r="G481" s="103">
        <v>198.85</v>
      </c>
      <c r="H481" s="213" t="e">
        <f t="shared" ref="H481:H505" si="237">+ROUND(F481+G481*TC,2)</f>
        <v>#REF!</v>
      </c>
      <c r="I481" s="213">
        <f t="shared" si="227"/>
        <v>0</v>
      </c>
      <c r="J481" s="201">
        <f t="shared" si="223"/>
        <v>3778.15</v>
      </c>
      <c r="K481" s="93" t="e">
        <f t="shared" ref="K481:K505" si="238">+ROUND(I481+J481*TC,2)</f>
        <v>#REF!</v>
      </c>
      <c r="L481" s="612"/>
    </row>
    <row r="482" spans="2:12" ht="14.1" customHeight="1" outlineLevel="2">
      <c r="B482" s="366">
        <f t="shared" si="236"/>
        <v>6.1701019999999964</v>
      </c>
      <c r="C482" s="361" t="s">
        <v>1176</v>
      </c>
      <c r="D482" s="81" t="s">
        <v>36</v>
      </c>
      <c r="E482" s="111">
        <v>19</v>
      </c>
      <c r="F482" s="93"/>
      <c r="G482" s="103">
        <v>256.51</v>
      </c>
      <c r="H482" s="213" t="e">
        <f t="shared" si="237"/>
        <v>#REF!</v>
      </c>
      <c r="I482" s="213">
        <f t="shared" si="227"/>
        <v>0</v>
      </c>
      <c r="J482" s="201">
        <f t="shared" si="223"/>
        <v>4873.6899999999996</v>
      </c>
      <c r="K482" s="93" t="e">
        <f t="shared" si="238"/>
        <v>#REF!</v>
      </c>
      <c r="L482" s="612"/>
    </row>
    <row r="483" spans="2:12" ht="14.1" customHeight="1" outlineLevel="2">
      <c r="B483" s="366">
        <f t="shared" si="236"/>
        <v>6.1701029999999966</v>
      </c>
      <c r="C483" s="361" t="s">
        <v>1177</v>
      </c>
      <c r="D483" s="81" t="s">
        <v>36</v>
      </c>
      <c r="E483" s="111">
        <v>19</v>
      </c>
      <c r="F483" s="93"/>
      <c r="G483" s="103">
        <v>184.3</v>
      </c>
      <c r="H483" s="213" t="e">
        <f t="shared" si="237"/>
        <v>#REF!</v>
      </c>
      <c r="I483" s="213">
        <f t="shared" si="227"/>
        <v>0</v>
      </c>
      <c r="J483" s="201">
        <f t="shared" si="223"/>
        <v>3501.7</v>
      </c>
      <c r="K483" s="93" t="e">
        <f t="shared" si="238"/>
        <v>#REF!</v>
      </c>
      <c r="L483" s="612"/>
    </row>
    <row r="484" spans="2:12" ht="14.1" customHeight="1" outlineLevel="2">
      <c r="B484" s="366">
        <f t="shared" si="236"/>
        <v>6.1701039999999967</v>
      </c>
      <c r="C484" s="361" t="s">
        <v>1178</v>
      </c>
      <c r="D484" s="81" t="s">
        <v>36</v>
      </c>
      <c r="E484" s="111">
        <v>1</v>
      </c>
      <c r="F484" s="93"/>
      <c r="G484" s="103">
        <v>118.73</v>
      </c>
      <c r="H484" s="213" t="e">
        <f t="shared" si="237"/>
        <v>#REF!</v>
      </c>
      <c r="I484" s="213">
        <f t="shared" si="227"/>
        <v>0</v>
      </c>
      <c r="J484" s="201">
        <f t="shared" si="223"/>
        <v>118.73</v>
      </c>
      <c r="K484" s="93" t="e">
        <f t="shared" si="238"/>
        <v>#REF!</v>
      </c>
      <c r="L484" s="612"/>
    </row>
    <row r="485" spans="2:12" ht="14.1" customHeight="1" outlineLevel="2">
      <c r="B485" s="366">
        <f t="shared" si="236"/>
        <v>6.1701049999999968</v>
      </c>
      <c r="C485" s="361" t="s">
        <v>1179</v>
      </c>
      <c r="D485" s="81" t="s">
        <v>36</v>
      </c>
      <c r="E485" s="111">
        <v>2</v>
      </c>
      <c r="F485" s="93"/>
      <c r="G485" s="103">
        <v>87.3</v>
      </c>
      <c r="H485" s="213" t="e">
        <f t="shared" si="237"/>
        <v>#REF!</v>
      </c>
      <c r="I485" s="213">
        <f t="shared" si="227"/>
        <v>0</v>
      </c>
      <c r="J485" s="201">
        <f t="shared" si="223"/>
        <v>174.6</v>
      </c>
      <c r="K485" s="93" t="e">
        <f t="shared" si="238"/>
        <v>#REF!</v>
      </c>
      <c r="L485" s="612"/>
    </row>
    <row r="486" spans="2:12" ht="14.1" customHeight="1" outlineLevel="2">
      <c r="B486" s="366">
        <f t="shared" si="236"/>
        <v>6.170105999999997</v>
      </c>
      <c r="C486" s="361" t="s">
        <v>1180</v>
      </c>
      <c r="D486" s="81" t="s">
        <v>36</v>
      </c>
      <c r="E486" s="111">
        <v>1</v>
      </c>
      <c r="F486" s="93"/>
      <c r="G486" s="103">
        <v>229.04</v>
      </c>
      <c r="H486" s="213" t="e">
        <f t="shared" si="237"/>
        <v>#REF!</v>
      </c>
      <c r="I486" s="213">
        <f t="shared" si="227"/>
        <v>0</v>
      </c>
      <c r="J486" s="201">
        <f t="shared" si="223"/>
        <v>229.04</v>
      </c>
      <c r="K486" s="93" t="e">
        <f t="shared" si="238"/>
        <v>#REF!</v>
      </c>
      <c r="L486" s="612"/>
    </row>
    <row r="487" spans="2:12" ht="14.1" customHeight="1" outlineLevel="2">
      <c r="B487" s="366">
        <f t="shared" si="236"/>
        <v>6.1701069999999971</v>
      </c>
      <c r="C487" s="361" t="s">
        <v>1181</v>
      </c>
      <c r="D487" s="81" t="s">
        <v>36</v>
      </c>
      <c r="E487" s="111">
        <v>1</v>
      </c>
      <c r="F487" s="93"/>
      <c r="G487" s="103">
        <v>238.86</v>
      </c>
      <c r="H487" s="213" t="e">
        <f t="shared" si="237"/>
        <v>#REF!</v>
      </c>
      <c r="I487" s="213">
        <f t="shared" si="227"/>
        <v>0</v>
      </c>
      <c r="J487" s="201">
        <f t="shared" si="223"/>
        <v>238.86</v>
      </c>
      <c r="K487" s="93" t="e">
        <f t="shared" si="238"/>
        <v>#REF!</v>
      </c>
      <c r="L487" s="612"/>
    </row>
    <row r="488" spans="2:12" ht="14.1" customHeight="1" outlineLevel="2">
      <c r="B488" s="366">
        <f t="shared" si="236"/>
        <v>6.1701079999999973</v>
      </c>
      <c r="C488" s="361" t="s">
        <v>1182</v>
      </c>
      <c r="D488" s="81" t="s">
        <v>36</v>
      </c>
      <c r="E488" s="111">
        <v>1</v>
      </c>
      <c r="F488" s="93"/>
      <c r="G488" s="103">
        <v>286.14999999999998</v>
      </c>
      <c r="H488" s="213" t="e">
        <f t="shared" si="237"/>
        <v>#REF!</v>
      </c>
      <c r="I488" s="213">
        <f t="shared" si="227"/>
        <v>0</v>
      </c>
      <c r="J488" s="201">
        <f t="shared" si="223"/>
        <v>286.14999999999998</v>
      </c>
      <c r="K488" s="93" t="e">
        <f t="shared" si="238"/>
        <v>#REF!</v>
      </c>
      <c r="L488" s="612"/>
    </row>
    <row r="489" spans="2:12" ht="14.1" customHeight="1" outlineLevel="2">
      <c r="B489" s="366">
        <f t="shared" si="236"/>
        <v>6.1701089999999974</v>
      </c>
      <c r="C489" s="361" t="s">
        <v>1183</v>
      </c>
      <c r="D489" s="81" t="s">
        <v>36</v>
      </c>
      <c r="E489" s="111">
        <v>1</v>
      </c>
      <c r="F489" s="93"/>
      <c r="G489" s="103">
        <v>81.33</v>
      </c>
      <c r="H489" s="213" t="e">
        <f t="shared" si="237"/>
        <v>#REF!</v>
      </c>
      <c r="I489" s="213">
        <f t="shared" si="227"/>
        <v>0</v>
      </c>
      <c r="J489" s="201">
        <f t="shared" si="223"/>
        <v>81.33</v>
      </c>
      <c r="K489" s="93" t="e">
        <f t="shared" si="238"/>
        <v>#REF!</v>
      </c>
      <c r="L489" s="612"/>
    </row>
    <row r="490" spans="2:12" ht="13.5" customHeight="1" outlineLevel="2">
      <c r="B490" s="366">
        <f t="shared" si="236"/>
        <v>6.1701099999999975</v>
      </c>
      <c r="C490" s="361" t="s">
        <v>1184</v>
      </c>
      <c r="D490" s="81" t="s">
        <v>36</v>
      </c>
      <c r="E490" s="111">
        <v>6</v>
      </c>
      <c r="F490" s="93"/>
      <c r="G490" s="103">
        <v>243.14</v>
      </c>
      <c r="H490" s="213" t="e">
        <f t="shared" si="237"/>
        <v>#REF!</v>
      </c>
      <c r="I490" s="213">
        <f t="shared" si="227"/>
        <v>0</v>
      </c>
      <c r="J490" s="201">
        <f t="shared" si="223"/>
        <v>1458.84</v>
      </c>
      <c r="K490" s="93" t="e">
        <f t="shared" si="238"/>
        <v>#REF!</v>
      </c>
      <c r="L490" s="612"/>
    </row>
    <row r="491" spans="2:12" ht="14.1" customHeight="1" outlineLevel="2">
      <c r="B491" s="366">
        <f t="shared" si="236"/>
        <v>6.1701109999999977</v>
      </c>
      <c r="C491" s="361" t="s">
        <v>1185</v>
      </c>
      <c r="D491" s="81" t="s">
        <v>36</v>
      </c>
      <c r="E491" s="111">
        <v>54</v>
      </c>
      <c r="F491" s="93"/>
      <c r="G491" s="103">
        <v>308.61</v>
      </c>
      <c r="H491" s="213" t="e">
        <f t="shared" si="237"/>
        <v>#REF!</v>
      </c>
      <c r="I491" s="213">
        <f t="shared" si="227"/>
        <v>0</v>
      </c>
      <c r="J491" s="201">
        <f t="shared" si="223"/>
        <v>16664.939999999999</v>
      </c>
      <c r="K491" s="93" t="e">
        <f t="shared" si="238"/>
        <v>#REF!</v>
      </c>
      <c r="L491" s="612"/>
    </row>
    <row r="492" spans="2:12" ht="14.1" customHeight="1" outlineLevel="2">
      <c r="B492" s="366">
        <f t="shared" si="236"/>
        <v>6.1701119999999978</v>
      </c>
      <c r="C492" s="361" t="s">
        <v>1186</v>
      </c>
      <c r="D492" s="81" t="s">
        <v>36</v>
      </c>
      <c r="E492" s="111">
        <v>19</v>
      </c>
      <c r="F492" s="93"/>
      <c r="G492" s="103">
        <v>275.87</v>
      </c>
      <c r="H492" s="213" t="e">
        <f t="shared" si="237"/>
        <v>#REF!</v>
      </c>
      <c r="I492" s="213">
        <f t="shared" si="227"/>
        <v>0</v>
      </c>
      <c r="J492" s="201">
        <f t="shared" si="223"/>
        <v>5241.53</v>
      </c>
      <c r="K492" s="93" t="e">
        <f t="shared" si="238"/>
        <v>#REF!</v>
      </c>
      <c r="L492" s="612"/>
    </row>
    <row r="493" spans="2:12" ht="14.1" customHeight="1" outlineLevel="2">
      <c r="B493" s="366">
        <f t="shared" si="236"/>
        <v>6.170112999999998</v>
      </c>
      <c r="C493" s="361" t="s">
        <v>1187</v>
      </c>
      <c r="D493" s="81" t="s">
        <v>36</v>
      </c>
      <c r="E493" s="111">
        <v>10</v>
      </c>
      <c r="F493" s="93"/>
      <c r="G493" s="103">
        <v>285.33</v>
      </c>
      <c r="H493" s="213" t="e">
        <f t="shared" si="237"/>
        <v>#REF!</v>
      </c>
      <c r="I493" s="213">
        <f t="shared" si="227"/>
        <v>0</v>
      </c>
      <c r="J493" s="201">
        <f t="shared" si="223"/>
        <v>2853.3</v>
      </c>
      <c r="K493" s="93" t="e">
        <f t="shared" si="238"/>
        <v>#REF!</v>
      </c>
      <c r="L493" s="612"/>
    </row>
    <row r="494" spans="2:12" ht="14.1" customHeight="1" outlineLevel="2">
      <c r="B494" s="366">
        <f t="shared" si="236"/>
        <v>6.1701139999999981</v>
      </c>
      <c r="C494" s="361" t="s">
        <v>1188</v>
      </c>
      <c r="D494" s="81" t="s">
        <v>36</v>
      </c>
      <c r="E494" s="111">
        <v>13</v>
      </c>
      <c r="F494" s="93"/>
      <c r="G494" s="103">
        <v>177.23</v>
      </c>
      <c r="H494" s="213" t="e">
        <f t="shared" si="237"/>
        <v>#REF!</v>
      </c>
      <c r="I494" s="213">
        <f t="shared" si="227"/>
        <v>0</v>
      </c>
      <c r="J494" s="201">
        <f t="shared" si="223"/>
        <v>2303.9899999999998</v>
      </c>
      <c r="K494" s="93" t="e">
        <f t="shared" si="238"/>
        <v>#REF!</v>
      </c>
      <c r="L494" s="612"/>
    </row>
    <row r="495" spans="2:12" ht="14.1" customHeight="1" outlineLevel="2">
      <c r="B495" s="366">
        <f t="shared" si="236"/>
        <v>6.1701149999999982</v>
      </c>
      <c r="C495" s="361" t="s">
        <v>1189</v>
      </c>
      <c r="D495" s="81" t="s">
        <v>36</v>
      </c>
      <c r="E495" s="111">
        <v>10</v>
      </c>
      <c r="F495" s="93"/>
      <c r="G495" s="103">
        <v>213.27</v>
      </c>
      <c r="H495" s="213" t="e">
        <f t="shared" si="237"/>
        <v>#REF!</v>
      </c>
      <c r="I495" s="213">
        <f t="shared" si="227"/>
        <v>0</v>
      </c>
      <c r="J495" s="201">
        <f t="shared" si="223"/>
        <v>2132.6999999999998</v>
      </c>
      <c r="K495" s="93" t="e">
        <f t="shared" si="238"/>
        <v>#REF!</v>
      </c>
      <c r="L495" s="612"/>
    </row>
    <row r="496" spans="2:12" ht="14.1" customHeight="1" outlineLevel="2">
      <c r="B496" s="366">
        <f t="shared" si="236"/>
        <v>6.1701159999999984</v>
      </c>
      <c r="C496" s="361" t="s">
        <v>1190</v>
      </c>
      <c r="D496" s="81" t="s">
        <v>36</v>
      </c>
      <c r="E496" s="111">
        <v>12</v>
      </c>
      <c r="F496" s="93"/>
      <c r="G496" s="103">
        <v>183</v>
      </c>
      <c r="H496" s="213" t="e">
        <f t="shared" si="237"/>
        <v>#REF!</v>
      </c>
      <c r="I496" s="213">
        <f t="shared" si="227"/>
        <v>0</v>
      </c>
      <c r="J496" s="201">
        <f t="shared" si="223"/>
        <v>2196</v>
      </c>
      <c r="K496" s="93" t="e">
        <f t="shared" si="238"/>
        <v>#REF!</v>
      </c>
      <c r="L496" s="612"/>
    </row>
    <row r="497" spans="2:23" ht="14.1" customHeight="1" outlineLevel="2">
      <c r="B497" s="366">
        <f t="shared" si="236"/>
        <v>6.1701169999999985</v>
      </c>
      <c r="C497" s="361" t="s">
        <v>1191</v>
      </c>
      <c r="D497" s="81" t="s">
        <v>36</v>
      </c>
      <c r="E497" s="111">
        <v>12</v>
      </c>
      <c r="F497" s="93"/>
      <c r="G497" s="103">
        <v>365.89</v>
      </c>
      <c r="H497" s="213" t="e">
        <f t="shared" si="237"/>
        <v>#REF!</v>
      </c>
      <c r="I497" s="213">
        <f t="shared" si="227"/>
        <v>0</v>
      </c>
      <c r="J497" s="201">
        <f t="shared" si="223"/>
        <v>4390.68</v>
      </c>
      <c r="K497" s="93" t="e">
        <f t="shared" si="238"/>
        <v>#REF!</v>
      </c>
      <c r="L497" s="612"/>
    </row>
    <row r="498" spans="2:23" ht="14.1" customHeight="1" outlineLevel="2">
      <c r="B498" s="366">
        <f t="shared" si="236"/>
        <v>6.1701179999999987</v>
      </c>
      <c r="C498" s="361" t="s">
        <v>1192</v>
      </c>
      <c r="D498" s="81" t="s">
        <v>36</v>
      </c>
      <c r="E498" s="111">
        <v>1</v>
      </c>
      <c r="F498" s="93"/>
      <c r="G498" s="103">
        <v>58.2</v>
      </c>
      <c r="H498" s="213" t="e">
        <f t="shared" si="237"/>
        <v>#REF!</v>
      </c>
      <c r="I498" s="213">
        <f t="shared" si="227"/>
        <v>0</v>
      </c>
      <c r="J498" s="201">
        <f t="shared" si="223"/>
        <v>58.2</v>
      </c>
      <c r="K498" s="93" t="e">
        <f t="shared" si="238"/>
        <v>#REF!</v>
      </c>
      <c r="L498" s="612"/>
    </row>
    <row r="499" spans="2:23" ht="14.1" customHeight="1" outlineLevel="2">
      <c r="B499" s="366">
        <f t="shared" si="236"/>
        <v>6.1701189999999988</v>
      </c>
      <c r="C499" s="361" t="s">
        <v>1193</v>
      </c>
      <c r="D499" s="81" t="s">
        <v>36</v>
      </c>
      <c r="E499" s="111">
        <v>2</v>
      </c>
      <c r="F499" s="93"/>
      <c r="G499" s="103">
        <v>344.62</v>
      </c>
      <c r="H499" s="213" t="e">
        <f t="shared" si="237"/>
        <v>#REF!</v>
      </c>
      <c r="I499" s="213">
        <f t="shared" si="227"/>
        <v>0</v>
      </c>
      <c r="J499" s="201">
        <f t="shared" si="223"/>
        <v>689.24</v>
      </c>
      <c r="K499" s="93" t="e">
        <f t="shared" si="238"/>
        <v>#REF!</v>
      </c>
      <c r="L499" s="612"/>
    </row>
    <row r="500" spans="2:23" ht="14.1" customHeight="1" outlineLevel="2">
      <c r="B500" s="366">
        <f t="shared" si="236"/>
        <v>6.1701199999999989</v>
      </c>
      <c r="C500" s="361" t="s">
        <v>1194</v>
      </c>
      <c r="D500" s="81" t="s">
        <v>36</v>
      </c>
      <c r="E500" s="111">
        <v>1</v>
      </c>
      <c r="F500" s="93"/>
      <c r="G500" s="103">
        <v>67.900000000000006</v>
      </c>
      <c r="H500" s="213" t="e">
        <f t="shared" si="237"/>
        <v>#REF!</v>
      </c>
      <c r="I500" s="213">
        <f t="shared" si="227"/>
        <v>0</v>
      </c>
      <c r="J500" s="201">
        <f t="shared" si="223"/>
        <v>67.900000000000006</v>
      </c>
      <c r="K500" s="93" t="e">
        <f t="shared" si="238"/>
        <v>#REF!</v>
      </c>
      <c r="L500" s="612"/>
    </row>
    <row r="501" spans="2:23" ht="14.1" customHeight="1" outlineLevel="2">
      <c r="B501" s="366">
        <f t="shared" si="236"/>
        <v>6.1701209999999991</v>
      </c>
      <c r="C501" s="361" t="s">
        <v>1195</v>
      </c>
      <c r="D501" s="81" t="s">
        <v>36</v>
      </c>
      <c r="E501" s="111">
        <v>2</v>
      </c>
      <c r="F501" s="93"/>
      <c r="G501" s="103">
        <v>63.05</v>
      </c>
      <c r="H501" s="213" t="e">
        <f t="shared" si="237"/>
        <v>#REF!</v>
      </c>
      <c r="I501" s="213">
        <f t="shared" si="227"/>
        <v>0</v>
      </c>
      <c r="J501" s="201">
        <f t="shared" si="223"/>
        <v>126.1</v>
      </c>
      <c r="K501" s="93" t="e">
        <f t="shared" si="238"/>
        <v>#REF!</v>
      </c>
      <c r="L501" s="612"/>
    </row>
    <row r="502" spans="2:23" ht="14.1" customHeight="1" outlineLevel="2">
      <c r="B502" s="366">
        <f t="shared" si="236"/>
        <v>6.1701219999999992</v>
      </c>
      <c r="C502" s="361" t="s">
        <v>1196</v>
      </c>
      <c r="D502" s="81" t="s">
        <v>36</v>
      </c>
      <c r="E502" s="111">
        <v>1</v>
      </c>
      <c r="F502" s="93"/>
      <c r="G502" s="103">
        <v>67.900000000000006</v>
      </c>
      <c r="H502" s="213" t="e">
        <f t="shared" si="237"/>
        <v>#REF!</v>
      </c>
      <c r="I502" s="213">
        <f t="shared" si="227"/>
        <v>0</v>
      </c>
      <c r="J502" s="201">
        <f t="shared" si="223"/>
        <v>67.900000000000006</v>
      </c>
      <c r="K502" s="93" t="e">
        <f t="shared" si="238"/>
        <v>#REF!</v>
      </c>
      <c r="L502" s="612"/>
    </row>
    <row r="503" spans="2:23" ht="14.1" customHeight="1" outlineLevel="2">
      <c r="B503" s="366">
        <f t="shared" si="236"/>
        <v>6.1701229999999994</v>
      </c>
      <c r="C503" s="361" t="s">
        <v>1197</v>
      </c>
      <c r="D503" s="81" t="s">
        <v>36</v>
      </c>
      <c r="E503" s="111">
        <v>1</v>
      </c>
      <c r="F503" s="93"/>
      <c r="G503" s="103">
        <v>87.3</v>
      </c>
      <c r="H503" s="213" t="e">
        <f t="shared" si="237"/>
        <v>#REF!</v>
      </c>
      <c r="I503" s="213">
        <f t="shared" si="227"/>
        <v>0</v>
      </c>
      <c r="J503" s="201">
        <f t="shared" si="223"/>
        <v>87.3</v>
      </c>
      <c r="K503" s="93" t="e">
        <f t="shared" si="238"/>
        <v>#REF!</v>
      </c>
      <c r="L503" s="612"/>
    </row>
    <row r="504" spans="2:23" ht="14.1" customHeight="1" outlineLevel="2">
      <c r="B504" s="366">
        <f t="shared" si="236"/>
        <v>6.1701239999999995</v>
      </c>
      <c r="C504" s="361" t="s">
        <v>1198</v>
      </c>
      <c r="D504" s="81" t="s">
        <v>36</v>
      </c>
      <c r="E504" s="111">
        <v>1</v>
      </c>
      <c r="F504" s="93"/>
      <c r="G504" s="103">
        <v>67.900000000000006</v>
      </c>
      <c r="H504" s="213" t="e">
        <f t="shared" si="237"/>
        <v>#REF!</v>
      </c>
      <c r="I504" s="213">
        <f t="shared" si="227"/>
        <v>0</v>
      </c>
      <c r="J504" s="201">
        <f t="shared" si="223"/>
        <v>67.900000000000006</v>
      </c>
      <c r="K504" s="93" t="e">
        <f t="shared" si="238"/>
        <v>#REF!</v>
      </c>
      <c r="L504" s="612"/>
    </row>
    <row r="505" spans="2:23" ht="14.1" customHeight="1" outlineLevel="2">
      <c r="B505" s="366">
        <f t="shared" si="236"/>
        <v>6.1701249999999996</v>
      </c>
      <c r="C505" s="361" t="s">
        <v>1199</v>
      </c>
      <c r="D505" s="81" t="s">
        <v>36</v>
      </c>
      <c r="E505" s="111">
        <v>1</v>
      </c>
      <c r="F505" s="93"/>
      <c r="G505" s="103">
        <v>58.2</v>
      </c>
      <c r="H505" s="213" t="e">
        <f t="shared" si="237"/>
        <v>#REF!</v>
      </c>
      <c r="I505" s="213">
        <f t="shared" si="227"/>
        <v>0</v>
      </c>
      <c r="J505" s="201">
        <f t="shared" si="223"/>
        <v>58.2</v>
      </c>
      <c r="K505" s="93" t="e">
        <f t="shared" si="238"/>
        <v>#REF!</v>
      </c>
      <c r="L505" s="612"/>
    </row>
    <row r="506" spans="2:23" ht="14.1" customHeight="1" outlineLevel="2">
      <c r="B506" s="366">
        <f t="shared" si="236"/>
        <v>6.1701259999999998</v>
      </c>
      <c r="C506" s="361" t="s">
        <v>1200</v>
      </c>
      <c r="D506" s="81" t="s">
        <v>36</v>
      </c>
      <c r="E506" s="111">
        <v>1</v>
      </c>
      <c r="F506" s="93"/>
      <c r="G506" s="103">
        <v>630.74</v>
      </c>
      <c r="H506" s="213" t="e">
        <f t="shared" ref="H506" si="239">+ROUND(F506+G506*TC,2)</f>
        <v>#REF!</v>
      </c>
      <c r="I506" s="213">
        <f t="shared" si="227"/>
        <v>0</v>
      </c>
      <c r="J506" s="201">
        <f t="shared" ref="J506:J507" si="240">+ROUND(E506*G506,2)</f>
        <v>630.74</v>
      </c>
      <c r="K506" s="93" t="e">
        <f t="shared" ref="K506" si="241">+ROUND(I506+J506*TC,2)</f>
        <v>#REF!</v>
      </c>
      <c r="L506" s="612"/>
    </row>
    <row r="507" spans="2:23" ht="14.1" customHeight="1" outlineLevel="2">
      <c r="B507" s="366"/>
      <c r="C507" s="349" t="s">
        <v>1201</v>
      </c>
      <c r="D507" s="81" t="s">
        <v>169</v>
      </c>
      <c r="E507" s="111">
        <v>190.68</v>
      </c>
      <c r="F507" s="93"/>
      <c r="G507" s="103">
        <v>127.8</v>
      </c>
      <c r="H507" s="213" t="e">
        <f t="shared" ref="H507" si="242">+ROUND(F507+G507*TC,2)</f>
        <v>#REF!</v>
      </c>
      <c r="I507" s="213">
        <f t="shared" si="227"/>
        <v>0</v>
      </c>
      <c r="J507" s="201">
        <f t="shared" si="240"/>
        <v>24368.9</v>
      </c>
      <c r="K507" s="93" t="e">
        <f t="shared" ref="K507" si="243">+ROUND(I507+J507*TC,2)</f>
        <v>#REF!</v>
      </c>
      <c r="L507" s="612"/>
      <c r="M507" s="127"/>
      <c r="N507" s="526"/>
      <c r="V507" s="527"/>
      <c r="W507" s="527"/>
    </row>
    <row r="508" spans="2:23" ht="14.1" customHeight="1" outlineLevel="1">
      <c r="B508" s="359">
        <f>B480+0.0001</f>
        <v>6.1701999999999959</v>
      </c>
      <c r="C508" s="342" t="s">
        <v>1202</v>
      </c>
      <c r="D508" s="81"/>
      <c r="E508" s="111"/>
      <c r="F508" s="93" t="s">
        <v>8</v>
      </c>
      <c r="G508" s="103"/>
      <c r="H508" s="213"/>
      <c r="I508" s="213"/>
      <c r="J508" s="201"/>
      <c r="K508" s="93"/>
      <c r="L508" s="612"/>
    </row>
    <row r="509" spans="2:23" ht="14.1" customHeight="1" outlineLevel="2">
      <c r="B509" s="366">
        <f t="shared" si="236"/>
        <v>6.170200999999996</v>
      </c>
      <c r="C509" s="361" t="s">
        <v>1203</v>
      </c>
      <c r="D509" s="81" t="s">
        <v>36</v>
      </c>
      <c r="E509" s="111">
        <v>1</v>
      </c>
      <c r="F509" s="93"/>
      <c r="G509" s="103">
        <v>2188.84</v>
      </c>
      <c r="H509" s="213" t="e">
        <f t="shared" ref="H509:H538" si="244">+ROUND(F509+G509*TC,2)</f>
        <v>#REF!</v>
      </c>
      <c r="I509" s="213">
        <f t="shared" si="227"/>
        <v>0</v>
      </c>
      <c r="J509" s="201">
        <f t="shared" ref="J509:J584" si="245">+ROUND(E509*G509,2)</f>
        <v>2188.84</v>
      </c>
      <c r="K509" s="93" t="e">
        <f t="shared" ref="K509:K538" si="246">+ROUND(I509+J509*TC,2)</f>
        <v>#REF!</v>
      </c>
      <c r="L509" s="612"/>
    </row>
    <row r="510" spans="2:23" ht="14.1" customHeight="1" outlineLevel="2">
      <c r="B510" s="366">
        <f t="shared" si="236"/>
        <v>6.1702019999999962</v>
      </c>
      <c r="C510" s="361" t="s">
        <v>1204</v>
      </c>
      <c r="D510" s="81" t="s">
        <v>36</v>
      </c>
      <c r="E510" s="111">
        <v>10</v>
      </c>
      <c r="F510" s="93"/>
      <c r="G510" s="103">
        <v>451.21</v>
      </c>
      <c r="H510" s="213" t="e">
        <f t="shared" si="244"/>
        <v>#REF!</v>
      </c>
      <c r="I510" s="213">
        <f t="shared" si="227"/>
        <v>0</v>
      </c>
      <c r="J510" s="201">
        <f t="shared" si="245"/>
        <v>4512.1000000000004</v>
      </c>
      <c r="K510" s="93" t="e">
        <f t="shared" si="246"/>
        <v>#REF!</v>
      </c>
      <c r="L510" s="612"/>
    </row>
    <row r="511" spans="2:23" ht="14.1" customHeight="1" outlineLevel="2">
      <c r="B511" s="366">
        <f t="shared" si="236"/>
        <v>6.1702029999999963</v>
      </c>
      <c r="C511" s="361" t="s">
        <v>1205</v>
      </c>
      <c r="D511" s="81" t="s">
        <v>36</v>
      </c>
      <c r="E511" s="111">
        <v>1</v>
      </c>
      <c r="F511" s="93"/>
      <c r="G511" s="103">
        <v>1168.07</v>
      </c>
      <c r="H511" s="213" t="e">
        <f t="shared" si="244"/>
        <v>#REF!</v>
      </c>
      <c r="I511" s="213">
        <f t="shared" si="227"/>
        <v>0</v>
      </c>
      <c r="J511" s="201">
        <f t="shared" si="245"/>
        <v>1168.07</v>
      </c>
      <c r="K511" s="93" t="e">
        <f t="shared" si="246"/>
        <v>#REF!</v>
      </c>
      <c r="L511" s="612"/>
    </row>
    <row r="512" spans="2:23" ht="14.1" customHeight="1" outlineLevel="2">
      <c r="B512" s="366">
        <f t="shared" si="236"/>
        <v>6.1702039999999965</v>
      </c>
      <c r="C512" s="361" t="s">
        <v>1206</v>
      </c>
      <c r="D512" s="81" t="s">
        <v>36</v>
      </c>
      <c r="E512" s="111">
        <v>1</v>
      </c>
      <c r="F512" s="93"/>
      <c r="G512" s="103">
        <v>399.73</v>
      </c>
      <c r="H512" s="213" t="e">
        <f t="shared" si="244"/>
        <v>#REF!</v>
      </c>
      <c r="I512" s="213">
        <f t="shared" si="227"/>
        <v>0</v>
      </c>
      <c r="J512" s="201">
        <f t="shared" si="245"/>
        <v>399.73</v>
      </c>
      <c r="K512" s="93" t="e">
        <f t="shared" si="246"/>
        <v>#REF!</v>
      </c>
      <c r="L512" s="612"/>
    </row>
    <row r="513" spans="2:12" ht="14.1" customHeight="1" outlineLevel="2">
      <c r="B513" s="366">
        <f t="shared" si="236"/>
        <v>6.1702049999999966</v>
      </c>
      <c r="C513" s="361" t="s">
        <v>1207</v>
      </c>
      <c r="D513" s="81" t="s">
        <v>36</v>
      </c>
      <c r="E513" s="111">
        <v>1</v>
      </c>
      <c r="F513" s="93"/>
      <c r="G513" s="103">
        <v>360.9</v>
      </c>
      <c r="H513" s="213" t="e">
        <f t="shared" si="244"/>
        <v>#REF!</v>
      </c>
      <c r="I513" s="213">
        <f t="shared" si="227"/>
        <v>0</v>
      </c>
      <c r="J513" s="201">
        <f t="shared" si="245"/>
        <v>360.9</v>
      </c>
      <c r="K513" s="93" t="e">
        <f t="shared" si="246"/>
        <v>#REF!</v>
      </c>
      <c r="L513" s="612"/>
    </row>
    <row r="514" spans="2:12" ht="14.1" customHeight="1" outlineLevel="2">
      <c r="B514" s="366">
        <f t="shared" si="236"/>
        <v>6.1702059999999967</v>
      </c>
      <c r="C514" s="361" t="s">
        <v>1208</v>
      </c>
      <c r="D514" s="81" t="s">
        <v>36</v>
      </c>
      <c r="E514" s="111">
        <v>1</v>
      </c>
      <c r="F514" s="93"/>
      <c r="G514" s="103">
        <v>3306.06</v>
      </c>
      <c r="H514" s="213" t="e">
        <f t="shared" si="244"/>
        <v>#REF!</v>
      </c>
      <c r="I514" s="213">
        <f t="shared" si="227"/>
        <v>0</v>
      </c>
      <c r="J514" s="201">
        <f t="shared" si="245"/>
        <v>3306.06</v>
      </c>
      <c r="K514" s="93" t="e">
        <f t="shared" si="246"/>
        <v>#REF!</v>
      </c>
      <c r="L514" s="612"/>
    </row>
    <row r="515" spans="2:12" ht="14.1" customHeight="1" outlineLevel="2">
      <c r="B515" s="366">
        <f t="shared" si="236"/>
        <v>6.1702069999999969</v>
      </c>
      <c r="C515" s="361" t="s">
        <v>1209</v>
      </c>
      <c r="D515" s="81" t="s">
        <v>36</v>
      </c>
      <c r="E515" s="111">
        <v>1</v>
      </c>
      <c r="F515" s="93"/>
      <c r="G515" s="103">
        <v>1104.2</v>
      </c>
      <c r="H515" s="213" t="e">
        <f t="shared" si="244"/>
        <v>#REF!</v>
      </c>
      <c r="I515" s="213">
        <f t="shared" si="227"/>
        <v>0</v>
      </c>
      <c r="J515" s="201">
        <f t="shared" si="245"/>
        <v>1104.2</v>
      </c>
      <c r="K515" s="93" t="e">
        <f t="shared" si="246"/>
        <v>#REF!</v>
      </c>
      <c r="L515" s="612"/>
    </row>
    <row r="516" spans="2:12" ht="14.1" customHeight="1" outlineLevel="2">
      <c r="B516" s="366">
        <f t="shared" si="236"/>
        <v>6.170207999999997</v>
      </c>
      <c r="C516" s="361" t="s">
        <v>1210</v>
      </c>
      <c r="D516" s="81" t="s">
        <v>36</v>
      </c>
      <c r="E516" s="111">
        <v>1</v>
      </c>
      <c r="F516" s="93"/>
      <c r="G516" s="103">
        <v>1124.4000000000001</v>
      </c>
      <c r="H516" s="213" t="e">
        <f t="shared" si="244"/>
        <v>#REF!</v>
      </c>
      <c r="I516" s="213">
        <f t="shared" si="227"/>
        <v>0</v>
      </c>
      <c r="J516" s="201">
        <f t="shared" si="245"/>
        <v>1124.4000000000001</v>
      </c>
      <c r="K516" s="93" t="e">
        <f t="shared" si="246"/>
        <v>#REF!</v>
      </c>
      <c r="L516" s="612"/>
    </row>
    <row r="517" spans="2:12" ht="14.1" customHeight="1" outlineLevel="2">
      <c r="B517" s="366">
        <f t="shared" si="236"/>
        <v>6.1702089999999972</v>
      </c>
      <c r="C517" s="361" t="s">
        <v>1211</v>
      </c>
      <c r="D517" s="81" t="s">
        <v>36</v>
      </c>
      <c r="E517" s="111">
        <v>1</v>
      </c>
      <c r="F517" s="93"/>
      <c r="G517" s="103">
        <v>1323.25</v>
      </c>
      <c r="H517" s="213" t="e">
        <f t="shared" si="244"/>
        <v>#REF!</v>
      </c>
      <c r="I517" s="213">
        <f t="shared" si="227"/>
        <v>0</v>
      </c>
      <c r="J517" s="201">
        <f t="shared" si="245"/>
        <v>1323.25</v>
      </c>
      <c r="K517" s="93" t="e">
        <f t="shared" si="246"/>
        <v>#REF!</v>
      </c>
      <c r="L517" s="612"/>
    </row>
    <row r="518" spans="2:12" ht="14.1" customHeight="1" outlineLevel="2">
      <c r="B518" s="366">
        <f>B517+0.000001</f>
        <v>6.1702099999999973</v>
      </c>
      <c r="C518" s="361" t="s">
        <v>1212</v>
      </c>
      <c r="D518" s="81" t="s">
        <v>36</v>
      </c>
      <c r="E518" s="111">
        <v>1</v>
      </c>
      <c r="F518" s="93"/>
      <c r="G518" s="103">
        <v>1619.78</v>
      </c>
      <c r="H518" s="213" t="e">
        <f t="shared" si="244"/>
        <v>#REF!</v>
      </c>
      <c r="I518" s="213">
        <f t="shared" si="227"/>
        <v>0</v>
      </c>
      <c r="J518" s="201">
        <f t="shared" si="245"/>
        <v>1619.78</v>
      </c>
      <c r="K518" s="93" t="e">
        <f t="shared" si="246"/>
        <v>#REF!</v>
      </c>
      <c r="L518" s="612"/>
    </row>
    <row r="519" spans="2:12" ht="14.1" customHeight="1" outlineLevel="2">
      <c r="B519" s="366">
        <f t="shared" si="236"/>
        <v>6.1702109999999974</v>
      </c>
      <c r="C519" s="361" t="s">
        <v>1213</v>
      </c>
      <c r="D519" s="81" t="s">
        <v>36</v>
      </c>
      <c r="E519" s="111">
        <v>1</v>
      </c>
      <c r="F519" s="93"/>
      <c r="G519" s="103">
        <v>1791.46</v>
      </c>
      <c r="H519" s="213" t="e">
        <f t="shared" si="244"/>
        <v>#REF!</v>
      </c>
      <c r="I519" s="213">
        <f t="shared" si="227"/>
        <v>0</v>
      </c>
      <c r="J519" s="201">
        <f t="shared" si="245"/>
        <v>1791.46</v>
      </c>
      <c r="K519" s="93" t="e">
        <f t="shared" si="246"/>
        <v>#REF!</v>
      </c>
      <c r="L519" s="612"/>
    </row>
    <row r="520" spans="2:12" ht="14.1" customHeight="1" outlineLevel="2">
      <c r="B520" s="366">
        <f t="shared" si="236"/>
        <v>6.1702119999999976</v>
      </c>
      <c r="C520" s="361" t="s">
        <v>1214</v>
      </c>
      <c r="D520" s="81" t="s">
        <v>36</v>
      </c>
      <c r="E520" s="111">
        <v>10</v>
      </c>
      <c r="F520" s="93"/>
      <c r="G520" s="103">
        <v>424.05</v>
      </c>
      <c r="H520" s="213" t="e">
        <f t="shared" si="244"/>
        <v>#REF!</v>
      </c>
      <c r="I520" s="213">
        <f t="shared" si="227"/>
        <v>0</v>
      </c>
      <c r="J520" s="201">
        <f t="shared" si="245"/>
        <v>4240.5</v>
      </c>
      <c r="K520" s="93" t="e">
        <f t="shared" si="246"/>
        <v>#REF!</v>
      </c>
      <c r="L520" s="612"/>
    </row>
    <row r="521" spans="2:12" ht="14.1" customHeight="1" outlineLevel="2">
      <c r="B521" s="366">
        <f t="shared" si="236"/>
        <v>6.1702129999999977</v>
      </c>
      <c r="C521" s="361" t="s">
        <v>1215</v>
      </c>
      <c r="D521" s="81" t="s">
        <v>36</v>
      </c>
      <c r="E521" s="111">
        <v>1</v>
      </c>
      <c r="F521" s="93"/>
      <c r="G521" s="103">
        <v>410.47</v>
      </c>
      <c r="H521" s="213" t="e">
        <f t="shared" ref="H521" si="247">+ROUND(F521+G521*TC,2)</f>
        <v>#REF!</v>
      </c>
      <c r="I521" s="213">
        <f t="shared" si="227"/>
        <v>0</v>
      </c>
      <c r="J521" s="201">
        <f t="shared" ref="J521" si="248">+ROUND(E521*G521,2)</f>
        <v>410.47</v>
      </c>
      <c r="K521" s="93" t="e">
        <f t="shared" ref="K521" si="249">+ROUND(I521+J521*TC,2)</f>
        <v>#REF!</v>
      </c>
      <c r="L521" s="612"/>
    </row>
    <row r="522" spans="2:12" ht="14.1" customHeight="1" outlineLevel="2">
      <c r="B522" s="366">
        <f>B520+0.000001</f>
        <v>6.1702129999999977</v>
      </c>
      <c r="C522" s="361" t="s">
        <v>1216</v>
      </c>
      <c r="D522" s="81" t="s">
        <v>36</v>
      </c>
      <c r="E522" s="111">
        <v>17</v>
      </c>
      <c r="F522" s="93"/>
      <c r="G522" s="103">
        <v>458.26</v>
      </c>
      <c r="H522" s="213" t="e">
        <f t="shared" si="244"/>
        <v>#REF!</v>
      </c>
      <c r="I522" s="213">
        <f t="shared" si="227"/>
        <v>0</v>
      </c>
      <c r="J522" s="201">
        <f t="shared" si="245"/>
        <v>7790.42</v>
      </c>
      <c r="K522" s="93" t="e">
        <f t="shared" si="246"/>
        <v>#REF!</v>
      </c>
      <c r="L522" s="612"/>
    </row>
    <row r="523" spans="2:12" ht="14.1" customHeight="1" outlineLevel="2">
      <c r="B523" s="366">
        <f>B521+0.000001</f>
        <v>6.1702139999999979</v>
      </c>
      <c r="C523" s="361" t="s">
        <v>1217</v>
      </c>
      <c r="D523" s="81" t="s">
        <v>36</v>
      </c>
      <c r="E523" s="111">
        <v>3</v>
      </c>
      <c r="F523" s="93"/>
      <c r="G523" s="103">
        <v>474.11</v>
      </c>
      <c r="H523" s="213" t="e">
        <f t="shared" ref="H523" si="250">+ROUND(F523+G523*TC,2)</f>
        <v>#REF!</v>
      </c>
      <c r="I523" s="213">
        <f t="shared" si="227"/>
        <v>0</v>
      </c>
      <c r="J523" s="201">
        <f t="shared" ref="J523" si="251">+ROUND(E523*G523,2)</f>
        <v>1422.33</v>
      </c>
      <c r="K523" s="93" t="e">
        <f t="shared" ref="K523" si="252">+ROUND(I523+J523*TC,2)</f>
        <v>#REF!</v>
      </c>
      <c r="L523" s="612"/>
    </row>
    <row r="524" spans="2:12" ht="14.1" customHeight="1" outlineLevel="2">
      <c r="B524" s="366">
        <f>B522+0.000001</f>
        <v>6.1702139999999979</v>
      </c>
      <c r="C524" s="361" t="s">
        <v>1218</v>
      </c>
      <c r="D524" s="81" t="s">
        <v>36</v>
      </c>
      <c r="E524" s="111">
        <v>41</v>
      </c>
      <c r="F524" s="93"/>
      <c r="G524" s="103">
        <v>615.30999999999995</v>
      </c>
      <c r="H524" s="213" t="e">
        <f t="shared" si="244"/>
        <v>#REF!</v>
      </c>
      <c r="I524" s="213">
        <f t="shared" si="227"/>
        <v>0</v>
      </c>
      <c r="J524" s="201">
        <f t="shared" si="245"/>
        <v>25227.71</v>
      </c>
      <c r="K524" s="93" t="e">
        <f t="shared" si="246"/>
        <v>#REF!</v>
      </c>
      <c r="L524" s="612"/>
    </row>
    <row r="525" spans="2:12" ht="14.1" customHeight="1" outlineLevel="2">
      <c r="B525" s="366">
        <f t="shared" si="236"/>
        <v>6.170214999999998</v>
      </c>
      <c r="C525" s="361" t="s">
        <v>1219</v>
      </c>
      <c r="D525" s="81" t="s">
        <v>36</v>
      </c>
      <c r="E525" s="111">
        <v>21</v>
      </c>
      <c r="F525" s="93"/>
      <c r="G525" s="103">
        <v>451.21</v>
      </c>
      <c r="H525" s="213" t="e">
        <f t="shared" si="244"/>
        <v>#REF!</v>
      </c>
      <c r="I525" s="213">
        <f t="shared" si="227"/>
        <v>0</v>
      </c>
      <c r="J525" s="201">
        <f t="shared" si="245"/>
        <v>9475.41</v>
      </c>
      <c r="K525" s="93" t="e">
        <f t="shared" si="246"/>
        <v>#REF!</v>
      </c>
      <c r="L525" s="612"/>
    </row>
    <row r="526" spans="2:12" ht="14.1" customHeight="1" outlineLevel="2">
      <c r="B526" s="366">
        <f t="shared" si="236"/>
        <v>6.1702159999999981</v>
      </c>
      <c r="C526" s="361" t="s">
        <v>1220</v>
      </c>
      <c r="D526" s="81" t="s">
        <v>36</v>
      </c>
      <c r="E526" s="111">
        <v>1</v>
      </c>
      <c r="F526" s="93"/>
      <c r="G526" s="103">
        <v>530.82000000000005</v>
      </c>
      <c r="H526" s="213" t="e">
        <f t="shared" si="244"/>
        <v>#REF!</v>
      </c>
      <c r="I526" s="213">
        <f t="shared" si="227"/>
        <v>0</v>
      </c>
      <c r="J526" s="201">
        <f t="shared" si="245"/>
        <v>530.82000000000005</v>
      </c>
      <c r="K526" s="93" t="e">
        <f t="shared" si="246"/>
        <v>#REF!</v>
      </c>
      <c r="L526" s="612"/>
    </row>
    <row r="527" spans="2:12" ht="14.1" customHeight="1" outlineLevel="2">
      <c r="B527" s="366">
        <f t="shared" si="236"/>
        <v>6.1702169999999983</v>
      </c>
      <c r="C527" s="361" t="s">
        <v>1221</v>
      </c>
      <c r="D527" s="81" t="s">
        <v>36</v>
      </c>
      <c r="E527" s="111">
        <v>2</v>
      </c>
      <c r="F527" s="93"/>
      <c r="G527" s="103">
        <v>469.48</v>
      </c>
      <c r="H527" s="213" t="e">
        <f t="shared" si="244"/>
        <v>#REF!</v>
      </c>
      <c r="I527" s="213">
        <f t="shared" si="227"/>
        <v>0</v>
      </c>
      <c r="J527" s="201">
        <f t="shared" si="245"/>
        <v>938.96</v>
      </c>
      <c r="K527" s="93" t="e">
        <f t="shared" si="246"/>
        <v>#REF!</v>
      </c>
      <c r="L527" s="612"/>
    </row>
    <row r="528" spans="2:12" ht="14.1" customHeight="1" outlineLevel="2">
      <c r="B528" s="366">
        <f t="shared" si="236"/>
        <v>6.1702179999999984</v>
      </c>
      <c r="C528" s="361" t="s">
        <v>1222</v>
      </c>
      <c r="D528" s="81" t="s">
        <v>36</v>
      </c>
      <c r="E528" s="111">
        <v>2</v>
      </c>
      <c r="F528" s="93"/>
      <c r="G528" s="103">
        <v>617.6</v>
      </c>
      <c r="H528" s="213" t="e">
        <f t="shared" si="244"/>
        <v>#REF!</v>
      </c>
      <c r="I528" s="213">
        <f t="shared" si="227"/>
        <v>0</v>
      </c>
      <c r="J528" s="201">
        <f t="shared" si="245"/>
        <v>1235.2</v>
      </c>
      <c r="K528" s="93" t="e">
        <f t="shared" si="246"/>
        <v>#REF!</v>
      </c>
      <c r="L528" s="612"/>
    </row>
    <row r="529" spans="2:12" ht="14.1" customHeight="1" outlineLevel="2">
      <c r="B529" s="366">
        <f t="shared" si="236"/>
        <v>6.1702189999999986</v>
      </c>
      <c r="C529" s="361" t="s">
        <v>1223</v>
      </c>
      <c r="D529" s="81" t="s">
        <v>36</v>
      </c>
      <c r="E529" s="111">
        <v>1</v>
      </c>
      <c r="F529" s="93"/>
      <c r="G529" s="103">
        <v>344.83</v>
      </c>
      <c r="H529" s="213" t="e">
        <f t="shared" si="244"/>
        <v>#REF!</v>
      </c>
      <c r="I529" s="213">
        <f t="shared" si="227"/>
        <v>0</v>
      </c>
      <c r="J529" s="201">
        <f t="shared" si="245"/>
        <v>344.83</v>
      </c>
      <c r="K529" s="93" t="e">
        <f t="shared" si="246"/>
        <v>#REF!</v>
      </c>
      <c r="L529" s="612"/>
    </row>
    <row r="530" spans="2:12" ht="14.1" customHeight="1" outlineLevel="2">
      <c r="B530" s="366">
        <f t="shared" si="236"/>
        <v>6.1702199999999987</v>
      </c>
      <c r="C530" s="361" t="s">
        <v>1224</v>
      </c>
      <c r="D530" s="81" t="s">
        <v>36</v>
      </c>
      <c r="E530" s="111">
        <v>1</v>
      </c>
      <c r="F530" s="93"/>
      <c r="G530" s="103">
        <v>353.37</v>
      </c>
      <c r="H530" s="213" t="e">
        <f t="shared" ref="H530" si="253">+ROUND(F530+G530*TC,2)</f>
        <v>#REF!</v>
      </c>
      <c r="I530" s="213">
        <f t="shared" si="227"/>
        <v>0</v>
      </c>
      <c r="J530" s="201">
        <f t="shared" ref="J530" si="254">+ROUND(E530*G530,2)</f>
        <v>353.37</v>
      </c>
      <c r="K530" s="93" t="e">
        <f t="shared" ref="K530" si="255">+ROUND(I530+J530*TC,2)</f>
        <v>#REF!</v>
      </c>
      <c r="L530" s="612"/>
    </row>
    <row r="531" spans="2:12" ht="14.1" customHeight="1" outlineLevel="2">
      <c r="B531" s="366">
        <f>B529+0.000001</f>
        <v>6.1702199999999987</v>
      </c>
      <c r="C531" s="361" t="s">
        <v>1225</v>
      </c>
      <c r="D531" s="81" t="s">
        <v>36</v>
      </c>
      <c r="E531" s="111">
        <v>1</v>
      </c>
      <c r="F531" s="93"/>
      <c r="G531" s="103">
        <v>683.58</v>
      </c>
      <c r="H531" s="213" t="e">
        <f t="shared" si="244"/>
        <v>#REF!</v>
      </c>
      <c r="I531" s="213">
        <f t="shared" ref="I531:I590" si="256">+ROUND(E531*F531,2)</f>
        <v>0</v>
      </c>
      <c r="J531" s="201">
        <f t="shared" si="245"/>
        <v>683.58</v>
      </c>
      <c r="K531" s="93" t="e">
        <f t="shared" si="246"/>
        <v>#REF!</v>
      </c>
      <c r="L531" s="612"/>
    </row>
    <row r="532" spans="2:12" ht="14.1" customHeight="1" outlineLevel="2">
      <c r="B532" s="366">
        <f t="shared" si="236"/>
        <v>6.1702209999999988</v>
      </c>
      <c r="C532" s="361" t="s">
        <v>1226</v>
      </c>
      <c r="D532" s="81" t="s">
        <v>36</v>
      </c>
      <c r="E532" s="111">
        <v>3</v>
      </c>
      <c r="F532" s="93"/>
      <c r="G532" s="103">
        <v>384.52</v>
      </c>
      <c r="H532" s="213" t="e">
        <f t="shared" si="244"/>
        <v>#REF!</v>
      </c>
      <c r="I532" s="213">
        <f t="shared" si="256"/>
        <v>0</v>
      </c>
      <c r="J532" s="201">
        <f t="shared" si="245"/>
        <v>1153.56</v>
      </c>
      <c r="K532" s="93" t="e">
        <f t="shared" si="246"/>
        <v>#REF!</v>
      </c>
      <c r="L532" s="612"/>
    </row>
    <row r="533" spans="2:12" ht="14.1" customHeight="1" outlineLevel="2">
      <c r="B533" s="366">
        <f t="shared" si="236"/>
        <v>6.170221999999999</v>
      </c>
      <c r="C533" s="361" t="s">
        <v>1227</v>
      </c>
      <c r="D533" s="81" t="s">
        <v>36</v>
      </c>
      <c r="E533" s="111">
        <v>18</v>
      </c>
      <c r="F533" s="93"/>
      <c r="G533" s="103">
        <v>421.95</v>
      </c>
      <c r="H533" s="213" t="e">
        <f t="shared" si="244"/>
        <v>#REF!</v>
      </c>
      <c r="I533" s="213">
        <f t="shared" si="256"/>
        <v>0</v>
      </c>
      <c r="J533" s="201">
        <f t="shared" si="245"/>
        <v>7595.1</v>
      </c>
      <c r="K533" s="93" t="e">
        <f t="shared" si="246"/>
        <v>#REF!</v>
      </c>
      <c r="L533" s="612"/>
    </row>
    <row r="534" spans="2:12" ht="14.1" customHeight="1" outlineLevel="2">
      <c r="B534" s="366">
        <f t="shared" si="236"/>
        <v>6.1702229999999991</v>
      </c>
      <c r="C534" s="361" t="s">
        <v>1228</v>
      </c>
      <c r="D534" s="81" t="s">
        <v>36</v>
      </c>
      <c r="E534" s="111">
        <v>18</v>
      </c>
      <c r="F534" s="93"/>
      <c r="G534" s="103">
        <v>696</v>
      </c>
      <c r="H534" s="213" t="e">
        <f t="shared" si="244"/>
        <v>#REF!</v>
      </c>
      <c r="I534" s="213">
        <f t="shared" si="256"/>
        <v>0</v>
      </c>
      <c r="J534" s="201">
        <f t="shared" si="245"/>
        <v>12528</v>
      </c>
      <c r="K534" s="93" t="e">
        <f t="shared" si="246"/>
        <v>#REF!</v>
      </c>
      <c r="L534" s="612"/>
    </row>
    <row r="535" spans="2:12" ht="14.1" customHeight="1" outlineLevel="2">
      <c r="B535" s="366">
        <f t="shared" si="236"/>
        <v>6.1702239999999993</v>
      </c>
      <c r="C535" s="361" t="s">
        <v>1229</v>
      </c>
      <c r="D535" s="81" t="s">
        <v>36</v>
      </c>
      <c r="E535" s="111">
        <v>1</v>
      </c>
      <c r="F535" s="93"/>
      <c r="G535" s="103">
        <v>678.79</v>
      </c>
      <c r="H535" s="213" t="e">
        <f t="shared" si="244"/>
        <v>#REF!</v>
      </c>
      <c r="I535" s="213">
        <f t="shared" si="256"/>
        <v>0</v>
      </c>
      <c r="J535" s="201">
        <f t="shared" si="245"/>
        <v>678.79</v>
      </c>
      <c r="K535" s="93" t="e">
        <f t="shared" si="246"/>
        <v>#REF!</v>
      </c>
      <c r="L535" s="612"/>
    </row>
    <row r="536" spans="2:12" ht="14.1" customHeight="1" outlineLevel="2">
      <c r="B536" s="366">
        <f t="shared" si="236"/>
        <v>6.1702249999999994</v>
      </c>
      <c r="C536" s="361" t="s">
        <v>1230</v>
      </c>
      <c r="D536" s="81" t="s">
        <v>36</v>
      </c>
      <c r="E536" s="111">
        <v>1</v>
      </c>
      <c r="F536" s="93"/>
      <c r="G536" s="103">
        <v>601.19000000000005</v>
      </c>
      <c r="H536" s="213" t="e">
        <f t="shared" si="244"/>
        <v>#REF!</v>
      </c>
      <c r="I536" s="213">
        <f t="shared" si="256"/>
        <v>0</v>
      </c>
      <c r="J536" s="201">
        <f t="shared" si="245"/>
        <v>601.19000000000005</v>
      </c>
      <c r="K536" s="93" t="e">
        <f t="shared" si="246"/>
        <v>#REF!</v>
      </c>
      <c r="L536" s="612"/>
    </row>
    <row r="537" spans="2:12" ht="14.1" customHeight="1" outlineLevel="2">
      <c r="B537" s="366">
        <f t="shared" si="236"/>
        <v>6.1702259999999995</v>
      </c>
      <c r="C537" s="361" t="s">
        <v>1231</v>
      </c>
      <c r="D537" s="81" t="s">
        <v>36</v>
      </c>
      <c r="E537" s="111">
        <v>17</v>
      </c>
      <c r="F537" s="93"/>
      <c r="G537" s="103">
        <v>611.61</v>
      </c>
      <c r="H537" s="213" t="e">
        <f t="shared" si="244"/>
        <v>#REF!</v>
      </c>
      <c r="I537" s="213">
        <f t="shared" si="256"/>
        <v>0</v>
      </c>
      <c r="J537" s="201">
        <f t="shared" si="245"/>
        <v>10397.370000000001</v>
      </c>
      <c r="K537" s="93" t="e">
        <f t="shared" si="246"/>
        <v>#REF!</v>
      </c>
      <c r="L537" s="612"/>
    </row>
    <row r="538" spans="2:12" ht="14.1" customHeight="1" outlineLevel="2">
      <c r="B538" s="366">
        <f t="shared" si="236"/>
        <v>6.1702269999999997</v>
      </c>
      <c r="C538" s="361" t="s">
        <v>1232</v>
      </c>
      <c r="D538" s="81" t="s">
        <v>36</v>
      </c>
      <c r="E538" s="111">
        <v>1</v>
      </c>
      <c r="F538" s="93"/>
      <c r="G538" s="103">
        <v>458.62</v>
      </c>
      <c r="H538" s="213" t="e">
        <f t="shared" si="244"/>
        <v>#REF!</v>
      </c>
      <c r="I538" s="213">
        <f t="shared" si="256"/>
        <v>0</v>
      </c>
      <c r="J538" s="201">
        <f t="shared" si="245"/>
        <v>458.62</v>
      </c>
      <c r="K538" s="93" t="e">
        <f t="shared" si="246"/>
        <v>#REF!</v>
      </c>
      <c r="L538" s="612"/>
    </row>
    <row r="539" spans="2:12" ht="14.1" customHeight="1" outlineLevel="2">
      <c r="B539" s="366">
        <f t="shared" si="236"/>
        <v>6.1702279999999998</v>
      </c>
      <c r="C539" s="361" t="s">
        <v>1233</v>
      </c>
      <c r="D539" s="81" t="s">
        <v>36</v>
      </c>
      <c r="E539" s="111">
        <v>1</v>
      </c>
      <c r="F539" s="93"/>
      <c r="G539" s="103">
        <v>604.21</v>
      </c>
      <c r="H539" s="213" t="e">
        <f t="shared" ref="H539:H559" si="257">+ROUND(F539+G539*TC,2)</f>
        <v>#REF!</v>
      </c>
      <c r="I539" s="213">
        <f t="shared" si="256"/>
        <v>0</v>
      </c>
      <c r="J539" s="201">
        <f t="shared" ref="J539:J559" si="258">+ROUND(E539*G539,2)</f>
        <v>604.21</v>
      </c>
      <c r="K539" s="93" t="e">
        <f t="shared" ref="K539:K559" si="259">+ROUND(I539+J539*TC,2)</f>
        <v>#REF!</v>
      </c>
      <c r="L539" s="612"/>
    </row>
    <row r="540" spans="2:12" ht="14.1" customHeight="1" outlineLevel="2">
      <c r="B540" s="366">
        <f t="shared" si="236"/>
        <v>6.170229</v>
      </c>
      <c r="C540" s="361" t="s">
        <v>1234</v>
      </c>
      <c r="D540" s="81" t="s">
        <v>36</v>
      </c>
      <c r="E540" s="111">
        <v>1</v>
      </c>
      <c r="F540" s="93"/>
      <c r="G540" s="103">
        <v>553.19000000000005</v>
      </c>
      <c r="H540" s="213" t="e">
        <f t="shared" si="257"/>
        <v>#REF!</v>
      </c>
      <c r="I540" s="213">
        <f t="shared" si="256"/>
        <v>0</v>
      </c>
      <c r="J540" s="201">
        <f t="shared" si="258"/>
        <v>553.19000000000005</v>
      </c>
      <c r="K540" s="93" t="e">
        <f t="shared" si="259"/>
        <v>#REF!</v>
      </c>
      <c r="L540" s="612"/>
    </row>
    <row r="541" spans="2:12" ht="14.1" customHeight="1" outlineLevel="2">
      <c r="B541" s="366">
        <f t="shared" si="236"/>
        <v>6.1702300000000001</v>
      </c>
      <c r="C541" s="361" t="s">
        <v>1235</v>
      </c>
      <c r="D541" s="81" t="s">
        <v>36</v>
      </c>
      <c r="E541" s="111">
        <v>1</v>
      </c>
      <c r="F541" s="93"/>
      <c r="G541" s="103">
        <v>974.45</v>
      </c>
      <c r="H541" s="213" t="e">
        <f t="shared" si="257"/>
        <v>#REF!</v>
      </c>
      <c r="I541" s="213">
        <f t="shared" si="256"/>
        <v>0</v>
      </c>
      <c r="J541" s="201">
        <f t="shared" si="258"/>
        <v>974.45</v>
      </c>
      <c r="K541" s="93" t="e">
        <f t="shared" si="259"/>
        <v>#REF!</v>
      </c>
      <c r="L541" s="612"/>
    </row>
    <row r="542" spans="2:12" ht="14.1" customHeight="1" outlineLevel="2">
      <c r="B542" s="366">
        <f t="shared" si="236"/>
        <v>6.1702310000000002</v>
      </c>
      <c r="C542" s="361" t="s">
        <v>1236</v>
      </c>
      <c r="D542" s="81" t="s">
        <v>36</v>
      </c>
      <c r="E542" s="111">
        <v>1</v>
      </c>
      <c r="F542" s="93"/>
      <c r="G542" s="103">
        <v>536.88</v>
      </c>
      <c r="H542" s="213" t="e">
        <f t="shared" si="257"/>
        <v>#REF!</v>
      </c>
      <c r="I542" s="213">
        <f t="shared" si="256"/>
        <v>0</v>
      </c>
      <c r="J542" s="201">
        <f t="shared" si="258"/>
        <v>536.88</v>
      </c>
      <c r="K542" s="93" t="e">
        <f t="shared" si="259"/>
        <v>#REF!</v>
      </c>
      <c r="L542" s="612"/>
    </row>
    <row r="543" spans="2:12" ht="14.1" customHeight="1" outlineLevel="2">
      <c r="B543" s="366">
        <f t="shared" si="236"/>
        <v>6.1702320000000004</v>
      </c>
      <c r="C543" s="361" t="s">
        <v>1237</v>
      </c>
      <c r="D543" s="81" t="s">
        <v>36</v>
      </c>
      <c r="E543" s="111">
        <v>1</v>
      </c>
      <c r="F543" s="93"/>
      <c r="G543" s="103">
        <v>278.27</v>
      </c>
      <c r="H543" s="213" t="e">
        <f t="shared" si="257"/>
        <v>#REF!</v>
      </c>
      <c r="I543" s="213">
        <f t="shared" si="256"/>
        <v>0</v>
      </c>
      <c r="J543" s="201">
        <f t="shared" si="258"/>
        <v>278.27</v>
      </c>
      <c r="K543" s="93" t="e">
        <f t="shared" si="259"/>
        <v>#REF!</v>
      </c>
      <c r="L543" s="612"/>
    </row>
    <row r="544" spans="2:12" ht="14.1" customHeight="1" outlineLevel="2">
      <c r="B544" s="366">
        <f t="shared" si="236"/>
        <v>6.1702330000000005</v>
      </c>
      <c r="C544" s="361" t="s">
        <v>1238</v>
      </c>
      <c r="D544" s="81" t="s">
        <v>36</v>
      </c>
      <c r="E544" s="111">
        <v>1</v>
      </c>
      <c r="F544" s="93"/>
      <c r="G544" s="103">
        <v>1308.08</v>
      </c>
      <c r="H544" s="213" t="e">
        <f t="shared" si="257"/>
        <v>#REF!</v>
      </c>
      <c r="I544" s="213">
        <f t="shared" si="256"/>
        <v>0</v>
      </c>
      <c r="J544" s="201">
        <f t="shared" si="258"/>
        <v>1308.08</v>
      </c>
      <c r="K544" s="93" t="e">
        <f t="shared" si="259"/>
        <v>#REF!</v>
      </c>
      <c r="L544" s="612"/>
    </row>
    <row r="545" spans="2:12" ht="14.1" customHeight="1" outlineLevel="2">
      <c r="B545" s="366">
        <f t="shared" si="236"/>
        <v>6.1702340000000007</v>
      </c>
      <c r="C545" s="361" t="s">
        <v>1239</v>
      </c>
      <c r="D545" s="81" t="s">
        <v>36</v>
      </c>
      <c r="E545" s="111">
        <v>12</v>
      </c>
      <c r="F545" s="93"/>
      <c r="G545" s="103">
        <v>434.51</v>
      </c>
      <c r="H545" s="213" t="e">
        <f t="shared" si="257"/>
        <v>#REF!</v>
      </c>
      <c r="I545" s="213">
        <f t="shared" si="256"/>
        <v>0</v>
      </c>
      <c r="J545" s="201">
        <f t="shared" si="258"/>
        <v>5214.12</v>
      </c>
      <c r="K545" s="93" t="e">
        <f t="shared" si="259"/>
        <v>#REF!</v>
      </c>
      <c r="L545" s="612"/>
    </row>
    <row r="546" spans="2:12" ht="14.1" customHeight="1" outlineLevel="2">
      <c r="B546" s="366">
        <f t="shared" si="236"/>
        <v>6.1702350000000008</v>
      </c>
      <c r="C546" s="361" t="s">
        <v>1240</v>
      </c>
      <c r="D546" s="81" t="s">
        <v>36</v>
      </c>
      <c r="E546" s="111">
        <v>1</v>
      </c>
      <c r="F546" s="93"/>
      <c r="G546" s="103">
        <v>734.15</v>
      </c>
      <c r="H546" s="213" t="e">
        <f t="shared" si="257"/>
        <v>#REF!</v>
      </c>
      <c r="I546" s="213">
        <f t="shared" si="256"/>
        <v>0</v>
      </c>
      <c r="J546" s="201">
        <f t="shared" si="258"/>
        <v>734.15</v>
      </c>
      <c r="K546" s="93" t="e">
        <f t="shared" si="259"/>
        <v>#REF!</v>
      </c>
      <c r="L546" s="612"/>
    </row>
    <row r="547" spans="2:12" ht="14.1" customHeight="1" outlineLevel="2">
      <c r="B547" s="366">
        <f t="shared" si="236"/>
        <v>6.1702360000000009</v>
      </c>
      <c r="C547" s="361" t="s">
        <v>1241</v>
      </c>
      <c r="D547" s="81" t="s">
        <v>36</v>
      </c>
      <c r="E547" s="111">
        <v>1</v>
      </c>
      <c r="F547" s="93"/>
      <c r="G547" s="103">
        <v>425.91</v>
      </c>
      <c r="H547" s="213" t="e">
        <f t="shared" si="257"/>
        <v>#REF!</v>
      </c>
      <c r="I547" s="213">
        <f t="shared" si="256"/>
        <v>0</v>
      </c>
      <c r="J547" s="201">
        <f t="shared" si="258"/>
        <v>425.91</v>
      </c>
      <c r="K547" s="93" t="e">
        <f t="shared" si="259"/>
        <v>#REF!</v>
      </c>
      <c r="L547" s="612"/>
    </row>
    <row r="548" spans="2:12" ht="14.1" customHeight="1" outlineLevel="2">
      <c r="B548" s="366">
        <f t="shared" si="236"/>
        <v>6.1702370000000011</v>
      </c>
      <c r="C548" s="361" t="s">
        <v>1242</v>
      </c>
      <c r="D548" s="81" t="s">
        <v>36</v>
      </c>
      <c r="E548" s="111">
        <v>1</v>
      </c>
      <c r="F548" s="93"/>
      <c r="G548" s="103">
        <v>692.99</v>
      </c>
      <c r="H548" s="213" t="e">
        <f t="shared" si="257"/>
        <v>#REF!</v>
      </c>
      <c r="I548" s="213">
        <f t="shared" si="256"/>
        <v>0</v>
      </c>
      <c r="J548" s="201">
        <f t="shared" si="258"/>
        <v>692.99</v>
      </c>
      <c r="K548" s="93" t="e">
        <f t="shared" si="259"/>
        <v>#REF!</v>
      </c>
      <c r="L548" s="612"/>
    </row>
    <row r="549" spans="2:12" ht="14.1" customHeight="1" outlineLevel="2">
      <c r="B549" s="366">
        <f t="shared" si="236"/>
        <v>6.1702380000000012</v>
      </c>
      <c r="C549" s="361" t="s">
        <v>1243</v>
      </c>
      <c r="D549" s="81" t="s">
        <v>36</v>
      </c>
      <c r="E549" s="111">
        <v>1</v>
      </c>
      <c r="F549" s="93"/>
      <c r="G549" s="103">
        <v>520.36</v>
      </c>
      <c r="H549" s="213" t="e">
        <f t="shared" si="257"/>
        <v>#REF!</v>
      </c>
      <c r="I549" s="213">
        <f t="shared" si="256"/>
        <v>0</v>
      </c>
      <c r="J549" s="201">
        <f t="shared" si="258"/>
        <v>520.36</v>
      </c>
      <c r="K549" s="93" t="e">
        <f t="shared" si="259"/>
        <v>#REF!</v>
      </c>
      <c r="L549" s="612"/>
    </row>
    <row r="550" spans="2:12" ht="14.1" customHeight="1" outlineLevel="2">
      <c r="B550" s="366">
        <f t="shared" si="236"/>
        <v>6.1702390000000014</v>
      </c>
      <c r="C550" s="361" t="s">
        <v>1244</v>
      </c>
      <c r="D550" s="81" t="s">
        <v>36</v>
      </c>
      <c r="E550" s="111">
        <v>1</v>
      </c>
      <c r="F550" s="93"/>
      <c r="G550" s="103">
        <v>338.82</v>
      </c>
      <c r="H550" s="213" t="e">
        <f t="shared" si="257"/>
        <v>#REF!</v>
      </c>
      <c r="I550" s="213">
        <f t="shared" si="256"/>
        <v>0</v>
      </c>
      <c r="J550" s="201">
        <f t="shared" si="258"/>
        <v>338.82</v>
      </c>
      <c r="K550" s="93" t="e">
        <f t="shared" si="259"/>
        <v>#REF!</v>
      </c>
      <c r="L550" s="612"/>
    </row>
    <row r="551" spans="2:12" ht="14.1" customHeight="1" outlineLevel="2">
      <c r="B551" s="366">
        <f t="shared" si="236"/>
        <v>6.1702400000000015</v>
      </c>
      <c r="C551" s="361" t="s">
        <v>1245</v>
      </c>
      <c r="D551" s="81" t="s">
        <v>36</v>
      </c>
      <c r="E551" s="111">
        <v>1</v>
      </c>
      <c r="F551" s="93"/>
      <c r="G551" s="103">
        <v>702.24</v>
      </c>
      <c r="H551" s="213" t="e">
        <f t="shared" si="257"/>
        <v>#REF!</v>
      </c>
      <c r="I551" s="213">
        <f t="shared" si="256"/>
        <v>0</v>
      </c>
      <c r="J551" s="201">
        <f t="shared" si="258"/>
        <v>702.24</v>
      </c>
      <c r="K551" s="93" t="e">
        <f t="shared" si="259"/>
        <v>#REF!</v>
      </c>
      <c r="L551" s="612"/>
    </row>
    <row r="552" spans="2:12" ht="14.1" customHeight="1" outlineLevel="2">
      <c r="B552" s="366">
        <f t="shared" si="236"/>
        <v>6.1702410000000016</v>
      </c>
      <c r="C552" s="361" t="s">
        <v>1246</v>
      </c>
      <c r="D552" s="81" t="s">
        <v>36</v>
      </c>
      <c r="E552" s="111">
        <v>1</v>
      </c>
      <c r="F552" s="93"/>
      <c r="G552" s="103">
        <v>726.97</v>
      </c>
      <c r="H552" s="213" t="e">
        <f t="shared" si="257"/>
        <v>#REF!</v>
      </c>
      <c r="I552" s="213">
        <f t="shared" si="256"/>
        <v>0</v>
      </c>
      <c r="J552" s="201">
        <f t="shared" si="258"/>
        <v>726.97</v>
      </c>
      <c r="K552" s="93" t="e">
        <f t="shared" si="259"/>
        <v>#REF!</v>
      </c>
      <c r="L552" s="612"/>
    </row>
    <row r="553" spans="2:12" ht="14.1" customHeight="1" outlineLevel="2">
      <c r="B553" s="366">
        <f t="shared" si="236"/>
        <v>6.1702420000000018</v>
      </c>
      <c r="C553" s="361" t="s">
        <v>1247</v>
      </c>
      <c r="D553" s="81" t="s">
        <v>36</v>
      </c>
      <c r="E553" s="111">
        <v>4</v>
      </c>
      <c r="F553" s="93"/>
      <c r="G553" s="103">
        <v>97.19</v>
      </c>
      <c r="H553" s="213" t="e">
        <f t="shared" si="257"/>
        <v>#REF!</v>
      </c>
      <c r="I553" s="213">
        <f t="shared" si="256"/>
        <v>0</v>
      </c>
      <c r="J553" s="201">
        <f t="shared" si="258"/>
        <v>388.76</v>
      </c>
      <c r="K553" s="93" t="e">
        <f t="shared" si="259"/>
        <v>#REF!</v>
      </c>
      <c r="L553" s="612"/>
    </row>
    <row r="554" spans="2:12" ht="14.1" customHeight="1" outlineLevel="2">
      <c r="B554" s="366">
        <f t="shared" si="236"/>
        <v>6.1702430000000019</v>
      </c>
      <c r="C554" s="361" t="s">
        <v>1248</v>
      </c>
      <c r="D554" s="81" t="s">
        <v>36</v>
      </c>
      <c r="E554" s="111">
        <v>1</v>
      </c>
      <c r="F554" s="93"/>
      <c r="G554" s="103">
        <v>614.4</v>
      </c>
      <c r="H554" s="213" t="e">
        <f t="shared" si="257"/>
        <v>#REF!</v>
      </c>
      <c r="I554" s="213">
        <f t="shared" si="256"/>
        <v>0</v>
      </c>
      <c r="J554" s="201">
        <f t="shared" si="258"/>
        <v>614.4</v>
      </c>
      <c r="K554" s="93" t="e">
        <f t="shared" si="259"/>
        <v>#REF!</v>
      </c>
      <c r="L554" s="612"/>
    </row>
    <row r="555" spans="2:12" ht="14.1" customHeight="1" outlineLevel="2">
      <c r="B555" s="366">
        <f t="shared" si="236"/>
        <v>6.1702440000000021</v>
      </c>
      <c r="C555" s="361" t="s">
        <v>1249</v>
      </c>
      <c r="D555" s="81" t="s">
        <v>36</v>
      </c>
      <c r="E555" s="111">
        <v>1</v>
      </c>
      <c r="F555" s="93"/>
      <c r="G555" s="103">
        <v>650.45000000000005</v>
      </c>
      <c r="H555" s="213" t="e">
        <f t="shared" si="257"/>
        <v>#REF!</v>
      </c>
      <c r="I555" s="213">
        <f t="shared" si="256"/>
        <v>0</v>
      </c>
      <c r="J555" s="201">
        <f t="shared" si="258"/>
        <v>650.45000000000005</v>
      </c>
      <c r="K555" s="93" t="e">
        <f t="shared" si="259"/>
        <v>#REF!</v>
      </c>
      <c r="L555" s="612"/>
    </row>
    <row r="556" spans="2:12" ht="14.1" customHeight="1" outlineLevel="2">
      <c r="B556" s="366">
        <f t="shared" si="236"/>
        <v>6.1702450000000022</v>
      </c>
      <c r="C556" s="361" t="s">
        <v>1250</v>
      </c>
      <c r="D556" s="81" t="s">
        <v>36</v>
      </c>
      <c r="E556" s="111">
        <v>2</v>
      </c>
      <c r="F556" s="93"/>
      <c r="G556" s="103">
        <v>482.36</v>
      </c>
      <c r="H556" s="213" t="e">
        <f t="shared" si="257"/>
        <v>#REF!</v>
      </c>
      <c r="I556" s="213">
        <f t="shared" si="256"/>
        <v>0</v>
      </c>
      <c r="J556" s="201">
        <f t="shared" si="258"/>
        <v>964.72</v>
      </c>
      <c r="K556" s="93" t="e">
        <f t="shared" si="259"/>
        <v>#REF!</v>
      </c>
      <c r="L556" s="612"/>
    </row>
    <row r="557" spans="2:12" ht="14.1" customHeight="1" outlineLevel="2">
      <c r="B557" s="366">
        <f t="shared" si="236"/>
        <v>6.1702460000000023</v>
      </c>
      <c r="C557" s="361" t="s">
        <v>1251</v>
      </c>
      <c r="D557" s="81" t="s">
        <v>36</v>
      </c>
      <c r="E557" s="111">
        <v>1</v>
      </c>
      <c r="F557" s="93"/>
      <c r="G557" s="103">
        <v>301.10000000000002</v>
      </c>
      <c r="H557" s="213" t="e">
        <f t="shared" si="257"/>
        <v>#REF!</v>
      </c>
      <c r="I557" s="213">
        <f t="shared" si="256"/>
        <v>0</v>
      </c>
      <c r="J557" s="201">
        <f t="shared" si="258"/>
        <v>301.10000000000002</v>
      </c>
      <c r="K557" s="93" t="e">
        <f t="shared" si="259"/>
        <v>#REF!</v>
      </c>
      <c r="L557" s="612"/>
    </row>
    <row r="558" spans="2:12" ht="14.1" customHeight="1" outlineLevel="2">
      <c r="B558" s="366">
        <f t="shared" si="236"/>
        <v>6.1702470000000025</v>
      </c>
      <c r="C558" s="361" t="s">
        <v>1252</v>
      </c>
      <c r="D558" s="81" t="s">
        <v>36</v>
      </c>
      <c r="E558" s="111">
        <v>1</v>
      </c>
      <c r="F558" s="93"/>
      <c r="G558" s="103">
        <v>503.72</v>
      </c>
      <c r="H558" s="213" t="e">
        <f t="shared" si="257"/>
        <v>#REF!</v>
      </c>
      <c r="I558" s="213">
        <f t="shared" si="256"/>
        <v>0</v>
      </c>
      <c r="J558" s="201">
        <f t="shared" si="258"/>
        <v>503.72</v>
      </c>
      <c r="K558" s="93" t="e">
        <f t="shared" si="259"/>
        <v>#REF!</v>
      </c>
      <c r="L558" s="612"/>
    </row>
    <row r="559" spans="2:12" ht="14.1" customHeight="1" outlineLevel="2">
      <c r="B559" s="366">
        <f t="shared" si="236"/>
        <v>6.1702480000000026</v>
      </c>
      <c r="C559" s="361" t="s">
        <v>1253</v>
      </c>
      <c r="D559" s="81" t="s">
        <v>36</v>
      </c>
      <c r="E559" s="111">
        <v>1</v>
      </c>
      <c r="F559" s="93"/>
      <c r="G559" s="103">
        <v>185.51</v>
      </c>
      <c r="H559" s="213" t="e">
        <f t="shared" si="257"/>
        <v>#REF!</v>
      </c>
      <c r="I559" s="213">
        <f t="shared" si="256"/>
        <v>0</v>
      </c>
      <c r="J559" s="201">
        <f t="shared" si="258"/>
        <v>185.51</v>
      </c>
      <c r="K559" s="93" t="e">
        <f t="shared" si="259"/>
        <v>#REF!</v>
      </c>
      <c r="L559" s="612"/>
    </row>
    <row r="560" spans="2:12" ht="14.1" customHeight="1" outlineLevel="2">
      <c r="B560" s="366">
        <f t="shared" si="236"/>
        <v>6.1702490000000028</v>
      </c>
      <c r="C560" s="361" t="s">
        <v>1254</v>
      </c>
      <c r="D560" s="81" t="s">
        <v>36</v>
      </c>
      <c r="E560" s="111">
        <v>1</v>
      </c>
      <c r="F560" s="93"/>
      <c r="G560" s="103">
        <v>278</v>
      </c>
      <c r="H560" s="213" t="e">
        <f t="shared" ref="H560" si="260">+ROUND(F560+G560*TC,2)</f>
        <v>#REF!</v>
      </c>
      <c r="I560" s="213">
        <f t="shared" si="256"/>
        <v>0</v>
      </c>
      <c r="J560" s="201">
        <f t="shared" ref="J560:J561" si="261">+ROUND(E560*G560,2)</f>
        <v>278</v>
      </c>
      <c r="K560" s="93" t="e">
        <f t="shared" ref="K560" si="262">+ROUND(I560+J560*TC,2)</f>
        <v>#REF!</v>
      </c>
      <c r="L560" s="612"/>
    </row>
    <row r="561" spans="2:23" ht="14.1" customHeight="1" outlineLevel="2">
      <c r="B561" s="366"/>
      <c r="C561" s="349" t="s">
        <v>1255</v>
      </c>
      <c r="D561" s="81" t="s">
        <v>169</v>
      </c>
      <c r="E561" s="111">
        <v>-128</v>
      </c>
      <c r="F561" s="93"/>
      <c r="G561" s="103">
        <v>117.1</v>
      </c>
      <c r="H561" s="213" t="e">
        <f t="shared" ref="H561" si="263">+ROUND(F561+G561*TC,2)</f>
        <v>#REF!</v>
      </c>
      <c r="I561" s="213">
        <f t="shared" si="256"/>
        <v>0</v>
      </c>
      <c r="J561" s="201">
        <f t="shared" si="261"/>
        <v>-14988.8</v>
      </c>
      <c r="K561" s="93" t="e">
        <f t="shared" ref="K561" si="264">+ROUND(I561+J561*TC,2)</f>
        <v>#REF!</v>
      </c>
      <c r="L561" s="612"/>
      <c r="M561" s="127"/>
      <c r="N561" s="526"/>
      <c r="V561" s="527"/>
      <c r="W561" s="527"/>
    </row>
    <row r="562" spans="2:23" ht="14.1" customHeight="1" outlineLevel="1">
      <c r="B562" s="359">
        <f>B508+0.0001</f>
        <v>6.1702999999999957</v>
      </c>
      <c r="C562" s="342" t="s">
        <v>1256</v>
      </c>
      <c r="D562" s="81"/>
      <c r="E562" s="111"/>
      <c r="F562" s="93" t="s">
        <v>8</v>
      </c>
      <c r="G562" s="103"/>
      <c r="H562" s="213"/>
      <c r="I562" s="213"/>
      <c r="J562" s="201"/>
      <c r="K562" s="93"/>
      <c r="L562" s="614"/>
    </row>
    <row r="563" spans="2:23" ht="14.1" customHeight="1" outlineLevel="3">
      <c r="B563" s="366">
        <f>B562+0.000001</f>
        <v>6.1703009999999958</v>
      </c>
      <c r="C563" s="361" t="s">
        <v>1257</v>
      </c>
      <c r="D563" s="81" t="s">
        <v>46</v>
      </c>
      <c r="E563" s="111">
        <v>350.51</v>
      </c>
      <c r="F563" s="93">
        <v>578.70000000000005</v>
      </c>
      <c r="G563" s="103"/>
      <c r="H563" s="213" t="e">
        <f t="shared" ref="H563:H565" si="265">+ROUND(F563+G563*TC,2)</f>
        <v>#REF!</v>
      </c>
      <c r="I563" s="213">
        <f t="shared" si="256"/>
        <v>202840.14</v>
      </c>
      <c r="J563" s="201">
        <f t="shared" si="245"/>
        <v>0</v>
      </c>
      <c r="K563" s="93" t="e">
        <f t="shared" ref="K563:K565" si="266">+ROUND(I563+J563*TC,2)</f>
        <v>#REF!</v>
      </c>
      <c r="L563" s="612"/>
    </row>
    <row r="564" spans="2:23" ht="14.1" customHeight="1" outlineLevel="3">
      <c r="B564" s="366">
        <f t="shared" ref="B564:B565" si="267">B563+0.000001</f>
        <v>6.170301999999996</v>
      </c>
      <c r="C564" s="361" t="s">
        <v>1258</v>
      </c>
      <c r="D564" s="81" t="s">
        <v>36</v>
      </c>
      <c r="E564" s="111">
        <v>19.510000000000002</v>
      </c>
      <c r="F564" s="93"/>
      <c r="G564" s="103">
        <v>91</v>
      </c>
      <c r="H564" s="213" t="e">
        <f t="shared" si="265"/>
        <v>#REF!</v>
      </c>
      <c r="I564" s="213">
        <f t="shared" si="256"/>
        <v>0</v>
      </c>
      <c r="J564" s="201">
        <f t="shared" si="245"/>
        <v>1775.41</v>
      </c>
      <c r="K564" s="93" t="e">
        <f t="shared" si="266"/>
        <v>#REF!</v>
      </c>
      <c r="L564" s="612"/>
    </row>
    <row r="565" spans="2:23" ht="14.1" customHeight="1" outlineLevel="3">
      <c r="B565" s="366">
        <f t="shared" si="267"/>
        <v>6.1703029999999961</v>
      </c>
      <c r="C565" s="361" t="s">
        <v>1259</v>
      </c>
      <c r="D565" s="81" t="s">
        <v>36</v>
      </c>
      <c r="E565" s="111">
        <v>2.75</v>
      </c>
      <c r="F565" s="93"/>
      <c r="G565" s="103">
        <v>93.500000000000014</v>
      </c>
      <c r="H565" s="213" t="e">
        <f t="shared" si="265"/>
        <v>#REF!</v>
      </c>
      <c r="I565" s="213">
        <f t="shared" si="256"/>
        <v>0</v>
      </c>
      <c r="J565" s="201">
        <f t="shared" si="245"/>
        <v>257.13</v>
      </c>
      <c r="K565" s="93" t="e">
        <f t="shared" si="266"/>
        <v>#REF!</v>
      </c>
      <c r="L565" s="612"/>
    </row>
    <row r="566" spans="2:23" ht="14.1" customHeight="1" outlineLevel="1">
      <c r="B566" s="359">
        <f>B562+0.0001</f>
        <v>6.1703999999999954</v>
      </c>
      <c r="C566" s="342" t="s">
        <v>1260</v>
      </c>
      <c r="D566" s="81"/>
      <c r="E566" s="111"/>
      <c r="F566" s="93"/>
      <c r="G566" s="103"/>
      <c r="H566" s="213"/>
      <c r="I566" s="213">
        <f t="shared" si="256"/>
        <v>0</v>
      </c>
      <c r="J566" s="201"/>
      <c r="K566" s="93"/>
      <c r="L566" s="614"/>
    </row>
    <row r="567" spans="2:23" ht="14.1" customHeight="1" outlineLevel="3">
      <c r="B567" s="366">
        <f t="shared" si="236"/>
        <v>6.1704009999999956</v>
      </c>
      <c r="C567" s="361" t="s">
        <v>1261</v>
      </c>
      <c r="D567" s="81" t="s">
        <v>29</v>
      </c>
      <c r="E567" s="111">
        <v>1</v>
      </c>
      <c r="F567" s="93"/>
      <c r="G567" s="103">
        <v>3150</v>
      </c>
      <c r="H567" s="213" t="e">
        <f>+ROUND(F567+G567*TC,2)</f>
        <v>#REF!</v>
      </c>
      <c r="I567" s="213">
        <f t="shared" si="256"/>
        <v>0</v>
      </c>
      <c r="J567" s="201">
        <f t="shared" si="245"/>
        <v>3150</v>
      </c>
      <c r="K567" s="93" t="e">
        <f>+ROUND(I567+J567*TC,2)</f>
        <v>#REF!</v>
      </c>
      <c r="L567" s="612"/>
    </row>
    <row r="568" spans="2:23" ht="14.1" customHeight="1" outlineLevel="1">
      <c r="B568" s="359">
        <f>B566+0.0001</f>
        <v>6.1704999999999952</v>
      </c>
      <c r="C568" s="342" t="s">
        <v>195</v>
      </c>
      <c r="D568" s="81"/>
      <c r="E568" s="111"/>
      <c r="F568" s="93"/>
      <c r="G568" s="82"/>
      <c r="H568" s="213"/>
      <c r="I568" s="213">
        <f t="shared" si="256"/>
        <v>0</v>
      </c>
      <c r="J568" s="201"/>
      <c r="K568" s="93"/>
      <c r="L568" s="614"/>
    </row>
    <row r="569" spans="2:23" ht="14.1" customHeight="1" outlineLevel="3">
      <c r="B569" s="366">
        <f t="shared" si="236"/>
        <v>6.1705009999999954</v>
      </c>
      <c r="C569" s="361" t="s">
        <v>1262</v>
      </c>
      <c r="D569" s="81" t="s">
        <v>39</v>
      </c>
      <c r="E569" s="111">
        <v>4</v>
      </c>
      <c r="F569" s="93"/>
      <c r="G569" s="103">
        <v>600</v>
      </c>
      <c r="H569" s="213" t="e">
        <f>+ROUND(F569+G569*TC,2)</f>
        <v>#REF!</v>
      </c>
      <c r="I569" s="213">
        <f t="shared" si="256"/>
        <v>0</v>
      </c>
      <c r="J569" s="201">
        <f t="shared" si="245"/>
        <v>2400</v>
      </c>
      <c r="K569" s="93" t="e">
        <f>+ROUND(I569+J569*TC,2)</f>
        <v>#REF!</v>
      </c>
      <c r="L569" s="612"/>
    </row>
    <row r="570" spans="2:23" ht="14.1" customHeight="1" outlineLevel="3">
      <c r="B570" s="366">
        <f t="shared" si="236"/>
        <v>6.1705019999999955</v>
      </c>
      <c r="C570" s="361" t="s">
        <v>1263</v>
      </c>
      <c r="D570" s="81" t="s">
        <v>29</v>
      </c>
      <c r="E570" s="111">
        <v>1</v>
      </c>
      <c r="F570" s="93"/>
      <c r="G570" s="103">
        <v>9005.6</v>
      </c>
      <c r="H570" s="213" t="e">
        <f>+ROUND(F570+G570*TC,2)</f>
        <v>#REF!</v>
      </c>
      <c r="I570" s="213">
        <f t="shared" si="256"/>
        <v>0</v>
      </c>
      <c r="J570" s="201">
        <f t="shared" ref="J570" si="268">+ROUND(E570*G570,2)</f>
        <v>9005.6</v>
      </c>
      <c r="K570" s="93" t="e">
        <f>+ROUND(I570+J570*TC,2)</f>
        <v>#REF!</v>
      </c>
      <c r="L570" s="612"/>
    </row>
    <row r="571" spans="2:23" ht="13.5" customHeight="1">
      <c r="B571" s="218">
        <f>B479+0.01</f>
        <v>6.1799999999999962</v>
      </c>
      <c r="C571" s="508" t="s">
        <v>1264</v>
      </c>
      <c r="D571" s="81"/>
      <c r="E571" s="81"/>
      <c r="F571" s="81"/>
      <c r="G571" s="81"/>
      <c r="H571" s="354"/>
      <c r="I571" s="213">
        <f t="shared" si="256"/>
        <v>0</v>
      </c>
      <c r="J571" s="354"/>
      <c r="K571" s="354"/>
      <c r="L571" s="612" t="e">
        <f>SUM(I571:I577)+SUM(J571:J577)*TC</f>
        <v>#REF!</v>
      </c>
      <c r="M571" s="127" t="e">
        <f>+L571+SUM(K563:K570)</f>
        <v>#REF!</v>
      </c>
    </row>
    <row r="572" spans="2:23" ht="14.1" customHeight="1" outlineLevel="1">
      <c r="B572" s="359">
        <f>B562+0.0001</f>
        <v>6.1703999999999954</v>
      </c>
      <c r="C572" s="342" t="s">
        <v>1265</v>
      </c>
      <c r="D572" s="81"/>
      <c r="E572" s="111"/>
      <c r="F572" s="93" t="s">
        <v>8</v>
      </c>
      <c r="G572" s="103"/>
      <c r="H572" s="213"/>
      <c r="I572" s="213"/>
      <c r="J572" s="201"/>
      <c r="K572" s="93"/>
      <c r="L572" s="343"/>
    </row>
    <row r="573" spans="2:23" ht="14.1" customHeight="1" outlineLevel="3">
      <c r="B573" s="366">
        <f>B572+0.000001</f>
        <v>6.1704009999999956</v>
      </c>
      <c r="C573" s="361" t="s">
        <v>1266</v>
      </c>
      <c r="D573" s="81" t="s">
        <v>46</v>
      </c>
      <c r="E573" s="111">
        <v>156.31</v>
      </c>
      <c r="F573" s="93">
        <v>320</v>
      </c>
      <c r="G573" s="103"/>
      <c r="H573" s="213" t="e">
        <f>+ROUND(F573+G573*TC,2)</f>
        <v>#REF!</v>
      </c>
      <c r="I573" s="213">
        <f t="shared" si="256"/>
        <v>50019.199999999997</v>
      </c>
      <c r="J573" s="201">
        <f t="shared" si="245"/>
        <v>0</v>
      </c>
      <c r="K573" s="93" t="e">
        <f>+ROUND(I573+J573*TC,2)</f>
        <v>#REF!</v>
      </c>
      <c r="L573" s="343"/>
    </row>
    <row r="574" spans="2:23" ht="14.1" customHeight="1" outlineLevel="3">
      <c r="B574" s="366">
        <f>B573+0.000001</f>
        <v>6.1704019999999957</v>
      </c>
      <c r="C574" s="361" t="s">
        <v>1267</v>
      </c>
      <c r="D574" s="81" t="s">
        <v>46</v>
      </c>
      <c r="E574" s="111">
        <v>22.02</v>
      </c>
      <c r="F574" s="93">
        <v>285</v>
      </c>
      <c r="G574" s="103"/>
      <c r="H574" s="213" t="e">
        <f>+ROUND(F574+G574*TC,2)</f>
        <v>#REF!</v>
      </c>
      <c r="I574" s="213">
        <f t="shared" si="256"/>
        <v>6275.7</v>
      </c>
      <c r="J574" s="201">
        <f t="shared" ref="J574" si="269">+ROUND(E574*G574,2)</f>
        <v>0</v>
      </c>
      <c r="K574" s="93" t="e">
        <f>+ROUND(I574+J574*TC,2)</f>
        <v>#REF!</v>
      </c>
      <c r="L574" s="343"/>
    </row>
    <row r="575" spans="2:23" ht="14.1" customHeight="1" outlineLevel="3">
      <c r="B575" s="366">
        <f>B572+0.000001</f>
        <v>6.1704009999999956</v>
      </c>
      <c r="C575" s="361" t="s">
        <v>1268</v>
      </c>
      <c r="D575" s="81" t="s">
        <v>46</v>
      </c>
      <c r="E575" s="111">
        <v>20.96</v>
      </c>
      <c r="F575" s="93">
        <v>190</v>
      </c>
      <c r="G575" s="103"/>
      <c r="H575" s="213" t="e">
        <f>+ROUND(F575+G575*TC,2)</f>
        <v>#REF!</v>
      </c>
      <c r="I575" s="213">
        <f t="shared" si="256"/>
        <v>3982.4</v>
      </c>
      <c r="J575" s="201">
        <f t="shared" ref="J575" si="270">+ROUND(E575*G575,2)</f>
        <v>0</v>
      </c>
      <c r="K575" s="93" t="e">
        <f>+ROUND(I575+J575*TC,2)</f>
        <v>#REF!</v>
      </c>
      <c r="L575" s="343"/>
    </row>
    <row r="576" spans="2:23" ht="14.1" customHeight="1" outlineLevel="3">
      <c r="B576" s="366">
        <f>B573+0.000001</f>
        <v>6.1704019999999957</v>
      </c>
      <c r="C576" s="361" t="s">
        <v>1269</v>
      </c>
      <c r="D576" s="81" t="s">
        <v>46</v>
      </c>
      <c r="E576" s="111">
        <v>38.81</v>
      </c>
      <c r="F576" s="93">
        <v>265</v>
      </c>
      <c r="G576" s="103"/>
      <c r="H576" s="213" t="e">
        <f>+ROUND(F576+G576*TC,2)</f>
        <v>#REF!</v>
      </c>
      <c r="I576" s="213">
        <f t="shared" si="256"/>
        <v>10284.65</v>
      </c>
      <c r="J576" s="201">
        <f t="shared" ref="J576" si="271">+ROUND(E576*G576,2)</f>
        <v>0</v>
      </c>
      <c r="K576" s="93" t="e">
        <f>+ROUND(I576+J576*TC,2)</f>
        <v>#REF!</v>
      </c>
      <c r="L576" s="343"/>
    </row>
    <row r="577" spans="2:13" ht="14.1" customHeight="1" outlineLevel="3">
      <c r="B577" s="366">
        <f>B574+0.000001</f>
        <v>6.1704029999999959</v>
      </c>
      <c r="C577" s="361" t="s">
        <v>1270</v>
      </c>
      <c r="D577" s="81" t="s">
        <v>46</v>
      </c>
      <c r="E577" s="111">
        <v>9.68</v>
      </c>
      <c r="F577" s="93">
        <v>265</v>
      </c>
      <c r="G577" s="103"/>
      <c r="H577" s="213" t="e">
        <f>+ROUND(F577+G577*TC,2)</f>
        <v>#REF!</v>
      </c>
      <c r="I577" s="213">
        <f t="shared" si="256"/>
        <v>2565.1999999999998</v>
      </c>
      <c r="J577" s="201">
        <f t="shared" ref="J577" si="272">+ROUND(E577*G577,2)</f>
        <v>0</v>
      </c>
      <c r="K577" s="93" t="e">
        <f>+ROUND(I577+J577*TC,2)</f>
        <v>#REF!</v>
      </c>
      <c r="L577" s="343"/>
    </row>
    <row r="578" spans="2:13" ht="13.5" customHeight="1">
      <c r="B578" s="218">
        <f>B571+0.01</f>
        <v>6.1899999999999959</v>
      </c>
      <c r="C578" s="508" t="s">
        <v>1271</v>
      </c>
      <c r="D578" s="81"/>
      <c r="E578" s="81"/>
      <c r="F578" s="81"/>
      <c r="G578" s="81"/>
      <c r="H578" s="354"/>
      <c r="I578" s="213">
        <f t="shared" si="256"/>
        <v>0</v>
      </c>
      <c r="J578" s="354"/>
      <c r="K578" s="354"/>
      <c r="L578" s="136" t="e">
        <f>SUM(I578:I581)+SUM(J578:J581)*TC</f>
        <v>#REF!</v>
      </c>
    </row>
    <row r="579" spans="2:13" outlineLevel="1">
      <c r="B579" s="359">
        <f>B578+0.0001</f>
        <v>6.1900999999999957</v>
      </c>
      <c r="C579" s="342" t="s">
        <v>1069</v>
      </c>
      <c r="D579" s="81"/>
      <c r="E579" s="111"/>
      <c r="F579" s="93" t="s">
        <v>8</v>
      </c>
      <c r="G579" s="144"/>
      <c r="H579" s="213"/>
      <c r="I579" s="213"/>
      <c r="J579" s="201"/>
      <c r="K579" s="93"/>
      <c r="L579" s="97"/>
    </row>
    <row r="580" spans="2:13" ht="14.1" customHeight="1" outlineLevel="3">
      <c r="B580" s="366">
        <f>B579+0.000001</f>
        <v>6.1901009999999959</v>
      </c>
      <c r="C580" s="361" t="s">
        <v>1272</v>
      </c>
      <c r="D580" s="81" t="s">
        <v>169</v>
      </c>
      <c r="E580" s="111">
        <v>0</v>
      </c>
      <c r="F580" s="93">
        <v>0</v>
      </c>
      <c r="G580" s="103">
        <v>300</v>
      </c>
      <c r="H580" s="213" t="e">
        <f>+ROUND(F580+G580*TC,2)</f>
        <v>#REF!</v>
      </c>
      <c r="I580" s="213">
        <f t="shared" si="256"/>
        <v>0</v>
      </c>
      <c r="J580" s="201">
        <f t="shared" si="245"/>
        <v>0</v>
      </c>
      <c r="K580" s="93" t="e">
        <f>+ROUND(I580+J580*TC,2)</f>
        <v>#REF!</v>
      </c>
      <c r="L580" s="343"/>
    </row>
    <row r="581" spans="2:13" ht="14.1" customHeight="1" outlineLevel="3">
      <c r="B581" s="366">
        <f>B580+0.000001</f>
        <v>6.190101999999996</v>
      </c>
      <c r="C581" s="361" t="s">
        <v>1273</v>
      </c>
      <c r="D581" s="81" t="s">
        <v>169</v>
      </c>
      <c r="E581" s="111">
        <v>0</v>
      </c>
      <c r="F581" s="93">
        <v>0</v>
      </c>
      <c r="G581" s="103">
        <v>300</v>
      </c>
      <c r="H581" s="213" t="e">
        <f>+ROUND(F581+G581*TC,2)</f>
        <v>#REF!</v>
      </c>
      <c r="I581" s="213">
        <f t="shared" si="256"/>
        <v>0</v>
      </c>
      <c r="J581" s="201">
        <f t="shared" si="245"/>
        <v>0</v>
      </c>
      <c r="K581" s="93" t="e">
        <f>+ROUND(I581+J581*TC,2)</f>
        <v>#REF!</v>
      </c>
      <c r="L581" s="343"/>
    </row>
    <row r="582" spans="2:13" ht="13.5" customHeight="1">
      <c r="B582" s="218">
        <f>B578+0.01</f>
        <v>6.1999999999999957</v>
      </c>
      <c r="C582" s="508" t="s">
        <v>1274</v>
      </c>
      <c r="D582" s="81"/>
      <c r="E582" s="81"/>
      <c r="F582" s="81"/>
      <c r="G582" s="81"/>
      <c r="H582" s="354"/>
      <c r="I582" s="213">
        <f t="shared" si="256"/>
        <v>0</v>
      </c>
      <c r="J582" s="354"/>
      <c r="K582" s="354"/>
      <c r="L582" s="136" t="e">
        <f>SUM(I582:I584)+SUM(J582:J584)*TC</f>
        <v>#REF!</v>
      </c>
    </row>
    <row r="583" spans="2:13" outlineLevel="1">
      <c r="B583" s="364">
        <f>B582+0.0001</f>
        <v>6.2000999999999955</v>
      </c>
      <c r="C583" s="360" t="s">
        <v>1275</v>
      </c>
      <c r="D583" s="81" t="s">
        <v>36</v>
      </c>
      <c r="E583" s="111">
        <v>1</v>
      </c>
      <c r="F583" s="93">
        <v>0</v>
      </c>
      <c r="G583" s="103">
        <v>6694.92</v>
      </c>
      <c r="H583" s="213" t="e">
        <f>+ROUND(F583+G583*TC,2)</f>
        <v>#REF!</v>
      </c>
      <c r="I583" s="213">
        <f t="shared" si="256"/>
        <v>0</v>
      </c>
      <c r="J583" s="201">
        <f t="shared" si="245"/>
        <v>6694.92</v>
      </c>
      <c r="K583" s="93" t="e">
        <f>+ROUND(I583+J583*TC,2)</f>
        <v>#REF!</v>
      </c>
      <c r="L583" s="97"/>
    </row>
    <row r="584" spans="2:13" ht="13.15" customHeight="1" outlineLevel="1">
      <c r="B584" s="364">
        <f>B583+0.0001</f>
        <v>6.2001999999999953</v>
      </c>
      <c r="C584" s="361" t="s">
        <v>1276</v>
      </c>
      <c r="D584" s="81" t="s">
        <v>36</v>
      </c>
      <c r="E584" s="111">
        <v>100</v>
      </c>
      <c r="F584" s="93">
        <v>0</v>
      </c>
      <c r="G584" s="103">
        <v>23.73</v>
      </c>
      <c r="H584" s="213" t="e">
        <f>+ROUND(F584+G584*TC,2)</f>
        <v>#REF!</v>
      </c>
      <c r="I584" s="213">
        <f t="shared" si="256"/>
        <v>0</v>
      </c>
      <c r="J584" s="201">
        <f t="shared" si="245"/>
        <v>2373</v>
      </c>
      <c r="K584" s="93" t="e">
        <f>+ROUND(I584+J584*TC,2)</f>
        <v>#REF!</v>
      </c>
      <c r="L584" s="97"/>
    </row>
    <row r="585" spans="2:13" ht="13.5" customHeight="1">
      <c r="B585" s="218">
        <f>B582+0.01</f>
        <v>6.2099999999999955</v>
      </c>
      <c r="C585" s="508" t="s">
        <v>1277</v>
      </c>
      <c r="D585" s="81"/>
      <c r="E585" s="81"/>
      <c r="F585" s="81"/>
      <c r="G585" s="81"/>
      <c r="H585" s="354"/>
      <c r="I585" s="213">
        <f t="shared" si="256"/>
        <v>0</v>
      </c>
      <c r="J585" s="354"/>
      <c r="K585" s="354"/>
      <c r="L585" s="612" t="e">
        <f>SUM(I585:I629)+SUM(J585:J629)*TC</f>
        <v>#REF!</v>
      </c>
      <c r="M585" s="127" t="e">
        <f>+L585+L630</f>
        <v>#REF!</v>
      </c>
    </row>
    <row r="586" spans="2:13" ht="14.1" customHeight="1" outlineLevel="1">
      <c r="B586" s="359">
        <f>B585+0.0001</f>
        <v>6.2100999999999953</v>
      </c>
      <c r="C586" s="356" t="s">
        <v>927</v>
      </c>
      <c r="D586" s="81"/>
      <c r="E586" s="111"/>
      <c r="F586" s="93"/>
      <c r="G586" s="82"/>
      <c r="H586" s="213"/>
      <c r="I586" s="213">
        <f t="shared" si="256"/>
        <v>0</v>
      </c>
      <c r="J586" s="201"/>
      <c r="K586" s="93"/>
      <c r="L586" s="613"/>
    </row>
    <row r="587" spans="2:13" ht="13.15" customHeight="1" outlineLevel="2">
      <c r="B587" s="366">
        <f>B586+0.000001</f>
        <v>6.2101009999999954</v>
      </c>
      <c r="C587" s="360" t="s">
        <v>1278</v>
      </c>
      <c r="D587" s="81" t="s">
        <v>169</v>
      </c>
      <c r="E587" s="111">
        <v>38.61</v>
      </c>
      <c r="F587" s="93">
        <v>48</v>
      </c>
      <c r="G587" s="103">
        <v>114.4</v>
      </c>
      <c r="H587" s="213" t="e">
        <f t="shared" ref="H587:H592" si="273">+ROUND(F587+G587*TC,2)</f>
        <v>#REF!</v>
      </c>
      <c r="I587" s="213">
        <f t="shared" si="256"/>
        <v>1853.28</v>
      </c>
      <c r="J587" s="201">
        <f t="shared" ref="J587:J654" si="274">+ROUND(E587*G587,2)</f>
        <v>4416.9799999999996</v>
      </c>
      <c r="K587" s="93" t="e">
        <f t="shared" ref="K587:K592" si="275">+ROUND(I587+J587*TC,2)</f>
        <v>#REF!</v>
      </c>
      <c r="L587" s="614"/>
    </row>
    <row r="588" spans="2:13" ht="13.15" customHeight="1" outlineLevel="2">
      <c r="B588" s="366">
        <f t="shared" ref="B588:B590" si="276">B587+0.000001</f>
        <v>6.2101019999999956</v>
      </c>
      <c r="C588" s="360" t="s">
        <v>1279</v>
      </c>
      <c r="D588" s="81" t="s">
        <v>36</v>
      </c>
      <c r="E588" s="111">
        <v>1</v>
      </c>
      <c r="F588" s="93">
        <v>950</v>
      </c>
      <c r="G588" s="144"/>
      <c r="H588" s="213" t="e">
        <f t="shared" si="273"/>
        <v>#REF!</v>
      </c>
      <c r="I588" s="213">
        <f t="shared" si="256"/>
        <v>950</v>
      </c>
      <c r="J588" s="201">
        <f t="shared" si="274"/>
        <v>0</v>
      </c>
      <c r="K588" s="93" t="e">
        <f t="shared" si="275"/>
        <v>#REF!</v>
      </c>
      <c r="L588" s="614"/>
    </row>
    <row r="589" spans="2:13" ht="13.15" customHeight="1" outlineLevel="2">
      <c r="B589" s="366">
        <f t="shared" si="276"/>
        <v>6.2101029999999957</v>
      </c>
      <c r="C589" s="360" t="s">
        <v>1280</v>
      </c>
      <c r="D589" s="81" t="s">
        <v>36</v>
      </c>
      <c r="E589" s="111">
        <v>1</v>
      </c>
      <c r="F589" s="93">
        <v>1600</v>
      </c>
      <c r="G589" s="144"/>
      <c r="H589" s="213" t="e">
        <f t="shared" si="273"/>
        <v>#REF!</v>
      </c>
      <c r="I589" s="213">
        <f t="shared" si="256"/>
        <v>1600</v>
      </c>
      <c r="J589" s="201">
        <f t="shared" ref="J589" si="277">+ROUND(E589*G589,2)</f>
        <v>0</v>
      </c>
      <c r="K589" s="93" t="e">
        <f t="shared" si="275"/>
        <v>#REF!</v>
      </c>
      <c r="L589" s="614"/>
    </row>
    <row r="590" spans="2:13" ht="13.15" customHeight="1" outlineLevel="2">
      <c r="B590" s="366">
        <f t="shared" si="276"/>
        <v>6.2101039999999958</v>
      </c>
      <c r="C590" s="360" t="s">
        <v>1281</v>
      </c>
      <c r="D590" s="81" t="s">
        <v>36</v>
      </c>
      <c r="E590" s="111">
        <v>2</v>
      </c>
      <c r="F590" s="93">
        <v>600</v>
      </c>
      <c r="G590" s="144"/>
      <c r="H590" s="213" t="e">
        <f t="shared" si="273"/>
        <v>#REF!</v>
      </c>
      <c r="I590" s="213">
        <f t="shared" si="256"/>
        <v>1200</v>
      </c>
      <c r="J590" s="201">
        <f t="shared" si="274"/>
        <v>0</v>
      </c>
      <c r="K590" s="93" t="e">
        <f t="shared" si="275"/>
        <v>#REF!</v>
      </c>
      <c r="L590" s="614"/>
    </row>
    <row r="591" spans="2:13" ht="13.15" customHeight="1" outlineLevel="2">
      <c r="B591" s="366">
        <f t="shared" ref="B591:B592" si="278">B590+0.000001</f>
        <v>6.210104999999996</v>
      </c>
      <c r="C591" s="360" t="s">
        <v>1282</v>
      </c>
      <c r="D591" s="81" t="s">
        <v>36</v>
      </c>
      <c r="E591" s="111">
        <v>7</v>
      </c>
      <c r="F591" s="93">
        <v>600</v>
      </c>
      <c r="G591" s="144"/>
      <c r="H591" s="213" t="e">
        <f t="shared" si="273"/>
        <v>#REF!</v>
      </c>
      <c r="I591" s="213">
        <f t="shared" ref="I591:I654" si="279">+ROUND(E591*F591,2)</f>
        <v>4200</v>
      </c>
      <c r="J591" s="201">
        <f t="shared" ref="J591:J592" si="280">+ROUND(E591*G591,2)</f>
        <v>0</v>
      </c>
      <c r="K591" s="93" t="e">
        <f t="shared" si="275"/>
        <v>#REF!</v>
      </c>
      <c r="L591" s="614"/>
    </row>
    <row r="592" spans="2:13" ht="13.15" customHeight="1" outlineLevel="2">
      <c r="B592" s="366">
        <f t="shared" si="278"/>
        <v>6.2101059999999961</v>
      </c>
      <c r="C592" s="360" t="s">
        <v>1283</v>
      </c>
      <c r="D592" s="81" t="s">
        <v>36</v>
      </c>
      <c r="E592" s="111">
        <v>2</v>
      </c>
      <c r="F592" s="93">
        <v>500</v>
      </c>
      <c r="G592" s="144"/>
      <c r="H592" s="213" t="e">
        <f t="shared" si="273"/>
        <v>#REF!</v>
      </c>
      <c r="I592" s="213">
        <f t="shared" si="279"/>
        <v>1000</v>
      </c>
      <c r="J592" s="201">
        <f t="shared" si="280"/>
        <v>0</v>
      </c>
      <c r="K592" s="93" t="e">
        <f t="shared" si="275"/>
        <v>#REF!</v>
      </c>
      <c r="L592" s="614"/>
    </row>
    <row r="593" spans="2:12" ht="14.1" customHeight="1" outlineLevel="1">
      <c r="B593" s="359">
        <f>B586+0.0001</f>
        <v>6.2101999999999951</v>
      </c>
      <c r="C593" s="356" t="s">
        <v>1284</v>
      </c>
      <c r="D593" s="81"/>
      <c r="E593" s="111"/>
      <c r="F593" s="93"/>
      <c r="G593" s="82"/>
      <c r="H593" s="213"/>
      <c r="I593" s="213">
        <f t="shared" si="279"/>
        <v>0</v>
      </c>
      <c r="J593" s="201"/>
      <c r="K593" s="93"/>
      <c r="L593" s="613"/>
    </row>
    <row r="594" spans="2:12" ht="14.1" customHeight="1" outlineLevel="2">
      <c r="B594" s="344">
        <f>B593+0.000001</f>
        <v>6.2102009999999952</v>
      </c>
      <c r="C594" s="352" t="s">
        <v>1285</v>
      </c>
      <c r="D594" s="81"/>
      <c r="E594" s="111"/>
      <c r="F594" s="93"/>
      <c r="G594" s="82"/>
      <c r="H594" s="213"/>
      <c r="I594" s="213">
        <f t="shared" si="279"/>
        <v>0</v>
      </c>
      <c r="J594" s="201"/>
      <c r="K594" s="93"/>
      <c r="L594" s="612"/>
    </row>
    <row r="595" spans="2:12" ht="13.15" customHeight="1" outlineLevel="3">
      <c r="B595" s="346">
        <f>B594+0.00000001</f>
        <v>6.2102010099999951</v>
      </c>
      <c r="C595" s="360" t="s">
        <v>1286</v>
      </c>
      <c r="D595" s="81" t="s">
        <v>46</v>
      </c>
      <c r="E595" s="111">
        <v>339.41</v>
      </c>
      <c r="F595" s="93">
        <v>120</v>
      </c>
      <c r="G595" s="144"/>
      <c r="H595" s="213" t="e">
        <f>+ROUND(F595+G595*TC,2)</f>
        <v>#REF!</v>
      </c>
      <c r="I595" s="213">
        <f t="shared" si="279"/>
        <v>40729.199999999997</v>
      </c>
      <c r="J595" s="201">
        <f t="shared" si="274"/>
        <v>0</v>
      </c>
      <c r="K595" s="93" t="e">
        <f>+ROUND(I595+J595*TC,2)</f>
        <v>#REF!</v>
      </c>
      <c r="L595" s="614"/>
    </row>
    <row r="596" spans="2:12" ht="13.15" customHeight="1" outlineLevel="3">
      <c r="B596" s="346">
        <f>B595+0.00000001</f>
        <v>6.2102010199999951</v>
      </c>
      <c r="C596" s="360" t="s">
        <v>1287</v>
      </c>
      <c r="D596" s="81" t="s">
        <v>46</v>
      </c>
      <c r="E596" s="111">
        <v>185.75</v>
      </c>
      <c r="F596" s="93">
        <v>300</v>
      </c>
      <c r="G596" s="144"/>
      <c r="H596" s="213" t="e">
        <f>+ROUND(F596+G596*TC,2)</f>
        <v>#REF!</v>
      </c>
      <c r="I596" s="213">
        <f t="shared" si="279"/>
        <v>55725</v>
      </c>
      <c r="J596" s="201">
        <f t="shared" si="274"/>
        <v>0</v>
      </c>
      <c r="K596" s="93" t="e">
        <f>+ROUND(I596+J596*TC,2)</f>
        <v>#REF!</v>
      </c>
      <c r="L596" s="614"/>
    </row>
    <row r="597" spans="2:12" ht="14.1" customHeight="1" outlineLevel="2">
      <c r="B597" s="344">
        <f>B594+0.000001</f>
        <v>6.2102019999999953</v>
      </c>
      <c r="C597" s="352" t="s">
        <v>1288</v>
      </c>
      <c r="D597" s="81"/>
      <c r="E597" s="111"/>
      <c r="F597" s="93"/>
      <c r="G597" s="82"/>
      <c r="H597" s="213"/>
      <c r="I597" s="213">
        <f t="shared" si="279"/>
        <v>0</v>
      </c>
      <c r="J597" s="201"/>
      <c r="K597" s="93"/>
      <c r="L597" s="612"/>
    </row>
    <row r="598" spans="2:12" ht="13.15" customHeight="1" outlineLevel="3">
      <c r="B598" s="143">
        <f>B597+0.000001</f>
        <v>6.2102029999999955</v>
      </c>
      <c r="C598" s="360" t="s">
        <v>1289</v>
      </c>
      <c r="D598" s="81" t="s">
        <v>46</v>
      </c>
      <c r="E598" s="111">
        <v>6.42</v>
      </c>
      <c r="F598" s="93">
        <v>450</v>
      </c>
      <c r="G598" s="144"/>
      <c r="H598" s="213" t="e">
        <f>+ROUND(F598+G598*TC,2)</f>
        <v>#REF!</v>
      </c>
      <c r="I598" s="213">
        <f t="shared" si="279"/>
        <v>2889</v>
      </c>
      <c r="J598" s="201">
        <f t="shared" si="274"/>
        <v>0</v>
      </c>
      <c r="K598" s="93" t="e">
        <f>+ROUND(I598+J598*TC,2)</f>
        <v>#REF!</v>
      </c>
      <c r="L598" s="614"/>
    </row>
    <row r="599" spans="2:12" ht="14.1" customHeight="1" outlineLevel="1">
      <c r="B599" s="359">
        <f>B593+0.0001</f>
        <v>6.2102999999999948</v>
      </c>
      <c r="C599" s="356" t="s">
        <v>1290</v>
      </c>
      <c r="D599" s="81"/>
      <c r="E599" s="111"/>
      <c r="F599" s="93"/>
      <c r="G599" s="82"/>
      <c r="H599" s="213"/>
      <c r="I599" s="213">
        <f t="shared" si="279"/>
        <v>0</v>
      </c>
      <c r="J599" s="201"/>
      <c r="K599" s="93"/>
      <c r="L599" s="613"/>
    </row>
    <row r="600" spans="2:12" ht="13.15" customHeight="1" outlineLevel="2">
      <c r="B600" s="143">
        <f>B599+0.000001</f>
        <v>6.210300999999995</v>
      </c>
      <c r="C600" s="360" t="s">
        <v>1291</v>
      </c>
      <c r="D600" s="81" t="s">
        <v>36</v>
      </c>
      <c r="E600" s="111">
        <v>1</v>
      </c>
      <c r="F600" s="93">
        <v>2600</v>
      </c>
      <c r="G600" s="144"/>
      <c r="H600" s="213" t="e">
        <f t="shared" ref="H600:H615" si="281">+ROUND(F600+G600*TC,2)</f>
        <v>#REF!</v>
      </c>
      <c r="I600" s="213">
        <f t="shared" si="279"/>
        <v>2600</v>
      </c>
      <c r="J600" s="201">
        <f t="shared" si="274"/>
        <v>0</v>
      </c>
      <c r="K600" s="93" t="e">
        <f t="shared" ref="K600:K615" si="282">+ROUND(I600+J600*TC,2)</f>
        <v>#REF!</v>
      </c>
      <c r="L600" s="614"/>
    </row>
    <row r="601" spans="2:12" ht="13.15" customHeight="1" outlineLevel="2">
      <c r="B601" s="143">
        <f t="shared" ref="B601:B629" si="283">B600+0.000001</f>
        <v>6.2103019999999951</v>
      </c>
      <c r="C601" s="360" t="s">
        <v>1292</v>
      </c>
      <c r="D601" s="81" t="s">
        <v>36</v>
      </c>
      <c r="E601" s="111">
        <v>1</v>
      </c>
      <c r="F601" s="93">
        <v>550</v>
      </c>
      <c r="G601" s="144"/>
      <c r="H601" s="329" t="e">
        <f t="shared" si="281"/>
        <v>#REF!</v>
      </c>
      <c r="I601" s="213">
        <f t="shared" si="279"/>
        <v>550</v>
      </c>
      <c r="J601" s="201">
        <f t="shared" si="274"/>
        <v>0</v>
      </c>
      <c r="K601" s="93" t="e">
        <f t="shared" si="282"/>
        <v>#REF!</v>
      </c>
      <c r="L601" s="614"/>
    </row>
    <row r="602" spans="2:12" ht="13.15" customHeight="1" outlineLevel="2">
      <c r="B602" s="143">
        <f t="shared" si="283"/>
        <v>6.2103029999999952</v>
      </c>
      <c r="C602" s="360" t="s">
        <v>1293</v>
      </c>
      <c r="D602" s="81" t="s">
        <v>36</v>
      </c>
      <c r="E602" s="111">
        <v>1</v>
      </c>
      <c r="F602" s="93">
        <v>1200</v>
      </c>
      <c r="G602" s="144"/>
      <c r="H602" s="329" t="e">
        <f t="shared" si="281"/>
        <v>#REF!</v>
      </c>
      <c r="I602" s="213">
        <f t="shared" si="279"/>
        <v>1200</v>
      </c>
      <c r="J602" s="201">
        <f t="shared" ref="J602:J603" si="284">+ROUND(E602*G602,2)</f>
        <v>0</v>
      </c>
      <c r="K602" s="93" t="e">
        <f t="shared" si="282"/>
        <v>#REF!</v>
      </c>
      <c r="L602" s="614"/>
    </row>
    <row r="603" spans="2:12" ht="13.15" customHeight="1" outlineLevel="2">
      <c r="B603" s="143">
        <f t="shared" si="283"/>
        <v>6.2103039999999954</v>
      </c>
      <c r="C603" s="360" t="s">
        <v>1294</v>
      </c>
      <c r="D603" s="81" t="s">
        <v>36</v>
      </c>
      <c r="E603" s="111">
        <v>1</v>
      </c>
      <c r="F603" s="93">
        <v>1350</v>
      </c>
      <c r="G603" s="144"/>
      <c r="H603" s="329" t="e">
        <f t="shared" si="281"/>
        <v>#REF!</v>
      </c>
      <c r="I603" s="213">
        <f t="shared" si="279"/>
        <v>1350</v>
      </c>
      <c r="J603" s="201">
        <f t="shared" si="284"/>
        <v>0</v>
      </c>
      <c r="K603" s="93" t="e">
        <f t="shared" si="282"/>
        <v>#REF!</v>
      </c>
      <c r="L603" s="614"/>
    </row>
    <row r="604" spans="2:12" ht="13.15" customHeight="1" outlineLevel="2">
      <c r="B604" s="143">
        <f t="shared" si="283"/>
        <v>6.2103049999999955</v>
      </c>
      <c r="C604" s="360" t="s">
        <v>1295</v>
      </c>
      <c r="D604" s="81" t="s">
        <v>36</v>
      </c>
      <c r="E604" s="111">
        <v>2</v>
      </c>
      <c r="F604" s="93">
        <v>500</v>
      </c>
      <c r="G604" s="144"/>
      <c r="H604" s="329" t="e">
        <f t="shared" si="281"/>
        <v>#REF!</v>
      </c>
      <c r="I604" s="213">
        <f t="shared" si="279"/>
        <v>1000</v>
      </c>
      <c r="J604" s="201">
        <f t="shared" ref="J604:J606" si="285">+ROUND(E604*G604,2)</f>
        <v>0</v>
      </c>
      <c r="K604" s="93" t="e">
        <f t="shared" si="282"/>
        <v>#REF!</v>
      </c>
      <c r="L604" s="614"/>
    </row>
    <row r="605" spans="2:12" ht="13.15" customHeight="1" outlineLevel="2">
      <c r="B605" s="143">
        <f t="shared" si="283"/>
        <v>6.2103059999999957</v>
      </c>
      <c r="C605" s="360" t="s">
        <v>1296</v>
      </c>
      <c r="D605" s="81" t="s">
        <v>36</v>
      </c>
      <c r="E605" s="111">
        <v>1</v>
      </c>
      <c r="F605" s="93">
        <v>500</v>
      </c>
      <c r="G605" s="144"/>
      <c r="H605" s="329" t="e">
        <f t="shared" si="281"/>
        <v>#REF!</v>
      </c>
      <c r="I605" s="213">
        <f t="shared" si="279"/>
        <v>500</v>
      </c>
      <c r="J605" s="201">
        <f t="shared" si="285"/>
        <v>0</v>
      </c>
      <c r="K605" s="93" t="e">
        <f t="shared" si="282"/>
        <v>#REF!</v>
      </c>
      <c r="L605" s="614"/>
    </row>
    <row r="606" spans="2:12" ht="13.15" customHeight="1" outlineLevel="2">
      <c r="B606" s="143">
        <f t="shared" si="283"/>
        <v>6.2103069999999958</v>
      </c>
      <c r="C606" s="360" t="s">
        <v>1297</v>
      </c>
      <c r="D606" s="81" t="s">
        <v>36</v>
      </c>
      <c r="E606" s="111">
        <v>1</v>
      </c>
      <c r="F606" s="93">
        <v>650</v>
      </c>
      <c r="G606" s="144"/>
      <c r="H606" s="329" t="e">
        <f t="shared" si="281"/>
        <v>#REF!</v>
      </c>
      <c r="I606" s="213">
        <f t="shared" si="279"/>
        <v>650</v>
      </c>
      <c r="J606" s="201">
        <f t="shared" si="285"/>
        <v>0</v>
      </c>
      <c r="K606" s="93" t="e">
        <f t="shared" si="282"/>
        <v>#REF!</v>
      </c>
      <c r="L606" s="614"/>
    </row>
    <row r="607" spans="2:12" ht="13.15" customHeight="1" outlineLevel="2">
      <c r="B607" s="143">
        <f t="shared" si="283"/>
        <v>6.2103079999999959</v>
      </c>
      <c r="C607" s="360" t="s">
        <v>1298</v>
      </c>
      <c r="D607" s="81" t="s">
        <v>36</v>
      </c>
      <c r="E607" s="111">
        <v>1</v>
      </c>
      <c r="F607" s="93">
        <v>750</v>
      </c>
      <c r="G607" s="144"/>
      <c r="H607" s="329" t="e">
        <f t="shared" si="281"/>
        <v>#REF!</v>
      </c>
      <c r="I607" s="213">
        <f t="shared" si="279"/>
        <v>750</v>
      </c>
      <c r="J607" s="201">
        <f t="shared" ref="J607:J610" si="286">+ROUND(E607*G607,2)</f>
        <v>0</v>
      </c>
      <c r="K607" s="93" t="e">
        <f t="shared" si="282"/>
        <v>#REF!</v>
      </c>
      <c r="L607" s="614"/>
    </row>
    <row r="608" spans="2:12" ht="13.15" customHeight="1" outlineLevel="2">
      <c r="B608" s="143">
        <f t="shared" si="283"/>
        <v>6.2103089999999961</v>
      </c>
      <c r="C608" s="360" t="s">
        <v>1299</v>
      </c>
      <c r="D608" s="81" t="s">
        <v>36</v>
      </c>
      <c r="E608" s="111">
        <v>1</v>
      </c>
      <c r="F608" s="93">
        <v>600</v>
      </c>
      <c r="G608" s="144"/>
      <c r="H608" s="329" t="e">
        <f t="shared" si="281"/>
        <v>#REF!</v>
      </c>
      <c r="I608" s="213">
        <f t="shared" si="279"/>
        <v>600</v>
      </c>
      <c r="J608" s="201">
        <f t="shared" si="286"/>
        <v>0</v>
      </c>
      <c r="K608" s="93" t="e">
        <f t="shared" si="282"/>
        <v>#REF!</v>
      </c>
      <c r="L608" s="614"/>
    </row>
    <row r="609" spans="2:12" ht="13.15" customHeight="1" outlineLevel="2">
      <c r="B609" s="143">
        <f t="shared" si="283"/>
        <v>6.2103099999999962</v>
      </c>
      <c r="C609" s="360" t="s">
        <v>1300</v>
      </c>
      <c r="D609" s="81" t="s">
        <v>36</v>
      </c>
      <c r="E609" s="111">
        <v>1</v>
      </c>
      <c r="F609" s="93">
        <v>500</v>
      </c>
      <c r="G609" s="144"/>
      <c r="H609" s="329" t="e">
        <f t="shared" si="281"/>
        <v>#REF!</v>
      </c>
      <c r="I609" s="213">
        <f t="shared" si="279"/>
        <v>500</v>
      </c>
      <c r="J609" s="201">
        <f t="shared" si="286"/>
        <v>0</v>
      </c>
      <c r="K609" s="93" t="e">
        <f t="shared" si="282"/>
        <v>#REF!</v>
      </c>
      <c r="L609" s="614"/>
    </row>
    <row r="610" spans="2:12" ht="13.15" customHeight="1" outlineLevel="2">
      <c r="B610" s="143">
        <f t="shared" si="283"/>
        <v>6.2103109999999964</v>
      </c>
      <c r="C610" s="360" t="s">
        <v>1301</v>
      </c>
      <c r="D610" s="81" t="s">
        <v>36</v>
      </c>
      <c r="E610" s="111">
        <v>1</v>
      </c>
      <c r="F610" s="93">
        <v>500</v>
      </c>
      <c r="G610" s="144"/>
      <c r="H610" s="329" t="e">
        <f t="shared" si="281"/>
        <v>#REF!</v>
      </c>
      <c r="I610" s="213">
        <f t="shared" si="279"/>
        <v>500</v>
      </c>
      <c r="J610" s="201">
        <f t="shared" si="286"/>
        <v>0</v>
      </c>
      <c r="K610" s="93" t="e">
        <f t="shared" si="282"/>
        <v>#REF!</v>
      </c>
      <c r="L610" s="614"/>
    </row>
    <row r="611" spans="2:12" ht="13.15" customHeight="1" outlineLevel="2">
      <c r="B611" s="143">
        <f t="shared" si="283"/>
        <v>6.2103119999999965</v>
      </c>
      <c r="C611" s="360" t="s">
        <v>1302</v>
      </c>
      <c r="D611" s="81" t="s">
        <v>36</v>
      </c>
      <c r="E611" s="111">
        <v>1</v>
      </c>
      <c r="F611" s="93">
        <v>450</v>
      </c>
      <c r="G611" s="144"/>
      <c r="H611" s="329" t="e">
        <f t="shared" si="281"/>
        <v>#REF!</v>
      </c>
      <c r="I611" s="213">
        <f t="shared" si="279"/>
        <v>450</v>
      </c>
      <c r="J611" s="201">
        <f t="shared" ref="J611:J615" si="287">+ROUND(E611*G611,2)</f>
        <v>0</v>
      </c>
      <c r="K611" s="93" t="e">
        <f t="shared" si="282"/>
        <v>#REF!</v>
      </c>
      <c r="L611" s="614"/>
    </row>
    <row r="612" spans="2:12" ht="13.15" customHeight="1" outlineLevel="2">
      <c r="B612" s="143">
        <f t="shared" si="283"/>
        <v>6.2103129999999966</v>
      </c>
      <c r="C612" s="360" t="s">
        <v>1303</v>
      </c>
      <c r="D612" s="81" t="s">
        <v>36</v>
      </c>
      <c r="E612" s="111">
        <v>1</v>
      </c>
      <c r="F612" s="93">
        <v>900</v>
      </c>
      <c r="G612" s="144"/>
      <c r="H612" s="329" t="e">
        <f t="shared" si="281"/>
        <v>#REF!</v>
      </c>
      <c r="I612" s="213">
        <f t="shared" si="279"/>
        <v>900</v>
      </c>
      <c r="J612" s="201">
        <f t="shared" si="287"/>
        <v>0</v>
      </c>
      <c r="K612" s="93" t="e">
        <f t="shared" si="282"/>
        <v>#REF!</v>
      </c>
      <c r="L612" s="614"/>
    </row>
    <row r="613" spans="2:12" ht="13.15" customHeight="1" outlineLevel="2">
      <c r="B613" s="143">
        <f t="shared" si="283"/>
        <v>6.2103139999999968</v>
      </c>
      <c r="C613" s="360" t="s">
        <v>1304</v>
      </c>
      <c r="D613" s="81" t="s">
        <v>36</v>
      </c>
      <c r="E613" s="111">
        <v>1</v>
      </c>
      <c r="F613" s="93">
        <v>450</v>
      </c>
      <c r="G613" s="144"/>
      <c r="H613" s="329" t="e">
        <f t="shared" si="281"/>
        <v>#REF!</v>
      </c>
      <c r="I613" s="213">
        <f t="shared" si="279"/>
        <v>450</v>
      </c>
      <c r="J613" s="201">
        <f t="shared" si="287"/>
        <v>0</v>
      </c>
      <c r="K613" s="93" t="e">
        <f t="shared" si="282"/>
        <v>#REF!</v>
      </c>
      <c r="L613" s="614"/>
    </row>
    <row r="614" spans="2:12" ht="13.15" customHeight="1" outlineLevel="2">
      <c r="B614" s="143">
        <f t="shared" si="283"/>
        <v>6.2103149999999969</v>
      </c>
      <c r="C614" s="360" t="s">
        <v>1305</v>
      </c>
      <c r="D614" s="81" t="s">
        <v>36</v>
      </c>
      <c r="E614" s="111">
        <v>1</v>
      </c>
      <c r="F614" s="93">
        <v>650</v>
      </c>
      <c r="G614" s="144"/>
      <c r="H614" s="329" t="e">
        <f t="shared" si="281"/>
        <v>#REF!</v>
      </c>
      <c r="I614" s="213">
        <f t="shared" si="279"/>
        <v>650</v>
      </c>
      <c r="J614" s="201">
        <f t="shared" si="287"/>
        <v>0</v>
      </c>
      <c r="K614" s="93" t="e">
        <f t="shared" si="282"/>
        <v>#REF!</v>
      </c>
      <c r="L614" s="614"/>
    </row>
    <row r="615" spans="2:12" ht="13.15" customHeight="1" outlineLevel="2">
      <c r="B615" s="143">
        <f t="shared" si="283"/>
        <v>6.2103159999999971</v>
      </c>
      <c r="C615" s="360" t="s">
        <v>1306</v>
      </c>
      <c r="D615" s="81" t="s">
        <v>36</v>
      </c>
      <c r="E615" s="111">
        <v>1</v>
      </c>
      <c r="F615" s="93">
        <v>650</v>
      </c>
      <c r="G615" s="144"/>
      <c r="H615" s="329" t="e">
        <f t="shared" si="281"/>
        <v>#REF!</v>
      </c>
      <c r="I615" s="213">
        <f t="shared" si="279"/>
        <v>650</v>
      </c>
      <c r="J615" s="201">
        <f t="shared" si="287"/>
        <v>0</v>
      </c>
      <c r="K615" s="93" t="e">
        <f t="shared" si="282"/>
        <v>#REF!</v>
      </c>
      <c r="L615" s="614"/>
    </row>
    <row r="616" spans="2:12" ht="14.1" customHeight="1" outlineLevel="1">
      <c r="B616" s="359">
        <f>B599+0.0001</f>
        <v>6.2103999999999946</v>
      </c>
      <c r="C616" s="356" t="s">
        <v>1307</v>
      </c>
      <c r="D616" s="81"/>
      <c r="E616" s="111"/>
      <c r="F616" s="93"/>
      <c r="G616" s="82"/>
      <c r="H616" s="213"/>
      <c r="I616" s="213">
        <f t="shared" si="279"/>
        <v>0</v>
      </c>
      <c r="J616" s="201"/>
      <c r="K616" s="93"/>
      <c r="L616" s="614"/>
    </row>
    <row r="617" spans="2:12" ht="13.15" customHeight="1" outlineLevel="2">
      <c r="B617" s="143">
        <f>B616+0.000001</f>
        <v>6.2104009999999947</v>
      </c>
      <c r="C617" s="360" t="s">
        <v>1308</v>
      </c>
      <c r="D617" s="81" t="s">
        <v>36</v>
      </c>
      <c r="E617" s="111">
        <v>1</v>
      </c>
      <c r="F617" s="93">
        <v>1500</v>
      </c>
      <c r="G617" s="144"/>
      <c r="H617" s="213" t="e">
        <f>+ROUND(F617+G617*TC,2)</f>
        <v>#REF!</v>
      </c>
      <c r="I617" s="213">
        <f t="shared" si="279"/>
        <v>1500</v>
      </c>
      <c r="J617" s="201">
        <f t="shared" si="274"/>
        <v>0</v>
      </c>
      <c r="K617" s="93" t="e">
        <f>+ROUND(I617+J617*TC,2)</f>
        <v>#REF!</v>
      </c>
      <c r="L617" s="614"/>
    </row>
    <row r="618" spans="2:12" ht="14.1" customHeight="1" outlineLevel="1">
      <c r="B618" s="359">
        <f>B616+0.0001</f>
        <v>6.2104999999999944</v>
      </c>
      <c r="C618" s="356" t="s">
        <v>1309</v>
      </c>
      <c r="D618" s="81"/>
      <c r="E618" s="111"/>
      <c r="F618" s="93"/>
      <c r="G618" s="82"/>
      <c r="H618" s="213"/>
      <c r="I618" s="213">
        <f t="shared" si="279"/>
        <v>0</v>
      </c>
      <c r="J618" s="201"/>
      <c r="K618" s="93"/>
      <c r="L618" s="614"/>
    </row>
    <row r="619" spans="2:12" ht="13.15" customHeight="1" outlineLevel="2">
      <c r="B619" s="143">
        <f t="shared" si="283"/>
        <v>6.2105009999999945</v>
      </c>
      <c r="C619" s="360" t="s">
        <v>1310</v>
      </c>
      <c r="D619" s="81" t="s">
        <v>36</v>
      </c>
      <c r="E619" s="111">
        <v>2</v>
      </c>
      <c r="F619" s="93">
        <v>2000</v>
      </c>
      <c r="G619" s="144"/>
      <c r="H619" s="213" t="e">
        <f>+ROUND(F619+G619*TC,2)</f>
        <v>#REF!</v>
      </c>
      <c r="I619" s="213">
        <f t="shared" si="279"/>
        <v>4000</v>
      </c>
      <c r="J619" s="201">
        <f t="shared" si="274"/>
        <v>0</v>
      </c>
      <c r="K619" s="93" t="e">
        <f>+ROUND(I619+J619*TC,2)</f>
        <v>#REF!</v>
      </c>
      <c r="L619" s="614"/>
    </row>
    <row r="620" spans="2:12" ht="13.15" customHeight="1" outlineLevel="2">
      <c r="B620" s="143">
        <f t="shared" si="283"/>
        <v>6.2105019999999946</v>
      </c>
      <c r="C620" s="360" t="s">
        <v>1311</v>
      </c>
      <c r="D620" s="522" t="s">
        <v>36</v>
      </c>
      <c r="E620" s="499">
        <v>5</v>
      </c>
      <c r="F620" s="93">
        <v>850</v>
      </c>
      <c r="G620" s="144"/>
      <c r="H620" s="213" t="e">
        <f>+ROUND(F620+G620*TC,2)</f>
        <v>#REF!</v>
      </c>
      <c r="I620" s="213">
        <f t="shared" si="279"/>
        <v>4250</v>
      </c>
      <c r="J620" s="201">
        <f t="shared" ref="J620" si="288">+ROUND(E620*G620,2)</f>
        <v>0</v>
      </c>
      <c r="K620" s="93" t="e">
        <f>+ROUND(I620+J620*TC,2)</f>
        <v>#REF!</v>
      </c>
      <c r="L620" s="614"/>
    </row>
    <row r="621" spans="2:12" ht="13.15" customHeight="1" outlineLevel="2">
      <c r="B621" s="143">
        <f>B619+0.000001</f>
        <v>6.2105019999999946</v>
      </c>
      <c r="C621" s="360" t="s">
        <v>1312</v>
      </c>
      <c r="D621" s="81" t="s">
        <v>36</v>
      </c>
      <c r="E621" s="111">
        <v>2</v>
      </c>
      <c r="F621" s="93">
        <v>600</v>
      </c>
      <c r="G621" s="144"/>
      <c r="H621" s="213" t="e">
        <f>+ROUND(F621+G621*TC,2)</f>
        <v>#REF!</v>
      </c>
      <c r="I621" s="213">
        <f t="shared" si="279"/>
        <v>1200</v>
      </c>
      <c r="J621" s="201">
        <f t="shared" si="274"/>
        <v>0</v>
      </c>
      <c r="K621" s="93" t="e">
        <f>+ROUND(I621+J621*TC,2)</f>
        <v>#REF!</v>
      </c>
      <c r="L621" s="614"/>
    </row>
    <row r="622" spans="2:12" ht="13.15" customHeight="1" outlineLevel="2">
      <c r="B622" s="143">
        <f t="shared" si="283"/>
        <v>6.2105029999999948</v>
      </c>
      <c r="C622" s="360" t="s">
        <v>1313</v>
      </c>
      <c r="D622" s="81" t="s">
        <v>36</v>
      </c>
      <c r="E622" s="111">
        <v>4</v>
      </c>
      <c r="F622" s="93">
        <v>550</v>
      </c>
      <c r="G622" s="144"/>
      <c r="H622" s="213" t="e">
        <f>+ROUND(F622+G622*TC,2)</f>
        <v>#REF!</v>
      </c>
      <c r="I622" s="213">
        <f t="shared" si="279"/>
        <v>2200</v>
      </c>
      <c r="J622" s="201">
        <f t="shared" si="274"/>
        <v>0</v>
      </c>
      <c r="K622" s="93" t="e">
        <f>+ROUND(I622+J622*TC,2)</f>
        <v>#REF!</v>
      </c>
      <c r="L622" s="614"/>
    </row>
    <row r="623" spans="2:12" ht="14.1" customHeight="1" outlineLevel="1">
      <c r="B623" s="359">
        <f>B618+0.0001</f>
        <v>6.2105999999999941</v>
      </c>
      <c r="C623" s="356" t="s">
        <v>195</v>
      </c>
      <c r="D623" s="81"/>
      <c r="E623" s="111"/>
      <c r="F623" s="93"/>
      <c r="G623" s="82"/>
      <c r="H623" s="213"/>
      <c r="I623" s="213">
        <f t="shared" si="279"/>
        <v>0</v>
      </c>
      <c r="J623" s="201"/>
      <c r="K623" s="93"/>
      <c r="L623" s="613"/>
    </row>
    <row r="624" spans="2:12" ht="13.15" customHeight="1" outlineLevel="2">
      <c r="B624" s="143">
        <f>B623+0.000001</f>
        <v>6.2106009999999943</v>
      </c>
      <c r="C624" s="360" t="s">
        <v>1314</v>
      </c>
      <c r="D624" s="81" t="s">
        <v>36</v>
      </c>
      <c r="E624" s="111">
        <v>41</v>
      </c>
      <c r="F624" s="93">
        <v>580</v>
      </c>
      <c r="G624" s="144"/>
      <c r="H624" s="213" t="e">
        <f>+ROUND(F624+G624*TC,2)</f>
        <v>#REF!</v>
      </c>
      <c r="I624" s="213">
        <f t="shared" si="279"/>
        <v>23780</v>
      </c>
      <c r="J624" s="201">
        <f>+ROUND(E624*G624,2)</f>
        <v>0</v>
      </c>
      <c r="K624" s="93" t="e">
        <f>+ROUND(I624+J624*TC,2)</f>
        <v>#REF!</v>
      </c>
      <c r="L624" s="614"/>
    </row>
    <row r="625" spans="2:13" ht="18.600000000000001" customHeight="1" outlineLevel="2">
      <c r="B625" s="143">
        <f>B624+0.000001</f>
        <v>6.2106019999999944</v>
      </c>
      <c r="C625" s="360" t="s">
        <v>1315</v>
      </c>
      <c r="D625" s="81" t="s">
        <v>36</v>
      </c>
      <c r="E625" s="111">
        <v>19</v>
      </c>
      <c r="F625" s="93">
        <v>506.64</v>
      </c>
      <c r="G625" s="144"/>
      <c r="H625" s="213" t="e">
        <f>+ROUND(F625+G625*TC,2)</f>
        <v>#REF!</v>
      </c>
      <c r="I625" s="213">
        <f t="shared" si="279"/>
        <v>9626.16</v>
      </c>
      <c r="J625" s="201">
        <f>+ROUND(E625*G625,2)</f>
        <v>0</v>
      </c>
      <c r="K625" s="93" t="e">
        <f>+ROUND(I625+J625*TC,2)</f>
        <v>#REF!</v>
      </c>
      <c r="L625" s="614"/>
    </row>
    <row r="626" spans="2:13" ht="13.15" customHeight="1" outlineLevel="2">
      <c r="B626" s="143">
        <f>B625+0.000001</f>
        <v>6.2106029999999945</v>
      </c>
      <c r="C626" s="360" t="s">
        <v>1316</v>
      </c>
      <c r="D626" s="81" t="s">
        <v>36</v>
      </c>
      <c r="E626" s="111">
        <v>2</v>
      </c>
      <c r="F626" s="93">
        <v>529.91999999999996</v>
      </c>
      <c r="G626" s="144"/>
      <c r="H626" s="213" t="e">
        <f>+ROUND(F626+G626*TC,2)</f>
        <v>#REF!</v>
      </c>
      <c r="I626" s="213">
        <f t="shared" si="279"/>
        <v>1059.8399999999999</v>
      </c>
      <c r="J626" s="201">
        <f>+ROUND(E626*G626,2)</f>
        <v>0</v>
      </c>
      <c r="K626" s="93" t="e">
        <f>+ROUND(I626+J626*TC,2)</f>
        <v>#REF!</v>
      </c>
      <c r="L626" s="614"/>
    </row>
    <row r="627" spans="2:13" ht="13.15" customHeight="1" outlineLevel="2">
      <c r="B627" s="143">
        <f>B626+0.000001</f>
        <v>6.2106039999999947</v>
      </c>
      <c r="C627" s="360" t="s">
        <v>1317</v>
      </c>
      <c r="D627" s="81" t="s">
        <v>36</v>
      </c>
      <c r="E627" s="111">
        <v>1</v>
      </c>
      <c r="F627" s="93">
        <v>500.64</v>
      </c>
      <c r="G627" s="144"/>
      <c r="H627" s="213" t="e">
        <f>+ROUND(F627+G627*TC,2)</f>
        <v>#REF!</v>
      </c>
      <c r="I627" s="213">
        <f t="shared" si="279"/>
        <v>500.64</v>
      </c>
      <c r="J627" s="201">
        <f>+ROUND(E627*G627,2)</f>
        <v>0</v>
      </c>
      <c r="K627" s="93" t="e">
        <f>+ROUND(I627+J627*TC,2)</f>
        <v>#REF!</v>
      </c>
      <c r="L627" s="614"/>
    </row>
    <row r="628" spans="2:13" ht="14.1" customHeight="1" outlineLevel="1">
      <c r="B628" s="359">
        <f>B623+0.0001</f>
        <v>6.2106999999999939</v>
      </c>
      <c r="C628" s="356" t="s">
        <v>1318</v>
      </c>
      <c r="D628" s="81"/>
      <c r="E628" s="111"/>
      <c r="F628" s="93"/>
      <c r="G628" s="82"/>
      <c r="H628" s="213"/>
      <c r="I628" s="213">
        <f t="shared" si="279"/>
        <v>0</v>
      </c>
      <c r="J628" s="201"/>
      <c r="K628" s="93"/>
      <c r="L628" s="613"/>
    </row>
    <row r="629" spans="2:13" ht="13.15" customHeight="1" outlineLevel="2">
      <c r="B629" s="143">
        <f t="shared" si="283"/>
        <v>6.210700999999994</v>
      </c>
      <c r="C629" s="360" t="s">
        <v>1319</v>
      </c>
      <c r="D629" s="81" t="s">
        <v>46</v>
      </c>
      <c r="E629" s="111">
        <v>0</v>
      </c>
      <c r="F629" s="93">
        <v>475</v>
      </c>
      <c r="G629" s="144"/>
      <c r="H629" s="213" t="e">
        <f>+ROUND(F629+G629*TC,2)</f>
        <v>#REF!</v>
      </c>
      <c r="I629" s="213">
        <f t="shared" si="279"/>
        <v>0</v>
      </c>
      <c r="J629" s="201">
        <f t="shared" si="274"/>
        <v>0</v>
      </c>
      <c r="K629" s="93" t="e">
        <f>+ROUND(I629+J629*TC,2)</f>
        <v>#REF!</v>
      </c>
      <c r="L629" s="614"/>
    </row>
    <row r="630" spans="2:13" ht="13.5" customHeight="1">
      <c r="B630" s="218">
        <f>B585+0.01</f>
        <v>6.2199999999999953</v>
      </c>
      <c r="C630" s="508" t="s">
        <v>1320</v>
      </c>
      <c r="D630" s="81"/>
      <c r="E630" s="81"/>
      <c r="F630" s="81"/>
      <c r="G630" s="81"/>
      <c r="H630" s="354"/>
      <c r="I630" s="213">
        <f t="shared" si="279"/>
        <v>0</v>
      </c>
      <c r="J630" s="354"/>
      <c r="K630" s="354"/>
      <c r="L630" s="612" t="e">
        <f>SUM(I630:I633)+SUM(J630:J633)*TC</f>
        <v>#REF!</v>
      </c>
    </row>
    <row r="631" spans="2:13" ht="13.15" customHeight="1" outlineLevel="1">
      <c r="B631" s="364">
        <f>B630+0.0001</f>
        <v>6.2200999999999951</v>
      </c>
      <c r="C631" s="361" t="s">
        <v>1321</v>
      </c>
      <c r="D631" s="81" t="s">
        <v>46</v>
      </c>
      <c r="E631" s="111">
        <v>0</v>
      </c>
      <c r="F631" s="93">
        <v>5.5</v>
      </c>
      <c r="G631" s="144">
        <v>3.58</v>
      </c>
      <c r="H631" s="213" t="e">
        <f>+ROUND(F631+G631*TC,2)</f>
        <v>#REF!</v>
      </c>
      <c r="I631" s="213">
        <f t="shared" si="279"/>
        <v>0</v>
      </c>
      <c r="J631" s="201">
        <f t="shared" si="274"/>
        <v>0</v>
      </c>
      <c r="K631" s="93" t="e">
        <f>+ROUND(I631+J631*TC,2)</f>
        <v>#REF!</v>
      </c>
      <c r="L631" s="97"/>
    </row>
    <row r="632" spans="2:13" ht="13.15" customHeight="1" outlineLevel="1">
      <c r="B632" s="364">
        <f>B631+0.0001</f>
        <v>6.2201999999999948</v>
      </c>
      <c r="C632" s="361" t="s">
        <v>1322</v>
      </c>
      <c r="D632" s="81" t="s">
        <v>46</v>
      </c>
      <c r="E632" s="111">
        <v>544.46</v>
      </c>
      <c r="F632" s="93">
        <v>5.5</v>
      </c>
      <c r="G632" s="144">
        <v>3.05</v>
      </c>
      <c r="H632" s="213" t="e">
        <f>+ROUND(F632+G632*TC,2)</f>
        <v>#REF!</v>
      </c>
      <c r="I632" s="213">
        <f t="shared" si="279"/>
        <v>2994.53</v>
      </c>
      <c r="J632" s="201">
        <f t="shared" si="274"/>
        <v>1660.6</v>
      </c>
      <c r="K632" s="93" t="e">
        <f>+ROUND(I632+J632*TC,2)</f>
        <v>#REF!</v>
      </c>
      <c r="L632" s="97"/>
    </row>
    <row r="633" spans="2:13" ht="13.15" customHeight="1" outlineLevel="1">
      <c r="B633" s="364">
        <f>B632+0.0001</f>
        <v>6.2202999999999946</v>
      </c>
      <c r="C633" s="361" t="s">
        <v>1323</v>
      </c>
      <c r="D633" s="81" t="s">
        <v>46</v>
      </c>
      <c r="E633" s="111">
        <v>388.6</v>
      </c>
      <c r="F633" s="93">
        <v>5.5</v>
      </c>
      <c r="G633" s="144">
        <v>3.58</v>
      </c>
      <c r="H633" s="213" t="e">
        <f>+ROUND(F633+G633*TC,2)</f>
        <v>#REF!</v>
      </c>
      <c r="I633" s="213">
        <f t="shared" si="279"/>
        <v>2137.3000000000002</v>
      </c>
      <c r="J633" s="201">
        <f t="shared" si="274"/>
        <v>1391.19</v>
      </c>
      <c r="K633" s="93" t="e">
        <f>+ROUND(I633+J633*TC,2)</f>
        <v>#REF!</v>
      </c>
      <c r="L633" s="97"/>
    </row>
    <row r="634" spans="2:13" ht="13.5" customHeight="1">
      <c r="B634" s="218">
        <f>B630+0.01</f>
        <v>6.2299999999999951</v>
      </c>
      <c r="C634" s="508" t="s">
        <v>1324</v>
      </c>
      <c r="D634" s="81"/>
      <c r="E634" s="81"/>
      <c r="F634" s="81"/>
      <c r="G634" s="81"/>
      <c r="H634" s="354"/>
      <c r="I634" s="213">
        <f t="shared" si="279"/>
        <v>0</v>
      </c>
      <c r="J634" s="354"/>
      <c r="K634" s="354"/>
      <c r="L634" s="612" t="e">
        <f>SUM(I634:I640)+SUM(J634:J640)*TC</f>
        <v>#REF!</v>
      </c>
      <c r="M634" s="127" t="e">
        <f>+L634+L641</f>
        <v>#REF!</v>
      </c>
    </row>
    <row r="635" spans="2:13" ht="14.1" customHeight="1" outlineLevel="1">
      <c r="B635" s="359">
        <f>B634+0.0001</f>
        <v>6.2300999999999949</v>
      </c>
      <c r="C635" s="342" t="s">
        <v>916</v>
      </c>
      <c r="D635" s="81"/>
      <c r="E635" s="111"/>
      <c r="F635" s="93" t="s">
        <v>8</v>
      </c>
      <c r="G635" s="82"/>
      <c r="H635" s="213"/>
      <c r="I635" s="213"/>
      <c r="J635" s="201"/>
      <c r="K635" s="93"/>
      <c r="L635" s="614"/>
    </row>
    <row r="636" spans="2:13" ht="14.1" customHeight="1" outlineLevel="2">
      <c r="B636" s="344">
        <f>B635+0.000001</f>
        <v>6.230100999999995</v>
      </c>
      <c r="C636" s="517" t="s">
        <v>742</v>
      </c>
      <c r="D636" s="81"/>
      <c r="E636" s="111"/>
      <c r="F636" s="93" t="s">
        <v>8</v>
      </c>
      <c r="G636" s="82"/>
      <c r="H636" s="213"/>
      <c r="I636" s="213"/>
      <c r="J636" s="201"/>
      <c r="K636" s="93"/>
      <c r="L636" s="612"/>
    </row>
    <row r="637" spans="2:13" ht="14.1" customHeight="1" outlineLevel="3">
      <c r="B637" s="362">
        <f>B636+0.00000001</f>
        <v>6.2301010099999949</v>
      </c>
      <c r="C637" s="518" t="s">
        <v>1325</v>
      </c>
      <c r="D637" s="81"/>
      <c r="E637" s="111"/>
      <c r="F637" s="93" t="s">
        <v>8</v>
      </c>
      <c r="G637" s="82"/>
      <c r="H637" s="213"/>
      <c r="I637" s="213"/>
      <c r="J637" s="201"/>
      <c r="K637" s="93"/>
      <c r="L637" s="612"/>
    </row>
    <row r="638" spans="2:13" ht="15.75" customHeight="1" outlineLevel="4">
      <c r="B638" s="363">
        <f>B637+0.0000000001</f>
        <v>6.230101010099995</v>
      </c>
      <c r="C638" s="55" t="s">
        <v>1326</v>
      </c>
      <c r="D638" s="81" t="s">
        <v>169</v>
      </c>
      <c r="E638" s="111">
        <v>14628.68</v>
      </c>
      <c r="F638" s="93">
        <v>16.8</v>
      </c>
      <c r="G638" s="103">
        <v>1.59</v>
      </c>
      <c r="H638" s="213" t="e">
        <f>+ROUND(F638+G638*TC,2)</f>
        <v>#REF!</v>
      </c>
      <c r="I638" s="213">
        <f t="shared" si="279"/>
        <v>245761.82</v>
      </c>
      <c r="J638" s="201">
        <f t="shared" si="274"/>
        <v>23259.599999999999</v>
      </c>
      <c r="K638" s="93" t="e">
        <f>+ROUND(I638+J638*TC,2)</f>
        <v>#REF!</v>
      </c>
      <c r="L638" s="614"/>
    </row>
    <row r="639" spans="2:13" ht="15.75" customHeight="1" outlineLevel="4">
      <c r="B639" s="363">
        <f>B638+0.0000000001</f>
        <v>6.230101010199995</v>
      </c>
      <c r="C639" s="361" t="s">
        <v>1327</v>
      </c>
      <c r="D639" s="81" t="s">
        <v>169</v>
      </c>
      <c r="E639" s="111">
        <v>306.05</v>
      </c>
      <c r="F639" s="93">
        <v>16.8</v>
      </c>
      <c r="G639" s="103">
        <v>1.59</v>
      </c>
      <c r="H639" s="213" t="e">
        <f>+ROUND(F639+G639*TC,2)</f>
        <v>#REF!</v>
      </c>
      <c r="I639" s="213">
        <f t="shared" si="279"/>
        <v>5141.6400000000003</v>
      </c>
      <c r="J639" s="201">
        <f t="shared" ref="J639" si="289">+ROUND(E639*G639,2)</f>
        <v>486.62</v>
      </c>
      <c r="K639" s="93" t="e">
        <f>+ROUND(I639+J639*TC,2)</f>
        <v>#REF!</v>
      </c>
      <c r="L639" s="614"/>
    </row>
    <row r="640" spans="2:13" ht="15.75" customHeight="1" outlineLevel="4">
      <c r="B640" s="363">
        <f>B638+0.0000000001</f>
        <v>6.230101010199995</v>
      </c>
      <c r="C640" s="361" t="s">
        <v>1328</v>
      </c>
      <c r="D640" s="81" t="s">
        <v>46</v>
      </c>
      <c r="E640" s="111">
        <v>7128.99</v>
      </c>
      <c r="F640" s="93">
        <v>4.5</v>
      </c>
      <c r="G640" s="103">
        <v>1.02</v>
      </c>
      <c r="H640" s="213" t="e">
        <f>+ROUND(F640+G640*TC,2)</f>
        <v>#REF!</v>
      </c>
      <c r="I640" s="213">
        <f t="shared" si="279"/>
        <v>32080.46</v>
      </c>
      <c r="J640" s="201">
        <f t="shared" si="274"/>
        <v>7271.57</v>
      </c>
      <c r="K640" s="93" t="e">
        <f>+ROUND(I640+J640*TC,2)</f>
        <v>#REF!</v>
      </c>
      <c r="L640" s="614"/>
    </row>
    <row r="641" spans="2:12" ht="13.5" customHeight="1">
      <c r="B641" s="218">
        <f>B634+0.01</f>
        <v>6.2399999999999949</v>
      </c>
      <c r="C641" s="508" t="s">
        <v>1329</v>
      </c>
      <c r="D641" s="81"/>
      <c r="E641" s="81"/>
      <c r="F641" s="81"/>
      <c r="G641" s="81"/>
      <c r="H641" s="354"/>
      <c r="I641" s="213">
        <f t="shared" si="279"/>
        <v>0</v>
      </c>
      <c r="J641" s="354"/>
      <c r="K641" s="354"/>
      <c r="L641" s="612" t="e">
        <f>SUM(I641:I664)+SUM(J641:J664)*TC</f>
        <v>#REF!</v>
      </c>
    </row>
    <row r="642" spans="2:12" ht="14.1" customHeight="1" outlineLevel="1">
      <c r="B642" s="359">
        <f>B641+0.0001</f>
        <v>6.2400999999999947</v>
      </c>
      <c r="C642" s="342" t="s">
        <v>916</v>
      </c>
      <c r="D642" s="81"/>
      <c r="E642" s="111"/>
      <c r="F642" s="93" t="s">
        <v>8</v>
      </c>
      <c r="G642" s="82"/>
      <c r="H642" s="213"/>
      <c r="I642" s="213"/>
      <c r="J642" s="201"/>
      <c r="K642" s="93"/>
      <c r="L642" s="97"/>
    </row>
    <row r="643" spans="2:12" ht="14.1" customHeight="1" outlineLevel="2">
      <c r="B643" s="344">
        <f>B642+0.000001</f>
        <v>6.2401009999999948</v>
      </c>
      <c r="C643" s="517" t="s">
        <v>742</v>
      </c>
      <c r="D643" s="81"/>
      <c r="E643" s="111"/>
      <c r="F643" s="93" t="s">
        <v>8</v>
      </c>
      <c r="G643" s="82"/>
      <c r="H643" s="213"/>
      <c r="I643" s="213"/>
      <c r="J643" s="201"/>
      <c r="K643" s="93"/>
      <c r="L643" s="343"/>
    </row>
    <row r="644" spans="2:12" ht="14.1" customHeight="1" outlineLevel="3">
      <c r="B644" s="362">
        <f>B643+0.00000001</f>
        <v>6.2401010099999947</v>
      </c>
      <c r="C644" s="518" t="s">
        <v>1330</v>
      </c>
      <c r="D644" s="81"/>
      <c r="E644" s="111"/>
      <c r="F644" s="93" t="s">
        <v>8</v>
      </c>
      <c r="G644" s="82"/>
      <c r="H644" s="213"/>
      <c r="I644" s="213"/>
      <c r="J644" s="201"/>
      <c r="K644" s="93"/>
      <c r="L644" s="343"/>
    </row>
    <row r="645" spans="2:12" ht="15.75" customHeight="1" outlineLevel="4">
      <c r="B645" s="363">
        <f>B644+0.0000000001</f>
        <v>6.2401010100999947</v>
      </c>
      <c r="C645" s="361" t="s">
        <v>1331</v>
      </c>
      <c r="D645" s="81" t="s">
        <v>169</v>
      </c>
      <c r="E645" s="111">
        <v>1970.7</v>
      </c>
      <c r="F645" s="93">
        <v>22.5</v>
      </c>
      <c r="G645" s="103"/>
      <c r="H645" s="213" t="e">
        <f>+ROUND(F645+G645*TC,2)</f>
        <v>#REF!</v>
      </c>
      <c r="I645" s="213">
        <f t="shared" si="279"/>
        <v>44340.75</v>
      </c>
      <c r="J645" s="201">
        <f t="shared" si="274"/>
        <v>0</v>
      </c>
      <c r="K645" s="93" t="e">
        <f>+ROUND(I645+J645*TC,2)</f>
        <v>#REF!</v>
      </c>
      <c r="L645" s="97"/>
    </row>
    <row r="646" spans="2:12" ht="15.75" customHeight="1" outlineLevel="4">
      <c r="B646" s="363">
        <f>B645+0.0000000001</f>
        <v>6.2401010101999947</v>
      </c>
      <c r="C646" s="361" t="s">
        <v>1332</v>
      </c>
      <c r="D646" s="81" t="s">
        <v>169</v>
      </c>
      <c r="E646" s="111">
        <v>12.34</v>
      </c>
      <c r="F646" s="93">
        <v>21.5</v>
      </c>
      <c r="G646" s="103"/>
      <c r="H646" s="213" t="e">
        <f>+ROUND(F646+G646*TC,2)</f>
        <v>#REF!</v>
      </c>
      <c r="I646" s="213">
        <f t="shared" si="279"/>
        <v>265.31</v>
      </c>
      <c r="J646" s="201">
        <f t="shared" ref="J646" si="290">+ROUND(E646*G646,2)</f>
        <v>0</v>
      </c>
      <c r="K646" s="93" t="e">
        <f>+ROUND(I646+J646*TC,2)</f>
        <v>#REF!</v>
      </c>
      <c r="L646" s="97"/>
    </row>
    <row r="647" spans="2:12" ht="14.1" customHeight="1" outlineLevel="2">
      <c r="B647" s="344">
        <f>B643+0.000001</f>
        <v>6.2401019999999949</v>
      </c>
      <c r="C647" s="517" t="s">
        <v>1333</v>
      </c>
      <c r="D647" s="81"/>
      <c r="E647" s="111"/>
      <c r="F647" s="93" t="s">
        <v>8</v>
      </c>
      <c r="G647" s="82"/>
      <c r="H647" s="213"/>
      <c r="I647" s="213"/>
      <c r="J647" s="201"/>
      <c r="K647" s="93"/>
      <c r="L647" s="343"/>
    </row>
    <row r="648" spans="2:12" outlineLevel="3">
      <c r="B648" s="362">
        <f>B647+0.00000001</f>
        <v>6.2401020099999949</v>
      </c>
      <c r="C648" s="519" t="s">
        <v>1334</v>
      </c>
      <c r="D648" s="81"/>
      <c r="E648" s="111"/>
      <c r="F648" s="93" t="s">
        <v>8</v>
      </c>
      <c r="G648" s="82"/>
      <c r="H648" s="213"/>
      <c r="I648" s="213"/>
      <c r="J648" s="201"/>
      <c r="K648" s="93"/>
      <c r="L648" s="343"/>
    </row>
    <row r="649" spans="2:12" ht="15.75" customHeight="1" outlineLevel="4">
      <c r="B649" s="363">
        <f>B648+0.0000000001</f>
        <v>6.2401020100999949</v>
      </c>
      <c r="C649" s="361" t="s">
        <v>1335</v>
      </c>
      <c r="D649" s="81" t="s">
        <v>169</v>
      </c>
      <c r="E649" s="111">
        <v>8798.369999999999</v>
      </c>
      <c r="F649" s="93">
        <v>21.5</v>
      </c>
      <c r="G649" s="103"/>
      <c r="H649" s="213" t="e">
        <f>+ROUND(F649+G649*TC,2)</f>
        <v>#REF!</v>
      </c>
      <c r="I649" s="213">
        <f t="shared" si="279"/>
        <v>189164.96</v>
      </c>
      <c r="J649" s="201">
        <f t="shared" si="274"/>
        <v>0</v>
      </c>
      <c r="K649" s="93" t="e">
        <f>+ROUND(I649+J649*TC,2)</f>
        <v>#REF!</v>
      </c>
      <c r="L649" s="97"/>
    </row>
    <row r="650" spans="2:12" outlineLevel="3">
      <c r="B650" s="362">
        <f>B648+0.00000001</f>
        <v>6.2401020199999948</v>
      </c>
      <c r="C650" s="518" t="s">
        <v>1336</v>
      </c>
      <c r="D650" s="81"/>
      <c r="E650" s="111"/>
      <c r="F650" s="93" t="s">
        <v>8</v>
      </c>
      <c r="G650" s="103"/>
      <c r="H650" s="213"/>
      <c r="I650" s="213"/>
      <c r="J650" s="201"/>
      <c r="K650" s="93"/>
      <c r="L650" s="97"/>
    </row>
    <row r="651" spans="2:12" ht="15" customHeight="1" outlineLevel="4">
      <c r="B651" s="363">
        <f>B650+0.0000000001</f>
        <v>6.2401020200999948</v>
      </c>
      <c r="C651" s="361" t="s">
        <v>1331</v>
      </c>
      <c r="D651" s="81" t="s">
        <v>169</v>
      </c>
      <c r="E651" s="111">
        <v>978.91</v>
      </c>
      <c r="F651" s="93">
        <v>22.5</v>
      </c>
      <c r="G651" s="103"/>
      <c r="H651" s="213" t="e">
        <f>+ROUND(F651+G651*TC,2)</f>
        <v>#REF!</v>
      </c>
      <c r="I651" s="213">
        <f t="shared" si="279"/>
        <v>22025.48</v>
      </c>
      <c r="J651" s="201">
        <f t="shared" si="274"/>
        <v>0</v>
      </c>
      <c r="K651" s="93" t="e">
        <f>+ROUND(I651+J651*TC,2)</f>
        <v>#REF!</v>
      </c>
      <c r="L651" s="97"/>
    </row>
    <row r="652" spans="2:12" ht="14.1" customHeight="1" outlineLevel="1">
      <c r="B652" s="359">
        <f>B635+0.0001</f>
        <v>6.2301999999999946</v>
      </c>
      <c r="C652" s="342" t="s">
        <v>1337</v>
      </c>
      <c r="D652" s="81"/>
      <c r="E652" s="111"/>
      <c r="F652" s="93" t="s">
        <v>8</v>
      </c>
      <c r="G652" s="82"/>
      <c r="H652" s="213"/>
      <c r="I652" s="213"/>
      <c r="J652" s="201"/>
      <c r="K652" s="93"/>
      <c r="L652" s="97"/>
    </row>
    <row r="653" spans="2:12" ht="13.5" customHeight="1" outlineLevel="2">
      <c r="B653" s="344">
        <f>B652+0.000001</f>
        <v>6.2302009999999948</v>
      </c>
      <c r="C653" s="517" t="s">
        <v>742</v>
      </c>
      <c r="D653" s="81"/>
      <c r="E653" s="111"/>
      <c r="F653" s="93" t="s">
        <v>8</v>
      </c>
      <c r="G653" s="82"/>
      <c r="H653" s="213"/>
      <c r="I653" s="213"/>
      <c r="J653" s="201"/>
      <c r="K653" s="93"/>
      <c r="L653" s="343"/>
    </row>
    <row r="654" spans="2:12" ht="15" customHeight="1" outlineLevel="4">
      <c r="B654" s="363">
        <f>B653+0.0000000001</f>
        <v>6.2302010000999948</v>
      </c>
      <c r="C654" s="361" t="s">
        <v>1338</v>
      </c>
      <c r="D654" s="81" t="s">
        <v>169</v>
      </c>
      <c r="E654" s="111">
        <v>3733.21</v>
      </c>
      <c r="F654" s="93">
        <v>21.5</v>
      </c>
      <c r="G654" s="103"/>
      <c r="H654" s="213" t="e">
        <f>+ROUND(F654+G654*TC,2)</f>
        <v>#REF!</v>
      </c>
      <c r="I654" s="213">
        <f t="shared" si="279"/>
        <v>80264.02</v>
      </c>
      <c r="J654" s="201">
        <f t="shared" si="274"/>
        <v>0</v>
      </c>
      <c r="K654" s="93" t="e">
        <f>+ROUND(I654+J654*TC,2)</f>
        <v>#REF!</v>
      </c>
      <c r="L654" s="97"/>
    </row>
    <row r="655" spans="2:12" ht="13.15" customHeight="1" outlineLevel="3">
      <c r="B655" s="363">
        <f t="shared" ref="B655:B656" si="291">B654+0.0000000001</f>
        <v>6.2302010001999948</v>
      </c>
      <c r="C655" s="361" t="s">
        <v>1331</v>
      </c>
      <c r="D655" s="81" t="s">
        <v>169</v>
      </c>
      <c r="E655" s="111">
        <v>386.49</v>
      </c>
      <c r="F655" s="93">
        <v>22.5</v>
      </c>
      <c r="G655" s="103"/>
      <c r="H655" s="213" t="e">
        <f>+ROUND(F655+G655*TC,2)</f>
        <v>#REF!</v>
      </c>
      <c r="I655" s="213">
        <f t="shared" ref="I655:I718" si="292">+ROUND(E655*F655,2)</f>
        <v>8696.0300000000007</v>
      </c>
      <c r="J655" s="201">
        <f>+ROUND(E655*G655,2)</f>
        <v>0</v>
      </c>
      <c r="K655" s="93" t="e">
        <f>+ROUND(I655+J655*TC,2)</f>
        <v>#REF!</v>
      </c>
      <c r="L655" s="97"/>
    </row>
    <row r="656" spans="2:12" ht="15" customHeight="1" outlineLevel="3">
      <c r="B656" s="363">
        <f t="shared" si="291"/>
        <v>6.2302010002999948</v>
      </c>
      <c r="C656" s="57" t="s">
        <v>1339</v>
      </c>
      <c r="D656" s="81" t="s">
        <v>169</v>
      </c>
      <c r="E656" s="111">
        <v>144.19</v>
      </c>
      <c r="F656" s="93">
        <v>12.42</v>
      </c>
      <c r="G656" s="103"/>
      <c r="H656" s="213" t="e">
        <f>+ROUND(F656+G656*TC,2)</f>
        <v>#REF!</v>
      </c>
      <c r="I656" s="213">
        <f t="shared" si="292"/>
        <v>1790.84</v>
      </c>
      <c r="J656" s="201">
        <f t="shared" ref="J656" si="293">+ROUND(E656*G656,2)</f>
        <v>0</v>
      </c>
      <c r="K656" s="93" t="e">
        <f>+ROUND(I656+J656*TC,2)</f>
        <v>#REF!</v>
      </c>
      <c r="L656" s="97"/>
    </row>
    <row r="657" spans="1:12" ht="15" customHeight="1" outlineLevel="2">
      <c r="B657" s="344">
        <f>B653+0.000001</f>
        <v>6.2302019999999949</v>
      </c>
      <c r="C657" s="517" t="s">
        <v>1333</v>
      </c>
      <c r="D657" s="81"/>
      <c r="E657" s="111"/>
      <c r="F657" s="93" t="s">
        <v>8</v>
      </c>
      <c r="G657" s="82"/>
      <c r="H657" s="213"/>
      <c r="I657" s="213"/>
      <c r="J657" s="201"/>
      <c r="K657" s="93"/>
      <c r="L657" s="343"/>
    </row>
    <row r="658" spans="1:12" ht="15" customHeight="1" outlineLevel="4">
      <c r="B658" s="363">
        <f>B657+0.0000000001</f>
        <v>6.2302020000999949</v>
      </c>
      <c r="C658" s="361" t="s">
        <v>1338</v>
      </c>
      <c r="D658" s="81" t="s">
        <v>169</v>
      </c>
      <c r="E658" s="111">
        <v>1460.28</v>
      </c>
      <c r="F658" s="93">
        <v>21.5</v>
      </c>
      <c r="G658" s="103"/>
      <c r="H658" s="213" t="e">
        <f>+ROUND(F658+G658*TC,2)</f>
        <v>#REF!</v>
      </c>
      <c r="I658" s="213">
        <f t="shared" si="292"/>
        <v>31396.02</v>
      </c>
      <c r="J658" s="201">
        <f t="shared" ref="J658:J699" si="294">+ROUND(E658*G658,2)</f>
        <v>0</v>
      </c>
      <c r="K658" s="93" t="e">
        <f>+ROUND(I658+J658*TC,2)</f>
        <v>#REF!</v>
      </c>
      <c r="L658" s="97"/>
    </row>
    <row r="659" spans="1:12" ht="13.15" customHeight="1" outlineLevel="3">
      <c r="B659" s="363">
        <f>B658+0.0000000001</f>
        <v>6.2302020001999949</v>
      </c>
      <c r="C659" s="361" t="s">
        <v>1331</v>
      </c>
      <c r="D659" s="81" t="s">
        <v>169</v>
      </c>
      <c r="E659" s="111">
        <v>55.11</v>
      </c>
      <c r="F659" s="93">
        <v>22.5</v>
      </c>
      <c r="G659" s="103"/>
      <c r="H659" s="213" t="e">
        <f>+ROUND(F659+G659*TC,2)</f>
        <v>#REF!</v>
      </c>
      <c r="I659" s="213">
        <f t="shared" si="292"/>
        <v>1239.98</v>
      </c>
      <c r="J659" s="201">
        <f>+ROUND(E659*G659,2)</f>
        <v>0</v>
      </c>
      <c r="K659" s="93" t="e">
        <f>+ROUND(I659+J659*TC,2)</f>
        <v>#REF!</v>
      </c>
      <c r="L659" s="97"/>
    </row>
    <row r="660" spans="1:12" ht="14.1" customHeight="1" outlineLevel="1">
      <c r="B660" s="359">
        <f>B652+0.0001</f>
        <v>6.2302999999999944</v>
      </c>
      <c r="C660" s="342" t="s">
        <v>1340</v>
      </c>
      <c r="D660" s="81"/>
      <c r="E660" s="111"/>
      <c r="F660" s="93" t="s">
        <v>8</v>
      </c>
      <c r="G660" s="82"/>
      <c r="H660" s="213"/>
      <c r="I660" s="213"/>
      <c r="J660" s="201"/>
      <c r="K660" s="93"/>
      <c r="L660" s="343"/>
    </row>
    <row r="661" spans="1:12" ht="14.1" customHeight="1" outlineLevel="2">
      <c r="B661" s="344">
        <f>B660+0.000001</f>
        <v>6.2303009999999945</v>
      </c>
      <c r="C661" s="517" t="s">
        <v>1341</v>
      </c>
      <c r="D661" s="81"/>
      <c r="E661" s="111"/>
      <c r="F661" s="93" t="s">
        <v>8</v>
      </c>
      <c r="G661" s="82"/>
      <c r="H661" s="213"/>
      <c r="I661" s="213"/>
      <c r="J661" s="201"/>
      <c r="K661" s="93"/>
      <c r="L661" s="343"/>
    </row>
    <row r="662" spans="1:12" ht="15" customHeight="1" outlineLevel="3">
      <c r="B662" s="346">
        <f>B661+0.00000001</f>
        <v>6.2303010099999945</v>
      </c>
      <c r="C662" s="57" t="s">
        <v>1342</v>
      </c>
      <c r="D662" s="81" t="s">
        <v>169</v>
      </c>
      <c r="E662" s="111">
        <v>1973.26</v>
      </c>
      <c r="F662" s="93">
        <v>12.42</v>
      </c>
      <c r="G662" s="103"/>
      <c r="H662" s="213" t="e">
        <f>+ROUND(F662+G662*TC,2)</f>
        <v>#REF!</v>
      </c>
      <c r="I662" s="213">
        <f t="shared" si="292"/>
        <v>24507.89</v>
      </c>
      <c r="J662" s="201">
        <f t="shared" si="294"/>
        <v>0</v>
      </c>
      <c r="K662" s="93" t="e">
        <f>+ROUND(I662+J662*TC,2)</f>
        <v>#REF!</v>
      </c>
      <c r="L662" s="97"/>
    </row>
    <row r="663" spans="1:12" ht="14.1" customHeight="1" outlineLevel="2">
      <c r="A663" s="4"/>
      <c r="B663" s="142">
        <f>B662+0.000001</f>
        <v>6.2303020099999946</v>
      </c>
      <c r="C663" s="360" t="s">
        <v>751</v>
      </c>
      <c r="D663" s="81" t="s">
        <v>169</v>
      </c>
      <c r="E663" s="111">
        <v>280.64</v>
      </c>
      <c r="F663" s="93">
        <v>12.42</v>
      </c>
      <c r="G663" s="82"/>
      <c r="H663" s="213" t="e">
        <f>+ROUND(F663+G663*TC,2)</f>
        <v>#REF!</v>
      </c>
      <c r="I663" s="213">
        <f t="shared" si="292"/>
        <v>3485.55</v>
      </c>
      <c r="J663" s="201">
        <f>+ROUND(E663*G663,2)</f>
        <v>0</v>
      </c>
      <c r="K663" s="93" t="e">
        <f>+ROUND(I663+J663*TC,2)</f>
        <v>#REF!</v>
      </c>
      <c r="L663" s="97"/>
    </row>
    <row r="664" spans="1:12" ht="14.25" customHeight="1" outlineLevel="3">
      <c r="B664" s="346">
        <f>B662+0.00000001</f>
        <v>6.2303010199999944</v>
      </c>
      <c r="C664" s="57" t="s">
        <v>752</v>
      </c>
      <c r="D664" s="81" t="s">
        <v>169</v>
      </c>
      <c r="E664" s="111">
        <v>257.88</v>
      </c>
      <c r="F664" s="93">
        <v>12.42</v>
      </c>
      <c r="G664" s="103"/>
      <c r="H664" s="213" t="e">
        <f>+ROUND(F664+G664*TC,2)</f>
        <v>#REF!</v>
      </c>
      <c r="I664" s="213">
        <f t="shared" si="292"/>
        <v>3202.87</v>
      </c>
      <c r="J664" s="201">
        <f t="shared" si="294"/>
        <v>0</v>
      </c>
      <c r="K664" s="93" t="e">
        <f>+ROUND(I664+J664*TC,2)</f>
        <v>#REF!</v>
      </c>
      <c r="L664" s="97"/>
    </row>
    <row r="665" spans="1:12" ht="13.5" customHeight="1">
      <c r="B665" s="218">
        <f>B641+0.01</f>
        <v>6.2499999999999947</v>
      </c>
      <c r="C665" s="508" t="s">
        <v>769</v>
      </c>
      <c r="D665" s="81"/>
      <c r="E665" s="111"/>
      <c r="F665" s="93" t="s">
        <v>8</v>
      </c>
      <c r="G665" s="82"/>
      <c r="H665" s="213"/>
      <c r="I665" s="213"/>
      <c r="J665" s="201"/>
      <c r="K665" s="93"/>
      <c r="L665" s="612" t="e">
        <f>SUM(I665:I703)+SUM(J665:J703)*TC</f>
        <v>#REF!</v>
      </c>
    </row>
    <row r="666" spans="1:12" ht="14.1" customHeight="1" outlineLevel="1">
      <c r="B666" s="140">
        <f>B665+0.0001</f>
        <v>6.2500999999999944</v>
      </c>
      <c r="C666" s="342" t="s">
        <v>916</v>
      </c>
      <c r="D666" s="81"/>
      <c r="E666" s="111"/>
      <c r="F666" s="93" t="s">
        <v>8</v>
      </c>
      <c r="G666" s="523" t="s">
        <v>8</v>
      </c>
      <c r="H666" s="213"/>
      <c r="I666" s="213"/>
      <c r="J666" s="201"/>
      <c r="K666" s="93"/>
      <c r="L666" s="97"/>
    </row>
    <row r="667" spans="1:12" ht="14.1" customHeight="1" outlineLevel="2">
      <c r="B667" s="344">
        <f>B666+0.000001</f>
        <v>6.2501009999999946</v>
      </c>
      <c r="C667" s="517" t="s">
        <v>1343</v>
      </c>
      <c r="D667" s="81"/>
      <c r="E667" s="111"/>
      <c r="F667" s="93" t="s">
        <v>8</v>
      </c>
      <c r="G667" s="523" t="s">
        <v>8</v>
      </c>
      <c r="H667" s="213"/>
      <c r="I667" s="213"/>
      <c r="J667" s="201"/>
      <c r="K667" s="93"/>
      <c r="L667" s="343"/>
    </row>
    <row r="668" spans="1:12" ht="14.1" customHeight="1" outlineLevel="3">
      <c r="B668" s="362">
        <f>B667+0.00000001</f>
        <v>6.2501010099999945</v>
      </c>
      <c r="C668" s="518" t="s">
        <v>1344</v>
      </c>
      <c r="D668" s="81"/>
      <c r="E668" s="111"/>
      <c r="F668" s="93" t="s">
        <v>8</v>
      </c>
      <c r="G668" s="523" t="s">
        <v>8</v>
      </c>
      <c r="H668" s="213"/>
      <c r="I668" s="213"/>
      <c r="J668" s="201"/>
      <c r="K668" s="93"/>
      <c r="L668" s="343"/>
    </row>
    <row r="669" spans="1:12" ht="22.5" outlineLevel="4">
      <c r="B669" s="363">
        <f>B668+0.0000000001</f>
        <v>6.2501010100999945</v>
      </c>
      <c r="C669" s="360" t="s">
        <v>1345</v>
      </c>
      <c r="D669" s="81" t="s">
        <v>36</v>
      </c>
      <c r="E669" s="111">
        <v>242</v>
      </c>
      <c r="F669" s="93">
        <v>41.55</v>
      </c>
      <c r="G669" s="523">
        <v>72</v>
      </c>
      <c r="H669" s="213" t="e">
        <f>+ROUND(F669+G669*TC,2)</f>
        <v>#REF!</v>
      </c>
      <c r="I669" s="213">
        <f t="shared" si="292"/>
        <v>10055.1</v>
      </c>
      <c r="J669" s="201">
        <f t="shared" si="294"/>
        <v>17424</v>
      </c>
      <c r="K669" s="93" t="e">
        <f>+ROUND(I669+J669*TC,2)</f>
        <v>#REF!</v>
      </c>
      <c r="L669" s="97"/>
    </row>
    <row r="670" spans="1:12" ht="15.75" customHeight="1" outlineLevel="4">
      <c r="B670" s="363">
        <f>B669+0.0000000001</f>
        <v>6.2501010101999945</v>
      </c>
      <c r="C670" s="361" t="s">
        <v>1346</v>
      </c>
      <c r="D670" s="81" t="s">
        <v>36</v>
      </c>
      <c r="E670" s="111">
        <v>242</v>
      </c>
      <c r="F670" s="93">
        <v>136.82</v>
      </c>
      <c r="G670" s="523">
        <v>179</v>
      </c>
      <c r="H670" s="213" t="e">
        <f>+ROUND(F670+G670*TC,2)</f>
        <v>#REF!</v>
      </c>
      <c r="I670" s="213">
        <f t="shared" si="292"/>
        <v>33110.44</v>
      </c>
      <c r="J670" s="201">
        <f t="shared" si="294"/>
        <v>43318</v>
      </c>
      <c r="K670" s="93" t="e">
        <f>+ROUND(I670+J670*TC,2)</f>
        <v>#REF!</v>
      </c>
      <c r="L670" s="97"/>
    </row>
    <row r="671" spans="1:12" ht="14.1" customHeight="1" outlineLevel="3">
      <c r="B671" s="362">
        <f>B668+0.00000001</f>
        <v>6.2501010199999945</v>
      </c>
      <c r="C671" s="518" t="s">
        <v>1347</v>
      </c>
      <c r="D671" s="81"/>
      <c r="E671" s="111"/>
      <c r="F671" s="93" t="s">
        <v>8</v>
      </c>
      <c r="G671" s="523" t="s">
        <v>8</v>
      </c>
      <c r="H671" s="213"/>
      <c r="I671" s="213"/>
      <c r="J671" s="201"/>
      <c r="K671" s="93"/>
      <c r="L671" s="343"/>
    </row>
    <row r="672" spans="1:12" ht="22.5" outlineLevel="4">
      <c r="B672" s="363">
        <f>B671+0.0000000001</f>
        <v>6.2501010200999945</v>
      </c>
      <c r="C672" s="360" t="s">
        <v>1348</v>
      </c>
      <c r="D672" s="81" t="s">
        <v>36</v>
      </c>
      <c r="E672" s="111">
        <v>174</v>
      </c>
      <c r="F672" s="93">
        <v>58.66</v>
      </c>
      <c r="G672" s="523">
        <v>35.950000000000003</v>
      </c>
      <c r="H672" s="213" t="e">
        <f>+ROUND(F672+G672*TC,2)</f>
        <v>#REF!</v>
      </c>
      <c r="I672" s="213">
        <f t="shared" si="292"/>
        <v>10206.84</v>
      </c>
      <c r="J672" s="201">
        <f>+ROUND(E672*G672,2)</f>
        <v>6255.3</v>
      </c>
      <c r="K672" s="93" t="e">
        <f>+ROUND(I672+J672*TC,2)</f>
        <v>#REF!</v>
      </c>
      <c r="L672" s="97"/>
    </row>
    <row r="673" spans="2:12" ht="14.1" customHeight="1" outlineLevel="3">
      <c r="B673" s="362">
        <f>B671+0.00000001</f>
        <v>6.2501010299999944</v>
      </c>
      <c r="C673" s="518" t="s">
        <v>1013</v>
      </c>
      <c r="D673" s="81"/>
      <c r="E673" s="111"/>
      <c r="F673" s="93" t="s">
        <v>8</v>
      </c>
      <c r="G673" s="523" t="s">
        <v>8</v>
      </c>
      <c r="H673" s="213"/>
      <c r="I673" s="213"/>
      <c r="J673" s="201"/>
      <c r="K673" s="93"/>
      <c r="L673" s="343"/>
    </row>
    <row r="674" spans="2:12" ht="15.75" customHeight="1" outlineLevel="4">
      <c r="B674" s="363">
        <f>B673+0.0000000001</f>
        <v>6.2501010300999944</v>
      </c>
      <c r="C674" s="512" t="s">
        <v>1349</v>
      </c>
      <c r="D674" s="81" t="s">
        <v>36</v>
      </c>
      <c r="E674" s="111">
        <v>0</v>
      </c>
      <c r="F674" s="93">
        <v>235.1</v>
      </c>
      <c r="G674" s="523"/>
      <c r="H674" s="213" t="e">
        <f>+ROUND(F674+G674*TC,2)</f>
        <v>#REF!</v>
      </c>
      <c r="I674" s="213">
        <f t="shared" si="292"/>
        <v>0</v>
      </c>
      <c r="J674" s="201">
        <f>+ROUND(E674*G674,2)</f>
        <v>0</v>
      </c>
      <c r="K674" s="93" t="e">
        <f>+ROUND(I674+J674*TC,2)</f>
        <v>#REF!</v>
      </c>
      <c r="L674" s="97"/>
    </row>
    <row r="675" spans="2:12" ht="14.1" customHeight="1" outlineLevel="2">
      <c r="B675" s="344">
        <f>B667+0.000001</f>
        <v>6.2501019999999947</v>
      </c>
      <c r="C675" s="517" t="s">
        <v>1350</v>
      </c>
      <c r="D675" s="81"/>
      <c r="E675" s="111"/>
      <c r="F675" s="93" t="s">
        <v>8</v>
      </c>
      <c r="G675" s="523" t="s">
        <v>8</v>
      </c>
      <c r="H675" s="213"/>
      <c r="I675" s="213"/>
      <c r="J675" s="201"/>
      <c r="K675" s="93"/>
      <c r="L675" s="343"/>
    </row>
    <row r="676" spans="2:12" ht="14.1" customHeight="1" outlineLevel="3">
      <c r="B676" s="362">
        <f>B675+0.00000001</f>
        <v>6.2501020099999947</v>
      </c>
      <c r="C676" s="518" t="s">
        <v>1351</v>
      </c>
      <c r="D676" s="81"/>
      <c r="E676" s="111"/>
      <c r="F676" s="93" t="s">
        <v>8</v>
      </c>
      <c r="G676" s="523" t="s">
        <v>8</v>
      </c>
      <c r="H676" s="213"/>
      <c r="I676" s="213"/>
      <c r="J676" s="201"/>
      <c r="K676" s="93"/>
      <c r="L676" s="343"/>
    </row>
    <row r="677" spans="2:12" outlineLevel="4">
      <c r="B677" s="363">
        <f>B676+0.0000000001</f>
        <v>6.2501020100999947</v>
      </c>
      <c r="C677" s="512" t="s">
        <v>1352</v>
      </c>
      <c r="D677" s="81" t="s">
        <v>36</v>
      </c>
      <c r="E677" s="111">
        <v>242</v>
      </c>
      <c r="F677" s="93">
        <v>31.060000000000002</v>
      </c>
      <c r="G677" s="523">
        <v>28</v>
      </c>
      <c r="H677" s="213" t="e">
        <f>+ROUND(F677+G677*TC,2)</f>
        <v>#REF!</v>
      </c>
      <c r="I677" s="213">
        <f t="shared" si="292"/>
        <v>7516.52</v>
      </c>
      <c r="J677" s="201">
        <f t="shared" si="294"/>
        <v>6776</v>
      </c>
      <c r="K677" s="93" t="e">
        <f>+ROUND(I677+J677*TC,2)</f>
        <v>#REF!</v>
      </c>
      <c r="L677" s="97"/>
    </row>
    <row r="678" spans="2:12" outlineLevel="4">
      <c r="B678" s="363">
        <f>B677+0.0000000001</f>
        <v>6.2501020101999947</v>
      </c>
      <c r="C678" s="512" t="s">
        <v>1353</v>
      </c>
      <c r="D678" s="81" t="s">
        <v>36</v>
      </c>
      <c r="E678" s="111">
        <v>242</v>
      </c>
      <c r="F678" s="93">
        <v>0</v>
      </c>
      <c r="G678" s="523">
        <v>47</v>
      </c>
      <c r="H678" s="213" t="e">
        <f>+ROUND(F678+G678*TC,2)</f>
        <v>#REF!</v>
      </c>
      <c r="I678" s="213">
        <f t="shared" si="292"/>
        <v>0</v>
      </c>
      <c r="J678" s="201">
        <f t="shared" si="294"/>
        <v>11374</v>
      </c>
      <c r="K678" s="93" t="e">
        <f>+ROUND(I678+J678*TC,2)</f>
        <v>#REF!</v>
      </c>
      <c r="L678" s="97"/>
    </row>
    <row r="679" spans="2:12" outlineLevel="3">
      <c r="B679" s="362">
        <f>B676+0.00000001</f>
        <v>6.2501020199999946</v>
      </c>
      <c r="C679" s="518" t="s">
        <v>1347</v>
      </c>
      <c r="D679" s="81"/>
      <c r="E679" s="111"/>
      <c r="F679" s="93" t="s">
        <v>8</v>
      </c>
      <c r="G679" s="523" t="s">
        <v>8</v>
      </c>
      <c r="H679" s="213"/>
      <c r="I679" s="213"/>
      <c r="J679" s="201"/>
      <c r="K679" s="93"/>
      <c r="L679" s="97"/>
    </row>
    <row r="680" spans="2:12" ht="22.5" outlineLevel="4">
      <c r="B680" s="363">
        <f>B679+0.0000000001</f>
        <v>6.2501020200999946</v>
      </c>
      <c r="C680" s="524" t="s">
        <v>1354</v>
      </c>
      <c r="D680" s="81" t="s">
        <v>36</v>
      </c>
      <c r="E680" s="111">
        <v>174</v>
      </c>
      <c r="F680" s="93">
        <v>31.060000000000002</v>
      </c>
      <c r="G680" s="523">
        <v>27.77</v>
      </c>
      <c r="H680" s="213" t="e">
        <f>+ROUND(F680+G680*TC,2)</f>
        <v>#REF!</v>
      </c>
      <c r="I680" s="213">
        <f t="shared" si="292"/>
        <v>5404.44</v>
      </c>
      <c r="J680" s="201">
        <f t="shared" si="294"/>
        <v>4831.9799999999996</v>
      </c>
      <c r="K680" s="93" t="e">
        <f>+ROUND(I680+J680*TC,2)</f>
        <v>#REF!</v>
      </c>
      <c r="L680" s="97"/>
    </row>
    <row r="681" spans="2:12" ht="13.15" customHeight="1" outlineLevel="3">
      <c r="B681" s="362">
        <f>B679+0.00000001</f>
        <v>6.2501020299999945</v>
      </c>
      <c r="C681" s="518" t="s">
        <v>1013</v>
      </c>
      <c r="D681" s="81"/>
      <c r="E681" s="111"/>
      <c r="F681" s="93" t="s">
        <v>8</v>
      </c>
      <c r="G681" s="523" t="s">
        <v>8</v>
      </c>
      <c r="H681" s="213"/>
      <c r="I681" s="213"/>
      <c r="J681" s="201"/>
      <c r="K681" s="93"/>
      <c r="L681" s="97"/>
    </row>
    <row r="682" spans="2:12" ht="15.75" customHeight="1" outlineLevel="4">
      <c r="B682" s="363">
        <f>B681+0.0000000001</f>
        <v>6.2501020300999945</v>
      </c>
      <c r="C682" s="525" t="s">
        <v>1355</v>
      </c>
      <c r="D682" s="81" t="s">
        <v>36</v>
      </c>
      <c r="E682" s="111">
        <v>0</v>
      </c>
      <c r="F682" s="93">
        <v>25.57</v>
      </c>
      <c r="G682" s="523">
        <v>0</v>
      </c>
      <c r="H682" s="213" t="e">
        <f>+ROUND(F682+G682*TC,2)</f>
        <v>#REF!</v>
      </c>
      <c r="I682" s="213">
        <f t="shared" si="292"/>
        <v>0</v>
      </c>
      <c r="J682" s="201">
        <f t="shared" si="294"/>
        <v>0</v>
      </c>
      <c r="K682" s="93" t="e">
        <f>+ROUND(I682+J682*TC,2)</f>
        <v>#REF!</v>
      </c>
      <c r="L682" s="97"/>
    </row>
    <row r="683" spans="2:12" ht="14.1" customHeight="1" outlineLevel="1">
      <c r="B683" s="140">
        <f>B666+0.0001</f>
        <v>6.2501999999999942</v>
      </c>
      <c r="C683" s="342" t="s">
        <v>1069</v>
      </c>
      <c r="D683" s="81"/>
      <c r="E683" s="111"/>
      <c r="F683" s="93" t="s">
        <v>8</v>
      </c>
      <c r="G683" s="523" t="s">
        <v>8</v>
      </c>
      <c r="H683" s="213"/>
      <c r="I683" s="213"/>
      <c r="J683" s="201"/>
      <c r="K683" s="93"/>
      <c r="L683" s="97"/>
    </row>
    <row r="684" spans="2:12" ht="14.1" customHeight="1" outlineLevel="2">
      <c r="B684" s="344">
        <f>B683+0.000001</f>
        <v>6.2502009999999943</v>
      </c>
      <c r="C684" s="517" t="s">
        <v>1343</v>
      </c>
      <c r="D684" s="81"/>
      <c r="E684" s="111"/>
      <c r="F684" s="93" t="s">
        <v>8</v>
      </c>
      <c r="G684" s="523" t="s">
        <v>8</v>
      </c>
      <c r="H684" s="213"/>
      <c r="I684" s="213"/>
      <c r="J684" s="201"/>
      <c r="K684" s="93"/>
      <c r="L684" s="343"/>
    </row>
    <row r="685" spans="2:12" ht="14.1" customHeight="1" outlineLevel="3">
      <c r="B685" s="362">
        <f>B684+0.00000001</f>
        <v>6.2502010099999943</v>
      </c>
      <c r="C685" s="518" t="s">
        <v>1356</v>
      </c>
      <c r="D685" s="81"/>
      <c r="E685" s="111"/>
      <c r="F685" s="93" t="s">
        <v>8</v>
      </c>
      <c r="G685" s="523" t="s">
        <v>8</v>
      </c>
      <c r="H685" s="213"/>
      <c r="I685" s="213"/>
      <c r="J685" s="201"/>
      <c r="K685" s="93"/>
      <c r="L685" s="343"/>
    </row>
    <row r="686" spans="2:12" ht="22.5" outlineLevel="4">
      <c r="B686" s="363">
        <f>B685+0.0000000001</f>
        <v>6.2502010100999943</v>
      </c>
      <c r="C686" s="360" t="s">
        <v>1345</v>
      </c>
      <c r="D686" s="81" t="s">
        <v>36</v>
      </c>
      <c r="E686" s="111">
        <v>11</v>
      </c>
      <c r="F686" s="93">
        <v>41.55</v>
      </c>
      <c r="G686" s="523">
        <v>72</v>
      </c>
      <c r="H686" s="213" t="e">
        <f>+ROUND(F686+G686*TC,2)</f>
        <v>#REF!</v>
      </c>
      <c r="I686" s="213">
        <f t="shared" si="292"/>
        <v>457.05</v>
      </c>
      <c r="J686" s="201">
        <f t="shared" si="294"/>
        <v>792</v>
      </c>
      <c r="K686" s="93" t="e">
        <f>+ROUND(I686+J686*TC,2)</f>
        <v>#REF!</v>
      </c>
      <c r="L686" s="97"/>
    </row>
    <row r="687" spans="2:12" ht="15.75" customHeight="1" outlineLevel="4">
      <c r="B687" s="363">
        <f>B686+0.0000000001</f>
        <v>6.2502010101999943</v>
      </c>
      <c r="C687" s="361" t="s">
        <v>1357</v>
      </c>
      <c r="D687" s="81" t="s">
        <v>36</v>
      </c>
      <c r="E687" s="111">
        <v>13</v>
      </c>
      <c r="F687" s="93">
        <v>103.43</v>
      </c>
      <c r="G687" s="523">
        <v>0</v>
      </c>
      <c r="H687" s="213" t="e">
        <f>+ROUND(F687+G687*TC,2)</f>
        <v>#REF!</v>
      </c>
      <c r="I687" s="213">
        <f t="shared" si="292"/>
        <v>1344.59</v>
      </c>
      <c r="J687" s="201">
        <f t="shared" si="294"/>
        <v>0</v>
      </c>
      <c r="K687" s="93" t="e">
        <f>+ROUND(I687+J687*TC,2)</f>
        <v>#REF!</v>
      </c>
      <c r="L687" s="97"/>
    </row>
    <row r="688" spans="2:12" ht="15.75" customHeight="1" outlineLevel="4">
      <c r="B688" s="363">
        <f>B687+0.0000000001</f>
        <v>6.2502010102999943</v>
      </c>
      <c r="C688" s="361" t="s">
        <v>1358</v>
      </c>
      <c r="D688" s="81" t="s">
        <v>36</v>
      </c>
      <c r="E688" s="111">
        <v>3</v>
      </c>
      <c r="F688" s="93">
        <v>163.06</v>
      </c>
      <c r="G688" s="523">
        <v>0</v>
      </c>
      <c r="H688" s="213" t="e">
        <f>+ROUND(F688+G688*TC,2)</f>
        <v>#REF!</v>
      </c>
      <c r="I688" s="213">
        <f t="shared" si="292"/>
        <v>489.18</v>
      </c>
      <c r="J688" s="201">
        <f t="shared" si="294"/>
        <v>0</v>
      </c>
      <c r="K688" s="93" t="e">
        <f>+ROUND(I688+J688*TC,2)</f>
        <v>#REF!</v>
      </c>
      <c r="L688" s="97"/>
    </row>
    <row r="689" spans="2:12" ht="13.15" customHeight="1" outlineLevel="3">
      <c r="B689" s="362">
        <f>B685+0.00000001</f>
        <v>6.2502010199999942</v>
      </c>
      <c r="C689" s="518" t="s">
        <v>1359</v>
      </c>
      <c r="D689" s="81"/>
      <c r="E689" s="111"/>
      <c r="F689" s="93" t="s">
        <v>8</v>
      </c>
      <c r="G689" s="523" t="s">
        <v>8</v>
      </c>
      <c r="H689" s="213"/>
      <c r="I689" s="213"/>
      <c r="J689" s="201"/>
      <c r="K689" s="93"/>
      <c r="L689" s="97"/>
    </row>
    <row r="690" spans="2:12" ht="15.75" customHeight="1" outlineLevel="4">
      <c r="B690" s="363">
        <f>B689+0.0000000001</f>
        <v>6.2502010200999942</v>
      </c>
      <c r="C690" s="361" t="s">
        <v>1360</v>
      </c>
      <c r="D690" s="81" t="s">
        <v>36</v>
      </c>
      <c r="E690" s="111">
        <v>6</v>
      </c>
      <c r="F690" s="93">
        <v>230.82</v>
      </c>
      <c r="G690" s="523">
        <v>0</v>
      </c>
      <c r="H690" s="213" t="e">
        <f>+ROUND(F690+G690*TC,2)</f>
        <v>#REF!</v>
      </c>
      <c r="I690" s="213">
        <f t="shared" si="292"/>
        <v>1384.92</v>
      </c>
      <c r="J690" s="201">
        <f t="shared" si="294"/>
        <v>0</v>
      </c>
      <c r="K690" s="93" t="e">
        <f>+ROUND(I690+J690*TC,2)</f>
        <v>#REF!</v>
      </c>
      <c r="L690" s="97"/>
    </row>
    <row r="691" spans="2:12" ht="13.15" customHeight="1" outlineLevel="3">
      <c r="B691" s="362">
        <f>B689+0.00000001</f>
        <v>6.2502010299999942</v>
      </c>
      <c r="C691" s="518" t="s">
        <v>1361</v>
      </c>
      <c r="D691" s="81"/>
      <c r="E691" s="111"/>
      <c r="F691" s="93" t="s">
        <v>8</v>
      </c>
      <c r="G691" s="523" t="s">
        <v>8</v>
      </c>
      <c r="H691" s="213"/>
      <c r="I691" s="213"/>
      <c r="J691" s="201"/>
      <c r="K691" s="93"/>
      <c r="L691" s="97"/>
    </row>
    <row r="692" spans="2:12" ht="15.75" customHeight="1" outlineLevel="4">
      <c r="B692" s="363">
        <f>B691+0.0000000001</f>
        <v>6.2502010300999942</v>
      </c>
      <c r="C692" s="512" t="s">
        <v>1349</v>
      </c>
      <c r="D692" s="81" t="s">
        <v>36</v>
      </c>
      <c r="E692" s="111">
        <v>42</v>
      </c>
      <c r="F692" s="93">
        <v>235.1</v>
      </c>
      <c r="G692" s="523">
        <v>0</v>
      </c>
      <c r="H692" s="213" t="e">
        <f>+ROUND(F692+G692*TC,2)</f>
        <v>#REF!</v>
      </c>
      <c r="I692" s="213">
        <f t="shared" si="292"/>
        <v>9874.2000000000007</v>
      </c>
      <c r="J692" s="201">
        <f t="shared" ref="J692" si="295">+ROUND(E692*G692,2)</f>
        <v>0</v>
      </c>
      <c r="K692" s="93" t="e">
        <f>+ROUND(I692+J692*TC,2)</f>
        <v>#REF!</v>
      </c>
      <c r="L692" s="97"/>
    </row>
    <row r="693" spans="2:12" ht="14.1" customHeight="1" outlineLevel="2">
      <c r="B693" s="344">
        <f>B684+0.000001</f>
        <v>6.2502019999999945</v>
      </c>
      <c r="C693" s="517" t="s">
        <v>1350</v>
      </c>
      <c r="D693" s="81"/>
      <c r="E693" s="111"/>
      <c r="F693" s="93" t="s">
        <v>8</v>
      </c>
      <c r="G693" s="523" t="s">
        <v>8</v>
      </c>
      <c r="H693" s="213"/>
      <c r="I693" s="213"/>
      <c r="J693" s="201"/>
      <c r="K693" s="93"/>
      <c r="L693" s="97"/>
    </row>
    <row r="694" spans="2:12" ht="14.1" customHeight="1" outlineLevel="3">
      <c r="B694" s="362">
        <f>B693+0.00000001</f>
        <v>6.2502020099999944</v>
      </c>
      <c r="C694" s="518" t="s">
        <v>1356</v>
      </c>
      <c r="D694" s="81"/>
      <c r="E694" s="111"/>
      <c r="F694" s="93" t="s">
        <v>8</v>
      </c>
      <c r="G694" s="523" t="s">
        <v>8</v>
      </c>
      <c r="H694" s="213"/>
      <c r="I694" s="213"/>
      <c r="J694" s="201"/>
      <c r="K694" s="93"/>
      <c r="L694" s="97"/>
    </row>
    <row r="695" spans="2:12" ht="22.5" outlineLevel="4">
      <c r="B695" s="363">
        <f>B694+0.0000000001</f>
        <v>6.2502020100999944</v>
      </c>
      <c r="C695" s="360" t="s">
        <v>1362</v>
      </c>
      <c r="D695" s="81" t="s">
        <v>36</v>
      </c>
      <c r="E695" s="111">
        <v>13</v>
      </c>
      <c r="F695" s="93">
        <v>31.060000000000002</v>
      </c>
      <c r="G695" s="523">
        <v>16.350000000000001</v>
      </c>
      <c r="H695" s="213" t="e">
        <f>+ROUND(F695+G695*TC,2)</f>
        <v>#REF!</v>
      </c>
      <c r="I695" s="213">
        <f t="shared" si="292"/>
        <v>403.78</v>
      </c>
      <c r="J695" s="201">
        <f t="shared" si="294"/>
        <v>212.55</v>
      </c>
      <c r="K695" s="93" t="e">
        <f>+ROUND(I695+J695*TC,2)</f>
        <v>#REF!</v>
      </c>
      <c r="L695" s="97"/>
    </row>
    <row r="696" spans="2:12" ht="22.5" outlineLevel="4">
      <c r="B696" s="363">
        <f>B695+0.0000000001</f>
        <v>6.2502020101999944</v>
      </c>
      <c r="C696" s="360" t="s">
        <v>1363</v>
      </c>
      <c r="D696" s="81" t="s">
        <v>36</v>
      </c>
      <c r="E696" s="111">
        <v>3</v>
      </c>
      <c r="F696" s="93">
        <v>0</v>
      </c>
      <c r="G696" s="523">
        <v>23.41</v>
      </c>
      <c r="H696" s="213" t="e">
        <f>+ROUND(F696+G696*TC,2)</f>
        <v>#REF!</v>
      </c>
      <c r="I696" s="213">
        <f t="shared" si="292"/>
        <v>0</v>
      </c>
      <c r="J696" s="201">
        <f t="shared" si="294"/>
        <v>70.23</v>
      </c>
      <c r="K696" s="93" t="e">
        <f>+ROUND(I696+J696*TC,2)</f>
        <v>#REF!</v>
      </c>
      <c r="L696" s="97"/>
    </row>
    <row r="697" spans="2:12" ht="15.75" customHeight="1" outlineLevel="4">
      <c r="B697" s="363">
        <f>B696+0.0000000001</f>
        <v>6.2502020102999944</v>
      </c>
      <c r="C697" s="361" t="s">
        <v>1364</v>
      </c>
      <c r="D697" s="81" t="s">
        <v>36</v>
      </c>
      <c r="E697" s="111">
        <v>3</v>
      </c>
      <c r="F697" s="93">
        <v>372.81</v>
      </c>
      <c r="G697" s="523">
        <v>0</v>
      </c>
      <c r="H697" s="213" t="e">
        <f>+ROUND(F697+G697*TC,2)</f>
        <v>#REF!</v>
      </c>
      <c r="I697" s="213">
        <f t="shared" si="292"/>
        <v>1118.43</v>
      </c>
      <c r="J697" s="201">
        <f t="shared" si="294"/>
        <v>0</v>
      </c>
      <c r="K697" s="93" t="e">
        <f>+ROUND(I697+J697*TC,2)</f>
        <v>#REF!</v>
      </c>
      <c r="L697" s="97"/>
    </row>
    <row r="698" spans="2:12" ht="14.1" customHeight="1" outlineLevel="3">
      <c r="B698" s="362">
        <f>B694+0.00000001</f>
        <v>6.2502020199999944</v>
      </c>
      <c r="C698" s="518" t="s">
        <v>1359</v>
      </c>
      <c r="D698" s="81"/>
      <c r="E698" s="111"/>
      <c r="F698" s="93" t="s">
        <v>8</v>
      </c>
      <c r="G698" s="523" t="s">
        <v>8</v>
      </c>
      <c r="H698" s="213"/>
      <c r="I698" s="213"/>
      <c r="J698" s="201"/>
      <c r="K698" s="93"/>
      <c r="L698" s="343"/>
    </row>
    <row r="699" spans="2:12" ht="15.75" customHeight="1" outlineLevel="4">
      <c r="B699" s="363">
        <f>B698+0.0000000001</f>
        <v>6.2502020200999944</v>
      </c>
      <c r="C699" s="361" t="s">
        <v>1365</v>
      </c>
      <c r="D699" s="81" t="s">
        <v>36</v>
      </c>
      <c r="E699" s="111">
        <v>6</v>
      </c>
      <c r="F699" s="93">
        <v>31.060000000000002</v>
      </c>
      <c r="G699" s="523">
        <v>50</v>
      </c>
      <c r="H699" s="213" t="e">
        <f>+ROUND(F699+G699*TC,2)</f>
        <v>#REF!</v>
      </c>
      <c r="I699" s="213">
        <f t="shared" si="292"/>
        <v>186.36</v>
      </c>
      <c r="J699" s="201">
        <f t="shared" si="294"/>
        <v>300</v>
      </c>
      <c r="K699" s="93" t="e">
        <f>+ROUND(I699+J699*TC,2)</f>
        <v>#REF!</v>
      </c>
      <c r="L699" s="97"/>
    </row>
    <row r="700" spans="2:12" ht="13.15" customHeight="1" outlineLevel="3">
      <c r="B700" s="362">
        <f>B698+0.00000001</f>
        <v>6.2502020299999943</v>
      </c>
      <c r="C700" s="518" t="s">
        <v>1361</v>
      </c>
      <c r="D700" s="81"/>
      <c r="E700" s="111"/>
      <c r="F700" s="93" t="s">
        <v>8</v>
      </c>
      <c r="G700" s="523" t="s">
        <v>8</v>
      </c>
      <c r="H700" s="213"/>
      <c r="I700" s="213"/>
      <c r="J700" s="201"/>
      <c r="K700" s="93"/>
      <c r="L700" s="97"/>
    </row>
    <row r="701" spans="2:12" ht="15.75" customHeight="1" outlineLevel="4">
      <c r="B701" s="363">
        <f>B700+0.0000000001</f>
        <v>6.2502020300999943</v>
      </c>
      <c r="C701" s="525" t="s">
        <v>1355</v>
      </c>
      <c r="D701" s="81" t="s">
        <v>36</v>
      </c>
      <c r="E701" s="111">
        <v>42</v>
      </c>
      <c r="F701" s="93">
        <v>25.57</v>
      </c>
      <c r="G701" s="523">
        <v>0</v>
      </c>
      <c r="H701" s="213" t="e">
        <f>+ROUND(F701+G701*TC,2)</f>
        <v>#REF!</v>
      </c>
      <c r="I701" s="213">
        <f t="shared" si="292"/>
        <v>1073.94</v>
      </c>
      <c r="J701" s="201">
        <f t="shared" ref="J701:J707" si="296">+ROUND(E701*G701,2)</f>
        <v>0</v>
      </c>
      <c r="K701" s="93" t="e">
        <f>+ROUND(I701+J701*TC,2)</f>
        <v>#REF!</v>
      </c>
      <c r="L701" s="97"/>
    </row>
    <row r="702" spans="2:12" ht="14.1" customHeight="1" outlineLevel="2">
      <c r="B702" s="344">
        <f>B693+0.000001</f>
        <v>6.2502029999999946</v>
      </c>
      <c r="C702" s="517" t="s">
        <v>1366</v>
      </c>
      <c r="D702" s="81"/>
      <c r="E702" s="111"/>
      <c r="F702" s="93" t="s">
        <v>8</v>
      </c>
      <c r="G702" s="523" t="s">
        <v>8</v>
      </c>
      <c r="H702" s="213"/>
      <c r="I702" s="213"/>
      <c r="J702" s="201"/>
      <c r="K702" s="93"/>
      <c r="L702" s="97"/>
    </row>
    <row r="703" spans="2:12" ht="15.75" customHeight="1" outlineLevel="4">
      <c r="B703" s="367">
        <f>B702+0.00000001</f>
        <v>6.2502030099999946</v>
      </c>
      <c r="C703" s="361" t="s">
        <v>1367</v>
      </c>
      <c r="D703" s="81" t="s">
        <v>36</v>
      </c>
      <c r="E703" s="111">
        <v>5</v>
      </c>
      <c r="F703" s="93">
        <v>250</v>
      </c>
      <c r="G703" s="523">
        <v>0</v>
      </c>
      <c r="H703" s="213" t="e">
        <f>+ROUND(F703+G703*TC,2)</f>
        <v>#REF!</v>
      </c>
      <c r="I703" s="213">
        <f t="shared" si="292"/>
        <v>1250</v>
      </c>
      <c r="J703" s="201">
        <f t="shared" si="296"/>
        <v>0</v>
      </c>
      <c r="K703" s="93" t="e">
        <f>+ROUND(I703+J703*TC,2)</f>
        <v>#REF!</v>
      </c>
      <c r="L703" s="97"/>
    </row>
    <row r="704" spans="2:12" ht="13.5" customHeight="1">
      <c r="B704" s="218">
        <f>B665+0.01</f>
        <v>6.2599999999999945</v>
      </c>
      <c r="C704" s="508" t="s">
        <v>1368</v>
      </c>
      <c r="D704" s="81"/>
      <c r="E704" s="81"/>
      <c r="F704" s="81"/>
      <c r="G704" s="81"/>
      <c r="H704" s="213"/>
      <c r="I704" s="213">
        <f t="shared" si="292"/>
        <v>0</v>
      </c>
      <c r="J704" s="201"/>
      <c r="K704" s="93"/>
      <c r="L704" s="612" t="e">
        <f>SUM(I704:I713)+SUM(J704:J713)*TC</f>
        <v>#REF!</v>
      </c>
    </row>
    <row r="705" spans="2:12" ht="13.15" customHeight="1" outlineLevel="1">
      <c r="B705" s="140">
        <f>B704+0.0001</f>
        <v>6.2600999999999942</v>
      </c>
      <c r="C705" s="342" t="s">
        <v>1369</v>
      </c>
      <c r="D705" s="81"/>
      <c r="E705" s="111"/>
      <c r="F705" s="93" t="s">
        <v>8</v>
      </c>
      <c r="G705" s="103"/>
      <c r="H705" s="213"/>
      <c r="I705" s="213"/>
      <c r="J705" s="201"/>
      <c r="K705" s="93"/>
      <c r="L705" s="97"/>
    </row>
    <row r="706" spans="2:12" ht="15.75" customHeight="1" outlineLevel="3">
      <c r="B706" s="346">
        <f>B705+0.00000001</f>
        <v>6.2601000099999942</v>
      </c>
      <c r="C706" s="361" t="s">
        <v>1370</v>
      </c>
      <c r="D706" s="81" t="s">
        <v>46</v>
      </c>
      <c r="E706" s="111">
        <v>375</v>
      </c>
      <c r="F706" s="93">
        <v>0</v>
      </c>
      <c r="G706" s="103">
        <v>89</v>
      </c>
      <c r="H706" s="213" t="e">
        <f>+ROUND(F706+G706*TC,2)</f>
        <v>#REF!</v>
      </c>
      <c r="I706" s="213">
        <f t="shared" si="292"/>
        <v>0</v>
      </c>
      <c r="J706" s="201">
        <f t="shared" si="296"/>
        <v>33375</v>
      </c>
      <c r="K706" s="93" t="e">
        <f>+ROUND(I706+J706*TC,2)</f>
        <v>#REF!</v>
      </c>
      <c r="L706" s="97"/>
    </row>
    <row r="707" spans="2:12" ht="15.75" customHeight="1" outlineLevel="3">
      <c r="B707" s="346">
        <f t="shared" ref="B707" si="297">B706+0.00000001</f>
        <v>6.2601000199999941</v>
      </c>
      <c r="C707" s="361" t="s">
        <v>1371</v>
      </c>
      <c r="D707" s="81" t="s">
        <v>46</v>
      </c>
      <c r="E707" s="111">
        <v>375</v>
      </c>
      <c r="F707" s="93">
        <v>0</v>
      </c>
      <c r="G707" s="103">
        <v>95</v>
      </c>
      <c r="H707" s="213" t="e">
        <f>+ROUND(F707+G707*TC,2)</f>
        <v>#REF!</v>
      </c>
      <c r="I707" s="213">
        <f t="shared" si="292"/>
        <v>0</v>
      </c>
      <c r="J707" s="201">
        <f t="shared" si="296"/>
        <v>35625</v>
      </c>
      <c r="K707" s="93" t="e">
        <f>+ROUND(I707+J707*TC,2)</f>
        <v>#REF!</v>
      </c>
      <c r="L707" s="97"/>
    </row>
    <row r="708" spans="2:12" ht="13.15" customHeight="1" outlineLevel="1">
      <c r="B708" s="140">
        <f>B705+0.0001</f>
        <v>6.260199999999994</v>
      </c>
      <c r="C708" s="342" t="s">
        <v>1069</v>
      </c>
      <c r="D708" s="81"/>
      <c r="E708" s="111"/>
      <c r="F708" s="93" t="s">
        <v>8</v>
      </c>
      <c r="G708" s="103"/>
      <c r="H708" s="213"/>
      <c r="I708" s="213"/>
      <c r="J708" s="201"/>
      <c r="K708" s="93"/>
      <c r="L708" s="97"/>
    </row>
    <row r="709" spans="2:12" ht="15.75" customHeight="1" outlineLevel="3">
      <c r="B709" s="346">
        <f t="shared" ref="B709:B710" si="298">B708+0.00000001</f>
        <v>6.2602000099999939</v>
      </c>
      <c r="C709" s="361" t="s">
        <v>1372</v>
      </c>
      <c r="D709" s="81" t="s">
        <v>46</v>
      </c>
      <c r="E709" s="111">
        <v>31.4</v>
      </c>
      <c r="F709" s="93">
        <v>0</v>
      </c>
      <c r="G709" s="103">
        <v>119</v>
      </c>
      <c r="H709" s="213" t="e">
        <f>+ROUND(F709+G709*TC,2)</f>
        <v>#REF!</v>
      </c>
      <c r="I709" s="213">
        <f t="shared" si="292"/>
        <v>0</v>
      </c>
      <c r="J709" s="201">
        <f t="shared" ref="J709:J710" si="299">+ROUND(E709*G709,2)</f>
        <v>3736.6</v>
      </c>
      <c r="K709" s="93" t="e">
        <f>+ROUND(I709+J709*TC,2)</f>
        <v>#REF!</v>
      </c>
      <c r="L709" s="97"/>
    </row>
    <row r="710" spans="2:12" ht="15.75" customHeight="1" outlineLevel="3">
      <c r="B710" s="346">
        <f t="shared" si="298"/>
        <v>6.2602000199999939</v>
      </c>
      <c r="C710" s="361" t="s">
        <v>1373</v>
      </c>
      <c r="D710" s="81" t="s">
        <v>46</v>
      </c>
      <c r="E710" s="111">
        <v>25.8</v>
      </c>
      <c r="F710" s="93">
        <v>0</v>
      </c>
      <c r="G710" s="103">
        <v>99</v>
      </c>
      <c r="H710" s="213" t="e">
        <f>+ROUND(F710+G710*TC,2)</f>
        <v>#REF!</v>
      </c>
      <c r="I710" s="213">
        <f t="shared" si="292"/>
        <v>0</v>
      </c>
      <c r="J710" s="201">
        <f t="shared" si="299"/>
        <v>2554.1999999999998</v>
      </c>
      <c r="K710" s="93" t="e">
        <f>+ROUND(I710+J710*TC,2)</f>
        <v>#REF!</v>
      </c>
      <c r="L710" s="97"/>
    </row>
    <row r="711" spans="2:12" ht="13.15" customHeight="1" outlineLevel="1">
      <c r="B711" s="140">
        <f>B708+0.0001</f>
        <v>6.2602999999999938</v>
      </c>
      <c r="C711" s="342" t="s">
        <v>1374</v>
      </c>
      <c r="D711" s="81"/>
      <c r="E711" s="111"/>
      <c r="F711" s="93" t="s">
        <v>8</v>
      </c>
      <c r="G711" s="103"/>
      <c r="H711" s="213"/>
      <c r="I711" s="213"/>
      <c r="J711" s="201"/>
      <c r="K711" s="93"/>
      <c r="L711" s="97"/>
    </row>
    <row r="712" spans="2:12" ht="15.75" customHeight="1" outlineLevel="2">
      <c r="B712" s="143">
        <f>B711+0.000001</f>
        <v>6.2603009999999939</v>
      </c>
      <c r="C712" s="361" t="s">
        <v>1375</v>
      </c>
      <c r="D712" s="81" t="s">
        <v>29</v>
      </c>
      <c r="E712" s="111">
        <v>0</v>
      </c>
      <c r="F712" s="106">
        <v>7925.8277966101596</v>
      </c>
      <c r="G712" s="103"/>
      <c r="H712" s="213" t="e">
        <f>+ROUND(F712+G712*TC,2)</f>
        <v>#REF!</v>
      </c>
      <c r="I712" s="213">
        <f t="shared" si="292"/>
        <v>0</v>
      </c>
      <c r="J712" s="201">
        <f t="shared" ref="J712:J767" si="300">+ROUND(E712*G712,2)</f>
        <v>0</v>
      </c>
      <c r="K712" s="93" t="e">
        <f>+ROUND(I712+J712*TC,2)</f>
        <v>#REF!</v>
      </c>
      <c r="L712" s="97"/>
    </row>
    <row r="713" spans="2:12" ht="15" customHeight="1" outlineLevel="2">
      <c r="B713" s="143">
        <f>B712+0.000001</f>
        <v>6.260301999999994</v>
      </c>
      <c r="C713" s="361" t="s">
        <v>1376</v>
      </c>
      <c r="D713" s="81" t="s">
        <v>29</v>
      </c>
      <c r="E713" s="111">
        <v>1</v>
      </c>
      <c r="F713" s="106">
        <v>3833.25</v>
      </c>
      <c r="G713" s="103"/>
      <c r="H713" s="213" t="e">
        <f>+ROUND(F713+G713*TC,2)</f>
        <v>#REF!</v>
      </c>
      <c r="I713" s="213">
        <f t="shared" si="292"/>
        <v>3833.25</v>
      </c>
      <c r="J713" s="201">
        <f t="shared" si="300"/>
        <v>0</v>
      </c>
      <c r="K713" s="93" t="e">
        <f>+ROUND(I713+J713*TC,2)</f>
        <v>#REF!</v>
      </c>
      <c r="L713" s="97"/>
    </row>
    <row r="714" spans="2:12" ht="13.5" customHeight="1">
      <c r="B714" s="218">
        <f>B704+0.01</f>
        <v>6.2699999999999942</v>
      </c>
      <c r="C714" s="508" t="s">
        <v>771</v>
      </c>
      <c r="D714" s="81"/>
      <c r="E714" s="111"/>
      <c r="F714" s="93" t="s">
        <v>8</v>
      </c>
      <c r="G714" s="82"/>
      <c r="H714" s="213"/>
      <c r="I714" s="213"/>
      <c r="J714" s="201"/>
      <c r="K714" s="93"/>
      <c r="L714" s="136" t="e">
        <f>SUM(I714:I737)+SUM(J714:J737)*TC</f>
        <v>#REF!</v>
      </c>
    </row>
    <row r="715" spans="2:12" outlineLevel="1">
      <c r="B715" s="364">
        <f>B714+0.0001</f>
        <v>6.270099999999994</v>
      </c>
      <c r="C715" s="361" t="s">
        <v>772</v>
      </c>
      <c r="D715" s="81" t="s">
        <v>36</v>
      </c>
      <c r="E715" s="111">
        <v>3</v>
      </c>
      <c r="F715" s="93">
        <v>0</v>
      </c>
      <c r="G715" s="368">
        <v>27.12</v>
      </c>
      <c r="H715" s="329" t="e">
        <f t="shared" ref="H715" si="301">+ROUND(F715+G715*TC,2)</f>
        <v>#REF!</v>
      </c>
      <c r="I715" s="213">
        <f t="shared" si="292"/>
        <v>0</v>
      </c>
      <c r="J715" s="330">
        <f t="shared" ref="J715" si="302">+ROUND(E715*G715,2)</f>
        <v>81.36</v>
      </c>
      <c r="K715" s="93" t="e">
        <f t="shared" ref="K715" si="303">+ROUND(I715+J715*TC,2)</f>
        <v>#REF!</v>
      </c>
      <c r="L715" s="97"/>
    </row>
    <row r="716" spans="2:12" outlineLevel="1">
      <c r="B716" s="364">
        <f>B715+0.0001</f>
        <v>6.2701999999999938</v>
      </c>
      <c r="C716" s="361" t="s">
        <v>773</v>
      </c>
      <c r="D716" s="81" t="s">
        <v>36</v>
      </c>
      <c r="E716" s="111">
        <v>3</v>
      </c>
      <c r="F716" s="93">
        <v>0</v>
      </c>
      <c r="G716" s="368">
        <v>19.920000000000002</v>
      </c>
      <c r="H716" s="329" t="e">
        <f t="shared" ref="H716:H737" si="304">+ROUND(F716+G716*TC,2)</f>
        <v>#REF!</v>
      </c>
      <c r="I716" s="213">
        <f t="shared" si="292"/>
        <v>0</v>
      </c>
      <c r="J716" s="330">
        <f t="shared" si="300"/>
        <v>59.76</v>
      </c>
      <c r="K716" s="93" t="e">
        <f t="shared" ref="K716:K737" si="305">+ROUND(I716+J716*TC,2)</f>
        <v>#REF!</v>
      </c>
      <c r="L716" s="97"/>
    </row>
    <row r="717" spans="2:12" outlineLevel="1">
      <c r="B717" s="364">
        <f t="shared" ref="B717:B736" si="306">B716+0.0001</f>
        <v>6.2702999999999935</v>
      </c>
      <c r="C717" s="361" t="s">
        <v>774</v>
      </c>
      <c r="D717" s="81" t="s">
        <v>36</v>
      </c>
      <c r="E717" s="111">
        <v>32</v>
      </c>
      <c r="F717" s="93">
        <v>0</v>
      </c>
      <c r="G717" s="368">
        <v>6.27</v>
      </c>
      <c r="H717" s="329" t="e">
        <f t="shared" si="304"/>
        <v>#REF!</v>
      </c>
      <c r="I717" s="213">
        <f t="shared" si="292"/>
        <v>0</v>
      </c>
      <c r="J717" s="330">
        <f t="shared" si="300"/>
        <v>200.64</v>
      </c>
      <c r="K717" s="93" t="e">
        <f t="shared" si="305"/>
        <v>#REF!</v>
      </c>
      <c r="L717" s="97"/>
    </row>
    <row r="718" spans="2:12" outlineLevel="1">
      <c r="B718" s="364">
        <f t="shared" si="306"/>
        <v>6.2703999999999933</v>
      </c>
      <c r="C718" s="361" t="s">
        <v>775</v>
      </c>
      <c r="D718" s="81" t="s">
        <v>36</v>
      </c>
      <c r="E718" s="111">
        <v>128</v>
      </c>
      <c r="F718" s="93">
        <v>0</v>
      </c>
      <c r="G718" s="368">
        <v>7.12</v>
      </c>
      <c r="H718" s="329" t="e">
        <f t="shared" si="304"/>
        <v>#REF!</v>
      </c>
      <c r="I718" s="213">
        <f t="shared" si="292"/>
        <v>0</v>
      </c>
      <c r="J718" s="330">
        <f t="shared" si="300"/>
        <v>911.36</v>
      </c>
      <c r="K718" s="93" t="e">
        <f t="shared" si="305"/>
        <v>#REF!</v>
      </c>
      <c r="L718" s="97"/>
    </row>
    <row r="719" spans="2:12" outlineLevel="1">
      <c r="B719" s="364">
        <f t="shared" si="306"/>
        <v>6.2704999999999931</v>
      </c>
      <c r="C719" s="361" t="s">
        <v>776</v>
      </c>
      <c r="D719" s="81" t="s">
        <v>36</v>
      </c>
      <c r="E719" s="111">
        <v>242</v>
      </c>
      <c r="F719" s="93">
        <v>0</v>
      </c>
      <c r="G719" s="368">
        <v>7.12</v>
      </c>
      <c r="H719" s="329" t="e">
        <f t="shared" si="304"/>
        <v>#REF!</v>
      </c>
      <c r="I719" s="213">
        <f t="shared" ref="I719:I773" si="307">+ROUND(E719*F719,2)</f>
        <v>0</v>
      </c>
      <c r="J719" s="330">
        <f t="shared" si="300"/>
        <v>1723.04</v>
      </c>
      <c r="K719" s="93" t="e">
        <f t="shared" si="305"/>
        <v>#REF!</v>
      </c>
      <c r="L719" s="97"/>
    </row>
    <row r="720" spans="2:12" outlineLevel="1">
      <c r="B720" s="364">
        <f t="shared" si="306"/>
        <v>6.2705999999999928</v>
      </c>
      <c r="C720" s="361" t="s">
        <v>1377</v>
      </c>
      <c r="D720" s="81" t="s">
        <v>36</v>
      </c>
      <c r="E720" s="111">
        <v>82</v>
      </c>
      <c r="F720" s="93">
        <v>0</v>
      </c>
      <c r="G720" s="368">
        <v>9.41</v>
      </c>
      <c r="H720" s="329" t="e">
        <f t="shared" si="304"/>
        <v>#REF!</v>
      </c>
      <c r="I720" s="213">
        <f t="shared" si="307"/>
        <v>0</v>
      </c>
      <c r="J720" s="330">
        <f t="shared" si="300"/>
        <v>771.62</v>
      </c>
      <c r="K720" s="93" t="e">
        <f t="shared" si="305"/>
        <v>#REF!</v>
      </c>
      <c r="L720" s="97"/>
    </row>
    <row r="721" spans="2:12" outlineLevel="1">
      <c r="B721" s="364">
        <f t="shared" si="306"/>
        <v>6.2706999999999926</v>
      </c>
      <c r="C721" s="361" t="s">
        <v>1378</v>
      </c>
      <c r="D721" s="81" t="s">
        <v>36</v>
      </c>
      <c r="E721" s="111">
        <v>37</v>
      </c>
      <c r="F721" s="93">
        <v>0</v>
      </c>
      <c r="G721" s="368">
        <v>79.78</v>
      </c>
      <c r="H721" s="329" t="e">
        <f t="shared" si="304"/>
        <v>#REF!</v>
      </c>
      <c r="I721" s="213">
        <f t="shared" si="307"/>
        <v>0</v>
      </c>
      <c r="J721" s="330">
        <f t="shared" si="300"/>
        <v>2951.86</v>
      </c>
      <c r="K721" s="93" t="e">
        <f t="shared" si="305"/>
        <v>#REF!</v>
      </c>
      <c r="L721" s="97"/>
    </row>
    <row r="722" spans="2:12" outlineLevel="1">
      <c r="B722" s="364">
        <f t="shared" si="306"/>
        <v>6.2707999999999924</v>
      </c>
      <c r="C722" s="361" t="s">
        <v>1379</v>
      </c>
      <c r="D722" s="81" t="s">
        <v>36</v>
      </c>
      <c r="E722" s="111">
        <v>1</v>
      </c>
      <c r="F722" s="93">
        <v>0</v>
      </c>
      <c r="G722" s="368">
        <v>7.12</v>
      </c>
      <c r="H722" s="329" t="e">
        <f t="shared" si="304"/>
        <v>#REF!</v>
      </c>
      <c r="I722" s="213">
        <f t="shared" si="307"/>
        <v>0</v>
      </c>
      <c r="J722" s="330">
        <f t="shared" si="300"/>
        <v>7.12</v>
      </c>
      <c r="K722" s="93" t="e">
        <f t="shared" si="305"/>
        <v>#REF!</v>
      </c>
      <c r="L722" s="97"/>
    </row>
    <row r="723" spans="2:12" outlineLevel="1">
      <c r="B723" s="364">
        <f t="shared" si="306"/>
        <v>6.2708999999999921</v>
      </c>
      <c r="C723" s="361" t="s">
        <v>1380</v>
      </c>
      <c r="D723" s="81" t="s">
        <v>36</v>
      </c>
      <c r="E723" s="111">
        <v>15</v>
      </c>
      <c r="F723" s="93">
        <v>0</v>
      </c>
      <c r="G723" s="368">
        <v>103.17</v>
      </c>
      <c r="H723" s="329" t="e">
        <f t="shared" si="304"/>
        <v>#REF!</v>
      </c>
      <c r="I723" s="213">
        <f t="shared" si="307"/>
        <v>0</v>
      </c>
      <c r="J723" s="330">
        <f t="shared" si="300"/>
        <v>1547.55</v>
      </c>
      <c r="K723" s="93" t="e">
        <f t="shared" si="305"/>
        <v>#REF!</v>
      </c>
      <c r="L723" s="500"/>
    </row>
    <row r="724" spans="2:12" outlineLevel="1">
      <c r="B724" s="364">
        <f t="shared" si="306"/>
        <v>6.2709999999999919</v>
      </c>
      <c r="C724" s="361" t="s">
        <v>1381</v>
      </c>
      <c r="D724" s="81" t="s">
        <v>36</v>
      </c>
      <c r="E724" s="111">
        <v>27</v>
      </c>
      <c r="F724" s="93">
        <v>0</v>
      </c>
      <c r="G724" s="500">
        <v>45.04</v>
      </c>
      <c r="H724" s="329" t="e">
        <f t="shared" si="304"/>
        <v>#REF!</v>
      </c>
      <c r="I724" s="213">
        <f t="shared" si="307"/>
        <v>0</v>
      </c>
      <c r="J724" s="330">
        <f t="shared" si="300"/>
        <v>1216.08</v>
      </c>
      <c r="K724" s="93" t="e">
        <f t="shared" si="305"/>
        <v>#REF!</v>
      </c>
      <c r="L724" s="97"/>
    </row>
    <row r="725" spans="2:12" outlineLevel="1">
      <c r="B725" s="364">
        <f t="shared" si="306"/>
        <v>6.2710999999999917</v>
      </c>
      <c r="C725" s="361" t="s">
        <v>1382</v>
      </c>
      <c r="D725" s="81" t="s">
        <v>36</v>
      </c>
      <c r="E725" s="111">
        <v>7</v>
      </c>
      <c r="F725" s="93">
        <v>0</v>
      </c>
      <c r="G725" s="500">
        <v>222.54</v>
      </c>
      <c r="H725" s="329" t="e">
        <f t="shared" si="304"/>
        <v>#REF!</v>
      </c>
      <c r="I725" s="213">
        <f t="shared" si="307"/>
        <v>0</v>
      </c>
      <c r="J725" s="330">
        <f t="shared" si="300"/>
        <v>1557.78</v>
      </c>
      <c r="K725" s="93" t="e">
        <f t="shared" si="305"/>
        <v>#REF!</v>
      </c>
      <c r="L725" s="97"/>
    </row>
    <row r="726" spans="2:12" outlineLevel="1">
      <c r="B726" s="364">
        <f t="shared" si="306"/>
        <v>6.2711999999999914</v>
      </c>
      <c r="C726" s="361" t="s">
        <v>1383</v>
      </c>
      <c r="D726" s="81" t="s">
        <v>36</v>
      </c>
      <c r="E726" s="111">
        <v>14</v>
      </c>
      <c r="F726" s="93">
        <v>0</v>
      </c>
      <c r="G726" s="368">
        <v>47.92</v>
      </c>
      <c r="H726" s="329" t="e">
        <f t="shared" si="304"/>
        <v>#REF!</v>
      </c>
      <c r="I726" s="213">
        <f t="shared" si="307"/>
        <v>0</v>
      </c>
      <c r="J726" s="330">
        <f t="shared" si="300"/>
        <v>670.88</v>
      </c>
      <c r="K726" s="93" t="e">
        <f t="shared" si="305"/>
        <v>#REF!</v>
      </c>
      <c r="L726" s="97"/>
    </row>
    <row r="727" spans="2:12" outlineLevel="1">
      <c r="B727" s="364">
        <f t="shared" si="306"/>
        <v>6.2712999999999912</v>
      </c>
      <c r="C727" s="361" t="s">
        <v>1384</v>
      </c>
      <c r="D727" s="81" t="s">
        <v>36</v>
      </c>
      <c r="E727" s="111">
        <v>59</v>
      </c>
      <c r="F727" s="93">
        <v>0</v>
      </c>
      <c r="G727" s="368">
        <v>7.43</v>
      </c>
      <c r="H727" s="329" t="e">
        <f t="shared" si="304"/>
        <v>#REF!</v>
      </c>
      <c r="I727" s="213">
        <f t="shared" si="307"/>
        <v>0</v>
      </c>
      <c r="J727" s="330">
        <f t="shared" si="300"/>
        <v>438.37</v>
      </c>
      <c r="K727" s="93" t="e">
        <f t="shared" si="305"/>
        <v>#REF!</v>
      </c>
      <c r="L727" s="97"/>
    </row>
    <row r="728" spans="2:12" outlineLevel="1">
      <c r="B728" s="364">
        <f t="shared" si="306"/>
        <v>6.271399999999991</v>
      </c>
      <c r="C728" s="361" t="s">
        <v>1385</v>
      </c>
      <c r="D728" s="81" t="s">
        <v>36</v>
      </c>
      <c r="E728" s="111">
        <v>59</v>
      </c>
      <c r="F728" s="93">
        <v>0</v>
      </c>
      <c r="G728" s="368">
        <v>36.22</v>
      </c>
      <c r="H728" s="329" t="e">
        <f t="shared" si="304"/>
        <v>#REF!</v>
      </c>
      <c r="I728" s="213">
        <f t="shared" si="307"/>
        <v>0</v>
      </c>
      <c r="J728" s="330">
        <f t="shared" si="300"/>
        <v>2136.98</v>
      </c>
      <c r="K728" s="93" t="e">
        <f t="shared" si="305"/>
        <v>#REF!</v>
      </c>
      <c r="L728" s="97"/>
    </row>
    <row r="729" spans="2:12" outlineLevel="1">
      <c r="B729" s="364">
        <f t="shared" si="306"/>
        <v>6.2714999999999907</v>
      </c>
      <c r="C729" s="361" t="s">
        <v>1386</v>
      </c>
      <c r="D729" s="81" t="s">
        <v>36</v>
      </c>
      <c r="E729" s="111">
        <v>5</v>
      </c>
      <c r="F729" s="93">
        <v>0</v>
      </c>
      <c r="G729" s="368">
        <v>32.85</v>
      </c>
      <c r="H729" s="329" t="e">
        <f t="shared" si="304"/>
        <v>#REF!</v>
      </c>
      <c r="I729" s="213">
        <f t="shared" si="307"/>
        <v>0</v>
      </c>
      <c r="J729" s="330">
        <f t="shared" si="300"/>
        <v>164.25</v>
      </c>
      <c r="K729" s="93" t="e">
        <f t="shared" si="305"/>
        <v>#REF!</v>
      </c>
      <c r="L729" s="97"/>
    </row>
    <row r="730" spans="2:12" outlineLevel="1">
      <c r="B730" s="364">
        <f t="shared" si="306"/>
        <v>6.2715999999999905</v>
      </c>
      <c r="C730" s="361" t="s">
        <v>1387</v>
      </c>
      <c r="D730" s="81" t="s">
        <v>36</v>
      </c>
      <c r="E730" s="111">
        <v>3</v>
      </c>
      <c r="F730" s="93">
        <v>0</v>
      </c>
      <c r="G730" s="500">
        <v>29.93</v>
      </c>
      <c r="H730" s="329" t="e">
        <f t="shared" si="304"/>
        <v>#REF!</v>
      </c>
      <c r="I730" s="213">
        <f t="shared" si="307"/>
        <v>0</v>
      </c>
      <c r="J730" s="330">
        <f t="shared" si="300"/>
        <v>89.79</v>
      </c>
      <c r="K730" s="93" t="e">
        <f t="shared" si="305"/>
        <v>#REF!</v>
      </c>
      <c r="L730" s="97"/>
    </row>
    <row r="731" spans="2:12" outlineLevel="1">
      <c r="B731" s="364">
        <f t="shared" si="306"/>
        <v>6.2716999999999903</v>
      </c>
      <c r="C731" s="361" t="s">
        <v>1388</v>
      </c>
      <c r="D731" s="81" t="s">
        <v>36</v>
      </c>
      <c r="E731" s="111">
        <v>16</v>
      </c>
      <c r="F731" s="93">
        <v>0</v>
      </c>
      <c r="G731" s="368">
        <v>7.4700000000000006</v>
      </c>
      <c r="H731" s="329" t="e">
        <f t="shared" si="304"/>
        <v>#REF!</v>
      </c>
      <c r="I731" s="213">
        <f t="shared" si="307"/>
        <v>0</v>
      </c>
      <c r="J731" s="330">
        <f t="shared" si="300"/>
        <v>119.52</v>
      </c>
      <c r="K731" s="93" t="e">
        <f t="shared" si="305"/>
        <v>#REF!</v>
      </c>
      <c r="L731" s="97"/>
    </row>
    <row r="732" spans="2:12" outlineLevel="1">
      <c r="B732" s="364">
        <f t="shared" si="306"/>
        <v>6.27179999999999</v>
      </c>
      <c r="C732" s="361" t="s">
        <v>1389</v>
      </c>
      <c r="D732" s="81" t="s">
        <v>36</v>
      </c>
      <c r="E732" s="111">
        <v>6</v>
      </c>
      <c r="F732" s="93">
        <v>0</v>
      </c>
      <c r="G732" s="500">
        <v>11.62</v>
      </c>
      <c r="H732" s="329" t="e">
        <f t="shared" si="304"/>
        <v>#REF!</v>
      </c>
      <c r="I732" s="213">
        <f t="shared" si="307"/>
        <v>0</v>
      </c>
      <c r="J732" s="330">
        <f t="shared" si="300"/>
        <v>69.72</v>
      </c>
      <c r="K732" s="93" t="e">
        <f t="shared" si="305"/>
        <v>#REF!</v>
      </c>
      <c r="L732" s="97"/>
    </row>
    <row r="733" spans="2:12" outlineLevel="1">
      <c r="B733" s="364">
        <f t="shared" si="306"/>
        <v>6.2718999999999898</v>
      </c>
      <c r="C733" s="361" t="s">
        <v>1390</v>
      </c>
      <c r="D733" s="81" t="s">
        <v>36</v>
      </c>
      <c r="E733" s="111">
        <v>22</v>
      </c>
      <c r="F733" s="93">
        <v>0</v>
      </c>
      <c r="G733" s="500">
        <v>89.04</v>
      </c>
      <c r="H733" s="329" t="e">
        <f t="shared" si="304"/>
        <v>#REF!</v>
      </c>
      <c r="I733" s="213">
        <f t="shared" si="307"/>
        <v>0</v>
      </c>
      <c r="J733" s="330">
        <f t="shared" si="300"/>
        <v>1958.88</v>
      </c>
      <c r="K733" s="93" t="e">
        <f t="shared" si="305"/>
        <v>#REF!</v>
      </c>
      <c r="L733" s="97"/>
    </row>
    <row r="734" spans="2:12" outlineLevel="1">
      <c r="B734" s="364">
        <f t="shared" si="306"/>
        <v>6.2719999999999896</v>
      </c>
      <c r="C734" s="361" t="s">
        <v>1391</v>
      </c>
      <c r="D734" s="81" t="s">
        <v>36</v>
      </c>
      <c r="E734" s="111">
        <v>6</v>
      </c>
      <c r="F734" s="93">
        <v>0</v>
      </c>
      <c r="G734" s="500">
        <v>144.72</v>
      </c>
      <c r="H734" s="329" t="e">
        <f t="shared" si="304"/>
        <v>#REF!</v>
      </c>
      <c r="I734" s="213">
        <f t="shared" si="307"/>
        <v>0</v>
      </c>
      <c r="J734" s="330">
        <f t="shared" si="300"/>
        <v>868.32</v>
      </c>
      <c r="K734" s="93" t="e">
        <f t="shared" si="305"/>
        <v>#REF!</v>
      </c>
      <c r="L734" s="97"/>
    </row>
    <row r="735" spans="2:12" outlineLevel="1">
      <c r="B735" s="364">
        <f t="shared" si="306"/>
        <v>6.2720999999999894</v>
      </c>
      <c r="C735" s="361" t="s">
        <v>1392</v>
      </c>
      <c r="D735" s="81" t="s">
        <v>36</v>
      </c>
      <c r="E735" s="111">
        <v>15</v>
      </c>
      <c r="F735" s="93">
        <v>0</v>
      </c>
      <c r="G735" s="500">
        <v>357.53</v>
      </c>
      <c r="H735" s="329" t="e">
        <f t="shared" si="304"/>
        <v>#REF!</v>
      </c>
      <c r="I735" s="213">
        <f t="shared" si="307"/>
        <v>0</v>
      </c>
      <c r="J735" s="330">
        <f t="shared" si="300"/>
        <v>5362.95</v>
      </c>
      <c r="K735" s="93" t="e">
        <f t="shared" si="305"/>
        <v>#REF!</v>
      </c>
      <c r="L735" s="97"/>
    </row>
    <row r="736" spans="2:12" outlineLevel="1">
      <c r="B736" s="364">
        <f t="shared" si="306"/>
        <v>6.2721999999999891</v>
      </c>
      <c r="C736" s="361" t="s">
        <v>1393</v>
      </c>
      <c r="D736" s="81" t="s">
        <v>36</v>
      </c>
      <c r="E736" s="111">
        <v>63</v>
      </c>
      <c r="F736" s="93">
        <v>0</v>
      </c>
      <c r="G736" s="500">
        <v>31.92</v>
      </c>
      <c r="H736" s="329" t="e">
        <f t="shared" ref="H736" si="308">+ROUND(F736+G736*TC,2)</f>
        <v>#REF!</v>
      </c>
      <c r="I736" s="213">
        <f t="shared" si="307"/>
        <v>0</v>
      </c>
      <c r="J736" s="330">
        <f t="shared" ref="J736" si="309">+ROUND(E736*G736,2)</f>
        <v>2010.96</v>
      </c>
      <c r="K736" s="93" t="e">
        <f t="shared" ref="K736" si="310">+ROUND(I736+J736*TC,2)</f>
        <v>#REF!</v>
      </c>
      <c r="L736" s="97"/>
    </row>
    <row r="737" spans="1:13" outlineLevel="1">
      <c r="B737" s="364">
        <f>B735+0.0001</f>
        <v>6.2721999999999891</v>
      </c>
      <c r="C737" s="361" t="s">
        <v>777</v>
      </c>
      <c r="D737" s="81" t="s">
        <v>36</v>
      </c>
      <c r="E737" s="111">
        <v>178</v>
      </c>
      <c r="F737" s="93">
        <v>0</v>
      </c>
      <c r="G737" s="368">
        <v>17.52</v>
      </c>
      <c r="H737" s="329" t="e">
        <f t="shared" si="304"/>
        <v>#REF!</v>
      </c>
      <c r="I737" s="213">
        <f t="shared" si="307"/>
        <v>0</v>
      </c>
      <c r="J737" s="330">
        <f t="shared" si="300"/>
        <v>3118.56</v>
      </c>
      <c r="K737" s="93" t="e">
        <f t="shared" si="305"/>
        <v>#REF!</v>
      </c>
      <c r="L737" s="97"/>
    </row>
    <row r="738" spans="1:13" ht="13.5" customHeight="1">
      <c r="B738" s="218">
        <f>B714+0.01</f>
        <v>6.279999999999994</v>
      </c>
      <c r="C738" s="508" t="s">
        <v>1394</v>
      </c>
      <c r="D738" s="81"/>
      <c r="E738" s="111"/>
      <c r="F738" s="93" t="s">
        <v>8</v>
      </c>
      <c r="G738" s="82"/>
      <c r="H738" s="213"/>
      <c r="I738" s="213"/>
      <c r="J738" s="201"/>
      <c r="K738" s="93"/>
      <c r="L738" s="136" t="e">
        <f>SUM(I738:I751)+SUM(J738:J751)*TC</f>
        <v>#REF!</v>
      </c>
      <c r="M738" s="127" t="e">
        <f>+L738+L764+L768</f>
        <v>#REF!</v>
      </c>
    </row>
    <row r="739" spans="1:13" ht="13.15" customHeight="1" outlineLevel="1">
      <c r="B739" s="364">
        <f t="shared" ref="B739:B751" si="311">B738+0.0001</f>
        <v>6.2800999999999938</v>
      </c>
      <c r="C739" s="360" t="s">
        <v>1395</v>
      </c>
      <c r="D739" s="81" t="s">
        <v>36</v>
      </c>
      <c r="E739" s="111">
        <v>48</v>
      </c>
      <c r="F739" s="106">
        <v>13.5</v>
      </c>
      <c r="G739" s="103"/>
      <c r="H739" s="213" t="e">
        <f t="shared" ref="H739:H745" si="312">+ROUND(F739+G739*TC,2)</f>
        <v>#REF!</v>
      </c>
      <c r="I739" s="213">
        <f t="shared" si="307"/>
        <v>648</v>
      </c>
      <c r="J739" s="201">
        <f t="shared" si="300"/>
        <v>0</v>
      </c>
      <c r="K739" s="93" t="e">
        <f t="shared" ref="K739:K745" si="313">+ROUND(I739+J739*TC,2)</f>
        <v>#REF!</v>
      </c>
      <c r="L739" s="97"/>
    </row>
    <row r="740" spans="1:13" ht="13.15" customHeight="1" outlineLevel="1">
      <c r="B740" s="364">
        <f t="shared" si="311"/>
        <v>6.2801999999999936</v>
      </c>
      <c r="C740" s="360" t="s">
        <v>780</v>
      </c>
      <c r="D740" s="81" t="s">
        <v>36</v>
      </c>
      <c r="E740" s="111"/>
      <c r="F740" s="106">
        <v>13.5</v>
      </c>
      <c r="G740" s="103"/>
      <c r="H740" s="213" t="e">
        <f t="shared" si="312"/>
        <v>#REF!</v>
      </c>
      <c r="I740" s="213">
        <f t="shared" si="307"/>
        <v>0</v>
      </c>
      <c r="J740" s="201">
        <f t="shared" si="300"/>
        <v>0</v>
      </c>
      <c r="K740" s="93" t="e">
        <f t="shared" si="313"/>
        <v>#REF!</v>
      </c>
      <c r="L740" s="97"/>
    </row>
    <row r="741" spans="1:13" ht="13.15" customHeight="1" outlineLevel="1">
      <c r="B741" s="364">
        <f t="shared" si="311"/>
        <v>6.2802999999999933</v>
      </c>
      <c r="C741" s="360" t="s">
        <v>781</v>
      </c>
      <c r="D741" s="81" t="s">
        <v>36</v>
      </c>
      <c r="E741" s="111">
        <v>56</v>
      </c>
      <c r="F741" s="106">
        <v>13.5</v>
      </c>
      <c r="G741" s="103"/>
      <c r="H741" s="213" t="e">
        <f t="shared" si="312"/>
        <v>#REF!</v>
      </c>
      <c r="I741" s="213">
        <f t="shared" si="307"/>
        <v>756</v>
      </c>
      <c r="J741" s="201">
        <f t="shared" si="300"/>
        <v>0</v>
      </c>
      <c r="K741" s="93" t="e">
        <f t="shared" si="313"/>
        <v>#REF!</v>
      </c>
      <c r="L741" s="97"/>
    </row>
    <row r="742" spans="1:13" ht="13.15" customHeight="1" outlineLevel="1">
      <c r="B742" s="364">
        <f t="shared" si="311"/>
        <v>6.2803999999999931</v>
      </c>
      <c r="C742" s="360" t="s">
        <v>783</v>
      </c>
      <c r="D742" s="81" t="s">
        <v>36</v>
      </c>
      <c r="E742" s="111">
        <v>23</v>
      </c>
      <c r="F742" s="106">
        <v>13.5</v>
      </c>
      <c r="G742" s="103"/>
      <c r="H742" s="213" t="e">
        <f t="shared" si="312"/>
        <v>#REF!</v>
      </c>
      <c r="I742" s="213">
        <f t="shared" si="307"/>
        <v>310.5</v>
      </c>
      <c r="J742" s="201">
        <f t="shared" si="300"/>
        <v>0</v>
      </c>
      <c r="K742" s="93" t="e">
        <f t="shared" si="313"/>
        <v>#REF!</v>
      </c>
      <c r="L742" s="97"/>
    </row>
    <row r="743" spans="1:13" ht="13.15" customHeight="1" outlineLevel="1">
      <c r="B743" s="364">
        <f t="shared" si="311"/>
        <v>6.2804999999999929</v>
      </c>
      <c r="C743" s="360" t="s">
        <v>784</v>
      </c>
      <c r="D743" s="81" t="s">
        <v>36</v>
      </c>
      <c r="E743" s="111">
        <v>84</v>
      </c>
      <c r="F743" s="106">
        <v>13.5</v>
      </c>
      <c r="G743" s="103"/>
      <c r="H743" s="213" t="e">
        <f t="shared" si="312"/>
        <v>#REF!</v>
      </c>
      <c r="I743" s="213">
        <f t="shared" si="307"/>
        <v>1134</v>
      </c>
      <c r="J743" s="201">
        <f t="shared" si="300"/>
        <v>0</v>
      </c>
      <c r="K743" s="93" t="e">
        <f t="shared" si="313"/>
        <v>#REF!</v>
      </c>
      <c r="L743" s="97"/>
    </row>
    <row r="744" spans="1:13" ht="13.15" customHeight="1" outlineLevel="1">
      <c r="B744" s="364">
        <f t="shared" si="311"/>
        <v>6.2805999999999926</v>
      </c>
      <c r="C744" s="360" t="s">
        <v>786</v>
      </c>
      <c r="D744" s="81" t="s">
        <v>36</v>
      </c>
      <c r="E744" s="111">
        <v>42</v>
      </c>
      <c r="F744" s="106">
        <v>13.5</v>
      </c>
      <c r="G744" s="103"/>
      <c r="H744" s="213" t="e">
        <f t="shared" si="312"/>
        <v>#REF!</v>
      </c>
      <c r="I744" s="213">
        <f t="shared" si="307"/>
        <v>567</v>
      </c>
      <c r="J744" s="201">
        <f t="shared" si="300"/>
        <v>0</v>
      </c>
      <c r="K744" s="93" t="e">
        <f t="shared" si="313"/>
        <v>#REF!</v>
      </c>
      <c r="L744" s="97"/>
    </row>
    <row r="745" spans="1:13" ht="13.15" customHeight="1" outlineLevel="1">
      <c r="B745" s="364">
        <f t="shared" si="311"/>
        <v>6.2806999999999924</v>
      </c>
      <c r="C745" s="360" t="s">
        <v>787</v>
      </c>
      <c r="D745" s="81" t="s">
        <v>36</v>
      </c>
      <c r="E745" s="111">
        <v>1</v>
      </c>
      <c r="F745" s="106">
        <v>13.5</v>
      </c>
      <c r="G745" s="103"/>
      <c r="H745" s="213" t="e">
        <f t="shared" si="312"/>
        <v>#REF!</v>
      </c>
      <c r="I745" s="213">
        <f t="shared" si="307"/>
        <v>13.5</v>
      </c>
      <c r="J745" s="201">
        <f t="shared" si="300"/>
        <v>0</v>
      </c>
      <c r="K745" s="93" t="e">
        <f t="shared" si="313"/>
        <v>#REF!</v>
      </c>
      <c r="L745" s="97"/>
    </row>
    <row r="746" spans="1:13" ht="14.1" customHeight="1" outlineLevel="1">
      <c r="A746" s="4"/>
      <c r="B746" s="364">
        <f t="shared" si="311"/>
        <v>6.2807999999999922</v>
      </c>
      <c r="C746" s="360" t="s">
        <v>788</v>
      </c>
      <c r="D746" s="81" t="s">
        <v>36</v>
      </c>
      <c r="E746" s="111">
        <v>51</v>
      </c>
      <c r="F746" s="106">
        <v>13.5</v>
      </c>
      <c r="G746" s="103"/>
      <c r="H746" s="213" t="e">
        <f t="shared" ref="H746:H751" si="314">+ROUND(F746+G746*TC,2)</f>
        <v>#REF!</v>
      </c>
      <c r="I746" s="213">
        <f t="shared" si="307"/>
        <v>688.5</v>
      </c>
      <c r="J746" s="201">
        <f t="shared" ref="J746:J751" si="315">+ROUND(E746*G746,2)</f>
        <v>0</v>
      </c>
      <c r="K746" s="93" t="e">
        <f t="shared" ref="K746:K751" si="316">+ROUND(I746+J746*TC,2)</f>
        <v>#REF!</v>
      </c>
      <c r="L746" s="97"/>
    </row>
    <row r="747" spans="1:13" ht="14.1" customHeight="1" outlineLevel="1">
      <c r="A747" s="4"/>
      <c r="B747" s="364">
        <f t="shared" si="311"/>
        <v>6.2808999999999919</v>
      </c>
      <c r="C747" s="360" t="s">
        <v>789</v>
      </c>
      <c r="D747" s="81" t="s">
        <v>36</v>
      </c>
      <c r="E747" s="111">
        <v>46</v>
      </c>
      <c r="F747" s="106">
        <v>13.5</v>
      </c>
      <c r="G747" s="103"/>
      <c r="H747" s="213" t="e">
        <f t="shared" si="314"/>
        <v>#REF!</v>
      </c>
      <c r="I747" s="213">
        <f t="shared" si="307"/>
        <v>621</v>
      </c>
      <c r="J747" s="201">
        <f t="shared" si="315"/>
        <v>0</v>
      </c>
      <c r="K747" s="93" t="e">
        <f t="shared" si="316"/>
        <v>#REF!</v>
      </c>
      <c r="L747" s="97"/>
    </row>
    <row r="748" spans="1:13" ht="14.1" customHeight="1" outlineLevel="1">
      <c r="A748" s="4"/>
      <c r="B748" s="364">
        <f t="shared" si="311"/>
        <v>6.2809999999999917</v>
      </c>
      <c r="C748" s="360" t="s">
        <v>790</v>
      </c>
      <c r="D748" s="81" t="s">
        <v>36</v>
      </c>
      <c r="E748" s="111">
        <v>68</v>
      </c>
      <c r="F748" s="106">
        <v>13.5</v>
      </c>
      <c r="G748" s="103"/>
      <c r="H748" s="213" t="e">
        <f t="shared" si="314"/>
        <v>#REF!</v>
      </c>
      <c r="I748" s="213">
        <f t="shared" si="307"/>
        <v>918</v>
      </c>
      <c r="J748" s="201">
        <f t="shared" si="315"/>
        <v>0</v>
      </c>
      <c r="K748" s="93" t="e">
        <f t="shared" si="316"/>
        <v>#REF!</v>
      </c>
      <c r="L748" s="97"/>
    </row>
    <row r="749" spans="1:13" ht="14.1" customHeight="1" outlineLevel="1">
      <c r="A749" s="4"/>
      <c r="B749" s="364">
        <f t="shared" si="311"/>
        <v>6.2810999999999915</v>
      </c>
      <c r="C749" s="360" t="s">
        <v>791</v>
      </c>
      <c r="D749" s="81" t="s">
        <v>36</v>
      </c>
      <c r="E749" s="111">
        <v>43</v>
      </c>
      <c r="F749" s="106">
        <v>13.5</v>
      </c>
      <c r="G749" s="103"/>
      <c r="H749" s="213" t="e">
        <f t="shared" si="314"/>
        <v>#REF!</v>
      </c>
      <c r="I749" s="213">
        <f t="shared" si="307"/>
        <v>580.5</v>
      </c>
      <c r="J749" s="201">
        <f t="shared" si="315"/>
        <v>0</v>
      </c>
      <c r="K749" s="93" t="e">
        <f t="shared" si="316"/>
        <v>#REF!</v>
      </c>
      <c r="L749" s="97"/>
    </row>
    <row r="750" spans="1:13" ht="14.1" customHeight="1" outlineLevel="1">
      <c r="A750" s="4"/>
      <c r="B750" s="364">
        <f t="shared" si="311"/>
        <v>6.2811999999999912</v>
      </c>
      <c r="C750" s="360" t="s">
        <v>792</v>
      </c>
      <c r="D750" s="81" t="s">
        <v>36</v>
      </c>
      <c r="E750" s="111">
        <v>40</v>
      </c>
      <c r="F750" s="106">
        <v>13.5</v>
      </c>
      <c r="G750" s="103"/>
      <c r="H750" s="213" t="e">
        <f t="shared" si="314"/>
        <v>#REF!</v>
      </c>
      <c r="I750" s="213">
        <f t="shared" si="307"/>
        <v>540</v>
      </c>
      <c r="J750" s="201">
        <f t="shared" si="315"/>
        <v>0</v>
      </c>
      <c r="K750" s="93" t="e">
        <f t="shared" si="316"/>
        <v>#REF!</v>
      </c>
      <c r="L750" s="97"/>
    </row>
    <row r="751" spans="1:13" ht="14.1" customHeight="1" outlineLevel="1">
      <c r="A751" s="4"/>
      <c r="B751" s="364">
        <f t="shared" si="311"/>
        <v>6.281299999999991</v>
      </c>
      <c r="C751" s="360" t="s">
        <v>794</v>
      </c>
      <c r="D751" s="81" t="s">
        <v>36</v>
      </c>
      <c r="E751" s="111"/>
      <c r="F751" s="106">
        <v>13.5</v>
      </c>
      <c r="G751" s="103"/>
      <c r="H751" s="213" t="e">
        <f t="shared" si="314"/>
        <v>#REF!</v>
      </c>
      <c r="I751" s="213">
        <f t="shared" si="307"/>
        <v>0</v>
      </c>
      <c r="J751" s="201">
        <f t="shared" si="315"/>
        <v>0</v>
      </c>
      <c r="K751" s="93" t="e">
        <f t="shared" si="316"/>
        <v>#REF!</v>
      </c>
      <c r="L751" s="97"/>
    </row>
    <row r="752" spans="1:13" ht="13.5" customHeight="1">
      <c r="B752" s="218">
        <f>B738+0.01</f>
        <v>6.2899999999999938</v>
      </c>
      <c r="C752" s="508" t="s">
        <v>1396</v>
      </c>
      <c r="D752" s="81"/>
      <c r="E752" s="111"/>
      <c r="F752" s="93" t="s">
        <v>8</v>
      </c>
      <c r="G752" s="82"/>
      <c r="H752" s="213"/>
      <c r="I752" s="213"/>
      <c r="J752" s="201"/>
      <c r="K752" s="93"/>
      <c r="L752" s="136" t="e">
        <f>SUM(I752:I762)+SUM(J752:J762)*TC</f>
        <v>#REF!</v>
      </c>
    </row>
    <row r="753" spans="2:12" ht="13.15" customHeight="1" outlineLevel="1">
      <c r="B753" s="364">
        <f>B752+0.0001</f>
        <v>6.2900999999999936</v>
      </c>
      <c r="C753" s="57" t="s">
        <v>1397</v>
      </c>
      <c r="D753" s="81" t="s">
        <v>29</v>
      </c>
      <c r="E753" s="111">
        <v>1</v>
      </c>
      <c r="F753" s="93">
        <v>0</v>
      </c>
      <c r="G753" s="103">
        <v>57426.89</v>
      </c>
      <c r="H753" s="213" t="e">
        <f t="shared" ref="H753:H762" si="317">+ROUND(F753+G753*TC,2)</f>
        <v>#REF!</v>
      </c>
      <c r="I753" s="213">
        <f t="shared" si="307"/>
        <v>0</v>
      </c>
      <c r="J753" s="201">
        <f t="shared" si="300"/>
        <v>57426.89</v>
      </c>
      <c r="K753" s="93" t="e">
        <f t="shared" ref="K753:K762" si="318">+ROUND(I753+J753*TC,2)</f>
        <v>#REF!</v>
      </c>
      <c r="L753" s="97"/>
    </row>
    <row r="754" spans="2:12" ht="13.15" customHeight="1" outlineLevel="1">
      <c r="B754" s="364">
        <f>B753+0.0001</f>
        <v>6.2901999999999934</v>
      </c>
      <c r="C754" s="57" t="s">
        <v>1398</v>
      </c>
      <c r="D754" s="81" t="s">
        <v>46</v>
      </c>
      <c r="E754" s="111">
        <v>2296.1000000000004</v>
      </c>
      <c r="F754" s="93">
        <v>15.92</v>
      </c>
      <c r="G754" s="103"/>
      <c r="H754" s="213" t="e">
        <f t="shared" si="317"/>
        <v>#REF!</v>
      </c>
      <c r="I754" s="213">
        <f t="shared" si="307"/>
        <v>36553.910000000003</v>
      </c>
      <c r="J754" s="201">
        <f t="shared" ref="J754" si="319">+ROUND(E754*G754,2)</f>
        <v>0</v>
      </c>
      <c r="K754" s="93" t="e">
        <f t="shared" si="318"/>
        <v>#REF!</v>
      </c>
      <c r="L754" s="97"/>
    </row>
    <row r="755" spans="2:12" ht="13.15" customHeight="1" outlineLevel="1">
      <c r="B755" s="364">
        <f t="shared" ref="B755:B763" si="320">B754+0.0001</f>
        <v>6.2902999999999931</v>
      </c>
      <c r="C755" s="360" t="s">
        <v>1399</v>
      </c>
      <c r="D755" s="81" t="s">
        <v>36</v>
      </c>
      <c r="E755" s="111">
        <v>22</v>
      </c>
      <c r="F755" s="93">
        <v>95.16</v>
      </c>
      <c r="G755" s="103">
        <v>2.88</v>
      </c>
      <c r="H755" s="213" t="e">
        <f t="shared" si="317"/>
        <v>#REF!</v>
      </c>
      <c r="I755" s="213">
        <f t="shared" si="307"/>
        <v>2093.52</v>
      </c>
      <c r="J755" s="201">
        <f t="shared" ref="J755" si="321">+ROUND(E755*G755,2)</f>
        <v>63.36</v>
      </c>
      <c r="K755" s="93" t="e">
        <f t="shared" si="318"/>
        <v>#REF!</v>
      </c>
      <c r="L755" s="97"/>
    </row>
    <row r="756" spans="2:12" ht="13.15" customHeight="1" outlineLevel="1">
      <c r="B756" s="364">
        <f t="shared" si="320"/>
        <v>6.2903999999999929</v>
      </c>
      <c r="C756" s="360" t="s">
        <v>1400</v>
      </c>
      <c r="D756" s="81" t="s">
        <v>36</v>
      </c>
      <c r="E756" s="111">
        <v>2</v>
      </c>
      <c r="F756" s="93">
        <v>84.69</v>
      </c>
      <c r="G756" s="103">
        <v>2.2599999999999998</v>
      </c>
      <c r="H756" s="213" t="e">
        <f t="shared" si="317"/>
        <v>#REF!</v>
      </c>
      <c r="I756" s="213">
        <f t="shared" si="307"/>
        <v>169.38</v>
      </c>
      <c r="J756" s="201">
        <f>+ROUND(E756*G756,2)</f>
        <v>4.5199999999999996</v>
      </c>
      <c r="K756" s="93" t="e">
        <f t="shared" si="318"/>
        <v>#REF!</v>
      </c>
      <c r="L756" s="97"/>
    </row>
    <row r="757" spans="2:12" ht="13.15" customHeight="1" outlineLevel="1">
      <c r="B757" s="364">
        <f t="shared" si="320"/>
        <v>6.2904999999999927</v>
      </c>
      <c r="C757" s="360" t="s">
        <v>1401</v>
      </c>
      <c r="D757" s="81" t="s">
        <v>36</v>
      </c>
      <c r="E757" s="111">
        <v>1</v>
      </c>
      <c r="F757" s="93">
        <v>84.13</v>
      </c>
      <c r="G757" s="103">
        <v>2.23</v>
      </c>
      <c r="H757" s="213" t="e">
        <f t="shared" si="317"/>
        <v>#REF!</v>
      </c>
      <c r="I757" s="213">
        <f t="shared" si="307"/>
        <v>84.13</v>
      </c>
      <c r="J757" s="201">
        <f>+ROUND(E757*G757,2)</f>
        <v>2.23</v>
      </c>
      <c r="K757" s="93" t="e">
        <f t="shared" si="318"/>
        <v>#REF!</v>
      </c>
      <c r="L757" s="97"/>
    </row>
    <row r="758" spans="2:12" ht="13.15" customHeight="1" outlineLevel="1">
      <c r="B758" s="364">
        <f t="shared" si="320"/>
        <v>6.2905999999999924</v>
      </c>
      <c r="C758" s="360" t="s">
        <v>1402</v>
      </c>
      <c r="D758" s="81" t="s">
        <v>36</v>
      </c>
      <c r="E758" s="111">
        <v>1</v>
      </c>
      <c r="F758" s="93">
        <v>140.36000000000001</v>
      </c>
      <c r="G758" s="103">
        <v>5.57</v>
      </c>
      <c r="H758" s="213" t="e">
        <f t="shared" si="317"/>
        <v>#REF!</v>
      </c>
      <c r="I758" s="213">
        <f t="shared" si="307"/>
        <v>140.36000000000001</v>
      </c>
      <c r="J758" s="201">
        <f>+ROUND(E758*G758,2)</f>
        <v>5.57</v>
      </c>
      <c r="K758" s="93" t="e">
        <f t="shared" si="318"/>
        <v>#REF!</v>
      </c>
      <c r="L758" s="97"/>
    </row>
    <row r="759" spans="2:12" ht="13.15" customHeight="1" outlineLevel="1">
      <c r="B759" s="364">
        <f t="shared" si="320"/>
        <v>6.2906999999999922</v>
      </c>
      <c r="C759" s="360" t="s">
        <v>1403</v>
      </c>
      <c r="D759" s="81" t="s">
        <v>36</v>
      </c>
      <c r="E759" s="111">
        <v>12</v>
      </c>
      <c r="F759" s="93">
        <v>84.13</v>
      </c>
      <c r="G759" s="103">
        <v>2.23</v>
      </c>
      <c r="H759" s="213" t="e">
        <f t="shared" si="317"/>
        <v>#REF!</v>
      </c>
      <c r="I759" s="213">
        <f t="shared" si="307"/>
        <v>1009.56</v>
      </c>
      <c r="J759" s="201">
        <f>+ROUND(E759*G759,2)</f>
        <v>26.76</v>
      </c>
      <c r="K759" s="93" t="e">
        <f t="shared" si="318"/>
        <v>#REF!</v>
      </c>
      <c r="L759" s="97"/>
    </row>
    <row r="760" spans="2:12" ht="13.15" customHeight="1" outlineLevel="1">
      <c r="B760" s="364">
        <f t="shared" si="320"/>
        <v>6.290799999999992</v>
      </c>
      <c r="C760" s="360" t="s">
        <v>1404</v>
      </c>
      <c r="D760" s="81" t="s">
        <v>36</v>
      </c>
      <c r="E760" s="111">
        <v>4</v>
      </c>
      <c r="F760" s="93">
        <v>76.41</v>
      </c>
      <c r="G760" s="103">
        <v>1.77</v>
      </c>
      <c r="H760" s="213" t="e">
        <f t="shared" si="317"/>
        <v>#REF!</v>
      </c>
      <c r="I760" s="213">
        <f t="shared" si="307"/>
        <v>305.64</v>
      </c>
      <c r="J760" s="201">
        <f>+ROUND(E760*G760,2)</f>
        <v>7.08</v>
      </c>
      <c r="K760" s="93" t="e">
        <f t="shared" si="318"/>
        <v>#REF!</v>
      </c>
      <c r="L760" s="97"/>
    </row>
    <row r="761" spans="2:12" ht="13.15" customHeight="1" outlineLevel="1">
      <c r="B761" s="364">
        <f t="shared" si="320"/>
        <v>6.2908999999999917</v>
      </c>
      <c r="C761" s="360" t="s">
        <v>1405</v>
      </c>
      <c r="D761" s="81" t="s">
        <v>36</v>
      </c>
      <c r="E761" s="111">
        <v>22</v>
      </c>
      <c r="F761" s="93">
        <v>70.099999999999994</v>
      </c>
      <c r="G761" s="103">
        <v>1.39</v>
      </c>
      <c r="H761" s="213" t="e">
        <f t="shared" si="317"/>
        <v>#REF!</v>
      </c>
      <c r="I761" s="213">
        <f t="shared" si="307"/>
        <v>1542.2</v>
      </c>
      <c r="J761" s="201">
        <f t="shared" ref="J761" si="322">+ROUND(E761*G761,2)</f>
        <v>30.58</v>
      </c>
      <c r="K761" s="93" t="e">
        <f t="shared" si="318"/>
        <v>#REF!</v>
      </c>
      <c r="L761" s="97"/>
    </row>
    <row r="762" spans="2:12" ht="13.15" customHeight="1" outlineLevel="1">
      <c r="B762" s="364">
        <f t="shared" si="320"/>
        <v>6.2909999999999915</v>
      </c>
      <c r="C762" s="360" t="s">
        <v>1406</v>
      </c>
      <c r="D762" s="81" t="s">
        <v>36</v>
      </c>
      <c r="E762" s="111">
        <v>20</v>
      </c>
      <c r="F762" s="93">
        <v>94.61</v>
      </c>
      <c r="G762" s="103">
        <v>2.85</v>
      </c>
      <c r="H762" s="213" t="e">
        <f t="shared" si="317"/>
        <v>#REF!</v>
      </c>
      <c r="I762" s="213">
        <f t="shared" si="307"/>
        <v>1892.2</v>
      </c>
      <c r="J762" s="201">
        <f>+ROUND(E762*G762,2)</f>
        <v>57</v>
      </c>
      <c r="K762" s="93" t="e">
        <f t="shared" si="318"/>
        <v>#REF!</v>
      </c>
      <c r="L762" s="97"/>
    </row>
    <row r="763" spans="2:12" ht="13.15" customHeight="1" outlineLevel="1">
      <c r="B763" s="364">
        <f t="shared" si="320"/>
        <v>6.2910999999999913</v>
      </c>
      <c r="C763" s="360" t="s">
        <v>1407</v>
      </c>
      <c r="D763" s="81" t="s">
        <v>36</v>
      </c>
      <c r="E763" s="111">
        <v>0</v>
      </c>
      <c r="F763" s="93"/>
      <c r="G763" s="368"/>
      <c r="H763" s="213"/>
      <c r="I763" s="213">
        <f t="shared" si="307"/>
        <v>0</v>
      </c>
      <c r="J763" s="201"/>
      <c r="K763" s="93"/>
      <c r="L763" s="97"/>
    </row>
    <row r="764" spans="2:12" ht="13.5" customHeight="1">
      <c r="B764" s="218">
        <f>B752+0.01</f>
        <v>6.2999999999999936</v>
      </c>
      <c r="C764" s="508" t="s">
        <v>1408</v>
      </c>
      <c r="D764" s="81"/>
      <c r="E764" s="111"/>
      <c r="F764" s="93" t="s">
        <v>8</v>
      </c>
      <c r="G764" s="82"/>
      <c r="H764" s="213"/>
      <c r="I764" s="213"/>
      <c r="J764" s="201"/>
      <c r="K764" s="93"/>
      <c r="L764" s="136" t="e">
        <f>SUM(I764:I767)+SUM(J764:J767)*TC</f>
        <v>#REF!</v>
      </c>
    </row>
    <row r="765" spans="2:12" ht="13.15" customHeight="1" outlineLevel="1">
      <c r="B765" s="364">
        <f>B764+0.0001</f>
        <v>6.3000999999999934</v>
      </c>
      <c r="C765" s="361" t="s">
        <v>1409</v>
      </c>
      <c r="D765" s="81" t="s">
        <v>36</v>
      </c>
      <c r="E765" s="111">
        <v>23</v>
      </c>
      <c r="F765" s="106">
        <v>80</v>
      </c>
      <c r="G765" s="103"/>
      <c r="H765" s="213" t="e">
        <f>+ROUND(F765+G765*TC,2)</f>
        <v>#REF!</v>
      </c>
      <c r="I765" s="213">
        <f t="shared" si="307"/>
        <v>1840</v>
      </c>
      <c r="J765" s="201">
        <f t="shared" si="300"/>
        <v>0</v>
      </c>
      <c r="K765" s="93" t="e">
        <f>+ROUND(I765+J765*TC,2)</f>
        <v>#REF!</v>
      </c>
      <c r="L765" s="97"/>
    </row>
    <row r="766" spans="2:12">
      <c r="B766" s="364">
        <f>B765+0.0001</f>
        <v>6.3001999999999931</v>
      </c>
      <c r="C766" s="361" t="s">
        <v>1410</v>
      </c>
      <c r="D766" s="81" t="s">
        <v>36</v>
      </c>
      <c r="E766" s="111">
        <v>174</v>
      </c>
      <c r="F766" s="106">
        <v>80</v>
      </c>
      <c r="G766" s="103"/>
      <c r="H766" s="213" t="e">
        <f>+ROUND(F766+G766*TC,2)</f>
        <v>#REF!</v>
      </c>
      <c r="I766" s="213">
        <f t="shared" si="307"/>
        <v>13920</v>
      </c>
      <c r="J766" s="201">
        <f>+ROUND(E766*G766,2)</f>
        <v>0</v>
      </c>
      <c r="K766" s="93" t="e">
        <f>+ROUND(I766+J766*TC,2)</f>
        <v>#REF!</v>
      </c>
    </row>
    <row r="767" spans="2:12" ht="13.5" customHeight="1" outlineLevel="1">
      <c r="B767" s="364">
        <f>B766+0.0001</f>
        <v>6.3002999999999929</v>
      </c>
      <c r="C767" s="361" t="s">
        <v>1411</v>
      </c>
      <c r="D767" s="81" t="s">
        <v>36</v>
      </c>
      <c r="E767" s="111">
        <v>1</v>
      </c>
      <c r="F767" s="106">
        <v>250</v>
      </c>
      <c r="G767" s="103"/>
      <c r="H767" s="213" t="e">
        <f>+ROUND(F767+G767*TC,2)</f>
        <v>#REF!</v>
      </c>
      <c r="I767" s="213">
        <f t="shared" si="307"/>
        <v>250</v>
      </c>
      <c r="J767" s="201">
        <f t="shared" si="300"/>
        <v>0</v>
      </c>
      <c r="K767" s="93" t="e">
        <f>+ROUND(I767+J767*TC,2)</f>
        <v>#REF!</v>
      </c>
      <c r="L767" s="97"/>
    </row>
    <row r="768" spans="2:12">
      <c r="B768" s="218">
        <f>B764+0.01</f>
        <v>6.3099999999999934</v>
      </c>
      <c r="C768" s="508" t="s">
        <v>1408</v>
      </c>
      <c r="D768" s="81"/>
      <c r="E768" s="111"/>
      <c r="F768" s="93" t="s">
        <v>8</v>
      </c>
      <c r="G768" s="82"/>
      <c r="H768" s="213"/>
      <c r="I768" s="213"/>
      <c r="J768" s="201"/>
      <c r="K768" s="93"/>
      <c r="L768" s="136" t="e">
        <f>SUM(I768:I771)+SUM(J768:J771)*TC</f>
        <v>#REF!</v>
      </c>
    </row>
    <row r="769" spans="1:12" ht="13.5" customHeight="1" outlineLevel="1">
      <c r="B769" s="364">
        <f>B768+0.0001</f>
        <v>6.3100999999999932</v>
      </c>
      <c r="C769" s="361" t="s">
        <v>796</v>
      </c>
      <c r="D769" s="81" t="s">
        <v>36</v>
      </c>
      <c r="E769" s="111">
        <v>40</v>
      </c>
      <c r="F769" s="93">
        <v>75</v>
      </c>
      <c r="G769" s="103"/>
      <c r="H769" s="213" t="e">
        <f>+ROUND(F769+G769*TC,2)</f>
        <v>#REF!</v>
      </c>
      <c r="I769" s="213">
        <f t="shared" si="307"/>
        <v>3000</v>
      </c>
      <c r="J769" s="201">
        <f>+ROUND(E769*G769,2)</f>
        <v>0</v>
      </c>
      <c r="K769" s="93" t="e">
        <f>+ROUND(I769+J769*TC,2)</f>
        <v>#REF!</v>
      </c>
      <c r="L769" s="97"/>
    </row>
    <row r="770" spans="1:12" ht="13.5" customHeight="1" outlineLevel="1">
      <c r="B770" s="364">
        <f>B769+0.0001</f>
        <v>6.3101999999999929</v>
      </c>
      <c r="C770" s="360" t="s">
        <v>797</v>
      </c>
      <c r="D770" s="81" t="s">
        <v>36</v>
      </c>
      <c r="E770" s="111">
        <v>2</v>
      </c>
      <c r="F770" s="93">
        <v>320</v>
      </c>
      <c r="G770" s="103"/>
      <c r="H770" s="213" t="e">
        <f>+ROUND(F770+G770*TC,2)</f>
        <v>#REF!</v>
      </c>
      <c r="I770" s="213">
        <f t="shared" si="307"/>
        <v>640</v>
      </c>
      <c r="J770" s="201">
        <f>+ROUND(E770*G770,2)</f>
        <v>0</v>
      </c>
      <c r="K770" s="93" t="e">
        <f>+ROUND(I770+J770*TC,2)</f>
        <v>#REF!</v>
      </c>
      <c r="L770" s="97"/>
    </row>
    <row r="771" spans="1:12" ht="13.5" customHeight="1" outlineLevel="1">
      <c r="B771" s="364">
        <f>B770+0.0001</f>
        <v>6.3102999999999927</v>
      </c>
      <c r="C771" s="361" t="s">
        <v>798</v>
      </c>
      <c r="D771" s="81" t="s">
        <v>36</v>
      </c>
      <c r="E771" s="111">
        <v>0</v>
      </c>
      <c r="F771" s="93">
        <v>130</v>
      </c>
      <c r="G771" s="103"/>
      <c r="H771" s="213" t="e">
        <f>+ROUND(F771+G771*TC,2)</f>
        <v>#REF!</v>
      </c>
      <c r="I771" s="213">
        <f t="shared" si="307"/>
        <v>0</v>
      </c>
      <c r="J771" s="201">
        <f>+ROUND(E771*G771,2)</f>
        <v>0</v>
      </c>
      <c r="K771" s="93" t="e">
        <f>+ROUND(I771+J771*TC,2)</f>
        <v>#REF!</v>
      </c>
      <c r="L771" s="97"/>
    </row>
    <row r="772" spans="1:12" ht="13.5" customHeight="1">
      <c r="B772" s="218">
        <f>B768+0.01</f>
        <v>6.3199999999999932</v>
      </c>
      <c r="C772" s="508" t="s">
        <v>293</v>
      </c>
      <c r="D772" s="81"/>
      <c r="E772" s="111"/>
      <c r="F772" s="93" t="s">
        <v>8</v>
      </c>
      <c r="G772" s="82"/>
      <c r="H772" s="213"/>
      <c r="I772" s="213"/>
      <c r="J772" s="201"/>
      <c r="K772" s="93"/>
      <c r="L772" s="136" t="e">
        <f>SUM(I772:I773)+SUM(J772:J773)*TC</f>
        <v>#REF!</v>
      </c>
    </row>
    <row r="773" spans="1:12" ht="13.5" customHeight="1" outlineLevel="1" thickBot="1">
      <c r="B773" s="364">
        <f>B772+0.0001</f>
        <v>6.3200999999999929</v>
      </c>
      <c r="C773" s="349" t="s">
        <v>1412</v>
      </c>
      <c r="D773" s="81" t="s">
        <v>29</v>
      </c>
      <c r="E773" s="111">
        <v>1</v>
      </c>
      <c r="F773" s="106">
        <v>113960.95</v>
      </c>
      <c r="G773" s="103"/>
      <c r="H773" s="213" t="e">
        <f>+ROUND(F773+G773*TC,2)</f>
        <v>#REF!</v>
      </c>
      <c r="I773" s="213">
        <f t="shared" si="307"/>
        <v>113960.95</v>
      </c>
      <c r="J773" s="201">
        <f>+ROUND(E773*G773,2)</f>
        <v>0</v>
      </c>
      <c r="K773" s="93" t="e">
        <f>+ROUND(I773+J773*TC,2)</f>
        <v>#REF!</v>
      </c>
      <c r="L773" s="97"/>
    </row>
    <row r="774" spans="1:12" s="63" customFormat="1" ht="14.1" customHeight="1" collapsed="1" thickTop="1" thickBot="1">
      <c r="A774" s="412"/>
      <c r="B774" s="119"/>
      <c r="C774" s="176"/>
      <c r="D774" s="120"/>
      <c r="E774" s="120"/>
      <c r="F774" s="98" t="s">
        <v>1413</v>
      </c>
      <c r="G774" s="228"/>
      <c r="H774" s="228"/>
      <c r="I774" s="99">
        <f>SUM(I12:I773)</f>
        <v>6862617.5799999991</v>
      </c>
      <c r="J774" s="100">
        <f>SUM(J12:J773)</f>
        <v>939445.48999999918</v>
      </c>
      <c r="K774" s="99" t="e">
        <f>SUM(K12:K773)</f>
        <v>#REF!</v>
      </c>
      <c r="L774" s="104" t="e">
        <f>SUM(L12:L773)</f>
        <v>#REF!</v>
      </c>
    </row>
    <row r="775" spans="1:12" ht="12" thickTop="1"/>
    <row r="776" spans="1:12">
      <c r="I776" s="423" t="e">
        <f>+I774+J774*TC-K774</f>
        <v>#REF!</v>
      </c>
      <c r="L776" s="127"/>
    </row>
    <row r="777" spans="1:12" ht="12" thickBot="1"/>
    <row r="778" spans="1:12" ht="15.75" thickTop="1" thickBot="1">
      <c r="H778" s="38" t="s">
        <v>199</v>
      </c>
      <c r="I778" s="214">
        <v>6846154.8099999996</v>
      </c>
      <c r="J778" s="202">
        <v>929607.52</v>
      </c>
      <c r="L778" s="302"/>
    </row>
    <row r="779" spans="1:12" ht="15.75" thickTop="1" thickBot="1">
      <c r="F779" s="106"/>
      <c r="H779" s="38"/>
      <c r="I779" s="214">
        <f>+I774-I778</f>
        <v>16462.769999999553</v>
      </c>
      <c r="J779" s="202">
        <f>+J774-J778</f>
        <v>9837.9699999991572</v>
      </c>
    </row>
    <row r="780" spans="1:12" ht="12" thickTop="1"/>
  </sheetData>
  <autoFilter ref="A10:L774" xr:uid="{BE28BBD8-7676-46B5-85F1-048A0B5B7D4E}"/>
  <mergeCells count="1">
    <mergeCell ref="B2:L2"/>
  </mergeCells>
  <phoneticPr fontId="12" type="noConversion"/>
  <conditionalFormatting sqref="C130:C142 C144:C146 C158:C162">
    <cfRule type="containsText" dxfId="8" priority="3" operator="containsText" text="POR DEFINIR">
      <formula>NOT(ISERROR(SEARCH("POR DEFINIR",C130)))</formula>
    </cfRule>
  </conditionalFormatting>
  <conditionalFormatting sqref="C361">
    <cfRule type="containsText" dxfId="7" priority="11" operator="containsText" text="POR DEFINIR">
      <formula>NOT(ISERROR(SEARCH("POR DEFINIR",C361)))</formula>
    </cfRule>
  </conditionalFormatting>
  <conditionalFormatting sqref="C370">
    <cfRule type="containsText" dxfId="6" priority="10" operator="containsText" text="POR DEFINIR">
      <formula>NOT(ISERROR(SEARCH("POR DEFINIR",C370)))</formula>
    </cfRule>
  </conditionalFormatting>
  <conditionalFormatting sqref="C679:C680">
    <cfRule type="containsText" dxfId="5" priority="19" operator="containsText" text="POR DEFINIR">
      <formula>NOT(ISERROR(SEARCH("POR DEFINIR",C679)))</formula>
    </cfRule>
  </conditionalFormatting>
  <conditionalFormatting sqref="C682:C683">
    <cfRule type="containsText" dxfId="4" priority="2" operator="containsText" text="POR DEFINIR">
      <formula>NOT(ISERROR(SEARCH("POR DEFINIR",C682)))</formula>
    </cfRule>
  </conditionalFormatting>
  <conditionalFormatting sqref="C685">
    <cfRule type="containsText" dxfId="3" priority="16" operator="containsText" text="POR DEFINIR">
      <formula>NOT(ISERROR(SEARCH("POR DEFINIR",C685)))</formula>
    </cfRule>
  </conditionalFormatting>
  <conditionalFormatting sqref="C687">
    <cfRule type="containsText" dxfId="2" priority="15" operator="containsText" text="POR DEFINIR">
      <formula>NOT(ISERROR(SEARCH("POR DEFINIR",C687)))</formula>
    </cfRule>
  </conditionalFormatting>
  <conditionalFormatting sqref="C701">
    <cfRule type="containsText" dxfId="1" priority="1" operator="containsText" text="POR DEFINIR">
      <formula>NOT(ISERROR(SEARCH("POR DEFINIR",C701)))</formula>
    </cfRule>
  </conditionalFormatting>
  <conditionalFormatting sqref="I12:J14 I774:J777">
    <cfRule type="cellIs" dxfId="0" priority="20" stopIfTrue="1" operator="equal">
      <formula>0</formula>
    </cfRule>
  </conditionalFormatting>
  <dataValidations disablePrompts="1" count="1">
    <dataValidation type="list" allowBlank="1" showInputMessage="1" showErrorMessage="1" sqref="C680" xr:uid="{F5AEA563-E85D-45C0-B236-44AC9EC220A1}">
      <formula1>#REF!</formula1>
    </dataValidation>
  </dataValidations>
  <pageMargins left="0.7" right="0.7" top="0.75" bottom="0.75" header="0.3" footer="0.3"/>
  <ignoredErrors>
    <ignoredError sqref="C11 L711:L713 L349 L408:L409 L452:L453 L354 L399 L382:L385 L353 L402:L404 L233:L235 B153:C154 C152 B157 L340:L346 L739 L716:L722 L524 L698 L688 C128 L137 L65 L583:L584 L578 L480:L484 L361 L37 L90 H13:L14 L91:L92 L56:L60 L44:L47 L144:L145 H774:L774 B163:B164 C162 C160 L226:L228 L600 L109:L110 L579:L581 L229 L232 L292:L293 L765:L767 L25:L28 H12:K12 L117:L119 L112:L113 L120:L122 L769:L771 L15:L18 L21:L23 L31:L34 L38:L42 L522 L566:L569 L508:L520 L485:L505 L631:L633 L640 L664 L660:L662 L642:L645 L705:L708 L725:L729 L773 L666:L678 L635:L638 L753 L363:L368 L431:L448 L463:L464 L647:L654 L657:L658 L52:L53 L70:L73 L79:L80 L125:L126 C126 L130 L680:L686 L679 L153:L160 L295:L298 L93:L107" unlockedFormula="1"/>
    <ignoredError sqref="B117:B118 B100 B764:B765 B712:B714 B430 B407 B389:B390 B352:B353 B360 B379:B385 B402:B403 B230:B236 B339:B347 B305 B752:B753 B120 B640:B643 B524 B571:B573 B738:B740 B698 B702 B693:B695 B146:B147 B494:B495 B578:B579 B479:B492 B370 B23 B37 B79 B49:B52 B26:B28 B56:B59 B44:B46 B772 B152 B224 B623 B593 B595 B616 B628 B582:B584 B31:B34 B38:B42 B509:B520 B522 B562:B568 B599:B601 B618:B619 B630:B638 B645 B647:B653 B660:B662 B657 B665:B686 B690 B708 B704:B705 B462:B464 B65 B70:B72 B300 B309 B311 B335:B336" formula="1"/>
    <ignoredError sqref="B158:B159 B155:B156 B128 B175 B161:B162" formula="1" unlockedFormula="1"/>
  </ignoredErrors>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00CC"/>
  </sheetPr>
  <dimension ref="A1:G12"/>
  <sheetViews>
    <sheetView workbookViewId="0">
      <selection activeCell="E29" sqref="E29"/>
    </sheetView>
  </sheetViews>
  <sheetFormatPr defaultColWidth="11.42578125" defaultRowHeight="15"/>
  <cols>
    <col min="1" max="1" width="7.85546875" customWidth="1"/>
    <col min="2" max="2" width="37" customWidth="1"/>
    <col min="7" max="7" width="11.7109375" bestFit="1" customWidth="1"/>
  </cols>
  <sheetData>
    <row r="1" spans="1:7" ht="15.75" thickBot="1"/>
    <row r="2" spans="1:7" ht="16.5" thickTop="1" thickBot="1">
      <c r="B2" s="247" t="s">
        <v>6</v>
      </c>
      <c r="C2" s="12" t="s">
        <v>17</v>
      </c>
      <c r="D2" s="13" t="s">
        <v>18</v>
      </c>
      <c r="E2" s="13" t="s">
        <v>1414</v>
      </c>
      <c r="F2" s="150" t="s">
        <v>201</v>
      </c>
      <c r="G2" s="246" t="s">
        <v>13</v>
      </c>
    </row>
    <row r="3" spans="1:7" ht="15.75" thickTop="1">
      <c r="B3" s="257" t="s">
        <v>1415</v>
      </c>
      <c r="C3" s="248"/>
      <c r="D3" s="249"/>
      <c r="E3" s="250"/>
      <c r="F3" s="262"/>
      <c r="G3" s="258">
        <f>SUM(F5:F6)</f>
        <v>29000</v>
      </c>
    </row>
    <row r="4" spans="1:7">
      <c r="B4" s="256" t="s">
        <v>1416</v>
      </c>
      <c r="C4" s="259"/>
      <c r="D4" s="260"/>
      <c r="E4" s="261"/>
      <c r="F4" s="263"/>
      <c r="G4" s="264"/>
    </row>
    <row r="5" spans="1:7">
      <c r="B5" s="267" t="s">
        <v>1417</v>
      </c>
      <c r="C5" s="268" t="s">
        <v>36</v>
      </c>
      <c r="D5" s="269">
        <v>1</v>
      </c>
      <c r="E5" s="270">
        <v>29000</v>
      </c>
      <c r="F5" s="271">
        <f>+E5*D5</f>
        <v>29000</v>
      </c>
      <c r="G5" s="264"/>
    </row>
    <row r="6" spans="1:7" ht="23.25" thickBot="1">
      <c r="B6" s="272" t="s">
        <v>1418</v>
      </c>
      <c r="C6" s="273" t="s">
        <v>29</v>
      </c>
      <c r="D6" s="274">
        <v>0</v>
      </c>
      <c r="E6" s="275">
        <v>90335</v>
      </c>
      <c r="F6" s="276">
        <f>+E6*D6</f>
        <v>0</v>
      </c>
      <c r="G6" s="265"/>
    </row>
    <row r="7" spans="1:7" ht="15.75" thickTop="1"/>
    <row r="8" spans="1:7">
      <c r="A8" s="254"/>
      <c r="B8" s="255"/>
      <c r="C8" s="254"/>
      <c r="D8" s="254"/>
      <c r="E8" s="255"/>
      <c r="F8" s="255"/>
      <c r="G8" s="255"/>
    </row>
    <row r="9" spans="1:7">
      <c r="A9" s="10"/>
      <c r="B9" s="4"/>
      <c r="C9" s="251"/>
      <c r="D9" s="251"/>
      <c r="E9" s="251"/>
      <c r="F9" s="251"/>
      <c r="G9" s="252"/>
    </row>
    <row r="10" spans="1:7">
      <c r="A10" s="10"/>
      <c r="B10" s="4"/>
      <c r="C10" s="251"/>
      <c r="D10" s="251"/>
      <c r="E10" s="251"/>
      <c r="F10" s="251"/>
      <c r="G10" s="252"/>
    </row>
    <row r="11" spans="1:7">
      <c r="A11" s="4"/>
      <c r="G11" s="253"/>
    </row>
    <row r="12" spans="1:7">
      <c r="B12" s="4"/>
      <c r="C12" s="251"/>
    </row>
  </sheetData>
  <pageMargins left="0.7" right="0.7" top="0.75" bottom="0.75" header="0.3" footer="0.3"/>
  <pageSetup orientation="portrait" r:id="rId1"/>
  <ignoredErrors>
    <ignoredError sqref="G3" unlockedFormula="1"/>
  </ignoredError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47923-00EE-462A-872B-7C6E279E0E8F}">
  <dimension ref="A1:J143"/>
  <sheetViews>
    <sheetView topLeftCell="B1" workbookViewId="0">
      <selection activeCell="J77" sqref="J77"/>
    </sheetView>
  </sheetViews>
  <sheetFormatPr defaultColWidth="11.42578125" defaultRowHeight="15"/>
  <cols>
    <col min="1" max="1" width="11.42578125" style="447"/>
    <col min="2" max="2" width="36.85546875" style="447" customWidth="1"/>
    <col min="3" max="3" width="4" style="447" bestFit="1" customWidth="1"/>
    <col min="4" max="4" width="9.42578125" style="457" bestFit="1" customWidth="1"/>
    <col min="5" max="5" width="9" style="457" bestFit="1" customWidth="1"/>
    <col min="6" max="6" width="11.42578125" style="458"/>
    <col min="7" max="7" width="11.85546875" style="457" bestFit="1" customWidth="1"/>
    <col min="8" max="8" width="11.5703125" style="457" bestFit="1" customWidth="1"/>
    <col min="9" max="9" width="13.140625" style="457" bestFit="1" customWidth="1"/>
    <col min="10" max="16384" width="11.42578125" style="447"/>
  </cols>
  <sheetData>
    <row r="1" spans="1:10">
      <c r="A1" s="35"/>
      <c r="B1" s="387"/>
      <c r="C1" s="3"/>
      <c r="D1" s="444"/>
      <c r="E1" s="444"/>
      <c r="F1" s="445"/>
      <c r="G1" s="444"/>
      <c r="H1" s="444"/>
      <c r="I1" s="446"/>
    </row>
    <row r="2" spans="1:10">
      <c r="A2" s="619" t="s">
        <v>1419</v>
      </c>
      <c r="B2" s="619"/>
      <c r="C2" s="619"/>
      <c r="D2" s="619"/>
      <c r="E2" s="619"/>
      <c r="F2" s="619"/>
      <c r="G2" s="619"/>
      <c r="H2" s="619"/>
      <c r="I2" s="446"/>
    </row>
    <row r="3" spans="1:10">
      <c r="A3" s="35"/>
      <c r="B3" s="387"/>
      <c r="C3" s="3"/>
      <c r="D3" s="444"/>
      <c r="E3" s="444"/>
      <c r="F3" s="445"/>
      <c r="G3" s="444"/>
      <c r="H3" s="448" t="s">
        <v>1420</v>
      </c>
      <c r="I3" s="449">
        <v>3.75</v>
      </c>
    </row>
    <row r="4" spans="1:10">
      <c r="A4" s="147" t="s">
        <v>0</v>
      </c>
      <c r="B4" s="393" t="s">
        <v>1421</v>
      </c>
      <c r="C4" s="3"/>
      <c r="D4" s="444"/>
      <c r="E4" s="444"/>
      <c r="F4" s="445"/>
      <c r="G4" s="444"/>
      <c r="H4" s="444"/>
      <c r="I4" s="446"/>
    </row>
    <row r="5" spans="1:10">
      <c r="A5" s="147" t="s">
        <v>14</v>
      </c>
      <c r="B5" s="393" t="s">
        <v>1419</v>
      </c>
      <c r="C5" s="3"/>
      <c r="D5" s="444"/>
      <c r="E5" s="444"/>
      <c r="F5" s="445"/>
      <c r="G5" s="444"/>
      <c r="H5" s="444"/>
      <c r="I5" s="446"/>
    </row>
    <row r="6" spans="1:10">
      <c r="A6" s="147" t="s">
        <v>1</v>
      </c>
      <c r="B6" s="393" t="s">
        <v>1422</v>
      </c>
      <c r="C6" s="3"/>
      <c r="D6" s="444"/>
      <c r="E6" s="444"/>
      <c r="F6" s="450" t="s">
        <v>1423</v>
      </c>
      <c r="G6" s="451">
        <v>45394</v>
      </c>
      <c r="H6" s="452"/>
      <c r="I6" s="446"/>
    </row>
    <row r="7" spans="1:10" ht="15.75" thickBot="1">
      <c r="A7" s="147" t="s">
        <v>3</v>
      </c>
      <c r="B7" s="393"/>
      <c r="C7" s="3"/>
      <c r="D7" s="444"/>
      <c r="E7" s="444"/>
      <c r="F7" s="445"/>
      <c r="G7" s="444"/>
      <c r="H7" s="444"/>
      <c r="I7" s="446"/>
    </row>
    <row r="8" spans="1:10" ht="15.75" thickTop="1">
      <c r="A8" s="396" t="s">
        <v>5</v>
      </c>
      <c r="B8" s="397" t="s">
        <v>16</v>
      </c>
      <c r="C8" s="398" t="s">
        <v>17</v>
      </c>
      <c r="D8" s="453" t="s">
        <v>18</v>
      </c>
      <c r="E8" s="453" t="s">
        <v>1424</v>
      </c>
      <c r="F8" s="454" t="s">
        <v>1425</v>
      </c>
      <c r="G8" s="453" t="s">
        <v>1426</v>
      </c>
      <c r="H8" s="453" t="s">
        <v>1427</v>
      </c>
      <c r="I8" s="455" t="s">
        <v>13</v>
      </c>
    </row>
    <row r="9" spans="1:10">
      <c r="A9" s="529" t="s">
        <v>25</v>
      </c>
      <c r="B9" s="530" t="s">
        <v>1419</v>
      </c>
      <c r="C9" s="531"/>
      <c r="D9" s="532"/>
      <c r="E9" s="532"/>
      <c r="F9" s="533"/>
      <c r="G9" s="534">
        <f>SUM(G10:G143)</f>
        <v>1240575.8</v>
      </c>
      <c r="H9" s="535">
        <f>SUM(H10:H143)</f>
        <v>42657.420000000006</v>
      </c>
      <c r="I9" s="534">
        <f>SUM(I10:I143)</f>
        <v>1400541.17</v>
      </c>
    </row>
    <row r="10" spans="1:10">
      <c r="A10" s="536" t="s">
        <v>1428</v>
      </c>
      <c r="B10" s="536" t="s">
        <v>1429</v>
      </c>
      <c r="C10" s="537"/>
      <c r="D10" s="538"/>
      <c r="E10" s="538"/>
      <c r="F10" s="539"/>
      <c r="G10" s="538"/>
      <c r="H10" s="540"/>
      <c r="I10" s="538"/>
      <c r="J10" s="456">
        <f>SUM(I12:I64)</f>
        <v>419601.08</v>
      </c>
    </row>
    <row r="11" spans="1:10">
      <c r="A11" s="541" t="s">
        <v>1430</v>
      </c>
      <c r="B11" s="541" t="s">
        <v>1431</v>
      </c>
      <c r="C11" s="537"/>
      <c r="D11" s="538"/>
      <c r="E11" s="538"/>
      <c r="F11" s="539"/>
      <c r="G11" s="538"/>
      <c r="H11" s="540"/>
      <c r="I11" s="538"/>
    </row>
    <row r="12" spans="1:10">
      <c r="A12" s="542" t="s">
        <v>1432</v>
      </c>
      <c r="B12" s="542" t="s">
        <v>1433</v>
      </c>
      <c r="C12" s="542" t="s">
        <v>1434</v>
      </c>
      <c r="D12" s="543">
        <v>1099</v>
      </c>
      <c r="E12" s="543">
        <v>57.25</v>
      </c>
      <c r="F12" s="539">
        <v>0</v>
      </c>
      <c r="G12" s="544">
        <f>+ROUND(E12*D12,2)</f>
        <v>62917.75</v>
      </c>
      <c r="H12" s="545">
        <f>+ROUND(F12*D12,2)</f>
        <v>0</v>
      </c>
      <c r="I12" s="544">
        <f>+ROUND(G12+(H12*$I$3),2)</f>
        <v>62917.75</v>
      </c>
    </row>
    <row r="13" spans="1:10">
      <c r="A13" s="542" t="s">
        <v>1435</v>
      </c>
      <c r="B13" s="542" t="s">
        <v>1436</v>
      </c>
      <c r="C13" s="542" t="s">
        <v>1434</v>
      </c>
      <c r="D13" s="543">
        <v>201</v>
      </c>
      <c r="E13" s="543">
        <v>59.35</v>
      </c>
      <c r="F13" s="539">
        <v>0</v>
      </c>
      <c r="G13" s="544">
        <f t="shared" ref="G13:G76" si="0">+ROUND(E13*D13,2)</f>
        <v>11929.35</v>
      </c>
      <c r="H13" s="545">
        <f t="shared" ref="H13:H76" si="1">+ROUND(F13*D13,2)</f>
        <v>0</v>
      </c>
      <c r="I13" s="544">
        <f t="shared" ref="I13:I76" si="2">+ROUND(G13+(H13*$I$3),2)</f>
        <v>11929.35</v>
      </c>
    </row>
    <row r="14" spans="1:10">
      <c r="A14" s="542" t="s">
        <v>1437</v>
      </c>
      <c r="B14" s="542" t="s">
        <v>1438</v>
      </c>
      <c r="C14" s="542" t="s">
        <v>1434</v>
      </c>
      <c r="D14" s="543">
        <v>3</v>
      </c>
      <c r="E14" s="543">
        <v>132.29</v>
      </c>
      <c r="F14" s="539">
        <v>0</v>
      </c>
      <c r="G14" s="544">
        <f t="shared" si="0"/>
        <v>396.87</v>
      </c>
      <c r="H14" s="545">
        <f t="shared" si="1"/>
        <v>0</v>
      </c>
      <c r="I14" s="544">
        <f t="shared" si="2"/>
        <v>396.87</v>
      </c>
    </row>
    <row r="15" spans="1:10">
      <c r="A15" s="541" t="s">
        <v>1439</v>
      </c>
      <c r="B15" s="541" t="s">
        <v>1440</v>
      </c>
      <c r="C15" s="537"/>
      <c r="D15" s="538"/>
      <c r="E15" s="538"/>
      <c r="F15" s="539"/>
      <c r="G15" s="544">
        <f t="shared" si="0"/>
        <v>0</v>
      </c>
      <c r="H15" s="545">
        <f t="shared" si="1"/>
        <v>0</v>
      </c>
      <c r="I15" s="544">
        <f t="shared" si="2"/>
        <v>0</v>
      </c>
    </row>
    <row r="16" spans="1:10">
      <c r="A16" s="542" t="s">
        <v>1441</v>
      </c>
      <c r="B16" s="542" t="s">
        <v>1442</v>
      </c>
      <c r="C16" s="542" t="s">
        <v>643</v>
      </c>
      <c r="D16" s="543">
        <v>1100</v>
      </c>
      <c r="E16" s="543">
        <v>15.69</v>
      </c>
      <c r="F16" s="539">
        <v>0</v>
      </c>
      <c r="G16" s="544">
        <f t="shared" si="0"/>
        <v>17259</v>
      </c>
      <c r="H16" s="545">
        <f t="shared" si="1"/>
        <v>0</v>
      </c>
      <c r="I16" s="544">
        <f t="shared" si="2"/>
        <v>17259</v>
      </c>
    </row>
    <row r="17" spans="1:9">
      <c r="A17" s="542" t="s">
        <v>1443</v>
      </c>
      <c r="B17" s="542" t="s">
        <v>1444</v>
      </c>
      <c r="C17" s="542" t="s">
        <v>643</v>
      </c>
      <c r="D17" s="543">
        <v>3150</v>
      </c>
      <c r="E17" s="543">
        <v>18.739999999999998</v>
      </c>
      <c r="F17" s="539">
        <v>0</v>
      </c>
      <c r="G17" s="544">
        <f t="shared" si="0"/>
        <v>59031</v>
      </c>
      <c r="H17" s="545">
        <f t="shared" si="1"/>
        <v>0</v>
      </c>
      <c r="I17" s="544">
        <f t="shared" si="2"/>
        <v>59031</v>
      </c>
    </row>
    <row r="18" spans="1:9">
      <c r="A18" s="542" t="s">
        <v>1445</v>
      </c>
      <c r="B18" s="542" t="s">
        <v>1446</v>
      </c>
      <c r="C18" s="542" t="s">
        <v>643</v>
      </c>
      <c r="D18" s="543">
        <v>888.95</v>
      </c>
      <c r="E18" s="543">
        <v>24.44</v>
      </c>
      <c r="F18" s="539">
        <v>0</v>
      </c>
      <c r="G18" s="544">
        <f t="shared" si="0"/>
        <v>21725.94</v>
      </c>
      <c r="H18" s="545">
        <f t="shared" si="1"/>
        <v>0</v>
      </c>
      <c r="I18" s="544">
        <f t="shared" si="2"/>
        <v>21725.94</v>
      </c>
    </row>
    <row r="19" spans="1:9">
      <c r="A19" s="542" t="s">
        <v>1447</v>
      </c>
      <c r="B19" s="542" t="s">
        <v>1448</v>
      </c>
      <c r="C19" s="542" t="s">
        <v>643</v>
      </c>
      <c r="D19" s="543">
        <v>2</v>
      </c>
      <c r="E19" s="543">
        <v>29.9</v>
      </c>
      <c r="F19" s="539">
        <v>0</v>
      </c>
      <c r="G19" s="544">
        <f t="shared" si="0"/>
        <v>59.8</v>
      </c>
      <c r="H19" s="545">
        <f t="shared" si="1"/>
        <v>0</v>
      </c>
      <c r="I19" s="544">
        <f t="shared" si="2"/>
        <v>59.8</v>
      </c>
    </row>
    <row r="20" spans="1:9">
      <c r="A20" s="542" t="s">
        <v>1449</v>
      </c>
      <c r="B20" s="542" t="s">
        <v>1450</v>
      </c>
      <c r="C20" s="542" t="s">
        <v>643</v>
      </c>
      <c r="D20" s="543">
        <v>28.75</v>
      </c>
      <c r="E20" s="543">
        <v>40.1</v>
      </c>
      <c r="F20" s="539">
        <v>0</v>
      </c>
      <c r="G20" s="544">
        <f t="shared" si="0"/>
        <v>1152.8800000000001</v>
      </c>
      <c r="H20" s="545">
        <f t="shared" si="1"/>
        <v>0</v>
      </c>
      <c r="I20" s="544">
        <f t="shared" si="2"/>
        <v>1152.8800000000001</v>
      </c>
    </row>
    <row r="21" spans="1:9">
      <c r="A21" s="542" t="s">
        <v>1451</v>
      </c>
      <c r="B21" s="542" t="s">
        <v>1452</v>
      </c>
      <c r="C21" s="542" t="s">
        <v>643</v>
      </c>
      <c r="D21" s="543">
        <v>20</v>
      </c>
      <c r="E21" s="543">
        <v>24.17</v>
      </c>
      <c r="F21" s="539">
        <v>0</v>
      </c>
      <c r="G21" s="544">
        <f t="shared" si="0"/>
        <v>483.4</v>
      </c>
      <c r="H21" s="545">
        <f t="shared" si="1"/>
        <v>0</v>
      </c>
      <c r="I21" s="544">
        <f t="shared" si="2"/>
        <v>483.4</v>
      </c>
    </row>
    <row r="22" spans="1:9">
      <c r="A22" s="542" t="s">
        <v>1453</v>
      </c>
      <c r="B22" s="542" t="s">
        <v>1454</v>
      </c>
      <c r="C22" s="542" t="s">
        <v>643</v>
      </c>
      <c r="D22" s="543">
        <v>23</v>
      </c>
      <c r="E22" s="543">
        <v>26.43</v>
      </c>
      <c r="F22" s="539">
        <v>0</v>
      </c>
      <c r="G22" s="544">
        <f t="shared" si="0"/>
        <v>607.89</v>
      </c>
      <c r="H22" s="545">
        <f t="shared" si="1"/>
        <v>0</v>
      </c>
      <c r="I22" s="544">
        <f t="shared" si="2"/>
        <v>607.89</v>
      </c>
    </row>
    <row r="23" spans="1:9">
      <c r="A23" s="542" t="s">
        <v>1455</v>
      </c>
      <c r="B23" s="542" t="s">
        <v>1456</v>
      </c>
      <c r="C23" s="542" t="s">
        <v>643</v>
      </c>
      <c r="D23" s="543">
        <v>21</v>
      </c>
      <c r="E23" s="543">
        <v>33.409999999999997</v>
      </c>
      <c r="F23" s="539">
        <v>0</v>
      </c>
      <c r="G23" s="544">
        <f t="shared" si="0"/>
        <v>701.61</v>
      </c>
      <c r="H23" s="545">
        <f t="shared" si="1"/>
        <v>0</v>
      </c>
      <c r="I23" s="544">
        <f t="shared" si="2"/>
        <v>701.61</v>
      </c>
    </row>
    <row r="24" spans="1:9">
      <c r="A24" s="542" t="s">
        <v>1457</v>
      </c>
      <c r="B24" s="542" t="s">
        <v>1458</v>
      </c>
      <c r="C24" s="542" t="s">
        <v>643</v>
      </c>
      <c r="D24" s="543">
        <v>22.25</v>
      </c>
      <c r="E24" s="543">
        <v>47.86</v>
      </c>
      <c r="F24" s="539">
        <v>0</v>
      </c>
      <c r="G24" s="544">
        <f t="shared" si="0"/>
        <v>1064.8900000000001</v>
      </c>
      <c r="H24" s="545">
        <f t="shared" si="1"/>
        <v>0</v>
      </c>
      <c r="I24" s="544">
        <f t="shared" si="2"/>
        <v>1064.8900000000001</v>
      </c>
    </row>
    <row r="25" spans="1:9">
      <c r="A25" s="542" t="s">
        <v>1459</v>
      </c>
      <c r="B25" s="542" t="s">
        <v>1460</v>
      </c>
      <c r="C25" s="542" t="s">
        <v>643</v>
      </c>
      <c r="D25" s="543">
        <v>70.95</v>
      </c>
      <c r="E25" s="543">
        <v>57.45</v>
      </c>
      <c r="F25" s="539">
        <v>0</v>
      </c>
      <c r="G25" s="544">
        <f t="shared" si="0"/>
        <v>4076.08</v>
      </c>
      <c r="H25" s="545">
        <f t="shared" si="1"/>
        <v>0</v>
      </c>
      <c r="I25" s="544">
        <f t="shared" si="2"/>
        <v>4076.08</v>
      </c>
    </row>
    <row r="26" spans="1:9">
      <c r="A26" s="542" t="s">
        <v>1461</v>
      </c>
      <c r="B26" s="542" t="s">
        <v>1462</v>
      </c>
      <c r="C26" s="542" t="s">
        <v>643</v>
      </c>
      <c r="D26" s="543">
        <v>48.15</v>
      </c>
      <c r="E26" s="543">
        <v>88.16</v>
      </c>
      <c r="F26" s="539">
        <v>0</v>
      </c>
      <c r="G26" s="544">
        <f t="shared" si="0"/>
        <v>4244.8999999999996</v>
      </c>
      <c r="H26" s="545">
        <f t="shared" si="1"/>
        <v>0</v>
      </c>
      <c r="I26" s="544">
        <f t="shared" si="2"/>
        <v>4244.8999999999996</v>
      </c>
    </row>
    <row r="27" spans="1:9">
      <c r="A27" s="542" t="s">
        <v>1463</v>
      </c>
      <c r="B27" s="542" t="s">
        <v>1464</v>
      </c>
      <c r="C27" s="542" t="s">
        <v>643</v>
      </c>
      <c r="D27" s="543">
        <v>35.33</v>
      </c>
      <c r="E27" s="543">
        <v>108.03</v>
      </c>
      <c r="F27" s="539">
        <v>0</v>
      </c>
      <c r="G27" s="544">
        <f t="shared" si="0"/>
        <v>3816.7</v>
      </c>
      <c r="H27" s="545">
        <f t="shared" si="1"/>
        <v>0</v>
      </c>
      <c r="I27" s="544">
        <f t="shared" si="2"/>
        <v>3816.7</v>
      </c>
    </row>
    <row r="28" spans="1:9">
      <c r="A28" s="541" t="s">
        <v>1465</v>
      </c>
      <c r="B28" s="541" t="s">
        <v>1466</v>
      </c>
      <c r="C28" s="537"/>
      <c r="D28" s="538"/>
      <c r="E28" s="538"/>
      <c r="F28" s="539"/>
      <c r="G28" s="544">
        <f t="shared" si="0"/>
        <v>0</v>
      </c>
      <c r="H28" s="545">
        <f t="shared" si="1"/>
        <v>0</v>
      </c>
      <c r="I28" s="544">
        <f t="shared" si="2"/>
        <v>0</v>
      </c>
    </row>
    <row r="29" spans="1:9">
      <c r="A29" s="542" t="s">
        <v>1467</v>
      </c>
      <c r="B29" s="542" t="s">
        <v>1468</v>
      </c>
      <c r="C29" s="542" t="s">
        <v>643</v>
      </c>
      <c r="D29" s="543">
        <v>42</v>
      </c>
      <c r="E29" s="543">
        <v>47.86</v>
      </c>
      <c r="F29" s="539">
        <v>0</v>
      </c>
      <c r="G29" s="544">
        <f t="shared" si="0"/>
        <v>2010.12</v>
      </c>
      <c r="H29" s="545">
        <f t="shared" si="1"/>
        <v>0</v>
      </c>
      <c r="I29" s="544">
        <f t="shared" si="2"/>
        <v>2010.12</v>
      </c>
    </row>
    <row r="30" spans="1:9">
      <c r="A30" s="542" t="s">
        <v>1469</v>
      </c>
      <c r="B30" s="542" t="s">
        <v>1470</v>
      </c>
      <c r="C30" s="542" t="s">
        <v>643</v>
      </c>
      <c r="D30" s="543">
        <v>96</v>
      </c>
      <c r="E30" s="543">
        <v>66.17</v>
      </c>
      <c r="F30" s="539">
        <v>0</v>
      </c>
      <c r="G30" s="544">
        <f t="shared" si="0"/>
        <v>6352.32</v>
      </c>
      <c r="H30" s="545">
        <f t="shared" si="1"/>
        <v>0</v>
      </c>
      <c r="I30" s="544">
        <f t="shared" si="2"/>
        <v>6352.32</v>
      </c>
    </row>
    <row r="31" spans="1:9">
      <c r="A31" s="542" t="s">
        <v>1471</v>
      </c>
      <c r="B31" s="542" t="s">
        <v>1472</v>
      </c>
      <c r="C31" s="542" t="s">
        <v>643</v>
      </c>
      <c r="D31" s="543">
        <v>61</v>
      </c>
      <c r="E31" s="543">
        <v>88.16</v>
      </c>
      <c r="F31" s="539">
        <v>0</v>
      </c>
      <c r="G31" s="544">
        <f t="shared" si="0"/>
        <v>5377.76</v>
      </c>
      <c r="H31" s="545">
        <f t="shared" si="1"/>
        <v>0</v>
      </c>
      <c r="I31" s="544">
        <f t="shared" si="2"/>
        <v>5377.76</v>
      </c>
    </row>
    <row r="32" spans="1:9">
      <c r="A32" s="542" t="s">
        <v>1473</v>
      </c>
      <c r="B32" s="542" t="s">
        <v>1474</v>
      </c>
      <c r="C32" s="542" t="s">
        <v>643</v>
      </c>
      <c r="D32" s="543">
        <v>101</v>
      </c>
      <c r="E32" s="543">
        <v>111.49</v>
      </c>
      <c r="F32" s="539">
        <v>0</v>
      </c>
      <c r="G32" s="544">
        <f t="shared" si="0"/>
        <v>11260.49</v>
      </c>
      <c r="H32" s="545">
        <f t="shared" si="1"/>
        <v>0</v>
      </c>
      <c r="I32" s="544">
        <f t="shared" si="2"/>
        <v>11260.49</v>
      </c>
    </row>
    <row r="33" spans="1:9">
      <c r="A33" s="542" t="s">
        <v>1475</v>
      </c>
      <c r="B33" s="542" t="s">
        <v>1476</v>
      </c>
      <c r="C33" s="542" t="s">
        <v>643</v>
      </c>
      <c r="D33" s="543">
        <v>18</v>
      </c>
      <c r="E33" s="543">
        <v>151.68</v>
      </c>
      <c r="F33" s="539">
        <v>0</v>
      </c>
      <c r="G33" s="544">
        <f t="shared" si="0"/>
        <v>2730.24</v>
      </c>
      <c r="H33" s="545">
        <f t="shared" si="1"/>
        <v>0</v>
      </c>
      <c r="I33" s="544">
        <f t="shared" si="2"/>
        <v>2730.24</v>
      </c>
    </row>
    <row r="34" spans="1:9">
      <c r="A34" s="541" t="s">
        <v>1477</v>
      </c>
      <c r="B34" s="541" t="s">
        <v>1478</v>
      </c>
      <c r="C34" s="537"/>
      <c r="D34" s="538"/>
      <c r="E34" s="538"/>
      <c r="F34" s="539"/>
      <c r="G34" s="544">
        <f t="shared" si="0"/>
        <v>0</v>
      </c>
      <c r="H34" s="545">
        <f t="shared" si="1"/>
        <v>0</v>
      </c>
      <c r="I34" s="544">
        <f t="shared" si="2"/>
        <v>0</v>
      </c>
    </row>
    <row r="35" spans="1:9">
      <c r="A35" s="542" t="s">
        <v>1479</v>
      </c>
      <c r="B35" s="542" t="s">
        <v>1480</v>
      </c>
      <c r="C35" s="542" t="s">
        <v>36</v>
      </c>
      <c r="D35" s="543">
        <v>358</v>
      </c>
      <c r="E35" s="543">
        <v>63.61</v>
      </c>
      <c r="F35" s="539">
        <v>0</v>
      </c>
      <c r="G35" s="544">
        <f t="shared" si="0"/>
        <v>22772.38</v>
      </c>
      <c r="H35" s="545">
        <f t="shared" si="1"/>
        <v>0</v>
      </c>
      <c r="I35" s="544">
        <f t="shared" si="2"/>
        <v>22772.38</v>
      </c>
    </row>
    <row r="36" spans="1:9">
      <c r="A36" s="542" t="s">
        <v>1481</v>
      </c>
      <c r="B36" s="542" t="s">
        <v>1482</v>
      </c>
      <c r="C36" s="542" t="s">
        <v>36</v>
      </c>
      <c r="D36" s="543">
        <v>605</v>
      </c>
      <c r="E36" s="543">
        <v>72.44</v>
      </c>
      <c r="F36" s="539">
        <v>0</v>
      </c>
      <c r="G36" s="544">
        <f t="shared" si="0"/>
        <v>43826.2</v>
      </c>
      <c r="H36" s="545">
        <f t="shared" si="1"/>
        <v>0</v>
      </c>
      <c r="I36" s="544">
        <f t="shared" si="2"/>
        <v>43826.2</v>
      </c>
    </row>
    <row r="37" spans="1:9">
      <c r="A37" s="542" t="s">
        <v>1483</v>
      </c>
      <c r="B37" s="542" t="s">
        <v>1484</v>
      </c>
      <c r="C37" s="542" t="s">
        <v>36</v>
      </c>
      <c r="D37" s="543">
        <v>69</v>
      </c>
      <c r="E37" s="543">
        <v>136.35</v>
      </c>
      <c r="F37" s="539">
        <v>0</v>
      </c>
      <c r="G37" s="544">
        <f t="shared" si="0"/>
        <v>9408.15</v>
      </c>
      <c r="H37" s="545">
        <f t="shared" si="1"/>
        <v>0</v>
      </c>
      <c r="I37" s="544">
        <f t="shared" si="2"/>
        <v>9408.15</v>
      </c>
    </row>
    <row r="38" spans="1:9">
      <c r="A38" s="542" t="s">
        <v>1485</v>
      </c>
      <c r="B38" s="542" t="s">
        <v>1486</v>
      </c>
      <c r="C38" s="542" t="s">
        <v>36</v>
      </c>
      <c r="D38" s="543">
        <v>4</v>
      </c>
      <c r="E38" s="543">
        <v>359.62</v>
      </c>
      <c r="F38" s="539">
        <v>0</v>
      </c>
      <c r="G38" s="544">
        <f t="shared" si="0"/>
        <v>1438.48</v>
      </c>
      <c r="H38" s="545">
        <f t="shared" si="1"/>
        <v>0</v>
      </c>
      <c r="I38" s="544">
        <f t="shared" si="2"/>
        <v>1438.48</v>
      </c>
    </row>
    <row r="39" spans="1:9">
      <c r="A39" s="542" t="s">
        <v>1487</v>
      </c>
      <c r="B39" s="542" t="s">
        <v>1488</v>
      </c>
      <c r="C39" s="542" t="s">
        <v>36</v>
      </c>
      <c r="D39" s="543">
        <v>21</v>
      </c>
      <c r="E39" s="543">
        <v>395.26</v>
      </c>
      <c r="F39" s="539">
        <v>0</v>
      </c>
      <c r="G39" s="544">
        <f t="shared" si="0"/>
        <v>8300.4599999999991</v>
      </c>
      <c r="H39" s="545">
        <f t="shared" si="1"/>
        <v>0</v>
      </c>
      <c r="I39" s="544">
        <f t="shared" si="2"/>
        <v>8300.4599999999991</v>
      </c>
    </row>
    <row r="40" spans="1:9">
      <c r="A40" s="542" t="s">
        <v>1489</v>
      </c>
      <c r="B40" s="542" t="s">
        <v>1490</v>
      </c>
      <c r="C40" s="542" t="s">
        <v>36</v>
      </c>
      <c r="D40" s="543">
        <v>6</v>
      </c>
      <c r="E40" s="543">
        <v>395.26</v>
      </c>
      <c r="F40" s="539">
        <v>0</v>
      </c>
      <c r="G40" s="544">
        <f t="shared" si="0"/>
        <v>2371.56</v>
      </c>
      <c r="H40" s="545">
        <f t="shared" si="1"/>
        <v>0</v>
      </c>
      <c r="I40" s="544">
        <f t="shared" si="2"/>
        <v>2371.56</v>
      </c>
    </row>
    <row r="41" spans="1:9">
      <c r="A41" s="541" t="s">
        <v>1491</v>
      </c>
      <c r="B41" s="541" t="s">
        <v>1492</v>
      </c>
      <c r="C41" s="537"/>
      <c r="D41" s="538"/>
      <c r="E41" s="538"/>
      <c r="F41" s="539"/>
      <c r="G41" s="544">
        <f t="shared" si="0"/>
        <v>0</v>
      </c>
      <c r="H41" s="545">
        <f t="shared" si="1"/>
        <v>0</v>
      </c>
      <c r="I41" s="544">
        <f t="shared" si="2"/>
        <v>0</v>
      </c>
    </row>
    <row r="42" spans="1:9">
      <c r="A42" s="542" t="s">
        <v>1493</v>
      </c>
      <c r="B42" s="542" t="s">
        <v>1494</v>
      </c>
      <c r="C42" s="542" t="s">
        <v>29</v>
      </c>
      <c r="D42" s="543">
        <v>1</v>
      </c>
      <c r="E42" s="543">
        <v>16240</v>
      </c>
      <c r="F42" s="539">
        <v>0</v>
      </c>
      <c r="G42" s="544">
        <f t="shared" si="0"/>
        <v>16240</v>
      </c>
      <c r="H42" s="545">
        <f t="shared" si="1"/>
        <v>0</v>
      </c>
      <c r="I42" s="544">
        <f t="shared" si="2"/>
        <v>16240</v>
      </c>
    </row>
    <row r="43" spans="1:9">
      <c r="A43" s="542" t="s">
        <v>1495</v>
      </c>
      <c r="B43" s="542" t="s">
        <v>1496</v>
      </c>
      <c r="C43" s="542" t="s">
        <v>29</v>
      </c>
      <c r="D43" s="543">
        <v>1</v>
      </c>
      <c r="E43" s="543">
        <v>6960</v>
      </c>
      <c r="F43" s="539">
        <v>0</v>
      </c>
      <c r="G43" s="544">
        <f t="shared" si="0"/>
        <v>6960</v>
      </c>
      <c r="H43" s="545">
        <f t="shared" si="1"/>
        <v>0</v>
      </c>
      <c r="I43" s="544">
        <f t="shared" si="2"/>
        <v>6960</v>
      </c>
    </row>
    <row r="44" spans="1:9">
      <c r="A44" s="542" t="s">
        <v>1497</v>
      </c>
      <c r="B44" s="542" t="s">
        <v>1498</v>
      </c>
      <c r="C44" s="542" t="s">
        <v>29</v>
      </c>
      <c r="D44" s="543">
        <v>1</v>
      </c>
      <c r="E44" s="543">
        <v>2850</v>
      </c>
      <c r="F44" s="539">
        <v>0</v>
      </c>
      <c r="G44" s="544">
        <f t="shared" si="0"/>
        <v>2850</v>
      </c>
      <c r="H44" s="545">
        <f t="shared" si="1"/>
        <v>0</v>
      </c>
      <c r="I44" s="544">
        <f t="shared" si="2"/>
        <v>2850</v>
      </c>
    </row>
    <row r="45" spans="1:9">
      <c r="A45" s="541" t="s">
        <v>1499</v>
      </c>
      <c r="B45" s="541" t="s">
        <v>1500</v>
      </c>
      <c r="C45" s="537"/>
      <c r="D45" s="538"/>
      <c r="E45" s="538"/>
      <c r="F45" s="539"/>
      <c r="G45" s="544">
        <f t="shared" si="0"/>
        <v>0</v>
      </c>
      <c r="H45" s="545">
        <f t="shared" si="1"/>
        <v>0</v>
      </c>
      <c r="I45" s="544">
        <f t="shared" si="2"/>
        <v>0</v>
      </c>
    </row>
    <row r="46" spans="1:9">
      <c r="A46" s="542" t="s">
        <v>1501</v>
      </c>
      <c r="B46" s="542" t="s">
        <v>1502</v>
      </c>
      <c r="C46" s="542" t="s">
        <v>36</v>
      </c>
      <c r="D46" s="543">
        <v>88</v>
      </c>
      <c r="E46" s="543">
        <v>320.10000000000002</v>
      </c>
      <c r="F46" s="539">
        <v>0</v>
      </c>
      <c r="G46" s="544">
        <f t="shared" si="0"/>
        <v>28168.799999999999</v>
      </c>
      <c r="H46" s="545">
        <f t="shared" si="1"/>
        <v>0</v>
      </c>
      <c r="I46" s="544">
        <f t="shared" si="2"/>
        <v>28168.799999999999</v>
      </c>
    </row>
    <row r="47" spans="1:9">
      <c r="A47" s="542" t="s">
        <v>1503</v>
      </c>
      <c r="B47" s="542" t="s">
        <v>1504</v>
      </c>
      <c r="C47" s="542" t="s">
        <v>36</v>
      </c>
      <c r="D47" s="543">
        <v>86</v>
      </c>
      <c r="E47" s="543">
        <v>436.98</v>
      </c>
      <c r="F47" s="539">
        <v>0</v>
      </c>
      <c r="G47" s="544">
        <f t="shared" si="0"/>
        <v>37580.28</v>
      </c>
      <c r="H47" s="545">
        <f t="shared" si="1"/>
        <v>0</v>
      </c>
      <c r="I47" s="544">
        <f t="shared" si="2"/>
        <v>37580.28</v>
      </c>
    </row>
    <row r="48" spans="1:9">
      <c r="A48" s="542" t="s">
        <v>1505</v>
      </c>
      <c r="B48" s="542" t="s">
        <v>1506</v>
      </c>
      <c r="C48" s="542" t="s">
        <v>36</v>
      </c>
      <c r="D48" s="543">
        <v>20</v>
      </c>
      <c r="E48" s="543">
        <v>77.760000000000005</v>
      </c>
      <c r="F48" s="539">
        <v>0</v>
      </c>
      <c r="G48" s="544">
        <f t="shared" si="0"/>
        <v>1555.2</v>
      </c>
      <c r="H48" s="545">
        <f t="shared" si="1"/>
        <v>0</v>
      </c>
      <c r="I48" s="544">
        <f t="shared" si="2"/>
        <v>1555.2</v>
      </c>
    </row>
    <row r="49" spans="1:10">
      <c r="A49" s="541" t="s">
        <v>1507</v>
      </c>
      <c r="B49" s="541" t="s">
        <v>1508</v>
      </c>
      <c r="C49" s="537"/>
      <c r="D49" s="538"/>
      <c r="E49" s="538"/>
      <c r="F49" s="539"/>
      <c r="G49" s="544">
        <f t="shared" si="0"/>
        <v>0</v>
      </c>
      <c r="H49" s="545">
        <f t="shared" si="1"/>
        <v>0</v>
      </c>
      <c r="I49" s="544">
        <f t="shared" si="2"/>
        <v>0</v>
      </c>
    </row>
    <row r="50" spans="1:10">
      <c r="A50" s="542" t="s">
        <v>1509</v>
      </c>
      <c r="B50" s="542" t="s">
        <v>1510</v>
      </c>
      <c r="C50" s="542" t="s">
        <v>36</v>
      </c>
      <c r="D50" s="543">
        <v>4</v>
      </c>
      <c r="E50" s="543">
        <v>726.32</v>
      </c>
      <c r="F50" s="539">
        <v>0</v>
      </c>
      <c r="G50" s="544">
        <f t="shared" si="0"/>
        <v>2905.28</v>
      </c>
      <c r="H50" s="545">
        <f t="shared" si="1"/>
        <v>0</v>
      </c>
      <c r="I50" s="544">
        <f t="shared" si="2"/>
        <v>2905.28</v>
      </c>
    </row>
    <row r="51" spans="1:10">
      <c r="A51" s="542" t="s">
        <v>1511</v>
      </c>
      <c r="B51" s="542" t="s">
        <v>1512</v>
      </c>
      <c r="C51" s="542" t="s">
        <v>36</v>
      </c>
      <c r="D51" s="543">
        <v>7</v>
      </c>
      <c r="E51" s="543">
        <v>1751.82</v>
      </c>
      <c r="F51" s="539">
        <v>0</v>
      </c>
      <c r="G51" s="544">
        <f t="shared" si="0"/>
        <v>12262.74</v>
      </c>
      <c r="H51" s="545">
        <f t="shared" si="1"/>
        <v>0</v>
      </c>
      <c r="I51" s="544">
        <f t="shared" si="2"/>
        <v>12262.74</v>
      </c>
    </row>
    <row r="52" spans="1:10">
      <c r="A52" s="542" t="s">
        <v>1513</v>
      </c>
      <c r="B52" s="542" t="s">
        <v>1514</v>
      </c>
      <c r="C52" s="542" t="s">
        <v>36</v>
      </c>
      <c r="D52" s="543">
        <v>4</v>
      </c>
      <c r="E52" s="543">
        <v>786</v>
      </c>
      <c r="F52" s="539">
        <v>0</v>
      </c>
      <c r="G52" s="544">
        <f t="shared" si="0"/>
        <v>3144</v>
      </c>
      <c r="H52" s="545">
        <f t="shared" si="1"/>
        <v>0</v>
      </c>
      <c r="I52" s="544">
        <f t="shared" si="2"/>
        <v>3144</v>
      </c>
    </row>
    <row r="53" spans="1:10">
      <c r="A53" s="542" t="s">
        <v>1515</v>
      </c>
      <c r="B53" s="542" t="s">
        <v>1516</v>
      </c>
      <c r="C53" s="542" t="s">
        <v>36</v>
      </c>
      <c r="D53" s="543">
        <v>3</v>
      </c>
      <c r="E53" s="543">
        <v>374.65</v>
      </c>
      <c r="F53" s="539">
        <v>0</v>
      </c>
      <c r="G53" s="544">
        <f t="shared" si="0"/>
        <v>1123.95</v>
      </c>
      <c r="H53" s="545">
        <f t="shared" si="1"/>
        <v>0</v>
      </c>
      <c r="I53" s="544">
        <f t="shared" si="2"/>
        <v>1123.95</v>
      </c>
    </row>
    <row r="54" spans="1:10">
      <c r="A54" s="536" t="s">
        <v>1517</v>
      </c>
      <c r="B54" s="536" t="s">
        <v>1518</v>
      </c>
      <c r="C54" s="537"/>
      <c r="D54" s="538"/>
      <c r="E54" s="538"/>
      <c r="F54" s="539"/>
      <c r="G54" s="544">
        <f t="shared" si="0"/>
        <v>0</v>
      </c>
      <c r="H54" s="545">
        <f t="shared" si="1"/>
        <v>0</v>
      </c>
      <c r="I54" s="544">
        <f t="shared" si="2"/>
        <v>0</v>
      </c>
    </row>
    <row r="55" spans="1:10">
      <c r="A55" s="541" t="s">
        <v>1519</v>
      </c>
      <c r="B55" s="541" t="s">
        <v>1520</v>
      </c>
      <c r="C55" s="537"/>
      <c r="D55" s="538"/>
      <c r="E55" s="538"/>
      <c r="F55" s="539"/>
      <c r="G55" s="544">
        <f t="shared" si="0"/>
        <v>0</v>
      </c>
      <c r="H55" s="545">
        <f t="shared" si="1"/>
        <v>0</v>
      </c>
      <c r="I55" s="544">
        <f t="shared" si="2"/>
        <v>0</v>
      </c>
    </row>
    <row r="56" spans="1:10">
      <c r="A56" s="542" t="s">
        <v>1521</v>
      </c>
      <c r="B56" s="542" t="s">
        <v>1436</v>
      </c>
      <c r="C56" s="542" t="s">
        <v>1434</v>
      </c>
      <c r="D56" s="543">
        <v>1</v>
      </c>
      <c r="E56" s="543">
        <v>59.35</v>
      </c>
      <c r="F56" s="539">
        <v>0</v>
      </c>
      <c r="G56" s="544">
        <f t="shared" si="0"/>
        <v>59.35</v>
      </c>
      <c r="H56" s="545">
        <f t="shared" si="1"/>
        <v>0</v>
      </c>
      <c r="I56" s="544">
        <f t="shared" si="2"/>
        <v>59.35</v>
      </c>
    </row>
    <row r="57" spans="1:10">
      <c r="A57" s="542" t="s">
        <v>1522</v>
      </c>
      <c r="B57" s="542" t="s">
        <v>1460</v>
      </c>
      <c r="C57" s="542" t="s">
        <v>643</v>
      </c>
      <c r="D57" s="543">
        <v>6.65</v>
      </c>
      <c r="E57" s="543">
        <v>57.45</v>
      </c>
      <c r="F57" s="539">
        <v>0</v>
      </c>
      <c r="G57" s="544">
        <f t="shared" si="0"/>
        <v>382.04</v>
      </c>
      <c r="H57" s="545">
        <f t="shared" si="1"/>
        <v>0</v>
      </c>
      <c r="I57" s="544">
        <f t="shared" si="2"/>
        <v>382.04</v>
      </c>
    </row>
    <row r="58" spans="1:10">
      <c r="A58" s="542" t="s">
        <v>1523</v>
      </c>
      <c r="B58" s="542" t="s">
        <v>1516</v>
      </c>
      <c r="C58" s="542" t="s">
        <v>36</v>
      </c>
      <c r="D58" s="543">
        <v>1</v>
      </c>
      <c r="E58" s="543">
        <v>374.65</v>
      </c>
      <c r="F58" s="539">
        <v>0</v>
      </c>
      <c r="G58" s="544">
        <f t="shared" si="0"/>
        <v>374.65</v>
      </c>
      <c r="H58" s="545">
        <f t="shared" si="1"/>
        <v>0</v>
      </c>
      <c r="I58" s="544">
        <f t="shared" si="2"/>
        <v>374.65</v>
      </c>
      <c r="J58" s="456"/>
    </row>
    <row r="59" spans="1:10">
      <c r="A59" s="542" t="s">
        <v>1524</v>
      </c>
      <c r="B59" s="542" t="s">
        <v>1525</v>
      </c>
      <c r="C59" s="542" t="s">
        <v>36</v>
      </c>
      <c r="D59" s="543">
        <v>1</v>
      </c>
      <c r="E59" s="543">
        <v>456.55</v>
      </c>
      <c r="F59" s="539">
        <v>0</v>
      </c>
      <c r="G59" s="544">
        <f t="shared" si="0"/>
        <v>456.55</v>
      </c>
      <c r="H59" s="545">
        <f t="shared" si="1"/>
        <v>0</v>
      </c>
      <c r="I59" s="544">
        <f t="shared" si="2"/>
        <v>456.55</v>
      </c>
    </row>
    <row r="60" spans="1:10">
      <c r="A60" s="542" t="s">
        <v>1526</v>
      </c>
      <c r="B60" s="541" t="s">
        <v>1527</v>
      </c>
      <c r="C60" s="542"/>
      <c r="D60" s="543"/>
      <c r="E60" s="543"/>
      <c r="F60" s="539"/>
      <c r="G60" s="544">
        <f t="shared" si="0"/>
        <v>0</v>
      </c>
      <c r="H60" s="545">
        <f t="shared" si="1"/>
        <v>0</v>
      </c>
      <c r="I60" s="544">
        <f t="shared" si="2"/>
        <v>0</v>
      </c>
    </row>
    <row r="61" spans="1:10">
      <c r="A61" s="542" t="s">
        <v>1528</v>
      </c>
      <c r="B61" s="542" t="s">
        <v>1529</v>
      </c>
      <c r="C61" s="542" t="s">
        <v>1434</v>
      </c>
      <c r="D61" s="543">
        <v>1</v>
      </c>
      <c r="E61" s="543">
        <v>55.46</v>
      </c>
      <c r="F61" s="539">
        <v>2.99</v>
      </c>
      <c r="G61" s="544">
        <f t="shared" si="0"/>
        <v>55.46</v>
      </c>
      <c r="H61" s="545">
        <f t="shared" si="1"/>
        <v>2.99</v>
      </c>
      <c r="I61" s="544">
        <f t="shared" si="2"/>
        <v>66.67</v>
      </c>
    </row>
    <row r="62" spans="1:10">
      <c r="A62" s="542" t="s">
        <v>1530</v>
      </c>
      <c r="B62" s="542" t="s">
        <v>1531</v>
      </c>
      <c r="C62" s="542" t="s">
        <v>643</v>
      </c>
      <c r="D62" s="543">
        <v>3</v>
      </c>
      <c r="E62" s="543">
        <v>14.55</v>
      </c>
      <c r="F62" s="539">
        <v>1.52</v>
      </c>
      <c r="G62" s="544">
        <f t="shared" si="0"/>
        <v>43.65</v>
      </c>
      <c r="H62" s="545">
        <f t="shared" si="1"/>
        <v>4.5599999999999996</v>
      </c>
      <c r="I62" s="544">
        <f t="shared" si="2"/>
        <v>60.75</v>
      </c>
    </row>
    <row r="63" spans="1:10">
      <c r="A63" s="542" t="s">
        <v>1532</v>
      </c>
      <c r="B63" s="542" t="s">
        <v>1533</v>
      </c>
      <c r="C63" s="542" t="s">
        <v>643</v>
      </c>
      <c r="D63" s="543">
        <v>2</v>
      </c>
      <c r="E63" s="543">
        <v>16.97</v>
      </c>
      <c r="F63" s="539">
        <v>2.54</v>
      </c>
      <c r="G63" s="544">
        <f t="shared" si="0"/>
        <v>33.94</v>
      </c>
      <c r="H63" s="545">
        <f t="shared" si="1"/>
        <v>5.08</v>
      </c>
      <c r="I63" s="544">
        <f t="shared" si="2"/>
        <v>52.99</v>
      </c>
    </row>
    <row r="64" spans="1:10">
      <c r="A64" s="542" t="s">
        <v>1534</v>
      </c>
      <c r="B64" s="542" t="s">
        <v>1535</v>
      </c>
      <c r="C64" s="542" t="s">
        <v>36</v>
      </c>
      <c r="D64" s="543">
        <v>1</v>
      </c>
      <c r="E64" s="543">
        <v>41.61</v>
      </c>
      <c r="F64" s="539">
        <v>0</v>
      </c>
      <c r="G64" s="544">
        <f t="shared" si="0"/>
        <v>41.61</v>
      </c>
      <c r="H64" s="545">
        <f t="shared" si="1"/>
        <v>0</v>
      </c>
      <c r="I64" s="544">
        <f t="shared" si="2"/>
        <v>41.61</v>
      </c>
    </row>
    <row r="65" spans="1:10">
      <c r="A65" s="536" t="s">
        <v>1536</v>
      </c>
      <c r="B65" s="536" t="s">
        <v>1537</v>
      </c>
      <c r="C65" s="537"/>
      <c r="D65" s="538"/>
      <c r="E65" s="538"/>
      <c r="F65" s="539"/>
      <c r="G65" s="544">
        <f t="shared" si="0"/>
        <v>0</v>
      </c>
      <c r="H65" s="545">
        <f t="shared" si="1"/>
        <v>0</v>
      </c>
      <c r="I65" s="544">
        <f t="shared" si="2"/>
        <v>0</v>
      </c>
      <c r="J65" s="456">
        <f>SUM(I67:I76)</f>
        <v>160989.15</v>
      </c>
    </row>
    <row r="66" spans="1:10">
      <c r="A66" s="541" t="s">
        <v>1538</v>
      </c>
      <c r="B66" s="541" t="s">
        <v>1539</v>
      </c>
      <c r="C66" s="537"/>
      <c r="D66" s="538"/>
      <c r="E66" s="538"/>
      <c r="F66" s="539"/>
      <c r="G66" s="544">
        <f t="shared" si="0"/>
        <v>0</v>
      </c>
      <c r="H66" s="545">
        <f t="shared" si="1"/>
        <v>0</v>
      </c>
      <c r="I66" s="544">
        <f t="shared" si="2"/>
        <v>0</v>
      </c>
    </row>
    <row r="67" spans="1:10">
      <c r="A67" s="542" t="s">
        <v>1540</v>
      </c>
      <c r="B67" s="542" t="s">
        <v>1541</v>
      </c>
      <c r="C67" s="542" t="s">
        <v>1434</v>
      </c>
      <c r="D67" s="543">
        <v>832</v>
      </c>
      <c r="E67" s="543">
        <v>57.01</v>
      </c>
      <c r="F67" s="539">
        <v>0</v>
      </c>
      <c r="G67" s="544">
        <f t="shared" si="0"/>
        <v>47432.32</v>
      </c>
      <c r="H67" s="545">
        <f t="shared" si="1"/>
        <v>0</v>
      </c>
      <c r="I67" s="544">
        <f t="shared" si="2"/>
        <v>47432.32</v>
      </c>
    </row>
    <row r="68" spans="1:10">
      <c r="A68" s="542" t="s">
        <v>1542</v>
      </c>
      <c r="B68" s="542" t="s">
        <v>1543</v>
      </c>
      <c r="C68" s="542" t="s">
        <v>1434</v>
      </c>
      <c r="D68" s="543">
        <v>174</v>
      </c>
      <c r="E68" s="543">
        <v>61.83</v>
      </c>
      <c r="F68" s="539">
        <v>0</v>
      </c>
      <c r="G68" s="544">
        <f t="shared" si="0"/>
        <v>10758.42</v>
      </c>
      <c r="H68" s="545">
        <f t="shared" si="1"/>
        <v>0</v>
      </c>
      <c r="I68" s="544">
        <f t="shared" si="2"/>
        <v>10758.42</v>
      </c>
    </row>
    <row r="69" spans="1:10">
      <c r="A69" s="541" t="s">
        <v>1544</v>
      </c>
      <c r="B69" s="541" t="s">
        <v>1545</v>
      </c>
      <c r="C69" s="537"/>
      <c r="D69" s="538"/>
      <c r="E69" s="538"/>
      <c r="F69" s="539"/>
      <c r="G69" s="544">
        <f t="shared" si="0"/>
        <v>0</v>
      </c>
      <c r="H69" s="545">
        <f t="shared" si="1"/>
        <v>0</v>
      </c>
      <c r="I69" s="544">
        <f t="shared" si="2"/>
        <v>0</v>
      </c>
    </row>
    <row r="70" spans="1:10">
      <c r="A70" s="542" t="s">
        <v>1546</v>
      </c>
      <c r="B70" s="542" t="s">
        <v>1547</v>
      </c>
      <c r="C70" s="542" t="s">
        <v>643</v>
      </c>
      <c r="D70" s="543">
        <v>1956.17</v>
      </c>
      <c r="E70" s="543">
        <v>15.73</v>
      </c>
      <c r="F70" s="539">
        <v>0</v>
      </c>
      <c r="G70" s="544">
        <f t="shared" si="0"/>
        <v>30770.55</v>
      </c>
      <c r="H70" s="545">
        <f t="shared" si="1"/>
        <v>0</v>
      </c>
      <c r="I70" s="544">
        <f t="shared" si="2"/>
        <v>30770.55</v>
      </c>
    </row>
    <row r="71" spans="1:10">
      <c r="A71" s="542" t="s">
        <v>1548</v>
      </c>
      <c r="B71" s="542" t="s">
        <v>1549</v>
      </c>
      <c r="C71" s="542" t="s">
        <v>643</v>
      </c>
      <c r="D71" s="543">
        <v>416.56</v>
      </c>
      <c r="E71" s="543">
        <v>19.47</v>
      </c>
      <c r="F71" s="539">
        <v>0</v>
      </c>
      <c r="G71" s="544">
        <f t="shared" si="0"/>
        <v>8110.42</v>
      </c>
      <c r="H71" s="545">
        <f t="shared" si="1"/>
        <v>0</v>
      </c>
      <c r="I71" s="544">
        <f t="shared" si="2"/>
        <v>8110.42</v>
      </c>
    </row>
    <row r="72" spans="1:10">
      <c r="A72" s="541" t="s">
        <v>1550</v>
      </c>
      <c r="B72" s="541" t="s">
        <v>1478</v>
      </c>
      <c r="C72" s="537"/>
      <c r="D72" s="538"/>
      <c r="E72" s="538"/>
      <c r="F72" s="539"/>
      <c r="G72" s="544">
        <f t="shared" si="0"/>
        <v>0</v>
      </c>
      <c r="H72" s="545">
        <f t="shared" si="1"/>
        <v>0</v>
      </c>
      <c r="I72" s="544">
        <f t="shared" si="2"/>
        <v>0</v>
      </c>
    </row>
    <row r="73" spans="1:10">
      <c r="A73" s="542" t="s">
        <v>1551</v>
      </c>
      <c r="B73" s="542" t="s">
        <v>1480</v>
      </c>
      <c r="C73" s="542" t="s">
        <v>36</v>
      </c>
      <c r="D73" s="543">
        <v>633</v>
      </c>
      <c r="E73" s="543">
        <v>64.3</v>
      </c>
      <c r="F73" s="539">
        <v>0</v>
      </c>
      <c r="G73" s="544">
        <f t="shared" si="0"/>
        <v>40701.9</v>
      </c>
      <c r="H73" s="545">
        <f t="shared" si="1"/>
        <v>0</v>
      </c>
      <c r="I73" s="544">
        <f t="shared" si="2"/>
        <v>40701.9</v>
      </c>
    </row>
    <row r="74" spans="1:10">
      <c r="A74" s="542" t="s">
        <v>1552</v>
      </c>
      <c r="B74" s="542" t="s">
        <v>1482</v>
      </c>
      <c r="C74" s="542" t="s">
        <v>36</v>
      </c>
      <c r="D74" s="543">
        <v>174</v>
      </c>
      <c r="E74" s="543">
        <v>78.709999999999994</v>
      </c>
      <c r="F74" s="539">
        <v>0</v>
      </c>
      <c r="G74" s="544">
        <f t="shared" si="0"/>
        <v>13695.54</v>
      </c>
      <c r="H74" s="545">
        <f t="shared" si="1"/>
        <v>0</v>
      </c>
      <c r="I74" s="544">
        <f t="shared" si="2"/>
        <v>13695.54</v>
      </c>
    </row>
    <row r="75" spans="1:10">
      <c r="A75" s="541" t="s">
        <v>1553</v>
      </c>
      <c r="B75" s="541" t="s">
        <v>1492</v>
      </c>
      <c r="C75" s="537"/>
      <c r="D75" s="538"/>
      <c r="E75" s="538"/>
      <c r="F75" s="539"/>
      <c r="G75" s="544">
        <f t="shared" si="0"/>
        <v>0</v>
      </c>
      <c r="H75" s="545">
        <f t="shared" si="1"/>
        <v>0</v>
      </c>
      <c r="I75" s="544">
        <f t="shared" si="2"/>
        <v>0</v>
      </c>
    </row>
    <row r="76" spans="1:10">
      <c r="A76" s="542" t="s">
        <v>1554</v>
      </c>
      <c r="B76" s="542" t="s">
        <v>1555</v>
      </c>
      <c r="C76" s="542" t="s">
        <v>29</v>
      </c>
      <c r="D76" s="543">
        <v>1</v>
      </c>
      <c r="E76" s="543">
        <v>9520</v>
      </c>
      <c r="F76" s="539">
        <v>0</v>
      </c>
      <c r="G76" s="544">
        <f t="shared" si="0"/>
        <v>9520</v>
      </c>
      <c r="H76" s="545">
        <f t="shared" si="1"/>
        <v>0</v>
      </c>
      <c r="I76" s="544">
        <f t="shared" si="2"/>
        <v>9520</v>
      </c>
    </row>
    <row r="77" spans="1:10">
      <c r="A77" s="536" t="s">
        <v>1536</v>
      </c>
      <c r="B77" s="536" t="s">
        <v>1556</v>
      </c>
      <c r="C77" s="537"/>
      <c r="D77" s="538"/>
      <c r="E77" s="538"/>
      <c r="F77" s="539"/>
      <c r="G77" s="544">
        <f t="shared" ref="G77:G140" si="3">+ROUND(E77*D77,2)</f>
        <v>0</v>
      </c>
      <c r="H77" s="545">
        <f t="shared" ref="H77:H140" si="4">+ROUND(F77*D77,2)</f>
        <v>0</v>
      </c>
      <c r="I77" s="544">
        <f t="shared" ref="I77:I140" si="5">+ROUND(G77+(H77*$I$3),2)</f>
        <v>0</v>
      </c>
      <c r="J77" s="456">
        <f>SUM(I79:I143)</f>
        <v>819950.94</v>
      </c>
    </row>
    <row r="78" spans="1:10">
      <c r="A78" s="541" t="s">
        <v>1538</v>
      </c>
      <c r="B78" s="541" t="s">
        <v>1557</v>
      </c>
      <c r="C78" s="537"/>
      <c r="D78" s="538"/>
      <c r="E78" s="538"/>
      <c r="F78" s="539"/>
      <c r="G78" s="544">
        <f t="shared" si="3"/>
        <v>0</v>
      </c>
      <c r="H78" s="545">
        <f t="shared" si="4"/>
        <v>0</v>
      </c>
      <c r="I78" s="544">
        <f t="shared" si="5"/>
        <v>0</v>
      </c>
    </row>
    <row r="79" spans="1:10">
      <c r="A79" s="542" t="s">
        <v>1558</v>
      </c>
      <c r="B79" s="542" t="s">
        <v>1559</v>
      </c>
      <c r="C79" s="542" t="s">
        <v>1434</v>
      </c>
      <c r="D79" s="543">
        <v>617</v>
      </c>
      <c r="E79" s="543">
        <v>48.66</v>
      </c>
      <c r="F79" s="539">
        <v>2.48</v>
      </c>
      <c r="G79" s="544">
        <f t="shared" si="3"/>
        <v>30023.22</v>
      </c>
      <c r="H79" s="545">
        <f t="shared" si="4"/>
        <v>1530.16</v>
      </c>
      <c r="I79" s="544">
        <f t="shared" si="5"/>
        <v>35761.32</v>
      </c>
    </row>
    <row r="80" spans="1:10">
      <c r="A80" s="542" t="s">
        <v>1560</v>
      </c>
      <c r="B80" s="542" t="s">
        <v>1561</v>
      </c>
      <c r="C80" s="542" t="s">
        <v>1434</v>
      </c>
      <c r="D80" s="543">
        <v>2161</v>
      </c>
      <c r="E80" s="543">
        <v>32.76</v>
      </c>
      <c r="F80" s="539">
        <v>0.81</v>
      </c>
      <c r="G80" s="544">
        <f t="shared" si="3"/>
        <v>70794.36</v>
      </c>
      <c r="H80" s="545">
        <f t="shared" si="4"/>
        <v>1750.41</v>
      </c>
      <c r="I80" s="544">
        <f t="shared" si="5"/>
        <v>77358.399999999994</v>
      </c>
    </row>
    <row r="81" spans="1:9">
      <c r="A81" s="542" t="s">
        <v>1562</v>
      </c>
      <c r="B81" s="542" t="s">
        <v>1563</v>
      </c>
      <c r="C81" s="542" t="s">
        <v>1434</v>
      </c>
      <c r="D81" s="543">
        <v>247</v>
      </c>
      <c r="E81" s="543">
        <v>25.83</v>
      </c>
      <c r="F81" s="539">
        <v>3.04</v>
      </c>
      <c r="G81" s="544">
        <f t="shared" si="3"/>
        <v>6380.01</v>
      </c>
      <c r="H81" s="545">
        <f t="shared" si="4"/>
        <v>750.88</v>
      </c>
      <c r="I81" s="544">
        <f t="shared" si="5"/>
        <v>9195.81</v>
      </c>
    </row>
    <row r="82" spans="1:9">
      <c r="A82" s="542" t="s">
        <v>1564</v>
      </c>
      <c r="B82" s="542" t="s">
        <v>1529</v>
      </c>
      <c r="C82" s="542" t="s">
        <v>1434</v>
      </c>
      <c r="D82" s="543">
        <v>116</v>
      </c>
      <c r="E82" s="543">
        <v>55.46</v>
      </c>
      <c r="F82" s="539">
        <v>2.99</v>
      </c>
      <c r="G82" s="544">
        <f t="shared" si="3"/>
        <v>6433.36</v>
      </c>
      <c r="H82" s="545">
        <f t="shared" si="4"/>
        <v>346.84</v>
      </c>
      <c r="I82" s="544">
        <f t="shared" si="5"/>
        <v>7734.01</v>
      </c>
    </row>
    <row r="83" spans="1:9">
      <c r="A83" s="542" t="s">
        <v>1565</v>
      </c>
      <c r="B83" s="542" t="s">
        <v>1566</v>
      </c>
      <c r="C83" s="542" t="s">
        <v>1434</v>
      </c>
      <c r="D83" s="543">
        <v>295</v>
      </c>
      <c r="E83" s="543">
        <v>56.21</v>
      </c>
      <c r="F83" s="539">
        <v>5.7</v>
      </c>
      <c r="G83" s="544">
        <f t="shared" si="3"/>
        <v>16581.95</v>
      </c>
      <c r="H83" s="545">
        <f t="shared" si="4"/>
        <v>1681.5</v>
      </c>
      <c r="I83" s="544">
        <f t="shared" si="5"/>
        <v>22887.58</v>
      </c>
    </row>
    <row r="84" spans="1:9">
      <c r="A84" s="542" t="s">
        <v>1567</v>
      </c>
      <c r="B84" s="542" t="s">
        <v>1568</v>
      </c>
      <c r="C84" s="542" t="s">
        <v>1434</v>
      </c>
      <c r="D84" s="543">
        <v>11</v>
      </c>
      <c r="E84" s="543">
        <v>33.75</v>
      </c>
      <c r="F84" s="539">
        <v>21.75</v>
      </c>
      <c r="G84" s="544">
        <f t="shared" si="3"/>
        <v>371.25</v>
      </c>
      <c r="H84" s="545">
        <f t="shared" si="4"/>
        <v>239.25</v>
      </c>
      <c r="I84" s="544">
        <f t="shared" si="5"/>
        <v>1268.44</v>
      </c>
    </row>
    <row r="85" spans="1:9">
      <c r="A85" s="542" t="s">
        <v>1569</v>
      </c>
      <c r="B85" s="542" t="s">
        <v>1570</v>
      </c>
      <c r="C85" s="542" t="s">
        <v>1434</v>
      </c>
      <c r="D85" s="543">
        <v>679</v>
      </c>
      <c r="E85" s="543">
        <v>29.4</v>
      </c>
      <c r="F85" s="539">
        <v>2.48</v>
      </c>
      <c r="G85" s="544">
        <f t="shared" si="3"/>
        <v>19962.599999999999</v>
      </c>
      <c r="H85" s="545">
        <f t="shared" si="4"/>
        <v>1683.92</v>
      </c>
      <c r="I85" s="544">
        <f t="shared" si="5"/>
        <v>26277.3</v>
      </c>
    </row>
    <row r="86" spans="1:9">
      <c r="A86" s="541" t="s">
        <v>1571</v>
      </c>
      <c r="B86" s="541" t="s">
        <v>1572</v>
      </c>
      <c r="C86" s="537"/>
      <c r="D86" s="538"/>
      <c r="E86" s="538"/>
      <c r="F86" s="539"/>
      <c r="G86" s="544">
        <f t="shared" si="3"/>
        <v>0</v>
      </c>
      <c r="H86" s="545">
        <f t="shared" si="4"/>
        <v>0</v>
      </c>
      <c r="I86" s="544">
        <f t="shared" si="5"/>
        <v>0</v>
      </c>
    </row>
    <row r="87" spans="1:9">
      <c r="A87" s="542" t="s">
        <v>1573</v>
      </c>
      <c r="B87" s="542" t="s">
        <v>1531</v>
      </c>
      <c r="C87" s="542" t="s">
        <v>643</v>
      </c>
      <c r="D87" s="543">
        <v>2995.46</v>
      </c>
      <c r="E87" s="543">
        <v>14.55</v>
      </c>
      <c r="F87" s="539">
        <v>1.52</v>
      </c>
      <c r="G87" s="544">
        <f t="shared" si="3"/>
        <v>43583.94</v>
      </c>
      <c r="H87" s="545">
        <f t="shared" si="4"/>
        <v>4553.1000000000004</v>
      </c>
      <c r="I87" s="544">
        <f t="shared" si="5"/>
        <v>60658.07</v>
      </c>
    </row>
    <row r="88" spans="1:9">
      <c r="A88" s="542" t="s">
        <v>1574</v>
      </c>
      <c r="B88" s="542" t="s">
        <v>1533</v>
      </c>
      <c r="C88" s="542" t="s">
        <v>643</v>
      </c>
      <c r="D88" s="543">
        <v>4.42</v>
      </c>
      <c r="E88" s="543">
        <v>16.97</v>
      </c>
      <c r="F88" s="539">
        <v>2.54</v>
      </c>
      <c r="G88" s="544">
        <f t="shared" si="3"/>
        <v>75.010000000000005</v>
      </c>
      <c r="H88" s="545">
        <f t="shared" si="4"/>
        <v>11.23</v>
      </c>
      <c r="I88" s="544">
        <f t="shared" si="5"/>
        <v>117.12</v>
      </c>
    </row>
    <row r="89" spans="1:9">
      <c r="A89" s="542" t="s">
        <v>1575</v>
      </c>
      <c r="B89" s="542" t="s">
        <v>1576</v>
      </c>
      <c r="C89" s="542" t="s">
        <v>643</v>
      </c>
      <c r="D89" s="543">
        <v>550.01</v>
      </c>
      <c r="E89" s="543">
        <v>25.85</v>
      </c>
      <c r="F89" s="539">
        <v>4.18</v>
      </c>
      <c r="G89" s="544">
        <f t="shared" si="3"/>
        <v>14217.76</v>
      </c>
      <c r="H89" s="545">
        <f t="shared" si="4"/>
        <v>2299.04</v>
      </c>
      <c r="I89" s="544">
        <f t="shared" si="5"/>
        <v>22839.16</v>
      </c>
    </row>
    <row r="90" spans="1:9">
      <c r="A90" s="542" t="s">
        <v>1577</v>
      </c>
      <c r="B90" s="542" t="s">
        <v>1578</v>
      </c>
      <c r="C90" s="542" t="s">
        <v>643</v>
      </c>
      <c r="D90" s="543">
        <v>715.47</v>
      </c>
      <c r="E90" s="543">
        <v>12.15</v>
      </c>
      <c r="F90" s="539">
        <v>1.52</v>
      </c>
      <c r="G90" s="544">
        <f t="shared" si="3"/>
        <v>8692.9599999999991</v>
      </c>
      <c r="H90" s="545">
        <f t="shared" si="4"/>
        <v>1087.51</v>
      </c>
      <c r="I90" s="544">
        <f t="shared" si="5"/>
        <v>12771.12</v>
      </c>
    </row>
    <row r="91" spans="1:9">
      <c r="A91" s="542" t="s">
        <v>1579</v>
      </c>
      <c r="B91" s="542" t="s">
        <v>1580</v>
      </c>
      <c r="C91" s="542" t="s">
        <v>643</v>
      </c>
      <c r="D91" s="543">
        <v>119.27</v>
      </c>
      <c r="E91" s="543">
        <v>13.48</v>
      </c>
      <c r="F91" s="539">
        <v>2.54</v>
      </c>
      <c r="G91" s="544">
        <f t="shared" si="3"/>
        <v>1607.76</v>
      </c>
      <c r="H91" s="545">
        <f t="shared" si="4"/>
        <v>302.95</v>
      </c>
      <c r="I91" s="544">
        <f t="shared" si="5"/>
        <v>2743.82</v>
      </c>
    </row>
    <row r="92" spans="1:9">
      <c r="A92" s="542" t="s">
        <v>1581</v>
      </c>
      <c r="B92" s="542" t="s">
        <v>1582</v>
      </c>
      <c r="C92" s="542" t="s">
        <v>643</v>
      </c>
      <c r="D92" s="543">
        <v>247.54</v>
      </c>
      <c r="E92" s="543">
        <v>24.21</v>
      </c>
      <c r="F92" s="539">
        <v>4.18</v>
      </c>
      <c r="G92" s="544">
        <f t="shared" si="3"/>
        <v>5992.94</v>
      </c>
      <c r="H92" s="545">
        <f t="shared" si="4"/>
        <v>1034.72</v>
      </c>
      <c r="I92" s="544">
        <f t="shared" si="5"/>
        <v>9873.14</v>
      </c>
    </row>
    <row r="93" spans="1:9">
      <c r="A93" s="541" t="s">
        <v>1583</v>
      </c>
      <c r="B93" s="541" t="s">
        <v>1584</v>
      </c>
      <c r="C93" s="537"/>
      <c r="D93" s="538"/>
      <c r="E93" s="538"/>
      <c r="F93" s="539"/>
      <c r="G93" s="544">
        <f t="shared" si="3"/>
        <v>0</v>
      </c>
      <c r="H93" s="545">
        <f t="shared" si="4"/>
        <v>0</v>
      </c>
      <c r="I93" s="544">
        <f t="shared" si="5"/>
        <v>0</v>
      </c>
    </row>
    <row r="94" spans="1:9">
      <c r="A94" s="542" t="s">
        <v>1585</v>
      </c>
      <c r="B94" s="542" t="s">
        <v>1586</v>
      </c>
      <c r="C94" s="542" t="s">
        <v>643</v>
      </c>
      <c r="D94" s="543">
        <v>89.37</v>
      </c>
      <c r="E94" s="543">
        <v>13.48</v>
      </c>
      <c r="F94" s="539">
        <v>2.54</v>
      </c>
      <c r="G94" s="544">
        <f t="shared" si="3"/>
        <v>1204.71</v>
      </c>
      <c r="H94" s="545">
        <f t="shared" si="4"/>
        <v>227</v>
      </c>
      <c r="I94" s="544">
        <f t="shared" si="5"/>
        <v>2055.96</v>
      </c>
    </row>
    <row r="95" spans="1:9">
      <c r="A95" s="542" t="s">
        <v>1587</v>
      </c>
      <c r="B95" s="542" t="s">
        <v>1588</v>
      </c>
      <c r="C95" s="542" t="s">
        <v>643</v>
      </c>
      <c r="D95" s="543">
        <v>35.869999999999997</v>
      </c>
      <c r="E95" s="543">
        <v>23.12</v>
      </c>
      <c r="F95" s="539">
        <v>4.18</v>
      </c>
      <c r="G95" s="544">
        <f t="shared" si="3"/>
        <v>829.31</v>
      </c>
      <c r="H95" s="545">
        <f t="shared" si="4"/>
        <v>149.94</v>
      </c>
      <c r="I95" s="544">
        <f t="shared" si="5"/>
        <v>1391.59</v>
      </c>
    </row>
    <row r="96" spans="1:9">
      <c r="A96" s="542" t="s">
        <v>1589</v>
      </c>
      <c r="B96" s="542" t="s">
        <v>1590</v>
      </c>
      <c r="C96" s="542" t="s">
        <v>643</v>
      </c>
      <c r="D96" s="543">
        <v>13.98</v>
      </c>
      <c r="E96" s="543">
        <v>28.91</v>
      </c>
      <c r="F96" s="539">
        <v>19.899999999999999</v>
      </c>
      <c r="G96" s="544">
        <f t="shared" si="3"/>
        <v>404.16</v>
      </c>
      <c r="H96" s="545">
        <f t="shared" si="4"/>
        <v>278.2</v>
      </c>
      <c r="I96" s="544">
        <f t="shared" si="5"/>
        <v>1447.41</v>
      </c>
    </row>
    <row r="97" spans="1:9">
      <c r="A97" s="542" t="s">
        <v>1591</v>
      </c>
      <c r="B97" s="542" t="s">
        <v>1592</v>
      </c>
      <c r="C97" s="542" t="s">
        <v>643</v>
      </c>
      <c r="D97" s="543">
        <v>49.85</v>
      </c>
      <c r="E97" s="543">
        <v>1.69</v>
      </c>
      <c r="F97" s="539">
        <v>0</v>
      </c>
      <c r="G97" s="544">
        <f t="shared" si="3"/>
        <v>84.25</v>
      </c>
      <c r="H97" s="545">
        <f t="shared" si="4"/>
        <v>0</v>
      </c>
      <c r="I97" s="544">
        <f t="shared" si="5"/>
        <v>84.25</v>
      </c>
    </row>
    <row r="98" spans="1:9">
      <c r="A98" s="542" t="s">
        <v>1593</v>
      </c>
      <c r="B98" s="542" t="s">
        <v>1594</v>
      </c>
      <c r="C98" s="542" t="s">
        <v>163</v>
      </c>
      <c r="D98" s="543">
        <v>23.93</v>
      </c>
      <c r="E98" s="543">
        <v>51.88</v>
      </c>
      <c r="F98" s="539">
        <v>0</v>
      </c>
      <c r="G98" s="544">
        <f t="shared" si="3"/>
        <v>1241.49</v>
      </c>
      <c r="H98" s="545">
        <f t="shared" si="4"/>
        <v>0</v>
      </c>
      <c r="I98" s="544">
        <f t="shared" si="5"/>
        <v>1241.49</v>
      </c>
    </row>
    <row r="99" spans="1:9">
      <c r="A99" s="542" t="s">
        <v>1595</v>
      </c>
      <c r="B99" s="542" t="s">
        <v>1596</v>
      </c>
      <c r="C99" s="542" t="s">
        <v>163</v>
      </c>
      <c r="D99" s="543">
        <v>3.99</v>
      </c>
      <c r="E99" s="543">
        <v>75.2</v>
      </c>
      <c r="F99" s="539">
        <v>0</v>
      </c>
      <c r="G99" s="544">
        <f t="shared" si="3"/>
        <v>300.05</v>
      </c>
      <c r="H99" s="545">
        <f t="shared" si="4"/>
        <v>0</v>
      </c>
      <c r="I99" s="544">
        <f t="shared" si="5"/>
        <v>300.05</v>
      </c>
    </row>
    <row r="100" spans="1:9">
      <c r="A100" s="542" t="s">
        <v>1597</v>
      </c>
      <c r="B100" s="542" t="s">
        <v>1598</v>
      </c>
      <c r="C100" s="542" t="s">
        <v>163</v>
      </c>
      <c r="D100" s="543">
        <v>19.940000000000001</v>
      </c>
      <c r="E100" s="543">
        <v>50.58</v>
      </c>
      <c r="F100" s="539">
        <v>0</v>
      </c>
      <c r="G100" s="544">
        <f t="shared" si="3"/>
        <v>1008.57</v>
      </c>
      <c r="H100" s="545">
        <f t="shared" si="4"/>
        <v>0</v>
      </c>
      <c r="I100" s="544">
        <f t="shared" si="5"/>
        <v>1008.57</v>
      </c>
    </row>
    <row r="101" spans="1:9">
      <c r="A101" s="542" t="s">
        <v>1599</v>
      </c>
      <c r="B101" s="542" t="s">
        <v>1600</v>
      </c>
      <c r="C101" s="542" t="s">
        <v>163</v>
      </c>
      <c r="D101" s="543">
        <v>11.17</v>
      </c>
      <c r="E101" s="543">
        <v>36.46</v>
      </c>
      <c r="F101" s="539">
        <v>0</v>
      </c>
      <c r="G101" s="544">
        <f t="shared" si="3"/>
        <v>407.26</v>
      </c>
      <c r="H101" s="545">
        <f t="shared" si="4"/>
        <v>0</v>
      </c>
      <c r="I101" s="544">
        <f t="shared" si="5"/>
        <v>407.26</v>
      </c>
    </row>
    <row r="102" spans="1:9">
      <c r="A102" s="541" t="s">
        <v>1601</v>
      </c>
      <c r="B102" s="541" t="s">
        <v>1602</v>
      </c>
      <c r="C102" s="537"/>
      <c r="D102" s="538"/>
      <c r="E102" s="538"/>
      <c r="F102" s="539"/>
      <c r="G102" s="544">
        <f t="shared" si="3"/>
        <v>0</v>
      </c>
      <c r="H102" s="545">
        <f t="shared" si="4"/>
        <v>0</v>
      </c>
      <c r="I102" s="544">
        <f t="shared" si="5"/>
        <v>0</v>
      </c>
    </row>
    <row r="103" spans="1:9">
      <c r="A103" s="542" t="s">
        <v>1603</v>
      </c>
      <c r="B103" s="542" t="s">
        <v>1604</v>
      </c>
      <c r="C103" s="542" t="s">
        <v>643</v>
      </c>
      <c r="D103" s="543">
        <v>191.48</v>
      </c>
      <c r="E103" s="543">
        <v>16</v>
      </c>
      <c r="F103" s="539">
        <v>1.35</v>
      </c>
      <c r="G103" s="544">
        <f t="shared" si="3"/>
        <v>3063.68</v>
      </c>
      <c r="H103" s="545">
        <f t="shared" si="4"/>
        <v>258.5</v>
      </c>
      <c r="I103" s="544">
        <f t="shared" si="5"/>
        <v>4033.06</v>
      </c>
    </row>
    <row r="104" spans="1:9">
      <c r="A104" s="542" t="s">
        <v>1605</v>
      </c>
      <c r="B104" s="542" t="s">
        <v>1606</v>
      </c>
      <c r="C104" s="542" t="s">
        <v>643</v>
      </c>
      <c r="D104" s="543">
        <v>355.5</v>
      </c>
      <c r="E104" s="543">
        <v>22.05</v>
      </c>
      <c r="F104" s="539">
        <v>2.17</v>
      </c>
      <c r="G104" s="544">
        <f t="shared" si="3"/>
        <v>7838.78</v>
      </c>
      <c r="H104" s="545">
        <f t="shared" si="4"/>
        <v>771.44</v>
      </c>
      <c r="I104" s="544">
        <f t="shared" si="5"/>
        <v>10731.68</v>
      </c>
    </row>
    <row r="105" spans="1:9">
      <c r="A105" s="542" t="s">
        <v>1607</v>
      </c>
      <c r="B105" s="542" t="s">
        <v>1608</v>
      </c>
      <c r="C105" s="542" t="s">
        <v>643</v>
      </c>
      <c r="D105" s="543">
        <v>88.13</v>
      </c>
      <c r="E105" s="543">
        <v>23.19</v>
      </c>
      <c r="F105" s="539">
        <v>3.56</v>
      </c>
      <c r="G105" s="544">
        <f t="shared" si="3"/>
        <v>2043.73</v>
      </c>
      <c r="H105" s="545">
        <f t="shared" si="4"/>
        <v>313.74</v>
      </c>
      <c r="I105" s="544">
        <f t="shared" si="5"/>
        <v>3220.26</v>
      </c>
    </row>
    <row r="106" spans="1:9">
      <c r="A106" s="542" t="s">
        <v>1609</v>
      </c>
      <c r="B106" s="542" t="s">
        <v>1610</v>
      </c>
      <c r="C106" s="542" t="s">
        <v>643</v>
      </c>
      <c r="D106" s="543">
        <v>113.01</v>
      </c>
      <c r="E106" s="543">
        <v>33.74</v>
      </c>
      <c r="F106" s="539">
        <v>19.38</v>
      </c>
      <c r="G106" s="544">
        <f t="shared" si="3"/>
        <v>3812.96</v>
      </c>
      <c r="H106" s="545">
        <f t="shared" si="4"/>
        <v>2190.13</v>
      </c>
      <c r="I106" s="544">
        <f t="shared" si="5"/>
        <v>12025.95</v>
      </c>
    </row>
    <row r="107" spans="1:9">
      <c r="A107" s="542" t="s">
        <v>1611</v>
      </c>
      <c r="B107" s="542" t="s">
        <v>1612</v>
      </c>
      <c r="C107" s="542" t="s">
        <v>643</v>
      </c>
      <c r="D107" s="543">
        <v>47.34</v>
      </c>
      <c r="E107" s="543">
        <v>121.75</v>
      </c>
      <c r="F107" s="539">
        <v>0</v>
      </c>
      <c r="G107" s="544">
        <f t="shared" si="3"/>
        <v>5763.65</v>
      </c>
      <c r="H107" s="545">
        <f t="shared" si="4"/>
        <v>0</v>
      </c>
      <c r="I107" s="544">
        <f t="shared" si="5"/>
        <v>5763.65</v>
      </c>
    </row>
    <row r="108" spans="1:9">
      <c r="A108" s="542" t="s">
        <v>1613</v>
      </c>
      <c r="B108" s="542" t="s">
        <v>1614</v>
      </c>
      <c r="C108" s="542" t="s">
        <v>36</v>
      </c>
      <c r="D108" s="543">
        <v>14</v>
      </c>
      <c r="E108" s="543">
        <v>46.84</v>
      </c>
      <c r="F108" s="539">
        <v>0</v>
      </c>
      <c r="G108" s="544">
        <f t="shared" si="3"/>
        <v>655.76</v>
      </c>
      <c r="H108" s="545">
        <f t="shared" si="4"/>
        <v>0</v>
      </c>
      <c r="I108" s="544">
        <f t="shared" si="5"/>
        <v>655.76</v>
      </c>
    </row>
    <row r="109" spans="1:9">
      <c r="A109" s="542" t="s">
        <v>1615</v>
      </c>
      <c r="B109" s="542" t="s">
        <v>1616</v>
      </c>
      <c r="C109" s="542" t="s">
        <v>36</v>
      </c>
      <c r="D109" s="543">
        <v>9</v>
      </c>
      <c r="E109" s="543">
        <v>67.680000000000007</v>
      </c>
      <c r="F109" s="539">
        <v>0</v>
      </c>
      <c r="G109" s="544">
        <f t="shared" si="3"/>
        <v>609.12</v>
      </c>
      <c r="H109" s="545">
        <f t="shared" si="4"/>
        <v>0</v>
      </c>
      <c r="I109" s="544">
        <f t="shared" si="5"/>
        <v>609.12</v>
      </c>
    </row>
    <row r="110" spans="1:9">
      <c r="A110" s="542" t="s">
        <v>1617</v>
      </c>
      <c r="B110" s="542" t="s">
        <v>1618</v>
      </c>
      <c r="C110" s="542" t="s">
        <v>36</v>
      </c>
      <c r="D110" s="543">
        <v>37</v>
      </c>
      <c r="E110" s="543">
        <v>104.41</v>
      </c>
      <c r="F110" s="539">
        <v>0</v>
      </c>
      <c r="G110" s="544">
        <f t="shared" si="3"/>
        <v>3863.17</v>
      </c>
      <c r="H110" s="545">
        <f t="shared" si="4"/>
        <v>0</v>
      </c>
      <c r="I110" s="544">
        <f t="shared" si="5"/>
        <v>3863.17</v>
      </c>
    </row>
    <row r="111" spans="1:9">
      <c r="A111" s="542" t="s">
        <v>1619</v>
      </c>
      <c r="B111" s="542" t="s">
        <v>1620</v>
      </c>
      <c r="C111" s="542" t="s">
        <v>36</v>
      </c>
      <c r="D111" s="543">
        <v>9</v>
      </c>
      <c r="E111" s="543">
        <v>133.22</v>
      </c>
      <c r="F111" s="539">
        <v>0</v>
      </c>
      <c r="G111" s="544">
        <f t="shared" si="3"/>
        <v>1198.98</v>
      </c>
      <c r="H111" s="545">
        <f t="shared" si="4"/>
        <v>0</v>
      </c>
      <c r="I111" s="544">
        <f t="shared" si="5"/>
        <v>1198.98</v>
      </c>
    </row>
    <row r="112" spans="1:9">
      <c r="A112" s="542" t="s">
        <v>1621</v>
      </c>
      <c r="B112" s="542" t="s">
        <v>1622</v>
      </c>
      <c r="C112" s="542" t="s">
        <v>36</v>
      </c>
      <c r="D112" s="543">
        <v>4</v>
      </c>
      <c r="E112" s="543">
        <v>36.79</v>
      </c>
      <c r="F112" s="539">
        <v>0</v>
      </c>
      <c r="G112" s="544">
        <f t="shared" si="3"/>
        <v>147.16</v>
      </c>
      <c r="H112" s="545">
        <f t="shared" si="4"/>
        <v>0</v>
      </c>
      <c r="I112" s="544">
        <f t="shared" si="5"/>
        <v>147.16</v>
      </c>
    </row>
    <row r="113" spans="1:9">
      <c r="A113" s="542" t="s">
        <v>1623</v>
      </c>
      <c r="B113" s="542" t="s">
        <v>1624</v>
      </c>
      <c r="C113" s="542" t="s">
        <v>36</v>
      </c>
      <c r="D113" s="543">
        <v>18</v>
      </c>
      <c r="E113" s="543">
        <v>52.99</v>
      </c>
      <c r="F113" s="539">
        <v>0</v>
      </c>
      <c r="G113" s="544">
        <f t="shared" si="3"/>
        <v>953.82</v>
      </c>
      <c r="H113" s="545">
        <f t="shared" si="4"/>
        <v>0</v>
      </c>
      <c r="I113" s="544">
        <f t="shared" si="5"/>
        <v>953.82</v>
      </c>
    </row>
    <row r="114" spans="1:9">
      <c r="A114" s="541" t="s">
        <v>1625</v>
      </c>
      <c r="B114" s="541" t="s">
        <v>1626</v>
      </c>
      <c r="C114" s="537"/>
      <c r="D114" s="538"/>
      <c r="E114" s="538"/>
      <c r="F114" s="539"/>
      <c r="G114" s="544">
        <f t="shared" si="3"/>
        <v>0</v>
      </c>
      <c r="H114" s="545">
        <f t="shared" si="4"/>
        <v>0</v>
      </c>
      <c r="I114" s="544">
        <f t="shared" si="5"/>
        <v>0</v>
      </c>
    </row>
    <row r="115" spans="1:9">
      <c r="A115" s="542" t="s">
        <v>1627</v>
      </c>
      <c r="B115" s="542" t="s">
        <v>1628</v>
      </c>
      <c r="C115" s="542" t="s">
        <v>643</v>
      </c>
      <c r="D115" s="543">
        <v>547.20000000000005</v>
      </c>
      <c r="E115" s="543">
        <v>22.35</v>
      </c>
      <c r="F115" s="539">
        <v>1.22</v>
      </c>
      <c r="G115" s="544">
        <f t="shared" si="3"/>
        <v>12229.92</v>
      </c>
      <c r="H115" s="545">
        <f t="shared" si="4"/>
        <v>667.58</v>
      </c>
      <c r="I115" s="544">
        <f t="shared" si="5"/>
        <v>14733.35</v>
      </c>
    </row>
    <row r="116" spans="1:9">
      <c r="A116" s="542" t="s">
        <v>1629</v>
      </c>
      <c r="B116" s="542" t="s">
        <v>1630</v>
      </c>
      <c r="C116" s="542" t="s">
        <v>643</v>
      </c>
      <c r="D116" s="543">
        <v>1514.1</v>
      </c>
      <c r="E116" s="543">
        <v>25.3</v>
      </c>
      <c r="F116" s="539">
        <v>2.13</v>
      </c>
      <c r="G116" s="544">
        <f t="shared" si="3"/>
        <v>38306.730000000003</v>
      </c>
      <c r="H116" s="545">
        <f t="shared" si="4"/>
        <v>3225.03</v>
      </c>
      <c r="I116" s="544">
        <f t="shared" si="5"/>
        <v>50400.59</v>
      </c>
    </row>
    <row r="117" spans="1:9">
      <c r="A117" s="542" t="s">
        <v>1631</v>
      </c>
      <c r="B117" s="542" t="s">
        <v>1632</v>
      </c>
      <c r="C117" s="542" t="s">
        <v>643</v>
      </c>
      <c r="D117" s="543">
        <v>2241.6</v>
      </c>
      <c r="E117" s="543">
        <v>27.61</v>
      </c>
      <c r="F117" s="539">
        <v>3.56</v>
      </c>
      <c r="G117" s="544">
        <f t="shared" si="3"/>
        <v>61890.58</v>
      </c>
      <c r="H117" s="545">
        <f t="shared" si="4"/>
        <v>7980.1</v>
      </c>
      <c r="I117" s="544">
        <f t="shared" si="5"/>
        <v>91815.96</v>
      </c>
    </row>
    <row r="118" spans="1:9">
      <c r="A118" s="542" t="s">
        <v>1633</v>
      </c>
      <c r="B118" s="542" t="s">
        <v>1634</v>
      </c>
      <c r="C118" s="542" t="s">
        <v>643</v>
      </c>
      <c r="D118" s="543">
        <v>679.2</v>
      </c>
      <c r="E118" s="543">
        <v>22.35</v>
      </c>
      <c r="F118" s="539">
        <v>1.22</v>
      </c>
      <c r="G118" s="544">
        <f t="shared" si="3"/>
        <v>15180.12</v>
      </c>
      <c r="H118" s="545">
        <f t="shared" si="4"/>
        <v>828.62</v>
      </c>
      <c r="I118" s="544">
        <f t="shared" si="5"/>
        <v>18287.45</v>
      </c>
    </row>
    <row r="119" spans="1:9">
      <c r="A119" s="542" t="s">
        <v>1635</v>
      </c>
      <c r="B119" s="542" t="s">
        <v>1636</v>
      </c>
      <c r="C119" s="542" t="s">
        <v>643</v>
      </c>
      <c r="D119" s="543">
        <v>222.9</v>
      </c>
      <c r="E119" s="543">
        <v>25.3</v>
      </c>
      <c r="F119" s="539">
        <v>2.13</v>
      </c>
      <c r="G119" s="544">
        <f t="shared" si="3"/>
        <v>5639.37</v>
      </c>
      <c r="H119" s="545">
        <f t="shared" si="4"/>
        <v>474.78</v>
      </c>
      <c r="I119" s="544">
        <f t="shared" si="5"/>
        <v>7419.8</v>
      </c>
    </row>
    <row r="120" spans="1:9">
      <c r="A120" s="542" t="s">
        <v>1637</v>
      </c>
      <c r="B120" s="542" t="s">
        <v>1638</v>
      </c>
      <c r="C120" s="542" t="s">
        <v>643</v>
      </c>
      <c r="D120" s="543">
        <v>2249.5</v>
      </c>
      <c r="E120" s="543">
        <v>27.61</v>
      </c>
      <c r="F120" s="539">
        <v>3.56</v>
      </c>
      <c r="G120" s="544">
        <f t="shared" si="3"/>
        <v>62108.7</v>
      </c>
      <c r="H120" s="545">
        <f t="shared" si="4"/>
        <v>8008.22</v>
      </c>
      <c r="I120" s="544">
        <f t="shared" si="5"/>
        <v>92139.53</v>
      </c>
    </row>
    <row r="121" spans="1:9">
      <c r="A121" s="542" t="s">
        <v>1639</v>
      </c>
      <c r="B121" s="542" t="s">
        <v>1640</v>
      </c>
      <c r="C121" s="542" t="s">
        <v>36</v>
      </c>
      <c r="D121" s="543">
        <v>11</v>
      </c>
      <c r="E121" s="543">
        <v>23.87</v>
      </c>
      <c r="F121" s="539">
        <v>0</v>
      </c>
      <c r="G121" s="544">
        <f t="shared" si="3"/>
        <v>262.57</v>
      </c>
      <c r="H121" s="545">
        <f t="shared" si="4"/>
        <v>0</v>
      </c>
      <c r="I121" s="544">
        <f t="shared" si="5"/>
        <v>262.57</v>
      </c>
    </row>
    <row r="122" spans="1:9">
      <c r="A122" s="542" t="s">
        <v>1641</v>
      </c>
      <c r="B122" s="542" t="s">
        <v>1642</v>
      </c>
      <c r="C122" s="542" t="s">
        <v>36</v>
      </c>
      <c r="D122" s="543">
        <v>18</v>
      </c>
      <c r="E122" s="543">
        <v>27.66</v>
      </c>
      <c r="F122" s="539">
        <v>0</v>
      </c>
      <c r="G122" s="544">
        <f t="shared" si="3"/>
        <v>497.88</v>
      </c>
      <c r="H122" s="545">
        <f t="shared" si="4"/>
        <v>0</v>
      </c>
      <c r="I122" s="544">
        <f t="shared" si="5"/>
        <v>497.88</v>
      </c>
    </row>
    <row r="123" spans="1:9">
      <c r="A123" s="542" t="s">
        <v>1643</v>
      </c>
      <c r="B123" s="542" t="s">
        <v>1644</v>
      </c>
      <c r="C123" s="542" t="s">
        <v>36</v>
      </c>
      <c r="D123" s="543">
        <v>40</v>
      </c>
      <c r="E123" s="543">
        <v>30.92</v>
      </c>
      <c r="F123" s="539">
        <v>0</v>
      </c>
      <c r="G123" s="544">
        <f t="shared" si="3"/>
        <v>1236.8</v>
      </c>
      <c r="H123" s="545">
        <f t="shared" si="4"/>
        <v>0</v>
      </c>
      <c r="I123" s="544">
        <f t="shared" si="5"/>
        <v>1236.8</v>
      </c>
    </row>
    <row r="124" spans="1:9">
      <c r="A124" s="541" t="s">
        <v>1645</v>
      </c>
      <c r="B124" s="541" t="s">
        <v>1646</v>
      </c>
      <c r="C124" s="537"/>
      <c r="D124" s="538"/>
      <c r="E124" s="538"/>
      <c r="F124" s="539"/>
      <c r="G124" s="544">
        <f t="shared" si="3"/>
        <v>0</v>
      </c>
      <c r="H124" s="545">
        <f t="shared" si="4"/>
        <v>0</v>
      </c>
      <c r="I124" s="544">
        <f t="shared" si="5"/>
        <v>0</v>
      </c>
    </row>
    <row r="125" spans="1:9">
      <c r="A125" s="542" t="s">
        <v>1647</v>
      </c>
      <c r="B125" s="542" t="s">
        <v>1648</v>
      </c>
      <c r="C125" s="542" t="s">
        <v>36</v>
      </c>
      <c r="D125" s="543">
        <v>560</v>
      </c>
      <c r="E125" s="543">
        <v>45.75</v>
      </c>
      <c r="F125" s="539">
        <v>0</v>
      </c>
      <c r="G125" s="544">
        <f t="shared" si="3"/>
        <v>25620</v>
      </c>
      <c r="H125" s="545">
        <f t="shared" si="4"/>
        <v>0</v>
      </c>
      <c r="I125" s="544">
        <f t="shared" si="5"/>
        <v>25620</v>
      </c>
    </row>
    <row r="126" spans="1:9">
      <c r="A126" s="542" t="s">
        <v>1649</v>
      </c>
      <c r="B126" s="542" t="s">
        <v>1650</v>
      </c>
      <c r="C126" s="542" t="s">
        <v>36</v>
      </c>
      <c r="D126" s="543">
        <v>18</v>
      </c>
      <c r="E126" s="543">
        <v>77.23</v>
      </c>
      <c r="F126" s="539">
        <v>0</v>
      </c>
      <c r="G126" s="544">
        <f t="shared" si="3"/>
        <v>1390.14</v>
      </c>
      <c r="H126" s="545">
        <f t="shared" si="4"/>
        <v>0</v>
      </c>
      <c r="I126" s="544">
        <f t="shared" si="5"/>
        <v>1390.14</v>
      </c>
    </row>
    <row r="127" spans="1:9">
      <c r="A127" s="542" t="s">
        <v>1651</v>
      </c>
      <c r="B127" s="542" t="s">
        <v>1652</v>
      </c>
      <c r="C127" s="542" t="s">
        <v>36</v>
      </c>
      <c r="D127" s="543">
        <v>81</v>
      </c>
      <c r="E127" s="543">
        <v>73.3</v>
      </c>
      <c r="F127" s="539">
        <v>0</v>
      </c>
      <c r="G127" s="544">
        <f t="shared" si="3"/>
        <v>5937.3</v>
      </c>
      <c r="H127" s="545">
        <f t="shared" si="4"/>
        <v>0</v>
      </c>
      <c r="I127" s="544">
        <f t="shared" si="5"/>
        <v>5937.3</v>
      </c>
    </row>
    <row r="128" spans="1:9">
      <c r="A128" s="542" t="s">
        <v>1653</v>
      </c>
      <c r="B128" s="542" t="s">
        <v>1654</v>
      </c>
      <c r="C128" s="542" t="s">
        <v>36</v>
      </c>
      <c r="D128" s="543">
        <v>2</v>
      </c>
      <c r="E128" s="543">
        <v>106.87</v>
      </c>
      <c r="F128" s="539">
        <v>0</v>
      </c>
      <c r="G128" s="544">
        <f t="shared" si="3"/>
        <v>213.74</v>
      </c>
      <c r="H128" s="545">
        <f t="shared" si="4"/>
        <v>0</v>
      </c>
      <c r="I128" s="544">
        <f t="shared" si="5"/>
        <v>213.74</v>
      </c>
    </row>
    <row r="129" spans="1:9">
      <c r="A129" s="542" t="s">
        <v>1655</v>
      </c>
      <c r="B129" s="542" t="s">
        <v>1656</v>
      </c>
      <c r="C129" s="542" t="s">
        <v>36</v>
      </c>
      <c r="D129" s="543">
        <v>970</v>
      </c>
      <c r="E129" s="543">
        <v>36.75</v>
      </c>
      <c r="F129" s="539">
        <v>0</v>
      </c>
      <c r="G129" s="544">
        <f t="shared" si="3"/>
        <v>35647.5</v>
      </c>
      <c r="H129" s="545">
        <f t="shared" si="4"/>
        <v>0</v>
      </c>
      <c r="I129" s="544">
        <f t="shared" si="5"/>
        <v>35647.5</v>
      </c>
    </row>
    <row r="130" spans="1:9">
      <c r="A130" s="542" t="s">
        <v>1657</v>
      </c>
      <c r="B130" s="542" t="s">
        <v>1535</v>
      </c>
      <c r="C130" s="542" t="s">
        <v>36</v>
      </c>
      <c r="D130" s="543">
        <v>89</v>
      </c>
      <c r="E130" s="543">
        <v>41.61</v>
      </c>
      <c r="F130" s="539">
        <v>0</v>
      </c>
      <c r="G130" s="544">
        <f t="shared" si="3"/>
        <v>3703.29</v>
      </c>
      <c r="H130" s="545">
        <f t="shared" si="4"/>
        <v>0</v>
      </c>
      <c r="I130" s="544">
        <f t="shared" si="5"/>
        <v>3703.29</v>
      </c>
    </row>
    <row r="131" spans="1:9">
      <c r="A131" s="542" t="s">
        <v>1658</v>
      </c>
      <c r="B131" s="542" t="s">
        <v>1659</v>
      </c>
      <c r="C131" s="542" t="s">
        <v>36</v>
      </c>
      <c r="D131" s="543">
        <v>3</v>
      </c>
      <c r="E131" s="543">
        <v>96.27</v>
      </c>
      <c r="F131" s="539">
        <v>0</v>
      </c>
      <c r="G131" s="544">
        <f t="shared" si="3"/>
        <v>288.81</v>
      </c>
      <c r="H131" s="545">
        <f t="shared" si="4"/>
        <v>0</v>
      </c>
      <c r="I131" s="544">
        <f t="shared" si="5"/>
        <v>288.81</v>
      </c>
    </row>
    <row r="132" spans="1:9">
      <c r="A132" s="541" t="s">
        <v>1660</v>
      </c>
      <c r="B132" s="541" t="s">
        <v>1500</v>
      </c>
      <c r="C132" s="537"/>
      <c r="D132" s="538"/>
      <c r="E132" s="538"/>
      <c r="F132" s="539"/>
      <c r="G132" s="544">
        <f t="shared" si="3"/>
        <v>0</v>
      </c>
      <c r="H132" s="545">
        <f t="shared" si="4"/>
        <v>0</v>
      </c>
      <c r="I132" s="544">
        <f t="shared" si="5"/>
        <v>0</v>
      </c>
    </row>
    <row r="133" spans="1:9">
      <c r="A133" s="542" t="s">
        <v>1661</v>
      </c>
      <c r="B133" s="542" t="s">
        <v>1662</v>
      </c>
      <c r="C133" s="542" t="s">
        <v>29</v>
      </c>
      <c r="D133" s="543">
        <v>1</v>
      </c>
      <c r="E133" s="543">
        <v>5568.22</v>
      </c>
      <c r="F133" s="539">
        <v>0</v>
      </c>
      <c r="G133" s="544">
        <f t="shared" si="3"/>
        <v>5568.22</v>
      </c>
      <c r="H133" s="545">
        <f t="shared" si="4"/>
        <v>0</v>
      </c>
      <c r="I133" s="544">
        <f t="shared" si="5"/>
        <v>5568.22</v>
      </c>
    </row>
    <row r="134" spans="1:9">
      <c r="A134" s="542" t="s">
        <v>1663</v>
      </c>
      <c r="B134" s="542" t="s">
        <v>1664</v>
      </c>
      <c r="C134" s="542" t="s">
        <v>29</v>
      </c>
      <c r="D134" s="543">
        <v>1</v>
      </c>
      <c r="E134" s="543">
        <v>30018.11</v>
      </c>
      <c r="F134" s="539">
        <v>0</v>
      </c>
      <c r="G134" s="544">
        <f t="shared" si="3"/>
        <v>30018.11</v>
      </c>
      <c r="H134" s="545">
        <f t="shared" si="4"/>
        <v>0</v>
      </c>
      <c r="I134" s="544">
        <f t="shared" si="5"/>
        <v>30018.11</v>
      </c>
    </row>
    <row r="135" spans="1:9">
      <c r="A135" s="542" t="s">
        <v>1665</v>
      </c>
      <c r="B135" s="542" t="s">
        <v>1666</v>
      </c>
      <c r="C135" s="542" t="s">
        <v>29</v>
      </c>
      <c r="D135" s="543">
        <v>1</v>
      </c>
      <c r="E135" s="543">
        <v>1500</v>
      </c>
      <c r="F135" s="539">
        <v>0</v>
      </c>
      <c r="G135" s="544">
        <f t="shared" si="3"/>
        <v>1500</v>
      </c>
      <c r="H135" s="545">
        <f t="shared" si="4"/>
        <v>0</v>
      </c>
      <c r="I135" s="544">
        <f t="shared" si="5"/>
        <v>1500</v>
      </c>
    </row>
    <row r="136" spans="1:9">
      <c r="A136" s="542" t="s">
        <v>1667</v>
      </c>
      <c r="B136" s="542" t="s">
        <v>1668</v>
      </c>
      <c r="C136" s="542" t="s">
        <v>36</v>
      </c>
      <c r="D136" s="543">
        <v>1</v>
      </c>
      <c r="E136" s="543">
        <v>393.23</v>
      </c>
      <c r="F136" s="539">
        <v>0</v>
      </c>
      <c r="G136" s="544">
        <f t="shared" si="3"/>
        <v>393.23</v>
      </c>
      <c r="H136" s="545">
        <f t="shared" si="4"/>
        <v>0</v>
      </c>
      <c r="I136" s="544">
        <f t="shared" si="5"/>
        <v>393.23</v>
      </c>
    </row>
    <row r="137" spans="1:9">
      <c r="A137" s="542" t="s">
        <v>1669</v>
      </c>
      <c r="B137" s="542" t="s">
        <v>1670</v>
      </c>
      <c r="C137" s="542" t="s">
        <v>36</v>
      </c>
      <c r="D137" s="543">
        <v>1</v>
      </c>
      <c r="E137" s="543">
        <v>470.23</v>
      </c>
      <c r="F137" s="539">
        <v>0</v>
      </c>
      <c r="G137" s="544">
        <f t="shared" si="3"/>
        <v>470.23</v>
      </c>
      <c r="H137" s="545">
        <f t="shared" si="4"/>
        <v>0</v>
      </c>
      <c r="I137" s="544">
        <f t="shared" si="5"/>
        <v>470.23</v>
      </c>
    </row>
    <row r="138" spans="1:9">
      <c r="A138" s="542" t="s">
        <v>1671</v>
      </c>
      <c r="B138" s="542" t="s">
        <v>1672</v>
      </c>
      <c r="C138" s="542" t="s">
        <v>36</v>
      </c>
      <c r="D138" s="543">
        <v>2</v>
      </c>
      <c r="E138" s="543">
        <v>777.98</v>
      </c>
      <c r="F138" s="539">
        <v>0</v>
      </c>
      <c r="G138" s="544">
        <f t="shared" si="3"/>
        <v>1555.96</v>
      </c>
      <c r="H138" s="545">
        <f t="shared" si="4"/>
        <v>0</v>
      </c>
      <c r="I138" s="544">
        <f t="shared" si="5"/>
        <v>1555.96</v>
      </c>
    </row>
    <row r="139" spans="1:9">
      <c r="A139" s="541" t="s">
        <v>1673</v>
      </c>
      <c r="B139" s="541" t="s">
        <v>1674</v>
      </c>
      <c r="C139" s="537"/>
      <c r="D139" s="538"/>
      <c r="E139" s="538"/>
      <c r="F139" s="539"/>
      <c r="G139" s="544">
        <f t="shared" si="3"/>
        <v>0</v>
      </c>
      <c r="H139" s="545">
        <f t="shared" si="4"/>
        <v>0</v>
      </c>
      <c r="I139" s="544">
        <f t="shared" si="5"/>
        <v>0</v>
      </c>
    </row>
    <row r="140" spans="1:9">
      <c r="A140" s="542" t="s">
        <v>1675</v>
      </c>
      <c r="B140" s="542" t="s">
        <v>1676</v>
      </c>
      <c r="C140" s="542" t="s">
        <v>36</v>
      </c>
      <c r="D140" s="543">
        <v>253</v>
      </c>
      <c r="E140" s="543">
        <v>78.8</v>
      </c>
      <c r="F140" s="539">
        <v>0</v>
      </c>
      <c r="G140" s="544">
        <f t="shared" si="3"/>
        <v>19936.400000000001</v>
      </c>
      <c r="H140" s="545">
        <f t="shared" si="4"/>
        <v>0</v>
      </c>
      <c r="I140" s="544">
        <f t="shared" si="5"/>
        <v>19936.400000000001</v>
      </c>
    </row>
    <row r="141" spans="1:9">
      <c r="A141" s="542" t="s">
        <v>1677</v>
      </c>
      <c r="B141" s="542" t="s">
        <v>1678</v>
      </c>
      <c r="C141" s="542" t="s">
        <v>36</v>
      </c>
      <c r="D141" s="543">
        <v>3</v>
      </c>
      <c r="E141" s="543">
        <v>78.8</v>
      </c>
      <c r="F141" s="539">
        <v>0</v>
      </c>
      <c r="G141" s="544">
        <f>+ROUND(E141*D141,2)</f>
        <v>236.4</v>
      </c>
      <c r="H141" s="545">
        <f>+ROUND(F141*D141,2)</f>
        <v>0</v>
      </c>
      <c r="I141" s="544">
        <f>+ROUND(G141+(H141*$I$3),2)</f>
        <v>236.4</v>
      </c>
    </row>
    <row r="142" spans="1:9">
      <c r="A142" s="542" t="s">
        <v>1679</v>
      </c>
      <c r="B142" s="542" t="s">
        <v>1680</v>
      </c>
      <c r="C142" s="542" t="s">
        <v>36</v>
      </c>
      <c r="D142" s="543">
        <v>242</v>
      </c>
      <c r="E142" s="543">
        <v>78.8</v>
      </c>
      <c r="F142" s="539">
        <v>0</v>
      </c>
      <c r="G142" s="544">
        <f>+ROUND(E142*D142,2)</f>
        <v>19069.599999999999</v>
      </c>
      <c r="H142" s="545">
        <f>+ROUND(F142*D142,2)</f>
        <v>0</v>
      </c>
      <c r="I142" s="544">
        <f>+ROUND(G142+(H142*$I$3),2)</f>
        <v>19069.599999999999</v>
      </c>
    </row>
    <row r="143" spans="1:9">
      <c r="A143" s="542" t="s">
        <v>1681</v>
      </c>
      <c r="B143" s="542" t="s">
        <v>1682</v>
      </c>
      <c r="C143" s="542" t="s">
        <v>36</v>
      </c>
      <c r="D143" s="543">
        <v>647</v>
      </c>
      <c r="E143" s="543">
        <v>78.8</v>
      </c>
      <c r="F143" s="539">
        <v>0</v>
      </c>
      <c r="G143" s="544">
        <f>+ROUND(E143*D143,2)</f>
        <v>50983.6</v>
      </c>
      <c r="H143" s="545">
        <f>+ROUND(F143*D143,2)</f>
        <v>0</v>
      </c>
      <c r="I143" s="544">
        <f>+ROUND(G143+(H143*$I$3),2)</f>
        <v>50983.6</v>
      </c>
    </row>
  </sheetData>
  <mergeCells count="1">
    <mergeCell ref="A2:H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0EA-55CD-43E0-AF86-5E57918091A9}">
  <dimension ref="A1:K189"/>
  <sheetViews>
    <sheetView topLeftCell="A24" workbookViewId="0">
      <selection activeCell="J50" sqref="J50"/>
    </sheetView>
  </sheetViews>
  <sheetFormatPr defaultColWidth="11.42578125" defaultRowHeight="15"/>
  <cols>
    <col min="1" max="1" width="11.42578125" style="447"/>
    <col min="2" max="2" width="36.5703125" style="447" customWidth="1"/>
    <col min="3" max="3" width="4" style="447" bestFit="1" customWidth="1"/>
    <col min="4" max="4" width="9.28515625" style="447" customWidth="1"/>
    <col min="5" max="5" width="10.85546875" style="467" customWidth="1"/>
    <col min="6" max="6" width="11.42578125" style="468" customWidth="1"/>
    <col min="7" max="7" width="14.85546875" style="467" customWidth="1"/>
    <col min="8" max="8" width="11.42578125" style="457" customWidth="1"/>
    <col min="9" max="9" width="13" style="467" customWidth="1"/>
    <col min="10" max="10" width="12.7109375" style="447" bestFit="1" customWidth="1"/>
    <col min="11" max="16384" width="11.42578125" style="447"/>
  </cols>
  <sheetData>
    <row r="1" spans="1:11">
      <c r="A1" s="35"/>
      <c r="B1" s="387"/>
      <c r="C1" s="3"/>
      <c r="D1" s="2"/>
      <c r="E1" s="388"/>
      <c r="F1" s="459"/>
      <c r="G1" s="388"/>
      <c r="H1" s="444"/>
      <c r="I1" s="460"/>
    </row>
    <row r="2" spans="1:11">
      <c r="A2" s="619" t="s">
        <v>1683</v>
      </c>
      <c r="B2" s="619"/>
      <c r="C2" s="619"/>
      <c r="D2" s="619"/>
      <c r="E2" s="619"/>
      <c r="F2" s="619"/>
      <c r="G2" s="619"/>
      <c r="H2" s="619"/>
      <c r="I2" s="460"/>
    </row>
    <row r="3" spans="1:11">
      <c r="A3" s="35"/>
      <c r="B3" s="387"/>
      <c r="C3" s="3"/>
      <c r="D3" s="2"/>
      <c r="E3" s="388"/>
      <c r="F3" s="459"/>
      <c r="G3" s="388"/>
      <c r="H3" s="448" t="s">
        <v>1420</v>
      </c>
      <c r="I3" s="461">
        <v>3.75</v>
      </c>
    </row>
    <row r="4" spans="1:11">
      <c r="A4" s="147" t="s">
        <v>0</v>
      </c>
      <c r="B4" s="393" t="s">
        <v>1421</v>
      </c>
      <c r="C4" s="3"/>
      <c r="D4" s="2"/>
      <c r="E4" s="388"/>
      <c r="F4" s="459"/>
      <c r="G4" s="388"/>
      <c r="H4" s="444"/>
      <c r="I4" s="460"/>
    </row>
    <row r="5" spans="1:11">
      <c r="A5" s="147" t="s">
        <v>14</v>
      </c>
      <c r="B5" s="393" t="s">
        <v>1683</v>
      </c>
      <c r="C5" s="3"/>
      <c r="D5" s="2"/>
      <c r="E5" s="388"/>
      <c r="F5" s="459"/>
      <c r="G5" s="388"/>
      <c r="H5" s="444"/>
      <c r="I5" s="460"/>
    </row>
    <row r="6" spans="1:11">
      <c r="A6" s="147" t="s">
        <v>1</v>
      </c>
      <c r="B6" s="393" t="s">
        <v>1422</v>
      </c>
      <c r="C6" s="3"/>
      <c r="D6" s="2"/>
      <c r="E6" s="388"/>
      <c r="F6" s="462" t="s">
        <v>1423</v>
      </c>
      <c r="G6" s="451">
        <v>45394</v>
      </c>
      <c r="H6" s="452"/>
      <c r="I6" s="460"/>
    </row>
    <row r="7" spans="1:11" ht="15.75" thickBot="1">
      <c r="A7" s="147" t="s">
        <v>3</v>
      </c>
      <c r="B7" s="393"/>
      <c r="C7" s="3"/>
      <c r="D7" s="2"/>
      <c r="E7" s="388"/>
      <c r="F7" s="459"/>
      <c r="G7" s="388"/>
      <c r="H7" s="444"/>
      <c r="I7" s="460"/>
    </row>
    <row r="8" spans="1:11" ht="15.75" thickTop="1">
      <c r="A8" s="396" t="s">
        <v>5</v>
      </c>
      <c r="B8" s="397" t="s">
        <v>16</v>
      </c>
      <c r="C8" s="398" t="s">
        <v>17</v>
      </c>
      <c r="D8" s="453" t="s">
        <v>18</v>
      </c>
      <c r="E8" s="463" t="s">
        <v>1424</v>
      </c>
      <c r="F8" s="464" t="s">
        <v>1425</v>
      </c>
      <c r="G8" s="463" t="s">
        <v>1426</v>
      </c>
      <c r="H8" s="453" t="s">
        <v>1427</v>
      </c>
      <c r="I8" s="465" t="s">
        <v>13</v>
      </c>
    </row>
    <row r="9" spans="1:11">
      <c r="A9" s="529" t="s">
        <v>25</v>
      </c>
      <c r="B9" s="530" t="s">
        <v>1683</v>
      </c>
      <c r="C9" s="531"/>
      <c r="D9" s="534"/>
      <c r="E9" s="534"/>
      <c r="F9" s="546"/>
      <c r="G9" s="534">
        <f>SUM(G10:G189)</f>
        <v>1471999.7899999996</v>
      </c>
      <c r="H9" s="535">
        <f>SUM(H10:H189)</f>
        <v>232473.30999999997</v>
      </c>
      <c r="I9" s="534">
        <f>SUM(I10:I189)</f>
        <v>2343774.8299999991</v>
      </c>
      <c r="K9" s="466"/>
    </row>
    <row r="10" spans="1:11">
      <c r="A10" s="536" t="s">
        <v>1428</v>
      </c>
      <c r="B10" s="536" t="s">
        <v>1684</v>
      </c>
      <c r="C10" s="537"/>
      <c r="D10" s="537"/>
      <c r="E10" s="547"/>
      <c r="F10" s="548"/>
      <c r="G10" s="547"/>
      <c r="H10" s="538"/>
      <c r="I10" s="547"/>
      <c r="J10" s="456">
        <f>SUM(I12:I23,I124:I127,I135)</f>
        <v>434173.61</v>
      </c>
    </row>
    <row r="11" spans="1:11">
      <c r="A11" s="541" t="s">
        <v>1430</v>
      </c>
      <c r="B11" s="541" t="s">
        <v>1685</v>
      </c>
      <c r="C11" s="537"/>
      <c r="D11" s="537"/>
      <c r="E11" s="547"/>
      <c r="F11" s="548"/>
      <c r="G11" s="547"/>
      <c r="H11" s="538"/>
      <c r="I11" s="547"/>
    </row>
    <row r="12" spans="1:11">
      <c r="A12" s="542" t="s">
        <v>1432</v>
      </c>
      <c r="B12" s="542" t="s">
        <v>1686</v>
      </c>
      <c r="C12" s="542" t="s">
        <v>1434</v>
      </c>
      <c r="D12" s="549">
        <v>1973</v>
      </c>
      <c r="E12" s="550">
        <v>46.79</v>
      </c>
      <c r="F12" s="551">
        <v>7.9</v>
      </c>
      <c r="G12" s="544">
        <f>+ROUND(E12*D12,2)</f>
        <v>92316.67</v>
      </c>
      <c r="H12" s="545">
        <f>+ROUND(F12*D12,2)</f>
        <v>15586.7</v>
      </c>
      <c r="I12" s="544">
        <f>+ROUND(G12+(H12*$I$3),2)</f>
        <v>150766.79999999999</v>
      </c>
    </row>
    <row r="13" spans="1:11">
      <c r="A13" s="542" t="s">
        <v>1435</v>
      </c>
      <c r="B13" s="542" t="s">
        <v>1687</v>
      </c>
      <c r="C13" s="542" t="s">
        <v>1434</v>
      </c>
      <c r="D13" s="549">
        <v>277</v>
      </c>
      <c r="E13" s="550">
        <v>46.79</v>
      </c>
      <c r="F13" s="551">
        <v>7.9</v>
      </c>
      <c r="G13" s="544">
        <f t="shared" ref="G13:G76" si="0">+ROUND(E13*D13,2)</f>
        <v>12960.83</v>
      </c>
      <c r="H13" s="545">
        <f t="shared" ref="H13:H76" si="1">+ROUND(F13*D13,2)</f>
        <v>2188.3000000000002</v>
      </c>
      <c r="I13" s="544">
        <f t="shared" ref="I13:I76" si="2">+ROUND(G13+(H13*$I$3),2)</f>
        <v>21166.959999999999</v>
      </c>
    </row>
    <row r="14" spans="1:11">
      <c r="A14" s="542" t="s">
        <v>1437</v>
      </c>
      <c r="B14" s="542" t="s">
        <v>1688</v>
      </c>
      <c r="C14" s="542" t="s">
        <v>1434</v>
      </c>
      <c r="D14" s="549">
        <v>228</v>
      </c>
      <c r="E14" s="550">
        <v>46.79</v>
      </c>
      <c r="F14" s="551">
        <v>7.9</v>
      </c>
      <c r="G14" s="544">
        <f t="shared" si="0"/>
        <v>10668.12</v>
      </c>
      <c r="H14" s="545">
        <f t="shared" si="1"/>
        <v>1801.2</v>
      </c>
      <c r="I14" s="544">
        <f t="shared" si="2"/>
        <v>17422.62</v>
      </c>
    </row>
    <row r="15" spans="1:11">
      <c r="A15" s="542" t="s">
        <v>1689</v>
      </c>
      <c r="B15" s="542" t="s">
        <v>1690</v>
      </c>
      <c r="C15" s="542" t="s">
        <v>1434</v>
      </c>
      <c r="D15" s="549">
        <v>37</v>
      </c>
      <c r="E15" s="550">
        <v>46.79</v>
      </c>
      <c r="F15" s="551">
        <v>7.9</v>
      </c>
      <c r="G15" s="544">
        <f t="shared" si="0"/>
        <v>1731.23</v>
      </c>
      <c r="H15" s="545">
        <f t="shared" si="1"/>
        <v>292.3</v>
      </c>
      <c r="I15" s="544">
        <f t="shared" si="2"/>
        <v>2827.36</v>
      </c>
    </row>
    <row r="16" spans="1:11">
      <c r="A16" s="542" t="s">
        <v>1691</v>
      </c>
      <c r="B16" s="542" t="s">
        <v>1692</v>
      </c>
      <c r="C16" s="542" t="s">
        <v>1434</v>
      </c>
      <c r="D16" s="549">
        <v>460</v>
      </c>
      <c r="E16" s="550">
        <v>46.79</v>
      </c>
      <c r="F16" s="551">
        <v>7.9</v>
      </c>
      <c r="G16" s="544">
        <f t="shared" si="0"/>
        <v>21523.4</v>
      </c>
      <c r="H16" s="545">
        <f t="shared" si="1"/>
        <v>3634</v>
      </c>
      <c r="I16" s="544">
        <f t="shared" si="2"/>
        <v>35150.9</v>
      </c>
    </row>
    <row r="17" spans="1:10">
      <c r="A17" s="542" t="s">
        <v>1693</v>
      </c>
      <c r="B17" s="542" t="s">
        <v>1694</v>
      </c>
      <c r="C17" s="542" t="s">
        <v>1434</v>
      </c>
      <c r="D17" s="549">
        <v>373</v>
      </c>
      <c r="E17" s="550">
        <v>46.79</v>
      </c>
      <c r="F17" s="551">
        <v>7.9</v>
      </c>
      <c r="G17" s="544">
        <f t="shared" si="0"/>
        <v>17452.669999999998</v>
      </c>
      <c r="H17" s="545">
        <f t="shared" si="1"/>
        <v>2946.7</v>
      </c>
      <c r="I17" s="544">
        <f t="shared" si="2"/>
        <v>28502.799999999999</v>
      </c>
    </row>
    <row r="18" spans="1:10">
      <c r="A18" s="542" t="s">
        <v>1695</v>
      </c>
      <c r="B18" s="542" t="s">
        <v>1696</v>
      </c>
      <c r="C18" s="542" t="s">
        <v>1434</v>
      </c>
      <c r="D18" s="549">
        <v>116</v>
      </c>
      <c r="E18" s="550">
        <v>46.79</v>
      </c>
      <c r="F18" s="551">
        <v>7.9</v>
      </c>
      <c r="G18" s="544">
        <f t="shared" si="0"/>
        <v>5427.64</v>
      </c>
      <c r="H18" s="545">
        <f t="shared" si="1"/>
        <v>916.4</v>
      </c>
      <c r="I18" s="544">
        <f t="shared" si="2"/>
        <v>8864.14</v>
      </c>
    </row>
    <row r="19" spans="1:10">
      <c r="A19" s="541" t="s">
        <v>1439</v>
      </c>
      <c r="B19" s="541" t="s">
        <v>1697</v>
      </c>
      <c r="C19" s="537"/>
      <c r="D19" s="537"/>
      <c r="E19" s="547"/>
      <c r="F19" s="551"/>
      <c r="G19" s="544">
        <f t="shared" si="0"/>
        <v>0</v>
      </c>
      <c r="H19" s="545">
        <f t="shared" si="1"/>
        <v>0</v>
      </c>
      <c r="I19" s="544">
        <f t="shared" si="2"/>
        <v>0</v>
      </c>
    </row>
    <row r="20" spans="1:10">
      <c r="A20" s="542" t="s">
        <v>1441</v>
      </c>
      <c r="B20" s="542" t="s">
        <v>1698</v>
      </c>
      <c r="C20" s="542" t="s">
        <v>1434</v>
      </c>
      <c r="D20" s="549">
        <v>675</v>
      </c>
      <c r="E20" s="550">
        <v>43.77</v>
      </c>
      <c r="F20" s="551">
        <v>7.9</v>
      </c>
      <c r="G20" s="544">
        <f t="shared" si="0"/>
        <v>29544.75</v>
      </c>
      <c r="H20" s="545">
        <f t="shared" si="1"/>
        <v>5332.5</v>
      </c>
      <c r="I20" s="544">
        <f t="shared" si="2"/>
        <v>49541.63</v>
      </c>
    </row>
    <row r="21" spans="1:10">
      <c r="A21" s="542" t="s">
        <v>1443</v>
      </c>
      <c r="B21" s="542" t="s">
        <v>1699</v>
      </c>
      <c r="C21" s="542" t="s">
        <v>1434</v>
      </c>
      <c r="D21" s="549">
        <v>472</v>
      </c>
      <c r="E21" s="550">
        <v>43.77</v>
      </c>
      <c r="F21" s="551">
        <v>7.9</v>
      </c>
      <c r="G21" s="544">
        <f t="shared" si="0"/>
        <v>20659.439999999999</v>
      </c>
      <c r="H21" s="545">
        <f t="shared" si="1"/>
        <v>3728.8</v>
      </c>
      <c r="I21" s="544">
        <f t="shared" si="2"/>
        <v>34642.44</v>
      </c>
    </row>
    <row r="22" spans="1:10">
      <c r="A22" s="542" t="s">
        <v>1445</v>
      </c>
      <c r="B22" s="542" t="s">
        <v>1700</v>
      </c>
      <c r="C22" s="542" t="s">
        <v>1434</v>
      </c>
      <c r="D22" s="549">
        <v>15</v>
      </c>
      <c r="E22" s="550">
        <v>43.77</v>
      </c>
      <c r="F22" s="551">
        <v>7.9</v>
      </c>
      <c r="G22" s="544">
        <f t="shared" si="0"/>
        <v>656.55</v>
      </c>
      <c r="H22" s="545">
        <f t="shared" si="1"/>
        <v>118.5</v>
      </c>
      <c r="I22" s="544">
        <f t="shared" si="2"/>
        <v>1100.93</v>
      </c>
    </row>
    <row r="23" spans="1:10">
      <c r="A23" s="542" t="s">
        <v>1447</v>
      </c>
      <c r="B23" s="542" t="s">
        <v>1701</v>
      </c>
      <c r="C23" s="542" t="s">
        <v>1434</v>
      </c>
      <c r="D23" s="549">
        <v>361</v>
      </c>
      <c r="E23" s="550">
        <v>43.77</v>
      </c>
      <c r="F23" s="551">
        <v>7.9</v>
      </c>
      <c r="G23" s="544">
        <f t="shared" si="0"/>
        <v>15800.97</v>
      </c>
      <c r="H23" s="545">
        <f t="shared" si="1"/>
        <v>2851.9</v>
      </c>
      <c r="I23" s="544">
        <f t="shared" si="2"/>
        <v>26495.599999999999</v>
      </c>
    </row>
    <row r="24" spans="1:10">
      <c r="A24" s="536" t="s">
        <v>1517</v>
      </c>
      <c r="B24" s="536" t="s">
        <v>1702</v>
      </c>
      <c r="C24" s="537"/>
      <c r="D24" s="537"/>
      <c r="E24" s="547"/>
      <c r="F24" s="551"/>
      <c r="G24" s="544">
        <f t="shared" si="0"/>
        <v>0</v>
      </c>
      <c r="H24" s="545">
        <f t="shared" si="1"/>
        <v>0</v>
      </c>
      <c r="I24" s="544">
        <f t="shared" si="2"/>
        <v>0</v>
      </c>
      <c r="J24" s="456">
        <f>SUM(I26:I48)</f>
        <v>315538.36</v>
      </c>
    </row>
    <row r="25" spans="1:10">
      <c r="A25" s="541" t="s">
        <v>1519</v>
      </c>
      <c r="B25" s="541" t="s">
        <v>1703</v>
      </c>
      <c r="C25" s="537"/>
      <c r="D25" s="537"/>
      <c r="E25" s="547"/>
      <c r="F25" s="551"/>
      <c r="G25" s="544">
        <f t="shared" si="0"/>
        <v>0</v>
      </c>
      <c r="H25" s="545">
        <f t="shared" si="1"/>
        <v>0</v>
      </c>
      <c r="I25" s="544">
        <f t="shared" si="2"/>
        <v>0</v>
      </c>
    </row>
    <row r="26" spans="1:10">
      <c r="A26" s="542" t="s">
        <v>1521</v>
      </c>
      <c r="B26" s="542" t="s">
        <v>1704</v>
      </c>
      <c r="C26" s="542" t="s">
        <v>36</v>
      </c>
      <c r="D26" s="549">
        <v>1</v>
      </c>
      <c r="E26" s="550">
        <v>31160.26</v>
      </c>
      <c r="F26" s="551">
        <v>0</v>
      </c>
      <c r="G26" s="544">
        <f t="shared" si="0"/>
        <v>31160.26</v>
      </c>
      <c r="H26" s="545">
        <f t="shared" si="1"/>
        <v>0</v>
      </c>
      <c r="I26" s="544">
        <f t="shared" si="2"/>
        <v>31160.26</v>
      </c>
    </row>
    <row r="27" spans="1:10">
      <c r="A27" s="542" t="s">
        <v>1522</v>
      </c>
      <c r="B27" s="542" t="s">
        <v>1705</v>
      </c>
      <c r="C27" s="542" t="s">
        <v>36</v>
      </c>
      <c r="D27" s="549">
        <v>1</v>
      </c>
      <c r="E27" s="550">
        <v>31120.47</v>
      </c>
      <c r="F27" s="551">
        <v>0</v>
      </c>
      <c r="G27" s="544">
        <f t="shared" si="0"/>
        <v>31120.47</v>
      </c>
      <c r="H27" s="545">
        <f t="shared" si="1"/>
        <v>0</v>
      </c>
      <c r="I27" s="544">
        <f t="shared" si="2"/>
        <v>31120.47</v>
      </c>
    </row>
    <row r="28" spans="1:10">
      <c r="A28" s="542" t="s">
        <v>1523</v>
      </c>
      <c r="B28" s="542" t="s">
        <v>1706</v>
      </c>
      <c r="C28" s="542" t="s">
        <v>36</v>
      </c>
      <c r="D28" s="549">
        <v>1</v>
      </c>
      <c r="E28" s="550">
        <v>31400.46</v>
      </c>
      <c r="F28" s="551">
        <v>0</v>
      </c>
      <c r="G28" s="544">
        <f t="shared" si="0"/>
        <v>31400.46</v>
      </c>
      <c r="H28" s="545">
        <f t="shared" si="1"/>
        <v>0</v>
      </c>
      <c r="I28" s="544">
        <f t="shared" si="2"/>
        <v>31400.46</v>
      </c>
    </row>
    <row r="29" spans="1:10">
      <c r="A29" s="542" t="s">
        <v>1524</v>
      </c>
      <c r="B29" s="542" t="s">
        <v>1707</v>
      </c>
      <c r="C29" s="542" t="s">
        <v>36</v>
      </c>
      <c r="D29" s="549">
        <v>1</v>
      </c>
      <c r="E29" s="550">
        <v>17681.259999999998</v>
      </c>
      <c r="F29" s="551">
        <v>0</v>
      </c>
      <c r="G29" s="544">
        <f t="shared" si="0"/>
        <v>17681.259999999998</v>
      </c>
      <c r="H29" s="545">
        <f t="shared" si="1"/>
        <v>0</v>
      </c>
      <c r="I29" s="544">
        <f t="shared" si="2"/>
        <v>17681.259999999998</v>
      </c>
    </row>
    <row r="30" spans="1:10">
      <c r="A30" s="542" t="s">
        <v>1708</v>
      </c>
      <c r="B30" s="542" t="s">
        <v>1709</v>
      </c>
      <c r="C30" s="542" t="s">
        <v>36</v>
      </c>
      <c r="D30" s="549">
        <v>6</v>
      </c>
      <c r="E30" s="550">
        <v>2481.5300000000002</v>
      </c>
      <c r="F30" s="551">
        <v>0</v>
      </c>
      <c r="G30" s="544">
        <f t="shared" si="0"/>
        <v>14889.18</v>
      </c>
      <c r="H30" s="545">
        <f t="shared" si="1"/>
        <v>0</v>
      </c>
      <c r="I30" s="544">
        <f t="shared" si="2"/>
        <v>14889.18</v>
      </c>
    </row>
    <row r="31" spans="1:10">
      <c r="A31" s="542" t="s">
        <v>1710</v>
      </c>
      <c r="B31" s="542" t="s">
        <v>1711</v>
      </c>
      <c r="C31" s="542" t="s">
        <v>36</v>
      </c>
      <c r="D31" s="549">
        <v>1</v>
      </c>
      <c r="E31" s="550">
        <v>3236.3</v>
      </c>
      <c r="F31" s="551">
        <v>0</v>
      </c>
      <c r="G31" s="544">
        <f t="shared" si="0"/>
        <v>3236.3</v>
      </c>
      <c r="H31" s="545">
        <f t="shared" si="1"/>
        <v>0</v>
      </c>
      <c r="I31" s="544">
        <f t="shared" si="2"/>
        <v>3236.3</v>
      </c>
    </row>
    <row r="32" spans="1:10">
      <c r="A32" s="542" t="s">
        <v>1712</v>
      </c>
      <c r="B32" s="542" t="s">
        <v>1713</v>
      </c>
      <c r="C32" s="542" t="s">
        <v>36</v>
      </c>
      <c r="D32" s="549">
        <v>1</v>
      </c>
      <c r="E32" s="550">
        <v>3314.7</v>
      </c>
      <c r="F32" s="551">
        <v>0</v>
      </c>
      <c r="G32" s="544">
        <f t="shared" si="0"/>
        <v>3314.7</v>
      </c>
      <c r="H32" s="545">
        <f t="shared" si="1"/>
        <v>0</v>
      </c>
      <c r="I32" s="544">
        <f t="shared" si="2"/>
        <v>3314.7</v>
      </c>
    </row>
    <row r="33" spans="1:9">
      <c r="A33" s="542" t="s">
        <v>1714</v>
      </c>
      <c r="B33" s="542" t="s">
        <v>1715</v>
      </c>
      <c r="C33" s="542" t="s">
        <v>36</v>
      </c>
      <c r="D33" s="549">
        <v>1</v>
      </c>
      <c r="E33" s="550">
        <v>3003.26</v>
      </c>
      <c r="F33" s="551">
        <v>0</v>
      </c>
      <c r="G33" s="544">
        <f t="shared" si="0"/>
        <v>3003.26</v>
      </c>
      <c r="H33" s="545">
        <f t="shared" si="1"/>
        <v>0</v>
      </c>
      <c r="I33" s="544">
        <f t="shared" si="2"/>
        <v>3003.26</v>
      </c>
    </row>
    <row r="34" spans="1:9">
      <c r="A34" s="542" t="s">
        <v>1716</v>
      </c>
      <c r="B34" s="542" t="s">
        <v>1717</v>
      </c>
      <c r="C34" s="542" t="s">
        <v>36</v>
      </c>
      <c r="D34" s="549">
        <v>1</v>
      </c>
      <c r="E34" s="550">
        <v>2986.07</v>
      </c>
      <c r="F34" s="551">
        <v>0</v>
      </c>
      <c r="G34" s="544">
        <f t="shared" si="0"/>
        <v>2986.07</v>
      </c>
      <c r="H34" s="545">
        <f t="shared" si="1"/>
        <v>0</v>
      </c>
      <c r="I34" s="544">
        <f t="shared" si="2"/>
        <v>2986.07</v>
      </c>
    </row>
    <row r="35" spans="1:9">
      <c r="A35" s="542" t="s">
        <v>1718</v>
      </c>
      <c r="B35" s="542" t="s">
        <v>1719</v>
      </c>
      <c r="C35" s="542" t="s">
        <v>36</v>
      </c>
      <c r="D35" s="549">
        <v>1</v>
      </c>
      <c r="E35" s="550">
        <v>2764.69</v>
      </c>
      <c r="F35" s="551">
        <v>0</v>
      </c>
      <c r="G35" s="544">
        <f t="shared" si="0"/>
        <v>2764.69</v>
      </c>
      <c r="H35" s="545">
        <f t="shared" si="1"/>
        <v>0</v>
      </c>
      <c r="I35" s="544">
        <f t="shared" si="2"/>
        <v>2764.69</v>
      </c>
    </row>
    <row r="36" spans="1:9">
      <c r="A36" s="542" t="s">
        <v>1720</v>
      </c>
      <c r="B36" s="542" t="s">
        <v>1721</v>
      </c>
      <c r="C36" s="542" t="s">
        <v>36</v>
      </c>
      <c r="D36" s="549">
        <v>1</v>
      </c>
      <c r="E36" s="550">
        <v>2624.57</v>
      </c>
      <c r="F36" s="551">
        <v>0</v>
      </c>
      <c r="G36" s="544">
        <f t="shared" si="0"/>
        <v>2624.57</v>
      </c>
      <c r="H36" s="545">
        <f t="shared" si="1"/>
        <v>0</v>
      </c>
      <c r="I36" s="544">
        <f t="shared" si="2"/>
        <v>2624.57</v>
      </c>
    </row>
    <row r="37" spans="1:9">
      <c r="A37" s="542" t="s">
        <v>1722</v>
      </c>
      <c r="B37" s="542" t="s">
        <v>1723</v>
      </c>
      <c r="C37" s="542" t="s">
        <v>36</v>
      </c>
      <c r="D37" s="549">
        <v>1</v>
      </c>
      <c r="E37" s="550">
        <v>1820.24</v>
      </c>
      <c r="F37" s="551">
        <v>0</v>
      </c>
      <c r="G37" s="544">
        <f t="shared" si="0"/>
        <v>1820.24</v>
      </c>
      <c r="H37" s="545">
        <f t="shared" si="1"/>
        <v>0</v>
      </c>
      <c r="I37" s="544">
        <f t="shared" si="2"/>
        <v>1820.24</v>
      </c>
    </row>
    <row r="38" spans="1:9">
      <c r="A38" s="542" t="s">
        <v>1724</v>
      </c>
      <c r="B38" s="542" t="s">
        <v>1725</v>
      </c>
      <c r="C38" s="542" t="s">
        <v>36</v>
      </c>
      <c r="D38" s="549">
        <v>1</v>
      </c>
      <c r="E38" s="550">
        <v>2069.7399999999998</v>
      </c>
      <c r="F38" s="551">
        <v>0</v>
      </c>
      <c r="G38" s="544">
        <f t="shared" si="0"/>
        <v>2069.7399999999998</v>
      </c>
      <c r="H38" s="545">
        <f t="shared" si="1"/>
        <v>0</v>
      </c>
      <c r="I38" s="544">
        <f t="shared" si="2"/>
        <v>2069.7399999999998</v>
      </c>
    </row>
    <row r="39" spans="1:9">
      <c r="A39" s="542" t="s">
        <v>1726</v>
      </c>
      <c r="B39" s="542" t="s">
        <v>1727</v>
      </c>
      <c r="C39" s="542" t="s">
        <v>36</v>
      </c>
      <c r="D39" s="549">
        <v>1</v>
      </c>
      <c r="E39" s="550">
        <v>2109.16</v>
      </c>
      <c r="F39" s="551">
        <v>0</v>
      </c>
      <c r="G39" s="544">
        <f t="shared" si="0"/>
        <v>2109.16</v>
      </c>
      <c r="H39" s="545">
        <f t="shared" si="1"/>
        <v>0</v>
      </c>
      <c r="I39" s="544">
        <f t="shared" si="2"/>
        <v>2109.16</v>
      </c>
    </row>
    <row r="40" spans="1:9">
      <c r="A40" s="542" t="s">
        <v>1728</v>
      </c>
      <c r="B40" s="542" t="s">
        <v>1729</v>
      </c>
      <c r="C40" s="542" t="s">
        <v>36</v>
      </c>
      <c r="D40" s="549">
        <v>1</v>
      </c>
      <c r="E40" s="550">
        <v>2232.48</v>
      </c>
      <c r="F40" s="551">
        <v>0</v>
      </c>
      <c r="G40" s="544">
        <f t="shared" si="0"/>
        <v>2232.48</v>
      </c>
      <c r="H40" s="545">
        <f t="shared" si="1"/>
        <v>0</v>
      </c>
      <c r="I40" s="544">
        <f t="shared" si="2"/>
        <v>2232.48</v>
      </c>
    </row>
    <row r="41" spans="1:9">
      <c r="A41" s="542" t="s">
        <v>1730</v>
      </c>
      <c r="B41" s="542" t="s">
        <v>1731</v>
      </c>
      <c r="C41" s="542" t="s">
        <v>36</v>
      </c>
      <c r="D41" s="549">
        <v>1</v>
      </c>
      <c r="E41" s="550">
        <v>2092.36</v>
      </c>
      <c r="F41" s="551">
        <v>0</v>
      </c>
      <c r="G41" s="544">
        <f t="shared" si="0"/>
        <v>2092.36</v>
      </c>
      <c r="H41" s="545">
        <f t="shared" si="1"/>
        <v>0</v>
      </c>
      <c r="I41" s="544">
        <f t="shared" si="2"/>
        <v>2092.36</v>
      </c>
    </row>
    <row r="42" spans="1:9">
      <c r="A42" s="542" t="s">
        <v>1732</v>
      </c>
      <c r="B42" s="542" t="s">
        <v>1733</v>
      </c>
      <c r="C42" s="542" t="s">
        <v>36</v>
      </c>
      <c r="D42" s="549">
        <v>1</v>
      </c>
      <c r="E42" s="550">
        <v>2435.2199999999998</v>
      </c>
      <c r="F42" s="551">
        <v>0</v>
      </c>
      <c r="G42" s="544">
        <f t="shared" si="0"/>
        <v>2435.2199999999998</v>
      </c>
      <c r="H42" s="545">
        <f t="shared" si="1"/>
        <v>0</v>
      </c>
      <c r="I42" s="544">
        <f t="shared" si="2"/>
        <v>2435.2199999999998</v>
      </c>
    </row>
    <row r="43" spans="1:9">
      <c r="A43" s="542" t="s">
        <v>1734</v>
      </c>
      <c r="B43" s="542" t="s">
        <v>1735</v>
      </c>
      <c r="C43" s="542" t="s">
        <v>36</v>
      </c>
      <c r="D43" s="549">
        <v>1</v>
      </c>
      <c r="E43" s="550">
        <v>2650.4</v>
      </c>
      <c r="F43" s="551">
        <v>0</v>
      </c>
      <c r="G43" s="544">
        <f t="shared" si="0"/>
        <v>2650.4</v>
      </c>
      <c r="H43" s="545">
        <f t="shared" si="1"/>
        <v>0</v>
      </c>
      <c r="I43" s="544">
        <f t="shared" si="2"/>
        <v>2650.4</v>
      </c>
    </row>
    <row r="44" spans="1:9">
      <c r="A44" s="542" t="s">
        <v>1736</v>
      </c>
      <c r="B44" s="542" t="s">
        <v>1737</v>
      </c>
      <c r="C44" s="542" t="s">
        <v>36</v>
      </c>
      <c r="D44" s="549">
        <v>1</v>
      </c>
      <c r="E44" s="550">
        <v>2573.7600000000002</v>
      </c>
      <c r="F44" s="551">
        <v>0</v>
      </c>
      <c r="G44" s="544">
        <f t="shared" si="0"/>
        <v>2573.7600000000002</v>
      </c>
      <c r="H44" s="545">
        <f t="shared" si="1"/>
        <v>0</v>
      </c>
      <c r="I44" s="544">
        <f t="shared" si="2"/>
        <v>2573.7600000000002</v>
      </c>
    </row>
    <row r="45" spans="1:9">
      <c r="A45" s="542" t="s">
        <v>1738</v>
      </c>
      <c r="B45" s="542" t="s">
        <v>1739</v>
      </c>
      <c r="C45" s="542" t="s">
        <v>36</v>
      </c>
      <c r="D45" s="549">
        <v>1</v>
      </c>
      <c r="E45" s="550">
        <v>2941.48</v>
      </c>
      <c r="F45" s="551">
        <v>0</v>
      </c>
      <c r="G45" s="544">
        <f t="shared" si="0"/>
        <v>2941.48</v>
      </c>
      <c r="H45" s="545">
        <f t="shared" si="1"/>
        <v>0</v>
      </c>
      <c r="I45" s="544">
        <f t="shared" si="2"/>
        <v>2941.48</v>
      </c>
    </row>
    <row r="46" spans="1:9">
      <c r="A46" s="542" t="s">
        <v>1740</v>
      </c>
      <c r="B46" s="542" t="s">
        <v>1741</v>
      </c>
      <c r="C46" s="542" t="s">
        <v>36</v>
      </c>
      <c r="D46" s="549">
        <v>1</v>
      </c>
      <c r="E46" s="550">
        <v>1897.52</v>
      </c>
      <c r="F46" s="551">
        <v>0</v>
      </c>
      <c r="G46" s="544">
        <f t="shared" si="0"/>
        <v>1897.52</v>
      </c>
      <c r="H46" s="545">
        <f t="shared" si="1"/>
        <v>0</v>
      </c>
      <c r="I46" s="544">
        <f t="shared" si="2"/>
        <v>1897.52</v>
      </c>
    </row>
    <row r="47" spans="1:9">
      <c r="A47" s="542" t="s">
        <v>1742</v>
      </c>
      <c r="B47" s="542" t="s">
        <v>1743</v>
      </c>
      <c r="C47" s="542" t="s">
        <v>36</v>
      </c>
      <c r="D47" s="549">
        <v>25</v>
      </c>
      <c r="E47" s="550">
        <v>1076.72</v>
      </c>
      <c r="F47" s="551">
        <v>0</v>
      </c>
      <c r="G47" s="544">
        <f t="shared" si="0"/>
        <v>26918</v>
      </c>
      <c r="H47" s="545">
        <f t="shared" si="1"/>
        <v>0</v>
      </c>
      <c r="I47" s="544">
        <f t="shared" si="2"/>
        <v>26918</v>
      </c>
    </row>
    <row r="48" spans="1:9">
      <c r="A48" s="542" t="s">
        <v>1744</v>
      </c>
      <c r="B48" s="542" t="s">
        <v>1745</v>
      </c>
      <c r="C48" s="542" t="s">
        <v>36</v>
      </c>
      <c r="D48" s="549">
        <v>149</v>
      </c>
      <c r="E48" s="550">
        <v>816.22</v>
      </c>
      <c r="F48" s="551">
        <v>0</v>
      </c>
      <c r="G48" s="544">
        <f t="shared" si="0"/>
        <v>121616.78</v>
      </c>
      <c r="H48" s="545">
        <f t="shared" si="1"/>
        <v>0</v>
      </c>
      <c r="I48" s="544">
        <f t="shared" si="2"/>
        <v>121616.78</v>
      </c>
    </row>
    <row r="49" spans="1:10">
      <c r="A49" s="536" t="s">
        <v>1536</v>
      </c>
      <c r="B49" s="536" t="s">
        <v>1746</v>
      </c>
      <c r="C49" s="537"/>
      <c r="D49" s="537"/>
      <c r="E49" s="547"/>
      <c r="F49" s="551"/>
      <c r="G49" s="544">
        <f t="shared" si="0"/>
        <v>0</v>
      </c>
      <c r="H49" s="545">
        <f t="shared" si="1"/>
        <v>0</v>
      </c>
      <c r="I49" s="544">
        <f t="shared" si="2"/>
        <v>0</v>
      </c>
      <c r="J49" s="456"/>
    </row>
    <row r="50" spans="1:10">
      <c r="A50" s="541" t="s">
        <v>1538</v>
      </c>
      <c r="B50" s="541" t="s">
        <v>1747</v>
      </c>
      <c r="C50" s="537"/>
      <c r="D50" s="537"/>
      <c r="E50" s="547"/>
      <c r="F50" s="551"/>
      <c r="G50" s="544">
        <f t="shared" si="0"/>
        <v>0</v>
      </c>
      <c r="H50" s="545">
        <f t="shared" si="1"/>
        <v>0</v>
      </c>
      <c r="I50" s="544">
        <f t="shared" si="2"/>
        <v>0</v>
      </c>
      <c r="J50" s="456">
        <f>SUM(I51:I74,I128:I134)</f>
        <v>373809.94</v>
      </c>
    </row>
    <row r="51" spans="1:10">
      <c r="A51" s="542" t="s">
        <v>1540</v>
      </c>
      <c r="B51" s="542" t="s">
        <v>1748</v>
      </c>
      <c r="C51" s="542" t="s">
        <v>1434</v>
      </c>
      <c r="D51" s="549">
        <v>2592</v>
      </c>
      <c r="E51" s="550">
        <v>42.66</v>
      </c>
      <c r="F51" s="551">
        <v>7.54</v>
      </c>
      <c r="G51" s="544">
        <f t="shared" si="0"/>
        <v>110574.72</v>
      </c>
      <c r="H51" s="545">
        <f t="shared" si="1"/>
        <v>19543.68</v>
      </c>
      <c r="I51" s="544">
        <f t="shared" si="2"/>
        <v>183863.52</v>
      </c>
    </row>
    <row r="52" spans="1:10">
      <c r="A52" s="542" t="s">
        <v>1542</v>
      </c>
      <c r="B52" s="542" t="s">
        <v>1749</v>
      </c>
      <c r="C52" s="542" t="s">
        <v>1434</v>
      </c>
      <c r="D52" s="549">
        <v>8</v>
      </c>
      <c r="E52" s="550">
        <v>42.66</v>
      </c>
      <c r="F52" s="551">
        <v>7.74</v>
      </c>
      <c r="G52" s="544">
        <f t="shared" si="0"/>
        <v>341.28</v>
      </c>
      <c r="H52" s="545">
        <f t="shared" si="1"/>
        <v>61.92</v>
      </c>
      <c r="I52" s="544">
        <f t="shared" si="2"/>
        <v>573.48</v>
      </c>
    </row>
    <row r="53" spans="1:10">
      <c r="A53" s="542" t="s">
        <v>1750</v>
      </c>
      <c r="B53" s="542" t="s">
        <v>1751</v>
      </c>
      <c r="C53" s="542" t="s">
        <v>1434</v>
      </c>
      <c r="D53" s="549">
        <v>174</v>
      </c>
      <c r="E53" s="550">
        <v>42.66</v>
      </c>
      <c r="F53" s="551">
        <v>21.8</v>
      </c>
      <c r="G53" s="544">
        <f t="shared" si="0"/>
        <v>7422.84</v>
      </c>
      <c r="H53" s="545">
        <f t="shared" si="1"/>
        <v>3793.2</v>
      </c>
      <c r="I53" s="544">
        <f t="shared" si="2"/>
        <v>21647.34</v>
      </c>
    </row>
    <row r="54" spans="1:10">
      <c r="A54" s="542" t="s">
        <v>1752</v>
      </c>
      <c r="B54" s="542" t="s">
        <v>1753</v>
      </c>
      <c r="C54" s="542" t="s">
        <v>1434</v>
      </c>
      <c r="D54" s="549">
        <v>25</v>
      </c>
      <c r="E54" s="550">
        <v>46.22</v>
      </c>
      <c r="F54" s="551">
        <v>21.8</v>
      </c>
      <c r="G54" s="544">
        <f t="shared" si="0"/>
        <v>1155.5</v>
      </c>
      <c r="H54" s="545">
        <f t="shared" si="1"/>
        <v>545</v>
      </c>
      <c r="I54" s="544">
        <f t="shared" si="2"/>
        <v>3199.25</v>
      </c>
    </row>
    <row r="55" spans="1:10">
      <c r="A55" s="542" t="s">
        <v>1754</v>
      </c>
      <c r="B55" s="542" t="s">
        <v>1755</v>
      </c>
      <c r="C55" s="542" t="s">
        <v>1434</v>
      </c>
      <c r="D55" s="549">
        <v>25</v>
      </c>
      <c r="E55" s="550">
        <v>46.22</v>
      </c>
      <c r="F55" s="551">
        <v>21.8</v>
      </c>
      <c r="G55" s="544">
        <f t="shared" si="0"/>
        <v>1155.5</v>
      </c>
      <c r="H55" s="545">
        <f t="shared" si="1"/>
        <v>545</v>
      </c>
      <c r="I55" s="544">
        <f t="shared" si="2"/>
        <v>3199.25</v>
      </c>
    </row>
    <row r="56" spans="1:10">
      <c r="A56" s="542" t="s">
        <v>1756</v>
      </c>
      <c r="B56" s="542" t="s">
        <v>1757</v>
      </c>
      <c r="C56" s="542" t="s">
        <v>1434</v>
      </c>
      <c r="D56" s="549">
        <v>25</v>
      </c>
      <c r="E56" s="550">
        <v>46.22</v>
      </c>
      <c r="F56" s="551">
        <v>13.8</v>
      </c>
      <c r="G56" s="544">
        <f t="shared" si="0"/>
        <v>1155.5</v>
      </c>
      <c r="H56" s="545">
        <f t="shared" si="1"/>
        <v>345</v>
      </c>
      <c r="I56" s="544">
        <f t="shared" si="2"/>
        <v>2449.25</v>
      </c>
    </row>
    <row r="57" spans="1:10">
      <c r="A57" s="542" t="s">
        <v>1758</v>
      </c>
      <c r="B57" s="542" t="s">
        <v>1759</v>
      </c>
      <c r="C57" s="542" t="s">
        <v>1434</v>
      </c>
      <c r="D57" s="549">
        <v>25</v>
      </c>
      <c r="E57" s="550">
        <v>128.68</v>
      </c>
      <c r="F57" s="551">
        <v>0</v>
      </c>
      <c r="G57" s="544">
        <f t="shared" si="0"/>
        <v>3217</v>
      </c>
      <c r="H57" s="545">
        <f t="shared" si="1"/>
        <v>0</v>
      </c>
      <c r="I57" s="544">
        <f t="shared" si="2"/>
        <v>3217</v>
      </c>
    </row>
    <row r="58" spans="1:10">
      <c r="A58" s="542" t="s">
        <v>1760</v>
      </c>
      <c r="B58" s="542" t="s">
        <v>1761</v>
      </c>
      <c r="C58" s="542" t="s">
        <v>1434</v>
      </c>
      <c r="D58" s="549">
        <v>174</v>
      </c>
      <c r="E58" s="550">
        <v>42.1</v>
      </c>
      <c r="F58" s="551">
        <v>7.78</v>
      </c>
      <c r="G58" s="544">
        <f t="shared" si="0"/>
        <v>7325.4</v>
      </c>
      <c r="H58" s="545">
        <f t="shared" si="1"/>
        <v>1353.72</v>
      </c>
      <c r="I58" s="544">
        <f t="shared" si="2"/>
        <v>12401.85</v>
      </c>
    </row>
    <row r="59" spans="1:10">
      <c r="A59" s="542" t="s">
        <v>1762</v>
      </c>
      <c r="B59" s="542" t="s">
        <v>1763</v>
      </c>
      <c r="C59" s="542" t="s">
        <v>1434</v>
      </c>
      <c r="D59" s="549">
        <v>174</v>
      </c>
      <c r="E59" s="550">
        <v>46.22</v>
      </c>
      <c r="F59" s="551">
        <v>7.8</v>
      </c>
      <c r="G59" s="544">
        <f t="shared" si="0"/>
        <v>8042.28</v>
      </c>
      <c r="H59" s="545">
        <f t="shared" si="1"/>
        <v>1357.2</v>
      </c>
      <c r="I59" s="544">
        <f t="shared" si="2"/>
        <v>13131.78</v>
      </c>
    </row>
    <row r="60" spans="1:10">
      <c r="A60" s="542" t="s">
        <v>1764</v>
      </c>
      <c r="B60" s="542" t="s">
        <v>1765</v>
      </c>
      <c r="C60" s="542" t="s">
        <v>1434</v>
      </c>
      <c r="D60" s="549">
        <v>174</v>
      </c>
      <c r="E60" s="550">
        <v>46.22</v>
      </c>
      <c r="F60" s="551">
        <v>7.8</v>
      </c>
      <c r="G60" s="544">
        <f t="shared" si="0"/>
        <v>8042.28</v>
      </c>
      <c r="H60" s="545">
        <f t="shared" si="1"/>
        <v>1357.2</v>
      </c>
      <c r="I60" s="544">
        <f t="shared" si="2"/>
        <v>13131.78</v>
      </c>
    </row>
    <row r="61" spans="1:10">
      <c r="A61" s="542" t="s">
        <v>1766</v>
      </c>
      <c r="B61" s="542" t="s">
        <v>1767</v>
      </c>
      <c r="C61" s="542" t="s">
        <v>1434</v>
      </c>
      <c r="D61" s="549">
        <v>237</v>
      </c>
      <c r="E61" s="550">
        <v>39.06</v>
      </c>
      <c r="F61" s="551">
        <v>4.08</v>
      </c>
      <c r="G61" s="544">
        <f t="shared" si="0"/>
        <v>9257.2199999999993</v>
      </c>
      <c r="H61" s="545">
        <f t="shared" si="1"/>
        <v>966.96</v>
      </c>
      <c r="I61" s="544">
        <f t="shared" si="2"/>
        <v>12883.32</v>
      </c>
    </row>
    <row r="62" spans="1:10">
      <c r="A62" s="542" t="s">
        <v>1768</v>
      </c>
      <c r="B62" s="542" t="s">
        <v>1769</v>
      </c>
      <c r="C62" s="542" t="s">
        <v>1434</v>
      </c>
      <c r="D62" s="549">
        <v>1</v>
      </c>
      <c r="E62" s="550">
        <v>46.22</v>
      </c>
      <c r="F62" s="551">
        <v>71.72</v>
      </c>
      <c r="G62" s="544">
        <f t="shared" si="0"/>
        <v>46.22</v>
      </c>
      <c r="H62" s="545">
        <f t="shared" si="1"/>
        <v>71.72</v>
      </c>
      <c r="I62" s="544">
        <f t="shared" si="2"/>
        <v>315.17</v>
      </c>
    </row>
    <row r="63" spans="1:10">
      <c r="A63" s="542" t="s">
        <v>1770</v>
      </c>
      <c r="B63" s="542" t="s">
        <v>1771</v>
      </c>
      <c r="C63" s="542" t="s">
        <v>1434</v>
      </c>
      <c r="D63" s="549">
        <v>4</v>
      </c>
      <c r="E63" s="550">
        <v>46.22</v>
      </c>
      <c r="F63" s="551">
        <v>20.46</v>
      </c>
      <c r="G63" s="544">
        <f t="shared" si="0"/>
        <v>184.88</v>
      </c>
      <c r="H63" s="545">
        <f t="shared" si="1"/>
        <v>81.84</v>
      </c>
      <c r="I63" s="544">
        <f t="shared" si="2"/>
        <v>491.78</v>
      </c>
    </row>
    <row r="64" spans="1:10">
      <c r="A64" s="542" t="s">
        <v>1772</v>
      </c>
      <c r="B64" s="542" t="s">
        <v>1773</v>
      </c>
      <c r="C64" s="542" t="s">
        <v>1434</v>
      </c>
      <c r="D64" s="549">
        <v>2</v>
      </c>
      <c r="E64" s="550">
        <v>46.22</v>
      </c>
      <c r="F64" s="551">
        <v>40.28</v>
      </c>
      <c r="G64" s="544">
        <f t="shared" si="0"/>
        <v>92.44</v>
      </c>
      <c r="H64" s="545">
        <f t="shared" si="1"/>
        <v>80.56</v>
      </c>
      <c r="I64" s="544">
        <f t="shared" si="2"/>
        <v>394.54</v>
      </c>
    </row>
    <row r="65" spans="1:10">
      <c r="A65" s="542" t="s">
        <v>1774</v>
      </c>
      <c r="B65" s="542" t="s">
        <v>1775</v>
      </c>
      <c r="C65" s="542" t="s">
        <v>1434</v>
      </c>
      <c r="D65" s="549">
        <v>6</v>
      </c>
      <c r="E65" s="550">
        <v>63.23</v>
      </c>
      <c r="F65" s="551">
        <v>66.599999999999994</v>
      </c>
      <c r="G65" s="544">
        <f t="shared" si="0"/>
        <v>379.38</v>
      </c>
      <c r="H65" s="545">
        <f t="shared" si="1"/>
        <v>399.6</v>
      </c>
      <c r="I65" s="544">
        <f t="shared" si="2"/>
        <v>1877.88</v>
      </c>
    </row>
    <row r="66" spans="1:10">
      <c r="A66" s="542" t="s">
        <v>1776</v>
      </c>
      <c r="B66" s="542" t="s">
        <v>1777</v>
      </c>
      <c r="C66" s="542" t="s">
        <v>1434</v>
      </c>
      <c r="D66" s="549">
        <v>1</v>
      </c>
      <c r="E66" s="550">
        <v>46.22</v>
      </c>
      <c r="F66" s="551">
        <v>56.18</v>
      </c>
      <c r="G66" s="544">
        <f t="shared" si="0"/>
        <v>46.22</v>
      </c>
      <c r="H66" s="545">
        <f t="shared" si="1"/>
        <v>56.18</v>
      </c>
      <c r="I66" s="544">
        <f t="shared" si="2"/>
        <v>256.89999999999998</v>
      </c>
    </row>
    <row r="67" spans="1:10">
      <c r="A67" s="542" t="s">
        <v>1778</v>
      </c>
      <c r="B67" s="542" t="s">
        <v>1779</v>
      </c>
      <c r="C67" s="542" t="s">
        <v>1434</v>
      </c>
      <c r="D67" s="549">
        <v>1</v>
      </c>
      <c r="E67" s="550">
        <v>822.22</v>
      </c>
      <c r="F67" s="551">
        <v>1580.75</v>
      </c>
      <c r="G67" s="544">
        <f t="shared" si="0"/>
        <v>822.22</v>
      </c>
      <c r="H67" s="545">
        <f t="shared" si="1"/>
        <v>1580.75</v>
      </c>
      <c r="I67" s="544">
        <f t="shared" si="2"/>
        <v>6750.03</v>
      </c>
    </row>
    <row r="68" spans="1:10">
      <c r="A68" s="542" t="s">
        <v>1780</v>
      </c>
      <c r="B68" s="542" t="s">
        <v>1781</v>
      </c>
      <c r="C68" s="542" t="s">
        <v>1434</v>
      </c>
      <c r="D68" s="549">
        <v>4</v>
      </c>
      <c r="E68" s="550">
        <v>37.270000000000003</v>
      </c>
      <c r="F68" s="551">
        <v>1.76</v>
      </c>
      <c r="G68" s="544">
        <f t="shared" si="0"/>
        <v>149.08000000000001</v>
      </c>
      <c r="H68" s="545">
        <f t="shared" si="1"/>
        <v>7.04</v>
      </c>
      <c r="I68" s="544">
        <f t="shared" si="2"/>
        <v>175.48</v>
      </c>
    </row>
    <row r="69" spans="1:10">
      <c r="A69" s="542" t="s">
        <v>1782</v>
      </c>
      <c r="B69" s="542" t="s">
        <v>1783</v>
      </c>
      <c r="C69" s="542" t="s">
        <v>1434</v>
      </c>
      <c r="D69" s="549">
        <v>11</v>
      </c>
      <c r="E69" s="550">
        <v>72.84</v>
      </c>
      <c r="F69" s="551">
        <v>70.13</v>
      </c>
      <c r="G69" s="544">
        <f t="shared" si="0"/>
        <v>801.24</v>
      </c>
      <c r="H69" s="545">
        <f t="shared" si="1"/>
        <v>771.43</v>
      </c>
      <c r="I69" s="544">
        <f t="shared" si="2"/>
        <v>3694.1</v>
      </c>
    </row>
    <row r="70" spans="1:10">
      <c r="A70" s="542" t="s">
        <v>1784</v>
      </c>
      <c r="B70" s="542" t="s">
        <v>1785</v>
      </c>
      <c r="C70" s="542" t="s">
        <v>1434</v>
      </c>
      <c r="D70" s="549">
        <v>4</v>
      </c>
      <c r="E70" s="550">
        <v>46.22</v>
      </c>
      <c r="F70" s="551">
        <v>27.18</v>
      </c>
      <c r="G70" s="544">
        <f t="shared" si="0"/>
        <v>184.88</v>
      </c>
      <c r="H70" s="545">
        <f t="shared" si="1"/>
        <v>108.72</v>
      </c>
      <c r="I70" s="544">
        <f t="shared" si="2"/>
        <v>592.58000000000004</v>
      </c>
    </row>
    <row r="71" spans="1:10">
      <c r="A71" s="542" t="s">
        <v>1786</v>
      </c>
      <c r="B71" s="542" t="s">
        <v>1787</v>
      </c>
      <c r="C71" s="542" t="s">
        <v>1434</v>
      </c>
      <c r="D71" s="549">
        <v>11</v>
      </c>
      <c r="E71" s="550">
        <v>46.22</v>
      </c>
      <c r="F71" s="551">
        <v>42.1</v>
      </c>
      <c r="G71" s="544">
        <f t="shared" si="0"/>
        <v>508.42</v>
      </c>
      <c r="H71" s="545">
        <f t="shared" si="1"/>
        <v>463.1</v>
      </c>
      <c r="I71" s="544">
        <f t="shared" si="2"/>
        <v>2245.0500000000002</v>
      </c>
    </row>
    <row r="72" spans="1:10">
      <c r="A72" s="542" t="s">
        <v>1788</v>
      </c>
      <c r="B72" s="542" t="s">
        <v>1789</v>
      </c>
      <c r="C72" s="542" t="s">
        <v>1434</v>
      </c>
      <c r="D72" s="549">
        <v>16</v>
      </c>
      <c r="E72" s="550">
        <v>46.22</v>
      </c>
      <c r="F72" s="551">
        <v>44.85</v>
      </c>
      <c r="G72" s="544">
        <f t="shared" si="0"/>
        <v>739.52</v>
      </c>
      <c r="H72" s="545">
        <f t="shared" si="1"/>
        <v>717.6</v>
      </c>
      <c r="I72" s="544">
        <f t="shared" si="2"/>
        <v>3430.52</v>
      </c>
    </row>
    <row r="73" spans="1:10">
      <c r="A73" s="542" t="s">
        <v>1790</v>
      </c>
      <c r="B73" s="542" t="s">
        <v>1791</v>
      </c>
      <c r="C73" s="542" t="s">
        <v>1434</v>
      </c>
      <c r="D73" s="549">
        <v>1</v>
      </c>
      <c r="E73" s="550">
        <v>72.84</v>
      </c>
      <c r="F73" s="551">
        <v>20.18</v>
      </c>
      <c r="G73" s="544">
        <f t="shared" si="0"/>
        <v>72.84</v>
      </c>
      <c r="H73" s="545">
        <f t="shared" si="1"/>
        <v>20.18</v>
      </c>
      <c r="I73" s="544">
        <f t="shared" si="2"/>
        <v>148.52000000000001</v>
      </c>
    </row>
    <row r="74" spans="1:10">
      <c r="A74" s="542" t="s">
        <v>1792</v>
      </c>
      <c r="B74" s="542" t="s">
        <v>1793</v>
      </c>
      <c r="C74" s="542" t="s">
        <v>1434</v>
      </c>
      <c r="D74" s="549">
        <v>10</v>
      </c>
      <c r="E74" s="550">
        <v>46.22</v>
      </c>
      <c r="F74" s="551">
        <v>43.75</v>
      </c>
      <c r="G74" s="544">
        <f t="shared" si="0"/>
        <v>462.2</v>
      </c>
      <c r="H74" s="545">
        <f t="shared" si="1"/>
        <v>437.5</v>
      </c>
      <c r="I74" s="544">
        <f t="shared" si="2"/>
        <v>2102.83</v>
      </c>
    </row>
    <row r="75" spans="1:10">
      <c r="A75" s="541" t="s">
        <v>1544</v>
      </c>
      <c r="B75" s="541" t="s">
        <v>1794</v>
      </c>
      <c r="C75" s="537"/>
      <c r="D75" s="537"/>
      <c r="E75" s="547"/>
      <c r="F75" s="551"/>
      <c r="G75" s="544">
        <f t="shared" si="0"/>
        <v>0</v>
      </c>
      <c r="H75" s="545">
        <f t="shared" si="1"/>
        <v>0</v>
      </c>
      <c r="I75" s="544">
        <f t="shared" si="2"/>
        <v>0</v>
      </c>
      <c r="J75" s="456">
        <f>SUM(I77:I122)</f>
        <v>833496.86000000034</v>
      </c>
    </row>
    <row r="76" spans="1:10">
      <c r="A76" s="541" t="s">
        <v>1546</v>
      </c>
      <c r="B76" s="541" t="s">
        <v>1795</v>
      </c>
      <c r="C76" s="537"/>
      <c r="D76" s="537"/>
      <c r="E76" s="547"/>
      <c r="F76" s="551"/>
      <c r="G76" s="544">
        <f t="shared" si="0"/>
        <v>0</v>
      </c>
      <c r="H76" s="545">
        <f t="shared" si="1"/>
        <v>0</v>
      </c>
      <c r="I76" s="544">
        <f t="shared" si="2"/>
        <v>0</v>
      </c>
    </row>
    <row r="77" spans="1:10">
      <c r="A77" s="542" t="s">
        <v>1796</v>
      </c>
      <c r="B77" s="542" t="s">
        <v>1797</v>
      </c>
      <c r="C77" s="542" t="s">
        <v>643</v>
      </c>
      <c r="D77" s="549">
        <v>30.73</v>
      </c>
      <c r="E77" s="550">
        <v>74.069999999999993</v>
      </c>
      <c r="F77" s="551">
        <v>194.36</v>
      </c>
      <c r="G77" s="544">
        <f t="shared" ref="G77:G140" si="3">+ROUND(E77*D77,2)</f>
        <v>2276.17</v>
      </c>
      <c r="H77" s="545">
        <f t="shared" ref="H77:H140" si="4">+ROUND(F77*D77,2)</f>
        <v>5972.68</v>
      </c>
      <c r="I77" s="544">
        <f t="shared" ref="I77:I140" si="5">+ROUND(G77+(H77*$I$3),2)</f>
        <v>24673.72</v>
      </c>
    </row>
    <row r="78" spans="1:10">
      <c r="A78" s="542" t="s">
        <v>1798</v>
      </c>
      <c r="B78" s="542" t="s">
        <v>1799</v>
      </c>
      <c r="C78" s="542" t="s">
        <v>643</v>
      </c>
      <c r="D78" s="549">
        <v>17.88</v>
      </c>
      <c r="E78" s="550">
        <v>51.95</v>
      </c>
      <c r="F78" s="551">
        <v>128.86000000000001</v>
      </c>
      <c r="G78" s="544">
        <f t="shared" si="3"/>
        <v>928.87</v>
      </c>
      <c r="H78" s="545">
        <f t="shared" si="4"/>
        <v>2304.02</v>
      </c>
      <c r="I78" s="544">
        <f t="shared" si="5"/>
        <v>9568.9500000000007</v>
      </c>
    </row>
    <row r="79" spans="1:10">
      <c r="A79" s="542" t="s">
        <v>1800</v>
      </c>
      <c r="B79" s="542" t="s">
        <v>1801</v>
      </c>
      <c r="C79" s="542" t="s">
        <v>643</v>
      </c>
      <c r="D79" s="549">
        <v>60</v>
      </c>
      <c r="E79" s="550">
        <v>74.069999999999993</v>
      </c>
      <c r="F79" s="551">
        <v>207.41</v>
      </c>
      <c r="G79" s="544">
        <f t="shared" si="3"/>
        <v>4444.2</v>
      </c>
      <c r="H79" s="545">
        <f t="shared" si="4"/>
        <v>12444.6</v>
      </c>
      <c r="I79" s="544">
        <f t="shared" si="5"/>
        <v>51111.45</v>
      </c>
    </row>
    <row r="80" spans="1:10">
      <c r="A80" s="542" t="s">
        <v>1802</v>
      </c>
      <c r="B80" s="542" t="s">
        <v>1803</v>
      </c>
      <c r="C80" s="542" t="s">
        <v>643</v>
      </c>
      <c r="D80" s="549">
        <v>51.6</v>
      </c>
      <c r="E80" s="550">
        <v>68.95</v>
      </c>
      <c r="F80" s="551">
        <v>44.11</v>
      </c>
      <c r="G80" s="544">
        <f t="shared" si="3"/>
        <v>3557.82</v>
      </c>
      <c r="H80" s="545">
        <f t="shared" si="4"/>
        <v>2276.08</v>
      </c>
      <c r="I80" s="544">
        <f t="shared" si="5"/>
        <v>12093.12</v>
      </c>
    </row>
    <row r="81" spans="1:9">
      <c r="A81" s="542" t="s">
        <v>1804</v>
      </c>
      <c r="B81" s="542" t="s">
        <v>1805</v>
      </c>
      <c r="C81" s="542" t="s">
        <v>643</v>
      </c>
      <c r="D81" s="549">
        <v>97.6</v>
      </c>
      <c r="E81" s="550">
        <v>68.95</v>
      </c>
      <c r="F81" s="551">
        <v>22.73</v>
      </c>
      <c r="G81" s="544">
        <f t="shared" si="3"/>
        <v>6729.52</v>
      </c>
      <c r="H81" s="545">
        <f t="shared" si="4"/>
        <v>2218.4499999999998</v>
      </c>
      <c r="I81" s="544">
        <f t="shared" si="5"/>
        <v>15048.71</v>
      </c>
    </row>
    <row r="82" spans="1:9">
      <c r="A82" s="542" t="s">
        <v>1806</v>
      </c>
      <c r="B82" s="542" t="s">
        <v>1807</v>
      </c>
      <c r="C82" s="542" t="s">
        <v>643</v>
      </c>
      <c r="D82" s="549">
        <v>105.6</v>
      </c>
      <c r="E82" s="550">
        <v>13.27</v>
      </c>
      <c r="F82" s="551">
        <v>17.25</v>
      </c>
      <c r="G82" s="544">
        <f t="shared" si="3"/>
        <v>1401.31</v>
      </c>
      <c r="H82" s="545">
        <f t="shared" si="4"/>
        <v>1821.6</v>
      </c>
      <c r="I82" s="544">
        <f t="shared" si="5"/>
        <v>8232.31</v>
      </c>
    </row>
    <row r="83" spans="1:9">
      <c r="A83" s="542" t="s">
        <v>1808</v>
      </c>
      <c r="B83" s="542" t="s">
        <v>1809</v>
      </c>
      <c r="C83" s="542" t="s">
        <v>643</v>
      </c>
      <c r="D83" s="549">
        <v>543.4</v>
      </c>
      <c r="E83" s="550">
        <v>13.27</v>
      </c>
      <c r="F83" s="551">
        <v>12.6</v>
      </c>
      <c r="G83" s="544">
        <f t="shared" si="3"/>
        <v>7210.92</v>
      </c>
      <c r="H83" s="545">
        <f t="shared" si="4"/>
        <v>6846.84</v>
      </c>
      <c r="I83" s="544">
        <f t="shared" si="5"/>
        <v>32886.57</v>
      </c>
    </row>
    <row r="84" spans="1:9">
      <c r="A84" s="542" t="s">
        <v>1810</v>
      </c>
      <c r="B84" s="542" t="s">
        <v>1811</v>
      </c>
      <c r="C84" s="542" t="s">
        <v>643</v>
      </c>
      <c r="D84" s="549">
        <v>186.66</v>
      </c>
      <c r="E84" s="550">
        <v>13.27</v>
      </c>
      <c r="F84" s="551">
        <v>6.43</v>
      </c>
      <c r="G84" s="544">
        <f t="shared" si="3"/>
        <v>2476.98</v>
      </c>
      <c r="H84" s="545">
        <f t="shared" si="4"/>
        <v>1200.22</v>
      </c>
      <c r="I84" s="544">
        <f t="shared" si="5"/>
        <v>6977.81</v>
      </c>
    </row>
    <row r="85" spans="1:9">
      <c r="A85" s="542" t="s">
        <v>1812</v>
      </c>
      <c r="B85" s="542" t="s">
        <v>1813</v>
      </c>
      <c r="C85" s="542" t="s">
        <v>643</v>
      </c>
      <c r="D85" s="549">
        <v>86.29</v>
      </c>
      <c r="E85" s="550">
        <v>11.02</v>
      </c>
      <c r="F85" s="551">
        <v>8.76</v>
      </c>
      <c r="G85" s="544">
        <f t="shared" si="3"/>
        <v>950.92</v>
      </c>
      <c r="H85" s="545">
        <f t="shared" si="4"/>
        <v>755.9</v>
      </c>
      <c r="I85" s="544">
        <f t="shared" si="5"/>
        <v>3785.55</v>
      </c>
    </row>
    <row r="86" spans="1:9">
      <c r="A86" s="542" t="s">
        <v>1814</v>
      </c>
      <c r="B86" s="542" t="s">
        <v>1815</v>
      </c>
      <c r="C86" s="542" t="s">
        <v>643</v>
      </c>
      <c r="D86" s="549">
        <v>396.59</v>
      </c>
      <c r="E86" s="550">
        <v>13.27</v>
      </c>
      <c r="F86" s="551">
        <v>4.63</v>
      </c>
      <c r="G86" s="544">
        <f t="shared" si="3"/>
        <v>5262.75</v>
      </c>
      <c r="H86" s="545">
        <f t="shared" si="4"/>
        <v>1836.21</v>
      </c>
      <c r="I86" s="544">
        <f t="shared" si="5"/>
        <v>12148.54</v>
      </c>
    </row>
    <row r="87" spans="1:9">
      <c r="A87" s="542" t="s">
        <v>1816</v>
      </c>
      <c r="B87" s="542" t="s">
        <v>1817</v>
      </c>
      <c r="C87" s="542" t="s">
        <v>643</v>
      </c>
      <c r="D87" s="549">
        <v>903.36</v>
      </c>
      <c r="E87" s="550">
        <v>13.27</v>
      </c>
      <c r="F87" s="551">
        <v>3.61</v>
      </c>
      <c r="G87" s="544">
        <f t="shared" si="3"/>
        <v>11987.59</v>
      </c>
      <c r="H87" s="545">
        <f t="shared" si="4"/>
        <v>3261.13</v>
      </c>
      <c r="I87" s="544">
        <f t="shared" si="5"/>
        <v>24216.83</v>
      </c>
    </row>
    <row r="88" spans="1:9">
      <c r="A88" s="541" t="s">
        <v>1548</v>
      </c>
      <c r="B88" s="541" t="s">
        <v>1818</v>
      </c>
      <c r="C88" s="537"/>
      <c r="D88" s="537"/>
      <c r="E88" s="547"/>
      <c r="F88" s="551"/>
      <c r="G88" s="544">
        <f t="shared" si="3"/>
        <v>0</v>
      </c>
      <c r="H88" s="545">
        <f t="shared" si="4"/>
        <v>0</v>
      </c>
      <c r="I88" s="544">
        <f t="shared" si="5"/>
        <v>0</v>
      </c>
    </row>
    <row r="89" spans="1:9">
      <c r="A89" s="542" t="s">
        <v>1819</v>
      </c>
      <c r="B89" s="542" t="s">
        <v>1820</v>
      </c>
      <c r="C89" s="542" t="s">
        <v>643</v>
      </c>
      <c r="D89" s="549">
        <v>191.4</v>
      </c>
      <c r="E89" s="550">
        <v>8.1999999999999993</v>
      </c>
      <c r="F89" s="551">
        <v>3.21</v>
      </c>
      <c r="G89" s="544">
        <f t="shared" si="3"/>
        <v>1569.48</v>
      </c>
      <c r="H89" s="545">
        <f t="shared" si="4"/>
        <v>614.39</v>
      </c>
      <c r="I89" s="544">
        <f t="shared" si="5"/>
        <v>3873.44</v>
      </c>
    </row>
    <row r="90" spans="1:9">
      <c r="A90" s="542" t="s">
        <v>1821</v>
      </c>
      <c r="B90" s="542" t="s">
        <v>1822</v>
      </c>
      <c r="C90" s="542" t="s">
        <v>643</v>
      </c>
      <c r="D90" s="549">
        <v>5454.34</v>
      </c>
      <c r="E90" s="550">
        <v>8.1999999999999993</v>
      </c>
      <c r="F90" s="551">
        <v>4.7699999999999996</v>
      </c>
      <c r="G90" s="544">
        <f t="shared" si="3"/>
        <v>44725.59</v>
      </c>
      <c r="H90" s="545">
        <f t="shared" si="4"/>
        <v>26017.200000000001</v>
      </c>
      <c r="I90" s="544">
        <f t="shared" si="5"/>
        <v>142290.09</v>
      </c>
    </row>
    <row r="91" spans="1:9">
      <c r="A91" s="542" t="s">
        <v>1823</v>
      </c>
      <c r="B91" s="542" t="s">
        <v>1824</v>
      </c>
      <c r="C91" s="542" t="s">
        <v>643</v>
      </c>
      <c r="D91" s="549">
        <v>4779.22</v>
      </c>
      <c r="E91" s="550">
        <v>8.1999999999999993</v>
      </c>
      <c r="F91" s="551">
        <v>7.33</v>
      </c>
      <c r="G91" s="544">
        <f t="shared" si="3"/>
        <v>39189.599999999999</v>
      </c>
      <c r="H91" s="545">
        <f t="shared" si="4"/>
        <v>35031.68</v>
      </c>
      <c r="I91" s="544">
        <f t="shared" si="5"/>
        <v>170558.4</v>
      </c>
    </row>
    <row r="92" spans="1:9">
      <c r="A92" s="542" t="s">
        <v>1825</v>
      </c>
      <c r="B92" s="542" t="s">
        <v>1826</v>
      </c>
      <c r="C92" s="542" t="s">
        <v>643</v>
      </c>
      <c r="D92" s="549">
        <v>246.38</v>
      </c>
      <c r="E92" s="550">
        <v>10</v>
      </c>
      <c r="F92" s="551">
        <v>9.91</v>
      </c>
      <c r="G92" s="544">
        <f t="shared" si="3"/>
        <v>2463.8000000000002</v>
      </c>
      <c r="H92" s="545">
        <f t="shared" si="4"/>
        <v>2441.63</v>
      </c>
      <c r="I92" s="544">
        <f t="shared" si="5"/>
        <v>11619.91</v>
      </c>
    </row>
    <row r="93" spans="1:9">
      <c r="A93" s="542" t="s">
        <v>1827</v>
      </c>
      <c r="B93" s="542" t="s">
        <v>1828</v>
      </c>
      <c r="C93" s="542" t="s">
        <v>643</v>
      </c>
      <c r="D93" s="549">
        <v>51.47</v>
      </c>
      <c r="E93" s="550">
        <v>10</v>
      </c>
      <c r="F93" s="551">
        <v>4.82</v>
      </c>
      <c r="G93" s="544">
        <f t="shared" si="3"/>
        <v>514.70000000000005</v>
      </c>
      <c r="H93" s="545">
        <f t="shared" si="4"/>
        <v>248.09</v>
      </c>
      <c r="I93" s="544">
        <f t="shared" si="5"/>
        <v>1445.04</v>
      </c>
    </row>
    <row r="94" spans="1:9">
      <c r="A94" s="542" t="s">
        <v>1829</v>
      </c>
      <c r="B94" s="542" t="s">
        <v>1830</v>
      </c>
      <c r="C94" s="542" t="s">
        <v>643</v>
      </c>
      <c r="D94" s="549">
        <v>1318.57</v>
      </c>
      <c r="E94" s="550">
        <v>10</v>
      </c>
      <c r="F94" s="551">
        <v>6.38</v>
      </c>
      <c r="G94" s="544">
        <f t="shared" si="3"/>
        <v>13185.7</v>
      </c>
      <c r="H94" s="545">
        <f t="shared" si="4"/>
        <v>8412.48</v>
      </c>
      <c r="I94" s="544">
        <f t="shared" si="5"/>
        <v>44732.5</v>
      </c>
    </row>
    <row r="95" spans="1:9">
      <c r="A95" s="542" t="s">
        <v>1831</v>
      </c>
      <c r="B95" s="542" t="s">
        <v>1832</v>
      </c>
      <c r="C95" s="542" t="s">
        <v>643</v>
      </c>
      <c r="D95" s="549">
        <v>904.57</v>
      </c>
      <c r="E95" s="550">
        <v>10</v>
      </c>
      <c r="F95" s="551">
        <v>8.94</v>
      </c>
      <c r="G95" s="544">
        <f t="shared" si="3"/>
        <v>9045.7000000000007</v>
      </c>
      <c r="H95" s="545">
        <f t="shared" si="4"/>
        <v>8086.86</v>
      </c>
      <c r="I95" s="544">
        <f t="shared" si="5"/>
        <v>39371.43</v>
      </c>
    </row>
    <row r="96" spans="1:9">
      <c r="A96" s="542" t="s">
        <v>1833</v>
      </c>
      <c r="B96" s="542" t="s">
        <v>1834</v>
      </c>
      <c r="C96" s="542" t="s">
        <v>643</v>
      </c>
      <c r="D96" s="549">
        <v>24.06</v>
      </c>
      <c r="E96" s="550">
        <v>10</v>
      </c>
      <c r="F96" s="551">
        <v>11.52</v>
      </c>
      <c r="G96" s="544">
        <f t="shared" si="3"/>
        <v>240.6</v>
      </c>
      <c r="H96" s="545">
        <f t="shared" si="4"/>
        <v>277.17</v>
      </c>
      <c r="I96" s="544">
        <f t="shared" si="5"/>
        <v>1279.99</v>
      </c>
    </row>
    <row r="97" spans="1:9">
      <c r="A97" s="541" t="s">
        <v>1550</v>
      </c>
      <c r="B97" s="541" t="s">
        <v>1835</v>
      </c>
      <c r="C97" s="537"/>
      <c r="D97" s="537"/>
      <c r="E97" s="547"/>
      <c r="F97" s="551"/>
      <c r="G97" s="544">
        <f t="shared" si="3"/>
        <v>0</v>
      </c>
      <c r="H97" s="545">
        <f t="shared" si="4"/>
        <v>0</v>
      </c>
      <c r="I97" s="544">
        <f t="shared" si="5"/>
        <v>0</v>
      </c>
    </row>
    <row r="98" spans="1:9">
      <c r="A98" s="542" t="s">
        <v>1551</v>
      </c>
      <c r="B98" s="542" t="s">
        <v>1836</v>
      </c>
      <c r="C98" s="542" t="s">
        <v>643</v>
      </c>
      <c r="D98" s="549">
        <v>10</v>
      </c>
      <c r="E98" s="550">
        <v>71.069999999999993</v>
      </c>
      <c r="F98" s="551">
        <v>0</v>
      </c>
      <c r="G98" s="544">
        <f t="shared" si="3"/>
        <v>710.7</v>
      </c>
      <c r="H98" s="545">
        <f t="shared" si="4"/>
        <v>0</v>
      </c>
      <c r="I98" s="544">
        <f t="shared" si="5"/>
        <v>710.7</v>
      </c>
    </row>
    <row r="99" spans="1:9">
      <c r="A99" s="542" t="s">
        <v>1552</v>
      </c>
      <c r="B99" s="542" t="s">
        <v>1837</v>
      </c>
      <c r="C99" s="542" t="s">
        <v>643</v>
      </c>
      <c r="D99" s="549">
        <v>20</v>
      </c>
      <c r="E99" s="550">
        <v>144.44999999999999</v>
      </c>
      <c r="F99" s="551">
        <v>0</v>
      </c>
      <c r="G99" s="544">
        <f t="shared" si="3"/>
        <v>2889</v>
      </c>
      <c r="H99" s="545">
        <f t="shared" si="4"/>
        <v>0</v>
      </c>
      <c r="I99" s="544">
        <f t="shared" si="5"/>
        <v>2889</v>
      </c>
    </row>
    <row r="100" spans="1:9">
      <c r="A100" s="542" t="s">
        <v>1838</v>
      </c>
      <c r="B100" s="542" t="s">
        <v>1839</v>
      </c>
      <c r="C100" s="542" t="s">
        <v>643</v>
      </c>
      <c r="D100" s="549">
        <v>38</v>
      </c>
      <c r="E100" s="550">
        <v>8.9600000000000009</v>
      </c>
      <c r="F100" s="551">
        <v>0.5</v>
      </c>
      <c r="G100" s="544">
        <f t="shared" si="3"/>
        <v>340.48</v>
      </c>
      <c r="H100" s="545">
        <f t="shared" si="4"/>
        <v>19</v>
      </c>
      <c r="I100" s="544">
        <f t="shared" si="5"/>
        <v>411.73</v>
      </c>
    </row>
    <row r="101" spans="1:9">
      <c r="A101" s="542" t="s">
        <v>1840</v>
      </c>
      <c r="B101" s="542" t="s">
        <v>1841</v>
      </c>
      <c r="C101" s="542" t="s">
        <v>643</v>
      </c>
      <c r="D101" s="549">
        <v>1645</v>
      </c>
      <c r="E101" s="550">
        <v>8.64</v>
      </c>
      <c r="F101" s="551">
        <v>0.67</v>
      </c>
      <c r="G101" s="544">
        <f t="shared" si="3"/>
        <v>14212.8</v>
      </c>
      <c r="H101" s="545">
        <f t="shared" si="4"/>
        <v>1102.1500000000001</v>
      </c>
      <c r="I101" s="544">
        <f t="shared" si="5"/>
        <v>18345.86</v>
      </c>
    </row>
    <row r="102" spans="1:9">
      <c r="A102" s="542" t="s">
        <v>1842</v>
      </c>
      <c r="B102" s="542" t="s">
        <v>1843</v>
      </c>
      <c r="C102" s="542" t="s">
        <v>643</v>
      </c>
      <c r="D102" s="549">
        <v>948.55</v>
      </c>
      <c r="E102" s="550">
        <v>10.47</v>
      </c>
      <c r="F102" s="551">
        <v>0.74</v>
      </c>
      <c r="G102" s="544">
        <f t="shared" si="3"/>
        <v>9931.32</v>
      </c>
      <c r="H102" s="545">
        <f t="shared" si="4"/>
        <v>701.93</v>
      </c>
      <c r="I102" s="544">
        <f t="shared" si="5"/>
        <v>12563.56</v>
      </c>
    </row>
    <row r="103" spans="1:9">
      <c r="A103" s="542" t="s">
        <v>1844</v>
      </c>
      <c r="B103" s="542" t="s">
        <v>1845</v>
      </c>
      <c r="C103" s="542" t="s">
        <v>643</v>
      </c>
      <c r="D103" s="549">
        <v>184</v>
      </c>
      <c r="E103" s="550">
        <v>11.6</v>
      </c>
      <c r="F103" s="551">
        <v>1.46</v>
      </c>
      <c r="G103" s="544">
        <f t="shared" si="3"/>
        <v>2134.4</v>
      </c>
      <c r="H103" s="545">
        <f t="shared" si="4"/>
        <v>268.64</v>
      </c>
      <c r="I103" s="544">
        <f t="shared" si="5"/>
        <v>3141.8</v>
      </c>
    </row>
    <row r="104" spans="1:9">
      <c r="A104" s="542" t="s">
        <v>1846</v>
      </c>
      <c r="B104" s="542" t="s">
        <v>1847</v>
      </c>
      <c r="C104" s="542" t="s">
        <v>643</v>
      </c>
      <c r="D104" s="549">
        <v>28</v>
      </c>
      <c r="E104" s="550">
        <v>11.81</v>
      </c>
      <c r="F104" s="551">
        <v>3.15</v>
      </c>
      <c r="G104" s="544">
        <f t="shared" si="3"/>
        <v>330.68</v>
      </c>
      <c r="H104" s="545">
        <f t="shared" si="4"/>
        <v>88.2</v>
      </c>
      <c r="I104" s="544">
        <f t="shared" si="5"/>
        <v>661.43</v>
      </c>
    </row>
    <row r="105" spans="1:9">
      <c r="A105" s="542" t="s">
        <v>1848</v>
      </c>
      <c r="B105" s="542" t="s">
        <v>1849</v>
      </c>
      <c r="C105" s="542" t="s">
        <v>643</v>
      </c>
      <c r="D105" s="549">
        <v>20</v>
      </c>
      <c r="E105" s="550">
        <v>16.41</v>
      </c>
      <c r="F105" s="551">
        <v>7.24</v>
      </c>
      <c r="G105" s="544">
        <f t="shared" si="3"/>
        <v>328.2</v>
      </c>
      <c r="H105" s="545">
        <f t="shared" si="4"/>
        <v>144.80000000000001</v>
      </c>
      <c r="I105" s="544">
        <f t="shared" si="5"/>
        <v>871.2</v>
      </c>
    </row>
    <row r="106" spans="1:9">
      <c r="A106" s="542" t="s">
        <v>1850</v>
      </c>
      <c r="B106" s="542" t="s">
        <v>1851</v>
      </c>
      <c r="C106" s="542" t="s">
        <v>643</v>
      </c>
      <c r="D106" s="549">
        <v>378</v>
      </c>
      <c r="E106" s="550">
        <v>20.39</v>
      </c>
      <c r="F106" s="551">
        <v>7.04</v>
      </c>
      <c r="G106" s="544">
        <f t="shared" si="3"/>
        <v>7707.42</v>
      </c>
      <c r="H106" s="545">
        <f t="shared" si="4"/>
        <v>2661.12</v>
      </c>
      <c r="I106" s="544">
        <f t="shared" si="5"/>
        <v>17686.62</v>
      </c>
    </row>
    <row r="107" spans="1:9">
      <c r="A107" s="541" t="s">
        <v>1553</v>
      </c>
      <c r="B107" s="541" t="s">
        <v>1852</v>
      </c>
      <c r="C107" s="537"/>
      <c r="D107" s="537"/>
      <c r="E107" s="547"/>
      <c r="F107" s="551"/>
      <c r="G107" s="544">
        <f t="shared" si="3"/>
        <v>0</v>
      </c>
      <c r="H107" s="545">
        <f t="shared" si="4"/>
        <v>0</v>
      </c>
      <c r="I107" s="544">
        <f t="shared" si="5"/>
        <v>0</v>
      </c>
    </row>
    <row r="108" spans="1:9">
      <c r="A108" s="542" t="s">
        <v>1554</v>
      </c>
      <c r="B108" s="542" t="s">
        <v>1853</v>
      </c>
      <c r="C108" s="542" t="s">
        <v>36</v>
      </c>
      <c r="D108" s="549">
        <v>66</v>
      </c>
      <c r="E108" s="550">
        <v>21.15</v>
      </c>
      <c r="F108" s="551">
        <v>0</v>
      </c>
      <c r="G108" s="544">
        <f t="shared" si="3"/>
        <v>1395.9</v>
      </c>
      <c r="H108" s="545">
        <f t="shared" si="4"/>
        <v>0</v>
      </c>
      <c r="I108" s="544">
        <f t="shared" si="5"/>
        <v>1395.9</v>
      </c>
    </row>
    <row r="109" spans="1:9">
      <c r="A109" s="542" t="s">
        <v>1854</v>
      </c>
      <c r="B109" s="542" t="s">
        <v>1855</v>
      </c>
      <c r="C109" s="542" t="s">
        <v>36</v>
      </c>
      <c r="D109" s="549">
        <v>62</v>
      </c>
      <c r="E109" s="550">
        <v>35.479999999999997</v>
      </c>
      <c r="F109" s="551">
        <v>0</v>
      </c>
      <c r="G109" s="544">
        <f t="shared" si="3"/>
        <v>2199.7600000000002</v>
      </c>
      <c r="H109" s="545">
        <f t="shared" si="4"/>
        <v>0</v>
      </c>
      <c r="I109" s="544">
        <f t="shared" si="5"/>
        <v>2199.7600000000002</v>
      </c>
    </row>
    <row r="110" spans="1:9">
      <c r="A110" s="542" t="s">
        <v>1856</v>
      </c>
      <c r="B110" s="542" t="s">
        <v>1857</v>
      </c>
      <c r="C110" s="542" t="s">
        <v>36</v>
      </c>
      <c r="D110" s="549">
        <v>276</v>
      </c>
      <c r="E110" s="550">
        <v>48.56</v>
      </c>
      <c r="F110" s="551">
        <v>0</v>
      </c>
      <c r="G110" s="544">
        <f t="shared" si="3"/>
        <v>13402.56</v>
      </c>
      <c r="H110" s="545">
        <f t="shared" si="4"/>
        <v>0</v>
      </c>
      <c r="I110" s="544">
        <f t="shared" si="5"/>
        <v>13402.56</v>
      </c>
    </row>
    <row r="111" spans="1:9">
      <c r="A111" s="542" t="s">
        <v>1858</v>
      </c>
      <c r="B111" s="542" t="s">
        <v>1859</v>
      </c>
      <c r="C111" s="542" t="s">
        <v>36</v>
      </c>
      <c r="D111" s="549">
        <v>40</v>
      </c>
      <c r="E111" s="550">
        <v>116.06</v>
      </c>
      <c r="F111" s="551">
        <v>0</v>
      </c>
      <c r="G111" s="544">
        <f t="shared" si="3"/>
        <v>4642.3999999999996</v>
      </c>
      <c r="H111" s="545">
        <f t="shared" si="4"/>
        <v>0</v>
      </c>
      <c r="I111" s="544">
        <f t="shared" si="5"/>
        <v>4642.3999999999996</v>
      </c>
    </row>
    <row r="112" spans="1:9">
      <c r="A112" s="542" t="s">
        <v>1860</v>
      </c>
      <c r="B112" s="542" t="s">
        <v>1861</v>
      </c>
      <c r="C112" s="542" t="s">
        <v>36</v>
      </c>
      <c r="D112" s="549">
        <v>27</v>
      </c>
      <c r="E112" s="550">
        <v>196.33</v>
      </c>
      <c r="F112" s="551">
        <v>0</v>
      </c>
      <c r="G112" s="544">
        <f t="shared" si="3"/>
        <v>5300.91</v>
      </c>
      <c r="H112" s="545">
        <f t="shared" si="4"/>
        <v>0</v>
      </c>
      <c r="I112" s="544">
        <f t="shared" si="5"/>
        <v>5300.91</v>
      </c>
    </row>
    <row r="113" spans="1:9">
      <c r="A113" s="542" t="s">
        <v>1862</v>
      </c>
      <c r="B113" s="542" t="s">
        <v>1863</v>
      </c>
      <c r="C113" s="542" t="s">
        <v>36</v>
      </c>
      <c r="D113" s="549">
        <v>25</v>
      </c>
      <c r="E113" s="550">
        <v>264.95</v>
      </c>
      <c r="F113" s="551">
        <v>0</v>
      </c>
      <c r="G113" s="544">
        <f t="shared" si="3"/>
        <v>6623.75</v>
      </c>
      <c r="H113" s="545">
        <f t="shared" si="4"/>
        <v>0</v>
      </c>
      <c r="I113" s="544">
        <f t="shared" si="5"/>
        <v>6623.75</v>
      </c>
    </row>
    <row r="114" spans="1:9">
      <c r="A114" s="542" t="s">
        <v>1864</v>
      </c>
      <c r="B114" s="542" t="s">
        <v>1865</v>
      </c>
      <c r="C114" s="542" t="s">
        <v>36</v>
      </c>
      <c r="D114" s="549">
        <v>5</v>
      </c>
      <c r="E114" s="550">
        <v>429.35</v>
      </c>
      <c r="F114" s="551">
        <v>0</v>
      </c>
      <c r="G114" s="544">
        <f t="shared" si="3"/>
        <v>2146.75</v>
      </c>
      <c r="H114" s="545">
        <f t="shared" si="4"/>
        <v>0</v>
      </c>
      <c r="I114" s="544">
        <f t="shared" si="5"/>
        <v>2146.75</v>
      </c>
    </row>
    <row r="115" spans="1:9">
      <c r="A115" s="542" t="s">
        <v>1866</v>
      </c>
      <c r="B115" s="542" t="s">
        <v>1867</v>
      </c>
      <c r="C115" s="542" t="s">
        <v>36</v>
      </c>
      <c r="D115" s="549">
        <v>12</v>
      </c>
      <c r="E115" s="550">
        <v>911.48</v>
      </c>
      <c r="F115" s="551">
        <v>0</v>
      </c>
      <c r="G115" s="544">
        <f t="shared" si="3"/>
        <v>10937.76</v>
      </c>
      <c r="H115" s="545">
        <f t="shared" si="4"/>
        <v>0</v>
      </c>
      <c r="I115" s="544">
        <f t="shared" si="5"/>
        <v>10937.76</v>
      </c>
    </row>
    <row r="116" spans="1:9">
      <c r="A116" s="536" t="s">
        <v>1868</v>
      </c>
      <c r="B116" s="536" t="s">
        <v>1869</v>
      </c>
      <c r="C116" s="537"/>
      <c r="D116" s="537"/>
      <c r="E116" s="547"/>
      <c r="F116" s="551"/>
      <c r="G116" s="544">
        <f t="shared" si="3"/>
        <v>0</v>
      </c>
      <c r="H116" s="545">
        <f t="shared" si="4"/>
        <v>0</v>
      </c>
      <c r="I116" s="544">
        <f t="shared" si="5"/>
        <v>0</v>
      </c>
    </row>
    <row r="117" spans="1:9">
      <c r="A117" s="542" t="s">
        <v>1870</v>
      </c>
      <c r="B117" s="542" t="s">
        <v>1871</v>
      </c>
      <c r="C117" s="542" t="s">
        <v>643</v>
      </c>
      <c r="D117" s="549">
        <v>224.95</v>
      </c>
      <c r="E117" s="550">
        <v>74.12</v>
      </c>
      <c r="F117" s="551">
        <v>19.13</v>
      </c>
      <c r="G117" s="544">
        <f t="shared" si="3"/>
        <v>16673.29</v>
      </c>
      <c r="H117" s="545">
        <f t="shared" si="4"/>
        <v>4303.29</v>
      </c>
      <c r="I117" s="544">
        <f t="shared" si="5"/>
        <v>32810.629999999997</v>
      </c>
    </row>
    <row r="118" spans="1:9">
      <c r="A118" s="542" t="s">
        <v>1571</v>
      </c>
      <c r="B118" s="542" t="s">
        <v>1872</v>
      </c>
      <c r="C118" s="542" t="s">
        <v>643</v>
      </c>
      <c r="D118" s="549">
        <v>79</v>
      </c>
      <c r="E118" s="550">
        <v>85.85</v>
      </c>
      <c r="F118" s="551">
        <v>25.93</v>
      </c>
      <c r="G118" s="544">
        <f t="shared" si="3"/>
        <v>6782.15</v>
      </c>
      <c r="H118" s="545">
        <f t="shared" si="4"/>
        <v>2048.4699999999998</v>
      </c>
      <c r="I118" s="544">
        <f t="shared" si="5"/>
        <v>14463.91</v>
      </c>
    </row>
    <row r="119" spans="1:9">
      <c r="A119" s="542" t="s">
        <v>1583</v>
      </c>
      <c r="B119" s="542" t="s">
        <v>1873</v>
      </c>
      <c r="C119" s="542" t="s">
        <v>643</v>
      </c>
      <c r="D119" s="549">
        <v>225.44</v>
      </c>
      <c r="E119" s="550">
        <v>85.85</v>
      </c>
      <c r="F119" s="551">
        <v>27.43</v>
      </c>
      <c r="G119" s="544">
        <f t="shared" si="3"/>
        <v>19354.02</v>
      </c>
      <c r="H119" s="545">
        <f t="shared" si="4"/>
        <v>6183.82</v>
      </c>
      <c r="I119" s="544">
        <f t="shared" si="5"/>
        <v>42543.35</v>
      </c>
    </row>
    <row r="120" spans="1:9">
      <c r="A120" s="542" t="s">
        <v>1601</v>
      </c>
      <c r="B120" s="542" t="s">
        <v>1874</v>
      </c>
      <c r="C120" s="542" t="s">
        <v>643</v>
      </c>
      <c r="D120" s="549">
        <v>30.15</v>
      </c>
      <c r="E120" s="550">
        <v>91.99</v>
      </c>
      <c r="F120" s="552">
        <v>46.71</v>
      </c>
      <c r="G120" s="544">
        <f t="shared" si="3"/>
        <v>2773.5</v>
      </c>
      <c r="H120" s="545">
        <f t="shared" si="4"/>
        <v>1408.31</v>
      </c>
      <c r="I120" s="544">
        <f t="shared" si="5"/>
        <v>8054.66</v>
      </c>
    </row>
    <row r="121" spans="1:9">
      <c r="A121" s="542" t="s">
        <v>1625</v>
      </c>
      <c r="B121" s="542" t="s">
        <v>1875</v>
      </c>
      <c r="C121" s="542" t="s">
        <v>643</v>
      </c>
      <c r="D121" s="549">
        <v>560</v>
      </c>
      <c r="E121" s="550">
        <v>11.27</v>
      </c>
      <c r="F121" s="551">
        <v>3.66</v>
      </c>
      <c r="G121" s="544">
        <f t="shared" si="3"/>
        <v>6311.2</v>
      </c>
      <c r="H121" s="545">
        <f t="shared" si="4"/>
        <v>2049.6</v>
      </c>
      <c r="I121" s="544">
        <f t="shared" si="5"/>
        <v>13997.2</v>
      </c>
    </row>
    <row r="122" spans="1:9">
      <c r="A122" s="542" t="s">
        <v>1645</v>
      </c>
      <c r="B122" s="542" t="s">
        <v>1876</v>
      </c>
      <c r="C122" s="542" t="s">
        <v>36</v>
      </c>
      <c r="D122" s="549">
        <v>38</v>
      </c>
      <c r="E122" s="550">
        <v>46.87</v>
      </c>
      <c r="F122" s="551">
        <v>0</v>
      </c>
      <c r="G122" s="544">
        <f t="shared" si="3"/>
        <v>1781.06</v>
      </c>
      <c r="H122" s="545">
        <f t="shared" si="4"/>
        <v>0</v>
      </c>
      <c r="I122" s="544">
        <f t="shared" si="5"/>
        <v>1781.06</v>
      </c>
    </row>
    <row r="123" spans="1:9">
      <c r="A123" s="536" t="s">
        <v>1877</v>
      </c>
      <c r="B123" s="536" t="s">
        <v>1878</v>
      </c>
      <c r="C123" s="537"/>
      <c r="D123" s="537"/>
      <c r="E123" s="547"/>
      <c r="F123" s="551"/>
      <c r="G123" s="544">
        <f t="shared" si="3"/>
        <v>0</v>
      </c>
      <c r="H123" s="545">
        <f t="shared" si="4"/>
        <v>0</v>
      </c>
      <c r="I123" s="544">
        <f t="shared" si="5"/>
        <v>0</v>
      </c>
    </row>
    <row r="124" spans="1:9">
      <c r="A124" s="542" t="s">
        <v>1879</v>
      </c>
      <c r="B124" s="542" t="s">
        <v>1880</v>
      </c>
      <c r="C124" s="542" t="s">
        <v>36</v>
      </c>
      <c r="D124" s="549">
        <v>675</v>
      </c>
      <c r="E124" s="550">
        <v>15.69</v>
      </c>
      <c r="F124" s="551">
        <v>0</v>
      </c>
      <c r="G124" s="544">
        <f t="shared" si="3"/>
        <v>10590.75</v>
      </c>
      <c r="H124" s="545">
        <f t="shared" si="4"/>
        <v>0</v>
      </c>
      <c r="I124" s="544">
        <f t="shared" si="5"/>
        <v>10590.75</v>
      </c>
    </row>
    <row r="125" spans="1:9">
      <c r="A125" s="542" t="s">
        <v>1881</v>
      </c>
      <c r="B125" s="542" t="s">
        <v>1882</v>
      </c>
      <c r="C125" s="542" t="s">
        <v>36</v>
      </c>
      <c r="D125" s="549">
        <v>472</v>
      </c>
      <c r="E125" s="550">
        <v>19.43</v>
      </c>
      <c r="F125" s="551">
        <v>0</v>
      </c>
      <c r="G125" s="544">
        <f t="shared" si="3"/>
        <v>9170.9599999999991</v>
      </c>
      <c r="H125" s="545">
        <f t="shared" si="4"/>
        <v>0</v>
      </c>
      <c r="I125" s="544">
        <f t="shared" si="5"/>
        <v>9170.9599999999991</v>
      </c>
    </row>
    <row r="126" spans="1:9">
      <c r="A126" s="542" t="s">
        <v>1883</v>
      </c>
      <c r="B126" s="542" t="s">
        <v>1884</v>
      </c>
      <c r="C126" s="542" t="s">
        <v>36</v>
      </c>
      <c r="D126" s="549">
        <v>15</v>
      </c>
      <c r="E126" s="550">
        <v>23.56</v>
      </c>
      <c r="F126" s="551">
        <v>0</v>
      </c>
      <c r="G126" s="544">
        <f t="shared" si="3"/>
        <v>353.4</v>
      </c>
      <c r="H126" s="545">
        <f t="shared" si="4"/>
        <v>0</v>
      </c>
      <c r="I126" s="544">
        <f t="shared" si="5"/>
        <v>353.4</v>
      </c>
    </row>
    <row r="127" spans="1:9">
      <c r="A127" s="542" t="s">
        <v>1885</v>
      </c>
      <c r="B127" s="542" t="s">
        <v>1886</v>
      </c>
      <c r="C127" s="542" t="s">
        <v>36</v>
      </c>
      <c r="D127" s="549">
        <v>361</v>
      </c>
      <c r="E127" s="550">
        <v>17.079999999999998</v>
      </c>
      <c r="F127" s="551">
        <v>0</v>
      </c>
      <c r="G127" s="544">
        <f t="shared" si="3"/>
        <v>6165.88</v>
      </c>
      <c r="H127" s="545">
        <f t="shared" si="4"/>
        <v>0</v>
      </c>
      <c r="I127" s="544">
        <f t="shared" si="5"/>
        <v>6165.88</v>
      </c>
    </row>
    <row r="128" spans="1:9">
      <c r="A128" s="542" t="s">
        <v>1887</v>
      </c>
      <c r="B128" s="542" t="s">
        <v>1888</v>
      </c>
      <c r="C128" s="542" t="s">
        <v>36</v>
      </c>
      <c r="D128" s="549">
        <v>2592</v>
      </c>
      <c r="E128" s="550">
        <v>23.91</v>
      </c>
      <c r="F128" s="551">
        <v>0</v>
      </c>
      <c r="G128" s="544">
        <f t="shared" si="3"/>
        <v>61974.720000000001</v>
      </c>
      <c r="H128" s="545">
        <f t="shared" si="4"/>
        <v>0</v>
      </c>
      <c r="I128" s="544">
        <f t="shared" si="5"/>
        <v>61974.720000000001</v>
      </c>
    </row>
    <row r="129" spans="1:10">
      <c r="A129" s="542" t="s">
        <v>1889</v>
      </c>
      <c r="B129" s="542" t="s">
        <v>1890</v>
      </c>
      <c r="C129" s="542" t="s">
        <v>36</v>
      </c>
      <c r="D129" s="549">
        <v>8</v>
      </c>
      <c r="E129" s="550">
        <v>51.06</v>
      </c>
      <c r="F129" s="551">
        <v>0</v>
      </c>
      <c r="G129" s="544">
        <f t="shared" si="3"/>
        <v>408.48</v>
      </c>
      <c r="H129" s="545">
        <f t="shared" si="4"/>
        <v>0</v>
      </c>
      <c r="I129" s="544">
        <f t="shared" si="5"/>
        <v>408.48</v>
      </c>
    </row>
    <row r="130" spans="1:10">
      <c r="A130" s="542" t="s">
        <v>1891</v>
      </c>
      <c r="B130" s="542" t="s">
        <v>1892</v>
      </c>
      <c r="C130" s="542" t="s">
        <v>36</v>
      </c>
      <c r="D130" s="549">
        <v>174</v>
      </c>
      <c r="E130" s="550">
        <v>23.78</v>
      </c>
      <c r="F130" s="551">
        <v>0</v>
      </c>
      <c r="G130" s="544">
        <f t="shared" si="3"/>
        <v>4137.72</v>
      </c>
      <c r="H130" s="545">
        <f t="shared" si="4"/>
        <v>0</v>
      </c>
      <c r="I130" s="544">
        <f t="shared" si="5"/>
        <v>4137.72</v>
      </c>
    </row>
    <row r="131" spans="1:10">
      <c r="A131" s="542" t="s">
        <v>1893</v>
      </c>
      <c r="B131" s="542" t="s">
        <v>1894</v>
      </c>
      <c r="C131" s="542" t="s">
        <v>36</v>
      </c>
      <c r="D131" s="549">
        <v>50</v>
      </c>
      <c r="E131" s="550">
        <v>30.25</v>
      </c>
      <c r="F131" s="551">
        <v>0</v>
      </c>
      <c r="G131" s="544">
        <f t="shared" si="3"/>
        <v>1512.5</v>
      </c>
      <c r="H131" s="545">
        <f t="shared" si="4"/>
        <v>0</v>
      </c>
      <c r="I131" s="544">
        <f t="shared" si="5"/>
        <v>1512.5</v>
      </c>
    </row>
    <row r="132" spans="1:10">
      <c r="A132" s="542" t="s">
        <v>1895</v>
      </c>
      <c r="B132" s="542" t="s">
        <v>1896</v>
      </c>
      <c r="C132" s="542" t="s">
        <v>36</v>
      </c>
      <c r="D132" s="549">
        <v>174</v>
      </c>
      <c r="E132" s="550">
        <v>46.63</v>
      </c>
      <c r="F132" s="551">
        <v>0</v>
      </c>
      <c r="G132" s="544">
        <f t="shared" si="3"/>
        <v>8113.62</v>
      </c>
      <c r="H132" s="545">
        <f t="shared" si="4"/>
        <v>0</v>
      </c>
      <c r="I132" s="544">
        <f t="shared" si="5"/>
        <v>8113.62</v>
      </c>
    </row>
    <row r="133" spans="1:10">
      <c r="A133" s="542" t="s">
        <v>1897</v>
      </c>
      <c r="B133" s="542" t="s">
        <v>1898</v>
      </c>
      <c r="C133" s="542" t="s">
        <v>36</v>
      </c>
      <c r="D133" s="549">
        <v>174</v>
      </c>
      <c r="E133" s="550">
        <v>17.47</v>
      </c>
      <c r="F133" s="551">
        <v>0</v>
      </c>
      <c r="G133" s="544">
        <f t="shared" si="3"/>
        <v>3039.78</v>
      </c>
      <c r="H133" s="545">
        <f t="shared" si="4"/>
        <v>0</v>
      </c>
      <c r="I133" s="544">
        <f t="shared" si="5"/>
        <v>3039.78</v>
      </c>
    </row>
    <row r="134" spans="1:10">
      <c r="A134" s="542" t="s">
        <v>1899</v>
      </c>
      <c r="B134" s="542" t="s">
        <v>1900</v>
      </c>
      <c r="C134" s="542" t="s">
        <v>36</v>
      </c>
      <c r="D134" s="549">
        <v>174</v>
      </c>
      <c r="E134" s="550">
        <v>14.08</v>
      </c>
      <c r="F134" s="551">
        <v>0</v>
      </c>
      <c r="G134" s="544">
        <f t="shared" si="3"/>
        <v>2449.92</v>
      </c>
      <c r="H134" s="545">
        <f t="shared" si="4"/>
        <v>0</v>
      </c>
      <c r="I134" s="544">
        <f t="shared" si="5"/>
        <v>2449.92</v>
      </c>
    </row>
    <row r="135" spans="1:10">
      <c r="A135" s="542" t="s">
        <v>1901</v>
      </c>
      <c r="B135" s="542" t="s">
        <v>1902</v>
      </c>
      <c r="C135" s="542" t="s">
        <v>36</v>
      </c>
      <c r="D135" s="549">
        <v>1388</v>
      </c>
      <c r="E135" s="550">
        <v>22.63</v>
      </c>
      <c r="F135" s="551">
        <v>0</v>
      </c>
      <c r="G135" s="544">
        <f t="shared" si="3"/>
        <v>31410.44</v>
      </c>
      <c r="H135" s="545">
        <f t="shared" si="4"/>
        <v>0</v>
      </c>
      <c r="I135" s="544">
        <f t="shared" si="5"/>
        <v>31410.44</v>
      </c>
    </row>
    <row r="136" spans="1:10">
      <c r="A136" s="536" t="s">
        <v>1903</v>
      </c>
      <c r="B136" s="536" t="s">
        <v>1904</v>
      </c>
      <c r="C136" s="537"/>
      <c r="D136" s="537"/>
      <c r="E136" s="547"/>
      <c r="F136" s="551"/>
      <c r="G136" s="544">
        <f t="shared" si="3"/>
        <v>0</v>
      </c>
      <c r="H136" s="545">
        <f t="shared" si="4"/>
        <v>0</v>
      </c>
      <c r="I136" s="544">
        <f t="shared" si="5"/>
        <v>0</v>
      </c>
      <c r="J136" s="456">
        <f>SUM(I138:I158)</f>
        <v>119826.56999999999</v>
      </c>
    </row>
    <row r="137" spans="1:10">
      <c r="A137" s="541" t="s">
        <v>1905</v>
      </c>
      <c r="B137" s="541" t="s">
        <v>1906</v>
      </c>
      <c r="C137" s="537"/>
      <c r="D137" s="537"/>
      <c r="E137" s="547"/>
      <c r="F137" s="551"/>
      <c r="G137" s="544">
        <f t="shared" si="3"/>
        <v>0</v>
      </c>
      <c r="H137" s="545">
        <f t="shared" si="4"/>
        <v>0</v>
      </c>
      <c r="I137" s="544">
        <f t="shared" si="5"/>
        <v>0</v>
      </c>
    </row>
    <row r="138" spans="1:10">
      <c r="A138" s="542" t="s">
        <v>1907</v>
      </c>
      <c r="B138" s="542" t="s">
        <v>1908</v>
      </c>
      <c r="C138" s="542" t="s">
        <v>36</v>
      </c>
      <c r="D138" s="549">
        <v>9</v>
      </c>
      <c r="E138" s="550">
        <v>2613.7800000000002</v>
      </c>
      <c r="F138" s="551">
        <v>0</v>
      </c>
      <c r="G138" s="544">
        <f t="shared" si="3"/>
        <v>23524.02</v>
      </c>
      <c r="H138" s="545">
        <f t="shared" si="4"/>
        <v>0</v>
      </c>
      <c r="I138" s="544">
        <f t="shared" si="5"/>
        <v>23524.02</v>
      </c>
    </row>
    <row r="139" spans="1:10">
      <c r="A139" s="542" t="s">
        <v>1909</v>
      </c>
      <c r="B139" s="542" t="s">
        <v>1910</v>
      </c>
      <c r="C139" s="542" t="s">
        <v>36</v>
      </c>
      <c r="D139" s="549">
        <v>5</v>
      </c>
      <c r="E139" s="550">
        <v>86.52</v>
      </c>
      <c r="F139" s="551">
        <v>0</v>
      </c>
      <c r="G139" s="544">
        <f t="shared" si="3"/>
        <v>432.6</v>
      </c>
      <c r="H139" s="545">
        <f t="shared" si="4"/>
        <v>0</v>
      </c>
      <c r="I139" s="544">
        <f t="shared" si="5"/>
        <v>432.6</v>
      </c>
    </row>
    <row r="140" spans="1:10">
      <c r="A140" s="542" t="s">
        <v>1911</v>
      </c>
      <c r="B140" s="542" t="s">
        <v>1912</v>
      </c>
      <c r="C140" s="542" t="s">
        <v>36</v>
      </c>
      <c r="D140" s="549">
        <v>50</v>
      </c>
      <c r="E140" s="550">
        <v>702.39</v>
      </c>
      <c r="F140" s="551">
        <v>0</v>
      </c>
      <c r="G140" s="544">
        <f t="shared" si="3"/>
        <v>35119.5</v>
      </c>
      <c r="H140" s="545">
        <f t="shared" si="4"/>
        <v>0</v>
      </c>
      <c r="I140" s="544">
        <f t="shared" si="5"/>
        <v>35119.5</v>
      </c>
    </row>
    <row r="141" spans="1:10">
      <c r="A141" s="542" t="s">
        <v>1913</v>
      </c>
      <c r="B141" s="542" t="s">
        <v>1914</v>
      </c>
      <c r="C141" s="542" t="s">
        <v>643</v>
      </c>
      <c r="D141" s="549">
        <v>95.49</v>
      </c>
      <c r="E141" s="550">
        <v>1.69</v>
      </c>
      <c r="F141" s="551">
        <v>0</v>
      </c>
      <c r="G141" s="544">
        <f t="shared" ref="G141:G189" si="6">+ROUND(E141*D141,2)</f>
        <v>161.38</v>
      </c>
      <c r="H141" s="545">
        <f t="shared" ref="H141:H189" si="7">+ROUND(F141*D141,2)</f>
        <v>0</v>
      </c>
      <c r="I141" s="544">
        <f t="shared" ref="I141:I189" si="8">+ROUND(G141+(H141*$I$3),2)</f>
        <v>161.38</v>
      </c>
    </row>
    <row r="142" spans="1:10">
      <c r="A142" s="542" t="s">
        <v>1915</v>
      </c>
      <c r="B142" s="542" t="s">
        <v>1916</v>
      </c>
      <c r="C142" s="542" t="s">
        <v>163</v>
      </c>
      <c r="D142" s="549">
        <v>28.88</v>
      </c>
      <c r="E142" s="550">
        <v>51.88</v>
      </c>
      <c r="F142" s="551">
        <v>0</v>
      </c>
      <c r="G142" s="544">
        <f t="shared" si="6"/>
        <v>1498.29</v>
      </c>
      <c r="H142" s="545">
        <f t="shared" si="7"/>
        <v>0</v>
      </c>
      <c r="I142" s="544">
        <f t="shared" si="8"/>
        <v>1498.29</v>
      </c>
    </row>
    <row r="143" spans="1:10">
      <c r="A143" s="542" t="s">
        <v>1917</v>
      </c>
      <c r="B143" s="542" t="s">
        <v>1918</v>
      </c>
      <c r="C143" s="542" t="s">
        <v>163</v>
      </c>
      <c r="D143" s="549">
        <v>20.86</v>
      </c>
      <c r="E143" s="550">
        <v>257.38</v>
      </c>
      <c r="F143" s="551">
        <v>0</v>
      </c>
      <c r="G143" s="544">
        <f t="shared" si="6"/>
        <v>5368.95</v>
      </c>
      <c r="H143" s="545">
        <f t="shared" si="7"/>
        <v>0</v>
      </c>
      <c r="I143" s="544">
        <f t="shared" si="8"/>
        <v>5368.95</v>
      </c>
    </row>
    <row r="144" spans="1:10">
      <c r="A144" s="542" t="s">
        <v>1919</v>
      </c>
      <c r="B144" s="542" t="s">
        <v>1600</v>
      </c>
      <c r="C144" s="542" t="s">
        <v>163</v>
      </c>
      <c r="D144" s="549">
        <v>16.68</v>
      </c>
      <c r="E144" s="550">
        <v>36.46</v>
      </c>
      <c r="F144" s="551">
        <v>0</v>
      </c>
      <c r="G144" s="544">
        <f t="shared" si="6"/>
        <v>608.15</v>
      </c>
      <c r="H144" s="545">
        <f t="shared" si="7"/>
        <v>0</v>
      </c>
      <c r="I144" s="544">
        <f t="shared" si="8"/>
        <v>608.15</v>
      </c>
    </row>
    <row r="145" spans="1:10">
      <c r="A145" s="541" t="s">
        <v>1920</v>
      </c>
      <c r="B145" s="541" t="s">
        <v>1921</v>
      </c>
      <c r="C145" s="537"/>
      <c r="D145" s="537"/>
      <c r="E145" s="547"/>
      <c r="F145" s="551"/>
      <c r="G145" s="544">
        <f t="shared" si="6"/>
        <v>0</v>
      </c>
      <c r="H145" s="545">
        <f t="shared" si="7"/>
        <v>0</v>
      </c>
      <c r="I145" s="544">
        <f t="shared" si="8"/>
        <v>0</v>
      </c>
    </row>
    <row r="146" spans="1:10">
      <c r="A146" s="542" t="s">
        <v>1922</v>
      </c>
      <c r="B146" s="542" t="s">
        <v>1923</v>
      </c>
      <c r="C146" s="542" t="s">
        <v>643</v>
      </c>
      <c r="D146" s="549">
        <v>95.49</v>
      </c>
      <c r="E146" s="550">
        <v>7.94</v>
      </c>
      <c r="F146" s="551">
        <v>6.56</v>
      </c>
      <c r="G146" s="544">
        <f t="shared" si="6"/>
        <v>758.19</v>
      </c>
      <c r="H146" s="545">
        <f t="shared" si="7"/>
        <v>626.41</v>
      </c>
      <c r="I146" s="544">
        <f t="shared" si="8"/>
        <v>3107.23</v>
      </c>
    </row>
    <row r="147" spans="1:10">
      <c r="A147" s="542" t="s">
        <v>1924</v>
      </c>
      <c r="B147" s="542" t="s">
        <v>1925</v>
      </c>
      <c r="C147" s="542" t="s">
        <v>643</v>
      </c>
      <c r="D147" s="549">
        <v>81</v>
      </c>
      <c r="E147" s="550">
        <v>10.17</v>
      </c>
      <c r="F147" s="551">
        <v>1.46</v>
      </c>
      <c r="G147" s="544">
        <f t="shared" si="6"/>
        <v>823.77</v>
      </c>
      <c r="H147" s="545">
        <f t="shared" si="7"/>
        <v>118.26</v>
      </c>
      <c r="I147" s="544">
        <f t="shared" si="8"/>
        <v>1267.25</v>
      </c>
    </row>
    <row r="148" spans="1:10">
      <c r="A148" s="542" t="s">
        <v>1926</v>
      </c>
      <c r="B148" s="542" t="s">
        <v>1927</v>
      </c>
      <c r="C148" s="542" t="s">
        <v>643</v>
      </c>
      <c r="D148" s="549">
        <v>207.44</v>
      </c>
      <c r="E148" s="550">
        <v>10.17</v>
      </c>
      <c r="F148" s="551">
        <v>3.53</v>
      </c>
      <c r="G148" s="544">
        <f t="shared" si="6"/>
        <v>2109.66</v>
      </c>
      <c r="H148" s="545">
        <f t="shared" si="7"/>
        <v>732.26</v>
      </c>
      <c r="I148" s="544">
        <f t="shared" si="8"/>
        <v>4855.6400000000003</v>
      </c>
    </row>
    <row r="149" spans="1:10">
      <c r="A149" s="542" t="s">
        <v>1928</v>
      </c>
      <c r="B149" s="542" t="s">
        <v>1929</v>
      </c>
      <c r="C149" s="542" t="s">
        <v>643</v>
      </c>
      <c r="D149" s="549">
        <v>111.78</v>
      </c>
      <c r="E149" s="550">
        <v>10.17</v>
      </c>
      <c r="F149" s="551">
        <v>4.84</v>
      </c>
      <c r="G149" s="544">
        <f t="shared" si="6"/>
        <v>1136.8</v>
      </c>
      <c r="H149" s="545">
        <f t="shared" si="7"/>
        <v>541.02</v>
      </c>
      <c r="I149" s="544">
        <f t="shared" si="8"/>
        <v>3165.63</v>
      </c>
    </row>
    <row r="150" spans="1:10">
      <c r="A150" s="542" t="s">
        <v>1930</v>
      </c>
      <c r="B150" s="542" t="s">
        <v>1931</v>
      </c>
      <c r="C150" s="542" t="s">
        <v>643</v>
      </c>
      <c r="D150" s="549">
        <v>31</v>
      </c>
      <c r="E150" s="550">
        <v>12.03</v>
      </c>
      <c r="F150" s="551">
        <v>6.78</v>
      </c>
      <c r="G150" s="544">
        <f t="shared" si="6"/>
        <v>372.93</v>
      </c>
      <c r="H150" s="545">
        <f t="shared" si="7"/>
        <v>210.18</v>
      </c>
      <c r="I150" s="544">
        <f t="shared" si="8"/>
        <v>1161.1099999999999</v>
      </c>
    </row>
    <row r="151" spans="1:10">
      <c r="A151" s="542" t="s">
        <v>1932</v>
      </c>
      <c r="B151" s="542" t="s">
        <v>1933</v>
      </c>
      <c r="C151" s="542" t="s">
        <v>643</v>
      </c>
      <c r="D151" s="549">
        <v>32</v>
      </c>
      <c r="E151" s="550">
        <v>13.27</v>
      </c>
      <c r="F151" s="551">
        <v>26.1</v>
      </c>
      <c r="G151" s="544">
        <f t="shared" si="6"/>
        <v>424.64</v>
      </c>
      <c r="H151" s="545">
        <f t="shared" si="7"/>
        <v>835.2</v>
      </c>
      <c r="I151" s="544">
        <f t="shared" si="8"/>
        <v>3556.64</v>
      </c>
    </row>
    <row r="152" spans="1:10">
      <c r="A152" s="542" t="s">
        <v>1934</v>
      </c>
      <c r="B152" s="542" t="s">
        <v>1935</v>
      </c>
      <c r="C152" s="542" t="s">
        <v>643</v>
      </c>
      <c r="D152" s="549">
        <v>278</v>
      </c>
      <c r="E152" s="550">
        <v>13.27</v>
      </c>
      <c r="F152" s="551">
        <v>13.05</v>
      </c>
      <c r="G152" s="544">
        <f t="shared" si="6"/>
        <v>3689.06</v>
      </c>
      <c r="H152" s="545">
        <f t="shared" si="7"/>
        <v>3627.9</v>
      </c>
      <c r="I152" s="544">
        <f t="shared" si="8"/>
        <v>17293.689999999999</v>
      </c>
    </row>
    <row r="153" spans="1:10">
      <c r="A153" s="541" t="s">
        <v>1936</v>
      </c>
      <c r="B153" s="541" t="s">
        <v>1937</v>
      </c>
      <c r="C153" s="537"/>
      <c r="D153" s="537"/>
      <c r="E153" s="547"/>
      <c r="F153" s="551"/>
      <c r="G153" s="544">
        <f t="shared" si="6"/>
        <v>0</v>
      </c>
      <c r="H153" s="545">
        <f t="shared" si="7"/>
        <v>0</v>
      </c>
      <c r="I153" s="544">
        <f t="shared" si="8"/>
        <v>0</v>
      </c>
    </row>
    <row r="154" spans="1:10">
      <c r="A154" s="542" t="s">
        <v>1938</v>
      </c>
      <c r="B154" s="542" t="s">
        <v>1841</v>
      </c>
      <c r="C154" s="542" t="s">
        <v>643</v>
      </c>
      <c r="D154" s="549">
        <v>400</v>
      </c>
      <c r="E154" s="550">
        <v>10.47</v>
      </c>
      <c r="F154" s="551">
        <v>0.67</v>
      </c>
      <c r="G154" s="544">
        <f t="shared" si="6"/>
        <v>4188</v>
      </c>
      <c r="H154" s="545">
        <f t="shared" si="7"/>
        <v>268</v>
      </c>
      <c r="I154" s="544">
        <f t="shared" si="8"/>
        <v>5193</v>
      </c>
    </row>
    <row r="155" spans="1:10">
      <c r="A155" s="542" t="s">
        <v>1939</v>
      </c>
      <c r="B155" s="542" t="s">
        <v>1845</v>
      </c>
      <c r="C155" s="542" t="s">
        <v>643</v>
      </c>
      <c r="D155" s="549">
        <v>341</v>
      </c>
      <c r="E155" s="550">
        <v>11.6</v>
      </c>
      <c r="F155" s="551">
        <v>1.32</v>
      </c>
      <c r="G155" s="544">
        <f t="shared" si="6"/>
        <v>3955.6</v>
      </c>
      <c r="H155" s="545">
        <f t="shared" si="7"/>
        <v>450.12</v>
      </c>
      <c r="I155" s="544">
        <f t="shared" si="8"/>
        <v>5643.55</v>
      </c>
    </row>
    <row r="156" spans="1:10">
      <c r="A156" s="536" t="s">
        <v>1940</v>
      </c>
      <c r="B156" s="536" t="s">
        <v>1941</v>
      </c>
      <c r="C156" s="537"/>
      <c r="D156" s="537"/>
      <c r="E156" s="547"/>
      <c r="F156" s="551"/>
      <c r="G156" s="544">
        <f t="shared" si="6"/>
        <v>0</v>
      </c>
      <c r="H156" s="545">
        <f t="shared" si="7"/>
        <v>0</v>
      </c>
      <c r="I156" s="544">
        <f t="shared" si="8"/>
        <v>0</v>
      </c>
    </row>
    <row r="157" spans="1:10">
      <c r="A157" s="542" t="s">
        <v>1942</v>
      </c>
      <c r="B157" s="542" t="s">
        <v>1943</v>
      </c>
      <c r="C157" s="542" t="s">
        <v>36</v>
      </c>
      <c r="D157" s="549">
        <v>12</v>
      </c>
      <c r="E157" s="550">
        <v>350</v>
      </c>
      <c r="F157" s="551">
        <v>0</v>
      </c>
      <c r="G157" s="544">
        <f t="shared" si="6"/>
        <v>4200</v>
      </c>
      <c r="H157" s="545">
        <f t="shared" si="7"/>
        <v>0</v>
      </c>
      <c r="I157" s="544">
        <f t="shared" si="8"/>
        <v>4200</v>
      </c>
    </row>
    <row r="158" spans="1:10">
      <c r="A158" s="542" t="s">
        <v>1944</v>
      </c>
      <c r="B158" s="542" t="s">
        <v>1945</v>
      </c>
      <c r="C158" s="542" t="s">
        <v>29</v>
      </c>
      <c r="D158" s="549">
        <v>1</v>
      </c>
      <c r="E158" s="550">
        <v>3669.94</v>
      </c>
      <c r="F158" s="551">
        <v>0</v>
      </c>
      <c r="G158" s="544">
        <f t="shared" si="6"/>
        <v>3669.94</v>
      </c>
      <c r="H158" s="545">
        <f t="shared" si="7"/>
        <v>0</v>
      </c>
      <c r="I158" s="544">
        <f t="shared" si="8"/>
        <v>3669.94</v>
      </c>
    </row>
    <row r="159" spans="1:10">
      <c r="A159" s="536" t="s">
        <v>1946</v>
      </c>
      <c r="B159" s="536" t="s">
        <v>1947</v>
      </c>
      <c r="C159" s="537"/>
      <c r="D159" s="537"/>
      <c r="E159" s="547"/>
      <c r="F159" s="551"/>
      <c r="G159" s="544">
        <f t="shared" si="6"/>
        <v>0</v>
      </c>
      <c r="H159" s="545">
        <f t="shared" si="7"/>
        <v>0</v>
      </c>
      <c r="I159" s="544">
        <f t="shared" si="8"/>
        <v>0</v>
      </c>
      <c r="J159" s="456">
        <f>SUM(I161:I189)</f>
        <v>266929.48999999993</v>
      </c>
    </row>
    <row r="160" spans="1:10">
      <c r="A160" s="541" t="s">
        <v>1948</v>
      </c>
      <c r="B160" s="541" t="s">
        <v>1949</v>
      </c>
      <c r="C160" s="537"/>
      <c r="D160" s="537"/>
      <c r="E160" s="547"/>
      <c r="F160" s="551"/>
      <c r="G160" s="544">
        <f t="shared" si="6"/>
        <v>0</v>
      </c>
      <c r="H160" s="545">
        <f t="shared" si="7"/>
        <v>0</v>
      </c>
      <c r="I160" s="544">
        <f t="shared" si="8"/>
        <v>0</v>
      </c>
    </row>
    <row r="161" spans="1:9">
      <c r="A161" s="542" t="s">
        <v>1950</v>
      </c>
      <c r="B161" s="542" t="s">
        <v>1951</v>
      </c>
      <c r="C161" s="542" t="s">
        <v>1434</v>
      </c>
      <c r="D161" s="549">
        <v>174</v>
      </c>
      <c r="E161" s="550">
        <v>37.9</v>
      </c>
      <c r="F161" s="551">
        <v>2.63</v>
      </c>
      <c r="G161" s="544">
        <f t="shared" si="6"/>
        <v>6594.6</v>
      </c>
      <c r="H161" s="545">
        <f t="shared" si="7"/>
        <v>457.62</v>
      </c>
      <c r="I161" s="544">
        <f t="shared" si="8"/>
        <v>8310.68</v>
      </c>
    </row>
    <row r="162" spans="1:9">
      <c r="A162" s="542" t="s">
        <v>1952</v>
      </c>
      <c r="B162" s="542" t="s">
        <v>1953</v>
      </c>
      <c r="C162" s="542" t="s">
        <v>1434</v>
      </c>
      <c r="D162" s="549">
        <v>391</v>
      </c>
      <c r="E162" s="550">
        <v>37.39</v>
      </c>
      <c r="F162" s="551">
        <v>2.63</v>
      </c>
      <c r="G162" s="544">
        <f t="shared" si="6"/>
        <v>14619.49</v>
      </c>
      <c r="H162" s="545">
        <f t="shared" si="7"/>
        <v>1028.33</v>
      </c>
      <c r="I162" s="544">
        <f t="shared" si="8"/>
        <v>18475.73</v>
      </c>
    </row>
    <row r="163" spans="1:9">
      <c r="A163" s="542" t="s">
        <v>1954</v>
      </c>
      <c r="B163" s="542" t="s">
        <v>1955</v>
      </c>
      <c r="C163" s="542" t="s">
        <v>1434</v>
      </c>
      <c r="D163" s="549">
        <v>179</v>
      </c>
      <c r="E163" s="550">
        <v>37.479999999999997</v>
      </c>
      <c r="F163" s="551">
        <v>1.55</v>
      </c>
      <c r="G163" s="544">
        <f t="shared" si="6"/>
        <v>6708.92</v>
      </c>
      <c r="H163" s="545">
        <f t="shared" si="7"/>
        <v>277.45</v>
      </c>
      <c r="I163" s="544">
        <f t="shared" si="8"/>
        <v>7749.36</v>
      </c>
    </row>
    <row r="164" spans="1:9">
      <c r="A164" s="542" t="s">
        <v>1956</v>
      </c>
      <c r="B164" s="542" t="s">
        <v>1957</v>
      </c>
      <c r="C164" s="542" t="s">
        <v>1434</v>
      </c>
      <c r="D164" s="549">
        <v>1</v>
      </c>
      <c r="E164" s="550">
        <v>37.479999999999997</v>
      </c>
      <c r="F164" s="551">
        <v>1.55</v>
      </c>
      <c r="G164" s="544">
        <f t="shared" si="6"/>
        <v>37.479999999999997</v>
      </c>
      <c r="H164" s="545">
        <f t="shared" si="7"/>
        <v>1.55</v>
      </c>
      <c r="I164" s="544">
        <f t="shared" si="8"/>
        <v>43.29</v>
      </c>
    </row>
    <row r="165" spans="1:9">
      <c r="A165" s="542" t="s">
        <v>1958</v>
      </c>
      <c r="B165" s="542" t="s">
        <v>1959</v>
      </c>
      <c r="C165" s="542" t="s">
        <v>1434</v>
      </c>
      <c r="D165" s="549">
        <v>1</v>
      </c>
      <c r="E165" s="550">
        <v>52.24</v>
      </c>
      <c r="F165" s="551">
        <v>1.55</v>
      </c>
      <c r="G165" s="544">
        <f t="shared" si="6"/>
        <v>52.24</v>
      </c>
      <c r="H165" s="545">
        <f t="shared" si="7"/>
        <v>1.55</v>
      </c>
      <c r="I165" s="544">
        <f t="shared" si="8"/>
        <v>58.05</v>
      </c>
    </row>
    <row r="166" spans="1:9">
      <c r="A166" s="542" t="s">
        <v>1960</v>
      </c>
      <c r="B166" s="542" t="s">
        <v>1961</v>
      </c>
      <c r="C166" s="542" t="s">
        <v>1434</v>
      </c>
      <c r="D166" s="549">
        <v>1</v>
      </c>
      <c r="E166" s="550">
        <v>52.24</v>
      </c>
      <c r="F166" s="551">
        <v>1.55</v>
      </c>
      <c r="G166" s="544">
        <f t="shared" si="6"/>
        <v>52.24</v>
      </c>
      <c r="H166" s="545">
        <f t="shared" si="7"/>
        <v>1.55</v>
      </c>
      <c r="I166" s="544">
        <f t="shared" si="8"/>
        <v>58.05</v>
      </c>
    </row>
    <row r="167" spans="1:9">
      <c r="A167" s="542" t="s">
        <v>1962</v>
      </c>
      <c r="B167" s="542" t="s">
        <v>1963</v>
      </c>
      <c r="C167" s="542" t="s">
        <v>1434</v>
      </c>
      <c r="D167" s="549">
        <v>608</v>
      </c>
      <c r="E167" s="550">
        <v>36.67</v>
      </c>
      <c r="F167" s="551">
        <v>0.88</v>
      </c>
      <c r="G167" s="544">
        <f t="shared" si="6"/>
        <v>22295.360000000001</v>
      </c>
      <c r="H167" s="545">
        <f t="shared" si="7"/>
        <v>535.04</v>
      </c>
      <c r="I167" s="544">
        <f t="shared" si="8"/>
        <v>24301.759999999998</v>
      </c>
    </row>
    <row r="168" spans="1:9">
      <c r="A168" s="542" t="s">
        <v>1964</v>
      </c>
      <c r="B168" s="542" t="s">
        <v>1965</v>
      </c>
      <c r="C168" s="542" t="s">
        <v>1434</v>
      </c>
      <c r="D168" s="549">
        <v>174</v>
      </c>
      <c r="E168" s="550">
        <v>36.67</v>
      </c>
      <c r="F168" s="551">
        <v>0.88</v>
      </c>
      <c r="G168" s="544">
        <f t="shared" si="6"/>
        <v>6380.58</v>
      </c>
      <c r="H168" s="545">
        <f t="shared" si="7"/>
        <v>153.12</v>
      </c>
      <c r="I168" s="544">
        <f t="shared" si="8"/>
        <v>6954.78</v>
      </c>
    </row>
    <row r="169" spans="1:9">
      <c r="A169" s="542" t="s">
        <v>1966</v>
      </c>
      <c r="B169" s="542" t="s">
        <v>1967</v>
      </c>
      <c r="C169" s="542" t="s">
        <v>1434</v>
      </c>
      <c r="D169" s="549">
        <v>63</v>
      </c>
      <c r="E169" s="550">
        <v>51.67</v>
      </c>
      <c r="F169" s="551">
        <v>1.31</v>
      </c>
      <c r="G169" s="544">
        <f t="shared" si="6"/>
        <v>3255.21</v>
      </c>
      <c r="H169" s="545">
        <f t="shared" si="7"/>
        <v>82.53</v>
      </c>
      <c r="I169" s="544">
        <f t="shared" si="8"/>
        <v>3564.7</v>
      </c>
    </row>
    <row r="170" spans="1:9">
      <c r="A170" s="542" t="s">
        <v>1968</v>
      </c>
      <c r="B170" s="542" t="s">
        <v>1969</v>
      </c>
      <c r="C170" s="542" t="s">
        <v>1434</v>
      </c>
      <c r="D170" s="549">
        <v>236</v>
      </c>
      <c r="E170" s="550">
        <v>43.92</v>
      </c>
      <c r="F170" s="551">
        <v>0.88</v>
      </c>
      <c r="G170" s="544">
        <f t="shared" si="6"/>
        <v>10365.120000000001</v>
      </c>
      <c r="H170" s="545">
        <f t="shared" si="7"/>
        <v>207.68</v>
      </c>
      <c r="I170" s="544">
        <f t="shared" si="8"/>
        <v>11143.92</v>
      </c>
    </row>
    <row r="171" spans="1:9">
      <c r="A171" s="542" t="s">
        <v>1970</v>
      </c>
      <c r="B171" s="542" t="s">
        <v>1971</v>
      </c>
      <c r="C171" s="542" t="s">
        <v>1434</v>
      </c>
      <c r="D171" s="549">
        <v>10</v>
      </c>
      <c r="E171" s="550">
        <v>43.92</v>
      </c>
      <c r="F171" s="551">
        <v>0.88</v>
      </c>
      <c r="G171" s="544">
        <f t="shared" si="6"/>
        <v>439.2</v>
      </c>
      <c r="H171" s="545">
        <f t="shared" si="7"/>
        <v>8.8000000000000007</v>
      </c>
      <c r="I171" s="544">
        <f t="shared" si="8"/>
        <v>472.2</v>
      </c>
    </row>
    <row r="172" spans="1:9">
      <c r="A172" s="542" t="s">
        <v>1972</v>
      </c>
      <c r="B172" s="542" t="s">
        <v>1973</v>
      </c>
      <c r="C172" s="542" t="s">
        <v>1434</v>
      </c>
      <c r="D172" s="549">
        <v>1</v>
      </c>
      <c r="E172" s="550">
        <v>36.67</v>
      </c>
      <c r="F172" s="551">
        <v>0.88</v>
      </c>
      <c r="G172" s="544">
        <f t="shared" si="6"/>
        <v>36.67</v>
      </c>
      <c r="H172" s="545">
        <f t="shared" si="7"/>
        <v>0.88</v>
      </c>
      <c r="I172" s="544">
        <f t="shared" si="8"/>
        <v>39.97</v>
      </c>
    </row>
    <row r="173" spans="1:9">
      <c r="A173" s="542" t="s">
        <v>1974</v>
      </c>
      <c r="B173" s="542" t="s">
        <v>1975</v>
      </c>
      <c r="C173" s="542" t="s">
        <v>1434</v>
      </c>
      <c r="D173" s="549">
        <v>11</v>
      </c>
      <c r="E173" s="550">
        <v>51.89</v>
      </c>
      <c r="F173" s="551">
        <v>0.88</v>
      </c>
      <c r="G173" s="544">
        <f t="shared" si="6"/>
        <v>570.79</v>
      </c>
      <c r="H173" s="545">
        <f t="shared" si="7"/>
        <v>9.68</v>
      </c>
      <c r="I173" s="544">
        <f t="shared" si="8"/>
        <v>607.09</v>
      </c>
    </row>
    <row r="174" spans="1:9">
      <c r="A174" s="541" t="s">
        <v>1976</v>
      </c>
      <c r="B174" s="541" t="s">
        <v>1977</v>
      </c>
      <c r="C174" s="537"/>
      <c r="D174" s="537"/>
      <c r="E174" s="547"/>
      <c r="F174" s="551"/>
      <c r="G174" s="544">
        <f t="shared" si="6"/>
        <v>0</v>
      </c>
      <c r="H174" s="545">
        <f t="shared" si="7"/>
        <v>0</v>
      </c>
      <c r="I174" s="544">
        <f t="shared" si="8"/>
        <v>0</v>
      </c>
    </row>
    <row r="175" spans="1:9">
      <c r="A175" s="542" t="s">
        <v>1978</v>
      </c>
      <c r="B175" s="542" t="s">
        <v>1853</v>
      </c>
      <c r="C175" s="542" t="s">
        <v>36</v>
      </c>
      <c r="D175" s="549">
        <v>32</v>
      </c>
      <c r="E175" s="550">
        <v>21.15</v>
      </c>
      <c r="F175" s="551">
        <v>0</v>
      </c>
      <c r="G175" s="544">
        <f t="shared" si="6"/>
        <v>676.8</v>
      </c>
      <c r="H175" s="545">
        <f t="shared" si="7"/>
        <v>0</v>
      </c>
      <c r="I175" s="544">
        <f t="shared" si="8"/>
        <v>676.8</v>
      </c>
    </row>
    <row r="176" spans="1:9">
      <c r="A176" s="542" t="s">
        <v>1979</v>
      </c>
      <c r="B176" s="542" t="s">
        <v>1855</v>
      </c>
      <c r="C176" s="542" t="s">
        <v>36</v>
      </c>
      <c r="D176" s="549">
        <v>266</v>
      </c>
      <c r="E176" s="550">
        <v>35.479999999999997</v>
      </c>
      <c r="F176" s="551">
        <v>0</v>
      </c>
      <c r="G176" s="544">
        <f t="shared" si="6"/>
        <v>9437.68</v>
      </c>
      <c r="H176" s="545">
        <f t="shared" si="7"/>
        <v>0</v>
      </c>
      <c r="I176" s="544">
        <f t="shared" si="8"/>
        <v>9437.68</v>
      </c>
    </row>
    <row r="177" spans="1:9">
      <c r="A177" s="542" t="s">
        <v>1980</v>
      </c>
      <c r="B177" s="542" t="s">
        <v>1857</v>
      </c>
      <c r="C177" s="542" t="s">
        <v>36</v>
      </c>
      <c r="D177" s="549">
        <v>131</v>
      </c>
      <c r="E177" s="550">
        <v>53.94</v>
      </c>
      <c r="F177" s="551">
        <v>0</v>
      </c>
      <c r="G177" s="544">
        <f t="shared" si="6"/>
        <v>7066.14</v>
      </c>
      <c r="H177" s="545">
        <f t="shared" si="7"/>
        <v>0</v>
      </c>
      <c r="I177" s="544">
        <f t="shared" si="8"/>
        <v>7066.14</v>
      </c>
    </row>
    <row r="178" spans="1:9">
      <c r="A178" s="542" t="s">
        <v>1981</v>
      </c>
      <c r="B178" s="542" t="s">
        <v>1859</v>
      </c>
      <c r="C178" s="542" t="s">
        <v>36</v>
      </c>
      <c r="D178" s="549">
        <v>90</v>
      </c>
      <c r="E178" s="550">
        <v>116.06</v>
      </c>
      <c r="F178" s="551">
        <v>0</v>
      </c>
      <c r="G178" s="544">
        <f t="shared" si="6"/>
        <v>10445.4</v>
      </c>
      <c r="H178" s="545">
        <f t="shared" si="7"/>
        <v>0</v>
      </c>
      <c r="I178" s="544">
        <f t="shared" si="8"/>
        <v>10445.4</v>
      </c>
    </row>
    <row r="179" spans="1:9">
      <c r="A179" s="542" t="s">
        <v>1982</v>
      </c>
      <c r="B179" s="542" t="s">
        <v>1867</v>
      </c>
      <c r="C179" s="542" t="s">
        <v>36</v>
      </c>
      <c r="D179" s="549">
        <v>12</v>
      </c>
      <c r="E179" s="550">
        <v>911.48</v>
      </c>
      <c r="F179" s="551">
        <v>0</v>
      </c>
      <c r="G179" s="544">
        <f t="shared" si="6"/>
        <v>10937.76</v>
      </c>
      <c r="H179" s="545">
        <f t="shared" si="7"/>
        <v>0</v>
      </c>
      <c r="I179" s="544">
        <f t="shared" si="8"/>
        <v>10937.76</v>
      </c>
    </row>
    <row r="180" spans="1:9">
      <c r="A180" s="542" t="s">
        <v>1983</v>
      </c>
      <c r="B180" s="542" t="s">
        <v>1984</v>
      </c>
      <c r="C180" s="542" t="s">
        <v>36</v>
      </c>
      <c r="D180" s="549">
        <v>43</v>
      </c>
      <c r="E180" s="550">
        <v>701.47</v>
      </c>
      <c r="F180" s="551">
        <v>0</v>
      </c>
      <c r="G180" s="544">
        <f t="shared" si="6"/>
        <v>30163.21</v>
      </c>
      <c r="H180" s="545">
        <f t="shared" si="7"/>
        <v>0</v>
      </c>
      <c r="I180" s="544">
        <f t="shared" si="8"/>
        <v>30163.21</v>
      </c>
    </row>
    <row r="181" spans="1:9">
      <c r="A181" s="542" t="s">
        <v>1985</v>
      </c>
      <c r="B181" s="542" t="s">
        <v>1986</v>
      </c>
      <c r="C181" s="542" t="s">
        <v>36</v>
      </c>
      <c r="D181" s="549">
        <v>2</v>
      </c>
      <c r="E181" s="550">
        <v>1110.51</v>
      </c>
      <c r="F181" s="551">
        <v>0</v>
      </c>
      <c r="G181" s="544">
        <f t="shared" si="6"/>
        <v>2221.02</v>
      </c>
      <c r="H181" s="545">
        <f t="shared" si="7"/>
        <v>0</v>
      </c>
      <c r="I181" s="544">
        <f t="shared" si="8"/>
        <v>2221.02</v>
      </c>
    </row>
    <row r="182" spans="1:9">
      <c r="A182" s="541" t="s">
        <v>1987</v>
      </c>
      <c r="B182" s="541" t="s">
        <v>1988</v>
      </c>
      <c r="C182" s="537"/>
      <c r="D182" s="537"/>
      <c r="E182" s="547"/>
      <c r="F182" s="551"/>
      <c r="G182" s="544">
        <f t="shared" si="6"/>
        <v>0</v>
      </c>
      <c r="H182" s="545">
        <f t="shared" si="7"/>
        <v>0</v>
      </c>
      <c r="I182" s="544">
        <f t="shared" si="8"/>
        <v>0</v>
      </c>
    </row>
    <row r="183" spans="1:9">
      <c r="A183" s="542" t="s">
        <v>1989</v>
      </c>
      <c r="B183" s="542" t="s">
        <v>1841</v>
      </c>
      <c r="C183" s="542" t="s">
        <v>643</v>
      </c>
      <c r="D183" s="549">
        <v>2474.9</v>
      </c>
      <c r="E183" s="550">
        <v>8.92</v>
      </c>
      <c r="F183" s="551">
        <v>0.67</v>
      </c>
      <c r="G183" s="544">
        <f t="shared" si="6"/>
        <v>22076.11</v>
      </c>
      <c r="H183" s="545">
        <f t="shared" si="7"/>
        <v>1658.18</v>
      </c>
      <c r="I183" s="544">
        <f t="shared" si="8"/>
        <v>28294.29</v>
      </c>
    </row>
    <row r="184" spans="1:9">
      <c r="A184" s="542" t="s">
        <v>1990</v>
      </c>
      <c r="B184" s="542" t="s">
        <v>1839</v>
      </c>
      <c r="C184" s="542" t="s">
        <v>643</v>
      </c>
      <c r="D184" s="549">
        <v>6633.79</v>
      </c>
      <c r="E184" s="550">
        <v>8.9600000000000009</v>
      </c>
      <c r="F184" s="551">
        <v>0.5</v>
      </c>
      <c r="G184" s="544">
        <f t="shared" si="6"/>
        <v>59438.76</v>
      </c>
      <c r="H184" s="545">
        <f t="shared" si="7"/>
        <v>3316.9</v>
      </c>
      <c r="I184" s="544">
        <f t="shared" si="8"/>
        <v>71877.14</v>
      </c>
    </row>
    <row r="185" spans="1:9">
      <c r="A185" s="542" t="s">
        <v>1991</v>
      </c>
      <c r="B185" s="542" t="s">
        <v>1992</v>
      </c>
      <c r="C185" s="542" t="s">
        <v>643</v>
      </c>
      <c r="D185" s="549">
        <v>70</v>
      </c>
      <c r="E185" s="550">
        <v>46.23</v>
      </c>
      <c r="F185" s="551">
        <v>0</v>
      </c>
      <c r="G185" s="544">
        <f t="shared" si="6"/>
        <v>3236.1</v>
      </c>
      <c r="H185" s="545">
        <f t="shared" si="7"/>
        <v>0</v>
      </c>
      <c r="I185" s="544">
        <f t="shared" si="8"/>
        <v>3236.1</v>
      </c>
    </row>
    <row r="186" spans="1:9">
      <c r="A186" s="542" t="s">
        <v>1993</v>
      </c>
      <c r="B186" s="542" t="s">
        <v>1994</v>
      </c>
      <c r="C186" s="542" t="s">
        <v>643</v>
      </c>
      <c r="D186" s="549">
        <v>16</v>
      </c>
      <c r="E186" s="550">
        <v>117.45</v>
      </c>
      <c r="F186" s="551">
        <v>0</v>
      </c>
      <c r="G186" s="544">
        <f t="shared" si="6"/>
        <v>1879.2</v>
      </c>
      <c r="H186" s="545">
        <f t="shared" si="7"/>
        <v>0</v>
      </c>
      <c r="I186" s="544">
        <f t="shared" si="8"/>
        <v>1879.2</v>
      </c>
    </row>
    <row r="187" spans="1:9">
      <c r="A187" s="542" t="s">
        <v>1995</v>
      </c>
      <c r="B187" s="542" t="s">
        <v>1996</v>
      </c>
      <c r="C187" s="542" t="s">
        <v>643</v>
      </c>
      <c r="D187" s="549">
        <v>140</v>
      </c>
      <c r="E187" s="550">
        <v>39.200000000000003</v>
      </c>
      <c r="F187" s="551">
        <v>0</v>
      </c>
      <c r="G187" s="544">
        <f t="shared" si="6"/>
        <v>5488</v>
      </c>
      <c r="H187" s="545">
        <f t="shared" si="7"/>
        <v>0</v>
      </c>
      <c r="I187" s="544">
        <f t="shared" si="8"/>
        <v>5488</v>
      </c>
    </row>
    <row r="188" spans="1:9">
      <c r="A188" s="542" t="s">
        <v>1997</v>
      </c>
      <c r="B188" s="542" t="s">
        <v>1841</v>
      </c>
      <c r="C188" s="542" t="s">
        <v>643</v>
      </c>
      <c r="D188" s="549">
        <v>162</v>
      </c>
      <c r="E188" s="550">
        <v>10.47</v>
      </c>
      <c r="F188" s="551">
        <v>0.67</v>
      </c>
      <c r="G188" s="544">
        <f t="shared" si="6"/>
        <v>1696.14</v>
      </c>
      <c r="H188" s="545">
        <f t="shared" si="7"/>
        <v>108.54</v>
      </c>
      <c r="I188" s="544">
        <f t="shared" si="8"/>
        <v>2103.17</v>
      </c>
    </row>
    <row r="189" spans="1:9">
      <c r="A189" s="542" t="s">
        <v>1998</v>
      </c>
      <c r="B189" s="542" t="s">
        <v>1845</v>
      </c>
      <c r="C189" s="542" t="s">
        <v>643</v>
      </c>
      <c r="D189" s="549">
        <v>80</v>
      </c>
      <c r="E189" s="550">
        <v>11.6</v>
      </c>
      <c r="F189" s="551">
        <v>1.32</v>
      </c>
      <c r="G189" s="544">
        <f t="shared" si="6"/>
        <v>928</v>
      </c>
      <c r="H189" s="545">
        <f t="shared" si="7"/>
        <v>105.6</v>
      </c>
      <c r="I189" s="544">
        <f t="shared" si="8"/>
        <v>1324</v>
      </c>
    </row>
  </sheetData>
  <mergeCells count="1">
    <mergeCell ref="A2:H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42776-3F49-4D34-8EC4-17913F0B76AF}">
  <sheetPr>
    <tabColor rgb="FF7030A0"/>
  </sheetPr>
  <dimension ref="A1:K30"/>
  <sheetViews>
    <sheetView topLeftCell="B1" workbookViewId="0">
      <selection activeCell="I17" sqref="I17"/>
    </sheetView>
  </sheetViews>
  <sheetFormatPr defaultColWidth="11.42578125" defaultRowHeight="15"/>
  <cols>
    <col min="2" max="2" width="61.7109375" bestFit="1" customWidth="1"/>
    <col min="3" max="3" width="11.42578125" style="289"/>
    <col min="4" max="4" width="11.42578125" style="404"/>
    <col min="6" max="6" width="12.5703125" bestFit="1" customWidth="1"/>
    <col min="9" max="9" width="16.85546875" bestFit="1" customWidth="1"/>
    <col min="10" max="10" width="13.42578125" bestFit="1" customWidth="1"/>
  </cols>
  <sheetData>
    <row r="1" spans="1:10">
      <c r="A1" s="35"/>
      <c r="B1" s="387"/>
      <c r="C1" s="3"/>
      <c r="D1" s="3"/>
      <c r="E1" s="388"/>
      <c r="F1" s="389"/>
      <c r="G1" s="388"/>
      <c r="H1" s="389"/>
      <c r="I1" s="390"/>
    </row>
    <row r="2" spans="1:10">
      <c r="A2" s="619" t="s">
        <v>1999</v>
      </c>
      <c r="B2" s="619"/>
      <c r="C2" s="619"/>
      <c r="D2" s="619"/>
      <c r="E2" s="619"/>
      <c r="F2" s="619"/>
      <c r="G2" s="619"/>
      <c r="H2" s="619"/>
      <c r="I2" s="390"/>
    </row>
    <row r="3" spans="1:10">
      <c r="A3" s="35"/>
      <c r="B3" s="387"/>
      <c r="C3" s="3"/>
      <c r="D3" s="3"/>
      <c r="E3" s="388"/>
      <c r="F3" s="389"/>
      <c r="G3" s="388"/>
      <c r="H3" s="391" t="s">
        <v>1420</v>
      </c>
      <c r="I3" s="392" t="e">
        <f>+TC</f>
        <v>#REF!</v>
      </c>
    </row>
    <row r="4" spans="1:10">
      <c r="A4" s="147" t="s">
        <v>0</v>
      </c>
      <c r="B4" s="393" t="s">
        <v>2000</v>
      </c>
      <c r="C4" s="3"/>
      <c r="D4" s="3"/>
      <c r="E4" s="388"/>
      <c r="F4" s="389"/>
      <c r="G4" s="388"/>
      <c r="H4" s="389"/>
      <c r="I4" s="390"/>
    </row>
    <row r="5" spans="1:10">
      <c r="A5" s="147" t="s">
        <v>14</v>
      </c>
      <c r="B5" s="393" t="s">
        <v>2001</v>
      </c>
      <c r="C5" s="3"/>
      <c r="D5" s="3"/>
      <c r="E5" s="388"/>
      <c r="F5" s="389"/>
      <c r="G5" s="388"/>
      <c r="H5" s="389"/>
      <c r="I5" s="390"/>
    </row>
    <row r="6" spans="1:10">
      <c r="A6" s="147" t="s">
        <v>1</v>
      </c>
      <c r="B6" s="393" t="s">
        <v>1422</v>
      </c>
      <c r="C6" s="3"/>
      <c r="D6" s="3"/>
      <c r="E6" s="388"/>
      <c r="F6" s="405" t="s">
        <v>1423</v>
      </c>
      <c r="G6" s="394">
        <v>45392</v>
      </c>
      <c r="H6" s="395"/>
      <c r="I6" s="390"/>
    </row>
    <row r="7" spans="1:10" ht="15.75" thickBot="1">
      <c r="A7" s="147" t="s">
        <v>3</v>
      </c>
      <c r="B7" s="393"/>
      <c r="C7" s="3"/>
      <c r="D7" s="3"/>
      <c r="E7" s="388"/>
      <c r="F7" s="389"/>
      <c r="G7" s="388"/>
      <c r="H7" s="389"/>
      <c r="I7" s="390"/>
    </row>
    <row r="8" spans="1:10" ht="23.25" thickTop="1">
      <c r="A8" s="396" t="s">
        <v>5</v>
      </c>
      <c r="B8" s="397" t="s">
        <v>16</v>
      </c>
      <c r="C8" s="398" t="s">
        <v>17</v>
      </c>
      <c r="D8" s="399" t="s">
        <v>18</v>
      </c>
      <c r="E8" s="400" t="s">
        <v>1424</v>
      </c>
      <c r="F8" s="401" t="s">
        <v>1425</v>
      </c>
      <c r="G8" s="400" t="s">
        <v>1426</v>
      </c>
      <c r="H8" s="401" t="s">
        <v>1427</v>
      </c>
      <c r="I8" s="402" t="s">
        <v>13</v>
      </c>
    </row>
    <row r="9" spans="1:10">
      <c r="A9" s="529" t="s">
        <v>25</v>
      </c>
      <c r="B9" s="530" t="s">
        <v>2002</v>
      </c>
      <c r="C9" s="531"/>
      <c r="D9" s="553"/>
      <c r="E9" s="534"/>
      <c r="F9" s="535"/>
      <c r="G9" s="534"/>
      <c r="H9" s="535"/>
      <c r="I9" s="535">
        <f>SUM(H11:H17)</f>
        <v>52695.72</v>
      </c>
      <c r="J9" s="403"/>
    </row>
    <row r="10" spans="1:10">
      <c r="A10" s="554" t="s">
        <v>1428</v>
      </c>
      <c r="B10" s="554" t="s">
        <v>2003</v>
      </c>
      <c r="C10" s="555"/>
      <c r="D10" s="556"/>
      <c r="E10" s="557"/>
      <c r="F10" s="558"/>
      <c r="G10" s="557"/>
      <c r="H10" s="558"/>
      <c r="I10" s="559"/>
      <c r="J10" s="610" t="e">
        <f>+I11+I13+I15</f>
        <v>#REF!</v>
      </c>
    </row>
    <row r="11" spans="1:10" s="236" customFormat="1" ht="45">
      <c r="A11" s="560" t="s">
        <v>1430</v>
      </c>
      <c r="B11" s="561" t="s">
        <v>2004</v>
      </c>
      <c r="C11" s="562" t="s">
        <v>36</v>
      </c>
      <c r="D11" s="563">
        <v>2</v>
      </c>
      <c r="E11" s="564"/>
      <c r="F11" s="565">
        <v>9761.7800000000007</v>
      </c>
      <c r="G11" s="566">
        <f>+E11*D11</f>
        <v>0</v>
      </c>
      <c r="H11" s="567">
        <f>+ROUND(F11*D11,2)</f>
        <v>19523.560000000001</v>
      </c>
      <c r="I11" s="568" t="e">
        <f>+ROUND(G11+(H11*$I$3),2)</f>
        <v>#REF!</v>
      </c>
      <c r="J11" s="407"/>
    </row>
    <row r="12" spans="1:10">
      <c r="A12" s="554" t="s">
        <v>1517</v>
      </c>
      <c r="B12" s="554" t="s">
        <v>2005</v>
      </c>
      <c r="C12" s="555"/>
      <c r="D12" s="556"/>
      <c r="E12" s="557"/>
      <c r="F12" s="558"/>
      <c r="G12" s="557"/>
      <c r="H12" s="558"/>
      <c r="I12" s="559"/>
    </row>
    <row r="13" spans="1:10" s="236" customFormat="1" ht="45">
      <c r="A13" s="560" t="s">
        <v>1519</v>
      </c>
      <c r="B13" s="561" t="s">
        <v>2006</v>
      </c>
      <c r="C13" s="562" t="s">
        <v>36</v>
      </c>
      <c r="D13" s="563">
        <v>2</v>
      </c>
      <c r="E13" s="564"/>
      <c r="F13" s="565">
        <v>8047.66</v>
      </c>
      <c r="G13" s="566">
        <f>+E13*D13</f>
        <v>0</v>
      </c>
      <c r="H13" s="567">
        <f>+ROUND(F13*D13,2)</f>
        <v>16095.32</v>
      </c>
      <c r="I13" s="568" t="e">
        <f>+ROUND(G13+(H13*$I$3),2)</f>
        <v>#REF!</v>
      </c>
      <c r="J13" s="407"/>
    </row>
    <row r="14" spans="1:10" s="236" customFormat="1">
      <c r="A14" s="554" t="s">
        <v>1517</v>
      </c>
      <c r="B14" s="554" t="s">
        <v>2007</v>
      </c>
      <c r="C14" s="555"/>
      <c r="D14" s="556"/>
      <c r="E14" s="557"/>
      <c r="F14" s="558"/>
      <c r="G14" s="557"/>
      <c r="H14" s="558"/>
      <c r="I14" s="559"/>
      <c r="J14" s="610" t="e">
        <f>+I15+I17</f>
        <v>#REF!</v>
      </c>
    </row>
    <row r="15" spans="1:10" s="236" customFormat="1" ht="45">
      <c r="A15" s="560" t="s">
        <v>1519</v>
      </c>
      <c r="B15" s="561" t="s">
        <v>2008</v>
      </c>
      <c r="C15" s="562" t="s">
        <v>36</v>
      </c>
      <c r="D15" s="563">
        <v>2</v>
      </c>
      <c r="E15" s="564"/>
      <c r="F15" s="565">
        <v>6188.32</v>
      </c>
      <c r="G15" s="566">
        <f>+E15*D15</f>
        <v>0</v>
      </c>
      <c r="H15" s="567">
        <f>+ROUND(F15*D15,2)</f>
        <v>12376.64</v>
      </c>
      <c r="I15" s="568" t="e">
        <f>+ROUND(G15+(H15*$I$3),2)</f>
        <v>#REF!</v>
      </c>
      <c r="J15" s="407"/>
    </row>
    <row r="16" spans="1:10" s="236" customFormat="1">
      <c r="A16" s="554" t="s">
        <v>1868</v>
      </c>
      <c r="B16" s="554" t="s">
        <v>2009</v>
      </c>
      <c r="C16" s="555"/>
      <c r="D16" s="556"/>
      <c r="E16" s="557"/>
      <c r="F16" s="558"/>
      <c r="G16" s="557"/>
      <c r="H16" s="567">
        <f>+ROUND(F16*D16,2)</f>
        <v>0</v>
      </c>
      <c r="I16" s="568" t="e">
        <f>+ROUND(G16+(H16*$I$3),2)</f>
        <v>#REF!</v>
      </c>
      <c r="J16" s="407"/>
    </row>
    <row r="17" spans="1:11" ht="22.5">
      <c r="A17" s="554" t="s">
        <v>1877</v>
      </c>
      <c r="B17" s="561" t="s">
        <v>2010</v>
      </c>
      <c r="C17" s="562" t="s">
        <v>36</v>
      </c>
      <c r="D17" s="563">
        <v>2</v>
      </c>
      <c r="E17" s="564"/>
      <c r="F17" s="565">
        <v>2350.1</v>
      </c>
      <c r="G17" s="566">
        <f>+E17*D17</f>
        <v>0</v>
      </c>
      <c r="H17" s="567">
        <f>+ROUND(F17*D17,2)</f>
        <v>4700.2</v>
      </c>
      <c r="I17" s="568" t="e">
        <f>+ROUND(G17+(H17*$I$3),2)</f>
        <v>#REF!</v>
      </c>
      <c r="J17" s="407"/>
    </row>
    <row r="18" spans="1:11">
      <c r="A18" s="529" t="s">
        <v>1428</v>
      </c>
      <c r="B18" s="530" t="s">
        <v>2011</v>
      </c>
      <c r="C18" s="531"/>
      <c r="D18" s="553"/>
      <c r="E18" s="534"/>
      <c r="F18" s="535"/>
      <c r="G18" s="534"/>
      <c r="H18" s="535"/>
      <c r="I18" s="535">
        <f>+H19</f>
        <v>65538.570000000007</v>
      </c>
      <c r="J18" s="403"/>
    </row>
    <row r="19" spans="1:11" ht="63.6" customHeight="1">
      <c r="A19" s="569" t="s">
        <v>1430</v>
      </c>
      <c r="B19" s="570" t="s">
        <v>2012</v>
      </c>
      <c r="C19" s="622" t="s">
        <v>29</v>
      </c>
      <c r="D19" s="625">
        <v>1</v>
      </c>
      <c r="E19" s="622"/>
      <c r="F19" s="628">
        <v>65538.570000000007</v>
      </c>
      <c r="G19" s="628">
        <f>+ROUND(E19*D19,2)</f>
        <v>0</v>
      </c>
      <c r="H19" s="628">
        <f>+ROUND(F19*D19,2)</f>
        <v>65538.570000000007</v>
      </c>
      <c r="I19" s="620" t="e">
        <f>+G19+(H19*$I$3)</f>
        <v>#REF!</v>
      </c>
    </row>
    <row r="20" spans="1:11" ht="27" customHeight="1">
      <c r="A20" s="569" t="s">
        <v>1439</v>
      </c>
      <c r="B20" s="570" t="s">
        <v>2013</v>
      </c>
      <c r="C20" s="623"/>
      <c r="D20" s="626"/>
      <c r="E20" s="623"/>
      <c r="F20" s="629"/>
      <c r="G20" s="629"/>
      <c r="H20" s="629"/>
      <c r="I20" s="621"/>
    </row>
    <row r="21" spans="1:11" ht="34.5">
      <c r="A21" s="569" t="s">
        <v>1465</v>
      </c>
      <c r="B21" s="570" t="s">
        <v>2014</v>
      </c>
      <c r="C21" s="624"/>
      <c r="D21" s="627"/>
      <c r="E21" s="624"/>
      <c r="F21" s="630"/>
      <c r="G21" s="630"/>
      <c r="H21" s="630"/>
      <c r="I21" s="621"/>
    </row>
    <row r="22" spans="1:11">
      <c r="A22" s="529" t="s">
        <v>1428</v>
      </c>
      <c r="B22" s="530" t="s">
        <v>2015</v>
      </c>
      <c r="C22" s="531"/>
      <c r="D22" s="553"/>
      <c r="E22" s="534"/>
      <c r="F22" s="535"/>
      <c r="G22" s="534"/>
      <c r="H22" s="535"/>
      <c r="I22" s="535">
        <f>SUM(H24:H27)</f>
        <v>137302.59</v>
      </c>
      <c r="J22" s="403"/>
    </row>
    <row r="23" spans="1:11">
      <c r="A23" s="569"/>
      <c r="B23" s="571" t="s">
        <v>2016</v>
      </c>
      <c r="C23" s="562"/>
      <c r="D23" s="572"/>
      <c r="E23" s="573"/>
      <c r="F23" s="574"/>
      <c r="G23" s="575"/>
      <c r="H23" s="576"/>
      <c r="I23" s="575"/>
    </row>
    <row r="24" spans="1:11" ht="79.5">
      <c r="A24" s="569"/>
      <c r="B24" s="570" t="s">
        <v>2017</v>
      </c>
      <c r="C24" s="562" t="s">
        <v>29</v>
      </c>
      <c r="D24" s="577">
        <v>1</v>
      </c>
      <c r="E24" s="578"/>
      <c r="F24" s="579">
        <v>65361.7</v>
      </c>
      <c r="G24" s="566">
        <f>+E24*D24</f>
        <v>0</v>
      </c>
      <c r="H24" s="580">
        <f>+F24*D24</f>
        <v>65361.7</v>
      </c>
      <c r="I24" s="566" t="e">
        <f>+G24+(H24*$I$3)</f>
        <v>#REF!</v>
      </c>
      <c r="K24" s="236"/>
    </row>
    <row r="25" spans="1:11">
      <c r="A25" s="569"/>
      <c r="B25" s="571" t="s">
        <v>2018</v>
      </c>
      <c r="C25" s="562" t="s">
        <v>36</v>
      </c>
      <c r="D25" s="577">
        <v>49</v>
      </c>
      <c r="E25" s="578"/>
      <c r="F25" s="579">
        <v>814.26</v>
      </c>
      <c r="G25" s="566">
        <f>+E25*D25</f>
        <v>0</v>
      </c>
      <c r="H25" s="580">
        <f>+F25*D25</f>
        <v>39898.74</v>
      </c>
      <c r="I25" s="566" t="e">
        <f>+G25+(H25*$I$3)</f>
        <v>#REF!</v>
      </c>
    </row>
    <row r="26" spans="1:11">
      <c r="A26" s="569"/>
      <c r="B26" s="571" t="s">
        <v>2019</v>
      </c>
      <c r="C26" s="562"/>
      <c r="D26" s="577"/>
      <c r="E26" s="578"/>
      <c r="F26" s="579">
        <v>0</v>
      </c>
      <c r="G26" s="566"/>
      <c r="H26" s="580"/>
      <c r="I26" s="566"/>
    </row>
    <row r="27" spans="1:11" ht="45.75">
      <c r="A27" s="569"/>
      <c r="B27" s="570" t="s">
        <v>2020</v>
      </c>
      <c r="C27" s="562" t="s">
        <v>29</v>
      </c>
      <c r="D27" s="577">
        <v>1</v>
      </c>
      <c r="E27" s="578"/>
      <c r="F27" s="579">
        <v>32042.15</v>
      </c>
      <c r="G27" s="566">
        <f>+E27*D27</f>
        <v>0</v>
      </c>
      <c r="H27" s="580">
        <f>+F27*D27</f>
        <v>32042.15</v>
      </c>
      <c r="I27" s="566" t="e">
        <f>+G27+(H27*$I$3)</f>
        <v>#REF!</v>
      </c>
    </row>
    <row r="30" spans="1:11">
      <c r="I30" s="406"/>
      <c r="J30" s="291"/>
    </row>
  </sheetData>
  <mergeCells count="8">
    <mergeCell ref="I19:I21"/>
    <mergeCell ref="E19:E21"/>
    <mergeCell ref="C19:C21"/>
    <mergeCell ref="A2:H2"/>
    <mergeCell ref="D19:D21"/>
    <mergeCell ref="F19:F21"/>
    <mergeCell ref="G19:G21"/>
    <mergeCell ref="H19:H2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6E3C5-A03C-4E1C-88DC-55DE096A8352}">
  <dimension ref="A1:I136"/>
  <sheetViews>
    <sheetView topLeftCell="A15" workbookViewId="0">
      <selection activeCell="F15" sqref="F15"/>
    </sheetView>
  </sheetViews>
  <sheetFormatPr defaultColWidth="11.42578125" defaultRowHeight="15"/>
  <cols>
    <col min="2" max="2" width="67" style="475" customWidth="1"/>
    <col min="3" max="3" width="4.7109375" style="54" bestFit="1" customWidth="1"/>
    <col min="4" max="4" width="11.5703125" style="424"/>
    <col min="6" max="6" width="11.5703125" style="409"/>
  </cols>
  <sheetData>
    <row r="1" spans="1:9">
      <c r="A1" s="35"/>
      <c r="B1" s="387"/>
      <c r="C1" s="3"/>
      <c r="D1" s="434"/>
      <c r="E1" s="388"/>
      <c r="F1" s="389"/>
      <c r="G1" s="388"/>
      <c r="H1" s="389"/>
      <c r="I1" s="390"/>
    </row>
    <row r="2" spans="1:9">
      <c r="A2" s="619" t="s">
        <v>2021</v>
      </c>
      <c r="B2" s="619"/>
      <c r="C2" s="619"/>
      <c r="D2" s="619"/>
      <c r="E2" s="619"/>
      <c r="F2" s="619"/>
      <c r="G2" s="619"/>
      <c r="H2" s="619"/>
      <c r="I2" s="390"/>
    </row>
    <row r="3" spans="1:9">
      <c r="A3" s="35"/>
      <c r="B3" s="387"/>
      <c r="C3" s="3"/>
      <c r="D3" s="434"/>
      <c r="E3" s="388"/>
      <c r="F3" s="389"/>
      <c r="G3" s="388"/>
      <c r="H3" s="391" t="s">
        <v>1420</v>
      </c>
      <c r="I3" s="392">
        <v>3.75</v>
      </c>
    </row>
    <row r="4" spans="1:9">
      <c r="A4" s="147" t="s">
        <v>0</v>
      </c>
      <c r="B4" s="393" t="s">
        <v>1421</v>
      </c>
      <c r="C4" s="3"/>
      <c r="D4" s="434"/>
      <c r="E4" s="388"/>
      <c r="F4" s="389"/>
      <c r="G4" s="388"/>
      <c r="H4" s="389"/>
      <c r="I4" s="390"/>
    </row>
    <row r="5" spans="1:9">
      <c r="A5" s="147" t="s">
        <v>14</v>
      </c>
      <c r="B5" s="393" t="s">
        <v>2022</v>
      </c>
      <c r="C5" s="3"/>
      <c r="D5" s="434"/>
      <c r="E5" s="388"/>
      <c r="F5" s="389"/>
      <c r="G5" s="388"/>
      <c r="H5" s="389"/>
      <c r="I5" s="390"/>
    </row>
    <row r="6" spans="1:9">
      <c r="A6" s="147" t="s">
        <v>1</v>
      </c>
      <c r="B6" s="393" t="s">
        <v>1422</v>
      </c>
      <c r="C6" s="3"/>
      <c r="D6" s="434"/>
      <c r="E6" s="388"/>
      <c r="F6" s="405" t="s">
        <v>1423</v>
      </c>
      <c r="G6" s="394">
        <v>45394</v>
      </c>
      <c r="H6" s="395"/>
      <c r="I6" s="390"/>
    </row>
    <row r="7" spans="1:9" ht="15.75" thickBot="1">
      <c r="A7" s="147" t="s">
        <v>3</v>
      </c>
      <c r="B7" s="393"/>
      <c r="C7" s="3"/>
      <c r="D7" s="434"/>
      <c r="E7" s="388"/>
      <c r="F7" s="389"/>
      <c r="G7" s="388"/>
      <c r="H7" s="389"/>
      <c r="I7" s="390"/>
    </row>
    <row r="8" spans="1:9" ht="23.25" thickTop="1">
      <c r="A8" s="396" t="s">
        <v>5</v>
      </c>
      <c r="B8" s="397" t="s">
        <v>16</v>
      </c>
      <c r="C8" s="398" t="s">
        <v>17</v>
      </c>
      <c r="D8" s="399" t="s">
        <v>18</v>
      </c>
      <c r="E8" s="400" t="s">
        <v>1424</v>
      </c>
      <c r="F8" s="401" t="s">
        <v>1425</v>
      </c>
      <c r="G8" s="400" t="s">
        <v>1426</v>
      </c>
      <c r="H8" s="401" t="s">
        <v>1427</v>
      </c>
      <c r="I8" s="402" t="s">
        <v>13</v>
      </c>
    </row>
    <row r="9" spans="1:9">
      <c r="A9" s="529"/>
      <c r="B9" s="581" t="s">
        <v>2023</v>
      </c>
      <c r="C9" s="531"/>
      <c r="D9" s="534"/>
      <c r="E9" s="534"/>
      <c r="F9" s="535"/>
      <c r="G9" s="534"/>
      <c r="H9" s="535"/>
      <c r="I9" s="535">
        <f>SUM(H11:H121)</f>
        <v>108816.75</v>
      </c>
    </row>
    <row r="10" spans="1:9">
      <c r="A10" s="582"/>
      <c r="B10" s="583" t="s">
        <v>2024</v>
      </c>
      <c r="C10" s="584"/>
      <c r="D10" s="585"/>
      <c r="E10" s="582"/>
      <c r="F10" s="586"/>
      <c r="G10" s="582"/>
      <c r="H10" s="582"/>
      <c r="I10" s="582"/>
    </row>
    <row r="11" spans="1:9" s="469" customFormat="1" ht="45">
      <c r="A11" s="587"/>
      <c r="B11" s="588" t="s">
        <v>2025</v>
      </c>
      <c r="C11" s="584"/>
      <c r="D11" s="589">
        <v>1</v>
      </c>
      <c r="E11" s="587"/>
      <c r="F11" s="590">
        <v>1348.85</v>
      </c>
      <c r="G11" s="591">
        <f>+ROUND(E11*D11,2)</f>
        <v>0</v>
      </c>
      <c r="H11" s="592">
        <f>+ROUND(F11*D11,2)</f>
        <v>1348.85</v>
      </c>
      <c r="I11" s="591">
        <f>+ROUND(G11+(H11*$I$3),2)</f>
        <v>5058.1899999999996</v>
      </c>
    </row>
    <row r="12" spans="1:9" s="469" customFormat="1" ht="45">
      <c r="A12" s="587"/>
      <c r="B12" s="588" t="s">
        <v>2026</v>
      </c>
      <c r="C12" s="584"/>
      <c r="D12" s="589">
        <v>1</v>
      </c>
      <c r="E12" s="587"/>
      <c r="F12" s="590">
        <v>1521.35</v>
      </c>
      <c r="G12" s="591">
        <f t="shared" ref="G12:G75" si="0">+ROUND(E12*D12,2)</f>
        <v>0</v>
      </c>
      <c r="H12" s="592">
        <f t="shared" ref="H12:H75" si="1">+ROUND(F12*D12,2)</f>
        <v>1521.35</v>
      </c>
      <c r="I12" s="591">
        <f t="shared" ref="I12:I75" si="2">+ROUND(G12+(H12*$I$3),2)</f>
        <v>5705.06</v>
      </c>
    </row>
    <row r="13" spans="1:9" s="469" customFormat="1" ht="45">
      <c r="A13" s="587"/>
      <c r="B13" s="588" t="s">
        <v>2027</v>
      </c>
      <c r="C13" s="584"/>
      <c r="D13" s="589">
        <v>1</v>
      </c>
      <c r="E13" s="587"/>
      <c r="F13" s="590">
        <v>965.1</v>
      </c>
      <c r="G13" s="591">
        <f t="shared" si="0"/>
        <v>0</v>
      </c>
      <c r="H13" s="592">
        <f t="shared" si="1"/>
        <v>965.1</v>
      </c>
      <c r="I13" s="591">
        <f t="shared" si="2"/>
        <v>3619.13</v>
      </c>
    </row>
    <row r="14" spans="1:9" s="469" customFormat="1" ht="45">
      <c r="A14" s="587"/>
      <c r="B14" s="588" t="s">
        <v>2028</v>
      </c>
      <c r="C14" s="584"/>
      <c r="D14" s="589">
        <v>1</v>
      </c>
      <c r="E14" s="587"/>
      <c r="F14" s="590">
        <v>965.1</v>
      </c>
      <c r="G14" s="591">
        <f t="shared" si="0"/>
        <v>0</v>
      </c>
      <c r="H14" s="592">
        <f t="shared" si="1"/>
        <v>965.1</v>
      </c>
      <c r="I14" s="591">
        <f t="shared" si="2"/>
        <v>3619.13</v>
      </c>
    </row>
    <row r="15" spans="1:9" s="469" customFormat="1" ht="45">
      <c r="A15" s="587"/>
      <c r="B15" s="588" t="s">
        <v>2029</v>
      </c>
      <c r="C15" s="584"/>
      <c r="D15" s="589">
        <v>1</v>
      </c>
      <c r="E15" s="587"/>
      <c r="F15" s="590">
        <v>2030.1</v>
      </c>
      <c r="G15" s="591">
        <f t="shared" si="0"/>
        <v>0</v>
      </c>
      <c r="H15" s="592">
        <f t="shared" si="1"/>
        <v>2030.1</v>
      </c>
      <c r="I15" s="591">
        <f t="shared" si="2"/>
        <v>7612.88</v>
      </c>
    </row>
    <row r="16" spans="1:9" s="469" customFormat="1" ht="45">
      <c r="A16" s="587"/>
      <c r="B16" s="588" t="s">
        <v>2030</v>
      </c>
      <c r="C16" s="584"/>
      <c r="D16" s="589">
        <v>1</v>
      </c>
      <c r="E16" s="587"/>
      <c r="F16" s="590">
        <v>1658.85</v>
      </c>
      <c r="G16" s="591">
        <f t="shared" si="0"/>
        <v>0</v>
      </c>
      <c r="H16" s="592">
        <f t="shared" si="1"/>
        <v>1658.85</v>
      </c>
      <c r="I16" s="591">
        <f t="shared" si="2"/>
        <v>6220.69</v>
      </c>
    </row>
    <row r="17" spans="1:9" s="469" customFormat="1">
      <c r="A17" s="587"/>
      <c r="B17" s="588" t="s">
        <v>2031</v>
      </c>
      <c r="C17" s="584"/>
      <c r="D17" s="589">
        <v>4</v>
      </c>
      <c r="E17" s="587"/>
      <c r="F17" s="590">
        <v>175.1</v>
      </c>
      <c r="G17" s="591">
        <f t="shared" si="0"/>
        <v>0</v>
      </c>
      <c r="H17" s="592">
        <f t="shared" si="1"/>
        <v>700.4</v>
      </c>
      <c r="I17" s="591">
        <f t="shared" si="2"/>
        <v>2626.5</v>
      </c>
    </row>
    <row r="18" spans="1:9" s="469" customFormat="1">
      <c r="A18" s="587"/>
      <c r="B18" s="588" t="s">
        <v>2032</v>
      </c>
      <c r="C18" s="584"/>
      <c r="D18" s="589">
        <v>2</v>
      </c>
      <c r="E18" s="587"/>
      <c r="F18" s="590">
        <v>412.6</v>
      </c>
      <c r="G18" s="591">
        <f t="shared" si="0"/>
        <v>0</v>
      </c>
      <c r="H18" s="592">
        <f t="shared" si="1"/>
        <v>825.2</v>
      </c>
      <c r="I18" s="591">
        <f t="shared" si="2"/>
        <v>3094.5</v>
      </c>
    </row>
    <row r="19" spans="1:9" s="469" customFormat="1">
      <c r="A19" s="587"/>
      <c r="B19" s="588" t="s">
        <v>2033</v>
      </c>
      <c r="C19" s="584"/>
      <c r="D19" s="589">
        <v>1</v>
      </c>
      <c r="E19" s="587"/>
      <c r="F19" s="590">
        <v>200.1</v>
      </c>
      <c r="G19" s="591">
        <f t="shared" si="0"/>
        <v>0</v>
      </c>
      <c r="H19" s="592">
        <f t="shared" si="1"/>
        <v>200.1</v>
      </c>
      <c r="I19" s="591">
        <f t="shared" si="2"/>
        <v>750.38</v>
      </c>
    </row>
    <row r="20" spans="1:9" s="469" customFormat="1">
      <c r="A20" s="587"/>
      <c r="B20" s="588" t="s">
        <v>2034</v>
      </c>
      <c r="C20" s="584"/>
      <c r="D20" s="589">
        <v>2</v>
      </c>
      <c r="E20" s="587"/>
      <c r="F20" s="590">
        <v>225.1</v>
      </c>
      <c r="G20" s="591">
        <f t="shared" si="0"/>
        <v>0</v>
      </c>
      <c r="H20" s="592">
        <f t="shared" si="1"/>
        <v>450.2</v>
      </c>
      <c r="I20" s="591">
        <f t="shared" si="2"/>
        <v>1688.25</v>
      </c>
    </row>
    <row r="21" spans="1:9" s="469" customFormat="1">
      <c r="A21" s="587"/>
      <c r="B21" s="588" t="s">
        <v>2035</v>
      </c>
      <c r="C21" s="584"/>
      <c r="D21" s="589">
        <v>1</v>
      </c>
      <c r="E21" s="587"/>
      <c r="F21" s="590">
        <v>231.35</v>
      </c>
      <c r="G21" s="591">
        <f t="shared" si="0"/>
        <v>0</v>
      </c>
      <c r="H21" s="592">
        <f t="shared" si="1"/>
        <v>231.35</v>
      </c>
      <c r="I21" s="591">
        <f t="shared" si="2"/>
        <v>867.56</v>
      </c>
    </row>
    <row r="22" spans="1:9" s="469" customFormat="1">
      <c r="A22" s="582"/>
      <c r="B22" s="583" t="s">
        <v>2036</v>
      </c>
      <c r="C22" s="584"/>
      <c r="D22" s="585"/>
      <c r="E22" s="582"/>
      <c r="F22" s="586">
        <v>0.1</v>
      </c>
      <c r="G22" s="591">
        <f t="shared" si="0"/>
        <v>0</v>
      </c>
      <c r="H22" s="592">
        <f t="shared" si="1"/>
        <v>0</v>
      </c>
      <c r="I22" s="591">
        <f t="shared" si="2"/>
        <v>0</v>
      </c>
    </row>
    <row r="23" spans="1:9" s="469" customFormat="1" ht="45">
      <c r="A23" s="587"/>
      <c r="B23" s="588" t="s">
        <v>2037</v>
      </c>
      <c r="C23" s="584"/>
      <c r="D23" s="589">
        <v>2</v>
      </c>
      <c r="E23" s="587"/>
      <c r="F23" s="590">
        <v>551.35</v>
      </c>
      <c r="G23" s="591">
        <f t="shared" si="0"/>
        <v>0</v>
      </c>
      <c r="H23" s="592">
        <f t="shared" si="1"/>
        <v>1102.7</v>
      </c>
      <c r="I23" s="591">
        <f t="shared" si="2"/>
        <v>4135.13</v>
      </c>
    </row>
    <row r="24" spans="1:9" s="469" customFormat="1" ht="45">
      <c r="A24" s="587"/>
      <c r="B24" s="588" t="s">
        <v>2038</v>
      </c>
      <c r="C24" s="584"/>
      <c r="D24" s="589">
        <v>2</v>
      </c>
      <c r="E24" s="587"/>
      <c r="F24" s="590">
        <v>551.35</v>
      </c>
      <c r="G24" s="591">
        <f t="shared" si="0"/>
        <v>0</v>
      </c>
      <c r="H24" s="592">
        <f t="shared" si="1"/>
        <v>1102.7</v>
      </c>
      <c r="I24" s="591">
        <f t="shared" si="2"/>
        <v>4135.13</v>
      </c>
    </row>
    <row r="25" spans="1:9" s="469" customFormat="1" ht="45">
      <c r="A25" s="587"/>
      <c r="B25" s="588" t="s">
        <v>2039</v>
      </c>
      <c r="C25" s="584"/>
      <c r="D25" s="589">
        <v>2</v>
      </c>
      <c r="E25" s="587"/>
      <c r="F25" s="590">
        <v>551.35</v>
      </c>
      <c r="G25" s="591">
        <f t="shared" si="0"/>
        <v>0</v>
      </c>
      <c r="H25" s="592">
        <f t="shared" si="1"/>
        <v>1102.7</v>
      </c>
      <c r="I25" s="591">
        <f t="shared" si="2"/>
        <v>4135.13</v>
      </c>
    </row>
    <row r="26" spans="1:9" s="469" customFormat="1" ht="45">
      <c r="A26" s="587"/>
      <c r="B26" s="588" t="s">
        <v>2040</v>
      </c>
      <c r="C26" s="584"/>
      <c r="D26" s="589">
        <v>1</v>
      </c>
      <c r="E26" s="587"/>
      <c r="F26" s="590">
        <v>551.35</v>
      </c>
      <c r="G26" s="591">
        <f t="shared" si="0"/>
        <v>0</v>
      </c>
      <c r="H26" s="592">
        <f t="shared" si="1"/>
        <v>551.35</v>
      </c>
      <c r="I26" s="591">
        <f t="shared" si="2"/>
        <v>2067.56</v>
      </c>
    </row>
    <row r="27" spans="1:9" s="469" customFormat="1" ht="45">
      <c r="A27" s="587"/>
      <c r="B27" s="588" t="s">
        <v>2041</v>
      </c>
      <c r="C27" s="584"/>
      <c r="D27" s="589">
        <v>2</v>
      </c>
      <c r="E27" s="587"/>
      <c r="F27" s="590">
        <v>551.35</v>
      </c>
      <c r="G27" s="591">
        <f t="shared" si="0"/>
        <v>0</v>
      </c>
      <c r="H27" s="592">
        <f t="shared" si="1"/>
        <v>1102.7</v>
      </c>
      <c r="I27" s="591">
        <f t="shared" si="2"/>
        <v>4135.13</v>
      </c>
    </row>
    <row r="28" spans="1:9" s="469" customFormat="1" ht="45">
      <c r="A28" s="587"/>
      <c r="B28" s="588" t="s">
        <v>2042</v>
      </c>
      <c r="C28" s="584"/>
      <c r="D28" s="589">
        <v>1.5</v>
      </c>
      <c r="E28" s="587"/>
      <c r="F28" s="590">
        <v>551.35</v>
      </c>
      <c r="G28" s="591">
        <f t="shared" si="0"/>
        <v>0</v>
      </c>
      <c r="H28" s="592">
        <f t="shared" si="1"/>
        <v>827.03</v>
      </c>
      <c r="I28" s="591">
        <f t="shared" si="2"/>
        <v>3101.36</v>
      </c>
    </row>
    <row r="29" spans="1:9" s="469" customFormat="1" ht="45">
      <c r="A29" s="587"/>
      <c r="B29" s="588" t="s">
        <v>2043</v>
      </c>
      <c r="C29" s="584"/>
      <c r="D29" s="589">
        <v>2</v>
      </c>
      <c r="E29" s="587"/>
      <c r="F29" s="590">
        <v>565.1</v>
      </c>
      <c r="G29" s="591">
        <f t="shared" si="0"/>
        <v>0</v>
      </c>
      <c r="H29" s="592">
        <f t="shared" si="1"/>
        <v>1130.2</v>
      </c>
      <c r="I29" s="591">
        <f t="shared" si="2"/>
        <v>4238.25</v>
      </c>
    </row>
    <row r="30" spans="1:9" s="469" customFormat="1" ht="45">
      <c r="A30" s="587"/>
      <c r="B30" s="588" t="s">
        <v>2044</v>
      </c>
      <c r="C30" s="584"/>
      <c r="D30" s="589">
        <v>2</v>
      </c>
      <c r="E30" s="587"/>
      <c r="F30" s="590">
        <v>565.1</v>
      </c>
      <c r="G30" s="591">
        <f t="shared" si="0"/>
        <v>0</v>
      </c>
      <c r="H30" s="592">
        <f t="shared" si="1"/>
        <v>1130.2</v>
      </c>
      <c r="I30" s="591">
        <f t="shared" si="2"/>
        <v>4238.25</v>
      </c>
    </row>
    <row r="31" spans="1:9" s="469" customFormat="1" ht="45">
      <c r="A31" s="587"/>
      <c r="B31" s="588" t="s">
        <v>2045</v>
      </c>
      <c r="C31" s="584"/>
      <c r="D31" s="589">
        <v>3</v>
      </c>
      <c r="E31" s="587"/>
      <c r="F31" s="590">
        <v>565.1</v>
      </c>
      <c r="G31" s="591">
        <f t="shared" si="0"/>
        <v>0</v>
      </c>
      <c r="H31" s="592">
        <f t="shared" si="1"/>
        <v>1695.3</v>
      </c>
      <c r="I31" s="591">
        <f t="shared" si="2"/>
        <v>6357.38</v>
      </c>
    </row>
    <row r="32" spans="1:9" s="469" customFormat="1" ht="45">
      <c r="A32" s="587"/>
      <c r="B32" s="588" t="s">
        <v>2046</v>
      </c>
      <c r="C32" s="584"/>
      <c r="D32" s="589">
        <v>2</v>
      </c>
      <c r="E32" s="587"/>
      <c r="F32" s="590">
        <v>565.1</v>
      </c>
      <c r="G32" s="591">
        <f t="shared" si="0"/>
        <v>0</v>
      </c>
      <c r="H32" s="592">
        <f t="shared" si="1"/>
        <v>1130.2</v>
      </c>
      <c r="I32" s="591">
        <f t="shared" si="2"/>
        <v>4238.25</v>
      </c>
    </row>
    <row r="33" spans="1:9" s="469" customFormat="1" ht="45">
      <c r="A33" s="587"/>
      <c r="B33" s="588" t="s">
        <v>2047</v>
      </c>
      <c r="C33" s="584"/>
      <c r="D33" s="589">
        <v>1</v>
      </c>
      <c r="E33" s="587"/>
      <c r="F33" s="590">
        <v>565.1</v>
      </c>
      <c r="G33" s="591">
        <f t="shared" si="0"/>
        <v>0</v>
      </c>
      <c r="H33" s="592">
        <f t="shared" si="1"/>
        <v>565.1</v>
      </c>
      <c r="I33" s="591">
        <f t="shared" si="2"/>
        <v>2119.13</v>
      </c>
    </row>
    <row r="34" spans="1:9" s="469" customFormat="1" ht="45">
      <c r="A34" s="587"/>
      <c r="B34" s="588" t="s">
        <v>2048</v>
      </c>
      <c r="C34" s="584"/>
      <c r="D34" s="589">
        <v>2</v>
      </c>
      <c r="E34" s="587"/>
      <c r="F34" s="590">
        <v>565.1</v>
      </c>
      <c r="G34" s="591">
        <f t="shared" si="0"/>
        <v>0</v>
      </c>
      <c r="H34" s="592">
        <f t="shared" si="1"/>
        <v>1130.2</v>
      </c>
      <c r="I34" s="591">
        <f t="shared" si="2"/>
        <v>4238.25</v>
      </c>
    </row>
    <row r="35" spans="1:9" s="469" customFormat="1" ht="45">
      <c r="A35" s="587"/>
      <c r="B35" s="588" t="s">
        <v>2049</v>
      </c>
      <c r="C35" s="584"/>
      <c r="D35" s="589">
        <v>11</v>
      </c>
      <c r="E35" s="587"/>
      <c r="F35" s="590">
        <v>1000.1</v>
      </c>
      <c r="G35" s="591">
        <f t="shared" si="0"/>
        <v>0</v>
      </c>
      <c r="H35" s="592">
        <f t="shared" si="1"/>
        <v>11001.1</v>
      </c>
      <c r="I35" s="591">
        <f t="shared" si="2"/>
        <v>41254.129999999997</v>
      </c>
    </row>
    <row r="36" spans="1:9" s="469" customFormat="1" ht="45">
      <c r="A36" s="587"/>
      <c r="B36" s="588" t="s">
        <v>2050</v>
      </c>
      <c r="C36" s="584"/>
      <c r="D36" s="589">
        <v>11</v>
      </c>
      <c r="E36" s="587"/>
      <c r="F36" s="590">
        <v>175.1</v>
      </c>
      <c r="G36" s="591">
        <f t="shared" si="0"/>
        <v>0</v>
      </c>
      <c r="H36" s="592">
        <f t="shared" si="1"/>
        <v>1926.1</v>
      </c>
      <c r="I36" s="591">
        <f t="shared" si="2"/>
        <v>7222.88</v>
      </c>
    </row>
    <row r="37" spans="1:9" s="469" customFormat="1">
      <c r="A37" s="587"/>
      <c r="B37" s="588" t="s">
        <v>2051</v>
      </c>
      <c r="C37" s="584"/>
      <c r="D37" s="589">
        <v>23</v>
      </c>
      <c r="E37" s="587"/>
      <c r="F37" s="590">
        <v>68.849999999999994</v>
      </c>
      <c r="G37" s="591">
        <f t="shared" si="0"/>
        <v>0</v>
      </c>
      <c r="H37" s="592">
        <f t="shared" si="1"/>
        <v>1583.55</v>
      </c>
      <c r="I37" s="591">
        <f t="shared" si="2"/>
        <v>5938.31</v>
      </c>
    </row>
    <row r="38" spans="1:9" s="469" customFormat="1">
      <c r="A38" s="582"/>
      <c r="B38" s="583" t="s">
        <v>2052</v>
      </c>
      <c r="C38" s="584"/>
      <c r="D38" s="585"/>
      <c r="E38" s="582"/>
      <c r="F38" s="586">
        <v>0.1</v>
      </c>
      <c r="G38" s="591">
        <f t="shared" si="0"/>
        <v>0</v>
      </c>
      <c r="H38" s="592">
        <f t="shared" si="1"/>
        <v>0</v>
      </c>
      <c r="I38" s="591">
        <f t="shared" si="2"/>
        <v>0</v>
      </c>
    </row>
    <row r="39" spans="1:9" s="469" customFormat="1" ht="45">
      <c r="A39" s="587"/>
      <c r="B39" s="588" t="s">
        <v>2053</v>
      </c>
      <c r="C39" s="584"/>
      <c r="D39" s="589">
        <v>1</v>
      </c>
      <c r="E39" s="587"/>
      <c r="F39" s="590">
        <v>608.85</v>
      </c>
      <c r="G39" s="591">
        <f t="shared" si="0"/>
        <v>0</v>
      </c>
      <c r="H39" s="592">
        <f t="shared" si="1"/>
        <v>608.85</v>
      </c>
      <c r="I39" s="591">
        <f t="shared" si="2"/>
        <v>2283.19</v>
      </c>
    </row>
    <row r="40" spans="1:9" s="469" customFormat="1" ht="45">
      <c r="A40" s="587"/>
      <c r="B40" s="588" t="s">
        <v>2054</v>
      </c>
      <c r="C40" s="584"/>
      <c r="D40" s="589">
        <v>1</v>
      </c>
      <c r="E40" s="587"/>
      <c r="F40" s="590">
        <v>608.85</v>
      </c>
      <c r="G40" s="591">
        <f t="shared" si="0"/>
        <v>0</v>
      </c>
      <c r="H40" s="592">
        <f t="shared" si="1"/>
        <v>608.85</v>
      </c>
      <c r="I40" s="591">
        <f t="shared" si="2"/>
        <v>2283.19</v>
      </c>
    </row>
    <row r="41" spans="1:9" s="469" customFormat="1">
      <c r="A41" s="587"/>
      <c r="B41" s="588" t="s">
        <v>2055</v>
      </c>
      <c r="C41" s="584"/>
      <c r="D41" s="589">
        <v>2</v>
      </c>
      <c r="E41" s="587"/>
      <c r="F41" s="590">
        <v>312.60000000000002</v>
      </c>
      <c r="G41" s="591">
        <f t="shared" si="0"/>
        <v>0</v>
      </c>
      <c r="H41" s="592">
        <f t="shared" si="1"/>
        <v>625.20000000000005</v>
      </c>
      <c r="I41" s="591">
        <f t="shared" si="2"/>
        <v>2344.5</v>
      </c>
    </row>
    <row r="42" spans="1:9" s="469" customFormat="1">
      <c r="A42" s="582"/>
      <c r="B42" s="583" t="s">
        <v>2056</v>
      </c>
      <c r="C42" s="584"/>
      <c r="D42" s="585"/>
      <c r="E42" s="582"/>
      <c r="F42" s="586">
        <v>0.1</v>
      </c>
      <c r="G42" s="591">
        <f t="shared" si="0"/>
        <v>0</v>
      </c>
      <c r="H42" s="592">
        <f t="shared" si="1"/>
        <v>0</v>
      </c>
      <c r="I42" s="591">
        <f t="shared" si="2"/>
        <v>0</v>
      </c>
    </row>
    <row r="43" spans="1:9" s="469" customFormat="1" ht="45">
      <c r="A43" s="587"/>
      <c r="B43" s="588" t="s">
        <v>2057</v>
      </c>
      <c r="C43" s="584"/>
      <c r="D43" s="589">
        <v>1</v>
      </c>
      <c r="E43" s="587"/>
      <c r="F43" s="590">
        <v>533.85</v>
      </c>
      <c r="G43" s="591">
        <f t="shared" si="0"/>
        <v>0</v>
      </c>
      <c r="H43" s="592">
        <f t="shared" si="1"/>
        <v>533.85</v>
      </c>
      <c r="I43" s="591">
        <f t="shared" si="2"/>
        <v>2001.94</v>
      </c>
    </row>
    <row r="44" spans="1:9" s="469" customFormat="1">
      <c r="A44" s="587"/>
      <c r="B44" s="588" t="s">
        <v>2058</v>
      </c>
      <c r="C44" s="584"/>
      <c r="D44" s="589">
        <v>1</v>
      </c>
      <c r="E44" s="587"/>
      <c r="F44" s="590">
        <v>300.10000000000002</v>
      </c>
      <c r="G44" s="591">
        <f t="shared" si="0"/>
        <v>0</v>
      </c>
      <c r="H44" s="592">
        <f t="shared" si="1"/>
        <v>300.10000000000002</v>
      </c>
      <c r="I44" s="591">
        <f t="shared" si="2"/>
        <v>1125.3800000000001</v>
      </c>
    </row>
    <row r="45" spans="1:9" s="469" customFormat="1">
      <c r="A45" s="587"/>
      <c r="B45" s="588" t="s">
        <v>2059</v>
      </c>
      <c r="C45" s="584"/>
      <c r="D45" s="589"/>
      <c r="E45" s="587"/>
      <c r="F45" s="590">
        <v>0.1</v>
      </c>
      <c r="G45" s="591">
        <f t="shared" si="0"/>
        <v>0</v>
      </c>
      <c r="H45" s="592">
        <f t="shared" si="1"/>
        <v>0</v>
      </c>
      <c r="I45" s="591">
        <f t="shared" si="2"/>
        <v>0</v>
      </c>
    </row>
    <row r="46" spans="1:9" s="469" customFormat="1" ht="45">
      <c r="A46" s="587"/>
      <c r="B46" s="588" t="s">
        <v>2060</v>
      </c>
      <c r="C46" s="584"/>
      <c r="D46" s="589">
        <v>1</v>
      </c>
      <c r="E46" s="587"/>
      <c r="F46" s="590">
        <v>112.6</v>
      </c>
      <c r="G46" s="591">
        <f t="shared" si="0"/>
        <v>0</v>
      </c>
      <c r="H46" s="592">
        <f t="shared" si="1"/>
        <v>112.6</v>
      </c>
      <c r="I46" s="591">
        <f t="shared" si="2"/>
        <v>422.25</v>
      </c>
    </row>
    <row r="47" spans="1:9" s="469" customFormat="1">
      <c r="A47" s="587"/>
      <c r="B47" s="588" t="s">
        <v>2061</v>
      </c>
      <c r="C47" s="584"/>
      <c r="D47" s="589">
        <v>1</v>
      </c>
      <c r="E47" s="587"/>
      <c r="F47" s="590">
        <v>275.10000000000002</v>
      </c>
      <c r="G47" s="591">
        <f t="shared" si="0"/>
        <v>0</v>
      </c>
      <c r="H47" s="592">
        <f t="shared" si="1"/>
        <v>275.10000000000002</v>
      </c>
      <c r="I47" s="591">
        <f t="shared" si="2"/>
        <v>1031.6300000000001</v>
      </c>
    </row>
    <row r="48" spans="1:9" s="469" customFormat="1">
      <c r="A48" s="587"/>
      <c r="B48" s="588" t="s">
        <v>2062</v>
      </c>
      <c r="C48" s="584"/>
      <c r="D48" s="589">
        <v>1</v>
      </c>
      <c r="E48" s="587"/>
      <c r="F48" s="590">
        <v>525.1</v>
      </c>
      <c r="G48" s="591">
        <f t="shared" si="0"/>
        <v>0</v>
      </c>
      <c r="H48" s="592">
        <f t="shared" si="1"/>
        <v>525.1</v>
      </c>
      <c r="I48" s="591">
        <f t="shared" si="2"/>
        <v>1969.13</v>
      </c>
    </row>
    <row r="49" spans="1:9" s="469" customFormat="1">
      <c r="A49" s="582"/>
      <c r="B49" s="583" t="s">
        <v>2063</v>
      </c>
      <c r="C49" s="584"/>
      <c r="D49" s="585"/>
      <c r="E49" s="582"/>
      <c r="F49" s="586">
        <v>0.1</v>
      </c>
      <c r="G49" s="591">
        <f t="shared" si="0"/>
        <v>0</v>
      </c>
      <c r="H49" s="592">
        <f t="shared" si="1"/>
        <v>0</v>
      </c>
      <c r="I49" s="591">
        <f t="shared" si="2"/>
        <v>0</v>
      </c>
    </row>
    <row r="50" spans="1:9" s="469" customFormat="1" ht="45">
      <c r="A50" s="587"/>
      <c r="B50" s="588" t="s">
        <v>2064</v>
      </c>
      <c r="C50" s="584"/>
      <c r="D50" s="589">
        <v>1</v>
      </c>
      <c r="E50" s="587"/>
      <c r="F50" s="590">
        <v>78.849999999999994</v>
      </c>
      <c r="G50" s="591">
        <f t="shared" si="0"/>
        <v>0</v>
      </c>
      <c r="H50" s="592">
        <f t="shared" si="1"/>
        <v>78.849999999999994</v>
      </c>
      <c r="I50" s="591">
        <f t="shared" si="2"/>
        <v>295.69</v>
      </c>
    </row>
    <row r="51" spans="1:9" s="469" customFormat="1" ht="45">
      <c r="A51" s="587"/>
      <c r="B51" s="588" t="s">
        <v>2065</v>
      </c>
      <c r="C51" s="584"/>
      <c r="D51" s="589">
        <v>1</v>
      </c>
      <c r="E51" s="587"/>
      <c r="F51" s="590">
        <v>78.849999999999994</v>
      </c>
      <c r="G51" s="591">
        <f t="shared" si="0"/>
        <v>0</v>
      </c>
      <c r="H51" s="592">
        <f t="shared" si="1"/>
        <v>78.849999999999994</v>
      </c>
      <c r="I51" s="591">
        <f t="shared" si="2"/>
        <v>295.69</v>
      </c>
    </row>
    <row r="52" spans="1:9" s="469" customFormat="1">
      <c r="A52" s="582"/>
      <c r="B52" s="583" t="s">
        <v>2066</v>
      </c>
      <c r="C52" s="584"/>
      <c r="D52" s="585"/>
      <c r="E52" s="582"/>
      <c r="F52" s="586">
        <v>0.1</v>
      </c>
      <c r="G52" s="591">
        <f t="shared" si="0"/>
        <v>0</v>
      </c>
      <c r="H52" s="592">
        <f t="shared" si="1"/>
        <v>0</v>
      </c>
      <c r="I52" s="591">
        <f t="shared" si="2"/>
        <v>0</v>
      </c>
    </row>
    <row r="53" spans="1:9" s="469" customFormat="1" ht="45">
      <c r="A53" s="587"/>
      <c r="B53" s="588" t="s">
        <v>2067</v>
      </c>
      <c r="C53" s="584"/>
      <c r="D53" s="589">
        <v>1</v>
      </c>
      <c r="E53" s="587"/>
      <c r="F53" s="590">
        <v>81.349999999999994</v>
      </c>
      <c r="G53" s="591">
        <f t="shared" si="0"/>
        <v>0</v>
      </c>
      <c r="H53" s="592">
        <f t="shared" si="1"/>
        <v>81.349999999999994</v>
      </c>
      <c r="I53" s="591">
        <f t="shared" si="2"/>
        <v>305.06</v>
      </c>
    </row>
    <row r="54" spans="1:9" s="469" customFormat="1" ht="45">
      <c r="A54" s="587"/>
      <c r="B54" s="588" t="s">
        <v>2068</v>
      </c>
      <c r="C54" s="584"/>
      <c r="D54" s="589">
        <v>1</v>
      </c>
      <c r="E54" s="587"/>
      <c r="F54" s="590">
        <v>81.349999999999994</v>
      </c>
      <c r="G54" s="591">
        <f t="shared" si="0"/>
        <v>0</v>
      </c>
      <c r="H54" s="592">
        <f t="shared" si="1"/>
        <v>81.349999999999994</v>
      </c>
      <c r="I54" s="591">
        <f t="shared" si="2"/>
        <v>305.06</v>
      </c>
    </row>
    <row r="55" spans="1:9" s="469" customFormat="1">
      <c r="A55" s="582"/>
      <c r="B55" s="583" t="s">
        <v>2069</v>
      </c>
      <c r="C55" s="584"/>
      <c r="D55" s="585"/>
      <c r="E55" s="582"/>
      <c r="F55" s="586">
        <v>0.1</v>
      </c>
      <c r="G55" s="591">
        <f t="shared" si="0"/>
        <v>0</v>
      </c>
      <c r="H55" s="592">
        <f t="shared" si="1"/>
        <v>0</v>
      </c>
      <c r="I55" s="591">
        <f t="shared" si="2"/>
        <v>0</v>
      </c>
    </row>
    <row r="56" spans="1:9" s="469" customFormat="1" ht="45">
      <c r="A56" s="587"/>
      <c r="B56" s="588" t="s">
        <v>2070</v>
      </c>
      <c r="C56" s="584"/>
      <c r="D56" s="589">
        <v>1</v>
      </c>
      <c r="E56" s="587"/>
      <c r="F56" s="590">
        <v>711.35</v>
      </c>
      <c r="G56" s="591">
        <f t="shared" si="0"/>
        <v>0</v>
      </c>
      <c r="H56" s="592">
        <f t="shared" si="1"/>
        <v>711.35</v>
      </c>
      <c r="I56" s="591">
        <f t="shared" si="2"/>
        <v>2667.56</v>
      </c>
    </row>
    <row r="57" spans="1:9" s="469" customFormat="1" ht="45">
      <c r="A57" s="587"/>
      <c r="B57" s="588" t="s">
        <v>2071</v>
      </c>
      <c r="C57" s="584"/>
      <c r="D57" s="589">
        <v>1</v>
      </c>
      <c r="E57" s="587"/>
      <c r="F57" s="590">
        <v>836.35</v>
      </c>
      <c r="G57" s="591">
        <f t="shared" si="0"/>
        <v>0</v>
      </c>
      <c r="H57" s="592">
        <f t="shared" si="1"/>
        <v>836.35</v>
      </c>
      <c r="I57" s="591">
        <f t="shared" si="2"/>
        <v>3136.31</v>
      </c>
    </row>
    <row r="58" spans="1:9" s="469" customFormat="1" ht="45">
      <c r="A58" s="587"/>
      <c r="B58" s="588" t="s">
        <v>2072</v>
      </c>
      <c r="C58" s="584"/>
      <c r="D58" s="589">
        <v>1</v>
      </c>
      <c r="E58" s="587"/>
      <c r="F58" s="590">
        <v>711.35</v>
      </c>
      <c r="G58" s="591">
        <f t="shared" si="0"/>
        <v>0</v>
      </c>
      <c r="H58" s="592">
        <f t="shared" si="1"/>
        <v>711.35</v>
      </c>
      <c r="I58" s="591">
        <f t="shared" si="2"/>
        <v>2667.56</v>
      </c>
    </row>
    <row r="59" spans="1:9" s="469" customFormat="1" ht="45">
      <c r="A59" s="587"/>
      <c r="B59" s="588" t="s">
        <v>2073</v>
      </c>
      <c r="C59" s="584"/>
      <c r="D59" s="589">
        <v>1</v>
      </c>
      <c r="E59" s="587"/>
      <c r="F59" s="590">
        <v>836.35</v>
      </c>
      <c r="G59" s="591">
        <f t="shared" si="0"/>
        <v>0</v>
      </c>
      <c r="H59" s="592">
        <f t="shared" si="1"/>
        <v>836.35</v>
      </c>
      <c r="I59" s="591">
        <f t="shared" si="2"/>
        <v>3136.31</v>
      </c>
    </row>
    <row r="60" spans="1:9" s="469" customFormat="1">
      <c r="A60" s="587"/>
      <c r="B60" s="588" t="s">
        <v>2074</v>
      </c>
      <c r="C60" s="584"/>
      <c r="D60" s="589">
        <v>1</v>
      </c>
      <c r="E60" s="587"/>
      <c r="F60" s="590">
        <v>81.349999999999994</v>
      </c>
      <c r="G60" s="591">
        <f t="shared" si="0"/>
        <v>0</v>
      </c>
      <c r="H60" s="592">
        <f t="shared" si="1"/>
        <v>81.349999999999994</v>
      </c>
      <c r="I60" s="591">
        <f t="shared" si="2"/>
        <v>305.06</v>
      </c>
    </row>
    <row r="61" spans="1:9" s="469" customFormat="1">
      <c r="A61" s="587"/>
      <c r="B61" s="588" t="s">
        <v>2075</v>
      </c>
      <c r="C61" s="584"/>
      <c r="D61" s="589">
        <v>1</v>
      </c>
      <c r="E61" s="587"/>
      <c r="F61" s="590">
        <v>87.6</v>
      </c>
      <c r="G61" s="591">
        <f t="shared" si="0"/>
        <v>0</v>
      </c>
      <c r="H61" s="592">
        <f t="shared" si="1"/>
        <v>87.6</v>
      </c>
      <c r="I61" s="591">
        <f t="shared" si="2"/>
        <v>328.5</v>
      </c>
    </row>
    <row r="62" spans="1:9" s="469" customFormat="1">
      <c r="A62" s="582"/>
      <c r="B62" s="583" t="s">
        <v>2076</v>
      </c>
      <c r="C62" s="584"/>
      <c r="D62" s="585"/>
      <c r="E62" s="582"/>
      <c r="F62" s="586">
        <v>0.1</v>
      </c>
      <c r="G62" s="591">
        <f t="shared" si="0"/>
        <v>0</v>
      </c>
      <c r="H62" s="592">
        <f t="shared" si="1"/>
        <v>0</v>
      </c>
      <c r="I62" s="591">
        <f t="shared" si="2"/>
        <v>0</v>
      </c>
    </row>
    <row r="63" spans="1:9" s="469" customFormat="1" ht="45">
      <c r="A63" s="587"/>
      <c r="B63" s="588" t="s">
        <v>2077</v>
      </c>
      <c r="C63" s="584"/>
      <c r="D63" s="589">
        <v>460</v>
      </c>
      <c r="E63" s="587"/>
      <c r="F63" s="590">
        <v>21.35</v>
      </c>
      <c r="G63" s="591">
        <f t="shared" si="0"/>
        <v>0</v>
      </c>
      <c r="H63" s="592">
        <f t="shared" si="1"/>
        <v>9821</v>
      </c>
      <c r="I63" s="591">
        <f t="shared" si="2"/>
        <v>36828.75</v>
      </c>
    </row>
    <row r="64" spans="1:9" s="469" customFormat="1">
      <c r="A64" s="587"/>
      <c r="B64" s="588" t="s">
        <v>2078</v>
      </c>
      <c r="C64" s="584"/>
      <c r="D64" s="589">
        <v>9</v>
      </c>
      <c r="E64" s="587"/>
      <c r="F64" s="590">
        <v>375.1</v>
      </c>
      <c r="G64" s="591">
        <f t="shared" si="0"/>
        <v>0</v>
      </c>
      <c r="H64" s="592">
        <f t="shared" si="1"/>
        <v>3375.9</v>
      </c>
      <c r="I64" s="591">
        <f t="shared" si="2"/>
        <v>12659.63</v>
      </c>
    </row>
    <row r="65" spans="1:9" s="469" customFormat="1">
      <c r="A65" s="587"/>
      <c r="B65" s="593" t="s">
        <v>2079</v>
      </c>
      <c r="C65" s="584"/>
      <c r="D65" s="589"/>
      <c r="E65" s="587"/>
      <c r="F65" s="590">
        <v>0.1</v>
      </c>
      <c r="G65" s="591">
        <f t="shared" si="0"/>
        <v>0</v>
      </c>
      <c r="H65" s="592">
        <f t="shared" si="1"/>
        <v>0</v>
      </c>
      <c r="I65" s="591">
        <f t="shared" si="2"/>
        <v>0</v>
      </c>
    </row>
    <row r="66" spans="1:9" s="469" customFormat="1">
      <c r="A66" s="587"/>
      <c r="B66" s="583" t="s">
        <v>2024</v>
      </c>
      <c r="C66" s="584"/>
      <c r="D66" s="585"/>
      <c r="E66" s="582"/>
      <c r="F66" s="586">
        <v>0.1</v>
      </c>
      <c r="G66" s="591">
        <f t="shared" si="0"/>
        <v>0</v>
      </c>
      <c r="H66" s="592">
        <f t="shared" si="1"/>
        <v>0</v>
      </c>
      <c r="I66" s="591">
        <f t="shared" si="2"/>
        <v>0</v>
      </c>
    </row>
    <row r="67" spans="1:9" s="469" customFormat="1" ht="22.5">
      <c r="A67" s="587"/>
      <c r="B67" s="588" t="s">
        <v>2080</v>
      </c>
      <c r="C67" s="584"/>
      <c r="D67" s="589">
        <v>405</v>
      </c>
      <c r="E67" s="587"/>
      <c r="F67" s="590">
        <v>3.57</v>
      </c>
      <c r="G67" s="591">
        <f t="shared" si="0"/>
        <v>0</v>
      </c>
      <c r="H67" s="592">
        <f t="shared" si="1"/>
        <v>1445.85</v>
      </c>
      <c r="I67" s="591">
        <f t="shared" si="2"/>
        <v>5421.94</v>
      </c>
    </row>
    <row r="68" spans="1:9" s="469" customFormat="1" ht="33.75">
      <c r="A68" s="587"/>
      <c r="B68" s="583" t="s">
        <v>2081</v>
      </c>
      <c r="C68" s="584"/>
      <c r="D68" s="589"/>
      <c r="E68" s="587"/>
      <c r="F68" s="590">
        <v>0.1</v>
      </c>
      <c r="G68" s="591">
        <f t="shared" si="0"/>
        <v>0</v>
      </c>
      <c r="H68" s="592">
        <f t="shared" si="1"/>
        <v>0</v>
      </c>
      <c r="I68" s="591">
        <f t="shared" si="2"/>
        <v>0</v>
      </c>
    </row>
    <row r="69" spans="1:9" s="469" customFormat="1">
      <c r="A69" s="587"/>
      <c r="B69" s="588" t="s">
        <v>2082</v>
      </c>
      <c r="C69" s="584"/>
      <c r="D69" s="589">
        <v>13520</v>
      </c>
      <c r="E69" s="587"/>
      <c r="F69" s="590">
        <v>0.28000000000000003</v>
      </c>
      <c r="G69" s="591">
        <f t="shared" si="0"/>
        <v>0</v>
      </c>
      <c r="H69" s="592">
        <f t="shared" si="1"/>
        <v>3785.6</v>
      </c>
      <c r="I69" s="591">
        <f t="shared" si="2"/>
        <v>14196</v>
      </c>
    </row>
    <row r="70" spans="1:9" s="469" customFormat="1">
      <c r="A70" s="587"/>
      <c r="B70" s="588" t="s">
        <v>2083</v>
      </c>
      <c r="C70" s="584"/>
      <c r="D70" s="589">
        <v>6</v>
      </c>
      <c r="E70" s="587"/>
      <c r="F70" s="590">
        <v>120.1</v>
      </c>
      <c r="G70" s="591">
        <f t="shared" si="0"/>
        <v>0</v>
      </c>
      <c r="H70" s="592">
        <f t="shared" si="1"/>
        <v>720.6</v>
      </c>
      <c r="I70" s="591">
        <f t="shared" si="2"/>
        <v>2702.25</v>
      </c>
    </row>
    <row r="71" spans="1:9" s="469" customFormat="1" ht="56.25">
      <c r="A71" s="587"/>
      <c r="B71" s="588" t="s">
        <v>2084</v>
      </c>
      <c r="C71" s="584"/>
      <c r="D71" s="589">
        <v>1</v>
      </c>
      <c r="E71" s="587"/>
      <c r="F71" s="590">
        <v>2266.77</v>
      </c>
      <c r="G71" s="591">
        <f t="shared" si="0"/>
        <v>0</v>
      </c>
      <c r="H71" s="592">
        <f t="shared" si="1"/>
        <v>2266.77</v>
      </c>
      <c r="I71" s="591">
        <f t="shared" si="2"/>
        <v>8500.39</v>
      </c>
    </row>
    <row r="72" spans="1:9" s="469" customFormat="1">
      <c r="A72" s="587"/>
      <c r="B72" s="588" t="s">
        <v>2085</v>
      </c>
      <c r="C72" s="584"/>
      <c r="D72" s="589">
        <v>4</v>
      </c>
      <c r="E72" s="587"/>
      <c r="F72" s="590">
        <v>66.77</v>
      </c>
      <c r="G72" s="591">
        <f t="shared" si="0"/>
        <v>0</v>
      </c>
      <c r="H72" s="592">
        <f t="shared" si="1"/>
        <v>267.08</v>
      </c>
      <c r="I72" s="591">
        <f t="shared" si="2"/>
        <v>1001.55</v>
      </c>
    </row>
    <row r="73" spans="1:9" s="469" customFormat="1">
      <c r="A73" s="587"/>
      <c r="B73" s="583" t="s">
        <v>2036</v>
      </c>
      <c r="C73" s="584"/>
      <c r="D73" s="585"/>
      <c r="E73" s="582"/>
      <c r="F73" s="586">
        <v>0.1</v>
      </c>
      <c r="G73" s="591">
        <f t="shared" si="0"/>
        <v>0</v>
      </c>
      <c r="H73" s="592">
        <f t="shared" si="1"/>
        <v>0</v>
      </c>
      <c r="I73" s="591">
        <f t="shared" si="2"/>
        <v>0</v>
      </c>
    </row>
    <row r="74" spans="1:9" s="469" customFormat="1" ht="22.5">
      <c r="A74" s="587"/>
      <c r="B74" s="588" t="s">
        <v>2086</v>
      </c>
      <c r="C74" s="584"/>
      <c r="D74" s="589">
        <v>875</v>
      </c>
      <c r="E74" s="587"/>
      <c r="F74" s="590">
        <v>3.57</v>
      </c>
      <c r="G74" s="591">
        <f t="shared" si="0"/>
        <v>0</v>
      </c>
      <c r="H74" s="592">
        <f t="shared" si="1"/>
        <v>3123.75</v>
      </c>
      <c r="I74" s="591">
        <f t="shared" si="2"/>
        <v>11714.06</v>
      </c>
    </row>
    <row r="75" spans="1:9" s="469" customFormat="1" ht="33.75">
      <c r="A75" s="587"/>
      <c r="B75" s="583" t="s">
        <v>2081</v>
      </c>
      <c r="C75" s="584"/>
      <c r="D75" s="589"/>
      <c r="E75" s="587"/>
      <c r="F75" s="590">
        <v>0.1</v>
      </c>
      <c r="G75" s="591">
        <f t="shared" si="0"/>
        <v>0</v>
      </c>
      <c r="H75" s="592">
        <f t="shared" si="1"/>
        <v>0</v>
      </c>
      <c r="I75" s="591">
        <f t="shared" si="2"/>
        <v>0</v>
      </c>
    </row>
    <row r="76" spans="1:9" s="469" customFormat="1">
      <c r="A76" s="587"/>
      <c r="B76" s="588" t="s">
        <v>2087</v>
      </c>
      <c r="C76" s="584"/>
      <c r="D76" s="589">
        <v>23520</v>
      </c>
      <c r="E76" s="587"/>
      <c r="F76" s="590">
        <v>0.28000000000000003</v>
      </c>
      <c r="G76" s="591">
        <f t="shared" ref="G76:G121" si="3">+ROUND(E76*D76,2)</f>
        <v>0</v>
      </c>
      <c r="H76" s="592">
        <f t="shared" ref="H76:H121" si="4">+ROUND(F76*D76,2)</f>
        <v>6585.6</v>
      </c>
      <c r="I76" s="591">
        <f t="shared" ref="I76:I121" si="5">+ROUND(G76+(H76*$I$3),2)</f>
        <v>24696</v>
      </c>
    </row>
    <row r="77" spans="1:9" s="469" customFormat="1">
      <c r="A77" s="587"/>
      <c r="B77" s="588" t="s">
        <v>2088</v>
      </c>
      <c r="C77" s="584"/>
      <c r="D77" s="589">
        <v>12</v>
      </c>
      <c r="E77" s="587"/>
      <c r="F77" s="590">
        <v>46.77</v>
      </c>
      <c r="G77" s="591">
        <f t="shared" si="3"/>
        <v>0</v>
      </c>
      <c r="H77" s="592">
        <f t="shared" si="4"/>
        <v>561.24</v>
      </c>
      <c r="I77" s="591">
        <f t="shared" si="5"/>
        <v>2104.65</v>
      </c>
    </row>
    <row r="78" spans="1:9" s="469" customFormat="1">
      <c r="A78" s="587"/>
      <c r="B78" s="588" t="s">
        <v>2089</v>
      </c>
      <c r="C78" s="584"/>
      <c r="D78" s="589">
        <v>11</v>
      </c>
      <c r="E78" s="587"/>
      <c r="F78" s="590">
        <v>46.77</v>
      </c>
      <c r="G78" s="591">
        <f t="shared" si="3"/>
        <v>0</v>
      </c>
      <c r="H78" s="592">
        <f t="shared" si="4"/>
        <v>514.47</v>
      </c>
      <c r="I78" s="591">
        <f t="shared" si="5"/>
        <v>1929.26</v>
      </c>
    </row>
    <row r="79" spans="1:9" s="469" customFormat="1">
      <c r="A79" s="587"/>
      <c r="B79" s="588" t="s">
        <v>2090</v>
      </c>
      <c r="C79" s="584"/>
      <c r="D79" s="589">
        <v>11</v>
      </c>
      <c r="E79" s="587"/>
      <c r="F79" s="590">
        <v>66.77</v>
      </c>
      <c r="G79" s="591">
        <f t="shared" si="3"/>
        <v>0</v>
      </c>
      <c r="H79" s="592">
        <f t="shared" si="4"/>
        <v>734.47</v>
      </c>
      <c r="I79" s="591">
        <f t="shared" si="5"/>
        <v>2754.26</v>
      </c>
    </row>
    <row r="80" spans="1:9" s="469" customFormat="1" ht="67.5">
      <c r="A80" s="587"/>
      <c r="B80" s="588" t="s">
        <v>2091</v>
      </c>
      <c r="C80" s="584"/>
      <c r="D80" s="589">
        <v>1</v>
      </c>
      <c r="E80" s="587"/>
      <c r="F80" s="590">
        <v>5200.1000000000004</v>
      </c>
      <c r="G80" s="591">
        <f t="shared" si="3"/>
        <v>0</v>
      </c>
      <c r="H80" s="592">
        <f t="shared" si="4"/>
        <v>5200.1000000000004</v>
      </c>
      <c r="I80" s="591">
        <f t="shared" si="5"/>
        <v>19500.38</v>
      </c>
    </row>
    <row r="81" spans="1:9" s="469" customFormat="1" ht="22.5">
      <c r="A81" s="587"/>
      <c r="B81" s="588" t="s">
        <v>2092</v>
      </c>
      <c r="C81" s="584"/>
      <c r="D81" s="589">
        <v>11</v>
      </c>
      <c r="E81" s="587"/>
      <c r="F81" s="590">
        <v>66.77</v>
      </c>
      <c r="G81" s="591">
        <f t="shared" si="3"/>
        <v>0</v>
      </c>
      <c r="H81" s="592">
        <f t="shared" si="4"/>
        <v>734.47</v>
      </c>
      <c r="I81" s="591">
        <f t="shared" si="5"/>
        <v>2754.26</v>
      </c>
    </row>
    <row r="82" spans="1:9" s="469" customFormat="1">
      <c r="A82" s="587"/>
      <c r="B82" s="583" t="s">
        <v>2052</v>
      </c>
      <c r="C82" s="584"/>
      <c r="D82" s="585"/>
      <c r="E82" s="582"/>
      <c r="F82" s="586">
        <v>0.1</v>
      </c>
      <c r="G82" s="591">
        <f t="shared" si="3"/>
        <v>0</v>
      </c>
      <c r="H82" s="592">
        <f t="shared" si="4"/>
        <v>0</v>
      </c>
      <c r="I82" s="591">
        <f t="shared" si="5"/>
        <v>0</v>
      </c>
    </row>
    <row r="83" spans="1:9" s="469" customFormat="1" ht="22.5">
      <c r="A83" s="587"/>
      <c r="B83" s="588" t="s">
        <v>2093</v>
      </c>
      <c r="C83" s="584"/>
      <c r="D83" s="589">
        <v>55</v>
      </c>
      <c r="E83" s="587"/>
      <c r="F83" s="590">
        <v>3.57</v>
      </c>
      <c r="G83" s="591">
        <f t="shared" si="3"/>
        <v>0</v>
      </c>
      <c r="H83" s="592">
        <f t="shared" si="4"/>
        <v>196.35</v>
      </c>
      <c r="I83" s="591">
        <f t="shared" si="5"/>
        <v>736.31</v>
      </c>
    </row>
    <row r="84" spans="1:9" s="469" customFormat="1" ht="33.75">
      <c r="A84" s="587"/>
      <c r="B84" s="583" t="s">
        <v>2081</v>
      </c>
      <c r="C84" s="584"/>
      <c r="D84" s="585"/>
      <c r="E84" s="582"/>
      <c r="F84" s="586">
        <v>0.1</v>
      </c>
      <c r="G84" s="591">
        <f t="shared" si="3"/>
        <v>0</v>
      </c>
      <c r="H84" s="592">
        <f t="shared" si="4"/>
        <v>0</v>
      </c>
      <c r="I84" s="591">
        <f t="shared" si="5"/>
        <v>0</v>
      </c>
    </row>
    <row r="85" spans="1:9" s="469" customFormat="1">
      <c r="A85" s="587"/>
      <c r="B85" s="588" t="s">
        <v>2087</v>
      </c>
      <c r="C85" s="584"/>
      <c r="D85" s="589">
        <v>580</v>
      </c>
      <c r="E85" s="587"/>
      <c r="F85" s="590">
        <v>0.28000000000000003</v>
      </c>
      <c r="G85" s="591">
        <f t="shared" si="3"/>
        <v>0</v>
      </c>
      <c r="H85" s="592">
        <f t="shared" si="4"/>
        <v>162.4</v>
      </c>
      <c r="I85" s="591">
        <f t="shared" si="5"/>
        <v>609</v>
      </c>
    </row>
    <row r="86" spans="1:9" s="469" customFormat="1">
      <c r="A86" s="587"/>
      <c r="B86" s="588" t="s">
        <v>2094</v>
      </c>
      <c r="C86" s="584"/>
      <c r="D86" s="589">
        <v>2</v>
      </c>
      <c r="E86" s="587"/>
      <c r="F86" s="590">
        <v>66.77</v>
      </c>
      <c r="G86" s="591">
        <f t="shared" si="3"/>
        <v>0</v>
      </c>
      <c r="H86" s="592">
        <f t="shared" si="4"/>
        <v>133.54</v>
      </c>
      <c r="I86" s="591">
        <f t="shared" si="5"/>
        <v>500.78</v>
      </c>
    </row>
    <row r="87" spans="1:9" s="469" customFormat="1">
      <c r="A87" s="587"/>
      <c r="B87" s="588" t="s">
        <v>2095</v>
      </c>
      <c r="C87" s="584"/>
      <c r="D87" s="589">
        <v>2</v>
      </c>
      <c r="E87" s="587"/>
      <c r="F87" s="590">
        <v>13.44</v>
      </c>
      <c r="G87" s="591">
        <f t="shared" si="3"/>
        <v>0</v>
      </c>
      <c r="H87" s="592">
        <f t="shared" si="4"/>
        <v>26.88</v>
      </c>
      <c r="I87" s="591">
        <f t="shared" si="5"/>
        <v>100.8</v>
      </c>
    </row>
    <row r="88" spans="1:9" s="469" customFormat="1">
      <c r="A88" s="587"/>
      <c r="B88" s="588" t="s">
        <v>2096</v>
      </c>
      <c r="C88" s="584"/>
      <c r="D88" s="589">
        <v>1</v>
      </c>
      <c r="E88" s="587"/>
      <c r="F88" s="590">
        <v>533.44000000000005</v>
      </c>
      <c r="G88" s="591">
        <f t="shared" si="3"/>
        <v>0</v>
      </c>
      <c r="H88" s="592">
        <f t="shared" si="4"/>
        <v>533.44000000000005</v>
      </c>
      <c r="I88" s="591">
        <f t="shared" si="5"/>
        <v>2000.4</v>
      </c>
    </row>
    <row r="89" spans="1:9" s="469" customFormat="1">
      <c r="A89" s="587"/>
      <c r="B89" s="583" t="s">
        <v>2056</v>
      </c>
      <c r="C89" s="584"/>
      <c r="D89" s="585"/>
      <c r="E89" s="582"/>
      <c r="F89" s="586">
        <v>0.1</v>
      </c>
      <c r="G89" s="591">
        <f t="shared" si="3"/>
        <v>0</v>
      </c>
      <c r="H89" s="592">
        <f t="shared" si="4"/>
        <v>0</v>
      </c>
      <c r="I89" s="591">
        <f t="shared" si="5"/>
        <v>0</v>
      </c>
    </row>
    <row r="90" spans="1:9" s="469" customFormat="1" ht="22.5">
      <c r="A90" s="587"/>
      <c r="B90" s="588" t="s">
        <v>2093</v>
      </c>
      <c r="C90" s="584"/>
      <c r="D90" s="589">
        <v>40</v>
      </c>
      <c r="E90" s="587"/>
      <c r="F90" s="590">
        <v>3.57</v>
      </c>
      <c r="G90" s="591">
        <f t="shared" si="3"/>
        <v>0</v>
      </c>
      <c r="H90" s="592">
        <f t="shared" si="4"/>
        <v>142.80000000000001</v>
      </c>
      <c r="I90" s="591">
        <f t="shared" si="5"/>
        <v>535.5</v>
      </c>
    </row>
    <row r="91" spans="1:9" s="469" customFormat="1" ht="33.75">
      <c r="A91" s="587"/>
      <c r="B91" s="583" t="s">
        <v>2081</v>
      </c>
      <c r="C91" s="584"/>
      <c r="D91" s="585"/>
      <c r="E91" s="582"/>
      <c r="F91" s="586">
        <v>0.1</v>
      </c>
      <c r="G91" s="591">
        <f t="shared" si="3"/>
        <v>0</v>
      </c>
      <c r="H91" s="592">
        <f t="shared" si="4"/>
        <v>0</v>
      </c>
      <c r="I91" s="591">
        <f t="shared" si="5"/>
        <v>0</v>
      </c>
    </row>
    <row r="92" spans="1:9" s="469" customFormat="1">
      <c r="A92" s="587"/>
      <c r="B92" s="588" t="s">
        <v>2087</v>
      </c>
      <c r="C92" s="584"/>
      <c r="D92" s="589">
        <v>810</v>
      </c>
      <c r="E92" s="587"/>
      <c r="F92" s="590">
        <v>0.28000000000000003</v>
      </c>
      <c r="G92" s="591">
        <f t="shared" si="3"/>
        <v>0</v>
      </c>
      <c r="H92" s="592">
        <f t="shared" si="4"/>
        <v>226.8</v>
      </c>
      <c r="I92" s="591">
        <f t="shared" si="5"/>
        <v>850.5</v>
      </c>
    </row>
    <row r="93" spans="1:9" s="469" customFormat="1">
      <c r="A93" s="587"/>
      <c r="B93" s="588" t="s">
        <v>2094</v>
      </c>
      <c r="C93" s="584"/>
      <c r="D93" s="589">
        <v>1</v>
      </c>
      <c r="E93" s="587"/>
      <c r="F93" s="590">
        <v>66.77</v>
      </c>
      <c r="G93" s="591">
        <f t="shared" si="3"/>
        <v>0</v>
      </c>
      <c r="H93" s="592">
        <f t="shared" si="4"/>
        <v>66.77</v>
      </c>
      <c r="I93" s="591">
        <f t="shared" si="5"/>
        <v>250.39</v>
      </c>
    </row>
    <row r="94" spans="1:9" s="469" customFormat="1">
      <c r="A94" s="587"/>
      <c r="B94" s="588" t="s">
        <v>2095</v>
      </c>
      <c r="C94" s="584"/>
      <c r="D94" s="589">
        <v>1</v>
      </c>
      <c r="E94" s="587"/>
      <c r="F94" s="590">
        <v>13.44</v>
      </c>
      <c r="G94" s="591">
        <f t="shared" si="3"/>
        <v>0</v>
      </c>
      <c r="H94" s="592">
        <f t="shared" si="4"/>
        <v>13.44</v>
      </c>
      <c r="I94" s="591">
        <f t="shared" si="5"/>
        <v>50.4</v>
      </c>
    </row>
    <row r="95" spans="1:9" s="469" customFormat="1">
      <c r="A95" s="587"/>
      <c r="B95" s="588" t="s">
        <v>2097</v>
      </c>
      <c r="C95" s="584"/>
      <c r="D95" s="589">
        <v>1</v>
      </c>
      <c r="E95" s="587"/>
      <c r="F95" s="590">
        <v>266.77</v>
      </c>
      <c r="G95" s="591">
        <f t="shared" si="3"/>
        <v>0</v>
      </c>
      <c r="H95" s="592">
        <f t="shared" si="4"/>
        <v>266.77</v>
      </c>
      <c r="I95" s="591">
        <f t="shared" si="5"/>
        <v>1000.39</v>
      </c>
    </row>
    <row r="96" spans="1:9" s="469" customFormat="1">
      <c r="A96" s="587"/>
      <c r="B96" s="583" t="s">
        <v>2056</v>
      </c>
      <c r="C96" s="584"/>
      <c r="D96" s="585"/>
      <c r="E96" s="582"/>
      <c r="F96" s="586">
        <v>0.1</v>
      </c>
      <c r="G96" s="591">
        <f t="shared" si="3"/>
        <v>0</v>
      </c>
      <c r="H96" s="592">
        <f t="shared" si="4"/>
        <v>0</v>
      </c>
      <c r="I96" s="591">
        <f t="shared" si="5"/>
        <v>0</v>
      </c>
    </row>
    <row r="97" spans="1:9" s="469" customFormat="1" ht="33.75">
      <c r="A97" s="587"/>
      <c r="B97" s="583" t="s">
        <v>2081</v>
      </c>
      <c r="C97" s="584"/>
      <c r="D97" s="589"/>
      <c r="E97" s="587"/>
      <c r="F97" s="590">
        <v>0.1</v>
      </c>
      <c r="G97" s="591">
        <f t="shared" si="3"/>
        <v>0</v>
      </c>
      <c r="H97" s="592">
        <f t="shared" si="4"/>
        <v>0</v>
      </c>
      <c r="I97" s="591">
        <f t="shared" si="5"/>
        <v>0</v>
      </c>
    </row>
    <row r="98" spans="1:9" s="469" customFormat="1">
      <c r="A98" s="587"/>
      <c r="B98" s="588" t="s">
        <v>2087</v>
      </c>
      <c r="C98" s="584"/>
      <c r="D98" s="589">
        <v>1925</v>
      </c>
      <c r="E98" s="587"/>
      <c r="F98" s="590">
        <v>0.28000000000000003</v>
      </c>
      <c r="G98" s="591">
        <f t="shared" si="3"/>
        <v>0</v>
      </c>
      <c r="H98" s="592">
        <f t="shared" si="4"/>
        <v>539</v>
      </c>
      <c r="I98" s="591">
        <f t="shared" si="5"/>
        <v>2021.25</v>
      </c>
    </row>
    <row r="99" spans="1:9" s="469" customFormat="1">
      <c r="A99" s="587"/>
      <c r="B99" s="588" t="s">
        <v>2098</v>
      </c>
      <c r="C99" s="584"/>
      <c r="D99" s="589">
        <v>1</v>
      </c>
      <c r="E99" s="587"/>
      <c r="F99" s="590">
        <v>26.77</v>
      </c>
      <c r="G99" s="591">
        <f t="shared" si="3"/>
        <v>0</v>
      </c>
      <c r="H99" s="592">
        <f t="shared" si="4"/>
        <v>26.77</v>
      </c>
      <c r="I99" s="591">
        <f t="shared" si="5"/>
        <v>100.39</v>
      </c>
    </row>
    <row r="100" spans="1:9" s="469" customFormat="1">
      <c r="A100" s="587"/>
      <c r="B100" s="588" t="s">
        <v>2095</v>
      </c>
      <c r="C100" s="584"/>
      <c r="D100" s="589">
        <v>2</v>
      </c>
      <c r="E100" s="587"/>
      <c r="F100" s="590">
        <v>26.77</v>
      </c>
      <c r="G100" s="591">
        <f t="shared" si="3"/>
        <v>0</v>
      </c>
      <c r="H100" s="592">
        <f t="shared" si="4"/>
        <v>53.54</v>
      </c>
      <c r="I100" s="591">
        <f t="shared" si="5"/>
        <v>200.78</v>
      </c>
    </row>
    <row r="101" spans="1:9" s="469" customFormat="1">
      <c r="A101" s="587"/>
      <c r="B101" s="588" t="s">
        <v>2097</v>
      </c>
      <c r="C101" s="584"/>
      <c r="D101" s="589">
        <v>1</v>
      </c>
      <c r="E101" s="587"/>
      <c r="F101" s="590">
        <v>266.77</v>
      </c>
      <c r="G101" s="591">
        <f t="shared" si="3"/>
        <v>0</v>
      </c>
      <c r="H101" s="592">
        <f t="shared" si="4"/>
        <v>266.77</v>
      </c>
      <c r="I101" s="591">
        <f t="shared" si="5"/>
        <v>1000.39</v>
      </c>
    </row>
    <row r="102" spans="1:9" s="469" customFormat="1">
      <c r="A102" s="587"/>
      <c r="B102" s="583" t="s">
        <v>2063</v>
      </c>
      <c r="C102" s="584"/>
      <c r="D102" s="585"/>
      <c r="E102" s="582"/>
      <c r="F102" s="586">
        <v>0.1</v>
      </c>
      <c r="G102" s="591">
        <f t="shared" si="3"/>
        <v>0</v>
      </c>
      <c r="H102" s="592">
        <f t="shared" si="4"/>
        <v>0</v>
      </c>
      <c r="I102" s="591">
        <f t="shared" si="5"/>
        <v>0</v>
      </c>
    </row>
    <row r="103" spans="1:9" s="469" customFormat="1" ht="33.75">
      <c r="A103" s="587"/>
      <c r="B103" s="583" t="s">
        <v>2081</v>
      </c>
      <c r="C103" s="584"/>
      <c r="D103" s="585"/>
      <c r="E103" s="582"/>
      <c r="F103" s="586">
        <v>0.1</v>
      </c>
      <c r="G103" s="591">
        <f t="shared" si="3"/>
        <v>0</v>
      </c>
      <c r="H103" s="592">
        <f t="shared" si="4"/>
        <v>0</v>
      </c>
      <c r="I103" s="591">
        <f t="shared" si="5"/>
        <v>0</v>
      </c>
    </row>
    <row r="104" spans="1:9" s="469" customFormat="1">
      <c r="A104" s="587"/>
      <c r="B104" s="588" t="s">
        <v>2087</v>
      </c>
      <c r="C104" s="584"/>
      <c r="D104" s="589">
        <v>520</v>
      </c>
      <c r="E104" s="587"/>
      <c r="F104" s="590">
        <v>0.28000000000000003</v>
      </c>
      <c r="G104" s="591">
        <f t="shared" si="3"/>
        <v>0</v>
      </c>
      <c r="H104" s="592">
        <f t="shared" si="4"/>
        <v>145.6</v>
      </c>
      <c r="I104" s="591">
        <f t="shared" si="5"/>
        <v>546</v>
      </c>
    </row>
    <row r="105" spans="1:9" s="469" customFormat="1">
      <c r="A105" s="587"/>
      <c r="B105" s="588" t="s">
        <v>2098</v>
      </c>
      <c r="C105" s="584"/>
      <c r="D105" s="589">
        <v>2</v>
      </c>
      <c r="E105" s="587"/>
      <c r="F105" s="590">
        <v>26.77</v>
      </c>
      <c r="G105" s="591">
        <f t="shared" si="3"/>
        <v>0</v>
      </c>
      <c r="H105" s="592">
        <f t="shared" si="4"/>
        <v>53.54</v>
      </c>
      <c r="I105" s="591">
        <f t="shared" si="5"/>
        <v>200.78</v>
      </c>
    </row>
    <row r="106" spans="1:9" s="469" customFormat="1">
      <c r="A106" s="587"/>
      <c r="B106" s="588" t="s">
        <v>2097</v>
      </c>
      <c r="C106" s="584"/>
      <c r="D106" s="589">
        <v>1</v>
      </c>
      <c r="E106" s="587"/>
      <c r="F106" s="590">
        <v>293.44</v>
      </c>
      <c r="G106" s="591">
        <f t="shared" si="3"/>
        <v>0</v>
      </c>
      <c r="H106" s="592">
        <f t="shared" si="4"/>
        <v>293.44</v>
      </c>
      <c r="I106" s="591">
        <f t="shared" si="5"/>
        <v>1100.4000000000001</v>
      </c>
    </row>
    <row r="107" spans="1:9" s="469" customFormat="1">
      <c r="A107" s="587"/>
      <c r="B107" s="583" t="s">
        <v>2066</v>
      </c>
      <c r="C107" s="584"/>
      <c r="D107" s="585"/>
      <c r="E107" s="582"/>
      <c r="F107" s="586">
        <v>0.1</v>
      </c>
      <c r="G107" s="591">
        <f t="shared" si="3"/>
        <v>0</v>
      </c>
      <c r="H107" s="592">
        <f t="shared" si="4"/>
        <v>0</v>
      </c>
      <c r="I107" s="591">
        <f t="shared" si="5"/>
        <v>0</v>
      </c>
    </row>
    <row r="108" spans="1:9" s="469" customFormat="1" ht="33.75">
      <c r="A108" s="587"/>
      <c r="B108" s="583" t="s">
        <v>2081</v>
      </c>
      <c r="C108" s="584"/>
      <c r="D108" s="589"/>
      <c r="E108" s="587"/>
      <c r="F108" s="590">
        <v>0.1</v>
      </c>
      <c r="G108" s="591">
        <f t="shared" si="3"/>
        <v>0</v>
      </c>
      <c r="H108" s="592">
        <f t="shared" si="4"/>
        <v>0</v>
      </c>
      <c r="I108" s="591">
        <f t="shared" si="5"/>
        <v>0</v>
      </c>
    </row>
    <row r="109" spans="1:9" s="469" customFormat="1">
      <c r="A109" s="587"/>
      <c r="B109" s="588" t="s">
        <v>2087</v>
      </c>
      <c r="C109" s="584"/>
      <c r="D109" s="589">
        <v>520</v>
      </c>
      <c r="E109" s="587"/>
      <c r="F109" s="590">
        <v>0.28000000000000003</v>
      </c>
      <c r="G109" s="591">
        <f t="shared" si="3"/>
        <v>0</v>
      </c>
      <c r="H109" s="592">
        <f t="shared" si="4"/>
        <v>145.6</v>
      </c>
      <c r="I109" s="591">
        <f t="shared" si="5"/>
        <v>546</v>
      </c>
    </row>
    <row r="110" spans="1:9" s="469" customFormat="1">
      <c r="A110" s="587"/>
      <c r="B110" s="588" t="s">
        <v>2098</v>
      </c>
      <c r="C110" s="584"/>
      <c r="D110" s="589">
        <v>2</v>
      </c>
      <c r="E110" s="587"/>
      <c r="F110" s="590">
        <v>26.77</v>
      </c>
      <c r="G110" s="591">
        <f t="shared" si="3"/>
        <v>0</v>
      </c>
      <c r="H110" s="592">
        <f t="shared" si="4"/>
        <v>53.54</v>
      </c>
      <c r="I110" s="591">
        <f t="shared" si="5"/>
        <v>200.78</v>
      </c>
    </row>
    <row r="111" spans="1:9" s="469" customFormat="1">
      <c r="A111" s="587"/>
      <c r="B111" s="588" t="s">
        <v>2097</v>
      </c>
      <c r="C111" s="584"/>
      <c r="D111" s="589">
        <v>1</v>
      </c>
      <c r="E111" s="587"/>
      <c r="F111" s="590">
        <v>293.44</v>
      </c>
      <c r="G111" s="591">
        <f t="shared" si="3"/>
        <v>0</v>
      </c>
      <c r="H111" s="592">
        <f t="shared" si="4"/>
        <v>293.44</v>
      </c>
      <c r="I111" s="591">
        <f t="shared" si="5"/>
        <v>1100.4000000000001</v>
      </c>
    </row>
    <row r="112" spans="1:9" s="469" customFormat="1">
      <c r="A112" s="587"/>
      <c r="B112" s="583" t="s">
        <v>2069</v>
      </c>
      <c r="C112" s="584"/>
      <c r="D112" s="585"/>
      <c r="E112" s="582"/>
      <c r="F112" s="586">
        <v>0.1</v>
      </c>
      <c r="G112" s="591">
        <f t="shared" si="3"/>
        <v>0</v>
      </c>
      <c r="H112" s="592">
        <f t="shared" si="4"/>
        <v>0</v>
      </c>
      <c r="I112" s="591">
        <f t="shared" si="5"/>
        <v>0</v>
      </c>
    </row>
    <row r="113" spans="1:9" s="469" customFormat="1" ht="22.5">
      <c r="A113" s="587"/>
      <c r="B113" s="588" t="s">
        <v>2093</v>
      </c>
      <c r="C113" s="584"/>
      <c r="D113" s="589">
        <v>120</v>
      </c>
      <c r="E113" s="587"/>
      <c r="F113" s="590">
        <v>3.57</v>
      </c>
      <c r="G113" s="591">
        <f t="shared" si="3"/>
        <v>0</v>
      </c>
      <c r="H113" s="592">
        <f t="shared" si="4"/>
        <v>428.4</v>
      </c>
      <c r="I113" s="591">
        <f t="shared" si="5"/>
        <v>1606.5</v>
      </c>
    </row>
    <row r="114" spans="1:9" s="469" customFormat="1" ht="33.75">
      <c r="A114" s="587"/>
      <c r="B114" s="583" t="s">
        <v>2081</v>
      </c>
      <c r="C114" s="584"/>
      <c r="D114" s="585"/>
      <c r="E114" s="582"/>
      <c r="F114" s="586">
        <v>0.1</v>
      </c>
      <c r="G114" s="591">
        <f t="shared" si="3"/>
        <v>0</v>
      </c>
      <c r="H114" s="592">
        <f t="shared" si="4"/>
        <v>0</v>
      </c>
      <c r="I114" s="591">
        <f t="shared" si="5"/>
        <v>0</v>
      </c>
    </row>
    <row r="115" spans="1:9" s="469" customFormat="1">
      <c r="A115" s="587"/>
      <c r="B115" s="588" t="s">
        <v>2087</v>
      </c>
      <c r="C115" s="584"/>
      <c r="D115" s="589">
        <v>3390</v>
      </c>
      <c r="E115" s="587"/>
      <c r="F115" s="590">
        <v>0.28000000000000003</v>
      </c>
      <c r="G115" s="591">
        <f t="shared" si="3"/>
        <v>0</v>
      </c>
      <c r="H115" s="592">
        <f t="shared" si="4"/>
        <v>949.2</v>
      </c>
      <c r="I115" s="591">
        <f t="shared" si="5"/>
        <v>3559.5</v>
      </c>
    </row>
    <row r="116" spans="1:9" s="469" customFormat="1">
      <c r="A116" s="587"/>
      <c r="B116" s="588" t="s">
        <v>2094</v>
      </c>
      <c r="C116" s="584"/>
      <c r="D116" s="589">
        <v>4</v>
      </c>
      <c r="E116" s="587"/>
      <c r="F116" s="590">
        <v>93.44</v>
      </c>
      <c r="G116" s="591">
        <f t="shared" si="3"/>
        <v>0</v>
      </c>
      <c r="H116" s="592">
        <f t="shared" si="4"/>
        <v>373.76</v>
      </c>
      <c r="I116" s="591">
        <f t="shared" si="5"/>
        <v>1401.6</v>
      </c>
    </row>
    <row r="117" spans="1:9" s="469" customFormat="1">
      <c r="A117" s="587"/>
      <c r="B117" s="588" t="s">
        <v>2096</v>
      </c>
      <c r="C117" s="584"/>
      <c r="D117" s="589">
        <v>2</v>
      </c>
      <c r="E117" s="587"/>
      <c r="F117" s="590">
        <v>1093.44</v>
      </c>
      <c r="G117" s="591">
        <f t="shared" si="3"/>
        <v>0</v>
      </c>
      <c r="H117" s="592">
        <f t="shared" si="4"/>
        <v>2186.88</v>
      </c>
      <c r="I117" s="591">
        <f t="shared" si="5"/>
        <v>8200.7999999999993</v>
      </c>
    </row>
    <row r="118" spans="1:9" s="469" customFormat="1">
      <c r="A118" s="587"/>
      <c r="B118" s="583" t="s">
        <v>2099</v>
      </c>
      <c r="C118" s="584"/>
      <c r="D118" s="585"/>
      <c r="E118" s="582"/>
      <c r="F118" s="586">
        <v>0.1</v>
      </c>
      <c r="G118" s="591">
        <f t="shared" si="3"/>
        <v>0</v>
      </c>
      <c r="H118" s="592">
        <f t="shared" si="4"/>
        <v>0</v>
      </c>
      <c r="I118" s="591">
        <f t="shared" si="5"/>
        <v>0</v>
      </c>
    </row>
    <row r="119" spans="1:9" s="469" customFormat="1" ht="22.5">
      <c r="A119" s="587"/>
      <c r="B119" s="588" t="s">
        <v>2086</v>
      </c>
      <c r="C119" s="584"/>
      <c r="D119" s="589">
        <v>1360</v>
      </c>
      <c r="E119" s="587"/>
      <c r="F119" s="590">
        <v>3.57</v>
      </c>
      <c r="G119" s="591">
        <f t="shared" si="3"/>
        <v>0</v>
      </c>
      <c r="H119" s="592">
        <f t="shared" si="4"/>
        <v>4855.2</v>
      </c>
      <c r="I119" s="591">
        <f t="shared" si="5"/>
        <v>18207</v>
      </c>
    </row>
    <row r="120" spans="1:9" s="469" customFormat="1" ht="22.5">
      <c r="A120" s="587"/>
      <c r="B120" s="588" t="s">
        <v>2100</v>
      </c>
      <c r="C120" s="584"/>
      <c r="D120" s="589">
        <v>460</v>
      </c>
      <c r="E120" s="587"/>
      <c r="F120" s="590">
        <v>17.440000000000001</v>
      </c>
      <c r="G120" s="591">
        <f t="shared" si="3"/>
        <v>0</v>
      </c>
      <c r="H120" s="592">
        <f t="shared" si="4"/>
        <v>8022.4</v>
      </c>
      <c r="I120" s="591">
        <f t="shared" si="5"/>
        <v>30084</v>
      </c>
    </row>
    <row r="121" spans="1:9" s="469" customFormat="1">
      <c r="A121" s="587"/>
      <c r="B121" s="588" t="s">
        <v>2101</v>
      </c>
      <c r="C121" s="584"/>
      <c r="D121" s="589">
        <v>1</v>
      </c>
      <c r="E121" s="587"/>
      <c r="F121" s="590">
        <v>4071.45</v>
      </c>
      <c r="G121" s="591">
        <f t="shared" si="3"/>
        <v>0</v>
      </c>
      <c r="H121" s="592">
        <f t="shared" si="4"/>
        <v>4071.45</v>
      </c>
      <c r="I121" s="591">
        <f t="shared" si="5"/>
        <v>15267.94</v>
      </c>
    </row>
    <row r="122" spans="1:9" s="469" customFormat="1">
      <c r="A122" s="529"/>
      <c r="B122" s="581" t="s">
        <v>2102</v>
      </c>
      <c r="C122" s="531"/>
      <c r="D122" s="594"/>
      <c r="E122" s="594"/>
      <c r="F122" s="595"/>
      <c r="G122" s="594"/>
      <c r="H122" s="595"/>
      <c r="I122" s="595">
        <f>SUM(H123:H126)</f>
        <v>33316</v>
      </c>
    </row>
    <row r="123" spans="1:9" s="469" customFormat="1">
      <c r="A123" s="587"/>
      <c r="B123" s="588" t="s">
        <v>2103</v>
      </c>
      <c r="C123" s="584" t="s">
        <v>29</v>
      </c>
      <c r="D123" s="589">
        <v>1</v>
      </c>
      <c r="E123" s="587"/>
      <c r="F123" s="590">
        <v>21633</v>
      </c>
      <c r="G123" s="591">
        <f>+ROUND(E123*D123,2)</f>
        <v>0</v>
      </c>
      <c r="H123" s="592">
        <f>+ROUND(F123*D123,2)</f>
        <v>21633</v>
      </c>
      <c r="I123" s="591">
        <f>+ROUND(G123+(H123*$I$3),2)</f>
        <v>81123.75</v>
      </c>
    </row>
    <row r="124" spans="1:9" s="469" customFormat="1" ht="90">
      <c r="A124" s="587"/>
      <c r="B124" s="588" t="s">
        <v>2104</v>
      </c>
      <c r="C124" s="584" t="s">
        <v>29</v>
      </c>
      <c r="D124" s="589">
        <v>1</v>
      </c>
      <c r="E124" s="587"/>
      <c r="F124" s="590">
        <v>10585</v>
      </c>
      <c r="G124" s="591">
        <f>+ROUND(E124*D124,2)</f>
        <v>0</v>
      </c>
      <c r="H124" s="592">
        <f>+ROUND(F124*D124,2)</f>
        <v>10585</v>
      </c>
      <c r="I124" s="591">
        <f>+ROUND(G124+(H124*$I$3),2)</f>
        <v>39693.75</v>
      </c>
    </row>
    <row r="125" spans="1:9" s="469" customFormat="1">
      <c r="A125" s="587"/>
      <c r="B125" s="588" t="s">
        <v>2105</v>
      </c>
      <c r="C125" s="584" t="s">
        <v>29</v>
      </c>
      <c r="D125" s="589">
        <v>1</v>
      </c>
      <c r="E125" s="587"/>
      <c r="F125" s="590">
        <v>798</v>
      </c>
      <c r="G125" s="591">
        <f>+ROUND(E125*D125,2)</f>
        <v>0</v>
      </c>
      <c r="H125" s="592">
        <f>+ROUND(F125*D125,2)</f>
        <v>798</v>
      </c>
      <c r="I125" s="591">
        <f>+ROUND(G125+(H125*$I$3),2)</f>
        <v>2992.5</v>
      </c>
    </row>
    <row r="126" spans="1:9" s="469" customFormat="1">
      <c r="A126" s="587"/>
      <c r="B126" s="588" t="s">
        <v>2106</v>
      </c>
      <c r="C126" s="584" t="s">
        <v>29</v>
      </c>
      <c r="D126" s="589">
        <v>1</v>
      </c>
      <c r="E126" s="587"/>
      <c r="F126" s="590">
        <v>300</v>
      </c>
      <c r="G126" s="591">
        <f>+ROUND(E126*D126,2)</f>
        <v>0</v>
      </c>
      <c r="H126" s="592">
        <f>+ROUND(F126*D126,2)</f>
        <v>300</v>
      </c>
      <c r="I126" s="591">
        <f>+ROUND(G126+(H126*$I$3),2)</f>
        <v>1125</v>
      </c>
    </row>
    <row r="127" spans="1:9">
      <c r="A127" s="470"/>
      <c r="B127" s="471" t="s">
        <v>1415</v>
      </c>
      <c r="C127" s="472"/>
      <c r="D127" s="473"/>
      <c r="E127" s="473"/>
      <c r="F127" s="474"/>
      <c r="G127" s="473"/>
      <c r="H127" s="474"/>
      <c r="I127" s="474">
        <f>SUM(H128:H136)</f>
        <v>348100</v>
      </c>
    </row>
    <row r="128" spans="1:9" ht="34.5">
      <c r="A128" s="582"/>
      <c r="B128" s="596" t="s">
        <v>2107</v>
      </c>
      <c r="C128" s="584" t="s">
        <v>36</v>
      </c>
      <c r="D128" s="597">
        <v>3</v>
      </c>
      <c r="E128" s="598"/>
      <c r="F128" s="565">
        <v>50200</v>
      </c>
      <c r="G128" s="591">
        <f t="shared" ref="G128:G135" si="6">+ROUND(E128*D128,2)</f>
        <v>0</v>
      </c>
      <c r="H128" s="592">
        <f t="shared" ref="H128:H135" si="7">+ROUND(F128*D128,2)</f>
        <v>150600</v>
      </c>
      <c r="I128" s="591">
        <f t="shared" ref="I128:I135" si="8">+ROUND(G128+(H128*$I$3),2)</f>
        <v>564750</v>
      </c>
    </row>
    <row r="129" spans="1:9" ht="34.5">
      <c r="A129" s="582"/>
      <c r="B129" s="596" t="s">
        <v>2108</v>
      </c>
      <c r="C129" s="584" t="s">
        <v>36</v>
      </c>
      <c r="D129" s="597">
        <v>2</v>
      </c>
      <c r="E129" s="598"/>
      <c r="F129" s="565">
        <v>47900</v>
      </c>
      <c r="G129" s="591">
        <f t="shared" si="6"/>
        <v>0</v>
      </c>
      <c r="H129" s="592">
        <f t="shared" si="7"/>
        <v>95800</v>
      </c>
      <c r="I129" s="591">
        <f t="shared" si="8"/>
        <v>359250</v>
      </c>
    </row>
    <row r="130" spans="1:9" ht="34.5">
      <c r="A130" s="582"/>
      <c r="B130" s="596" t="s">
        <v>2109</v>
      </c>
      <c r="C130" s="584" t="s">
        <v>36</v>
      </c>
      <c r="D130" s="597">
        <v>2</v>
      </c>
      <c r="E130" s="598"/>
      <c r="F130" s="565">
        <v>28300</v>
      </c>
      <c r="G130" s="591">
        <f t="shared" si="6"/>
        <v>0</v>
      </c>
      <c r="H130" s="592">
        <f t="shared" si="7"/>
        <v>56600</v>
      </c>
      <c r="I130" s="591">
        <f t="shared" si="8"/>
        <v>212250</v>
      </c>
    </row>
    <row r="131" spans="1:9">
      <c r="A131" s="582"/>
      <c r="B131" s="599" t="s">
        <v>1702</v>
      </c>
      <c r="C131" s="584" t="s">
        <v>36</v>
      </c>
      <c r="D131" s="597">
        <v>7</v>
      </c>
      <c r="E131" s="598"/>
      <c r="F131" s="565">
        <v>900</v>
      </c>
      <c r="G131" s="591">
        <f t="shared" si="6"/>
        <v>0</v>
      </c>
      <c r="H131" s="592">
        <f t="shared" si="7"/>
        <v>6300</v>
      </c>
      <c r="I131" s="591">
        <f t="shared" si="8"/>
        <v>23625</v>
      </c>
    </row>
    <row r="132" spans="1:9">
      <c r="A132" s="582"/>
      <c r="B132" s="599" t="s">
        <v>2110</v>
      </c>
      <c r="C132" s="584" t="s">
        <v>36</v>
      </c>
      <c r="D132" s="597">
        <v>1</v>
      </c>
      <c r="E132" s="598"/>
      <c r="F132" s="565">
        <v>700</v>
      </c>
      <c r="G132" s="591">
        <f t="shared" si="6"/>
        <v>0</v>
      </c>
      <c r="H132" s="592">
        <f t="shared" si="7"/>
        <v>700</v>
      </c>
      <c r="I132" s="591">
        <f t="shared" si="8"/>
        <v>2625</v>
      </c>
    </row>
    <row r="133" spans="1:9">
      <c r="A133" s="582"/>
      <c r="B133" s="599" t="s">
        <v>2111</v>
      </c>
      <c r="C133" s="584" t="s">
        <v>29</v>
      </c>
      <c r="D133" s="597">
        <v>1</v>
      </c>
      <c r="E133" s="598"/>
      <c r="F133" s="565">
        <v>3800</v>
      </c>
      <c r="G133" s="591">
        <f t="shared" si="6"/>
        <v>0</v>
      </c>
      <c r="H133" s="592">
        <f t="shared" si="7"/>
        <v>3800</v>
      </c>
      <c r="I133" s="591">
        <f t="shared" si="8"/>
        <v>14250</v>
      </c>
    </row>
    <row r="134" spans="1:9">
      <c r="A134" s="582"/>
      <c r="B134" s="599" t="s">
        <v>2112</v>
      </c>
      <c r="C134" s="584" t="s">
        <v>29</v>
      </c>
      <c r="D134" s="597">
        <v>1</v>
      </c>
      <c r="E134" s="598"/>
      <c r="F134" s="565">
        <v>18200</v>
      </c>
      <c r="G134" s="591">
        <f t="shared" si="6"/>
        <v>0</v>
      </c>
      <c r="H134" s="592">
        <f t="shared" si="7"/>
        <v>18200</v>
      </c>
      <c r="I134" s="591">
        <f t="shared" si="8"/>
        <v>68250</v>
      </c>
    </row>
    <row r="135" spans="1:9">
      <c r="A135" s="582"/>
      <c r="B135" s="599" t="s">
        <v>2113</v>
      </c>
      <c r="C135" s="584" t="s">
        <v>29</v>
      </c>
      <c r="D135" s="597">
        <v>1</v>
      </c>
      <c r="E135" s="598"/>
      <c r="F135" s="565">
        <v>16100</v>
      </c>
      <c r="G135" s="591">
        <f t="shared" si="6"/>
        <v>0</v>
      </c>
      <c r="H135" s="592">
        <f t="shared" si="7"/>
        <v>16100</v>
      </c>
      <c r="I135" s="591">
        <f t="shared" si="8"/>
        <v>60375</v>
      </c>
    </row>
    <row r="136" spans="1:9">
      <c r="A136" s="582"/>
      <c r="B136" s="599"/>
      <c r="C136" s="584"/>
      <c r="D136" s="585"/>
      <c r="E136" s="582"/>
      <c r="F136" s="586"/>
      <c r="G136" s="600"/>
      <c r="H136" s="601"/>
      <c r="I136" s="600"/>
    </row>
  </sheetData>
  <mergeCells count="1">
    <mergeCell ref="A2:H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CDD1F-64E6-40E2-9D61-5E035E7C9C2F}">
  <sheetPr>
    <tabColor rgb="FF7030A0"/>
  </sheetPr>
  <dimension ref="A1:K56"/>
  <sheetViews>
    <sheetView topLeftCell="A25" workbookViewId="0">
      <selection activeCell="D7" sqref="D1:F1048576"/>
    </sheetView>
  </sheetViews>
  <sheetFormatPr defaultColWidth="11.42578125" defaultRowHeight="15"/>
  <cols>
    <col min="2" max="2" width="53.140625" bestFit="1" customWidth="1"/>
    <col min="3" max="3" width="5.7109375" style="289" customWidth="1"/>
    <col min="4" max="4" width="9.5703125" customWidth="1"/>
    <col min="5" max="5" width="11.7109375" bestFit="1" customWidth="1"/>
    <col min="9" max="9" width="11.7109375" bestFit="1" customWidth="1"/>
    <col min="10" max="10" width="11.42578125" style="403"/>
    <col min="11" max="11" width="11.85546875" bestFit="1" customWidth="1"/>
  </cols>
  <sheetData>
    <row r="1" spans="1:11">
      <c r="A1" s="35"/>
      <c r="B1" s="387"/>
      <c r="C1" s="3"/>
      <c r="D1" s="2"/>
      <c r="E1" s="388"/>
      <c r="F1" s="389"/>
      <c r="G1" s="388"/>
      <c r="H1" s="389"/>
      <c r="I1" s="390"/>
    </row>
    <row r="2" spans="1:11">
      <c r="A2" s="619" t="s">
        <v>2114</v>
      </c>
      <c r="B2" s="619"/>
      <c r="C2" s="619"/>
      <c r="D2" s="619"/>
      <c r="E2" s="619"/>
      <c r="F2" s="619"/>
      <c r="G2" s="619"/>
      <c r="H2" s="619"/>
      <c r="I2" s="390"/>
    </row>
    <row r="3" spans="1:11">
      <c r="A3" s="35"/>
      <c r="B3" s="387"/>
      <c r="C3" s="3"/>
      <c r="D3" s="2"/>
      <c r="E3" s="388"/>
      <c r="F3" s="389"/>
      <c r="G3" s="388"/>
      <c r="H3" s="391" t="s">
        <v>1420</v>
      </c>
      <c r="I3" s="392">
        <v>3.7</v>
      </c>
    </row>
    <row r="4" spans="1:11">
      <c r="A4" s="147" t="s">
        <v>0</v>
      </c>
      <c r="B4" s="393" t="s">
        <v>2000</v>
      </c>
      <c r="C4" s="3"/>
      <c r="D4" s="2"/>
      <c r="E4" s="388"/>
      <c r="F4" s="389"/>
      <c r="G4" s="388"/>
      <c r="H4" s="389"/>
      <c r="I4" s="390"/>
    </row>
    <row r="5" spans="1:11">
      <c r="A5" s="147" t="s">
        <v>14</v>
      </c>
      <c r="B5" s="393" t="s">
        <v>2115</v>
      </c>
      <c r="C5" s="3"/>
      <c r="D5" s="2"/>
      <c r="E5" s="388"/>
      <c r="F5" s="389"/>
      <c r="G5" s="388"/>
      <c r="H5" s="389"/>
      <c r="I5" s="390"/>
    </row>
    <row r="6" spans="1:11">
      <c r="A6" s="147" t="s">
        <v>1</v>
      </c>
      <c r="B6" s="393" t="s">
        <v>1422</v>
      </c>
      <c r="C6" s="3"/>
      <c r="D6" s="2"/>
      <c r="E6" s="388"/>
      <c r="F6" s="405" t="s">
        <v>1423</v>
      </c>
      <c r="G6" s="394">
        <v>45392</v>
      </c>
      <c r="H6" s="395"/>
      <c r="I6" s="390"/>
    </row>
    <row r="7" spans="1:11" ht="15.75" thickBot="1">
      <c r="A7" s="147" t="s">
        <v>3</v>
      </c>
      <c r="B7" s="393"/>
      <c r="C7" s="3"/>
      <c r="D7" s="2"/>
      <c r="E7" s="388"/>
      <c r="F7" s="389"/>
      <c r="G7" s="388"/>
      <c r="H7" s="389"/>
      <c r="I7" s="390"/>
    </row>
    <row r="8" spans="1:11" ht="24" customHeight="1" thickTop="1">
      <c r="A8" s="396" t="s">
        <v>5</v>
      </c>
      <c r="B8" s="397" t="s">
        <v>16</v>
      </c>
      <c r="C8" s="398" t="s">
        <v>17</v>
      </c>
      <c r="D8" s="399" t="s">
        <v>18</v>
      </c>
      <c r="E8" s="400" t="s">
        <v>1424</v>
      </c>
      <c r="F8" s="401" t="s">
        <v>1425</v>
      </c>
      <c r="G8" s="400" t="s">
        <v>1426</v>
      </c>
      <c r="H8" s="401" t="s">
        <v>1427</v>
      </c>
      <c r="I8" s="402" t="s">
        <v>13</v>
      </c>
    </row>
    <row r="9" spans="1:11">
      <c r="A9" s="529" t="s">
        <v>1428</v>
      </c>
      <c r="B9" s="530" t="s">
        <v>2116</v>
      </c>
      <c r="C9" s="531"/>
      <c r="D9" s="534"/>
      <c r="E9" s="534"/>
      <c r="F9" s="535"/>
      <c r="G9" s="534"/>
      <c r="H9" s="535"/>
      <c r="I9" s="535">
        <f>SUM(H10:H18)</f>
        <v>13589.689999999999</v>
      </c>
      <c r="K9" s="406"/>
    </row>
    <row r="10" spans="1:11" ht="15.75" customHeight="1">
      <c r="A10" s="569" t="s">
        <v>1432</v>
      </c>
      <c r="B10" s="569" t="s">
        <v>2117</v>
      </c>
      <c r="C10" s="562" t="s">
        <v>36</v>
      </c>
      <c r="D10" s="602">
        <v>1</v>
      </c>
      <c r="E10" s="573"/>
      <c r="F10" s="574">
        <v>948.23</v>
      </c>
      <c r="G10" s="591">
        <f>+ROUND(E10*D10,2)</f>
        <v>0</v>
      </c>
      <c r="H10" s="592">
        <f>+ROUND(F10*D10,2)</f>
        <v>948.23</v>
      </c>
      <c r="I10" s="591">
        <f>+ROUND(G10+(H10*$I$3),2)</f>
        <v>3508.45</v>
      </c>
    </row>
    <row r="11" spans="1:11" ht="15.75" customHeight="1">
      <c r="A11" s="569"/>
      <c r="B11" s="569" t="s">
        <v>2118</v>
      </c>
      <c r="C11" s="562" t="s">
        <v>36</v>
      </c>
      <c r="D11" s="602">
        <v>1</v>
      </c>
      <c r="E11" s="573"/>
      <c r="F11" s="574">
        <v>338.66</v>
      </c>
      <c r="G11" s="591">
        <f t="shared" ref="G11:G18" si="0">+ROUND(E11*D11,2)</f>
        <v>0</v>
      </c>
      <c r="H11" s="592">
        <f t="shared" ref="H11:H18" si="1">+ROUND(F11*D11,2)</f>
        <v>338.66</v>
      </c>
      <c r="I11" s="591">
        <f t="shared" ref="I11:I18" si="2">+ROUND(G11+(H11*$I$3),2)</f>
        <v>1253.04</v>
      </c>
    </row>
    <row r="12" spans="1:11" ht="15.75" customHeight="1">
      <c r="A12" s="569"/>
      <c r="B12" s="569" t="s">
        <v>2119</v>
      </c>
      <c r="C12" s="562" t="s">
        <v>36</v>
      </c>
      <c r="D12" s="602">
        <v>180</v>
      </c>
      <c r="E12" s="573"/>
      <c r="F12" s="574">
        <v>38.24</v>
      </c>
      <c r="G12" s="591">
        <f t="shared" si="0"/>
        <v>0</v>
      </c>
      <c r="H12" s="592">
        <f t="shared" si="1"/>
        <v>6883.2</v>
      </c>
      <c r="I12" s="591">
        <f t="shared" si="2"/>
        <v>25467.84</v>
      </c>
    </row>
    <row r="13" spans="1:11" ht="15.75" customHeight="1">
      <c r="A13" s="569"/>
      <c r="B13" s="603" t="s">
        <v>2120</v>
      </c>
      <c r="C13" s="562"/>
      <c r="D13" s="602"/>
      <c r="E13" s="573"/>
      <c r="F13" s="574"/>
      <c r="G13" s="591">
        <f t="shared" si="0"/>
        <v>0</v>
      </c>
      <c r="H13" s="592">
        <f t="shared" si="1"/>
        <v>0</v>
      </c>
      <c r="I13" s="591">
        <f t="shared" si="2"/>
        <v>0</v>
      </c>
    </row>
    <row r="14" spans="1:11" ht="15.75" customHeight="1">
      <c r="A14" s="569"/>
      <c r="B14" s="569" t="s">
        <v>2121</v>
      </c>
      <c r="C14" s="562" t="s">
        <v>36</v>
      </c>
      <c r="D14" s="602">
        <v>3</v>
      </c>
      <c r="E14" s="573"/>
      <c r="F14" s="574">
        <v>305.88</v>
      </c>
      <c r="G14" s="591">
        <f t="shared" si="0"/>
        <v>0</v>
      </c>
      <c r="H14" s="592">
        <f t="shared" si="1"/>
        <v>917.64</v>
      </c>
      <c r="I14" s="591">
        <f t="shared" si="2"/>
        <v>3395.27</v>
      </c>
    </row>
    <row r="15" spans="1:11" ht="15.75" customHeight="1">
      <c r="A15" s="569"/>
      <c r="B15" s="569" t="s">
        <v>2122</v>
      </c>
      <c r="C15" s="562" t="s">
        <v>36</v>
      </c>
      <c r="D15" s="602">
        <v>4</v>
      </c>
      <c r="E15" s="573"/>
      <c r="F15" s="574">
        <v>119.29</v>
      </c>
      <c r="G15" s="591">
        <f t="shared" si="0"/>
        <v>0</v>
      </c>
      <c r="H15" s="592">
        <f t="shared" si="1"/>
        <v>477.16</v>
      </c>
      <c r="I15" s="591">
        <f t="shared" si="2"/>
        <v>1765.49</v>
      </c>
    </row>
    <row r="16" spans="1:11" ht="15.75" customHeight="1">
      <c r="A16" s="569"/>
      <c r="B16" s="569" t="s">
        <v>2123</v>
      </c>
      <c r="C16" s="562" t="s">
        <v>36</v>
      </c>
      <c r="D16" s="602">
        <v>57</v>
      </c>
      <c r="E16" s="573"/>
      <c r="F16" s="574">
        <v>9.2200000000000006</v>
      </c>
      <c r="G16" s="591">
        <f t="shared" si="0"/>
        <v>0</v>
      </c>
      <c r="H16" s="592">
        <f t="shared" si="1"/>
        <v>525.54</v>
      </c>
      <c r="I16" s="591">
        <f t="shared" si="2"/>
        <v>1944.5</v>
      </c>
    </row>
    <row r="17" spans="1:11" ht="15.75" customHeight="1">
      <c r="A17" s="569"/>
      <c r="B17" s="603" t="s">
        <v>2124</v>
      </c>
      <c r="C17" s="562" t="s">
        <v>29</v>
      </c>
      <c r="D17" s="602">
        <v>1</v>
      </c>
      <c r="E17" s="573"/>
      <c r="F17" s="574">
        <v>2124.0500000000002</v>
      </c>
      <c r="G17" s="591">
        <f t="shared" si="0"/>
        <v>0</v>
      </c>
      <c r="H17" s="592">
        <f t="shared" si="1"/>
        <v>2124.0500000000002</v>
      </c>
      <c r="I17" s="591">
        <f t="shared" si="2"/>
        <v>7858.99</v>
      </c>
    </row>
    <row r="18" spans="1:11" ht="15.75" customHeight="1">
      <c r="A18" s="569"/>
      <c r="B18" s="603" t="s">
        <v>2019</v>
      </c>
      <c r="C18" s="562" t="s">
        <v>29</v>
      </c>
      <c r="D18" s="602">
        <v>1</v>
      </c>
      <c r="E18" s="573"/>
      <c r="F18" s="574">
        <v>1375.2100000000003</v>
      </c>
      <c r="G18" s="591">
        <f t="shared" si="0"/>
        <v>0</v>
      </c>
      <c r="H18" s="592">
        <f t="shared" si="1"/>
        <v>1375.21</v>
      </c>
      <c r="I18" s="591">
        <f t="shared" si="2"/>
        <v>5088.28</v>
      </c>
    </row>
    <row r="19" spans="1:11">
      <c r="A19" s="529" t="s">
        <v>1517</v>
      </c>
      <c r="B19" s="530" t="s">
        <v>2125</v>
      </c>
      <c r="C19" s="531"/>
      <c r="D19" s="534"/>
      <c r="E19" s="534"/>
      <c r="F19" s="535"/>
      <c r="G19" s="534"/>
      <c r="H19" s="535"/>
      <c r="I19" s="535">
        <f>SUM(H21:H37)</f>
        <v>41537.14</v>
      </c>
      <c r="K19" s="406"/>
    </row>
    <row r="20" spans="1:11">
      <c r="A20" s="554"/>
      <c r="B20" s="571" t="s">
        <v>2126</v>
      </c>
      <c r="C20" s="555"/>
      <c r="D20" s="582"/>
      <c r="E20" s="557"/>
      <c r="F20" s="558"/>
      <c r="G20" s="557"/>
      <c r="H20" s="558"/>
      <c r="I20" s="559"/>
    </row>
    <row r="21" spans="1:11" ht="34.5">
      <c r="A21" s="554"/>
      <c r="B21" s="570" t="s">
        <v>2127</v>
      </c>
      <c r="C21" s="562" t="s">
        <v>36</v>
      </c>
      <c r="D21" s="602">
        <v>1</v>
      </c>
      <c r="E21" s="557"/>
      <c r="F21" s="574">
        <v>640.37</v>
      </c>
      <c r="G21" s="591">
        <f t="shared" ref="G21:G37" si="3">+E21*D21</f>
        <v>0</v>
      </c>
      <c r="H21" s="592">
        <f t="shared" ref="H21:H37" si="4">+ROUND(F21*D21,2)</f>
        <v>640.37</v>
      </c>
      <c r="I21" s="591">
        <f t="shared" ref="I21:I37" si="5">+ROUND(G21+(H21*$I$3),2)</f>
        <v>2369.37</v>
      </c>
    </row>
    <row r="22" spans="1:11">
      <c r="A22" s="554"/>
      <c r="B22" s="570" t="s">
        <v>2128</v>
      </c>
      <c r="C22" s="562" t="s">
        <v>36</v>
      </c>
      <c r="D22" s="602">
        <v>1</v>
      </c>
      <c r="E22" s="557"/>
      <c r="F22" s="574">
        <v>471.54</v>
      </c>
      <c r="G22" s="591">
        <f t="shared" si="3"/>
        <v>0</v>
      </c>
      <c r="H22" s="592">
        <f t="shared" si="4"/>
        <v>471.54</v>
      </c>
      <c r="I22" s="591">
        <f t="shared" si="5"/>
        <v>1744.7</v>
      </c>
    </row>
    <row r="23" spans="1:11">
      <c r="A23" s="554"/>
      <c r="B23" s="570" t="s">
        <v>2129</v>
      </c>
      <c r="C23" s="562" t="s">
        <v>36</v>
      </c>
      <c r="D23" s="602">
        <v>4</v>
      </c>
      <c r="E23" s="557"/>
      <c r="F23" s="574">
        <v>15.05</v>
      </c>
      <c r="G23" s="591">
        <f t="shared" si="3"/>
        <v>0</v>
      </c>
      <c r="H23" s="592">
        <f t="shared" si="4"/>
        <v>60.2</v>
      </c>
      <c r="I23" s="591">
        <f t="shared" si="5"/>
        <v>222.74</v>
      </c>
    </row>
    <row r="24" spans="1:11">
      <c r="A24" s="554"/>
      <c r="B24" s="571" t="s">
        <v>2130</v>
      </c>
      <c r="C24" s="555"/>
      <c r="D24" s="602"/>
      <c r="E24" s="557"/>
      <c r="F24" s="574">
        <v>0</v>
      </c>
      <c r="G24" s="591"/>
      <c r="H24" s="592">
        <f t="shared" si="4"/>
        <v>0</v>
      </c>
      <c r="I24" s="591">
        <f t="shared" si="5"/>
        <v>0</v>
      </c>
    </row>
    <row r="25" spans="1:11">
      <c r="A25" s="554"/>
      <c r="B25" s="570" t="s">
        <v>2131</v>
      </c>
      <c r="C25" s="562" t="s">
        <v>36</v>
      </c>
      <c r="D25" s="602">
        <v>595</v>
      </c>
      <c r="E25" s="557"/>
      <c r="F25" s="574">
        <v>14.95</v>
      </c>
      <c r="G25" s="591">
        <f t="shared" si="3"/>
        <v>0</v>
      </c>
      <c r="H25" s="592">
        <f t="shared" si="4"/>
        <v>8895.25</v>
      </c>
      <c r="I25" s="591">
        <f t="shared" si="5"/>
        <v>32912.43</v>
      </c>
    </row>
    <row r="26" spans="1:11">
      <c r="A26" s="554"/>
      <c r="B26" s="570" t="s">
        <v>2132</v>
      </c>
      <c r="C26" s="562" t="s">
        <v>36</v>
      </c>
      <c r="D26" s="602">
        <v>175</v>
      </c>
      <c r="E26" s="557"/>
      <c r="F26" s="574">
        <v>15.52</v>
      </c>
      <c r="G26" s="591">
        <f t="shared" si="3"/>
        <v>0</v>
      </c>
      <c r="H26" s="592">
        <f t="shared" si="4"/>
        <v>2716</v>
      </c>
      <c r="I26" s="591">
        <f t="shared" si="5"/>
        <v>10049.200000000001</v>
      </c>
    </row>
    <row r="27" spans="1:11">
      <c r="A27" s="554"/>
      <c r="B27" s="570" t="s">
        <v>2133</v>
      </c>
      <c r="C27" s="562" t="s">
        <v>36</v>
      </c>
      <c r="D27" s="602">
        <v>5</v>
      </c>
      <c r="E27" s="557"/>
      <c r="F27" s="574">
        <v>12.01</v>
      </c>
      <c r="G27" s="591">
        <f t="shared" si="3"/>
        <v>0</v>
      </c>
      <c r="H27" s="592">
        <f t="shared" si="4"/>
        <v>60.05</v>
      </c>
      <c r="I27" s="591">
        <f t="shared" si="5"/>
        <v>222.19</v>
      </c>
    </row>
    <row r="28" spans="1:11">
      <c r="A28" s="554"/>
      <c r="B28" s="570" t="s">
        <v>2134</v>
      </c>
      <c r="C28" s="562" t="s">
        <v>36</v>
      </c>
      <c r="D28" s="602">
        <v>63</v>
      </c>
      <c r="E28" s="557"/>
      <c r="F28" s="574">
        <v>32.880000000000003</v>
      </c>
      <c r="G28" s="591">
        <f t="shared" si="3"/>
        <v>0</v>
      </c>
      <c r="H28" s="592">
        <f t="shared" si="4"/>
        <v>2071.44</v>
      </c>
      <c r="I28" s="591">
        <f t="shared" si="5"/>
        <v>7664.33</v>
      </c>
    </row>
    <row r="29" spans="1:11">
      <c r="A29" s="554"/>
      <c r="B29" s="570" t="s">
        <v>2135</v>
      </c>
      <c r="C29" s="562" t="s">
        <v>36</v>
      </c>
      <c r="D29" s="602">
        <v>1</v>
      </c>
      <c r="E29" s="557"/>
      <c r="F29" s="574">
        <v>92.4</v>
      </c>
      <c r="G29" s="591">
        <f t="shared" si="3"/>
        <v>0</v>
      </c>
      <c r="H29" s="592">
        <f t="shared" si="4"/>
        <v>92.4</v>
      </c>
      <c r="I29" s="591">
        <f t="shared" si="5"/>
        <v>341.88</v>
      </c>
    </row>
    <row r="30" spans="1:11" ht="23.25">
      <c r="A30" s="554"/>
      <c r="B30" s="570" t="s">
        <v>2136</v>
      </c>
      <c r="C30" s="562" t="s">
        <v>36</v>
      </c>
      <c r="D30" s="602">
        <v>8</v>
      </c>
      <c r="E30" s="557"/>
      <c r="F30" s="574">
        <v>97.83</v>
      </c>
      <c r="G30" s="591">
        <f t="shared" si="3"/>
        <v>0</v>
      </c>
      <c r="H30" s="592">
        <f t="shared" si="4"/>
        <v>782.64</v>
      </c>
      <c r="I30" s="591">
        <f t="shared" si="5"/>
        <v>2895.77</v>
      </c>
    </row>
    <row r="31" spans="1:11">
      <c r="A31" s="554"/>
      <c r="B31" s="571" t="s">
        <v>2137</v>
      </c>
      <c r="C31" s="555"/>
      <c r="D31" s="602"/>
      <c r="E31" s="557"/>
      <c r="F31" s="574">
        <v>0</v>
      </c>
      <c r="G31" s="591"/>
      <c r="H31" s="592">
        <f t="shared" si="4"/>
        <v>0</v>
      </c>
      <c r="I31" s="591">
        <f t="shared" si="5"/>
        <v>0</v>
      </c>
    </row>
    <row r="32" spans="1:11">
      <c r="A32" s="554"/>
      <c r="B32" s="570" t="s">
        <v>2138</v>
      </c>
      <c r="C32" s="562" t="s">
        <v>36</v>
      </c>
      <c r="D32" s="602">
        <v>245</v>
      </c>
      <c r="E32" s="557"/>
      <c r="F32" s="574">
        <v>29.23</v>
      </c>
      <c r="G32" s="591">
        <f t="shared" si="3"/>
        <v>0</v>
      </c>
      <c r="H32" s="592">
        <f t="shared" si="4"/>
        <v>7161.35</v>
      </c>
      <c r="I32" s="591">
        <f t="shared" si="5"/>
        <v>26497</v>
      </c>
    </row>
    <row r="33" spans="1:11">
      <c r="A33" s="554"/>
      <c r="B33" s="570" t="s">
        <v>2139</v>
      </c>
      <c r="C33" s="562" t="s">
        <v>36</v>
      </c>
      <c r="D33" s="602">
        <v>4</v>
      </c>
      <c r="E33" s="557"/>
      <c r="F33" s="574">
        <v>471.54</v>
      </c>
      <c r="G33" s="591">
        <f t="shared" si="3"/>
        <v>0</v>
      </c>
      <c r="H33" s="592">
        <f t="shared" si="4"/>
        <v>1886.16</v>
      </c>
      <c r="I33" s="591">
        <f t="shared" si="5"/>
        <v>6978.79</v>
      </c>
    </row>
    <row r="34" spans="1:11">
      <c r="A34" s="554"/>
      <c r="B34" s="570" t="s">
        <v>2140</v>
      </c>
      <c r="C34" s="562" t="s">
        <v>36</v>
      </c>
      <c r="D34" s="602">
        <v>8</v>
      </c>
      <c r="E34" s="557"/>
      <c r="F34" s="574">
        <v>15.05</v>
      </c>
      <c r="G34" s="591">
        <f t="shared" si="3"/>
        <v>0</v>
      </c>
      <c r="H34" s="592">
        <f t="shared" si="4"/>
        <v>120.4</v>
      </c>
      <c r="I34" s="591">
        <f t="shared" si="5"/>
        <v>445.48</v>
      </c>
    </row>
    <row r="35" spans="1:11">
      <c r="A35" s="554"/>
      <c r="B35" s="571" t="s">
        <v>2141</v>
      </c>
      <c r="C35" s="562" t="s">
        <v>29</v>
      </c>
      <c r="D35" s="602">
        <v>1</v>
      </c>
      <c r="E35" s="557"/>
      <c r="F35" s="574">
        <v>5798.01</v>
      </c>
      <c r="G35" s="591">
        <f t="shared" si="3"/>
        <v>0</v>
      </c>
      <c r="H35" s="592">
        <f t="shared" si="4"/>
        <v>5798.01</v>
      </c>
      <c r="I35" s="591">
        <f t="shared" si="5"/>
        <v>21452.639999999999</v>
      </c>
    </row>
    <row r="36" spans="1:11">
      <c r="A36" s="554"/>
      <c r="B36" s="571" t="s">
        <v>2124</v>
      </c>
      <c r="C36" s="562" t="s">
        <v>29</v>
      </c>
      <c r="D36" s="602">
        <v>1</v>
      </c>
      <c r="E36" s="557"/>
      <c r="F36" s="574">
        <v>8945.25</v>
      </c>
      <c r="G36" s="591">
        <f t="shared" si="3"/>
        <v>0</v>
      </c>
      <c r="H36" s="592">
        <f t="shared" si="4"/>
        <v>8945.25</v>
      </c>
      <c r="I36" s="591">
        <f t="shared" si="5"/>
        <v>33097.43</v>
      </c>
    </row>
    <row r="37" spans="1:11">
      <c r="A37" s="554"/>
      <c r="B37" s="571" t="s">
        <v>2019</v>
      </c>
      <c r="C37" s="562" t="s">
        <v>29</v>
      </c>
      <c r="D37" s="602">
        <v>1</v>
      </c>
      <c r="E37" s="557"/>
      <c r="F37" s="574">
        <v>1836.08</v>
      </c>
      <c r="G37" s="591">
        <f t="shared" si="3"/>
        <v>0</v>
      </c>
      <c r="H37" s="592">
        <f t="shared" si="4"/>
        <v>1836.08</v>
      </c>
      <c r="I37" s="591">
        <f t="shared" si="5"/>
        <v>6793.5</v>
      </c>
    </row>
    <row r="38" spans="1:11">
      <c r="A38" s="529" t="s">
        <v>1536</v>
      </c>
      <c r="B38" s="530" t="s">
        <v>2142</v>
      </c>
      <c r="C38" s="531"/>
      <c r="D38" s="534"/>
      <c r="E38" s="534"/>
      <c r="F38" s="535"/>
      <c r="G38" s="534"/>
      <c r="H38" s="535"/>
      <c r="I38" s="535">
        <f>+H39</f>
        <v>2556.6999999999998</v>
      </c>
      <c r="K38" s="408"/>
    </row>
    <row r="39" spans="1:11">
      <c r="A39" s="569" t="s">
        <v>1691</v>
      </c>
      <c r="B39" s="569" t="s">
        <v>2143</v>
      </c>
      <c r="C39" s="562" t="s">
        <v>29</v>
      </c>
      <c r="D39" s="602">
        <v>1</v>
      </c>
      <c r="E39" s="573"/>
      <c r="F39" s="574">
        <v>2556.6999999999998</v>
      </c>
      <c r="G39" s="591">
        <f>+ROUND(E39*D39,2)</f>
        <v>0</v>
      </c>
      <c r="H39" s="592">
        <f>+ROUND(F39*D39,2)</f>
        <v>2556.6999999999998</v>
      </c>
      <c r="I39" s="591">
        <f>+ROUND(G39+(H39*$I$3),2)</f>
        <v>9459.7900000000009</v>
      </c>
    </row>
    <row r="40" spans="1:11">
      <c r="A40" s="529" t="s">
        <v>1536</v>
      </c>
      <c r="B40" s="530" t="s">
        <v>2144</v>
      </c>
      <c r="C40" s="531"/>
      <c r="D40" s="534"/>
      <c r="E40" s="534"/>
      <c r="F40" s="535"/>
      <c r="G40" s="534"/>
      <c r="H40" s="535"/>
      <c r="I40" s="534">
        <f>+G41</f>
        <v>190389.22</v>
      </c>
      <c r="K40" s="408"/>
    </row>
    <row r="41" spans="1:11" ht="45">
      <c r="A41" s="569" t="s">
        <v>1691</v>
      </c>
      <c r="B41" s="604" t="s">
        <v>2145</v>
      </c>
      <c r="C41" s="562" t="s">
        <v>29</v>
      </c>
      <c r="D41" s="605">
        <v>1</v>
      </c>
      <c r="E41" s="578">
        <v>190389.22</v>
      </c>
      <c r="F41" s="579"/>
      <c r="G41" s="591">
        <f>+ROUND(E41*D41,2)</f>
        <v>190389.22</v>
      </c>
      <c r="H41" s="592">
        <f>+ROUND(F41*D41,2)</f>
        <v>0</v>
      </c>
      <c r="I41" s="591">
        <f>+ROUND(G41+(H41*$I$3),2)</f>
        <v>190389.22</v>
      </c>
    </row>
    <row r="42" spans="1:11">
      <c r="A42" s="529" t="s">
        <v>1877</v>
      </c>
      <c r="B42" s="530" t="s">
        <v>588</v>
      </c>
      <c r="C42" s="531"/>
      <c r="D42" s="534"/>
      <c r="E42" s="534"/>
      <c r="F42" s="535"/>
      <c r="G42" s="534"/>
      <c r="H42" s="535"/>
      <c r="I42" s="534">
        <f>SUM(I43:I48)</f>
        <v>63573.599999999999</v>
      </c>
      <c r="K42" s="408"/>
    </row>
    <row r="43" spans="1:11">
      <c r="A43" s="569" t="s">
        <v>2146</v>
      </c>
      <c r="B43" s="569" t="s">
        <v>2147</v>
      </c>
      <c r="C43" s="562" t="s">
        <v>29</v>
      </c>
      <c r="D43" s="602">
        <v>1</v>
      </c>
      <c r="E43" s="573">
        <v>4129.51</v>
      </c>
      <c r="F43" s="579"/>
      <c r="G43" s="591">
        <f t="shared" ref="G43:G48" si="6">+ROUND(E43*D43,2)</f>
        <v>4129.51</v>
      </c>
      <c r="H43" s="592">
        <f t="shared" ref="H43:H48" si="7">+ROUND(F43*D43,2)</f>
        <v>0</v>
      </c>
      <c r="I43" s="591">
        <f t="shared" ref="I43:I48" si="8">+ROUND(G43+(H43*$I$3),2)</f>
        <v>4129.51</v>
      </c>
    </row>
    <row r="44" spans="1:11">
      <c r="A44" s="569" t="s">
        <v>2148</v>
      </c>
      <c r="B44" s="569" t="s">
        <v>2149</v>
      </c>
      <c r="C44" s="562" t="s">
        <v>29</v>
      </c>
      <c r="D44" s="602">
        <v>1</v>
      </c>
      <c r="E44" s="573">
        <v>3832.92</v>
      </c>
      <c r="F44" s="579"/>
      <c r="G44" s="591">
        <f t="shared" si="6"/>
        <v>3832.92</v>
      </c>
      <c r="H44" s="592">
        <f t="shared" si="7"/>
        <v>0</v>
      </c>
      <c r="I44" s="591">
        <f t="shared" si="8"/>
        <v>3832.92</v>
      </c>
    </row>
    <row r="45" spans="1:11">
      <c r="A45" s="569" t="s">
        <v>2150</v>
      </c>
      <c r="B45" s="569" t="s">
        <v>2151</v>
      </c>
      <c r="C45" s="562" t="s">
        <v>29</v>
      </c>
      <c r="D45" s="602">
        <v>1</v>
      </c>
      <c r="E45" s="573">
        <v>1944.17</v>
      </c>
      <c r="F45" s="579"/>
      <c r="G45" s="591">
        <f t="shared" si="6"/>
        <v>1944.17</v>
      </c>
      <c r="H45" s="592">
        <f t="shared" si="7"/>
        <v>0</v>
      </c>
      <c r="I45" s="591">
        <f t="shared" si="8"/>
        <v>1944.17</v>
      </c>
    </row>
    <row r="46" spans="1:11">
      <c r="A46" s="569" t="s">
        <v>2152</v>
      </c>
      <c r="B46" s="569" t="s">
        <v>2153</v>
      </c>
      <c r="C46" s="562" t="s">
        <v>29</v>
      </c>
      <c r="D46" s="602">
        <v>1</v>
      </c>
      <c r="E46" s="573">
        <v>3282.83</v>
      </c>
      <c r="F46" s="579"/>
      <c r="G46" s="591">
        <f t="shared" si="6"/>
        <v>3282.83</v>
      </c>
      <c r="H46" s="592">
        <f t="shared" si="7"/>
        <v>0</v>
      </c>
      <c r="I46" s="591">
        <f t="shared" si="8"/>
        <v>3282.83</v>
      </c>
    </row>
    <row r="47" spans="1:11">
      <c r="A47" s="569" t="s">
        <v>2154</v>
      </c>
      <c r="B47" s="569" t="s">
        <v>2155</v>
      </c>
      <c r="C47" s="562" t="s">
        <v>29</v>
      </c>
      <c r="D47" s="602">
        <v>1</v>
      </c>
      <c r="E47" s="573">
        <v>35720.17</v>
      </c>
      <c r="F47" s="579"/>
      <c r="G47" s="591">
        <f t="shared" si="6"/>
        <v>35720.17</v>
      </c>
      <c r="H47" s="592">
        <f t="shared" si="7"/>
        <v>0</v>
      </c>
      <c r="I47" s="591">
        <f t="shared" si="8"/>
        <v>35720.17</v>
      </c>
    </row>
    <row r="48" spans="1:11">
      <c r="A48" s="569" t="s">
        <v>2156</v>
      </c>
      <c r="B48" s="569" t="s">
        <v>2115</v>
      </c>
      <c r="C48" s="562" t="s">
        <v>29</v>
      </c>
      <c r="D48" s="602">
        <v>1</v>
      </c>
      <c r="E48" s="573">
        <v>14664</v>
      </c>
      <c r="F48" s="579"/>
      <c r="G48" s="591">
        <f t="shared" si="6"/>
        <v>14664</v>
      </c>
      <c r="H48" s="592">
        <f t="shared" si="7"/>
        <v>0</v>
      </c>
      <c r="I48" s="591">
        <f t="shared" si="8"/>
        <v>14664</v>
      </c>
    </row>
    <row r="49" spans="1:10">
      <c r="A49" s="529" t="s">
        <v>1903</v>
      </c>
      <c r="B49" s="530" t="s">
        <v>11</v>
      </c>
      <c r="C49" s="531"/>
      <c r="D49" s="534"/>
      <c r="E49" s="534"/>
      <c r="F49" s="535"/>
      <c r="G49" s="534"/>
      <c r="H49" s="535"/>
      <c r="I49" s="534">
        <f>SUM(G50:G53)</f>
        <v>24750.76</v>
      </c>
      <c r="J49"/>
    </row>
    <row r="50" spans="1:10">
      <c r="A50" s="569"/>
      <c r="B50" s="569" t="s">
        <v>2157</v>
      </c>
      <c r="C50" s="562" t="s">
        <v>29</v>
      </c>
      <c r="D50" s="602">
        <v>1</v>
      </c>
      <c r="E50" s="573">
        <v>1025.45</v>
      </c>
      <c r="F50" s="574"/>
      <c r="G50" s="591">
        <f>+ROUND(E50*D50,2)</f>
        <v>1025.45</v>
      </c>
      <c r="H50" s="592">
        <f>+ROUND(F50*D50,2)</f>
        <v>0</v>
      </c>
      <c r="I50" s="591">
        <f>+ROUND(G50+(H50*$I$3),2)</f>
        <v>1025.45</v>
      </c>
      <c r="J50"/>
    </row>
    <row r="51" spans="1:10" ht="57">
      <c r="A51" s="569"/>
      <c r="B51" s="570" t="s">
        <v>2158</v>
      </c>
      <c r="C51" s="562" t="s">
        <v>29</v>
      </c>
      <c r="D51" s="602">
        <v>1</v>
      </c>
      <c r="E51" s="573">
        <v>8152.69</v>
      </c>
      <c r="F51" s="574"/>
      <c r="G51" s="591">
        <f>+ROUND(E51*D51,2)</f>
        <v>8152.69</v>
      </c>
      <c r="H51" s="592">
        <f>+ROUND(F51*D51,2)</f>
        <v>0</v>
      </c>
      <c r="I51" s="591">
        <f>+ROUND(G51+(H51*$I$3),2)</f>
        <v>8152.69</v>
      </c>
      <c r="J51"/>
    </row>
    <row r="52" spans="1:10">
      <c r="A52" s="569"/>
      <c r="B52" s="569" t="s">
        <v>2159</v>
      </c>
      <c r="C52" s="562" t="s">
        <v>29</v>
      </c>
      <c r="D52" s="602">
        <v>1</v>
      </c>
      <c r="E52" s="573">
        <v>10997.74</v>
      </c>
      <c r="F52" s="574"/>
      <c r="G52" s="591">
        <f>+ROUND(E52*D52,2)</f>
        <v>10997.74</v>
      </c>
      <c r="H52" s="592">
        <f>+ROUND(F52*D52,2)</f>
        <v>0</v>
      </c>
      <c r="I52" s="591">
        <f>+ROUND(G52+(H52*$I$3),2)</f>
        <v>10997.74</v>
      </c>
      <c r="J52"/>
    </row>
    <row r="53" spans="1:10">
      <c r="A53" s="569"/>
      <c r="B53" s="569" t="s">
        <v>195</v>
      </c>
      <c r="C53" s="562" t="s">
        <v>29</v>
      </c>
      <c r="D53" s="602">
        <v>1</v>
      </c>
      <c r="E53" s="573">
        <v>4574.88</v>
      </c>
      <c r="F53" s="574"/>
      <c r="G53" s="591">
        <f>+ROUND(E53*D53,2)</f>
        <v>4574.88</v>
      </c>
      <c r="H53" s="592">
        <f>+ROUND(F53*D53,2)</f>
        <v>0</v>
      </c>
      <c r="I53" s="591">
        <f>+ROUND(G53+(H53*$I$3),2)</f>
        <v>4574.88</v>
      </c>
      <c r="J53"/>
    </row>
    <row r="54" spans="1:10">
      <c r="A54" s="529" t="s">
        <v>1940</v>
      </c>
      <c r="B54" s="530" t="s">
        <v>2160</v>
      </c>
      <c r="C54" s="531"/>
      <c r="D54" s="534"/>
      <c r="E54" s="534"/>
      <c r="F54" s="535"/>
      <c r="G54" s="534"/>
      <c r="H54" s="535"/>
      <c r="I54" s="535">
        <f>SUM(H55:H55)</f>
        <v>0</v>
      </c>
      <c r="J54"/>
    </row>
    <row r="55" spans="1:10" ht="237">
      <c r="A55" s="569" t="s">
        <v>1942</v>
      </c>
      <c r="B55" s="570" t="s">
        <v>2161</v>
      </c>
      <c r="C55" s="562" t="s">
        <v>29</v>
      </c>
      <c r="D55" s="577">
        <v>1</v>
      </c>
      <c r="E55" s="606"/>
      <c r="F55" s="607">
        <v>0</v>
      </c>
      <c r="G55" s="608">
        <f>+E55*D55</f>
        <v>0</v>
      </c>
      <c r="H55" s="609">
        <f>+F55*D55</f>
        <v>0</v>
      </c>
      <c r="I55" s="608">
        <f>+G55+(H55*$I$3)</f>
        <v>0</v>
      </c>
      <c r="J55" t="s">
        <v>2162</v>
      </c>
    </row>
    <row r="56" spans="1:10">
      <c r="A56" s="569"/>
      <c r="B56" s="569"/>
      <c r="C56" s="562"/>
      <c r="D56" s="602"/>
      <c r="E56" s="573"/>
      <c r="F56" s="574"/>
      <c r="G56" s="591"/>
      <c r="H56" s="592"/>
      <c r="I56" s="591"/>
      <c r="J56"/>
    </row>
  </sheetData>
  <mergeCells count="1">
    <mergeCell ref="A2:H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1797F2A45CAC48BC715C21AB77E472" ma:contentTypeVersion="15" ma:contentTypeDescription="Crear nuevo documento." ma:contentTypeScope="" ma:versionID="b09c4855bb0d4de1ed608b9aec7f8170">
  <xsd:schema xmlns:xsd="http://www.w3.org/2001/XMLSchema" xmlns:xs="http://www.w3.org/2001/XMLSchema" xmlns:p="http://schemas.microsoft.com/office/2006/metadata/properties" xmlns:ns2="aafbc94f-4f2c-4840-a226-3be54c1dbc6f" xmlns:ns3="5af39fbe-db52-4f75-8c78-5d5b0fbe969d" targetNamespace="http://schemas.microsoft.com/office/2006/metadata/properties" ma:root="true" ma:fieldsID="86114c541dcd92214278ad9d263086cd" ns2:_="" ns3:_="">
    <xsd:import namespace="aafbc94f-4f2c-4840-a226-3be54c1dbc6f"/>
    <xsd:import namespace="5af39fbe-db52-4f75-8c78-5d5b0fbe969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fbc94f-4f2c-4840-a226-3be54c1dbc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8d3bafeb-26fa-401c-ad88-3981bbe5e61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f39fbe-db52-4f75-8c78-5d5b0fbe969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9ae971c-aa08-4231-ba88-ffdb8f9fd2c7}" ma:internalName="TaxCatchAll" ma:showField="CatchAllData" ma:web="5af39fbe-db52-4f75-8c78-5d5b0fbe969d">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afbc94f-4f2c-4840-a226-3be54c1dbc6f">
      <Terms xmlns="http://schemas.microsoft.com/office/infopath/2007/PartnerControls"/>
    </lcf76f155ced4ddcb4097134ff3c332f>
    <TaxCatchAll xmlns="5af39fbe-db52-4f75-8c78-5d5b0fbe969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8A3BB64F-E7CA-448E-92D4-1B24005DBF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fbc94f-4f2c-4840-a226-3be54c1dbc6f"/>
    <ds:schemaRef ds:uri="5af39fbe-db52-4f75-8c78-5d5b0fbe96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A3ED69B-C9E1-4CE8-ABD4-7E0F0128B2F0}">
  <ds:schemaRefs>
    <ds:schemaRef ds:uri="http://www.w3.org/XML/1998/namespace"/>
    <ds:schemaRef ds:uri="5af39fbe-db52-4f75-8c78-5d5b0fbe969d"/>
    <ds:schemaRef ds:uri="http://schemas.openxmlformats.org/package/2006/metadata/core-properties"/>
    <ds:schemaRef ds:uri="http://purl.org/dc/dcmitype/"/>
    <ds:schemaRef ds:uri="http://purl.org/dc/terms/"/>
    <ds:schemaRef ds:uri="http://schemas.microsoft.com/office/2006/documentManagement/types"/>
    <ds:schemaRef ds:uri="http://schemas.microsoft.com/office/2006/metadata/properties"/>
    <ds:schemaRef ds:uri="http://schemas.microsoft.com/office/infopath/2007/PartnerControls"/>
    <ds:schemaRef ds:uri="aafbc94f-4f2c-4840-a226-3be54c1dbc6f"/>
    <ds:schemaRef ds:uri="http://purl.org/dc/elements/1.1/"/>
  </ds:schemaRefs>
</ds:datastoreItem>
</file>

<file path=customXml/itemProps3.xml><?xml version="1.0" encoding="utf-8"?>
<ds:datastoreItem xmlns:ds="http://schemas.openxmlformats.org/officeDocument/2006/customXml" ds:itemID="{54F54228-C28D-420C-A240-B777F0714F72}">
  <ds:schemaRefs>
    <ds:schemaRef ds:uri="http://schemas.microsoft.com/sharepoint/v3/contenttype/forms"/>
  </ds:schemaRefs>
</ds:datastoreItem>
</file>

<file path=customXml/itemProps4.xml><?xml version="1.0" encoding="utf-8"?>
<ds:datastoreItem xmlns:ds="http://schemas.openxmlformats.org/officeDocument/2006/customXml" ds:itemID="{71538B52-FBA9-4A6E-AB39-EA733D57BB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OP</vt:lpstr>
      <vt:lpstr>SEG</vt:lpstr>
      <vt:lpstr>GG</vt:lpstr>
      <vt:lpstr>EST SOTANO</vt:lpstr>
      <vt:lpstr>EST TORRE</vt:lpstr>
      <vt:lpstr>ARQ SOT</vt:lpstr>
      <vt:lpstr>ARQ TORRE</vt:lpstr>
      <vt:lpstr>OBRA CIVIL ASCENSOR</vt:lpstr>
      <vt:lpstr>IISS</vt:lpstr>
      <vt:lpstr>IIEE</vt:lpstr>
      <vt:lpstr>CTO BOMBAS-ACIySPC</vt:lpstr>
      <vt:lpstr>IIMM</vt:lpstr>
      <vt:lpstr>INSTALACIONES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Edwid Pinto</cp:lastModifiedBy>
  <cp:revision/>
  <dcterms:created xsi:type="dcterms:W3CDTF">2023-01-23T15:46:33Z</dcterms:created>
  <dcterms:modified xsi:type="dcterms:W3CDTF">2026-10-04T22:43:14Z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0x010100B01797F2A45CAC48BC715C21AB77E472</vt:lpwstr>
  </property>
  <property fmtid="{D5CDD505-2E9C-101B-9397-08002B2CF9AE}" pid="3" name="MediaServiceImageTags">
    <vt:lpwstr/>
  </property>
</Properties>
</file>